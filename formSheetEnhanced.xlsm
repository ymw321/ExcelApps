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26" codeName="{F2B83AC3-3A92-4FF1-8D57-CA5CB3A19BB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perimental\Excel\"/>
    </mc:Choice>
  </mc:AlternateContent>
  <bookViews>
    <workbookView xWindow="-15" yWindow="4830" windowWidth="18270" windowHeight="4875" activeTab="5"/>
  </bookViews>
  <sheets>
    <sheet name="Instructions" sheetId="9" r:id="rId1"/>
    <sheet name="Notes" sheetId="5" r:id="rId2"/>
    <sheet name="Input" sheetId="2" r:id="rId3"/>
    <sheet name="PartsData" sheetId="1" r:id="rId4"/>
    <sheet name="LookupLists" sheetId="3" r:id="rId5"/>
    <sheet name="MyLinks" sheetId="8" r:id="rId6"/>
  </sheets>
  <definedNames>
    <definedName name="_xlnm._FilterDatabase" localSheetId="3" hidden="1">PartsData!$C$1:$G$1</definedName>
    <definedName name="CheckID">Input!$N$3</definedName>
    <definedName name="CurrRec">Input!$H$6</definedName>
    <definedName name="DataEntryClear">Input!$D$5:$D$8</definedName>
    <definedName name="IDNum">Input!$D$5</definedName>
    <definedName name="LocationList">OFFSET(LookupLists!$I$1,1,0,MAX(LookupLists!$F$2:$F$19),1)</definedName>
    <definedName name="MaxNum">LookupLists!$L$3</definedName>
    <definedName name="NextID">LookupLists!$L$1</definedName>
    <definedName name="OrderEntry">Input!$D$5:$D$10</definedName>
    <definedName name="OrderID">Input!$D$5</definedName>
    <definedName name="OrderIDList">OFFSET(PartsData!$C$1,1,0,COUNTA(PartsData!$C:$C)-1,1)</definedName>
    <definedName name="OrderSel">Input!$L$3</definedName>
    <definedName name="PartList">OFFSET(LookupLists!$A$2,0,0,COUNTA(LookupLists!$A:$A)-1,1)</definedName>
    <definedName name="PartLU">OFFSET(PartList,,,,2)</definedName>
    <definedName name="PartsDatabase">OFFSET(PartsData!$A$1,0,0,COUNTA(PartsData!$A:$A),6)</definedName>
    <definedName name="SelRec">Input!$M$3</definedName>
    <definedName name="ShowMsg">Input!$L$6</definedName>
  </definedNames>
  <calcPr calcId="171027"/>
</workbook>
</file>

<file path=xl/calcChain.xml><?xml version="1.0" encoding="utf-8"?>
<calcChain xmlns="http://schemas.openxmlformats.org/spreadsheetml/2006/main">
  <c r="B15" i="2" l="1"/>
  <c r="D9" i="2"/>
  <c r="E3" i="3" l="1"/>
  <c r="F3" i="3" s="1"/>
  <c r="E4" i="3"/>
  <c r="E5" i="3"/>
  <c r="F5" i="3" s="1"/>
  <c r="E6" i="3"/>
  <c r="E7" i="3"/>
  <c r="E8" i="3"/>
  <c r="E9" i="3"/>
  <c r="E10" i="3"/>
  <c r="E2" i="3"/>
  <c r="F5" i="2"/>
  <c r="F6" i="2"/>
  <c r="N3" i="2"/>
  <c r="L1" i="3"/>
  <c r="F7" i="2"/>
  <c r="F8" i="2"/>
  <c r="M3" i="2"/>
  <c r="J6" i="2"/>
  <c r="F2" i="3" l="1"/>
  <c r="F4" i="3" s="1"/>
  <c r="D10" i="2"/>
  <c r="F6" i="3" l="1"/>
  <c r="F7" i="3" l="1"/>
  <c r="F8" i="3" l="1"/>
  <c r="F9" i="3" l="1"/>
  <c r="F10" i="3" l="1"/>
  <c r="F11" i="3" s="1"/>
  <c r="F12" i="3" s="1"/>
  <c r="F13" i="3" s="1"/>
  <c r="F14" i="3" s="1"/>
  <c r="F15" i="3" s="1"/>
  <c r="F16" i="3" s="1"/>
  <c r="F17" i="3" s="1"/>
  <c r="F18" i="3" s="1"/>
  <c r="F19" i="3" s="1"/>
  <c r="I16" i="3" l="1"/>
  <c r="I11" i="3"/>
  <c r="I7" i="3"/>
  <c r="I5" i="3"/>
  <c r="I8" i="3"/>
  <c r="I17" i="3"/>
  <c r="I12" i="3"/>
  <c r="I13" i="3"/>
  <c r="I9" i="3"/>
  <c r="I19" i="3"/>
  <c r="I6" i="3"/>
  <c r="I15" i="3"/>
  <c r="I3" i="3"/>
  <c r="I2" i="3"/>
  <c r="I10" i="3"/>
  <c r="I18" i="3"/>
  <c r="I14" i="3"/>
  <c r="I4" i="3"/>
</calcChain>
</file>

<file path=xl/comments1.xml><?xml version="1.0" encoding="utf-8"?>
<comments xmlns="http://schemas.openxmlformats.org/spreadsheetml/2006/main">
  <authors>
    <author>Debra Dalgleish</author>
  </authors>
  <commentList>
    <comment ref="B5" authorId="0" shapeId="0">
      <text>
        <r>
          <rPr>
            <b/>
            <sz val="10"/>
            <color indexed="81"/>
            <rFont val="Tahoma"/>
            <family val="2"/>
          </rPr>
          <t>Required cells are green,  optional cells are grey</t>
        </r>
      </text>
    </comment>
  </commentList>
</comments>
</file>

<file path=xl/sharedStrings.xml><?xml version="1.0" encoding="utf-8"?>
<sst xmlns="http://schemas.openxmlformats.org/spreadsheetml/2006/main" count="150" uniqueCount="112">
  <si>
    <t>Location</t>
  </si>
  <si>
    <t>Qty</t>
  </si>
  <si>
    <t>PartDesc</t>
  </si>
  <si>
    <t>Screw caps</t>
  </si>
  <si>
    <t>Door</t>
  </si>
  <si>
    <t>Spring</t>
  </si>
  <si>
    <t>Lens</t>
  </si>
  <si>
    <t>Blank cap</t>
  </si>
  <si>
    <t>Eject knob</t>
  </si>
  <si>
    <t>Lock lever</t>
  </si>
  <si>
    <t>Insulator</t>
  </si>
  <si>
    <t>Part</t>
  </si>
  <si>
    <t>Parts Orders Data Entry</t>
  </si>
  <si>
    <t>Entered By</t>
  </si>
  <si>
    <t>Price</t>
  </si>
  <si>
    <t>Total</t>
  </si>
  <si>
    <t>Entered</t>
  </si>
  <si>
    <t xml:space="preserve">of </t>
  </si>
  <si>
    <t>View Records</t>
  </si>
  <si>
    <t>Contextures Excel Tips Website</t>
  </si>
  <si>
    <t>Contextures Excel Blog</t>
  </si>
  <si>
    <t>Excel Pivot Tables Blog</t>
  </si>
  <si>
    <t>Contextures Recommends</t>
  </si>
  <si>
    <t>Jon Peltier's Excel Chart Utilities</t>
  </si>
  <si>
    <t>ExcelUser Dashboards</t>
  </si>
  <si>
    <t>Chandoo's Project Management Templates</t>
  </si>
  <si>
    <t>Select Order ID</t>
  </si>
  <si>
    <t>x</t>
  </si>
  <si>
    <t>Req'd</t>
  </si>
  <si>
    <t>Test</t>
  </si>
  <si>
    <t>Rec#</t>
  </si>
  <si>
    <t>HIDE COLUMNS</t>
  </si>
  <si>
    <t>HIDE COLUMN</t>
  </si>
  <si>
    <t>Select an existing record and edit it, then click Update to modify the record on the PartsData sheet.</t>
  </si>
  <si>
    <t>All required cells (green) must be filled in. Optional cells (grey) can be left blank. Conditional formatting controls the cell colour.</t>
  </si>
  <si>
    <t>Mandatory and Optional Entries</t>
  </si>
  <si>
    <t>Formula in column F tests for data in required cells.</t>
  </si>
  <si>
    <t>Hide columns E:F before using.</t>
  </si>
  <si>
    <t xml:space="preserve">In column E, mark any required cells with an X. </t>
  </si>
  <si>
    <t>Use the Navigation Buttons</t>
  </si>
  <si>
    <t>Click the arrows to view the first, previous, next or last record in the database.</t>
  </si>
  <si>
    <t>Select an Order ID from the drop down list in cell L3, to see that order</t>
  </si>
  <si>
    <t>Select a Specific Record</t>
  </si>
  <si>
    <t>Hide column M before using.</t>
  </si>
  <si>
    <t xml:space="preserve">In cell M3, the formula calculates the record number for the selected Order ID. </t>
  </si>
  <si>
    <t>Setup</t>
  </si>
  <si>
    <t>There is a named range -- OrderEntry -- in cells D5:D10 on the Input sheet.</t>
  </si>
  <si>
    <t>Change that range if you want to add more data entry cells for your workbook.</t>
  </si>
  <si>
    <t>OR -- Type a valid record number in the yellow cell, and press the Enter key.</t>
  </si>
  <si>
    <t>There are dynamic named ranges for the lists on the LookupLists sheet (used for the data validation drop downs on Input sheet)</t>
  </si>
  <si>
    <t>Update, Add or Delete Records</t>
  </si>
  <si>
    <t>OR -- Select an existing record and click Delete to remove the record on the PartsData sheet.</t>
  </si>
  <si>
    <t>30 Excel Functions in 30 Days eBook Kit</t>
  </si>
  <si>
    <t>Show Message</t>
  </si>
  <si>
    <t>Yes</t>
  </si>
  <si>
    <t>UserForms for Data Entry ebook Kit</t>
  </si>
  <si>
    <t>Excel Courses Online</t>
  </si>
  <si>
    <t>Chandoo's Excel VBA School</t>
  </si>
  <si>
    <t>Contextures Products</t>
  </si>
  <si>
    <t>Time-saving tools for pivot table power users</t>
  </si>
  <si>
    <t>Step by step instructions and videos</t>
  </si>
  <si>
    <t>Contextures Excel Tools Add-in</t>
  </si>
  <si>
    <t>Make instant backups, sort sheets, and many more tools</t>
  </si>
  <si>
    <t>Sample workbook and easy to follow user guide for key Excel functions</t>
  </si>
  <si>
    <t>Create complex charts with just a few clicks</t>
  </si>
  <si>
    <t>Templates and instructions for impressive dashboards</t>
  </si>
  <si>
    <t>Excel training by Mynda Treacy</t>
  </si>
  <si>
    <t>Become awesome in Excel VBA with Chandoo's online training</t>
  </si>
  <si>
    <t>Save time with Chandoo's templates for project management</t>
  </si>
  <si>
    <t>Contextures Sites &amp; News</t>
  </si>
  <si>
    <t>Contextures Excel Newsletter</t>
  </si>
  <si>
    <t>Weekly Excel tips, tutorials, videos, and news</t>
  </si>
  <si>
    <t>Hundreds of tutorials, tips and sample files</t>
  </si>
  <si>
    <t>Read the Excel tutorials and share your comments</t>
  </si>
  <si>
    <t>Pivot table tutorials and tips, with comments and questions</t>
  </si>
  <si>
    <t>NextID</t>
  </si>
  <si>
    <t>OR -- Click New, then enter a new parts order, and click Add, to add it to the PartsData sheet.</t>
  </si>
  <si>
    <t>HIDE</t>
  </si>
  <si>
    <t>In Db</t>
  </si>
  <si>
    <t>Batch ID</t>
  </si>
  <si>
    <t>Removed</t>
  </si>
  <si>
    <t>ID</t>
  </si>
  <si>
    <t>List</t>
  </si>
  <si>
    <t>MaxNum</t>
  </si>
  <si>
    <t>LocationList</t>
  </si>
  <si>
    <t>Loc</t>
  </si>
  <si>
    <t>Location*</t>
  </si>
  <si>
    <t>Loc Qty*</t>
  </si>
  <si>
    <t>Joe</t>
  </si>
  <si>
    <t>Lou</t>
  </si>
  <si>
    <t>Sam</t>
  </si>
  <si>
    <t>Mary</t>
  </si>
  <si>
    <t>F: quantity currently in each location (no removed date) is counted.</t>
  </si>
  <si>
    <t>D: sequential number is calculated, if location has fewer than MaxNum</t>
  </si>
  <si>
    <r>
      <t xml:space="preserve">I: available locations are listed, Dynamic range is used for the </t>
    </r>
    <r>
      <rPr>
        <b/>
        <sz val="11"/>
        <rFont val="Calibri"/>
        <family val="2"/>
      </rPr>
      <t>LocationList</t>
    </r>
    <r>
      <rPr>
        <sz val="11"/>
        <rFont val="Calibri"/>
        <family val="2"/>
      </rPr>
      <t xml:space="preserve"> named range.</t>
    </r>
  </si>
  <si>
    <t>On Input sheet, this list is used for Location drop down</t>
  </si>
  <si>
    <t>PivotPower Free Add-in</t>
  </si>
  <si>
    <t>Data Entry Search Popup</t>
  </si>
  <si>
    <t>Makes data entry easier when choosing from long list</t>
  </si>
  <si>
    <t>Data Entry Popup</t>
  </si>
  <si>
    <t>Select single or multiple items from a listbox, to enter in a single cell</t>
  </si>
  <si>
    <t>Parts Orders Data Entry -- Notes</t>
  </si>
  <si>
    <t>Get weekly Excel tips, tutorials, videos, and news</t>
  </si>
  <si>
    <t>Related Excel Product</t>
  </si>
  <si>
    <t>Named Excel Tables</t>
  </si>
  <si>
    <t>VLOOKUP Function</t>
  </si>
  <si>
    <t>Related tutorials</t>
  </si>
  <si>
    <t>Online Instruction Page</t>
  </si>
  <si>
    <t>Worksheet Data Entry and Update Form</t>
  </si>
  <si>
    <t>Notes</t>
  </si>
  <si>
    <t>See the workbook notes</t>
  </si>
  <si>
    <t>This example limits the current quantity in each location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</si>
</sst>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4" formatCode="_(&quot;$&quot;* #,##0.00_);_(&quot;$&quot;* \(#,##0.00\);_(&quot;$&quot;* &quot;-&quot;??_);_(@_)"/>
    <numFmt numFmtId="164" formatCode="&quot;$&quot;0.00"/>
    <numFmt numFmtId="165" formatCode="&quot;$&quot;#,##0.00"/>
    <numFmt numFmtId="166" formatCode="mm/dd/yyyy\ hh:mm:ss"/>
  </numFmts>
  <fonts count="36" x14ac:knownFonts="1">
    <font>
      <sz val="12"/>
      <name val="Arial Narrow"/>
    </font>
    <font>
      <sz val="12"/>
      <name val="Arial Narrow"/>
      <family val="2"/>
    </font>
    <font>
      <b/>
      <sz val="12"/>
      <name val="Arial Narrow"/>
      <family val="2"/>
    </font>
    <font>
      <sz val="8"/>
      <name val="Arial Narrow"/>
      <family val="2"/>
    </font>
    <font>
      <sz val="8"/>
      <name val="Verdana"/>
      <family val="2"/>
    </font>
    <font>
      <sz val="12"/>
      <name val="Arial Narrow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0"/>
      <color indexed="81"/>
      <name val="Tahoma"/>
      <family val="2"/>
    </font>
    <font>
      <u/>
      <sz val="11"/>
      <color indexed="12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0000"/>
      <name val="Arial Narrow"/>
      <family val="2"/>
    </font>
    <font>
      <sz val="11"/>
      <name val="Calibri"/>
      <family val="2"/>
    </font>
    <font>
      <b/>
      <sz val="11"/>
      <name val="Calibri"/>
      <family val="2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6"/>
      <color indexed="12"/>
      <name val="Calibri"/>
      <family val="2"/>
      <scheme val="minor"/>
    </font>
    <font>
      <b/>
      <sz val="16"/>
      <color rgb="FF0000FF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0000FF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E1F7E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4">
    <xf numFmtId="0" fontId="0" fillId="0" borderId="0"/>
    <xf numFmtId="0" fontId="6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5" borderId="0" applyNumberFormat="0" applyBorder="0" applyAlignment="0" applyProtection="0"/>
    <xf numFmtId="0" fontId="6" fillId="8" borderId="0" applyNumberFormat="0" applyBorder="0" applyAlignment="0" applyProtection="0"/>
    <xf numFmtId="0" fontId="6" fillId="11" borderId="0" applyNumberFormat="0" applyBorder="0" applyAlignment="0" applyProtection="0"/>
    <xf numFmtId="0" fontId="7" fillId="12" borderId="0" applyNumberFormat="0" applyBorder="0" applyAlignment="0" applyProtection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9" borderId="0" applyNumberFormat="0" applyBorder="0" applyAlignment="0" applyProtection="0"/>
    <xf numFmtId="0" fontId="8" fillId="3" borderId="0" applyNumberFormat="0" applyBorder="0" applyAlignment="0" applyProtection="0"/>
    <xf numFmtId="0" fontId="9" fillId="20" borderId="1" applyNumberFormat="0" applyAlignment="0" applyProtection="0"/>
    <xf numFmtId="0" fontId="10" fillId="21" borderId="2" applyNumberFormat="0" applyAlignment="0" applyProtection="0"/>
    <xf numFmtId="0" fontId="24" fillId="0" borderId="0" applyNumberFormat="0" applyFill="0" applyBorder="0" applyAlignment="0" applyProtection="0">
      <alignment horizontal="left" indent="1"/>
    </xf>
    <xf numFmtId="44" fontId="1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4" borderId="0" applyNumberFormat="0" applyBorder="0" applyAlignment="0" applyProtection="0"/>
    <xf numFmtId="0" fontId="13" fillId="0" borderId="3" applyNumberFormat="0" applyFill="0" applyAlignment="0" applyProtection="0"/>
    <xf numFmtId="0" fontId="14" fillId="0" borderId="4" applyNumberFormat="0" applyFill="0" applyAlignment="0" applyProtection="0"/>
    <xf numFmtId="0" fontId="15" fillId="0" borderId="5" applyNumberFormat="0" applyFill="0" applyAlignment="0" applyProtection="0"/>
    <xf numFmtId="0" fontId="15" fillId="0" borderId="0" applyNumberFormat="0" applyFill="0" applyBorder="0" applyAlignment="0" applyProtection="0"/>
    <xf numFmtId="0" fontId="16" fillId="7" borderId="1" applyNumberFormat="0" applyAlignment="0" applyProtection="0"/>
    <xf numFmtId="0" fontId="17" fillId="0" borderId="6" applyNumberFormat="0" applyFill="0" applyAlignment="0" applyProtection="0"/>
    <xf numFmtId="0" fontId="18" fillId="22" borderId="0" applyNumberFormat="0" applyBorder="0" applyAlignment="0" applyProtection="0"/>
    <xf numFmtId="0" fontId="5" fillId="23" borderId="7" applyNumberFormat="0" applyFont="0" applyAlignment="0" applyProtection="0"/>
    <xf numFmtId="0" fontId="19" fillId="20" borderId="8" applyNumberFormat="0" applyAlignment="0" applyProtection="0"/>
    <xf numFmtId="0" fontId="20" fillId="0" borderId="0" applyNumberFormat="0" applyFill="0" applyBorder="0" applyAlignment="0" applyProtection="0"/>
    <xf numFmtId="0" fontId="21" fillId="0" borderId="9" applyNumberFormat="0" applyFill="0" applyAlignment="0" applyProtection="0"/>
    <xf numFmtId="0" fontId="22" fillId="0" borderId="0" applyNumberFormat="0" applyFill="0" applyBorder="0" applyAlignment="0" applyProtection="0"/>
  </cellStyleXfs>
  <cellXfs count="65">
    <xf numFmtId="0" fontId="0" fillId="0" borderId="0" xfId="0"/>
    <xf numFmtId="0" fontId="2" fillId="0" borderId="0" xfId="0" applyFont="1"/>
    <xf numFmtId="0" fontId="4" fillId="0" borderId="0" xfId="0" applyFont="1" applyAlignment="1">
      <alignment horizontal="left" indent="1"/>
    </xf>
    <xf numFmtId="0" fontId="0" fillId="0" borderId="0" xfId="0"/>
    <xf numFmtId="0" fontId="0" fillId="0" borderId="0" xfId="0"/>
    <xf numFmtId="0" fontId="2" fillId="27" borderId="19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28" borderId="10" xfId="0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0" xfId="0" applyFont="1" applyFill="1" applyBorder="1"/>
    <xf numFmtId="0" fontId="0" fillId="27" borderId="0" xfId="0" applyFont="1" applyFill="1" applyBorder="1" applyAlignment="1">
      <alignment horizontal="center"/>
    </xf>
    <xf numFmtId="0" fontId="2" fillId="0" borderId="0" xfId="0" applyFont="1" applyAlignment="1">
      <alignment horizontal="right"/>
    </xf>
    <xf numFmtId="0" fontId="0" fillId="0" borderId="0" xfId="0" applyAlignment="1">
      <alignment horizontal="right"/>
    </xf>
    <xf numFmtId="0" fontId="28" fillId="0" borderId="0" xfId="0" applyFont="1" applyAlignment="1"/>
    <xf numFmtId="0" fontId="0" fillId="0" borderId="0" xfId="0" applyAlignment="1">
      <alignment horizontal="left"/>
    </xf>
    <xf numFmtId="0" fontId="25" fillId="0" borderId="0" xfId="0" applyFont="1" applyAlignment="1">
      <alignment horizontal="left"/>
    </xf>
    <xf numFmtId="0" fontId="24" fillId="0" borderId="0" xfId="28" applyAlignment="1"/>
    <xf numFmtId="0" fontId="26" fillId="0" borderId="0" xfId="0" applyFont="1" applyAlignment="1">
      <alignment horizontal="left"/>
    </xf>
    <xf numFmtId="0" fontId="24" fillId="0" borderId="0" xfId="28" applyFont="1" applyAlignment="1" applyProtection="1">
      <alignment horizontal="left"/>
    </xf>
    <xf numFmtId="0" fontId="24" fillId="0" borderId="0" xfId="28" applyFont="1" applyAlignment="1" applyProtection="1"/>
    <xf numFmtId="0" fontId="24" fillId="0" borderId="0" xfId="28" applyFont="1" applyAlignment="1"/>
    <xf numFmtId="0" fontId="30" fillId="0" borderId="0" xfId="0" applyFont="1"/>
    <xf numFmtId="0" fontId="31" fillId="0" borderId="0" xfId="0" applyFont="1"/>
    <xf numFmtId="0" fontId="30" fillId="0" borderId="0" xfId="0" applyFont="1" applyAlignment="1">
      <alignment horizontal="right"/>
    </xf>
    <xf numFmtId="0" fontId="30" fillId="0" borderId="0" xfId="0" applyFont="1" applyFill="1"/>
    <xf numFmtId="0" fontId="32" fillId="0" borderId="0" xfId="0" applyFont="1" applyFill="1"/>
    <xf numFmtId="0" fontId="30" fillId="0" borderId="0" xfId="0" applyFont="1" applyAlignment="1"/>
    <xf numFmtId="0" fontId="30" fillId="0" borderId="0" xfId="0" applyFont="1" applyAlignment="1">
      <alignment wrapText="1"/>
    </xf>
    <xf numFmtId="0" fontId="30" fillId="25" borderId="0" xfId="0" applyFont="1" applyFill="1" applyAlignment="1">
      <alignment horizontal="left"/>
    </xf>
    <xf numFmtId="0" fontId="30" fillId="25" borderId="0" xfId="0" applyFont="1" applyFill="1" applyAlignment="1">
      <alignment horizontal="center"/>
    </xf>
    <xf numFmtId="0" fontId="31" fillId="25" borderId="0" xfId="0" applyFont="1" applyFill="1" applyAlignment="1">
      <alignment horizontal="center"/>
    </xf>
    <xf numFmtId="0" fontId="31" fillId="0" borderId="0" xfId="0" applyFont="1" applyFill="1" applyAlignment="1">
      <alignment horizontal="center"/>
    </xf>
    <xf numFmtId="0" fontId="33" fillId="0" borderId="0" xfId="0" applyFont="1" applyFill="1"/>
    <xf numFmtId="0" fontId="30" fillId="24" borderId="10" xfId="0" applyFont="1" applyFill="1" applyBorder="1" applyAlignment="1">
      <alignment horizontal="center" vertical="center"/>
    </xf>
    <xf numFmtId="0" fontId="30" fillId="0" borderId="10" xfId="0" applyFont="1" applyFill="1" applyBorder="1" applyAlignment="1">
      <alignment horizontal="center"/>
    </xf>
    <xf numFmtId="0" fontId="30" fillId="27" borderId="10" xfId="0" applyFont="1" applyFill="1" applyBorder="1" applyAlignment="1">
      <alignment horizontal="center"/>
    </xf>
    <xf numFmtId="0" fontId="34" fillId="0" borderId="0" xfId="0" applyFont="1" applyFill="1" applyAlignment="1">
      <alignment horizontal="right"/>
    </xf>
    <xf numFmtId="0" fontId="34" fillId="0" borderId="0" xfId="0" applyFont="1" applyFill="1" applyAlignment="1">
      <alignment horizontal="left"/>
    </xf>
    <xf numFmtId="0" fontId="30" fillId="0" borderId="0" xfId="0" applyFont="1" applyFill="1" applyAlignment="1">
      <alignment horizontal="center"/>
    </xf>
    <xf numFmtId="0" fontId="31" fillId="0" borderId="0" xfId="0" applyFont="1" applyFill="1" applyAlignment="1">
      <alignment horizontal="right"/>
    </xf>
    <xf numFmtId="1" fontId="30" fillId="0" borderId="10" xfId="0" applyNumberFormat="1" applyFont="1" applyFill="1" applyBorder="1" applyAlignment="1" applyProtection="1">
      <alignment horizontal="left" indent="1"/>
      <protection locked="0"/>
    </xf>
    <xf numFmtId="0" fontId="30" fillId="26" borderId="10" xfId="0" applyFont="1" applyFill="1" applyBorder="1" applyAlignment="1">
      <alignment horizontal="center"/>
    </xf>
    <xf numFmtId="0" fontId="30" fillId="0" borderId="11" xfId="0" applyFont="1" applyFill="1" applyBorder="1"/>
    <xf numFmtId="0" fontId="31" fillId="0" borderId="16" xfId="0" applyFont="1" applyFill="1" applyBorder="1" applyAlignment="1">
      <alignment horizontal="center"/>
    </xf>
    <xf numFmtId="0" fontId="30" fillId="0" borderId="12" xfId="0" applyFont="1" applyFill="1" applyBorder="1"/>
    <xf numFmtId="0" fontId="30" fillId="0" borderId="10" xfId="0" applyFont="1" applyFill="1" applyBorder="1" applyAlignment="1" applyProtection="1">
      <alignment horizontal="left" indent="1"/>
      <protection locked="0"/>
    </xf>
    <xf numFmtId="0" fontId="30" fillId="24" borderId="18" xfId="0" applyFont="1" applyFill="1" applyBorder="1" applyAlignment="1" applyProtection="1">
      <alignment horizontal="right"/>
      <protection locked="0"/>
    </xf>
    <xf numFmtId="0" fontId="30" fillId="0" borderId="0" xfId="0" applyFont="1" applyFill="1" applyBorder="1" applyAlignment="1">
      <alignment horizontal="center"/>
    </xf>
    <xf numFmtId="0" fontId="30" fillId="0" borderId="17" xfId="0" applyFont="1" applyFill="1" applyBorder="1" applyAlignment="1">
      <alignment horizontal="left"/>
    </xf>
    <xf numFmtId="0" fontId="35" fillId="0" borderId="0" xfId="0" applyFont="1" applyFill="1" applyAlignment="1">
      <alignment horizontal="right"/>
    </xf>
    <xf numFmtId="0" fontId="30" fillId="0" borderId="13" xfId="0" applyFont="1" applyFill="1" applyBorder="1"/>
    <xf numFmtId="0" fontId="30" fillId="0" borderId="14" xfId="0" applyFont="1" applyFill="1" applyBorder="1"/>
    <xf numFmtId="0" fontId="30" fillId="0" borderId="15" xfId="0" applyFont="1" applyFill="1" applyBorder="1"/>
    <xf numFmtId="14" fontId="30" fillId="0" borderId="10" xfId="0" applyNumberFormat="1" applyFont="1" applyFill="1" applyBorder="1" applyAlignment="1" applyProtection="1">
      <alignment horizontal="left" indent="1"/>
      <protection locked="0"/>
    </xf>
    <xf numFmtId="164" fontId="30" fillId="0" borderId="10" xfId="29" applyNumberFormat="1" applyFont="1" applyFill="1" applyBorder="1" applyAlignment="1" applyProtection="1">
      <alignment horizontal="left" indent="1"/>
    </xf>
    <xf numFmtId="0" fontId="30" fillId="0" borderId="10" xfId="29" applyNumberFormat="1" applyFont="1" applyFill="1" applyBorder="1" applyAlignment="1" applyProtection="1">
      <alignment horizontal="left" indent="1"/>
    </xf>
    <xf numFmtId="0" fontId="35" fillId="0" borderId="0" xfId="0" applyFont="1" applyFill="1"/>
    <xf numFmtId="0" fontId="30" fillId="0" borderId="0" xfId="0" applyFont="1" applyFill="1" applyBorder="1"/>
    <xf numFmtId="165" fontId="30" fillId="0" borderId="0" xfId="0" applyNumberFormat="1" applyFont="1" applyFill="1" applyBorder="1"/>
    <xf numFmtId="166" fontId="30" fillId="0" borderId="0" xfId="0" applyNumberFormat="1" applyFont="1" applyFill="1" applyBorder="1"/>
    <xf numFmtId="14" fontId="30" fillId="0" borderId="0" xfId="0" applyNumberFormat="1" applyFont="1" applyFill="1" applyBorder="1"/>
    <xf numFmtId="0" fontId="30" fillId="0" borderId="0" xfId="0" applyNumberFormat="1" applyFont="1" applyFill="1" applyBorder="1"/>
    <xf numFmtId="166" fontId="30" fillId="0" borderId="0" xfId="0" applyNumberFormat="1" applyFont="1" applyFill="1"/>
    <xf numFmtId="165" fontId="30" fillId="0" borderId="0" xfId="0" applyNumberFormat="1" applyFont="1"/>
    <xf numFmtId="0" fontId="30" fillId="0" borderId="0" xfId="0" applyNumberFormat="1" applyFont="1"/>
  </cellXfs>
  <cellStyles count="44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Ctx_Hyperlink" xfId="28"/>
    <cellStyle name="Currency" xfId="29" builtinId="4"/>
    <cellStyle name="Explanatory Text" xfId="30" builtinId="53" customBuiltin="1"/>
    <cellStyle name="Good" xfId="31" builtinId="26" customBuiltin="1"/>
    <cellStyle name="Heading 1" xfId="32" builtinId="16" customBuiltin="1"/>
    <cellStyle name="Heading 2" xfId="33" builtinId="17" customBuiltin="1"/>
    <cellStyle name="Heading 3" xfId="34" builtinId="18" customBuiltin="1"/>
    <cellStyle name="Heading 4" xfId="35" builtinId="19" customBuiltin="1"/>
    <cellStyle name="Input" xfId="36" builtinId="20" customBuiltin="1"/>
    <cellStyle name="Linked Cell" xfId="37" builtinId="24" customBuiltin="1"/>
    <cellStyle name="Neutral" xfId="38" builtinId="28" customBuiltin="1"/>
    <cellStyle name="Normal" xfId="0" builtinId="0"/>
    <cellStyle name="Note" xfId="39" builtinId="10" customBuiltin="1"/>
    <cellStyle name="Output" xfId="40" builtinId="21" customBuiltin="1"/>
    <cellStyle name="Title" xfId="41" builtinId="15" customBuiltin="1"/>
    <cellStyle name="Total" xfId="42" builtinId="25" customBuiltin="1"/>
    <cellStyle name="Warning Text" xfId="43" builtinId="11" customBuiltin="1"/>
  </cellStyles>
  <dxfs count="16">
    <dxf>
      <fill>
        <patternFill patternType="solid">
          <fgColor indexed="64"/>
          <bgColor theme="0" tint="-0.14999847407452621"/>
        </patternFill>
      </fill>
    </dxf>
    <dxf>
      <fill>
        <patternFill patternType="solid">
          <fgColor indexed="64"/>
          <bgColor theme="0" tint="-0.14999847407452621"/>
        </patternFill>
      </fill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mm/dd/yyyy\ hh:mm:ss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</dxf>
    <dxf>
      <fill>
        <patternFill>
          <bgColor indexed="23"/>
        </patternFill>
      </fill>
    </dxf>
    <dxf>
      <fill>
        <patternFill>
          <bgColor indexed="4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DDDDDD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E1F7EA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contextures.com/index.html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129540</xdr:colOff>
      <xdr:row>0</xdr:row>
      <xdr:rowOff>68580</xdr:rowOff>
    </xdr:from>
    <xdr:ext cx="2150746" cy="377190"/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6F16D6B-5BC9-4EA8-A82D-B1D3EBE784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540" y="68580"/>
          <a:ext cx="2150746" cy="37719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10</xdr:row>
          <xdr:rowOff>133350</xdr:rowOff>
        </xdr:from>
        <xdr:to>
          <xdr:col>3</xdr:col>
          <xdr:colOff>1009650</xdr:colOff>
          <xdr:row>12</xdr:row>
          <xdr:rowOff>95250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2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 Narrow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200025</xdr:colOff>
          <xdr:row>7</xdr:row>
          <xdr:rowOff>123825</xdr:rowOff>
        </xdr:from>
        <xdr:to>
          <xdr:col>9</xdr:col>
          <xdr:colOff>523875</xdr:colOff>
          <xdr:row>8</xdr:row>
          <xdr:rowOff>142875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2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 Narrow"/>
                </a:rPr>
                <a:t>Go To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419100</xdr:colOff>
          <xdr:row>6</xdr:row>
          <xdr:rowOff>9525</xdr:rowOff>
        </xdr:from>
        <xdr:to>
          <xdr:col>8</xdr:col>
          <xdr:colOff>57150</xdr:colOff>
          <xdr:row>6</xdr:row>
          <xdr:rowOff>219075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2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 Narrow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6</xdr:row>
          <xdr:rowOff>9525</xdr:rowOff>
        </xdr:from>
        <xdr:to>
          <xdr:col>9</xdr:col>
          <xdr:colOff>247650</xdr:colOff>
          <xdr:row>6</xdr:row>
          <xdr:rowOff>219075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2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 Narrow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6</xdr:row>
          <xdr:rowOff>9525</xdr:rowOff>
        </xdr:from>
        <xdr:to>
          <xdr:col>7</xdr:col>
          <xdr:colOff>371475</xdr:colOff>
          <xdr:row>6</xdr:row>
          <xdr:rowOff>219075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2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 Narrow"/>
                </a:rPr>
                <a:t>| 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6</xdr:row>
          <xdr:rowOff>9525</xdr:rowOff>
        </xdr:from>
        <xdr:to>
          <xdr:col>9</xdr:col>
          <xdr:colOff>542925</xdr:colOff>
          <xdr:row>6</xdr:row>
          <xdr:rowOff>219075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2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 Narrow"/>
                </a:rPr>
                <a:t>&gt; |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400050</xdr:colOff>
          <xdr:row>10</xdr:row>
          <xdr:rowOff>133350</xdr:rowOff>
        </xdr:from>
        <xdr:to>
          <xdr:col>3</xdr:col>
          <xdr:colOff>352425</xdr:colOff>
          <xdr:row>12</xdr:row>
          <xdr:rowOff>95250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2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 Narrow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10</xdr:row>
          <xdr:rowOff>123825</xdr:rowOff>
        </xdr:from>
        <xdr:to>
          <xdr:col>8</xdr:col>
          <xdr:colOff>76200</xdr:colOff>
          <xdr:row>12</xdr:row>
          <xdr:rowOff>85725</xdr:rowOff>
        </xdr:to>
        <xdr:sp macro="" textlink="">
          <xdr:nvSpPr>
            <xdr:cNvPr id="2120" name="Button 72" hidden="1">
              <a:extLst>
                <a:ext uri="{63B3BB69-23CF-44E3-9099-C40C66FF867C}">
                  <a14:compatExt spid="_x0000_s2120"/>
                </a:ext>
                <a:ext uri="{FF2B5EF4-FFF2-40B4-BE49-F238E27FC236}">
                  <a16:creationId xmlns:a16="http://schemas.microsoft.com/office/drawing/2014/main" id="{00000000-0008-0000-0200-00004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 Narrow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1076325</xdr:colOff>
          <xdr:row>10</xdr:row>
          <xdr:rowOff>123825</xdr:rowOff>
        </xdr:from>
        <xdr:to>
          <xdr:col>7</xdr:col>
          <xdr:colOff>57150</xdr:colOff>
          <xdr:row>12</xdr:row>
          <xdr:rowOff>85725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2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 Narrow"/>
                </a:rPr>
                <a:t>New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1</xdr:row>
      <xdr:rowOff>0</xdr:rowOff>
    </xdr:from>
    <xdr:to>
      <xdr:col>6</xdr:col>
      <xdr:colOff>9525</xdr:colOff>
      <xdr:row>1</xdr:row>
      <xdr:rowOff>9525</xdr:rowOff>
    </xdr:to>
    <xdr:pic>
      <xdr:nvPicPr>
        <xdr:cNvPr id="1124" name="Picture 8" descr="c">
          <a:extLst>
            <a:ext uri="{FF2B5EF4-FFF2-40B4-BE49-F238E27FC236}">
              <a16:creationId xmlns:a16="http://schemas.microsoft.com/office/drawing/2014/main" id="{3FED8EAC-E7F3-45EC-8DB3-033A3EB708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43375" y="55245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38100</xdr:colOff>
      <xdr:row>0</xdr:row>
      <xdr:rowOff>76200</xdr:rowOff>
    </xdr:from>
    <xdr:to>
      <xdr:col>0</xdr:col>
      <xdr:colOff>1333500</xdr:colOff>
      <xdr:row>0</xdr:row>
      <xdr:rowOff>314325</xdr:rowOff>
    </xdr:to>
    <xdr:sp macro="[0]!GoInput" textlink="">
      <xdr:nvSpPr>
        <xdr:cNvPr id="1033" name="Rectangle 9">
          <a:extLst>
            <a:ext uri="{FF2B5EF4-FFF2-40B4-BE49-F238E27FC236}">
              <a16:creationId xmlns:a16="http://schemas.microsoft.com/office/drawing/2014/main" id="{0EEA7173-CCCC-4504-A76C-AE5A53360CAC}"/>
            </a:ext>
          </a:extLst>
        </xdr:cNvPr>
        <xdr:cNvSpPr>
          <a:spLocks noChangeArrowheads="1"/>
        </xdr:cNvSpPr>
      </xdr:nvSpPr>
      <xdr:spPr bwMode="auto">
        <a:xfrm>
          <a:off x="38100" y="76200"/>
          <a:ext cx="1295400" cy="238125"/>
        </a:xfrm>
        <a:prstGeom prst="rect">
          <a:avLst/>
        </a:prstGeom>
        <a:solidFill>
          <a:srgbClr val="E1F7EA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53882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CA" sz="1200" b="1" i="0" u="none" strike="noStrike" baseline="0">
              <a:solidFill>
                <a:srgbClr val="003300"/>
              </a:solidFill>
              <a:latin typeface="Arial Narrow"/>
            </a:rPr>
            <a:t>Input Sheet</a:t>
          </a:r>
        </a:p>
        <a:p>
          <a:pPr algn="ctr" rtl="0">
            <a:defRPr sz="1000"/>
          </a:pPr>
          <a:r>
            <a:rPr lang="en-CA" sz="1200" b="1" i="0" u="none" strike="noStrike" baseline="0">
              <a:solidFill>
                <a:srgbClr val="003300"/>
              </a:solidFill>
              <a:latin typeface="Arial Narrow"/>
            </a:rPr>
            <a:t>Parts Database</a:t>
          </a:r>
        </a:p>
      </xdr:txBody>
    </xdr:sp>
    <xdr:clientData fPrintsWithSheet="0"/>
  </xdr:twoCellAnchor>
  <xdr:twoCellAnchor editAs="oneCell">
    <xdr:from>
      <xdr:col>9</xdr:col>
      <xdr:colOff>0</xdr:colOff>
      <xdr:row>14</xdr:row>
      <xdr:rowOff>0</xdr:rowOff>
    </xdr:from>
    <xdr:to>
      <xdr:col>9</xdr:col>
      <xdr:colOff>9525</xdr:colOff>
      <xdr:row>14</xdr:row>
      <xdr:rowOff>9525</xdr:rowOff>
    </xdr:to>
    <xdr:pic>
      <xdr:nvPicPr>
        <xdr:cNvPr id="4" name="Picture 1" descr="c">
          <a:extLst>
            <a:ext uri="{FF2B5EF4-FFF2-40B4-BE49-F238E27FC236}">
              <a16:creationId xmlns:a16="http://schemas.microsoft.com/office/drawing/2014/main" id="{173AAD7B-B450-4138-977B-C5546A7694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0955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9</xdr:col>
      <xdr:colOff>0</xdr:colOff>
      <xdr:row>18</xdr:row>
      <xdr:rowOff>0</xdr:rowOff>
    </xdr:from>
    <xdr:ext cx="9525" cy="9525"/>
    <xdr:pic>
      <xdr:nvPicPr>
        <xdr:cNvPr id="5" name="Picture 1" descr="c">
          <a:extLst>
            <a:ext uri="{FF2B5EF4-FFF2-40B4-BE49-F238E27FC236}">
              <a16:creationId xmlns:a16="http://schemas.microsoft.com/office/drawing/2014/main" id="{42AA04E2-7E01-405F-8852-50B8583699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00" y="75247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9</xdr:col>
      <xdr:colOff>0</xdr:colOff>
      <xdr:row>19</xdr:row>
      <xdr:rowOff>0</xdr:rowOff>
    </xdr:from>
    <xdr:ext cx="9525" cy="9525"/>
    <xdr:pic>
      <xdr:nvPicPr>
        <xdr:cNvPr id="6" name="Picture 1" descr="c">
          <a:extLst>
            <a:ext uri="{FF2B5EF4-FFF2-40B4-BE49-F238E27FC236}">
              <a16:creationId xmlns:a16="http://schemas.microsoft.com/office/drawing/2014/main" id="{D63B3AF7-CB76-4380-B012-92F25FCD3F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00" y="75247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0</xdr:col>
      <xdr:colOff>9525</xdr:colOff>
      <xdr:row>1</xdr:row>
      <xdr:rowOff>9525</xdr:rowOff>
    </xdr:to>
    <xdr:pic>
      <xdr:nvPicPr>
        <xdr:cNvPr id="3185" name="Picture 1" descr="c">
          <a:extLst>
            <a:ext uri="{FF2B5EF4-FFF2-40B4-BE49-F238E27FC236}">
              <a16:creationId xmlns:a16="http://schemas.microsoft.com/office/drawing/2014/main" id="{F25B2CE8-28A3-4A07-B86E-B6EC015F00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0955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3</xdr:col>
      <xdr:colOff>9525</xdr:colOff>
      <xdr:row>1</xdr:row>
      <xdr:rowOff>9525</xdr:rowOff>
    </xdr:to>
    <xdr:pic>
      <xdr:nvPicPr>
        <xdr:cNvPr id="3186" name="Picture 2" descr="c">
          <a:extLst>
            <a:ext uri="{FF2B5EF4-FFF2-40B4-BE49-F238E27FC236}">
              <a16:creationId xmlns:a16="http://schemas.microsoft.com/office/drawing/2014/main" id="{ED7AC39D-9F1C-4D8C-8F93-6CF495961F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90725" y="20955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0</xdr:colOff>
      <xdr:row>3</xdr:row>
      <xdr:rowOff>0</xdr:rowOff>
    </xdr:from>
    <xdr:to>
      <xdr:col>3</xdr:col>
      <xdr:colOff>9525</xdr:colOff>
      <xdr:row>3</xdr:row>
      <xdr:rowOff>9525</xdr:rowOff>
    </xdr:to>
    <xdr:pic>
      <xdr:nvPicPr>
        <xdr:cNvPr id="3187" name="Picture 2" descr="c">
          <a:extLst>
            <a:ext uri="{FF2B5EF4-FFF2-40B4-BE49-F238E27FC236}">
              <a16:creationId xmlns:a16="http://schemas.microsoft.com/office/drawing/2014/main" id="{A49402C9-1339-4756-9C2F-B9AABD19F1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90725" y="6096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0</xdr:colOff>
      <xdr:row>5</xdr:row>
      <xdr:rowOff>0</xdr:rowOff>
    </xdr:from>
    <xdr:to>
      <xdr:col>3</xdr:col>
      <xdr:colOff>9525</xdr:colOff>
      <xdr:row>5</xdr:row>
      <xdr:rowOff>9525</xdr:rowOff>
    </xdr:to>
    <xdr:pic>
      <xdr:nvPicPr>
        <xdr:cNvPr id="3188" name="Picture 2" descr="c">
          <a:extLst>
            <a:ext uri="{FF2B5EF4-FFF2-40B4-BE49-F238E27FC236}">
              <a16:creationId xmlns:a16="http://schemas.microsoft.com/office/drawing/2014/main" id="{FCE4102A-EEBC-40CB-A3BD-C3506894F1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90725" y="100965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0</xdr:colOff>
      <xdr:row>7</xdr:row>
      <xdr:rowOff>0</xdr:rowOff>
    </xdr:from>
    <xdr:to>
      <xdr:col>3</xdr:col>
      <xdr:colOff>9525</xdr:colOff>
      <xdr:row>7</xdr:row>
      <xdr:rowOff>9525</xdr:rowOff>
    </xdr:to>
    <xdr:pic>
      <xdr:nvPicPr>
        <xdr:cNvPr id="3189" name="Picture 2" descr="c">
          <a:extLst>
            <a:ext uri="{FF2B5EF4-FFF2-40B4-BE49-F238E27FC236}">
              <a16:creationId xmlns:a16="http://schemas.microsoft.com/office/drawing/2014/main" id="{B8F8A031-C358-4B12-89FA-06ACCA0263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90725" y="14097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1</xdr:row>
      <xdr:rowOff>0</xdr:rowOff>
    </xdr:from>
    <xdr:to>
      <xdr:col>7</xdr:col>
      <xdr:colOff>9525</xdr:colOff>
      <xdr:row>1</xdr:row>
      <xdr:rowOff>9525</xdr:rowOff>
    </xdr:to>
    <xdr:pic>
      <xdr:nvPicPr>
        <xdr:cNvPr id="3190" name="Picture 2" descr="c">
          <a:extLst>
            <a:ext uri="{FF2B5EF4-FFF2-40B4-BE49-F238E27FC236}">
              <a16:creationId xmlns:a16="http://schemas.microsoft.com/office/drawing/2014/main" id="{BC713EF2-CB6C-47CB-9489-7C11C3919A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7075" y="20955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9525</xdr:colOff>
      <xdr:row>3</xdr:row>
      <xdr:rowOff>9525</xdr:rowOff>
    </xdr:to>
    <xdr:pic>
      <xdr:nvPicPr>
        <xdr:cNvPr id="3191" name="Picture 2" descr="c">
          <a:extLst>
            <a:ext uri="{FF2B5EF4-FFF2-40B4-BE49-F238E27FC236}">
              <a16:creationId xmlns:a16="http://schemas.microsoft.com/office/drawing/2014/main" id="{5F82AF1F-8A1D-4275-B92F-EDC895120B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7075" y="6096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5</xdr:row>
      <xdr:rowOff>0</xdr:rowOff>
    </xdr:from>
    <xdr:to>
      <xdr:col>7</xdr:col>
      <xdr:colOff>9525</xdr:colOff>
      <xdr:row>5</xdr:row>
      <xdr:rowOff>9525</xdr:rowOff>
    </xdr:to>
    <xdr:pic>
      <xdr:nvPicPr>
        <xdr:cNvPr id="3192" name="Picture 2" descr="c">
          <a:extLst>
            <a:ext uri="{FF2B5EF4-FFF2-40B4-BE49-F238E27FC236}">
              <a16:creationId xmlns:a16="http://schemas.microsoft.com/office/drawing/2014/main" id="{E4A303B6-5712-43AC-B80F-42700712C3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7075" y="100965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9525</xdr:colOff>
      <xdr:row>7</xdr:row>
      <xdr:rowOff>9525</xdr:rowOff>
    </xdr:to>
    <xdr:pic>
      <xdr:nvPicPr>
        <xdr:cNvPr id="3193" name="Picture 2" descr="c">
          <a:extLst>
            <a:ext uri="{FF2B5EF4-FFF2-40B4-BE49-F238E27FC236}">
              <a16:creationId xmlns:a16="http://schemas.microsoft.com/office/drawing/2014/main" id="{82CF401B-DF09-4CFC-B936-9016A19CB4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7075" y="14097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4" name="tblPartsData" displayName="tblPartsData" ref="A1:H17" totalsRowShown="0" headerRowDxfId="13" dataDxfId="12">
  <autoFilter ref="A1:H17"/>
  <tableColumns count="8">
    <tableColumn id="1" name="Entered" dataDxfId="11"/>
    <tableColumn id="2" name="Entered By" dataDxfId="10"/>
    <tableColumn id="3" name="Batch ID" dataDxfId="9"/>
    <tableColumn id="4" name="Part" dataDxfId="8"/>
    <tableColumn id="5" name="Location" dataDxfId="7"/>
    <tableColumn id="6" name="Removed" dataDxfId="6"/>
    <tableColumn id="7" name="Price" dataDxfId="5"/>
    <tableColumn id="8" name="Total" dataDxfId="4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id="1" name="tblParts" displayName="tblParts" ref="A1:B9" totalsRowShown="0">
  <autoFilter ref="A1:B9"/>
  <tableColumns count="2">
    <tableColumn id="1" name="PartDesc"/>
    <tableColumn id="2" name="Price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id="2" name="tblLocQty" displayName="tblLocQty" ref="D1:F19" totalsRowShown="0">
  <autoFilter ref="D1:F19"/>
  <tableColumns count="3">
    <tableColumn id="2" name="Loc" dataDxfId="3"/>
    <tableColumn id="3" name="Qty" dataDxfId="2"/>
    <tableColumn id="1" name="List" dataDxfId="1">
      <calculatedColumnFormula>IF(E2&lt;MaxNum,SUM(MAX(F$1:F1),1),"")</calculatedColumnFormula>
    </tableColumn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3" name="tblLocList" displayName="tblLocList" ref="H1:I19" totalsRowShown="0">
  <autoFilter ref="H1:I19"/>
  <tableColumns count="2">
    <tableColumn id="1" name="ID"/>
    <tableColumn id="2" name="LocationList" dataDxfId="0">
      <calculatedColumnFormula>IF(H2&gt;MAX($F$2:$F$19),"",INDEX($D$2:$D$19,MATCH(H2,$F$2:$F$19,0)))</calculatedColumnFormula>
    </tableColumn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www.contextures.com/xlExcelTable01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://www.contextures.com/xlFunctions02.html" TargetMode="External"/><Relationship Id="rId1" Type="http://schemas.openxmlformats.org/officeDocument/2006/relationships/hyperlink" Target="http://www.contextures.com/excelnewslettersignup.html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://www.contextures.com/datavalidationmultiselectpremium.html" TargetMode="External"/><Relationship Id="rId4" Type="http://schemas.openxmlformats.org/officeDocument/2006/relationships/hyperlink" Target="http://www.contextures.com/exceldataentryupdateform.html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://www.contextures.com/tiptech.html" TargetMode="External"/><Relationship Id="rId13" Type="http://schemas.openxmlformats.org/officeDocument/2006/relationships/hyperlink" Target="http://www.contextures.com/pivotpowerfreeaddin.html" TargetMode="External"/><Relationship Id="rId3" Type="http://schemas.openxmlformats.org/officeDocument/2006/relationships/hyperlink" Target="http://www.contextures.com/chandoovba" TargetMode="External"/><Relationship Id="rId7" Type="http://schemas.openxmlformats.org/officeDocument/2006/relationships/hyperlink" Target="http://www.contextures.com/exceltoolsaddin.html" TargetMode="External"/><Relationship Id="rId12" Type="http://schemas.openxmlformats.org/officeDocument/2006/relationships/hyperlink" Target="http://www.contextures.com/excelnewslettersignup.html" TargetMode="External"/><Relationship Id="rId2" Type="http://schemas.openxmlformats.org/officeDocument/2006/relationships/hyperlink" Target="http://www.contextures.com/chandoopmt" TargetMode="External"/><Relationship Id="rId1" Type="http://schemas.openxmlformats.org/officeDocument/2006/relationships/hyperlink" Target="http://www.contextures.com/peltiertech" TargetMode="External"/><Relationship Id="rId6" Type="http://schemas.openxmlformats.org/officeDocument/2006/relationships/hyperlink" Target="http://www.contextures.com/myndaxl" TargetMode="External"/><Relationship Id="rId11" Type="http://schemas.openxmlformats.org/officeDocument/2006/relationships/hyperlink" Target="http://www.contextures.com/datavalidationmultiselectpremium.html" TargetMode="External"/><Relationship Id="rId5" Type="http://schemas.openxmlformats.org/officeDocument/2006/relationships/hyperlink" Target="http://www.contextures.com/exceluserformsfordataentry.html" TargetMode="External"/><Relationship Id="rId15" Type="http://schemas.openxmlformats.org/officeDocument/2006/relationships/hyperlink" Target="http://www.contextures.com/dataentrysearchpopup.html" TargetMode="External"/><Relationship Id="rId10" Type="http://schemas.openxmlformats.org/officeDocument/2006/relationships/hyperlink" Target="http://blog.contextures.com/" TargetMode="External"/><Relationship Id="rId4" Type="http://schemas.openxmlformats.org/officeDocument/2006/relationships/hyperlink" Target="http://www.contextures.com/30excelfunctionsin30days01.html" TargetMode="External"/><Relationship Id="rId9" Type="http://schemas.openxmlformats.org/officeDocument/2006/relationships/hyperlink" Target="http://www.pivot-table.com/" TargetMode="External"/><Relationship Id="rId14" Type="http://schemas.openxmlformats.org/officeDocument/2006/relationships/hyperlink" Target="http://www.contextures.com/xluserdash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C20"/>
  <sheetViews>
    <sheetView showGridLines="0" workbookViewId="0">
      <pane ySplit="3" topLeftCell="A4" activePane="bottomLeft" state="frozen"/>
      <selection activeCell="A4" sqref="A4"/>
      <selection pane="bottomLeft" activeCell="C24" sqref="C24"/>
    </sheetView>
  </sheetViews>
  <sheetFormatPr defaultColWidth="9.140625" defaultRowHeight="15.75" x14ac:dyDescent="0.25"/>
  <cols>
    <col min="1" max="1" width="9.140625" style="21"/>
    <col min="2" max="2" width="3.5703125" style="21" customWidth="1"/>
    <col min="3" max="3" width="37.7109375" style="21" customWidth="1"/>
    <col min="4" max="16384" width="9.140625" style="21"/>
  </cols>
  <sheetData>
    <row r="1" spans="2:3" ht="7.5" customHeight="1" x14ac:dyDescent="0.25"/>
    <row r="4" spans="2:3" ht="9.75" customHeight="1" x14ac:dyDescent="0.25"/>
    <row r="5" spans="2:3" x14ac:dyDescent="0.25">
      <c r="C5" s="22" t="s">
        <v>107</v>
      </c>
    </row>
    <row r="6" spans="2:3" x14ac:dyDescent="0.25">
      <c r="B6" s="23"/>
      <c r="C6" s="18" t="s">
        <v>108</v>
      </c>
    </row>
    <row r="7" spans="2:3" ht="9.75" customHeight="1" x14ac:dyDescent="0.25">
      <c r="B7" s="23"/>
    </row>
    <row r="8" spans="2:3" x14ac:dyDescent="0.25">
      <c r="B8" s="23"/>
      <c r="C8" s="22" t="s">
        <v>106</v>
      </c>
    </row>
    <row r="9" spans="2:3" x14ac:dyDescent="0.25">
      <c r="B9" s="23"/>
      <c r="C9" s="19" t="s">
        <v>105</v>
      </c>
    </row>
    <row r="10" spans="2:3" x14ac:dyDescent="0.25">
      <c r="B10" s="23"/>
      <c r="C10" s="19" t="s">
        <v>104</v>
      </c>
    </row>
    <row r="11" spans="2:3" ht="9.75" customHeight="1" x14ac:dyDescent="0.25">
      <c r="B11" s="23"/>
    </row>
    <row r="12" spans="2:3" x14ac:dyDescent="0.25">
      <c r="B12" s="23"/>
      <c r="C12" s="22" t="s">
        <v>103</v>
      </c>
    </row>
    <row r="13" spans="2:3" x14ac:dyDescent="0.25">
      <c r="C13" s="20" t="s">
        <v>99</v>
      </c>
    </row>
    <row r="14" spans="2:3" ht="9.75" customHeight="1" x14ac:dyDescent="0.25"/>
    <row r="15" spans="2:3" x14ac:dyDescent="0.25">
      <c r="C15" s="22" t="s">
        <v>109</v>
      </c>
    </row>
    <row r="16" spans="2:3" x14ac:dyDescent="0.25">
      <c r="B16" s="21">
        <v>1</v>
      </c>
      <c r="C16" s="19" t="s">
        <v>110</v>
      </c>
    </row>
    <row r="17" spans="2:3" x14ac:dyDescent="0.25">
      <c r="B17" s="21">
        <v>2</v>
      </c>
      <c r="C17" s="24" t="s">
        <v>111</v>
      </c>
    </row>
    <row r="18" spans="2:3" ht="9.75" customHeight="1" x14ac:dyDescent="0.25"/>
    <row r="19" spans="2:3" x14ac:dyDescent="0.25">
      <c r="C19" s="22" t="s">
        <v>102</v>
      </c>
    </row>
    <row r="20" spans="2:3" x14ac:dyDescent="0.25">
      <c r="C20" s="18" t="s">
        <v>70</v>
      </c>
    </row>
  </sheetData>
  <hyperlinks>
    <hyperlink ref="C16" location="Notes!A1" display="See the workbook notes"/>
    <hyperlink ref="C20" r:id="rId1"/>
    <hyperlink ref="C9" r:id="rId2" display="http://www.contextures.com/xlFunctions02.html"/>
    <hyperlink ref="C10" r:id="rId3" display="http://www.contextures.com/xlExcelTable01.html"/>
    <hyperlink ref="C6" r:id="rId4"/>
    <hyperlink ref="C13" r:id="rId5" display="Data Validation Multi-Select Premium Kit"/>
  </hyperlinks>
  <pageMargins left="0.7" right="0.7" top="0.75" bottom="0.75" header="0.3" footer="0.3"/>
  <pageSetup orientation="portrait" r:id="rId6"/>
  <drawing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E27"/>
  <sheetViews>
    <sheetView showGridLines="0" workbookViewId="0">
      <selection activeCell="C15" sqref="C15"/>
    </sheetView>
  </sheetViews>
  <sheetFormatPr defaultRowHeight="15.75" x14ac:dyDescent="0.25"/>
  <cols>
    <col min="1" max="1" width="2.28515625" style="21" customWidth="1"/>
    <col min="2" max="2" width="5.140625" style="21" customWidth="1"/>
    <col min="3" max="16384" width="9.140625" style="21"/>
  </cols>
  <sheetData>
    <row r="1" spans="2:5" ht="9" customHeight="1" x14ac:dyDescent="0.25"/>
    <row r="2" spans="2:5" ht="21" x14ac:dyDescent="0.35">
      <c r="B2" s="25" t="s">
        <v>101</v>
      </c>
    </row>
    <row r="3" spans="2:5" ht="9" customHeight="1" x14ac:dyDescent="0.25"/>
    <row r="4" spans="2:5" x14ac:dyDescent="0.25">
      <c r="B4" s="22" t="s">
        <v>39</v>
      </c>
    </row>
    <row r="5" spans="2:5" x14ac:dyDescent="0.25">
      <c r="C5" s="21" t="s">
        <v>40</v>
      </c>
    </row>
    <row r="6" spans="2:5" x14ac:dyDescent="0.25">
      <c r="C6" s="26" t="s">
        <v>48</v>
      </c>
    </row>
    <row r="7" spans="2:5" ht="9" customHeight="1" x14ac:dyDescent="0.25"/>
    <row r="8" spans="2:5" x14ac:dyDescent="0.25">
      <c r="B8" s="22" t="s">
        <v>42</v>
      </c>
    </row>
    <row r="9" spans="2:5" x14ac:dyDescent="0.25">
      <c r="C9" s="21" t="s">
        <v>41</v>
      </c>
    </row>
    <row r="10" spans="2:5" x14ac:dyDescent="0.25">
      <c r="C10" s="21" t="s">
        <v>44</v>
      </c>
    </row>
    <row r="11" spans="2:5" x14ac:dyDescent="0.25">
      <c r="C11" s="21" t="s">
        <v>43</v>
      </c>
    </row>
    <row r="12" spans="2:5" ht="9" customHeight="1" x14ac:dyDescent="0.25"/>
    <row r="13" spans="2:5" x14ac:dyDescent="0.25">
      <c r="B13" s="22" t="s">
        <v>50</v>
      </c>
    </row>
    <row r="14" spans="2:5" x14ac:dyDescent="0.25">
      <c r="C14" s="21" t="s">
        <v>33</v>
      </c>
      <c r="E14" s="27"/>
    </row>
    <row r="15" spans="2:5" x14ac:dyDescent="0.25">
      <c r="C15" s="21" t="s">
        <v>51</v>
      </c>
      <c r="E15" s="27"/>
    </row>
    <row r="16" spans="2:5" x14ac:dyDescent="0.25">
      <c r="C16" s="21" t="s">
        <v>76</v>
      </c>
    </row>
    <row r="17" spans="2:3" ht="9" customHeight="1" x14ac:dyDescent="0.25"/>
    <row r="18" spans="2:3" x14ac:dyDescent="0.25">
      <c r="B18" s="22" t="s">
        <v>35</v>
      </c>
    </row>
    <row r="19" spans="2:3" x14ac:dyDescent="0.25">
      <c r="C19" s="26" t="s">
        <v>38</v>
      </c>
    </row>
    <row r="20" spans="2:3" x14ac:dyDescent="0.25">
      <c r="C20" s="21" t="s">
        <v>36</v>
      </c>
    </row>
    <row r="21" spans="2:3" x14ac:dyDescent="0.25">
      <c r="C21" s="21" t="s">
        <v>37</v>
      </c>
    </row>
    <row r="22" spans="2:3" x14ac:dyDescent="0.25">
      <c r="C22" s="21" t="s">
        <v>34</v>
      </c>
    </row>
    <row r="23" spans="2:3" ht="9" customHeight="1" x14ac:dyDescent="0.25"/>
    <row r="24" spans="2:3" x14ac:dyDescent="0.25">
      <c r="B24" s="22" t="s">
        <v>45</v>
      </c>
    </row>
    <row r="25" spans="2:3" x14ac:dyDescent="0.25">
      <c r="C25" s="21" t="s">
        <v>46</v>
      </c>
    </row>
    <row r="26" spans="2:3" x14ac:dyDescent="0.25">
      <c r="C26" s="21" t="s">
        <v>47</v>
      </c>
    </row>
    <row r="27" spans="2:3" x14ac:dyDescent="0.25">
      <c r="C27" s="21" t="s">
        <v>49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ksPartsDataEntry">
    <pageSetUpPr autoPageBreaks="0"/>
  </sheetPr>
  <dimension ref="B1:N15"/>
  <sheetViews>
    <sheetView showGridLines="0" workbookViewId="0">
      <selection activeCell="D17" sqref="D17"/>
    </sheetView>
  </sheetViews>
  <sheetFormatPr defaultRowHeight="15.75" x14ac:dyDescent="0.25"/>
  <cols>
    <col min="1" max="1" width="2.140625" style="24" customWidth="1"/>
    <col min="2" max="2" width="9.140625" style="24"/>
    <col min="3" max="3" width="0.42578125" style="24" customWidth="1"/>
    <col min="4" max="4" width="21.42578125" style="24" customWidth="1"/>
    <col min="5" max="5" width="4.140625" style="24" hidden="1" customWidth="1"/>
    <col min="6" max="6" width="3.5703125" style="24" hidden="1" customWidth="1"/>
    <col min="7" max="7" width="2.7109375" style="24" customWidth="1"/>
    <col min="8" max="8" width="9.140625" style="24"/>
    <col min="9" max="9" width="3.140625" style="24" bestFit="1" customWidth="1"/>
    <col min="10" max="10" width="9.140625" style="24"/>
    <col min="11" max="11" width="2.140625" style="24" customWidth="1"/>
    <col min="12" max="12" width="14.5703125" style="24" bestFit="1" customWidth="1"/>
    <col min="13" max="13" width="13.85546875" style="38" customWidth="1"/>
    <col min="14" max="16384" width="9.140625" style="24"/>
  </cols>
  <sheetData>
    <row r="1" spans="2:14" x14ac:dyDescent="0.25">
      <c r="E1" s="28" t="s">
        <v>31</v>
      </c>
      <c r="F1" s="29"/>
      <c r="M1" s="28" t="s">
        <v>32</v>
      </c>
      <c r="N1" s="30" t="s">
        <v>77</v>
      </c>
    </row>
    <row r="2" spans="2:14" ht="18.75" customHeight="1" x14ac:dyDescent="0.25">
      <c r="E2" s="29"/>
      <c r="F2" s="29"/>
      <c r="L2" s="31" t="s">
        <v>26</v>
      </c>
      <c r="M2" s="28" t="s">
        <v>30</v>
      </c>
      <c r="N2" s="29" t="s">
        <v>78</v>
      </c>
    </row>
    <row r="3" spans="2:14" ht="21" x14ac:dyDescent="0.35">
      <c r="D3" s="32" t="s">
        <v>12</v>
      </c>
      <c r="L3" s="33">
        <v>10106</v>
      </c>
      <c r="M3" s="34">
        <f ca="1">MATCH(OrderSel,OrderIDList,0)</f>
        <v>7</v>
      </c>
      <c r="N3" s="35" t="b">
        <f>AND(OrderID&lt;&gt;"",COUNTIF(PartsData!C:C,OrderID)&gt;0)</f>
        <v>1</v>
      </c>
    </row>
    <row r="4" spans="2:14" ht="10.5" customHeight="1" x14ac:dyDescent="0.25">
      <c r="E4" s="36" t="s">
        <v>28</v>
      </c>
      <c r="F4" s="37" t="s">
        <v>29</v>
      </c>
    </row>
    <row r="5" spans="2:14" ht="18" customHeight="1" x14ac:dyDescent="0.25">
      <c r="B5" s="39" t="s">
        <v>79</v>
      </c>
      <c r="D5" s="40">
        <v>10106</v>
      </c>
      <c r="E5" s="41" t="s">
        <v>27</v>
      </c>
      <c r="F5" s="34" t="str">
        <f>IF(E5="","",IF(D5="",1,""))</f>
        <v/>
      </c>
      <c r="G5" s="21"/>
      <c r="H5" s="42"/>
      <c r="I5" s="43" t="s">
        <v>18</v>
      </c>
      <c r="J5" s="44"/>
      <c r="L5" s="38" t="s">
        <v>53</v>
      </c>
    </row>
    <row r="6" spans="2:14" ht="18" customHeight="1" x14ac:dyDescent="0.25">
      <c r="B6" s="39" t="s">
        <v>11</v>
      </c>
      <c r="D6" s="45" t="s">
        <v>8</v>
      </c>
      <c r="E6" s="41" t="s">
        <v>27</v>
      </c>
      <c r="F6" s="34" t="str">
        <f>IF(E6="","",IF(D6="",1,""))</f>
        <v/>
      </c>
      <c r="H6" s="46">
        <v>7</v>
      </c>
      <c r="I6" s="47" t="s">
        <v>17</v>
      </c>
      <c r="J6" s="48">
        <f>COUNTA(PartsData!A:A)-1</f>
        <v>16</v>
      </c>
      <c r="L6" s="33" t="s">
        <v>54</v>
      </c>
    </row>
    <row r="7" spans="2:14" ht="18" customHeight="1" x14ac:dyDescent="0.25">
      <c r="B7" s="49" t="s">
        <v>86</v>
      </c>
      <c r="D7" s="45">
        <v>3</v>
      </c>
      <c r="E7" s="41" t="s">
        <v>27</v>
      </c>
      <c r="F7" s="34" t="str">
        <f>IF(E7="","",IF(D7="",1,""))</f>
        <v/>
      </c>
      <c r="H7" s="50"/>
      <c r="I7" s="51"/>
      <c r="J7" s="52"/>
    </row>
    <row r="8" spans="2:14" ht="18" customHeight="1" x14ac:dyDescent="0.25">
      <c r="B8" s="39" t="s">
        <v>80</v>
      </c>
      <c r="D8" s="53"/>
      <c r="E8" s="41"/>
      <c r="F8" s="34" t="str">
        <f>IF(E8="","",IF(D8="",1,""))</f>
        <v/>
      </c>
    </row>
    <row r="9" spans="2:14" ht="18" customHeight="1" x14ac:dyDescent="0.25">
      <c r="B9" s="39" t="s">
        <v>14</v>
      </c>
      <c r="D9" s="54">
        <f ca="1">IF(D6="","",VLOOKUP(D6,PartLU,2,0))</f>
        <v>7</v>
      </c>
    </row>
    <row r="10" spans="2:14" ht="18" customHeight="1" x14ac:dyDescent="0.25">
      <c r="B10" s="49" t="s">
        <v>87</v>
      </c>
      <c r="D10" s="55">
        <f>IF(D7="","",VLOOKUP(D7,tblLocQty[],3,0))</f>
        <v>2</v>
      </c>
    </row>
    <row r="12" spans="2:14" ht="6.75" customHeight="1" x14ac:dyDescent="0.25"/>
    <row r="14" spans="2:14" ht="4.5" customHeight="1" x14ac:dyDescent="0.25"/>
    <row r="15" spans="2:14" x14ac:dyDescent="0.25">
      <c r="B15" s="56" t="str">
        <f>"*Only " &amp; MaxNum &amp; " items can be stored in each location"</f>
        <v>*Only 4 items can be stored in each location</v>
      </c>
    </row>
  </sheetData>
  <phoneticPr fontId="3" type="noConversion"/>
  <conditionalFormatting sqref="D5:D8">
    <cfRule type="expression" dxfId="15" priority="1" stopIfTrue="1">
      <formula>E5&lt;&gt;""</formula>
    </cfRule>
    <cfRule type="expression" dxfId="14" priority="2" stopIfTrue="1">
      <formula>E5=""</formula>
    </cfRule>
  </conditionalFormatting>
  <dataValidations count="6">
    <dataValidation type="whole" allowBlank="1" showInputMessage="1" showErrorMessage="1" error="Enter a number between 1 and the total number of records." sqref="H6">
      <formula1>1</formula1>
      <formula2>J6</formula2>
    </dataValidation>
    <dataValidation type="whole" allowBlank="1" showInputMessage="1" showErrorMessage="1" sqref="D8 D5">
      <formula1>-50000</formula1>
      <formula2>50000</formula2>
    </dataValidation>
    <dataValidation type="list" allowBlank="1" showInputMessage="1" showErrorMessage="1" sqref="D7">
      <formula1>LocationList</formula1>
    </dataValidation>
    <dataValidation type="list" allowBlank="1" showInputMessage="1" showErrorMessage="1" sqref="D6">
      <formula1>PartList</formula1>
    </dataValidation>
    <dataValidation type="list" allowBlank="1" showInputMessage="1" showErrorMessage="1" sqref="L3">
      <formula1>OrderIDList</formula1>
    </dataValidation>
    <dataValidation type="list" allowBlank="1" showInputMessage="1" showErrorMessage="1" sqref="L6">
      <formula1>"Yes,No"</formula1>
    </dataValidation>
  </dataValidations>
  <pageMargins left="0.75" right="0.75" top="1" bottom="1" header="0.5" footer="0.5"/>
  <pageSetup orientation="portrait" r:id="rId1"/>
  <headerFooter alignWithMargins="0">
    <oddFooter>&amp;LDeveloped by Contextures Inc.&amp;Cwww.contextures.com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1" r:id="rId4" name="Button 13">
              <controlPr defaultSize="0" print="0" autoFill="0" autoPict="0" macro="[0]!UpdateLogWorksheet">
                <anchor moveWithCells="1">
                  <from>
                    <xdr:col>3</xdr:col>
                    <xdr:colOff>419100</xdr:colOff>
                    <xdr:row>10</xdr:row>
                    <xdr:rowOff>133350</xdr:rowOff>
                  </from>
                  <to>
                    <xdr:col>3</xdr:col>
                    <xdr:colOff>1009650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5" name="Button 14">
              <controlPr defaultSize="0" print="0" autoFill="0" autoPict="0" macro="[0]!GoInventory">
                <anchor moveWithCells="1">
                  <from>
                    <xdr:col>7</xdr:col>
                    <xdr:colOff>200025</xdr:colOff>
                    <xdr:row>7</xdr:row>
                    <xdr:rowOff>123825</xdr:rowOff>
                  </from>
                  <to>
                    <xdr:col>9</xdr:col>
                    <xdr:colOff>523875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6" name="Button 17">
              <controlPr defaultSize="0" print="0" autoFill="0" autoPict="0" macro="[0]!ViewLogUp">
                <anchor moveWithCells="1">
                  <from>
                    <xdr:col>7</xdr:col>
                    <xdr:colOff>419100</xdr:colOff>
                    <xdr:row>6</xdr:row>
                    <xdr:rowOff>9525</xdr:rowOff>
                  </from>
                  <to>
                    <xdr:col>8</xdr:col>
                    <xdr:colOff>57150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7" name="Button 18">
              <controlPr defaultSize="0" print="0" autoFill="0" autoPict="0" macro="[0]!ViewLogDown">
                <anchor moveWithCells="1">
                  <from>
                    <xdr:col>9</xdr:col>
                    <xdr:colOff>0</xdr:colOff>
                    <xdr:row>6</xdr:row>
                    <xdr:rowOff>9525</xdr:rowOff>
                  </from>
                  <to>
                    <xdr:col>9</xdr:col>
                    <xdr:colOff>247650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8" name="Button 23">
              <controlPr defaultSize="0" print="0" autoFill="0" autoPict="0" macro="[0]!ViewLogFirst">
                <anchor moveWithCells="1">
                  <from>
                    <xdr:col>7</xdr:col>
                    <xdr:colOff>123825</xdr:colOff>
                    <xdr:row>6</xdr:row>
                    <xdr:rowOff>9525</xdr:rowOff>
                  </from>
                  <to>
                    <xdr:col>7</xdr:col>
                    <xdr:colOff>371475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9" name="Button 24">
              <controlPr defaultSize="0" print="0" autoFill="0" autoPict="0" macro="[0]!ViewLogLast">
                <anchor moveWithCells="1">
                  <from>
                    <xdr:col>9</xdr:col>
                    <xdr:colOff>295275</xdr:colOff>
                    <xdr:row>6</xdr:row>
                    <xdr:rowOff>9525</xdr:rowOff>
                  </from>
                  <to>
                    <xdr:col>9</xdr:col>
                    <xdr:colOff>542925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0" name="Button 28">
              <controlPr defaultSize="0" print="0" autoFill="0" autoPict="0" macro="[0]!UpdateLogRecord">
                <anchor moveWithCells="1">
                  <from>
                    <xdr:col>1</xdr:col>
                    <xdr:colOff>400050</xdr:colOff>
                    <xdr:row>10</xdr:row>
                    <xdr:rowOff>133350</xdr:rowOff>
                  </from>
                  <to>
                    <xdr:col>3</xdr:col>
                    <xdr:colOff>352425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11" name="Button 72">
              <controlPr defaultSize="0" print="0" autoFill="0" autoPict="0" macro="[0]!DeleteLogRecord">
                <anchor moveWithCells="1">
                  <from>
                    <xdr:col>7</xdr:col>
                    <xdr:colOff>95250</xdr:colOff>
                    <xdr:row>10</xdr:row>
                    <xdr:rowOff>123825</xdr:rowOff>
                  </from>
                  <to>
                    <xdr:col>8</xdr:col>
                    <xdr:colOff>76200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12" name="Button 77">
              <controlPr defaultSize="0" print="0" autoFill="0" autoPict="0" macro="[0]!StartNewRecord">
                <anchor moveWithCells="1">
                  <from>
                    <xdr:col>3</xdr:col>
                    <xdr:colOff>1076325</xdr:colOff>
                    <xdr:row>10</xdr:row>
                    <xdr:rowOff>123825</xdr:rowOff>
                  </from>
                  <to>
                    <xdr:col>7</xdr:col>
                    <xdr:colOff>57150</xdr:colOff>
                    <xdr:row>12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PartsData"/>
  <dimension ref="A1:H17"/>
  <sheetViews>
    <sheetView workbookViewId="0">
      <pane ySplit="1" topLeftCell="A2" activePane="bottomLeft" state="frozen"/>
      <selection pane="bottomLeft" activeCell="C12" sqref="C12"/>
    </sheetView>
  </sheetViews>
  <sheetFormatPr defaultRowHeight="15.75" x14ac:dyDescent="0.25"/>
  <cols>
    <col min="1" max="1" width="20.7109375" style="21" bestFit="1" customWidth="1"/>
    <col min="2" max="2" width="14.7109375" style="21" bestFit="1" customWidth="1"/>
    <col min="3" max="3" width="10.5703125" style="21" customWidth="1"/>
    <col min="4" max="4" width="11" style="21" bestFit="1" customWidth="1"/>
    <col min="5" max="5" width="10.85546875" style="21" customWidth="1"/>
    <col min="6" max="6" width="11.42578125" style="21" customWidth="1"/>
    <col min="7" max="7" width="11.85546875" style="63" customWidth="1"/>
    <col min="8" max="8" width="12.28515625" style="63" customWidth="1"/>
    <col min="9" max="16384" width="9.140625" style="21"/>
  </cols>
  <sheetData>
    <row r="1" spans="1:8" s="22" customFormat="1" ht="43.5" customHeight="1" x14ac:dyDescent="0.25">
      <c r="A1" s="47" t="s">
        <v>16</v>
      </c>
      <c r="B1" s="47" t="s">
        <v>13</v>
      </c>
      <c r="C1" s="57" t="s">
        <v>79</v>
      </c>
      <c r="D1" s="57" t="s">
        <v>11</v>
      </c>
      <c r="E1" s="47" t="s">
        <v>0</v>
      </c>
      <c r="F1" s="47" t="s">
        <v>80</v>
      </c>
      <c r="G1" s="58" t="s">
        <v>14</v>
      </c>
      <c r="H1" s="58" t="s">
        <v>15</v>
      </c>
    </row>
    <row r="2" spans="1:8" x14ac:dyDescent="0.25">
      <c r="A2" s="59">
        <v>42898</v>
      </c>
      <c r="B2" s="57" t="s">
        <v>88</v>
      </c>
      <c r="C2" s="57">
        <v>10100</v>
      </c>
      <c r="D2" s="57" t="s">
        <v>9</v>
      </c>
      <c r="E2" s="57">
        <v>1</v>
      </c>
      <c r="F2" s="60">
        <v>42901</v>
      </c>
      <c r="G2" s="58">
        <v>12</v>
      </c>
      <c r="H2" s="61">
        <v>1</v>
      </c>
    </row>
    <row r="3" spans="1:8" x14ac:dyDescent="0.25">
      <c r="A3" s="59">
        <v>42898</v>
      </c>
      <c r="B3" s="57" t="s">
        <v>91</v>
      </c>
      <c r="C3" s="57">
        <v>10101</v>
      </c>
      <c r="D3" s="57" t="s">
        <v>8</v>
      </c>
      <c r="E3" s="57">
        <v>2</v>
      </c>
      <c r="F3" s="60"/>
      <c r="G3" s="58">
        <v>7</v>
      </c>
      <c r="H3" s="61">
        <v>3</v>
      </c>
    </row>
    <row r="4" spans="1:8" x14ac:dyDescent="0.25">
      <c r="A4" s="59">
        <v>42901.395798611113</v>
      </c>
      <c r="B4" s="57" t="s">
        <v>90</v>
      </c>
      <c r="C4" s="57">
        <v>10102</v>
      </c>
      <c r="D4" s="57" t="s">
        <v>9</v>
      </c>
      <c r="E4" s="57">
        <v>1</v>
      </c>
      <c r="F4" s="60">
        <v>42901</v>
      </c>
      <c r="G4" s="58">
        <v>12</v>
      </c>
      <c r="H4" s="61">
        <v>3</v>
      </c>
    </row>
    <row r="5" spans="1:8" x14ac:dyDescent="0.25">
      <c r="A5" s="59">
        <v>42899</v>
      </c>
      <c r="B5" s="57" t="s">
        <v>91</v>
      </c>
      <c r="C5" s="57">
        <v>10103</v>
      </c>
      <c r="D5" s="57" t="s">
        <v>5</v>
      </c>
      <c r="E5" s="57">
        <v>2</v>
      </c>
      <c r="F5" s="60"/>
      <c r="G5" s="58">
        <v>1</v>
      </c>
      <c r="H5" s="61">
        <v>4</v>
      </c>
    </row>
    <row r="6" spans="1:8" x14ac:dyDescent="0.25">
      <c r="A6" s="59">
        <v>42899</v>
      </c>
      <c r="B6" s="57" t="s">
        <v>90</v>
      </c>
      <c r="C6" s="57">
        <v>10104</v>
      </c>
      <c r="D6" s="57" t="s">
        <v>5</v>
      </c>
      <c r="E6" s="57">
        <v>1</v>
      </c>
      <c r="F6" s="60"/>
      <c r="G6" s="58">
        <v>1</v>
      </c>
      <c r="H6" s="61">
        <v>2</v>
      </c>
    </row>
    <row r="7" spans="1:8" x14ac:dyDescent="0.25">
      <c r="A7" s="59">
        <v>42899</v>
      </c>
      <c r="B7" s="57" t="s">
        <v>90</v>
      </c>
      <c r="C7" s="57">
        <v>10105</v>
      </c>
      <c r="D7" s="57" t="s">
        <v>6</v>
      </c>
      <c r="E7" s="57">
        <v>2</v>
      </c>
      <c r="F7" s="60"/>
      <c r="G7" s="58">
        <v>15</v>
      </c>
      <c r="H7" s="61">
        <v>3</v>
      </c>
    </row>
    <row r="8" spans="1:8" x14ac:dyDescent="0.25">
      <c r="A8" s="59">
        <v>42900</v>
      </c>
      <c r="B8" s="57" t="s">
        <v>91</v>
      </c>
      <c r="C8" s="57">
        <v>10106</v>
      </c>
      <c r="D8" s="57" t="s">
        <v>8</v>
      </c>
      <c r="E8" s="57">
        <v>3</v>
      </c>
      <c r="F8" s="60"/>
      <c r="G8" s="58">
        <v>7</v>
      </c>
      <c r="H8" s="61">
        <v>2</v>
      </c>
    </row>
    <row r="9" spans="1:8" x14ac:dyDescent="0.25">
      <c r="A9" s="59">
        <v>42900</v>
      </c>
      <c r="B9" s="57" t="s">
        <v>88</v>
      </c>
      <c r="C9" s="57">
        <v>10107</v>
      </c>
      <c r="D9" s="57" t="s">
        <v>6</v>
      </c>
      <c r="E9" s="57">
        <v>4</v>
      </c>
      <c r="F9" s="60"/>
      <c r="G9" s="58">
        <v>15</v>
      </c>
      <c r="H9" s="61">
        <v>3</v>
      </c>
    </row>
    <row r="10" spans="1:8" x14ac:dyDescent="0.25">
      <c r="A10" s="59">
        <v>42900</v>
      </c>
      <c r="B10" s="57" t="s">
        <v>88</v>
      </c>
      <c r="C10" s="57">
        <v>10108</v>
      </c>
      <c r="D10" s="57" t="s">
        <v>8</v>
      </c>
      <c r="E10" s="57">
        <v>1</v>
      </c>
      <c r="F10" s="60"/>
      <c r="G10" s="58">
        <v>7</v>
      </c>
      <c r="H10" s="61">
        <v>3</v>
      </c>
    </row>
    <row r="11" spans="1:8" x14ac:dyDescent="0.25">
      <c r="A11" s="59">
        <v>42900</v>
      </c>
      <c r="B11" s="57" t="s">
        <v>88</v>
      </c>
      <c r="C11" s="57">
        <v>10109</v>
      </c>
      <c r="D11" s="57" t="s">
        <v>7</v>
      </c>
      <c r="E11" s="57">
        <v>2</v>
      </c>
      <c r="F11" s="60"/>
      <c r="G11" s="58">
        <v>5</v>
      </c>
      <c r="H11" s="61">
        <v>2</v>
      </c>
    </row>
    <row r="12" spans="1:8" x14ac:dyDescent="0.25">
      <c r="A12" s="59">
        <v>42901</v>
      </c>
      <c r="B12" s="57" t="s">
        <v>90</v>
      </c>
      <c r="C12" s="57">
        <v>10110</v>
      </c>
      <c r="D12" s="57" t="s">
        <v>6</v>
      </c>
      <c r="E12" s="57">
        <v>3</v>
      </c>
      <c r="F12" s="60"/>
      <c r="G12" s="58">
        <v>15</v>
      </c>
      <c r="H12" s="61">
        <v>2</v>
      </c>
    </row>
    <row r="13" spans="1:8" x14ac:dyDescent="0.25">
      <c r="A13" s="59">
        <v>42901</v>
      </c>
      <c r="B13" s="57" t="s">
        <v>90</v>
      </c>
      <c r="C13" s="57">
        <v>10111</v>
      </c>
      <c r="D13" s="57" t="s">
        <v>3</v>
      </c>
      <c r="E13" s="57">
        <v>3</v>
      </c>
      <c r="F13" s="57"/>
      <c r="G13" s="58">
        <v>3</v>
      </c>
      <c r="H13" s="61">
        <v>3</v>
      </c>
    </row>
    <row r="14" spans="1:8" x14ac:dyDescent="0.25">
      <c r="A14" s="59">
        <v>42901</v>
      </c>
      <c r="B14" s="57" t="s">
        <v>90</v>
      </c>
      <c r="C14" s="57">
        <v>10112</v>
      </c>
      <c r="D14" s="57" t="s">
        <v>4</v>
      </c>
      <c r="E14" s="57">
        <v>4</v>
      </c>
      <c r="F14" s="57"/>
      <c r="G14" s="58">
        <v>75</v>
      </c>
      <c r="H14" s="61">
        <v>4</v>
      </c>
    </row>
    <row r="15" spans="1:8" x14ac:dyDescent="0.25">
      <c r="A15" s="59">
        <v>42901</v>
      </c>
      <c r="B15" s="57" t="s">
        <v>91</v>
      </c>
      <c r="C15" s="57">
        <v>10113</v>
      </c>
      <c r="D15" s="57" t="s">
        <v>10</v>
      </c>
      <c r="E15" s="57">
        <v>4</v>
      </c>
      <c r="F15" s="57"/>
      <c r="G15" s="58">
        <v>4</v>
      </c>
      <c r="H15" s="61">
        <v>4</v>
      </c>
    </row>
    <row r="16" spans="1:8" x14ac:dyDescent="0.25">
      <c r="A16" s="59">
        <v>42901</v>
      </c>
      <c r="B16" s="57" t="s">
        <v>89</v>
      </c>
      <c r="C16" s="57">
        <v>10114</v>
      </c>
      <c r="D16" s="57" t="s">
        <v>3</v>
      </c>
      <c r="E16" s="57">
        <v>4</v>
      </c>
      <c r="F16" s="57"/>
      <c r="G16" s="58">
        <v>3</v>
      </c>
      <c r="H16" s="61">
        <v>3</v>
      </c>
    </row>
    <row r="17" spans="1:8" x14ac:dyDescent="0.25">
      <c r="A17" s="62">
        <v>42901.397314814814</v>
      </c>
      <c r="B17" s="21" t="s">
        <v>90</v>
      </c>
      <c r="C17" s="21">
        <v>10115</v>
      </c>
      <c r="D17" s="21" t="s">
        <v>7</v>
      </c>
      <c r="E17" s="21">
        <v>1</v>
      </c>
      <c r="G17" s="63">
        <v>5</v>
      </c>
      <c r="H17" s="64">
        <v>2</v>
      </c>
    </row>
  </sheetData>
  <phoneticPr fontId="3" type="noConversion"/>
  <pageMargins left="0.75" right="0.75" top="1" bottom="1" header="0.5" footer="0.5"/>
  <pageSetup orientation="portrait" r:id="rId1"/>
  <headerFooter alignWithMargins="0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LookupLists"/>
  <dimension ref="A1:L19"/>
  <sheetViews>
    <sheetView workbookViewId="0">
      <selection activeCell="E2" sqref="E2"/>
    </sheetView>
  </sheetViews>
  <sheetFormatPr defaultRowHeight="15.75" x14ac:dyDescent="0.25"/>
  <cols>
    <col min="1" max="1" width="11" bestFit="1" customWidth="1"/>
    <col min="2" max="2" width="8.7109375" customWidth="1"/>
    <col min="3" max="3" width="5.85546875" customWidth="1"/>
    <col min="4" max="4" width="8.85546875" style="6" bestFit="1" customWidth="1"/>
    <col min="6" max="6" width="8.85546875" style="6" bestFit="1" customWidth="1"/>
    <col min="8" max="8" width="6.140625" style="6" customWidth="1"/>
    <col min="10" max="10" width="4" style="6" customWidth="1"/>
    <col min="11" max="11" width="8.5703125" style="6" customWidth="1"/>
    <col min="12" max="12" width="8.28515625" style="6" customWidth="1"/>
    <col min="13" max="13" width="13.85546875" customWidth="1"/>
    <col min="15" max="15" width="7.42578125" customWidth="1"/>
  </cols>
  <sheetData>
    <row r="1" spans="1:12" s="1" customFormat="1" ht="16.5" thickBot="1" x14ac:dyDescent="0.3">
      <c r="A1" s="8" t="s">
        <v>2</v>
      </c>
      <c r="B1" s="8" t="s">
        <v>14</v>
      </c>
      <c r="D1" s="8" t="s">
        <v>85</v>
      </c>
      <c r="E1" s="8" t="s">
        <v>1</v>
      </c>
      <c r="F1" s="8" t="s">
        <v>82</v>
      </c>
      <c r="H1" s="8" t="s">
        <v>81</v>
      </c>
      <c r="I1" s="8" t="s">
        <v>84</v>
      </c>
      <c r="K1" s="11" t="s">
        <v>75</v>
      </c>
      <c r="L1" s="5">
        <f>IFERROR(MAX(PartsData!C:C)+1,0)</f>
        <v>10116</v>
      </c>
    </row>
    <row r="2" spans="1:12" x14ac:dyDescent="0.25">
      <c r="A2" s="9" t="s">
        <v>4</v>
      </c>
      <c r="B2" s="9">
        <v>75</v>
      </c>
      <c r="D2" s="8">
        <v>1</v>
      </c>
      <c r="E2" s="10">
        <f>COUNTIFS(PartsData!E:E,D2,PartsData!F:F,"")</f>
        <v>3</v>
      </c>
      <c r="F2" s="10">
        <f>IF(E2&lt;MaxNum,SUM(MAX(F$1:F1),1),"")</f>
        <v>1</v>
      </c>
      <c r="H2" s="8">
        <v>1</v>
      </c>
      <c r="I2" s="10">
        <f t="shared" ref="I2:I19" si="0">IF(H2&gt;MAX($F$2:$F$19),"",INDEX($D$2:$D$19,MATCH(H2,$F$2:$F$19,0)))</f>
        <v>1</v>
      </c>
      <c r="J2"/>
      <c r="K2" s="12"/>
      <c r="L2"/>
    </row>
    <row r="3" spans="1:12" x14ac:dyDescent="0.25">
      <c r="A3" s="9" t="s">
        <v>5</v>
      </c>
      <c r="B3" s="9">
        <v>1</v>
      </c>
      <c r="D3" s="8">
        <v>2</v>
      </c>
      <c r="E3" s="10">
        <f>COUNTIFS(PartsData!E:E,D3,PartsData!F:F,"")</f>
        <v>4</v>
      </c>
      <c r="F3" s="10" t="str">
        <f>IF(E3&lt;MaxNum,SUM(MAX(F$1:F2),1),"")</f>
        <v/>
      </c>
      <c r="H3" s="8">
        <v>2</v>
      </c>
      <c r="I3" s="10">
        <f t="shared" si="0"/>
        <v>3</v>
      </c>
      <c r="J3"/>
      <c r="K3" s="11" t="s">
        <v>83</v>
      </c>
      <c r="L3" s="7">
        <v>4</v>
      </c>
    </row>
    <row r="4" spans="1:12" x14ac:dyDescent="0.25">
      <c r="A4" s="9" t="s">
        <v>6</v>
      </c>
      <c r="B4" s="9">
        <v>15</v>
      </c>
      <c r="D4" s="8">
        <v>3</v>
      </c>
      <c r="E4" s="10">
        <f>COUNTIFS(PartsData!E:E,D4,PartsData!F:F,"")</f>
        <v>3</v>
      </c>
      <c r="F4" s="10">
        <f>IF(E4&lt;MaxNum,SUM(MAX(F$1:F3),1),"")</f>
        <v>2</v>
      </c>
      <c r="H4" s="8">
        <v>3</v>
      </c>
      <c r="I4" s="10">
        <f t="shared" si="0"/>
        <v>5</v>
      </c>
      <c r="J4"/>
      <c r="K4"/>
      <c r="L4"/>
    </row>
    <row r="5" spans="1:12" x14ac:dyDescent="0.25">
      <c r="A5" s="9" t="s">
        <v>7</v>
      </c>
      <c r="B5" s="9">
        <v>5</v>
      </c>
      <c r="D5" s="8">
        <v>4</v>
      </c>
      <c r="E5" s="10">
        <f>COUNTIFS(PartsData!E:E,D5,PartsData!F:F,"")</f>
        <v>4</v>
      </c>
      <c r="F5" s="10" t="str">
        <f>IF(E5&lt;MaxNum,SUM(MAX(F$1:F4),1),"")</f>
        <v/>
      </c>
      <c r="H5" s="8">
        <v>4</v>
      </c>
      <c r="I5" s="10">
        <f t="shared" si="0"/>
        <v>6</v>
      </c>
      <c r="J5"/>
      <c r="K5"/>
      <c r="L5"/>
    </row>
    <row r="6" spans="1:12" x14ac:dyDescent="0.25">
      <c r="A6" s="9" t="s">
        <v>8</v>
      </c>
      <c r="B6" s="9">
        <v>7</v>
      </c>
      <c r="D6" s="8">
        <v>5</v>
      </c>
      <c r="E6" s="10">
        <f>COUNTIFS(PartsData!E:E,D6,PartsData!F:F,"")</f>
        <v>0</v>
      </c>
      <c r="F6" s="10">
        <f>IF(E6&lt;MaxNum,SUM(MAX(F$1:F5),1),"")</f>
        <v>3</v>
      </c>
      <c r="H6" s="8">
        <v>5</v>
      </c>
      <c r="I6" s="10">
        <f t="shared" si="0"/>
        <v>7</v>
      </c>
      <c r="J6"/>
      <c r="K6" s="13" t="s">
        <v>92</v>
      </c>
      <c r="L6"/>
    </row>
    <row r="7" spans="1:12" x14ac:dyDescent="0.25">
      <c r="A7" s="9" t="s">
        <v>9</v>
      </c>
      <c r="B7" s="9">
        <v>12</v>
      </c>
      <c r="D7" s="8">
        <v>6</v>
      </c>
      <c r="E7" s="10">
        <f>COUNTIFS(PartsData!E:E,D7,PartsData!F:F,"")</f>
        <v>0</v>
      </c>
      <c r="F7" s="10">
        <f>IF(E7&lt;MaxNum,SUM(MAX(F$1:F6),1),"")</f>
        <v>4</v>
      </c>
      <c r="H7" s="8">
        <v>6</v>
      </c>
      <c r="I7" s="10">
        <f t="shared" si="0"/>
        <v>8</v>
      </c>
      <c r="J7"/>
      <c r="K7" s="13" t="s">
        <v>93</v>
      </c>
      <c r="L7"/>
    </row>
    <row r="8" spans="1:12" x14ac:dyDescent="0.25">
      <c r="A8" s="9" t="s">
        <v>10</v>
      </c>
      <c r="B8" s="9">
        <v>4</v>
      </c>
      <c r="D8" s="8">
        <v>7</v>
      </c>
      <c r="E8" s="10">
        <f>COUNTIFS(PartsData!E:E,D8,PartsData!F:F,"")</f>
        <v>0</v>
      </c>
      <c r="F8" s="10">
        <f>IF(E8&lt;MaxNum,SUM(MAX(F$1:F7),1),"")</f>
        <v>5</v>
      </c>
      <c r="H8" s="8">
        <v>7</v>
      </c>
      <c r="I8" s="10">
        <f t="shared" si="0"/>
        <v>9</v>
      </c>
      <c r="J8"/>
      <c r="K8" s="13" t="s">
        <v>94</v>
      </c>
      <c r="L8"/>
    </row>
    <row r="9" spans="1:12" x14ac:dyDescent="0.25">
      <c r="A9" s="9" t="s">
        <v>3</v>
      </c>
      <c r="B9" s="9">
        <v>3</v>
      </c>
      <c r="D9" s="8">
        <v>8</v>
      </c>
      <c r="E9" s="10">
        <f>COUNTIFS(PartsData!E:E,D9,PartsData!F:F,"")</f>
        <v>0</v>
      </c>
      <c r="F9" s="10">
        <f>IF(E9&lt;MaxNum,SUM(MAX(F$1:F8),1),"")</f>
        <v>6</v>
      </c>
      <c r="H9" s="8">
        <v>8</v>
      </c>
      <c r="I9" s="10">
        <f t="shared" si="0"/>
        <v>10</v>
      </c>
      <c r="J9"/>
      <c r="K9" s="13" t="s">
        <v>95</v>
      </c>
      <c r="L9"/>
    </row>
    <row r="10" spans="1:12" x14ac:dyDescent="0.25">
      <c r="A10" s="2"/>
      <c r="D10" s="8">
        <v>9</v>
      </c>
      <c r="E10" s="10">
        <f>COUNTIFS(PartsData!E:E,D10,PartsData!F:F,"")</f>
        <v>0</v>
      </c>
      <c r="F10" s="10">
        <f>IF(E10&lt;MaxNum,SUM(MAX(F$1:F9),1),"")</f>
        <v>7</v>
      </c>
      <c r="H10" s="8">
        <v>9</v>
      </c>
      <c r="I10" s="10">
        <f t="shared" si="0"/>
        <v>11</v>
      </c>
      <c r="J10"/>
      <c r="L10"/>
    </row>
    <row r="11" spans="1:12" x14ac:dyDescent="0.25">
      <c r="D11" s="8">
        <v>10</v>
      </c>
      <c r="E11" s="10"/>
      <c r="F11" s="10">
        <f>IF(E11&lt;MaxNum,SUM(MAX(F$1:F10),1),"")</f>
        <v>8</v>
      </c>
      <c r="H11" s="8">
        <v>10</v>
      </c>
      <c r="I11" s="10">
        <f t="shared" si="0"/>
        <v>12</v>
      </c>
      <c r="J11"/>
      <c r="L11"/>
    </row>
    <row r="12" spans="1:12" x14ac:dyDescent="0.25">
      <c r="D12" s="8">
        <v>11</v>
      </c>
      <c r="E12" s="10"/>
      <c r="F12" s="10">
        <f>IF(E12&lt;MaxNum,SUM(MAX(F$1:F11),1),"")</f>
        <v>9</v>
      </c>
      <c r="H12" s="8">
        <v>11</v>
      </c>
      <c r="I12" s="10">
        <f t="shared" si="0"/>
        <v>13</v>
      </c>
      <c r="J12"/>
      <c r="K12"/>
      <c r="L12"/>
    </row>
    <row r="13" spans="1:12" x14ac:dyDescent="0.25">
      <c r="D13" s="8">
        <v>12</v>
      </c>
      <c r="E13" s="10"/>
      <c r="F13" s="10">
        <f>IF(E13&lt;MaxNum,SUM(MAX(F$1:F12),1),"")</f>
        <v>10</v>
      </c>
      <c r="H13" s="8">
        <v>12</v>
      </c>
      <c r="I13" s="10">
        <f t="shared" si="0"/>
        <v>14</v>
      </c>
      <c r="J13"/>
      <c r="K13"/>
      <c r="L13"/>
    </row>
    <row r="14" spans="1:12" x14ac:dyDescent="0.25">
      <c r="D14" s="8">
        <v>13</v>
      </c>
      <c r="E14" s="10"/>
      <c r="F14" s="10">
        <f>IF(E14&lt;MaxNum,SUM(MAX(F$1:F13),1),"")</f>
        <v>11</v>
      </c>
      <c r="H14" s="8">
        <v>13</v>
      </c>
      <c r="I14" s="10">
        <f t="shared" si="0"/>
        <v>15</v>
      </c>
      <c r="J14"/>
      <c r="K14"/>
      <c r="L14"/>
    </row>
    <row r="15" spans="1:12" x14ac:dyDescent="0.25">
      <c r="D15" s="8">
        <v>14</v>
      </c>
      <c r="E15" s="10"/>
      <c r="F15" s="10">
        <f>IF(E15&lt;MaxNum,SUM(MAX(F$1:F14),1),"")</f>
        <v>12</v>
      </c>
      <c r="H15" s="8">
        <v>14</v>
      </c>
      <c r="I15" s="10">
        <f t="shared" si="0"/>
        <v>16</v>
      </c>
      <c r="J15"/>
      <c r="K15"/>
      <c r="L15"/>
    </row>
    <row r="16" spans="1:12" x14ac:dyDescent="0.25">
      <c r="D16" s="8">
        <v>15</v>
      </c>
      <c r="E16" s="10"/>
      <c r="F16" s="10">
        <f>IF(E16&lt;MaxNum,SUM(MAX(F$1:F15),1),"")</f>
        <v>13</v>
      </c>
      <c r="H16" s="8">
        <v>15</v>
      </c>
      <c r="I16" s="10">
        <f t="shared" si="0"/>
        <v>17</v>
      </c>
      <c r="J16"/>
      <c r="K16"/>
      <c r="L16"/>
    </row>
    <row r="17" spans="4:12" x14ac:dyDescent="0.25">
      <c r="D17" s="8">
        <v>16</v>
      </c>
      <c r="E17" s="10"/>
      <c r="F17" s="10">
        <f>IF(E17&lt;MaxNum,SUM(MAX(F$1:F16),1),"")</f>
        <v>14</v>
      </c>
      <c r="H17" s="8">
        <v>16</v>
      </c>
      <c r="I17" s="10">
        <f t="shared" si="0"/>
        <v>18</v>
      </c>
      <c r="J17"/>
      <c r="K17"/>
      <c r="L17"/>
    </row>
    <row r="18" spans="4:12" x14ac:dyDescent="0.25">
      <c r="D18" s="8">
        <v>17</v>
      </c>
      <c r="E18" s="10"/>
      <c r="F18" s="10">
        <f>IF(E18&lt;MaxNum,SUM(MAX(F$1:F17),1),"")</f>
        <v>15</v>
      </c>
      <c r="H18" s="8">
        <v>17</v>
      </c>
      <c r="I18" s="10" t="str">
        <f t="shared" si="0"/>
        <v/>
      </c>
      <c r="J18"/>
      <c r="K18"/>
      <c r="L18"/>
    </row>
    <row r="19" spans="4:12" x14ac:dyDescent="0.25">
      <c r="D19" s="8">
        <v>18</v>
      </c>
      <c r="E19" s="10"/>
      <c r="F19" s="10">
        <f>IF(E19&lt;MaxNum,SUM(MAX(F$1:F18),1),"")</f>
        <v>16</v>
      </c>
      <c r="H19" s="8">
        <v>18</v>
      </c>
      <c r="I19" s="10" t="str">
        <f t="shared" si="0"/>
        <v/>
      </c>
      <c r="J19"/>
      <c r="K19"/>
      <c r="L19"/>
    </row>
  </sheetData>
  <phoneticPr fontId="3" type="noConversion"/>
  <pageMargins left="0.75" right="0.75" top="1" bottom="1" header="0.5" footer="0.5"/>
  <pageSetup orientation="portrait" r:id="rId1"/>
  <headerFooter alignWithMargins="0"/>
  <drawing r:id="rId2"/>
  <tableParts count="3">
    <tablePart r:id="rId3"/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30"/>
  <sheetViews>
    <sheetView showGridLines="0" tabSelected="1" workbookViewId="0">
      <selection activeCell="C24" sqref="C24"/>
    </sheetView>
  </sheetViews>
  <sheetFormatPr defaultColWidth="8.85546875" defaultRowHeight="15.75" x14ac:dyDescent="0.25"/>
  <cols>
    <col min="1" max="1" width="3" customWidth="1"/>
    <col min="2" max="2" width="41.42578125" style="14" customWidth="1"/>
    <col min="3" max="3" width="64" customWidth="1"/>
    <col min="4" max="16384" width="8.85546875" style="3"/>
  </cols>
  <sheetData>
    <row r="1" spans="2:4" x14ac:dyDescent="0.25">
      <c r="D1" s="4"/>
    </row>
    <row r="2" spans="2:4" ht="18.75" x14ac:dyDescent="0.3">
      <c r="B2" s="15" t="s">
        <v>58</v>
      </c>
      <c r="D2" s="4"/>
    </row>
    <row r="3" spans="2:4" x14ac:dyDescent="0.25">
      <c r="B3" s="16" t="s">
        <v>96</v>
      </c>
      <c r="C3" t="s">
        <v>59</v>
      </c>
      <c r="D3" s="4"/>
    </row>
    <row r="4" spans="2:4" x14ac:dyDescent="0.25">
      <c r="B4" s="16" t="s">
        <v>55</v>
      </c>
      <c r="C4" t="s">
        <v>60</v>
      </c>
      <c r="D4" s="4"/>
    </row>
    <row r="5" spans="2:4" x14ac:dyDescent="0.25">
      <c r="B5" s="16" t="s">
        <v>61</v>
      </c>
      <c r="C5" t="s">
        <v>62</v>
      </c>
      <c r="D5" s="4"/>
    </row>
    <row r="6" spans="2:4" x14ac:dyDescent="0.25">
      <c r="B6" s="16" t="s">
        <v>97</v>
      </c>
      <c r="C6" t="s">
        <v>98</v>
      </c>
      <c r="D6" s="4"/>
    </row>
    <row r="7" spans="2:4" x14ac:dyDescent="0.25">
      <c r="B7" s="16" t="s">
        <v>99</v>
      </c>
      <c r="C7" t="s">
        <v>100</v>
      </c>
      <c r="D7" s="4"/>
    </row>
    <row r="8" spans="2:4" x14ac:dyDescent="0.25">
      <c r="B8" s="16" t="s">
        <v>52</v>
      </c>
      <c r="C8" t="s">
        <v>63</v>
      </c>
      <c r="D8" s="4"/>
    </row>
    <row r="9" spans="2:4" x14ac:dyDescent="0.25">
      <c r="B9" s="17"/>
      <c r="D9" s="4"/>
    </row>
    <row r="10" spans="2:4" ht="18.75" x14ac:dyDescent="0.3">
      <c r="B10" s="15" t="s">
        <v>22</v>
      </c>
      <c r="D10" s="4"/>
    </row>
    <row r="11" spans="2:4" x14ac:dyDescent="0.25">
      <c r="B11" s="16" t="s">
        <v>23</v>
      </c>
      <c r="C11" t="s">
        <v>64</v>
      </c>
      <c r="D11" s="4"/>
    </row>
    <row r="12" spans="2:4" x14ac:dyDescent="0.25">
      <c r="B12" s="16" t="s">
        <v>24</v>
      </c>
      <c r="C12" t="s">
        <v>65</v>
      </c>
      <c r="D12" s="4"/>
    </row>
    <row r="13" spans="2:4" x14ac:dyDescent="0.25">
      <c r="B13" s="16" t="s">
        <v>56</v>
      </c>
      <c r="C13" t="s">
        <v>66</v>
      </c>
      <c r="D13" s="4"/>
    </row>
    <row r="14" spans="2:4" x14ac:dyDescent="0.25">
      <c r="B14" s="16" t="s">
        <v>57</v>
      </c>
      <c r="C14" t="s">
        <v>67</v>
      </c>
      <c r="D14" s="4"/>
    </row>
    <row r="15" spans="2:4" x14ac:dyDescent="0.25">
      <c r="B15" s="16" t="s">
        <v>25</v>
      </c>
      <c r="C15" t="s">
        <v>68</v>
      </c>
      <c r="D15" s="4"/>
    </row>
    <row r="16" spans="2:4" x14ac:dyDescent="0.25">
      <c r="B16" s="17"/>
      <c r="D16" s="4"/>
    </row>
    <row r="17" spans="2:4" ht="18.75" x14ac:dyDescent="0.3">
      <c r="B17" s="15" t="s">
        <v>69</v>
      </c>
      <c r="D17" s="4"/>
    </row>
    <row r="18" spans="2:4" x14ac:dyDescent="0.25">
      <c r="B18" s="16" t="s">
        <v>70</v>
      </c>
      <c r="C18" t="s">
        <v>71</v>
      </c>
      <c r="D18" s="4"/>
    </row>
    <row r="19" spans="2:4" x14ac:dyDescent="0.25">
      <c r="B19" s="16" t="s">
        <v>19</v>
      </c>
      <c r="C19" t="s">
        <v>72</v>
      </c>
      <c r="D19" s="4"/>
    </row>
    <row r="20" spans="2:4" x14ac:dyDescent="0.25">
      <c r="B20" s="16" t="s">
        <v>20</v>
      </c>
      <c r="C20" t="s">
        <v>73</v>
      </c>
      <c r="D20" s="4"/>
    </row>
    <row r="21" spans="2:4" x14ac:dyDescent="0.25">
      <c r="B21" s="16" t="s">
        <v>21</v>
      </c>
      <c r="C21" t="s">
        <v>74</v>
      </c>
      <c r="D21" s="4"/>
    </row>
    <row r="22" spans="2:4" x14ac:dyDescent="0.25">
      <c r="D22" s="4"/>
    </row>
    <row r="23" spans="2:4" x14ac:dyDescent="0.25">
      <c r="D23" s="4"/>
    </row>
    <row r="24" spans="2:4" x14ac:dyDescent="0.25">
      <c r="D24" s="4"/>
    </row>
    <row r="25" spans="2:4" x14ac:dyDescent="0.25">
      <c r="D25" s="4"/>
    </row>
    <row r="26" spans="2:4" x14ac:dyDescent="0.25">
      <c r="D26" s="4"/>
    </row>
    <row r="27" spans="2:4" x14ac:dyDescent="0.25">
      <c r="D27" s="4"/>
    </row>
    <row r="28" spans="2:4" x14ac:dyDescent="0.25">
      <c r="D28" s="4"/>
    </row>
    <row r="29" spans="2:4" x14ac:dyDescent="0.25">
      <c r="D29" s="4"/>
    </row>
    <row r="30" spans="2:4" x14ac:dyDescent="0.25">
      <c r="D30" s="4"/>
    </row>
  </sheetData>
  <hyperlinks>
    <hyperlink ref="B11" r:id="rId1" tooltip="Jon Peltier's Excel Chart Utilities"/>
    <hyperlink ref="B15" r:id="rId2" tooltip="Chandoo's Project Management Templates"/>
    <hyperlink ref="B14" r:id="rId3" tooltip="Chandoo's Excel VBA School"/>
    <hyperlink ref="B8" r:id="rId4" tooltip="30 Excel Functions in 30 Days eBook kit"/>
    <hyperlink ref="B4" r:id="rId5" tooltip="UserForms for Data Entry ebook Kit"/>
    <hyperlink ref="B13" r:id="rId6" tooltip="Excel Courses Online"/>
    <hyperlink ref="B5" r:id="rId7"/>
    <hyperlink ref="B19" r:id="rId8"/>
    <hyperlink ref="B21" r:id="rId9"/>
    <hyperlink ref="B20" r:id="rId10"/>
    <hyperlink ref="B7" r:id="rId11" display="Data Validation Multi-Select Premium Kit"/>
    <hyperlink ref="B18" r:id="rId12"/>
    <hyperlink ref="B3" r:id="rId13" tooltip="PivotPower Premium Add-in"/>
    <hyperlink ref="B12" r:id="rId14" tooltip="ExcelUser Dashboards"/>
    <hyperlink ref="B6" r:id="rId15"/>
  </hyperlinks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Instructions</vt:lpstr>
      <vt:lpstr>Notes</vt:lpstr>
      <vt:lpstr>Input</vt:lpstr>
      <vt:lpstr>PartsData</vt:lpstr>
      <vt:lpstr>LookupLists</vt:lpstr>
      <vt:lpstr>MyLinks</vt:lpstr>
      <vt:lpstr>CheckID</vt:lpstr>
      <vt:lpstr>CurrRec</vt:lpstr>
      <vt:lpstr>DataEntryClear</vt:lpstr>
      <vt:lpstr>IDNum</vt:lpstr>
      <vt:lpstr>MaxNum</vt:lpstr>
      <vt:lpstr>NextID</vt:lpstr>
      <vt:lpstr>OrderEntry</vt:lpstr>
      <vt:lpstr>OrderID</vt:lpstr>
      <vt:lpstr>OrderSel</vt:lpstr>
      <vt:lpstr>SelRec</vt:lpstr>
      <vt:lpstr>ShowMsg</vt:lpstr>
    </vt:vector>
  </TitlesOfParts>
  <Company>Contextures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Debra Dalgleish</dc:creator>
  <cp:lastModifiedBy>Michael Wang</cp:lastModifiedBy>
  <cp:lastPrinted>2009-11-05T16:10:15Z</cp:lastPrinted>
  <dcterms:created xsi:type="dcterms:W3CDTF">2003-08-10T01:51:48Z</dcterms:created>
  <dcterms:modified xsi:type="dcterms:W3CDTF">2017-07-27T20:33:03Z</dcterms:modified>
</cp:coreProperties>
</file>