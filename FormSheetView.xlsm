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perimental\Excel\"/>
    </mc:Choice>
  </mc:AlternateContent>
  <bookViews>
    <workbookView xWindow="360" yWindow="945" windowWidth="14280" windowHeight="8175"/>
  </bookViews>
  <sheets>
    <sheet name="Input" sheetId="2" r:id="rId1"/>
    <sheet name="PartsData" sheetId="1" r:id="rId2"/>
    <sheet name="LookupLists" sheetId="3" r:id="rId3"/>
    <sheet name="MyLinks" sheetId="9" r:id="rId4"/>
  </sheets>
  <definedNames>
    <definedName name="_xlnm._FilterDatabase" localSheetId="1" hidden="1">PartsData!$C$1:$F$1</definedName>
    <definedName name="CurrRec">Input!$H$7</definedName>
    <definedName name="LocationList">OFFSET(LookupLists!$D$2,0,0,COUNTA(LookupLists!$D:$D)-1,1)</definedName>
    <definedName name="PartList">OFFSET(LookupLists!$A$2,0,0,COUNTA(LookupLists!$A:$A)-1,1)</definedName>
    <definedName name="PartLU">OFFSET(PartList,,,,2)</definedName>
    <definedName name="PartsDatabase">OFFSET(PartsData!$A$1,0,0,COUNTA(PartsData!$A:$A),6)</definedName>
  </definedNames>
  <calcPr calcId="171027"/>
</workbook>
</file>

<file path=xl/calcChain.xml><?xml version="1.0" encoding="utf-8"?>
<calcChain xmlns="http://schemas.openxmlformats.org/spreadsheetml/2006/main">
  <c r="J7" i="2" l="1"/>
  <c r="D11" i="2"/>
  <c r="D13" i="2" s="1"/>
</calcChain>
</file>

<file path=xl/sharedStrings.xml><?xml version="1.0" encoding="utf-8"?>
<sst xmlns="http://schemas.openxmlformats.org/spreadsheetml/2006/main" count="84" uniqueCount="62">
  <si>
    <t>Location</t>
  </si>
  <si>
    <t>Qty</t>
  </si>
  <si>
    <t>PartDesc</t>
  </si>
  <si>
    <t>Screw caps</t>
  </si>
  <si>
    <t>Door</t>
  </si>
  <si>
    <t>Spring</t>
  </si>
  <si>
    <t>Lens</t>
  </si>
  <si>
    <t>Blank cap</t>
  </si>
  <si>
    <t>Eject knob</t>
  </si>
  <si>
    <t>Lock lever</t>
  </si>
  <si>
    <t>Insulator</t>
  </si>
  <si>
    <t>Warehouse</t>
  </si>
  <si>
    <t>Shop</t>
  </si>
  <si>
    <t>Store1</t>
  </si>
  <si>
    <t>Store2</t>
  </si>
  <si>
    <t>Part</t>
  </si>
  <si>
    <t>Parts Orders Data Entry</t>
  </si>
  <si>
    <t>Entered By</t>
  </si>
  <si>
    <t>Item</t>
  </si>
  <si>
    <t>Price</t>
  </si>
  <si>
    <t>Total</t>
  </si>
  <si>
    <t>Entered</t>
  </si>
  <si>
    <t>Debra Dalgleish</t>
  </si>
  <si>
    <t xml:space="preserve">of </t>
  </si>
  <si>
    <t>View Records</t>
  </si>
  <si>
    <t>Contextures Excel Tips Website</t>
  </si>
  <si>
    <t>Contextures Excel Blog</t>
  </si>
  <si>
    <t>Excel Pivot Tables Blog</t>
  </si>
  <si>
    <t>Debra's Pivot Table Books on Amazon</t>
  </si>
  <si>
    <t>Contextures Recommends</t>
  </si>
  <si>
    <t>Jon Peltier's Excel Chart Utilities</t>
  </si>
  <si>
    <t>ExcelUser Dashboards</t>
  </si>
  <si>
    <t>Chandoo's Project Management Templates</t>
  </si>
  <si>
    <t>30 Excel Functions in 30 Days eBook Kit</t>
  </si>
  <si>
    <t>PivotPower Premium Add-in</t>
  </si>
  <si>
    <t>UserForms for Data Entry ebook Kit</t>
  </si>
  <si>
    <t>Excel Courses Online</t>
  </si>
  <si>
    <t>Chandoo's Excel VBA School</t>
  </si>
  <si>
    <t>Contextures Products</t>
  </si>
  <si>
    <t>Time-saving tools for pivot table power users</t>
  </si>
  <si>
    <t>Step by step instructions and videos</t>
  </si>
  <si>
    <t>Contextures Excel Tools Add-in</t>
  </si>
  <si>
    <t>Make instant backups, sort sheets, and many more tools</t>
  </si>
  <si>
    <t>Data Validation Multi-Select Premium Kit</t>
  </si>
  <si>
    <t>Select multiple items from a listbox, to enter in a single cell</t>
  </si>
  <si>
    <t>Sample workbook and easy to follow user guide for key Excel functions</t>
  </si>
  <si>
    <t>Create complex charts with just a few clicks</t>
  </si>
  <si>
    <t>Templates and instructions for impressive dashboards</t>
  </si>
  <si>
    <t>Xtreme Pivot Table Course</t>
  </si>
  <si>
    <t>Video training from beginner to advanced topics</t>
  </si>
  <si>
    <t>Power Pivot University</t>
  </si>
  <si>
    <t>Online course by Power Pivot expert Rob Collie</t>
  </si>
  <si>
    <t>Excel training by Mynda Treacy</t>
  </si>
  <si>
    <t>Become awesome in Excel VBA with Chandoo's online training</t>
  </si>
  <si>
    <t>Save time with Chandoo's templates for project management</t>
  </si>
  <si>
    <t>Contextures Sites &amp; News</t>
  </si>
  <si>
    <t>Contextures Excel Newsletter</t>
  </si>
  <si>
    <t>Weekly Excel tips, tutorials, videos, and news</t>
  </si>
  <si>
    <t>Hundreds of tutorials, tips and sample files</t>
  </si>
  <si>
    <t>Read the Excel tutorials and share your comments</t>
  </si>
  <si>
    <t>Pivot table tutorials and tips, with comments and questions</t>
  </si>
  <si>
    <t>Pivot table books for Excel 2007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</si>
</sst>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0.00"/>
    <numFmt numFmtId="165" formatCode="mm/dd/yyyy\ hh:mm:ss"/>
  </numFmts>
  <fonts count="15" x14ac:knownFonts="1">
    <font>
      <sz val="12"/>
      <name val="Arial Narrow"/>
    </font>
    <font>
      <sz val="12"/>
      <name val="Arial Narrow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12"/>
      <color indexed="12"/>
      <name val="Arial Narrow"/>
      <family val="2"/>
    </font>
    <font>
      <sz val="8"/>
      <name val="Verdana"/>
      <family val="2"/>
    </font>
    <font>
      <sz val="12"/>
      <name val="Arial Narrow"/>
      <family val="2"/>
    </font>
    <font>
      <b/>
      <sz val="16"/>
      <color indexed="12"/>
      <name val="Arial Narrow"/>
      <family val="2"/>
    </font>
    <font>
      <sz val="10"/>
      <name val="Arial"/>
      <family val="2"/>
    </font>
    <font>
      <u/>
      <sz val="11"/>
      <color indexed="12"/>
      <name val="Arial Narrow"/>
      <family val="2"/>
    </font>
    <font>
      <u/>
      <sz val="11"/>
      <color indexed="12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10" fillId="0" borderId="0" applyNumberFormat="0" applyFill="0" applyBorder="0" applyAlignment="0" applyProtection="0">
      <alignment horizontal="left" indent="1"/>
    </xf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8" fillId="0" borderId="0"/>
  </cellStyleXfs>
  <cellXfs count="41">
    <xf numFmtId="0" fontId="0" fillId="0" borderId="0" xfId="0"/>
    <xf numFmtId="0" fontId="2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 indent="1"/>
    </xf>
    <xf numFmtId="0" fontId="4" fillId="0" borderId="0" xfId="0" applyFont="1"/>
    <xf numFmtId="0" fontId="0" fillId="0" borderId="0" xfId="0" applyFill="1"/>
    <xf numFmtId="0" fontId="0" fillId="0" borderId="0" xfId="0" applyFill="1" applyAlignment="1">
      <alignment horizontal="left" indent="1"/>
    </xf>
    <xf numFmtId="0" fontId="0" fillId="0" borderId="0" xfId="0" applyFill="1" applyBorder="1" applyAlignment="1">
      <alignment horizontal="left" indent="1"/>
    </xf>
    <xf numFmtId="2" fontId="0" fillId="0" borderId="0" xfId="0" applyNumberFormat="1" applyFill="1" applyAlignment="1">
      <alignment horizontal="left" indent="1"/>
    </xf>
    <xf numFmtId="164" fontId="0" fillId="0" borderId="0" xfId="0" applyNumberFormat="1" applyFill="1" applyAlignment="1">
      <alignment horizontal="left" indent="1"/>
    </xf>
    <xf numFmtId="164" fontId="0" fillId="0" borderId="1" xfId="2" applyNumberFormat="1" applyFont="1" applyFill="1" applyBorder="1" applyAlignment="1" applyProtection="1">
      <alignment horizontal="left" indent="1"/>
    </xf>
    <xf numFmtId="0" fontId="0" fillId="2" borderId="1" xfId="0" applyFill="1" applyBorder="1" applyAlignment="1" applyProtection="1">
      <alignment horizontal="left" indent="1"/>
      <protection locked="0"/>
    </xf>
    <xf numFmtId="1" fontId="0" fillId="2" borderId="1" xfId="0" applyNumberFormat="1" applyFill="1" applyBorder="1" applyAlignment="1" applyProtection="1">
      <alignment horizontal="left" indent="1"/>
      <protection locked="0"/>
    </xf>
    <xf numFmtId="165" fontId="0" fillId="0" borderId="0" xfId="0" applyNumberFormat="1"/>
    <xf numFmtId="7" fontId="0" fillId="0" borderId="0" xfId="0" applyNumberFormat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 applyAlignment="1">
      <alignment horizontal="center"/>
    </xf>
    <xf numFmtId="0" fontId="0" fillId="0" borderId="0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0" borderId="5" xfId="0" applyFill="1" applyBorder="1" applyAlignment="1">
      <alignment horizontal="left"/>
    </xf>
    <xf numFmtId="0" fontId="0" fillId="0" borderId="4" xfId="0" applyFill="1" applyBorder="1"/>
    <xf numFmtId="0" fontId="0" fillId="3" borderId="4" xfId="0" applyFill="1" applyBorder="1" applyAlignment="1" applyProtection="1">
      <alignment horizontal="right"/>
      <protection locked="0"/>
    </xf>
    <xf numFmtId="0" fontId="2" fillId="0" borderId="0" xfId="0" applyFont="1" applyFill="1" applyAlignment="1">
      <alignment horizontal="right"/>
    </xf>
    <xf numFmtId="0" fontId="6" fillId="0" borderId="0" xfId="0" applyFont="1" applyFill="1" applyAlignment="1">
      <alignment horizontal="right"/>
    </xf>
    <xf numFmtId="0" fontId="2" fillId="0" borderId="0" xfId="0" applyFont="1" applyFill="1" applyBorder="1" applyAlignment="1">
      <alignment horizontal="right"/>
    </xf>
    <xf numFmtId="0" fontId="7" fillId="0" borderId="0" xfId="0" applyFont="1" applyFill="1"/>
    <xf numFmtId="0" fontId="8" fillId="0" borderId="0" xfId="7"/>
    <xf numFmtId="0" fontId="6" fillId="0" borderId="0" xfId="6"/>
    <xf numFmtId="0" fontId="6" fillId="0" borderId="0" xfId="5"/>
    <xf numFmtId="0" fontId="6" fillId="0" borderId="0" xfId="6" applyAlignment="1">
      <alignment horizontal="left"/>
    </xf>
    <xf numFmtId="0" fontId="11" fillId="0" borderId="0" xfId="6" applyFont="1" applyAlignment="1">
      <alignment horizontal="left"/>
    </xf>
    <xf numFmtId="0" fontId="12" fillId="0" borderId="0" xfId="6" applyFont="1" applyAlignment="1">
      <alignment horizontal="left"/>
    </xf>
    <xf numFmtId="0" fontId="10" fillId="0" borderId="0" xfId="1" applyAlignment="1" applyProtection="1">
      <alignment horizontal="left" indent="1"/>
    </xf>
    <xf numFmtId="0" fontId="13" fillId="0" borderId="0" xfId="6" applyFont="1" applyAlignment="1">
      <alignment horizontal="left"/>
    </xf>
    <xf numFmtId="0" fontId="13" fillId="0" borderId="0" xfId="5" applyFont="1" applyAlignment="1">
      <alignment horizontal="left"/>
    </xf>
  </cellXfs>
  <cellStyles count="8">
    <cellStyle name="Ctx_Hyperlink" xfId="1"/>
    <cellStyle name="Currency" xfId="2" builtinId="4"/>
    <cellStyle name="Hyperlink 2" xfId="3"/>
    <cellStyle name="Normal" xfId="0" builtinId="0"/>
    <cellStyle name="Normal 2" xfId="4"/>
    <cellStyle name="Normal 2 2" xfId="5"/>
    <cellStyle name="Normal 2 3 2" xfId="6"/>
    <cellStyle name="Normal 3" xfId="7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E1F7EA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272415</xdr:colOff>
      <xdr:row>12</xdr:row>
      <xdr:rowOff>152400</xdr:rowOff>
    </xdr:from>
    <xdr:to>
      <xdr:col>10</xdr:col>
      <xdr:colOff>180994</xdr:colOff>
      <xdr:row>20</xdr:row>
      <xdr:rowOff>104775</xdr:rowOff>
    </xdr:to>
    <xdr:sp macro="" textlink="">
      <xdr:nvSpPr>
        <xdr:cNvPr id="2073" name="Rectangle 25">
          <a:extLst>
            <a:ext uri="{FF2B5EF4-FFF2-40B4-BE49-F238E27FC236}">
              <a16:creationId xmlns:a16="http://schemas.microsoft.com/office/drawing/2014/main" id="{00000000-0008-0000-0000-000019080000}"/>
            </a:ext>
          </a:extLst>
        </xdr:cNvPr>
        <xdr:cNvSpPr>
          <a:spLocks noChangeArrowheads="1"/>
        </xdr:cNvSpPr>
      </xdr:nvSpPr>
      <xdr:spPr bwMode="auto">
        <a:xfrm>
          <a:off x="3019425" y="2047875"/>
          <a:ext cx="1676400" cy="12954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 Narrow"/>
            </a:rPr>
            <a:t>Click the arrows to view the first, previous, next or last record in the database.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 Narrow"/>
            </a:rPr>
            <a:t>Or, type a valid record number in the yellow cell, and press the Enter key.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13</xdr:row>
          <xdr:rowOff>133350</xdr:rowOff>
        </xdr:from>
        <xdr:to>
          <xdr:col>3</xdr:col>
          <xdr:colOff>1314450</xdr:colOff>
          <xdr:row>14</xdr:row>
          <xdr:rowOff>180975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Add to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</xdr:row>
          <xdr:rowOff>123825</xdr:rowOff>
        </xdr:from>
        <xdr:to>
          <xdr:col>9</xdr:col>
          <xdr:colOff>533400</xdr:colOff>
          <xdr:row>12</xdr:row>
          <xdr:rowOff>85725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Go To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8</xdr:row>
          <xdr:rowOff>9525</xdr:rowOff>
        </xdr:from>
        <xdr:to>
          <xdr:col>8</xdr:col>
          <xdr:colOff>57150</xdr:colOff>
          <xdr:row>9</xdr:row>
          <xdr:rowOff>19050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8</xdr:row>
          <xdr:rowOff>9525</xdr:rowOff>
        </xdr:from>
        <xdr:to>
          <xdr:col>9</xdr:col>
          <xdr:colOff>247650</xdr:colOff>
          <xdr:row>9</xdr:row>
          <xdr:rowOff>19050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8</xdr:row>
          <xdr:rowOff>9525</xdr:rowOff>
        </xdr:from>
        <xdr:to>
          <xdr:col>7</xdr:col>
          <xdr:colOff>381000</xdr:colOff>
          <xdr:row>9</xdr:row>
          <xdr:rowOff>19050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| 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8</xdr:row>
          <xdr:rowOff>9525</xdr:rowOff>
        </xdr:from>
        <xdr:to>
          <xdr:col>9</xdr:col>
          <xdr:colOff>552450</xdr:colOff>
          <xdr:row>9</xdr:row>
          <xdr:rowOff>19050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&gt; |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7620</xdr:colOff>
      <xdr:row>3</xdr:row>
      <xdr:rowOff>7620</xdr:rowOff>
    </xdr:to>
    <xdr:pic>
      <xdr:nvPicPr>
        <xdr:cNvPr id="1050" name="Picture 8" descr="c">
          <a:extLst>
            <a:ext uri="{FF2B5EF4-FFF2-40B4-BE49-F238E27FC236}">
              <a16:creationId xmlns:a16="http://schemas.microsoft.com/office/drawing/2014/main" id="{00000000-0008-0000-01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11040" y="94488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76200</xdr:rowOff>
    </xdr:from>
    <xdr:to>
      <xdr:col>0</xdr:col>
      <xdr:colOff>1371600</xdr:colOff>
      <xdr:row>0</xdr:row>
      <xdr:rowOff>314325</xdr:rowOff>
    </xdr:to>
    <xdr:sp macro="[0]!GoInput" textlink="">
      <xdr:nvSpPr>
        <xdr:cNvPr id="1033" name="Rectangle 9">
          <a:extLst>
            <a:ext uri="{FF2B5EF4-FFF2-40B4-BE49-F238E27FC236}">
              <a16:creationId xmlns:a16="http://schemas.microsoft.com/office/drawing/2014/main" id="{00000000-0008-0000-0100-00000904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295400" cy="238125"/>
        </a:xfrm>
        <a:prstGeom prst="rect">
          <a:avLst/>
        </a:prstGeom>
        <a:solidFill>
          <a:srgbClr val="E1F7EA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53882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3300"/>
              </a:solidFill>
              <a:latin typeface="Arial Narrow"/>
            </a:rPr>
            <a:t>Input Sheet</a:t>
          </a:r>
        </a:p>
        <a:p>
          <a:pPr algn="ctr" rtl="0">
            <a:defRPr sz="1000"/>
          </a:pPr>
          <a:r>
            <a:rPr lang="en-US" sz="1200" b="1" i="0" u="none" strike="noStrike" baseline="0">
              <a:solidFill>
                <a:srgbClr val="003300"/>
              </a:solidFill>
              <a:latin typeface="Arial Narrow"/>
            </a:rPr>
            <a:t>Parts Database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7620</xdr:colOff>
      <xdr:row>1</xdr:row>
      <xdr:rowOff>7620</xdr:rowOff>
    </xdr:to>
    <xdr:pic>
      <xdr:nvPicPr>
        <xdr:cNvPr id="3091" name="Picture 1" descr="c">
          <a:extLst>
            <a:ext uri="{FF2B5EF4-FFF2-40B4-BE49-F238E27FC236}">
              <a16:creationId xmlns:a16="http://schemas.microsoft.com/office/drawing/2014/main" id="{00000000-0008-0000-0200-00001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81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7620</xdr:colOff>
      <xdr:row>1</xdr:row>
      <xdr:rowOff>7620</xdr:rowOff>
    </xdr:to>
    <xdr:pic>
      <xdr:nvPicPr>
        <xdr:cNvPr id="3092" name="Picture 2" descr="c">
          <a:extLst>
            <a:ext uri="{FF2B5EF4-FFF2-40B4-BE49-F238E27FC236}">
              <a16:creationId xmlns:a16="http://schemas.microsoft.com/office/drawing/2014/main" id="{00000000-0008-0000-0200-000014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2600" y="198120"/>
          <a:ext cx="7620" cy="7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mothresource.com/104-5-3-6.html" TargetMode="External"/><Relationship Id="rId13" Type="http://schemas.openxmlformats.org/officeDocument/2006/relationships/hyperlink" Target="http://www.amazon.com/gp/redirect.html?ie=UTF8&amp;location=http%3A%2F%2Fwww.amazon.com%2Fgp%2Fentity%2FDebra-Dalgleish%2FB001JP9TSO%3Fie%3DUTF8%26ref_%3Dntt_athr_dp_pel_1&amp;tag=contextures-20&amp;linkCode=ur2&amp;camp=1789&amp;creative=390957" TargetMode="External"/><Relationship Id="rId3" Type="http://schemas.openxmlformats.org/officeDocument/2006/relationships/hyperlink" Target="http://goo.gl/iyM0A" TargetMode="External"/><Relationship Id="rId7" Type="http://schemas.openxmlformats.org/officeDocument/2006/relationships/hyperlink" Target="http://www.contextures.com/exceluserformsfordataentry.html" TargetMode="External"/><Relationship Id="rId12" Type="http://schemas.openxmlformats.org/officeDocument/2006/relationships/hyperlink" Target="http://blog.contextures.com/" TargetMode="External"/><Relationship Id="rId17" Type="http://schemas.openxmlformats.org/officeDocument/2006/relationships/hyperlink" Target="http://www.contextures.com/excelnewslettersignup.html" TargetMode="External"/><Relationship Id="rId2" Type="http://schemas.openxmlformats.org/officeDocument/2006/relationships/hyperlink" Target="http://goo.gl/X5yk7" TargetMode="External"/><Relationship Id="rId16" Type="http://schemas.openxmlformats.org/officeDocument/2006/relationships/hyperlink" Target="https://getdpd.com/cart/hoplink/18753?referrer=12k7a5cl5zsgscs4" TargetMode="External"/><Relationship Id="rId1" Type="http://schemas.openxmlformats.org/officeDocument/2006/relationships/hyperlink" Target="http://goo.gl/72kR1" TargetMode="External"/><Relationship Id="rId6" Type="http://schemas.openxmlformats.org/officeDocument/2006/relationships/hyperlink" Target="http://www.contextures.com/xlPivotPremAddIn.html" TargetMode="External"/><Relationship Id="rId11" Type="http://schemas.openxmlformats.org/officeDocument/2006/relationships/hyperlink" Target="http://www.pivot-table.com/" TargetMode="External"/><Relationship Id="rId5" Type="http://schemas.openxmlformats.org/officeDocument/2006/relationships/hyperlink" Target="http://www.contextures.com/30excelfunctionsin30days01.html" TargetMode="External"/><Relationship Id="rId15" Type="http://schemas.openxmlformats.org/officeDocument/2006/relationships/hyperlink" Target="http://ppvt.pro/1fAo0iY" TargetMode="External"/><Relationship Id="rId10" Type="http://schemas.openxmlformats.org/officeDocument/2006/relationships/hyperlink" Target="http://www.contextures.com/tiptech.html" TargetMode="External"/><Relationship Id="rId4" Type="http://schemas.openxmlformats.org/officeDocument/2006/relationships/hyperlink" Target="http://goo.gl/rJ6KH" TargetMode="External"/><Relationship Id="rId9" Type="http://schemas.openxmlformats.org/officeDocument/2006/relationships/hyperlink" Target="http://www.contextures.com/exceltoolsaddin.html" TargetMode="External"/><Relationship Id="rId14" Type="http://schemas.openxmlformats.org/officeDocument/2006/relationships/hyperlink" Target="http://www.contextures.com/datavalidationmultiselectpremium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PartsDataEntry">
    <pageSetUpPr autoPageBreaks="0"/>
  </sheetPr>
  <dimension ref="B2:J18"/>
  <sheetViews>
    <sheetView showGridLines="0" tabSelected="1" workbookViewId="0">
      <selection activeCell="I26" sqref="I26"/>
    </sheetView>
  </sheetViews>
  <sheetFormatPr defaultColWidth="9.140625" defaultRowHeight="15.75" x14ac:dyDescent="0.25"/>
  <cols>
    <col min="1" max="1" width="3.5703125" style="5" customWidth="1"/>
    <col min="2" max="2" width="9.140625" style="5"/>
    <col min="3" max="3" width="1.5703125" style="5" customWidth="1"/>
    <col min="4" max="4" width="19.5703125" style="5" customWidth="1"/>
    <col min="5" max="5" width="2.42578125" style="5" customWidth="1"/>
    <col min="6" max="7" width="5" style="5" customWidth="1"/>
    <col min="8" max="8" width="9.140625" style="5"/>
    <col min="9" max="9" width="3.140625" style="5" bestFit="1" customWidth="1"/>
    <col min="10" max="16384" width="9.140625" style="5"/>
  </cols>
  <sheetData>
    <row r="2" spans="2:10" ht="7.5" customHeight="1" x14ac:dyDescent="0.25"/>
    <row r="3" spans="2:10" ht="20.25" x14ac:dyDescent="0.3">
      <c r="B3" s="31" t="s">
        <v>16</v>
      </c>
    </row>
    <row r="5" spans="2:10" x14ac:dyDescent="0.25">
      <c r="B5" s="28" t="s">
        <v>18</v>
      </c>
      <c r="D5" s="11" t="s">
        <v>5</v>
      </c>
      <c r="H5" s="15"/>
      <c r="I5" s="24" t="s">
        <v>24</v>
      </c>
      <c r="J5" s="16"/>
    </row>
    <row r="6" spans="2:10" ht="6.75" customHeight="1" x14ac:dyDescent="0.25">
      <c r="B6" s="29"/>
      <c r="D6" s="6"/>
      <c r="H6" s="17"/>
      <c r="I6" s="18"/>
      <c r="J6" s="19"/>
    </row>
    <row r="7" spans="2:10" x14ac:dyDescent="0.25">
      <c r="B7" s="28" t="s">
        <v>0</v>
      </c>
      <c r="D7" s="11" t="s">
        <v>12</v>
      </c>
      <c r="H7" s="27">
        <v>5</v>
      </c>
      <c r="I7" s="23" t="s">
        <v>23</v>
      </c>
      <c r="J7" s="25">
        <f>COUNTA(PartsData!A:A)-1</f>
        <v>5</v>
      </c>
    </row>
    <row r="8" spans="2:10" ht="6.75" customHeight="1" x14ac:dyDescent="0.25">
      <c r="B8" s="30"/>
      <c r="D8" s="7"/>
      <c r="H8" s="26"/>
      <c r="I8" s="18"/>
      <c r="J8" s="19"/>
    </row>
    <row r="9" spans="2:10" x14ac:dyDescent="0.25">
      <c r="B9" s="28" t="s">
        <v>1</v>
      </c>
      <c r="D9" s="12">
        <v>500</v>
      </c>
      <c r="H9" s="26"/>
      <c r="I9" s="18"/>
      <c r="J9" s="19"/>
    </row>
    <row r="10" spans="2:10" ht="6.75" customHeight="1" x14ac:dyDescent="0.25">
      <c r="B10" s="28"/>
      <c r="D10" s="8"/>
      <c r="H10" s="20"/>
      <c r="I10" s="21"/>
      <c r="J10" s="22"/>
    </row>
    <row r="11" spans="2:10" x14ac:dyDescent="0.25">
      <c r="B11" s="28" t="s">
        <v>19</v>
      </c>
      <c r="D11" s="10">
        <f ca="1">IF(D5="","",VLOOKUP(D5,PartLU,2,0))</f>
        <v>1</v>
      </c>
    </row>
    <row r="12" spans="2:10" ht="6.75" customHeight="1" x14ac:dyDescent="0.25">
      <c r="B12" s="28"/>
      <c r="D12" s="9"/>
    </row>
    <row r="13" spans="2:10" x14ac:dyDescent="0.25">
      <c r="B13" s="28" t="s">
        <v>20</v>
      </c>
      <c r="D13" s="10">
        <f ca="1">IF(D5="","",D9*D11)</f>
        <v>500</v>
      </c>
    </row>
    <row r="16" spans="2:10" ht="6.75" customHeight="1" x14ac:dyDescent="0.25"/>
    <row r="18" ht="4.5" customHeight="1" x14ac:dyDescent="0.25"/>
  </sheetData>
  <phoneticPr fontId="3" type="noConversion"/>
  <dataValidations count="4">
    <dataValidation type="whole" allowBlank="1" showInputMessage="1" showErrorMessage="1" sqref="D9">
      <formula1>-50000</formula1>
      <formula2>50000</formula2>
    </dataValidation>
    <dataValidation type="list" allowBlank="1" showInputMessage="1" showErrorMessage="1" sqref="D7:D8">
      <formula1>LocationList</formula1>
    </dataValidation>
    <dataValidation type="list" allowBlank="1" showInputMessage="1" showErrorMessage="1" sqref="D5">
      <formula1>PartList</formula1>
    </dataValidation>
    <dataValidation type="whole" allowBlank="1" showInputMessage="1" showErrorMessage="1" error="Enter a number between 1 and the total number of records." sqref="H7">
      <formula1>1</formula1>
      <formula2>J7</formula2>
    </dataValidation>
  </dataValidations>
  <pageMargins left="0.75" right="0.75" top="1" bottom="1" header="0.5" footer="0.5"/>
  <pageSetup orientation="portrait" r:id="rId1"/>
  <headerFooter alignWithMargins="0">
    <oddFooter>&amp;LDeveloped by Contextures Inc.&amp;Cwww.contextures.com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UpdateLogWorksheet">
                <anchor mov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3</xdr:col>
                    <xdr:colOff>1314450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GoInventory">
                <anchor moveWithCells="1">
                  <from>
                    <xdr:col>7</xdr:col>
                    <xdr:colOff>209550</xdr:colOff>
                    <xdr:row>10</xdr:row>
                    <xdr:rowOff>123825</xdr:rowOff>
                  </from>
                  <to>
                    <xdr:col>9</xdr:col>
                    <xdr:colOff>533400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Button 17">
              <controlPr defaultSize="0" print="0" autoFill="0" autoPict="0" macro="[0]!ViewLogUp">
                <anchor moveWithCells="1">
                  <from>
                    <xdr:col>7</xdr:col>
                    <xdr:colOff>428625</xdr:colOff>
                    <xdr:row>8</xdr:row>
                    <xdr:rowOff>9525</xdr:rowOff>
                  </from>
                  <to>
                    <xdr:col>8</xdr:col>
                    <xdr:colOff>57150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" name="Button 18">
              <controlPr defaultSize="0" print="0" autoFill="0" autoPict="0" macro="[0]!ViewLogDown">
                <anchor moveWithCells="1"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9</xdr:col>
                    <xdr:colOff>247650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ViewLogFirst">
                <anchor moveWithCells="1">
                  <from>
                    <xdr:col>7</xdr:col>
                    <xdr:colOff>133350</xdr:colOff>
                    <xdr:row>8</xdr:row>
                    <xdr:rowOff>9525</xdr:rowOff>
                  </from>
                  <to>
                    <xdr:col>7</xdr:col>
                    <xdr:colOff>381000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ViewLogLast">
                <anchor moveWithCells="1">
                  <from>
                    <xdr:col>9</xdr:col>
                    <xdr:colOff>304800</xdr:colOff>
                    <xdr:row>8</xdr:row>
                    <xdr:rowOff>9525</xdr:rowOff>
                  </from>
                  <to>
                    <xdr:col>9</xdr:col>
                    <xdr:colOff>552450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PartsData"/>
  <dimension ref="A1:G6"/>
  <sheetViews>
    <sheetView workbookViewId="0">
      <pane ySplit="1" topLeftCell="A2" activePane="bottomLeft" state="frozen"/>
      <selection pane="bottomLeft" activeCell="J20" sqref="J20"/>
    </sheetView>
  </sheetViews>
  <sheetFormatPr defaultRowHeight="15.75" x14ac:dyDescent="0.25"/>
  <cols>
    <col min="1" max="1" width="20.85546875" customWidth="1"/>
    <col min="2" max="2" width="14.7109375" bestFit="1" customWidth="1"/>
    <col min="3" max="4" width="10.7109375" bestFit="1" customWidth="1"/>
    <col min="6" max="6" width="11.85546875" customWidth="1"/>
    <col min="7" max="7" width="12.28515625" customWidth="1"/>
  </cols>
  <sheetData>
    <row r="1" spans="1:7" s="1" customFormat="1" ht="43.5" customHeight="1" x14ac:dyDescent="0.25">
      <c r="A1" s="2" t="s">
        <v>21</v>
      </c>
      <c r="B1" s="2" t="s">
        <v>17</v>
      </c>
      <c r="C1" s="4" t="s">
        <v>15</v>
      </c>
      <c r="D1" s="2" t="s">
        <v>0</v>
      </c>
      <c r="E1" s="2" t="s">
        <v>1</v>
      </c>
      <c r="F1" s="4" t="s">
        <v>19</v>
      </c>
      <c r="G1" s="4" t="s">
        <v>20</v>
      </c>
    </row>
    <row r="2" spans="1:7" x14ac:dyDescent="0.25">
      <c r="A2" s="13">
        <v>39911.692696759259</v>
      </c>
      <c r="B2" t="s">
        <v>22</v>
      </c>
      <c r="C2" t="s">
        <v>5</v>
      </c>
      <c r="D2" t="s">
        <v>12</v>
      </c>
      <c r="E2">
        <v>500</v>
      </c>
      <c r="F2" s="14">
        <v>1</v>
      </c>
      <c r="G2" s="14">
        <v>500</v>
      </c>
    </row>
    <row r="3" spans="1:7" x14ac:dyDescent="0.25">
      <c r="A3" s="13">
        <v>39911.692800925928</v>
      </c>
      <c r="B3" t="s">
        <v>22</v>
      </c>
      <c r="C3" t="s">
        <v>7</v>
      </c>
      <c r="D3" t="s">
        <v>13</v>
      </c>
      <c r="E3">
        <v>250</v>
      </c>
      <c r="F3" s="14">
        <v>5</v>
      </c>
      <c r="G3" s="14">
        <v>1250</v>
      </c>
    </row>
    <row r="4" spans="1:7" x14ac:dyDescent="0.25">
      <c r="A4" s="13">
        <v>39911.692986111113</v>
      </c>
      <c r="B4" t="s">
        <v>22</v>
      </c>
      <c r="C4" t="s">
        <v>9</v>
      </c>
      <c r="D4" t="s">
        <v>11</v>
      </c>
      <c r="E4">
        <v>50</v>
      </c>
      <c r="F4" s="14">
        <v>12</v>
      </c>
      <c r="G4" s="14">
        <v>600</v>
      </c>
    </row>
    <row r="5" spans="1:7" x14ac:dyDescent="0.25">
      <c r="A5" s="13">
        <v>39911.76289351852</v>
      </c>
      <c r="B5" t="s">
        <v>22</v>
      </c>
      <c r="C5" t="s">
        <v>5</v>
      </c>
      <c r="D5" t="s">
        <v>12</v>
      </c>
      <c r="E5">
        <v>500</v>
      </c>
      <c r="F5" s="14">
        <v>1</v>
      </c>
      <c r="G5" s="14">
        <v>500</v>
      </c>
    </row>
    <row r="6" spans="1:7" x14ac:dyDescent="0.25">
      <c r="A6" s="13">
        <v>39911.762986111113</v>
      </c>
      <c r="B6" t="s">
        <v>22</v>
      </c>
      <c r="C6" t="s">
        <v>7</v>
      </c>
      <c r="D6" t="s">
        <v>13</v>
      </c>
      <c r="E6">
        <v>250</v>
      </c>
      <c r="F6" s="14">
        <v>5</v>
      </c>
      <c r="G6" s="14">
        <v>1250</v>
      </c>
    </row>
  </sheetData>
  <phoneticPr fontId="3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LookupLists"/>
  <dimension ref="A1:D10"/>
  <sheetViews>
    <sheetView workbookViewId="0">
      <selection activeCell="A2" sqref="A2:B9"/>
    </sheetView>
  </sheetViews>
  <sheetFormatPr defaultRowHeight="15.75" x14ac:dyDescent="0.25"/>
  <cols>
    <col min="1" max="1" width="11" bestFit="1" customWidth="1"/>
    <col min="2" max="2" width="8.7109375" customWidth="1"/>
    <col min="3" max="3" width="5.85546875" customWidth="1"/>
    <col min="4" max="4" width="10.7109375" bestFit="1" customWidth="1"/>
  </cols>
  <sheetData>
    <row r="1" spans="1:4" s="1" customFormat="1" x14ac:dyDescent="0.25">
      <c r="A1" s="2" t="s">
        <v>2</v>
      </c>
      <c r="B1" s="2" t="s">
        <v>19</v>
      </c>
      <c r="D1" s="2" t="s">
        <v>0</v>
      </c>
    </row>
    <row r="2" spans="1:4" x14ac:dyDescent="0.25">
      <c r="A2" t="s">
        <v>4</v>
      </c>
      <c r="B2">
        <v>75</v>
      </c>
      <c r="D2" t="s">
        <v>11</v>
      </c>
    </row>
    <row r="3" spans="1:4" x14ac:dyDescent="0.25">
      <c r="A3" t="s">
        <v>5</v>
      </c>
      <c r="B3">
        <v>1</v>
      </c>
      <c r="D3" t="s">
        <v>12</v>
      </c>
    </row>
    <row r="4" spans="1:4" x14ac:dyDescent="0.25">
      <c r="A4" t="s">
        <v>6</v>
      </c>
      <c r="B4">
        <v>15</v>
      </c>
      <c r="D4" t="s">
        <v>13</v>
      </c>
    </row>
    <row r="5" spans="1:4" x14ac:dyDescent="0.25">
      <c r="A5" t="s">
        <v>7</v>
      </c>
      <c r="B5">
        <v>5</v>
      </c>
      <c r="D5" t="s">
        <v>14</v>
      </c>
    </row>
    <row r="6" spans="1:4" x14ac:dyDescent="0.25">
      <c r="A6" t="s">
        <v>8</v>
      </c>
      <c r="B6">
        <v>7</v>
      </c>
    </row>
    <row r="7" spans="1:4" x14ac:dyDescent="0.25">
      <c r="A7" t="s">
        <v>9</v>
      </c>
      <c r="B7">
        <v>12</v>
      </c>
    </row>
    <row r="8" spans="1:4" x14ac:dyDescent="0.25">
      <c r="A8" t="s">
        <v>10</v>
      </c>
      <c r="B8">
        <v>4</v>
      </c>
    </row>
    <row r="9" spans="1:4" x14ac:dyDescent="0.25">
      <c r="A9" t="s">
        <v>3</v>
      </c>
      <c r="B9">
        <v>3</v>
      </c>
    </row>
    <row r="10" spans="1:4" x14ac:dyDescent="0.25">
      <c r="A10" s="3"/>
    </row>
  </sheetData>
  <phoneticPr fontId="3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0"/>
  <sheetViews>
    <sheetView showGridLines="0" workbookViewId="0">
      <selection activeCell="F1" sqref="F1"/>
    </sheetView>
  </sheetViews>
  <sheetFormatPr defaultColWidth="8.85546875" defaultRowHeight="12.75" x14ac:dyDescent="0.2"/>
  <cols>
    <col min="1" max="1" width="1.85546875" style="32" customWidth="1"/>
    <col min="2" max="2" width="41.42578125" style="32" bestFit="1" customWidth="1"/>
    <col min="3" max="3" width="64" style="32" bestFit="1" customWidth="1"/>
    <col min="4" max="16384" width="8.85546875" style="32"/>
  </cols>
  <sheetData>
    <row r="1" spans="1:4" ht="15.75" x14ac:dyDescent="0.25">
      <c r="A1" s="33"/>
      <c r="B1" s="35"/>
      <c r="C1" s="33"/>
      <c r="D1" s="33"/>
    </row>
    <row r="2" spans="1:4" ht="18.75" x14ac:dyDescent="0.3">
      <c r="A2" s="33"/>
      <c r="B2" s="36" t="s">
        <v>38</v>
      </c>
      <c r="C2" s="33"/>
      <c r="D2" s="33"/>
    </row>
    <row r="3" spans="1:4" ht="15.75" x14ac:dyDescent="0.25">
      <c r="A3" s="33"/>
      <c r="B3" s="37"/>
      <c r="C3" s="33"/>
      <c r="D3" s="33"/>
    </row>
    <row r="4" spans="1:4" ht="15.75" x14ac:dyDescent="0.25">
      <c r="A4" s="33"/>
      <c r="B4" s="38" t="s">
        <v>34</v>
      </c>
      <c r="C4" s="33" t="s">
        <v>39</v>
      </c>
      <c r="D4" s="33"/>
    </row>
    <row r="5" spans="1:4" ht="15.75" x14ac:dyDescent="0.25">
      <c r="A5" s="33"/>
      <c r="B5" s="38" t="s">
        <v>35</v>
      </c>
      <c r="C5" s="33" t="s">
        <v>40</v>
      </c>
      <c r="D5" s="33"/>
    </row>
    <row r="6" spans="1:4" ht="15.75" x14ac:dyDescent="0.25">
      <c r="A6" s="33"/>
      <c r="B6" s="38" t="s">
        <v>41</v>
      </c>
      <c r="C6" s="33" t="s">
        <v>42</v>
      </c>
      <c r="D6" s="33"/>
    </row>
    <row r="7" spans="1:4" ht="15.75" x14ac:dyDescent="0.25">
      <c r="A7" s="33"/>
      <c r="B7" s="38" t="s">
        <v>43</v>
      </c>
      <c r="C7" s="33" t="s">
        <v>44</v>
      </c>
      <c r="D7" s="33"/>
    </row>
    <row r="8" spans="1:4" ht="15.75" x14ac:dyDescent="0.25">
      <c r="A8" s="33"/>
      <c r="B8" s="38" t="s">
        <v>33</v>
      </c>
      <c r="C8" s="33" t="s">
        <v>45</v>
      </c>
      <c r="D8" s="33"/>
    </row>
    <row r="9" spans="1:4" ht="15.75" x14ac:dyDescent="0.25">
      <c r="A9" s="33"/>
      <c r="B9" s="39"/>
      <c r="C9" s="33"/>
      <c r="D9" s="33"/>
    </row>
    <row r="10" spans="1:4" ht="18.75" x14ac:dyDescent="0.3">
      <c r="A10" s="33"/>
      <c r="B10" s="36" t="s">
        <v>29</v>
      </c>
      <c r="C10" s="33"/>
      <c r="D10" s="33"/>
    </row>
    <row r="11" spans="1:4" ht="15.75" x14ac:dyDescent="0.25">
      <c r="A11" s="33"/>
      <c r="B11" s="39"/>
      <c r="C11" s="33"/>
      <c r="D11" s="33"/>
    </row>
    <row r="12" spans="1:4" ht="15.75" x14ac:dyDescent="0.25">
      <c r="A12" s="33"/>
      <c r="B12" s="38" t="s">
        <v>30</v>
      </c>
      <c r="C12" s="33" t="s">
        <v>46</v>
      </c>
      <c r="D12" s="33"/>
    </row>
    <row r="13" spans="1:4" ht="15.75" x14ac:dyDescent="0.25">
      <c r="A13" s="33"/>
      <c r="B13" s="38" t="s">
        <v>31</v>
      </c>
      <c r="C13" s="33" t="s">
        <v>47</v>
      </c>
      <c r="D13" s="33"/>
    </row>
    <row r="14" spans="1:4" ht="15.75" x14ac:dyDescent="0.25">
      <c r="A14" s="33"/>
      <c r="B14" s="38" t="s">
        <v>48</v>
      </c>
      <c r="C14" s="33" t="s">
        <v>49</v>
      </c>
      <c r="D14" s="33"/>
    </row>
    <row r="15" spans="1:4" ht="15.75" x14ac:dyDescent="0.25">
      <c r="A15" s="33"/>
      <c r="B15" s="38" t="s">
        <v>50</v>
      </c>
      <c r="C15" s="33" t="s">
        <v>51</v>
      </c>
      <c r="D15" s="33"/>
    </row>
    <row r="16" spans="1:4" ht="15.75" x14ac:dyDescent="0.25">
      <c r="A16" s="33"/>
      <c r="B16" s="38" t="s">
        <v>36</v>
      </c>
      <c r="C16" s="33" t="s">
        <v>52</v>
      </c>
      <c r="D16" s="33"/>
    </row>
    <row r="17" spans="1:4" ht="15.75" x14ac:dyDescent="0.25">
      <c r="A17" s="33"/>
      <c r="B17" s="38" t="s">
        <v>37</v>
      </c>
      <c r="C17" s="33" t="s">
        <v>53</v>
      </c>
      <c r="D17" s="33"/>
    </row>
    <row r="18" spans="1:4" ht="15.75" x14ac:dyDescent="0.25">
      <c r="A18" s="34"/>
      <c r="B18" s="38" t="s">
        <v>32</v>
      </c>
      <c r="C18" s="33" t="s">
        <v>54</v>
      </c>
      <c r="D18" s="33"/>
    </row>
    <row r="19" spans="1:4" ht="15.75" x14ac:dyDescent="0.25">
      <c r="A19" s="33"/>
      <c r="B19" s="40"/>
      <c r="C19" s="33"/>
      <c r="D19" s="33"/>
    </row>
    <row r="20" spans="1:4" ht="18.75" x14ac:dyDescent="0.3">
      <c r="A20" s="33"/>
      <c r="B20" s="36" t="s">
        <v>55</v>
      </c>
      <c r="C20" s="33"/>
      <c r="D20" s="33"/>
    </row>
    <row r="21" spans="1:4" ht="15.75" x14ac:dyDescent="0.25">
      <c r="A21" s="33"/>
      <c r="B21" s="37"/>
      <c r="C21" s="33"/>
      <c r="D21" s="33"/>
    </row>
    <row r="22" spans="1:4" ht="15.75" x14ac:dyDescent="0.25">
      <c r="A22" s="33"/>
      <c r="B22" s="38" t="s">
        <v>56</v>
      </c>
      <c r="C22" s="33" t="s">
        <v>57</v>
      </c>
      <c r="D22" s="33"/>
    </row>
    <row r="23" spans="1:4" ht="15.75" x14ac:dyDescent="0.25">
      <c r="A23" s="33"/>
      <c r="B23" s="38" t="s">
        <v>25</v>
      </c>
      <c r="C23" s="33" t="s">
        <v>58</v>
      </c>
      <c r="D23" s="33"/>
    </row>
    <row r="24" spans="1:4" ht="15.75" x14ac:dyDescent="0.25">
      <c r="A24" s="33"/>
      <c r="B24" s="38" t="s">
        <v>26</v>
      </c>
      <c r="C24" s="33" t="s">
        <v>59</v>
      </c>
      <c r="D24" s="33"/>
    </row>
    <row r="25" spans="1:4" ht="15.75" x14ac:dyDescent="0.25">
      <c r="A25" s="33"/>
      <c r="B25" s="38" t="s">
        <v>27</v>
      </c>
      <c r="C25" s="33" t="s">
        <v>60</v>
      </c>
      <c r="D25" s="33"/>
    </row>
    <row r="26" spans="1:4" ht="15.75" x14ac:dyDescent="0.25">
      <c r="A26" s="33"/>
      <c r="B26" s="38" t="s">
        <v>28</v>
      </c>
      <c r="C26" s="33" t="s">
        <v>61</v>
      </c>
      <c r="D26" s="33"/>
    </row>
    <row r="27" spans="1:4" ht="15.75" x14ac:dyDescent="0.25">
      <c r="A27" s="33"/>
      <c r="B27" s="35"/>
      <c r="C27" s="33"/>
      <c r="D27" s="33"/>
    </row>
    <row r="28" spans="1:4" ht="15.75" x14ac:dyDescent="0.25">
      <c r="A28" s="33"/>
      <c r="B28" s="35"/>
      <c r="C28" s="33"/>
      <c r="D28" s="33"/>
    </row>
    <row r="29" spans="1:4" ht="15.75" x14ac:dyDescent="0.25">
      <c r="A29" s="33"/>
      <c r="B29" s="35"/>
      <c r="C29" s="33"/>
      <c r="D29" s="33"/>
    </row>
    <row r="30" spans="1:4" ht="15.75" x14ac:dyDescent="0.25">
      <c r="A30" s="33"/>
      <c r="B30" s="35"/>
      <c r="C30" s="33"/>
      <c r="D30" s="33"/>
    </row>
  </sheetData>
  <hyperlinks>
    <hyperlink ref="B12" r:id="rId1" tooltip="Jon Peltier's Excel Chart Utilities"/>
    <hyperlink ref="B13" r:id="rId2" tooltip="ExcelUser Dashboards"/>
    <hyperlink ref="B18" r:id="rId3" tooltip="Chandoo's Project Management Templates"/>
    <hyperlink ref="B17" r:id="rId4" tooltip="Chandoo's Excel VBA School"/>
    <hyperlink ref="B8" r:id="rId5" tooltip="30 Excel Functions in 30 Days eBook kit"/>
    <hyperlink ref="B4" r:id="rId6" tooltip="PivotPower Premium Add-in"/>
    <hyperlink ref="B5" r:id="rId7" tooltip="UserForms for Data Entry ebook Kit"/>
    <hyperlink ref="B16" r:id="rId8" tooltip="Excel Courses Online"/>
    <hyperlink ref="B6" r:id="rId9"/>
    <hyperlink ref="B23" r:id="rId10"/>
    <hyperlink ref="B25" r:id="rId11"/>
    <hyperlink ref="B24" r:id="rId12"/>
    <hyperlink ref="B26" r:id="rId13" tooltip="Debra's Pivot Table Books on Amazon"/>
    <hyperlink ref="B7" r:id="rId14"/>
    <hyperlink ref="B15" r:id="rId15"/>
    <hyperlink ref="B14" r:id="rId16" tooltip="Xtreme Pivot Table Course"/>
    <hyperlink ref="B22" r:id="rId17"/>
  </hyperlink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Input</vt:lpstr>
      <vt:lpstr>PartsData</vt:lpstr>
      <vt:lpstr>LookupLists</vt:lpstr>
      <vt:lpstr>MyLinks</vt:lpstr>
      <vt:lpstr>CurrRec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Michael Wang</cp:lastModifiedBy>
  <cp:lastPrinted>2006-09-23T00:32:50Z</cp:lastPrinted>
  <dcterms:created xsi:type="dcterms:W3CDTF">2003-08-10T01:51:48Z</dcterms:created>
  <dcterms:modified xsi:type="dcterms:W3CDTF">2017-07-27T20:29:41Z</dcterms:modified>
</cp:coreProperties>
</file>