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Samples\"/>
    </mc:Choice>
  </mc:AlternateContent>
  <bookViews>
    <workbookView xWindow="-15" yWindow="-15" windowWidth="12135" windowHeight="6240" activeTab="1"/>
  </bookViews>
  <sheets>
    <sheet name="HolDates" sheetId="4" r:id="rId1"/>
    <sheet name="CashCurve" sheetId="1" r:id="rId2"/>
    <sheet name="TestCases" sheetId="5" r:id="rId3"/>
    <sheet name="Sheet2" sheetId="2" r:id="rId4"/>
    <sheet name="Matrix" sheetId="3" r:id="rId5"/>
  </sheets>
  <functionGroups builtInGroupCount="18"/>
  <definedNames>
    <definedName name="CfMatrix">Matrix!$G$6:$BF$57</definedName>
    <definedName name="CfMatrixInverse">Matrix!$G$153:$BF$204</definedName>
    <definedName name="CurveDate">CashCurve!$B$1</definedName>
    <definedName name="DfDates">CashCurve!$U$7:$U$58</definedName>
    <definedName name="DfTime">CashCurve!$V$7:$V$58</definedName>
    <definedName name="DfVector">CashCurve!$W$7:$W$58</definedName>
    <definedName name="HolDates">HolDates!$A$2:$A$363</definedName>
    <definedName name="Identity">Matrix!$E$6:$E$57</definedName>
    <definedName name="_xlnm.Print_Area" localSheetId="1">CashCurve!$A$6:$Q$50</definedName>
    <definedName name="solver_adj" localSheetId="1" hidden="1">CashCurve!$AB$21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CashCurve!$AC$21</definedName>
    <definedName name="solver_pre" localSheetId="1" hidden="1">0.0000000001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1</definedName>
    <definedName name="tbl1MFloatSolver">CashCurve!$Y$6:$AC$19</definedName>
    <definedName name="tblInstrument">CashCurve!$A$6:$G$58</definedName>
    <definedName name="tblNormalized">CashCurve!$K$6:$S$101</definedName>
    <definedName name="VarItems">CashCurve!$D$1:$E$4</definedName>
  </definedNames>
  <calcPr calcId="171027"/>
</workbook>
</file>

<file path=xl/calcChain.xml><?xml version="1.0" encoding="utf-8"?>
<calcChain xmlns="http://schemas.openxmlformats.org/spreadsheetml/2006/main">
  <c r="K8" i="1" l="1"/>
  <c r="K9" i="1" l="1"/>
  <c r="K10" i="1" s="1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40" i="5"/>
  <c r="G153" i="3" a="1"/>
  <c r="H153" i="3" s="1"/>
  <c r="J153" i="3"/>
  <c r="N153" i="3"/>
  <c r="V153" i="3"/>
  <c r="Z153" i="3"/>
  <c r="AD153" i="3"/>
  <c r="AL153" i="3"/>
  <c r="AP153" i="3"/>
  <c r="AT153" i="3"/>
  <c r="BB153" i="3"/>
  <c r="BF153" i="3"/>
  <c r="J154" i="3"/>
  <c r="R154" i="3"/>
  <c r="V154" i="3"/>
  <c r="Z154" i="3"/>
  <c r="AH154" i="3"/>
  <c r="AL154" i="3"/>
  <c r="AP154" i="3"/>
  <c r="AX154" i="3"/>
  <c r="BB154" i="3"/>
  <c r="BF154" i="3"/>
  <c r="N155" i="3"/>
  <c r="R155" i="3"/>
  <c r="V155" i="3"/>
  <c r="AD155" i="3"/>
  <c r="AH155" i="3"/>
  <c r="AL155" i="3"/>
  <c r="AT155" i="3"/>
  <c r="AX155" i="3"/>
  <c r="BB155" i="3"/>
  <c r="J156" i="3"/>
  <c r="N156" i="3"/>
  <c r="R156" i="3"/>
  <c r="Z156" i="3"/>
  <c r="AD156" i="3"/>
  <c r="AH156" i="3"/>
  <c r="AP156" i="3"/>
  <c r="AS156" i="3"/>
  <c r="AT156" i="3"/>
  <c r="AX156" i="3"/>
  <c r="AY156" i="3"/>
  <c r="BA156" i="3"/>
  <c r="BC156" i="3"/>
  <c r="BE156" i="3"/>
  <c r="BF156" i="3"/>
  <c r="H157" i="3"/>
  <c r="I157" i="3"/>
  <c r="J157" i="3"/>
  <c r="L157" i="3"/>
  <c r="M157" i="3"/>
  <c r="N157" i="3"/>
  <c r="P157" i="3"/>
  <c r="Q157" i="3"/>
  <c r="R157" i="3"/>
  <c r="T157" i="3"/>
  <c r="U157" i="3"/>
  <c r="V157" i="3"/>
  <c r="X157" i="3"/>
  <c r="Y157" i="3"/>
  <c r="Z157" i="3"/>
  <c r="AB157" i="3"/>
  <c r="AC157" i="3"/>
  <c r="AD157" i="3"/>
  <c r="AF157" i="3"/>
  <c r="AG157" i="3"/>
  <c r="AH157" i="3"/>
  <c r="AJ157" i="3"/>
  <c r="AK157" i="3"/>
  <c r="AL157" i="3"/>
  <c r="AN157" i="3"/>
  <c r="AO157" i="3"/>
  <c r="AP157" i="3"/>
  <c r="AR157" i="3"/>
  <c r="AS157" i="3"/>
  <c r="AT157" i="3"/>
  <c r="AV157" i="3"/>
  <c r="AW157" i="3"/>
  <c r="AX157" i="3"/>
  <c r="AZ157" i="3"/>
  <c r="BA157" i="3"/>
  <c r="BB157" i="3"/>
  <c r="BD157" i="3"/>
  <c r="BE157" i="3"/>
  <c r="BF157" i="3"/>
  <c r="H158" i="3"/>
  <c r="I158" i="3"/>
  <c r="J158" i="3"/>
  <c r="L158" i="3"/>
  <c r="M158" i="3"/>
  <c r="N158" i="3"/>
  <c r="P158" i="3"/>
  <c r="Q158" i="3"/>
  <c r="R158" i="3"/>
  <c r="T158" i="3"/>
  <c r="U158" i="3"/>
  <c r="V158" i="3"/>
  <c r="X158" i="3"/>
  <c r="Y158" i="3"/>
  <c r="Z158" i="3"/>
  <c r="AB158" i="3"/>
  <c r="AC158" i="3"/>
  <c r="AD158" i="3"/>
  <c r="AF158" i="3"/>
  <c r="AG158" i="3"/>
  <c r="AH158" i="3"/>
  <c r="AJ158" i="3"/>
  <c r="AK158" i="3"/>
  <c r="AL158" i="3"/>
  <c r="AN158" i="3"/>
  <c r="AO158" i="3"/>
  <c r="AP158" i="3"/>
  <c r="AR158" i="3"/>
  <c r="AS158" i="3"/>
  <c r="AT158" i="3"/>
  <c r="AV158" i="3"/>
  <c r="AW158" i="3"/>
  <c r="AX158" i="3"/>
  <c r="AZ158" i="3"/>
  <c r="BA158" i="3"/>
  <c r="BB158" i="3"/>
  <c r="BD158" i="3"/>
  <c r="BE158" i="3"/>
  <c r="BF158" i="3"/>
  <c r="H159" i="3"/>
  <c r="I159" i="3"/>
  <c r="J159" i="3"/>
  <c r="L159" i="3"/>
  <c r="M159" i="3"/>
  <c r="N159" i="3"/>
  <c r="P159" i="3"/>
  <c r="Q159" i="3"/>
  <c r="R159" i="3"/>
  <c r="T159" i="3"/>
  <c r="U159" i="3"/>
  <c r="V159" i="3"/>
  <c r="X159" i="3"/>
  <c r="Y159" i="3"/>
  <c r="Z159" i="3"/>
  <c r="AB159" i="3"/>
  <c r="AC159" i="3"/>
  <c r="AD159" i="3"/>
  <c r="AF159" i="3"/>
  <c r="AG159" i="3"/>
  <c r="AH159" i="3"/>
  <c r="AJ159" i="3"/>
  <c r="AK159" i="3"/>
  <c r="AL159" i="3"/>
  <c r="AN159" i="3"/>
  <c r="AO159" i="3"/>
  <c r="AP159" i="3"/>
  <c r="AR159" i="3"/>
  <c r="AS159" i="3"/>
  <c r="AT159" i="3"/>
  <c r="AV159" i="3"/>
  <c r="AW159" i="3"/>
  <c r="AX159" i="3"/>
  <c r="AZ159" i="3"/>
  <c r="BA159" i="3"/>
  <c r="BB159" i="3"/>
  <c r="BD159" i="3"/>
  <c r="BE159" i="3"/>
  <c r="BF159" i="3"/>
  <c r="H160" i="3"/>
  <c r="I160" i="3"/>
  <c r="J160" i="3"/>
  <c r="L160" i="3"/>
  <c r="M160" i="3"/>
  <c r="N160" i="3"/>
  <c r="P160" i="3"/>
  <c r="Q160" i="3"/>
  <c r="R160" i="3"/>
  <c r="T160" i="3"/>
  <c r="U160" i="3"/>
  <c r="V160" i="3"/>
  <c r="X160" i="3"/>
  <c r="Y160" i="3"/>
  <c r="Z160" i="3"/>
  <c r="AB160" i="3"/>
  <c r="AC160" i="3"/>
  <c r="AD160" i="3"/>
  <c r="AF160" i="3"/>
  <c r="AG160" i="3"/>
  <c r="AH160" i="3"/>
  <c r="AJ160" i="3"/>
  <c r="AK160" i="3"/>
  <c r="AL160" i="3"/>
  <c r="AN160" i="3"/>
  <c r="AO160" i="3"/>
  <c r="AP160" i="3"/>
  <c r="AR160" i="3"/>
  <c r="AS160" i="3"/>
  <c r="AT160" i="3"/>
  <c r="AV160" i="3"/>
  <c r="AW160" i="3"/>
  <c r="AX160" i="3"/>
  <c r="AZ160" i="3"/>
  <c r="BA160" i="3"/>
  <c r="BB160" i="3"/>
  <c r="BD160" i="3"/>
  <c r="BE160" i="3"/>
  <c r="BF160" i="3"/>
  <c r="H161" i="3"/>
  <c r="I161" i="3"/>
  <c r="J161" i="3"/>
  <c r="L161" i="3"/>
  <c r="M161" i="3"/>
  <c r="N161" i="3"/>
  <c r="P161" i="3"/>
  <c r="Q161" i="3"/>
  <c r="R161" i="3"/>
  <c r="T161" i="3"/>
  <c r="U161" i="3"/>
  <c r="V161" i="3"/>
  <c r="X161" i="3"/>
  <c r="Y161" i="3"/>
  <c r="Z161" i="3"/>
  <c r="AB161" i="3"/>
  <c r="AC161" i="3"/>
  <c r="AD161" i="3"/>
  <c r="AF161" i="3"/>
  <c r="AG161" i="3"/>
  <c r="AH161" i="3"/>
  <c r="AJ161" i="3"/>
  <c r="AK161" i="3"/>
  <c r="AL161" i="3"/>
  <c r="AN161" i="3"/>
  <c r="AO161" i="3"/>
  <c r="AP161" i="3"/>
  <c r="AR161" i="3"/>
  <c r="AS161" i="3"/>
  <c r="AT161" i="3"/>
  <c r="AV161" i="3"/>
  <c r="AW161" i="3"/>
  <c r="AX161" i="3"/>
  <c r="AZ161" i="3"/>
  <c r="BA161" i="3"/>
  <c r="BB161" i="3"/>
  <c r="BD161" i="3"/>
  <c r="BE161" i="3"/>
  <c r="BF161" i="3"/>
  <c r="H162" i="3"/>
  <c r="I162" i="3"/>
  <c r="J162" i="3"/>
  <c r="L162" i="3"/>
  <c r="M162" i="3"/>
  <c r="N162" i="3"/>
  <c r="P162" i="3"/>
  <c r="Q162" i="3"/>
  <c r="R162" i="3"/>
  <c r="T162" i="3"/>
  <c r="U162" i="3"/>
  <c r="V162" i="3"/>
  <c r="X162" i="3"/>
  <c r="Y162" i="3"/>
  <c r="Z162" i="3"/>
  <c r="AB162" i="3"/>
  <c r="AC162" i="3"/>
  <c r="AD162" i="3"/>
  <c r="AE162" i="3"/>
  <c r="AF162" i="3"/>
  <c r="AG162" i="3"/>
  <c r="AH162" i="3"/>
  <c r="AI162" i="3"/>
  <c r="AJ162" i="3"/>
  <c r="AK162" i="3"/>
  <c r="AL162" i="3"/>
  <c r="AM162" i="3"/>
  <c r="AN162" i="3"/>
  <c r="AO162" i="3"/>
  <c r="AP162" i="3"/>
  <c r="AQ162" i="3"/>
  <c r="AR162" i="3"/>
  <c r="AS162" i="3"/>
  <c r="AT162" i="3"/>
  <c r="AU162" i="3"/>
  <c r="AV162" i="3"/>
  <c r="AW162" i="3"/>
  <c r="AX162" i="3"/>
  <c r="AY162" i="3"/>
  <c r="AZ162" i="3"/>
  <c r="BA162" i="3"/>
  <c r="BB162" i="3"/>
  <c r="BC162" i="3"/>
  <c r="BD162" i="3"/>
  <c r="BE162" i="3"/>
  <c r="BF162" i="3"/>
  <c r="G163" i="3"/>
  <c r="H163" i="3"/>
  <c r="I163" i="3"/>
  <c r="J163" i="3"/>
  <c r="K163" i="3"/>
  <c r="L163" i="3"/>
  <c r="M163" i="3"/>
  <c r="N163" i="3"/>
  <c r="O163" i="3"/>
  <c r="P163" i="3"/>
  <c r="Q163" i="3"/>
  <c r="R163" i="3"/>
  <c r="S163" i="3"/>
  <c r="T163" i="3"/>
  <c r="U163" i="3"/>
  <c r="V163" i="3"/>
  <c r="W163" i="3"/>
  <c r="X163" i="3"/>
  <c r="Y163" i="3"/>
  <c r="Z163" i="3"/>
  <c r="AA163" i="3"/>
  <c r="AB163" i="3"/>
  <c r="AC163" i="3"/>
  <c r="AD163" i="3"/>
  <c r="AE163" i="3"/>
  <c r="AF163" i="3"/>
  <c r="AG163" i="3"/>
  <c r="AH163" i="3"/>
  <c r="AI163" i="3"/>
  <c r="AJ163" i="3"/>
  <c r="AK163" i="3"/>
  <c r="AL163" i="3"/>
  <c r="AM163" i="3"/>
  <c r="AN163" i="3"/>
  <c r="AO163" i="3"/>
  <c r="AP163" i="3"/>
  <c r="AQ163" i="3"/>
  <c r="AR163" i="3"/>
  <c r="AS163" i="3"/>
  <c r="AT163" i="3"/>
  <c r="AU163" i="3"/>
  <c r="AV163" i="3"/>
  <c r="AW163" i="3"/>
  <c r="AX163" i="3"/>
  <c r="AY163" i="3"/>
  <c r="AZ163" i="3"/>
  <c r="BA163" i="3"/>
  <c r="BB163" i="3"/>
  <c r="BC163" i="3"/>
  <c r="BD163" i="3"/>
  <c r="BE163" i="3"/>
  <c r="BF163" i="3"/>
  <c r="G164" i="3"/>
  <c r="H164" i="3"/>
  <c r="I164" i="3"/>
  <c r="J164" i="3"/>
  <c r="K164" i="3"/>
  <c r="L164" i="3"/>
  <c r="M164" i="3"/>
  <c r="N164" i="3"/>
  <c r="O164" i="3"/>
  <c r="P164" i="3"/>
  <c r="Q164" i="3"/>
  <c r="R164" i="3"/>
  <c r="S164" i="3"/>
  <c r="T164" i="3"/>
  <c r="U164" i="3"/>
  <c r="V164" i="3"/>
  <c r="W164" i="3"/>
  <c r="X164" i="3"/>
  <c r="Y164" i="3"/>
  <c r="Z164" i="3"/>
  <c r="AA164" i="3"/>
  <c r="AB164" i="3"/>
  <c r="AC164" i="3"/>
  <c r="AD164" i="3"/>
  <c r="AE164" i="3"/>
  <c r="AF164" i="3"/>
  <c r="AG164" i="3"/>
  <c r="AH164" i="3"/>
  <c r="AI164" i="3"/>
  <c r="AJ164" i="3"/>
  <c r="AK164" i="3"/>
  <c r="AL164" i="3"/>
  <c r="AM164" i="3"/>
  <c r="AN164" i="3"/>
  <c r="AO164" i="3"/>
  <c r="AP164" i="3"/>
  <c r="AQ164" i="3"/>
  <c r="AR164" i="3"/>
  <c r="AS164" i="3"/>
  <c r="AT164" i="3"/>
  <c r="AU164" i="3"/>
  <c r="AV164" i="3"/>
  <c r="AW164" i="3"/>
  <c r="AX164" i="3"/>
  <c r="AY164" i="3"/>
  <c r="AZ164" i="3"/>
  <c r="BA164" i="3"/>
  <c r="BB164" i="3"/>
  <c r="BC164" i="3"/>
  <c r="BD164" i="3"/>
  <c r="BE164" i="3"/>
  <c r="BF164" i="3"/>
  <c r="G165" i="3"/>
  <c r="H165" i="3"/>
  <c r="I165" i="3"/>
  <c r="J165" i="3"/>
  <c r="K165" i="3"/>
  <c r="L165" i="3"/>
  <c r="M165" i="3"/>
  <c r="N165" i="3"/>
  <c r="O165" i="3"/>
  <c r="P165" i="3"/>
  <c r="Q165" i="3"/>
  <c r="R165" i="3"/>
  <c r="S165" i="3"/>
  <c r="T165" i="3"/>
  <c r="U165" i="3"/>
  <c r="V165" i="3"/>
  <c r="W165" i="3"/>
  <c r="X165" i="3"/>
  <c r="Y165" i="3"/>
  <c r="Z165" i="3"/>
  <c r="AA165" i="3"/>
  <c r="AB165" i="3"/>
  <c r="AC165" i="3"/>
  <c r="AD165" i="3"/>
  <c r="AE165" i="3"/>
  <c r="AF165" i="3"/>
  <c r="AG165" i="3"/>
  <c r="AH165" i="3"/>
  <c r="AI165" i="3"/>
  <c r="AJ165" i="3"/>
  <c r="AK165" i="3"/>
  <c r="AL165" i="3"/>
  <c r="AM165" i="3"/>
  <c r="AN165" i="3"/>
  <c r="AO165" i="3"/>
  <c r="AP165" i="3"/>
  <c r="AQ165" i="3"/>
  <c r="AR165" i="3"/>
  <c r="AS165" i="3"/>
  <c r="AT165" i="3"/>
  <c r="AU165" i="3"/>
  <c r="AV165" i="3"/>
  <c r="AW165" i="3"/>
  <c r="AX165" i="3"/>
  <c r="AY165" i="3"/>
  <c r="AZ165" i="3"/>
  <c r="BA165" i="3"/>
  <c r="BB165" i="3"/>
  <c r="BC165" i="3"/>
  <c r="BD165" i="3"/>
  <c r="BE165" i="3"/>
  <c r="BF165" i="3"/>
  <c r="G166" i="3"/>
  <c r="H166" i="3"/>
  <c r="I166" i="3"/>
  <c r="J166" i="3"/>
  <c r="K166" i="3"/>
  <c r="L166" i="3"/>
  <c r="M166" i="3"/>
  <c r="N166" i="3"/>
  <c r="O166" i="3"/>
  <c r="P166" i="3"/>
  <c r="Q166" i="3"/>
  <c r="R166" i="3"/>
  <c r="S166" i="3"/>
  <c r="T166" i="3"/>
  <c r="U166" i="3"/>
  <c r="V166" i="3"/>
  <c r="W166" i="3"/>
  <c r="X166" i="3"/>
  <c r="Y166" i="3"/>
  <c r="Z166" i="3"/>
  <c r="AA166" i="3"/>
  <c r="AB166" i="3"/>
  <c r="AC166" i="3"/>
  <c r="AD166" i="3"/>
  <c r="AE166" i="3"/>
  <c r="AF166" i="3"/>
  <c r="AG166" i="3"/>
  <c r="AH166" i="3"/>
  <c r="AI166" i="3"/>
  <c r="AJ166" i="3"/>
  <c r="AK166" i="3"/>
  <c r="AL166" i="3"/>
  <c r="AM166" i="3"/>
  <c r="AN166" i="3"/>
  <c r="AO166" i="3"/>
  <c r="AP166" i="3"/>
  <c r="AQ166" i="3"/>
  <c r="AR166" i="3"/>
  <c r="AS166" i="3"/>
  <c r="AT166" i="3"/>
  <c r="AU166" i="3"/>
  <c r="AV166" i="3"/>
  <c r="AW166" i="3"/>
  <c r="AX166" i="3"/>
  <c r="AY166" i="3"/>
  <c r="AZ166" i="3"/>
  <c r="BA166" i="3"/>
  <c r="BB166" i="3"/>
  <c r="BC166" i="3"/>
  <c r="BD166" i="3"/>
  <c r="BE166" i="3"/>
  <c r="BF166" i="3"/>
  <c r="G167" i="3"/>
  <c r="H167" i="3"/>
  <c r="I167" i="3"/>
  <c r="J167" i="3"/>
  <c r="K167" i="3"/>
  <c r="L167" i="3"/>
  <c r="M167" i="3"/>
  <c r="N167" i="3"/>
  <c r="O167" i="3"/>
  <c r="P167" i="3"/>
  <c r="Q167" i="3"/>
  <c r="R167" i="3"/>
  <c r="S167" i="3"/>
  <c r="T167" i="3"/>
  <c r="U167" i="3"/>
  <c r="V167" i="3"/>
  <c r="W167" i="3"/>
  <c r="X167" i="3"/>
  <c r="Y167" i="3"/>
  <c r="Z167" i="3"/>
  <c r="AA167" i="3"/>
  <c r="AB167" i="3"/>
  <c r="AC167" i="3"/>
  <c r="AD167" i="3"/>
  <c r="AE167" i="3"/>
  <c r="AF167" i="3"/>
  <c r="AG167" i="3"/>
  <c r="AH167" i="3"/>
  <c r="AI167" i="3"/>
  <c r="AJ167" i="3"/>
  <c r="AK167" i="3"/>
  <c r="AL167" i="3"/>
  <c r="AM167" i="3"/>
  <c r="AN167" i="3"/>
  <c r="AO167" i="3"/>
  <c r="AP167" i="3"/>
  <c r="AQ167" i="3"/>
  <c r="AR167" i="3"/>
  <c r="AS167" i="3"/>
  <c r="AT167" i="3"/>
  <c r="AU167" i="3"/>
  <c r="AV167" i="3"/>
  <c r="AW167" i="3"/>
  <c r="AX167" i="3"/>
  <c r="AY167" i="3"/>
  <c r="AZ167" i="3"/>
  <c r="BA167" i="3"/>
  <c r="BB167" i="3"/>
  <c r="BC167" i="3"/>
  <c r="BD167" i="3"/>
  <c r="BE167" i="3"/>
  <c r="BF167" i="3"/>
  <c r="G168" i="3"/>
  <c r="H168" i="3"/>
  <c r="I168" i="3"/>
  <c r="J168" i="3"/>
  <c r="K168" i="3"/>
  <c r="L168" i="3"/>
  <c r="M168" i="3"/>
  <c r="N168" i="3"/>
  <c r="O168" i="3"/>
  <c r="P168" i="3"/>
  <c r="Q168" i="3"/>
  <c r="R168" i="3"/>
  <c r="S168" i="3"/>
  <c r="T168" i="3"/>
  <c r="U168" i="3"/>
  <c r="V168" i="3"/>
  <c r="W168" i="3"/>
  <c r="X168" i="3"/>
  <c r="Y168" i="3"/>
  <c r="Z168" i="3"/>
  <c r="AA168" i="3"/>
  <c r="AB168" i="3"/>
  <c r="AC168" i="3"/>
  <c r="AD168" i="3"/>
  <c r="AE168" i="3"/>
  <c r="AF168" i="3"/>
  <c r="AG168" i="3"/>
  <c r="AH168" i="3"/>
  <c r="AI168" i="3"/>
  <c r="AJ168" i="3"/>
  <c r="AK168" i="3"/>
  <c r="AL168" i="3"/>
  <c r="AM168" i="3"/>
  <c r="AN168" i="3"/>
  <c r="AO168" i="3"/>
  <c r="AP168" i="3"/>
  <c r="AQ168" i="3"/>
  <c r="AR168" i="3"/>
  <c r="AS168" i="3"/>
  <c r="AT168" i="3"/>
  <c r="AU168" i="3"/>
  <c r="AV168" i="3"/>
  <c r="AW168" i="3"/>
  <c r="AX168" i="3"/>
  <c r="AY168" i="3"/>
  <c r="AZ168" i="3"/>
  <c r="BA168" i="3"/>
  <c r="BB168" i="3"/>
  <c r="BC168" i="3"/>
  <c r="BD168" i="3"/>
  <c r="BE168" i="3"/>
  <c r="BF168" i="3"/>
  <c r="G169" i="3"/>
  <c r="H169" i="3"/>
  <c r="I169" i="3"/>
  <c r="J169" i="3"/>
  <c r="K169" i="3"/>
  <c r="L169" i="3"/>
  <c r="M169" i="3"/>
  <c r="N169" i="3"/>
  <c r="O169" i="3"/>
  <c r="P169" i="3"/>
  <c r="Q169" i="3"/>
  <c r="R169" i="3"/>
  <c r="S169" i="3"/>
  <c r="T169" i="3"/>
  <c r="U169" i="3"/>
  <c r="V169" i="3"/>
  <c r="W169" i="3"/>
  <c r="X169" i="3"/>
  <c r="Y169" i="3"/>
  <c r="Z169" i="3"/>
  <c r="AA169" i="3"/>
  <c r="AB169" i="3"/>
  <c r="AC169" i="3"/>
  <c r="AD169" i="3"/>
  <c r="AE169" i="3"/>
  <c r="AF169" i="3"/>
  <c r="AG169" i="3"/>
  <c r="AH169" i="3"/>
  <c r="AI169" i="3"/>
  <c r="AJ169" i="3"/>
  <c r="AK169" i="3"/>
  <c r="AL169" i="3"/>
  <c r="AM169" i="3"/>
  <c r="AN169" i="3"/>
  <c r="AO169" i="3"/>
  <c r="AP169" i="3"/>
  <c r="AQ169" i="3"/>
  <c r="AR169" i="3"/>
  <c r="AS169" i="3"/>
  <c r="AT169" i="3"/>
  <c r="AU169" i="3"/>
  <c r="AV169" i="3"/>
  <c r="AW169" i="3"/>
  <c r="AX169" i="3"/>
  <c r="AY169" i="3"/>
  <c r="AZ169" i="3"/>
  <c r="BA169" i="3"/>
  <c r="BB169" i="3"/>
  <c r="BC169" i="3"/>
  <c r="BD169" i="3"/>
  <c r="BE169" i="3"/>
  <c r="BF169" i="3"/>
  <c r="G170" i="3"/>
  <c r="H170" i="3"/>
  <c r="I170" i="3"/>
  <c r="J170" i="3"/>
  <c r="K170" i="3"/>
  <c r="L170" i="3"/>
  <c r="M170" i="3"/>
  <c r="N170" i="3"/>
  <c r="O170" i="3"/>
  <c r="P170" i="3"/>
  <c r="Q170" i="3"/>
  <c r="R170" i="3"/>
  <c r="S170" i="3"/>
  <c r="T170" i="3"/>
  <c r="U170" i="3"/>
  <c r="V170" i="3"/>
  <c r="W170" i="3"/>
  <c r="X170" i="3"/>
  <c r="Y170" i="3"/>
  <c r="Z170" i="3"/>
  <c r="AA170" i="3"/>
  <c r="AB170" i="3"/>
  <c r="AC170" i="3"/>
  <c r="AD170" i="3"/>
  <c r="AE170" i="3"/>
  <c r="AF170" i="3"/>
  <c r="AG170" i="3"/>
  <c r="AH170" i="3"/>
  <c r="AI170" i="3"/>
  <c r="AJ170" i="3"/>
  <c r="AK170" i="3"/>
  <c r="AL170" i="3"/>
  <c r="AM170" i="3"/>
  <c r="AN170" i="3"/>
  <c r="AO170" i="3"/>
  <c r="AP170" i="3"/>
  <c r="AQ170" i="3"/>
  <c r="AR170" i="3"/>
  <c r="AS170" i="3"/>
  <c r="AT170" i="3"/>
  <c r="AU170" i="3"/>
  <c r="AV170" i="3"/>
  <c r="AW170" i="3"/>
  <c r="AX170" i="3"/>
  <c r="AY170" i="3"/>
  <c r="AZ170" i="3"/>
  <c r="BA170" i="3"/>
  <c r="BB170" i="3"/>
  <c r="BC170" i="3"/>
  <c r="BD170" i="3"/>
  <c r="BE170" i="3"/>
  <c r="BF170" i="3"/>
  <c r="G171" i="3"/>
  <c r="H171" i="3"/>
  <c r="I171" i="3"/>
  <c r="J171" i="3"/>
  <c r="K171" i="3"/>
  <c r="L171" i="3"/>
  <c r="M171" i="3"/>
  <c r="N171" i="3"/>
  <c r="O171" i="3"/>
  <c r="P171" i="3"/>
  <c r="Q171" i="3"/>
  <c r="R171" i="3"/>
  <c r="S171" i="3"/>
  <c r="T171" i="3"/>
  <c r="U171" i="3"/>
  <c r="V171" i="3"/>
  <c r="W171" i="3"/>
  <c r="X171" i="3"/>
  <c r="Y171" i="3"/>
  <c r="Z171" i="3"/>
  <c r="AA171" i="3"/>
  <c r="AB171" i="3"/>
  <c r="AC171" i="3"/>
  <c r="AD171" i="3"/>
  <c r="AE171" i="3"/>
  <c r="AF171" i="3"/>
  <c r="AG171" i="3"/>
  <c r="AH171" i="3"/>
  <c r="AI171" i="3"/>
  <c r="AJ171" i="3"/>
  <c r="AK171" i="3"/>
  <c r="AL171" i="3"/>
  <c r="AM171" i="3"/>
  <c r="AN171" i="3"/>
  <c r="AO171" i="3"/>
  <c r="AP171" i="3"/>
  <c r="AQ171" i="3"/>
  <c r="AR171" i="3"/>
  <c r="AS171" i="3"/>
  <c r="AT171" i="3"/>
  <c r="AU171" i="3"/>
  <c r="AV171" i="3"/>
  <c r="AW171" i="3"/>
  <c r="AX171" i="3"/>
  <c r="AY171" i="3"/>
  <c r="AZ171" i="3"/>
  <c r="BA171" i="3"/>
  <c r="BB171" i="3"/>
  <c r="BC171" i="3"/>
  <c r="BD171" i="3"/>
  <c r="BE171" i="3"/>
  <c r="BF171" i="3"/>
  <c r="G172" i="3"/>
  <c r="H172" i="3"/>
  <c r="I172" i="3"/>
  <c r="J172" i="3"/>
  <c r="K172" i="3"/>
  <c r="L172" i="3"/>
  <c r="M172" i="3"/>
  <c r="N172" i="3"/>
  <c r="O172" i="3"/>
  <c r="P172" i="3"/>
  <c r="Q172" i="3"/>
  <c r="R172" i="3"/>
  <c r="S172" i="3"/>
  <c r="T172" i="3"/>
  <c r="U172" i="3"/>
  <c r="V172" i="3"/>
  <c r="W172" i="3"/>
  <c r="X172" i="3"/>
  <c r="Y172" i="3"/>
  <c r="Z172" i="3"/>
  <c r="AA172" i="3"/>
  <c r="AB172" i="3"/>
  <c r="AC172" i="3"/>
  <c r="AD172" i="3"/>
  <c r="AE172" i="3"/>
  <c r="AF172" i="3"/>
  <c r="AG172" i="3"/>
  <c r="AH172" i="3"/>
  <c r="AI172" i="3"/>
  <c r="AJ172" i="3"/>
  <c r="AK172" i="3"/>
  <c r="AL172" i="3"/>
  <c r="AM172" i="3"/>
  <c r="AN172" i="3"/>
  <c r="AO172" i="3"/>
  <c r="AP172" i="3"/>
  <c r="AQ172" i="3"/>
  <c r="AR172" i="3"/>
  <c r="AS172" i="3"/>
  <c r="AT172" i="3"/>
  <c r="AU172" i="3"/>
  <c r="AV172" i="3"/>
  <c r="AW172" i="3"/>
  <c r="AX172" i="3"/>
  <c r="AY172" i="3"/>
  <c r="AZ172" i="3"/>
  <c r="BA172" i="3"/>
  <c r="BB172" i="3"/>
  <c r="BC172" i="3"/>
  <c r="BD172" i="3"/>
  <c r="BE172" i="3"/>
  <c r="BF172" i="3"/>
  <c r="G173" i="3"/>
  <c r="H173" i="3"/>
  <c r="I173" i="3"/>
  <c r="J173" i="3"/>
  <c r="K173" i="3"/>
  <c r="L173" i="3"/>
  <c r="M173" i="3"/>
  <c r="N173" i="3"/>
  <c r="O173" i="3"/>
  <c r="P173" i="3"/>
  <c r="Q173" i="3"/>
  <c r="R173" i="3"/>
  <c r="S173" i="3"/>
  <c r="T173" i="3"/>
  <c r="U173" i="3"/>
  <c r="V173" i="3"/>
  <c r="W173" i="3"/>
  <c r="X173" i="3"/>
  <c r="Y173" i="3"/>
  <c r="Z173" i="3"/>
  <c r="AA173" i="3"/>
  <c r="AB173" i="3"/>
  <c r="AC173" i="3"/>
  <c r="AD173" i="3"/>
  <c r="AE173" i="3"/>
  <c r="AF173" i="3"/>
  <c r="AG173" i="3"/>
  <c r="AH173" i="3"/>
  <c r="AI173" i="3"/>
  <c r="AJ173" i="3"/>
  <c r="AK173" i="3"/>
  <c r="AL173" i="3"/>
  <c r="AM173" i="3"/>
  <c r="AN173" i="3"/>
  <c r="AO173" i="3"/>
  <c r="AP173" i="3"/>
  <c r="AQ173" i="3"/>
  <c r="AR173" i="3"/>
  <c r="AS173" i="3"/>
  <c r="AT173" i="3"/>
  <c r="AU173" i="3"/>
  <c r="AV173" i="3"/>
  <c r="AW173" i="3"/>
  <c r="AX173" i="3"/>
  <c r="AY173" i="3"/>
  <c r="AZ173" i="3"/>
  <c r="BA173" i="3"/>
  <c r="BB173" i="3"/>
  <c r="BC173" i="3"/>
  <c r="BD173" i="3"/>
  <c r="BE173" i="3"/>
  <c r="BF173" i="3"/>
  <c r="G174" i="3"/>
  <c r="H174" i="3"/>
  <c r="I174" i="3"/>
  <c r="J174" i="3"/>
  <c r="K174" i="3"/>
  <c r="L174" i="3"/>
  <c r="M174" i="3"/>
  <c r="N174" i="3"/>
  <c r="O174" i="3"/>
  <c r="P174" i="3"/>
  <c r="Q174" i="3"/>
  <c r="R174" i="3"/>
  <c r="S174" i="3"/>
  <c r="T174" i="3"/>
  <c r="U174" i="3"/>
  <c r="V174" i="3"/>
  <c r="W174" i="3"/>
  <c r="X174" i="3"/>
  <c r="Y174" i="3"/>
  <c r="Z174" i="3"/>
  <c r="AA174" i="3"/>
  <c r="AB174" i="3"/>
  <c r="AC174" i="3"/>
  <c r="AD174" i="3"/>
  <c r="AE174" i="3"/>
  <c r="AF174" i="3"/>
  <c r="AG174" i="3"/>
  <c r="AH174" i="3"/>
  <c r="AI174" i="3"/>
  <c r="AJ174" i="3"/>
  <c r="AK174" i="3"/>
  <c r="AL174" i="3"/>
  <c r="AM174" i="3"/>
  <c r="AN174" i="3"/>
  <c r="AO174" i="3"/>
  <c r="AP174" i="3"/>
  <c r="AQ174" i="3"/>
  <c r="AR174" i="3"/>
  <c r="AS174" i="3"/>
  <c r="AT174" i="3"/>
  <c r="AU174" i="3"/>
  <c r="AV174" i="3"/>
  <c r="AW174" i="3"/>
  <c r="AX174" i="3"/>
  <c r="AY174" i="3"/>
  <c r="AZ174" i="3"/>
  <c r="BA174" i="3"/>
  <c r="BB174" i="3"/>
  <c r="BC174" i="3"/>
  <c r="BD174" i="3"/>
  <c r="BE174" i="3"/>
  <c r="BF174" i="3"/>
  <c r="G175" i="3"/>
  <c r="H175" i="3"/>
  <c r="I175" i="3"/>
  <c r="J175" i="3"/>
  <c r="K175" i="3"/>
  <c r="L175" i="3"/>
  <c r="M175" i="3"/>
  <c r="N175" i="3"/>
  <c r="O175" i="3"/>
  <c r="P175" i="3"/>
  <c r="Q175" i="3"/>
  <c r="R175" i="3"/>
  <c r="S175" i="3"/>
  <c r="T175" i="3"/>
  <c r="U175" i="3"/>
  <c r="V175" i="3"/>
  <c r="W175" i="3"/>
  <c r="X175" i="3"/>
  <c r="Y175" i="3"/>
  <c r="Z175" i="3"/>
  <c r="AA175" i="3"/>
  <c r="AB175" i="3"/>
  <c r="AC175" i="3"/>
  <c r="AD175" i="3"/>
  <c r="AE175" i="3"/>
  <c r="AF175" i="3"/>
  <c r="AG175" i="3"/>
  <c r="AH175" i="3"/>
  <c r="AI175" i="3"/>
  <c r="AJ175" i="3"/>
  <c r="AK175" i="3"/>
  <c r="AL175" i="3"/>
  <c r="AM175" i="3"/>
  <c r="AN175" i="3"/>
  <c r="AO175" i="3"/>
  <c r="AP175" i="3"/>
  <c r="AQ175" i="3"/>
  <c r="AR175" i="3"/>
  <c r="AS175" i="3"/>
  <c r="AT175" i="3"/>
  <c r="AU175" i="3"/>
  <c r="AV175" i="3"/>
  <c r="AW175" i="3"/>
  <c r="AX175" i="3"/>
  <c r="AY175" i="3"/>
  <c r="AZ175" i="3"/>
  <c r="BA175" i="3"/>
  <c r="BB175" i="3"/>
  <c r="BC175" i="3"/>
  <c r="BD175" i="3"/>
  <c r="BE175" i="3"/>
  <c r="BF175" i="3"/>
  <c r="G176" i="3"/>
  <c r="H176" i="3"/>
  <c r="I176" i="3"/>
  <c r="J176" i="3"/>
  <c r="K176" i="3"/>
  <c r="L176" i="3"/>
  <c r="M176" i="3"/>
  <c r="N176" i="3"/>
  <c r="O176" i="3"/>
  <c r="P176" i="3"/>
  <c r="Q176" i="3"/>
  <c r="R176" i="3"/>
  <c r="S176" i="3"/>
  <c r="T176" i="3"/>
  <c r="U176" i="3"/>
  <c r="V176" i="3"/>
  <c r="W176" i="3"/>
  <c r="X176" i="3"/>
  <c r="Y176" i="3"/>
  <c r="Z176" i="3"/>
  <c r="AA176" i="3"/>
  <c r="AB176" i="3"/>
  <c r="AC176" i="3"/>
  <c r="AD176" i="3"/>
  <c r="AE176" i="3"/>
  <c r="AF176" i="3"/>
  <c r="AG176" i="3"/>
  <c r="AH176" i="3"/>
  <c r="AI176" i="3"/>
  <c r="AJ176" i="3"/>
  <c r="AK176" i="3"/>
  <c r="AL176" i="3"/>
  <c r="AM176" i="3"/>
  <c r="AN176" i="3"/>
  <c r="AO176" i="3"/>
  <c r="AP176" i="3"/>
  <c r="AQ176" i="3"/>
  <c r="AR176" i="3"/>
  <c r="AS176" i="3"/>
  <c r="AT176" i="3"/>
  <c r="AU176" i="3"/>
  <c r="AV176" i="3"/>
  <c r="AW176" i="3"/>
  <c r="AX176" i="3"/>
  <c r="AY176" i="3"/>
  <c r="AZ176" i="3"/>
  <c r="BA176" i="3"/>
  <c r="BB176" i="3"/>
  <c r="BC176" i="3"/>
  <c r="BD176" i="3"/>
  <c r="BE176" i="3"/>
  <c r="BF176" i="3"/>
  <c r="G177" i="3"/>
  <c r="H177" i="3"/>
  <c r="I177" i="3"/>
  <c r="J177" i="3"/>
  <c r="K177" i="3"/>
  <c r="L177" i="3"/>
  <c r="M177" i="3"/>
  <c r="N177" i="3"/>
  <c r="O177" i="3"/>
  <c r="P177" i="3"/>
  <c r="Q177" i="3"/>
  <c r="R177" i="3"/>
  <c r="S177" i="3"/>
  <c r="T177" i="3"/>
  <c r="U177" i="3"/>
  <c r="V177" i="3"/>
  <c r="W177" i="3"/>
  <c r="X177" i="3"/>
  <c r="Y177" i="3"/>
  <c r="Z177" i="3"/>
  <c r="AA177" i="3"/>
  <c r="AB177" i="3"/>
  <c r="AC177" i="3"/>
  <c r="AD177" i="3"/>
  <c r="AE177" i="3"/>
  <c r="AF177" i="3"/>
  <c r="AG177" i="3"/>
  <c r="AH177" i="3"/>
  <c r="AI177" i="3"/>
  <c r="AJ177" i="3"/>
  <c r="AK177" i="3"/>
  <c r="AL177" i="3"/>
  <c r="AM177" i="3"/>
  <c r="AN177" i="3"/>
  <c r="AO177" i="3"/>
  <c r="AP177" i="3"/>
  <c r="AQ177" i="3"/>
  <c r="AR177" i="3"/>
  <c r="AS177" i="3"/>
  <c r="AT177" i="3"/>
  <c r="AU177" i="3"/>
  <c r="AV177" i="3"/>
  <c r="AW177" i="3"/>
  <c r="AX177" i="3"/>
  <c r="AY177" i="3"/>
  <c r="AZ177" i="3"/>
  <c r="BA177" i="3"/>
  <c r="BB177" i="3"/>
  <c r="BC177" i="3"/>
  <c r="BD177" i="3"/>
  <c r="BE177" i="3"/>
  <c r="BF177" i="3"/>
  <c r="G178" i="3"/>
  <c r="H178" i="3"/>
  <c r="I178" i="3"/>
  <c r="J178" i="3"/>
  <c r="K178" i="3"/>
  <c r="L178" i="3"/>
  <c r="M178" i="3"/>
  <c r="N178" i="3"/>
  <c r="O178" i="3"/>
  <c r="P178" i="3"/>
  <c r="Q178" i="3"/>
  <c r="R178" i="3"/>
  <c r="S178" i="3"/>
  <c r="T178" i="3"/>
  <c r="U178" i="3"/>
  <c r="V178" i="3"/>
  <c r="W178" i="3"/>
  <c r="X178" i="3"/>
  <c r="Y178" i="3"/>
  <c r="Z178" i="3"/>
  <c r="AA178" i="3"/>
  <c r="AB178" i="3"/>
  <c r="AC178" i="3"/>
  <c r="AD178" i="3"/>
  <c r="AE178" i="3"/>
  <c r="AF178" i="3"/>
  <c r="AG178" i="3"/>
  <c r="AH178" i="3"/>
  <c r="AI178" i="3"/>
  <c r="AJ178" i="3"/>
  <c r="AK178" i="3"/>
  <c r="AL178" i="3"/>
  <c r="AM178" i="3"/>
  <c r="AN178" i="3"/>
  <c r="AO178" i="3"/>
  <c r="AP178" i="3"/>
  <c r="AQ178" i="3"/>
  <c r="AR178" i="3"/>
  <c r="AS178" i="3"/>
  <c r="AT178" i="3"/>
  <c r="AU178" i="3"/>
  <c r="AV178" i="3"/>
  <c r="AW178" i="3"/>
  <c r="AX178" i="3"/>
  <c r="AY178" i="3"/>
  <c r="AZ178" i="3"/>
  <c r="BA178" i="3"/>
  <c r="BB178" i="3"/>
  <c r="BC178" i="3"/>
  <c r="BD178" i="3"/>
  <c r="BE178" i="3"/>
  <c r="BF178" i="3"/>
  <c r="G179" i="3"/>
  <c r="H179" i="3"/>
  <c r="I179" i="3"/>
  <c r="J179" i="3"/>
  <c r="K179" i="3"/>
  <c r="L179" i="3"/>
  <c r="M179" i="3"/>
  <c r="N179" i="3"/>
  <c r="O179" i="3"/>
  <c r="P179" i="3"/>
  <c r="Q179" i="3"/>
  <c r="R179" i="3"/>
  <c r="S179" i="3"/>
  <c r="T179" i="3"/>
  <c r="U179" i="3"/>
  <c r="V179" i="3"/>
  <c r="W179" i="3"/>
  <c r="X179" i="3"/>
  <c r="Y179" i="3"/>
  <c r="Z179" i="3"/>
  <c r="AA179" i="3"/>
  <c r="AB179" i="3"/>
  <c r="AC179" i="3"/>
  <c r="AD179" i="3"/>
  <c r="AE179" i="3"/>
  <c r="AF179" i="3"/>
  <c r="AG179" i="3"/>
  <c r="AH179" i="3"/>
  <c r="AI179" i="3"/>
  <c r="AJ179" i="3"/>
  <c r="AK179" i="3"/>
  <c r="AL179" i="3"/>
  <c r="AM179" i="3"/>
  <c r="AN179" i="3"/>
  <c r="AO179" i="3"/>
  <c r="AP179" i="3"/>
  <c r="AQ179" i="3"/>
  <c r="AR179" i="3"/>
  <c r="AS179" i="3"/>
  <c r="AT179" i="3"/>
  <c r="AU179" i="3"/>
  <c r="AV179" i="3"/>
  <c r="AW179" i="3"/>
  <c r="AX179" i="3"/>
  <c r="AY179" i="3"/>
  <c r="AZ179" i="3"/>
  <c r="BA179" i="3"/>
  <c r="BB179" i="3"/>
  <c r="BC179" i="3"/>
  <c r="BD179" i="3"/>
  <c r="BE179" i="3"/>
  <c r="BF179" i="3"/>
  <c r="G180" i="3"/>
  <c r="H180" i="3"/>
  <c r="I180" i="3"/>
  <c r="J180" i="3"/>
  <c r="K180" i="3"/>
  <c r="L180" i="3"/>
  <c r="M180" i="3"/>
  <c r="N180" i="3"/>
  <c r="O180" i="3"/>
  <c r="P180" i="3"/>
  <c r="Q180" i="3"/>
  <c r="R180" i="3"/>
  <c r="S180" i="3"/>
  <c r="T180" i="3"/>
  <c r="U180" i="3"/>
  <c r="V180" i="3"/>
  <c r="W180" i="3"/>
  <c r="X180" i="3"/>
  <c r="Y180" i="3"/>
  <c r="Z180" i="3"/>
  <c r="AA180" i="3"/>
  <c r="AB180" i="3"/>
  <c r="AC180" i="3"/>
  <c r="AD180" i="3"/>
  <c r="AE180" i="3"/>
  <c r="AF180" i="3"/>
  <c r="AG180" i="3"/>
  <c r="AH180" i="3"/>
  <c r="AI180" i="3"/>
  <c r="AJ180" i="3"/>
  <c r="AK180" i="3"/>
  <c r="AL180" i="3"/>
  <c r="AM180" i="3"/>
  <c r="AN180" i="3"/>
  <c r="AO180" i="3"/>
  <c r="AP180" i="3"/>
  <c r="AQ180" i="3"/>
  <c r="AR180" i="3"/>
  <c r="AS180" i="3"/>
  <c r="AT180" i="3"/>
  <c r="AU180" i="3"/>
  <c r="AV180" i="3"/>
  <c r="AW180" i="3"/>
  <c r="AX180" i="3"/>
  <c r="AY180" i="3"/>
  <c r="AZ180" i="3"/>
  <c r="BA180" i="3"/>
  <c r="BB180" i="3"/>
  <c r="BC180" i="3"/>
  <c r="BD180" i="3"/>
  <c r="BE180" i="3"/>
  <c r="BF180" i="3"/>
  <c r="G181" i="3"/>
  <c r="H181" i="3"/>
  <c r="I181" i="3"/>
  <c r="J181" i="3"/>
  <c r="K181" i="3"/>
  <c r="L181" i="3"/>
  <c r="M181" i="3"/>
  <c r="N181" i="3"/>
  <c r="O181" i="3"/>
  <c r="P181" i="3"/>
  <c r="Q181" i="3"/>
  <c r="R181" i="3"/>
  <c r="S181" i="3"/>
  <c r="T181" i="3"/>
  <c r="U181" i="3"/>
  <c r="V181" i="3"/>
  <c r="W181" i="3"/>
  <c r="X181" i="3"/>
  <c r="Y181" i="3"/>
  <c r="Z181" i="3"/>
  <c r="AA181" i="3"/>
  <c r="AB181" i="3"/>
  <c r="AC181" i="3"/>
  <c r="AD181" i="3"/>
  <c r="AE181" i="3"/>
  <c r="AF181" i="3"/>
  <c r="AG181" i="3"/>
  <c r="AH181" i="3"/>
  <c r="AI181" i="3"/>
  <c r="AJ181" i="3"/>
  <c r="AK181" i="3"/>
  <c r="AL181" i="3"/>
  <c r="AM181" i="3"/>
  <c r="AN181" i="3"/>
  <c r="AO181" i="3"/>
  <c r="AP181" i="3"/>
  <c r="AQ181" i="3"/>
  <c r="AR181" i="3"/>
  <c r="AS181" i="3"/>
  <c r="AT181" i="3"/>
  <c r="AU181" i="3"/>
  <c r="AV181" i="3"/>
  <c r="AW181" i="3"/>
  <c r="AX181" i="3"/>
  <c r="AY181" i="3"/>
  <c r="AZ181" i="3"/>
  <c r="BA181" i="3"/>
  <c r="BB181" i="3"/>
  <c r="BC181" i="3"/>
  <c r="BD181" i="3"/>
  <c r="BE181" i="3"/>
  <c r="BF181" i="3"/>
  <c r="G182" i="3"/>
  <c r="H182" i="3"/>
  <c r="I182" i="3"/>
  <c r="J182" i="3"/>
  <c r="K182" i="3"/>
  <c r="L182" i="3"/>
  <c r="M182" i="3"/>
  <c r="N182" i="3"/>
  <c r="O182" i="3"/>
  <c r="P182" i="3"/>
  <c r="Q182" i="3"/>
  <c r="R182" i="3"/>
  <c r="S182" i="3"/>
  <c r="T182" i="3"/>
  <c r="U182" i="3"/>
  <c r="V182" i="3"/>
  <c r="W182" i="3"/>
  <c r="X182" i="3"/>
  <c r="Y182" i="3"/>
  <c r="Z182" i="3"/>
  <c r="AA182" i="3"/>
  <c r="AB182" i="3"/>
  <c r="AC182" i="3"/>
  <c r="AD182" i="3"/>
  <c r="AE182" i="3"/>
  <c r="AF182" i="3"/>
  <c r="AG182" i="3"/>
  <c r="AH182" i="3"/>
  <c r="AI182" i="3"/>
  <c r="AJ182" i="3"/>
  <c r="AK182" i="3"/>
  <c r="AL182" i="3"/>
  <c r="AM182" i="3"/>
  <c r="AN182" i="3"/>
  <c r="AO182" i="3"/>
  <c r="AP182" i="3"/>
  <c r="AQ182" i="3"/>
  <c r="AR182" i="3"/>
  <c r="AS182" i="3"/>
  <c r="AT182" i="3"/>
  <c r="AU182" i="3"/>
  <c r="AV182" i="3"/>
  <c r="AW182" i="3"/>
  <c r="AX182" i="3"/>
  <c r="AY182" i="3"/>
  <c r="AZ182" i="3"/>
  <c r="BA182" i="3"/>
  <c r="BB182" i="3"/>
  <c r="BC182" i="3"/>
  <c r="BD182" i="3"/>
  <c r="BE182" i="3"/>
  <c r="BF182" i="3"/>
  <c r="G183" i="3"/>
  <c r="H183" i="3"/>
  <c r="I183" i="3"/>
  <c r="J183" i="3"/>
  <c r="K183" i="3"/>
  <c r="L183" i="3"/>
  <c r="M183" i="3"/>
  <c r="N183" i="3"/>
  <c r="O183" i="3"/>
  <c r="P183" i="3"/>
  <c r="Q183" i="3"/>
  <c r="R183" i="3"/>
  <c r="S183" i="3"/>
  <c r="T183" i="3"/>
  <c r="U183" i="3"/>
  <c r="V183" i="3"/>
  <c r="W183" i="3"/>
  <c r="X183" i="3"/>
  <c r="Y183" i="3"/>
  <c r="Z183" i="3"/>
  <c r="AA183" i="3"/>
  <c r="AB183" i="3"/>
  <c r="AC183" i="3"/>
  <c r="AD183" i="3"/>
  <c r="AE183" i="3"/>
  <c r="AF183" i="3"/>
  <c r="AG183" i="3"/>
  <c r="AH183" i="3"/>
  <c r="AI183" i="3"/>
  <c r="AJ183" i="3"/>
  <c r="AK183" i="3"/>
  <c r="AL183" i="3"/>
  <c r="AM183" i="3"/>
  <c r="AN183" i="3"/>
  <c r="AO183" i="3"/>
  <c r="AP183" i="3"/>
  <c r="AQ183" i="3"/>
  <c r="AR183" i="3"/>
  <c r="AS183" i="3"/>
  <c r="AT183" i="3"/>
  <c r="AU183" i="3"/>
  <c r="AV183" i="3"/>
  <c r="AW183" i="3"/>
  <c r="AX183" i="3"/>
  <c r="AY183" i="3"/>
  <c r="AZ183" i="3"/>
  <c r="BA183" i="3"/>
  <c r="BB183" i="3"/>
  <c r="BC183" i="3"/>
  <c r="BD183" i="3"/>
  <c r="BE183" i="3"/>
  <c r="BF183" i="3"/>
  <c r="G184" i="3"/>
  <c r="H184" i="3"/>
  <c r="I184" i="3"/>
  <c r="J184" i="3"/>
  <c r="K184" i="3"/>
  <c r="L184" i="3"/>
  <c r="M184" i="3"/>
  <c r="N184" i="3"/>
  <c r="O184" i="3"/>
  <c r="P184" i="3"/>
  <c r="Q184" i="3"/>
  <c r="R184" i="3"/>
  <c r="S184" i="3"/>
  <c r="T184" i="3"/>
  <c r="U184" i="3"/>
  <c r="V184" i="3"/>
  <c r="W184" i="3"/>
  <c r="X184" i="3"/>
  <c r="Y184" i="3"/>
  <c r="Z184" i="3"/>
  <c r="AA184" i="3"/>
  <c r="AB184" i="3"/>
  <c r="AC184" i="3"/>
  <c r="AD184" i="3"/>
  <c r="AE184" i="3"/>
  <c r="AF184" i="3"/>
  <c r="AG184" i="3"/>
  <c r="AH184" i="3"/>
  <c r="AI184" i="3"/>
  <c r="AJ184" i="3"/>
  <c r="AK184" i="3"/>
  <c r="AL184" i="3"/>
  <c r="AM184" i="3"/>
  <c r="AN184" i="3"/>
  <c r="AO184" i="3"/>
  <c r="AP184" i="3"/>
  <c r="AQ184" i="3"/>
  <c r="AR184" i="3"/>
  <c r="AS184" i="3"/>
  <c r="AT184" i="3"/>
  <c r="AU184" i="3"/>
  <c r="AV184" i="3"/>
  <c r="AW184" i="3"/>
  <c r="AX184" i="3"/>
  <c r="AY184" i="3"/>
  <c r="AZ184" i="3"/>
  <c r="BA184" i="3"/>
  <c r="BB184" i="3"/>
  <c r="BC184" i="3"/>
  <c r="BD184" i="3"/>
  <c r="BE184" i="3"/>
  <c r="BF184" i="3"/>
  <c r="G185" i="3"/>
  <c r="H185" i="3"/>
  <c r="I185" i="3"/>
  <c r="J185" i="3"/>
  <c r="K185" i="3"/>
  <c r="L185" i="3"/>
  <c r="M185" i="3"/>
  <c r="N185" i="3"/>
  <c r="O185" i="3"/>
  <c r="P185" i="3"/>
  <c r="Q185" i="3"/>
  <c r="R185" i="3"/>
  <c r="S185" i="3"/>
  <c r="T185" i="3"/>
  <c r="U185" i="3"/>
  <c r="V185" i="3"/>
  <c r="W185" i="3"/>
  <c r="X185" i="3"/>
  <c r="Y185" i="3"/>
  <c r="Z185" i="3"/>
  <c r="AA185" i="3"/>
  <c r="AB185" i="3"/>
  <c r="AC185" i="3"/>
  <c r="AD185" i="3"/>
  <c r="AE185" i="3"/>
  <c r="AF185" i="3"/>
  <c r="AG185" i="3"/>
  <c r="AH185" i="3"/>
  <c r="AI185" i="3"/>
  <c r="AJ185" i="3"/>
  <c r="AK185" i="3"/>
  <c r="AL185" i="3"/>
  <c r="AM185" i="3"/>
  <c r="AN185" i="3"/>
  <c r="AO185" i="3"/>
  <c r="AP185" i="3"/>
  <c r="AQ185" i="3"/>
  <c r="AR185" i="3"/>
  <c r="AS185" i="3"/>
  <c r="AT185" i="3"/>
  <c r="AU185" i="3"/>
  <c r="AV185" i="3"/>
  <c r="AW185" i="3"/>
  <c r="AX185" i="3"/>
  <c r="AY185" i="3"/>
  <c r="AZ185" i="3"/>
  <c r="BA185" i="3"/>
  <c r="BB185" i="3"/>
  <c r="BC185" i="3"/>
  <c r="BD185" i="3"/>
  <c r="BE185" i="3"/>
  <c r="BF185" i="3"/>
  <c r="G186" i="3"/>
  <c r="H186" i="3"/>
  <c r="I186" i="3"/>
  <c r="J186" i="3"/>
  <c r="K186" i="3"/>
  <c r="L186" i="3"/>
  <c r="M186" i="3"/>
  <c r="N186" i="3"/>
  <c r="O186" i="3"/>
  <c r="P186" i="3"/>
  <c r="Q186" i="3"/>
  <c r="R186" i="3"/>
  <c r="S186" i="3"/>
  <c r="T186" i="3"/>
  <c r="U186" i="3"/>
  <c r="V186" i="3"/>
  <c r="W186" i="3"/>
  <c r="X186" i="3"/>
  <c r="Y186" i="3"/>
  <c r="Z186" i="3"/>
  <c r="AA186" i="3"/>
  <c r="AB186" i="3"/>
  <c r="AC186" i="3"/>
  <c r="AD186" i="3"/>
  <c r="AE186" i="3"/>
  <c r="AF186" i="3"/>
  <c r="AG186" i="3"/>
  <c r="AH186" i="3"/>
  <c r="AI186" i="3"/>
  <c r="AJ186" i="3"/>
  <c r="AK186" i="3"/>
  <c r="AL186" i="3"/>
  <c r="AM186" i="3"/>
  <c r="AN186" i="3"/>
  <c r="AO186" i="3"/>
  <c r="AP186" i="3"/>
  <c r="AQ186" i="3"/>
  <c r="AR186" i="3"/>
  <c r="AS186" i="3"/>
  <c r="AT186" i="3"/>
  <c r="AU186" i="3"/>
  <c r="AV186" i="3"/>
  <c r="AW186" i="3"/>
  <c r="AX186" i="3"/>
  <c r="AY186" i="3"/>
  <c r="AZ186" i="3"/>
  <c r="BA186" i="3"/>
  <c r="BB186" i="3"/>
  <c r="BC186" i="3"/>
  <c r="BD186" i="3"/>
  <c r="BE186" i="3"/>
  <c r="BF186" i="3"/>
  <c r="G187" i="3"/>
  <c r="H187" i="3"/>
  <c r="I187" i="3"/>
  <c r="J187" i="3"/>
  <c r="K187" i="3"/>
  <c r="L187" i="3"/>
  <c r="M187" i="3"/>
  <c r="N187" i="3"/>
  <c r="O187" i="3"/>
  <c r="P187" i="3"/>
  <c r="Q187" i="3"/>
  <c r="R187" i="3"/>
  <c r="S187" i="3"/>
  <c r="T187" i="3"/>
  <c r="U187" i="3"/>
  <c r="V187" i="3"/>
  <c r="W187" i="3"/>
  <c r="X187" i="3"/>
  <c r="Y187" i="3"/>
  <c r="Z187" i="3"/>
  <c r="AA187" i="3"/>
  <c r="AB187" i="3"/>
  <c r="AC187" i="3"/>
  <c r="AD187" i="3"/>
  <c r="AE187" i="3"/>
  <c r="AF187" i="3"/>
  <c r="AG187" i="3"/>
  <c r="AH187" i="3"/>
  <c r="AI187" i="3"/>
  <c r="AJ187" i="3"/>
  <c r="AK187" i="3"/>
  <c r="AL187" i="3"/>
  <c r="AM187" i="3"/>
  <c r="AN187" i="3"/>
  <c r="AO187" i="3"/>
  <c r="AP187" i="3"/>
  <c r="AQ187" i="3"/>
  <c r="AR187" i="3"/>
  <c r="AS187" i="3"/>
  <c r="AT187" i="3"/>
  <c r="AU187" i="3"/>
  <c r="AV187" i="3"/>
  <c r="AW187" i="3"/>
  <c r="AX187" i="3"/>
  <c r="AY187" i="3"/>
  <c r="AZ187" i="3"/>
  <c r="BA187" i="3"/>
  <c r="BB187" i="3"/>
  <c r="BC187" i="3"/>
  <c r="BD187" i="3"/>
  <c r="BE187" i="3"/>
  <c r="BF187" i="3"/>
  <c r="G188" i="3"/>
  <c r="H188" i="3"/>
  <c r="I188" i="3"/>
  <c r="J188" i="3"/>
  <c r="K188" i="3"/>
  <c r="L188" i="3"/>
  <c r="M188" i="3"/>
  <c r="N188" i="3"/>
  <c r="O188" i="3"/>
  <c r="P188" i="3"/>
  <c r="Q188" i="3"/>
  <c r="R188" i="3"/>
  <c r="S188" i="3"/>
  <c r="T188" i="3"/>
  <c r="U188" i="3"/>
  <c r="V188" i="3"/>
  <c r="W188" i="3"/>
  <c r="X188" i="3"/>
  <c r="Y188" i="3"/>
  <c r="Z188" i="3"/>
  <c r="AA188" i="3"/>
  <c r="AB188" i="3"/>
  <c r="AC188" i="3"/>
  <c r="AD188" i="3"/>
  <c r="AE188" i="3"/>
  <c r="AF188" i="3"/>
  <c r="AG188" i="3"/>
  <c r="AH188" i="3"/>
  <c r="AI188" i="3"/>
  <c r="AJ188" i="3"/>
  <c r="AK188" i="3"/>
  <c r="AL188" i="3"/>
  <c r="AM188" i="3"/>
  <c r="AN188" i="3"/>
  <c r="AO188" i="3"/>
  <c r="AP188" i="3"/>
  <c r="AQ188" i="3"/>
  <c r="AR188" i="3"/>
  <c r="AS188" i="3"/>
  <c r="AT188" i="3"/>
  <c r="AU188" i="3"/>
  <c r="AV188" i="3"/>
  <c r="AW188" i="3"/>
  <c r="AX188" i="3"/>
  <c r="AY188" i="3"/>
  <c r="AZ188" i="3"/>
  <c r="BA188" i="3"/>
  <c r="BB188" i="3"/>
  <c r="BC188" i="3"/>
  <c r="BD188" i="3"/>
  <c r="BE188" i="3"/>
  <c r="BF188" i="3"/>
  <c r="G189" i="3"/>
  <c r="H189" i="3"/>
  <c r="I189" i="3"/>
  <c r="J189" i="3"/>
  <c r="K189" i="3"/>
  <c r="L189" i="3"/>
  <c r="M189" i="3"/>
  <c r="N189" i="3"/>
  <c r="O189" i="3"/>
  <c r="P189" i="3"/>
  <c r="Q189" i="3"/>
  <c r="R189" i="3"/>
  <c r="S189" i="3"/>
  <c r="T189" i="3"/>
  <c r="U189" i="3"/>
  <c r="V189" i="3"/>
  <c r="W189" i="3"/>
  <c r="X189" i="3"/>
  <c r="Y189" i="3"/>
  <c r="Z189" i="3"/>
  <c r="AA189" i="3"/>
  <c r="AB189" i="3"/>
  <c r="AC189" i="3"/>
  <c r="AD189" i="3"/>
  <c r="AE189" i="3"/>
  <c r="AF189" i="3"/>
  <c r="AG189" i="3"/>
  <c r="AH189" i="3"/>
  <c r="AI189" i="3"/>
  <c r="AJ189" i="3"/>
  <c r="AK189" i="3"/>
  <c r="AL189" i="3"/>
  <c r="AM189" i="3"/>
  <c r="AN189" i="3"/>
  <c r="AO189" i="3"/>
  <c r="AP189" i="3"/>
  <c r="AQ189" i="3"/>
  <c r="AR189" i="3"/>
  <c r="AS189" i="3"/>
  <c r="AT189" i="3"/>
  <c r="AU189" i="3"/>
  <c r="AV189" i="3"/>
  <c r="AW189" i="3"/>
  <c r="AX189" i="3"/>
  <c r="AY189" i="3"/>
  <c r="AZ189" i="3"/>
  <c r="BA189" i="3"/>
  <c r="BB189" i="3"/>
  <c r="BC189" i="3"/>
  <c r="BD189" i="3"/>
  <c r="BE189" i="3"/>
  <c r="BF189" i="3"/>
  <c r="G190" i="3"/>
  <c r="H190" i="3"/>
  <c r="I190" i="3"/>
  <c r="J190" i="3"/>
  <c r="K190" i="3"/>
  <c r="L190" i="3"/>
  <c r="M190" i="3"/>
  <c r="N190" i="3"/>
  <c r="O190" i="3"/>
  <c r="P190" i="3"/>
  <c r="Q190" i="3"/>
  <c r="R190" i="3"/>
  <c r="S190" i="3"/>
  <c r="T190" i="3"/>
  <c r="U190" i="3"/>
  <c r="V190" i="3"/>
  <c r="W190" i="3"/>
  <c r="X190" i="3"/>
  <c r="Y190" i="3"/>
  <c r="Z190" i="3"/>
  <c r="AA190" i="3"/>
  <c r="AB190" i="3"/>
  <c r="AC190" i="3"/>
  <c r="AD190" i="3"/>
  <c r="AE190" i="3"/>
  <c r="AF190" i="3"/>
  <c r="AG190" i="3"/>
  <c r="AH190" i="3"/>
  <c r="AI190" i="3"/>
  <c r="AJ190" i="3"/>
  <c r="AK190" i="3"/>
  <c r="AL190" i="3"/>
  <c r="AM190" i="3"/>
  <c r="AN190" i="3"/>
  <c r="AO190" i="3"/>
  <c r="AP190" i="3"/>
  <c r="AQ190" i="3"/>
  <c r="AR190" i="3"/>
  <c r="AS190" i="3"/>
  <c r="AT190" i="3"/>
  <c r="AU190" i="3"/>
  <c r="AV190" i="3"/>
  <c r="AW190" i="3"/>
  <c r="AX190" i="3"/>
  <c r="AY190" i="3"/>
  <c r="AZ190" i="3"/>
  <c r="BA190" i="3"/>
  <c r="BB190" i="3"/>
  <c r="BC190" i="3"/>
  <c r="BD190" i="3"/>
  <c r="BE190" i="3"/>
  <c r="BF190" i="3"/>
  <c r="G191" i="3"/>
  <c r="H191" i="3"/>
  <c r="I191" i="3"/>
  <c r="J191" i="3"/>
  <c r="K191" i="3"/>
  <c r="L191" i="3"/>
  <c r="M191" i="3"/>
  <c r="N191" i="3"/>
  <c r="O191" i="3"/>
  <c r="P191" i="3"/>
  <c r="Q191" i="3"/>
  <c r="R191" i="3"/>
  <c r="S191" i="3"/>
  <c r="T191" i="3"/>
  <c r="U191" i="3"/>
  <c r="V191" i="3"/>
  <c r="W191" i="3"/>
  <c r="X191" i="3"/>
  <c r="Y191" i="3"/>
  <c r="Z191" i="3"/>
  <c r="AA191" i="3"/>
  <c r="AB191" i="3"/>
  <c r="AC191" i="3"/>
  <c r="AD191" i="3"/>
  <c r="AE191" i="3"/>
  <c r="AF191" i="3"/>
  <c r="AG191" i="3"/>
  <c r="AH191" i="3"/>
  <c r="AI191" i="3"/>
  <c r="AJ191" i="3"/>
  <c r="AK191" i="3"/>
  <c r="AL191" i="3"/>
  <c r="AM191" i="3"/>
  <c r="AN191" i="3"/>
  <c r="AO191" i="3"/>
  <c r="AP191" i="3"/>
  <c r="AQ191" i="3"/>
  <c r="AR191" i="3"/>
  <c r="AS191" i="3"/>
  <c r="AT191" i="3"/>
  <c r="AU191" i="3"/>
  <c r="AV191" i="3"/>
  <c r="AW191" i="3"/>
  <c r="AX191" i="3"/>
  <c r="AY191" i="3"/>
  <c r="AZ191" i="3"/>
  <c r="BA191" i="3"/>
  <c r="BB191" i="3"/>
  <c r="BC191" i="3"/>
  <c r="BD191" i="3"/>
  <c r="BE191" i="3"/>
  <c r="BF191" i="3"/>
  <c r="G192" i="3"/>
  <c r="H192" i="3"/>
  <c r="I192" i="3"/>
  <c r="J192" i="3"/>
  <c r="K192" i="3"/>
  <c r="L192" i="3"/>
  <c r="M192" i="3"/>
  <c r="N192" i="3"/>
  <c r="O192" i="3"/>
  <c r="P192" i="3"/>
  <c r="Q192" i="3"/>
  <c r="R192" i="3"/>
  <c r="S192" i="3"/>
  <c r="T192" i="3"/>
  <c r="U192" i="3"/>
  <c r="V192" i="3"/>
  <c r="W192" i="3"/>
  <c r="X192" i="3"/>
  <c r="Y192" i="3"/>
  <c r="Z192" i="3"/>
  <c r="AA192" i="3"/>
  <c r="AB192" i="3"/>
  <c r="AC192" i="3"/>
  <c r="AD192" i="3"/>
  <c r="AE192" i="3"/>
  <c r="AF192" i="3"/>
  <c r="AG192" i="3"/>
  <c r="AH192" i="3"/>
  <c r="AI192" i="3"/>
  <c r="AJ192" i="3"/>
  <c r="AK192" i="3"/>
  <c r="AL192" i="3"/>
  <c r="AM192" i="3"/>
  <c r="AN192" i="3"/>
  <c r="AO192" i="3"/>
  <c r="AP192" i="3"/>
  <c r="AQ192" i="3"/>
  <c r="AR192" i="3"/>
  <c r="AS192" i="3"/>
  <c r="AT192" i="3"/>
  <c r="AU192" i="3"/>
  <c r="AV192" i="3"/>
  <c r="AW192" i="3"/>
  <c r="AX192" i="3"/>
  <c r="AY192" i="3"/>
  <c r="AZ192" i="3"/>
  <c r="BA192" i="3"/>
  <c r="BB192" i="3"/>
  <c r="BC192" i="3"/>
  <c r="BD192" i="3"/>
  <c r="BE192" i="3"/>
  <c r="BF192" i="3"/>
  <c r="G193" i="3"/>
  <c r="H193" i="3"/>
  <c r="I193" i="3"/>
  <c r="J193" i="3"/>
  <c r="K193" i="3"/>
  <c r="L193" i="3"/>
  <c r="M193" i="3"/>
  <c r="N193" i="3"/>
  <c r="O193" i="3"/>
  <c r="P193" i="3"/>
  <c r="Q193" i="3"/>
  <c r="R193" i="3"/>
  <c r="S193" i="3"/>
  <c r="T193" i="3"/>
  <c r="U193" i="3"/>
  <c r="V193" i="3"/>
  <c r="W193" i="3"/>
  <c r="X193" i="3"/>
  <c r="Y193" i="3"/>
  <c r="Z193" i="3"/>
  <c r="AA193" i="3"/>
  <c r="AB193" i="3"/>
  <c r="AC193" i="3"/>
  <c r="AD193" i="3"/>
  <c r="AE193" i="3"/>
  <c r="AF193" i="3"/>
  <c r="AG193" i="3"/>
  <c r="AH193" i="3"/>
  <c r="AI193" i="3"/>
  <c r="AJ193" i="3"/>
  <c r="AK193" i="3"/>
  <c r="AL193" i="3"/>
  <c r="AM193" i="3"/>
  <c r="AN193" i="3"/>
  <c r="AO193" i="3"/>
  <c r="AP193" i="3"/>
  <c r="AQ193" i="3"/>
  <c r="AR193" i="3"/>
  <c r="AS193" i="3"/>
  <c r="AT193" i="3"/>
  <c r="AU193" i="3"/>
  <c r="AV193" i="3"/>
  <c r="AW193" i="3"/>
  <c r="AX193" i="3"/>
  <c r="AY193" i="3"/>
  <c r="AZ193" i="3"/>
  <c r="BA193" i="3"/>
  <c r="BB193" i="3"/>
  <c r="BC193" i="3"/>
  <c r="BD193" i="3"/>
  <c r="BE193" i="3"/>
  <c r="BF193" i="3"/>
  <c r="G194" i="3"/>
  <c r="H194" i="3"/>
  <c r="I194" i="3"/>
  <c r="J194" i="3"/>
  <c r="K194" i="3"/>
  <c r="L194" i="3"/>
  <c r="M194" i="3"/>
  <c r="N194" i="3"/>
  <c r="O194" i="3"/>
  <c r="P194" i="3"/>
  <c r="Q194" i="3"/>
  <c r="R194" i="3"/>
  <c r="S194" i="3"/>
  <c r="T194" i="3"/>
  <c r="U194" i="3"/>
  <c r="V194" i="3"/>
  <c r="W194" i="3"/>
  <c r="X194" i="3"/>
  <c r="Y194" i="3"/>
  <c r="Z194" i="3"/>
  <c r="AA194" i="3"/>
  <c r="AB194" i="3"/>
  <c r="AC194" i="3"/>
  <c r="AD194" i="3"/>
  <c r="AE194" i="3"/>
  <c r="AF194" i="3"/>
  <c r="AG194" i="3"/>
  <c r="AH194" i="3"/>
  <c r="AI194" i="3"/>
  <c r="AJ194" i="3"/>
  <c r="AK194" i="3"/>
  <c r="AL194" i="3"/>
  <c r="AM194" i="3"/>
  <c r="AN194" i="3"/>
  <c r="AO194" i="3"/>
  <c r="AP194" i="3"/>
  <c r="AQ194" i="3"/>
  <c r="AR194" i="3"/>
  <c r="AS194" i="3"/>
  <c r="AT194" i="3"/>
  <c r="AU194" i="3"/>
  <c r="AV194" i="3"/>
  <c r="AW194" i="3"/>
  <c r="AX194" i="3"/>
  <c r="AY194" i="3"/>
  <c r="AZ194" i="3"/>
  <c r="BA194" i="3"/>
  <c r="BB194" i="3"/>
  <c r="BC194" i="3"/>
  <c r="BD194" i="3"/>
  <c r="BE194" i="3"/>
  <c r="BF194" i="3"/>
  <c r="G195" i="3"/>
  <c r="H195" i="3"/>
  <c r="I195" i="3"/>
  <c r="J195" i="3"/>
  <c r="K195" i="3"/>
  <c r="L195" i="3"/>
  <c r="M195" i="3"/>
  <c r="N195" i="3"/>
  <c r="O195" i="3"/>
  <c r="P195" i="3"/>
  <c r="Q195" i="3"/>
  <c r="R195" i="3"/>
  <c r="S195" i="3"/>
  <c r="T195" i="3"/>
  <c r="U195" i="3"/>
  <c r="V195" i="3"/>
  <c r="W195" i="3"/>
  <c r="X195" i="3"/>
  <c r="Y195" i="3"/>
  <c r="Z195" i="3"/>
  <c r="AA195" i="3"/>
  <c r="AB195" i="3"/>
  <c r="AC195" i="3"/>
  <c r="AD195" i="3"/>
  <c r="AE195" i="3"/>
  <c r="AF195" i="3"/>
  <c r="AG195" i="3"/>
  <c r="AH195" i="3"/>
  <c r="AI195" i="3"/>
  <c r="AJ195" i="3"/>
  <c r="AK195" i="3"/>
  <c r="AL195" i="3"/>
  <c r="AM195" i="3"/>
  <c r="AN195" i="3"/>
  <c r="AO195" i="3"/>
  <c r="AP195" i="3"/>
  <c r="AQ195" i="3"/>
  <c r="AR195" i="3"/>
  <c r="AS195" i="3"/>
  <c r="AT195" i="3"/>
  <c r="AU195" i="3"/>
  <c r="AV195" i="3"/>
  <c r="AW195" i="3"/>
  <c r="AX195" i="3"/>
  <c r="AY195" i="3"/>
  <c r="AZ195" i="3"/>
  <c r="BA195" i="3"/>
  <c r="BB195" i="3"/>
  <c r="BC195" i="3"/>
  <c r="BD195" i="3"/>
  <c r="BE195" i="3"/>
  <c r="BF195" i="3"/>
  <c r="G196" i="3"/>
  <c r="H196" i="3"/>
  <c r="I196" i="3"/>
  <c r="J196" i="3"/>
  <c r="K196" i="3"/>
  <c r="L196" i="3"/>
  <c r="M196" i="3"/>
  <c r="N196" i="3"/>
  <c r="O196" i="3"/>
  <c r="P196" i="3"/>
  <c r="Q196" i="3"/>
  <c r="R196" i="3"/>
  <c r="S196" i="3"/>
  <c r="T196" i="3"/>
  <c r="U196" i="3"/>
  <c r="V196" i="3"/>
  <c r="W196" i="3"/>
  <c r="X196" i="3"/>
  <c r="Y196" i="3"/>
  <c r="Z196" i="3"/>
  <c r="AA196" i="3"/>
  <c r="AB196" i="3"/>
  <c r="AC196" i="3"/>
  <c r="AD196" i="3"/>
  <c r="AE196" i="3"/>
  <c r="AF196" i="3"/>
  <c r="AG196" i="3"/>
  <c r="AH196" i="3"/>
  <c r="AI196" i="3"/>
  <c r="AJ196" i="3"/>
  <c r="AK196" i="3"/>
  <c r="AL196" i="3"/>
  <c r="AM196" i="3"/>
  <c r="AN196" i="3"/>
  <c r="AO196" i="3"/>
  <c r="AP196" i="3"/>
  <c r="AQ196" i="3"/>
  <c r="AR196" i="3"/>
  <c r="AS196" i="3"/>
  <c r="AT196" i="3"/>
  <c r="AU196" i="3"/>
  <c r="AV196" i="3"/>
  <c r="AW196" i="3"/>
  <c r="AX196" i="3"/>
  <c r="AY196" i="3"/>
  <c r="AZ196" i="3"/>
  <c r="BA196" i="3"/>
  <c r="BB196" i="3"/>
  <c r="BC196" i="3"/>
  <c r="BD196" i="3"/>
  <c r="BE196" i="3"/>
  <c r="BF196" i="3"/>
  <c r="G197" i="3"/>
  <c r="H197" i="3"/>
  <c r="I197" i="3"/>
  <c r="J197" i="3"/>
  <c r="K197" i="3"/>
  <c r="L197" i="3"/>
  <c r="M197" i="3"/>
  <c r="N197" i="3"/>
  <c r="O197" i="3"/>
  <c r="P197" i="3"/>
  <c r="Q197" i="3"/>
  <c r="R197" i="3"/>
  <c r="S197" i="3"/>
  <c r="T197" i="3"/>
  <c r="U197" i="3"/>
  <c r="V197" i="3"/>
  <c r="W197" i="3"/>
  <c r="X197" i="3"/>
  <c r="Y197" i="3"/>
  <c r="Z197" i="3"/>
  <c r="AA197" i="3"/>
  <c r="AB197" i="3"/>
  <c r="AC197" i="3"/>
  <c r="AD197" i="3"/>
  <c r="AE197" i="3"/>
  <c r="AF197" i="3"/>
  <c r="AG197" i="3"/>
  <c r="AH197" i="3"/>
  <c r="AI197" i="3"/>
  <c r="AJ197" i="3"/>
  <c r="AK197" i="3"/>
  <c r="AL197" i="3"/>
  <c r="AM197" i="3"/>
  <c r="AN197" i="3"/>
  <c r="AO197" i="3"/>
  <c r="AP197" i="3"/>
  <c r="AQ197" i="3"/>
  <c r="AR197" i="3"/>
  <c r="AS197" i="3"/>
  <c r="AT197" i="3"/>
  <c r="AU197" i="3"/>
  <c r="AV197" i="3"/>
  <c r="AW197" i="3"/>
  <c r="AX197" i="3"/>
  <c r="AY197" i="3"/>
  <c r="AZ197" i="3"/>
  <c r="BA197" i="3"/>
  <c r="BB197" i="3"/>
  <c r="BC197" i="3"/>
  <c r="BD197" i="3"/>
  <c r="BE197" i="3"/>
  <c r="BF197" i="3"/>
  <c r="G198" i="3"/>
  <c r="H198" i="3"/>
  <c r="I198" i="3"/>
  <c r="J198" i="3"/>
  <c r="K198" i="3"/>
  <c r="L198" i="3"/>
  <c r="M198" i="3"/>
  <c r="N198" i="3"/>
  <c r="O198" i="3"/>
  <c r="P198" i="3"/>
  <c r="Q198" i="3"/>
  <c r="R198" i="3"/>
  <c r="S198" i="3"/>
  <c r="T198" i="3"/>
  <c r="U198" i="3"/>
  <c r="V198" i="3"/>
  <c r="W198" i="3"/>
  <c r="X198" i="3"/>
  <c r="Y198" i="3"/>
  <c r="Z198" i="3"/>
  <c r="AA198" i="3"/>
  <c r="AB198" i="3"/>
  <c r="AC198" i="3"/>
  <c r="AD198" i="3"/>
  <c r="AE198" i="3"/>
  <c r="AF198" i="3"/>
  <c r="AG198" i="3"/>
  <c r="AH198" i="3"/>
  <c r="AI198" i="3"/>
  <c r="AJ198" i="3"/>
  <c r="AK198" i="3"/>
  <c r="AL198" i="3"/>
  <c r="AM198" i="3"/>
  <c r="AN198" i="3"/>
  <c r="AO198" i="3"/>
  <c r="AP198" i="3"/>
  <c r="AQ198" i="3"/>
  <c r="AR198" i="3"/>
  <c r="AS198" i="3"/>
  <c r="AT198" i="3"/>
  <c r="AU198" i="3"/>
  <c r="AV198" i="3"/>
  <c r="AW198" i="3"/>
  <c r="AX198" i="3"/>
  <c r="AY198" i="3"/>
  <c r="AZ198" i="3"/>
  <c r="BA198" i="3"/>
  <c r="BB198" i="3"/>
  <c r="BC198" i="3"/>
  <c r="BD198" i="3"/>
  <c r="BE198" i="3"/>
  <c r="BF198" i="3"/>
  <c r="G199" i="3"/>
  <c r="H199" i="3"/>
  <c r="I199" i="3"/>
  <c r="J199" i="3"/>
  <c r="K199" i="3"/>
  <c r="L199" i="3"/>
  <c r="M199" i="3"/>
  <c r="N199" i="3"/>
  <c r="O199" i="3"/>
  <c r="P199" i="3"/>
  <c r="Q199" i="3"/>
  <c r="R199" i="3"/>
  <c r="S199" i="3"/>
  <c r="T199" i="3"/>
  <c r="U199" i="3"/>
  <c r="V199" i="3"/>
  <c r="W199" i="3"/>
  <c r="X199" i="3"/>
  <c r="Y199" i="3"/>
  <c r="Z199" i="3"/>
  <c r="AA199" i="3"/>
  <c r="AB199" i="3"/>
  <c r="AC199" i="3"/>
  <c r="AD199" i="3"/>
  <c r="AE199" i="3"/>
  <c r="AF199" i="3"/>
  <c r="AG199" i="3"/>
  <c r="AH199" i="3"/>
  <c r="AI199" i="3"/>
  <c r="AJ199" i="3"/>
  <c r="AK199" i="3"/>
  <c r="AL199" i="3"/>
  <c r="AM199" i="3"/>
  <c r="AN199" i="3"/>
  <c r="AO199" i="3"/>
  <c r="AP199" i="3"/>
  <c r="AQ199" i="3"/>
  <c r="AR199" i="3"/>
  <c r="AS199" i="3"/>
  <c r="AT199" i="3"/>
  <c r="AU199" i="3"/>
  <c r="AV199" i="3"/>
  <c r="AW199" i="3"/>
  <c r="AX199" i="3"/>
  <c r="AY199" i="3"/>
  <c r="AZ199" i="3"/>
  <c r="BA199" i="3"/>
  <c r="BB199" i="3"/>
  <c r="BC199" i="3"/>
  <c r="BD199" i="3"/>
  <c r="BE199" i="3"/>
  <c r="BF199" i="3"/>
  <c r="G200" i="3"/>
  <c r="H200" i="3"/>
  <c r="I200" i="3"/>
  <c r="J200" i="3"/>
  <c r="K200" i="3"/>
  <c r="L200" i="3"/>
  <c r="M200" i="3"/>
  <c r="N200" i="3"/>
  <c r="O200" i="3"/>
  <c r="P200" i="3"/>
  <c r="Q200" i="3"/>
  <c r="R200" i="3"/>
  <c r="S200" i="3"/>
  <c r="T200" i="3"/>
  <c r="U200" i="3"/>
  <c r="V200" i="3"/>
  <c r="W200" i="3"/>
  <c r="X200" i="3"/>
  <c r="Y200" i="3"/>
  <c r="Z200" i="3"/>
  <c r="AA200" i="3"/>
  <c r="AB200" i="3"/>
  <c r="AC200" i="3"/>
  <c r="AD200" i="3"/>
  <c r="AE200" i="3"/>
  <c r="AF200" i="3"/>
  <c r="AG200" i="3"/>
  <c r="AH200" i="3"/>
  <c r="AI200" i="3"/>
  <c r="AJ200" i="3"/>
  <c r="AK200" i="3"/>
  <c r="AL200" i="3"/>
  <c r="AM200" i="3"/>
  <c r="AN200" i="3"/>
  <c r="AO200" i="3"/>
  <c r="AP200" i="3"/>
  <c r="AQ200" i="3"/>
  <c r="AR200" i="3"/>
  <c r="AS200" i="3"/>
  <c r="AT200" i="3"/>
  <c r="AU200" i="3"/>
  <c r="AV200" i="3"/>
  <c r="AW200" i="3"/>
  <c r="AX200" i="3"/>
  <c r="AY200" i="3"/>
  <c r="AZ200" i="3"/>
  <c r="BA200" i="3"/>
  <c r="BB200" i="3"/>
  <c r="BC200" i="3"/>
  <c r="BD200" i="3"/>
  <c r="BE200" i="3"/>
  <c r="BF200" i="3"/>
  <c r="G201" i="3"/>
  <c r="H201" i="3"/>
  <c r="I201" i="3"/>
  <c r="J201" i="3"/>
  <c r="K201" i="3"/>
  <c r="L201" i="3"/>
  <c r="M201" i="3"/>
  <c r="N201" i="3"/>
  <c r="O201" i="3"/>
  <c r="P201" i="3"/>
  <c r="Q201" i="3"/>
  <c r="R201" i="3"/>
  <c r="S201" i="3"/>
  <c r="T201" i="3"/>
  <c r="U201" i="3"/>
  <c r="V201" i="3"/>
  <c r="W201" i="3"/>
  <c r="X201" i="3"/>
  <c r="Y201" i="3"/>
  <c r="Z201" i="3"/>
  <c r="AA201" i="3"/>
  <c r="AB201" i="3"/>
  <c r="AC201" i="3"/>
  <c r="AD201" i="3"/>
  <c r="AE201" i="3"/>
  <c r="AF201" i="3"/>
  <c r="AG201" i="3"/>
  <c r="AH201" i="3"/>
  <c r="AI201" i="3"/>
  <c r="AJ201" i="3"/>
  <c r="AK201" i="3"/>
  <c r="AL201" i="3"/>
  <c r="AM201" i="3"/>
  <c r="AN201" i="3"/>
  <c r="AO201" i="3"/>
  <c r="AP201" i="3"/>
  <c r="AQ201" i="3"/>
  <c r="AR201" i="3"/>
  <c r="AS201" i="3"/>
  <c r="AT201" i="3"/>
  <c r="AU201" i="3"/>
  <c r="AV201" i="3"/>
  <c r="AW201" i="3"/>
  <c r="AX201" i="3"/>
  <c r="AY201" i="3"/>
  <c r="AZ201" i="3"/>
  <c r="BA201" i="3"/>
  <c r="BB201" i="3"/>
  <c r="BC201" i="3"/>
  <c r="BD201" i="3"/>
  <c r="BE201" i="3"/>
  <c r="BF201" i="3"/>
  <c r="G202" i="3"/>
  <c r="H202" i="3"/>
  <c r="I202" i="3"/>
  <c r="J202" i="3"/>
  <c r="K202" i="3"/>
  <c r="L202" i="3"/>
  <c r="M202" i="3"/>
  <c r="N202" i="3"/>
  <c r="O202" i="3"/>
  <c r="P202" i="3"/>
  <c r="Q202" i="3"/>
  <c r="R202" i="3"/>
  <c r="S202" i="3"/>
  <c r="T202" i="3"/>
  <c r="U202" i="3"/>
  <c r="V202" i="3"/>
  <c r="W202" i="3"/>
  <c r="X202" i="3"/>
  <c r="Y202" i="3"/>
  <c r="Z202" i="3"/>
  <c r="AA202" i="3"/>
  <c r="AB202" i="3"/>
  <c r="AC202" i="3"/>
  <c r="AD202" i="3"/>
  <c r="AE202" i="3"/>
  <c r="AF202" i="3"/>
  <c r="AG202" i="3"/>
  <c r="AH202" i="3"/>
  <c r="AI202" i="3"/>
  <c r="AJ202" i="3"/>
  <c r="AK202" i="3"/>
  <c r="AL202" i="3"/>
  <c r="AM202" i="3"/>
  <c r="AN202" i="3"/>
  <c r="AO202" i="3"/>
  <c r="AP202" i="3"/>
  <c r="AQ202" i="3"/>
  <c r="AR202" i="3"/>
  <c r="AS202" i="3"/>
  <c r="AT202" i="3"/>
  <c r="AU202" i="3"/>
  <c r="AV202" i="3"/>
  <c r="AW202" i="3"/>
  <c r="AX202" i="3"/>
  <c r="AY202" i="3"/>
  <c r="AZ202" i="3"/>
  <c r="BA202" i="3"/>
  <c r="BB202" i="3"/>
  <c r="BC202" i="3"/>
  <c r="BD202" i="3"/>
  <c r="BE202" i="3"/>
  <c r="BF202" i="3"/>
  <c r="G203" i="3"/>
  <c r="H203" i="3"/>
  <c r="I203" i="3"/>
  <c r="J203" i="3"/>
  <c r="K203" i="3"/>
  <c r="L203" i="3"/>
  <c r="M203" i="3"/>
  <c r="N203" i="3"/>
  <c r="O203" i="3"/>
  <c r="P203" i="3"/>
  <c r="Q203" i="3"/>
  <c r="R203" i="3"/>
  <c r="S203" i="3"/>
  <c r="T203" i="3"/>
  <c r="U203" i="3"/>
  <c r="V203" i="3"/>
  <c r="W203" i="3"/>
  <c r="X203" i="3"/>
  <c r="Y203" i="3"/>
  <c r="Z203" i="3"/>
  <c r="AA203" i="3"/>
  <c r="AB203" i="3"/>
  <c r="AC203" i="3"/>
  <c r="AD203" i="3"/>
  <c r="AE203" i="3"/>
  <c r="AF203" i="3"/>
  <c r="AG203" i="3"/>
  <c r="AH203" i="3"/>
  <c r="AI203" i="3"/>
  <c r="AJ203" i="3"/>
  <c r="AK203" i="3"/>
  <c r="AL203" i="3"/>
  <c r="AM203" i="3"/>
  <c r="AN203" i="3"/>
  <c r="AO203" i="3"/>
  <c r="AP203" i="3"/>
  <c r="AQ203" i="3"/>
  <c r="AR203" i="3"/>
  <c r="AS203" i="3"/>
  <c r="AT203" i="3"/>
  <c r="AU203" i="3"/>
  <c r="AV203" i="3"/>
  <c r="AW203" i="3"/>
  <c r="AX203" i="3"/>
  <c r="AY203" i="3"/>
  <c r="AZ203" i="3"/>
  <c r="BA203" i="3"/>
  <c r="BB203" i="3"/>
  <c r="BC203" i="3"/>
  <c r="BD203" i="3"/>
  <c r="BE203" i="3"/>
  <c r="BF203" i="3"/>
  <c r="G204" i="3"/>
  <c r="H204" i="3"/>
  <c r="I204" i="3"/>
  <c r="J204" i="3"/>
  <c r="K204" i="3"/>
  <c r="L204" i="3"/>
  <c r="M204" i="3"/>
  <c r="N204" i="3"/>
  <c r="O204" i="3"/>
  <c r="P204" i="3"/>
  <c r="Q204" i="3"/>
  <c r="R204" i="3"/>
  <c r="S204" i="3"/>
  <c r="T204" i="3"/>
  <c r="U204" i="3"/>
  <c r="V204" i="3"/>
  <c r="W204" i="3"/>
  <c r="X204" i="3"/>
  <c r="Y204" i="3"/>
  <c r="Z204" i="3"/>
  <c r="AA204" i="3"/>
  <c r="AB204" i="3"/>
  <c r="AC204" i="3"/>
  <c r="AD204" i="3"/>
  <c r="AE204" i="3"/>
  <c r="AF204" i="3"/>
  <c r="AG204" i="3"/>
  <c r="AH204" i="3"/>
  <c r="AI204" i="3"/>
  <c r="AJ204" i="3"/>
  <c r="AK204" i="3"/>
  <c r="AL204" i="3"/>
  <c r="AM204" i="3"/>
  <c r="AN204" i="3"/>
  <c r="AO204" i="3"/>
  <c r="AP204" i="3"/>
  <c r="AQ204" i="3"/>
  <c r="AR204" i="3"/>
  <c r="AS204" i="3"/>
  <c r="AT204" i="3"/>
  <c r="AU204" i="3"/>
  <c r="AV204" i="3"/>
  <c r="AW204" i="3"/>
  <c r="AX204" i="3"/>
  <c r="AY204" i="3"/>
  <c r="AZ204" i="3"/>
  <c r="BA204" i="3"/>
  <c r="BB204" i="3"/>
  <c r="BC204" i="3"/>
  <c r="BD204" i="3"/>
  <c r="BE204" i="3"/>
  <c r="BF204" i="3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11" i="5"/>
  <c r="Z7" i="1"/>
  <c r="X41" i="5"/>
  <c r="X42" i="5"/>
  <c r="X43" i="5"/>
  <c r="X44" i="5"/>
  <c r="X45" i="5"/>
  <c r="X46" i="5"/>
  <c r="X47" i="5"/>
  <c r="X48" i="5"/>
  <c r="X49" i="5"/>
  <c r="X50" i="5"/>
  <c r="X51" i="5"/>
  <c r="X52" i="5"/>
  <c r="X53" i="5"/>
  <c r="X54" i="5"/>
  <c r="X55" i="5"/>
  <c r="X56" i="5"/>
  <c r="X57" i="5"/>
  <c r="X58" i="5"/>
  <c r="X59" i="5"/>
  <c r="X60" i="5"/>
  <c r="X61" i="5"/>
  <c r="X62" i="5"/>
  <c r="X63" i="5"/>
  <c r="X64" i="5"/>
  <c r="X65" i="5"/>
  <c r="X66" i="5"/>
  <c r="X67" i="5"/>
  <c r="X68" i="5"/>
  <c r="X69" i="5"/>
  <c r="X70" i="5"/>
  <c r="X71" i="5"/>
  <c r="X72" i="5"/>
  <c r="X73" i="5"/>
  <c r="X74" i="5"/>
  <c r="X75" i="5"/>
  <c r="X76" i="5"/>
  <c r="X77" i="5"/>
  <c r="X78" i="5"/>
  <c r="X79" i="5"/>
  <c r="X80" i="5"/>
  <c r="X81" i="5"/>
  <c r="X82" i="5"/>
  <c r="X83" i="5"/>
  <c r="X84" i="5"/>
  <c r="X85" i="5"/>
  <c r="X86" i="5"/>
  <c r="X87" i="5"/>
  <c r="X88" i="5"/>
  <c r="X89" i="5"/>
  <c r="X90" i="5"/>
  <c r="X91" i="5"/>
  <c r="X92" i="5"/>
  <c r="X93" i="5"/>
  <c r="X94" i="5"/>
  <c r="X95" i="5"/>
  <c r="X96" i="5"/>
  <c r="X97" i="5"/>
  <c r="X98" i="5"/>
  <c r="X99" i="5"/>
  <c r="X100" i="5"/>
  <c r="X101" i="5"/>
  <c r="X102" i="5"/>
  <c r="X103" i="5"/>
  <c r="X40" i="5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P17" i="5"/>
  <c r="Q17" i="5" s="1"/>
  <c r="P16" i="5"/>
  <c r="Q16" i="5" s="1"/>
  <c r="P15" i="5"/>
  <c r="Q15" i="5" s="1"/>
  <c r="P14" i="5"/>
  <c r="Q14" i="5" s="1"/>
  <c r="P13" i="5"/>
  <c r="Q13" i="5"/>
  <c r="P12" i="5"/>
  <c r="Q12" i="5" s="1"/>
  <c r="P11" i="5"/>
  <c r="Q11" i="5" s="1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11" i="5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D2" i="4"/>
  <c r="E2" i="4"/>
  <c r="F2" i="4"/>
  <c r="J2" i="4"/>
  <c r="H2" i="4" s="1"/>
  <c r="M2" i="4"/>
  <c r="N2" i="4"/>
  <c r="D3" i="4"/>
  <c r="E3" i="4"/>
  <c r="F3" i="4"/>
  <c r="J3" i="4"/>
  <c r="H3" i="4" s="1"/>
  <c r="M3" i="4"/>
  <c r="N3" i="4"/>
  <c r="D4" i="4"/>
  <c r="E4" i="4"/>
  <c r="F4" i="4"/>
  <c r="J4" i="4"/>
  <c r="H4" i="4" s="1"/>
  <c r="M4" i="4"/>
  <c r="N4" i="4"/>
  <c r="D5" i="4"/>
  <c r="E5" i="4"/>
  <c r="F5" i="4"/>
  <c r="J5" i="4"/>
  <c r="H5" i="4" s="1"/>
  <c r="M5" i="4"/>
  <c r="N5" i="4"/>
  <c r="D6" i="4"/>
  <c r="E6" i="4"/>
  <c r="F6" i="4"/>
  <c r="J6" i="4"/>
  <c r="H6" i="4" s="1"/>
  <c r="M6" i="4"/>
  <c r="N6" i="4"/>
  <c r="D7" i="4"/>
  <c r="E7" i="4"/>
  <c r="F7" i="4"/>
  <c r="J7" i="4"/>
  <c r="H7" i="4" s="1"/>
  <c r="M7" i="4"/>
  <c r="N7" i="4"/>
  <c r="D8" i="4"/>
  <c r="E8" i="4"/>
  <c r="F8" i="4"/>
  <c r="H8" i="4"/>
  <c r="J8" i="4"/>
  <c r="M8" i="4"/>
  <c r="N8" i="4"/>
  <c r="D9" i="4"/>
  <c r="E9" i="4"/>
  <c r="F9" i="4"/>
  <c r="J9" i="4"/>
  <c r="H9" i="4" s="1"/>
  <c r="M9" i="4"/>
  <c r="N9" i="4"/>
  <c r="D10" i="4"/>
  <c r="E10" i="4"/>
  <c r="F10" i="4"/>
  <c r="J10" i="4"/>
  <c r="H10" i="4" s="1"/>
  <c r="M10" i="4"/>
  <c r="N10" i="4"/>
  <c r="D11" i="4"/>
  <c r="E11" i="4"/>
  <c r="F11" i="4"/>
  <c r="J11" i="4"/>
  <c r="H11" i="4" s="1"/>
  <c r="M11" i="4"/>
  <c r="N11" i="4"/>
  <c r="D12" i="4"/>
  <c r="E12" i="4"/>
  <c r="F12" i="4"/>
  <c r="H12" i="4"/>
  <c r="J12" i="4"/>
  <c r="M12" i="4"/>
  <c r="N12" i="4"/>
  <c r="D13" i="4"/>
  <c r="E13" i="4"/>
  <c r="F13" i="4"/>
  <c r="J13" i="4"/>
  <c r="H13" i="4" s="1"/>
  <c r="M13" i="4"/>
  <c r="N13" i="4"/>
  <c r="D14" i="4"/>
  <c r="E14" i="4"/>
  <c r="F14" i="4"/>
  <c r="J14" i="4"/>
  <c r="H14" i="4" s="1"/>
  <c r="M14" i="4"/>
  <c r="N14" i="4"/>
  <c r="D15" i="4"/>
  <c r="E15" i="4"/>
  <c r="F15" i="4"/>
  <c r="J15" i="4"/>
  <c r="H15" i="4" s="1"/>
  <c r="M15" i="4"/>
  <c r="N15" i="4"/>
  <c r="D16" i="4"/>
  <c r="E16" i="4"/>
  <c r="F16" i="4"/>
  <c r="H16" i="4"/>
  <c r="J16" i="4"/>
  <c r="M16" i="4"/>
  <c r="N16" i="4"/>
  <c r="D17" i="4"/>
  <c r="E17" i="4"/>
  <c r="F17" i="4"/>
  <c r="J17" i="4"/>
  <c r="H17" i="4" s="1"/>
  <c r="M17" i="4"/>
  <c r="N17" i="4"/>
  <c r="D18" i="4"/>
  <c r="E18" i="4"/>
  <c r="F18" i="4"/>
  <c r="J18" i="4"/>
  <c r="H18" i="4" s="1"/>
  <c r="M18" i="4"/>
  <c r="N18" i="4"/>
  <c r="D19" i="4"/>
  <c r="E19" i="4"/>
  <c r="F19" i="4"/>
  <c r="J19" i="4"/>
  <c r="H19" i="4" s="1"/>
  <c r="M19" i="4"/>
  <c r="N19" i="4"/>
  <c r="D20" i="4"/>
  <c r="E20" i="4"/>
  <c r="F20" i="4"/>
  <c r="J20" i="4"/>
  <c r="H20" i="4" s="1"/>
  <c r="M20" i="4"/>
  <c r="N20" i="4"/>
  <c r="D21" i="4"/>
  <c r="E21" i="4"/>
  <c r="F21" i="4"/>
  <c r="J21" i="4"/>
  <c r="H21" i="4" s="1"/>
  <c r="M21" i="4"/>
  <c r="N21" i="4"/>
  <c r="D22" i="4"/>
  <c r="E22" i="4"/>
  <c r="F22" i="4"/>
  <c r="J22" i="4"/>
  <c r="H22" i="4" s="1"/>
  <c r="M22" i="4"/>
  <c r="N22" i="4"/>
  <c r="D23" i="4"/>
  <c r="E23" i="4"/>
  <c r="F23" i="4"/>
  <c r="J23" i="4"/>
  <c r="H23" i="4" s="1"/>
  <c r="M23" i="4"/>
  <c r="N23" i="4"/>
  <c r="J24" i="4"/>
  <c r="H24" i="4" s="1"/>
  <c r="M24" i="4"/>
  <c r="N24" i="4"/>
  <c r="D25" i="4"/>
  <c r="E25" i="4"/>
  <c r="F25" i="4"/>
  <c r="J25" i="4"/>
  <c r="H25" i="4" s="1"/>
  <c r="M25" i="4"/>
  <c r="N25" i="4"/>
  <c r="D26" i="4"/>
  <c r="E26" i="4"/>
  <c r="F26" i="4"/>
  <c r="J26" i="4"/>
  <c r="H26" i="4" s="1"/>
  <c r="M26" i="4"/>
  <c r="N26" i="4"/>
  <c r="D27" i="4"/>
  <c r="E27" i="4"/>
  <c r="F27" i="4"/>
  <c r="J27" i="4"/>
  <c r="H27" i="4" s="1"/>
  <c r="M27" i="4"/>
  <c r="N27" i="4"/>
  <c r="D28" i="4"/>
  <c r="E28" i="4"/>
  <c r="F28" i="4"/>
  <c r="J28" i="4"/>
  <c r="H28" i="4" s="1"/>
  <c r="M28" i="4"/>
  <c r="N28" i="4"/>
  <c r="D29" i="4"/>
  <c r="E29" i="4"/>
  <c r="F29" i="4"/>
  <c r="H29" i="4"/>
  <c r="J29" i="4"/>
  <c r="M29" i="4"/>
  <c r="N29" i="4"/>
  <c r="D30" i="4"/>
  <c r="E30" i="4"/>
  <c r="F30" i="4"/>
  <c r="J30" i="4"/>
  <c r="H30" i="4" s="1"/>
  <c r="M30" i="4"/>
  <c r="N30" i="4"/>
  <c r="D31" i="4"/>
  <c r="E31" i="4"/>
  <c r="F31" i="4"/>
  <c r="J31" i="4"/>
  <c r="H31" i="4" s="1"/>
  <c r="M31" i="4"/>
  <c r="N31" i="4"/>
  <c r="D32" i="4"/>
  <c r="E32" i="4"/>
  <c r="F32" i="4"/>
  <c r="J32" i="4"/>
  <c r="H32" i="4" s="1"/>
  <c r="M32" i="4"/>
  <c r="N32" i="4"/>
  <c r="D33" i="4"/>
  <c r="E33" i="4"/>
  <c r="F33" i="4"/>
  <c r="H33" i="4"/>
  <c r="J33" i="4"/>
  <c r="M33" i="4"/>
  <c r="N33" i="4"/>
  <c r="D34" i="4"/>
  <c r="E34" i="4"/>
  <c r="F34" i="4"/>
  <c r="J34" i="4"/>
  <c r="H34" i="4" s="1"/>
  <c r="M34" i="4"/>
  <c r="N34" i="4"/>
  <c r="J35" i="4"/>
  <c r="H35" i="4" s="1"/>
  <c r="M35" i="4"/>
  <c r="N35" i="4"/>
  <c r="D36" i="4"/>
  <c r="E36" i="4"/>
  <c r="F36" i="4"/>
  <c r="J36" i="4"/>
  <c r="H36" i="4" s="1"/>
  <c r="M36" i="4"/>
  <c r="N36" i="4"/>
  <c r="D37" i="4"/>
  <c r="E37" i="4"/>
  <c r="F37" i="4"/>
  <c r="J37" i="4"/>
  <c r="H37" i="4" s="1"/>
  <c r="M37" i="4"/>
  <c r="N37" i="4"/>
  <c r="D38" i="4"/>
  <c r="E38" i="4"/>
  <c r="F38" i="4"/>
  <c r="H38" i="4"/>
  <c r="J38" i="4"/>
  <c r="M38" i="4"/>
  <c r="N38" i="4"/>
  <c r="D39" i="4"/>
  <c r="E39" i="4"/>
  <c r="F39" i="4"/>
  <c r="J39" i="4"/>
  <c r="H39" i="4" s="1"/>
  <c r="M39" i="4"/>
  <c r="N39" i="4"/>
  <c r="D40" i="4"/>
  <c r="E40" i="4"/>
  <c r="F40" i="4"/>
  <c r="J40" i="4"/>
  <c r="H40" i="4" s="1"/>
  <c r="M40" i="4"/>
  <c r="N40" i="4"/>
  <c r="D41" i="4"/>
  <c r="E41" i="4"/>
  <c r="F41" i="4"/>
  <c r="H41" i="4"/>
  <c r="J41" i="4"/>
  <c r="M41" i="4"/>
  <c r="N41" i="4"/>
  <c r="D42" i="4"/>
  <c r="E42" i="4"/>
  <c r="F42" i="4"/>
  <c r="H42" i="4"/>
  <c r="J42" i="4"/>
  <c r="M42" i="4"/>
  <c r="N42" i="4"/>
  <c r="D43" i="4"/>
  <c r="E43" i="4"/>
  <c r="F43" i="4"/>
  <c r="J43" i="4"/>
  <c r="H43" i="4" s="1"/>
  <c r="M43" i="4"/>
  <c r="N43" i="4"/>
  <c r="D44" i="4"/>
  <c r="E44" i="4"/>
  <c r="F44" i="4"/>
  <c r="J44" i="4"/>
  <c r="H44" i="4" s="1"/>
  <c r="M44" i="4"/>
  <c r="N44" i="4"/>
  <c r="D45" i="4"/>
  <c r="E45" i="4"/>
  <c r="F45" i="4"/>
  <c r="J45" i="4"/>
  <c r="H45" i="4" s="1"/>
  <c r="M45" i="4"/>
  <c r="N45" i="4"/>
  <c r="D46" i="4"/>
  <c r="E46" i="4"/>
  <c r="F46" i="4"/>
  <c r="H46" i="4"/>
  <c r="J46" i="4"/>
  <c r="M46" i="4"/>
  <c r="N46" i="4"/>
  <c r="D47" i="4"/>
  <c r="E47" i="4"/>
  <c r="F47" i="4"/>
  <c r="J47" i="4"/>
  <c r="H47" i="4" s="1"/>
  <c r="M47" i="4"/>
  <c r="N47" i="4"/>
  <c r="D48" i="4"/>
  <c r="E48" i="4"/>
  <c r="F48" i="4"/>
  <c r="J48" i="4"/>
  <c r="H48" i="4" s="1"/>
  <c r="M48" i="4"/>
  <c r="N48" i="4"/>
  <c r="D49" i="4"/>
  <c r="E49" i="4"/>
  <c r="F49" i="4"/>
  <c r="H49" i="4"/>
  <c r="J49" i="4"/>
  <c r="M49" i="4"/>
  <c r="N49" i="4"/>
  <c r="D50" i="4"/>
  <c r="E50" i="4"/>
  <c r="F50" i="4"/>
  <c r="H50" i="4"/>
  <c r="J50" i="4"/>
  <c r="M50" i="4"/>
  <c r="N50" i="4"/>
  <c r="D51" i="4"/>
  <c r="E51" i="4"/>
  <c r="F51" i="4"/>
  <c r="J51" i="4"/>
  <c r="H51" i="4" s="1"/>
  <c r="M51" i="4"/>
  <c r="N51" i="4"/>
  <c r="D52" i="4"/>
  <c r="E52" i="4"/>
  <c r="F52" i="4"/>
  <c r="J52" i="4"/>
  <c r="H52" i="4" s="1"/>
  <c r="M52" i="4"/>
  <c r="N52" i="4"/>
  <c r="D53" i="4"/>
  <c r="E53" i="4"/>
  <c r="F53" i="4"/>
  <c r="J53" i="4"/>
  <c r="H53" i="4" s="1"/>
  <c r="M53" i="4"/>
  <c r="N53" i="4"/>
  <c r="D54" i="4"/>
  <c r="E54" i="4"/>
  <c r="F54" i="4"/>
  <c r="H54" i="4"/>
  <c r="J54" i="4"/>
  <c r="M54" i="4"/>
  <c r="N54" i="4"/>
  <c r="D55" i="4"/>
  <c r="E55" i="4"/>
  <c r="F55" i="4"/>
  <c r="J55" i="4"/>
  <c r="H55" i="4" s="1"/>
  <c r="M55" i="4"/>
  <c r="N55" i="4"/>
  <c r="D56" i="4"/>
  <c r="E56" i="4"/>
  <c r="F56" i="4"/>
  <c r="J56" i="4"/>
  <c r="H56" i="4" s="1"/>
  <c r="M56" i="4"/>
  <c r="N56" i="4"/>
  <c r="D57" i="4"/>
  <c r="E57" i="4"/>
  <c r="F57" i="4"/>
  <c r="H57" i="4"/>
  <c r="J57" i="4"/>
  <c r="M57" i="4"/>
  <c r="N57" i="4"/>
  <c r="D58" i="4"/>
  <c r="E58" i="4"/>
  <c r="F58" i="4"/>
  <c r="H58" i="4"/>
  <c r="J58" i="4"/>
  <c r="M58" i="4"/>
  <c r="N58" i="4"/>
  <c r="D59" i="4"/>
  <c r="E59" i="4"/>
  <c r="F59" i="4"/>
  <c r="J59" i="4"/>
  <c r="H59" i="4" s="1"/>
  <c r="M59" i="4"/>
  <c r="N59" i="4"/>
  <c r="D60" i="4"/>
  <c r="E60" i="4"/>
  <c r="F60" i="4"/>
  <c r="J60" i="4"/>
  <c r="H60" i="4" s="1"/>
  <c r="M60" i="4"/>
  <c r="N60" i="4"/>
  <c r="D61" i="4"/>
  <c r="E61" i="4"/>
  <c r="F61" i="4"/>
  <c r="J61" i="4"/>
  <c r="H61" i="4" s="1"/>
  <c r="M61" i="4"/>
  <c r="N61" i="4"/>
  <c r="D62" i="4"/>
  <c r="E62" i="4"/>
  <c r="F62" i="4"/>
  <c r="H62" i="4"/>
  <c r="J62" i="4"/>
  <c r="M62" i="4"/>
  <c r="N62" i="4"/>
  <c r="D63" i="4"/>
  <c r="E63" i="4"/>
  <c r="F63" i="4"/>
  <c r="J63" i="4"/>
  <c r="H63" i="4" s="1"/>
  <c r="M63" i="4"/>
  <c r="N63" i="4"/>
  <c r="D64" i="4"/>
  <c r="E64" i="4"/>
  <c r="F64" i="4"/>
  <c r="J64" i="4"/>
  <c r="H64" i="4" s="1"/>
  <c r="M64" i="4"/>
  <c r="N64" i="4"/>
  <c r="D65" i="4"/>
  <c r="E65" i="4"/>
  <c r="F65" i="4"/>
  <c r="J65" i="4"/>
  <c r="H65" i="4" s="1"/>
  <c r="M65" i="4"/>
  <c r="N65" i="4"/>
  <c r="D66" i="4"/>
  <c r="E66" i="4"/>
  <c r="F66" i="4"/>
  <c r="J66" i="4"/>
  <c r="H66" i="4" s="1"/>
  <c r="M66" i="4"/>
  <c r="N66" i="4"/>
  <c r="D67" i="4"/>
  <c r="E67" i="4"/>
  <c r="F67" i="4"/>
  <c r="J67" i="4"/>
  <c r="H67" i="4" s="1"/>
  <c r="M67" i="4"/>
  <c r="N67" i="4"/>
  <c r="D68" i="4"/>
  <c r="E68" i="4"/>
  <c r="F68" i="4"/>
  <c r="H68" i="4"/>
  <c r="J68" i="4"/>
  <c r="M68" i="4"/>
  <c r="N68" i="4"/>
  <c r="D69" i="4"/>
  <c r="E69" i="4"/>
  <c r="F69" i="4"/>
  <c r="J69" i="4"/>
  <c r="H69" i="4" s="1"/>
  <c r="M69" i="4"/>
  <c r="N69" i="4"/>
  <c r="D70" i="4"/>
  <c r="E70" i="4"/>
  <c r="F70" i="4"/>
  <c r="H70" i="4"/>
  <c r="J70" i="4"/>
  <c r="M70" i="4"/>
  <c r="N70" i="4"/>
  <c r="D71" i="4"/>
  <c r="E71" i="4"/>
  <c r="F71" i="4"/>
  <c r="J71" i="4"/>
  <c r="H71" i="4" s="1"/>
  <c r="M71" i="4"/>
  <c r="N71" i="4"/>
  <c r="D72" i="4"/>
  <c r="E72" i="4"/>
  <c r="F72" i="4"/>
  <c r="H72" i="4"/>
  <c r="J72" i="4"/>
  <c r="M72" i="4"/>
  <c r="N72" i="4"/>
  <c r="D73" i="4"/>
  <c r="E73" i="4"/>
  <c r="F73" i="4"/>
  <c r="J73" i="4"/>
  <c r="H73" i="4" s="1"/>
  <c r="M73" i="4"/>
  <c r="N73" i="4"/>
  <c r="D74" i="4"/>
  <c r="E74" i="4"/>
  <c r="F74" i="4"/>
  <c r="J74" i="4"/>
  <c r="H74" i="4" s="1"/>
  <c r="M74" i="4"/>
  <c r="N74" i="4"/>
  <c r="D75" i="4"/>
  <c r="E75" i="4"/>
  <c r="F75" i="4"/>
  <c r="J75" i="4"/>
  <c r="H75" i="4" s="1"/>
  <c r="M75" i="4"/>
  <c r="N75" i="4"/>
  <c r="D76" i="4"/>
  <c r="E76" i="4"/>
  <c r="F76" i="4"/>
  <c r="H76" i="4"/>
  <c r="J76" i="4"/>
  <c r="M76" i="4"/>
  <c r="N76" i="4"/>
  <c r="D77" i="4"/>
  <c r="E77" i="4"/>
  <c r="F77" i="4"/>
  <c r="J77" i="4"/>
  <c r="H77" i="4" s="1"/>
  <c r="M77" i="4"/>
  <c r="N77" i="4"/>
  <c r="D78" i="4"/>
  <c r="E78" i="4"/>
  <c r="F78" i="4"/>
  <c r="H78" i="4"/>
  <c r="J78" i="4"/>
  <c r="M78" i="4"/>
  <c r="N78" i="4"/>
  <c r="D79" i="4"/>
  <c r="E79" i="4"/>
  <c r="F79" i="4"/>
  <c r="J79" i="4"/>
  <c r="H79" i="4" s="1"/>
  <c r="M79" i="4"/>
  <c r="N79" i="4"/>
  <c r="D80" i="4"/>
  <c r="E80" i="4"/>
  <c r="F80" i="4"/>
  <c r="H80" i="4"/>
  <c r="J80" i="4"/>
  <c r="M80" i="4"/>
  <c r="N80" i="4"/>
  <c r="D81" i="4"/>
  <c r="E81" i="4"/>
  <c r="F81" i="4"/>
  <c r="J81" i="4"/>
  <c r="H81" i="4" s="1"/>
  <c r="M81" i="4"/>
  <c r="N81" i="4"/>
  <c r="D82" i="4"/>
  <c r="E82" i="4"/>
  <c r="F82" i="4"/>
  <c r="J82" i="4"/>
  <c r="H82" i="4" s="1"/>
  <c r="M82" i="4"/>
  <c r="N82" i="4"/>
  <c r="D83" i="4"/>
  <c r="E83" i="4"/>
  <c r="F83" i="4"/>
  <c r="J83" i="4"/>
  <c r="H83" i="4" s="1"/>
  <c r="M83" i="4"/>
  <c r="N83" i="4"/>
  <c r="D84" i="4"/>
  <c r="E84" i="4"/>
  <c r="F84" i="4"/>
  <c r="H84" i="4"/>
  <c r="J84" i="4"/>
  <c r="M84" i="4"/>
  <c r="N84" i="4"/>
  <c r="D85" i="4"/>
  <c r="E85" i="4"/>
  <c r="F85" i="4"/>
  <c r="J85" i="4"/>
  <c r="H85" i="4" s="1"/>
  <c r="M85" i="4"/>
  <c r="N85" i="4"/>
  <c r="D86" i="4"/>
  <c r="E86" i="4"/>
  <c r="F86" i="4"/>
  <c r="H86" i="4"/>
  <c r="J86" i="4"/>
  <c r="M86" i="4"/>
  <c r="N86" i="4"/>
  <c r="D87" i="4"/>
  <c r="E87" i="4"/>
  <c r="F87" i="4"/>
  <c r="J87" i="4"/>
  <c r="H87" i="4" s="1"/>
  <c r="M87" i="4"/>
  <c r="N87" i="4"/>
  <c r="D88" i="4"/>
  <c r="E88" i="4"/>
  <c r="F88" i="4"/>
  <c r="H88" i="4"/>
  <c r="J88" i="4"/>
  <c r="M88" i="4"/>
  <c r="N88" i="4"/>
  <c r="D89" i="4"/>
  <c r="E89" i="4"/>
  <c r="F89" i="4"/>
  <c r="J89" i="4"/>
  <c r="H89" i="4" s="1"/>
  <c r="M89" i="4"/>
  <c r="N89" i="4"/>
  <c r="D90" i="4"/>
  <c r="E90" i="4"/>
  <c r="F90" i="4"/>
  <c r="J90" i="4"/>
  <c r="H90" i="4" s="1"/>
  <c r="M90" i="4"/>
  <c r="N90" i="4"/>
  <c r="D91" i="4"/>
  <c r="E91" i="4"/>
  <c r="F91" i="4"/>
  <c r="J91" i="4"/>
  <c r="H91" i="4" s="1"/>
  <c r="M91" i="4"/>
  <c r="N91" i="4"/>
  <c r="D92" i="4"/>
  <c r="E92" i="4"/>
  <c r="F92" i="4"/>
  <c r="H92" i="4"/>
  <c r="J92" i="4"/>
  <c r="M92" i="4"/>
  <c r="N92" i="4"/>
  <c r="D93" i="4"/>
  <c r="E93" i="4"/>
  <c r="F93" i="4"/>
  <c r="J93" i="4"/>
  <c r="H93" i="4" s="1"/>
  <c r="M93" i="4"/>
  <c r="N93" i="4"/>
  <c r="D94" i="4"/>
  <c r="E94" i="4"/>
  <c r="F94" i="4"/>
  <c r="H94" i="4"/>
  <c r="J94" i="4"/>
  <c r="M94" i="4"/>
  <c r="N94" i="4"/>
  <c r="D95" i="4"/>
  <c r="E95" i="4"/>
  <c r="F95" i="4"/>
  <c r="J95" i="4"/>
  <c r="H95" i="4" s="1"/>
  <c r="M95" i="4"/>
  <c r="N95" i="4"/>
  <c r="D96" i="4"/>
  <c r="E96" i="4"/>
  <c r="F96" i="4"/>
  <c r="H96" i="4"/>
  <c r="J96" i="4"/>
  <c r="M96" i="4"/>
  <c r="N96" i="4"/>
  <c r="D97" i="4"/>
  <c r="E97" i="4"/>
  <c r="F97" i="4"/>
  <c r="J97" i="4"/>
  <c r="H97" i="4" s="1"/>
  <c r="M97" i="4"/>
  <c r="N97" i="4"/>
  <c r="D98" i="4"/>
  <c r="E98" i="4"/>
  <c r="F98" i="4"/>
  <c r="J98" i="4"/>
  <c r="H98" i="4" s="1"/>
  <c r="M98" i="4"/>
  <c r="N98" i="4"/>
  <c r="D99" i="4"/>
  <c r="E99" i="4"/>
  <c r="F99" i="4"/>
  <c r="J99" i="4"/>
  <c r="H99" i="4" s="1"/>
  <c r="M99" i="4"/>
  <c r="N99" i="4"/>
  <c r="D100" i="4"/>
  <c r="E100" i="4"/>
  <c r="F100" i="4"/>
  <c r="H100" i="4"/>
  <c r="J100" i="4"/>
  <c r="M100" i="4"/>
  <c r="N100" i="4"/>
  <c r="D101" i="4"/>
  <c r="E101" i="4"/>
  <c r="F101" i="4"/>
  <c r="J101" i="4"/>
  <c r="H101" i="4" s="1"/>
  <c r="M101" i="4"/>
  <c r="N101" i="4"/>
  <c r="D102" i="4"/>
  <c r="E102" i="4"/>
  <c r="F102" i="4"/>
  <c r="H102" i="4"/>
  <c r="J102" i="4"/>
  <c r="M102" i="4"/>
  <c r="N102" i="4"/>
  <c r="D103" i="4"/>
  <c r="E103" i="4"/>
  <c r="F103" i="4"/>
  <c r="J103" i="4"/>
  <c r="H103" i="4" s="1"/>
  <c r="M103" i="4"/>
  <c r="N103" i="4"/>
  <c r="D104" i="4"/>
  <c r="E104" i="4"/>
  <c r="F104" i="4"/>
  <c r="H104" i="4"/>
  <c r="J104" i="4"/>
  <c r="M104" i="4"/>
  <c r="N104" i="4"/>
  <c r="D105" i="4"/>
  <c r="E105" i="4"/>
  <c r="F105" i="4"/>
  <c r="J105" i="4"/>
  <c r="H105" i="4" s="1"/>
  <c r="M105" i="4"/>
  <c r="N105" i="4"/>
  <c r="D106" i="4"/>
  <c r="E106" i="4"/>
  <c r="F106" i="4"/>
  <c r="J106" i="4"/>
  <c r="H106" i="4" s="1"/>
  <c r="M106" i="4"/>
  <c r="N106" i="4"/>
  <c r="D107" i="4"/>
  <c r="E107" i="4"/>
  <c r="F107" i="4"/>
  <c r="J107" i="4"/>
  <c r="H107" i="4" s="1"/>
  <c r="M107" i="4"/>
  <c r="N107" i="4"/>
  <c r="D108" i="4"/>
  <c r="E108" i="4"/>
  <c r="F108" i="4"/>
  <c r="H108" i="4"/>
  <c r="J108" i="4"/>
  <c r="M108" i="4"/>
  <c r="N108" i="4"/>
  <c r="D109" i="4"/>
  <c r="E109" i="4"/>
  <c r="F109" i="4"/>
  <c r="J109" i="4"/>
  <c r="H109" i="4" s="1"/>
  <c r="M109" i="4"/>
  <c r="N109" i="4"/>
  <c r="D110" i="4"/>
  <c r="E110" i="4"/>
  <c r="F110" i="4"/>
  <c r="H110" i="4"/>
  <c r="J110" i="4"/>
  <c r="M110" i="4"/>
  <c r="N110" i="4"/>
  <c r="D111" i="4"/>
  <c r="E111" i="4"/>
  <c r="F111" i="4"/>
  <c r="J111" i="4"/>
  <c r="H111" i="4" s="1"/>
  <c r="M111" i="4"/>
  <c r="N111" i="4"/>
  <c r="D112" i="4"/>
  <c r="E112" i="4"/>
  <c r="F112" i="4"/>
  <c r="H112" i="4"/>
  <c r="J112" i="4"/>
  <c r="M112" i="4"/>
  <c r="N112" i="4"/>
  <c r="D113" i="4"/>
  <c r="E113" i="4"/>
  <c r="F113" i="4"/>
  <c r="J113" i="4"/>
  <c r="H113" i="4" s="1"/>
  <c r="M113" i="4"/>
  <c r="N113" i="4"/>
  <c r="D114" i="4"/>
  <c r="E114" i="4"/>
  <c r="F114" i="4"/>
  <c r="J114" i="4"/>
  <c r="H114" i="4" s="1"/>
  <c r="M114" i="4"/>
  <c r="N114" i="4"/>
  <c r="D115" i="4"/>
  <c r="E115" i="4"/>
  <c r="F115" i="4"/>
  <c r="J115" i="4"/>
  <c r="H115" i="4" s="1"/>
  <c r="M115" i="4"/>
  <c r="N115" i="4"/>
  <c r="D116" i="4"/>
  <c r="E116" i="4"/>
  <c r="F116" i="4"/>
  <c r="H116" i="4"/>
  <c r="J116" i="4"/>
  <c r="M116" i="4"/>
  <c r="N116" i="4"/>
  <c r="D117" i="4"/>
  <c r="E117" i="4"/>
  <c r="F117" i="4"/>
  <c r="J117" i="4"/>
  <c r="H117" i="4" s="1"/>
  <c r="M117" i="4"/>
  <c r="N117" i="4"/>
  <c r="D118" i="4"/>
  <c r="E118" i="4"/>
  <c r="F118" i="4"/>
  <c r="H118" i="4"/>
  <c r="J118" i="4"/>
  <c r="M118" i="4"/>
  <c r="N118" i="4"/>
  <c r="D119" i="4"/>
  <c r="E119" i="4"/>
  <c r="F119" i="4"/>
  <c r="J119" i="4"/>
  <c r="H119" i="4" s="1"/>
  <c r="M119" i="4"/>
  <c r="N119" i="4"/>
  <c r="D120" i="4"/>
  <c r="E120" i="4"/>
  <c r="F120" i="4"/>
  <c r="H120" i="4"/>
  <c r="J120" i="4"/>
  <c r="M120" i="4"/>
  <c r="N120" i="4"/>
  <c r="D121" i="4"/>
  <c r="E121" i="4"/>
  <c r="F121" i="4"/>
  <c r="J121" i="4"/>
  <c r="H121" i="4" s="1"/>
  <c r="M121" i="4"/>
  <c r="N121" i="4"/>
  <c r="D122" i="4"/>
  <c r="E122" i="4"/>
  <c r="F122" i="4"/>
  <c r="J122" i="4"/>
  <c r="H122" i="4" s="1"/>
  <c r="M122" i="4"/>
  <c r="N122" i="4"/>
  <c r="D123" i="4"/>
  <c r="E123" i="4"/>
  <c r="F123" i="4"/>
  <c r="J123" i="4"/>
  <c r="H123" i="4" s="1"/>
  <c r="M123" i="4"/>
  <c r="N123" i="4"/>
  <c r="D124" i="4"/>
  <c r="E124" i="4"/>
  <c r="F124" i="4"/>
  <c r="H124" i="4"/>
  <c r="J124" i="4"/>
  <c r="M124" i="4"/>
  <c r="N124" i="4"/>
  <c r="D125" i="4"/>
  <c r="E125" i="4"/>
  <c r="F125" i="4"/>
  <c r="J125" i="4"/>
  <c r="H125" i="4" s="1"/>
  <c r="M125" i="4"/>
  <c r="N125" i="4"/>
  <c r="D126" i="4"/>
  <c r="E126" i="4"/>
  <c r="F126" i="4"/>
  <c r="H126" i="4"/>
  <c r="J126" i="4"/>
  <c r="M126" i="4"/>
  <c r="N126" i="4"/>
  <c r="D127" i="4"/>
  <c r="E127" i="4"/>
  <c r="F127" i="4"/>
  <c r="J127" i="4"/>
  <c r="H127" i="4" s="1"/>
  <c r="M127" i="4"/>
  <c r="N127" i="4"/>
  <c r="D128" i="4"/>
  <c r="E128" i="4"/>
  <c r="F128" i="4"/>
  <c r="H128" i="4"/>
  <c r="J128" i="4"/>
  <c r="M128" i="4"/>
  <c r="N128" i="4"/>
  <c r="D129" i="4"/>
  <c r="E129" i="4"/>
  <c r="F129" i="4"/>
  <c r="J129" i="4"/>
  <c r="H129" i="4" s="1"/>
  <c r="M129" i="4"/>
  <c r="N129" i="4"/>
  <c r="D130" i="4"/>
  <c r="E130" i="4"/>
  <c r="F130" i="4"/>
  <c r="J130" i="4"/>
  <c r="H130" i="4" s="1"/>
  <c r="M130" i="4"/>
  <c r="N130" i="4"/>
  <c r="D131" i="4"/>
  <c r="E131" i="4"/>
  <c r="F131" i="4"/>
  <c r="J131" i="4"/>
  <c r="H131" i="4" s="1"/>
  <c r="M131" i="4"/>
  <c r="N131" i="4"/>
  <c r="D132" i="4"/>
  <c r="E132" i="4"/>
  <c r="F132" i="4"/>
  <c r="H132" i="4"/>
  <c r="J132" i="4"/>
  <c r="M132" i="4"/>
  <c r="N132" i="4"/>
  <c r="D133" i="4"/>
  <c r="E133" i="4"/>
  <c r="F133" i="4"/>
  <c r="J133" i="4"/>
  <c r="H133" i="4" s="1"/>
  <c r="M133" i="4"/>
  <c r="N133" i="4"/>
  <c r="D134" i="4"/>
  <c r="E134" i="4"/>
  <c r="F134" i="4"/>
  <c r="H134" i="4"/>
  <c r="J134" i="4"/>
  <c r="M134" i="4"/>
  <c r="N134" i="4"/>
  <c r="D135" i="4"/>
  <c r="E135" i="4"/>
  <c r="F135" i="4"/>
  <c r="J135" i="4"/>
  <c r="H135" i="4" s="1"/>
  <c r="M135" i="4"/>
  <c r="N135" i="4"/>
  <c r="D136" i="4"/>
  <c r="E136" i="4"/>
  <c r="F136" i="4"/>
  <c r="H136" i="4"/>
  <c r="J136" i="4"/>
  <c r="M136" i="4"/>
  <c r="N136" i="4"/>
  <c r="D137" i="4"/>
  <c r="E137" i="4"/>
  <c r="F137" i="4"/>
  <c r="J137" i="4"/>
  <c r="H137" i="4" s="1"/>
  <c r="M137" i="4"/>
  <c r="N137" i="4"/>
  <c r="D138" i="4"/>
  <c r="E138" i="4"/>
  <c r="F138" i="4"/>
  <c r="J138" i="4"/>
  <c r="H138" i="4" s="1"/>
  <c r="M138" i="4"/>
  <c r="N138" i="4"/>
  <c r="D139" i="4"/>
  <c r="E139" i="4"/>
  <c r="F139" i="4"/>
  <c r="J139" i="4"/>
  <c r="H139" i="4" s="1"/>
  <c r="M139" i="4"/>
  <c r="N139" i="4"/>
  <c r="D140" i="4"/>
  <c r="E140" i="4"/>
  <c r="F140" i="4"/>
  <c r="H140" i="4"/>
  <c r="J140" i="4"/>
  <c r="M140" i="4"/>
  <c r="N140" i="4"/>
  <c r="D141" i="4"/>
  <c r="E141" i="4"/>
  <c r="F141" i="4"/>
  <c r="J141" i="4"/>
  <c r="H141" i="4" s="1"/>
  <c r="M141" i="4"/>
  <c r="N141" i="4"/>
  <c r="D142" i="4"/>
  <c r="E142" i="4"/>
  <c r="F142" i="4"/>
  <c r="H142" i="4"/>
  <c r="J142" i="4"/>
  <c r="M142" i="4"/>
  <c r="N142" i="4"/>
  <c r="D143" i="4"/>
  <c r="E143" i="4"/>
  <c r="F143" i="4"/>
  <c r="J143" i="4"/>
  <c r="H143" i="4" s="1"/>
  <c r="M143" i="4"/>
  <c r="N143" i="4"/>
  <c r="D144" i="4"/>
  <c r="E144" i="4"/>
  <c r="F144" i="4"/>
  <c r="H144" i="4"/>
  <c r="J144" i="4"/>
  <c r="M144" i="4"/>
  <c r="N144" i="4"/>
  <c r="D145" i="4"/>
  <c r="E145" i="4"/>
  <c r="F145" i="4"/>
  <c r="J145" i="4"/>
  <c r="H145" i="4" s="1"/>
  <c r="M145" i="4"/>
  <c r="N145" i="4"/>
  <c r="D146" i="4"/>
  <c r="E146" i="4"/>
  <c r="F146" i="4"/>
  <c r="J146" i="4"/>
  <c r="H146" i="4" s="1"/>
  <c r="M146" i="4"/>
  <c r="N146" i="4"/>
  <c r="D147" i="4"/>
  <c r="E147" i="4"/>
  <c r="F147" i="4"/>
  <c r="J147" i="4"/>
  <c r="H147" i="4" s="1"/>
  <c r="M147" i="4"/>
  <c r="N147" i="4"/>
  <c r="D148" i="4"/>
  <c r="E148" i="4"/>
  <c r="F148" i="4"/>
  <c r="H148" i="4"/>
  <c r="J148" i="4"/>
  <c r="M148" i="4"/>
  <c r="N148" i="4"/>
  <c r="D149" i="4"/>
  <c r="E149" i="4"/>
  <c r="F149" i="4"/>
  <c r="J149" i="4"/>
  <c r="H149" i="4" s="1"/>
  <c r="M149" i="4"/>
  <c r="N149" i="4"/>
  <c r="D150" i="4"/>
  <c r="E150" i="4"/>
  <c r="F150" i="4"/>
  <c r="H150" i="4"/>
  <c r="J150" i="4"/>
  <c r="M150" i="4"/>
  <c r="N150" i="4"/>
  <c r="D151" i="4"/>
  <c r="E151" i="4"/>
  <c r="F151" i="4"/>
  <c r="J151" i="4"/>
  <c r="H151" i="4" s="1"/>
  <c r="M151" i="4"/>
  <c r="N151" i="4"/>
  <c r="D152" i="4"/>
  <c r="E152" i="4"/>
  <c r="F152" i="4"/>
  <c r="H152" i="4"/>
  <c r="J152" i="4"/>
  <c r="M152" i="4"/>
  <c r="N152" i="4"/>
  <c r="D153" i="4"/>
  <c r="E153" i="4"/>
  <c r="F153" i="4"/>
  <c r="J153" i="4"/>
  <c r="H153" i="4" s="1"/>
  <c r="M153" i="4"/>
  <c r="N153" i="4"/>
  <c r="D154" i="4"/>
  <c r="E154" i="4"/>
  <c r="F154" i="4"/>
  <c r="J154" i="4"/>
  <c r="H154" i="4" s="1"/>
  <c r="M154" i="4"/>
  <c r="N154" i="4"/>
  <c r="D155" i="4"/>
  <c r="E155" i="4"/>
  <c r="F155" i="4"/>
  <c r="J155" i="4"/>
  <c r="H155" i="4" s="1"/>
  <c r="M155" i="4"/>
  <c r="N155" i="4"/>
  <c r="D156" i="4"/>
  <c r="E156" i="4"/>
  <c r="F156" i="4"/>
  <c r="H156" i="4"/>
  <c r="J156" i="4"/>
  <c r="M156" i="4"/>
  <c r="N156" i="4"/>
  <c r="D157" i="4"/>
  <c r="E157" i="4"/>
  <c r="F157" i="4"/>
  <c r="J157" i="4"/>
  <c r="H157" i="4" s="1"/>
  <c r="M157" i="4"/>
  <c r="N157" i="4"/>
  <c r="D158" i="4"/>
  <c r="E158" i="4"/>
  <c r="F158" i="4"/>
  <c r="H158" i="4"/>
  <c r="J158" i="4"/>
  <c r="M158" i="4"/>
  <c r="N158" i="4"/>
  <c r="D159" i="4"/>
  <c r="E159" i="4"/>
  <c r="F159" i="4"/>
  <c r="J159" i="4"/>
  <c r="H159" i="4" s="1"/>
  <c r="M159" i="4"/>
  <c r="N159" i="4"/>
  <c r="D160" i="4"/>
  <c r="E160" i="4"/>
  <c r="F160" i="4"/>
  <c r="H160" i="4"/>
  <c r="J160" i="4"/>
  <c r="M160" i="4"/>
  <c r="N160" i="4"/>
  <c r="D161" i="4"/>
  <c r="E161" i="4"/>
  <c r="F161" i="4"/>
  <c r="J161" i="4"/>
  <c r="H161" i="4" s="1"/>
  <c r="M161" i="4"/>
  <c r="N161" i="4"/>
  <c r="D162" i="4"/>
  <c r="E162" i="4"/>
  <c r="F162" i="4"/>
  <c r="J162" i="4"/>
  <c r="H162" i="4" s="1"/>
  <c r="M162" i="4"/>
  <c r="N162" i="4"/>
  <c r="D163" i="4"/>
  <c r="E163" i="4"/>
  <c r="F163" i="4"/>
  <c r="J163" i="4"/>
  <c r="H163" i="4" s="1"/>
  <c r="M163" i="4"/>
  <c r="N163" i="4"/>
  <c r="D164" i="4"/>
  <c r="E164" i="4"/>
  <c r="F164" i="4"/>
  <c r="H164" i="4"/>
  <c r="J164" i="4"/>
  <c r="M164" i="4"/>
  <c r="N164" i="4"/>
  <c r="D165" i="4"/>
  <c r="E165" i="4"/>
  <c r="F165" i="4"/>
  <c r="J165" i="4"/>
  <c r="H165" i="4" s="1"/>
  <c r="M165" i="4"/>
  <c r="N165" i="4"/>
  <c r="D166" i="4"/>
  <c r="E166" i="4"/>
  <c r="F166" i="4"/>
  <c r="H166" i="4"/>
  <c r="J166" i="4"/>
  <c r="M166" i="4"/>
  <c r="N166" i="4"/>
  <c r="D167" i="4"/>
  <c r="E167" i="4"/>
  <c r="F167" i="4"/>
  <c r="J167" i="4"/>
  <c r="H167" i="4" s="1"/>
  <c r="M167" i="4"/>
  <c r="N167" i="4"/>
  <c r="D168" i="4"/>
  <c r="E168" i="4"/>
  <c r="F168" i="4"/>
  <c r="H168" i="4"/>
  <c r="J168" i="4"/>
  <c r="M168" i="4"/>
  <c r="N168" i="4"/>
  <c r="D169" i="4"/>
  <c r="E169" i="4"/>
  <c r="F169" i="4"/>
  <c r="J169" i="4"/>
  <c r="H169" i="4" s="1"/>
  <c r="M169" i="4"/>
  <c r="N169" i="4"/>
  <c r="D170" i="4"/>
  <c r="E170" i="4"/>
  <c r="F170" i="4"/>
  <c r="J170" i="4"/>
  <c r="H170" i="4" s="1"/>
  <c r="M170" i="4"/>
  <c r="N170" i="4"/>
  <c r="D171" i="4"/>
  <c r="E171" i="4"/>
  <c r="F171" i="4"/>
  <c r="J171" i="4"/>
  <c r="H171" i="4" s="1"/>
  <c r="M171" i="4"/>
  <c r="N171" i="4"/>
  <c r="D172" i="4"/>
  <c r="E172" i="4"/>
  <c r="F172" i="4"/>
  <c r="H172" i="4"/>
  <c r="J172" i="4"/>
  <c r="M172" i="4"/>
  <c r="N172" i="4"/>
  <c r="D173" i="4"/>
  <c r="E173" i="4"/>
  <c r="F173" i="4"/>
  <c r="J173" i="4"/>
  <c r="H173" i="4" s="1"/>
  <c r="M173" i="4"/>
  <c r="N173" i="4"/>
  <c r="D174" i="4"/>
  <c r="E174" i="4"/>
  <c r="F174" i="4"/>
  <c r="H174" i="4"/>
  <c r="J174" i="4"/>
  <c r="M174" i="4"/>
  <c r="N174" i="4"/>
  <c r="D175" i="4"/>
  <c r="E175" i="4"/>
  <c r="F175" i="4"/>
  <c r="J175" i="4"/>
  <c r="H175" i="4" s="1"/>
  <c r="M175" i="4"/>
  <c r="N175" i="4"/>
  <c r="D176" i="4"/>
  <c r="E176" i="4"/>
  <c r="F176" i="4"/>
  <c r="H176" i="4"/>
  <c r="J176" i="4"/>
  <c r="M176" i="4"/>
  <c r="N176" i="4"/>
  <c r="D177" i="4"/>
  <c r="E177" i="4"/>
  <c r="F177" i="4"/>
  <c r="J177" i="4"/>
  <c r="H177" i="4" s="1"/>
  <c r="M177" i="4"/>
  <c r="N177" i="4"/>
  <c r="D178" i="4"/>
  <c r="E178" i="4"/>
  <c r="F178" i="4"/>
  <c r="J178" i="4"/>
  <c r="H178" i="4" s="1"/>
  <c r="M178" i="4"/>
  <c r="N178" i="4"/>
  <c r="D179" i="4"/>
  <c r="E179" i="4"/>
  <c r="F179" i="4"/>
  <c r="J179" i="4"/>
  <c r="H179" i="4" s="1"/>
  <c r="M179" i="4"/>
  <c r="N179" i="4"/>
  <c r="D180" i="4"/>
  <c r="E180" i="4"/>
  <c r="F180" i="4"/>
  <c r="H180" i="4"/>
  <c r="J180" i="4"/>
  <c r="M180" i="4"/>
  <c r="N180" i="4"/>
  <c r="D181" i="4"/>
  <c r="E181" i="4"/>
  <c r="F181" i="4"/>
  <c r="J181" i="4"/>
  <c r="H181" i="4" s="1"/>
  <c r="M181" i="4"/>
  <c r="N181" i="4"/>
  <c r="D182" i="4"/>
  <c r="E182" i="4"/>
  <c r="F182" i="4"/>
  <c r="H182" i="4"/>
  <c r="J182" i="4"/>
  <c r="M182" i="4"/>
  <c r="N182" i="4"/>
  <c r="D183" i="4"/>
  <c r="E183" i="4"/>
  <c r="F183" i="4"/>
  <c r="J183" i="4"/>
  <c r="H183" i="4" s="1"/>
  <c r="M183" i="4"/>
  <c r="N183" i="4"/>
  <c r="D184" i="4"/>
  <c r="E184" i="4"/>
  <c r="F184" i="4"/>
  <c r="H184" i="4"/>
  <c r="J184" i="4"/>
  <c r="M184" i="4"/>
  <c r="N184" i="4"/>
  <c r="D185" i="4"/>
  <c r="E185" i="4"/>
  <c r="F185" i="4"/>
  <c r="J185" i="4"/>
  <c r="H185" i="4" s="1"/>
  <c r="M185" i="4"/>
  <c r="N185" i="4"/>
  <c r="D186" i="4"/>
  <c r="E186" i="4"/>
  <c r="F186" i="4"/>
  <c r="J186" i="4"/>
  <c r="H186" i="4" s="1"/>
  <c r="M186" i="4"/>
  <c r="N186" i="4"/>
  <c r="D187" i="4"/>
  <c r="E187" i="4"/>
  <c r="F187" i="4"/>
  <c r="J187" i="4"/>
  <c r="H187" i="4" s="1"/>
  <c r="M187" i="4"/>
  <c r="N187" i="4"/>
  <c r="D188" i="4"/>
  <c r="E188" i="4"/>
  <c r="F188" i="4"/>
  <c r="H188" i="4"/>
  <c r="J188" i="4"/>
  <c r="M188" i="4"/>
  <c r="N188" i="4"/>
  <c r="D189" i="4"/>
  <c r="E189" i="4"/>
  <c r="F189" i="4"/>
  <c r="J189" i="4"/>
  <c r="H189" i="4" s="1"/>
  <c r="M189" i="4"/>
  <c r="N189" i="4"/>
  <c r="D190" i="4"/>
  <c r="E190" i="4"/>
  <c r="F190" i="4"/>
  <c r="H190" i="4"/>
  <c r="J190" i="4"/>
  <c r="M190" i="4"/>
  <c r="N190" i="4"/>
  <c r="D191" i="4"/>
  <c r="E191" i="4"/>
  <c r="F191" i="4"/>
  <c r="J191" i="4"/>
  <c r="H191" i="4" s="1"/>
  <c r="M191" i="4"/>
  <c r="N191" i="4"/>
  <c r="D192" i="4"/>
  <c r="E192" i="4"/>
  <c r="F192" i="4"/>
  <c r="H192" i="4"/>
  <c r="J192" i="4"/>
  <c r="M192" i="4"/>
  <c r="N192" i="4"/>
  <c r="D193" i="4"/>
  <c r="E193" i="4"/>
  <c r="F193" i="4"/>
  <c r="J193" i="4"/>
  <c r="H193" i="4" s="1"/>
  <c r="M193" i="4"/>
  <c r="N193" i="4"/>
  <c r="D194" i="4"/>
  <c r="E194" i="4"/>
  <c r="F194" i="4"/>
  <c r="J194" i="4"/>
  <c r="H194" i="4" s="1"/>
  <c r="M194" i="4"/>
  <c r="N194" i="4"/>
  <c r="D195" i="4"/>
  <c r="E195" i="4"/>
  <c r="F195" i="4"/>
  <c r="J195" i="4"/>
  <c r="H195" i="4" s="1"/>
  <c r="M195" i="4"/>
  <c r="N195" i="4"/>
  <c r="D196" i="4"/>
  <c r="E196" i="4"/>
  <c r="F196" i="4"/>
  <c r="H196" i="4"/>
  <c r="J196" i="4"/>
  <c r="M196" i="4"/>
  <c r="N196" i="4"/>
  <c r="D197" i="4"/>
  <c r="E197" i="4"/>
  <c r="F197" i="4"/>
  <c r="J197" i="4"/>
  <c r="H197" i="4" s="1"/>
  <c r="M197" i="4"/>
  <c r="N197" i="4"/>
  <c r="D198" i="4"/>
  <c r="E198" i="4"/>
  <c r="F198" i="4"/>
  <c r="H198" i="4"/>
  <c r="J198" i="4"/>
  <c r="M198" i="4"/>
  <c r="N198" i="4"/>
  <c r="D199" i="4"/>
  <c r="E199" i="4"/>
  <c r="F199" i="4"/>
  <c r="J199" i="4"/>
  <c r="H199" i="4" s="1"/>
  <c r="M199" i="4"/>
  <c r="N199" i="4"/>
  <c r="D200" i="4"/>
  <c r="E200" i="4"/>
  <c r="F200" i="4"/>
  <c r="H200" i="4"/>
  <c r="J200" i="4"/>
  <c r="M200" i="4"/>
  <c r="N200" i="4"/>
  <c r="D201" i="4"/>
  <c r="E201" i="4"/>
  <c r="F201" i="4"/>
  <c r="J201" i="4"/>
  <c r="H201" i="4" s="1"/>
  <c r="M201" i="4"/>
  <c r="N201" i="4"/>
  <c r="D202" i="4"/>
  <c r="E202" i="4"/>
  <c r="F202" i="4"/>
  <c r="J202" i="4"/>
  <c r="H202" i="4" s="1"/>
  <c r="M202" i="4"/>
  <c r="N202" i="4"/>
  <c r="D203" i="4"/>
  <c r="E203" i="4"/>
  <c r="F203" i="4"/>
  <c r="J203" i="4"/>
  <c r="H203" i="4" s="1"/>
  <c r="M203" i="4"/>
  <c r="N203" i="4"/>
  <c r="D204" i="4"/>
  <c r="E204" i="4"/>
  <c r="F204" i="4"/>
  <c r="H204" i="4"/>
  <c r="J204" i="4"/>
  <c r="M204" i="4"/>
  <c r="N204" i="4"/>
  <c r="D205" i="4"/>
  <c r="E205" i="4"/>
  <c r="F205" i="4"/>
  <c r="J205" i="4"/>
  <c r="H205" i="4" s="1"/>
  <c r="M205" i="4"/>
  <c r="N205" i="4"/>
  <c r="D206" i="4"/>
  <c r="E206" i="4"/>
  <c r="F206" i="4"/>
  <c r="H206" i="4"/>
  <c r="J206" i="4"/>
  <c r="M206" i="4"/>
  <c r="N206" i="4"/>
  <c r="D207" i="4"/>
  <c r="E207" i="4"/>
  <c r="F207" i="4"/>
  <c r="J207" i="4"/>
  <c r="H207" i="4" s="1"/>
  <c r="M207" i="4"/>
  <c r="N207" i="4"/>
  <c r="D208" i="4"/>
  <c r="E208" i="4"/>
  <c r="F208" i="4"/>
  <c r="H208" i="4"/>
  <c r="J208" i="4"/>
  <c r="M208" i="4"/>
  <c r="N208" i="4"/>
  <c r="D209" i="4"/>
  <c r="E209" i="4"/>
  <c r="F209" i="4"/>
  <c r="J209" i="4"/>
  <c r="H209" i="4" s="1"/>
  <c r="M209" i="4"/>
  <c r="N209" i="4"/>
  <c r="D210" i="4"/>
  <c r="E210" i="4"/>
  <c r="F210" i="4"/>
  <c r="J210" i="4"/>
  <c r="H210" i="4" s="1"/>
  <c r="M210" i="4"/>
  <c r="N210" i="4"/>
  <c r="D211" i="4"/>
  <c r="E211" i="4"/>
  <c r="F211" i="4"/>
  <c r="J211" i="4"/>
  <c r="H211" i="4" s="1"/>
  <c r="M211" i="4"/>
  <c r="N211" i="4"/>
  <c r="D212" i="4"/>
  <c r="E212" i="4"/>
  <c r="F212" i="4"/>
  <c r="H212" i="4"/>
  <c r="J212" i="4"/>
  <c r="M212" i="4"/>
  <c r="N212" i="4"/>
  <c r="D213" i="4"/>
  <c r="E213" i="4"/>
  <c r="F213" i="4"/>
  <c r="J213" i="4"/>
  <c r="H213" i="4" s="1"/>
  <c r="M213" i="4"/>
  <c r="N213" i="4"/>
  <c r="D214" i="4"/>
  <c r="E214" i="4"/>
  <c r="F214" i="4"/>
  <c r="H214" i="4"/>
  <c r="J214" i="4"/>
  <c r="M214" i="4"/>
  <c r="N214" i="4"/>
  <c r="D215" i="4"/>
  <c r="E215" i="4"/>
  <c r="F215" i="4"/>
  <c r="J215" i="4"/>
  <c r="H215" i="4" s="1"/>
  <c r="M215" i="4"/>
  <c r="N215" i="4"/>
  <c r="D216" i="4"/>
  <c r="E216" i="4"/>
  <c r="F216" i="4"/>
  <c r="H216" i="4"/>
  <c r="J216" i="4"/>
  <c r="M216" i="4"/>
  <c r="N216" i="4"/>
  <c r="D217" i="4"/>
  <c r="E217" i="4"/>
  <c r="F217" i="4"/>
  <c r="J217" i="4"/>
  <c r="H217" i="4" s="1"/>
  <c r="M217" i="4"/>
  <c r="N217" i="4"/>
  <c r="D218" i="4"/>
  <c r="E218" i="4"/>
  <c r="F218" i="4"/>
  <c r="J218" i="4"/>
  <c r="H218" i="4" s="1"/>
  <c r="M218" i="4"/>
  <c r="N218" i="4"/>
  <c r="D219" i="4"/>
  <c r="E219" i="4"/>
  <c r="F219" i="4"/>
  <c r="J219" i="4"/>
  <c r="H219" i="4" s="1"/>
  <c r="M219" i="4"/>
  <c r="N219" i="4"/>
  <c r="D220" i="4"/>
  <c r="E220" i="4"/>
  <c r="F220" i="4"/>
  <c r="H220" i="4"/>
  <c r="J220" i="4"/>
  <c r="M220" i="4"/>
  <c r="N220" i="4"/>
  <c r="D221" i="4"/>
  <c r="E221" i="4"/>
  <c r="F221" i="4"/>
  <c r="J221" i="4"/>
  <c r="H221" i="4" s="1"/>
  <c r="M221" i="4"/>
  <c r="N221" i="4"/>
  <c r="D222" i="4"/>
  <c r="E222" i="4"/>
  <c r="F222" i="4"/>
  <c r="H222" i="4"/>
  <c r="J222" i="4"/>
  <c r="M222" i="4"/>
  <c r="N222" i="4"/>
  <c r="D223" i="4"/>
  <c r="E223" i="4"/>
  <c r="F223" i="4"/>
  <c r="J223" i="4"/>
  <c r="H223" i="4" s="1"/>
  <c r="M223" i="4"/>
  <c r="N223" i="4"/>
  <c r="D224" i="4"/>
  <c r="E224" i="4"/>
  <c r="F224" i="4"/>
  <c r="H224" i="4"/>
  <c r="J224" i="4"/>
  <c r="M224" i="4"/>
  <c r="N224" i="4"/>
  <c r="D225" i="4"/>
  <c r="E225" i="4"/>
  <c r="F225" i="4"/>
  <c r="J225" i="4"/>
  <c r="H225" i="4" s="1"/>
  <c r="M225" i="4"/>
  <c r="N225" i="4"/>
  <c r="D226" i="4"/>
  <c r="E226" i="4"/>
  <c r="F226" i="4"/>
  <c r="J226" i="4"/>
  <c r="H226" i="4" s="1"/>
  <c r="M226" i="4"/>
  <c r="N226" i="4"/>
  <c r="D227" i="4"/>
  <c r="E227" i="4"/>
  <c r="F227" i="4"/>
  <c r="J227" i="4"/>
  <c r="H227" i="4" s="1"/>
  <c r="M227" i="4"/>
  <c r="N227" i="4"/>
  <c r="D228" i="4"/>
  <c r="E228" i="4"/>
  <c r="F228" i="4"/>
  <c r="H228" i="4"/>
  <c r="J228" i="4"/>
  <c r="M228" i="4"/>
  <c r="N228" i="4"/>
  <c r="D229" i="4"/>
  <c r="E229" i="4"/>
  <c r="F229" i="4"/>
  <c r="J229" i="4"/>
  <c r="H229" i="4" s="1"/>
  <c r="M229" i="4"/>
  <c r="N229" i="4"/>
  <c r="D230" i="4"/>
  <c r="E230" i="4"/>
  <c r="F230" i="4"/>
  <c r="H230" i="4"/>
  <c r="J230" i="4"/>
  <c r="M230" i="4"/>
  <c r="N230" i="4"/>
  <c r="D231" i="4"/>
  <c r="E231" i="4"/>
  <c r="F231" i="4"/>
  <c r="J231" i="4"/>
  <c r="H231" i="4" s="1"/>
  <c r="M231" i="4"/>
  <c r="N231" i="4"/>
  <c r="D232" i="4"/>
  <c r="E232" i="4"/>
  <c r="F232" i="4"/>
  <c r="H232" i="4"/>
  <c r="J232" i="4"/>
  <c r="M232" i="4"/>
  <c r="N232" i="4"/>
  <c r="D233" i="4"/>
  <c r="E233" i="4"/>
  <c r="F233" i="4"/>
  <c r="J233" i="4"/>
  <c r="H233" i="4" s="1"/>
  <c r="M233" i="4"/>
  <c r="N233" i="4"/>
  <c r="D234" i="4"/>
  <c r="E234" i="4"/>
  <c r="F234" i="4"/>
  <c r="J234" i="4"/>
  <c r="H234" i="4" s="1"/>
  <c r="M234" i="4"/>
  <c r="N234" i="4"/>
  <c r="D235" i="4"/>
  <c r="E235" i="4"/>
  <c r="F235" i="4"/>
  <c r="J235" i="4"/>
  <c r="H235" i="4" s="1"/>
  <c r="M235" i="4"/>
  <c r="N235" i="4"/>
  <c r="D236" i="4"/>
  <c r="E236" i="4"/>
  <c r="F236" i="4"/>
  <c r="H236" i="4"/>
  <c r="J236" i="4"/>
  <c r="M236" i="4"/>
  <c r="N236" i="4"/>
  <c r="D237" i="4"/>
  <c r="E237" i="4"/>
  <c r="F237" i="4"/>
  <c r="J237" i="4"/>
  <c r="H237" i="4" s="1"/>
  <c r="M237" i="4"/>
  <c r="N237" i="4"/>
  <c r="D238" i="4"/>
  <c r="E238" i="4"/>
  <c r="F238" i="4"/>
  <c r="H238" i="4"/>
  <c r="J238" i="4"/>
  <c r="M238" i="4"/>
  <c r="N238" i="4"/>
  <c r="D239" i="4"/>
  <c r="E239" i="4"/>
  <c r="F239" i="4"/>
  <c r="J239" i="4"/>
  <c r="H239" i="4" s="1"/>
  <c r="M239" i="4"/>
  <c r="N239" i="4"/>
  <c r="D240" i="4"/>
  <c r="E240" i="4"/>
  <c r="F240" i="4"/>
  <c r="H240" i="4"/>
  <c r="J240" i="4"/>
  <c r="M240" i="4"/>
  <c r="N240" i="4"/>
  <c r="D241" i="4"/>
  <c r="E241" i="4"/>
  <c r="F241" i="4"/>
  <c r="J241" i="4"/>
  <c r="H241" i="4" s="1"/>
  <c r="M241" i="4"/>
  <c r="N241" i="4"/>
  <c r="D242" i="4"/>
  <c r="E242" i="4"/>
  <c r="F242" i="4"/>
  <c r="J242" i="4"/>
  <c r="H242" i="4" s="1"/>
  <c r="M242" i="4"/>
  <c r="N242" i="4"/>
  <c r="D243" i="4"/>
  <c r="E243" i="4"/>
  <c r="F243" i="4"/>
  <c r="J243" i="4"/>
  <c r="H243" i="4" s="1"/>
  <c r="M243" i="4"/>
  <c r="N243" i="4"/>
  <c r="D244" i="4"/>
  <c r="E244" i="4"/>
  <c r="F244" i="4"/>
  <c r="H244" i="4"/>
  <c r="J244" i="4"/>
  <c r="M244" i="4"/>
  <c r="N244" i="4"/>
  <c r="D245" i="4"/>
  <c r="E245" i="4"/>
  <c r="F245" i="4"/>
  <c r="J245" i="4"/>
  <c r="H245" i="4" s="1"/>
  <c r="M245" i="4"/>
  <c r="N245" i="4"/>
  <c r="D246" i="4"/>
  <c r="E246" i="4"/>
  <c r="F246" i="4"/>
  <c r="H246" i="4"/>
  <c r="J246" i="4"/>
  <c r="M246" i="4"/>
  <c r="N246" i="4"/>
  <c r="D247" i="4"/>
  <c r="E247" i="4"/>
  <c r="F247" i="4"/>
  <c r="J247" i="4"/>
  <c r="H247" i="4" s="1"/>
  <c r="M247" i="4"/>
  <c r="N247" i="4"/>
  <c r="D248" i="4"/>
  <c r="E248" i="4"/>
  <c r="F248" i="4"/>
  <c r="H248" i="4"/>
  <c r="J248" i="4"/>
  <c r="M248" i="4"/>
  <c r="N248" i="4"/>
  <c r="D249" i="4"/>
  <c r="E249" i="4"/>
  <c r="F249" i="4"/>
  <c r="J249" i="4"/>
  <c r="H249" i="4" s="1"/>
  <c r="M249" i="4"/>
  <c r="N249" i="4"/>
  <c r="D250" i="4"/>
  <c r="E250" i="4"/>
  <c r="F250" i="4"/>
  <c r="J250" i="4"/>
  <c r="H250" i="4" s="1"/>
  <c r="M250" i="4"/>
  <c r="N250" i="4"/>
  <c r="D251" i="4"/>
  <c r="E251" i="4"/>
  <c r="F251" i="4"/>
  <c r="J251" i="4"/>
  <c r="H251" i="4" s="1"/>
  <c r="M251" i="4"/>
  <c r="N251" i="4"/>
  <c r="D252" i="4"/>
  <c r="E252" i="4"/>
  <c r="F252" i="4"/>
  <c r="H252" i="4"/>
  <c r="J252" i="4"/>
  <c r="M252" i="4"/>
  <c r="N252" i="4"/>
  <c r="D253" i="4"/>
  <c r="E253" i="4"/>
  <c r="F253" i="4"/>
  <c r="J253" i="4"/>
  <c r="H253" i="4" s="1"/>
  <c r="M253" i="4"/>
  <c r="N253" i="4"/>
  <c r="D254" i="4"/>
  <c r="E254" i="4"/>
  <c r="F254" i="4"/>
  <c r="H254" i="4"/>
  <c r="J254" i="4"/>
  <c r="M254" i="4"/>
  <c r="N254" i="4"/>
  <c r="D255" i="4"/>
  <c r="E255" i="4"/>
  <c r="F255" i="4"/>
  <c r="H255" i="4"/>
  <c r="J255" i="4"/>
  <c r="M255" i="4"/>
  <c r="N255" i="4"/>
  <c r="D256" i="4"/>
  <c r="E256" i="4"/>
  <c r="F256" i="4"/>
  <c r="J256" i="4"/>
  <c r="H256" i="4" s="1"/>
  <c r="M256" i="4"/>
  <c r="N256" i="4"/>
  <c r="D257" i="4"/>
  <c r="E257" i="4"/>
  <c r="F257" i="4"/>
  <c r="J257" i="4"/>
  <c r="H257" i="4" s="1"/>
  <c r="M257" i="4"/>
  <c r="N257" i="4"/>
  <c r="D258" i="4"/>
  <c r="E258" i="4"/>
  <c r="F258" i="4"/>
  <c r="J258" i="4"/>
  <c r="H258" i="4" s="1"/>
  <c r="M258" i="4"/>
  <c r="N258" i="4"/>
  <c r="D259" i="4"/>
  <c r="E259" i="4"/>
  <c r="F259" i="4"/>
  <c r="J259" i="4"/>
  <c r="H259" i="4" s="1"/>
  <c r="M259" i="4"/>
  <c r="N259" i="4"/>
  <c r="D260" i="4"/>
  <c r="E260" i="4"/>
  <c r="F260" i="4"/>
  <c r="H260" i="4"/>
  <c r="J260" i="4"/>
  <c r="M260" i="4"/>
  <c r="N260" i="4"/>
  <c r="D261" i="4"/>
  <c r="E261" i="4"/>
  <c r="F261" i="4"/>
  <c r="J261" i="4"/>
  <c r="H261" i="4" s="1"/>
  <c r="M261" i="4"/>
  <c r="N261" i="4"/>
  <c r="D262" i="4"/>
  <c r="E262" i="4"/>
  <c r="F262" i="4"/>
  <c r="H262" i="4"/>
  <c r="J262" i="4"/>
  <c r="M262" i="4"/>
  <c r="N262" i="4"/>
  <c r="D263" i="4"/>
  <c r="E263" i="4"/>
  <c r="F263" i="4"/>
  <c r="J263" i="4"/>
  <c r="H263" i="4" s="1"/>
  <c r="M263" i="4"/>
  <c r="N263" i="4"/>
  <c r="D264" i="4"/>
  <c r="E264" i="4"/>
  <c r="F264" i="4"/>
  <c r="H264" i="4"/>
  <c r="J264" i="4"/>
  <c r="M264" i="4"/>
  <c r="N264" i="4"/>
  <c r="D265" i="4"/>
  <c r="E265" i="4"/>
  <c r="F265" i="4"/>
  <c r="J265" i="4"/>
  <c r="H265" i="4" s="1"/>
  <c r="M265" i="4"/>
  <c r="N265" i="4"/>
  <c r="D266" i="4"/>
  <c r="E266" i="4"/>
  <c r="F266" i="4"/>
  <c r="J266" i="4"/>
  <c r="H266" i="4" s="1"/>
  <c r="M266" i="4"/>
  <c r="N266" i="4"/>
  <c r="D267" i="4"/>
  <c r="E267" i="4"/>
  <c r="F267" i="4"/>
  <c r="J267" i="4"/>
  <c r="H267" i="4" s="1"/>
  <c r="M267" i="4"/>
  <c r="N267" i="4"/>
  <c r="D268" i="4"/>
  <c r="E268" i="4"/>
  <c r="F268" i="4"/>
  <c r="H268" i="4"/>
  <c r="J268" i="4"/>
  <c r="M268" i="4"/>
  <c r="N268" i="4"/>
  <c r="D269" i="4"/>
  <c r="E269" i="4"/>
  <c r="F269" i="4"/>
  <c r="J269" i="4"/>
  <c r="H269" i="4" s="1"/>
  <c r="M269" i="4"/>
  <c r="N269" i="4"/>
  <c r="D270" i="4"/>
  <c r="E270" i="4"/>
  <c r="F270" i="4"/>
  <c r="H270" i="4"/>
  <c r="J270" i="4"/>
  <c r="M270" i="4"/>
  <c r="N270" i="4"/>
  <c r="D271" i="4"/>
  <c r="E271" i="4"/>
  <c r="F271" i="4"/>
  <c r="J271" i="4"/>
  <c r="H271" i="4" s="1"/>
  <c r="M271" i="4"/>
  <c r="N271" i="4"/>
  <c r="D272" i="4"/>
  <c r="E272" i="4"/>
  <c r="F272" i="4"/>
  <c r="H272" i="4"/>
  <c r="J272" i="4"/>
  <c r="M272" i="4"/>
  <c r="N272" i="4"/>
  <c r="D273" i="4"/>
  <c r="E273" i="4"/>
  <c r="F273" i="4"/>
  <c r="J273" i="4"/>
  <c r="H273" i="4" s="1"/>
  <c r="M273" i="4"/>
  <c r="N273" i="4"/>
  <c r="D274" i="4"/>
  <c r="E274" i="4"/>
  <c r="F274" i="4"/>
  <c r="J274" i="4"/>
  <c r="H274" i="4" s="1"/>
  <c r="M274" i="4"/>
  <c r="N274" i="4"/>
  <c r="D275" i="4"/>
  <c r="E275" i="4"/>
  <c r="F275" i="4"/>
  <c r="J275" i="4"/>
  <c r="H275" i="4" s="1"/>
  <c r="M275" i="4"/>
  <c r="N275" i="4"/>
  <c r="D276" i="4"/>
  <c r="E276" i="4"/>
  <c r="F276" i="4"/>
  <c r="H276" i="4"/>
  <c r="J276" i="4"/>
  <c r="M276" i="4"/>
  <c r="N276" i="4"/>
  <c r="D277" i="4"/>
  <c r="E277" i="4"/>
  <c r="F277" i="4"/>
  <c r="J277" i="4"/>
  <c r="H277" i="4" s="1"/>
  <c r="M277" i="4"/>
  <c r="N277" i="4"/>
  <c r="D278" i="4"/>
  <c r="E278" i="4"/>
  <c r="F278" i="4"/>
  <c r="H278" i="4"/>
  <c r="J278" i="4"/>
  <c r="M278" i="4"/>
  <c r="N278" i="4"/>
  <c r="D279" i="4"/>
  <c r="E279" i="4"/>
  <c r="F279" i="4"/>
  <c r="J279" i="4"/>
  <c r="H279" i="4" s="1"/>
  <c r="M279" i="4"/>
  <c r="N279" i="4"/>
  <c r="D280" i="4"/>
  <c r="E280" i="4"/>
  <c r="F280" i="4"/>
  <c r="H280" i="4"/>
  <c r="J280" i="4"/>
  <c r="M280" i="4"/>
  <c r="N280" i="4"/>
  <c r="D281" i="4"/>
  <c r="E281" i="4"/>
  <c r="F281" i="4"/>
  <c r="J281" i="4"/>
  <c r="H281" i="4" s="1"/>
  <c r="M281" i="4"/>
  <c r="N281" i="4"/>
  <c r="D282" i="4"/>
  <c r="E282" i="4"/>
  <c r="F282" i="4"/>
  <c r="J282" i="4"/>
  <c r="H282" i="4" s="1"/>
  <c r="M282" i="4"/>
  <c r="N282" i="4"/>
  <c r="D283" i="4"/>
  <c r="E283" i="4"/>
  <c r="F283" i="4"/>
  <c r="J283" i="4"/>
  <c r="H283" i="4" s="1"/>
  <c r="M283" i="4"/>
  <c r="N283" i="4"/>
  <c r="D284" i="4"/>
  <c r="E284" i="4"/>
  <c r="F284" i="4"/>
  <c r="H284" i="4"/>
  <c r="J284" i="4"/>
  <c r="M284" i="4"/>
  <c r="N284" i="4"/>
  <c r="D285" i="4"/>
  <c r="E285" i="4"/>
  <c r="F285" i="4"/>
  <c r="J285" i="4"/>
  <c r="H285" i="4" s="1"/>
  <c r="M285" i="4"/>
  <c r="N285" i="4"/>
  <c r="D286" i="4"/>
  <c r="E286" i="4"/>
  <c r="F286" i="4"/>
  <c r="H286" i="4"/>
  <c r="J286" i="4"/>
  <c r="M286" i="4"/>
  <c r="N286" i="4"/>
  <c r="D287" i="4"/>
  <c r="E287" i="4"/>
  <c r="F287" i="4"/>
  <c r="J287" i="4"/>
  <c r="H287" i="4" s="1"/>
  <c r="M287" i="4"/>
  <c r="N287" i="4"/>
  <c r="D288" i="4"/>
  <c r="E288" i="4"/>
  <c r="F288" i="4"/>
  <c r="H288" i="4"/>
  <c r="J288" i="4"/>
  <c r="M288" i="4"/>
  <c r="N288" i="4"/>
  <c r="D289" i="4"/>
  <c r="E289" i="4"/>
  <c r="F289" i="4"/>
  <c r="J289" i="4"/>
  <c r="H289" i="4" s="1"/>
  <c r="M289" i="4"/>
  <c r="N289" i="4"/>
  <c r="D290" i="4"/>
  <c r="E290" i="4"/>
  <c r="F290" i="4"/>
  <c r="J290" i="4"/>
  <c r="H290" i="4" s="1"/>
  <c r="M290" i="4"/>
  <c r="N290" i="4"/>
  <c r="D291" i="4"/>
  <c r="E291" i="4"/>
  <c r="F291" i="4"/>
  <c r="J291" i="4"/>
  <c r="H291" i="4" s="1"/>
  <c r="M291" i="4"/>
  <c r="N291" i="4"/>
  <c r="D292" i="4"/>
  <c r="E292" i="4"/>
  <c r="F292" i="4"/>
  <c r="H292" i="4"/>
  <c r="J292" i="4"/>
  <c r="M292" i="4"/>
  <c r="N292" i="4"/>
  <c r="D293" i="4"/>
  <c r="E293" i="4"/>
  <c r="F293" i="4"/>
  <c r="J293" i="4"/>
  <c r="H293" i="4" s="1"/>
  <c r="M293" i="4"/>
  <c r="N293" i="4"/>
  <c r="D294" i="4"/>
  <c r="E294" i="4"/>
  <c r="F294" i="4"/>
  <c r="H294" i="4"/>
  <c r="J294" i="4"/>
  <c r="M294" i="4"/>
  <c r="N294" i="4"/>
  <c r="D295" i="4"/>
  <c r="E295" i="4"/>
  <c r="F295" i="4"/>
  <c r="J295" i="4"/>
  <c r="H295" i="4" s="1"/>
  <c r="M295" i="4"/>
  <c r="N295" i="4"/>
  <c r="D296" i="4"/>
  <c r="E296" i="4"/>
  <c r="F296" i="4"/>
  <c r="H296" i="4"/>
  <c r="J296" i="4"/>
  <c r="M296" i="4"/>
  <c r="N296" i="4"/>
  <c r="D297" i="4"/>
  <c r="E297" i="4"/>
  <c r="F297" i="4"/>
  <c r="J297" i="4"/>
  <c r="H297" i="4" s="1"/>
  <c r="M297" i="4"/>
  <c r="N297" i="4"/>
  <c r="D298" i="4"/>
  <c r="E298" i="4"/>
  <c r="F298" i="4"/>
  <c r="J298" i="4"/>
  <c r="H298" i="4" s="1"/>
  <c r="M298" i="4"/>
  <c r="N298" i="4"/>
  <c r="D299" i="4"/>
  <c r="E299" i="4"/>
  <c r="F299" i="4"/>
  <c r="J299" i="4"/>
  <c r="H299" i="4" s="1"/>
  <c r="M299" i="4"/>
  <c r="N299" i="4"/>
  <c r="D300" i="4"/>
  <c r="E300" i="4"/>
  <c r="F300" i="4"/>
  <c r="H300" i="4"/>
  <c r="J300" i="4"/>
  <c r="M300" i="4"/>
  <c r="N300" i="4"/>
  <c r="D301" i="4"/>
  <c r="E301" i="4"/>
  <c r="F301" i="4"/>
  <c r="J301" i="4"/>
  <c r="H301" i="4" s="1"/>
  <c r="M301" i="4"/>
  <c r="N301" i="4"/>
  <c r="D302" i="4"/>
  <c r="E302" i="4"/>
  <c r="F302" i="4"/>
  <c r="H302" i="4"/>
  <c r="J302" i="4"/>
  <c r="M302" i="4"/>
  <c r="N302" i="4"/>
  <c r="D303" i="4"/>
  <c r="E303" i="4"/>
  <c r="F303" i="4"/>
  <c r="J303" i="4"/>
  <c r="H303" i="4" s="1"/>
  <c r="M303" i="4"/>
  <c r="N303" i="4"/>
  <c r="D304" i="4"/>
  <c r="E304" i="4"/>
  <c r="F304" i="4"/>
  <c r="H304" i="4"/>
  <c r="J304" i="4"/>
  <c r="M304" i="4"/>
  <c r="N304" i="4"/>
  <c r="D305" i="4"/>
  <c r="E305" i="4"/>
  <c r="F305" i="4"/>
  <c r="J305" i="4"/>
  <c r="H305" i="4" s="1"/>
  <c r="M305" i="4"/>
  <c r="N305" i="4"/>
  <c r="D306" i="4"/>
  <c r="E306" i="4"/>
  <c r="F306" i="4"/>
  <c r="J306" i="4"/>
  <c r="H306" i="4" s="1"/>
  <c r="M306" i="4"/>
  <c r="N306" i="4"/>
  <c r="D307" i="4"/>
  <c r="E307" i="4"/>
  <c r="F307" i="4"/>
  <c r="J307" i="4"/>
  <c r="H307" i="4" s="1"/>
  <c r="M307" i="4"/>
  <c r="N307" i="4"/>
  <c r="D308" i="4"/>
  <c r="E308" i="4"/>
  <c r="F308" i="4"/>
  <c r="H308" i="4"/>
  <c r="J308" i="4"/>
  <c r="M308" i="4"/>
  <c r="N308" i="4"/>
  <c r="D309" i="4"/>
  <c r="E309" i="4"/>
  <c r="F309" i="4"/>
  <c r="J309" i="4"/>
  <c r="H309" i="4" s="1"/>
  <c r="M309" i="4"/>
  <c r="N309" i="4"/>
  <c r="D310" i="4"/>
  <c r="E310" i="4"/>
  <c r="F310" i="4"/>
  <c r="H310" i="4"/>
  <c r="J310" i="4"/>
  <c r="M310" i="4"/>
  <c r="N310" i="4"/>
  <c r="D311" i="4"/>
  <c r="E311" i="4"/>
  <c r="F311" i="4"/>
  <c r="J311" i="4"/>
  <c r="H311" i="4" s="1"/>
  <c r="M311" i="4"/>
  <c r="N311" i="4"/>
  <c r="D312" i="4"/>
  <c r="E312" i="4"/>
  <c r="F312" i="4"/>
  <c r="H312" i="4"/>
  <c r="J312" i="4"/>
  <c r="M312" i="4"/>
  <c r="N312" i="4"/>
  <c r="D313" i="4"/>
  <c r="E313" i="4"/>
  <c r="F313" i="4"/>
  <c r="J313" i="4"/>
  <c r="H313" i="4" s="1"/>
  <c r="M313" i="4"/>
  <c r="N313" i="4"/>
  <c r="D314" i="4"/>
  <c r="E314" i="4"/>
  <c r="F314" i="4"/>
  <c r="J314" i="4"/>
  <c r="H314" i="4" s="1"/>
  <c r="M314" i="4"/>
  <c r="N314" i="4"/>
  <c r="D315" i="4"/>
  <c r="E315" i="4"/>
  <c r="F315" i="4"/>
  <c r="J315" i="4"/>
  <c r="H315" i="4" s="1"/>
  <c r="M315" i="4"/>
  <c r="N315" i="4"/>
  <c r="D316" i="4"/>
  <c r="E316" i="4"/>
  <c r="F316" i="4"/>
  <c r="H316" i="4"/>
  <c r="J316" i="4"/>
  <c r="M316" i="4"/>
  <c r="N316" i="4"/>
  <c r="D317" i="4"/>
  <c r="E317" i="4"/>
  <c r="F317" i="4"/>
  <c r="J317" i="4"/>
  <c r="H317" i="4" s="1"/>
  <c r="M317" i="4"/>
  <c r="N317" i="4"/>
  <c r="D318" i="4"/>
  <c r="E318" i="4"/>
  <c r="F318" i="4"/>
  <c r="H318" i="4"/>
  <c r="J318" i="4"/>
  <c r="M318" i="4"/>
  <c r="N318" i="4"/>
  <c r="D319" i="4"/>
  <c r="E319" i="4"/>
  <c r="F319" i="4"/>
  <c r="J319" i="4"/>
  <c r="H319" i="4" s="1"/>
  <c r="M319" i="4"/>
  <c r="N319" i="4"/>
  <c r="D320" i="4"/>
  <c r="E320" i="4"/>
  <c r="F320" i="4"/>
  <c r="H320" i="4"/>
  <c r="J320" i="4"/>
  <c r="M320" i="4"/>
  <c r="N320" i="4"/>
  <c r="D321" i="4"/>
  <c r="E321" i="4"/>
  <c r="F321" i="4"/>
  <c r="J321" i="4"/>
  <c r="H321" i="4" s="1"/>
  <c r="M321" i="4"/>
  <c r="N321" i="4"/>
  <c r="D322" i="4"/>
  <c r="E322" i="4"/>
  <c r="F322" i="4"/>
  <c r="J322" i="4"/>
  <c r="H322" i="4" s="1"/>
  <c r="M322" i="4"/>
  <c r="N322" i="4"/>
  <c r="D323" i="4"/>
  <c r="E323" i="4"/>
  <c r="F323" i="4"/>
  <c r="J323" i="4"/>
  <c r="H323" i="4" s="1"/>
  <c r="M323" i="4"/>
  <c r="N323" i="4"/>
  <c r="D324" i="4"/>
  <c r="E324" i="4"/>
  <c r="F324" i="4"/>
  <c r="H324" i="4"/>
  <c r="J324" i="4"/>
  <c r="M324" i="4"/>
  <c r="N324" i="4"/>
  <c r="D325" i="4"/>
  <c r="E325" i="4"/>
  <c r="F325" i="4"/>
  <c r="J325" i="4"/>
  <c r="H325" i="4" s="1"/>
  <c r="M325" i="4"/>
  <c r="N325" i="4"/>
  <c r="D326" i="4"/>
  <c r="E326" i="4"/>
  <c r="F326" i="4"/>
  <c r="H326" i="4"/>
  <c r="J326" i="4"/>
  <c r="M326" i="4"/>
  <c r="N326" i="4"/>
  <c r="D327" i="4"/>
  <c r="E327" i="4"/>
  <c r="F327" i="4"/>
  <c r="J327" i="4"/>
  <c r="H327" i="4" s="1"/>
  <c r="M327" i="4"/>
  <c r="N327" i="4"/>
  <c r="D328" i="4"/>
  <c r="E328" i="4"/>
  <c r="F328" i="4"/>
  <c r="H328" i="4"/>
  <c r="J328" i="4"/>
  <c r="M328" i="4"/>
  <c r="N328" i="4"/>
  <c r="D329" i="4"/>
  <c r="E329" i="4"/>
  <c r="F329" i="4"/>
  <c r="J329" i="4"/>
  <c r="H329" i="4" s="1"/>
  <c r="M329" i="4"/>
  <c r="N329" i="4"/>
  <c r="D330" i="4"/>
  <c r="E330" i="4"/>
  <c r="F330" i="4"/>
  <c r="J330" i="4"/>
  <c r="H330" i="4" s="1"/>
  <c r="M330" i="4"/>
  <c r="N330" i="4"/>
  <c r="D331" i="4"/>
  <c r="E331" i="4"/>
  <c r="F331" i="4"/>
  <c r="J331" i="4"/>
  <c r="H331" i="4" s="1"/>
  <c r="M331" i="4"/>
  <c r="N331" i="4"/>
  <c r="D332" i="4"/>
  <c r="E332" i="4"/>
  <c r="F332" i="4"/>
  <c r="H332" i="4"/>
  <c r="J332" i="4"/>
  <c r="M332" i="4"/>
  <c r="N332" i="4"/>
  <c r="D333" i="4"/>
  <c r="E333" i="4"/>
  <c r="F333" i="4"/>
  <c r="J333" i="4"/>
  <c r="H333" i="4" s="1"/>
  <c r="M333" i="4"/>
  <c r="N333" i="4"/>
  <c r="D334" i="4"/>
  <c r="E334" i="4"/>
  <c r="F334" i="4"/>
  <c r="H334" i="4"/>
  <c r="J334" i="4"/>
  <c r="M334" i="4"/>
  <c r="N334" i="4"/>
  <c r="H335" i="4"/>
  <c r="J335" i="4"/>
  <c r="M335" i="4"/>
  <c r="N335" i="4"/>
  <c r="J336" i="4"/>
  <c r="H336" i="4" s="1"/>
  <c r="M336" i="4"/>
  <c r="N336" i="4"/>
  <c r="J337" i="4"/>
  <c r="H337" i="4" s="1"/>
  <c r="M337" i="4"/>
  <c r="N337" i="4"/>
  <c r="J338" i="4"/>
  <c r="H338" i="4" s="1"/>
  <c r="M338" i="4"/>
  <c r="N338" i="4"/>
  <c r="J339" i="4"/>
  <c r="H339" i="4" s="1"/>
  <c r="M339" i="4"/>
  <c r="N339" i="4"/>
  <c r="J340" i="4"/>
  <c r="H340" i="4" s="1"/>
  <c r="M340" i="4"/>
  <c r="N340" i="4"/>
  <c r="J341" i="4"/>
  <c r="H341" i="4" s="1"/>
  <c r="M341" i="4"/>
  <c r="N341" i="4"/>
  <c r="J342" i="4"/>
  <c r="H342" i="4" s="1"/>
  <c r="M342" i="4"/>
  <c r="N342" i="4"/>
  <c r="J343" i="4"/>
  <c r="H343" i="4" s="1"/>
  <c r="M343" i="4"/>
  <c r="N343" i="4"/>
  <c r="J344" i="4"/>
  <c r="H344" i="4" s="1"/>
  <c r="M344" i="4"/>
  <c r="N344" i="4"/>
  <c r="J345" i="4"/>
  <c r="H345" i="4" s="1"/>
  <c r="M345" i="4"/>
  <c r="N345" i="4"/>
  <c r="J346" i="4"/>
  <c r="H346" i="4" s="1"/>
  <c r="M346" i="4"/>
  <c r="N346" i="4"/>
  <c r="J347" i="4"/>
  <c r="H347" i="4" s="1"/>
  <c r="M347" i="4"/>
  <c r="N347" i="4"/>
  <c r="J348" i="4"/>
  <c r="H348" i="4" s="1"/>
  <c r="M348" i="4"/>
  <c r="N348" i="4"/>
  <c r="J349" i="4"/>
  <c r="H349" i="4" s="1"/>
  <c r="M349" i="4"/>
  <c r="N349" i="4"/>
  <c r="J350" i="4"/>
  <c r="H350" i="4" s="1"/>
  <c r="M350" i="4"/>
  <c r="N350" i="4"/>
  <c r="J351" i="4"/>
  <c r="H351" i="4" s="1"/>
  <c r="M351" i="4"/>
  <c r="N351" i="4"/>
  <c r="J352" i="4"/>
  <c r="H352" i="4" s="1"/>
  <c r="M352" i="4"/>
  <c r="N352" i="4"/>
  <c r="J353" i="4"/>
  <c r="H353" i="4" s="1"/>
  <c r="M353" i="4"/>
  <c r="N353" i="4"/>
  <c r="J354" i="4"/>
  <c r="H354" i="4" s="1"/>
  <c r="M354" i="4"/>
  <c r="N354" i="4"/>
  <c r="J355" i="4"/>
  <c r="H355" i="4" s="1"/>
  <c r="M355" i="4"/>
  <c r="N355" i="4"/>
  <c r="J356" i="4"/>
  <c r="H356" i="4" s="1"/>
  <c r="M356" i="4"/>
  <c r="N356" i="4"/>
  <c r="J357" i="4"/>
  <c r="H357" i="4" s="1"/>
  <c r="M357" i="4"/>
  <c r="N357" i="4"/>
  <c r="J358" i="4"/>
  <c r="H358" i="4" s="1"/>
  <c r="M358" i="4"/>
  <c r="N358" i="4"/>
  <c r="J359" i="4"/>
  <c r="H359" i="4" s="1"/>
  <c r="M359" i="4"/>
  <c r="N359" i="4"/>
  <c r="J360" i="4"/>
  <c r="H360" i="4" s="1"/>
  <c r="M360" i="4"/>
  <c r="N360" i="4"/>
  <c r="J361" i="4"/>
  <c r="H361" i="4" s="1"/>
  <c r="M361" i="4"/>
  <c r="N361" i="4"/>
  <c r="J362" i="4"/>
  <c r="H362" i="4" s="1"/>
  <c r="M362" i="4"/>
  <c r="N362" i="4"/>
  <c r="J363" i="4"/>
  <c r="H363" i="4" s="1"/>
  <c r="M363" i="4"/>
  <c r="N363" i="4"/>
  <c r="J364" i="4"/>
  <c r="H364" i="4" s="1"/>
  <c r="M364" i="4"/>
  <c r="N364" i="4"/>
  <c r="J365" i="4"/>
  <c r="H365" i="4" s="1"/>
  <c r="M365" i="4"/>
  <c r="N365" i="4"/>
  <c r="J366" i="4"/>
  <c r="H366" i="4" s="1"/>
  <c r="M366" i="4"/>
  <c r="N366" i="4"/>
  <c r="J367" i="4"/>
  <c r="H367" i="4" s="1"/>
  <c r="M367" i="4"/>
  <c r="N367" i="4"/>
  <c r="J368" i="4"/>
  <c r="H368" i="4" s="1"/>
  <c r="M368" i="4"/>
  <c r="N368" i="4"/>
  <c r="J369" i="4"/>
  <c r="H369" i="4" s="1"/>
  <c r="M369" i="4"/>
  <c r="N369" i="4"/>
  <c r="J370" i="4"/>
  <c r="H370" i="4" s="1"/>
  <c r="M370" i="4"/>
  <c r="N370" i="4"/>
  <c r="J371" i="4"/>
  <c r="H371" i="4" s="1"/>
  <c r="M371" i="4"/>
  <c r="N371" i="4"/>
  <c r="J372" i="4"/>
  <c r="H372" i="4" s="1"/>
  <c r="M372" i="4"/>
  <c r="N372" i="4"/>
  <c r="J373" i="4"/>
  <c r="H373" i="4" s="1"/>
  <c r="M373" i="4"/>
  <c r="N373" i="4"/>
  <c r="J374" i="4"/>
  <c r="H374" i="4" s="1"/>
  <c r="M374" i="4"/>
  <c r="N374" i="4"/>
  <c r="J375" i="4"/>
  <c r="H375" i="4" s="1"/>
  <c r="M375" i="4"/>
  <c r="N375" i="4"/>
  <c r="J376" i="4"/>
  <c r="H376" i="4" s="1"/>
  <c r="M376" i="4"/>
  <c r="N376" i="4"/>
  <c r="J377" i="4"/>
  <c r="H377" i="4" s="1"/>
  <c r="M377" i="4"/>
  <c r="N377" i="4"/>
  <c r="J378" i="4"/>
  <c r="H378" i="4" s="1"/>
  <c r="M378" i="4"/>
  <c r="N378" i="4"/>
  <c r="J379" i="4"/>
  <c r="H379" i="4" s="1"/>
  <c r="M379" i="4"/>
  <c r="N379" i="4"/>
  <c r="J380" i="4"/>
  <c r="H380" i="4" s="1"/>
  <c r="M380" i="4"/>
  <c r="N380" i="4"/>
  <c r="J381" i="4"/>
  <c r="H381" i="4" s="1"/>
  <c r="M381" i="4"/>
  <c r="N381" i="4"/>
  <c r="J382" i="4"/>
  <c r="H382" i="4" s="1"/>
  <c r="M382" i="4"/>
  <c r="N382" i="4"/>
  <c r="J383" i="4"/>
  <c r="H383" i="4" s="1"/>
  <c r="M383" i="4"/>
  <c r="N383" i="4"/>
  <c r="J384" i="4"/>
  <c r="H384" i="4" s="1"/>
  <c r="M384" i="4"/>
  <c r="N384" i="4"/>
  <c r="J385" i="4"/>
  <c r="H385" i="4" s="1"/>
  <c r="M385" i="4"/>
  <c r="N385" i="4"/>
  <c r="J386" i="4"/>
  <c r="H386" i="4" s="1"/>
  <c r="M386" i="4"/>
  <c r="N386" i="4"/>
  <c r="J387" i="4"/>
  <c r="H387" i="4" s="1"/>
  <c r="M387" i="4"/>
  <c r="N387" i="4"/>
  <c r="J388" i="4"/>
  <c r="H388" i="4" s="1"/>
  <c r="M388" i="4"/>
  <c r="N388" i="4"/>
  <c r="J389" i="4"/>
  <c r="H389" i="4" s="1"/>
  <c r="M389" i="4"/>
  <c r="N389" i="4"/>
  <c r="J390" i="4"/>
  <c r="H390" i="4" s="1"/>
  <c r="M390" i="4"/>
  <c r="N390" i="4"/>
  <c r="J391" i="4"/>
  <c r="H391" i="4" s="1"/>
  <c r="M391" i="4"/>
  <c r="N391" i="4"/>
  <c r="J392" i="4"/>
  <c r="H392" i="4" s="1"/>
  <c r="M392" i="4"/>
  <c r="N392" i="4"/>
  <c r="J393" i="4"/>
  <c r="H393" i="4" s="1"/>
  <c r="M393" i="4"/>
  <c r="N393" i="4"/>
  <c r="J394" i="4"/>
  <c r="H394" i="4" s="1"/>
  <c r="M394" i="4"/>
  <c r="N394" i="4"/>
  <c r="J395" i="4"/>
  <c r="H395" i="4" s="1"/>
  <c r="M395" i="4"/>
  <c r="N395" i="4"/>
  <c r="J396" i="4"/>
  <c r="H396" i="4" s="1"/>
  <c r="M396" i="4"/>
  <c r="N396" i="4"/>
  <c r="J397" i="4"/>
  <c r="H397" i="4" s="1"/>
  <c r="M397" i="4"/>
  <c r="N397" i="4"/>
  <c r="J398" i="4"/>
  <c r="H398" i="4" s="1"/>
  <c r="M398" i="4"/>
  <c r="N398" i="4"/>
  <c r="J399" i="4"/>
  <c r="H399" i="4" s="1"/>
  <c r="M399" i="4"/>
  <c r="N399" i="4"/>
  <c r="J400" i="4"/>
  <c r="H400" i="4" s="1"/>
  <c r="M400" i="4"/>
  <c r="N400" i="4"/>
  <c r="J401" i="4"/>
  <c r="H401" i="4" s="1"/>
  <c r="M401" i="4"/>
  <c r="N401" i="4"/>
  <c r="J402" i="4"/>
  <c r="H402" i="4" s="1"/>
  <c r="M402" i="4"/>
  <c r="N402" i="4"/>
  <c r="J403" i="4"/>
  <c r="H403" i="4" s="1"/>
  <c r="M403" i="4"/>
  <c r="N403" i="4"/>
  <c r="J404" i="4"/>
  <c r="H404" i="4" s="1"/>
  <c r="M404" i="4"/>
  <c r="N404" i="4"/>
  <c r="J405" i="4"/>
  <c r="H405" i="4" s="1"/>
  <c r="M405" i="4"/>
  <c r="N405" i="4"/>
  <c r="J406" i="4"/>
  <c r="H406" i="4" s="1"/>
  <c r="M406" i="4"/>
  <c r="N406" i="4"/>
  <c r="J407" i="4"/>
  <c r="H407" i="4" s="1"/>
  <c r="M407" i="4"/>
  <c r="N407" i="4"/>
  <c r="J408" i="4"/>
  <c r="H408" i="4" s="1"/>
  <c r="M408" i="4"/>
  <c r="N408" i="4"/>
  <c r="J409" i="4"/>
  <c r="H409" i="4" s="1"/>
  <c r="M409" i="4"/>
  <c r="N409" i="4"/>
  <c r="J410" i="4"/>
  <c r="H410" i="4" s="1"/>
  <c r="M410" i="4"/>
  <c r="N410" i="4"/>
  <c r="J411" i="4"/>
  <c r="H411" i="4" s="1"/>
  <c r="M411" i="4"/>
  <c r="N411" i="4"/>
  <c r="J412" i="4"/>
  <c r="H412" i="4" s="1"/>
  <c r="M412" i="4"/>
  <c r="N412" i="4"/>
  <c r="J413" i="4"/>
  <c r="H413" i="4" s="1"/>
  <c r="M413" i="4"/>
  <c r="N413" i="4"/>
  <c r="J414" i="4"/>
  <c r="H414" i="4" s="1"/>
  <c r="M414" i="4"/>
  <c r="N414" i="4"/>
  <c r="J415" i="4"/>
  <c r="H415" i="4" s="1"/>
  <c r="M415" i="4"/>
  <c r="N415" i="4"/>
  <c r="J416" i="4"/>
  <c r="H416" i="4" s="1"/>
  <c r="M416" i="4"/>
  <c r="N416" i="4"/>
  <c r="J417" i="4"/>
  <c r="H417" i="4" s="1"/>
  <c r="M417" i="4"/>
  <c r="N417" i="4"/>
  <c r="H418" i="4"/>
  <c r="J418" i="4"/>
  <c r="M418" i="4"/>
  <c r="N418" i="4"/>
  <c r="H419" i="4"/>
  <c r="J419" i="4"/>
  <c r="M419" i="4"/>
  <c r="N419" i="4"/>
  <c r="H420" i="4"/>
  <c r="J420" i="4"/>
  <c r="M420" i="4"/>
  <c r="N420" i="4"/>
  <c r="J421" i="4"/>
  <c r="H421" i="4" s="1"/>
  <c r="M421" i="4"/>
  <c r="N421" i="4"/>
  <c r="J422" i="4"/>
  <c r="H422" i="4" s="1"/>
  <c r="M422" i="4"/>
  <c r="N422" i="4"/>
  <c r="J423" i="4"/>
  <c r="H423" i="4" s="1"/>
  <c r="M423" i="4"/>
  <c r="N423" i="4"/>
  <c r="J424" i="4"/>
  <c r="H424" i="4" s="1"/>
  <c r="M424" i="4"/>
  <c r="N424" i="4"/>
  <c r="J425" i="4"/>
  <c r="H425" i="4" s="1"/>
  <c r="M425" i="4"/>
  <c r="N425" i="4"/>
  <c r="J426" i="4"/>
  <c r="H426" i="4" s="1"/>
  <c r="M426" i="4"/>
  <c r="N426" i="4"/>
  <c r="J427" i="4"/>
  <c r="H427" i="4" s="1"/>
  <c r="M427" i="4"/>
  <c r="N427" i="4"/>
  <c r="J428" i="4"/>
  <c r="H428" i="4" s="1"/>
  <c r="M428" i="4"/>
  <c r="N428" i="4"/>
  <c r="J429" i="4"/>
  <c r="H429" i="4" s="1"/>
  <c r="M429" i="4"/>
  <c r="N429" i="4"/>
  <c r="J430" i="4"/>
  <c r="H430" i="4" s="1"/>
  <c r="M430" i="4"/>
  <c r="N430" i="4"/>
  <c r="J431" i="4"/>
  <c r="H431" i="4" s="1"/>
  <c r="M431" i="4"/>
  <c r="N431" i="4"/>
  <c r="J432" i="4"/>
  <c r="H432" i="4" s="1"/>
  <c r="M432" i="4"/>
  <c r="N432" i="4"/>
  <c r="J433" i="4"/>
  <c r="H433" i="4" s="1"/>
  <c r="M433" i="4"/>
  <c r="N433" i="4"/>
  <c r="J434" i="4"/>
  <c r="H434" i="4" s="1"/>
  <c r="M434" i="4"/>
  <c r="N434" i="4"/>
  <c r="J435" i="4"/>
  <c r="H435" i="4" s="1"/>
  <c r="M435" i="4"/>
  <c r="N435" i="4"/>
  <c r="J436" i="4"/>
  <c r="H436" i="4" s="1"/>
  <c r="M436" i="4"/>
  <c r="N436" i="4"/>
  <c r="J437" i="4"/>
  <c r="H437" i="4" s="1"/>
  <c r="M437" i="4"/>
  <c r="N437" i="4"/>
  <c r="J438" i="4"/>
  <c r="H438" i="4" s="1"/>
  <c r="M438" i="4"/>
  <c r="N438" i="4"/>
  <c r="J439" i="4"/>
  <c r="H439" i="4" s="1"/>
  <c r="M439" i="4"/>
  <c r="N439" i="4"/>
  <c r="J440" i="4"/>
  <c r="H440" i="4" s="1"/>
  <c r="M440" i="4"/>
  <c r="N440" i="4"/>
  <c r="J441" i="4"/>
  <c r="H441" i="4" s="1"/>
  <c r="M441" i="4"/>
  <c r="N441" i="4"/>
  <c r="J442" i="4"/>
  <c r="H442" i="4" s="1"/>
  <c r="M442" i="4"/>
  <c r="N442" i="4"/>
  <c r="J443" i="4"/>
  <c r="H443" i="4" s="1"/>
  <c r="M443" i="4"/>
  <c r="N443" i="4"/>
  <c r="J444" i="4"/>
  <c r="H444" i="4" s="1"/>
  <c r="M444" i="4"/>
  <c r="N444" i="4"/>
  <c r="J445" i="4"/>
  <c r="H445" i="4" s="1"/>
  <c r="M445" i="4"/>
  <c r="N445" i="4"/>
  <c r="J446" i="4"/>
  <c r="H446" i="4" s="1"/>
  <c r="M446" i="4"/>
  <c r="N446" i="4"/>
  <c r="J447" i="4"/>
  <c r="H447" i="4" s="1"/>
  <c r="M447" i="4"/>
  <c r="N447" i="4"/>
  <c r="J448" i="4"/>
  <c r="H448" i="4" s="1"/>
  <c r="M448" i="4"/>
  <c r="N448" i="4"/>
  <c r="J449" i="4"/>
  <c r="H449" i="4" s="1"/>
  <c r="M449" i="4"/>
  <c r="N449" i="4"/>
  <c r="J450" i="4"/>
  <c r="H450" i="4" s="1"/>
  <c r="M450" i="4"/>
  <c r="N450" i="4"/>
  <c r="J451" i="4"/>
  <c r="H451" i="4" s="1"/>
  <c r="M451" i="4"/>
  <c r="N451" i="4"/>
  <c r="J452" i="4"/>
  <c r="H452" i="4" s="1"/>
  <c r="M452" i="4"/>
  <c r="N452" i="4"/>
  <c r="J453" i="4"/>
  <c r="H453" i="4" s="1"/>
  <c r="M453" i="4"/>
  <c r="N453" i="4"/>
  <c r="J454" i="4"/>
  <c r="H454" i="4" s="1"/>
  <c r="M454" i="4"/>
  <c r="N454" i="4"/>
  <c r="J455" i="4"/>
  <c r="H455" i="4" s="1"/>
  <c r="M455" i="4"/>
  <c r="N455" i="4"/>
  <c r="J456" i="4"/>
  <c r="H456" i="4" s="1"/>
  <c r="M456" i="4"/>
  <c r="N456" i="4"/>
  <c r="J457" i="4"/>
  <c r="H457" i="4" s="1"/>
  <c r="M457" i="4"/>
  <c r="N457" i="4"/>
  <c r="J458" i="4"/>
  <c r="H458" i="4" s="1"/>
  <c r="M458" i="4"/>
  <c r="N458" i="4"/>
  <c r="J459" i="4"/>
  <c r="H459" i="4" s="1"/>
  <c r="M459" i="4"/>
  <c r="N459" i="4"/>
  <c r="J460" i="4"/>
  <c r="H460" i="4" s="1"/>
  <c r="M460" i="4"/>
  <c r="N460" i="4"/>
  <c r="J461" i="4"/>
  <c r="H461" i="4" s="1"/>
  <c r="M461" i="4"/>
  <c r="N461" i="4"/>
  <c r="J462" i="4"/>
  <c r="H462" i="4" s="1"/>
  <c r="M462" i="4"/>
  <c r="N462" i="4"/>
  <c r="J463" i="4"/>
  <c r="H463" i="4" s="1"/>
  <c r="M463" i="4"/>
  <c r="N463" i="4"/>
  <c r="J464" i="4"/>
  <c r="H464" i="4" s="1"/>
  <c r="M464" i="4"/>
  <c r="N464" i="4"/>
  <c r="J465" i="4"/>
  <c r="H465" i="4" s="1"/>
  <c r="M465" i="4"/>
  <c r="N465" i="4"/>
  <c r="J466" i="4"/>
  <c r="H466" i="4" s="1"/>
  <c r="M466" i="4"/>
  <c r="N466" i="4"/>
  <c r="J467" i="4"/>
  <c r="H467" i="4" s="1"/>
  <c r="M467" i="4"/>
  <c r="N467" i="4"/>
  <c r="J468" i="4"/>
  <c r="H468" i="4" s="1"/>
  <c r="M468" i="4"/>
  <c r="N468" i="4"/>
  <c r="J469" i="4"/>
  <c r="H469" i="4" s="1"/>
  <c r="M469" i="4"/>
  <c r="N469" i="4"/>
  <c r="J470" i="4"/>
  <c r="H470" i="4" s="1"/>
  <c r="M470" i="4"/>
  <c r="N470" i="4"/>
  <c r="J471" i="4"/>
  <c r="H471" i="4" s="1"/>
  <c r="M471" i="4"/>
  <c r="N471" i="4"/>
  <c r="J472" i="4"/>
  <c r="H472" i="4" s="1"/>
  <c r="M472" i="4"/>
  <c r="N472" i="4"/>
  <c r="J473" i="4"/>
  <c r="H473" i="4" s="1"/>
  <c r="M473" i="4"/>
  <c r="N473" i="4"/>
  <c r="J474" i="4"/>
  <c r="H474" i="4" s="1"/>
  <c r="M474" i="4"/>
  <c r="N474" i="4"/>
  <c r="J475" i="4"/>
  <c r="H475" i="4" s="1"/>
  <c r="M475" i="4"/>
  <c r="N475" i="4"/>
  <c r="J476" i="4"/>
  <c r="H476" i="4" s="1"/>
  <c r="M476" i="4"/>
  <c r="N476" i="4"/>
  <c r="J477" i="4"/>
  <c r="H477" i="4" s="1"/>
  <c r="M477" i="4"/>
  <c r="N477" i="4"/>
  <c r="J478" i="4"/>
  <c r="H478" i="4" s="1"/>
  <c r="M478" i="4"/>
  <c r="N478" i="4"/>
  <c r="J479" i="4"/>
  <c r="H479" i="4" s="1"/>
  <c r="M479" i="4"/>
  <c r="N479" i="4"/>
  <c r="J480" i="4"/>
  <c r="H480" i="4" s="1"/>
  <c r="M480" i="4"/>
  <c r="N480" i="4"/>
  <c r="J481" i="4"/>
  <c r="H481" i="4" s="1"/>
  <c r="M481" i="4"/>
  <c r="N481" i="4"/>
  <c r="J482" i="4"/>
  <c r="H482" i="4" s="1"/>
  <c r="M482" i="4"/>
  <c r="N482" i="4"/>
  <c r="J483" i="4"/>
  <c r="H483" i="4" s="1"/>
  <c r="M483" i="4"/>
  <c r="N483" i="4"/>
  <c r="J484" i="4"/>
  <c r="H484" i="4" s="1"/>
  <c r="M484" i="4"/>
  <c r="N484" i="4"/>
  <c r="J485" i="4"/>
  <c r="H485" i="4" s="1"/>
  <c r="M485" i="4"/>
  <c r="N485" i="4"/>
  <c r="J486" i="4"/>
  <c r="H486" i="4" s="1"/>
  <c r="M486" i="4"/>
  <c r="N486" i="4"/>
  <c r="J487" i="4"/>
  <c r="H487" i="4" s="1"/>
  <c r="M487" i="4"/>
  <c r="N487" i="4"/>
  <c r="J488" i="4"/>
  <c r="H488" i="4" s="1"/>
  <c r="M488" i="4"/>
  <c r="N488" i="4"/>
  <c r="J489" i="4"/>
  <c r="H489" i="4" s="1"/>
  <c r="M489" i="4"/>
  <c r="N489" i="4"/>
  <c r="J490" i="4"/>
  <c r="H490" i="4" s="1"/>
  <c r="M490" i="4"/>
  <c r="N490" i="4"/>
  <c r="J491" i="4"/>
  <c r="H491" i="4" s="1"/>
  <c r="M491" i="4"/>
  <c r="N491" i="4"/>
  <c r="J492" i="4"/>
  <c r="H492" i="4" s="1"/>
  <c r="M492" i="4"/>
  <c r="N492" i="4"/>
  <c r="J493" i="4"/>
  <c r="H493" i="4" s="1"/>
  <c r="M493" i="4"/>
  <c r="N493" i="4"/>
  <c r="J494" i="4"/>
  <c r="H494" i="4" s="1"/>
  <c r="M494" i="4"/>
  <c r="N494" i="4"/>
  <c r="J495" i="4"/>
  <c r="H495" i="4" s="1"/>
  <c r="M495" i="4"/>
  <c r="N495" i="4"/>
  <c r="J496" i="4"/>
  <c r="H496" i="4" s="1"/>
  <c r="M496" i="4"/>
  <c r="N496" i="4"/>
  <c r="J497" i="4"/>
  <c r="H497" i="4" s="1"/>
  <c r="M497" i="4"/>
  <c r="N497" i="4"/>
  <c r="J498" i="4"/>
  <c r="H498" i="4" s="1"/>
  <c r="M498" i="4"/>
  <c r="N498" i="4"/>
  <c r="J499" i="4"/>
  <c r="H499" i="4" s="1"/>
  <c r="M499" i="4"/>
  <c r="N499" i="4"/>
  <c r="J500" i="4"/>
  <c r="H500" i="4" s="1"/>
  <c r="M500" i="4"/>
  <c r="N500" i="4"/>
  <c r="J501" i="4"/>
  <c r="H501" i="4" s="1"/>
  <c r="M501" i="4"/>
  <c r="N501" i="4"/>
  <c r="J502" i="4"/>
  <c r="H502" i="4" s="1"/>
  <c r="M502" i="4"/>
  <c r="N502" i="4"/>
  <c r="J503" i="4"/>
  <c r="H503" i="4" s="1"/>
  <c r="M503" i="4"/>
  <c r="N503" i="4"/>
  <c r="J504" i="4"/>
  <c r="H504" i="4" s="1"/>
  <c r="M504" i="4"/>
  <c r="N504" i="4"/>
  <c r="J505" i="4"/>
  <c r="H505" i="4" s="1"/>
  <c r="M505" i="4"/>
  <c r="N505" i="4"/>
  <c r="J506" i="4"/>
  <c r="H506" i="4" s="1"/>
  <c r="M506" i="4"/>
  <c r="N506" i="4"/>
  <c r="J507" i="4"/>
  <c r="H507" i="4" s="1"/>
  <c r="M507" i="4"/>
  <c r="N507" i="4"/>
  <c r="J508" i="4"/>
  <c r="H508" i="4" s="1"/>
  <c r="M508" i="4"/>
  <c r="N508" i="4"/>
  <c r="J509" i="4"/>
  <c r="H509" i="4" s="1"/>
  <c r="M509" i="4"/>
  <c r="N509" i="4"/>
  <c r="J510" i="4"/>
  <c r="H510" i="4" s="1"/>
  <c r="M510" i="4"/>
  <c r="N510" i="4"/>
  <c r="J511" i="4"/>
  <c r="H511" i="4" s="1"/>
  <c r="M511" i="4"/>
  <c r="N511" i="4"/>
  <c r="J512" i="4"/>
  <c r="H512" i="4" s="1"/>
  <c r="M512" i="4"/>
  <c r="N512" i="4"/>
  <c r="J513" i="4"/>
  <c r="H513" i="4" s="1"/>
  <c r="M513" i="4"/>
  <c r="N513" i="4"/>
  <c r="J514" i="4"/>
  <c r="H514" i="4" s="1"/>
  <c r="M514" i="4"/>
  <c r="N514" i="4"/>
  <c r="J515" i="4"/>
  <c r="H515" i="4" s="1"/>
  <c r="M515" i="4"/>
  <c r="N515" i="4"/>
  <c r="J516" i="4"/>
  <c r="H516" i="4" s="1"/>
  <c r="M516" i="4"/>
  <c r="N516" i="4"/>
  <c r="J517" i="4"/>
  <c r="H517" i="4" s="1"/>
  <c r="M517" i="4"/>
  <c r="N517" i="4"/>
  <c r="J518" i="4"/>
  <c r="H518" i="4" s="1"/>
  <c r="M518" i="4"/>
  <c r="N518" i="4"/>
  <c r="J519" i="4"/>
  <c r="H519" i="4" s="1"/>
  <c r="M519" i="4"/>
  <c r="N519" i="4"/>
  <c r="J520" i="4"/>
  <c r="H520" i="4" s="1"/>
  <c r="M520" i="4"/>
  <c r="N520" i="4"/>
  <c r="J521" i="4"/>
  <c r="H521" i="4" s="1"/>
  <c r="M521" i="4"/>
  <c r="N521" i="4"/>
  <c r="J522" i="4"/>
  <c r="H522" i="4" s="1"/>
  <c r="M522" i="4"/>
  <c r="N522" i="4"/>
  <c r="J523" i="4"/>
  <c r="H523" i="4" s="1"/>
  <c r="M523" i="4"/>
  <c r="N523" i="4"/>
  <c r="J524" i="4"/>
  <c r="H524" i="4" s="1"/>
  <c r="M524" i="4"/>
  <c r="N524" i="4"/>
  <c r="J525" i="4"/>
  <c r="H525" i="4" s="1"/>
  <c r="M525" i="4"/>
  <c r="N525" i="4"/>
  <c r="J526" i="4"/>
  <c r="H526" i="4" s="1"/>
  <c r="M526" i="4"/>
  <c r="N526" i="4"/>
  <c r="J527" i="4"/>
  <c r="H527" i="4" s="1"/>
  <c r="M527" i="4"/>
  <c r="N527" i="4"/>
  <c r="J528" i="4"/>
  <c r="H528" i="4" s="1"/>
  <c r="M528" i="4"/>
  <c r="N528" i="4"/>
  <c r="J529" i="4"/>
  <c r="H529" i="4" s="1"/>
  <c r="M529" i="4"/>
  <c r="N529" i="4"/>
  <c r="J530" i="4"/>
  <c r="H530" i="4" s="1"/>
  <c r="M530" i="4"/>
  <c r="N530" i="4"/>
  <c r="J531" i="4"/>
  <c r="H531" i="4" s="1"/>
  <c r="M531" i="4"/>
  <c r="N531" i="4"/>
  <c r="J532" i="4"/>
  <c r="H532" i="4" s="1"/>
  <c r="M532" i="4"/>
  <c r="N532" i="4"/>
  <c r="J533" i="4"/>
  <c r="H533" i="4" s="1"/>
  <c r="M533" i="4"/>
  <c r="N533" i="4"/>
  <c r="J534" i="4"/>
  <c r="H534" i="4" s="1"/>
  <c r="M534" i="4"/>
  <c r="N534" i="4"/>
  <c r="J535" i="4"/>
  <c r="H535" i="4" s="1"/>
  <c r="M535" i="4"/>
  <c r="N535" i="4"/>
  <c r="J536" i="4"/>
  <c r="H536" i="4" s="1"/>
  <c r="M536" i="4"/>
  <c r="N536" i="4"/>
  <c r="J537" i="4"/>
  <c r="H537" i="4" s="1"/>
  <c r="M537" i="4"/>
  <c r="N537" i="4"/>
  <c r="J538" i="4"/>
  <c r="H538" i="4" s="1"/>
  <c r="M538" i="4"/>
  <c r="N538" i="4"/>
  <c r="J539" i="4"/>
  <c r="H539" i="4" s="1"/>
  <c r="M539" i="4"/>
  <c r="N539" i="4"/>
  <c r="J540" i="4"/>
  <c r="H540" i="4" s="1"/>
  <c r="M540" i="4"/>
  <c r="N540" i="4"/>
  <c r="J541" i="4"/>
  <c r="H541" i="4" s="1"/>
  <c r="M541" i="4"/>
  <c r="N541" i="4"/>
  <c r="J542" i="4"/>
  <c r="H542" i="4" s="1"/>
  <c r="M542" i="4"/>
  <c r="N542" i="4"/>
  <c r="J543" i="4"/>
  <c r="H543" i="4" s="1"/>
  <c r="M543" i="4"/>
  <c r="N543" i="4"/>
  <c r="J544" i="4"/>
  <c r="H544" i="4" s="1"/>
  <c r="M544" i="4"/>
  <c r="N544" i="4"/>
  <c r="J545" i="4"/>
  <c r="H545" i="4" s="1"/>
  <c r="M545" i="4"/>
  <c r="N545" i="4"/>
  <c r="J546" i="4"/>
  <c r="H546" i="4" s="1"/>
  <c r="M546" i="4"/>
  <c r="N546" i="4"/>
  <c r="J547" i="4"/>
  <c r="H547" i="4" s="1"/>
  <c r="M547" i="4"/>
  <c r="N547" i="4"/>
  <c r="J548" i="4"/>
  <c r="H548" i="4" s="1"/>
  <c r="M548" i="4"/>
  <c r="N548" i="4"/>
  <c r="J549" i="4"/>
  <c r="H549" i="4" s="1"/>
  <c r="M549" i="4"/>
  <c r="N549" i="4"/>
  <c r="J550" i="4"/>
  <c r="H550" i="4" s="1"/>
  <c r="M550" i="4"/>
  <c r="N550" i="4"/>
  <c r="J551" i="4"/>
  <c r="H551" i="4" s="1"/>
  <c r="M551" i="4"/>
  <c r="N551" i="4"/>
  <c r="J552" i="4"/>
  <c r="H552" i="4" s="1"/>
  <c r="M552" i="4"/>
  <c r="N552" i="4"/>
  <c r="J553" i="4"/>
  <c r="H553" i="4" s="1"/>
  <c r="M553" i="4"/>
  <c r="N553" i="4"/>
  <c r="J554" i="4"/>
  <c r="H554" i="4" s="1"/>
  <c r="M554" i="4"/>
  <c r="N554" i="4"/>
  <c r="J555" i="4"/>
  <c r="H555" i="4" s="1"/>
  <c r="M555" i="4"/>
  <c r="N555" i="4"/>
  <c r="J556" i="4"/>
  <c r="H556" i="4" s="1"/>
  <c r="M556" i="4"/>
  <c r="N556" i="4"/>
  <c r="J557" i="4"/>
  <c r="H557" i="4" s="1"/>
  <c r="M557" i="4"/>
  <c r="N557" i="4"/>
  <c r="J558" i="4"/>
  <c r="H558" i="4" s="1"/>
  <c r="M558" i="4"/>
  <c r="N558" i="4"/>
  <c r="J559" i="4"/>
  <c r="H559" i="4" s="1"/>
  <c r="M559" i="4"/>
  <c r="N559" i="4"/>
  <c r="J560" i="4"/>
  <c r="H560" i="4" s="1"/>
  <c r="M560" i="4"/>
  <c r="N560" i="4"/>
  <c r="J561" i="4"/>
  <c r="H561" i="4" s="1"/>
  <c r="M561" i="4"/>
  <c r="N561" i="4"/>
  <c r="J562" i="4"/>
  <c r="H562" i="4" s="1"/>
  <c r="M562" i="4"/>
  <c r="N562" i="4"/>
  <c r="J563" i="4"/>
  <c r="H563" i="4" s="1"/>
  <c r="M563" i="4"/>
  <c r="N563" i="4"/>
  <c r="J564" i="4"/>
  <c r="H564" i="4" s="1"/>
  <c r="M564" i="4"/>
  <c r="N564" i="4"/>
  <c r="J565" i="4"/>
  <c r="H565" i="4" s="1"/>
  <c r="M565" i="4"/>
  <c r="N565" i="4"/>
  <c r="J566" i="4"/>
  <c r="H566" i="4" s="1"/>
  <c r="M566" i="4"/>
  <c r="N566" i="4"/>
  <c r="J567" i="4"/>
  <c r="H567" i="4" s="1"/>
  <c r="M567" i="4"/>
  <c r="N567" i="4"/>
  <c r="J568" i="4"/>
  <c r="H568" i="4" s="1"/>
  <c r="M568" i="4"/>
  <c r="N568" i="4"/>
  <c r="J569" i="4"/>
  <c r="H569" i="4" s="1"/>
  <c r="M569" i="4"/>
  <c r="N569" i="4"/>
  <c r="J570" i="4"/>
  <c r="H570" i="4" s="1"/>
  <c r="M570" i="4"/>
  <c r="N570" i="4"/>
  <c r="J571" i="4"/>
  <c r="H571" i="4" s="1"/>
  <c r="M571" i="4"/>
  <c r="N571" i="4"/>
  <c r="J572" i="4"/>
  <c r="H572" i="4" s="1"/>
  <c r="M572" i="4"/>
  <c r="N572" i="4"/>
  <c r="J573" i="4"/>
  <c r="H573" i="4" s="1"/>
  <c r="M573" i="4"/>
  <c r="N573" i="4"/>
  <c r="J574" i="4"/>
  <c r="H574" i="4" s="1"/>
  <c r="M574" i="4"/>
  <c r="N574" i="4"/>
  <c r="J575" i="4"/>
  <c r="H575" i="4" s="1"/>
  <c r="M575" i="4"/>
  <c r="N575" i="4"/>
  <c r="J576" i="4"/>
  <c r="H576" i="4" s="1"/>
  <c r="M576" i="4"/>
  <c r="N576" i="4"/>
  <c r="J577" i="4"/>
  <c r="H577" i="4" s="1"/>
  <c r="M577" i="4"/>
  <c r="N577" i="4"/>
  <c r="J578" i="4"/>
  <c r="H578" i="4" s="1"/>
  <c r="M578" i="4"/>
  <c r="N578" i="4"/>
  <c r="J579" i="4"/>
  <c r="H579" i="4" s="1"/>
  <c r="M579" i="4"/>
  <c r="N579" i="4"/>
  <c r="J580" i="4"/>
  <c r="H580" i="4" s="1"/>
  <c r="M580" i="4"/>
  <c r="N580" i="4"/>
  <c r="J581" i="4"/>
  <c r="H581" i="4" s="1"/>
  <c r="M581" i="4"/>
  <c r="N581" i="4"/>
  <c r="J582" i="4"/>
  <c r="H582" i="4" s="1"/>
  <c r="M582" i="4"/>
  <c r="N582" i="4"/>
  <c r="J583" i="4"/>
  <c r="H583" i="4" s="1"/>
  <c r="M583" i="4"/>
  <c r="N583" i="4"/>
  <c r="J584" i="4"/>
  <c r="H584" i="4" s="1"/>
  <c r="M584" i="4"/>
  <c r="N584" i="4"/>
  <c r="J585" i="4"/>
  <c r="H585" i="4" s="1"/>
  <c r="M585" i="4"/>
  <c r="N585" i="4"/>
  <c r="J586" i="4"/>
  <c r="H586" i="4" s="1"/>
  <c r="M586" i="4"/>
  <c r="N586" i="4"/>
  <c r="J587" i="4"/>
  <c r="H587" i="4" s="1"/>
  <c r="M587" i="4"/>
  <c r="N587" i="4"/>
  <c r="J588" i="4"/>
  <c r="H588" i="4" s="1"/>
  <c r="M588" i="4"/>
  <c r="N588" i="4"/>
  <c r="J589" i="4"/>
  <c r="H589" i="4" s="1"/>
  <c r="M589" i="4"/>
  <c r="N589" i="4"/>
  <c r="J590" i="4"/>
  <c r="H590" i="4" s="1"/>
  <c r="M590" i="4"/>
  <c r="N590" i="4"/>
  <c r="J591" i="4"/>
  <c r="H591" i="4" s="1"/>
  <c r="M591" i="4"/>
  <c r="N591" i="4"/>
  <c r="J592" i="4"/>
  <c r="H592" i="4" s="1"/>
  <c r="M592" i="4"/>
  <c r="N592" i="4"/>
  <c r="J593" i="4"/>
  <c r="H593" i="4" s="1"/>
  <c r="M593" i="4"/>
  <c r="N593" i="4"/>
  <c r="J594" i="4"/>
  <c r="H594" i="4" s="1"/>
  <c r="M594" i="4"/>
  <c r="N594" i="4"/>
  <c r="J595" i="4"/>
  <c r="H595" i="4" s="1"/>
  <c r="M595" i="4"/>
  <c r="N595" i="4"/>
  <c r="J596" i="4"/>
  <c r="H596" i="4" s="1"/>
  <c r="M596" i="4"/>
  <c r="N596" i="4"/>
  <c r="J597" i="4"/>
  <c r="H597" i="4" s="1"/>
  <c r="M597" i="4"/>
  <c r="N597" i="4"/>
  <c r="J598" i="4"/>
  <c r="H598" i="4" s="1"/>
  <c r="M598" i="4"/>
  <c r="N598" i="4"/>
  <c r="J599" i="4"/>
  <c r="H599" i="4" s="1"/>
  <c r="M599" i="4"/>
  <c r="N599" i="4"/>
  <c r="J600" i="4"/>
  <c r="H600" i="4" s="1"/>
  <c r="M600" i="4"/>
  <c r="N600" i="4"/>
  <c r="J601" i="4"/>
  <c r="H601" i="4" s="1"/>
  <c r="M601" i="4"/>
  <c r="N601" i="4"/>
  <c r="J602" i="4"/>
  <c r="H602" i="4" s="1"/>
  <c r="M602" i="4"/>
  <c r="N602" i="4"/>
  <c r="J603" i="4"/>
  <c r="H603" i="4" s="1"/>
  <c r="M603" i="4"/>
  <c r="N603" i="4"/>
  <c r="J604" i="4"/>
  <c r="H604" i="4" s="1"/>
  <c r="M604" i="4"/>
  <c r="N604" i="4"/>
  <c r="J605" i="4"/>
  <c r="H605" i="4" s="1"/>
  <c r="M605" i="4"/>
  <c r="N605" i="4"/>
  <c r="J606" i="4"/>
  <c r="H606" i="4" s="1"/>
  <c r="M606" i="4"/>
  <c r="N606" i="4"/>
  <c r="J607" i="4"/>
  <c r="H607" i="4" s="1"/>
  <c r="M607" i="4"/>
  <c r="N607" i="4"/>
  <c r="J608" i="4"/>
  <c r="H608" i="4" s="1"/>
  <c r="M608" i="4"/>
  <c r="N608" i="4"/>
  <c r="J609" i="4"/>
  <c r="H609" i="4" s="1"/>
  <c r="M609" i="4"/>
  <c r="N609" i="4"/>
  <c r="J610" i="4"/>
  <c r="H610" i="4" s="1"/>
  <c r="M610" i="4"/>
  <c r="N610" i="4"/>
  <c r="J611" i="4"/>
  <c r="H611" i="4" s="1"/>
  <c r="M611" i="4"/>
  <c r="N611" i="4"/>
  <c r="J612" i="4"/>
  <c r="H612" i="4" s="1"/>
  <c r="M612" i="4"/>
  <c r="N612" i="4"/>
  <c r="J613" i="4"/>
  <c r="H613" i="4" s="1"/>
  <c r="M613" i="4"/>
  <c r="N613" i="4"/>
  <c r="J614" i="4"/>
  <c r="H614" i="4" s="1"/>
  <c r="M614" i="4"/>
  <c r="N614" i="4"/>
  <c r="J615" i="4"/>
  <c r="H615" i="4" s="1"/>
  <c r="M615" i="4"/>
  <c r="N615" i="4"/>
  <c r="J616" i="4"/>
  <c r="H616" i="4" s="1"/>
  <c r="M616" i="4"/>
  <c r="N616" i="4"/>
  <c r="J617" i="4"/>
  <c r="H617" i="4" s="1"/>
  <c r="M617" i="4"/>
  <c r="N617" i="4"/>
  <c r="J618" i="4"/>
  <c r="H618" i="4" s="1"/>
  <c r="M618" i="4"/>
  <c r="N618" i="4"/>
  <c r="J619" i="4"/>
  <c r="H619" i="4" s="1"/>
  <c r="M619" i="4"/>
  <c r="N619" i="4"/>
  <c r="J620" i="4"/>
  <c r="H620" i="4" s="1"/>
  <c r="M620" i="4"/>
  <c r="N620" i="4"/>
  <c r="J621" i="4"/>
  <c r="H621" i="4" s="1"/>
  <c r="M621" i="4"/>
  <c r="N621" i="4"/>
  <c r="J622" i="4"/>
  <c r="H622" i="4" s="1"/>
  <c r="M622" i="4"/>
  <c r="N622" i="4"/>
  <c r="J623" i="4"/>
  <c r="H623" i="4" s="1"/>
  <c r="M623" i="4"/>
  <c r="N623" i="4"/>
  <c r="J624" i="4"/>
  <c r="H624" i="4" s="1"/>
  <c r="M624" i="4"/>
  <c r="N624" i="4"/>
  <c r="J625" i="4"/>
  <c r="H625" i="4" s="1"/>
  <c r="M625" i="4"/>
  <c r="N625" i="4"/>
  <c r="J626" i="4"/>
  <c r="H626" i="4" s="1"/>
  <c r="M626" i="4"/>
  <c r="N626" i="4"/>
  <c r="J627" i="4"/>
  <c r="H627" i="4" s="1"/>
  <c r="M627" i="4"/>
  <c r="N627" i="4"/>
  <c r="J628" i="4"/>
  <c r="H628" i="4" s="1"/>
  <c r="M628" i="4"/>
  <c r="N628" i="4"/>
  <c r="J629" i="4"/>
  <c r="H629" i="4" s="1"/>
  <c r="M629" i="4"/>
  <c r="N629" i="4"/>
  <c r="J630" i="4"/>
  <c r="H630" i="4" s="1"/>
  <c r="M630" i="4"/>
  <c r="N630" i="4"/>
  <c r="J631" i="4"/>
  <c r="H631" i="4" s="1"/>
  <c r="M631" i="4"/>
  <c r="N631" i="4"/>
  <c r="J632" i="4"/>
  <c r="H632" i="4" s="1"/>
  <c r="M632" i="4"/>
  <c r="N632" i="4"/>
  <c r="J633" i="4"/>
  <c r="H633" i="4" s="1"/>
  <c r="M633" i="4"/>
  <c r="N633" i="4"/>
  <c r="J634" i="4"/>
  <c r="H634" i="4" s="1"/>
  <c r="M634" i="4"/>
  <c r="N634" i="4"/>
  <c r="J635" i="4"/>
  <c r="H635" i="4" s="1"/>
  <c r="M635" i="4"/>
  <c r="N635" i="4"/>
  <c r="J636" i="4"/>
  <c r="H636" i="4" s="1"/>
  <c r="M636" i="4"/>
  <c r="N636" i="4"/>
  <c r="J637" i="4"/>
  <c r="H637" i="4" s="1"/>
  <c r="M637" i="4"/>
  <c r="N637" i="4"/>
  <c r="J638" i="4"/>
  <c r="H638" i="4" s="1"/>
  <c r="M638" i="4"/>
  <c r="N638" i="4"/>
  <c r="J639" i="4"/>
  <c r="H639" i="4" s="1"/>
  <c r="M639" i="4"/>
  <c r="N639" i="4"/>
  <c r="J640" i="4"/>
  <c r="H640" i="4" s="1"/>
  <c r="M640" i="4"/>
  <c r="N640" i="4"/>
  <c r="J641" i="4"/>
  <c r="H641" i="4" s="1"/>
  <c r="M641" i="4"/>
  <c r="N641" i="4"/>
  <c r="J642" i="4"/>
  <c r="H642" i="4" s="1"/>
  <c r="M642" i="4"/>
  <c r="N642" i="4"/>
  <c r="J643" i="4"/>
  <c r="H643" i="4" s="1"/>
  <c r="M643" i="4"/>
  <c r="N643" i="4"/>
  <c r="J644" i="4"/>
  <c r="H644" i="4" s="1"/>
  <c r="M644" i="4"/>
  <c r="N644" i="4"/>
  <c r="J645" i="4"/>
  <c r="H645" i="4" s="1"/>
  <c r="M645" i="4"/>
  <c r="N645" i="4"/>
  <c r="J646" i="4"/>
  <c r="H646" i="4" s="1"/>
  <c r="M646" i="4"/>
  <c r="N646" i="4"/>
  <c r="J647" i="4"/>
  <c r="H647" i="4" s="1"/>
  <c r="M647" i="4"/>
  <c r="N647" i="4"/>
  <c r="J648" i="4"/>
  <c r="H648" i="4" s="1"/>
  <c r="M648" i="4"/>
  <c r="N648" i="4"/>
  <c r="J649" i="4"/>
  <c r="H649" i="4" s="1"/>
  <c r="M649" i="4"/>
  <c r="N649" i="4"/>
  <c r="J650" i="4"/>
  <c r="H650" i="4" s="1"/>
  <c r="M650" i="4"/>
  <c r="N650" i="4"/>
  <c r="J651" i="4"/>
  <c r="H651" i="4" s="1"/>
  <c r="M651" i="4"/>
  <c r="N651" i="4"/>
  <c r="J652" i="4"/>
  <c r="H652" i="4" s="1"/>
  <c r="M652" i="4"/>
  <c r="N652" i="4"/>
  <c r="J653" i="4"/>
  <c r="H653" i="4" s="1"/>
  <c r="M653" i="4"/>
  <c r="N653" i="4"/>
  <c r="J654" i="4"/>
  <c r="H654" i="4" s="1"/>
  <c r="M654" i="4"/>
  <c r="N654" i="4"/>
  <c r="J655" i="4"/>
  <c r="H655" i="4" s="1"/>
  <c r="M655" i="4"/>
  <c r="N655" i="4"/>
  <c r="J656" i="4"/>
  <c r="H656" i="4" s="1"/>
  <c r="M656" i="4"/>
  <c r="N656" i="4"/>
  <c r="J657" i="4"/>
  <c r="H657" i="4" s="1"/>
  <c r="M657" i="4"/>
  <c r="N657" i="4"/>
  <c r="J658" i="4"/>
  <c r="H658" i="4" s="1"/>
  <c r="M658" i="4"/>
  <c r="N658" i="4"/>
  <c r="J659" i="4"/>
  <c r="H659" i="4" s="1"/>
  <c r="M659" i="4"/>
  <c r="N659" i="4"/>
  <c r="J660" i="4"/>
  <c r="H660" i="4" s="1"/>
  <c r="M660" i="4"/>
  <c r="N660" i="4"/>
  <c r="J661" i="4"/>
  <c r="H661" i="4" s="1"/>
  <c r="M661" i="4"/>
  <c r="N661" i="4"/>
  <c r="J662" i="4"/>
  <c r="H662" i="4" s="1"/>
  <c r="M662" i="4"/>
  <c r="N662" i="4"/>
  <c r="J663" i="4"/>
  <c r="H663" i="4" s="1"/>
  <c r="M663" i="4"/>
  <c r="N663" i="4"/>
  <c r="J664" i="4"/>
  <c r="H664" i="4" s="1"/>
  <c r="M664" i="4"/>
  <c r="N664" i="4"/>
  <c r="J665" i="4"/>
  <c r="H665" i="4" s="1"/>
  <c r="M665" i="4"/>
  <c r="N665" i="4"/>
  <c r="J666" i="4"/>
  <c r="H666" i="4" s="1"/>
  <c r="M666" i="4"/>
  <c r="N666" i="4"/>
  <c r="J667" i="4"/>
  <c r="H667" i="4" s="1"/>
  <c r="M667" i="4"/>
  <c r="N667" i="4"/>
  <c r="J668" i="4"/>
  <c r="H668" i="4" s="1"/>
  <c r="M668" i="4"/>
  <c r="N668" i="4"/>
  <c r="J669" i="4"/>
  <c r="H669" i="4" s="1"/>
  <c r="M669" i="4"/>
  <c r="N669" i="4"/>
  <c r="J670" i="4"/>
  <c r="H670" i="4" s="1"/>
  <c r="M670" i="4"/>
  <c r="N670" i="4"/>
  <c r="J671" i="4"/>
  <c r="H671" i="4" s="1"/>
  <c r="M671" i="4"/>
  <c r="N671" i="4"/>
  <c r="J672" i="4"/>
  <c r="H672" i="4" s="1"/>
  <c r="M672" i="4"/>
  <c r="N672" i="4"/>
  <c r="J673" i="4"/>
  <c r="H673" i="4" s="1"/>
  <c r="M673" i="4"/>
  <c r="N673" i="4"/>
  <c r="J674" i="4"/>
  <c r="H674" i="4" s="1"/>
  <c r="M674" i="4"/>
  <c r="N674" i="4"/>
  <c r="J675" i="4"/>
  <c r="H675" i="4" s="1"/>
  <c r="M675" i="4"/>
  <c r="N675" i="4"/>
  <c r="J676" i="4"/>
  <c r="H676" i="4" s="1"/>
  <c r="M676" i="4"/>
  <c r="N676" i="4"/>
  <c r="J677" i="4"/>
  <c r="H677" i="4" s="1"/>
  <c r="M677" i="4"/>
  <c r="N677" i="4"/>
  <c r="J678" i="4"/>
  <c r="H678" i="4" s="1"/>
  <c r="M678" i="4"/>
  <c r="N678" i="4"/>
  <c r="J679" i="4"/>
  <c r="H679" i="4" s="1"/>
  <c r="M679" i="4"/>
  <c r="N679" i="4"/>
  <c r="J680" i="4"/>
  <c r="H680" i="4" s="1"/>
  <c r="M680" i="4"/>
  <c r="N680" i="4"/>
  <c r="J681" i="4"/>
  <c r="H681" i="4" s="1"/>
  <c r="M681" i="4"/>
  <c r="N681" i="4"/>
  <c r="J682" i="4"/>
  <c r="H682" i="4" s="1"/>
  <c r="M682" i="4"/>
  <c r="N682" i="4"/>
  <c r="J683" i="4"/>
  <c r="H683" i="4" s="1"/>
  <c r="M683" i="4"/>
  <c r="N683" i="4"/>
  <c r="J684" i="4"/>
  <c r="H684" i="4" s="1"/>
  <c r="M684" i="4"/>
  <c r="N684" i="4"/>
  <c r="J685" i="4"/>
  <c r="H685" i="4" s="1"/>
  <c r="M685" i="4"/>
  <c r="N685" i="4"/>
  <c r="J686" i="4"/>
  <c r="H686" i="4" s="1"/>
  <c r="M686" i="4"/>
  <c r="N686" i="4"/>
  <c r="J687" i="4"/>
  <c r="H687" i="4" s="1"/>
  <c r="M687" i="4"/>
  <c r="N687" i="4"/>
  <c r="J688" i="4"/>
  <c r="H688" i="4" s="1"/>
  <c r="M688" i="4"/>
  <c r="N688" i="4"/>
  <c r="J689" i="4"/>
  <c r="H689" i="4" s="1"/>
  <c r="M689" i="4"/>
  <c r="N689" i="4"/>
  <c r="J690" i="4"/>
  <c r="H690" i="4" s="1"/>
  <c r="M690" i="4"/>
  <c r="N690" i="4"/>
  <c r="J691" i="4"/>
  <c r="H691" i="4" s="1"/>
  <c r="M691" i="4"/>
  <c r="N691" i="4"/>
  <c r="J692" i="4"/>
  <c r="H692" i="4" s="1"/>
  <c r="M692" i="4"/>
  <c r="N692" i="4"/>
  <c r="J693" i="4"/>
  <c r="H693" i="4" s="1"/>
  <c r="M693" i="4"/>
  <c r="N693" i="4"/>
  <c r="J694" i="4"/>
  <c r="H694" i="4" s="1"/>
  <c r="M694" i="4"/>
  <c r="N694" i="4"/>
  <c r="J695" i="4"/>
  <c r="H695" i="4" s="1"/>
  <c r="M695" i="4"/>
  <c r="N695" i="4"/>
  <c r="J696" i="4"/>
  <c r="H696" i="4" s="1"/>
  <c r="M696" i="4"/>
  <c r="N696" i="4"/>
  <c r="J697" i="4"/>
  <c r="H697" i="4" s="1"/>
  <c r="M697" i="4"/>
  <c r="N697" i="4"/>
  <c r="J698" i="4"/>
  <c r="H698" i="4" s="1"/>
  <c r="M698" i="4"/>
  <c r="N698" i="4"/>
  <c r="J699" i="4"/>
  <c r="H699" i="4" s="1"/>
  <c r="M699" i="4"/>
  <c r="N699" i="4"/>
  <c r="J700" i="4"/>
  <c r="H700" i="4" s="1"/>
  <c r="M700" i="4"/>
  <c r="N700" i="4"/>
  <c r="J701" i="4"/>
  <c r="H701" i="4" s="1"/>
  <c r="M701" i="4"/>
  <c r="N701" i="4"/>
  <c r="J702" i="4"/>
  <c r="H702" i="4" s="1"/>
  <c r="M702" i="4"/>
  <c r="N702" i="4"/>
  <c r="J703" i="4"/>
  <c r="H703" i="4" s="1"/>
  <c r="M703" i="4"/>
  <c r="N703" i="4"/>
  <c r="J704" i="4"/>
  <c r="H704" i="4" s="1"/>
  <c r="M704" i="4"/>
  <c r="N704" i="4"/>
  <c r="J705" i="4"/>
  <c r="H705" i="4" s="1"/>
  <c r="M705" i="4"/>
  <c r="N705" i="4"/>
  <c r="J706" i="4"/>
  <c r="H706" i="4" s="1"/>
  <c r="M706" i="4"/>
  <c r="N706" i="4"/>
  <c r="J707" i="4"/>
  <c r="H707" i="4" s="1"/>
  <c r="M707" i="4"/>
  <c r="N707" i="4"/>
  <c r="J708" i="4"/>
  <c r="H708" i="4" s="1"/>
  <c r="M708" i="4"/>
  <c r="N708" i="4"/>
  <c r="J709" i="4"/>
  <c r="H709" i="4" s="1"/>
  <c r="M709" i="4"/>
  <c r="N709" i="4"/>
  <c r="J710" i="4"/>
  <c r="H710" i="4" s="1"/>
  <c r="M710" i="4"/>
  <c r="N710" i="4"/>
  <c r="J711" i="4"/>
  <c r="H711" i="4" s="1"/>
  <c r="M711" i="4"/>
  <c r="N711" i="4"/>
  <c r="J712" i="4"/>
  <c r="H712" i="4" s="1"/>
  <c r="M712" i="4"/>
  <c r="N712" i="4"/>
  <c r="J713" i="4"/>
  <c r="H713" i="4" s="1"/>
  <c r="M713" i="4"/>
  <c r="N713" i="4"/>
  <c r="J714" i="4"/>
  <c r="H714" i="4" s="1"/>
  <c r="M714" i="4"/>
  <c r="N714" i="4"/>
  <c r="J715" i="4"/>
  <c r="H715" i="4" s="1"/>
  <c r="M715" i="4"/>
  <c r="N715" i="4"/>
  <c r="J716" i="4"/>
  <c r="H716" i="4" s="1"/>
  <c r="M716" i="4"/>
  <c r="N716" i="4"/>
  <c r="J717" i="4"/>
  <c r="H717" i="4" s="1"/>
  <c r="M717" i="4"/>
  <c r="N717" i="4"/>
  <c r="J718" i="4"/>
  <c r="H718" i="4" s="1"/>
  <c r="M718" i="4"/>
  <c r="N718" i="4"/>
  <c r="J719" i="4"/>
  <c r="H719" i="4" s="1"/>
  <c r="M719" i="4"/>
  <c r="N719" i="4"/>
  <c r="J720" i="4"/>
  <c r="H720" i="4" s="1"/>
  <c r="M720" i="4"/>
  <c r="N720" i="4"/>
  <c r="J721" i="4"/>
  <c r="H721" i="4" s="1"/>
  <c r="M721" i="4"/>
  <c r="N721" i="4"/>
  <c r="J722" i="4"/>
  <c r="H722" i="4" s="1"/>
  <c r="M722" i="4"/>
  <c r="N722" i="4"/>
  <c r="J723" i="4"/>
  <c r="H723" i="4" s="1"/>
  <c r="M723" i="4"/>
  <c r="N723" i="4"/>
  <c r="J724" i="4"/>
  <c r="H724" i="4" s="1"/>
  <c r="M724" i="4"/>
  <c r="N724" i="4"/>
  <c r="J725" i="4"/>
  <c r="H725" i="4" s="1"/>
  <c r="M725" i="4"/>
  <c r="N725" i="4"/>
  <c r="J726" i="4"/>
  <c r="H726" i="4" s="1"/>
  <c r="M726" i="4"/>
  <c r="N726" i="4"/>
  <c r="J727" i="4"/>
  <c r="H727" i="4" s="1"/>
  <c r="M727" i="4"/>
  <c r="N727" i="4"/>
  <c r="J728" i="4"/>
  <c r="H728" i="4" s="1"/>
  <c r="M728" i="4"/>
  <c r="N728" i="4"/>
  <c r="J729" i="4"/>
  <c r="H729" i="4" s="1"/>
  <c r="M729" i="4"/>
  <c r="N729" i="4"/>
  <c r="J730" i="4"/>
  <c r="H730" i="4" s="1"/>
  <c r="M730" i="4"/>
  <c r="N730" i="4"/>
  <c r="J731" i="4"/>
  <c r="H731" i="4" s="1"/>
  <c r="M731" i="4"/>
  <c r="N731" i="4"/>
  <c r="J732" i="4"/>
  <c r="H732" i="4" s="1"/>
  <c r="M732" i="4"/>
  <c r="N732" i="4"/>
  <c r="J733" i="4"/>
  <c r="H733" i="4" s="1"/>
  <c r="M733" i="4"/>
  <c r="N733" i="4"/>
  <c r="J734" i="4"/>
  <c r="H734" i="4" s="1"/>
  <c r="M734" i="4"/>
  <c r="N734" i="4"/>
  <c r="J735" i="4"/>
  <c r="H735" i="4" s="1"/>
  <c r="M735" i="4"/>
  <c r="N735" i="4"/>
  <c r="J736" i="4"/>
  <c r="H736" i="4" s="1"/>
  <c r="M736" i="4"/>
  <c r="N736" i="4"/>
  <c r="J737" i="4"/>
  <c r="H737" i="4" s="1"/>
  <c r="M737" i="4"/>
  <c r="N737" i="4"/>
  <c r="J738" i="4"/>
  <c r="H738" i="4" s="1"/>
  <c r="M738" i="4"/>
  <c r="N738" i="4"/>
  <c r="J739" i="4"/>
  <c r="H739" i="4" s="1"/>
  <c r="M739" i="4"/>
  <c r="N739" i="4"/>
  <c r="J740" i="4"/>
  <c r="H740" i="4" s="1"/>
  <c r="M740" i="4"/>
  <c r="N740" i="4"/>
  <c r="J741" i="4"/>
  <c r="H741" i="4" s="1"/>
  <c r="M741" i="4"/>
  <c r="N741" i="4"/>
  <c r="J742" i="4"/>
  <c r="H742" i="4" s="1"/>
  <c r="M742" i="4"/>
  <c r="N742" i="4"/>
  <c r="J743" i="4"/>
  <c r="H743" i="4" s="1"/>
  <c r="M743" i="4"/>
  <c r="N743" i="4"/>
  <c r="J744" i="4"/>
  <c r="H744" i="4" s="1"/>
  <c r="M744" i="4"/>
  <c r="N744" i="4"/>
  <c r="J745" i="4"/>
  <c r="H745" i="4" s="1"/>
  <c r="M745" i="4"/>
  <c r="N745" i="4"/>
  <c r="J746" i="4"/>
  <c r="H746" i="4" s="1"/>
  <c r="M746" i="4"/>
  <c r="N746" i="4"/>
  <c r="J747" i="4"/>
  <c r="H747" i="4" s="1"/>
  <c r="M747" i="4"/>
  <c r="N747" i="4"/>
  <c r="J748" i="4"/>
  <c r="H748" i="4" s="1"/>
  <c r="M748" i="4"/>
  <c r="N748" i="4"/>
  <c r="J749" i="4"/>
  <c r="H749" i="4" s="1"/>
  <c r="M749" i="4"/>
  <c r="N749" i="4"/>
  <c r="J750" i="4"/>
  <c r="H750" i="4" s="1"/>
  <c r="M750" i="4"/>
  <c r="N750" i="4"/>
  <c r="J751" i="4"/>
  <c r="H751" i="4" s="1"/>
  <c r="M751" i="4"/>
  <c r="N751" i="4"/>
  <c r="J752" i="4"/>
  <c r="H752" i="4" s="1"/>
  <c r="M752" i="4"/>
  <c r="N752" i="4"/>
  <c r="J753" i="4"/>
  <c r="H753" i="4" s="1"/>
  <c r="M753" i="4"/>
  <c r="N753" i="4"/>
  <c r="J754" i="4"/>
  <c r="H754" i="4" s="1"/>
  <c r="M754" i="4"/>
  <c r="N754" i="4"/>
  <c r="J755" i="4"/>
  <c r="H755" i="4" s="1"/>
  <c r="M755" i="4"/>
  <c r="N755" i="4"/>
  <c r="J756" i="4"/>
  <c r="H756" i="4" s="1"/>
  <c r="M756" i="4"/>
  <c r="N756" i="4"/>
  <c r="J757" i="4"/>
  <c r="H757" i="4" s="1"/>
  <c r="M757" i="4"/>
  <c r="N757" i="4"/>
  <c r="J758" i="4"/>
  <c r="H758" i="4" s="1"/>
  <c r="M758" i="4"/>
  <c r="N758" i="4"/>
  <c r="J759" i="4"/>
  <c r="H759" i="4" s="1"/>
  <c r="M759" i="4"/>
  <c r="N759" i="4"/>
  <c r="J760" i="4"/>
  <c r="H760" i="4" s="1"/>
  <c r="M760" i="4"/>
  <c r="N760" i="4"/>
  <c r="J761" i="4"/>
  <c r="H761" i="4" s="1"/>
  <c r="M761" i="4"/>
  <c r="N761" i="4"/>
  <c r="J762" i="4"/>
  <c r="H762" i="4" s="1"/>
  <c r="M762" i="4"/>
  <c r="N762" i="4"/>
  <c r="J763" i="4"/>
  <c r="H763" i="4" s="1"/>
  <c r="M763" i="4"/>
  <c r="N763" i="4"/>
  <c r="J764" i="4"/>
  <c r="H764" i="4" s="1"/>
  <c r="M764" i="4"/>
  <c r="N764" i="4"/>
  <c r="J765" i="4"/>
  <c r="H765" i="4" s="1"/>
  <c r="M765" i="4"/>
  <c r="N765" i="4"/>
  <c r="J766" i="4"/>
  <c r="H766" i="4" s="1"/>
  <c r="M766" i="4"/>
  <c r="N766" i="4"/>
  <c r="J767" i="4"/>
  <c r="H767" i="4" s="1"/>
  <c r="M767" i="4"/>
  <c r="N767" i="4"/>
  <c r="J768" i="4"/>
  <c r="H768" i="4" s="1"/>
  <c r="M768" i="4"/>
  <c r="N768" i="4"/>
  <c r="J769" i="4"/>
  <c r="H769" i="4" s="1"/>
  <c r="M769" i="4"/>
  <c r="N769" i="4"/>
  <c r="J770" i="4"/>
  <c r="H770" i="4" s="1"/>
  <c r="M770" i="4"/>
  <c r="N770" i="4"/>
  <c r="J771" i="4"/>
  <c r="H771" i="4" s="1"/>
  <c r="M771" i="4"/>
  <c r="N771" i="4"/>
  <c r="J772" i="4"/>
  <c r="H772" i="4" s="1"/>
  <c r="M772" i="4"/>
  <c r="N772" i="4"/>
  <c r="J773" i="4"/>
  <c r="H773" i="4" s="1"/>
  <c r="M773" i="4"/>
  <c r="N773" i="4"/>
  <c r="J774" i="4"/>
  <c r="H774" i="4" s="1"/>
  <c r="M774" i="4"/>
  <c r="N774" i="4"/>
  <c r="J775" i="4"/>
  <c r="H775" i="4" s="1"/>
  <c r="M775" i="4"/>
  <c r="N775" i="4"/>
  <c r="J776" i="4"/>
  <c r="H776" i="4" s="1"/>
  <c r="M776" i="4"/>
  <c r="N776" i="4"/>
  <c r="J777" i="4"/>
  <c r="H777" i="4" s="1"/>
  <c r="M777" i="4"/>
  <c r="N777" i="4"/>
  <c r="J778" i="4"/>
  <c r="H778" i="4" s="1"/>
  <c r="M778" i="4"/>
  <c r="N778" i="4"/>
  <c r="J779" i="4"/>
  <c r="H779" i="4" s="1"/>
  <c r="M779" i="4"/>
  <c r="N779" i="4"/>
  <c r="J780" i="4"/>
  <c r="H780" i="4" s="1"/>
  <c r="M780" i="4"/>
  <c r="N780" i="4"/>
  <c r="J781" i="4"/>
  <c r="H781" i="4" s="1"/>
  <c r="M781" i="4"/>
  <c r="N781" i="4"/>
  <c r="J782" i="4"/>
  <c r="H782" i="4" s="1"/>
  <c r="M782" i="4"/>
  <c r="N782" i="4"/>
  <c r="J783" i="4"/>
  <c r="H783" i="4" s="1"/>
  <c r="M783" i="4"/>
  <c r="N783" i="4"/>
  <c r="J784" i="4"/>
  <c r="H784" i="4" s="1"/>
  <c r="M784" i="4"/>
  <c r="N784" i="4"/>
  <c r="J785" i="4"/>
  <c r="H785" i="4" s="1"/>
  <c r="M785" i="4"/>
  <c r="N785" i="4"/>
  <c r="J786" i="4"/>
  <c r="H786" i="4" s="1"/>
  <c r="M786" i="4"/>
  <c r="N786" i="4"/>
  <c r="J787" i="4"/>
  <c r="H787" i="4" s="1"/>
  <c r="M787" i="4"/>
  <c r="N787" i="4"/>
  <c r="J788" i="4"/>
  <c r="H788" i="4" s="1"/>
  <c r="M788" i="4"/>
  <c r="N788" i="4"/>
  <c r="J789" i="4"/>
  <c r="H789" i="4" s="1"/>
  <c r="M789" i="4"/>
  <c r="N789" i="4"/>
  <c r="J790" i="4"/>
  <c r="H790" i="4" s="1"/>
  <c r="M790" i="4"/>
  <c r="N790" i="4"/>
  <c r="J791" i="4"/>
  <c r="H791" i="4" s="1"/>
  <c r="M791" i="4"/>
  <c r="N791" i="4"/>
  <c r="J792" i="4"/>
  <c r="H792" i="4" s="1"/>
  <c r="M792" i="4"/>
  <c r="N792" i="4"/>
  <c r="J793" i="4"/>
  <c r="H793" i="4" s="1"/>
  <c r="M793" i="4"/>
  <c r="N793" i="4"/>
  <c r="J794" i="4"/>
  <c r="H794" i="4" s="1"/>
  <c r="M794" i="4"/>
  <c r="N794" i="4"/>
  <c r="J795" i="4"/>
  <c r="H795" i="4" s="1"/>
  <c r="M795" i="4"/>
  <c r="N795" i="4"/>
  <c r="J796" i="4"/>
  <c r="H796" i="4" s="1"/>
  <c r="M796" i="4"/>
  <c r="N796" i="4"/>
  <c r="J797" i="4"/>
  <c r="H797" i="4" s="1"/>
  <c r="M797" i="4"/>
  <c r="N797" i="4"/>
  <c r="J798" i="4"/>
  <c r="H798" i="4" s="1"/>
  <c r="M798" i="4"/>
  <c r="N798" i="4"/>
  <c r="J799" i="4"/>
  <c r="H799" i="4" s="1"/>
  <c r="M799" i="4"/>
  <c r="N799" i="4"/>
  <c r="J800" i="4"/>
  <c r="H800" i="4" s="1"/>
  <c r="M800" i="4"/>
  <c r="N800" i="4"/>
  <c r="J801" i="4"/>
  <c r="H801" i="4" s="1"/>
  <c r="M801" i="4"/>
  <c r="N801" i="4"/>
  <c r="J802" i="4"/>
  <c r="H802" i="4" s="1"/>
  <c r="M802" i="4"/>
  <c r="N802" i="4"/>
  <c r="J803" i="4"/>
  <c r="H803" i="4" s="1"/>
  <c r="M803" i="4"/>
  <c r="N803" i="4"/>
  <c r="J804" i="4"/>
  <c r="H804" i="4" s="1"/>
  <c r="M804" i="4"/>
  <c r="N804" i="4"/>
  <c r="J805" i="4"/>
  <c r="H805" i="4" s="1"/>
  <c r="M805" i="4"/>
  <c r="N805" i="4"/>
  <c r="J806" i="4"/>
  <c r="H806" i="4" s="1"/>
  <c r="M806" i="4"/>
  <c r="N806" i="4"/>
  <c r="J807" i="4"/>
  <c r="H807" i="4" s="1"/>
  <c r="M807" i="4"/>
  <c r="N807" i="4"/>
  <c r="J808" i="4"/>
  <c r="H808" i="4" s="1"/>
  <c r="M808" i="4"/>
  <c r="N808" i="4"/>
  <c r="J809" i="4"/>
  <c r="H809" i="4" s="1"/>
  <c r="M809" i="4"/>
  <c r="N809" i="4"/>
  <c r="J810" i="4"/>
  <c r="H810" i="4" s="1"/>
  <c r="M810" i="4"/>
  <c r="N810" i="4"/>
  <c r="J811" i="4"/>
  <c r="H811" i="4" s="1"/>
  <c r="M811" i="4"/>
  <c r="N811" i="4"/>
  <c r="J812" i="4"/>
  <c r="H812" i="4" s="1"/>
  <c r="M812" i="4"/>
  <c r="N812" i="4"/>
  <c r="J813" i="4"/>
  <c r="H813" i="4" s="1"/>
  <c r="M813" i="4"/>
  <c r="N813" i="4"/>
  <c r="J814" i="4"/>
  <c r="H814" i="4" s="1"/>
  <c r="M814" i="4"/>
  <c r="N814" i="4"/>
  <c r="J815" i="4"/>
  <c r="H815" i="4" s="1"/>
  <c r="M815" i="4"/>
  <c r="N815" i="4"/>
  <c r="J816" i="4"/>
  <c r="H816" i="4" s="1"/>
  <c r="M816" i="4"/>
  <c r="N816" i="4"/>
  <c r="J817" i="4"/>
  <c r="H817" i="4" s="1"/>
  <c r="M817" i="4"/>
  <c r="N817" i="4"/>
  <c r="J818" i="4"/>
  <c r="H818" i="4" s="1"/>
  <c r="M818" i="4"/>
  <c r="N818" i="4"/>
  <c r="J819" i="4"/>
  <c r="H819" i="4" s="1"/>
  <c r="M819" i="4"/>
  <c r="N819" i="4"/>
  <c r="J820" i="4"/>
  <c r="H820" i="4" s="1"/>
  <c r="M820" i="4"/>
  <c r="N820" i="4"/>
  <c r="J821" i="4"/>
  <c r="H821" i="4" s="1"/>
  <c r="M821" i="4"/>
  <c r="N821" i="4"/>
  <c r="J822" i="4"/>
  <c r="H822" i="4" s="1"/>
  <c r="M822" i="4"/>
  <c r="N822" i="4"/>
  <c r="J823" i="4"/>
  <c r="H823" i="4" s="1"/>
  <c r="M823" i="4"/>
  <c r="N823" i="4"/>
  <c r="J824" i="4"/>
  <c r="H824" i="4" s="1"/>
  <c r="M824" i="4"/>
  <c r="N824" i="4"/>
  <c r="J825" i="4"/>
  <c r="H825" i="4" s="1"/>
  <c r="M825" i="4"/>
  <c r="N825" i="4"/>
  <c r="J826" i="4"/>
  <c r="H826" i="4" s="1"/>
  <c r="M826" i="4"/>
  <c r="N826" i="4"/>
  <c r="J827" i="4"/>
  <c r="H827" i="4" s="1"/>
  <c r="M827" i="4"/>
  <c r="N827" i="4"/>
  <c r="J828" i="4"/>
  <c r="H828" i="4" s="1"/>
  <c r="M828" i="4"/>
  <c r="N828" i="4"/>
  <c r="J829" i="4"/>
  <c r="H829" i="4" s="1"/>
  <c r="M829" i="4"/>
  <c r="N829" i="4"/>
  <c r="J830" i="4"/>
  <c r="H830" i="4" s="1"/>
  <c r="M830" i="4"/>
  <c r="N830" i="4"/>
  <c r="J831" i="4"/>
  <c r="H831" i="4" s="1"/>
  <c r="M831" i="4"/>
  <c r="N831" i="4"/>
  <c r="J832" i="4"/>
  <c r="H832" i="4" s="1"/>
  <c r="M832" i="4"/>
  <c r="N832" i="4"/>
  <c r="J833" i="4"/>
  <c r="H833" i="4" s="1"/>
  <c r="M833" i="4"/>
  <c r="N833" i="4"/>
  <c r="J834" i="4"/>
  <c r="H834" i="4" s="1"/>
  <c r="M834" i="4"/>
  <c r="N834" i="4"/>
  <c r="J835" i="4"/>
  <c r="H835" i="4" s="1"/>
  <c r="M835" i="4"/>
  <c r="N835" i="4"/>
  <c r="J836" i="4"/>
  <c r="H836" i="4" s="1"/>
  <c r="M836" i="4"/>
  <c r="N836" i="4"/>
  <c r="J837" i="4"/>
  <c r="H837" i="4" s="1"/>
  <c r="M837" i="4"/>
  <c r="N837" i="4"/>
  <c r="J838" i="4"/>
  <c r="H838" i="4" s="1"/>
  <c r="M838" i="4"/>
  <c r="N838" i="4"/>
  <c r="J839" i="4"/>
  <c r="H839" i="4" s="1"/>
  <c r="M839" i="4"/>
  <c r="N839" i="4"/>
  <c r="J840" i="4"/>
  <c r="H840" i="4" s="1"/>
  <c r="M840" i="4"/>
  <c r="N840" i="4"/>
  <c r="J841" i="4"/>
  <c r="H841" i="4" s="1"/>
  <c r="M841" i="4"/>
  <c r="N841" i="4"/>
  <c r="J842" i="4"/>
  <c r="H842" i="4" s="1"/>
  <c r="M842" i="4"/>
  <c r="N842" i="4"/>
  <c r="J843" i="4"/>
  <c r="H843" i="4" s="1"/>
  <c r="M843" i="4"/>
  <c r="N843" i="4"/>
  <c r="J844" i="4"/>
  <c r="H844" i="4" s="1"/>
  <c r="M844" i="4"/>
  <c r="N844" i="4"/>
  <c r="J845" i="4"/>
  <c r="H845" i="4" s="1"/>
  <c r="M845" i="4"/>
  <c r="N845" i="4"/>
  <c r="J846" i="4"/>
  <c r="H846" i="4" s="1"/>
  <c r="M846" i="4"/>
  <c r="N846" i="4"/>
  <c r="J847" i="4"/>
  <c r="H847" i="4" s="1"/>
  <c r="M847" i="4"/>
  <c r="N847" i="4"/>
  <c r="J848" i="4"/>
  <c r="H848" i="4" s="1"/>
  <c r="M848" i="4"/>
  <c r="N848" i="4"/>
  <c r="J849" i="4"/>
  <c r="H849" i="4" s="1"/>
  <c r="M849" i="4"/>
  <c r="N849" i="4"/>
  <c r="J850" i="4"/>
  <c r="H850" i="4" s="1"/>
  <c r="M850" i="4"/>
  <c r="N850" i="4"/>
  <c r="J851" i="4"/>
  <c r="H851" i="4" s="1"/>
  <c r="M851" i="4"/>
  <c r="N851" i="4"/>
  <c r="J852" i="4"/>
  <c r="H852" i="4" s="1"/>
  <c r="M852" i="4"/>
  <c r="N852" i="4"/>
  <c r="J853" i="4"/>
  <c r="H853" i="4" s="1"/>
  <c r="M853" i="4"/>
  <c r="N853" i="4"/>
  <c r="J854" i="4"/>
  <c r="H854" i="4" s="1"/>
  <c r="M854" i="4"/>
  <c r="N854" i="4"/>
  <c r="J855" i="4"/>
  <c r="H855" i="4" s="1"/>
  <c r="M855" i="4"/>
  <c r="N855" i="4"/>
  <c r="J856" i="4"/>
  <c r="H856" i="4" s="1"/>
  <c r="M856" i="4"/>
  <c r="N856" i="4"/>
  <c r="J857" i="4"/>
  <c r="H857" i="4" s="1"/>
  <c r="M857" i="4"/>
  <c r="N857" i="4"/>
  <c r="J858" i="4"/>
  <c r="H858" i="4" s="1"/>
  <c r="M858" i="4"/>
  <c r="N858" i="4"/>
  <c r="J859" i="4"/>
  <c r="H859" i="4" s="1"/>
  <c r="M859" i="4"/>
  <c r="N859" i="4"/>
  <c r="J860" i="4"/>
  <c r="H860" i="4" s="1"/>
  <c r="M860" i="4"/>
  <c r="N860" i="4"/>
  <c r="J861" i="4"/>
  <c r="H861" i="4" s="1"/>
  <c r="M861" i="4"/>
  <c r="N861" i="4"/>
  <c r="J862" i="4"/>
  <c r="H862" i="4" s="1"/>
  <c r="M862" i="4"/>
  <c r="N862" i="4"/>
  <c r="J863" i="4"/>
  <c r="H863" i="4" s="1"/>
  <c r="M863" i="4"/>
  <c r="N863" i="4"/>
  <c r="J864" i="4"/>
  <c r="H864" i="4" s="1"/>
  <c r="M864" i="4"/>
  <c r="N864" i="4"/>
  <c r="J865" i="4"/>
  <c r="H865" i="4" s="1"/>
  <c r="M865" i="4"/>
  <c r="N865" i="4"/>
  <c r="J866" i="4"/>
  <c r="H866" i="4" s="1"/>
  <c r="M866" i="4"/>
  <c r="N866" i="4"/>
  <c r="J867" i="4"/>
  <c r="H867" i="4" s="1"/>
  <c r="M867" i="4"/>
  <c r="N867" i="4"/>
  <c r="J868" i="4"/>
  <c r="H868" i="4" s="1"/>
  <c r="M868" i="4"/>
  <c r="N868" i="4"/>
  <c r="J869" i="4"/>
  <c r="H869" i="4" s="1"/>
  <c r="M869" i="4"/>
  <c r="N869" i="4"/>
  <c r="J870" i="4"/>
  <c r="H870" i="4" s="1"/>
  <c r="M870" i="4"/>
  <c r="N870" i="4"/>
  <c r="J871" i="4"/>
  <c r="H871" i="4" s="1"/>
  <c r="M871" i="4"/>
  <c r="N871" i="4"/>
  <c r="J872" i="4"/>
  <c r="H872" i="4" s="1"/>
  <c r="M872" i="4"/>
  <c r="N872" i="4"/>
  <c r="J873" i="4"/>
  <c r="H873" i="4" s="1"/>
  <c r="M873" i="4"/>
  <c r="N873" i="4"/>
  <c r="J874" i="4"/>
  <c r="H874" i="4" s="1"/>
  <c r="M874" i="4"/>
  <c r="N874" i="4"/>
  <c r="J875" i="4"/>
  <c r="H875" i="4" s="1"/>
  <c r="M875" i="4"/>
  <c r="N875" i="4"/>
  <c r="J876" i="4"/>
  <c r="H876" i="4" s="1"/>
  <c r="M876" i="4"/>
  <c r="N876" i="4"/>
  <c r="J877" i="4"/>
  <c r="H877" i="4" s="1"/>
  <c r="M877" i="4"/>
  <c r="N877" i="4"/>
  <c r="J878" i="4"/>
  <c r="H878" i="4" s="1"/>
  <c r="M878" i="4"/>
  <c r="N878" i="4"/>
  <c r="J879" i="4"/>
  <c r="H879" i="4" s="1"/>
  <c r="M879" i="4"/>
  <c r="N879" i="4"/>
  <c r="J880" i="4"/>
  <c r="H880" i="4" s="1"/>
  <c r="M880" i="4"/>
  <c r="N880" i="4"/>
  <c r="J881" i="4"/>
  <c r="H881" i="4" s="1"/>
  <c r="M881" i="4"/>
  <c r="N881" i="4"/>
  <c r="J882" i="4"/>
  <c r="H882" i="4" s="1"/>
  <c r="M882" i="4"/>
  <c r="N882" i="4"/>
  <c r="J883" i="4"/>
  <c r="H883" i="4" s="1"/>
  <c r="M883" i="4"/>
  <c r="N883" i="4"/>
  <c r="J884" i="4"/>
  <c r="H884" i="4" s="1"/>
  <c r="M884" i="4"/>
  <c r="N884" i="4"/>
  <c r="J885" i="4"/>
  <c r="H885" i="4" s="1"/>
  <c r="M885" i="4"/>
  <c r="N885" i="4"/>
  <c r="J886" i="4"/>
  <c r="H886" i="4" s="1"/>
  <c r="M886" i="4"/>
  <c r="N886" i="4"/>
  <c r="J887" i="4"/>
  <c r="H887" i="4" s="1"/>
  <c r="M887" i="4"/>
  <c r="N887" i="4"/>
  <c r="J888" i="4"/>
  <c r="H888" i="4" s="1"/>
  <c r="M888" i="4"/>
  <c r="N888" i="4"/>
  <c r="J889" i="4"/>
  <c r="H889" i="4" s="1"/>
  <c r="M889" i="4"/>
  <c r="N889" i="4"/>
  <c r="J890" i="4"/>
  <c r="H890" i="4" s="1"/>
  <c r="M890" i="4"/>
  <c r="N890" i="4"/>
  <c r="J891" i="4"/>
  <c r="H891" i="4" s="1"/>
  <c r="M891" i="4"/>
  <c r="N891" i="4"/>
  <c r="J892" i="4"/>
  <c r="H892" i="4" s="1"/>
  <c r="M892" i="4"/>
  <c r="N892" i="4"/>
  <c r="J893" i="4"/>
  <c r="H893" i="4" s="1"/>
  <c r="M893" i="4"/>
  <c r="N893" i="4"/>
  <c r="J894" i="4"/>
  <c r="H894" i="4" s="1"/>
  <c r="M894" i="4"/>
  <c r="N894" i="4"/>
  <c r="J895" i="4"/>
  <c r="H895" i="4" s="1"/>
  <c r="M895" i="4"/>
  <c r="N895" i="4"/>
  <c r="J896" i="4"/>
  <c r="H896" i="4" s="1"/>
  <c r="M896" i="4"/>
  <c r="N896" i="4"/>
  <c r="J897" i="4"/>
  <c r="H897" i="4" s="1"/>
  <c r="M897" i="4"/>
  <c r="N897" i="4"/>
  <c r="J898" i="4"/>
  <c r="H898" i="4" s="1"/>
  <c r="M898" i="4"/>
  <c r="N898" i="4"/>
  <c r="J899" i="4"/>
  <c r="H899" i="4" s="1"/>
  <c r="M899" i="4"/>
  <c r="N899" i="4"/>
  <c r="J900" i="4"/>
  <c r="H900" i="4" s="1"/>
  <c r="M900" i="4"/>
  <c r="N900" i="4"/>
  <c r="J901" i="4"/>
  <c r="H901" i="4" s="1"/>
  <c r="M901" i="4"/>
  <c r="N901" i="4"/>
  <c r="J902" i="4"/>
  <c r="H902" i="4" s="1"/>
  <c r="M902" i="4"/>
  <c r="N902" i="4"/>
  <c r="J903" i="4"/>
  <c r="H903" i="4" s="1"/>
  <c r="M903" i="4"/>
  <c r="N903" i="4"/>
  <c r="J904" i="4"/>
  <c r="H904" i="4" s="1"/>
  <c r="M904" i="4"/>
  <c r="N904" i="4"/>
  <c r="J905" i="4"/>
  <c r="H905" i="4" s="1"/>
  <c r="M905" i="4"/>
  <c r="N905" i="4"/>
  <c r="J906" i="4"/>
  <c r="H906" i="4" s="1"/>
  <c r="M906" i="4"/>
  <c r="N906" i="4"/>
  <c r="J907" i="4"/>
  <c r="H907" i="4" s="1"/>
  <c r="M907" i="4"/>
  <c r="N907" i="4"/>
  <c r="J908" i="4"/>
  <c r="H908" i="4" s="1"/>
  <c r="M908" i="4"/>
  <c r="N908" i="4"/>
  <c r="J909" i="4"/>
  <c r="H909" i="4" s="1"/>
  <c r="M909" i="4"/>
  <c r="N909" i="4"/>
  <c r="J910" i="4"/>
  <c r="H910" i="4" s="1"/>
  <c r="M910" i="4"/>
  <c r="N910" i="4"/>
  <c r="J911" i="4"/>
  <c r="H911" i="4" s="1"/>
  <c r="M911" i="4"/>
  <c r="N911" i="4"/>
  <c r="J912" i="4"/>
  <c r="H912" i="4" s="1"/>
  <c r="M912" i="4"/>
  <c r="N912" i="4"/>
  <c r="J913" i="4"/>
  <c r="H913" i="4" s="1"/>
  <c r="M913" i="4"/>
  <c r="N913" i="4"/>
  <c r="J914" i="4"/>
  <c r="H914" i="4" s="1"/>
  <c r="M914" i="4"/>
  <c r="N914" i="4"/>
  <c r="J915" i="4"/>
  <c r="H915" i="4" s="1"/>
  <c r="M915" i="4"/>
  <c r="N915" i="4"/>
  <c r="J916" i="4"/>
  <c r="H916" i="4" s="1"/>
  <c r="M916" i="4"/>
  <c r="N916" i="4"/>
  <c r="J917" i="4"/>
  <c r="H917" i="4" s="1"/>
  <c r="M917" i="4"/>
  <c r="N917" i="4"/>
  <c r="J918" i="4"/>
  <c r="H918" i="4" s="1"/>
  <c r="M918" i="4"/>
  <c r="N918" i="4"/>
  <c r="J919" i="4"/>
  <c r="H919" i="4" s="1"/>
  <c r="M919" i="4"/>
  <c r="N919" i="4"/>
  <c r="J920" i="4"/>
  <c r="H920" i="4" s="1"/>
  <c r="M920" i="4"/>
  <c r="N920" i="4"/>
  <c r="J921" i="4"/>
  <c r="H921" i="4" s="1"/>
  <c r="M921" i="4"/>
  <c r="N921" i="4"/>
  <c r="J922" i="4"/>
  <c r="H922" i="4" s="1"/>
  <c r="M922" i="4"/>
  <c r="N922" i="4"/>
  <c r="J923" i="4"/>
  <c r="H923" i="4" s="1"/>
  <c r="M923" i="4"/>
  <c r="N923" i="4"/>
  <c r="J924" i="4"/>
  <c r="H924" i="4" s="1"/>
  <c r="M924" i="4"/>
  <c r="N924" i="4"/>
  <c r="J925" i="4"/>
  <c r="H925" i="4" s="1"/>
  <c r="M925" i="4"/>
  <c r="N925" i="4"/>
  <c r="J926" i="4"/>
  <c r="H926" i="4" s="1"/>
  <c r="M926" i="4"/>
  <c r="N926" i="4"/>
  <c r="J927" i="4"/>
  <c r="H927" i="4" s="1"/>
  <c r="M927" i="4"/>
  <c r="N927" i="4"/>
  <c r="J928" i="4"/>
  <c r="H928" i="4" s="1"/>
  <c r="M928" i="4"/>
  <c r="N928" i="4"/>
  <c r="J929" i="4"/>
  <c r="H929" i="4" s="1"/>
  <c r="M929" i="4"/>
  <c r="N929" i="4"/>
  <c r="J930" i="4"/>
  <c r="H930" i="4" s="1"/>
  <c r="M930" i="4"/>
  <c r="N930" i="4"/>
  <c r="J931" i="4"/>
  <c r="H931" i="4" s="1"/>
  <c r="M931" i="4"/>
  <c r="N931" i="4"/>
  <c r="J932" i="4"/>
  <c r="H932" i="4" s="1"/>
  <c r="M932" i="4"/>
  <c r="N932" i="4"/>
  <c r="J933" i="4"/>
  <c r="H933" i="4" s="1"/>
  <c r="M933" i="4"/>
  <c r="N933" i="4"/>
  <c r="J934" i="4"/>
  <c r="H934" i="4" s="1"/>
  <c r="M934" i="4"/>
  <c r="N934" i="4"/>
  <c r="J935" i="4"/>
  <c r="H935" i="4" s="1"/>
  <c r="M935" i="4"/>
  <c r="N935" i="4"/>
  <c r="J936" i="4"/>
  <c r="H936" i="4" s="1"/>
  <c r="M936" i="4"/>
  <c r="N936" i="4"/>
  <c r="J937" i="4"/>
  <c r="H937" i="4" s="1"/>
  <c r="M937" i="4"/>
  <c r="N937" i="4"/>
  <c r="J938" i="4"/>
  <c r="H938" i="4" s="1"/>
  <c r="M938" i="4"/>
  <c r="N938" i="4"/>
  <c r="H939" i="4"/>
  <c r="M939" i="4"/>
  <c r="N939" i="4"/>
  <c r="H940" i="4"/>
  <c r="M940" i="4"/>
  <c r="N940" i="4"/>
  <c r="H941" i="4"/>
  <c r="M941" i="4"/>
  <c r="N941" i="4"/>
  <c r="H942" i="4"/>
  <c r="M942" i="4"/>
  <c r="N942" i="4"/>
  <c r="H943" i="4"/>
  <c r="M943" i="4"/>
  <c r="N943" i="4"/>
  <c r="H944" i="4"/>
  <c r="M944" i="4"/>
  <c r="N944" i="4"/>
  <c r="H945" i="4"/>
  <c r="M945" i="4"/>
  <c r="N945" i="4"/>
  <c r="H946" i="4"/>
  <c r="M946" i="4"/>
  <c r="N946" i="4"/>
  <c r="H947" i="4"/>
  <c r="M947" i="4"/>
  <c r="N947" i="4"/>
  <c r="H948" i="4"/>
  <c r="M948" i="4"/>
  <c r="N948" i="4"/>
  <c r="M949" i="4"/>
  <c r="N949" i="4"/>
  <c r="M950" i="4"/>
  <c r="N950" i="4"/>
  <c r="M951" i="4"/>
  <c r="N951" i="4"/>
  <c r="M952" i="4"/>
  <c r="N952" i="4"/>
  <c r="M953" i="4"/>
  <c r="N953" i="4"/>
  <c r="M954" i="4"/>
  <c r="N954" i="4"/>
  <c r="M955" i="4"/>
  <c r="N955" i="4"/>
  <c r="M956" i="4"/>
  <c r="N956" i="4"/>
  <c r="M957" i="4"/>
  <c r="N957" i="4"/>
  <c r="M958" i="4"/>
  <c r="N958" i="4"/>
  <c r="M959" i="4"/>
  <c r="N959" i="4"/>
  <c r="M960" i="4"/>
  <c r="N960" i="4"/>
  <c r="M961" i="4"/>
  <c r="N961" i="4"/>
  <c r="M962" i="4"/>
  <c r="N962" i="4"/>
  <c r="M963" i="4"/>
  <c r="N963" i="4"/>
  <c r="M964" i="4"/>
  <c r="N964" i="4"/>
  <c r="M965" i="4"/>
  <c r="N965" i="4"/>
  <c r="M966" i="4"/>
  <c r="N966" i="4"/>
  <c r="M967" i="4"/>
  <c r="N967" i="4"/>
  <c r="M968" i="4"/>
  <c r="N968" i="4"/>
  <c r="M969" i="4"/>
  <c r="N969" i="4"/>
  <c r="M970" i="4"/>
  <c r="N970" i="4"/>
  <c r="M971" i="4"/>
  <c r="N971" i="4"/>
  <c r="M972" i="4"/>
  <c r="N972" i="4"/>
  <c r="M973" i="4"/>
  <c r="N973" i="4"/>
  <c r="M974" i="4"/>
  <c r="N974" i="4"/>
  <c r="M975" i="4"/>
  <c r="N975" i="4"/>
  <c r="M976" i="4"/>
  <c r="N976" i="4"/>
  <c r="M977" i="4"/>
  <c r="N977" i="4"/>
  <c r="M978" i="4"/>
  <c r="N978" i="4"/>
  <c r="M979" i="4"/>
  <c r="N979" i="4"/>
  <c r="M980" i="4"/>
  <c r="N980" i="4"/>
  <c r="M981" i="4"/>
  <c r="N981" i="4"/>
  <c r="M982" i="4"/>
  <c r="N982" i="4"/>
  <c r="M983" i="4"/>
  <c r="N983" i="4"/>
  <c r="M984" i="4"/>
  <c r="N984" i="4"/>
  <c r="M985" i="4"/>
  <c r="N985" i="4"/>
  <c r="M986" i="4"/>
  <c r="N986" i="4"/>
  <c r="M987" i="4"/>
  <c r="N987" i="4"/>
  <c r="M988" i="4"/>
  <c r="N988" i="4"/>
  <c r="M989" i="4"/>
  <c r="N989" i="4"/>
  <c r="M990" i="4"/>
  <c r="N990" i="4"/>
  <c r="M991" i="4"/>
  <c r="N991" i="4"/>
  <c r="M992" i="4"/>
  <c r="N992" i="4"/>
  <c r="M993" i="4"/>
  <c r="N993" i="4"/>
  <c r="M994" i="4"/>
  <c r="N994" i="4"/>
  <c r="M995" i="4"/>
  <c r="N995" i="4"/>
  <c r="M996" i="4"/>
  <c r="N996" i="4"/>
  <c r="M997" i="4"/>
  <c r="N997" i="4"/>
  <c r="M998" i="4"/>
  <c r="N998" i="4"/>
  <c r="M999" i="4"/>
  <c r="N999" i="4"/>
  <c r="M1000" i="4"/>
  <c r="N1000" i="4"/>
  <c r="M1001" i="4"/>
  <c r="N1001" i="4"/>
  <c r="M1002" i="4"/>
  <c r="N1002" i="4"/>
  <c r="M1003" i="4"/>
  <c r="N1003" i="4"/>
  <c r="M1004" i="4"/>
  <c r="N1004" i="4"/>
  <c r="M1005" i="4"/>
  <c r="N1005" i="4"/>
  <c r="M1006" i="4"/>
  <c r="N1006" i="4"/>
  <c r="M1007" i="4"/>
  <c r="N1007" i="4"/>
  <c r="M1008" i="4"/>
  <c r="N1008" i="4"/>
  <c r="M1009" i="4"/>
  <c r="N1009" i="4"/>
  <c r="M1010" i="4"/>
  <c r="N1010" i="4"/>
  <c r="M1011" i="4"/>
  <c r="N1011" i="4"/>
  <c r="M1012" i="4"/>
  <c r="N1012" i="4"/>
  <c r="M1013" i="4"/>
  <c r="N1013" i="4"/>
  <c r="M1014" i="4"/>
  <c r="N1014" i="4"/>
  <c r="M1015" i="4"/>
  <c r="N1015" i="4"/>
  <c r="M1016" i="4"/>
  <c r="N1016" i="4"/>
  <c r="M1017" i="4"/>
  <c r="N1017" i="4"/>
  <c r="M1018" i="4"/>
  <c r="N1018" i="4"/>
  <c r="M1019" i="4"/>
  <c r="N1019" i="4"/>
  <c r="M1020" i="4"/>
  <c r="N1020" i="4"/>
  <c r="M1021" i="4"/>
  <c r="N1021" i="4"/>
  <c r="M1022" i="4"/>
  <c r="N1022" i="4"/>
  <c r="M1023" i="4"/>
  <c r="N1023" i="4"/>
  <c r="M1024" i="4"/>
  <c r="N1024" i="4"/>
  <c r="M1025" i="4"/>
  <c r="N1025" i="4"/>
  <c r="M1026" i="4"/>
  <c r="N1026" i="4"/>
  <c r="M1027" i="4"/>
  <c r="N1027" i="4"/>
  <c r="M1028" i="4"/>
  <c r="N1028" i="4"/>
  <c r="M1029" i="4"/>
  <c r="N1029" i="4"/>
  <c r="M1030" i="4"/>
  <c r="N1030" i="4"/>
  <c r="M1031" i="4"/>
  <c r="N1031" i="4"/>
  <c r="M1032" i="4"/>
  <c r="N1032" i="4"/>
  <c r="M1033" i="4"/>
  <c r="N1033" i="4"/>
  <c r="M1034" i="4"/>
  <c r="N1034" i="4"/>
  <c r="M1035" i="4"/>
  <c r="N1035" i="4"/>
  <c r="M1036" i="4"/>
  <c r="N1036" i="4"/>
  <c r="M1037" i="4"/>
  <c r="N1037" i="4"/>
  <c r="M1038" i="4"/>
  <c r="N1038" i="4"/>
  <c r="M1039" i="4"/>
  <c r="N1039" i="4"/>
  <c r="M1040" i="4"/>
  <c r="N1040" i="4"/>
  <c r="M1041" i="4"/>
  <c r="N1041" i="4"/>
  <c r="M1042" i="4"/>
  <c r="N1042" i="4"/>
  <c r="M1043" i="4"/>
  <c r="N1043" i="4"/>
  <c r="M1044" i="4"/>
  <c r="N1044" i="4"/>
  <c r="M1045" i="4"/>
  <c r="N1045" i="4"/>
  <c r="M1046" i="4"/>
  <c r="N1046" i="4"/>
  <c r="M1047" i="4"/>
  <c r="N1047" i="4"/>
  <c r="M1048" i="4"/>
  <c r="N1048" i="4"/>
  <c r="M1049" i="4"/>
  <c r="N1049" i="4"/>
  <c r="M1050" i="4"/>
  <c r="N1050" i="4"/>
  <c r="M1051" i="4"/>
  <c r="N1051" i="4"/>
  <c r="M1052" i="4"/>
  <c r="N1052" i="4"/>
  <c r="M1053" i="4"/>
  <c r="N1053" i="4"/>
  <c r="M1054" i="4"/>
  <c r="N1054" i="4"/>
  <c r="M1055" i="4"/>
  <c r="N1055" i="4"/>
  <c r="M1056" i="4"/>
  <c r="N1056" i="4"/>
  <c r="M1057" i="4"/>
  <c r="N1057" i="4"/>
  <c r="M1058" i="4"/>
  <c r="N1058" i="4"/>
  <c r="M1059" i="4"/>
  <c r="N1059" i="4"/>
  <c r="M1060" i="4"/>
  <c r="N1060" i="4"/>
  <c r="M1061" i="4"/>
  <c r="N1061" i="4"/>
  <c r="M1062" i="4"/>
  <c r="N1062" i="4"/>
  <c r="M1063" i="4"/>
  <c r="N1063" i="4"/>
  <c r="M1064" i="4"/>
  <c r="N1064" i="4"/>
  <c r="M1065" i="4"/>
  <c r="N1065" i="4"/>
  <c r="M1066" i="4"/>
  <c r="N1066" i="4"/>
  <c r="M1067" i="4"/>
  <c r="N1067" i="4"/>
  <c r="M1068" i="4"/>
  <c r="N1068" i="4"/>
  <c r="M1069" i="4"/>
  <c r="N1069" i="4"/>
  <c r="M1070" i="4"/>
  <c r="N1070" i="4"/>
  <c r="M1071" i="4"/>
  <c r="N1071" i="4"/>
  <c r="M1072" i="4"/>
  <c r="N1072" i="4"/>
  <c r="M1073" i="4"/>
  <c r="N1073" i="4"/>
  <c r="M1074" i="4"/>
  <c r="N1074" i="4"/>
  <c r="M1075" i="4"/>
  <c r="N1075" i="4"/>
  <c r="M1076" i="4"/>
  <c r="N1076" i="4"/>
  <c r="M1077" i="4"/>
  <c r="N1077" i="4"/>
  <c r="M1078" i="4"/>
  <c r="N1078" i="4"/>
  <c r="M1079" i="4"/>
  <c r="N1079" i="4"/>
  <c r="M1080" i="4"/>
  <c r="N1080" i="4"/>
  <c r="M1081" i="4"/>
  <c r="N1081" i="4"/>
  <c r="M1082" i="4"/>
  <c r="N1082" i="4"/>
  <c r="M1083" i="4"/>
  <c r="N1083" i="4"/>
  <c r="M1084" i="4"/>
  <c r="N1084" i="4"/>
  <c r="M1085" i="4"/>
  <c r="N1085" i="4"/>
  <c r="M1086" i="4"/>
  <c r="N1086" i="4"/>
  <c r="M1087" i="4"/>
  <c r="N1087" i="4"/>
  <c r="M1088" i="4"/>
  <c r="N1088" i="4"/>
  <c r="M1089" i="4"/>
  <c r="N1089" i="4"/>
  <c r="M1090" i="4"/>
  <c r="N1090" i="4"/>
  <c r="M1091" i="4"/>
  <c r="N1091" i="4"/>
  <c r="M1092" i="4"/>
  <c r="N1092" i="4"/>
  <c r="M1093" i="4"/>
  <c r="N1093" i="4"/>
  <c r="M1094" i="4"/>
  <c r="N1094" i="4"/>
  <c r="M1095" i="4"/>
  <c r="N1095" i="4"/>
  <c r="M1096" i="4"/>
  <c r="N1096" i="4"/>
  <c r="M1097" i="4"/>
  <c r="N1097" i="4"/>
  <c r="M1098" i="4"/>
  <c r="N1098" i="4"/>
  <c r="M1099" i="4"/>
  <c r="N1099" i="4"/>
  <c r="M1100" i="4"/>
  <c r="N1100" i="4"/>
  <c r="M1101" i="4"/>
  <c r="N1101" i="4"/>
  <c r="M1102" i="4"/>
  <c r="N1102" i="4"/>
  <c r="M1103" i="4"/>
  <c r="N1103" i="4"/>
  <c r="M1104" i="4"/>
  <c r="N1104" i="4"/>
  <c r="M1105" i="4"/>
  <c r="N1105" i="4"/>
  <c r="M1106" i="4"/>
  <c r="N1106" i="4"/>
  <c r="M1107" i="4"/>
  <c r="N1107" i="4"/>
  <c r="M1108" i="4"/>
  <c r="N1108" i="4"/>
  <c r="M1109" i="4"/>
  <c r="N1109" i="4"/>
  <c r="M1110" i="4"/>
  <c r="N1110" i="4"/>
  <c r="M1111" i="4"/>
  <c r="N1111" i="4"/>
  <c r="M1112" i="4"/>
  <c r="N1112" i="4"/>
  <c r="M1113" i="4"/>
  <c r="N1113" i="4"/>
  <c r="M1114" i="4"/>
  <c r="N1114" i="4"/>
  <c r="M1115" i="4"/>
  <c r="N1115" i="4"/>
  <c r="M1116" i="4"/>
  <c r="N1116" i="4"/>
  <c r="M1117" i="4"/>
  <c r="N1117" i="4"/>
  <c r="M1118" i="4"/>
  <c r="N1118" i="4"/>
  <c r="M1119" i="4"/>
  <c r="N1119" i="4"/>
  <c r="M1120" i="4"/>
  <c r="N1120" i="4"/>
  <c r="M1121" i="4"/>
  <c r="N1121" i="4"/>
  <c r="M1122" i="4"/>
  <c r="N1122" i="4"/>
  <c r="M1123" i="4"/>
  <c r="N1123" i="4"/>
  <c r="M1124" i="4"/>
  <c r="N1124" i="4"/>
  <c r="M1125" i="4"/>
  <c r="N1125" i="4"/>
  <c r="M1126" i="4"/>
  <c r="N1126" i="4"/>
  <c r="M1127" i="4"/>
  <c r="N1127" i="4"/>
  <c r="M1128" i="4"/>
  <c r="N1128" i="4"/>
  <c r="M1129" i="4"/>
  <c r="N1129" i="4"/>
  <c r="M1130" i="4"/>
  <c r="N1130" i="4"/>
  <c r="M1131" i="4"/>
  <c r="N1131" i="4"/>
  <c r="M1132" i="4"/>
  <c r="N1132" i="4"/>
  <c r="M1133" i="4"/>
  <c r="N1133" i="4"/>
  <c r="M1134" i="4"/>
  <c r="N1134" i="4"/>
  <c r="M1135" i="4"/>
  <c r="N1135" i="4"/>
  <c r="F2" i="2"/>
  <c r="G2" i="2" s="1"/>
  <c r="D2" i="2"/>
  <c r="E2" i="2" s="1"/>
  <c r="AN30" i="1"/>
  <c r="AN23" i="1"/>
  <c r="AN16" i="1"/>
  <c r="I23" i="5"/>
  <c r="AN10" i="1"/>
  <c r="AN60" i="1"/>
  <c r="AN12" i="1"/>
  <c r="AE15" i="5"/>
  <c r="AN52" i="1"/>
  <c r="I22" i="5"/>
  <c r="AN17" i="1"/>
  <c r="AO30" i="1"/>
  <c r="AN22" i="1"/>
  <c r="AN15" i="1"/>
  <c r="AN66" i="1"/>
  <c r="I19" i="5"/>
  <c r="AN41" i="1"/>
  <c r="AN68" i="1"/>
  <c r="AN61" i="1"/>
  <c r="AN11" i="1"/>
  <c r="I13" i="5"/>
  <c r="AD7" i="1"/>
  <c r="AN49" i="1"/>
  <c r="AO52" i="1"/>
  <c r="AN46" i="1"/>
  <c r="AN39" i="1"/>
  <c r="AN21" i="1"/>
  <c r="I12" i="5"/>
  <c r="AN18" i="1"/>
  <c r="AO18" i="1" s="1"/>
  <c r="AN62" i="1"/>
  <c r="AN25" i="1"/>
  <c r="AN31" i="1"/>
  <c r="AE16" i="5"/>
  <c r="AN70" i="1"/>
  <c r="AN57" i="1"/>
  <c r="AO57" i="1" s="1"/>
  <c r="AN65" i="1"/>
  <c r="AN67" i="1"/>
  <c r="AE13" i="5"/>
  <c r="AE12" i="5"/>
  <c r="AE14" i="5"/>
  <c r="AO31" i="1"/>
  <c r="AN32" i="1"/>
  <c r="AO32" i="1" s="1"/>
  <c r="AN69" i="1"/>
  <c r="I17" i="5"/>
  <c r="AO46" i="1"/>
  <c r="AN38" i="1"/>
  <c r="AN24" i="1"/>
  <c r="AN29" i="1"/>
  <c r="AO29" i="1" s="1"/>
  <c r="AN26" i="1"/>
  <c r="AN19" i="1"/>
  <c r="I21" i="5"/>
  <c r="AO17" i="1"/>
  <c r="AO26" i="1"/>
  <c r="AO67" i="1"/>
  <c r="AN14" i="1"/>
  <c r="AN58" i="1"/>
  <c r="AO23" i="1"/>
  <c r="AN50" i="1"/>
  <c r="AO50" i="1" s="1"/>
  <c r="AN36" i="1"/>
  <c r="AN37" i="1"/>
  <c r="AO14" i="1"/>
  <c r="AN8" i="1"/>
  <c r="I11" i="5"/>
  <c r="AO16" i="1"/>
  <c r="AN44" i="1"/>
  <c r="I24" i="5"/>
  <c r="AO10" i="1"/>
  <c r="AO36" i="1"/>
  <c r="AN9" i="1"/>
  <c r="AO9" i="1" s="1"/>
  <c r="AE18" i="5"/>
  <c r="AN55" i="1"/>
  <c r="AO55" i="1" s="1"/>
  <c r="AN48" i="1"/>
  <c r="AO48" i="1" s="1"/>
  <c r="I18" i="5"/>
  <c r="AN59" i="1"/>
  <c r="AO59" i="1" s="1"/>
  <c r="AO58" i="1"/>
  <c r="AN34" i="1"/>
  <c r="AN27" i="1"/>
  <c r="AO27" i="1" s="1"/>
  <c r="AN20" i="1"/>
  <c r="I25" i="5"/>
  <c r="AN13" i="1"/>
  <c r="AO13" i="1" s="1"/>
  <c r="AO69" i="1"/>
  <c r="AO62" i="1"/>
  <c r="AE17" i="5"/>
  <c r="AN54" i="1"/>
  <c r="AN47" i="1"/>
  <c r="AN40" i="1"/>
  <c r="AO40" i="1" s="1"/>
  <c r="AN53" i="1"/>
  <c r="AO53" i="1" s="1"/>
  <c r="AO21" i="1"/>
  <c r="AO25" i="1"/>
  <c r="AN42" i="1"/>
  <c r="AN35" i="1"/>
  <c r="AN28" i="1"/>
  <c r="AN63" i="1"/>
  <c r="AN45" i="1"/>
  <c r="AO39" i="1"/>
  <c r="AO65" i="1"/>
  <c r="AO34" i="1"/>
  <c r="AO70" i="1"/>
  <c r="AO20" i="1"/>
  <c r="I15" i="5"/>
  <c r="AN43" i="1"/>
  <c r="AO43" i="1" s="1"/>
  <c r="I16" i="5"/>
  <c r="AN64" i="1"/>
  <c r="AN56" i="1"/>
  <c r="AO56" i="1" s="1"/>
  <c r="AN33" i="1"/>
  <c r="AO33" i="1" s="1"/>
  <c r="AN7" i="1"/>
  <c r="AO7" i="1" s="1"/>
  <c r="AN51" i="1"/>
  <c r="I14" i="5"/>
  <c r="AO64" i="1"/>
  <c r="AO42" i="1"/>
  <c r="I20" i="5"/>
  <c r="AA162" i="3" l="1"/>
  <c r="W162" i="3"/>
  <c r="S162" i="3"/>
  <c r="O162" i="3"/>
  <c r="K162" i="3"/>
  <c r="G162" i="3"/>
  <c r="BC161" i="3"/>
  <c r="AY161" i="3"/>
  <c r="AU161" i="3"/>
  <c r="AQ161" i="3"/>
  <c r="AM161" i="3"/>
  <c r="AI161" i="3"/>
  <c r="AE161" i="3"/>
  <c r="AA161" i="3"/>
  <c r="W161" i="3"/>
  <c r="S161" i="3"/>
  <c r="O161" i="3"/>
  <c r="K161" i="3"/>
  <c r="G161" i="3"/>
  <c r="BC160" i="3"/>
  <c r="AY160" i="3"/>
  <c r="AU160" i="3"/>
  <c r="AQ160" i="3"/>
  <c r="AM160" i="3"/>
  <c r="AI160" i="3"/>
  <c r="AE160" i="3"/>
  <c r="AA160" i="3"/>
  <c r="W160" i="3"/>
  <c r="S160" i="3"/>
  <c r="O160" i="3"/>
  <c r="K160" i="3"/>
  <c r="G160" i="3"/>
  <c r="BC159" i="3"/>
  <c r="AY159" i="3"/>
  <c r="AU159" i="3"/>
  <c r="AQ159" i="3"/>
  <c r="AM159" i="3"/>
  <c r="AI159" i="3"/>
  <c r="AE159" i="3"/>
  <c r="AA159" i="3"/>
  <c r="W159" i="3"/>
  <c r="S159" i="3"/>
  <c r="O159" i="3"/>
  <c r="K159" i="3"/>
  <c r="G159" i="3"/>
  <c r="BC158" i="3"/>
  <c r="AY158" i="3"/>
  <c r="AU158" i="3"/>
  <c r="AQ158" i="3"/>
  <c r="AM158" i="3"/>
  <c r="AI158" i="3"/>
  <c r="AE158" i="3"/>
  <c r="AA158" i="3"/>
  <c r="W158" i="3"/>
  <c r="S158" i="3"/>
  <c r="O158" i="3"/>
  <c r="K158" i="3"/>
  <c r="G158" i="3"/>
  <c r="BC157" i="3"/>
  <c r="AY157" i="3"/>
  <c r="AU157" i="3"/>
  <c r="AQ157" i="3"/>
  <c r="AM157" i="3"/>
  <c r="AI157" i="3"/>
  <c r="AE157" i="3"/>
  <c r="AA157" i="3"/>
  <c r="W157" i="3"/>
  <c r="S157" i="3"/>
  <c r="O157" i="3"/>
  <c r="K157" i="3"/>
  <c r="G157" i="3"/>
  <c r="BB156" i="3"/>
  <c r="AW156" i="3"/>
  <c r="AL156" i="3"/>
  <c r="V156" i="3"/>
  <c r="BF155" i="3"/>
  <c r="AP155" i="3"/>
  <c r="Z155" i="3"/>
  <c r="J155" i="3"/>
  <c r="AT154" i="3"/>
  <c r="AD154" i="3"/>
  <c r="N154" i="3"/>
  <c r="AX153" i="3"/>
  <c r="AH153" i="3"/>
  <c r="R153" i="3"/>
  <c r="K11" i="1"/>
  <c r="AP57" i="1"/>
  <c r="AP43" i="1"/>
  <c r="AP31" i="1"/>
  <c r="AP25" i="1"/>
  <c r="AP13" i="1"/>
  <c r="AP70" i="1"/>
  <c r="AP62" i="1"/>
  <c r="AP58" i="1"/>
  <c r="AP7" i="1"/>
  <c r="AP56" i="1"/>
  <c r="AP52" i="1"/>
  <c r="AP50" i="1"/>
  <c r="AP48" i="1"/>
  <c r="AP46" i="1"/>
  <c r="AP42" i="1"/>
  <c r="AP40" i="1"/>
  <c r="AP36" i="1"/>
  <c r="AP34" i="1"/>
  <c r="AP32" i="1"/>
  <c r="AP30" i="1"/>
  <c r="AP26" i="1"/>
  <c r="AP20" i="1"/>
  <c r="AP18" i="1"/>
  <c r="AP16" i="1"/>
  <c r="AP14" i="1"/>
  <c r="AP10" i="1"/>
  <c r="AP69" i="1"/>
  <c r="AP67" i="1"/>
  <c r="AP65" i="1"/>
  <c r="AP59" i="1"/>
  <c r="AP53" i="1"/>
  <c r="AP29" i="1"/>
  <c r="AP21" i="1"/>
  <c r="AP9" i="1"/>
  <c r="AP64" i="1"/>
  <c r="AP55" i="1"/>
  <c r="AP39" i="1"/>
  <c r="AP33" i="1"/>
  <c r="AP27" i="1"/>
  <c r="AP23" i="1"/>
  <c r="AP17" i="1"/>
  <c r="AU156" i="3"/>
  <c r="AQ156" i="3"/>
  <c r="AM156" i="3"/>
  <c r="AI156" i="3"/>
  <c r="AE156" i="3"/>
  <c r="AA156" i="3"/>
  <c r="W156" i="3"/>
  <c r="S156" i="3"/>
  <c r="O156" i="3"/>
  <c r="K156" i="3"/>
  <c r="G156" i="3"/>
  <c r="BC155" i="3"/>
  <c r="AY155" i="3"/>
  <c r="AU155" i="3"/>
  <c r="AQ155" i="3"/>
  <c r="AM155" i="3"/>
  <c r="AI155" i="3"/>
  <c r="AE155" i="3"/>
  <c r="AA155" i="3"/>
  <c r="W155" i="3"/>
  <c r="S155" i="3"/>
  <c r="O155" i="3"/>
  <c r="K155" i="3"/>
  <c r="G155" i="3"/>
  <c r="BC154" i="3"/>
  <c r="AY154" i="3"/>
  <c r="AU154" i="3"/>
  <c r="AQ154" i="3"/>
  <c r="AM154" i="3"/>
  <c r="AI154" i="3"/>
  <c r="AE154" i="3"/>
  <c r="AA154" i="3"/>
  <c r="W154" i="3"/>
  <c r="S154" i="3"/>
  <c r="O154" i="3"/>
  <c r="K154" i="3"/>
  <c r="G154" i="3"/>
  <c r="BC153" i="3"/>
  <c r="AY153" i="3"/>
  <c r="AU153" i="3"/>
  <c r="AQ153" i="3"/>
  <c r="AM153" i="3"/>
  <c r="AI153" i="3"/>
  <c r="AE153" i="3"/>
  <c r="AA153" i="3"/>
  <c r="W153" i="3"/>
  <c r="S153" i="3"/>
  <c r="O153" i="3"/>
  <c r="K153" i="3"/>
  <c r="G153" i="3"/>
  <c r="AO156" i="3"/>
  <c r="AK156" i="3"/>
  <c r="AG156" i="3"/>
  <c r="AC156" i="3"/>
  <c r="Y156" i="3"/>
  <c r="U156" i="3"/>
  <c r="Q156" i="3"/>
  <c r="M156" i="3"/>
  <c r="I156" i="3"/>
  <c r="BE155" i="3"/>
  <c r="BA155" i="3"/>
  <c r="AW155" i="3"/>
  <c r="AS155" i="3"/>
  <c r="AO155" i="3"/>
  <c r="AK155" i="3"/>
  <c r="AG155" i="3"/>
  <c r="AC155" i="3"/>
  <c r="Y155" i="3"/>
  <c r="U155" i="3"/>
  <c r="Q155" i="3"/>
  <c r="M155" i="3"/>
  <c r="I155" i="3"/>
  <c r="BE154" i="3"/>
  <c r="BA154" i="3"/>
  <c r="AW154" i="3"/>
  <c r="AS154" i="3"/>
  <c r="AO154" i="3"/>
  <c r="AK154" i="3"/>
  <c r="AG154" i="3"/>
  <c r="AC154" i="3"/>
  <c r="Y154" i="3"/>
  <c r="U154" i="3"/>
  <c r="Q154" i="3"/>
  <c r="M154" i="3"/>
  <c r="I154" i="3"/>
  <c r="BE153" i="3"/>
  <c r="BA153" i="3"/>
  <c r="AW153" i="3"/>
  <c r="AS153" i="3"/>
  <c r="AO153" i="3"/>
  <c r="AK153" i="3"/>
  <c r="AG153" i="3"/>
  <c r="AC153" i="3"/>
  <c r="Y153" i="3"/>
  <c r="U153" i="3"/>
  <c r="Q153" i="3"/>
  <c r="M153" i="3"/>
  <c r="I153" i="3"/>
  <c r="BD156" i="3"/>
  <c r="AZ156" i="3"/>
  <c r="AV156" i="3"/>
  <c r="AR156" i="3"/>
  <c r="AN156" i="3"/>
  <c r="AJ156" i="3"/>
  <c r="AF156" i="3"/>
  <c r="AB156" i="3"/>
  <c r="X156" i="3"/>
  <c r="T156" i="3"/>
  <c r="P156" i="3"/>
  <c r="L156" i="3"/>
  <c r="H156" i="3"/>
  <c r="BD155" i="3"/>
  <c r="AZ155" i="3"/>
  <c r="AV155" i="3"/>
  <c r="AR155" i="3"/>
  <c r="AN155" i="3"/>
  <c r="AJ155" i="3"/>
  <c r="AF155" i="3"/>
  <c r="AB155" i="3"/>
  <c r="X155" i="3"/>
  <c r="T155" i="3"/>
  <c r="P155" i="3"/>
  <c r="L155" i="3"/>
  <c r="H155" i="3"/>
  <c r="BD154" i="3"/>
  <c r="AZ154" i="3"/>
  <c r="AV154" i="3"/>
  <c r="AR154" i="3"/>
  <c r="AN154" i="3"/>
  <c r="AJ154" i="3"/>
  <c r="AF154" i="3"/>
  <c r="AB154" i="3"/>
  <c r="X154" i="3"/>
  <c r="T154" i="3"/>
  <c r="P154" i="3"/>
  <c r="L154" i="3"/>
  <c r="H154" i="3"/>
  <c r="BD153" i="3"/>
  <c r="AZ153" i="3"/>
  <c r="AV153" i="3"/>
  <c r="AR153" i="3"/>
  <c r="AN153" i="3"/>
  <c r="AJ153" i="3"/>
  <c r="AF153" i="3"/>
  <c r="AB153" i="3"/>
  <c r="X153" i="3"/>
  <c r="T153" i="3"/>
  <c r="P153" i="3"/>
  <c r="L153" i="3"/>
  <c r="AO51" i="1"/>
  <c r="AO35" i="1"/>
  <c r="AO8" i="1"/>
  <c r="AO38" i="1"/>
  <c r="AO68" i="1"/>
  <c r="AO22" i="1"/>
  <c r="Z19" i="1"/>
  <c r="Z17" i="1"/>
  <c r="Z12" i="1"/>
  <c r="Z10" i="1"/>
  <c r="AO28" i="1"/>
  <c r="Z16" i="1"/>
  <c r="AO45" i="1"/>
  <c r="AO47" i="1"/>
  <c r="AO37" i="1"/>
  <c r="AO49" i="1"/>
  <c r="AO41" i="1"/>
  <c r="AO12" i="1"/>
  <c r="Z15" i="1"/>
  <c r="Z20" i="1"/>
  <c r="AD12" i="1"/>
  <c r="AO44" i="1"/>
  <c r="AO15" i="1"/>
  <c r="Z21" i="1"/>
  <c r="AD15" i="1"/>
  <c r="AO63" i="1"/>
  <c r="AO54" i="1"/>
  <c r="AO19" i="1"/>
  <c r="AO11" i="1"/>
  <c r="AO66" i="1"/>
  <c r="AO60" i="1"/>
  <c r="Z14" i="1"/>
  <c r="Z13" i="1"/>
  <c r="Z18" i="1"/>
  <c r="AD19" i="1"/>
  <c r="Z8" i="1"/>
  <c r="AD20" i="1"/>
  <c r="AD10" i="1"/>
  <c r="AO24" i="1"/>
  <c r="AO61" i="1"/>
  <c r="Z11" i="1"/>
  <c r="Z9" i="1"/>
  <c r="AD21" i="1"/>
  <c r="AD14" i="1"/>
  <c r="AD13" i="1"/>
  <c r="AD18" i="1"/>
  <c r="AB8" i="1"/>
  <c r="AD8" i="1"/>
  <c r="AD11" i="1"/>
  <c r="AC11" i="1"/>
  <c r="AC12" i="1"/>
  <c r="AC9" i="1"/>
  <c r="AC10" i="1"/>
  <c r="AD9" i="1"/>
  <c r="AC18" i="1"/>
  <c r="AC19" i="1"/>
  <c r="AC20" i="1"/>
  <c r="AC13" i="1"/>
  <c r="AC16" i="1"/>
  <c r="AC17" i="1"/>
  <c r="AC15" i="1"/>
  <c r="AC14" i="1"/>
  <c r="AC21" i="1"/>
  <c r="AP61" i="1" l="1"/>
  <c r="AP24" i="1"/>
  <c r="AP60" i="1"/>
  <c r="AP66" i="1"/>
  <c r="AP11" i="1"/>
  <c r="AP19" i="1"/>
  <c r="AP54" i="1"/>
  <c r="AP63" i="1"/>
  <c r="AP15" i="1"/>
  <c r="AP44" i="1"/>
  <c r="AP12" i="1"/>
  <c r="AP41" i="1"/>
  <c r="AP49" i="1"/>
  <c r="AP37" i="1"/>
  <c r="AP47" i="1"/>
  <c r="AP45" i="1"/>
  <c r="AP28" i="1"/>
  <c r="AP22" i="1"/>
  <c r="AP68" i="1"/>
  <c r="AP38" i="1"/>
  <c r="AP8" i="1"/>
  <c r="AP35" i="1"/>
  <c r="AP51" i="1"/>
  <c r="K12" i="1"/>
  <c r="K13" i="1" s="1"/>
  <c r="K14" i="1" s="1"/>
  <c r="K15" i="1" s="1"/>
  <c r="AE8" i="1"/>
  <c r="AE11" i="1"/>
  <c r="AE19" i="1"/>
  <c r="AE10" i="1"/>
  <c r="AE18" i="1"/>
  <c r="AE13" i="1"/>
  <c r="AE21" i="1"/>
  <c r="AE12" i="1"/>
  <c r="AE20" i="1"/>
  <c r="AE15" i="1"/>
  <c r="AE14" i="1"/>
  <c r="AE9" i="1"/>
  <c r="W7" i="1" a="1"/>
  <c r="AD16" i="1"/>
  <c r="AD17" i="1"/>
  <c r="AE17" i="1" l="1"/>
  <c r="AE16" i="1"/>
  <c r="K16" i="1"/>
  <c r="K17" i="1" s="1"/>
  <c r="K18" i="1" s="1"/>
  <c r="K19" i="1" s="1"/>
  <c r="W58" i="1"/>
  <c r="W54" i="1"/>
  <c r="W50" i="1"/>
  <c r="W46" i="1"/>
  <c r="W42" i="1"/>
  <c r="W38" i="1"/>
  <c r="W34" i="1"/>
  <c r="W30" i="1"/>
  <c r="W26" i="1"/>
  <c r="W22" i="1"/>
  <c r="W18" i="1"/>
  <c r="W14" i="1"/>
  <c r="W10" i="1"/>
  <c r="W53" i="1"/>
  <c r="W45" i="1"/>
  <c r="W37" i="1"/>
  <c r="W33" i="1"/>
  <c r="W25" i="1"/>
  <c r="W17" i="1"/>
  <c r="W9" i="1"/>
  <c r="W52" i="1"/>
  <c r="W40" i="1"/>
  <c r="W28" i="1"/>
  <c r="W16" i="1"/>
  <c r="W57" i="1"/>
  <c r="W41" i="1"/>
  <c r="W29" i="1"/>
  <c r="W13" i="1"/>
  <c r="W56" i="1"/>
  <c r="W48" i="1"/>
  <c r="W44" i="1"/>
  <c r="W36" i="1"/>
  <c r="W24" i="1"/>
  <c r="W12" i="1"/>
  <c r="W8" i="1"/>
  <c r="W20" i="1"/>
  <c r="W55" i="1"/>
  <c r="W51" i="1"/>
  <c r="W47" i="1"/>
  <c r="W43" i="1"/>
  <c r="W39" i="1"/>
  <c r="W35" i="1"/>
  <c r="W31" i="1"/>
  <c r="W27" i="1"/>
  <c r="W23" i="1"/>
  <c r="W19" i="1"/>
  <c r="W15" i="1"/>
  <c r="W11" i="1"/>
  <c r="W7" i="1"/>
  <c r="W49" i="1"/>
  <c r="W21" i="1"/>
  <c r="W32" i="1"/>
  <c r="K20" i="1" l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</calcChain>
</file>

<file path=xl/sharedStrings.xml><?xml version="1.0" encoding="utf-8"?>
<sst xmlns="http://schemas.openxmlformats.org/spreadsheetml/2006/main" count="1073" uniqueCount="119">
  <si>
    <t>1-day</t>
  </si>
  <si>
    <t>1-week</t>
  </si>
  <si>
    <t>2-week</t>
  </si>
  <si>
    <t>Sep</t>
  </si>
  <si>
    <t>Dec</t>
  </si>
  <si>
    <t>Mar</t>
  </si>
  <si>
    <t>Jun</t>
  </si>
  <si>
    <t>Instrument</t>
  </si>
  <si>
    <t>PerBeg</t>
  </si>
  <si>
    <t>PerEnd</t>
  </si>
  <si>
    <t>Rate</t>
  </si>
  <si>
    <t>Days</t>
  </si>
  <si>
    <t>WealthFactor</t>
  </si>
  <si>
    <t>Contract</t>
  </si>
  <si>
    <t>CASH</t>
  </si>
  <si>
    <t>FUTURE</t>
  </si>
  <si>
    <t>Order</t>
  </si>
  <si>
    <t>Include</t>
  </si>
  <si>
    <t>YearEnd</t>
  </si>
  <si>
    <t>SWAP</t>
  </si>
  <si>
    <t>2 Year</t>
  </si>
  <si>
    <t>3 Year</t>
  </si>
  <si>
    <t>4 Year</t>
  </si>
  <si>
    <t>5 Year</t>
  </si>
  <si>
    <t>7 Year</t>
  </si>
  <si>
    <t>10 Year</t>
  </si>
  <si>
    <t>12 Year</t>
  </si>
  <si>
    <t>15 Year</t>
  </si>
  <si>
    <t>20 Year</t>
  </si>
  <si>
    <t>30 Year</t>
  </si>
  <si>
    <t>Identity</t>
  </si>
  <si>
    <t>CFMatrix</t>
  </si>
  <si>
    <t>CFMatrixInverse</t>
  </si>
  <si>
    <t>DFDates</t>
  </si>
  <si>
    <t>DFTime</t>
  </si>
  <si>
    <t>DFVector</t>
  </si>
  <si>
    <t>2. Normalize instruments to generate curve points</t>
  </si>
  <si>
    <t>1. Define instruments</t>
  </si>
  <si>
    <t>3. Bootstrap the DF vector</t>
  </si>
  <si>
    <t>HolDate</t>
  </si>
  <si>
    <t>OptexHolId</t>
  </si>
  <si>
    <t>CityCode</t>
  </si>
  <si>
    <t>Year</t>
  </si>
  <si>
    <t>Month</t>
  </si>
  <si>
    <t>Day</t>
  </si>
  <si>
    <t>Quantify Tor HolDates</t>
  </si>
  <si>
    <t>TOR</t>
  </si>
  <si>
    <t>SwapTenor</t>
  </si>
  <si>
    <t>MatDates</t>
  </si>
  <si>
    <t>1M/3M Spread</t>
  </si>
  <si>
    <t>DF_1M</t>
  </si>
  <si>
    <t>PV_1MFloat</t>
  </si>
  <si>
    <t>CurveDate</t>
  </si>
  <si>
    <t>1 month</t>
  </si>
  <si>
    <t>3 month</t>
  </si>
  <si>
    <t>BusDayOn</t>
  </si>
  <si>
    <t>HolidayOn</t>
  </si>
  <si>
    <t>6 month</t>
  </si>
  <si>
    <t>9 month</t>
  </si>
  <si>
    <t>12 month</t>
  </si>
  <si>
    <t>18 month</t>
  </si>
  <si>
    <t>2 month</t>
  </si>
  <si>
    <t>4. Solve for 1M curve</t>
  </si>
  <si>
    <t>DF_3M</t>
  </si>
  <si>
    <t>1 Year</t>
  </si>
  <si>
    <t>SWP0101</t>
  </si>
  <si>
    <t>DayOffset</t>
  </si>
  <si>
    <t>DiscFactor</t>
  </si>
  <si>
    <t>FinPlus example</t>
  </si>
  <si>
    <t>DayCount</t>
  </si>
  <si>
    <t>Cash like normalization result:</t>
  </si>
  <si>
    <t>CumuWF</t>
  </si>
  <si>
    <t>1. cash up to 1 year, with 6 month and 12 month point, plus swaps from 2 years</t>
  </si>
  <si>
    <t>2. cash and future beyond 1.5 years but less than 2 years, without precise 6 mth, 12 mth, and 18 mth points</t>
  </si>
  <si>
    <t>3. cash up to 1.5 year, with 6, 12, and 18 mth points</t>
  </si>
  <si>
    <t>4. basis curves for each case</t>
  </si>
  <si>
    <t>5. 30/360 vs ACT/360 case</t>
  </si>
  <si>
    <t>6. interpolation methods (time weighted vs linear)</t>
  </si>
  <si>
    <t>Test cases: each curve should reprice the input instruments</t>
  </si>
  <si>
    <t>time</t>
  </si>
  <si>
    <t>DF</t>
  </si>
  <si>
    <t>ImpliedYield at 1y</t>
  </si>
  <si>
    <t>sumDf at 1 y</t>
  </si>
  <si>
    <t>Normalization results</t>
  </si>
  <si>
    <t>Treasury Curve (30/360)</t>
  </si>
  <si>
    <t>diff</t>
  </si>
  <si>
    <t>Treas Curve Output</t>
  </si>
  <si>
    <t>Optex Curve</t>
  </si>
  <si>
    <t xml:space="preserve">CASH </t>
  </si>
  <si>
    <t xml:space="preserve">16 Mar 09 BA </t>
  </si>
  <si>
    <t xml:space="preserve">!?@_**null**_ </t>
  </si>
  <si>
    <t xml:space="preserve">  </t>
  </si>
  <si>
    <t xml:space="preserve"> </t>
  </si>
  <si>
    <t xml:space="preserve">Mar 09 BAX3M </t>
  </si>
  <si>
    <t xml:space="preserve">Jun 09 BAX3M </t>
  </si>
  <si>
    <t xml:space="preserve">Sep 09 BAX3M </t>
  </si>
  <si>
    <t xml:space="preserve">Dec 09 BAX3M </t>
  </si>
  <si>
    <t xml:space="preserve">Mar 10 BAX3M </t>
  </si>
  <si>
    <t xml:space="preserve">Jun 10 BAX3M </t>
  </si>
  <si>
    <t xml:space="preserve">Sep 10 BAX3M </t>
  </si>
  <si>
    <t xml:space="preserve">SWAP </t>
  </si>
  <si>
    <t xml:space="preserve">2YEAR SA </t>
  </si>
  <si>
    <t xml:space="preserve">3YEAR SA </t>
  </si>
  <si>
    <t xml:space="preserve">4YEAR SA </t>
  </si>
  <si>
    <t xml:space="preserve">5YEAR SA </t>
  </si>
  <si>
    <t xml:space="preserve">6YEAR SA </t>
  </si>
  <si>
    <t xml:space="preserve">7YEAR SA </t>
  </si>
  <si>
    <t xml:space="preserve">8YEAR SA </t>
  </si>
  <si>
    <t xml:space="preserve">9YEAR SA </t>
  </si>
  <si>
    <t xml:space="preserve">10YEAR SA </t>
  </si>
  <si>
    <t xml:space="preserve">12YEAR SA </t>
  </si>
  <si>
    <t xml:space="preserve">15YEAR SA </t>
  </si>
  <si>
    <t xml:space="preserve">20YEAR SA </t>
  </si>
  <si>
    <t xml:space="preserve">25YEAR SA </t>
  </si>
  <si>
    <t xml:space="preserve">30YEAR SA </t>
  </si>
  <si>
    <t xml:space="preserve">35YEAR SA </t>
  </si>
  <si>
    <t>1 Month</t>
  </si>
  <si>
    <t>2 Month</t>
  </si>
  <si>
    <t>NOTE: 1M point is interpreted -&gt; dfinterp(Z8,DfVector,DfDates)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</si>
</sst>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(* #,##0.00_);_(* \(#,##0.00\);_(* &quot;-&quot;??_);_(@_)"/>
    <numFmt numFmtId="164" formatCode="0.000000000"/>
    <numFmt numFmtId="165" formatCode="_(* #,##0.000000_);_(* \(#,##0.000000\);_(* &quot;-&quot;??_);_(@_)"/>
    <numFmt numFmtId="166" formatCode="_(* #,##0.00000000_);_(* \(#,##0.00000000\);_(* &quot;-&quot;??_);_(@_)"/>
    <numFmt numFmtId="167" formatCode="0.00000000"/>
    <numFmt numFmtId="168" formatCode="_(* #,##0.000000000_);_(* \(#,##0.000000000\);_(* &quot;-&quot;??_);_(@_)"/>
    <numFmt numFmtId="169" formatCode="0.0000000000"/>
    <numFmt numFmtId="170" formatCode="0.000000000000"/>
    <numFmt numFmtId="171" formatCode="0.0000E+00"/>
    <numFmt numFmtId="172" formatCode="_(* #,##0.00000000000_);_(* \(#,##0.00000000000\);_(* &quot;-&quot;??_);_(@_)"/>
    <numFmt numFmtId="173" formatCode="m/d/yy;@"/>
  </numFmts>
  <fonts count="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7"/>
      <color indexed="8"/>
      <name val="Verdana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4">
    <xf numFmtId="0" fontId="0" fillId="0" borderId="0" xfId="0"/>
    <xf numFmtId="14" fontId="0" fillId="0" borderId="0" xfId="0" applyNumberFormat="1"/>
    <xf numFmtId="43" fontId="0" fillId="0" borderId="0" xfId="1" applyFont="1"/>
    <xf numFmtId="164" fontId="0" fillId="0" borderId="0" xfId="0" applyNumberFormat="1"/>
    <xf numFmtId="43" fontId="0" fillId="0" borderId="0" xfId="0" applyNumberFormat="1"/>
    <xf numFmtId="0" fontId="0" fillId="0" borderId="0" xfId="0" applyNumberFormat="1"/>
    <xf numFmtId="43" fontId="1" fillId="0" borderId="0" xfId="1"/>
    <xf numFmtId="165" fontId="0" fillId="0" borderId="0" xfId="1" applyNumberFormat="1" applyFont="1"/>
    <xf numFmtId="166" fontId="0" fillId="0" borderId="0" xfId="1" applyNumberFormat="1" applyFont="1"/>
    <xf numFmtId="3" fontId="3" fillId="0" borderId="0" xfId="0" applyNumberFormat="1" applyFont="1" applyAlignment="1"/>
    <xf numFmtId="0" fontId="6" fillId="0" borderId="0" xfId="0" applyFont="1"/>
    <xf numFmtId="0" fontId="6" fillId="2" borderId="0" xfId="0" applyFont="1" applyFill="1"/>
    <xf numFmtId="22" fontId="0" fillId="0" borderId="0" xfId="0" applyNumberFormat="1"/>
    <xf numFmtId="167" fontId="0" fillId="0" borderId="0" xfId="0" applyNumberFormat="1"/>
    <xf numFmtId="172" fontId="0" fillId="0" borderId="0" xfId="1" applyNumberFormat="1" applyFont="1"/>
    <xf numFmtId="16" fontId="4" fillId="0" borderId="0" xfId="0" applyNumberFormat="1" applyFont="1"/>
    <xf numFmtId="0" fontId="5" fillId="0" borderId="0" xfId="0" applyFont="1"/>
    <xf numFmtId="0" fontId="0" fillId="0" borderId="0" xfId="1" applyNumberFormat="1" applyFont="1"/>
    <xf numFmtId="49" fontId="0" fillId="0" borderId="0" xfId="0" applyNumberFormat="1"/>
    <xf numFmtId="49" fontId="0" fillId="0" borderId="0" xfId="1" applyNumberFormat="1" applyFont="1"/>
    <xf numFmtId="0" fontId="6" fillId="2" borderId="0" xfId="0" applyNumberFormat="1" applyFont="1" applyFill="1"/>
    <xf numFmtId="0" fontId="0" fillId="0" borderId="0" xfId="1" quotePrefix="1" applyNumberFormat="1" applyFont="1"/>
    <xf numFmtId="0" fontId="0" fillId="0" borderId="0" xfId="0" quotePrefix="1" applyNumberFormat="1"/>
    <xf numFmtId="173" fontId="6" fillId="2" borderId="0" xfId="0" quotePrefix="1" applyNumberFormat="1" applyFont="1" applyFill="1"/>
    <xf numFmtId="168" fontId="0" fillId="0" borderId="0" xfId="1" applyNumberFormat="1" applyFont="1"/>
    <xf numFmtId="170" fontId="0" fillId="0" borderId="0" xfId="0" applyNumberFormat="1"/>
    <xf numFmtId="11" fontId="0" fillId="0" borderId="0" xfId="0" applyNumberFormat="1"/>
    <xf numFmtId="171" fontId="0" fillId="0" borderId="0" xfId="0" applyNumberFormat="1"/>
    <xf numFmtId="16" fontId="0" fillId="0" borderId="0" xfId="0" applyNumberFormat="1"/>
    <xf numFmtId="15" fontId="0" fillId="0" borderId="0" xfId="0" applyNumberFormat="1"/>
    <xf numFmtId="169" fontId="6" fillId="2" borderId="0" xfId="0" applyNumberFormat="1" applyFont="1" applyFill="1"/>
    <xf numFmtId="169" fontId="0" fillId="0" borderId="0" xfId="0" applyNumberFormat="1"/>
    <xf numFmtId="169" fontId="0" fillId="0" borderId="0" xfId="0" quotePrefix="1" applyNumberFormat="1"/>
    <xf numFmtId="0" fontId="7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9525</xdr:rowOff>
        </xdr:from>
        <xdr:to>
          <xdr:col>13</xdr:col>
          <xdr:colOff>285750</xdr:colOff>
          <xdr:row>1</xdr:row>
          <xdr:rowOff>133350</xdr:rowOff>
        </xdr:to>
        <xdr:sp macro="" textlink="">
          <xdr:nvSpPr>
            <xdr:cNvPr id="1025" name="cmdNormaliz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0</xdr:row>
          <xdr:rowOff>0</xdr:rowOff>
        </xdr:from>
        <xdr:to>
          <xdr:col>21</xdr:col>
          <xdr:colOff>790575</xdr:colOff>
          <xdr:row>1</xdr:row>
          <xdr:rowOff>142875</xdr:rowOff>
        </xdr:to>
        <xdr:sp macro="" textlink="">
          <xdr:nvSpPr>
            <xdr:cNvPr id="1027" name="cmdGenDFVecto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26</xdr:col>
          <xdr:colOff>47625</xdr:colOff>
          <xdr:row>1</xdr:row>
          <xdr:rowOff>152400</xdr:rowOff>
        </xdr:to>
        <xdr:sp macro="" textlink="">
          <xdr:nvSpPr>
            <xdr:cNvPr id="1031" name="cmdBuildBasisDF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ImpliedYield@1y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Dates"/>
  <dimension ref="A1:N1135"/>
  <sheetViews>
    <sheetView workbookViewId="0"/>
  </sheetViews>
  <sheetFormatPr defaultRowHeight="12.75" x14ac:dyDescent="0.2"/>
  <cols>
    <col min="1" max="1" width="18" bestFit="1" customWidth="1"/>
    <col min="2" max="2" width="10.140625" bestFit="1" customWidth="1"/>
    <col min="3" max="3" width="8.5703125" bestFit="1" customWidth="1"/>
    <col min="8" max="8" width="12.28515625" bestFit="1" customWidth="1"/>
    <col min="10" max="10" width="10.140625" bestFit="1" customWidth="1"/>
    <col min="11" max="11" width="6.5703125" customWidth="1"/>
    <col min="12" max="12" width="11.42578125" customWidth="1"/>
    <col min="13" max="13" width="10.140625" bestFit="1" customWidth="1"/>
    <col min="14" max="14" width="20.42578125" bestFit="1" customWidth="1"/>
  </cols>
  <sheetData>
    <row r="1" spans="1:14" x14ac:dyDescent="0.2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H1" s="1">
        <v>39328</v>
      </c>
      <c r="I1" t="s">
        <v>45</v>
      </c>
      <c r="L1" t="s">
        <v>45</v>
      </c>
    </row>
    <row r="2" spans="1:14" x14ac:dyDescent="0.2">
      <c r="A2" s="12">
        <v>39083</v>
      </c>
      <c r="B2">
        <v>69</v>
      </c>
      <c r="C2" t="s">
        <v>46</v>
      </c>
      <c r="D2">
        <f t="shared" ref="D2:D23" si="0">YEAR(A2)</f>
        <v>2007</v>
      </c>
      <c r="E2">
        <f t="shared" ref="E2:E23" si="1">MONTH(A2)</f>
        <v>1</v>
      </c>
      <c r="F2">
        <f t="shared" ref="F2:F23" si="2">DAY(A2)</f>
        <v>1</v>
      </c>
      <c r="H2" s="6">
        <f t="shared" ref="H2:H65" si="3">J2-A2</f>
        <v>0</v>
      </c>
      <c r="I2">
        <v>20070101</v>
      </c>
      <c r="J2" s="1">
        <f t="shared" ref="J2:J65" si="4">DATE(LEFT(I2,4),MID(I2,5,2),RIGHT(I2,2))</f>
        <v>39083</v>
      </c>
      <c r="L2">
        <v>19900101</v>
      </c>
      <c r="M2" s="1">
        <f t="shared" ref="M2:M65" si="5">DATE(LEFT(L2,4),MID(L2,5,2),RIGHT(L2,2))</f>
        <v>32874</v>
      </c>
      <c r="N2" t="str">
        <f t="shared" ref="N2:N65" si="6">"insert #t values('"&amp;L2 &amp; "')"</f>
        <v>insert #t values('19900101')</v>
      </c>
    </row>
    <row r="3" spans="1:14" x14ac:dyDescent="0.2">
      <c r="A3" s="12">
        <v>39178</v>
      </c>
      <c r="B3">
        <v>70</v>
      </c>
      <c r="C3" t="s">
        <v>46</v>
      </c>
      <c r="D3">
        <f t="shared" si="0"/>
        <v>2007</v>
      </c>
      <c r="E3">
        <f t="shared" si="1"/>
        <v>4</v>
      </c>
      <c r="F3">
        <f t="shared" si="2"/>
        <v>6</v>
      </c>
      <c r="H3" s="6">
        <f t="shared" si="3"/>
        <v>0</v>
      </c>
      <c r="I3">
        <v>20070406</v>
      </c>
      <c r="J3" s="1">
        <f t="shared" si="4"/>
        <v>39178</v>
      </c>
      <c r="L3">
        <v>19900413</v>
      </c>
      <c r="M3" s="1">
        <f t="shared" si="5"/>
        <v>32976</v>
      </c>
      <c r="N3" t="str">
        <f t="shared" si="6"/>
        <v>insert #t values('19900413')</v>
      </c>
    </row>
    <row r="4" spans="1:14" x14ac:dyDescent="0.2">
      <c r="A4" s="12">
        <v>39223</v>
      </c>
      <c r="B4">
        <v>71</v>
      </c>
      <c r="C4" t="s">
        <v>46</v>
      </c>
      <c r="D4">
        <f t="shared" si="0"/>
        <v>2007</v>
      </c>
      <c r="E4">
        <f t="shared" si="1"/>
        <v>5</v>
      </c>
      <c r="F4">
        <f t="shared" si="2"/>
        <v>21</v>
      </c>
      <c r="H4" s="6">
        <f t="shared" si="3"/>
        <v>0</v>
      </c>
      <c r="I4">
        <v>20070521</v>
      </c>
      <c r="J4" s="1">
        <f t="shared" si="4"/>
        <v>39223</v>
      </c>
      <c r="L4">
        <v>19900521</v>
      </c>
      <c r="M4" s="1">
        <f t="shared" si="5"/>
        <v>33014</v>
      </c>
      <c r="N4" t="str">
        <f t="shared" si="6"/>
        <v>insert #t values('19900521')</v>
      </c>
    </row>
    <row r="5" spans="1:14" x14ac:dyDescent="0.2">
      <c r="A5" s="12">
        <v>39265</v>
      </c>
      <c r="B5">
        <v>72</v>
      </c>
      <c r="C5" t="s">
        <v>46</v>
      </c>
      <c r="D5">
        <f t="shared" si="0"/>
        <v>2007</v>
      </c>
      <c r="E5">
        <f t="shared" si="1"/>
        <v>7</v>
      </c>
      <c r="F5">
        <f t="shared" si="2"/>
        <v>2</v>
      </c>
      <c r="H5" s="6">
        <f t="shared" si="3"/>
        <v>0</v>
      </c>
      <c r="I5">
        <v>20070702</v>
      </c>
      <c r="J5" s="1">
        <f t="shared" si="4"/>
        <v>39265</v>
      </c>
      <c r="L5">
        <v>19900702</v>
      </c>
      <c r="M5" s="1">
        <f t="shared" si="5"/>
        <v>33056</v>
      </c>
      <c r="N5" t="str">
        <f t="shared" si="6"/>
        <v>insert #t values('19900702')</v>
      </c>
    </row>
    <row r="6" spans="1:14" x14ac:dyDescent="0.2">
      <c r="A6" s="12">
        <v>39300</v>
      </c>
      <c r="B6">
        <v>178</v>
      </c>
      <c r="C6" t="s">
        <v>46</v>
      </c>
      <c r="D6">
        <f t="shared" si="0"/>
        <v>2007</v>
      </c>
      <c r="E6">
        <f t="shared" si="1"/>
        <v>8</v>
      </c>
      <c r="F6">
        <f t="shared" si="2"/>
        <v>6</v>
      </c>
      <c r="H6" s="6">
        <f t="shared" si="3"/>
        <v>0</v>
      </c>
      <c r="I6">
        <v>20070806</v>
      </c>
      <c r="J6" s="1">
        <f t="shared" si="4"/>
        <v>39300</v>
      </c>
      <c r="L6">
        <v>19900806</v>
      </c>
      <c r="M6" s="1">
        <f t="shared" si="5"/>
        <v>33091</v>
      </c>
      <c r="N6" t="str">
        <f t="shared" si="6"/>
        <v>insert #t values('19900806')</v>
      </c>
    </row>
    <row r="7" spans="1:14" x14ac:dyDescent="0.2">
      <c r="A7" s="12">
        <v>39328</v>
      </c>
      <c r="B7">
        <v>74</v>
      </c>
      <c r="C7" t="s">
        <v>46</v>
      </c>
      <c r="D7">
        <f t="shared" si="0"/>
        <v>2007</v>
      </c>
      <c r="E7">
        <f t="shared" si="1"/>
        <v>9</v>
      </c>
      <c r="F7">
        <f t="shared" si="2"/>
        <v>3</v>
      </c>
      <c r="H7" s="6">
        <f t="shared" si="3"/>
        <v>0</v>
      </c>
      <c r="I7">
        <v>20070903</v>
      </c>
      <c r="J7" s="1">
        <f t="shared" si="4"/>
        <v>39328</v>
      </c>
      <c r="L7">
        <v>19900903</v>
      </c>
      <c r="M7" s="1">
        <f t="shared" si="5"/>
        <v>33119</v>
      </c>
      <c r="N7" t="str">
        <f t="shared" si="6"/>
        <v>insert #t values('19900903')</v>
      </c>
    </row>
    <row r="8" spans="1:14" x14ac:dyDescent="0.2">
      <c r="A8" s="12">
        <v>39363</v>
      </c>
      <c r="B8">
        <v>75</v>
      </c>
      <c r="C8" t="s">
        <v>46</v>
      </c>
      <c r="D8">
        <f t="shared" si="0"/>
        <v>2007</v>
      </c>
      <c r="E8">
        <f t="shared" si="1"/>
        <v>10</v>
      </c>
      <c r="F8">
        <f t="shared" si="2"/>
        <v>8</v>
      </c>
      <c r="H8" s="6">
        <f t="shared" si="3"/>
        <v>0</v>
      </c>
      <c r="I8">
        <v>20071008</v>
      </c>
      <c r="J8" s="1">
        <f t="shared" si="4"/>
        <v>39363</v>
      </c>
      <c r="L8">
        <v>19901008</v>
      </c>
      <c r="M8" s="1">
        <f t="shared" si="5"/>
        <v>33154</v>
      </c>
      <c r="N8" t="str">
        <f t="shared" si="6"/>
        <v>insert #t values('19901008')</v>
      </c>
    </row>
    <row r="9" spans="1:14" x14ac:dyDescent="0.2">
      <c r="A9" s="12">
        <v>39398</v>
      </c>
      <c r="B9">
        <v>76</v>
      </c>
      <c r="C9" t="s">
        <v>46</v>
      </c>
      <c r="D9">
        <f t="shared" si="0"/>
        <v>2007</v>
      </c>
      <c r="E9">
        <f t="shared" si="1"/>
        <v>11</v>
      </c>
      <c r="F9">
        <f t="shared" si="2"/>
        <v>12</v>
      </c>
      <c r="H9" s="6">
        <f t="shared" si="3"/>
        <v>0</v>
      </c>
      <c r="I9">
        <v>20071112</v>
      </c>
      <c r="J9" s="1">
        <f t="shared" si="4"/>
        <v>39398</v>
      </c>
      <c r="L9">
        <v>19901112</v>
      </c>
      <c r="M9" s="1">
        <f t="shared" si="5"/>
        <v>33189</v>
      </c>
      <c r="N9" t="str">
        <f t="shared" si="6"/>
        <v>insert #t values('19901112')</v>
      </c>
    </row>
    <row r="10" spans="1:14" x14ac:dyDescent="0.2">
      <c r="A10" s="12">
        <v>39441</v>
      </c>
      <c r="B10">
        <v>77</v>
      </c>
      <c r="C10" t="s">
        <v>46</v>
      </c>
      <c r="D10">
        <f t="shared" si="0"/>
        <v>2007</v>
      </c>
      <c r="E10">
        <f t="shared" si="1"/>
        <v>12</v>
      </c>
      <c r="F10">
        <f t="shared" si="2"/>
        <v>25</v>
      </c>
      <c r="H10" s="6">
        <f t="shared" si="3"/>
        <v>0</v>
      </c>
      <c r="I10">
        <v>20071225</v>
      </c>
      <c r="J10" s="1">
        <f t="shared" si="4"/>
        <v>39441</v>
      </c>
      <c r="L10">
        <v>19901225</v>
      </c>
      <c r="M10" s="1">
        <f t="shared" si="5"/>
        <v>33232</v>
      </c>
      <c r="N10" t="str">
        <f t="shared" si="6"/>
        <v>insert #t values('19901225')</v>
      </c>
    </row>
    <row r="11" spans="1:14" x14ac:dyDescent="0.2">
      <c r="A11" s="12">
        <v>39442</v>
      </c>
      <c r="B11">
        <v>78</v>
      </c>
      <c r="C11" t="s">
        <v>46</v>
      </c>
      <c r="D11">
        <f t="shared" si="0"/>
        <v>2007</v>
      </c>
      <c r="E11">
        <f t="shared" si="1"/>
        <v>12</v>
      </c>
      <c r="F11">
        <f t="shared" si="2"/>
        <v>26</v>
      </c>
      <c r="H11" s="6">
        <f t="shared" si="3"/>
        <v>0</v>
      </c>
      <c r="I11">
        <v>20071226</v>
      </c>
      <c r="J11" s="1">
        <f t="shared" si="4"/>
        <v>39442</v>
      </c>
      <c r="L11">
        <v>19901226</v>
      </c>
      <c r="M11" s="1">
        <f t="shared" si="5"/>
        <v>33233</v>
      </c>
      <c r="N11" t="str">
        <f t="shared" si="6"/>
        <v>insert #t values('19901226')</v>
      </c>
    </row>
    <row r="12" spans="1:14" x14ac:dyDescent="0.2">
      <c r="A12" s="12">
        <v>39448</v>
      </c>
      <c r="B12">
        <v>69</v>
      </c>
      <c r="C12" t="s">
        <v>46</v>
      </c>
      <c r="D12">
        <f t="shared" si="0"/>
        <v>2008</v>
      </c>
      <c r="E12">
        <f t="shared" si="1"/>
        <v>1</v>
      </c>
      <c r="F12">
        <f t="shared" si="2"/>
        <v>1</v>
      </c>
      <c r="H12" s="6">
        <f t="shared" si="3"/>
        <v>0</v>
      </c>
      <c r="I12">
        <v>20080101</v>
      </c>
      <c r="J12" s="1">
        <f t="shared" si="4"/>
        <v>39448</v>
      </c>
      <c r="L12">
        <v>19901226</v>
      </c>
      <c r="M12" s="1">
        <f t="shared" si="5"/>
        <v>33233</v>
      </c>
      <c r="N12" t="str">
        <f t="shared" si="6"/>
        <v>insert #t values('19901226')</v>
      </c>
    </row>
    <row r="13" spans="1:14" x14ac:dyDescent="0.2">
      <c r="A13" s="12">
        <v>39496</v>
      </c>
      <c r="B13">
        <v>0</v>
      </c>
      <c r="C13" t="s">
        <v>46</v>
      </c>
      <c r="D13">
        <f t="shared" si="0"/>
        <v>2008</v>
      </c>
      <c r="E13">
        <f t="shared" si="1"/>
        <v>2</v>
      </c>
      <c r="F13">
        <f t="shared" si="2"/>
        <v>18</v>
      </c>
      <c r="H13" s="6">
        <f t="shared" si="3"/>
        <v>0</v>
      </c>
      <c r="I13">
        <v>20080218</v>
      </c>
      <c r="J13" s="1">
        <f t="shared" si="4"/>
        <v>39496</v>
      </c>
      <c r="L13">
        <v>19910101</v>
      </c>
      <c r="M13" s="1">
        <f t="shared" si="5"/>
        <v>33239</v>
      </c>
      <c r="N13" t="str">
        <f t="shared" si="6"/>
        <v>insert #t values('19910101')</v>
      </c>
    </row>
    <row r="14" spans="1:14" x14ac:dyDescent="0.2">
      <c r="A14" s="12">
        <v>39528</v>
      </c>
      <c r="B14">
        <v>70</v>
      </c>
      <c r="C14" t="s">
        <v>46</v>
      </c>
      <c r="D14">
        <f t="shared" si="0"/>
        <v>2008</v>
      </c>
      <c r="E14">
        <f t="shared" si="1"/>
        <v>3</v>
      </c>
      <c r="F14">
        <f t="shared" si="2"/>
        <v>21</v>
      </c>
      <c r="H14" s="6">
        <f t="shared" si="3"/>
        <v>0</v>
      </c>
      <c r="I14">
        <v>20080321</v>
      </c>
      <c r="J14" s="1">
        <f t="shared" si="4"/>
        <v>39528</v>
      </c>
      <c r="L14">
        <v>19910329</v>
      </c>
      <c r="M14" s="1">
        <f t="shared" si="5"/>
        <v>33326</v>
      </c>
      <c r="N14" t="str">
        <f t="shared" si="6"/>
        <v>insert #t values('19910329')</v>
      </c>
    </row>
    <row r="15" spans="1:14" x14ac:dyDescent="0.2">
      <c r="A15" s="12">
        <v>39587</v>
      </c>
      <c r="B15">
        <v>71</v>
      </c>
      <c r="C15" t="s">
        <v>46</v>
      </c>
      <c r="D15">
        <f t="shared" si="0"/>
        <v>2008</v>
      </c>
      <c r="E15">
        <f t="shared" si="1"/>
        <v>5</v>
      </c>
      <c r="F15">
        <f t="shared" si="2"/>
        <v>19</v>
      </c>
      <c r="H15" s="6">
        <f t="shared" si="3"/>
        <v>0</v>
      </c>
      <c r="I15">
        <v>20080519</v>
      </c>
      <c r="J15" s="1">
        <f t="shared" si="4"/>
        <v>39587</v>
      </c>
      <c r="L15">
        <v>19910520</v>
      </c>
      <c r="M15" s="1">
        <f t="shared" si="5"/>
        <v>33378</v>
      </c>
      <c r="N15" t="str">
        <f t="shared" si="6"/>
        <v>insert #t values('19910520')</v>
      </c>
    </row>
    <row r="16" spans="1:14" x14ac:dyDescent="0.2">
      <c r="A16" s="12">
        <v>39630</v>
      </c>
      <c r="B16">
        <v>72</v>
      </c>
      <c r="C16" t="s">
        <v>46</v>
      </c>
      <c r="D16">
        <f t="shared" si="0"/>
        <v>2008</v>
      </c>
      <c r="E16">
        <f t="shared" si="1"/>
        <v>7</v>
      </c>
      <c r="F16">
        <f t="shared" si="2"/>
        <v>1</v>
      </c>
      <c r="H16" s="6">
        <f t="shared" si="3"/>
        <v>0</v>
      </c>
      <c r="I16">
        <v>20080701</v>
      </c>
      <c r="J16" s="1">
        <f t="shared" si="4"/>
        <v>39630</v>
      </c>
      <c r="L16">
        <v>19910701</v>
      </c>
      <c r="M16" s="1">
        <f t="shared" si="5"/>
        <v>33420</v>
      </c>
      <c r="N16" t="str">
        <f t="shared" si="6"/>
        <v>insert #t values('19910701')</v>
      </c>
    </row>
    <row r="17" spans="1:14" x14ac:dyDescent="0.2">
      <c r="A17" s="12">
        <v>39664</v>
      </c>
      <c r="B17">
        <v>178</v>
      </c>
      <c r="C17" t="s">
        <v>46</v>
      </c>
      <c r="D17">
        <f t="shared" si="0"/>
        <v>2008</v>
      </c>
      <c r="E17">
        <f t="shared" si="1"/>
        <v>8</v>
      </c>
      <c r="F17">
        <f t="shared" si="2"/>
        <v>4</v>
      </c>
      <c r="H17" s="6">
        <f t="shared" si="3"/>
        <v>0</v>
      </c>
      <c r="I17">
        <v>20080804</v>
      </c>
      <c r="J17" s="1">
        <f t="shared" si="4"/>
        <v>39664</v>
      </c>
      <c r="L17">
        <v>19910805</v>
      </c>
      <c r="M17" s="1">
        <f t="shared" si="5"/>
        <v>33455</v>
      </c>
      <c r="N17" t="str">
        <f t="shared" si="6"/>
        <v>insert #t values('19910805')</v>
      </c>
    </row>
    <row r="18" spans="1:14" x14ac:dyDescent="0.2">
      <c r="A18" s="12">
        <v>39692</v>
      </c>
      <c r="B18">
        <v>74</v>
      </c>
      <c r="C18" t="s">
        <v>46</v>
      </c>
      <c r="D18">
        <f t="shared" si="0"/>
        <v>2008</v>
      </c>
      <c r="E18">
        <f t="shared" si="1"/>
        <v>9</v>
      </c>
      <c r="F18">
        <f t="shared" si="2"/>
        <v>1</v>
      </c>
      <c r="H18" s="6">
        <f t="shared" si="3"/>
        <v>0</v>
      </c>
      <c r="I18">
        <v>20080901</v>
      </c>
      <c r="J18" s="1">
        <f t="shared" si="4"/>
        <v>39692</v>
      </c>
      <c r="L18">
        <v>19910902</v>
      </c>
      <c r="M18" s="1">
        <f t="shared" si="5"/>
        <v>33483</v>
      </c>
      <c r="N18" t="str">
        <f t="shared" si="6"/>
        <v>insert #t values('19910902')</v>
      </c>
    </row>
    <row r="19" spans="1:14" x14ac:dyDescent="0.2">
      <c r="A19" s="12">
        <v>39734</v>
      </c>
      <c r="B19">
        <v>75</v>
      </c>
      <c r="C19" t="s">
        <v>46</v>
      </c>
      <c r="D19">
        <f t="shared" si="0"/>
        <v>2008</v>
      </c>
      <c r="E19">
        <f t="shared" si="1"/>
        <v>10</v>
      </c>
      <c r="F19">
        <f t="shared" si="2"/>
        <v>13</v>
      </c>
      <c r="H19" s="6">
        <f t="shared" si="3"/>
        <v>0</v>
      </c>
      <c r="I19">
        <v>20081013</v>
      </c>
      <c r="J19" s="1">
        <f t="shared" si="4"/>
        <v>39734</v>
      </c>
      <c r="L19">
        <v>19911014</v>
      </c>
      <c r="M19" s="1">
        <f t="shared" si="5"/>
        <v>33525</v>
      </c>
      <c r="N19" t="str">
        <f t="shared" si="6"/>
        <v>insert #t values('19911014')</v>
      </c>
    </row>
    <row r="20" spans="1:14" x14ac:dyDescent="0.2">
      <c r="A20" s="12">
        <v>39763</v>
      </c>
      <c r="B20">
        <v>76</v>
      </c>
      <c r="C20" t="s">
        <v>46</v>
      </c>
      <c r="D20">
        <f t="shared" si="0"/>
        <v>2008</v>
      </c>
      <c r="E20">
        <f t="shared" si="1"/>
        <v>11</v>
      </c>
      <c r="F20">
        <f t="shared" si="2"/>
        <v>11</v>
      </c>
      <c r="H20" s="6">
        <f t="shared" si="3"/>
        <v>0</v>
      </c>
      <c r="I20">
        <v>20081111</v>
      </c>
      <c r="J20" s="1">
        <f t="shared" si="4"/>
        <v>39763</v>
      </c>
      <c r="L20">
        <v>19911111</v>
      </c>
      <c r="M20" s="1">
        <f t="shared" si="5"/>
        <v>33553</v>
      </c>
      <c r="N20" t="str">
        <f t="shared" si="6"/>
        <v>insert #t values('19911111')</v>
      </c>
    </row>
    <row r="21" spans="1:14" x14ac:dyDescent="0.2">
      <c r="A21" s="12">
        <v>39807</v>
      </c>
      <c r="B21">
        <v>77</v>
      </c>
      <c r="C21" t="s">
        <v>46</v>
      </c>
      <c r="D21">
        <f t="shared" si="0"/>
        <v>2008</v>
      </c>
      <c r="E21">
        <f t="shared" si="1"/>
        <v>12</v>
      </c>
      <c r="F21">
        <f t="shared" si="2"/>
        <v>25</v>
      </c>
      <c r="H21" s="6">
        <f t="shared" si="3"/>
        <v>0</v>
      </c>
      <c r="I21">
        <v>20081225</v>
      </c>
      <c r="J21" s="1">
        <f t="shared" si="4"/>
        <v>39807</v>
      </c>
      <c r="L21">
        <v>19911225</v>
      </c>
      <c r="M21" s="1">
        <f t="shared" si="5"/>
        <v>33597</v>
      </c>
      <c r="N21" t="str">
        <f t="shared" si="6"/>
        <v>insert #t values('19911225')</v>
      </c>
    </row>
    <row r="22" spans="1:14" x14ac:dyDescent="0.2">
      <c r="A22" s="12">
        <v>39808</v>
      </c>
      <c r="B22">
        <v>78</v>
      </c>
      <c r="C22" t="s">
        <v>46</v>
      </c>
      <c r="D22">
        <f t="shared" si="0"/>
        <v>2008</v>
      </c>
      <c r="E22">
        <f t="shared" si="1"/>
        <v>12</v>
      </c>
      <c r="F22">
        <f t="shared" si="2"/>
        <v>26</v>
      </c>
      <c r="H22" s="6">
        <f t="shared" si="3"/>
        <v>0</v>
      </c>
      <c r="I22">
        <v>20081226</v>
      </c>
      <c r="J22" s="1">
        <f t="shared" si="4"/>
        <v>39808</v>
      </c>
      <c r="L22">
        <v>19911226</v>
      </c>
      <c r="M22" s="1">
        <f t="shared" si="5"/>
        <v>33598</v>
      </c>
      <c r="N22" t="str">
        <f t="shared" si="6"/>
        <v>insert #t values('19911226')</v>
      </c>
    </row>
    <row r="23" spans="1:14" x14ac:dyDescent="0.2">
      <c r="A23" s="12">
        <v>39814</v>
      </c>
      <c r="B23">
        <v>69</v>
      </c>
      <c r="C23" t="s">
        <v>46</v>
      </c>
      <c r="D23">
        <f t="shared" si="0"/>
        <v>2009</v>
      </c>
      <c r="E23">
        <f t="shared" si="1"/>
        <v>1</v>
      </c>
      <c r="F23">
        <f t="shared" si="2"/>
        <v>1</v>
      </c>
      <c r="H23" s="6">
        <f t="shared" si="3"/>
        <v>0</v>
      </c>
      <c r="I23">
        <v>20090101</v>
      </c>
      <c r="J23" s="1">
        <f t="shared" si="4"/>
        <v>39814</v>
      </c>
      <c r="L23">
        <v>19911226</v>
      </c>
      <c r="M23" s="1">
        <f t="shared" si="5"/>
        <v>33598</v>
      </c>
      <c r="N23" t="str">
        <f t="shared" si="6"/>
        <v>insert #t values('19911226')</v>
      </c>
    </row>
    <row r="24" spans="1:14" x14ac:dyDescent="0.2">
      <c r="A24" s="12">
        <v>39867</v>
      </c>
      <c r="C24" t="s">
        <v>46</v>
      </c>
      <c r="H24" s="6">
        <f t="shared" si="3"/>
        <v>-7</v>
      </c>
      <c r="I24">
        <v>20090216</v>
      </c>
      <c r="J24" s="1">
        <f t="shared" si="4"/>
        <v>39860</v>
      </c>
      <c r="L24">
        <v>19920101</v>
      </c>
      <c r="M24" s="1">
        <f t="shared" si="5"/>
        <v>33604</v>
      </c>
      <c r="N24" t="str">
        <f t="shared" si="6"/>
        <v>insert #t values('19920101')</v>
      </c>
    </row>
    <row r="25" spans="1:14" x14ac:dyDescent="0.2">
      <c r="A25" s="12">
        <v>39913</v>
      </c>
      <c r="B25">
        <v>70</v>
      </c>
      <c r="C25" t="s">
        <v>46</v>
      </c>
      <c r="D25">
        <f t="shared" ref="D25:D34" si="7">YEAR(A25)</f>
        <v>2009</v>
      </c>
      <c r="E25">
        <f t="shared" ref="E25:E34" si="8">MONTH(A25)</f>
        <v>4</v>
      </c>
      <c r="F25">
        <f t="shared" ref="F25:F34" si="9">DAY(A25)</f>
        <v>10</v>
      </c>
      <c r="H25" s="6">
        <f t="shared" si="3"/>
        <v>0</v>
      </c>
      <c r="I25">
        <v>20090410</v>
      </c>
      <c r="J25" s="1">
        <f t="shared" si="4"/>
        <v>39913</v>
      </c>
      <c r="L25">
        <v>19920417</v>
      </c>
      <c r="M25" s="1">
        <f t="shared" si="5"/>
        <v>33711</v>
      </c>
      <c r="N25" t="str">
        <f t="shared" si="6"/>
        <v>insert #t values('19920417')</v>
      </c>
    </row>
    <row r="26" spans="1:14" x14ac:dyDescent="0.2">
      <c r="A26" s="12">
        <v>39951</v>
      </c>
      <c r="B26">
        <v>71</v>
      </c>
      <c r="C26" t="s">
        <v>46</v>
      </c>
      <c r="D26">
        <f t="shared" si="7"/>
        <v>2009</v>
      </c>
      <c r="E26">
        <f t="shared" si="8"/>
        <v>5</v>
      </c>
      <c r="F26">
        <f t="shared" si="9"/>
        <v>18</v>
      </c>
      <c r="H26" s="6">
        <f t="shared" si="3"/>
        <v>0</v>
      </c>
      <c r="I26">
        <v>20090518</v>
      </c>
      <c r="J26" s="1">
        <f t="shared" si="4"/>
        <v>39951</v>
      </c>
      <c r="L26">
        <v>19920518</v>
      </c>
      <c r="M26" s="1">
        <f t="shared" si="5"/>
        <v>33742</v>
      </c>
      <c r="N26" t="str">
        <f t="shared" si="6"/>
        <v>insert #t values('19920518')</v>
      </c>
    </row>
    <row r="27" spans="1:14" x14ac:dyDescent="0.2">
      <c r="A27" s="12">
        <v>39995</v>
      </c>
      <c r="B27">
        <v>72</v>
      </c>
      <c r="C27" t="s">
        <v>46</v>
      </c>
      <c r="D27">
        <f t="shared" si="7"/>
        <v>2009</v>
      </c>
      <c r="E27">
        <f t="shared" si="8"/>
        <v>7</v>
      </c>
      <c r="F27">
        <f t="shared" si="9"/>
        <v>1</v>
      </c>
      <c r="H27" s="6">
        <f t="shared" si="3"/>
        <v>0</v>
      </c>
      <c r="I27">
        <v>20090701</v>
      </c>
      <c r="J27" s="1">
        <f t="shared" si="4"/>
        <v>39995</v>
      </c>
      <c r="L27">
        <v>19920701</v>
      </c>
      <c r="M27" s="1">
        <f t="shared" si="5"/>
        <v>33786</v>
      </c>
      <c r="N27" t="str">
        <f t="shared" si="6"/>
        <v>insert #t values('19920701')</v>
      </c>
    </row>
    <row r="28" spans="1:14" x14ac:dyDescent="0.2">
      <c r="A28" s="12">
        <v>40028</v>
      </c>
      <c r="B28">
        <v>178</v>
      </c>
      <c r="C28" t="s">
        <v>46</v>
      </c>
      <c r="D28">
        <f t="shared" si="7"/>
        <v>2009</v>
      </c>
      <c r="E28">
        <f t="shared" si="8"/>
        <v>8</v>
      </c>
      <c r="F28">
        <f t="shared" si="9"/>
        <v>3</v>
      </c>
      <c r="H28" s="6">
        <f t="shared" si="3"/>
        <v>0</v>
      </c>
      <c r="I28">
        <v>20090803</v>
      </c>
      <c r="J28" s="1">
        <f t="shared" si="4"/>
        <v>40028</v>
      </c>
      <c r="L28">
        <v>19920803</v>
      </c>
      <c r="M28" s="1">
        <f t="shared" si="5"/>
        <v>33819</v>
      </c>
      <c r="N28" t="str">
        <f t="shared" si="6"/>
        <v>insert #t values('19920803')</v>
      </c>
    </row>
    <row r="29" spans="1:14" x14ac:dyDescent="0.2">
      <c r="A29" s="12">
        <v>40063</v>
      </c>
      <c r="B29">
        <v>74</v>
      </c>
      <c r="C29" t="s">
        <v>46</v>
      </c>
      <c r="D29">
        <f t="shared" si="7"/>
        <v>2009</v>
      </c>
      <c r="E29">
        <f t="shared" si="8"/>
        <v>9</v>
      </c>
      <c r="F29">
        <f t="shared" si="9"/>
        <v>7</v>
      </c>
      <c r="H29" s="6">
        <f t="shared" si="3"/>
        <v>0</v>
      </c>
      <c r="I29">
        <v>20090907</v>
      </c>
      <c r="J29" s="1">
        <f t="shared" si="4"/>
        <v>40063</v>
      </c>
      <c r="L29">
        <v>19920907</v>
      </c>
      <c r="M29" s="1">
        <f t="shared" si="5"/>
        <v>33854</v>
      </c>
      <c r="N29" t="str">
        <f t="shared" si="6"/>
        <v>insert #t values('19920907')</v>
      </c>
    </row>
    <row r="30" spans="1:14" x14ac:dyDescent="0.2">
      <c r="A30" s="12">
        <v>40098</v>
      </c>
      <c r="B30">
        <v>75</v>
      </c>
      <c r="C30" t="s">
        <v>46</v>
      </c>
      <c r="D30">
        <f t="shared" si="7"/>
        <v>2009</v>
      </c>
      <c r="E30">
        <f t="shared" si="8"/>
        <v>10</v>
      </c>
      <c r="F30">
        <f t="shared" si="9"/>
        <v>12</v>
      </c>
      <c r="H30" s="6">
        <f t="shared" si="3"/>
        <v>0</v>
      </c>
      <c r="I30">
        <v>20091012</v>
      </c>
      <c r="J30" s="1">
        <f t="shared" si="4"/>
        <v>40098</v>
      </c>
      <c r="L30">
        <v>19921012</v>
      </c>
      <c r="M30" s="1">
        <f t="shared" si="5"/>
        <v>33889</v>
      </c>
      <c r="N30" t="str">
        <f t="shared" si="6"/>
        <v>insert #t values('19921012')</v>
      </c>
    </row>
    <row r="31" spans="1:14" x14ac:dyDescent="0.2">
      <c r="A31" s="12">
        <v>40128</v>
      </c>
      <c r="B31">
        <v>76</v>
      </c>
      <c r="C31" t="s">
        <v>46</v>
      </c>
      <c r="D31">
        <f t="shared" si="7"/>
        <v>2009</v>
      </c>
      <c r="E31">
        <f t="shared" si="8"/>
        <v>11</v>
      </c>
      <c r="F31">
        <f t="shared" si="9"/>
        <v>11</v>
      </c>
      <c r="H31" s="6">
        <f t="shared" si="3"/>
        <v>0</v>
      </c>
      <c r="I31">
        <v>20091111</v>
      </c>
      <c r="J31" s="1">
        <f t="shared" si="4"/>
        <v>40128</v>
      </c>
      <c r="L31">
        <v>19921111</v>
      </c>
      <c r="M31" s="1">
        <f t="shared" si="5"/>
        <v>33919</v>
      </c>
      <c r="N31" t="str">
        <f t="shared" si="6"/>
        <v>insert #t values('19921111')</v>
      </c>
    </row>
    <row r="32" spans="1:14" x14ac:dyDescent="0.2">
      <c r="A32" s="12">
        <v>40172</v>
      </c>
      <c r="B32">
        <v>77</v>
      </c>
      <c r="C32" t="s">
        <v>46</v>
      </c>
      <c r="D32">
        <f t="shared" si="7"/>
        <v>2009</v>
      </c>
      <c r="E32">
        <f t="shared" si="8"/>
        <v>12</v>
      </c>
      <c r="F32">
        <f t="shared" si="9"/>
        <v>25</v>
      </c>
      <c r="H32" s="6">
        <f t="shared" si="3"/>
        <v>0</v>
      </c>
      <c r="I32">
        <v>20091225</v>
      </c>
      <c r="J32" s="1">
        <f t="shared" si="4"/>
        <v>40172</v>
      </c>
      <c r="L32">
        <v>19921225</v>
      </c>
      <c r="M32" s="1">
        <f t="shared" si="5"/>
        <v>33963</v>
      </c>
      <c r="N32" t="str">
        <f t="shared" si="6"/>
        <v>insert #t values('19921225')</v>
      </c>
    </row>
    <row r="33" spans="1:14" x14ac:dyDescent="0.2">
      <c r="A33" s="12">
        <v>40175</v>
      </c>
      <c r="B33">
        <v>78</v>
      </c>
      <c r="C33" t="s">
        <v>46</v>
      </c>
      <c r="D33">
        <f t="shared" si="7"/>
        <v>2009</v>
      </c>
      <c r="E33">
        <f t="shared" si="8"/>
        <v>12</v>
      </c>
      <c r="F33">
        <f t="shared" si="9"/>
        <v>28</v>
      </c>
      <c r="H33" s="6">
        <f t="shared" si="3"/>
        <v>0</v>
      </c>
      <c r="I33">
        <v>20091228</v>
      </c>
      <c r="J33" s="1">
        <f t="shared" si="4"/>
        <v>40175</v>
      </c>
      <c r="L33">
        <v>19921228</v>
      </c>
      <c r="M33" s="1">
        <f t="shared" si="5"/>
        <v>33966</v>
      </c>
      <c r="N33" t="str">
        <f t="shared" si="6"/>
        <v>insert #t values('19921228')</v>
      </c>
    </row>
    <row r="34" spans="1:14" x14ac:dyDescent="0.2">
      <c r="A34" s="12">
        <v>40179</v>
      </c>
      <c r="B34">
        <v>69</v>
      </c>
      <c r="C34" t="s">
        <v>46</v>
      </c>
      <c r="D34">
        <f t="shared" si="7"/>
        <v>2010</v>
      </c>
      <c r="E34">
        <f t="shared" si="8"/>
        <v>1</v>
      </c>
      <c r="F34">
        <f t="shared" si="9"/>
        <v>1</v>
      </c>
      <c r="H34" s="6">
        <f t="shared" si="3"/>
        <v>0</v>
      </c>
      <c r="I34">
        <v>20100101</v>
      </c>
      <c r="J34" s="1">
        <f t="shared" si="4"/>
        <v>40179</v>
      </c>
      <c r="L34">
        <v>19921228</v>
      </c>
      <c r="M34" s="1">
        <f t="shared" si="5"/>
        <v>33966</v>
      </c>
      <c r="N34" t="str">
        <f t="shared" si="6"/>
        <v>insert #t values('19921228')</v>
      </c>
    </row>
    <row r="35" spans="1:14" x14ac:dyDescent="0.2">
      <c r="A35" s="12">
        <v>40231</v>
      </c>
      <c r="C35" t="s">
        <v>46</v>
      </c>
      <c r="H35" s="6">
        <f t="shared" si="3"/>
        <v>-7</v>
      </c>
      <c r="I35">
        <v>20100215</v>
      </c>
      <c r="J35" s="1">
        <f t="shared" si="4"/>
        <v>40224</v>
      </c>
      <c r="L35">
        <v>19930101</v>
      </c>
      <c r="M35" s="1">
        <f t="shared" si="5"/>
        <v>33970</v>
      </c>
      <c r="N35" t="str">
        <f t="shared" si="6"/>
        <v>insert #t values('19930101')</v>
      </c>
    </row>
    <row r="36" spans="1:14" x14ac:dyDescent="0.2">
      <c r="A36" s="12">
        <v>40270</v>
      </c>
      <c r="B36">
        <v>70</v>
      </c>
      <c r="C36" t="s">
        <v>46</v>
      </c>
      <c r="D36">
        <f t="shared" ref="D36:D99" si="10">YEAR(A36)</f>
        <v>2010</v>
      </c>
      <c r="E36">
        <f t="shared" ref="E36:E99" si="11">MONTH(A36)</f>
        <v>4</v>
      </c>
      <c r="F36">
        <f t="shared" ref="F36:F99" si="12">DAY(A36)</f>
        <v>2</v>
      </c>
      <c r="H36" s="6">
        <f t="shared" si="3"/>
        <v>0</v>
      </c>
      <c r="I36">
        <v>20100402</v>
      </c>
      <c r="J36" s="1">
        <f t="shared" si="4"/>
        <v>40270</v>
      </c>
      <c r="L36">
        <v>19930409</v>
      </c>
      <c r="M36" s="1">
        <f t="shared" si="5"/>
        <v>34068</v>
      </c>
      <c r="N36" t="str">
        <f t="shared" si="6"/>
        <v>insert #t values('19930409')</v>
      </c>
    </row>
    <row r="37" spans="1:14" x14ac:dyDescent="0.2">
      <c r="A37" s="12">
        <v>40322</v>
      </c>
      <c r="B37">
        <v>71</v>
      </c>
      <c r="C37" t="s">
        <v>46</v>
      </c>
      <c r="D37">
        <f t="shared" si="10"/>
        <v>2010</v>
      </c>
      <c r="E37">
        <f t="shared" si="11"/>
        <v>5</v>
      </c>
      <c r="F37">
        <f t="shared" si="12"/>
        <v>24</v>
      </c>
      <c r="H37" s="6">
        <f t="shared" si="3"/>
        <v>0</v>
      </c>
      <c r="I37">
        <v>20100524</v>
      </c>
      <c r="J37" s="1">
        <f t="shared" si="4"/>
        <v>40322</v>
      </c>
      <c r="L37">
        <v>19930524</v>
      </c>
      <c r="M37" s="1">
        <f t="shared" si="5"/>
        <v>34113</v>
      </c>
      <c r="N37" t="str">
        <f t="shared" si="6"/>
        <v>insert #t values('19930524')</v>
      </c>
    </row>
    <row r="38" spans="1:14" x14ac:dyDescent="0.2">
      <c r="A38" s="12">
        <v>40360</v>
      </c>
      <c r="B38">
        <v>72</v>
      </c>
      <c r="C38" t="s">
        <v>46</v>
      </c>
      <c r="D38">
        <f t="shared" si="10"/>
        <v>2010</v>
      </c>
      <c r="E38">
        <f t="shared" si="11"/>
        <v>7</v>
      </c>
      <c r="F38">
        <f t="shared" si="12"/>
        <v>1</v>
      </c>
      <c r="H38" s="6">
        <f t="shared" si="3"/>
        <v>0</v>
      </c>
      <c r="I38">
        <v>20100701</v>
      </c>
      <c r="J38" s="1">
        <f t="shared" si="4"/>
        <v>40360</v>
      </c>
      <c r="L38">
        <v>19930701</v>
      </c>
      <c r="M38" s="1">
        <f t="shared" si="5"/>
        <v>34151</v>
      </c>
      <c r="N38" t="str">
        <f t="shared" si="6"/>
        <v>insert #t values('19930701')</v>
      </c>
    </row>
    <row r="39" spans="1:14" x14ac:dyDescent="0.2">
      <c r="A39" s="12">
        <v>40392</v>
      </c>
      <c r="B39">
        <v>178</v>
      </c>
      <c r="C39" t="s">
        <v>46</v>
      </c>
      <c r="D39">
        <f t="shared" si="10"/>
        <v>2010</v>
      </c>
      <c r="E39">
        <f t="shared" si="11"/>
        <v>8</v>
      </c>
      <c r="F39">
        <f t="shared" si="12"/>
        <v>2</v>
      </c>
      <c r="H39" s="6">
        <f t="shared" si="3"/>
        <v>0</v>
      </c>
      <c r="I39">
        <v>20100802</v>
      </c>
      <c r="J39" s="1">
        <f t="shared" si="4"/>
        <v>40392</v>
      </c>
      <c r="L39">
        <v>19930802</v>
      </c>
      <c r="M39" s="1">
        <f t="shared" si="5"/>
        <v>34183</v>
      </c>
      <c r="N39" t="str">
        <f t="shared" si="6"/>
        <v>insert #t values('19930802')</v>
      </c>
    </row>
    <row r="40" spans="1:14" x14ac:dyDescent="0.2">
      <c r="A40" s="12">
        <v>40427</v>
      </c>
      <c r="B40">
        <v>74</v>
      </c>
      <c r="C40" t="s">
        <v>46</v>
      </c>
      <c r="D40">
        <f t="shared" si="10"/>
        <v>2010</v>
      </c>
      <c r="E40">
        <f t="shared" si="11"/>
        <v>9</v>
      </c>
      <c r="F40">
        <f t="shared" si="12"/>
        <v>6</v>
      </c>
      <c r="H40" s="6">
        <f t="shared" si="3"/>
        <v>0</v>
      </c>
      <c r="I40">
        <v>20100906</v>
      </c>
      <c r="J40" s="1">
        <f t="shared" si="4"/>
        <v>40427</v>
      </c>
      <c r="L40">
        <v>19930906</v>
      </c>
      <c r="M40" s="1">
        <f t="shared" si="5"/>
        <v>34218</v>
      </c>
      <c r="N40" t="str">
        <f t="shared" si="6"/>
        <v>insert #t values('19930906')</v>
      </c>
    </row>
    <row r="41" spans="1:14" x14ac:dyDescent="0.2">
      <c r="A41" s="12">
        <v>40462</v>
      </c>
      <c r="B41">
        <v>75</v>
      </c>
      <c r="C41" t="s">
        <v>46</v>
      </c>
      <c r="D41">
        <f t="shared" si="10"/>
        <v>2010</v>
      </c>
      <c r="E41">
        <f t="shared" si="11"/>
        <v>10</v>
      </c>
      <c r="F41">
        <f t="shared" si="12"/>
        <v>11</v>
      </c>
      <c r="H41" s="6">
        <f t="shared" si="3"/>
        <v>0</v>
      </c>
      <c r="I41">
        <v>20101011</v>
      </c>
      <c r="J41" s="1">
        <f t="shared" si="4"/>
        <v>40462</v>
      </c>
      <c r="L41">
        <v>19931011</v>
      </c>
      <c r="M41" s="1">
        <f t="shared" si="5"/>
        <v>34253</v>
      </c>
      <c r="N41" t="str">
        <f t="shared" si="6"/>
        <v>insert #t values('19931011')</v>
      </c>
    </row>
    <row r="42" spans="1:14" x14ac:dyDescent="0.2">
      <c r="A42" s="12">
        <v>40493</v>
      </c>
      <c r="B42">
        <v>76</v>
      </c>
      <c r="C42" t="s">
        <v>46</v>
      </c>
      <c r="D42">
        <f t="shared" si="10"/>
        <v>2010</v>
      </c>
      <c r="E42">
        <f t="shared" si="11"/>
        <v>11</v>
      </c>
      <c r="F42">
        <f t="shared" si="12"/>
        <v>11</v>
      </c>
      <c r="H42" s="6">
        <f t="shared" si="3"/>
        <v>0</v>
      </c>
      <c r="I42">
        <v>20101111</v>
      </c>
      <c r="J42" s="1">
        <f t="shared" si="4"/>
        <v>40493</v>
      </c>
      <c r="L42">
        <v>19931111</v>
      </c>
      <c r="M42" s="1">
        <f t="shared" si="5"/>
        <v>34284</v>
      </c>
      <c r="N42" t="str">
        <f t="shared" si="6"/>
        <v>insert #t values('19931111')</v>
      </c>
    </row>
    <row r="43" spans="1:14" x14ac:dyDescent="0.2">
      <c r="A43" s="12">
        <v>40539</v>
      </c>
      <c r="B43">
        <v>77</v>
      </c>
      <c r="C43" t="s">
        <v>46</v>
      </c>
      <c r="D43">
        <f t="shared" si="10"/>
        <v>2010</v>
      </c>
      <c r="E43">
        <f t="shared" si="11"/>
        <v>12</v>
      </c>
      <c r="F43">
        <f t="shared" si="12"/>
        <v>27</v>
      </c>
      <c r="H43" s="6">
        <f t="shared" si="3"/>
        <v>0</v>
      </c>
      <c r="I43">
        <v>20101227</v>
      </c>
      <c r="J43" s="1">
        <f t="shared" si="4"/>
        <v>40539</v>
      </c>
      <c r="L43">
        <v>19931227</v>
      </c>
      <c r="M43" s="1">
        <f t="shared" si="5"/>
        <v>34330</v>
      </c>
      <c r="N43" t="str">
        <f t="shared" si="6"/>
        <v>insert #t values('19931227')</v>
      </c>
    </row>
    <row r="44" spans="1:14" x14ac:dyDescent="0.2">
      <c r="A44" s="12">
        <v>40540</v>
      </c>
      <c r="B44">
        <v>78</v>
      </c>
      <c r="C44" t="s">
        <v>46</v>
      </c>
      <c r="D44">
        <f t="shared" si="10"/>
        <v>2010</v>
      </c>
      <c r="E44">
        <f t="shared" si="11"/>
        <v>12</v>
      </c>
      <c r="F44">
        <f t="shared" si="12"/>
        <v>28</v>
      </c>
      <c r="H44" s="6">
        <f t="shared" si="3"/>
        <v>0</v>
      </c>
      <c r="I44">
        <v>20101228</v>
      </c>
      <c r="J44" s="1">
        <f t="shared" si="4"/>
        <v>40540</v>
      </c>
      <c r="L44">
        <v>19931227</v>
      </c>
      <c r="M44" s="1">
        <f t="shared" si="5"/>
        <v>34330</v>
      </c>
      <c r="N44" t="str">
        <f t="shared" si="6"/>
        <v>insert #t values('19931227')</v>
      </c>
    </row>
    <row r="45" spans="1:14" x14ac:dyDescent="0.2">
      <c r="A45" s="12">
        <v>40546</v>
      </c>
      <c r="B45">
        <v>69</v>
      </c>
      <c r="C45" t="s">
        <v>46</v>
      </c>
      <c r="D45">
        <f t="shared" si="10"/>
        <v>2011</v>
      </c>
      <c r="E45">
        <f t="shared" si="11"/>
        <v>1</v>
      </c>
      <c r="F45">
        <f t="shared" si="12"/>
        <v>3</v>
      </c>
      <c r="H45" s="6">
        <f t="shared" si="3"/>
        <v>0</v>
      </c>
      <c r="I45">
        <v>20110103</v>
      </c>
      <c r="J45" s="1">
        <f t="shared" si="4"/>
        <v>40546</v>
      </c>
      <c r="L45">
        <v>19931228</v>
      </c>
      <c r="M45" s="1">
        <f t="shared" si="5"/>
        <v>34331</v>
      </c>
      <c r="N45" t="str">
        <f t="shared" si="6"/>
        <v>insert #t values('19931228')</v>
      </c>
    </row>
    <row r="46" spans="1:14" x14ac:dyDescent="0.2">
      <c r="A46" s="12">
        <v>40595</v>
      </c>
      <c r="C46" t="s">
        <v>46</v>
      </c>
      <c r="D46">
        <f t="shared" si="10"/>
        <v>2011</v>
      </c>
      <c r="E46">
        <f t="shared" si="11"/>
        <v>2</v>
      </c>
      <c r="F46">
        <f t="shared" si="12"/>
        <v>21</v>
      </c>
      <c r="H46" s="6">
        <f t="shared" si="3"/>
        <v>0</v>
      </c>
      <c r="I46">
        <v>20110221</v>
      </c>
      <c r="J46" s="1">
        <f t="shared" si="4"/>
        <v>40595</v>
      </c>
      <c r="L46">
        <v>19940103</v>
      </c>
      <c r="M46" s="1">
        <f t="shared" si="5"/>
        <v>34337</v>
      </c>
      <c r="N46" t="str">
        <f t="shared" si="6"/>
        <v>insert #t values('19940103')</v>
      </c>
    </row>
    <row r="47" spans="1:14" x14ac:dyDescent="0.2">
      <c r="A47" s="12">
        <v>40655</v>
      </c>
      <c r="B47">
        <v>70</v>
      </c>
      <c r="C47" t="s">
        <v>46</v>
      </c>
      <c r="D47">
        <f t="shared" si="10"/>
        <v>2011</v>
      </c>
      <c r="E47">
        <f t="shared" si="11"/>
        <v>4</v>
      </c>
      <c r="F47">
        <f t="shared" si="12"/>
        <v>22</v>
      </c>
      <c r="H47" s="6">
        <f t="shared" si="3"/>
        <v>0</v>
      </c>
      <c r="I47">
        <v>20110422</v>
      </c>
      <c r="J47" s="1">
        <f t="shared" si="4"/>
        <v>40655</v>
      </c>
      <c r="L47">
        <v>19940401</v>
      </c>
      <c r="M47" s="1">
        <f t="shared" si="5"/>
        <v>34425</v>
      </c>
      <c r="N47" t="str">
        <f t="shared" si="6"/>
        <v>insert #t values('19940401')</v>
      </c>
    </row>
    <row r="48" spans="1:14" x14ac:dyDescent="0.2">
      <c r="A48" s="12">
        <v>40686</v>
      </c>
      <c r="B48">
        <v>71</v>
      </c>
      <c r="C48" t="s">
        <v>46</v>
      </c>
      <c r="D48">
        <f t="shared" si="10"/>
        <v>2011</v>
      </c>
      <c r="E48">
        <f t="shared" si="11"/>
        <v>5</v>
      </c>
      <c r="F48">
        <f t="shared" si="12"/>
        <v>23</v>
      </c>
      <c r="H48" s="6">
        <f t="shared" si="3"/>
        <v>0</v>
      </c>
      <c r="I48">
        <v>20110523</v>
      </c>
      <c r="J48" s="1">
        <f t="shared" si="4"/>
        <v>40686</v>
      </c>
      <c r="L48">
        <v>19940523</v>
      </c>
      <c r="M48" s="1">
        <f t="shared" si="5"/>
        <v>34477</v>
      </c>
      <c r="N48" t="str">
        <f t="shared" si="6"/>
        <v>insert #t values('19940523')</v>
      </c>
    </row>
    <row r="49" spans="1:14" x14ac:dyDescent="0.2">
      <c r="A49" s="12">
        <v>40725</v>
      </c>
      <c r="B49">
        <v>72</v>
      </c>
      <c r="C49" t="s">
        <v>46</v>
      </c>
      <c r="D49">
        <f t="shared" si="10"/>
        <v>2011</v>
      </c>
      <c r="E49">
        <f t="shared" si="11"/>
        <v>7</v>
      </c>
      <c r="F49">
        <f t="shared" si="12"/>
        <v>1</v>
      </c>
      <c r="H49" s="6">
        <f t="shared" si="3"/>
        <v>0</v>
      </c>
      <c r="I49">
        <v>20110701</v>
      </c>
      <c r="J49" s="1">
        <f t="shared" si="4"/>
        <v>40725</v>
      </c>
      <c r="L49">
        <v>19940701</v>
      </c>
      <c r="M49" s="1">
        <f t="shared" si="5"/>
        <v>34516</v>
      </c>
      <c r="N49" t="str">
        <f t="shared" si="6"/>
        <v>insert #t values('19940701')</v>
      </c>
    </row>
    <row r="50" spans="1:14" x14ac:dyDescent="0.2">
      <c r="A50" s="12">
        <v>40756</v>
      </c>
      <c r="B50">
        <v>178</v>
      </c>
      <c r="C50" t="s">
        <v>46</v>
      </c>
      <c r="D50">
        <f t="shared" si="10"/>
        <v>2011</v>
      </c>
      <c r="E50">
        <f t="shared" si="11"/>
        <v>8</v>
      </c>
      <c r="F50">
        <f t="shared" si="12"/>
        <v>1</v>
      </c>
      <c r="H50" s="6">
        <f t="shared" si="3"/>
        <v>0</v>
      </c>
      <c r="I50">
        <v>20110801</v>
      </c>
      <c r="J50" s="1">
        <f t="shared" si="4"/>
        <v>40756</v>
      </c>
      <c r="L50">
        <v>19940801</v>
      </c>
      <c r="M50" s="1">
        <f t="shared" si="5"/>
        <v>34547</v>
      </c>
      <c r="N50" t="str">
        <f t="shared" si="6"/>
        <v>insert #t values('19940801')</v>
      </c>
    </row>
    <row r="51" spans="1:14" x14ac:dyDescent="0.2">
      <c r="A51" s="12">
        <v>40791</v>
      </c>
      <c r="B51">
        <v>74</v>
      </c>
      <c r="C51" t="s">
        <v>46</v>
      </c>
      <c r="D51">
        <f t="shared" si="10"/>
        <v>2011</v>
      </c>
      <c r="E51">
        <f t="shared" si="11"/>
        <v>9</v>
      </c>
      <c r="F51">
        <f t="shared" si="12"/>
        <v>5</v>
      </c>
      <c r="H51" s="6">
        <f t="shared" si="3"/>
        <v>0</v>
      </c>
      <c r="I51">
        <v>20110905</v>
      </c>
      <c r="J51" s="1">
        <f t="shared" si="4"/>
        <v>40791</v>
      </c>
      <c r="L51">
        <v>19940905</v>
      </c>
      <c r="M51" s="1">
        <f t="shared" si="5"/>
        <v>34582</v>
      </c>
      <c r="N51" t="str">
        <f t="shared" si="6"/>
        <v>insert #t values('19940905')</v>
      </c>
    </row>
    <row r="52" spans="1:14" x14ac:dyDescent="0.2">
      <c r="A52" s="12">
        <v>40826</v>
      </c>
      <c r="B52">
        <v>75</v>
      </c>
      <c r="C52" t="s">
        <v>46</v>
      </c>
      <c r="D52">
        <f t="shared" si="10"/>
        <v>2011</v>
      </c>
      <c r="E52">
        <f t="shared" si="11"/>
        <v>10</v>
      </c>
      <c r="F52">
        <f t="shared" si="12"/>
        <v>10</v>
      </c>
      <c r="H52" s="6">
        <f t="shared" si="3"/>
        <v>0</v>
      </c>
      <c r="I52">
        <v>20111010</v>
      </c>
      <c r="J52" s="1">
        <f t="shared" si="4"/>
        <v>40826</v>
      </c>
      <c r="L52">
        <v>19941010</v>
      </c>
      <c r="M52" s="1">
        <f t="shared" si="5"/>
        <v>34617</v>
      </c>
      <c r="N52" t="str">
        <f t="shared" si="6"/>
        <v>insert #t values('19941010')</v>
      </c>
    </row>
    <row r="53" spans="1:14" x14ac:dyDescent="0.2">
      <c r="A53" s="12">
        <v>40858</v>
      </c>
      <c r="B53">
        <v>76</v>
      </c>
      <c r="C53" t="s">
        <v>46</v>
      </c>
      <c r="D53">
        <f t="shared" si="10"/>
        <v>2011</v>
      </c>
      <c r="E53">
        <f t="shared" si="11"/>
        <v>11</v>
      </c>
      <c r="F53">
        <f t="shared" si="12"/>
        <v>11</v>
      </c>
      <c r="H53" s="6">
        <f t="shared" si="3"/>
        <v>0</v>
      </c>
      <c r="I53">
        <v>20111111</v>
      </c>
      <c r="J53" s="1">
        <f t="shared" si="4"/>
        <v>40858</v>
      </c>
      <c r="L53">
        <v>19941111</v>
      </c>
      <c r="M53" s="1">
        <f t="shared" si="5"/>
        <v>34649</v>
      </c>
      <c r="N53" t="str">
        <f t="shared" si="6"/>
        <v>insert #t values('19941111')</v>
      </c>
    </row>
    <row r="54" spans="1:14" x14ac:dyDescent="0.2">
      <c r="A54" s="12">
        <v>40903</v>
      </c>
      <c r="B54">
        <v>78</v>
      </c>
      <c r="C54" t="s">
        <v>46</v>
      </c>
      <c r="D54">
        <f t="shared" si="10"/>
        <v>2011</v>
      </c>
      <c r="E54">
        <f t="shared" si="11"/>
        <v>12</v>
      </c>
      <c r="F54">
        <f t="shared" si="12"/>
        <v>26</v>
      </c>
      <c r="H54" s="6">
        <f t="shared" si="3"/>
        <v>0</v>
      </c>
      <c r="I54">
        <v>20111226</v>
      </c>
      <c r="J54" s="1">
        <f t="shared" si="4"/>
        <v>40903</v>
      </c>
      <c r="L54">
        <v>19941226</v>
      </c>
      <c r="M54" s="1">
        <f t="shared" si="5"/>
        <v>34694</v>
      </c>
      <c r="N54" t="str">
        <f t="shared" si="6"/>
        <v>insert #t values('19941226')</v>
      </c>
    </row>
    <row r="55" spans="1:14" x14ac:dyDescent="0.2">
      <c r="A55" s="12">
        <v>40904</v>
      </c>
      <c r="B55">
        <v>77</v>
      </c>
      <c r="C55" t="s">
        <v>46</v>
      </c>
      <c r="D55">
        <f t="shared" si="10"/>
        <v>2011</v>
      </c>
      <c r="E55">
        <f t="shared" si="11"/>
        <v>12</v>
      </c>
      <c r="F55">
        <f t="shared" si="12"/>
        <v>27</v>
      </c>
      <c r="H55" s="6">
        <f t="shared" si="3"/>
        <v>-1</v>
      </c>
      <c r="I55">
        <v>20111226</v>
      </c>
      <c r="J55" s="1">
        <f t="shared" si="4"/>
        <v>40903</v>
      </c>
      <c r="L55">
        <v>19941226</v>
      </c>
      <c r="M55" s="1">
        <f t="shared" si="5"/>
        <v>34694</v>
      </c>
      <c r="N55" t="str">
        <f t="shared" si="6"/>
        <v>insert #t values('19941226')</v>
      </c>
    </row>
    <row r="56" spans="1:14" x14ac:dyDescent="0.2">
      <c r="A56" s="12">
        <v>40910</v>
      </c>
      <c r="B56">
        <v>69</v>
      </c>
      <c r="C56" t="s">
        <v>46</v>
      </c>
      <c r="D56">
        <f t="shared" si="10"/>
        <v>2012</v>
      </c>
      <c r="E56">
        <f t="shared" si="11"/>
        <v>1</v>
      </c>
      <c r="F56">
        <f t="shared" si="12"/>
        <v>2</v>
      </c>
      <c r="H56" s="6">
        <f t="shared" si="3"/>
        <v>0</v>
      </c>
      <c r="I56">
        <v>20120102</v>
      </c>
      <c r="J56" s="1">
        <f t="shared" si="4"/>
        <v>40910</v>
      </c>
      <c r="L56">
        <v>19941226</v>
      </c>
      <c r="M56" s="1">
        <f t="shared" si="5"/>
        <v>34694</v>
      </c>
      <c r="N56" t="str">
        <f t="shared" si="6"/>
        <v>insert #t values('19941226')</v>
      </c>
    </row>
    <row r="57" spans="1:14" x14ac:dyDescent="0.2">
      <c r="A57" s="12">
        <v>40959</v>
      </c>
      <c r="C57" t="s">
        <v>46</v>
      </c>
      <c r="D57">
        <f t="shared" si="10"/>
        <v>2012</v>
      </c>
      <c r="E57">
        <f t="shared" si="11"/>
        <v>2</v>
      </c>
      <c r="F57">
        <f t="shared" si="12"/>
        <v>20</v>
      </c>
      <c r="H57" s="6">
        <f t="shared" si="3"/>
        <v>0</v>
      </c>
      <c r="I57">
        <v>20120220</v>
      </c>
      <c r="J57" s="1">
        <f t="shared" si="4"/>
        <v>40959</v>
      </c>
      <c r="L57">
        <v>19950102</v>
      </c>
      <c r="M57" s="1">
        <f t="shared" si="5"/>
        <v>34701</v>
      </c>
      <c r="N57" t="str">
        <f t="shared" si="6"/>
        <v>insert #t values('19950102')</v>
      </c>
    </row>
    <row r="58" spans="1:14" x14ac:dyDescent="0.2">
      <c r="A58" s="12">
        <v>41005</v>
      </c>
      <c r="B58">
        <v>70</v>
      </c>
      <c r="C58" t="s">
        <v>46</v>
      </c>
      <c r="D58">
        <f t="shared" si="10"/>
        <v>2012</v>
      </c>
      <c r="E58">
        <f t="shared" si="11"/>
        <v>4</v>
      </c>
      <c r="F58">
        <f t="shared" si="12"/>
        <v>6</v>
      </c>
      <c r="H58" s="6">
        <f t="shared" si="3"/>
        <v>0</v>
      </c>
      <c r="I58">
        <v>20120406</v>
      </c>
      <c r="J58" s="1">
        <f t="shared" si="4"/>
        <v>41005</v>
      </c>
      <c r="L58">
        <v>19950414</v>
      </c>
      <c r="M58" s="1">
        <f t="shared" si="5"/>
        <v>34803</v>
      </c>
      <c r="N58" t="str">
        <f t="shared" si="6"/>
        <v>insert #t values('19950414')</v>
      </c>
    </row>
    <row r="59" spans="1:14" x14ac:dyDescent="0.2">
      <c r="A59" s="12">
        <v>41050</v>
      </c>
      <c r="B59">
        <v>71</v>
      </c>
      <c r="C59" t="s">
        <v>46</v>
      </c>
      <c r="D59">
        <f t="shared" si="10"/>
        <v>2012</v>
      </c>
      <c r="E59">
        <f t="shared" si="11"/>
        <v>5</v>
      </c>
      <c r="F59">
        <f t="shared" si="12"/>
        <v>21</v>
      </c>
      <c r="H59" s="6">
        <f t="shared" si="3"/>
        <v>0</v>
      </c>
      <c r="I59">
        <v>20120521</v>
      </c>
      <c r="J59" s="1">
        <f t="shared" si="4"/>
        <v>41050</v>
      </c>
      <c r="L59">
        <v>19950522</v>
      </c>
      <c r="M59" s="1">
        <f t="shared" si="5"/>
        <v>34841</v>
      </c>
      <c r="N59" t="str">
        <f t="shared" si="6"/>
        <v>insert #t values('19950522')</v>
      </c>
    </row>
    <row r="60" spans="1:14" x14ac:dyDescent="0.2">
      <c r="A60" s="12">
        <v>41092</v>
      </c>
      <c r="B60">
        <v>72</v>
      </c>
      <c r="C60" t="s">
        <v>46</v>
      </c>
      <c r="D60">
        <f t="shared" si="10"/>
        <v>2012</v>
      </c>
      <c r="E60">
        <f t="shared" si="11"/>
        <v>7</v>
      </c>
      <c r="F60">
        <f t="shared" si="12"/>
        <v>2</v>
      </c>
      <c r="H60" s="6">
        <f t="shared" si="3"/>
        <v>0</v>
      </c>
      <c r="I60">
        <v>20120702</v>
      </c>
      <c r="J60" s="1">
        <f t="shared" si="4"/>
        <v>41092</v>
      </c>
      <c r="L60">
        <v>19950703</v>
      </c>
      <c r="M60" s="1">
        <f t="shared" si="5"/>
        <v>34883</v>
      </c>
      <c r="N60" t="str">
        <f t="shared" si="6"/>
        <v>insert #t values('19950703')</v>
      </c>
    </row>
    <row r="61" spans="1:14" x14ac:dyDescent="0.2">
      <c r="A61" s="12">
        <v>41127</v>
      </c>
      <c r="B61">
        <v>178</v>
      </c>
      <c r="C61" t="s">
        <v>46</v>
      </c>
      <c r="D61">
        <f t="shared" si="10"/>
        <v>2012</v>
      </c>
      <c r="E61">
        <f t="shared" si="11"/>
        <v>8</v>
      </c>
      <c r="F61">
        <f t="shared" si="12"/>
        <v>6</v>
      </c>
      <c r="H61" s="6">
        <f t="shared" si="3"/>
        <v>0</v>
      </c>
      <c r="I61">
        <v>20120806</v>
      </c>
      <c r="J61" s="1">
        <f t="shared" si="4"/>
        <v>41127</v>
      </c>
      <c r="L61">
        <v>19950807</v>
      </c>
      <c r="M61" s="1">
        <f t="shared" si="5"/>
        <v>34918</v>
      </c>
      <c r="N61" t="str">
        <f t="shared" si="6"/>
        <v>insert #t values('19950807')</v>
      </c>
    </row>
    <row r="62" spans="1:14" x14ac:dyDescent="0.2">
      <c r="A62" s="12">
        <v>41155</v>
      </c>
      <c r="B62">
        <v>74</v>
      </c>
      <c r="C62" t="s">
        <v>46</v>
      </c>
      <c r="D62">
        <f t="shared" si="10"/>
        <v>2012</v>
      </c>
      <c r="E62">
        <f t="shared" si="11"/>
        <v>9</v>
      </c>
      <c r="F62">
        <f t="shared" si="12"/>
        <v>3</v>
      </c>
      <c r="H62" s="6">
        <f t="shared" si="3"/>
        <v>0</v>
      </c>
      <c r="I62">
        <v>20120903</v>
      </c>
      <c r="J62" s="1">
        <f t="shared" si="4"/>
        <v>41155</v>
      </c>
      <c r="L62">
        <v>19950904</v>
      </c>
      <c r="M62" s="1">
        <f t="shared" si="5"/>
        <v>34946</v>
      </c>
      <c r="N62" t="str">
        <f t="shared" si="6"/>
        <v>insert #t values('19950904')</v>
      </c>
    </row>
    <row r="63" spans="1:14" x14ac:dyDescent="0.2">
      <c r="A63" s="12">
        <v>41190</v>
      </c>
      <c r="B63">
        <v>75</v>
      </c>
      <c r="C63" t="s">
        <v>46</v>
      </c>
      <c r="D63">
        <f t="shared" si="10"/>
        <v>2012</v>
      </c>
      <c r="E63">
        <f t="shared" si="11"/>
        <v>10</v>
      </c>
      <c r="F63">
        <f t="shared" si="12"/>
        <v>8</v>
      </c>
      <c r="H63" s="6">
        <f t="shared" si="3"/>
        <v>0</v>
      </c>
      <c r="I63">
        <v>20121008</v>
      </c>
      <c r="J63" s="1">
        <f t="shared" si="4"/>
        <v>41190</v>
      </c>
      <c r="L63">
        <v>19951009</v>
      </c>
      <c r="M63" s="1">
        <f t="shared" si="5"/>
        <v>34981</v>
      </c>
      <c r="N63" t="str">
        <f t="shared" si="6"/>
        <v>insert #t values('19951009')</v>
      </c>
    </row>
    <row r="64" spans="1:14" x14ac:dyDescent="0.2">
      <c r="A64" s="12">
        <v>41225</v>
      </c>
      <c r="B64">
        <v>76</v>
      </c>
      <c r="C64" t="s">
        <v>46</v>
      </c>
      <c r="D64">
        <f t="shared" si="10"/>
        <v>2012</v>
      </c>
      <c r="E64">
        <f t="shared" si="11"/>
        <v>11</v>
      </c>
      <c r="F64">
        <f t="shared" si="12"/>
        <v>12</v>
      </c>
      <c r="H64" s="6">
        <f t="shared" si="3"/>
        <v>0</v>
      </c>
      <c r="I64">
        <v>20121112</v>
      </c>
      <c r="J64" s="1">
        <f t="shared" si="4"/>
        <v>41225</v>
      </c>
      <c r="L64">
        <v>19951113</v>
      </c>
      <c r="M64" s="1">
        <f t="shared" si="5"/>
        <v>35016</v>
      </c>
      <c r="N64" t="str">
        <f t="shared" si="6"/>
        <v>insert #t values('19951113')</v>
      </c>
    </row>
    <row r="65" spans="1:14" x14ac:dyDescent="0.2">
      <c r="A65" s="12">
        <v>41268</v>
      </c>
      <c r="B65">
        <v>77</v>
      </c>
      <c r="C65" t="s">
        <v>46</v>
      </c>
      <c r="D65">
        <f t="shared" si="10"/>
        <v>2012</v>
      </c>
      <c r="E65">
        <f t="shared" si="11"/>
        <v>12</v>
      </c>
      <c r="F65">
        <f t="shared" si="12"/>
        <v>25</v>
      </c>
      <c r="H65" s="6">
        <f t="shared" si="3"/>
        <v>0</v>
      </c>
      <c r="I65">
        <v>20121225</v>
      </c>
      <c r="J65" s="1">
        <f t="shared" si="4"/>
        <v>41268</v>
      </c>
      <c r="L65">
        <v>19951225</v>
      </c>
      <c r="M65" s="1">
        <f t="shared" si="5"/>
        <v>35058</v>
      </c>
      <c r="N65" t="str">
        <f t="shared" si="6"/>
        <v>insert #t values('19951225')</v>
      </c>
    </row>
    <row r="66" spans="1:14" x14ac:dyDescent="0.2">
      <c r="A66" s="12">
        <v>41269</v>
      </c>
      <c r="B66">
        <v>78</v>
      </c>
      <c r="C66" t="s">
        <v>46</v>
      </c>
      <c r="D66">
        <f t="shared" si="10"/>
        <v>2012</v>
      </c>
      <c r="E66">
        <f t="shared" si="11"/>
        <v>12</v>
      </c>
      <c r="F66">
        <f t="shared" si="12"/>
        <v>26</v>
      </c>
      <c r="H66" s="6">
        <f t="shared" ref="H66:H129" si="13">J66-A66</f>
        <v>0</v>
      </c>
      <c r="I66">
        <v>20121226</v>
      </c>
      <c r="J66" s="1">
        <f t="shared" ref="J66:J129" si="14">DATE(LEFT(I66,4),MID(I66,5,2),RIGHT(I66,2))</f>
        <v>41269</v>
      </c>
      <c r="L66">
        <v>19951226</v>
      </c>
      <c r="M66" s="1">
        <f t="shared" ref="M66:M129" si="15">DATE(LEFT(L66,4),MID(L66,5,2),RIGHT(L66,2))</f>
        <v>35059</v>
      </c>
      <c r="N66" t="str">
        <f t="shared" ref="N66:N129" si="16">"insert #t values('"&amp;L66 &amp; "')"</f>
        <v>insert #t values('19951226')</v>
      </c>
    </row>
    <row r="67" spans="1:14" x14ac:dyDescent="0.2">
      <c r="A67" s="12">
        <v>41275</v>
      </c>
      <c r="B67">
        <v>69</v>
      </c>
      <c r="C67" t="s">
        <v>46</v>
      </c>
      <c r="D67">
        <f t="shared" si="10"/>
        <v>2013</v>
      </c>
      <c r="E67">
        <f t="shared" si="11"/>
        <v>1</v>
      </c>
      <c r="F67">
        <f t="shared" si="12"/>
        <v>1</v>
      </c>
      <c r="H67" s="6">
        <f t="shared" si="13"/>
        <v>0</v>
      </c>
      <c r="I67">
        <v>20130101</v>
      </c>
      <c r="J67" s="1">
        <f t="shared" si="14"/>
        <v>41275</v>
      </c>
      <c r="L67">
        <v>19951226</v>
      </c>
      <c r="M67" s="1">
        <f t="shared" si="15"/>
        <v>35059</v>
      </c>
      <c r="N67" t="str">
        <f t="shared" si="16"/>
        <v>insert #t values('19951226')</v>
      </c>
    </row>
    <row r="68" spans="1:14" x14ac:dyDescent="0.2">
      <c r="A68" s="12">
        <v>41323</v>
      </c>
      <c r="C68" t="s">
        <v>46</v>
      </c>
      <c r="D68">
        <f t="shared" si="10"/>
        <v>2013</v>
      </c>
      <c r="E68">
        <f t="shared" si="11"/>
        <v>2</v>
      </c>
      <c r="F68">
        <f t="shared" si="12"/>
        <v>18</v>
      </c>
      <c r="H68" s="6">
        <f t="shared" si="13"/>
        <v>0</v>
      </c>
      <c r="I68">
        <v>20130218</v>
      </c>
      <c r="J68" s="1">
        <f t="shared" si="14"/>
        <v>41323</v>
      </c>
      <c r="L68">
        <v>19960101</v>
      </c>
      <c r="M68" s="1">
        <f t="shared" si="15"/>
        <v>35065</v>
      </c>
      <c r="N68" t="str">
        <f t="shared" si="16"/>
        <v>insert #t values('19960101')</v>
      </c>
    </row>
    <row r="69" spans="1:14" x14ac:dyDescent="0.2">
      <c r="A69" s="12">
        <v>41362</v>
      </c>
      <c r="B69">
        <v>70</v>
      </c>
      <c r="C69" t="s">
        <v>46</v>
      </c>
      <c r="D69">
        <f t="shared" si="10"/>
        <v>2013</v>
      </c>
      <c r="E69">
        <f t="shared" si="11"/>
        <v>3</v>
      </c>
      <c r="F69">
        <f t="shared" si="12"/>
        <v>29</v>
      </c>
      <c r="H69" s="6">
        <f t="shared" si="13"/>
        <v>0</v>
      </c>
      <c r="I69">
        <v>20130329</v>
      </c>
      <c r="J69" s="1">
        <f t="shared" si="14"/>
        <v>41362</v>
      </c>
      <c r="L69">
        <v>19960405</v>
      </c>
      <c r="M69" s="1">
        <f t="shared" si="15"/>
        <v>35160</v>
      </c>
      <c r="N69" t="str">
        <f t="shared" si="16"/>
        <v>insert #t values('19960405')</v>
      </c>
    </row>
    <row r="70" spans="1:14" x14ac:dyDescent="0.2">
      <c r="A70" s="12">
        <v>41414</v>
      </c>
      <c r="B70">
        <v>71</v>
      </c>
      <c r="C70" t="s">
        <v>46</v>
      </c>
      <c r="D70">
        <f t="shared" si="10"/>
        <v>2013</v>
      </c>
      <c r="E70">
        <f t="shared" si="11"/>
        <v>5</v>
      </c>
      <c r="F70">
        <f t="shared" si="12"/>
        <v>20</v>
      </c>
      <c r="H70" s="6">
        <f t="shared" si="13"/>
        <v>0</v>
      </c>
      <c r="I70">
        <v>20130520</v>
      </c>
      <c r="J70" s="1">
        <f t="shared" si="14"/>
        <v>41414</v>
      </c>
      <c r="L70">
        <v>19960520</v>
      </c>
      <c r="M70" s="1">
        <f t="shared" si="15"/>
        <v>35205</v>
      </c>
      <c r="N70" t="str">
        <f t="shared" si="16"/>
        <v>insert #t values('19960520')</v>
      </c>
    </row>
    <row r="71" spans="1:14" x14ac:dyDescent="0.2">
      <c r="A71" s="12">
        <v>41456</v>
      </c>
      <c r="B71">
        <v>72</v>
      </c>
      <c r="C71" t="s">
        <v>46</v>
      </c>
      <c r="D71">
        <f t="shared" si="10"/>
        <v>2013</v>
      </c>
      <c r="E71">
        <f t="shared" si="11"/>
        <v>7</v>
      </c>
      <c r="F71">
        <f t="shared" si="12"/>
        <v>1</v>
      </c>
      <c r="H71" s="6">
        <f t="shared" si="13"/>
        <v>0</v>
      </c>
      <c r="I71">
        <v>20130701</v>
      </c>
      <c r="J71" s="1">
        <f t="shared" si="14"/>
        <v>41456</v>
      </c>
      <c r="L71">
        <v>19960701</v>
      </c>
      <c r="M71" s="1">
        <f t="shared" si="15"/>
        <v>35247</v>
      </c>
      <c r="N71" t="str">
        <f t="shared" si="16"/>
        <v>insert #t values('19960701')</v>
      </c>
    </row>
    <row r="72" spans="1:14" x14ac:dyDescent="0.2">
      <c r="A72" s="12">
        <v>41491</v>
      </c>
      <c r="B72">
        <v>178</v>
      </c>
      <c r="C72" t="s">
        <v>46</v>
      </c>
      <c r="D72">
        <f t="shared" si="10"/>
        <v>2013</v>
      </c>
      <c r="E72">
        <f t="shared" si="11"/>
        <v>8</v>
      </c>
      <c r="F72">
        <f t="shared" si="12"/>
        <v>5</v>
      </c>
      <c r="H72" s="6">
        <f t="shared" si="13"/>
        <v>0</v>
      </c>
      <c r="I72">
        <v>20130805</v>
      </c>
      <c r="J72" s="1">
        <f t="shared" si="14"/>
        <v>41491</v>
      </c>
      <c r="L72">
        <v>19960805</v>
      </c>
      <c r="M72" s="1">
        <f t="shared" si="15"/>
        <v>35282</v>
      </c>
      <c r="N72" t="str">
        <f t="shared" si="16"/>
        <v>insert #t values('19960805')</v>
      </c>
    </row>
    <row r="73" spans="1:14" x14ac:dyDescent="0.2">
      <c r="A73" s="12">
        <v>41519</v>
      </c>
      <c r="B73">
        <v>74</v>
      </c>
      <c r="C73" t="s">
        <v>46</v>
      </c>
      <c r="D73">
        <f t="shared" si="10"/>
        <v>2013</v>
      </c>
      <c r="E73">
        <f t="shared" si="11"/>
        <v>9</v>
      </c>
      <c r="F73">
        <f t="shared" si="12"/>
        <v>2</v>
      </c>
      <c r="H73" s="6">
        <f t="shared" si="13"/>
        <v>0</v>
      </c>
      <c r="I73">
        <v>20130902</v>
      </c>
      <c r="J73" s="1">
        <f t="shared" si="14"/>
        <v>41519</v>
      </c>
      <c r="L73">
        <v>19960902</v>
      </c>
      <c r="M73" s="1">
        <f t="shared" si="15"/>
        <v>35310</v>
      </c>
      <c r="N73" t="str">
        <f t="shared" si="16"/>
        <v>insert #t values('19960902')</v>
      </c>
    </row>
    <row r="74" spans="1:14" x14ac:dyDescent="0.2">
      <c r="A74" s="12">
        <v>41561</v>
      </c>
      <c r="B74">
        <v>75</v>
      </c>
      <c r="C74" t="s">
        <v>46</v>
      </c>
      <c r="D74">
        <f t="shared" si="10"/>
        <v>2013</v>
      </c>
      <c r="E74">
        <f t="shared" si="11"/>
        <v>10</v>
      </c>
      <c r="F74">
        <f t="shared" si="12"/>
        <v>14</v>
      </c>
      <c r="H74" s="6">
        <f t="shared" si="13"/>
        <v>0</v>
      </c>
      <c r="I74">
        <v>20131014</v>
      </c>
      <c r="J74" s="1">
        <f t="shared" si="14"/>
        <v>41561</v>
      </c>
      <c r="L74">
        <v>19961014</v>
      </c>
      <c r="M74" s="1">
        <f t="shared" si="15"/>
        <v>35352</v>
      </c>
      <c r="N74" t="str">
        <f t="shared" si="16"/>
        <v>insert #t values('19961014')</v>
      </c>
    </row>
    <row r="75" spans="1:14" x14ac:dyDescent="0.2">
      <c r="A75" s="12">
        <v>41589</v>
      </c>
      <c r="B75">
        <v>76</v>
      </c>
      <c r="C75" t="s">
        <v>46</v>
      </c>
      <c r="D75">
        <f t="shared" si="10"/>
        <v>2013</v>
      </c>
      <c r="E75">
        <f t="shared" si="11"/>
        <v>11</v>
      </c>
      <c r="F75">
        <f t="shared" si="12"/>
        <v>11</v>
      </c>
      <c r="H75" s="6">
        <f t="shared" si="13"/>
        <v>0</v>
      </c>
      <c r="I75">
        <v>20131111</v>
      </c>
      <c r="J75" s="1">
        <f t="shared" si="14"/>
        <v>41589</v>
      </c>
      <c r="L75">
        <v>19961111</v>
      </c>
      <c r="M75" s="1">
        <f t="shared" si="15"/>
        <v>35380</v>
      </c>
      <c r="N75" t="str">
        <f t="shared" si="16"/>
        <v>insert #t values('19961111')</v>
      </c>
    </row>
    <row r="76" spans="1:14" x14ac:dyDescent="0.2">
      <c r="A76" s="12">
        <v>41633</v>
      </c>
      <c r="B76">
        <v>77</v>
      </c>
      <c r="C76" t="s">
        <v>46</v>
      </c>
      <c r="D76">
        <f t="shared" si="10"/>
        <v>2013</v>
      </c>
      <c r="E76">
        <f t="shared" si="11"/>
        <v>12</v>
      </c>
      <c r="F76">
        <f t="shared" si="12"/>
        <v>25</v>
      </c>
      <c r="H76" s="6">
        <f t="shared" si="13"/>
        <v>0</v>
      </c>
      <c r="I76">
        <v>20131225</v>
      </c>
      <c r="J76" s="1">
        <f t="shared" si="14"/>
        <v>41633</v>
      </c>
      <c r="L76">
        <v>19961225</v>
      </c>
      <c r="M76" s="1">
        <f t="shared" si="15"/>
        <v>35424</v>
      </c>
      <c r="N76" t="str">
        <f t="shared" si="16"/>
        <v>insert #t values('19961225')</v>
      </c>
    </row>
    <row r="77" spans="1:14" x14ac:dyDescent="0.2">
      <c r="A77" s="12">
        <v>41634</v>
      </c>
      <c r="B77">
        <v>78</v>
      </c>
      <c r="C77" t="s">
        <v>46</v>
      </c>
      <c r="D77">
        <f t="shared" si="10"/>
        <v>2013</v>
      </c>
      <c r="E77">
        <f t="shared" si="11"/>
        <v>12</v>
      </c>
      <c r="F77">
        <f t="shared" si="12"/>
        <v>26</v>
      </c>
      <c r="H77" s="6">
        <f t="shared" si="13"/>
        <v>0</v>
      </c>
      <c r="I77">
        <v>20131226</v>
      </c>
      <c r="J77" s="1">
        <f t="shared" si="14"/>
        <v>41634</v>
      </c>
      <c r="L77">
        <v>19961226</v>
      </c>
      <c r="M77" s="1">
        <f t="shared" si="15"/>
        <v>35425</v>
      </c>
      <c r="N77" t="str">
        <f t="shared" si="16"/>
        <v>insert #t values('19961226')</v>
      </c>
    </row>
    <row r="78" spans="1:14" x14ac:dyDescent="0.2">
      <c r="A78" s="12">
        <v>41640</v>
      </c>
      <c r="B78">
        <v>69</v>
      </c>
      <c r="C78" t="s">
        <v>46</v>
      </c>
      <c r="D78">
        <f t="shared" si="10"/>
        <v>2014</v>
      </c>
      <c r="E78">
        <f t="shared" si="11"/>
        <v>1</v>
      </c>
      <c r="F78">
        <f t="shared" si="12"/>
        <v>1</v>
      </c>
      <c r="H78" s="6">
        <f t="shared" si="13"/>
        <v>0</v>
      </c>
      <c r="I78">
        <v>20140101</v>
      </c>
      <c r="J78" s="1">
        <f t="shared" si="14"/>
        <v>41640</v>
      </c>
      <c r="L78">
        <v>19961226</v>
      </c>
      <c r="M78" s="1">
        <f t="shared" si="15"/>
        <v>35425</v>
      </c>
      <c r="N78" t="str">
        <f t="shared" si="16"/>
        <v>insert #t values('19961226')</v>
      </c>
    </row>
    <row r="79" spans="1:14" x14ac:dyDescent="0.2">
      <c r="A79" s="12">
        <v>41687</v>
      </c>
      <c r="C79" t="s">
        <v>46</v>
      </c>
      <c r="D79">
        <f t="shared" si="10"/>
        <v>2014</v>
      </c>
      <c r="E79">
        <f t="shared" si="11"/>
        <v>2</v>
      </c>
      <c r="F79">
        <f t="shared" si="12"/>
        <v>17</v>
      </c>
      <c r="H79" s="6">
        <f t="shared" si="13"/>
        <v>0</v>
      </c>
      <c r="I79">
        <v>20140217</v>
      </c>
      <c r="J79" s="1">
        <f t="shared" si="14"/>
        <v>41687</v>
      </c>
      <c r="L79">
        <v>19970101</v>
      </c>
      <c r="M79" s="1">
        <f t="shared" si="15"/>
        <v>35431</v>
      </c>
      <c r="N79" t="str">
        <f t="shared" si="16"/>
        <v>insert #t values('19970101')</v>
      </c>
    </row>
    <row r="80" spans="1:14" x14ac:dyDescent="0.2">
      <c r="A80" s="12">
        <v>41747</v>
      </c>
      <c r="B80">
        <v>70</v>
      </c>
      <c r="C80" t="s">
        <v>46</v>
      </c>
      <c r="D80">
        <f t="shared" si="10"/>
        <v>2014</v>
      </c>
      <c r="E80">
        <f t="shared" si="11"/>
        <v>4</v>
      </c>
      <c r="F80">
        <f t="shared" si="12"/>
        <v>18</v>
      </c>
      <c r="H80" s="6">
        <f t="shared" si="13"/>
        <v>0</v>
      </c>
      <c r="I80">
        <v>20140418</v>
      </c>
      <c r="J80" s="1">
        <f t="shared" si="14"/>
        <v>41747</v>
      </c>
      <c r="L80">
        <v>19970328</v>
      </c>
      <c r="M80" s="1">
        <f t="shared" si="15"/>
        <v>35517</v>
      </c>
      <c r="N80" t="str">
        <f t="shared" si="16"/>
        <v>insert #t values('19970328')</v>
      </c>
    </row>
    <row r="81" spans="1:14" x14ac:dyDescent="0.2">
      <c r="A81" s="12">
        <v>41778</v>
      </c>
      <c r="B81">
        <v>71</v>
      </c>
      <c r="C81" t="s">
        <v>46</v>
      </c>
      <c r="D81">
        <f t="shared" si="10"/>
        <v>2014</v>
      </c>
      <c r="E81">
        <f t="shared" si="11"/>
        <v>5</v>
      </c>
      <c r="F81">
        <f t="shared" si="12"/>
        <v>19</v>
      </c>
      <c r="H81" s="6">
        <f t="shared" si="13"/>
        <v>0</v>
      </c>
      <c r="I81">
        <v>20140519</v>
      </c>
      <c r="J81" s="1">
        <f t="shared" si="14"/>
        <v>41778</v>
      </c>
      <c r="L81">
        <v>19970519</v>
      </c>
      <c r="M81" s="1">
        <f t="shared" si="15"/>
        <v>35569</v>
      </c>
      <c r="N81" t="str">
        <f t="shared" si="16"/>
        <v>insert #t values('19970519')</v>
      </c>
    </row>
    <row r="82" spans="1:14" x14ac:dyDescent="0.2">
      <c r="A82" s="12">
        <v>41821</v>
      </c>
      <c r="B82">
        <v>72</v>
      </c>
      <c r="C82" t="s">
        <v>46</v>
      </c>
      <c r="D82">
        <f t="shared" si="10"/>
        <v>2014</v>
      </c>
      <c r="E82">
        <f t="shared" si="11"/>
        <v>7</v>
      </c>
      <c r="F82">
        <f t="shared" si="12"/>
        <v>1</v>
      </c>
      <c r="H82" s="6">
        <f t="shared" si="13"/>
        <v>0</v>
      </c>
      <c r="I82">
        <v>20140701</v>
      </c>
      <c r="J82" s="1">
        <f t="shared" si="14"/>
        <v>41821</v>
      </c>
      <c r="L82">
        <v>19970701</v>
      </c>
      <c r="M82" s="1">
        <f t="shared" si="15"/>
        <v>35612</v>
      </c>
      <c r="N82" t="str">
        <f t="shared" si="16"/>
        <v>insert #t values('19970701')</v>
      </c>
    </row>
    <row r="83" spans="1:14" x14ac:dyDescent="0.2">
      <c r="A83" s="12">
        <v>41855</v>
      </c>
      <c r="B83">
        <v>178</v>
      </c>
      <c r="C83" t="s">
        <v>46</v>
      </c>
      <c r="D83">
        <f t="shared" si="10"/>
        <v>2014</v>
      </c>
      <c r="E83">
        <f t="shared" si="11"/>
        <v>8</v>
      </c>
      <c r="F83">
        <f t="shared" si="12"/>
        <v>4</v>
      </c>
      <c r="H83" s="6">
        <f t="shared" si="13"/>
        <v>0</v>
      </c>
      <c r="I83">
        <v>20140804</v>
      </c>
      <c r="J83" s="1">
        <f t="shared" si="14"/>
        <v>41855</v>
      </c>
      <c r="L83">
        <v>19970804</v>
      </c>
      <c r="M83" s="1">
        <f t="shared" si="15"/>
        <v>35646</v>
      </c>
      <c r="N83" t="str">
        <f t="shared" si="16"/>
        <v>insert #t values('19970804')</v>
      </c>
    </row>
    <row r="84" spans="1:14" x14ac:dyDescent="0.2">
      <c r="A84" s="12">
        <v>41883</v>
      </c>
      <c r="B84">
        <v>74</v>
      </c>
      <c r="C84" t="s">
        <v>46</v>
      </c>
      <c r="D84">
        <f t="shared" si="10"/>
        <v>2014</v>
      </c>
      <c r="E84">
        <f t="shared" si="11"/>
        <v>9</v>
      </c>
      <c r="F84">
        <f t="shared" si="12"/>
        <v>1</v>
      </c>
      <c r="H84" s="6">
        <f t="shared" si="13"/>
        <v>0</v>
      </c>
      <c r="I84">
        <v>20140901</v>
      </c>
      <c r="J84" s="1">
        <f t="shared" si="14"/>
        <v>41883</v>
      </c>
      <c r="L84">
        <v>19970901</v>
      </c>
      <c r="M84" s="1">
        <f t="shared" si="15"/>
        <v>35674</v>
      </c>
      <c r="N84" t="str">
        <f t="shared" si="16"/>
        <v>insert #t values('19970901')</v>
      </c>
    </row>
    <row r="85" spans="1:14" x14ac:dyDescent="0.2">
      <c r="A85" s="12">
        <v>41925</v>
      </c>
      <c r="B85">
        <v>75</v>
      </c>
      <c r="C85" t="s">
        <v>46</v>
      </c>
      <c r="D85">
        <f t="shared" si="10"/>
        <v>2014</v>
      </c>
      <c r="E85">
        <f t="shared" si="11"/>
        <v>10</v>
      </c>
      <c r="F85">
        <f t="shared" si="12"/>
        <v>13</v>
      </c>
      <c r="H85" s="6">
        <f t="shared" si="13"/>
        <v>0</v>
      </c>
      <c r="I85">
        <v>20141013</v>
      </c>
      <c r="J85" s="1">
        <f t="shared" si="14"/>
        <v>41925</v>
      </c>
      <c r="L85">
        <v>19971013</v>
      </c>
      <c r="M85" s="1">
        <f t="shared" si="15"/>
        <v>35716</v>
      </c>
      <c r="N85" t="str">
        <f t="shared" si="16"/>
        <v>insert #t values('19971013')</v>
      </c>
    </row>
    <row r="86" spans="1:14" x14ac:dyDescent="0.2">
      <c r="A86" s="12">
        <v>41954</v>
      </c>
      <c r="B86">
        <v>76</v>
      </c>
      <c r="C86" t="s">
        <v>46</v>
      </c>
      <c r="D86">
        <f t="shared" si="10"/>
        <v>2014</v>
      </c>
      <c r="E86">
        <f t="shared" si="11"/>
        <v>11</v>
      </c>
      <c r="F86">
        <f t="shared" si="12"/>
        <v>11</v>
      </c>
      <c r="H86" s="6">
        <f t="shared" si="13"/>
        <v>0</v>
      </c>
      <c r="I86">
        <v>20141111</v>
      </c>
      <c r="J86" s="1">
        <f t="shared" si="14"/>
        <v>41954</v>
      </c>
      <c r="L86">
        <v>19971111</v>
      </c>
      <c r="M86" s="1">
        <f t="shared" si="15"/>
        <v>35745</v>
      </c>
      <c r="N86" t="str">
        <f t="shared" si="16"/>
        <v>insert #t values('19971111')</v>
      </c>
    </row>
    <row r="87" spans="1:14" x14ac:dyDescent="0.2">
      <c r="A87" s="12">
        <v>41998</v>
      </c>
      <c r="B87">
        <v>77</v>
      </c>
      <c r="C87" t="s">
        <v>46</v>
      </c>
      <c r="D87">
        <f t="shared" si="10"/>
        <v>2014</v>
      </c>
      <c r="E87">
        <f t="shared" si="11"/>
        <v>12</v>
      </c>
      <c r="F87">
        <f t="shared" si="12"/>
        <v>25</v>
      </c>
      <c r="H87" s="6">
        <f t="shared" si="13"/>
        <v>0</v>
      </c>
      <c r="I87">
        <v>20141225</v>
      </c>
      <c r="J87" s="1">
        <f t="shared" si="14"/>
        <v>41998</v>
      </c>
      <c r="L87">
        <v>19971225</v>
      </c>
      <c r="M87" s="1">
        <f t="shared" si="15"/>
        <v>35789</v>
      </c>
      <c r="N87" t="str">
        <f t="shared" si="16"/>
        <v>insert #t values('19971225')</v>
      </c>
    </row>
    <row r="88" spans="1:14" x14ac:dyDescent="0.2">
      <c r="A88" s="12">
        <v>41999</v>
      </c>
      <c r="B88">
        <v>78</v>
      </c>
      <c r="C88" t="s">
        <v>46</v>
      </c>
      <c r="D88">
        <f t="shared" si="10"/>
        <v>2014</v>
      </c>
      <c r="E88">
        <f t="shared" si="11"/>
        <v>12</v>
      </c>
      <c r="F88">
        <f t="shared" si="12"/>
        <v>26</v>
      </c>
      <c r="H88" s="6">
        <f t="shared" si="13"/>
        <v>0</v>
      </c>
      <c r="I88">
        <v>20141226</v>
      </c>
      <c r="J88" s="1">
        <f t="shared" si="14"/>
        <v>41999</v>
      </c>
      <c r="L88">
        <v>19971226</v>
      </c>
      <c r="M88" s="1">
        <f t="shared" si="15"/>
        <v>35790</v>
      </c>
      <c r="N88" t="str">
        <f t="shared" si="16"/>
        <v>insert #t values('19971226')</v>
      </c>
    </row>
    <row r="89" spans="1:14" x14ac:dyDescent="0.2">
      <c r="A89" s="12">
        <v>42005</v>
      </c>
      <c r="B89">
        <v>69</v>
      </c>
      <c r="C89" t="s">
        <v>46</v>
      </c>
      <c r="D89">
        <f t="shared" si="10"/>
        <v>2015</v>
      </c>
      <c r="E89">
        <f t="shared" si="11"/>
        <v>1</v>
      </c>
      <c r="F89">
        <f t="shared" si="12"/>
        <v>1</v>
      </c>
      <c r="H89" s="6">
        <f t="shared" si="13"/>
        <v>0</v>
      </c>
      <c r="I89">
        <v>20150101</v>
      </c>
      <c r="J89" s="1">
        <f t="shared" si="14"/>
        <v>42005</v>
      </c>
      <c r="L89">
        <v>19971226</v>
      </c>
      <c r="M89" s="1">
        <f t="shared" si="15"/>
        <v>35790</v>
      </c>
      <c r="N89" t="str">
        <f t="shared" si="16"/>
        <v>insert #t values('19971226')</v>
      </c>
    </row>
    <row r="90" spans="1:14" x14ac:dyDescent="0.2">
      <c r="A90" s="12">
        <v>42058</v>
      </c>
      <c r="C90" t="s">
        <v>46</v>
      </c>
      <c r="D90">
        <f t="shared" si="10"/>
        <v>2015</v>
      </c>
      <c r="E90">
        <f t="shared" si="11"/>
        <v>2</v>
      </c>
      <c r="F90">
        <f t="shared" si="12"/>
        <v>23</v>
      </c>
      <c r="H90" s="6">
        <f t="shared" si="13"/>
        <v>-7</v>
      </c>
      <c r="I90">
        <v>20150216</v>
      </c>
      <c r="J90" s="1">
        <f t="shared" si="14"/>
        <v>42051</v>
      </c>
      <c r="L90">
        <v>19980101</v>
      </c>
      <c r="M90" s="1">
        <f t="shared" si="15"/>
        <v>35796</v>
      </c>
      <c r="N90" t="str">
        <f t="shared" si="16"/>
        <v>insert #t values('19980101')</v>
      </c>
    </row>
    <row r="91" spans="1:14" x14ac:dyDescent="0.2">
      <c r="A91" s="12">
        <v>42097</v>
      </c>
      <c r="B91">
        <v>70</v>
      </c>
      <c r="C91" t="s">
        <v>46</v>
      </c>
      <c r="D91">
        <f t="shared" si="10"/>
        <v>2015</v>
      </c>
      <c r="E91">
        <f t="shared" si="11"/>
        <v>4</v>
      </c>
      <c r="F91">
        <f t="shared" si="12"/>
        <v>3</v>
      </c>
      <c r="H91" s="6">
        <f t="shared" si="13"/>
        <v>0</v>
      </c>
      <c r="I91">
        <v>20150403</v>
      </c>
      <c r="J91" s="1">
        <f t="shared" si="14"/>
        <v>42097</v>
      </c>
      <c r="L91">
        <v>19980410</v>
      </c>
      <c r="M91" s="1">
        <f t="shared" si="15"/>
        <v>35895</v>
      </c>
      <c r="N91" t="str">
        <f t="shared" si="16"/>
        <v>insert #t values('19980410')</v>
      </c>
    </row>
    <row r="92" spans="1:14" x14ac:dyDescent="0.2">
      <c r="A92" s="12">
        <v>42142</v>
      </c>
      <c r="B92">
        <v>71</v>
      </c>
      <c r="C92" t="s">
        <v>46</v>
      </c>
      <c r="D92">
        <f t="shared" si="10"/>
        <v>2015</v>
      </c>
      <c r="E92">
        <f t="shared" si="11"/>
        <v>5</v>
      </c>
      <c r="F92">
        <f t="shared" si="12"/>
        <v>18</v>
      </c>
      <c r="H92" s="6">
        <f t="shared" si="13"/>
        <v>0</v>
      </c>
      <c r="I92">
        <v>20150518</v>
      </c>
      <c r="J92" s="1">
        <f t="shared" si="14"/>
        <v>42142</v>
      </c>
      <c r="L92">
        <v>19980518</v>
      </c>
      <c r="M92" s="1">
        <f t="shared" si="15"/>
        <v>35933</v>
      </c>
      <c r="N92" t="str">
        <f t="shared" si="16"/>
        <v>insert #t values('19980518')</v>
      </c>
    </row>
    <row r="93" spans="1:14" x14ac:dyDescent="0.2">
      <c r="A93" s="12">
        <v>42186</v>
      </c>
      <c r="B93">
        <v>72</v>
      </c>
      <c r="C93" t="s">
        <v>46</v>
      </c>
      <c r="D93">
        <f t="shared" si="10"/>
        <v>2015</v>
      </c>
      <c r="E93">
        <f t="shared" si="11"/>
        <v>7</v>
      </c>
      <c r="F93">
        <f t="shared" si="12"/>
        <v>1</v>
      </c>
      <c r="H93" s="6">
        <f t="shared" si="13"/>
        <v>0</v>
      </c>
      <c r="I93">
        <v>20150701</v>
      </c>
      <c r="J93" s="1">
        <f t="shared" si="14"/>
        <v>42186</v>
      </c>
      <c r="L93">
        <v>19980701</v>
      </c>
      <c r="M93" s="1">
        <f t="shared" si="15"/>
        <v>35977</v>
      </c>
      <c r="N93" t="str">
        <f t="shared" si="16"/>
        <v>insert #t values('19980701')</v>
      </c>
    </row>
    <row r="94" spans="1:14" x14ac:dyDescent="0.2">
      <c r="A94" s="12">
        <v>42219</v>
      </c>
      <c r="B94">
        <v>178</v>
      </c>
      <c r="C94" t="s">
        <v>46</v>
      </c>
      <c r="D94">
        <f t="shared" si="10"/>
        <v>2015</v>
      </c>
      <c r="E94">
        <f t="shared" si="11"/>
        <v>8</v>
      </c>
      <c r="F94">
        <f t="shared" si="12"/>
        <v>3</v>
      </c>
      <c r="H94" s="6">
        <f t="shared" si="13"/>
        <v>0</v>
      </c>
      <c r="I94">
        <v>20150803</v>
      </c>
      <c r="J94" s="1">
        <f t="shared" si="14"/>
        <v>42219</v>
      </c>
      <c r="L94">
        <v>19980803</v>
      </c>
      <c r="M94" s="1">
        <f t="shared" si="15"/>
        <v>36010</v>
      </c>
      <c r="N94" t="str">
        <f t="shared" si="16"/>
        <v>insert #t values('19980803')</v>
      </c>
    </row>
    <row r="95" spans="1:14" x14ac:dyDescent="0.2">
      <c r="A95" s="12">
        <v>42254</v>
      </c>
      <c r="B95">
        <v>74</v>
      </c>
      <c r="C95" t="s">
        <v>46</v>
      </c>
      <c r="D95">
        <f t="shared" si="10"/>
        <v>2015</v>
      </c>
      <c r="E95">
        <f t="shared" si="11"/>
        <v>9</v>
      </c>
      <c r="F95">
        <f t="shared" si="12"/>
        <v>7</v>
      </c>
      <c r="H95" s="6">
        <f t="shared" si="13"/>
        <v>0</v>
      </c>
      <c r="I95">
        <v>20150907</v>
      </c>
      <c r="J95" s="1">
        <f t="shared" si="14"/>
        <v>42254</v>
      </c>
      <c r="L95">
        <v>19980907</v>
      </c>
      <c r="M95" s="1">
        <f t="shared" si="15"/>
        <v>36045</v>
      </c>
      <c r="N95" t="str">
        <f t="shared" si="16"/>
        <v>insert #t values('19980907')</v>
      </c>
    </row>
    <row r="96" spans="1:14" x14ac:dyDescent="0.2">
      <c r="A96" s="12">
        <v>42289</v>
      </c>
      <c r="B96">
        <v>75</v>
      </c>
      <c r="C96" t="s">
        <v>46</v>
      </c>
      <c r="D96">
        <f t="shared" si="10"/>
        <v>2015</v>
      </c>
      <c r="E96">
        <f t="shared" si="11"/>
        <v>10</v>
      </c>
      <c r="F96">
        <f t="shared" si="12"/>
        <v>12</v>
      </c>
      <c r="H96" s="6">
        <f t="shared" si="13"/>
        <v>0</v>
      </c>
      <c r="I96">
        <v>20151012</v>
      </c>
      <c r="J96" s="1">
        <f t="shared" si="14"/>
        <v>42289</v>
      </c>
      <c r="L96">
        <v>19981012</v>
      </c>
      <c r="M96" s="1">
        <f t="shared" si="15"/>
        <v>36080</v>
      </c>
      <c r="N96" t="str">
        <f t="shared" si="16"/>
        <v>insert #t values('19981012')</v>
      </c>
    </row>
    <row r="97" spans="1:14" x14ac:dyDescent="0.2">
      <c r="A97" s="12">
        <v>42319</v>
      </c>
      <c r="B97">
        <v>76</v>
      </c>
      <c r="C97" t="s">
        <v>46</v>
      </c>
      <c r="D97">
        <f t="shared" si="10"/>
        <v>2015</v>
      </c>
      <c r="E97">
        <f t="shared" si="11"/>
        <v>11</v>
      </c>
      <c r="F97">
        <f t="shared" si="12"/>
        <v>11</v>
      </c>
      <c r="H97" s="6">
        <f t="shared" si="13"/>
        <v>0</v>
      </c>
      <c r="I97">
        <v>20151111</v>
      </c>
      <c r="J97" s="1">
        <f t="shared" si="14"/>
        <v>42319</v>
      </c>
      <c r="L97">
        <v>19981111</v>
      </c>
      <c r="M97" s="1">
        <f t="shared" si="15"/>
        <v>36110</v>
      </c>
      <c r="N97" t="str">
        <f t="shared" si="16"/>
        <v>insert #t values('19981111')</v>
      </c>
    </row>
    <row r="98" spans="1:14" x14ac:dyDescent="0.2">
      <c r="A98" s="12">
        <v>42363</v>
      </c>
      <c r="B98">
        <v>77</v>
      </c>
      <c r="C98" t="s">
        <v>46</v>
      </c>
      <c r="D98">
        <f t="shared" si="10"/>
        <v>2015</v>
      </c>
      <c r="E98">
        <f t="shared" si="11"/>
        <v>12</v>
      </c>
      <c r="F98">
        <f t="shared" si="12"/>
        <v>25</v>
      </c>
      <c r="H98" s="6">
        <f t="shared" si="13"/>
        <v>0</v>
      </c>
      <c r="I98">
        <v>20151225</v>
      </c>
      <c r="J98" s="1">
        <f t="shared" si="14"/>
        <v>42363</v>
      </c>
      <c r="L98">
        <v>19981225</v>
      </c>
      <c r="M98" s="1">
        <f t="shared" si="15"/>
        <v>36154</v>
      </c>
      <c r="N98" t="str">
        <f t="shared" si="16"/>
        <v>insert #t values('19981225')</v>
      </c>
    </row>
    <row r="99" spans="1:14" x14ac:dyDescent="0.2">
      <c r="A99" s="12">
        <v>42366</v>
      </c>
      <c r="B99">
        <v>78</v>
      </c>
      <c r="C99" t="s">
        <v>46</v>
      </c>
      <c r="D99">
        <f t="shared" si="10"/>
        <v>2015</v>
      </c>
      <c r="E99">
        <f t="shared" si="11"/>
        <v>12</v>
      </c>
      <c r="F99">
        <f t="shared" si="12"/>
        <v>28</v>
      </c>
      <c r="H99" s="6">
        <f t="shared" si="13"/>
        <v>0</v>
      </c>
      <c r="I99">
        <v>20151228</v>
      </c>
      <c r="J99" s="1">
        <f t="shared" si="14"/>
        <v>42366</v>
      </c>
      <c r="L99">
        <v>19981228</v>
      </c>
      <c r="M99" s="1">
        <f t="shared" si="15"/>
        <v>36157</v>
      </c>
      <c r="N99" t="str">
        <f t="shared" si="16"/>
        <v>insert #t values('19981228')</v>
      </c>
    </row>
    <row r="100" spans="1:14" x14ac:dyDescent="0.2">
      <c r="A100" s="12">
        <v>42370</v>
      </c>
      <c r="B100">
        <v>69</v>
      </c>
      <c r="C100" t="s">
        <v>46</v>
      </c>
      <c r="D100">
        <f t="shared" ref="D100:D163" si="17">YEAR(A100)</f>
        <v>2016</v>
      </c>
      <c r="E100">
        <f t="shared" ref="E100:E163" si="18">MONTH(A100)</f>
        <v>1</v>
      </c>
      <c r="F100">
        <f t="shared" ref="F100:F163" si="19">DAY(A100)</f>
        <v>1</v>
      </c>
      <c r="H100" s="6">
        <f t="shared" si="13"/>
        <v>0</v>
      </c>
      <c r="I100">
        <v>20160101</v>
      </c>
      <c r="J100" s="1">
        <f t="shared" si="14"/>
        <v>42370</v>
      </c>
      <c r="L100">
        <v>19981228</v>
      </c>
      <c r="M100" s="1">
        <f t="shared" si="15"/>
        <v>36157</v>
      </c>
      <c r="N100" t="str">
        <f t="shared" si="16"/>
        <v>insert #t values('19981228')</v>
      </c>
    </row>
    <row r="101" spans="1:14" x14ac:dyDescent="0.2">
      <c r="A101" s="12">
        <v>42422</v>
      </c>
      <c r="C101" t="s">
        <v>46</v>
      </c>
      <c r="D101">
        <f t="shared" si="17"/>
        <v>2016</v>
      </c>
      <c r="E101">
        <f t="shared" si="18"/>
        <v>2</v>
      </c>
      <c r="F101">
        <f t="shared" si="19"/>
        <v>22</v>
      </c>
      <c r="H101" s="6">
        <f t="shared" si="13"/>
        <v>-7</v>
      </c>
      <c r="I101">
        <v>20160215</v>
      </c>
      <c r="J101" s="1">
        <f t="shared" si="14"/>
        <v>42415</v>
      </c>
      <c r="L101">
        <v>19990101</v>
      </c>
      <c r="M101" s="1">
        <f t="shared" si="15"/>
        <v>36161</v>
      </c>
      <c r="N101" t="str">
        <f t="shared" si="16"/>
        <v>insert #t values('19990101')</v>
      </c>
    </row>
    <row r="102" spans="1:14" x14ac:dyDescent="0.2">
      <c r="A102" s="12">
        <v>42454</v>
      </c>
      <c r="B102">
        <v>70</v>
      </c>
      <c r="C102" t="s">
        <v>46</v>
      </c>
      <c r="D102">
        <f t="shared" si="17"/>
        <v>2016</v>
      </c>
      <c r="E102">
        <f t="shared" si="18"/>
        <v>3</v>
      </c>
      <c r="F102">
        <f t="shared" si="19"/>
        <v>25</v>
      </c>
      <c r="H102" s="6">
        <f t="shared" si="13"/>
        <v>0</v>
      </c>
      <c r="I102">
        <v>20160325</v>
      </c>
      <c r="J102" s="1">
        <f t="shared" si="14"/>
        <v>42454</v>
      </c>
      <c r="L102">
        <v>19990402</v>
      </c>
      <c r="M102" s="1">
        <f t="shared" si="15"/>
        <v>36252</v>
      </c>
      <c r="N102" t="str">
        <f t="shared" si="16"/>
        <v>insert #t values('19990402')</v>
      </c>
    </row>
    <row r="103" spans="1:14" x14ac:dyDescent="0.2">
      <c r="A103" s="12">
        <v>42513</v>
      </c>
      <c r="B103">
        <v>71</v>
      </c>
      <c r="C103" t="s">
        <v>46</v>
      </c>
      <c r="D103">
        <f t="shared" si="17"/>
        <v>2016</v>
      </c>
      <c r="E103">
        <f t="shared" si="18"/>
        <v>5</v>
      </c>
      <c r="F103">
        <f t="shared" si="19"/>
        <v>23</v>
      </c>
      <c r="H103" s="6">
        <f t="shared" si="13"/>
        <v>0</v>
      </c>
      <c r="I103">
        <v>20160523</v>
      </c>
      <c r="J103" s="1">
        <f t="shared" si="14"/>
        <v>42513</v>
      </c>
      <c r="L103">
        <v>19990524</v>
      </c>
      <c r="M103" s="1">
        <f t="shared" si="15"/>
        <v>36304</v>
      </c>
      <c r="N103" t="str">
        <f t="shared" si="16"/>
        <v>insert #t values('19990524')</v>
      </c>
    </row>
    <row r="104" spans="1:14" x14ac:dyDescent="0.2">
      <c r="A104" s="12">
        <v>42552</v>
      </c>
      <c r="B104">
        <v>72</v>
      </c>
      <c r="C104" t="s">
        <v>46</v>
      </c>
      <c r="D104">
        <f t="shared" si="17"/>
        <v>2016</v>
      </c>
      <c r="E104">
        <f t="shared" si="18"/>
        <v>7</v>
      </c>
      <c r="F104">
        <f t="shared" si="19"/>
        <v>1</v>
      </c>
      <c r="H104" s="6">
        <f t="shared" si="13"/>
        <v>0</v>
      </c>
      <c r="I104">
        <v>20160701</v>
      </c>
      <c r="J104" s="1">
        <f t="shared" si="14"/>
        <v>42552</v>
      </c>
      <c r="L104">
        <v>19990701</v>
      </c>
      <c r="M104" s="1">
        <f t="shared" si="15"/>
        <v>36342</v>
      </c>
      <c r="N104" t="str">
        <f t="shared" si="16"/>
        <v>insert #t values('19990701')</v>
      </c>
    </row>
    <row r="105" spans="1:14" x14ac:dyDescent="0.2">
      <c r="A105" s="12">
        <v>42583</v>
      </c>
      <c r="B105">
        <v>178</v>
      </c>
      <c r="C105" t="s">
        <v>46</v>
      </c>
      <c r="D105">
        <f t="shared" si="17"/>
        <v>2016</v>
      </c>
      <c r="E105">
        <f t="shared" si="18"/>
        <v>8</v>
      </c>
      <c r="F105">
        <f t="shared" si="19"/>
        <v>1</v>
      </c>
      <c r="H105" s="6">
        <f t="shared" si="13"/>
        <v>0</v>
      </c>
      <c r="I105">
        <v>20160801</v>
      </c>
      <c r="J105" s="1">
        <f t="shared" si="14"/>
        <v>42583</v>
      </c>
      <c r="L105">
        <v>19990802</v>
      </c>
      <c r="M105" s="1">
        <f t="shared" si="15"/>
        <v>36374</v>
      </c>
      <c r="N105" t="str">
        <f t="shared" si="16"/>
        <v>insert #t values('19990802')</v>
      </c>
    </row>
    <row r="106" spans="1:14" x14ac:dyDescent="0.2">
      <c r="A106" s="12">
        <v>42618</v>
      </c>
      <c r="B106">
        <v>74</v>
      </c>
      <c r="C106" t="s">
        <v>46</v>
      </c>
      <c r="D106">
        <f t="shared" si="17"/>
        <v>2016</v>
      </c>
      <c r="E106">
        <f t="shared" si="18"/>
        <v>9</v>
      </c>
      <c r="F106">
        <f t="shared" si="19"/>
        <v>5</v>
      </c>
      <c r="H106" s="6">
        <f t="shared" si="13"/>
        <v>0</v>
      </c>
      <c r="I106">
        <v>20160905</v>
      </c>
      <c r="J106" s="1">
        <f t="shared" si="14"/>
        <v>42618</v>
      </c>
      <c r="L106">
        <v>19990906</v>
      </c>
      <c r="M106" s="1">
        <f t="shared" si="15"/>
        <v>36409</v>
      </c>
      <c r="N106" t="str">
        <f t="shared" si="16"/>
        <v>insert #t values('19990906')</v>
      </c>
    </row>
    <row r="107" spans="1:14" x14ac:dyDescent="0.2">
      <c r="A107" s="12">
        <v>42653</v>
      </c>
      <c r="B107">
        <v>75</v>
      </c>
      <c r="C107" t="s">
        <v>46</v>
      </c>
      <c r="D107">
        <f t="shared" si="17"/>
        <v>2016</v>
      </c>
      <c r="E107">
        <f t="shared" si="18"/>
        <v>10</v>
      </c>
      <c r="F107">
        <f t="shared" si="19"/>
        <v>10</v>
      </c>
      <c r="H107" s="6">
        <f t="shared" si="13"/>
        <v>0</v>
      </c>
      <c r="I107">
        <v>20161010</v>
      </c>
      <c r="J107" s="1">
        <f t="shared" si="14"/>
        <v>42653</v>
      </c>
      <c r="L107">
        <v>19991011</v>
      </c>
      <c r="M107" s="1">
        <f t="shared" si="15"/>
        <v>36444</v>
      </c>
      <c r="N107" t="str">
        <f t="shared" si="16"/>
        <v>insert #t values('19991011')</v>
      </c>
    </row>
    <row r="108" spans="1:14" x14ac:dyDescent="0.2">
      <c r="A108" s="12">
        <v>42685</v>
      </c>
      <c r="B108">
        <v>76</v>
      </c>
      <c r="C108" t="s">
        <v>46</v>
      </c>
      <c r="D108">
        <f t="shared" si="17"/>
        <v>2016</v>
      </c>
      <c r="E108">
        <f t="shared" si="18"/>
        <v>11</v>
      </c>
      <c r="F108">
        <f t="shared" si="19"/>
        <v>11</v>
      </c>
      <c r="H108" s="6">
        <f t="shared" si="13"/>
        <v>0</v>
      </c>
      <c r="I108">
        <v>20161111</v>
      </c>
      <c r="J108" s="1">
        <f t="shared" si="14"/>
        <v>42685</v>
      </c>
      <c r="L108">
        <v>19991111</v>
      </c>
      <c r="M108" s="1">
        <f t="shared" si="15"/>
        <v>36475</v>
      </c>
      <c r="N108" t="str">
        <f t="shared" si="16"/>
        <v>insert #t values('19991111')</v>
      </c>
    </row>
    <row r="109" spans="1:14" x14ac:dyDescent="0.2">
      <c r="A109" s="12">
        <v>42730</v>
      </c>
      <c r="B109">
        <v>78</v>
      </c>
      <c r="C109" t="s">
        <v>46</v>
      </c>
      <c r="D109">
        <f t="shared" si="17"/>
        <v>2016</v>
      </c>
      <c r="E109">
        <f t="shared" si="18"/>
        <v>12</v>
      </c>
      <c r="F109">
        <f t="shared" si="19"/>
        <v>26</v>
      </c>
      <c r="H109" s="6">
        <f t="shared" si="13"/>
        <v>0</v>
      </c>
      <c r="I109">
        <v>20161226</v>
      </c>
      <c r="J109" s="1">
        <f t="shared" si="14"/>
        <v>42730</v>
      </c>
      <c r="L109">
        <v>19991227</v>
      </c>
      <c r="M109" s="1">
        <f t="shared" si="15"/>
        <v>36521</v>
      </c>
      <c r="N109" t="str">
        <f t="shared" si="16"/>
        <v>insert #t values('19991227')</v>
      </c>
    </row>
    <row r="110" spans="1:14" x14ac:dyDescent="0.2">
      <c r="A110" s="12">
        <v>42731</v>
      </c>
      <c r="B110">
        <v>77</v>
      </c>
      <c r="C110" t="s">
        <v>46</v>
      </c>
      <c r="D110">
        <f t="shared" si="17"/>
        <v>2016</v>
      </c>
      <c r="E110">
        <f t="shared" si="18"/>
        <v>12</v>
      </c>
      <c r="F110">
        <f t="shared" si="19"/>
        <v>27</v>
      </c>
      <c r="H110" s="6">
        <f t="shared" si="13"/>
        <v>-1</v>
      </c>
      <c r="I110">
        <v>20161226</v>
      </c>
      <c r="J110" s="1">
        <f t="shared" si="14"/>
        <v>42730</v>
      </c>
      <c r="L110">
        <v>19991227</v>
      </c>
      <c r="M110" s="1">
        <f t="shared" si="15"/>
        <v>36521</v>
      </c>
      <c r="N110" t="str">
        <f t="shared" si="16"/>
        <v>insert #t values('19991227')</v>
      </c>
    </row>
    <row r="111" spans="1:14" x14ac:dyDescent="0.2">
      <c r="A111" s="12">
        <v>42737</v>
      </c>
      <c r="B111">
        <v>69</v>
      </c>
      <c r="C111" t="s">
        <v>46</v>
      </c>
      <c r="D111">
        <f t="shared" si="17"/>
        <v>2017</v>
      </c>
      <c r="E111">
        <f t="shared" si="18"/>
        <v>1</v>
      </c>
      <c r="F111">
        <f t="shared" si="19"/>
        <v>2</v>
      </c>
      <c r="H111" s="6">
        <f t="shared" si="13"/>
        <v>0</v>
      </c>
      <c r="I111">
        <v>20170102</v>
      </c>
      <c r="J111" s="1">
        <f t="shared" si="14"/>
        <v>42737</v>
      </c>
      <c r="L111">
        <v>19991228</v>
      </c>
      <c r="M111" s="1">
        <f t="shared" si="15"/>
        <v>36522</v>
      </c>
      <c r="N111" t="str">
        <f t="shared" si="16"/>
        <v>insert #t values('19991228')</v>
      </c>
    </row>
    <row r="112" spans="1:14" x14ac:dyDescent="0.2">
      <c r="A112" s="12">
        <v>42786</v>
      </c>
      <c r="C112" t="s">
        <v>46</v>
      </c>
      <c r="D112">
        <f t="shared" si="17"/>
        <v>2017</v>
      </c>
      <c r="E112">
        <f t="shared" si="18"/>
        <v>2</v>
      </c>
      <c r="F112">
        <f t="shared" si="19"/>
        <v>20</v>
      </c>
      <c r="H112" s="6">
        <f t="shared" si="13"/>
        <v>0</v>
      </c>
      <c r="I112">
        <v>20170220</v>
      </c>
      <c r="J112" s="1">
        <f t="shared" si="14"/>
        <v>42786</v>
      </c>
      <c r="L112">
        <v>20000103</v>
      </c>
      <c r="M112" s="1">
        <f t="shared" si="15"/>
        <v>36528</v>
      </c>
      <c r="N112" t="str">
        <f t="shared" si="16"/>
        <v>insert #t values('20000103')</v>
      </c>
    </row>
    <row r="113" spans="1:14" x14ac:dyDescent="0.2">
      <c r="A113" s="12">
        <v>42839</v>
      </c>
      <c r="B113">
        <v>70</v>
      </c>
      <c r="C113" t="s">
        <v>46</v>
      </c>
      <c r="D113">
        <f t="shared" si="17"/>
        <v>2017</v>
      </c>
      <c r="E113">
        <f t="shared" si="18"/>
        <v>4</v>
      </c>
      <c r="F113">
        <f t="shared" si="19"/>
        <v>14</v>
      </c>
      <c r="H113" s="6">
        <f t="shared" si="13"/>
        <v>0</v>
      </c>
      <c r="I113">
        <v>20170414</v>
      </c>
      <c r="J113" s="1">
        <f t="shared" si="14"/>
        <v>42839</v>
      </c>
      <c r="L113">
        <v>20000421</v>
      </c>
      <c r="M113" s="1">
        <f t="shared" si="15"/>
        <v>36637</v>
      </c>
      <c r="N113" t="str">
        <f t="shared" si="16"/>
        <v>insert #t values('20000421')</v>
      </c>
    </row>
    <row r="114" spans="1:14" x14ac:dyDescent="0.2">
      <c r="A114" s="12">
        <v>42877</v>
      </c>
      <c r="B114">
        <v>71</v>
      </c>
      <c r="C114" t="s">
        <v>46</v>
      </c>
      <c r="D114">
        <f t="shared" si="17"/>
        <v>2017</v>
      </c>
      <c r="E114">
        <f t="shared" si="18"/>
        <v>5</v>
      </c>
      <c r="F114">
        <f t="shared" si="19"/>
        <v>22</v>
      </c>
      <c r="H114" s="6">
        <f t="shared" si="13"/>
        <v>0</v>
      </c>
      <c r="I114">
        <v>20170522</v>
      </c>
      <c r="J114" s="1">
        <f t="shared" si="14"/>
        <v>42877</v>
      </c>
      <c r="L114">
        <v>20000522</v>
      </c>
      <c r="M114" s="1">
        <f t="shared" si="15"/>
        <v>36668</v>
      </c>
      <c r="N114" t="str">
        <f t="shared" si="16"/>
        <v>insert #t values('20000522')</v>
      </c>
    </row>
    <row r="115" spans="1:14" x14ac:dyDescent="0.2">
      <c r="A115" s="12">
        <v>42919</v>
      </c>
      <c r="B115">
        <v>72</v>
      </c>
      <c r="C115" t="s">
        <v>46</v>
      </c>
      <c r="D115">
        <f t="shared" si="17"/>
        <v>2017</v>
      </c>
      <c r="E115">
        <f t="shared" si="18"/>
        <v>7</v>
      </c>
      <c r="F115">
        <f t="shared" si="19"/>
        <v>3</v>
      </c>
      <c r="H115" s="6">
        <f t="shared" si="13"/>
        <v>0</v>
      </c>
      <c r="I115">
        <v>20170703</v>
      </c>
      <c r="J115" s="1">
        <f t="shared" si="14"/>
        <v>42919</v>
      </c>
      <c r="L115">
        <v>20000703</v>
      </c>
      <c r="M115" s="1">
        <f t="shared" si="15"/>
        <v>36710</v>
      </c>
      <c r="N115" t="str">
        <f t="shared" si="16"/>
        <v>insert #t values('20000703')</v>
      </c>
    </row>
    <row r="116" spans="1:14" x14ac:dyDescent="0.2">
      <c r="A116" s="12">
        <v>42954</v>
      </c>
      <c r="B116">
        <v>178</v>
      </c>
      <c r="C116" t="s">
        <v>46</v>
      </c>
      <c r="D116">
        <f t="shared" si="17"/>
        <v>2017</v>
      </c>
      <c r="E116">
        <f t="shared" si="18"/>
        <v>8</v>
      </c>
      <c r="F116">
        <f t="shared" si="19"/>
        <v>7</v>
      </c>
      <c r="H116" s="6">
        <f t="shared" si="13"/>
        <v>0</v>
      </c>
      <c r="I116">
        <v>20170807</v>
      </c>
      <c r="J116" s="1">
        <f t="shared" si="14"/>
        <v>42954</v>
      </c>
      <c r="L116">
        <v>20000807</v>
      </c>
      <c r="M116" s="1">
        <f t="shared" si="15"/>
        <v>36745</v>
      </c>
      <c r="N116" t="str">
        <f t="shared" si="16"/>
        <v>insert #t values('20000807')</v>
      </c>
    </row>
    <row r="117" spans="1:14" x14ac:dyDescent="0.2">
      <c r="A117" s="12">
        <v>42982</v>
      </c>
      <c r="B117">
        <v>74</v>
      </c>
      <c r="C117" t="s">
        <v>46</v>
      </c>
      <c r="D117">
        <f t="shared" si="17"/>
        <v>2017</v>
      </c>
      <c r="E117">
        <f t="shared" si="18"/>
        <v>9</v>
      </c>
      <c r="F117">
        <f t="shared" si="19"/>
        <v>4</v>
      </c>
      <c r="H117" s="6">
        <f t="shared" si="13"/>
        <v>0</v>
      </c>
      <c r="I117">
        <v>20170904</v>
      </c>
      <c r="J117" s="1">
        <f t="shared" si="14"/>
        <v>42982</v>
      </c>
      <c r="L117">
        <v>20000904</v>
      </c>
      <c r="M117" s="1">
        <f t="shared" si="15"/>
        <v>36773</v>
      </c>
      <c r="N117" t="str">
        <f t="shared" si="16"/>
        <v>insert #t values('20000904')</v>
      </c>
    </row>
    <row r="118" spans="1:14" x14ac:dyDescent="0.2">
      <c r="A118" s="12">
        <v>43017</v>
      </c>
      <c r="B118">
        <v>75</v>
      </c>
      <c r="C118" t="s">
        <v>46</v>
      </c>
      <c r="D118">
        <f t="shared" si="17"/>
        <v>2017</v>
      </c>
      <c r="E118">
        <f t="shared" si="18"/>
        <v>10</v>
      </c>
      <c r="F118">
        <f t="shared" si="19"/>
        <v>9</v>
      </c>
      <c r="H118" s="6">
        <f t="shared" si="13"/>
        <v>0</v>
      </c>
      <c r="I118">
        <v>20171009</v>
      </c>
      <c r="J118" s="1">
        <f t="shared" si="14"/>
        <v>43017</v>
      </c>
      <c r="L118">
        <v>20001009</v>
      </c>
      <c r="M118" s="1">
        <f t="shared" si="15"/>
        <v>36808</v>
      </c>
      <c r="N118" t="str">
        <f t="shared" si="16"/>
        <v>insert #t values('20001009')</v>
      </c>
    </row>
    <row r="119" spans="1:14" x14ac:dyDescent="0.2">
      <c r="A119" s="12">
        <v>43052</v>
      </c>
      <c r="B119">
        <v>76</v>
      </c>
      <c r="C119" t="s">
        <v>46</v>
      </c>
      <c r="D119">
        <f t="shared" si="17"/>
        <v>2017</v>
      </c>
      <c r="E119">
        <f t="shared" si="18"/>
        <v>11</v>
      </c>
      <c r="F119">
        <f t="shared" si="19"/>
        <v>13</v>
      </c>
      <c r="H119" s="6">
        <f t="shared" si="13"/>
        <v>0</v>
      </c>
      <c r="I119">
        <v>20171113</v>
      </c>
      <c r="J119" s="1">
        <f t="shared" si="14"/>
        <v>43052</v>
      </c>
      <c r="L119">
        <v>20001113</v>
      </c>
      <c r="M119" s="1">
        <f t="shared" si="15"/>
        <v>36843</v>
      </c>
      <c r="N119" t="str">
        <f t="shared" si="16"/>
        <v>insert #t values('20001113')</v>
      </c>
    </row>
    <row r="120" spans="1:14" x14ac:dyDescent="0.2">
      <c r="A120" s="12">
        <v>43094</v>
      </c>
      <c r="B120">
        <v>77</v>
      </c>
      <c r="C120" t="s">
        <v>46</v>
      </c>
      <c r="D120">
        <f t="shared" si="17"/>
        <v>2017</v>
      </c>
      <c r="E120">
        <f t="shared" si="18"/>
        <v>12</v>
      </c>
      <c r="F120">
        <f t="shared" si="19"/>
        <v>25</v>
      </c>
      <c r="H120" s="6">
        <f t="shared" si="13"/>
        <v>0</v>
      </c>
      <c r="I120">
        <v>20171225</v>
      </c>
      <c r="J120" s="1">
        <f t="shared" si="14"/>
        <v>43094</v>
      </c>
      <c r="L120">
        <v>20001225</v>
      </c>
      <c r="M120" s="1">
        <f t="shared" si="15"/>
        <v>36885</v>
      </c>
      <c r="N120" t="str">
        <f t="shared" si="16"/>
        <v>insert #t values('20001225')</v>
      </c>
    </row>
    <row r="121" spans="1:14" x14ac:dyDescent="0.2">
      <c r="A121" s="12">
        <v>43095</v>
      </c>
      <c r="B121">
        <v>78</v>
      </c>
      <c r="C121" t="s">
        <v>46</v>
      </c>
      <c r="D121">
        <f t="shared" si="17"/>
        <v>2017</v>
      </c>
      <c r="E121">
        <f t="shared" si="18"/>
        <v>12</v>
      </c>
      <c r="F121">
        <f t="shared" si="19"/>
        <v>26</v>
      </c>
      <c r="H121" s="6">
        <f t="shared" si="13"/>
        <v>0</v>
      </c>
      <c r="I121">
        <v>20171226</v>
      </c>
      <c r="J121" s="1">
        <f t="shared" si="14"/>
        <v>43095</v>
      </c>
      <c r="L121">
        <v>20001226</v>
      </c>
      <c r="M121" s="1">
        <f t="shared" si="15"/>
        <v>36886</v>
      </c>
      <c r="N121" t="str">
        <f t="shared" si="16"/>
        <v>insert #t values('20001226')</v>
      </c>
    </row>
    <row r="122" spans="1:14" x14ac:dyDescent="0.2">
      <c r="A122" s="12">
        <v>43101</v>
      </c>
      <c r="B122">
        <v>69</v>
      </c>
      <c r="C122" t="s">
        <v>46</v>
      </c>
      <c r="D122">
        <f t="shared" si="17"/>
        <v>2018</v>
      </c>
      <c r="E122">
        <f t="shared" si="18"/>
        <v>1</v>
      </c>
      <c r="F122">
        <f t="shared" si="19"/>
        <v>1</v>
      </c>
      <c r="H122" s="6">
        <f t="shared" si="13"/>
        <v>-6</v>
      </c>
      <c r="I122">
        <v>20171226</v>
      </c>
      <c r="J122" s="1">
        <f t="shared" si="14"/>
        <v>43095</v>
      </c>
      <c r="L122">
        <v>20001226</v>
      </c>
      <c r="M122" s="1">
        <f t="shared" si="15"/>
        <v>36886</v>
      </c>
      <c r="N122" t="str">
        <f t="shared" si="16"/>
        <v>insert #t values('20001226')</v>
      </c>
    </row>
    <row r="123" spans="1:14" x14ac:dyDescent="0.2">
      <c r="A123" s="12">
        <v>43150</v>
      </c>
      <c r="C123" t="s">
        <v>46</v>
      </c>
      <c r="D123">
        <f t="shared" si="17"/>
        <v>2018</v>
      </c>
      <c r="E123">
        <f t="shared" si="18"/>
        <v>2</v>
      </c>
      <c r="F123">
        <f t="shared" si="19"/>
        <v>19</v>
      </c>
      <c r="H123" s="6">
        <f t="shared" si="13"/>
        <v>-49</v>
      </c>
      <c r="I123">
        <v>20180101</v>
      </c>
      <c r="J123" s="1">
        <f t="shared" si="14"/>
        <v>43101</v>
      </c>
      <c r="L123">
        <v>20010101</v>
      </c>
      <c r="M123" s="1">
        <f t="shared" si="15"/>
        <v>36892</v>
      </c>
      <c r="N123" t="str">
        <f t="shared" si="16"/>
        <v>insert #t values('20010101')</v>
      </c>
    </row>
    <row r="124" spans="1:14" x14ac:dyDescent="0.2">
      <c r="A124" s="12">
        <v>43189</v>
      </c>
      <c r="B124">
        <v>70</v>
      </c>
      <c r="C124" t="s">
        <v>46</v>
      </c>
      <c r="D124">
        <f t="shared" si="17"/>
        <v>2018</v>
      </c>
      <c r="E124">
        <f t="shared" si="18"/>
        <v>3</v>
      </c>
      <c r="F124">
        <f t="shared" si="19"/>
        <v>30</v>
      </c>
      <c r="H124" s="6">
        <f t="shared" si="13"/>
        <v>-39</v>
      </c>
      <c r="I124">
        <v>20180219</v>
      </c>
      <c r="J124" s="1">
        <f t="shared" si="14"/>
        <v>43150</v>
      </c>
      <c r="L124">
        <v>20010413</v>
      </c>
      <c r="M124" s="1">
        <f t="shared" si="15"/>
        <v>36994</v>
      </c>
      <c r="N124" t="str">
        <f t="shared" si="16"/>
        <v>insert #t values('20010413')</v>
      </c>
    </row>
    <row r="125" spans="1:14" x14ac:dyDescent="0.2">
      <c r="A125" s="12">
        <v>43241</v>
      </c>
      <c r="B125">
        <v>71</v>
      </c>
      <c r="C125" t="s">
        <v>46</v>
      </c>
      <c r="D125">
        <f t="shared" si="17"/>
        <v>2018</v>
      </c>
      <c r="E125">
        <f t="shared" si="18"/>
        <v>5</v>
      </c>
      <c r="F125">
        <f t="shared" si="19"/>
        <v>21</v>
      </c>
      <c r="H125" s="6">
        <f t="shared" si="13"/>
        <v>-52</v>
      </c>
      <c r="I125">
        <v>20180330</v>
      </c>
      <c r="J125" s="1">
        <f t="shared" si="14"/>
        <v>43189</v>
      </c>
      <c r="L125">
        <v>20010521</v>
      </c>
      <c r="M125" s="1">
        <f t="shared" si="15"/>
        <v>37032</v>
      </c>
      <c r="N125" t="str">
        <f t="shared" si="16"/>
        <v>insert #t values('20010521')</v>
      </c>
    </row>
    <row r="126" spans="1:14" x14ac:dyDescent="0.2">
      <c r="A126" s="12">
        <v>43283</v>
      </c>
      <c r="B126">
        <v>72</v>
      </c>
      <c r="C126" t="s">
        <v>46</v>
      </c>
      <c r="D126">
        <f t="shared" si="17"/>
        <v>2018</v>
      </c>
      <c r="E126">
        <f t="shared" si="18"/>
        <v>7</v>
      </c>
      <c r="F126">
        <f t="shared" si="19"/>
        <v>2</v>
      </c>
      <c r="H126" s="6">
        <f t="shared" si="13"/>
        <v>-42</v>
      </c>
      <c r="I126">
        <v>20180521</v>
      </c>
      <c r="J126" s="1">
        <f t="shared" si="14"/>
        <v>43241</v>
      </c>
      <c r="L126">
        <v>20010702</v>
      </c>
      <c r="M126" s="1">
        <f t="shared" si="15"/>
        <v>37074</v>
      </c>
      <c r="N126" t="str">
        <f t="shared" si="16"/>
        <v>insert #t values('20010702')</v>
      </c>
    </row>
    <row r="127" spans="1:14" x14ac:dyDescent="0.2">
      <c r="A127" s="12">
        <v>43318</v>
      </c>
      <c r="B127">
        <v>178</v>
      </c>
      <c r="C127" t="s">
        <v>46</v>
      </c>
      <c r="D127">
        <f t="shared" si="17"/>
        <v>2018</v>
      </c>
      <c r="E127">
        <f t="shared" si="18"/>
        <v>8</v>
      </c>
      <c r="F127">
        <f t="shared" si="19"/>
        <v>6</v>
      </c>
      <c r="H127" s="6">
        <f t="shared" si="13"/>
        <v>-35</v>
      </c>
      <c r="I127">
        <v>20180702</v>
      </c>
      <c r="J127" s="1">
        <f t="shared" si="14"/>
        <v>43283</v>
      </c>
      <c r="L127">
        <v>20010806</v>
      </c>
      <c r="M127" s="1">
        <f t="shared" si="15"/>
        <v>37109</v>
      </c>
      <c r="N127" t="str">
        <f t="shared" si="16"/>
        <v>insert #t values('20010806')</v>
      </c>
    </row>
    <row r="128" spans="1:14" x14ac:dyDescent="0.2">
      <c r="A128" s="12">
        <v>43346</v>
      </c>
      <c r="B128">
        <v>74</v>
      </c>
      <c r="C128" t="s">
        <v>46</v>
      </c>
      <c r="D128">
        <f t="shared" si="17"/>
        <v>2018</v>
      </c>
      <c r="E128">
        <f t="shared" si="18"/>
        <v>9</v>
      </c>
      <c r="F128">
        <f t="shared" si="19"/>
        <v>3</v>
      </c>
      <c r="H128" s="6">
        <f t="shared" si="13"/>
        <v>-28</v>
      </c>
      <c r="I128">
        <v>20180806</v>
      </c>
      <c r="J128" s="1">
        <f t="shared" si="14"/>
        <v>43318</v>
      </c>
      <c r="L128">
        <v>20010903</v>
      </c>
      <c r="M128" s="1">
        <f t="shared" si="15"/>
        <v>37137</v>
      </c>
      <c r="N128" t="str">
        <f t="shared" si="16"/>
        <v>insert #t values('20010903')</v>
      </c>
    </row>
    <row r="129" spans="1:14" x14ac:dyDescent="0.2">
      <c r="A129" s="12">
        <v>43381</v>
      </c>
      <c r="B129">
        <v>75</v>
      </c>
      <c r="C129" t="s">
        <v>46</v>
      </c>
      <c r="D129">
        <f t="shared" si="17"/>
        <v>2018</v>
      </c>
      <c r="E129">
        <f t="shared" si="18"/>
        <v>10</v>
      </c>
      <c r="F129">
        <f t="shared" si="19"/>
        <v>8</v>
      </c>
      <c r="H129" s="6">
        <f t="shared" si="13"/>
        <v>-35</v>
      </c>
      <c r="I129">
        <v>20180903</v>
      </c>
      <c r="J129" s="1">
        <f t="shared" si="14"/>
        <v>43346</v>
      </c>
      <c r="L129">
        <v>20011008</v>
      </c>
      <c r="M129" s="1">
        <f t="shared" si="15"/>
        <v>37172</v>
      </c>
      <c r="N129" t="str">
        <f t="shared" si="16"/>
        <v>insert #t values('20011008')</v>
      </c>
    </row>
    <row r="130" spans="1:14" x14ac:dyDescent="0.2">
      <c r="A130" s="12">
        <v>43416</v>
      </c>
      <c r="B130">
        <v>76</v>
      </c>
      <c r="C130" t="s">
        <v>46</v>
      </c>
      <c r="D130">
        <f t="shared" si="17"/>
        <v>2018</v>
      </c>
      <c r="E130">
        <f t="shared" si="18"/>
        <v>11</v>
      </c>
      <c r="F130">
        <f t="shared" si="19"/>
        <v>12</v>
      </c>
      <c r="H130" s="6">
        <f t="shared" ref="H130:H193" si="20">J130-A130</f>
        <v>-35</v>
      </c>
      <c r="I130">
        <v>20181008</v>
      </c>
      <c r="J130" s="1">
        <f t="shared" ref="J130:J193" si="21">DATE(LEFT(I130,4),MID(I130,5,2),RIGHT(I130,2))</f>
        <v>43381</v>
      </c>
      <c r="L130">
        <v>20011112</v>
      </c>
      <c r="M130" s="1">
        <f t="shared" ref="M130:M193" si="22">DATE(LEFT(L130,4),MID(L130,5,2),RIGHT(L130,2))</f>
        <v>37207</v>
      </c>
      <c r="N130" t="str">
        <f t="shared" ref="N130:N193" si="23">"insert #t values('"&amp;L130 &amp; "')"</f>
        <v>insert #t values('20011112')</v>
      </c>
    </row>
    <row r="131" spans="1:14" x14ac:dyDescent="0.2">
      <c r="A131" s="12">
        <v>43459</v>
      </c>
      <c r="B131">
        <v>77</v>
      </c>
      <c r="C131" t="s">
        <v>46</v>
      </c>
      <c r="D131">
        <f t="shared" si="17"/>
        <v>2018</v>
      </c>
      <c r="E131">
        <f t="shared" si="18"/>
        <v>12</v>
      </c>
      <c r="F131">
        <f t="shared" si="19"/>
        <v>25</v>
      </c>
      <c r="H131" s="6">
        <f t="shared" si="20"/>
        <v>-43</v>
      </c>
      <c r="I131">
        <v>20181112</v>
      </c>
      <c r="J131" s="1">
        <f t="shared" si="21"/>
        <v>43416</v>
      </c>
      <c r="L131">
        <v>20011225</v>
      </c>
      <c r="M131" s="1">
        <f t="shared" si="22"/>
        <v>37250</v>
      </c>
      <c r="N131" t="str">
        <f t="shared" si="23"/>
        <v>insert #t values('20011225')</v>
      </c>
    </row>
    <row r="132" spans="1:14" x14ac:dyDescent="0.2">
      <c r="A132" s="12">
        <v>43460</v>
      </c>
      <c r="B132">
        <v>78</v>
      </c>
      <c r="C132" t="s">
        <v>46</v>
      </c>
      <c r="D132">
        <f t="shared" si="17"/>
        <v>2018</v>
      </c>
      <c r="E132">
        <f t="shared" si="18"/>
        <v>12</v>
      </c>
      <c r="F132">
        <f t="shared" si="19"/>
        <v>26</v>
      </c>
      <c r="H132" s="6">
        <f t="shared" si="20"/>
        <v>-1</v>
      </c>
      <c r="I132">
        <v>20181225</v>
      </c>
      <c r="J132" s="1">
        <f t="shared" si="21"/>
        <v>43459</v>
      </c>
      <c r="L132">
        <v>20011226</v>
      </c>
      <c r="M132" s="1">
        <f t="shared" si="22"/>
        <v>37251</v>
      </c>
      <c r="N132" t="str">
        <f t="shared" si="23"/>
        <v>insert #t values('20011226')</v>
      </c>
    </row>
    <row r="133" spans="1:14" x14ac:dyDescent="0.2">
      <c r="A133" s="12">
        <v>43466</v>
      </c>
      <c r="B133">
        <v>69</v>
      </c>
      <c r="C133" t="s">
        <v>46</v>
      </c>
      <c r="D133">
        <f t="shared" si="17"/>
        <v>2019</v>
      </c>
      <c r="E133">
        <f t="shared" si="18"/>
        <v>1</v>
      </c>
      <c r="F133">
        <f t="shared" si="19"/>
        <v>1</v>
      </c>
      <c r="H133" s="6">
        <f t="shared" si="20"/>
        <v>-6</v>
      </c>
      <c r="I133">
        <v>20181226</v>
      </c>
      <c r="J133" s="1">
        <f t="shared" si="21"/>
        <v>43460</v>
      </c>
      <c r="L133">
        <v>20011226</v>
      </c>
      <c r="M133" s="1">
        <f t="shared" si="22"/>
        <v>37251</v>
      </c>
      <c r="N133" t="str">
        <f t="shared" si="23"/>
        <v>insert #t values('20011226')</v>
      </c>
    </row>
    <row r="134" spans="1:14" x14ac:dyDescent="0.2">
      <c r="A134" s="12">
        <v>43514</v>
      </c>
      <c r="C134" t="s">
        <v>46</v>
      </c>
      <c r="D134">
        <f t="shared" si="17"/>
        <v>2019</v>
      </c>
      <c r="E134">
        <f t="shared" si="18"/>
        <v>2</v>
      </c>
      <c r="F134">
        <f t="shared" si="19"/>
        <v>18</v>
      </c>
      <c r="H134" s="6">
        <f t="shared" si="20"/>
        <v>-54</v>
      </c>
      <c r="I134">
        <v>20181226</v>
      </c>
      <c r="J134" s="1">
        <f t="shared" si="21"/>
        <v>43460</v>
      </c>
      <c r="L134">
        <v>20020101</v>
      </c>
      <c r="M134" s="1">
        <f t="shared" si="22"/>
        <v>37257</v>
      </c>
      <c r="N134" t="str">
        <f t="shared" si="23"/>
        <v>insert #t values('20020101')</v>
      </c>
    </row>
    <row r="135" spans="1:14" x14ac:dyDescent="0.2">
      <c r="A135" s="12">
        <v>43574</v>
      </c>
      <c r="B135">
        <v>70</v>
      </c>
      <c r="C135" t="s">
        <v>46</v>
      </c>
      <c r="D135">
        <f t="shared" si="17"/>
        <v>2019</v>
      </c>
      <c r="E135">
        <f t="shared" si="18"/>
        <v>4</v>
      </c>
      <c r="F135">
        <f t="shared" si="19"/>
        <v>19</v>
      </c>
      <c r="H135" s="6">
        <f t="shared" si="20"/>
        <v>-108</v>
      </c>
      <c r="I135">
        <v>20190101</v>
      </c>
      <c r="J135" s="1">
        <f t="shared" si="21"/>
        <v>43466</v>
      </c>
      <c r="L135">
        <v>20020329</v>
      </c>
      <c r="M135" s="1">
        <f t="shared" si="22"/>
        <v>37344</v>
      </c>
      <c r="N135" t="str">
        <f t="shared" si="23"/>
        <v>insert #t values('20020329')</v>
      </c>
    </row>
    <row r="136" spans="1:14" x14ac:dyDescent="0.2">
      <c r="A136" s="12">
        <v>43605</v>
      </c>
      <c r="B136">
        <v>71</v>
      </c>
      <c r="C136" t="s">
        <v>46</v>
      </c>
      <c r="D136">
        <f t="shared" si="17"/>
        <v>2019</v>
      </c>
      <c r="E136">
        <f t="shared" si="18"/>
        <v>5</v>
      </c>
      <c r="F136">
        <f t="shared" si="19"/>
        <v>20</v>
      </c>
      <c r="H136" s="6">
        <f t="shared" si="20"/>
        <v>-91</v>
      </c>
      <c r="I136">
        <v>20190218</v>
      </c>
      <c r="J136" s="1">
        <f t="shared" si="21"/>
        <v>43514</v>
      </c>
      <c r="L136">
        <v>20020520</v>
      </c>
      <c r="M136" s="1">
        <f t="shared" si="22"/>
        <v>37396</v>
      </c>
      <c r="N136" t="str">
        <f t="shared" si="23"/>
        <v>insert #t values('20020520')</v>
      </c>
    </row>
    <row r="137" spans="1:14" x14ac:dyDescent="0.2">
      <c r="A137" s="12">
        <v>43647</v>
      </c>
      <c r="B137">
        <v>72</v>
      </c>
      <c r="C137" t="s">
        <v>46</v>
      </c>
      <c r="D137">
        <f t="shared" si="17"/>
        <v>2019</v>
      </c>
      <c r="E137">
        <f t="shared" si="18"/>
        <v>7</v>
      </c>
      <c r="F137">
        <f t="shared" si="19"/>
        <v>1</v>
      </c>
      <c r="H137" s="6">
        <f t="shared" si="20"/>
        <v>-73</v>
      </c>
      <c r="I137">
        <v>20190419</v>
      </c>
      <c r="J137" s="1">
        <f t="shared" si="21"/>
        <v>43574</v>
      </c>
      <c r="L137">
        <v>20020701</v>
      </c>
      <c r="M137" s="1">
        <f t="shared" si="22"/>
        <v>37438</v>
      </c>
      <c r="N137" t="str">
        <f t="shared" si="23"/>
        <v>insert #t values('20020701')</v>
      </c>
    </row>
    <row r="138" spans="1:14" x14ac:dyDescent="0.2">
      <c r="A138" s="12">
        <v>43682</v>
      </c>
      <c r="B138">
        <v>178</v>
      </c>
      <c r="C138" t="s">
        <v>46</v>
      </c>
      <c r="D138">
        <f t="shared" si="17"/>
        <v>2019</v>
      </c>
      <c r="E138">
        <f t="shared" si="18"/>
        <v>8</v>
      </c>
      <c r="F138">
        <f t="shared" si="19"/>
        <v>5</v>
      </c>
      <c r="H138" s="6">
        <f t="shared" si="20"/>
        <v>-77</v>
      </c>
      <c r="I138">
        <v>20190520</v>
      </c>
      <c r="J138" s="1">
        <f t="shared" si="21"/>
        <v>43605</v>
      </c>
      <c r="L138">
        <v>20020805</v>
      </c>
      <c r="M138" s="1">
        <f t="shared" si="22"/>
        <v>37473</v>
      </c>
      <c r="N138" t="str">
        <f t="shared" si="23"/>
        <v>insert #t values('20020805')</v>
      </c>
    </row>
    <row r="139" spans="1:14" x14ac:dyDescent="0.2">
      <c r="A139" s="12">
        <v>43710</v>
      </c>
      <c r="B139">
        <v>74</v>
      </c>
      <c r="C139" t="s">
        <v>46</v>
      </c>
      <c r="D139">
        <f t="shared" si="17"/>
        <v>2019</v>
      </c>
      <c r="E139">
        <f t="shared" si="18"/>
        <v>9</v>
      </c>
      <c r="F139">
        <f t="shared" si="19"/>
        <v>2</v>
      </c>
      <c r="H139" s="6">
        <f t="shared" si="20"/>
        <v>-63</v>
      </c>
      <c r="I139">
        <v>20190701</v>
      </c>
      <c r="J139" s="1">
        <f t="shared" si="21"/>
        <v>43647</v>
      </c>
      <c r="L139">
        <v>20020902</v>
      </c>
      <c r="M139" s="1">
        <f t="shared" si="22"/>
        <v>37501</v>
      </c>
      <c r="N139" t="str">
        <f t="shared" si="23"/>
        <v>insert #t values('20020902')</v>
      </c>
    </row>
    <row r="140" spans="1:14" x14ac:dyDescent="0.2">
      <c r="A140" s="12">
        <v>43752</v>
      </c>
      <c r="B140">
        <v>75</v>
      </c>
      <c r="C140" t="s">
        <v>46</v>
      </c>
      <c r="D140">
        <f t="shared" si="17"/>
        <v>2019</v>
      </c>
      <c r="E140">
        <f t="shared" si="18"/>
        <v>10</v>
      </c>
      <c r="F140">
        <f t="shared" si="19"/>
        <v>14</v>
      </c>
      <c r="H140" s="6">
        <f t="shared" si="20"/>
        <v>-70</v>
      </c>
      <c r="I140">
        <v>20190805</v>
      </c>
      <c r="J140" s="1">
        <f t="shared" si="21"/>
        <v>43682</v>
      </c>
      <c r="L140">
        <v>20021014</v>
      </c>
      <c r="M140" s="1">
        <f t="shared" si="22"/>
        <v>37543</v>
      </c>
      <c r="N140" t="str">
        <f t="shared" si="23"/>
        <v>insert #t values('20021014')</v>
      </c>
    </row>
    <row r="141" spans="1:14" x14ac:dyDescent="0.2">
      <c r="A141" s="12">
        <v>43780</v>
      </c>
      <c r="B141">
        <v>76</v>
      </c>
      <c r="C141" t="s">
        <v>46</v>
      </c>
      <c r="D141">
        <f t="shared" si="17"/>
        <v>2019</v>
      </c>
      <c r="E141">
        <f t="shared" si="18"/>
        <v>11</v>
      </c>
      <c r="F141">
        <f t="shared" si="19"/>
        <v>11</v>
      </c>
      <c r="H141" s="6">
        <f t="shared" si="20"/>
        <v>-70</v>
      </c>
      <c r="I141">
        <v>20190902</v>
      </c>
      <c r="J141" s="1">
        <f t="shared" si="21"/>
        <v>43710</v>
      </c>
      <c r="L141">
        <v>20021111</v>
      </c>
      <c r="M141" s="1">
        <f t="shared" si="22"/>
        <v>37571</v>
      </c>
      <c r="N141" t="str">
        <f t="shared" si="23"/>
        <v>insert #t values('20021111')</v>
      </c>
    </row>
    <row r="142" spans="1:14" x14ac:dyDescent="0.2">
      <c r="A142" s="12">
        <v>43824</v>
      </c>
      <c r="B142">
        <v>77</v>
      </c>
      <c r="C142" t="s">
        <v>46</v>
      </c>
      <c r="D142">
        <f t="shared" si="17"/>
        <v>2019</v>
      </c>
      <c r="E142">
        <f t="shared" si="18"/>
        <v>12</v>
      </c>
      <c r="F142">
        <f t="shared" si="19"/>
        <v>25</v>
      </c>
      <c r="H142" s="6">
        <f t="shared" si="20"/>
        <v>-72</v>
      </c>
      <c r="I142">
        <v>20191014</v>
      </c>
      <c r="J142" s="1">
        <f t="shared" si="21"/>
        <v>43752</v>
      </c>
      <c r="L142">
        <v>20021225</v>
      </c>
      <c r="M142" s="1">
        <f t="shared" si="22"/>
        <v>37615</v>
      </c>
      <c r="N142" t="str">
        <f t="shared" si="23"/>
        <v>insert #t values('20021225')</v>
      </c>
    </row>
    <row r="143" spans="1:14" x14ac:dyDescent="0.2">
      <c r="A143" s="12">
        <v>43825</v>
      </c>
      <c r="B143">
        <v>78</v>
      </c>
      <c r="C143" t="s">
        <v>46</v>
      </c>
      <c r="D143">
        <f t="shared" si="17"/>
        <v>2019</v>
      </c>
      <c r="E143">
        <f t="shared" si="18"/>
        <v>12</v>
      </c>
      <c r="F143">
        <f t="shared" si="19"/>
        <v>26</v>
      </c>
      <c r="H143" s="6">
        <f t="shared" si="20"/>
        <v>-45</v>
      </c>
      <c r="I143">
        <v>20191111</v>
      </c>
      <c r="J143" s="1">
        <f t="shared" si="21"/>
        <v>43780</v>
      </c>
      <c r="L143">
        <v>20021226</v>
      </c>
      <c r="M143" s="1">
        <f t="shared" si="22"/>
        <v>37616</v>
      </c>
      <c r="N143" t="str">
        <f t="shared" si="23"/>
        <v>insert #t values('20021226')</v>
      </c>
    </row>
    <row r="144" spans="1:14" x14ac:dyDescent="0.2">
      <c r="A144" s="12">
        <v>43831</v>
      </c>
      <c r="B144">
        <v>69</v>
      </c>
      <c r="C144" t="s">
        <v>46</v>
      </c>
      <c r="D144">
        <f t="shared" si="17"/>
        <v>2020</v>
      </c>
      <c r="E144">
        <f t="shared" si="18"/>
        <v>1</v>
      </c>
      <c r="F144">
        <f t="shared" si="19"/>
        <v>1</v>
      </c>
      <c r="H144" s="6">
        <f t="shared" si="20"/>
        <v>-7</v>
      </c>
      <c r="I144">
        <v>20191225</v>
      </c>
      <c r="J144" s="1">
        <f t="shared" si="21"/>
        <v>43824</v>
      </c>
      <c r="L144">
        <v>20021226</v>
      </c>
      <c r="M144" s="1">
        <f t="shared" si="22"/>
        <v>37616</v>
      </c>
      <c r="N144" t="str">
        <f t="shared" si="23"/>
        <v>insert #t values('20021226')</v>
      </c>
    </row>
    <row r="145" spans="1:14" x14ac:dyDescent="0.2">
      <c r="A145" s="12">
        <v>43878</v>
      </c>
      <c r="C145" t="s">
        <v>46</v>
      </c>
      <c r="D145">
        <f t="shared" si="17"/>
        <v>2020</v>
      </c>
      <c r="E145">
        <f t="shared" si="18"/>
        <v>2</v>
      </c>
      <c r="F145">
        <f t="shared" si="19"/>
        <v>17</v>
      </c>
      <c r="H145" s="6">
        <f t="shared" si="20"/>
        <v>-53</v>
      </c>
      <c r="I145">
        <v>20191226</v>
      </c>
      <c r="J145" s="1">
        <f t="shared" si="21"/>
        <v>43825</v>
      </c>
      <c r="L145">
        <v>20030101</v>
      </c>
      <c r="M145" s="1">
        <f t="shared" si="22"/>
        <v>37622</v>
      </c>
      <c r="N145" t="str">
        <f t="shared" si="23"/>
        <v>insert #t values('20030101')</v>
      </c>
    </row>
    <row r="146" spans="1:14" x14ac:dyDescent="0.2">
      <c r="A146" s="12">
        <v>43931</v>
      </c>
      <c r="B146">
        <v>70</v>
      </c>
      <c r="C146" t="s">
        <v>46</v>
      </c>
      <c r="D146">
        <f t="shared" si="17"/>
        <v>2020</v>
      </c>
      <c r="E146">
        <f t="shared" si="18"/>
        <v>4</v>
      </c>
      <c r="F146">
        <f t="shared" si="19"/>
        <v>10</v>
      </c>
      <c r="H146" s="6">
        <f t="shared" si="20"/>
        <v>-106</v>
      </c>
      <c r="I146">
        <v>20191226</v>
      </c>
      <c r="J146" s="1">
        <f t="shared" si="21"/>
        <v>43825</v>
      </c>
      <c r="L146">
        <v>20030418</v>
      </c>
      <c r="M146" s="1">
        <f t="shared" si="22"/>
        <v>37729</v>
      </c>
      <c r="N146" t="str">
        <f t="shared" si="23"/>
        <v>insert #t values('20030418')</v>
      </c>
    </row>
    <row r="147" spans="1:14" x14ac:dyDescent="0.2">
      <c r="A147" s="12">
        <v>43969</v>
      </c>
      <c r="B147">
        <v>71</v>
      </c>
      <c r="C147" t="s">
        <v>46</v>
      </c>
      <c r="D147">
        <f t="shared" si="17"/>
        <v>2020</v>
      </c>
      <c r="E147">
        <f t="shared" si="18"/>
        <v>5</v>
      </c>
      <c r="F147">
        <f t="shared" si="19"/>
        <v>18</v>
      </c>
      <c r="H147" s="6">
        <f t="shared" si="20"/>
        <v>-138</v>
      </c>
      <c r="I147">
        <v>20200101</v>
      </c>
      <c r="J147" s="1">
        <f t="shared" si="21"/>
        <v>43831</v>
      </c>
      <c r="L147">
        <v>20030519</v>
      </c>
      <c r="M147" s="1">
        <f t="shared" si="22"/>
        <v>37760</v>
      </c>
      <c r="N147" t="str">
        <f t="shared" si="23"/>
        <v>insert #t values('20030519')</v>
      </c>
    </row>
    <row r="148" spans="1:14" x14ac:dyDescent="0.2">
      <c r="A148" s="12">
        <v>44013</v>
      </c>
      <c r="B148">
        <v>72</v>
      </c>
      <c r="C148" t="s">
        <v>46</v>
      </c>
      <c r="D148">
        <f t="shared" si="17"/>
        <v>2020</v>
      </c>
      <c r="E148">
        <f t="shared" si="18"/>
        <v>7</v>
      </c>
      <c r="F148">
        <f t="shared" si="19"/>
        <v>1</v>
      </c>
      <c r="H148" s="6">
        <f t="shared" si="20"/>
        <v>-135</v>
      </c>
      <c r="I148">
        <v>20200217</v>
      </c>
      <c r="J148" s="1">
        <f t="shared" si="21"/>
        <v>43878</v>
      </c>
      <c r="L148">
        <v>20030701</v>
      </c>
      <c r="M148" s="1">
        <f t="shared" si="22"/>
        <v>37803</v>
      </c>
      <c r="N148" t="str">
        <f t="shared" si="23"/>
        <v>insert #t values('20030701')</v>
      </c>
    </row>
    <row r="149" spans="1:14" x14ac:dyDescent="0.2">
      <c r="A149" s="12">
        <v>44046</v>
      </c>
      <c r="B149">
        <v>178</v>
      </c>
      <c r="C149" t="s">
        <v>46</v>
      </c>
      <c r="D149">
        <f t="shared" si="17"/>
        <v>2020</v>
      </c>
      <c r="E149">
        <f t="shared" si="18"/>
        <v>8</v>
      </c>
      <c r="F149">
        <f t="shared" si="19"/>
        <v>3</v>
      </c>
      <c r="H149" s="6">
        <f t="shared" si="20"/>
        <v>-115</v>
      </c>
      <c r="I149">
        <v>20200410</v>
      </c>
      <c r="J149" s="1">
        <f t="shared" si="21"/>
        <v>43931</v>
      </c>
      <c r="L149">
        <v>20030804</v>
      </c>
      <c r="M149" s="1">
        <f t="shared" si="22"/>
        <v>37837</v>
      </c>
      <c r="N149" t="str">
        <f t="shared" si="23"/>
        <v>insert #t values('20030804')</v>
      </c>
    </row>
    <row r="150" spans="1:14" x14ac:dyDescent="0.2">
      <c r="A150" s="12">
        <v>44081</v>
      </c>
      <c r="B150">
        <v>74</v>
      </c>
      <c r="C150" t="s">
        <v>46</v>
      </c>
      <c r="D150">
        <f t="shared" si="17"/>
        <v>2020</v>
      </c>
      <c r="E150">
        <f t="shared" si="18"/>
        <v>9</v>
      </c>
      <c r="F150">
        <f t="shared" si="19"/>
        <v>7</v>
      </c>
      <c r="H150" s="6">
        <f t="shared" si="20"/>
        <v>-112</v>
      </c>
      <c r="I150">
        <v>20200518</v>
      </c>
      <c r="J150" s="1">
        <f t="shared" si="21"/>
        <v>43969</v>
      </c>
      <c r="L150">
        <v>20030901</v>
      </c>
      <c r="M150" s="1">
        <f t="shared" si="22"/>
        <v>37865</v>
      </c>
      <c r="N150" t="str">
        <f t="shared" si="23"/>
        <v>insert #t values('20030901')</v>
      </c>
    </row>
    <row r="151" spans="1:14" x14ac:dyDescent="0.2">
      <c r="A151" s="12">
        <v>44116</v>
      </c>
      <c r="B151">
        <v>75</v>
      </c>
      <c r="C151" t="s">
        <v>46</v>
      </c>
      <c r="D151">
        <f t="shared" si="17"/>
        <v>2020</v>
      </c>
      <c r="E151">
        <f t="shared" si="18"/>
        <v>10</v>
      </c>
      <c r="F151">
        <f t="shared" si="19"/>
        <v>12</v>
      </c>
      <c r="H151" s="6">
        <f t="shared" si="20"/>
        <v>-103</v>
      </c>
      <c r="I151">
        <v>20200701</v>
      </c>
      <c r="J151" s="1">
        <f t="shared" si="21"/>
        <v>44013</v>
      </c>
      <c r="L151">
        <v>20031013</v>
      </c>
      <c r="M151" s="1">
        <f t="shared" si="22"/>
        <v>37907</v>
      </c>
      <c r="N151" t="str">
        <f t="shared" si="23"/>
        <v>insert #t values('20031013')</v>
      </c>
    </row>
    <row r="152" spans="1:14" x14ac:dyDescent="0.2">
      <c r="A152" s="12">
        <v>44146</v>
      </c>
      <c r="B152">
        <v>76</v>
      </c>
      <c r="C152" t="s">
        <v>46</v>
      </c>
      <c r="D152">
        <f t="shared" si="17"/>
        <v>2020</v>
      </c>
      <c r="E152">
        <f t="shared" si="18"/>
        <v>11</v>
      </c>
      <c r="F152">
        <f t="shared" si="19"/>
        <v>11</v>
      </c>
      <c r="H152" s="6">
        <f t="shared" si="20"/>
        <v>-100</v>
      </c>
      <c r="I152">
        <v>20200803</v>
      </c>
      <c r="J152" s="1">
        <f t="shared" si="21"/>
        <v>44046</v>
      </c>
      <c r="L152">
        <v>20031111</v>
      </c>
      <c r="M152" s="1">
        <f t="shared" si="22"/>
        <v>37936</v>
      </c>
      <c r="N152" t="str">
        <f t="shared" si="23"/>
        <v>insert #t values('20031111')</v>
      </c>
    </row>
    <row r="153" spans="1:14" x14ac:dyDescent="0.2">
      <c r="A153" s="12">
        <v>44190</v>
      </c>
      <c r="B153">
        <v>77</v>
      </c>
      <c r="C153" t="s">
        <v>46</v>
      </c>
      <c r="D153">
        <f t="shared" si="17"/>
        <v>2020</v>
      </c>
      <c r="E153">
        <f t="shared" si="18"/>
        <v>12</v>
      </c>
      <c r="F153">
        <f t="shared" si="19"/>
        <v>25</v>
      </c>
      <c r="H153" s="6">
        <f t="shared" si="20"/>
        <v>-109</v>
      </c>
      <c r="I153">
        <v>20200907</v>
      </c>
      <c r="J153" s="1">
        <f t="shared" si="21"/>
        <v>44081</v>
      </c>
      <c r="L153">
        <v>20031225</v>
      </c>
      <c r="M153" s="1">
        <f t="shared" si="22"/>
        <v>37980</v>
      </c>
      <c r="N153" t="str">
        <f t="shared" si="23"/>
        <v>insert #t values('20031225')</v>
      </c>
    </row>
    <row r="154" spans="1:14" x14ac:dyDescent="0.2">
      <c r="A154" s="12">
        <v>44193</v>
      </c>
      <c r="B154">
        <v>78</v>
      </c>
      <c r="C154" t="s">
        <v>46</v>
      </c>
      <c r="D154">
        <f t="shared" si="17"/>
        <v>2020</v>
      </c>
      <c r="E154">
        <f t="shared" si="18"/>
        <v>12</v>
      </c>
      <c r="F154">
        <f t="shared" si="19"/>
        <v>28</v>
      </c>
      <c r="H154" s="6">
        <f t="shared" si="20"/>
        <v>-77</v>
      </c>
      <c r="I154">
        <v>20201012</v>
      </c>
      <c r="J154" s="1">
        <f t="shared" si="21"/>
        <v>44116</v>
      </c>
      <c r="L154">
        <v>20031226</v>
      </c>
      <c r="M154" s="1">
        <f t="shared" si="22"/>
        <v>37981</v>
      </c>
      <c r="N154" t="str">
        <f t="shared" si="23"/>
        <v>insert #t values('20031226')</v>
      </c>
    </row>
    <row r="155" spans="1:14" x14ac:dyDescent="0.2">
      <c r="A155" s="12">
        <v>44197</v>
      </c>
      <c r="B155">
        <v>69</v>
      </c>
      <c r="C155" t="s">
        <v>46</v>
      </c>
      <c r="D155">
        <f t="shared" si="17"/>
        <v>2021</v>
      </c>
      <c r="E155">
        <f t="shared" si="18"/>
        <v>1</v>
      </c>
      <c r="F155">
        <f t="shared" si="19"/>
        <v>1</v>
      </c>
      <c r="H155" s="6">
        <f t="shared" si="20"/>
        <v>-51</v>
      </c>
      <c r="I155">
        <v>20201111</v>
      </c>
      <c r="J155" s="1">
        <f t="shared" si="21"/>
        <v>44146</v>
      </c>
      <c r="L155">
        <v>20031226</v>
      </c>
      <c r="M155" s="1">
        <f t="shared" si="22"/>
        <v>37981</v>
      </c>
      <c r="N155" t="str">
        <f t="shared" si="23"/>
        <v>insert #t values('20031226')</v>
      </c>
    </row>
    <row r="156" spans="1:14" x14ac:dyDescent="0.2">
      <c r="A156" s="12">
        <v>44249</v>
      </c>
      <c r="C156" t="s">
        <v>46</v>
      </c>
      <c r="D156">
        <f t="shared" si="17"/>
        <v>2021</v>
      </c>
      <c r="E156">
        <f t="shared" si="18"/>
        <v>2</v>
      </c>
      <c r="F156">
        <f t="shared" si="19"/>
        <v>22</v>
      </c>
      <c r="H156" s="6">
        <f t="shared" si="20"/>
        <v>-59</v>
      </c>
      <c r="I156">
        <v>20201225</v>
      </c>
      <c r="J156" s="1">
        <f t="shared" si="21"/>
        <v>44190</v>
      </c>
      <c r="L156">
        <v>20040101</v>
      </c>
      <c r="M156" s="1">
        <f t="shared" si="22"/>
        <v>37987</v>
      </c>
      <c r="N156" t="str">
        <f t="shared" si="23"/>
        <v>insert #t values('20040101')</v>
      </c>
    </row>
    <row r="157" spans="1:14" x14ac:dyDescent="0.2">
      <c r="A157" s="12">
        <v>44288</v>
      </c>
      <c r="B157">
        <v>70</v>
      </c>
      <c r="C157" t="s">
        <v>46</v>
      </c>
      <c r="D157">
        <f t="shared" si="17"/>
        <v>2021</v>
      </c>
      <c r="E157">
        <f t="shared" si="18"/>
        <v>4</v>
      </c>
      <c r="F157">
        <f t="shared" si="19"/>
        <v>2</v>
      </c>
      <c r="H157" s="6">
        <f t="shared" si="20"/>
        <v>-95</v>
      </c>
      <c r="I157">
        <v>20201228</v>
      </c>
      <c r="J157" s="1">
        <f t="shared" si="21"/>
        <v>44193</v>
      </c>
      <c r="L157">
        <v>20040409</v>
      </c>
      <c r="M157" s="1">
        <f t="shared" si="22"/>
        <v>38086</v>
      </c>
      <c r="N157" t="str">
        <f t="shared" si="23"/>
        <v>insert #t values('20040409')</v>
      </c>
    </row>
    <row r="158" spans="1:14" x14ac:dyDescent="0.2">
      <c r="A158" s="12">
        <v>44340</v>
      </c>
      <c r="B158">
        <v>71</v>
      </c>
      <c r="C158" t="s">
        <v>46</v>
      </c>
      <c r="D158">
        <f t="shared" si="17"/>
        <v>2021</v>
      </c>
      <c r="E158">
        <f t="shared" si="18"/>
        <v>5</v>
      </c>
      <c r="F158">
        <f t="shared" si="19"/>
        <v>24</v>
      </c>
      <c r="H158" s="6">
        <f t="shared" si="20"/>
        <v>-147</v>
      </c>
      <c r="I158">
        <v>20201228</v>
      </c>
      <c r="J158" s="1">
        <f t="shared" si="21"/>
        <v>44193</v>
      </c>
      <c r="L158">
        <v>20040524</v>
      </c>
      <c r="M158" s="1">
        <f t="shared" si="22"/>
        <v>38131</v>
      </c>
      <c r="N158" t="str">
        <f t="shared" si="23"/>
        <v>insert #t values('20040524')</v>
      </c>
    </row>
    <row r="159" spans="1:14" x14ac:dyDescent="0.2">
      <c r="A159" s="12">
        <v>44378</v>
      </c>
      <c r="B159">
        <v>72</v>
      </c>
      <c r="C159" t="s">
        <v>46</v>
      </c>
      <c r="D159">
        <f t="shared" si="17"/>
        <v>2021</v>
      </c>
      <c r="E159">
        <f t="shared" si="18"/>
        <v>7</v>
      </c>
      <c r="F159">
        <f t="shared" si="19"/>
        <v>1</v>
      </c>
      <c r="H159" s="6">
        <f t="shared" si="20"/>
        <v>-181</v>
      </c>
      <c r="I159">
        <v>20210101</v>
      </c>
      <c r="J159" s="1">
        <f t="shared" si="21"/>
        <v>44197</v>
      </c>
      <c r="L159">
        <v>20040701</v>
      </c>
      <c r="M159" s="1">
        <f t="shared" si="22"/>
        <v>38169</v>
      </c>
      <c r="N159" t="str">
        <f t="shared" si="23"/>
        <v>insert #t values('20040701')</v>
      </c>
    </row>
    <row r="160" spans="1:14" x14ac:dyDescent="0.2">
      <c r="A160" s="12">
        <v>44410</v>
      </c>
      <c r="B160">
        <v>178</v>
      </c>
      <c r="C160" t="s">
        <v>46</v>
      </c>
      <c r="D160">
        <f t="shared" si="17"/>
        <v>2021</v>
      </c>
      <c r="E160">
        <f t="shared" si="18"/>
        <v>8</v>
      </c>
      <c r="F160">
        <f t="shared" si="19"/>
        <v>2</v>
      </c>
      <c r="H160" s="6">
        <f t="shared" si="20"/>
        <v>-168</v>
      </c>
      <c r="I160">
        <v>20210215</v>
      </c>
      <c r="J160" s="1">
        <f t="shared" si="21"/>
        <v>44242</v>
      </c>
      <c r="L160">
        <v>20040802</v>
      </c>
      <c r="M160" s="1">
        <f t="shared" si="22"/>
        <v>38201</v>
      </c>
      <c r="N160" t="str">
        <f t="shared" si="23"/>
        <v>insert #t values('20040802')</v>
      </c>
    </row>
    <row r="161" spans="1:14" x14ac:dyDescent="0.2">
      <c r="A161" s="12">
        <v>44445</v>
      </c>
      <c r="B161">
        <v>74</v>
      </c>
      <c r="C161" t="s">
        <v>46</v>
      </c>
      <c r="D161">
        <f t="shared" si="17"/>
        <v>2021</v>
      </c>
      <c r="E161">
        <f t="shared" si="18"/>
        <v>9</v>
      </c>
      <c r="F161">
        <f t="shared" si="19"/>
        <v>6</v>
      </c>
      <c r="H161" s="6">
        <f t="shared" si="20"/>
        <v>-157</v>
      </c>
      <c r="I161">
        <v>20210402</v>
      </c>
      <c r="J161" s="1">
        <f t="shared" si="21"/>
        <v>44288</v>
      </c>
      <c r="L161">
        <v>20040906</v>
      </c>
      <c r="M161" s="1">
        <f t="shared" si="22"/>
        <v>38236</v>
      </c>
      <c r="N161" t="str">
        <f t="shared" si="23"/>
        <v>insert #t values('20040906')</v>
      </c>
    </row>
    <row r="162" spans="1:14" x14ac:dyDescent="0.2">
      <c r="A162" s="12">
        <v>44480</v>
      </c>
      <c r="B162">
        <v>75</v>
      </c>
      <c r="C162" t="s">
        <v>46</v>
      </c>
      <c r="D162">
        <f t="shared" si="17"/>
        <v>2021</v>
      </c>
      <c r="E162">
        <f t="shared" si="18"/>
        <v>10</v>
      </c>
      <c r="F162">
        <f t="shared" si="19"/>
        <v>11</v>
      </c>
      <c r="H162" s="6">
        <f t="shared" si="20"/>
        <v>-140</v>
      </c>
      <c r="I162">
        <v>20210524</v>
      </c>
      <c r="J162" s="1">
        <f t="shared" si="21"/>
        <v>44340</v>
      </c>
      <c r="L162">
        <v>20041011</v>
      </c>
      <c r="M162" s="1">
        <f t="shared" si="22"/>
        <v>38271</v>
      </c>
      <c r="N162" t="str">
        <f t="shared" si="23"/>
        <v>insert #t values('20041011')</v>
      </c>
    </row>
    <row r="163" spans="1:14" x14ac:dyDescent="0.2">
      <c r="A163" s="12">
        <v>44511</v>
      </c>
      <c r="B163">
        <v>76</v>
      </c>
      <c r="C163" t="s">
        <v>46</v>
      </c>
      <c r="D163">
        <f t="shared" si="17"/>
        <v>2021</v>
      </c>
      <c r="E163">
        <f t="shared" si="18"/>
        <v>11</v>
      </c>
      <c r="F163">
        <f t="shared" si="19"/>
        <v>11</v>
      </c>
      <c r="H163" s="6">
        <f t="shared" si="20"/>
        <v>-133</v>
      </c>
      <c r="I163">
        <v>20210701</v>
      </c>
      <c r="J163" s="1">
        <f t="shared" si="21"/>
        <v>44378</v>
      </c>
      <c r="L163">
        <v>20041111</v>
      </c>
      <c r="M163" s="1">
        <f t="shared" si="22"/>
        <v>38302</v>
      </c>
      <c r="N163" t="str">
        <f t="shared" si="23"/>
        <v>insert #t values('20041111')</v>
      </c>
    </row>
    <row r="164" spans="1:14" x14ac:dyDescent="0.2">
      <c r="A164" s="12">
        <v>44557</v>
      </c>
      <c r="B164">
        <v>77</v>
      </c>
      <c r="C164" t="s">
        <v>46</v>
      </c>
      <c r="D164">
        <f t="shared" ref="D164:D227" si="24">YEAR(A164)</f>
        <v>2021</v>
      </c>
      <c r="E164">
        <f t="shared" ref="E164:E227" si="25">MONTH(A164)</f>
        <v>12</v>
      </c>
      <c r="F164">
        <f t="shared" ref="F164:F227" si="26">DAY(A164)</f>
        <v>27</v>
      </c>
      <c r="H164" s="6">
        <f t="shared" si="20"/>
        <v>-147</v>
      </c>
      <c r="I164">
        <v>20210802</v>
      </c>
      <c r="J164" s="1">
        <f t="shared" si="21"/>
        <v>44410</v>
      </c>
      <c r="L164">
        <v>20041227</v>
      </c>
      <c r="M164" s="1">
        <f t="shared" si="22"/>
        <v>38348</v>
      </c>
      <c r="N164" t="str">
        <f t="shared" si="23"/>
        <v>insert #t values('20041227')</v>
      </c>
    </row>
    <row r="165" spans="1:14" x14ac:dyDescent="0.2">
      <c r="A165" s="12">
        <v>44558</v>
      </c>
      <c r="B165">
        <v>78</v>
      </c>
      <c r="C165" t="s">
        <v>46</v>
      </c>
      <c r="D165">
        <f t="shared" si="24"/>
        <v>2021</v>
      </c>
      <c r="E165">
        <f t="shared" si="25"/>
        <v>12</v>
      </c>
      <c r="F165">
        <f t="shared" si="26"/>
        <v>28</v>
      </c>
      <c r="H165" s="6">
        <f t="shared" si="20"/>
        <v>-113</v>
      </c>
      <c r="I165">
        <v>20210906</v>
      </c>
      <c r="J165" s="1">
        <f t="shared" si="21"/>
        <v>44445</v>
      </c>
      <c r="L165">
        <v>20041227</v>
      </c>
      <c r="M165" s="1">
        <f t="shared" si="22"/>
        <v>38348</v>
      </c>
      <c r="N165" t="str">
        <f t="shared" si="23"/>
        <v>insert #t values('20041227')</v>
      </c>
    </row>
    <row r="166" spans="1:14" x14ac:dyDescent="0.2">
      <c r="A166" s="12">
        <v>44564</v>
      </c>
      <c r="B166">
        <v>69</v>
      </c>
      <c r="C166" t="s">
        <v>46</v>
      </c>
      <c r="D166">
        <f t="shared" si="24"/>
        <v>2022</v>
      </c>
      <c r="E166">
        <f t="shared" si="25"/>
        <v>1</v>
      </c>
      <c r="F166">
        <f t="shared" si="26"/>
        <v>3</v>
      </c>
      <c r="H166" s="6">
        <f t="shared" si="20"/>
        <v>-84</v>
      </c>
      <c r="I166">
        <v>20211011</v>
      </c>
      <c r="J166" s="1">
        <f t="shared" si="21"/>
        <v>44480</v>
      </c>
      <c r="L166">
        <v>20041228</v>
      </c>
      <c r="M166" s="1">
        <f t="shared" si="22"/>
        <v>38349</v>
      </c>
      <c r="N166" t="str">
        <f t="shared" si="23"/>
        <v>insert #t values('20041228')</v>
      </c>
    </row>
    <row r="167" spans="1:14" x14ac:dyDescent="0.2">
      <c r="A167" s="12">
        <v>44613</v>
      </c>
      <c r="C167" t="s">
        <v>46</v>
      </c>
      <c r="D167">
        <f t="shared" si="24"/>
        <v>2022</v>
      </c>
      <c r="E167">
        <f t="shared" si="25"/>
        <v>2</v>
      </c>
      <c r="F167">
        <f t="shared" si="26"/>
        <v>21</v>
      </c>
      <c r="H167" s="6">
        <f t="shared" si="20"/>
        <v>-102</v>
      </c>
      <c r="I167">
        <v>20211111</v>
      </c>
      <c r="J167" s="1">
        <f t="shared" si="21"/>
        <v>44511</v>
      </c>
      <c r="L167">
        <v>20050103</v>
      </c>
      <c r="M167" s="1">
        <f t="shared" si="22"/>
        <v>38355</v>
      </c>
      <c r="N167" t="str">
        <f t="shared" si="23"/>
        <v>insert #t values('20050103')</v>
      </c>
    </row>
    <row r="168" spans="1:14" x14ac:dyDescent="0.2">
      <c r="A168" s="12">
        <v>44666</v>
      </c>
      <c r="B168">
        <v>70</v>
      </c>
      <c r="C168" t="s">
        <v>46</v>
      </c>
      <c r="D168">
        <f t="shared" si="24"/>
        <v>2022</v>
      </c>
      <c r="E168">
        <f t="shared" si="25"/>
        <v>4</v>
      </c>
      <c r="F168">
        <f t="shared" si="26"/>
        <v>15</v>
      </c>
      <c r="H168" s="6">
        <f t="shared" si="20"/>
        <v>-109</v>
      </c>
      <c r="I168">
        <v>20211227</v>
      </c>
      <c r="J168" s="1">
        <f t="shared" si="21"/>
        <v>44557</v>
      </c>
      <c r="L168">
        <v>20050325</v>
      </c>
      <c r="M168" s="1">
        <f t="shared" si="22"/>
        <v>38436</v>
      </c>
      <c r="N168" t="str">
        <f t="shared" si="23"/>
        <v>insert #t values('20050325')</v>
      </c>
    </row>
    <row r="169" spans="1:14" x14ac:dyDescent="0.2">
      <c r="A169" s="12">
        <v>44704</v>
      </c>
      <c r="B169">
        <v>71</v>
      </c>
      <c r="C169" t="s">
        <v>46</v>
      </c>
      <c r="D169">
        <f t="shared" si="24"/>
        <v>2022</v>
      </c>
      <c r="E169">
        <f t="shared" si="25"/>
        <v>5</v>
      </c>
      <c r="F169">
        <f t="shared" si="26"/>
        <v>23</v>
      </c>
      <c r="H169" s="6">
        <f t="shared" si="20"/>
        <v>-147</v>
      </c>
      <c r="I169">
        <v>20211227</v>
      </c>
      <c r="J169" s="1">
        <f t="shared" si="21"/>
        <v>44557</v>
      </c>
      <c r="L169">
        <v>20050523</v>
      </c>
      <c r="M169" s="1">
        <f t="shared" si="22"/>
        <v>38495</v>
      </c>
      <c r="N169" t="str">
        <f t="shared" si="23"/>
        <v>insert #t values('20050523')</v>
      </c>
    </row>
    <row r="170" spans="1:14" x14ac:dyDescent="0.2">
      <c r="A170" s="12">
        <v>44743</v>
      </c>
      <c r="B170">
        <v>72</v>
      </c>
      <c r="C170" t="s">
        <v>46</v>
      </c>
      <c r="D170">
        <f t="shared" si="24"/>
        <v>2022</v>
      </c>
      <c r="E170">
        <f t="shared" si="25"/>
        <v>7</v>
      </c>
      <c r="F170">
        <f t="shared" si="26"/>
        <v>1</v>
      </c>
      <c r="H170" s="6">
        <f t="shared" si="20"/>
        <v>-185</v>
      </c>
      <c r="I170">
        <v>20211228</v>
      </c>
      <c r="J170" s="1">
        <f t="shared" si="21"/>
        <v>44558</v>
      </c>
      <c r="L170">
        <v>20050701</v>
      </c>
      <c r="M170" s="1">
        <f t="shared" si="22"/>
        <v>38534</v>
      </c>
      <c r="N170" t="str">
        <f t="shared" si="23"/>
        <v>insert #t values('20050701')</v>
      </c>
    </row>
    <row r="171" spans="1:14" x14ac:dyDescent="0.2">
      <c r="A171" s="12">
        <v>44774</v>
      </c>
      <c r="B171">
        <v>178</v>
      </c>
      <c r="C171" t="s">
        <v>46</v>
      </c>
      <c r="D171">
        <f t="shared" si="24"/>
        <v>2022</v>
      </c>
      <c r="E171">
        <f t="shared" si="25"/>
        <v>8</v>
      </c>
      <c r="F171">
        <f t="shared" si="26"/>
        <v>1</v>
      </c>
      <c r="H171" s="6">
        <f t="shared" si="20"/>
        <v>-210</v>
      </c>
      <c r="I171">
        <v>20220103</v>
      </c>
      <c r="J171" s="1">
        <f t="shared" si="21"/>
        <v>44564</v>
      </c>
      <c r="L171">
        <v>20050801</v>
      </c>
      <c r="M171" s="1">
        <f t="shared" si="22"/>
        <v>38565</v>
      </c>
      <c r="N171" t="str">
        <f t="shared" si="23"/>
        <v>insert #t values('20050801')</v>
      </c>
    </row>
    <row r="172" spans="1:14" x14ac:dyDescent="0.2">
      <c r="A172" s="12">
        <v>44809</v>
      </c>
      <c r="B172">
        <v>74</v>
      </c>
      <c r="C172" t="s">
        <v>46</v>
      </c>
      <c r="D172">
        <f t="shared" si="24"/>
        <v>2022</v>
      </c>
      <c r="E172">
        <f t="shared" si="25"/>
        <v>9</v>
      </c>
      <c r="F172">
        <f t="shared" si="26"/>
        <v>5</v>
      </c>
      <c r="H172" s="6">
        <f t="shared" si="20"/>
        <v>-196</v>
      </c>
      <c r="I172">
        <v>20220221</v>
      </c>
      <c r="J172" s="1">
        <f t="shared" si="21"/>
        <v>44613</v>
      </c>
      <c r="L172">
        <v>20050905</v>
      </c>
      <c r="M172" s="1">
        <f t="shared" si="22"/>
        <v>38600</v>
      </c>
      <c r="N172" t="str">
        <f t="shared" si="23"/>
        <v>insert #t values('20050905')</v>
      </c>
    </row>
    <row r="173" spans="1:14" x14ac:dyDescent="0.2">
      <c r="A173" s="12">
        <v>44844</v>
      </c>
      <c r="B173">
        <v>75</v>
      </c>
      <c r="C173" t="s">
        <v>46</v>
      </c>
      <c r="D173">
        <f t="shared" si="24"/>
        <v>2022</v>
      </c>
      <c r="E173">
        <f t="shared" si="25"/>
        <v>10</v>
      </c>
      <c r="F173">
        <f t="shared" si="26"/>
        <v>10</v>
      </c>
      <c r="H173" s="6">
        <f t="shared" si="20"/>
        <v>-178</v>
      </c>
      <c r="I173">
        <v>20220415</v>
      </c>
      <c r="J173" s="1">
        <f t="shared" si="21"/>
        <v>44666</v>
      </c>
      <c r="L173">
        <v>20051010</v>
      </c>
      <c r="M173" s="1">
        <f t="shared" si="22"/>
        <v>38635</v>
      </c>
      <c r="N173" t="str">
        <f t="shared" si="23"/>
        <v>insert #t values('20051010')</v>
      </c>
    </row>
    <row r="174" spans="1:14" x14ac:dyDescent="0.2">
      <c r="A174" s="12">
        <v>44876</v>
      </c>
      <c r="B174">
        <v>76</v>
      </c>
      <c r="C174" t="s">
        <v>46</v>
      </c>
      <c r="D174">
        <f t="shared" si="24"/>
        <v>2022</v>
      </c>
      <c r="E174">
        <f t="shared" si="25"/>
        <v>11</v>
      </c>
      <c r="F174">
        <f t="shared" si="26"/>
        <v>11</v>
      </c>
      <c r="H174" s="6">
        <f t="shared" si="20"/>
        <v>-172</v>
      </c>
      <c r="I174">
        <v>20220523</v>
      </c>
      <c r="J174" s="1">
        <f t="shared" si="21"/>
        <v>44704</v>
      </c>
      <c r="L174">
        <v>20051111</v>
      </c>
      <c r="M174" s="1">
        <f t="shared" si="22"/>
        <v>38667</v>
      </c>
      <c r="N174" t="str">
        <f t="shared" si="23"/>
        <v>insert #t values('20051111')</v>
      </c>
    </row>
    <row r="175" spans="1:14" x14ac:dyDescent="0.2">
      <c r="A175" s="12">
        <v>44921</v>
      </c>
      <c r="B175">
        <v>78</v>
      </c>
      <c r="C175" t="s">
        <v>46</v>
      </c>
      <c r="D175">
        <f t="shared" si="24"/>
        <v>2022</v>
      </c>
      <c r="E175">
        <f t="shared" si="25"/>
        <v>12</v>
      </c>
      <c r="F175">
        <f t="shared" si="26"/>
        <v>26</v>
      </c>
      <c r="H175" s="6">
        <f t="shared" si="20"/>
        <v>-178</v>
      </c>
      <c r="I175">
        <v>20220701</v>
      </c>
      <c r="J175" s="1">
        <f t="shared" si="21"/>
        <v>44743</v>
      </c>
      <c r="L175">
        <v>20051226</v>
      </c>
      <c r="M175" s="1">
        <f t="shared" si="22"/>
        <v>38712</v>
      </c>
      <c r="N175" t="str">
        <f t="shared" si="23"/>
        <v>insert #t values('20051226')</v>
      </c>
    </row>
    <row r="176" spans="1:14" x14ac:dyDescent="0.2">
      <c r="A176" s="12">
        <v>44922</v>
      </c>
      <c r="B176">
        <v>77</v>
      </c>
      <c r="C176" t="s">
        <v>46</v>
      </c>
      <c r="D176">
        <f t="shared" si="24"/>
        <v>2022</v>
      </c>
      <c r="E176">
        <f t="shared" si="25"/>
        <v>12</v>
      </c>
      <c r="F176">
        <f t="shared" si="26"/>
        <v>27</v>
      </c>
      <c r="H176" s="6">
        <f t="shared" si="20"/>
        <v>-148</v>
      </c>
      <c r="I176">
        <v>20220801</v>
      </c>
      <c r="J176" s="1">
        <f t="shared" si="21"/>
        <v>44774</v>
      </c>
      <c r="L176">
        <v>20051226</v>
      </c>
      <c r="M176" s="1">
        <f t="shared" si="22"/>
        <v>38712</v>
      </c>
      <c r="N176" t="str">
        <f t="shared" si="23"/>
        <v>insert #t values('20051226')</v>
      </c>
    </row>
    <row r="177" spans="1:14" x14ac:dyDescent="0.2">
      <c r="A177" s="12">
        <v>44928</v>
      </c>
      <c r="B177">
        <v>69</v>
      </c>
      <c r="C177" t="s">
        <v>46</v>
      </c>
      <c r="D177">
        <f t="shared" si="24"/>
        <v>2023</v>
      </c>
      <c r="E177">
        <f t="shared" si="25"/>
        <v>1</v>
      </c>
      <c r="F177">
        <f t="shared" si="26"/>
        <v>2</v>
      </c>
      <c r="H177" s="6">
        <f t="shared" si="20"/>
        <v>-119</v>
      </c>
      <c r="I177">
        <v>20220905</v>
      </c>
      <c r="J177" s="1">
        <f t="shared" si="21"/>
        <v>44809</v>
      </c>
      <c r="L177">
        <v>20051226</v>
      </c>
      <c r="M177" s="1">
        <f t="shared" si="22"/>
        <v>38712</v>
      </c>
      <c r="N177" t="str">
        <f t="shared" si="23"/>
        <v>insert #t values('20051226')</v>
      </c>
    </row>
    <row r="178" spans="1:14" x14ac:dyDescent="0.2">
      <c r="A178" s="12">
        <v>44977</v>
      </c>
      <c r="C178" t="s">
        <v>46</v>
      </c>
      <c r="D178">
        <f t="shared" si="24"/>
        <v>2023</v>
      </c>
      <c r="E178">
        <f t="shared" si="25"/>
        <v>2</v>
      </c>
      <c r="F178">
        <f t="shared" si="26"/>
        <v>20</v>
      </c>
      <c r="H178" s="6">
        <f t="shared" si="20"/>
        <v>-133</v>
      </c>
      <c r="I178">
        <v>20221010</v>
      </c>
      <c r="J178" s="1">
        <f t="shared" si="21"/>
        <v>44844</v>
      </c>
      <c r="L178">
        <v>20060102</v>
      </c>
      <c r="M178" s="1">
        <f t="shared" si="22"/>
        <v>38719</v>
      </c>
      <c r="N178" t="str">
        <f t="shared" si="23"/>
        <v>insert #t values('20060102')</v>
      </c>
    </row>
    <row r="179" spans="1:14" x14ac:dyDescent="0.2">
      <c r="A179" s="12">
        <v>45023</v>
      </c>
      <c r="B179">
        <v>70</v>
      </c>
      <c r="C179" t="s">
        <v>46</v>
      </c>
      <c r="D179">
        <f t="shared" si="24"/>
        <v>2023</v>
      </c>
      <c r="E179">
        <f t="shared" si="25"/>
        <v>4</v>
      </c>
      <c r="F179">
        <f t="shared" si="26"/>
        <v>7</v>
      </c>
      <c r="H179" s="6">
        <f t="shared" si="20"/>
        <v>-147</v>
      </c>
      <c r="I179">
        <v>20221111</v>
      </c>
      <c r="J179" s="1">
        <f t="shared" si="21"/>
        <v>44876</v>
      </c>
      <c r="L179">
        <v>20060414</v>
      </c>
      <c r="M179" s="1">
        <f t="shared" si="22"/>
        <v>38821</v>
      </c>
      <c r="N179" t="str">
        <f t="shared" si="23"/>
        <v>insert #t values('20060414')</v>
      </c>
    </row>
    <row r="180" spans="1:14" x14ac:dyDescent="0.2">
      <c r="A180" s="12">
        <v>45068</v>
      </c>
      <c r="B180">
        <v>71</v>
      </c>
      <c r="C180" t="s">
        <v>46</v>
      </c>
      <c r="D180">
        <f t="shared" si="24"/>
        <v>2023</v>
      </c>
      <c r="E180">
        <f t="shared" si="25"/>
        <v>5</v>
      </c>
      <c r="F180">
        <f t="shared" si="26"/>
        <v>22</v>
      </c>
      <c r="H180" s="6">
        <f t="shared" si="20"/>
        <v>-147</v>
      </c>
      <c r="I180">
        <v>20221226</v>
      </c>
      <c r="J180" s="1">
        <f t="shared" si="21"/>
        <v>44921</v>
      </c>
      <c r="L180">
        <v>20060522</v>
      </c>
      <c r="M180" s="1">
        <f t="shared" si="22"/>
        <v>38859</v>
      </c>
      <c r="N180" t="str">
        <f t="shared" si="23"/>
        <v>insert #t values('20060522')</v>
      </c>
    </row>
    <row r="181" spans="1:14" x14ac:dyDescent="0.2">
      <c r="A181" s="12">
        <v>45110</v>
      </c>
      <c r="B181">
        <v>72</v>
      </c>
      <c r="C181" t="s">
        <v>46</v>
      </c>
      <c r="D181">
        <f t="shared" si="24"/>
        <v>2023</v>
      </c>
      <c r="E181">
        <f t="shared" si="25"/>
        <v>7</v>
      </c>
      <c r="F181">
        <f t="shared" si="26"/>
        <v>3</v>
      </c>
      <c r="H181" s="6">
        <f t="shared" si="20"/>
        <v>-189</v>
      </c>
      <c r="I181">
        <v>20221226</v>
      </c>
      <c r="J181" s="1">
        <f t="shared" si="21"/>
        <v>44921</v>
      </c>
      <c r="L181">
        <v>20060703</v>
      </c>
      <c r="M181" s="1">
        <f t="shared" si="22"/>
        <v>38901</v>
      </c>
      <c r="N181" t="str">
        <f t="shared" si="23"/>
        <v>insert #t values('20060703')</v>
      </c>
    </row>
    <row r="182" spans="1:14" x14ac:dyDescent="0.2">
      <c r="A182" s="12">
        <v>45145</v>
      </c>
      <c r="B182">
        <v>178</v>
      </c>
      <c r="C182" t="s">
        <v>46</v>
      </c>
      <c r="D182">
        <f t="shared" si="24"/>
        <v>2023</v>
      </c>
      <c r="E182">
        <f t="shared" si="25"/>
        <v>8</v>
      </c>
      <c r="F182">
        <f t="shared" si="26"/>
        <v>7</v>
      </c>
      <c r="H182" s="6">
        <f t="shared" si="20"/>
        <v>-224</v>
      </c>
      <c r="I182">
        <v>20221226</v>
      </c>
      <c r="J182" s="1">
        <f t="shared" si="21"/>
        <v>44921</v>
      </c>
      <c r="L182">
        <v>20060807</v>
      </c>
      <c r="M182" s="1">
        <f t="shared" si="22"/>
        <v>38936</v>
      </c>
      <c r="N182" t="str">
        <f t="shared" si="23"/>
        <v>insert #t values('20060807')</v>
      </c>
    </row>
    <row r="183" spans="1:14" x14ac:dyDescent="0.2">
      <c r="A183" s="12">
        <v>45173</v>
      </c>
      <c r="B183">
        <v>74</v>
      </c>
      <c r="C183" t="s">
        <v>46</v>
      </c>
      <c r="D183">
        <f t="shared" si="24"/>
        <v>2023</v>
      </c>
      <c r="E183">
        <f t="shared" si="25"/>
        <v>9</v>
      </c>
      <c r="F183">
        <f t="shared" si="26"/>
        <v>4</v>
      </c>
      <c r="H183" s="6">
        <f t="shared" si="20"/>
        <v>-245</v>
      </c>
      <c r="I183">
        <v>20230102</v>
      </c>
      <c r="J183" s="1">
        <f t="shared" si="21"/>
        <v>44928</v>
      </c>
      <c r="L183">
        <v>20060904</v>
      </c>
      <c r="M183" s="1">
        <f t="shared" si="22"/>
        <v>38964</v>
      </c>
      <c r="N183" t="str">
        <f t="shared" si="23"/>
        <v>insert #t values('20060904')</v>
      </c>
    </row>
    <row r="184" spans="1:14" x14ac:dyDescent="0.2">
      <c r="A184" s="12">
        <v>45208</v>
      </c>
      <c r="B184">
        <v>75</v>
      </c>
      <c r="C184" t="s">
        <v>46</v>
      </c>
      <c r="D184">
        <f t="shared" si="24"/>
        <v>2023</v>
      </c>
      <c r="E184">
        <f t="shared" si="25"/>
        <v>10</v>
      </c>
      <c r="F184">
        <f t="shared" si="26"/>
        <v>9</v>
      </c>
      <c r="H184" s="6">
        <f t="shared" si="20"/>
        <v>-231</v>
      </c>
      <c r="I184">
        <v>20230220</v>
      </c>
      <c r="J184" s="1">
        <f t="shared" si="21"/>
        <v>44977</v>
      </c>
      <c r="L184">
        <v>20061009</v>
      </c>
      <c r="M184" s="1">
        <f t="shared" si="22"/>
        <v>38999</v>
      </c>
      <c r="N184" t="str">
        <f t="shared" si="23"/>
        <v>insert #t values('20061009')</v>
      </c>
    </row>
    <row r="185" spans="1:14" x14ac:dyDescent="0.2">
      <c r="A185" s="12">
        <v>45243</v>
      </c>
      <c r="B185">
        <v>76</v>
      </c>
      <c r="C185" t="s">
        <v>46</v>
      </c>
      <c r="D185">
        <f t="shared" si="24"/>
        <v>2023</v>
      </c>
      <c r="E185">
        <f t="shared" si="25"/>
        <v>11</v>
      </c>
      <c r="F185">
        <f t="shared" si="26"/>
        <v>13</v>
      </c>
      <c r="H185" s="6">
        <f t="shared" si="20"/>
        <v>-220</v>
      </c>
      <c r="I185">
        <v>20230407</v>
      </c>
      <c r="J185" s="1">
        <f t="shared" si="21"/>
        <v>45023</v>
      </c>
      <c r="L185">
        <v>20061113</v>
      </c>
      <c r="M185" s="1">
        <f t="shared" si="22"/>
        <v>39034</v>
      </c>
      <c r="N185" t="str">
        <f t="shared" si="23"/>
        <v>insert #t values('20061113')</v>
      </c>
    </row>
    <row r="186" spans="1:14" x14ac:dyDescent="0.2">
      <c r="A186" s="12">
        <v>45285</v>
      </c>
      <c r="B186">
        <v>77</v>
      </c>
      <c r="C186" t="s">
        <v>46</v>
      </c>
      <c r="D186">
        <f t="shared" si="24"/>
        <v>2023</v>
      </c>
      <c r="E186">
        <f t="shared" si="25"/>
        <v>12</v>
      </c>
      <c r="F186">
        <f t="shared" si="26"/>
        <v>25</v>
      </c>
      <c r="H186" s="6">
        <f t="shared" si="20"/>
        <v>-217</v>
      </c>
      <c r="I186">
        <v>20230522</v>
      </c>
      <c r="J186" s="1">
        <f t="shared" si="21"/>
        <v>45068</v>
      </c>
      <c r="L186">
        <v>20061225</v>
      </c>
      <c r="M186" s="1">
        <f t="shared" si="22"/>
        <v>39076</v>
      </c>
      <c r="N186" t="str">
        <f t="shared" si="23"/>
        <v>insert #t values('20061225')</v>
      </c>
    </row>
    <row r="187" spans="1:14" x14ac:dyDescent="0.2">
      <c r="A187" s="12">
        <v>45286</v>
      </c>
      <c r="B187">
        <v>78</v>
      </c>
      <c r="C187" t="s">
        <v>46</v>
      </c>
      <c r="D187">
        <f t="shared" si="24"/>
        <v>2023</v>
      </c>
      <c r="E187">
        <f t="shared" si="25"/>
        <v>12</v>
      </c>
      <c r="F187">
        <f t="shared" si="26"/>
        <v>26</v>
      </c>
      <c r="H187" s="6">
        <f t="shared" si="20"/>
        <v>-176</v>
      </c>
      <c r="I187">
        <v>20230703</v>
      </c>
      <c r="J187" s="1">
        <f t="shared" si="21"/>
        <v>45110</v>
      </c>
      <c r="L187">
        <v>20061226</v>
      </c>
      <c r="M187" s="1">
        <f t="shared" si="22"/>
        <v>39077</v>
      </c>
      <c r="N187" t="str">
        <f t="shared" si="23"/>
        <v>insert #t values('20061226')</v>
      </c>
    </row>
    <row r="188" spans="1:14" x14ac:dyDescent="0.2">
      <c r="A188" s="12">
        <v>45292</v>
      </c>
      <c r="B188">
        <v>69</v>
      </c>
      <c r="C188" t="s">
        <v>46</v>
      </c>
      <c r="D188">
        <f t="shared" si="24"/>
        <v>2024</v>
      </c>
      <c r="E188">
        <f t="shared" si="25"/>
        <v>1</v>
      </c>
      <c r="F188">
        <f t="shared" si="26"/>
        <v>1</v>
      </c>
      <c r="H188" s="6">
        <f t="shared" si="20"/>
        <v>-147</v>
      </c>
      <c r="I188">
        <v>20230807</v>
      </c>
      <c r="J188" s="1">
        <f t="shared" si="21"/>
        <v>45145</v>
      </c>
      <c r="L188">
        <v>20061226</v>
      </c>
      <c r="M188" s="1">
        <f t="shared" si="22"/>
        <v>39077</v>
      </c>
      <c r="N188" t="str">
        <f t="shared" si="23"/>
        <v>insert #t values('20061226')</v>
      </c>
    </row>
    <row r="189" spans="1:14" x14ac:dyDescent="0.2">
      <c r="A189" s="12">
        <v>45341</v>
      </c>
      <c r="C189" t="s">
        <v>46</v>
      </c>
      <c r="D189">
        <f t="shared" si="24"/>
        <v>2024</v>
      </c>
      <c r="E189">
        <f t="shared" si="25"/>
        <v>2</v>
      </c>
      <c r="F189">
        <f t="shared" si="26"/>
        <v>19</v>
      </c>
      <c r="H189" s="6">
        <f t="shared" si="20"/>
        <v>-168</v>
      </c>
      <c r="I189">
        <v>20230904</v>
      </c>
      <c r="J189" s="1">
        <f t="shared" si="21"/>
        <v>45173</v>
      </c>
      <c r="L189">
        <v>20070101</v>
      </c>
      <c r="M189" s="1">
        <f t="shared" si="22"/>
        <v>39083</v>
      </c>
      <c r="N189" t="str">
        <f t="shared" si="23"/>
        <v>insert #t values('20070101')</v>
      </c>
    </row>
    <row r="190" spans="1:14" x14ac:dyDescent="0.2">
      <c r="A190" s="12">
        <v>45380</v>
      </c>
      <c r="B190">
        <v>70</v>
      </c>
      <c r="C190" t="s">
        <v>46</v>
      </c>
      <c r="D190">
        <f t="shared" si="24"/>
        <v>2024</v>
      </c>
      <c r="E190">
        <f t="shared" si="25"/>
        <v>3</v>
      </c>
      <c r="F190">
        <f t="shared" si="26"/>
        <v>29</v>
      </c>
      <c r="H190" s="6">
        <f t="shared" si="20"/>
        <v>-172</v>
      </c>
      <c r="I190">
        <v>20231009</v>
      </c>
      <c r="J190" s="1">
        <f t="shared" si="21"/>
        <v>45208</v>
      </c>
      <c r="L190">
        <v>20070406</v>
      </c>
      <c r="M190" s="1">
        <f t="shared" si="22"/>
        <v>39178</v>
      </c>
      <c r="N190" t="str">
        <f t="shared" si="23"/>
        <v>insert #t values('20070406')</v>
      </c>
    </row>
    <row r="191" spans="1:14" x14ac:dyDescent="0.2">
      <c r="A191" s="12">
        <v>45432</v>
      </c>
      <c r="B191">
        <v>71</v>
      </c>
      <c r="C191" t="s">
        <v>46</v>
      </c>
      <c r="D191">
        <f t="shared" si="24"/>
        <v>2024</v>
      </c>
      <c r="E191">
        <f t="shared" si="25"/>
        <v>5</v>
      </c>
      <c r="F191">
        <f t="shared" si="26"/>
        <v>20</v>
      </c>
      <c r="H191" s="6">
        <f t="shared" si="20"/>
        <v>-189</v>
      </c>
      <c r="I191">
        <v>20231113</v>
      </c>
      <c r="J191" s="1">
        <f t="shared" si="21"/>
        <v>45243</v>
      </c>
      <c r="L191">
        <v>20070521</v>
      </c>
      <c r="M191" s="1">
        <f t="shared" si="22"/>
        <v>39223</v>
      </c>
      <c r="N191" t="str">
        <f t="shared" si="23"/>
        <v>insert #t values('20070521')</v>
      </c>
    </row>
    <row r="192" spans="1:14" x14ac:dyDescent="0.2">
      <c r="A192" s="12">
        <v>45474</v>
      </c>
      <c r="B192">
        <v>72</v>
      </c>
      <c r="C192" t="s">
        <v>46</v>
      </c>
      <c r="D192">
        <f t="shared" si="24"/>
        <v>2024</v>
      </c>
      <c r="E192">
        <f t="shared" si="25"/>
        <v>7</v>
      </c>
      <c r="F192">
        <f t="shared" si="26"/>
        <v>1</v>
      </c>
      <c r="H192" s="6">
        <f t="shared" si="20"/>
        <v>-189</v>
      </c>
      <c r="I192">
        <v>20231225</v>
      </c>
      <c r="J192" s="1">
        <f t="shared" si="21"/>
        <v>45285</v>
      </c>
      <c r="L192">
        <v>20070702</v>
      </c>
      <c r="M192" s="1">
        <f t="shared" si="22"/>
        <v>39265</v>
      </c>
      <c r="N192" t="str">
        <f t="shared" si="23"/>
        <v>insert #t values('20070702')</v>
      </c>
    </row>
    <row r="193" spans="1:14" x14ac:dyDescent="0.2">
      <c r="A193" s="12">
        <v>45509</v>
      </c>
      <c r="B193">
        <v>178</v>
      </c>
      <c r="C193" t="s">
        <v>46</v>
      </c>
      <c r="D193">
        <f t="shared" si="24"/>
        <v>2024</v>
      </c>
      <c r="E193">
        <f t="shared" si="25"/>
        <v>8</v>
      </c>
      <c r="F193">
        <f t="shared" si="26"/>
        <v>5</v>
      </c>
      <c r="H193" s="6">
        <f t="shared" si="20"/>
        <v>-223</v>
      </c>
      <c r="I193">
        <v>20231226</v>
      </c>
      <c r="J193" s="1">
        <f t="shared" si="21"/>
        <v>45286</v>
      </c>
      <c r="L193">
        <v>20070806</v>
      </c>
      <c r="M193" s="1">
        <f t="shared" si="22"/>
        <v>39300</v>
      </c>
      <c r="N193" t="str">
        <f t="shared" si="23"/>
        <v>insert #t values('20070806')</v>
      </c>
    </row>
    <row r="194" spans="1:14" x14ac:dyDescent="0.2">
      <c r="A194" s="12">
        <v>45537</v>
      </c>
      <c r="B194">
        <v>74</v>
      </c>
      <c r="C194" t="s">
        <v>46</v>
      </c>
      <c r="D194">
        <f t="shared" si="24"/>
        <v>2024</v>
      </c>
      <c r="E194">
        <f t="shared" si="25"/>
        <v>9</v>
      </c>
      <c r="F194">
        <f t="shared" si="26"/>
        <v>2</v>
      </c>
      <c r="H194" s="6">
        <f t="shared" ref="H194:H257" si="27">J194-A194</f>
        <v>-251</v>
      </c>
      <c r="I194">
        <v>20231226</v>
      </c>
      <c r="J194" s="1">
        <f t="shared" ref="J194:J257" si="28">DATE(LEFT(I194,4),MID(I194,5,2),RIGHT(I194,2))</f>
        <v>45286</v>
      </c>
      <c r="L194">
        <v>20070903</v>
      </c>
      <c r="M194" s="1">
        <f t="shared" ref="M194:M257" si="29">DATE(LEFT(L194,4),MID(L194,5,2),RIGHT(L194,2))</f>
        <v>39328</v>
      </c>
      <c r="N194" t="str">
        <f t="shared" ref="N194:N257" si="30">"insert #t values('"&amp;L194 &amp; "')"</f>
        <v>insert #t values('20070903')</v>
      </c>
    </row>
    <row r="195" spans="1:14" x14ac:dyDescent="0.2">
      <c r="A195" s="12">
        <v>45579</v>
      </c>
      <c r="B195">
        <v>75</v>
      </c>
      <c r="C195" t="s">
        <v>46</v>
      </c>
      <c r="D195">
        <f t="shared" si="24"/>
        <v>2024</v>
      </c>
      <c r="E195">
        <f t="shared" si="25"/>
        <v>10</v>
      </c>
      <c r="F195">
        <f t="shared" si="26"/>
        <v>14</v>
      </c>
      <c r="H195" s="6">
        <f t="shared" si="27"/>
        <v>-287</v>
      </c>
      <c r="I195">
        <v>20240101</v>
      </c>
      <c r="J195" s="1">
        <f t="shared" si="28"/>
        <v>45292</v>
      </c>
      <c r="L195">
        <v>20071008</v>
      </c>
      <c r="M195" s="1">
        <f t="shared" si="29"/>
        <v>39363</v>
      </c>
      <c r="N195" t="str">
        <f t="shared" si="30"/>
        <v>insert #t values('20071008')</v>
      </c>
    </row>
    <row r="196" spans="1:14" x14ac:dyDescent="0.2">
      <c r="A196" s="12">
        <v>45607</v>
      </c>
      <c r="B196">
        <v>76</v>
      </c>
      <c r="C196" t="s">
        <v>46</v>
      </c>
      <c r="D196">
        <f t="shared" si="24"/>
        <v>2024</v>
      </c>
      <c r="E196">
        <f t="shared" si="25"/>
        <v>11</v>
      </c>
      <c r="F196">
        <f t="shared" si="26"/>
        <v>11</v>
      </c>
      <c r="H196" s="6">
        <f t="shared" si="27"/>
        <v>-266</v>
      </c>
      <c r="I196">
        <v>20240219</v>
      </c>
      <c r="J196" s="1">
        <f t="shared" si="28"/>
        <v>45341</v>
      </c>
      <c r="L196">
        <v>20071112</v>
      </c>
      <c r="M196" s="1">
        <f t="shared" si="29"/>
        <v>39398</v>
      </c>
      <c r="N196" t="str">
        <f t="shared" si="30"/>
        <v>insert #t values('20071112')</v>
      </c>
    </row>
    <row r="197" spans="1:14" x14ac:dyDescent="0.2">
      <c r="A197" s="12">
        <v>45651</v>
      </c>
      <c r="B197">
        <v>77</v>
      </c>
      <c r="C197" t="s">
        <v>46</v>
      </c>
      <c r="D197">
        <f t="shared" si="24"/>
        <v>2024</v>
      </c>
      <c r="E197">
        <f t="shared" si="25"/>
        <v>12</v>
      </c>
      <c r="F197">
        <f t="shared" si="26"/>
        <v>25</v>
      </c>
      <c r="H197" s="6">
        <f t="shared" si="27"/>
        <v>-271</v>
      </c>
      <c r="I197">
        <v>20240329</v>
      </c>
      <c r="J197" s="1">
        <f t="shared" si="28"/>
        <v>45380</v>
      </c>
      <c r="L197">
        <v>20071225</v>
      </c>
      <c r="M197" s="1">
        <f t="shared" si="29"/>
        <v>39441</v>
      </c>
      <c r="N197" t="str">
        <f t="shared" si="30"/>
        <v>insert #t values('20071225')</v>
      </c>
    </row>
    <row r="198" spans="1:14" x14ac:dyDescent="0.2">
      <c r="A198" s="12">
        <v>45652</v>
      </c>
      <c r="B198">
        <v>78</v>
      </c>
      <c r="C198" t="s">
        <v>46</v>
      </c>
      <c r="D198">
        <f t="shared" si="24"/>
        <v>2024</v>
      </c>
      <c r="E198">
        <f t="shared" si="25"/>
        <v>12</v>
      </c>
      <c r="F198">
        <f t="shared" si="26"/>
        <v>26</v>
      </c>
      <c r="H198" s="6">
        <f t="shared" si="27"/>
        <v>-220</v>
      </c>
      <c r="I198">
        <v>20240520</v>
      </c>
      <c r="J198" s="1">
        <f t="shared" si="28"/>
        <v>45432</v>
      </c>
      <c r="L198">
        <v>20071226</v>
      </c>
      <c r="M198" s="1">
        <f t="shared" si="29"/>
        <v>39442</v>
      </c>
      <c r="N198" t="str">
        <f t="shared" si="30"/>
        <v>insert #t values('20071226')</v>
      </c>
    </row>
    <row r="199" spans="1:14" x14ac:dyDescent="0.2">
      <c r="A199" s="12">
        <v>45658</v>
      </c>
      <c r="B199">
        <v>69</v>
      </c>
      <c r="C199" t="s">
        <v>46</v>
      </c>
      <c r="D199">
        <f t="shared" si="24"/>
        <v>2025</v>
      </c>
      <c r="E199">
        <f t="shared" si="25"/>
        <v>1</v>
      </c>
      <c r="F199">
        <f t="shared" si="26"/>
        <v>1</v>
      </c>
      <c r="H199" s="6">
        <f t="shared" si="27"/>
        <v>-184</v>
      </c>
      <c r="I199">
        <v>20240701</v>
      </c>
      <c r="J199" s="1">
        <f t="shared" si="28"/>
        <v>45474</v>
      </c>
      <c r="L199">
        <v>20071226</v>
      </c>
      <c r="M199" s="1">
        <f t="shared" si="29"/>
        <v>39442</v>
      </c>
      <c r="N199" t="str">
        <f t="shared" si="30"/>
        <v>insert #t values('20071226')</v>
      </c>
    </row>
    <row r="200" spans="1:14" x14ac:dyDescent="0.2">
      <c r="A200" s="12">
        <v>45705</v>
      </c>
      <c r="C200" t="s">
        <v>46</v>
      </c>
      <c r="D200">
        <f t="shared" si="24"/>
        <v>2025</v>
      </c>
      <c r="E200">
        <f t="shared" si="25"/>
        <v>2</v>
      </c>
      <c r="F200">
        <f t="shared" si="26"/>
        <v>17</v>
      </c>
      <c r="H200" s="6">
        <f t="shared" si="27"/>
        <v>-196</v>
      </c>
      <c r="I200">
        <v>20240805</v>
      </c>
      <c r="J200" s="1">
        <f t="shared" si="28"/>
        <v>45509</v>
      </c>
      <c r="L200">
        <v>20080101</v>
      </c>
      <c r="M200" s="1">
        <f t="shared" si="29"/>
        <v>39448</v>
      </c>
      <c r="N200" t="str">
        <f t="shared" si="30"/>
        <v>insert #t values('20080101')</v>
      </c>
    </row>
    <row r="201" spans="1:14" x14ac:dyDescent="0.2">
      <c r="A201" s="12">
        <v>45765</v>
      </c>
      <c r="B201">
        <v>70</v>
      </c>
      <c r="C201" t="s">
        <v>46</v>
      </c>
      <c r="D201">
        <f t="shared" si="24"/>
        <v>2025</v>
      </c>
      <c r="E201">
        <f t="shared" si="25"/>
        <v>4</v>
      </c>
      <c r="F201">
        <f t="shared" si="26"/>
        <v>18</v>
      </c>
      <c r="H201" s="6">
        <f t="shared" si="27"/>
        <v>-228</v>
      </c>
      <c r="I201">
        <v>20240902</v>
      </c>
      <c r="J201" s="1">
        <f t="shared" si="28"/>
        <v>45537</v>
      </c>
      <c r="L201">
        <v>20080218</v>
      </c>
      <c r="M201" s="1">
        <f t="shared" si="29"/>
        <v>39496</v>
      </c>
      <c r="N201" t="str">
        <f t="shared" si="30"/>
        <v>insert #t values('20080218')</v>
      </c>
    </row>
    <row r="202" spans="1:14" x14ac:dyDescent="0.2">
      <c r="A202" s="12">
        <v>45796</v>
      </c>
      <c r="B202">
        <v>71</v>
      </c>
      <c r="C202" t="s">
        <v>46</v>
      </c>
      <c r="D202">
        <f t="shared" si="24"/>
        <v>2025</v>
      </c>
      <c r="E202">
        <f t="shared" si="25"/>
        <v>5</v>
      </c>
      <c r="F202">
        <f t="shared" si="26"/>
        <v>19</v>
      </c>
      <c r="H202" s="6">
        <f t="shared" si="27"/>
        <v>-217</v>
      </c>
      <c r="I202">
        <v>20241014</v>
      </c>
      <c r="J202" s="1">
        <f t="shared" si="28"/>
        <v>45579</v>
      </c>
      <c r="L202">
        <v>20080321</v>
      </c>
      <c r="M202" s="1">
        <f t="shared" si="29"/>
        <v>39528</v>
      </c>
      <c r="N202" t="str">
        <f t="shared" si="30"/>
        <v>insert #t values('20080321')</v>
      </c>
    </row>
    <row r="203" spans="1:14" x14ac:dyDescent="0.2">
      <c r="A203" s="12">
        <v>45839</v>
      </c>
      <c r="B203">
        <v>72</v>
      </c>
      <c r="C203" t="s">
        <v>46</v>
      </c>
      <c r="D203">
        <f t="shared" si="24"/>
        <v>2025</v>
      </c>
      <c r="E203">
        <f t="shared" si="25"/>
        <v>7</v>
      </c>
      <c r="F203">
        <f t="shared" si="26"/>
        <v>1</v>
      </c>
      <c r="H203" s="6">
        <f t="shared" si="27"/>
        <v>-232</v>
      </c>
      <c r="I203">
        <v>20241111</v>
      </c>
      <c r="J203" s="1">
        <f t="shared" si="28"/>
        <v>45607</v>
      </c>
      <c r="L203">
        <v>20080519</v>
      </c>
      <c r="M203" s="1">
        <f t="shared" si="29"/>
        <v>39587</v>
      </c>
      <c r="N203" t="str">
        <f t="shared" si="30"/>
        <v>insert #t values('20080519')</v>
      </c>
    </row>
    <row r="204" spans="1:14" x14ac:dyDescent="0.2">
      <c r="A204" s="12">
        <v>45873</v>
      </c>
      <c r="B204">
        <v>178</v>
      </c>
      <c r="C204" t="s">
        <v>46</v>
      </c>
      <c r="D204">
        <f t="shared" si="24"/>
        <v>2025</v>
      </c>
      <c r="E204">
        <f t="shared" si="25"/>
        <v>8</v>
      </c>
      <c r="F204">
        <f t="shared" si="26"/>
        <v>4</v>
      </c>
      <c r="H204" s="6">
        <f t="shared" si="27"/>
        <v>-222</v>
      </c>
      <c r="I204">
        <v>20241225</v>
      </c>
      <c r="J204" s="1">
        <f t="shared" si="28"/>
        <v>45651</v>
      </c>
      <c r="L204">
        <v>20080701</v>
      </c>
      <c r="M204" s="1">
        <f t="shared" si="29"/>
        <v>39630</v>
      </c>
      <c r="N204" t="str">
        <f t="shared" si="30"/>
        <v>insert #t values('20080701')</v>
      </c>
    </row>
    <row r="205" spans="1:14" x14ac:dyDescent="0.2">
      <c r="A205" s="12">
        <v>45901</v>
      </c>
      <c r="B205">
        <v>74</v>
      </c>
      <c r="C205" t="s">
        <v>46</v>
      </c>
      <c r="D205">
        <f t="shared" si="24"/>
        <v>2025</v>
      </c>
      <c r="E205">
        <f t="shared" si="25"/>
        <v>9</v>
      </c>
      <c r="F205">
        <f t="shared" si="26"/>
        <v>1</v>
      </c>
      <c r="H205" s="6">
        <f t="shared" si="27"/>
        <v>-249</v>
      </c>
      <c r="I205">
        <v>20241226</v>
      </c>
      <c r="J205" s="1">
        <f t="shared" si="28"/>
        <v>45652</v>
      </c>
      <c r="L205">
        <v>20080804</v>
      </c>
      <c r="M205" s="1">
        <f t="shared" si="29"/>
        <v>39664</v>
      </c>
      <c r="N205" t="str">
        <f t="shared" si="30"/>
        <v>insert #t values('20080804')</v>
      </c>
    </row>
    <row r="206" spans="1:14" x14ac:dyDescent="0.2">
      <c r="A206" s="12">
        <v>45943</v>
      </c>
      <c r="B206">
        <v>75</v>
      </c>
      <c r="C206" t="s">
        <v>46</v>
      </c>
      <c r="D206">
        <f t="shared" si="24"/>
        <v>2025</v>
      </c>
      <c r="E206">
        <f t="shared" si="25"/>
        <v>10</v>
      </c>
      <c r="F206">
        <f t="shared" si="26"/>
        <v>13</v>
      </c>
      <c r="H206" s="6">
        <f t="shared" si="27"/>
        <v>-291</v>
      </c>
      <c r="I206">
        <v>20241226</v>
      </c>
      <c r="J206" s="1">
        <f t="shared" si="28"/>
        <v>45652</v>
      </c>
      <c r="L206">
        <v>20080901</v>
      </c>
      <c r="M206" s="1">
        <f t="shared" si="29"/>
        <v>39692</v>
      </c>
      <c r="N206" t="str">
        <f t="shared" si="30"/>
        <v>insert #t values('20080901')</v>
      </c>
    </row>
    <row r="207" spans="1:14" x14ac:dyDescent="0.2">
      <c r="A207" s="12">
        <v>45972</v>
      </c>
      <c r="B207">
        <v>76</v>
      </c>
      <c r="C207" t="s">
        <v>46</v>
      </c>
      <c r="D207">
        <f t="shared" si="24"/>
        <v>2025</v>
      </c>
      <c r="E207">
        <f t="shared" si="25"/>
        <v>11</v>
      </c>
      <c r="F207">
        <f t="shared" si="26"/>
        <v>11</v>
      </c>
      <c r="H207" s="6">
        <f t="shared" si="27"/>
        <v>-314</v>
      </c>
      <c r="I207">
        <v>20250101</v>
      </c>
      <c r="J207" s="1">
        <f t="shared" si="28"/>
        <v>45658</v>
      </c>
      <c r="L207">
        <v>20081013</v>
      </c>
      <c r="M207" s="1">
        <f t="shared" si="29"/>
        <v>39734</v>
      </c>
      <c r="N207" t="str">
        <f t="shared" si="30"/>
        <v>insert #t values('20081013')</v>
      </c>
    </row>
    <row r="208" spans="1:14" x14ac:dyDescent="0.2">
      <c r="A208" s="12">
        <v>46016</v>
      </c>
      <c r="B208">
        <v>77</v>
      </c>
      <c r="C208" t="s">
        <v>46</v>
      </c>
      <c r="D208">
        <f t="shared" si="24"/>
        <v>2025</v>
      </c>
      <c r="E208">
        <f t="shared" si="25"/>
        <v>12</v>
      </c>
      <c r="F208">
        <f t="shared" si="26"/>
        <v>25</v>
      </c>
      <c r="H208" s="6">
        <f t="shared" si="27"/>
        <v>-311</v>
      </c>
      <c r="I208">
        <v>20250217</v>
      </c>
      <c r="J208" s="1">
        <f t="shared" si="28"/>
        <v>45705</v>
      </c>
      <c r="L208">
        <v>20081111</v>
      </c>
      <c r="M208" s="1">
        <f t="shared" si="29"/>
        <v>39763</v>
      </c>
      <c r="N208" t="str">
        <f t="shared" si="30"/>
        <v>insert #t values('20081111')</v>
      </c>
    </row>
    <row r="209" spans="1:14" x14ac:dyDescent="0.2">
      <c r="A209" s="12">
        <v>46017</v>
      </c>
      <c r="B209">
        <v>78</v>
      </c>
      <c r="C209" t="s">
        <v>46</v>
      </c>
      <c r="D209">
        <f t="shared" si="24"/>
        <v>2025</v>
      </c>
      <c r="E209">
        <f t="shared" si="25"/>
        <v>12</v>
      </c>
      <c r="F209">
        <f t="shared" si="26"/>
        <v>26</v>
      </c>
      <c r="H209" s="6">
        <f t="shared" si="27"/>
        <v>-252</v>
      </c>
      <c r="I209">
        <v>20250418</v>
      </c>
      <c r="J209" s="1">
        <f t="shared" si="28"/>
        <v>45765</v>
      </c>
      <c r="L209">
        <v>20081225</v>
      </c>
      <c r="M209" s="1">
        <f t="shared" si="29"/>
        <v>39807</v>
      </c>
      <c r="N209" t="str">
        <f t="shared" si="30"/>
        <v>insert #t values('20081225')</v>
      </c>
    </row>
    <row r="210" spans="1:14" x14ac:dyDescent="0.2">
      <c r="A210" s="12">
        <v>46023</v>
      </c>
      <c r="B210">
        <v>69</v>
      </c>
      <c r="C210" t="s">
        <v>46</v>
      </c>
      <c r="D210">
        <f t="shared" si="24"/>
        <v>2026</v>
      </c>
      <c r="E210">
        <f t="shared" si="25"/>
        <v>1</v>
      </c>
      <c r="F210">
        <f t="shared" si="26"/>
        <v>1</v>
      </c>
      <c r="H210" s="6">
        <f t="shared" si="27"/>
        <v>-227</v>
      </c>
      <c r="I210">
        <v>20250519</v>
      </c>
      <c r="J210" s="1">
        <f t="shared" si="28"/>
        <v>45796</v>
      </c>
      <c r="L210">
        <v>20081226</v>
      </c>
      <c r="M210" s="1">
        <f t="shared" si="29"/>
        <v>39808</v>
      </c>
      <c r="N210" t="str">
        <f t="shared" si="30"/>
        <v>insert #t values('20081226')</v>
      </c>
    </row>
    <row r="211" spans="1:14" x14ac:dyDescent="0.2">
      <c r="A211" s="12">
        <v>46076</v>
      </c>
      <c r="C211" t="s">
        <v>46</v>
      </c>
      <c r="D211">
        <f t="shared" si="24"/>
        <v>2026</v>
      </c>
      <c r="E211">
        <f t="shared" si="25"/>
        <v>2</v>
      </c>
      <c r="F211">
        <f t="shared" si="26"/>
        <v>23</v>
      </c>
      <c r="H211" s="6">
        <f t="shared" si="27"/>
        <v>-237</v>
      </c>
      <c r="I211">
        <v>20250701</v>
      </c>
      <c r="J211" s="1">
        <f t="shared" si="28"/>
        <v>45839</v>
      </c>
      <c r="L211">
        <v>20081226</v>
      </c>
      <c r="M211" s="1">
        <f t="shared" si="29"/>
        <v>39808</v>
      </c>
      <c r="N211" t="str">
        <f t="shared" si="30"/>
        <v>insert #t values('20081226')</v>
      </c>
    </row>
    <row r="212" spans="1:14" x14ac:dyDescent="0.2">
      <c r="A212" s="12">
        <v>46115</v>
      </c>
      <c r="B212">
        <v>70</v>
      </c>
      <c r="C212" t="s">
        <v>46</v>
      </c>
      <c r="D212">
        <f t="shared" si="24"/>
        <v>2026</v>
      </c>
      <c r="E212">
        <f t="shared" si="25"/>
        <v>4</v>
      </c>
      <c r="F212">
        <f t="shared" si="26"/>
        <v>3</v>
      </c>
      <c r="H212" s="6">
        <f t="shared" si="27"/>
        <v>-242</v>
      </c>
      <c r="I212">
        <v>20250804</v>
      </c>
      <c r="J212" s="1">
        <f t="shared" si="28"/>
        <v>45873</v>
      </c>
      <c r="L212">
        <v>20090101</v>
      </c>
      <c r="M212" s="1">
        <f t="shared" si="29"/>
        <v>39814</v>
      </c>
      <c r="N212" t="str">
        <f t="shared" si="30"/>
        <v>insert #t values('20090101')</v>
      </c>
    </row>
    <row r="213" spans="1:14" x14ac:dyDescent="0.2">
      <c r="A213" s="12">
        <v>46160</v>
      </c>
      <c r="B213">
        <v>71</v>
      </c>
      <c r="C213" t="s">
        <v>46</v>
      </c>
      <c r="D213">
        <f t="shared" si="24"/>
        <v>2026</v>
      </c>
      <c r="E213">
        <f t="shared" si="25"/>
        <v>5</v>
      </c>
      <c r="F213">
        <f t="shared" si="26"/>
        <v>18</v>
      </c>
      <c r="H213" s="6">
        <f t="shared" si="27"/>
        <v>-259</v>
      </c>
      <c r="I213">
        <v>20250901</v>
      </c>
      <c r="J213" s="1">
        <f t="shared" si="28"/>
        <v>45901</v>
      </c>
      <c r="L213">
        <v>20090216</v>
      </c>
      <c r="M213" s="1">
        <f t="shared" si="29"/>
        <v>39860</v>
      </c>
      <c r="N213" t="str">
        <f t="shared" si="30"/>
        <v>insert #t values('20090216')</v>
      </c>
    </row>
    <row r="214" spans="1:14" x14ac:dyDescent="0.2">
      <c r="A214" s="12">
        <v>46204</v>
      </c>
      <c r="B214">
        <v>72</v>
      </c>
      <c r="C214" t="s">
        <v>46</v>
      </c>
      <c r="D214">
        <f t="shared" si="24"/>
        <v>2026</v>
      </c>
      <c r="E214">
        <f t="shared" si="25"/>
        <v>7</v>
      </c>
      <c r="F214">
        <f t="shared" si="26"/>
        <v>1</v>
      </c>
      <c r="H214" s="6">
        <f t="shared" si="27"/>
        <v>-261</v>
      </c>
      <c r="I214">
        <v>20251013</v>
      </c>
      <c r="J214" s="1">
        <f t="shared" si="28"/>
        <v>45943</v>
      </c>
      <c r="L214">
        <v>20090410</v>
      </c>
      <c r="M214" s="1">
        <f t="shared" si="29"/>
        <v>39913</v>
      </c>
      <c r="N214" t="str">
        <f t="shared" si="30"/>
        <v>insert #t values('20090410')</v>
      </c>
    </row>
    <row r="215" spans="1:14" x14ac:dyDescent="0.2">
      <c r="A215" s="12">
        <v>46237</v>
      </c>
      <c r="B215">
        <v>178</v>
      </c>
      <c r="C215" t="s">
        <v>46</v>
      </c>
      <c r="D215">
        <f t="shared" si="24"/>
        <v>2026</v>
      </c>
      <c r="E215">
        <f t="shared" si="25"/>
        <v>8</v>
      </c>
      <c r="F215">
        <f t="shared" si="26"/>
        <v>3</v>
      </c>
      <c r="H215" s="6">
        <f t="shared" si="27"/>
        <v>-265</v>
      </c>
      <c r="I215">
        <v>20251111</v>
      </c>
      <c r="J215" s="1">
        <f t="shared" si="28"/>
        <v>45972</v>
      </c>
      <c r="L215">
        <v>20090518</v>
      </c>
      <c r="M215" s="1">
        <f t="shared" si="29"/>
        <v>39951</v>
      </c>
      <c r="N215" t="str">
        <f t="shared" si="30"/>
        <v>insert #t values('20090518')</v>
      </c>
    </row>
    <row r="216" spans="1:14" x14ac:dyDescent="0.2">
      <c r="A216" s="12">
        <v>46272</v>
      </c>
      <c r="B216">
        <v>74</v>
      </c>
      <c r="C216" t="s">
        <v>46</v>
      </c>
      <c r="D216">
        <f t="shared" si="24"/>
        <v>2026</v>
      </c>
      <c r="E216">
        <f t="shared" si="25"/>
        <v>9</v>
      </c>
      <c r="F216">
        <f t="shared" si="26"/>
        <v>7</v>
      </c>
      <c r="H216" s="6">
        <f t="shared" si="27"/>
        <v>-256</v>
      </c>
      <c r="I216">
        <v>20251225</v>
      </c>
      <c r="J216" s="1">
        <f t="shared" si="28"/>
        <v>46016</v>
      </c>
      <c r="L216">
        <v>20090701</v>
      </c>
      <c r="M216" s="1">
        <f t="shared" si="29"/>
        <v>39995</v>
      </c>
      <c r="N216" t="str">
        <f t="shared" si="30"/>
        <v>insert #t values('20090701')</v>
      </c>
    </row>
    <row r="217" spans="1:14" x14ac:dyDescent="0.2">
      <c r="A217" s="12">
        <v>46307</v>
      </c>
      <c r="B217">
        <v>75</v>
      </c>
      <c r="C217" t="s">
        <v>46</v>
      </c>
      <c r="D217">
        <f t="shared" si="24"/>
        <v>2026</v>
      </c>
      <c r="E217">
        <f t="shared" si="25"/>
        <v>10</v>
      </c>
      <c r="F217">
        <f t="shared" si="26"/>
        <v>12</v>
      </c>
      <c r="H217" s="6">
        <f t="shared" si="27"/>
        <v>-290</v>
      </c>
      <c r="I217">
        <v>20251226</v>
      </c>
      <c r="J217" s="1">
        <f t="shared" si="28"/>
        <v>46017</v>
      </c>
      <c r="L217">
        <v>20090803</v>
      </c>
      <c r="M217" s="1">
        <f t="shared" si="29"/>
        <v>40028</v>
      </c>
      <c r="N217" t="str">
        <f t="shared" si="30"/>
        <v>insert #t values('20090803')</v>
      </c>
    </row>
    <row r="218" spans="1:14" x14ac:dyDescent="0.2">
      <c r="A218" s="12">
        <v>46337</v>
      </c>
      <c r="B218">
        <v>76</v>
      </c>
      <c r="C218" t="s">
        <v>46</v>
      </c>
      <c r="D218">
        <f t="shared" si="24"/>
        <v>2026</v>
      </c>
      <c r="E218">
        <f t="shared" si="25"/>
        <v>11</v>
      </c>
      <c r="F218">
        <f t="shared" si="26"/>
        <v>11</v>
      </c>
      <c r="H218" s="6">
        <f t="shared" si="27"/>
        <v>-320</v>
      </c>
      <c r="I218">
        <v>20251226</v>
      </c>
      <c r="J218" s="1">
        <f t="shared" si="28"/>
        <v>46017</v>
      </c>
      <c r="L218">
        <v>20090907</v>
      </c>
      <c r="M218" s="1">
        <f t="shared" si="29"/>
        <v>40063</v>
      </c>
      <c r="N218" t="str">
        <f t="shared" si="30"/>
        <v>insert #t values('20090907')</v>
      </c>
    </row>
    <row r="219" spans="1:14" x14ac:dyDescent="0.2">
      <c r="A219" s="12">
        <v>46381</v>
      </c>
      <c r="B219">
        <v>77</v>
      </c>
      <c r="C219" t="s">
        <v>46</v>
      </c>
      <c r="D219">
        <f t="shared" si="24"/>
        <v>2026</v>
      </c>
      <c r="E219">
        <f t="shared" si="25"/>
        <v>12</v>
      </c>
      <c r="F219">
        <f t="shared" si="26"/>
        <v>25</v>
      </c>
      <c r="H219" s="6">
        <f t="shared" si="27"/>
        <v>-358</v>
      </c>
      <c r="I219">
        <v>20260101</v>
      </c>
      <c r="J219" s="1">
        <f t="shared" si="28"/>
        <v>46023</v>
      </c>
      <c r="L219">
        <v>20091012</v>
      </c>
      <c r="M219" s="1">
        <f t="shared" si="29"/>
        <v>40098</v>
      </c>
      <c r="N219" t="str">
        <f t="shared" si="30"/>
        <v>insert #t values('20091012')</v>
      </c>
    </row>
    <row r="220" spans="1:14" x14ac:dyDescent="0.2">
      <c r="A220" s="12">
        <v>46384</v>
      </c>
      <c r="B220">
        <v>78</v>
      </c>
      <c r="C220" t="s">
        <v>46</v>
      </c>
      <c r="D220">
        <f t="shared" si="24"/>
        <v>2026</v>
      </c>
      <c r="E220">
        <f t="shared" si="25"/>
        <v>12</v>
      </c>
      <c r="F220">
        <f t="shared" si="26"/>
        <v>28</v>
      </c>
      <c r="H220" s="6">
        <f t="shared" si="27"/>
        <v>-315</v>
      </c>
      <c r="I220">
        <v>20260216</v>
      </c>
      <c r="J220" s="1">
        <f t="shared" si="28"/>
        <v>46069</v>
      </c>
      <c r="L220">
        <v>20091111</v>
      </c>
      <c r="M220" s="1">
        <f t="shared" si="29"/>
        <v>40128</v>
      </c>
      <c r="N220" t="str">
        <f t="shared" si="30"/>
        <v>insert #t values('20091111')</v>
      </c>
    </row>
    <row r="221" spans="1:14" x14ac:dyDescent="0.2">
      <c r="A221" s="12">
        <v>46388</v>
      </c>
      <c r="B221">
        <v>69</v>
      </c>
      <c r="C221" t="s">
        <v>46</v>
      </c>
      <c r="D221">
        <f t="shared" si="24"/>
        <v>2027</v>
      </c>
      <c r="E221">
        <f t="shared" si="25"/>
        <v>1</v>
      </c>
      <c r="F221">
        <f t="shared" si="26"/>
        <v>1</v>
      </c>
      <c r="H221" s="6">
        <f t="shared" si="27"/>
        <v>-273</v>
      </c>
      <c r="I221">
        <v>20260403</v>
      </c>
      <c r="J221" s="1">
        <f t="shared" si="28"/>
        <v>46115</v>
      </c>
      <c r="L221">
        <v>20091225</v>
      </c>
      <c r="M221" s="1">
        <f t="shared" si="29"/>
        <v>40172</v>
      </c>
      <c r="N221" t="str">
        <f t="shared" si="30"/>
        <v>insert #t values('20091225')</v>
      </c>
    </row>
    <row r="222" spans="1:14" x14ac:dyDescent="0.2">
      <c r="A222" s="12">
        <v>46440</v>
      </c>
      <c r="C222" t="s">
        <v>46</v>
      </c>
      <c r="D222">
        <f t="shared" si="24"/>
        <v>2027</v>
      </c>
      <c r="E222">
        <f t="shared" si="25"/>
        <v>2</v>
      </c>
      <c r="F222">
        <f t="shared" si="26"/>
        <v>22</v>
      </c>
      <c r="H222" s="6">
        <f t="shared" si="27"/>
        <v>-280</v>
      </c>
      <c r="I222">
        <v>20260518</v>
      </c>
      <c r="J222" s="1">
        <f t="shared" si="28"/>
        <v>46160</v>
      </c>
      <c r="L222">
        <v>20091228</v>
      </c>
      <c r="M222" s="1">
        <f t="shared" si="29"/>
        <v>40175</v>
      </c>
      <c r="N222" t="str">
        <f t="shared" si="30"/>
        <v>insert #t values('20091228')</v>
      </c>
    </row>
    <row r="223" spans="1:14" x14ac:dyDescent="0.2">
      <c r="A223" s="12">
        <v>46472</v>
      </c>
      <c r="B223">
        <v>70</v>
      </c>
      <c r="C223" t="s">
        <v>46</v>
      </c>
      <c r="D223">
        <f t="shared" si="24"/>
        <v>2027</v>
      </c>
      <c r="E223">
        <f t="shared" si="25"/>
        <v>3</v>
      </c>
      <c r="F223">
        <f t="shared" si="26"/>
        <v>26</v>
      </c>
      <c r="H223" s="6">
        <f t="shared" si="27"/>
        <v>-268</v>
      </c>
      <c r="I223">
        <v>20260701</v>
      </c>
      <c r="J223" s="1">
        <f t="shared" si="28"/>
        <v>46204</v>
      </c>
      <c r="L223">
        <v>20091228</v>
      </c>
      <c r="M223" s="1">
        <f t="shared" si="29"/>
        <v>40175</v>
      </c>
      <c r="N223" t="str">
        <f t="shared" si="30"/>
        <v>insert #t values('20091228')</v>
      </c>
    </row>
    <row r="224" spans="1:14" x14ac:dyDescent="0.2">
      <c r="A224" s="12">
        <v>46531</v>
      </c>
      <c r="B224">
        <v>71</v>
      </c>
      <c r="C224" t="s">
        <v>46</v>
      </c>
      <c r="D224">
        <f t="shared" si="24"/>
        <v>2027</v>
      </c>
      <c r="E224">
        <f t="shared" si="25"/>
        <v>5</v>
      </c>
      <c r="F224">
        <f t="shared" si="26"/>
        <v>24</v>
      </c>
      <c r="H224" s="6">
        <f t="shared" si="27"/>
        <v>-294</v>
      </c>
      <c r="I224">
        <v>20260803</v>
      </c>
      <c r="J224" s="1">
        <f t="shared" si="28"/>
        <v>46237</v>
      </c>
      <c r="L224">
        <v>20100101</v>
      </c>
      <c r="M224" s="1">
        <f t="shared" si="29"/>
        <v>40179</v>
      </c>
      <c r="N224" t="str">
        <f t="shared" si="30"/>
        <v>insert #t values('20100101')</v>
      </c>
    </row>
    <row r="225" spans="1:14" x14ac:dyDescent="0.2">
      <c r="A225" s="12">
        <v>46569</v>
      </c>
      <c r="B225">
        <v>72</v>
      </c>
      <c r="C225" t="s">
        <v>46</v>
      </c>
      <c r="D225">
        <f t="shared" si="24"/>
        <v>2027</v>
      </c>
      <c r="E225">
        <f t="shared" si="25"/>
        <v>7</v>
      </c>
      <c r="F225">
        <f t="shared" si="26"/>
        <v>1</v>
      </c>
      <c r="H225" s="6">
        <f t="shared" si="27"/>
        <v>-297</v>
      </c>
      <c r="I225">
        <v>20260907</v>
      </c>
      <c r="J225" s="1">
        <f t="shared" si="28"/>
        <v>46272</v>
      </c>
      <c r="L225">
        <v>20100215</v>
      </c>
      <c r="M225" s="1">
        <f t="shared" si="29"/>
        <v>40224</v>
      </c>
      <c r="N225" t="str">
        <f t="shared" si="30"/>
        <v>insert #t values('20100215')</v>
      </c>
    </row>
    <row r="226" spans="1:14" x14ac:dyDescent="0.2">
      <c r="A226" s="12">
        <v>46601</v>
      </c>
      <c r="B226">
        <v>178</v>
      </c>
      <c r="C226" t="s">
        <v>46</v>
      </c>
      <c r="D226">
        <f t="shared" si="24"/>
        <v>2027</v>
      </c>
      <c r="E226">
        <f t="shared" si="25"/>
        <v>8</v>
      </c>
      <c r="F226">
        <f t="shared" si="26"/>
        <v>2</v>
      </c>
      <c r="H226" s="6">
        <f t="shared" si="27"/>
        <v>-294</v>
      </c>
      <c r="I226">
        <v>20261012</v>
      </c>
      <c r="J226" s="1">
        <f t="shared" si="28"/>
        <v>46307</v>
      </c>
      <c r="L226">
        <v>20100402</v>
      </c>
      <c r="M226" s="1">
        <f t="shared" si="29"/>
        <v>40270</v>
      </c>
      <c r="N226" t="str">
        <f t="shared" si="30"/>
        <v>insert #t values('20100402')</v>
      </c>
    </row>
    <row r="227" spans="1:14" x14ac:dyDescent="0.2">
      <c r="A227" s="12">
        <v>46636</v>
      </c>
      <c r="B227">
        <v>74</v>
      </c>
      <c r="C227" t="s">
        <v>46</v>
      </c>
      <c r="D227">
        <f t="shared" si="24"/>
        <v>2027</v>
      </c>
      <c r="E227">
        <f t="shared" si="25"/>
        <v>9</v>
      </c>
      <c r="F227">
        <f t="shared" si="26"/>
        <v>6</v>
      </c>
      <c r="H227" s="6">
        <f t="shared" si="27"/>
        <v>-299</v>
      </c>
      <c r="I227">
        <v>20261111</v>
      </c>
      <c r="J227" s="1">
        <f t="shared" si="28"/>
        <v>46337</v>
      </c>
      <c r="L227">
        <v>20100524</v>
      </c>
      <c r="M227" s="1">
        <f t="shared" si="29"/>
        <v>40322</v>
      </c>
      <c r="N227" t="str">
        <f t="shared" si="30"/>
        <v>insert #t values('20100524')</v>
      </c>
    </row>
    <row r="228" spans="1:14" x14ac:dyDescent="0.2">
      <c r="A228" s="12">
        <v>46671</v>
      </c>
      <c r="B228">
        <v>75</v>
      </c>
      <c r="C228" t="s">
        <v>46</v>
      </c>
      <c r="D228">
        <f t="shared" ref="D228:D291" si="31">YEAR(A228)</f>
        <v>2027</v>
      </c>
      <c r="E228">
        <f t="shared" ref="E228:E291" si="32">MONTH(A228)</f>
        <v>10</v>
      </c>
      <c r="F228">
        <f t="shared" ref="F228:F291" si="33">DAY(A228)</f>
        <v>11</v>
      </c>
      <c r="H228" s="6">
        <f t="shared" si="27"/>
        <v>-290</v>
      </c>
      <c r="I228">
        <v>20261225</v>
      </c>
      <c r="J228" s="1">
        <f t="shared" si="28"/>
        <v>46381</v>
      </c>
      <c r="L228">
        <v>20100701</v>
      </c>
      <c r="M228" s="1">
        <f t="shared" si="29"/>
        <v>40360</v>
      </c>
      <c r="N228" t="str">
        <f t="shared" si="30"/>
        <v>insert #t values('20100701')</v>
      </c>
    </row>
    <row r="229" spans="1:14" x14ac:dyDescent="0.2">
      <c r="A229" s="12">
        <v>46702</v>
      </c>
      <c r="B229">
        <v>76</v>
      </c>
      <c r="C229" t="s">
        <v>46</v>
      </c>
      <c r="D229">
        <f t="shared" si="31"/>
        <v>2027</v>
      </c>
      <c r="E229">
        <f t="shared" si="32"/>
        <v>11</v>
      </c>
      <c r="F229">
        <f t="shared" si="33"/>
        <v>11</v>
      </c>
      <c r="H229" s="6">
        <f t="shared" si="27"/>
        <v>-318</v>
      </c>
      <c r="I229">
        <v>20261228</v>
      </c>
      <c r="J229" s="1">
        <f t="shared" si="28"/>
        <v>46384</v>
      </c>
      <c r="L229">
        <v>20100802</v>
      </c>
      <c r="M229" s="1">
        <f t="shared" si="29"/>
        <v>40392</v>
      </c>
      <c r="N229" t="str">
        <f t="shared" si="30"/>
        <v>insert #t values('20100802')</v>
      </c>
    </row>
    <row r="230" spans="1:14" x14ac:dyDescent="0.2">
      <c r="A230" s="12">
        <v>46748</v>
      </c>
      <c r="B230">
        <v>77</v>
      </c>
      <c r="C230" t="s">
        <v>46</v>
      </c>
      <c r="D230">
        <f t="shared" si="31"/>
        <v>2027</v>
      </c>
      <c r="E230">
        <f t="shared" si="32"/>
        <v>12</v>
      </c>
      <c r="F230">
        <f t="shared" si="33"/>
        <v>27</v>
      </c>
      <c r="H230" s="6">
        <f t="shared" si="27"/>
        <v>-364</v>
      </c>
      <c r="I230">
        <v>20261228</v>
      </c>
      <c r="J230" s="1">
        <f t="shared" si="28"/>
        <v>46384</v>
      </c>
      <c r="L230">
        <v>20100906</v>
      </c>
      <c r="M230" s="1">
        <f t="shared" si="29"/>
        <v>40427</v>
      </c>
      <c r="N230" t="str">
        <f t="shared" si="30"/>
        <v>insert #t values('20100906')</v>
      </c>
    </row>
    <row r="231" spans="1:14" x14ac:dyDescent="0.2">
      <c r="A231" s="12">
        <v>46749</v>
      </c>
      <c r="B231">
        <v>78</v>
      </c>
      <c r="C231" t="s">
        <v>46</v>
      </c>
      <c r="D231">
        <f t="shared" si="31"/>
        <v>2027</v>
      </c>
      <c r="E231">
        <f t="shared" si="32"/>
        <v>12</v>
      </c>
      <c r="F231">
        <f t="shared" si="33"/>
        <v>28</v>
      </c>
      <c r="H231" s="6">
        <f t="shared" si="27"/>
        <v>-361</v>
      </c>
      <c r="I231">
        <v>20270101</v>
      </c>
      <c r="J231" s="1">
        <f t="shared" si="28"/>
        <v>46388</v>
      </c>
      <c r="L231">
        <v>20101011</v>
      </c>
      <c r="M231" s="1">
        <f t="shared" si="29"/>
        <v>40462</v>
      </c>
      <c r="N231" t="str">
        <f t="shared" si="30"/>
        <v>insert #t values('20101011')</v>
      </c>
    </row>
    <row r="232" spans="1:14" x14ac:dyDescent="0.2">
      <c r="A232" s="12">
        <v>46755</v>
      </c>
      <c r="B232">
        <v>69</v>
      </c>
      <c r="C232" t="s">
        <v>46</v>
      </c>
      <c r="D232">
        <f t="shared" si="31"/>
        <v>2028</v>
      </c>
      <c r="E232">
        <f t="shared" si="32"/>
        <v>1</v>
      </c>
      <c r="F232">
        <f t="shared" si="33"/>
        <v>3</v>
      </c>
      <c r="H232" s="6">
        <f t="shared" si="27"/>
        <v>-322</v>
      </c>
      <c r="I232">
        <v>20270215</v>
      </c>
      <c r="J232" s="1">
        <f t="shared" si="28"/>
        <v>46433</v>
      </c>
      <c r="L232">
        <v>20101111</v>
      </c>
      <c r="M232" s="1">
        <f t="shared" si="29"/>
        <v>40493</v>
      </c>
      <c r="N232" t="str">
        <f t="shared" si="30"/>
        <v>insert #t values('20101111')</v>
      </c>
    </row>
    <row r="233" spans="1:14" x14ac:dyDescent="0.2">
      <c r="A233" s="12">
        <v>46804</v>
      </c>
      <c r="C233" t="s">
        <v>46</v>
      </c>
      <c r="D233">
        <f t="shared" si="31"/>
        <v>2028</v>
      </c>
      <c r="E233">
        <f t="shared" si="32"/>
        <v>2</v>
      </c>
      <c r="F233">
        <f t="shared" si="33"/>
        <v>21</v>
      </c>
      <c r="H233" s="6">
        <f t="shared" si="27"/>
        <v>-332</v>
      </c>
      <c r="I233">
        <v>20270326</v>
      </c>
      <c r="J233" s="1">
        <f t="shared" si="28"/>
        <v>46472</v>
      </c>
      <c r="L233">
        <v>20101227</v>
      </c>
      <c r="M233" s="1">
        <f t="shared" si="29"/>
        <v>40539</v>
      </c>
      <c r="N233" t="str">
        <f t="shared" si="30"/>
        <v>insert #t values('20101227')</v>
      </c>
    </row>
    <row r="234" spans="1:14" x14ac:dyDescent="0.2">
      <c r="A234" s="12">
        <v>46857</v>
      </c>
      <c r="B234">
        <v>70</v>
      </c>
      <c r="C234" t="s">
        <v>46</v>
      </c>
      <c r="D234">
        <f t="shared" si="31"/>
        <v>2028</v>
      </c>
      <c r="E234">
        <f t="shared" si="32"/>
        <v>4</v>
      </c>
      <c r="F234">
        <f t="shared" si="33"/>
        <v>14</v>
      </c>
      <c r="H234" s="6">
        <f t="shared" si="27"/>
        <v>-326</v>
      </c>
      <c r="I234">
        <v>20270524</v>
      </c>
      <c r="J234" s="1">
        <f t="shared" si="28"/>
        <v>46531</v>
      </c>
      <c r="L234">
        <v>20101227</v>
      </c>
      <c r="M234" s="1">
        <f t="shared" si="29"/>
        <v>40539</v>
      </c>
      <c r="N234" t="str">
        <f t="shared" si="30"/>
        <v>insert #t values('20101227')</v>
      </c>
    </row>
    <row r="235" spans="1:14" x14ac:dyDescent="0.2">
      <c r="A235" s="12">
        <v>46895</v>
      </c>
      <c r="B235">
        <v>71</v>
      </c>
      <c r="C235" t="s">
        <v>46</v>
      </c>
      <c r="D235">
        <f t="shared" si="31"/>
        <v>2028</v>
      </c>
      <c r="E235">
        <f t="shared" si="32"/>
        <v>5</v>
      </c>
      <c r="F235">
        <f t="shared" si="33"/>
        <v>22</v>
      </c>
      <c r="H235" s="6">
        <f t="shared" si="27"/>
        <v>-326</v>
      </c>
      <c r="I235">
        <v>20270701</v>
      </c>
      <c r="J235" s="1">
        <f t="shared" si="28"/>
        <v>46569</v>
      </c>
      <c r="L235">
        <v>20101228</v>
      </c>
      <c r="M235" s="1">
        <f t="shared" si="29"/>
        <v>40540</v>
      </c>
      <c r="N235" t="str">
        <f t="shared" si="30"/>
        <v>insert #t values('20101228')</v>
      </c>
    </row>
    <row r="236" spans="1:14" x14ac:dyDescent="0.2">
      <c r="A236" s="12">
        <v>46937</v>
      </c>
      <c r="B236">
        <v>72</v>
      </c>
      <c r="C236" t="s">
        <v>46</v>
      </c>
      <c r="D236">
        <f t="shared" si="31"/>
        <v>2028</v>
      </c>
      <c r="E236">
        <f t="shared" si="32"/>
        <v>7</v>
      </c>
      <c r="F236">
        <f t="shared" si="33"/>
        <v>3</v>
      </c>
      <c r="H236" s="6">
        <f t="shared" si="27"/>
        <v>-336</v>
      </c>
      <c r="I236">
        <v>20270802</v>
      </c>
      <c r="J236" s="1">
        <f t="shared" si="28"/>
        <v>46601</v>
      </c>
      <c r="L236">
        <v>20110103</v>
      </c>
      <c r="M236" s="1">
        <f t="shared" si="29"/>
        <v>40546</v>
      </c>
      <c r="N236" t="str">
        <f t="shared" si="30"/>
        <v>insert #t values('20110103')</v>
      </c>
    </row>
    <row r="237" spans="1:14" x14ac:dyDescent="0.2">
      <c r="A237" s="12">
        <v>46972</v>
      </c>
      <c r="B237">
        <v>178</v>
      </c>
      <c r="C237" t="s">
        <v>46</v>
      </c>
      <c r="D237">
        <f t="shared" si="31"/>
        <v>2028</v>
      </c>
      <c r="E237">
        <f t="shared" si="32"/>
        <v>8</v>
      </c>
      <c r="F237">
        <f t="shared" si="33"/>
        <v>7</v>
      </c>
      <c r="H237" s="6">
        <f t="shared" si="27"/>
        <v>-336</v>
      </c>
      <c r="I237">
        <v>20270906</v>
      </c>
      <c r="J237" s="1">
        <f t="shared" si="28"/>
        <v>46636</v>
      </c>
      <c r="L237">
        <v>20110221</v>
      </c>
      <c r="M237" s="1">
        <f t="shared" si="29"/>
        <v>40595</v>
      </c>
      <c r="N237" t="str">
        <f t="shared" si="30"/>
        <v>insert #t values('20110221')</v>
      </c>
    </row>
    <row r="238" spans="1:14" x14ac:dyDescent="0.2">
      <c r="A238" s="12">
        <v>47000</v>
      </c>
      <c r="B238">
        <v>74</v>
      </c>
      <c r="C238" t="s">
        <v>46</v>
      </c>
      <c r="D238">
        <f t="shared" si="31"/>
        <v>2028</v>
      </c>
      <c r="E238">
        <f t="shared" si="32"/>
        <v>9</v>
      </c>
      <c r="F238">
        <f t="shared" si="33"/>
        <v>4</v>
      </c>
      <c r="H238" s="6">
        <f t="shared" si="27"/>
        <v>-329</v>
      </c>
      <c r="I238">
        <v>20271011</v>
      </c>
      <c r="J238" s="1">
        <f t="shared" si="28"/>
        <v>46671</v>
      </c>
      <c r="L238">
        <v>20110422</v>
      </c>
      <c r="M238" s="1">
        <f t="shared" si="29"/>
        <v>40655</v>
      </c>
      <c r="N238" t="str">
        <f t="shared" si="30"/>
        <v>insert #t values('20110422')</v>
      </c>
    </row>
    <row r="239" spans="1:14" x14ac:dyDescent="0.2">
      <c r="A239" s="12">
        <v>47035</v>
      </c>
      <c r="B239">
        <v>75</v>
      </c>
      <c r="C239" t="s">
        <v>46</v>
      </c>
      <c r="D239">
        <f t="shared" si="31"/>
        <v>2028</v>
      </c>
      <c r="E239">
        <f t="shared" si="32"/>
        <v>10</v>
      </c>
      <c r="F239">
        <f t="shared" si="33"/>
        <v>9</v>
      </c>
      <c r="H239" s="6">
        <f t="shared" si="27"/>
        <v>-333</v>
      </c>
      <c r="I239">
        <v>20271111</v>
      </c>
      <c r="J239" s="1">
        <f t="shared" si="28"/>
        <v>46702</v>
      </c>
      <c r="L239">
        <v>20110523</v>
      </c>
      <c r="M239" s="1">
        <f t="shared" si="29"/>
        <v>40686</v>
      </c>
      <c r="N239" t="str">
        <f t="shared" si="30"/>
        <v>insert #t values('20110523')</v>
      </c>
    </row>
    <row r="240" spans="1:14" x14ac:dyDescent="0.2">
      <c r="A240" s="12">
        <v>47070</v>
      </c>
      <c r="B240">
        <v>76</v>
      </c>
      <c r="C240" t="s">
        <v>46</v>
      </c>
      <c r="D240">
        <f t="shared" si="31"/>
        <v>2028</v>
      </c>
      <c r="E240">
        <f t="shared" si="32"/>
        <v>11</v>
      </c>
      <c r="F240">
        <f t="shared" si="33"/>
        <v>13</v>
      </c>
      <c r="H240" s="6">
        <f t="shared" si="27"/>
        <v>-322</v>
      </c>
      <c r="I240">
        <v>20271227</v>
      </c>
      <c r="J240" s="1">
        <f t="shared" si="28"/>
        <v>46748</v>
      </c>
      <c r="L240">
        <v>20110701</v>
      </c>
      <c r="M240" s="1">
        <f t="shared" si="29"/>
        <v>40725</v>
      </c>
      <c r="N240" t="str">
        <f t="shared" si="30"/>
        <v>insert #t values('20110701')</v>
      </c>
    </row>
    <row r="241" spans="1:14" x14ac:dyDescent="0.2">
      <c r="A241" s="12">
        <v>47112</v>
      </c>
      <c r="B241">
        <v>77</v>
      </c>
      <c r="C241" t="s">
        <v>46</v>
      </c>
      <c r="D241">
        <f t="shared" si="31"/>
        <v>2028</v>
      </c>
      <c r="E241">
        <f t="shared" si="32"/>
        <v>12</v>
      </c>
      <c r="F241">
        <f t="shared" si="33"/>
        <v>25</v>
      </c>
      <c r="H241" s="6">
        <f t="shared" si="27"/>
        <v>-364</v>
      </c>
      <c r="I241">
        <v>20271227</v>
      </c>
      <c r="J241" s="1">
        <f t="shared" si="28"/>
        <v>46748</v>
      </c>
      <c r="L241">
        <v>20110801</v>
      </c>
      <c r="M241" s="1">
        <f t="shared" si="29"/>
        <v>40756</v>
      </c>
      <c r="N241" t="str">
        <f t="shared" si="30"/>
        <v>insert #t values('20110801')</v>
      </c>
    </row>
    <row r="242" spans="1:14" x14ac:dyDescent="0.2">
      <c r="A242" s="12">
        <v>47113</v>
      </c>
      <c r="B242">
        <v>78</v>
      </c>
      <c r="C242" t="s">
        <v>46</v>
      </c>
      <c r="D242">
        <f t="shared" si="31"/>
        <v>2028</v>
      </c>
      <c r="E242">
        <f t="shared" si="32"/>
        <v>12</v>
      </c>
      <c r="F242">
        <f t="shared" si="33"/>
        <v>26</v>
      </c>
      <c r="H242" s="6">
        <f t="shared" si="27"/>
        <v>-364</v>
      </c>
      <c r="I242">
        <v>20271228</v>
      </c>
      <c r="J242" s="1">
        <f t="shared" si="28"/>
        <v>46749</v>
      </c>
      <c r="L242">
        <v>20110905</v>
      </c>
      <c r="M242" s="1">
        <f t="shared" si="29"/>
        <v>40791</v>
      </c>
      <c r="N242" t="str">
        <f t="shared" si="30"/>
        <v>insert #t values('20110905')</v>
      </c>
    </row>
    <row r="243" spans="1:14" x14ac:dyDescent="0.2">
      <c r="A243" s="12">
        <v>47119</v>
      </c>
      <c r="B243">
        <v>69</v>
      </c>
      <c r="C243" t="s">
        <v>46</v>
      </c>
      <c r="D243">
        <f t="shared" si="31"/>
        <v>2029</v>
      </c>
      <c r="E243">
        <f t="shared" si="32"/>
        <v>1</v>
      </c>
      <c r="F243">
        <f t="shared" si="33"/>
        <v>1</v>
      </c>
      <c r="H243" s="6">
        <f t="shared" si="27"/>
        <v>-364</v>
      </c>
      <c r="I243">
        <v>20280103</v>
      </c>
      <c r="J243" s="1">
        <f t="shared" si="28"/>
        <v>46755</v>
      </c>
      <c r="L243">
        <v>20111010</v>
      </c>
      <c r="M243" s="1">
        <f t="shared" si="29"/>
        <v>40826</v>
      </c>
      <c r="N243" t="str">
        <f t="shared" si="30"/>
        <v>insert #t values('20111010')</v>
      </c>
    </row>
    <row r="244" spans="1:14" x14ac:dyDescent="0.2">
      <c r="A244" s="12">
        <v>47168</v>
      </c>
      <c r="C244" t="s">
        <v>46</v>
      </c>
      <c r="D244">
        <f t="shared" si="31"/>
        <v>2029</v>
      </c>
      <c r="E244">
        <f t="shared" si="32"/>
        <v>2</v>
      </c>
      <c r="F244">
        <f t="shared" si="33"/>
        <v>19</v>
      </c>
      <c r="H244" s="6">
        <f t="shared" si="27"/>
        <v>-364</v>
      </c>
      <c r="I244">
        <v>20280221</v>
      </c>
      <c r="J244" s="1">
        <f t="shared" si="28"/>
        <v>46804</v>
      </c>
      <c r="L244">
        <v>20111111</v>
      </c>
      <c r="M244" s="1">
        <f t="shared" si="29"/>
        <v>40858</v>
      </c>
      <c r="N244" t="str">
        <f t="shared" si="30"/>
        <v>insert #t values('20111111')</v>
      </c>
    </row>
    <row r="245" spans="1:14" x14ac:dyDescent="0.2">
      <c r="A245" s="12">
        <v>47207</v>
      </c>
      <c r="B245">
        <v>70</v>
      </c>
      <c r="C245" t="s">
        <v>46</v>
      </c>
      <c r="D245">
        <f t="shared" si="31"/>
        <v>2029</v>
      </c>
      <c r="E245">
        <f t="shared" si="32"/>
        <v>3</v>
      </c>
      <c r="F245">
        <f t="shared" si="33"/>
        <v>30</v>
      </c>
      <c r="H245" s="6">
        <f t="shared" si="27"/>
        <v>-350</v>
      </c>
      <c r="I245">
        <v>20280414</v>
      </c>
      <c r="J245" s="1">
        <f t="shared" si="28"/>
        <v>46857</v>
      </c>
      <c r="L245">
        <v>20111226</v>
      </c>
      <c r="M245" s="1">
        <f t="shared" si="29"/>
        <v>40903</v>
      </c>
      <c r="N245" t="str">
        <f t="shared" si="30"/>
        <v>insert #t values('20111226')</v>
      </c>
    </row>
    <row r="246" spans="1:14" x14ac:dyDescent="0.2">
      <c r="A246" s="12">
        <v>47259</v>
      </c>
      <c r="B246">
        <v>71</v>
      </c>
      <c r="C246" t="s">
        <v>46</v>
      </c>
      <c r="D246">
        <f t="shared" si="31"/>
        <v>2029</v>
      </c>
      <c r="E246">
        <f t="shared" si="32"/>
        <v>5</v>
      </c>
      <c r="F246">
        <f t="shared" si="33"/>
        <v>21</v>
      </c>
      <c r="H246" s="6">
        <f t="shared" si="27"/>
        <v>-364</v>
      </c>
      <c r="I246">
        <v>20280522</v>
      </c>
      <c r="J246" s="1">
        <f t="shared" si="28"/>
        <v>46895</v>
      </c>
      <c r="L246">
        <v>20111226</v>
      </c>
      <c r="M246" s="1">
        <f t="shared" si="29"/>
        <v>40903</v>
      </c>
      <c r="N246" t="str">
        <f t="shared" si="30"/>
        <v>insert #t values('20111226')</v>
      </c>
    </row>
    <row r="247" spans="1:14" x14ac:dyDescent="0.2">
      <c r="A247" s="12">
        <v>47301</v>
      </c>
      <c r="B247">
        <v>72</v>
      </c>
      <c r="C247" t="s">
        <v>46</v>
      </c>
      <c r="D247">
        <f t="shared" si="31"/>
        <v>2029</v>
      </c>
      <c r="E247">
        <f t="shared" si="32"/>
        <v>7</v>
      </c>
      <c r="F247">
        <f t="shared" si="33"/>
        <v>2</v>
      </c>
      <c r="H247" s="6">
        <f t="shared" si="27"/>
        <v>-364</v>
      </c>
      <c r="I247">
        <v>20280703</v>
      </c>
      <c r="J247" s="1">
        <f t="shared" si="28"/>
        <v>46937</v>
      </c>
      <c r="L247">
        <v>20111226</v>
      </c>
      <c r="M247" s="1">
        <f t="shared" si="29"/>
        <v>40903</v>
      </c>
      <c r="N247" t="str">
        <f t="shared" si="30"/>
        <v>insert #t values('20111226')</v>
      </c>
    </row>
    <row r="248" spans="1:14" x14ac:dyDescent="0.2">
      <c r="A248" s="12">
        <v>47336</v>
      </c>
      <c r="B248">
        <v>178</v>
      </c>
      <c r="C248" t="s">
        <v>46</v>
      </c>
      <c r="D248">
        <f t="shared" si="31"/>
        <v>2029</v>
      </c>
      <c r="E248">
        <f t="shared" si="32"/>
        <v>8</v>
      </c>
      <c r="F248">
        <f t="shared" si="33"/>
        <v>6</v>
      </c>
      <c r="H248" s="6">
        <f t="shared" si="27"/>
        <v>-364</v>
      </c>
      <c r="I248">
        <v>20280807</v>
      </c>
      <c r="J248" s="1">
        <f t="shared" si="28"/>
        <v>46972</v>
      </c>
      <c r="L248">
        <v>20120102</v>
      </c>
      <c r="M248" s="1">
        <f t="shared" si="29"/>
        <v>40910</v>
      </c>
      <c r="N248" t="str">
        <f t="shared" si="30"/>
        <v>insert #t values('20120102')</v>
      </c>
    </row>
    <row r="249" spans="1:14" x14ac:dyDescent="0.2">
      <c r="A249" s="12">
        <v>47364</v>
      </c>
      <c r="B249">
        <v>74</v>
      </c>
      <c r="C249" t="s">
        <v>46</v>
      </c>
      <c r="D249">
        <f t="shared" si="31"/>
        <v>2029</v>
      </c>
      <c r="E249">
        <f t="shared" si="32"/>
        <v>9</v>
      </c>
      <c r="F249">
        <f t="shared" si="33"/>
        <v>3</v>
      </c>
      <c r="H249" s="6">
        <f t="shared" si="27"/>
        <v>-364</v>
      </c>
      <c r="I249">
        <v>20280904</v>
      </c>
      <c r="J249" s="1">
        <f t="shared" si="28"/>
        <v>47000</v>
      </c>
      <c r="L249">
        <v>20120220</v>
      </c>
      <c r="M249" s="1">
        <f t="shared" si="29"/>
        <v>40959</v>
      </c>
      <c r="N249" t="str">
        <f t="shared" si="30"/>
        <v>insert #t values('20120220')</v>
      </c>
    </row>
    <row r="250" spans="1:14" x14ac:dyDescent="0.2">
      <c r="A250" s="12">
        <v>47399</v>
      </c>
      <c r="B250">
        <v>75</v>
      </c>
      <c r="C250" t="s">
        <v>46</v>
      </c>
      <c r="D250">
        <f t="shared" si="31"/>
        <v>2029</v>
      </c>
      <c r="E250">
        <f t="shared" si="32"/>
        <v>10</v>
      </c>
      <c r="F250">
        <f t="shared" si="33"/>
        <v>8</v>
      </c>
      <c r="H250" s="6">
        <f t="shared" si="27"/>
        <v>-364</v>
      </c>
      <c r="I250">
        <v>20281009</v>
      </c>
      <c r="J250" s="1">
        <f t="shared" si="28"/>
        <v>47035</v>
      </c>
      <c r="L250">
        <v>20120406</v>
      </c>
      <c r="M250" s="1">
        <f t="shared" si="29"/>
        <v>41005</v>
      </c>
      <c r="N250" t="str">
        <f t="shared" si="30"/>
        <v>insert #t values('20120406')</v>
      </c>
    </row>
    <row r="251" spans="1:14" x14ac:dyDescent="0.2">
      <c r="A251" s="12">
        <v>47434</v>
      </c>
      <c r="B251">
        <v>76</v>
      </c>
      <c r="C251" t="s">
        <v>46</v>
      </c>
      <c r="D251">
        <f t="shared" si="31"/>
        <v>2029</v>
      </c>
      <c r="E251">
        <f t="shared" si="32"/>
        <v>11</v>
      </c>
      <c r="F251">
        <f t="shared" si="33"/>
        <v>12</v>
      </c>
      <c r="H251" s="6">
        <f t="shared" si="27"/>
        <v>-364</v>
      </c>
      <c r="I251">
        <v>20281113</v>
      </c>
      <c r="J251" s="1">
        <f t="shared" si="28"/>
        <v>47070</v>
      </c>
      <c r="L251">
        <v>20120521</v>
      </c>
      <c r="M251" s="1">
        <f t="shared" si="29"/>
        <v>41050</v>
      </c>
      <c r="N251" t="str">
        <f t="shared" si="30"/>
        <v>insert #t values('20120521')</v>
      </c>
    </row>
    <row r="252" spans="1:14" x14ac:dyDescent="0.2">
      <c r="A252" s="12">
        <v>47477</v>
      </c>
      <c r="B252">
        <v>77</v>
      </c>
      <c r="C252" t="s">
        <v>46</v>
      </c>
      <c r="D252">
        <f t="shared" si="31"/>
        <v>2029</v>
      </c>
      <c r="E252">
        <f t="shared" si="32"/>
        <v>12</v>
      </c>
      <c r="F252">
        <f t="shared" si="33"/>
        <v>25</v>
      </c>
      <c r="H252" s="6">
        <f t="shared" si="27"/>
        <v>-365</v>
      </c>
      <c r="I252">
        <v>20281225</v>
      </c>
      <c r="J252" s="1">
        <f t="shared" si="28"/>
        <v>47112</v>
      </c>
      <c r="L252">
        <v>20120702</v>
      </c>
      <c r="M252" s="1">
        <f t="shared" si="29"/>
        <v>41092</v>
      </c>
      <c r="N252" t="str">
        <f t="shared" si="30"/>
        <v>insert #t values('20120702')</v>
      </c>
    </row>
    <row r="253" spans="1:14" x14ac:dyDescent="0.2">
      <c r="A253" s="12">
        <v>47478</v>
      </c>
      <c r="B253">
        <v>78</v>
      </c>
      <c r="C253" t="s">
        <v>46</v>
      </c>
      <c r="D253">
        <f t="shared" si="31"/>
        <v>2029</v>
      </c>
      <c r="E253">
        <f t="shared" si="32"/>
        <v>12</v>
      </c>
      <c r="F253">
        <f t="shared" si="33"/>
        <v>26</v>
      </c>
      <c r="H253" s="6">
        <f t="shared" si="27"/>
        <v>-365</v>
      </c>
      <c r="I253">
        <v>20281226</v>
      </c>
      <c r="J253" s="1">
        <f t="shared" si="28"/>
        <v>47113</v>
      </c>
      <c r="L253">
        <v>20120806</v>
      </c>
      <c r="M253" s="1">
        <f t="shared" si="29"/>
        <v>41127</v>
      </c>
      <c r="N253" t="str">
        <f t="shared" si="30"/>
        <v>insert #t values('20120806')</v>
      </c>
    </row>
    <row r="254" spans="1:14" x14ac:dyDescent="0.2">
      <c r="A254" s="12">
        <v>47484</v>
      </c>
      <c r="B254">
        <v>69</v>
      </c>
      <c r="C254" t="s">
        <v>46</v>
      </c>
      <c r="D254">
        <f t="shared" si="31"/>
        <v>2030</v>
      </c>
      <c r="E254">
        <f t="shared" si="32"/>
        <v>1</v>
      </c>
      <c r="F254">
        <f t="shared" si="33"/>
        <v>1</v>
      </c>
      <c r="H254" s="6">
        <f t="shared" si="27"/>
        <v>-371</v>
      </c>
      <c r="I254">
        <v>20281226</v>
      </c>
      <c r="J254" s="1">
        <f t="shared" si="28"/>
        <v>47113</v>
      </c>
      <c r="L254">
        <v>20120903</v>
      </c>
      <c r="M254" s="1">
        <f t="shared" si="29"/>
        <v>41155</v>
      </c>
      <c r="N254" t="str">
        <f t="shared" si="30"/>
        <v>insert #t values('20120903')</v>
      </c>
    </row>
    <row r="255" spans="1:14" x14ac:dyDescent="0.2">
      <c r="A255" s="12">
        <v>47532</v>
      </c>
      <c r="C255" t="s">
        <v>46</v>
      </c>
      <c r="D255">
        <f t="shared" si="31"/>
        <v>2030</v>
      </c>
      <c r="E255">
        <f t="shared" si="32"/>
        <v>2</v>
      </c>
      <c r="F255">
        <f t="shared" si="33"/>
        <v>18</v>
      </c>
      <c r="H255" s="6">
        <f t="shared" si="27"/>
        <v>-413</v>
      </c>
      <c r="I255">
        <v>20290101</v>
      </c>
      <c r="J255" s="1">
        <f t="shared" si="28"/>
        <v>47119</v>
      </c>
      <c r="L255">
        <v>20121008</v>
      </c>
      <c r="M255" s="1">
        <f t="shared" si="29"/>
        <v>41190</v>
      </c>
      <c r="N255" t="str">
        <f t="shared" si="30"/>
        <v>insert #t values('20121008')</v>
      </c>
    </row>
    <row r="256" spans="1:14" x14ac:dyDescent="0.2">
      <c r="A256" s="12">
        <v>47592</v>
      </c>
      <c r="B256">
        <v>70</v>
      </c>
      <c r="C256" t="s">
        <v>46</v>
      </c>
      <c r="D256">
        <f t="shared" si="31"/>
        <v>2030</v>
      </c>
      <c r="E256">
        <f t="shared" si="32"/>
        <v>4</v>
      </c>
      <c r="F256">
        <f t="shared" si="33"/>
        <v>19</v>
      </c>
      <c r="H256" s="6">
        <f t="shared" si="27"/>
        <v>-424</v>
      </c>
      <c r="I256">
        <v>20290219</v>
      </c>
      <c r="J256" s="1">
        <f t="shared" si="28"/>
        <v>47168</v>
      </c>
      <c r="L256">
        <v>20121112</v>
      </c>
      <c r="M256" s="1">
        <f t="shared" si="29"/>
        <v>41225</v>
      </c>
      <c r="N256" t="str">
        <f t="shared" si="30"/>
        <v>insert #t values('20121112')</v>
      </c>
    </row>
    <row r="257" spans="1:14" x14ac:dyDescent="0.2">
      <c r="A257" s="12">
        <v>47623</v>
      </c>
      <c r="B257">
        <v>71</v>
      </c>
      <c r="C257" t="s">
        <v>46</v>
      </c>
      <c r="D257">
        <f t="shared" si="31"/>
        <v>2030</v>
      </c>
      <c r="E257">
        <f t="shared" si="32"/>
        <v>5</v>
      </c>
      <c r="F257">
        <f t="shared" si="33"/>
        <v>20</v>
      </c>
      <c r="H257" s="6">
        <f t="shared" si="27"/>
        <v>-416</v>
      </c>
      <c r="I257">
        <v>20290330</v>
      </c>
      <c r="J257" s="1">
        <f t="shared" si="28"/>
        <v>47207</v>
      </c>
      <c r="L257">
        <v>20121225</v>
      </c>
      <c r="M257" s="1">
        <f t="shared" si="29"/>
        <v>41268</v>
      </c>
      <c r="N257" t="str">
        <f t="shared" si="30"/>
        <v>insert #t values('20121225')</v>
      </c>
    </row>
    <row r="258" spans="1:14" x14ac:dyDescent="0.2">
      <c r="A258" s="12">
        <v>47665</v>
      </c>
      <c r="B258">
        <v>72</v>
      </c>
      <c r="C258" t="s">
        <v>46</v>
      </c>
      <c r="D258">
        <f t="shared" si="31"/>
        <v>2030</v>
      </c>
      <c r="E258">
        <f t="shared" si="32"/>
        <v>7</v>
      </c>
      <c r="F258">
        <f t="shared" si="33"/>
        <v>1</v>
      </c>
      <c r="H258" s="6">
        <f t="shared" ref="H258:H321" si="34">J258-A258</f>
        <v>-406</v>
      </c>
      <c r="I258">
        <v>20290521</v>
      </c>
      <c r="J258" s="1">
        <f t="shared" ref="J258:J321" si="35">DATE(LEFT(I258,4),MID(I258,5,2),RIGHT(I258,2))</f>
        <v>47259</v>
      </c>
      <c r="L258">
        <v>20121226</v>
      </c>
      <c r="M258" s="1">
        <f t="shared" ref="M258:M321" si="36">DATE(LEFT(L258,4),MID(L258,5,2),RIGHT(L258,2))</f>
        <v>41269</v>
      </c>
      <c r="N258" t="str">
        <f t="shared" ref="N258:N321" si="37">"insert #t values('"&amp;L258 &amp; "')"</f>
        <v>insert #t values('20121226')</v>
      </c>
    </row>
    <row r="259" spans="1:14" x14ac:dyDescent="0.2">
      <c r="A259" s="12">
        <v>47700</v>
      </c>
      <c r="B259">
        <v>178</v>
      </c>
      <c r="C259" t="s">
        <v>46</v>
      </c>
      <c r="D259">
        <f t="shared" si="31"/>
        <v>2030</v>
      </c>
      <c r="E259">
        <f t="shared" si="32"/>
        <v>8</v>
      </c>
      <c r="F259">
        <f t="shared" si="33"/>
        <v>5</v>
      </c>
      <c r="H259" s="6">
        <f t="shared" si="34"/>
        <v>-399</v>
      </c>
      <c r="I259">
        <v>20290702</v>
      </c>
      <c r="J259" s="1">
        <f t="shared" si="35"/>
        <v>47301</v>
      </c>
      <c r="L259">
        <v>20121226</v>
      </c>
      <c r="M259" s="1">
        <f t="shared" si="36"/>
        <v>41269</v>
      </c>
      <c r="N259" t="str">
        <f t="shared" si="37"/>
        <v>insert #t values('20121226')</v>
      </c>
    </row>
    <row r="260" spans="1:14" x14ac:dyDescent="0.2">
      <c r="A260" s="12">
        <v>47728</v>
      </c>
      <c r="B260">
        <v>74</v>
      </c>
      <c r="C260" t="s">
        <v>46</v>
      </c>
      <c r="D260">
        <f t="shared" si="31"/>
        <v>2030</v>
      </c>
      <c r="E260">
        <f t="shared" si="32"/>
        <v>9</v>
      </c>
      <c r="F260">
        <f t="shared" si="33"/>
        <v>2</v>
      </c>
      <c r="H260" s="6">
        <f t="shared" si="34"/>
        <v>-392</v>
      </c>
      <c r="I260">
        <v>20290806</v>
      </c>
      <c r="J260" s="1">
        <f t="shared" si="35"/>
        <v>47336</v>
      </c>
      <c r="L260">
        <v>20130101</v>
      </c>
      <c r="M260" s="1">
        <f t="shared" si="36"/>
        <v>41275</v>
      </c>
      <c r="N260" t="str">
        <f t="shared" si="37"/>
        <v>insert #t values('20130101')</v>
      </c>
    </row>
    <row r="261" spans="1:14" x14ac:dyDescent="0.2">
      <c r="A261" s="12">
        <v>47770</v>
      </c>
      <c r="B261">
        <v>75</v>
      </c>
      <c r="C261" t="s">
        <v>46</v>
      </c>
      <c r="D261">
        <f t="shared" si="31"/>
        <v>2030</v>
      </c>
      <c r="E261">
        <f t="shared" si="32"/>
        <v>10</v>
      </c>
      <c r="F261">
        <f t="shared" si="33"/>
        <v>14</v>
      </c>
      <c r="H261" s="6">
        <f t="shared" si="34"/>
        <v>-406</v>
      </c>
      <c r="I261">
        <v>20290903</v>
      </c>
      <c r="J261" s="1">
        <f t="shared" si="35"/>
        <v>47364</v>
      </c>
      <c r="L261">
        <v>20130218</v>
      </c>
      <c r="M261" s="1">
        <f t="shared" si="36"/>
        <v>41323</v>
      </c>
      <c r="N261" t="str">
        <f t="shared" si="37"/>
        <v>insert #t values('20130218')</v>
      </c>
    </row>
    <row r="262" spans="1:14" x14ac:dyDescent="0.2">
      <c r="A262" s="12">
        <v>47798</v>
      </c>
      <c r="B262">
        <v>76</v>
      </c>
      <c r="C262" t="s">
        <v>46</v>
      </c>
      <c r="D262">
        <f t="shared" si="31"/>
        <v>2030</v>
      </c>
      <c r="E262">
        <f t="shared" si="32"/>
        <v>11</v>
      </c>
      <c r="F262">
        <f t="shared" si="33"/>
        <v>11</v>
      </c>
      <c r="H262" s="6">
        <f t="shared" si="34"/>
        <v>-399</v>
      </c>
      <c r="I262">
        <v>20291008</v>
      </c>
      <c r="J262" s="1">
        <f t="shared" si="35"/>
        <v>47399</v>
      </c>
      <c r="L262">
        <v>20130329</v>
      </c>
      <c r="M262" s="1">
        <f t="shared" si="36"/>
        <v>41362</v>
      </c>
      <c r="N262" t="str">
        <f t="shared" si="37"/>
        <v>insert #t values('20130329')</v>
      </c>
    </row>
    <row r="263" spans="1:14" x14ac:dyDescent="0.2">
      <c r="A263" s="12">
        <v>47842</v>
      </c>
      <c r="B263">
        <v>77</v>
      </c>
      <c r="C263" t="s">
        <v>46</v>
      </c>
      <c r="D263">
        <f t="shared" si="31"/>
        <v>2030</v>
      </c>
      <c r="E263">
        <f t="shared" si="32"/>
        <v>12</v>
      </c>
      <c r="F263">
        <f t="shared" si="33"/>
        <v>25</v>
      </c>
      <c r="H263" s="6">
        <f t="shared" si="34"/>
        <v>-408</v>
      </c>
      <c r="I263">
        <v>20291112</v>
      </c>
      <c r="J263" s="1">
        <f t="shared" si="35"/>
        <v>47434</v>
      </c>
      <c r="L263">
        <v>20130520</v>
      </c>
      <c r="M263" s="1">
        <f t="shared" si="36"/>
        <v>41414</v>
      </c>
      <c r="N263" t="str">
        <f t="shared" si="37"/>
        <v>insert #t values('20130520')</v>
      </c>
    </row>
    <row r="264" spans="1:14" x14ac:dyDescent="0.2">
      <c r="A264" s="12">
        <v>47843</v>
      </c>
      <c r="B264">
        <v>78</v>
      </c>
      <c r="C264" t="s">
        <v>46</v>
      </c>
      <c r="D264">
        <f t="shared" si="31"/>
        <v>2030</v>
      </c>
      <c r="E264">
        <f t="shared" si="32"/>
        <v>12</v>
      </c>
      <c r="F264">
        <f t="shared" si="33"/>
        <v>26</v>
      </c>
      <c r="H264" s="6">
        <f t="shared" si="34"/>
        <v>-366</v>
      </c>
      <c r="I264">
        <v>20291225</v>
      </c>
      <c r="J264" s="1">
        <f t="shared" si="35"/>
        <v>47477</v>
      </c>
      <c r="L264">
        <v>20130701</v>
      </c>
      <c r="M264" s="1">
        <f t="shared" si="36"/>
        <v>41456</v>
      </c>
      <c r="N264" t="str">
        <f t="shared" si="37"/>
        <v>insert #t values('20130701')</v>
      </c>
    </row>
    <row r="265" spans="1:14" x14ac:dyDescent="0.2">
      <c r="A265" s="12">
        <v>47849</v>
      </c>
      <c r="B265">
        <v>69</v>
      </c>
      <c r="C265" t="s">
        <v>46</v>
      </c>
      <c r="D265">
        <f t="shared" si="31"/>
        <v>2031</v>
      </c>
      <c r="E265">
        <f t="shared" si="32"/>
        <v>1</v>
      </c>
      <c r="F265">
        <f t="shared" si="33"/>
        <v>1</v>
      </c>
      <c r="H265" s="6">
        <f t="shared" si="34"/>
        <v>-371</v>
      </c>
      <c r="I265">
        <v>20291226</v>
      </c>
      <c r="J265" s="1">
        <f t="shared" si="35"/>
        <v>47478</v>
      </c>
      <c r="L265">
        <v>20130805</v>
      </c>
      <c r="M265" s="1">
        <f t="shared" si="36"/>
        <v>41491</v>
      </c>
      <c r="N265" t="str">
        <f t="shared" si="37"/>
        <v>insert #t values('20130805')</v>
      </c>
    </row>
    <row r="266" spans="1:14" x14ac:dyDescent="0.2">
      <c r="A266" s="12">
        <v>47896</v>
      </c>
      <c r="C266" t="s">
        <v>46</v>
      </c>
      <c r="D266">
        <f t="shared" si="31"/>
        <v>2031</v>
      </c>
      <c r="E266">
        <f t="shared" si="32"/>
        <v>2</v>
      </c>
      <c r="F266">
        <f t="shared" si="33"/>
        <v>17</v>
      </c>
      <c r="H266" s="6">
        <f t="shared" si="34"/>
        <v>-418</v>
      </c>
      <c r="I266">
        <v>20291226</v>
      </c>
      <c r="J266" s="1">
        <f t="shared" si="35"/>
        <v>47478</v>
      </c>
      <c r="L266">
        <v>20130902</v>
      </c>
      <c r="M266" s="1">
        <f t="shared" si="36"/>
        <v>41519</v>
      </c>
      <c r="N266" t="str">
        <f t="shared" si="37"/>
        <v>insert #t values('20130902')</v>
      </c>
    </row>
    <row r="267" spans="1:14" x14ac:dyDescent="0.2">
      <c r="A267" s="12">
        <v>47949</v>
      </c>
      <c r="B267">
        <v>70</v>
      </c>
      <c r="C267" t="s">
        <v>46</v>
      </c>
      <c r="D267">
        <f t="shared" si="31"/>
        <v>2031</v>
      </c>
      <c r="E267">
        <f t="shared" si="32"/>
        <v>4</v>
      </c>
      <c r="F267">
        <f t="shared" si="33"/>
        <v>11</v>
      </c>
      <c r="H267" s="6">
        <f t="shared" si="34"/>
        <v>-465</v>
      </c>
      <c r="I267">
        <v>20300101</v>
      </c>
      <c r="J267" s="1">
        <f t="shared" si="35"/>
        <v>47484</v>
      </c>
      <c r="L267">
        <v>20131014</v>
      </c>
      <c r="M267" s="1">
        <f t="shared" si="36"/>
        <v>41561</v>
      </c>
      <c r="N267" t="str">
        <f t="shared" si="37"/>
        <v>insert #t values('20131014')</v>
      </c>
    </row>
    <row r="268" spans="1:14" x14ac:dyDescent="0.2">
      <c r="A268" s="12">
        <v>47987</v>
      </c>
      <c r="B268">
        <v>71</v>
      </c>
      <c r="C268" t="s">
        <v>46</v>
      </c>
      <c r="D268">
        <f t="shared" si="31"/>
        <v>2031</v>
      </c>
      <c r="E268">
        <f t="shared" si="32"/>
        <v>5</v>
      </c>
      <c r="F268">
        <f t="shared" si="33"/>
        <v>19</v>
      </c>
      <c r="H268" s="6">
        <f t="shared" si="34"/>
        <v>-455</v>
      </c>
      <c r="I268">
        <v>20300218</v>
      </c>
      <c r="J268" s="1">
        <f t="shared" si="35"/>
        <v>47532</v>
      </c>
      <c r="L268">
        <v>20131111</v>
      </c>
      <c r="M268" s="1">
        <f t="shared" si="36"/>
        <v>41589</v>
      </c>
      <c r="N268" t="str">
        <f t="shared" si="37"/>
        <v>insert #t values('20131111')</v>
      </c>
    </row>
    <row r="269" spans="1:14" x14ac:dyDescent="0.2">
      <c r="A269" s="12">
        <v>48030</v>
      </c>
      <c r="B269">
        <v>72</v>
      </c>
      <c r="C269" t="s">
        <v>46</v>
      </c>
      <c r="D269">
        <f t="shared" si="31"/>
        <v>2031</v>
      </c>
      <c r="E269">
        <f t="shared" si="32"/>
        <v>7</v>
      </c>
      <c r="F269">
        <f t="shared" si="33"/>
        <v>1</v>
      </c>
      <c r="H269" s="6">
        <f t="shared" si="34"/>
        <v>-438</v>
      </c>
      <c r="I269">
        <v>20300419</v>
      </c>
      <c r="J269" s="1">
        <f t="shared" si="35"/>
        <v>47592</v>
      </c>
      <c r="L269">
        <v>20131225</v>
      </c>
      <c r="M269" s="1">
        <f t="shared" si="36"/>
        <v>41633</v>
      </c>
      <c r="N269" t="str">
        <f t="shared" si="37"/>
        <v>insert #t values('20131225')</v>
      </c>
    </row>
    <row r="270" spans="1:14" x14ac:dyDescent="0.2">
      <c r="A270" s="12">
        <v>48064</v>
      </c>
      <c r="B270">
        <v>178</v>
      </c>
      <c r="C270" t="s">
        <v>46</v>
      </c>
      <c r="D270">
        <f t="shared" si="31"/>
        <v>2031</v>
      </c>
      <c r="E270">
        <f t="shared" si="32"/>
        <v>8</v>
      </c>
      <c r="F270">
        <f t="shared" si="33"/>
        <v>4</v>
      </c>
      <c r="H270" s="6">
        <f t="shared" si="34"/>
        <v>-441</v>
      </c>
      <c r="I270">
        <v>20300520</v>
      </c>
      <c r="J270" s="1">
        <f t="shared" si="35"/>
        <v>47623</v>
      </c>
      <c r="L270">
        <v>20131226</v>
      </c>
      <c r="M270" s="1">
        <f t="shared" si="36"/>
        <v>41634</v>
      </c>
      <c r="N270" t="str">
        <f t="shared" si="37"/>
        <v>insert #t values('20131226')</v>
      </c>
    </row>
    <row r="271" spans="1:14" x14ac:dyDescent="0.2">
      <c r="A271" s="12">
        <v>48092</v>
      </c>
      <c r="B271">
        <v>74</v>
      </c>
      <c r="C271" t="s">
        <v>46</v>
      </c>
      <c r="D271">
        <f t="shared" si="31"/>
        <v>2031</v>
      </c>
      <c r="E271">
        <f t="shared" si="32"/>
        <v>9</v>
      </c>
      <c r="F271">
        <f t="shared" si="33"/>
        <v>1</v>
      </c>
      <c r="H271" s="6">
        <f t="shared" si="34"/>
        <v>-427</v>
      </c>
      <c r="I271">
        <v>20300701</v>
      </c>
      <c r="J271" s="1">
        <f t="shared" si="35"/>
        <v>47665</v>
      </c>
      <c r="L271">
        <v>20131226</v>
      </c>
      <c r="M271" s="1">
        <f t="shared" si="36"/>
        <v>41634</v>
      </c>
      <c r="N271" t="str">
        <f t="shared" si="37"/>
        <v>insert #t values('20131226')</v>
      </c>
    </row>
    <row r="272" spans="1:14" x14ac:dyDescent="0.2">
      <c r="A272" s="12">
        <v>48134</v>
      </c>
      <c r="B272">
        <v>75</v>
      </c>
      <c r="C272" t="s">
        <v>46</v>
      </c>
      <c r="D272">
        <f t="shared" si="31"/>
        <v>2031</v>
      </c>
      <c r="E272">
        <f t="shared" si="32"/>
        <v>10</v>
      </c>
      <c r="F272">
        <f t="shared" si="33"/>
        <v>13</v>
      </c>
      <c r="H272" s="6">
        <f t="shared" si="34"/>
        <v>-434</v>
      </c>
      <c r="I272">
        <v>20300805</v>
      </c>
      <c r="J272" s="1">
        <f t="shared" si="35"/>
        <v>47700</v>
      </c>
      <c r="L272">
        <v>20140101</v>
      </c>
      <c r="M272" s="1">
        <f t="shared" si="36"/>
        <v>41640</v>
      </c>
      <c r="N272" t="str">
        <f t="shared" si="37"/>
        <v>insert #t values('20140101')</v>
      </c>
    </row>
    <row r="273" spans="1:14" x14ac:dyDescent="0.2">
      <c r="A273" s="12">
        <v>48163</v>
      </c>
      <c r="B273">
        <v>76</v>
      </c>
      <c r="C273" t="s">
        <v>46</v>
      </c>
      <c r="D273">
        <f t="shared" si="31"/>
        <v>2031</v>
      </c>
      <c r="E273">
        <f t="shared" si="32"/>
        <v>11</v>
      </c>
      <c r="F273">
        <f t="shared" si="33"/>
        <v>11</v>
      </c>
      <c r="H273" s="6">
        <f t="shared" si="34"/>
        <v>-435</v>
      </c>
      <c r="I273">
        <v>20300902</v>
      </c>
      <c r="J273" s="1">
        <f t="shared" si="35"/>
        <v>47728</v>
      </c>
      <c r="L273">
        <v>20140217</v>
      </c>
      <c r="M273" s="1">
        <f t="shared" si="36"/>
        <v>41687</v>
      </c>
      <c r="N273" t="str">
        <f t="shared" si="37"/>
        <v>insert #t values('20140217')</v>
      </c>
    </row>
    <row r="274" spans="1:14" x14ac:dyDescent="0.2">
      <c r="A274" s="12">
        <v>48207</v>
      </c>
      <c r="B274">
        <v>77</v>
      </c>
      <c r="C274" t="s">
        <v>46</v>
      </c>
      <c r="D274">
        <f t="shared" si="31"/>
        <v>2031</v>
      </c>
      <c r="E274">
        <f t="shared" si="32"/>
        <v>12</v>
      </c>
      <c r="F274">
        <f t="shared" si="33"/>
        <v>25</v>
      </c>
      <c r="H274" s="6">
        <f t="shared" si="34"/>
        <v>-437</v>
      </c>
      <c r="I274">
        <v>20301014</v>
      </c>
      <c r="J274" s="1">
        <f t="shared" si="35"/>
        <v>47770</v>
      </c>
      <c r="L274">
        <v>20140418</v>
      </c>
      <c r="M274" s="1">
        <f t="shared" si="36"/>
        <v>41747</v>
      </c>
      <c r="N274" t="str">
        <f t="shared" si="37"/>
        <v>insert #t values('20140418')</v>
      </c>
    </row>
    <row r="275" spans="1:14" x14ac:dyDescent="0.2">
      <c r="A275" s="12">
        <v>48208</v>
      </c>
      <c r="B275">
        <v>78</v>
      </c>
      <c r="C275" t="s">
        <v>46</v>
      </c>
      <c r="D275">
        <f t="shared" si="31"/>
        <v>2031</v>
      </c>
      <c r="E275">
        <f t="shared" si="32"/>
        <v>12</v>
      </c>
      <c r="F275">
        <f t="shared" si="33"/>
        <v>26</v>
      </c>
      <c r="H275" s="6">
        <f t="shared" si="34"/>
        <v>-410</v>
      </c>
      <c r="I275">
        <v>20301111</v>
      </c>
      <c r="J275" s="1">
        <f t="shared" si="35"/>
        <v>47798</v>
      </c>
      <c r="L275">
        <v>20140519</v>
      </c>
      <c r="M275" s="1">
        <f t="shared" si="36"/>
        <v>41778</v>
      </c>
      <c r="N275" t="str">
        <f t="shared" si="37"/>
        <v>insert #t values('20140519')</v>
      </c>
    </row>
    <row r="276" spans="1:14" x14ac:dyDescent="0.2">
      <c r="A276" s="12">
        <v>48214</v>
      </c>
      <c r="B276">
        <v>69</v>
      </c>
      <c r="C276" t="s">
        <v>46</v>
      </c>
      <c r="D276">
        <f t="shared" si="31"/>
        <v>2032</v>
      </c>
      <c r="E276">
        <f t="shared" si="32"/>
        <v>1</v>
      </c>
      <c r="F276">
        <f t="shared" si="33"/>
        <v>1</v>
      </c>
      <c r="H276" s="6">
        <f t="shared" si="34"/>
        <v>-372</v>
      </c>
      <c r="I276">
        <v>20301225</v>
      </c>
      <c r="J276" s="1">
        <f t="shared" si="35"/>
        <v>47842</v>
      </c>
      <c r="L276">
        <v>20140701</v>
      </c>
      <c r="M276" s="1">
        <f t="shared" si="36"/>
        <v>41821</v>
      </c>
      <c r="N276" t="str">
        <f t="shared" si="37"/>
        <v>insert #t values('20140701')</v>
      </c>
    </row>
    <row r="277" spans="1:14" x14ac:dyDescent="0.2">
      <c r="A277" s="12">
        <v>48267</v>
      </c>
      <c r="C277" t="s">
        <v>46</v>
      </c>
      <c r="D277">
        <f t="shared" si="31"/>
        <v>2032</v>
      </c>
      <c r="E277">
        <f t="shared" si="32"/>
        <v>2</v>
      </c>
      <c r="F277">
        <f t="shared" si="33"/>
        <v>23</v>
      </c>
      <c r="H277" s="6">
        <f t="shared" si="34"/>
        <v>-424</v>
      </c>
      <c r="I277">
        <v>20301226</v>
      </c>
      <c r="J277" s="1">
        <f t="shared" si="35"/>
        <v>47843</v>
      </c>
      <c r="L277">
        <v>20140804</v>
      </c>
      <c r="M277" s="1">
        <f t="shared" si="36"/>
        <v>41855</v>
      </c>
      <c r="N277" t="str">
        <f t="shared" si="37"/>
        <v>insert #t values('20140804')</v>
      </c>
    </row>
    <row r="278" spans="1:14" x14ac:dyDescent="0.2">
      <c r="A278" s="12">
        <v>48299</v>
      </c>
      <c r="B278">
        <v>70</v>
      </c>
      <c r="C278" t="s">
        <v>46</v>
      </c>
      <c r="D278">
        <f t="shared" si="31"/>
        <v>2032</v>
      </c>
      <c r="E278">
        <f t="shared" si="32"/>
        <v>3</v>
      </c>
      <c r="F278">
        <f t="shared" si="33"/>
        <v>26</v>
      </c>
      <c r="H278" s="6">
        <f t="shared" si="34"/>
        <v>-456</v>
      </c>
      <c r="I278">
        <v>20301226</v>
      </c>
      <c r="J278" s="1">
        <f t="shared" si="35"/>
        <v>47843</v>
      </c>
      <c r="L278">
        <v>20140901</v>
      </c>
      <c r="M278" s="1">
        <f t="shared" si="36"/>
        <v>41883</v>
      </c>
      <c r="N278" t="str">
        <f t="shared" si="37"/>
        <v>insert #t values('20140901')</v>
      </c>
    </row>
    <row r="279" spans="1:14" x14ac:dyDescent="0.2">
      <c r="A279" s="12">
        <v>48358</v>
      </c>
      <c r="B279">
        <v>71</v>
      </c>
      <c r="C279" t="s">
        <v>46</v>
      </c>
      <c r="D279">
        <f t="shared" si="31"/>
        <v>2032</v>
      </c>
      <c r="E279">
        <f t="shared" si="32"/>
        <v>5</v>
      </c>
      <c r="F279">
        <f t="shared" si="33"/>
        <v>24</v>
      </c>
      <c r="H279" s="6">
        <f t="shared" si="34"/>
        <v>-509</v>
      </c>
      <c r="I279">
        <v>20310101</v>
      </c>
      <c r="J279" s="1">
        <f t="shared" si="35"/>
        <v>47849</v>
      </c>
      <c r="L279">
        <v>20141013</v>
      </c>
      <c r="M279" s="1">
        <f t="shared" si="36"/>
        <v>41925</v>
      </c>
      <c r="N279" t="str">
        <f t="shared" si="37"/>
        <v>insert #t values('20141013')</v>
      </c>
    </row>
    <row r="280" spans="1:14" x14ac:dyDescent="0.2">
      <c r="A280" s="12">
        <v>48396</v>
      </c>
      <c r="B280">
        <v>72</v>
      </c>
      <c r="C280" t="s">
        <v>46</v>
      </c>
      <c r="D280">
        <f t="shared" si="31"/>
        <v>2032</v>
      </c>
      <c r="E280">
        <f t="shared" si="32"/>
        <v>7</v>
      </c>
      <c r="F280">
        <f t="shared" si="33"/>
        <v>1</v>
      </c>
      <c r="H280" s="6">
        <f t="shared" si="34"/>
        <v>-500</v>
      </c>
      <c r="I280">
        <v>20310217</v>
      </c>
      <c r="J280" s="1">
        <f t="shared" si="35"/>
        <v>47896</v>
      </c>
      <c r="L280">
        <v>20141111</v>
      </c>
      <c r="M280" s="1">
        <f t="shared" si="36"/>
        <v>41954</v>
      </c>
      <c r="N280" t="str">
        <f t="shared" si="37"/>
        <v>insert #t values('20141111')</v>
      </c>
    </row>
    <row r="281" spans="1:14" x14ac:dyDescent="0.2">
      <c r="A281" s="12">
        <v>48428</v>
      </c>
      <c r="B281">
        <v>178</v>
      </c>
      <c r="C281" t="s">
        <v>46</v>
      </c>
      <c r="D281">
        <f t="shared" si="31"/>
        <v>2032</v>
      </c>
      <c r="E281">
        <f t="shared" si="32"/>
        <v>8</v>
      </c>
      <c r="F281">
        <f t="shared" si="33"/>
        <v>2</v>
      </c>
      <c r="H281" s="6">
        <f t="shared" si="34"/>
        <v>-479</v>
      </c>
      <c r="I281">
        <v>20310411</v>
      </c>
      <c r="J281" s="1">
        <f t="shared" si="35"/>
        <v>47949</v>
      </c>
      <c r="L281">
        <v>20141225</v>
      </c>
      <c r="M281" s="1">
        <f t="shared" si="36"/>
        <v>41998</v>
      </c>
      <c r="N281" t="str">
        <f t="shared" si="37"/>
        <v>insert #t values('20141225')</v>
      </c>
    </row>
    <row r="282" spans="1:14" x14ac:dyDescent="0.2">
      <c r="A282" s="12">
        <v>48463</v>
      </c>
      <c r="B282">
        <v>74</v>
      </c>
      <c r="C282" t="s">
        <v>46</v>
      </c>
      <c r="D282">
        <f t="shared" si="31"/>
        <v>2032</v>
      </c>
      <c r="E282">
        <f t="shared" si="32"/>
        <v>9</v>
      </c>
      <c r="F282">
        <f t="shared" si="33"/>
        <v>6</v>
      </c>
      <c r="H282" s="6">
        <f t="shared" si="34"/>
        <v>-476</v>
      </c>
      <c r="I282">
        <v>20310519</v>
      </c>
      <c r="J282" s="1">
        <f t="shared" si="35"/>
        <v>47987</v>
      </c>
      <c r="L282">
        <v>20141226</v>
      </c>
      <c r="M282" s="1">
        <f t="shared" si="36"/>
        <v>41999</v>
      </c>
      <c r="N282" t="str">
        <f t="shared" si="37"/>
        <v>insert #t values('20141226')</v>
      </c>
    </row>
    <row r="283" spans="1:14" x14ac:dyDescent="0.2">
      <c r="A283" s="12">
        <v>48498</v>
      </c>
      <c r="B283">
        <v>75</v>
      </c>
      <c r="C283" t="s">
        <v>46</v>
      </c>
      <c r="D283">
        <f t="shared" si="31"/>
        <v>2032</v>
      </c>
      <c r="E283">
        <f t="shared" si="32"/>
        <v>10</v>
      </c>
      <c r="F283">
        <f t="shared" si="33"/>
        <v>11</v>
      </c>
      <c r="H283" s="6">
        <f t="shared" si="34"/>
        <v>-468</v>
      </c>
      <c r="I283">
        <v>20310701</v>
      </c>
      <c r="J283" s="1">
        <f t="shared" si="35"/>
        <v>48030</v>
      </c>
      <c r="L283">
        <v>20141226</v>
      </c>
      <c r="M283" s="1">
        <f t="shared" si="36"/>
        <v>41999</v>
      </c>
      <c r="N283" t="str">
        <f t="shared" si="37"/>
        <v>insert #t values('20141226')</v>
      </c>
    </row>
    <row r="284" spans="1:14" x14ac:dyDescent="0.2">
      <c r="A284" s="12">
        <v>48529</v>
      </c>
      <c r="B284">
        <v>76</v>
      </c>
      <c r="C284" t="s">
        <v>46</v>
      </c>
      <c r="D284">
        <f t="shared" si="31"/>
        <v>2032</v>
      </c>
      <c r="E284">
        <f t="shared" si="32"/>
        <v>11</v>
      </c>
      <c r="F284">
        <f t="shared" si="33"/>
        <v>11</v>
      </c>
      <c r="H284" s="6">
        <f t="shared" si="34"/>
        <v>-465</v>
      </c>
      <c r="I284">
        <v>20310804</v>
      </c>
      <c r="J284" s="1">
        <f t="shared" si="35"/>
        <v>48064</v>
      </c>
      <c r="L284">
        <v>20150101</v>
      </c>
      <c r="M284" s="1">
        <f t="shared" si="36"/>
        <v>42005</v>
      </c>
      <c r="N284" t="str">
        <f t="shared" si="37"/>
        <v>insert #t values('20150101')</v>
      </c>
    </row>
    <row r="285" spans="1:14" x14ac:dyDescent="0.2">
      <c r="A285" s="12">
        <v>48575</v>
      </c>
      <c r="B285">
        <v>77</v>
      </c>
      <c r="C285" t="s">
        <v>46</v>
      </c>
      <c r="D285">
        <f t="shared" si="31"/>
        <v>2032</v>
      </c>
      <c r="E285">
        <f t="shared" si="32"/>
        <v>12</v>
      </c>
      <c r="F285">
        <f t="shared" si="33"/>
        <v>27</v>
      </c>
      <c r="H285" s="6">
        <f t="shared" si="34"/>
        <v>-483</v>
      </c>
      <c r="I285">
        <v>20310901</v>
      </c>
      <c r="J285" s="1">
        <f t="shared" si="35"/>
        <v>48092</v>
      </c>
      <c r="L285">
        <v>20150216</v>
      </c>
      <c r="M285" s="1">
        <f t="shared" si="36"/>
        <v>42051</v>
      </c>
      <c r="N285" t="str">
        <f t="shared" si="37"/>
        <v>insert #t values('20150216')</v>
      </c>
    </row>
    <row r="286" spans="1:14" x14ac:dyDescent="0.2">
      <c r="A286" s="12">
        <v>48576</v>
      </c>
      <c r="B286">
        <v>78</v>
      </c>
      <c r="C286" t="s">
        <v>46</v>
      </c>
      <c r="D286">
        <f t="shared" si="31"/>
        <v>2032</v>
      </c>
      <c r="E286">
        <f t="shared" si="32"/>
        <v>12</v>
      </c>
      <c r="F286">
        <f t="shared" si="33"/>
        <v>28</v>
      </c>
      <c r="H286" s="6">
        <f t="shared" si="34"/>
        <v>-442</v>
      </c>
      <c r="I286">
        <v>20311013</v>
      </c>
      <c r="J286" s="1">
        <f t="shared" si="35"/>
        <v>48134</v>
      </c>
      <c r="L286">
        <v>20150403</v>
      </c>
      <c r="M286" s="1">
        <f t="shared" si="36"/>
        <v>42097</v>
      </c>
      <c r="N286" t="str">
        <f t="shared" si="37"/>
        <v>insert #t values('20150403')</v>
      </c>
    </row>
    <row r="287" spans="1:14" x14ac:dyDescent="0.2">
      <c r="A287" s="12">
        <v>48582</v>
      </c>
      <c r="B287">
        <v>69</v>
      </c>
      <c r="C287" t="s">
        <v>46</v>
      </c>
      <c r="D287">
        <f t="shared" si="31"/>
        <v>2033</v>
      </c>
      <c r="E287">
        <f t="shared" si="32"/>
        <v>1</v>
      </c>
      <c r="F287">
        <f t="shared" si="33"/>
        <v>3</v>
      </c>
      <c r="H287" s="6">
        <f t="shared" si="34"/>
        <v>-419</v>
      </c>
      <c r="I287">
        <v>20311111</v>
      </c>
      <c r="J287" s="1">
        <f t="shared" si="35"/>
        <v>48163</v>
      </c>
      <c r="L287">
        <v>20150518</v>
      </c>
      <c r="M287" s="1">
        <f t="shared" si="36"/>
        <v>42142</v>
      </c>
      <c r="N287" t="str">
        <f t="shared" si="37"/>
        <v>insert #t values('20150518')</v>
      </c>
    </row>
    <row r="288" spans="1:14" x14ac:dyDescent="0.2">
      <c r="A288" s="12">
        <v>48631</v>
      </c>
      <c r="C288" t="s">
        <v>46</v>
      </c>
      <c r="D288">
        <f t="shared" si="31"/>
        <v>2033</v>
      </c>
      <c r="E288">
        <f t="shared" si="32"/>
        <v>2</v>
      </c>
      <c r="F288">
        <f t="shared" si="33"/>
        <v>21</v>
      </c>
      <c r="H288" s="6">
        <f t="shared" si="34"/>
        <v>-424</v>
      </c>
      <c r="I288">
        <v>20311225</v>
      </c>
      <c r="J288" s="1">
        <f t="shared" si="35"/>
        <v>48207</v>
      </c>
      <c r="L288">
        <v>20150701</v>
      </c>
      <c r="M288" s="1">
        <f t="shared" si="36"/>
        <v>42186</v>
      </c>
      <c r="N288" t="str">
        <f t="shared" si="37"/>
        <v>insert #t values('20150701')</v>
      </c>
    </row>
    <row r="289" spans="1:14" x14ac:dyDescent="0.2">
      <c r="A289" s="12">
        <v>48684</v>
      </c>
      <c r="B289">
        <v>70</v>
      </c>
      <c r="C289" t="s">
        <v>46</v>
      </c>
      <c r="D289">
        <f t="shared" si="31"/>
        <v>2033</v>
      </c>
      <c r="E289">
        <f t="shared" si="32"/>
        <v>4</v>
      </c>
      <c r="F289">
        <f t="shared" si="33"/>
        <v>15</v>
      </c>
      <c r="H289" s="6">
        <f t="shared" si="34"/>
        <v>-476</v>
      </c>
      <c r="I289">
        <v>20311226</v>
      </c>
      <c r="J289" s="1">
        <f t="shared" si="35"/>
        <v>48208</v>
      </c>
      <c r="L289">
        <v>20150803</v>
      </c>
      <c r="M289" s="1">
        <f t="shared" si="36"/>
        <v>42219</v>
      </c>
      <c r="N289" t="str">
        <f t="shared" si="37"/>
        <v>insert #t values('20150803')</v>
      </c>
    </row>
    <row r="290" spans="1:14" x14ac:dyDescent="0.2">
      <c r="A290" s="12">
        <v>48722</v>
      </c>
      <c r="B290">
        <v>71</v>
      </c>
      <c r="C290" t="s">
        <v>46</v>
      </c>
      <c r="D290">
        <f t="shared" si="31"/>
        <v>2033</v>
      </c>
      <c r="E290">
        <f t="shared" si="32"/>
        <v>5</v>
      </c>
      <c r="F290">
        <f t="shared" si="33"/>
        <v>23</v>
      </c>
      <c r="H290" s="6">
        <f t="shared" si="34"/>
        <v>-514</v>
      </c>
      <c r="I290">
        <v>20311226</v>
      </c>
      <c r="J290" s="1">
        <f t="shared" si="35"/>
        <v>48208</v>
      </c>
      <c r="L290">
        <v>20150907</v>
      </c>
      <c r="M290" s="1">
        <f t="shared" si="36"/>
        <v>42254</v>
      </c>
      <c r="N290" t="str">
        <f t="shared" si="37"/>
        <v>insert #t values('20150907')</v>
      </c>
    </row>
    <row r="291" spans="1:14" x14ac:dyDescent="0.2">
      <c r="A291" s="12">
        <v>48761</v>
      </c>
      <c r="B291">
        <v>72</v>
      </c>
      <c r="C291" t="s">
        <v>46</v>
      </c>
      <c r="D291">
        <f t="shared" si="31"/>
        <v>2033</v>
      </c>
      <c r="E291">
        <f t="shared" si="32"/>
        <v>7</v>
      </c>
      <c r="F291">
        <f t="shared" si="33"/>
        <v>1</v>
      </c>
      <c r="H291" s="6">
        <f t="shared" si="34"/>
        <v>-547</v>
      </c>
      <c r="I291">
        <v>20320101</v>
      </c>
      <c r="J291" s="1">
        <f t="shared" si="35"/>
        <v>48214</v>
      </c>
      <c r="L291">
        <v>20151012</v>
      </c>
      <c r="M291" s="1">
        <f t="shared" si="36"/>
        <v>42289</v>
      </c>
      <c r="N291" t="str">
        <f t="shared" si="37"/>
        <v>insert #t values('20151012')</v>
      </c>
    </row>
    <row r="292" spans="1:14" x14ac:dyDescent="0.2">
      <c r="A292" s="12">
        <v>48792</v>
      </c>
      <c r="B292">
        <v>178</v>
      </c>
      <c r="C292" t="s">
        <v>46</v>
      </c>
      <c r="D292">
        <f t="shared" ref="D292:D334" si="38">YEAR(A292)</f>
        <v>2033</v>
      </c>
      <c r="E292">
        <f t="shared" ref="E292:E334" si="39">MONTH(A292)</f>
        <v>8</v>
      </c>
      <c r="F292">
        <f t="shared" ref="F292:F334" si="40">DAY(A292)</f>
        <v>1</v>
      </c>
      <c r="H292" s="6">
        <f t="shared" si="34"/>
        <v>-532</v>
      </c>
      <c r="I292">
        <v>20320216</v>
      </c>
      <c r="J292" s="1">
        <f t="shared" si="35"/>
        <v>48260</v>
      </c>
      <c r="L292">
        <v>20151111</v>
      </c>
      <c r="M292" s="1">
        <f t="shared" si="36"/>
        <v>42319</v>
      </c>
      <c r="N292" t="str">
        <f t="shared" si="37"/>
        <v>insert #t values('20151111')</v>
      </c>
    </row>
    <row r="293" spans="1:14" x14ac:dyDescent="0.2">
      <c r="A293" s="12">
        <v>48827</v>
      </c>
      <c r="B293">
        <v>74</v>
      </c>
      <c r="C293" t="s">
        <v>46</v>
      </c>
      <c r="D293">
        <f t="shared" si="38"/>
        <v>2033</v>
      </c>
      <c r="E293">
        <f t="shared" si="39"/>
        <v>9</v>
      </c>
      <c r="F293">
        <f t="shared" si="40"/>
        <v>5</v>
      </c>
      <c r="H293" s="6">
        <f t="shared" si="34"/>
        <v>-528</v>
      </c>
      <c r="I293">
        <v>20320326</v>
      </c>
      <c r="J293" s="1">
        <f t="shared" si="35"/>
        <v>48299</v>
      </c>
      <c r="L293">
        <v>20151225</v>
      </c>
      <c r="M293" s="1">
        <f t="shared" si="36"/>
        <v>42363</v>
      </c>
      <c r="N293" t="str">
        <f t="shared" si="37"/>
        <v>insert #t values('20151225')</v>
      </c>
    </row>
    <row r="294" spans="1:14" x14ac:dyDescent="0.2">
      <c r="A294" s="12">
        <v>48862</v>
      </c>
      <c r="B294">
        <v>75</v>
      </c>
      <c r="C294" t="s">
        <v>46</v>
      </c>
      <c r="D294">
        <f t="shared" si="38"/>
        <v>2033</v>
      </c>
      <c r="E294">
        <f t="shared" si="39"/>
        <v>10</v>
      </c>
      <c r="F294">
        <f t="shared" si="40"/>
        <v>10</v>
      </c>
      <c r="H294" s="6">
        <f t="shared" si="34"/>
        <v>-504</v>
      </c>
      <c r="I294">
        <v>20320524</v>
      </c>
      <c r="J294" s="1">
        <f t="shared" si="35"/>
        <v>48358</v>
      </c>
      <c r="L294">
        <v>20151228</v>
      </c>
      <c r="M294" s="1">
        <f t="shared" si="36"/>
        <v>42366</v>
      </c>
      <c r="N294" t="str">
        <f t="shared" si="37"/>
        <v>insert #t values('20151228')</v>
      </c>
    </row>
    <row r="295" spans="1:14" x14ac:dyDescent="0.2">
      <c r="A295" s="12">
        <v>48894</v>
      </c>
      <c r="B295">
        <v>76</v>
      </c>
      <c r="C295" t="s">
        <v>46</v>
      </c>
      <c r="D295">
        <f t="shared" si="38"/>
        <v>2033</v>
      </c>
      <c r="E295">
        <f t="shared" si="39"/>
        <v>11</v>
      </c>
      <c r="F295">
        <f t="shared" si="40"/>
        <v>11</v>
      </c>
      <c r="H295" s="6">
        <f t="shared" si="34"/>
        <v>-498</v>
      </c>
      <c r="I295">
        <v>20320701</v>
      </c>
      <c r="J295" s="1">
        <f t="shared" si="35"/>
        <v>48396</v>
      </c>
      <c r="L295">
        <v>20151228</v>
      </c>
      <c r="M295" s="1">
        <f t="shared" si="36"/>
        <v>42366</v>
      </c>
      <c r="N295" t="str">
        <f t="shared" si="37"/>
        <v>insert #t values('20151228')</v>
      </c>
    </row>
    <row r="296" spans="1:14" x14ac:dyDescent="0.2">
      <c r="A296" s="12">
        <v>48939</v>
      </c>
      <c r="B296">
        <v>78</v>
      </c>
      <c r="C296" t="s">
        <v>46</v>
      </c>
      <c r="D296">
        <f t="shared" si="38"/>
        <v>2033</v>
      </c>
      <c r="E296">
        <f t="shared" si="39"/>
        <v>12</v>
      </c>
      <c r="F296">
        <f t="shared" si="40"/>
        <v>26</v>
      </c>
      <c r="H296" s="6">
        <f t="shared" si="34"/>
        <v>-511</v>
      </c>
      <c r="I296">
        <v>20320802</v>
      </c>
      <c r="J296" s="1">
        <f t="shared" si="35"/>
        <v>48428</v>
      </c>
      <c r="L296">
        <v>20160101</v>
      </c>
      <c r="M296" s="1">
        <f t="shared" si="36"/>
        <v>42370</v>
      </c>
      <c r="N296" t="str">
        <f t="shared" si="37"/>
        <v>insert #t values('20160101')</v>
      </c>
    </row>
    <row r="297" spans="1:14" x14ac:dyDescent="0.2">
      <c r="A297" s="12">
        <v>48940</v>
      </c>
      <c r="B297">
        <v>77</v>
      </c>
      <c r="C297" t="s">
        <v>46</v>
      </c>
      <c r="D297">
        <f t="shared" si="38"/>
        <v>2033</v>
      </c>
      <c r="E297">
        <f t="shared" si="39"/>
        <v>12</v>
      </c>
      <c r="F297">
        <f t="shared" si="40"/>
        <v>27</v>
      </c>
      <c r="H297" s="6">
        <f t="shared" si="34"/>
        <v>-477</v>
      </c>
      <c r="I297">
        <v>20320906</v>
      </c>
      <c r="J297" s="1">
        <f t="shared" si="35"/>
        <v>48463</v>
      </c>
      <c r="L297">
        <v>20160215</v>
      </c>
      <c r="M297" s="1">
        <f t="shared" si="36"/>
        <v>42415</v>
      </c>
      <c r="N297" t="str">
        <f t="shared" si="37"/>
        <v>insert #t values('20160215')</v>
      </c>
    </row>
    <row r="298" spans="1:14" x14ac:dyDescent="0.2">
      <c r="A298" s="12">
        <v>48946</v>
      </c>
      <c r="B298">
        <v>69</v>
      </c>
      <c r="C298" t="s">
        <v>46</v>
      </c>
      <c r="D298">
        <f t="shared" si="38"/>
        <v>2034</v>
      </c>
      <c r="E298">
        <f t="shared" si="39"/>
        <v>1</v>
      </c>
      <c r="F298">
        <f t="shared" si="40"/>
        <v>2</v>
      </c>
      <c r="H298" s="6">
        <f t="shared" si="34"/>
        <v>-448</v>
      </c>
      <c r="I298">
        <v>20321011</v>
      </c>
      <c r="J298" s="1">
        <f t="shared" si="35"/>
        <v>48498</v>
      </c>
      <c r="L298">
        <v>20160325</v>
      </c>
      <c r="M298" s="1">
        <f t="shared" si="36"/>
        <v>42454</v>
      </c>
      <c r="N298" t="str">
        <f t="shared" si="37"/>
        <v>insert #t values('20160325')</v>
      </c>
    </row>
    <row r="299" spans="1:14" x14ac:dyDescent="0.2">
      <c r="A299" s="12">
        <v>48995</v>
      </c>
      <c r="C299" t="s">
        <v>46</v>
      </c>
      <c r="D299">
        <f t="shared" si="38"/>
        <v>2034</v>
      </c>
      <c r="E299">
        <f t="shared" si="39"/>
        <v>2</v>
      </c>
      <c r="F299">
        <f t="shared" si="40"/>
        <v>20</v>
      </c>
      <c r="H299" s="6">
        <f t="shared" si="34"/>
        <v>-466</v>
      </c>
      <c r="I299">
        <v>20321111</v>
      </c>
      <c r="J299" s="1">
        <f t="shared" si="35"/>
        <v>48529</v>
      </c>
      <c r="L299">
        <v>20160523</v>
      </c>
      <c r="M299" s="1">
        <f t="shared" si="36"/>
        <v>42513</v>
      </c>
      <c r="N299" t="str">
        <f t="shared" si="37"/>
        <v>insert #t values('20160523')</v>
      </c>
    </row>
    <row r="300" spans="1:14" x14ac:dyDescent="0.2">
      <c r="A300" s="12">
        <v>49041</v>
      </c>
      <c r="B300">
        <v>70</v>
      </c>
      <c r="C300" t="s">
        <v>46</v>
      </c>
      <c r="D300">
        <f t="shared" si="38"/>
        <v>2034</v>
      </c>
      <c r="E300">
        <f t="shared" si="39"/>
        <v>4</v>
      </c>
      <c r="F300">
        <f t="shared" si="40"/>
        <v>7</v>
      </c>
      <c r="H300" s="6">
        <f t="shared" si="34"/>
        <v>-466</v>
      </c>
      <c r="I300">
        <v>20321227</v>
      </c>
      <c r="J300" s="1">
        <f t="shared" si="35"/>
        <v>48575</v>
      </c>
      <c r="L300">
        <v>20160701</v>
      </c>
      <c r="M300" s="1">
        <f t="shared" si="36"/>
        <v>42552</v>
      </c>
      <c r="N300" t="str">
        <f t="shared" si="37"/>
        <v>insert #t values('20160701')</v>
      </c>
    </row>
    <row r="301" spans="1:14" x14ac:dyDescent="0.2">
      <c r="A301" s="12">
        <v>49086</v>
      </c>
      <c r="B301">
        <v>71</v>
      </c>
      <c r="C301" t="s">
        <v>46</v>
      </c>
      <c r="D301">
        <f t="shared" si="38"/>
        <v>2034</v>
      </c>
      <c r="E301">
        <f t="shared" si="39"/>
        <v>5</v>
      </c>
      <c r="F301">
        <f t="shared" si="40"/>
        <v>22</v>
      </c>
      <c r="H301" s="6">
        <f t="shared" si="34"/>
        <v>-511</v>
      </c>
      <c r="I301">
        <v>20321227</v>
      </c>
      <c r="J301" s="1">
        <f t="shared" si="35"/>
        <v>48575</v>
      </c>
      <c r="L301">
        <v>20160801</v>
      </c>
      <c r="M301" s="1">
        <f t="shared" si="36"/>
        <v>42583</v>
      </c>
      <c r="N301" t="str">
        <f t="shared" si="37"/>
        <v>insert #t values('20160801')</v>
      </c>
    </row>
    <row r="302" spans="1:14" x14ac:dyDescent="0.2">
      <c r="A302" s="12">
        <v>49128</v>
      </c>
      <c r="B302">
        <v>72</v>
      </c>
      <c r="C302" t="s">
        <v>46</v>
      </c>
      <c r="D302">
        <f t="shared" si="38"/>
        <v>2034</v>
      </c>
      <c r="E302">
        <f t="shared" si="39"/>
        <v>7</v>
      </c>
      <c r="F302">
        <f t="shared" si="40"/>
        <v>3</v>
      </c>
      <c r="H302" s="6">
        <f t="shared" si="34"/>
        <v>-552</v>
      </c>
      <c r="I302">
        <v>20321228</v>
      </c>
      <c r="J302" s="1">
        <f t="shared" si="35"/>
        <v>48576</v>
      </c>
      <c r="L302">
        <v>20160905</v>
      </c>
      <c r="M302" s="1">
        <f t="shared" si="36"/>
        <v>42618</v>
      </c>
      <c r="N302" t="str">
        <f t="shared" si="37"/>
        <v>insert #t values('20160905')</v>
      </c>
    </row>
    <row r="303" spans="1:14" x14ac:dyDescent="0.2">
      <c r="A303" s="12">
        <v>49163</v>
      </c>
      <c r="B303">
        <v>178</v>
      </c>
      <c r="C303" t="s">
        <v>46</v>
      </c>
      <c r="D303">
        <f t="shared" si="38"/>
        <v>2034</v>
      </c>
      <c r="E303">
        <f t="shared" si="39"/>
        <v>8</v>
      </c>
      <c r="F303">
        <f t="shared" si="40"/>
        <v>7</v>
      </c>
      <c r="H303" s="6">
        <f t="shared" si="34"/>
        <v>-581</v>
      </c>
      <c r="I303">
        <v>20330103</v>
      </c>
      <c r="J303" s="1">
        <f t="shared" si="35"/>
        <v>48582</v>
      </c>
      <c r="L303">
        <v>20161010</v>
      </c>
      <c r="M303" s="1">
        <f t="shared" si="36"/>
        <v>42653</v>
      </c>
      <c r="N303" t="str">
        <f t="shared" si="37"/>
        <v>insert #t values('20161010')</v>
      </c>
    </row>
    <row r="304" spans="1:14" x14ac:dyDescent="0.2">
      <c r="A304" s="12">
        <v>49191</v>
      </c>
      <c r="B304">
        <v>74</v>
      </c>
      <c r="C304" t="s">
        <v>46</v>
      </c>
      <c r="D304">
        <f t="shared" si="38"/>
        <v>2034</v>
      </c>
      <c r="E304">
        <f t="shared" si="39"/>
        <v>9</v>
      </c>
      <c r="F304">
        <f t="shared" si="40"/>
        <v>4</v>
      </c>
      <c r="H304" s="6">
        <f t="shared" si="34"/>
        <v>-560</v>
      </c>
      <c r="I304">
        <v>20330221</v>
      </c>
      <c r="J304" s="1">
        <f t="shared" si="35"/>
        <v>48631</v>
      </c>
      <c r="L304">
        <v>20161111</v>
      </c>
      <c r="M304" s="1">
        <f t="shared" si="36"/>
        <v>42685</v>
      </c>
      <c r="N304" t="str">
        <f t="shared" si="37"/>
        <v>insert #t values('20161111')</v>
      </c>
    </row>
    <row r="305" spans="1:14" x14ac:dyDescent="0.2">
      <c r="A305" s="12">
        <v>49226</v>
      </c>
      <c r="B305">
        <v>75</v>
      </c>
      <c r="C305" t="s">
        <v>46</v>
      </c>
      <c r="D305">
        <f t="shared" si="38"/>
        <v>2034</v>
      </c>
      <c r="E305">
        <f t="shared" si="39"/>
        <v>10</v>
      </c>
      <c r="F305">
        <f t="shared" si="40"/>
        <v>9</v>
      </c>
      <c r="H305" s="6">
        <f t="shared" si="34"/>
        <v>-542</v>
      </c>
      <c r="I305">
        <v>20330415</v>
      </c>
      <c r="J305" s="1">
        <f t="shared" si="35"/>
        <v>48684</v>
      </c>
      <c r="L305">
        <v>20161226</v>
      </c>
      <c r="M305" s="1">
        <f t="shared" si="36"/>
        <v>42730</v>
      </c>
      <c r="N305" t="str">
        <f t="shared" si="37"/>
        <v>insert #t values('20161226')</v>
      </c>
    </row>
    <row r="306" spans="1:14" x14ac:dyDescent="0.2">
      <c r="A306" s="12">
        <v>49261</v>
      </c>
      <c r="B306">
        <v>76</v>
      </c>
      <c r="C306" t="s">
        <v>46</v>
      </c>
      <c r="D306">
        <f t="shared" si="38"/>
        <v>2034</v>
      </c>
      <c r="E306">
        <f t="shared" si="39"/>
        <v>11</v>
      </c>
      <c r="F306">
        <f t="shared" si="40"/>
        <v>13</v>
      </c>
      <c r="H306" s="6">
        <f t="shared" si="34"/>
        <v>-539</v>
      </c>
      <c r="I306">
        <v>20330523</v>
      </c>
      <c r="J306" s="1">
        <f t="shared" si="35"/>
        <v>48722</v>
      </c>
      <c r="L306">
        <v>20161226</v>
      </c>
      <c r="M306" s="1">
        <f t="shared" si="36"/>
        <v>42730</v>
      </c>
      <c r="N306" t="str">
        <f t="shared" si="37"/>
        <v>insert #t values('20161226')</v>
      </c>
    </row>
    <row r="307" spans="1:14" x14ac:dyDescent="0.2">
      <c r="A307" s="12">
        <v>49303</v>
      </c>
      <c r="B307">
        <v>77</v>
      </c>
      <c r="C307" t="s">
        <v>46</v>
      </c>
      <c r="D307">
        <f t="shared" si="38"/>
        <v>2034</v>
      </c>
      <c r="E307">
        <f t="shared" si="39"/>
        <v>12</v>
      </c>
      <c r="F307">
        <f t="shared" si="40"/>
        <v>25</v>
      </c>
      <c r="H307" s="6">
        <f t="shared" si="34"/>
        <v>-542</v>
      </c>
      <c r="I307">
        <v>20330701</v>
      </c>
      <c r="J307" s="1">
        <f t="shared" si="35"/>
        <v>48761</v>
      </c>
      <c r="L307">
        <v>20161226</v>
      </c>
      <c r="M307" s="1">
        <f t="shared" si="36"/>
        <v>42730</v>
      </c>
      <c r="N307" t="str">
        <f t="shared" si="37"/>
        <v>insert #t values('20161226')</v>
      </c>
    </row>
    <row r="308" spans="1:14" x14ac:dyDescent="0.2">
      <c r="A308" s="12">
        <v>49304</v>
      </c>
      <c r="B308">
        <v>78</v>
      </c>
      <c r="C308" t="s">
        <v>46</v>
      </c>
      <c r="D308">
        <f t="shared" si="38"/>
        <v>2034</v>
      </c>
      <c r="E308">
        <f t="shared" si="39"/>
        <v>12</v>
      </c>
      <c r="F308">
        <f t="shared" si="40"/>
        <v>26</v>
      </c>
      <c r="H308" s="6">
        <f t="shared" si="34"/>
        <v>-512</v>
      </c>
      <c r="I308">
        <v>20330801</v>
      </c>
      <c r="J308" s="1">
        <f t="shared" si="35"/>
        <v>48792</v>
      </c>
      <c r="L308">
        <v>20170102</v>
      </c>
      <c r="M308" s="1">
        <f t="shared" si="36"/>
        <v>42737</v>
      </c>
      <c r="N308" t="str">
        <f t="shared" si="37"/>
        <v>insert #t values('20170102')</v>
      </c>
    </row>
    <row r="309" spans="1:14" x14ac:dyDescent="0.2">
      <c r="A309" s="12">
        <v>49310</v>
      </c>
      <c r="B309">
        <v>69</v>
      </c>
      <c r="C309" t="s">
        <v>46</v>
      </c>
      <c r="D309">
        <f t="shared" si="38"/>
        <v>2035</v>
      </c>
      <c r="E309">
        <f t="shared" si="39"/>
        <v>1</v>
      </c>
      <c r="F309">
        <f t="shared" si="40"/>
        <v>1</v>
      </c>
      <c r="H309" s="6">
        <f t="shared" si="34"/>
        <v>-483</v>
      </c>
      <c r="I309">
        <v>20330905</v>
      </c>
      <c r="J309" s="1">
        <f t="shared" si="35"/>
        <v>48827</v>
      </c>
      <c r="L309">
        <v>20170220</v>
      </c>
      <c r="M309" s="1">
        <f t="shared" si="36"/>
        <v>42786</v>
      </c>
      <c r="N309" t="str">
        <f t="shared" si="37"/>
        <v>insert #t values('20170220')</v>
      </c>
    </row>
    <row r="310" spans="1:14" x14ac:dyDescent="0.2">
      <c r="A310" s="12">
        <v>49359</v>
      </c>
      <c r="C310" t="s">
        <v>46</v>
      </c>
      <c r="D310">
        <f t="shared" si="38"/>
        <v>2035</v>
      </c>
      <c r="E310">
        <f t="shared" si="39"/>
        <v>2</v>
      </c>
      <c r="F310">
        <f t="shared" si="40"/>
        <v>19</v>
      </c>
      <c r="H310" s="6">
        <f t="shared" si="34"/>
        <v>-497</v>
      </c>
      <c r="I310">
        <v>20331010</v>
      </c>
      <c r="J310" s="1">
        <f t="shared" si="35"/>
        <v>48862</v>
      </c>
      <c r="L310">
        <v>20170414</v>
      </c>
      <c r="M310" s="1">
        <f t="shared" si="36"/>
        <v>42839</v>
      </c>
      <c r="N310" t="str">
        <f t="shared" si="37"/>
        <v>insert #t values('20170414')</v>
      </c>
    </row>
    <row r="311" spans="1:14" x14ac:dyDescent="0.2">
      <c r="A311" s="12">
        <v>49391</v>
      </c>
      <c r="B311">
        <v>70</v>
      </c>
      <c r="C311" t="s">
        <v>46</v>
      </c>
      <c r="D311">
        <f t="shared" si="38"/>
        <v>2035</v>
      </c>
      <c r="E311">
        <f t="shared" si="39"/>
        <v>3</v>
      </c>
      <c r="F311">
        <f t="shared" si="40"/>
        <v>23</v>
      </c>
      <c r="H311" s="6">
        <f t="shared" si="34"/>
        <v>-497</v>
      </c>
      <c r="I311">
        <v>20331111</v>
      </c>
      <c r="J311" s="1">
        <f t="shared" si="35"/>
        <v>48894</v>
      </c>
      <c r="L311">
        <v>20170522</v>
      </c>
      <c r="M311" s="1">
        <f t="shared" si="36"/>
        <v>42877</v>
      </c>
      <c r="N311" t="str">
        <f t="shared" si="37"/>
        <v>insert #t values('20170522')</v>
      </c>
    </row>
    <row r="312" spans="1:14" x14ac:dyDescent="0.2">
      <c r="A312" s="12">
        <v>49450</v>
      </c>
      <c r="B312">
        <v>71</v>
      </c>
      <c r="C312" t="s">
        <v>46</v>
      </c>
      <c r="D312">
        <f t="shared" si="38"/>
        <v>2035</v>
      </c>
      <c r="E312">
        <f t="shared" si="39"/>
        <v>5</v>
      </c>
      <c r="F312">
        <f t="shared" si="40"/>
        <v>21</v>
      </c>
      <c r="H312" s="6">
        <f t="shared" si="34"/>
        <v>-511</v>
      </c>
      <c r="I312">
        <v>20331226</v>
      </c>
      <c r="J312" s="1">
        <f t="shared" si="35"/>
        <v>48939</v>
      </c>
      <c r="L312">
        <v>20170703</v>
      </c>
      <c r="M312" s="1">
        <f t="shared" si="36"/>
        <v>42919</v>
      </c>
      <c r="N312" t="str">
        <f t="shared" si="37"/>
        <v>insert #t values('20170703')</v>
      </c>
    </row>
    <row r="313" spans="1:14" x14ac:dyDescent="0.2">
      <c r="A313" s="12">
        <v>49492</v>
      </c>
      <c r="B313">
        <v>72</v>
      </c>
      <c r="C313" t="s">
        <v>46</v>
      </c>
      <c r="D313">
        <f t="shared" si="38"/>
        <v>2035</v>
      </c>
      <c r="E313">
        <f t="shared" si="39"/>
        <v>7</v>
      </c>
      <c r="F313">
        <f t="shared" si="40"/>
        <v>2</v>
      </c>
      <c r="H313" s="6">
        <f t="shared" si="34"/>
        <v>-553</v>
      </c>
      <c r="I313">
        <v>20331226</v>
      </c>
      <c r="J313" s="1">
        <f t="shared" si="35"/>
        <v>48939</v>
      </c>
      <c r="L313">
        <v>20170807</v>
      </c>
      <c r="M313" s="1">
        <f t="shared" si="36"/>
        <v>42954</v>
      </c>
      <c r="N313" t="str">
        <f t="shared" si="37"/>
        <v>insert #t values('20170807')</v>
      </c>
    </row>
    <row r="314" spans="1:14" x14ac:dyDescent="0.2">
      <c r="A314" s="12">
        <v>49527</v>
      </c>
      <c r="B314">
        <v>178</v>
      </c>
      <c r="C314" t="s">
        <v>46</v>
      </c>
      <c r="D314">
        <f t="shared" si="38"/>
        <v>2035</v>
      </c>
      <c r="E314">
        <f t="shared" si="39"/>
        <v>8</v>
      </c>
      <c r="F314">
        <f t="shared" si="40"/>
        <v>6</v>
      </c>
      <c r="H314" s="6">
        <f t="shared" si="34"/>
        <v>-588</v>
      </c>
      <c r="I314">
        <v>20331226</v>
      </c>
      <c r="J314" s="1">
        <f t="shared" si="35"/>
        <v>48939</v>
      </c>
      <c r="L314">
        <v>20170904</v>
      </c>
      <c r="M314" s="1">
        <f t="shared" si="36"/>
        <v>42982</v>
      </c>
      <c r="N314" t="str">
        <f t="shared" si="37"/>
        <v>insert #t values('20170904')</v>
      </c>
    </row>
    <row r="315" spans="1:14" x14ac:dyDescent="0.2">
      <c r="A315" s="12">
        <v>49555</v>
      </c>
      <c r="B315">
        <v>74</v>
      </c>
      <c r="C315" t="s">
        <v>46</v>
      </c>
      <c r="D315">
        <f t="shared" si="38"/>
        <v>2035</v>
      </c>
      <c r="E315">
        <f t="shared" si="39"/>
        <v>9</v>
      </c>
      <c r="F315">
        <f t="shared" si="40"/>
        <v>3</v>
      </c>
      <c r="H315" s="6">
        <f t="shared" si="34"/>
        <v>-609</v>
      </c>
      <c r="I315">
        <v>20340102</v>
      </c>
      <c r="J315" s="1">
        <f t="shared" si="35"/>
        <v>48946</v>
      </c>
      <c r="L315">
        <v>20171009</v>
      </c>
      <c r="M315" s="1">
        <f t="shared" si="36"/>
        <v>43017</v>
      </c>
      <c r="N315" t="str">
        <f t="shared" si="37"/>
        <v>insert #t values('20171009')</v>
      </c>
    </row>
    <row r="316" spans="1:14" x14ac:dyDescent="0.2">
      <c r="A316" s="12">
        <v>49590</v>
      </c>
      <c r="B316">
        <v>75</v>
      </c>
      <c r="C316" t="s">
        <v>46</v>
      </c>
      <c r="D316">
        <f t="shared" si="38"/>
        <v>2035</v>
      </c>
      <c r="E316">
        <f t="shared" si="39"/>
        <v>10</v>
      </c>
      <c r="F316">
        <f t="shared" si="40"/>
        <v>8</v>
      </c>
      <c r="H316" s="6">
        <f t="shared" si="34"/>
        <v>-595</v>
      </c>
      <c r="I316">
        <v>20340220</v>
      </c>
      <c r="J316" s="1">
        <f t="shared" si="35"/>
        <v>48995</v>
      </c>
      <c r="L316">
        <v>20171113</v>
      </c>
      <c r="M316" s="1">
        <f t="shared" si="36"/>
        <v>43052</v>
      </c>
      <c r="N316" t="str">
        <f t="shared" si="37"/>
        <v>insert #t values('20171113')</v>
      </c>
    </row>
    <row r="317" spans="1:14" x14ac:dyDescent="0.2">
      <c r="A317" s="12">
        <v>49625</v>
      </c>
      <c r="B317">
        <v>76</v>
      </c>
      <c r="C317" t="s">
        <v>46</v>
      </c>
      <c r="D317">
        <f t="shared" si="38"/>
        <v>2035</v>
      </c>
      <c r="E317">
        <f t="shared" si="39"/>
        <v>11</v>
      </c>
      <c r="F317">
        <f t="shared" si="40"/>
        <v>12</v>
      </c>
      <c r="H317" s="6">
        <f t="shared" si="34"/>
        <v>-584</v>
      </c>
      <c r="I317">
        <v>20340407</v>
      </c>
      <c r="J317" s="1">
        <f t="shared" si="35"/>
        <v>49041</v>
      </c>
      <c r="L317">
        <v>20171225</v>
      </c>
      <c r="M317" s="1">
        <f t="shared" si="36"/>
        <v>43094</v>
      </c>
      <c r="N317" t="str">
        <f t="shared" si="37"/>
        <v>insert #t values('20171225')</v>
      </c>
    </row>
    <row r="318" spans="1:14" x14ac:dyDescent="0.2">
      <c r="A318" s="12">
        <v>49668</v>
      </c>
      <c r="B318">
        <v>77</v>
      </c>
      <c r="C318" t="s">
        <v>46</v>
      </c>
      <c r="D318">
        <f t="shared" si="38"/>
        <v>2035</v>
      </c>
      <c r="E318">
        <f t="shared" si="39"/>
        <v>12</v>
      </c>
      <c r="F318">
        <f t="shared" si="40"/>
        <v>25</v>
      </c>
      <c r="H318" s="6">
        <f t="shared" si="34"/>
        <v>-582</v>
      </c>
      <c r="I318">
        <v>20340522</v>
      </c>
      <c r="J318" s="1">
        <f t="shared" si="35"/>
        <v>49086</v>
      </c>
      <c r="L318">
        <v>20171226</v>
      </c>
      <c r="M318" s="1">
        <f t="shared" si="36"/>
        <v>43095</v>
      </c>
      <c r="N318" t="str">
        <f t="shared" si="37"/>
        <v>insert #t values('20171226')</v>
      </c>
    </row>
    <row r="319" spans="1:14" x14ac:dyDescent="0.2">
      <c r="A319" s="12">
        <v>49669</v>
      </c>
      <c r="B319">
        <v>78</v>
      </c>
      <c r="C319" t="s">
        <v>46</v>
      </c>
      <c r="D319">
        <f t="shared" si="38"/>
        <v>2035</v>
      </c>
      <c r="E319">
        <f t="shared" si="39"/>
        <v>12</v>
      </c>
      <c r="F319">
        <f t="shared" si="40"/>
        <v>26</v>
      </c>
      <c r="H319" s="6">
        <f t="shared" si="34"/>
        <v>-541</v>
      </c>
      <c r="I319">
        <v>20340703</v>
      </c>
      <c r="J319" s="1">
        <f t="shared" si="35"/>
        <v>49128</v>
      </c>
      <c r="L319">
        <v>20171226</v>
      </c>
      <c r="M319" s="1">
        <f t="shared" si="36"/>
        <v>43095</v>
      </c>
      <c r="N319" t="str">
        <f t="shared" si="37"/>
        <v>insert #t values('20171226')</v>
      </c>
    </row>
    <row r="320" spans="1:14" x14ac:dyDescent="0.2">
      <c r="A320" s="12">
        <v>49675</v>
      </c>
      <c r="B320">
        <v>69</v>
      </c>
      <c r="C320" t="s">
        <v>46</v>
      </c>
      <c r="D320">
        <f t="shared" si="38"/>
        <v>2036</v>
      </c>
      <c r="E320">
        <f t="shared" si="39"/>
        <v>1</v>
      </c>
      <c r="F320">
        <f t="shared" si="40"/>
        <v>1</v>
      </c>
      <c r="H320" s="6">
        <f t="shared" si="34"/>
        <v>-512</v>
      </c>
      <c r="I320">
        <v>20340807</v>
      </c>
      <c r="J320" s="1">
        <f t="shared" si="35"/>
        <v>49163</v>
      </c>
      <c r="L320">
        <v>20180101</v>
      </c>
      <c r="M320" s="1">
        <f t="shared" si="36"/>
        <v>43101</v>
      </c>
      <c r="N320" t="str">
        <f t="shared" si="37"/>
        <v>insert #t values('20180101')</v>
      </c>
    </row>
    <row r="321" spans="1:14" x14ac:dyDescent="0.2">
      <c r="A321" s="12">
        <v>49723</v>
      </c>
      <c r="C321" t="s">
        <v>46</v>
      </c>
      <c r="D321">
        <f t="shared" si="38"/>
        <v>2036</v>
      </c>
      <c r="E321">
        <f t="shared" si="39"/>
        <v>2</v>
      </c>
      <c r="F321">
        <f t="shared" si="40"/>
        <v>18</v>
      </c>
      <c r="H321" s="6">
        <f t="shared" si="34"/>
        <v>-532</v>
      </c>
      <c r="I321">
        <v>20340904</v>
      </c>
      <c r="J321" s="1">
        <f t="shared" si="35"/>
        <v>49191</v>
      </c>
      <c r="L321">
        <v>20180219</v>
      </c>
      <c r="M321" s="1">
        <f t="shared" si="36"/>
        <v>43150</v>
      </c>
      <c r="N321" t="str">
        <f t="shared" si="37"/>
        <v>insert #t values('20180219')</v>
      </c>
    </row>
    <row r="322" spans="1:14" x14ac:dyDescent="0.2">
      <c r="A322" s="12">
        <v>49776</v>
      </c>
      <c r="B322">
        <v>70</v>
      </c>
      <c r="C322" t="s">
        <v>46</v>
      </c>
      <c r="D322">
        <f t="shared" si="38"/>
        <v>2036</v>
      </c>
      <c r="E322">
        <f t="shared" si="39"/>
        <v>4</v>
      </c>
      <c r="F322">
        <f t="shared" si="40"/>
        <v>11</v>
      </c>
      <c r="H322" s="6">
        <f t="shared" ref="H322:H385" si="41">J322-A322</f>
        <v>-550</v>
      </c>
      <c r="I322">
        <v>20341009</v>
      </c>
      <c r="J322" s="1">
        <f t="shared" ref="J322:J385" si="42">DATE(LEFT(I322,4),MID(I322,5,2),RIGHT(I322,2))</f>
        <v>49226</v>
      </c>
      <c r="L322">
        <v>20180330</v>
      </c>
      <c r="M322" s="1">
        <f t="shared" ref="M322:M385" si="43">DATE(LEFT(L322,4),MID(L322,5,2),RIGHT(L322,2))</f>
        <v>43189</v>
      </c>
      <c r="N322" t="str">
        <f t="shared" ref="N322:N385" si="44">"insert #t values('"&amp;L322 &amp; "')"</f>
        <v>insert #t values('20180330')</v>
      </c>
    </row>
    <row r="323" spans="1:14" x14ac:dyDescent="0.2">
      <c r="A323" s="12">
        <v>49814</v>
      </c>
      <c r="B323">
        <v>71</v>
      </c>
      <c r="C323" t="s">
        <v>46</v>
      </c>
      <c r="D323">
        <f t="shared" si="38"/>
        <v>2036</v>
      </c>
      <c r="E323">
        <f t="shared" si="39"/>
        <v>5</v>
      </c>
      <c r="F323">
        <f t="shared" si="40"/>
        <v>19</v>
      </c>
      <c r="H323" s="6">
        <f t="shared" si="41"/>
        <v>-553</v>
      </c>
      <c r="I323">
        <v>20341113</v>
      </c>
      <c r="J323" s="1">
        <f t="shared" si="42"/>
        <v>49261</v>
      </c>
      <c r="L323">
        <v>20180521</v>
      </c>
      <c r="M323" s="1">
        <f t="shared" si="43"/>
        <v>43241</v>
      </c>
      <c r="N323" t="str">
        <f t="shared" si="44"/>
        <v>insert #t values('20180521')</v>
      </c>
    </row>
    <row r="324" spans="1:14" x14ac:dyDescent="0.2">
      <c r="A324" s="12">
        <v>49857</v>
      </c>
      <c r="B324">
        <v>72</v>
      </c>
      <c r="C324" t="s">
        <v>46</v>
      </c>
      <c r="D324">
        <f t="shared" si="38"/>
        <v>2036</v>
      </c>
      <c r="E324">
        <f t="shared" si="39"/>
        <v>7</v>
      </c>
      <c r="F324">
        <f t="shared" si="40"/>
        <v>1</v>
      </c>
      <c r="H324" s="6">
        <f t="shared" si="41"/>
        <v>-554</v>
      </c>
      <c r="I324">
        <v>20341225</v>
      </c>
      <c r="J324" s="1">
        <f t="shared" si="42"/>
        <v>49303</v>
      </c>
      <c r="L324">
        <v>20180702</v>
      </c>
      <c r="M324" s="1">
        <f t="shared" si="43"/>
        <v>43283</v>
      </c>
      <c r="N324" t="str">
        <f t="shared" si="44"/>
        <v>insert #t values('20180702')</v>
      </c>
    </row>
    <row r="325" spans="1:14" x14ac:dyDescent="0.2">
      <c r="A325" s="12">
        <v>49891</v>
      </c>
      <c r="B325">
        <v>178</v>
      </c>
      <c r="C325" t="s">
        <v>46</v>
      </c>
      <c r="D325">
        <f t="shared" si="38"/>
        <v>2036</v>
      </c>
      <c r="E325">
        <f t="shared" si="39"/>
        <v>8</v>
      </c>
      <c r="F325">
        <f t="shared" si="40"/>
        <v>4</v>
      </c>
      <c r="H325" s="6">
        <f t="shared" si="41"/>
        <v>-587</v>
      </c>
      <c r="I325">
        <v>20341226</v>
      </c>
      <c r="J325" s="1">
        <f t="shared" si="42"/>
        <v>49304</v>
      </c>
      <c r="L325">
        <v>20180806</v>
      </c>
      <c r="M325" s="1">
        <f t="shared" si="43"/>
        <v>43318</v>
      </c>
      <c r="N325" t="str">
        <f t="shared" si="44"/>
        <v>insert #t values('20180806')</v>
      </c>
    </row>
    <row r="326" spans="1:14" x14ac:dyDescent="0.2">
      <c r="A326" s="12">
        <v>49919</v>
      </c>
      <c r="B326">
        <v>74</v>
      </c>
      <c r="C326" t="s">
        <v>46</v>
      </c>
      <c r="D326">
        <f t="shared" si="38"/>
        <v>2036</v>
      </c>
      <c r="E326">
        <f t="shared" si="39"/>
        <v>9</v>
      </c>
      <c r="F326">
        <f t="shared" si="40"/>
        <v>1</v>
      </c>
      <c r="H326" s="6">
        <f t="shared" si="41"/>
        <v>-615</v>
      </c>
      <c r="I326">
        <v>20341226</v>
      </c>
      <c r="J326" s="1">
        <f t="shared" si="42"/>
        <v>49304</v>
      </c>
      <c r="L326">
        <v>20180903</v>
      </c>
      <c r="M326" s="1">
        <f t="shared" si="43"/>
        <v>43346</v>
      </c>
      <c r="N326" t="str">
        <f t="shared" si="44"/>
        <v>insert #t values('20180903')</v>
      </c>
    </row>
    <row r="327" spans="1:14" x14ac:dyDescent="0.2">
      <c r="A327" s="12">
        <v>49961</v>
      </c>
      <c r="B327">
        <v>75</v>
      </c>
      <c r="C327" t="s">
        <v>46</v>
      </c>
      <c r="D327">
        <f t="shared" si="38"/>
        <v>2036</v>
      </c>
      <c r="E327">
        <f t="shared" si="39"/>
        <v>10</v>
      </c>
      <c r="F327">
        <f t="shared" si="40"/>
        <v>13</v>
      </c>
      <c r="H327" s="6">
        <f t="shared" si="41"/>
        <v>-651</v>
      </c>
      <c r="I327">
        <v>20350101</v>
      </c>
      <c r="J327" s="1">
        <f t="shared" si="42"/>
        <v>49310</v>
      </c>
      <c r="L327">
        <v>20181008</v>
      </c>
      <c r="M327" s="1">
        <f t="shared" si="43"/>
        <v>43381</v>
      </c>
      <c r="N327" t="str">
        <f t="shared" si="44"/>
        <v>insert #t values('20181008')</v>
      </c>
    </row>
    <row r="328" spans="1:14" x14ac:dyDescent="0.2">
      <c r="A328" s="12">
        <v>49990</v>
      </c>
      <c r="B328">
        <v>76</v>
      </c>
      <c r="C328" t="s">
        <v>46</v>
      </c>
      <c r="D328">
        <f t="shared" si="38"/>
        <v>2036</v>
      </c>
      <c r="E328">
        <f t="shared" si="39"/>
        <v>11</v>
      </c>
      <c r="F328">
        <f t="shared" si="40"/>
        <v>11</v>
      </c>
      <c r="H328" s="6">
        <f t="shared" si="41"/>
        <v>-631</v>
      </c>
      <c r="I328">
        <v>20350219</v>
      </c>
      <c r="J328" s="1">
        <f t="shared" si="42"/>
        <v>49359</v>
      </c>
      <c r="L328">
        <v>20181112</v>
      </c>
      <c r="M328" s="1">
        <f t="shared" si="43"/>
        <v>43416</v>
      </c>
      <c r="N328" t="str">
        <f t="shared" si="44"/>
        <v>insert #t values('20181112')</v>
      </c>
    </row>
    <row r="329" spans="1:14" x14ac:dyDescent="0.2">
      <c r="A329" s="12">
        <v>50034</v>
      </c>
      <c r="B329">
        <v>77</v>
      </c>
      <c r="C329" t="s">
        <v>46</v>
      </c>
      <c r="D329">
        <f t="shared" si="38"/>
        <v>2036</v>
      </c>
      <c r="E329">
        <f t="shared" si="39"/>
        <v>12</v>
      </c>
      <c r="F329">
        <f t="shared" si="40"/>
        <v>25</v>
      </c>
      <c r="H329" s="6">
        <f t="shared" si="41"/>
        <v>-643</v>
      </c>
      <c r="I329">
        <v>20350323</v>
      </c>
      <c r="J329" s="1">
        <f t="shared" si="42"/>
        <v>49391</v>
      </c>
      <c r="L329">
        <v>20181225</v>
      </c>
      <c r="M329" s="1">
        <f t="shared" si="43"/>
        <v>43459</v>
      </c>
      <c r="N329" t="str">
        <f t="shared" si="44"/>
        <v>insert #t values('20181225')</v>
      </c>
    </row>
    <row r="330" spans="1:14" x14ac:dyDescent="0.2">
      <c r="A330" s="12">
        <v>50035</v>
      </c>
      <c r="B330">
        <v>78</v>
      </c>
      <c r="C330" t="s">
        <v>46</v>
      </c>
      <c r="D330">
        <f t="shared" si="38"/>
        <v>2036</v>
      </c>
      <c r="E330">
        <f t="shared" si="39"/>
        <v>12</v>
      </c>
      <c r="F330">
        <f t="shared" si="40"/>
        <v>26</v>
      </c>
      <c r="H330" s="6">
        <f t="shared" si="41"/>
        <v>-585</v>
      </c>
      <c r="I330">
        <v>20350521</v>
      </c>
      <c r="J330" s="1">
        <f t="shared" si="42"/>
        <v>49450</v>
      </c>
      <c r="L330">
        <v>20181226</v>
      </c>
      <c r="M330" s="1">
        <f t="shared" si="43"/>
        <v>43460</v>
      </c>
      <c r="N330" t="str">
        <f t="shared" si="44"/>
        <v>insert #t values('20181226')</v>
      </c>
    </row>
    <row r="331" spans="1:14" x14ac:dyDescent="0.2">
      <c r="A331" s="12">
        <v>50041</v>
      </c>
      <c r="B331">
        <v>69</v>
      </c>
      <c r="C331" t="s">
        <v>46</v>
      </c>
      <c r="D331">
        <f t="shared" si="38"/>
        <v>2037</v>
      </c>
      <c r="E331">
        <f t="shared" si="39"/>
        <v>1</v>
      </c>
      <c r="F331">
        <f t="shared" si="40"/>
        <v>1</v>
      </c>
      <c r="H331" s="6">
        <f t="shared" si="41"/>
        <v>-549</v>
      </c>
      <c r="I331">
        <v>20350702</v>
      </c>
      <c r="J331" s="1">
        <f t="shared" si="42"/>
        <v>49492</v>
      </c>
      <c r="L331">
        <v>20181226</v>
      </c>
      <c r="M331" s="1">
        <f t="shared" si="43"/>
        <v>43460</v>
      </c>
      <c r="N331" t="str">
        <f t="shared" si="44"/>
        <v>insert #t values('20181226')</v>
      </c>
    </row>
    <row r="332" spans="1:14" x14ac:dyDescent="0.2">
      <c r="A332" s="12">
        <v>50094</v>
      </c>
      <c r="C332" t="s">
        <v>46</v>
      </c>
      <c r="D332">
        <f t="shared" si="38"/>
        <v>2037</v>
      </c>
      <c r="E332">
        <f t="shared" si="39"/>
        <v>2</v>
      </c>
      <c r="F332">
        <f t="shared" si="40"/>
        <v>23</v>
      </c>
      <c r="H332" s="6">
        <f t="shared" si="41"/>
        <v>-567</v>
      </c>
      <c r="I332">
        <v>20350806</v>
      </c>
      <c r="J332" s="1">
        <f t="shared" si="42"/>
        <v>49527</v>
      </c>
      <c r="L332">
        <v>20190101</v>
      </c>
      <c r="M332" s="1">
        <f t="shared" si="43"/>
        <v>43466</v>
      </c>
      <c r="N332" t="str">
        <f t="shared" si="44"/>
        <v>insert #t values('20190101')</v>
      </c>
    </row>
    <row r="333" spans="1:14" x14ac:dyDescent="0.2">
      <c r="A333" s="12">
        <v>50133</v>
      </c>
      <c r="B333">
        <v>70</v>
      </c>
      <c r="C333" t="s">
        <v>46</v>
      </c>
      <c r="D333">
        <f t="shared" si="38"/>
        <v>2037</v>
      </c>
      <c r="E333">
        <f t="shared" si="39"/>
        <v>4</v>
      </c>
      <c r="F333">
        <f t="shared" si="40"/>
        <v>3</v>
      </c>
      <c r="H333" s="6">
        <f t="shared" si="41"/>
        <v>-578</v>
      </c>
      <c r="I333">
        <v>20350903</v>
      </c>
      <c r="J333" s="1">
        <f t="shared" si="42"/>
        <v>49555</v>
      </c>
      <c r="L333">
        <v>20190218</v>
      </c>
      <c r="M333" s="1">
        <f t="shared" si="43"/>
        <v>43514</v>
      </c>
      <c r="N333" t="str">
        <f t="shared" si="44"/>
        <v>insert #t values('20190218')</v>
      </c>
    </row>
    <row r="334" spans="1:14" x14ac:dyDescent="0.2">
      <c r="A334" s="12">
        <v>50178</v>
      </c>
      <c r="B334">
        <v>71</v>
      </c>
      <c r="C334" t="s">
        <v>46</v>
      </c>
      <c r="D334">
        <f t="shared" si="38"/>
        <v>2037</v>
      </c>
      <c r="E334">
        <f t="shared" si="39"/>
        <v>5</v>
      </c>
      <c r="F334">
        <f t="shared" si="40"/>
        <v>18</v>
      </c>
      <c r="H334" s="6">
        <f t="shared" si="41"/>
        <v>-588</v>
      </c>
      <c r="I334">
        <v>20351008</v>
      </c>
      <c r="J334" s="1">
        <f t="shared" si="42"/>
        <v>49590</v>
      </c>
      <c r="L334">
        <v>20190419</v>
      </c>
      <c r="M334" s="1">
        <f t="shared" si="43"/>
        <v>43574</v>
      </c>
      <c r="N334" t="str">
        <f t="shared" si="44"/>
        <v>insert #t values('20190419')</v>
      </c>
    </row>
    <row r="335" spans="1:14" x14ac:dyDescent="0.2">
      <c r="A335" s="12">
        <v>50222</v>
      </c>
      <c r="B335">
        <v>72</v>
      </c>
      <c r="C335" t="s">
        <v>46</v>
      </c>
      <c r="H335" s="6">
        <f t="shared" si="41"/>
        <v>-597</v>
      </c>
      <c r="I335">
        <v>20351112</v>
      </c>
      <c r="J335" s="1">
        <f t="shared" si="42"/>
        <v>49625</v>
      </c>
      <c r="L335">
        <v>20190520</v>
      </c>
      <c r="M335" s="1">
        <f t="shared" si="43"/>
        <v>43605</v>
      </c>
      <c r="N335" t="str">
        <f t="shared" si="44"/>
        <v>insert #t values('20190520')</v>
      </c>
    </row>
    <row r="336" spans="1:14" x14ac:dyDescent="0.2">
      <c r="A336" s="12">
        <v>50255</v>
      </c>
      <c r="B336">
        <v>178</v>
      </c>
      <c r="C336" t="s">
        <v>46</v>
      </c>
      <c r="H336" s="6">
        <f t="shared" si="41"/>
        <v>-587</v>
      </c>
      <c r="I336">
        <v>20351225</v>
      </c>
      <c r="J336" s="1">
        <f t="shared" si="42"/>
        <v>49668</v>
      </c>
      <c r="L336">
        <v>20190701</v>
      </c>
      <c r="M336" s="1">
        <f t="shared" si="43"/>
        <v>43647</v>
      </c>
      <c r="N336" t="str">
        <f t="shared" si="44"/>
        <v>insert #t values('20190701')</v>
      </c>
    </row>
    <row r="337" spans="1:14" x14ac:dyDescent="0.2">
      <c r="A337" s="12">
        <v>50290</v>
      </c>
      <c r="B337">
        <v>74</v>
      </c>
      <c r="C337" t="s">
        <v>46</v>
      </c>
      <c r="H337" s="6">
        <f t="shared" si="41"/>
        <v>-621</v>
      </c>
      <c r="I337">
        <v>20351226</v>
      </c>
      <c r="J337" s="1">
        <f t="shared" si="42"/>
        <v>49669</v>
      </c>
      <c r="L337">
        <v>20190805</v>
      </c>
      <c r="M337" s="1">
        <f t="shared" si="43"/>
        <v>43682</v>
      </c>
      <c r="N337" t="str">
        <f t="shared" si="44"/>
        <v>insert #t values('20190805')</v>
      </c>
    </row>
    <row r="338" spans="1:14" x14ac:dyDescent="0.2">
      <c r="A338" s="12">
        <v>50325</v>
      </c>
      <c r="B338">
        <v>75</v>
      </c>
      <c r="C338" t="s">
        <v>46</v>
      </c>
      <c r="H338" s="6">
        <f t="shared" si="41"/>
        <v>-656</v>
      </c>
      <c r="I338">
        <v>20351226</v>
      </c>
      <c r="J338" s="1">
        <f t="shared" si="42"/>
        <v>49669</v>
      </c>
      <c r="L338">
        <v>20190902</v>
      </c>
      <c r="M338" s="1">
        <f t="shared" si="43"/>
        <v>43710</v>
      </c>
      <c r="N338" t="str">
        <f t="shared" si="44"/>
        <v>insert #t values('20190902')</v>
      </c>
    </row>
    <row r="339" spans="1:14" x14ac:dyDescent="0.2">
      <c r="A339" s="12">
        <v>50355</v>
      </c>
      <c r="B339">
        <v>76</v>
      </c>
      <c r="C339" t="s">
        <v>46</v>
      </c>
      <c r="H339" s="6">
        <f t="shared" si="41"/>
        <v>-680</v>
      </c>
      <c r="I339">
        <v>20360101</v>
      </c>
      <c r="J339" s="1">
        <f t="shared" si="42"/>
        <v>49675</v>
      </c>
      <c r="L339">
        <v>20191014</v>
      </c>
      <c r="M339" s="1">
        <f t="shared" si="43"/>
        <v>43752</v>
      </c>
      <c r="N339" t="str">
        <f t="shared" si="44"/>
        <v>insert #t values('20191014')</v>
      </c>
    </row>
    <row r="340" spans="1:14" x14ac:dyDescent="0.2">
      <c r="A340" s="12">
        <v>50399</v>
      </c>
      <c r="B340">
        <v>77</v>
      </c>
      <c r="C340" t="s">
        <v>46</v>
      </c>
      <c r="H340" s="6">
        <f t="shared" si="41"/>
        <v>-676</v>
      </c>
      <c r="I340">
        <v>20360218</v>
      </c>
      <c r="J340" s="1">
        <f t="shared" si="42"/>
        <v>49723</v>
      </c>
      <c r="L340">
        <v>20191111</v>
      </c>
      <c r="M340" s="1">
        <f t="shared" si="43"/>
        <v>43780</v>
      </c>
      <c r="N340" t="str">
        <f t="shared" si="44"/>
        <v>insert #t values('20191111')</v>
      </c>
    </row>
    <row r="341" spans="1:14" x14ac:dyDescent="0.2">
      <c r="A341" s="12">
        <v>50402</v>
      </c>
      <c r="B341">
        <v>78</v>
      </c>
      <c r="C341" t="s">
        <v>46</v>
      </c>
      <c r="H341" s="6">
        <f t="shared" si="41"/>
        <v>-626</v>
      </c>
      <c r="I341">
        <v>20360411</v>
      </c>
      <c r="J341" s="1">
        <f t="shared" si="42"/>
        <v>49776</v>
      </c>
      <c r="L341">
        <v>20191225</v>
      </c>
      <c r="M341" s="1">
        <f t="shared" si="43"/>
        <v>43824</v>
      </c>
      <c r="N341" t="str">
        <f t="shared" si="44"/>
        <v>insert #t values('20191225')</v>
      </c>
    </row>
    <row r="342" spans="1:14" x14ac:dyDescent="0.2">
      <c r="A342" s="12">
        <v>50406</v>
      </c>
      <c r="B342">
        <v>69</v>
      </c>
      <c r="C342" t="s">
        <v>46</v>
      </c>
      <c r="H342" s="6">
        <f t="shared" si="41"/>
        <v>-592</v>
      </c>
      <c r="I342">
        <v>20360519</v>
      </c>
      <c r="J342" s="1">
        <f t="shared" si="42"/>
        <v>49814</v>
      </c>
      <c r="L342">
        <v>20191226</v>
      </c>
      <c r="M342" s="1">
        <f t="shared" si="43"/>
        <v>43825</v>
      </c>
      <c r="N342" t="str">
        <f t="shared" si="44"/>
        <v>insert #t values('20191226')</v>
      </c>
    </row>
    <row r="343" spans="1:14" x14ac:dyDescent="0.2">
      <c r="A343" s="12">
        <v>50458</v>
      </c>
      <c r="C343" t="s">
        <v>46</v>
      </c>
      <c r="H343" s="6">
        <f t="shared" si="41"/>
        <v>-601</v>
      </c>
      <c r="I343">
        <v>20360701</v>
      </c>
      <c r="J343" s="1">
        <f t="shared" si="42"/>
        <v>49857</v>
      </c>
      <c r="L343">
        <v>20191226</v>
      </c>
      <c r="M343" s="1">
        <f t="shared" si="43"/>
        <v>43825</v>
      </c>
      <c r="N343" t="str">
        <f t="shared" si="44"/>
        <v>insert #t values('20191226')</v>
      </c>
    </row>
    <row r="344" spans="1:14" x14ac:dyDescent="0.2">
      <c r="A344" s="12">
        <v>50518</v>
      </c>
      <c r="B344">
        <v>70</v>
      </c>
      <c r="C344" t="s">
        <v>46</v>
      </c>
      <c r="H344" s="6">
        <f t="shared" si="41"/>
        <v>-627</v>
      </c>
      <c r="I344">
        <v>20360804</v>
      </c>
      <c r="J344" s="1">
        <f t="shared" si="42"/>
        <v>49891</v>
      </c>
      <c r="L344">
        <v>20200101</v>
      </c>
      <c r="M344" s="1">
        <f t="shared" si="43"/>
        <v>43831</v>
      </c>
      <c r="N344" t="str">
        <f t="shared" si="44"/>
        <v>insert #t values('20200101')</v>
      </c>
    </row>
    <row r="345" spans="1:14" x14ac:dyDescent="0.2">
      <c r="A345" s="12">
        <v>50549</v>
      </c>
      <c r="B345">
        <v>71</v>
      </c>
      <c r="C345" t="s">
        <v>46</v>
      </c>
      <c r="H345" s="6">
        <f t="shared" si="41"/>
        <v>-630</v>
      </c>
      <c r="I345">
        <v>20360901</v>
      </c>
      <c r="J345" s="1">
        <f t="shared" si="42"/>
        <v>49919</v>
      </c>
      <c r="L345">
        <v>20200217</v>
      </c>
      <c r="M345" s="1">
        <f t="shared" si="43"/>
        <v>43878</v>
      </c>
      <c r="N345" t="str">
        <f t="shared" si="44"/>
        <v>insert #t values('20200217')</v>
      </c>
    </row>
    <row r="346" spans="1:14" x14ac:dyDescent="0.2">
      <c r="A346" s="12">
        <v>50587</v>
      </c>
      <c r="B346">
        <v>72</v>
      </c>
      <c r="C346" t="s">
        <v>46</v>
      </c>
      <c r="H346" s="6">
        <f t="shared" si="41"/>
        <v>-626</v>
      </c>
      <c r="I346">
        <v>20361013</v>
      </c>
      <c r="J346" s="1">
        <f t="shared" si="42"/>
        <v>49961</v>
      </c>
      <c r="L346">
        <v>20200410</v>
      </c>
      <c r="M346" s="1">
        <f t="shared" si="43"/>
        <v>43931</v>
      </c>
      <c r="N346" t="str">
        <f t="shared" si="44"/>
        <v>insert #t values('20200410')</v>
      </c>
    </row>
    <row r="347" spans="1:14" x14ac:dyDescent="0.2">
      <c r="A347" s="12">
        <v>50619</v>
      </c>
      <c r="B347">
        <v>178</v>
      </c>
      <c r="C347" t="s">
        <v>46</v>
      </c>
      <c r="H347" s="6">
        <f t="shared" si="41"/>
        <v>-629</v>
      </c>
      <c r="I347">
        <v>20361111</v>
      </c>
      <c r="J347" s="1">
        <f t="shared" si="42"/>
        <v>49990</v>
      </c>
      <c r="L347">
        <v>20200518</v>
      </c>
      <c r="M347" s="1">
        <f t="shared" si="43"/>
        <v>43969</v>
      </c>
      <c r="N347" t="str">
        <f t="shared" si="44"/>
        <v>insert #t values('20200518')</v>
      </c>
    </row>
    <row r="348" spans="1:14" x14ac:dyDescent="0.2">
      <c r="A348" s="12">
        <v>50654</v>
      </c>
      <c r="B348">
        <v>74</v>
      </c>
      <c r="C348" t="s">
        <v>46</v>
      </c>
      <c r="H348" s="6">
        <f t="shared" si="41"/>
        <v>-620</v>
      </c>
      <c r="I348">
        <v>20361225</v>
      </c>
      <c r="J348" s="1">
        <f t="shared" si="42"/>
        <v>50034</v>
      </c>
      <c r="L348">
        <v>20200701</v>
      </c>
      <c r="M348" s="1">
        <f t="shared" si="43"/>
        <v>44013</v>
      </c>
      <c r="N348" t="str">
        <f t="shared" si="44"/>
        <v>insert #t values('20200701')</v>
      </c>
    </row>
    <row r="349" spans="1:14" x14ac:dyDescent="0.2">
      <c r="A349" s="12">
        <v>50689</v>
      </c>
      <c r="B349">
        <v>75</v>
      </c>
      <c r="C349" t="s">
        <v>46</v>
      </c>
      <c r="H349" s="6">
        <f t="shared" si="41"/>
        <v>-654</v>
      </c>
      <c r="I349">
        <v>20361226</v>
      </c>
      <c r="J349" s="1">
        <f t="shared" si="42"/>
        <v>50035</v>
      </c>
      <c r="L349">
        <v>20200803</v>
      </c>
      <c r="M349" s="1">
        <f t="shared" si="43"/>
        <v>44046</v>
      </c>
      <c r="N349" t="str">
        <f t="shared" si="44"/>
        <v>insert #t values('20200803')</v>
      </c>
    </row>
    <row r="350" spans="1:14" x14ac:dyDescent="0.2">
      <c r="A350" s="12">
        <v>50720</v>
      </c>
      <c r="B350">
        <v>76</v>
      </c>
      <c r="C350" t="s">
        <v>46</v>
      </c>
      <c r="H350" s="6">
        <f t="shared" si="41"/>
        <v>-685</v>
      </c>
      <c r="I350">
        <v>20361226</v>
      </c>
      <c r="J350" s="1">
        <f t="shared" si="42"/>
        <v>50035</v>
      </c>
      <c r="L350">
        <v>20200907</v>
      </c>
      <c r="M350" s="1">
        <f t="shared" si="43"/>
        <v>44081</v>
      </c>
      <c r="N350" t="str">
        <f t="shared" si="44"/>
        <v>insert #t values('20200907')</v>
      </c>
    </row>
    <row r="351" spans="1:14" x14ac:dyDescent="0.2">
      <c r="A351" s="12">
        <v>50766</v>
      </c>
      <c r="B351">
        <v>77</v>
      </c>
      <c r="C351" t="s">
        <v>46</v>
      </c>
      <c r="H351" s="6">
        <f t="shared" si="41"/>
        <v>-725</v>
      </c>
      <c r="I351">
        <v>20370101</v>
      </c>
      <c r="J351" s="1">
        <f t="shared" si="42"/>
        <v>50041</v>
      </c>
      <c r="L351">
        <v>20201012</v>
      </c>
      <c r="M351" s="1">
        <f t="shared" si="43"/>
        <v>44116</v>
      </c>
      <c r="N351" t="str">
        <f t="shared" si="44"/>
        <v>insert #t values('20201012')</v>
      </c>
    </row>
    <row r="352" spans="1:14" x14ac:dyDescent="0.2">
      <c r="A352" s="12">
        <v>50767</v>
      </c>
      <c r="B352">
        <v>78</v>
      </c>
      <c r="C352" t="s">
        <v>46</v>
      </c>
      <c r="H352" s="6">
        <f t="shared" si="41"/>
        <v>-680</v>
      </c>
      <c r="I352">
        <v>20370216</v>
      </c>
      <c r="J352" s="1">
        <f t="shared" si="42"/>
        <v>50087</v>
      </c>
      <c r="L352">
        <v>20201111</v>
      </c>
      <c r="M352" s="1">
        <f t="shared" si="43"/>
        <v>44146</v>
      </c>
      <c r="N352" t="str">
        <f t="shared" si="44"/>
        <v>insert #t values('20201111')</v>
      </c>
    </row>
    <row r="353" spans="1:14" x14ac:dyDescent="0.2">
      <c r="A353" s="12">
        <v>50773</v>
      </c>
      <c r="B353">
        <v>69</v>
      </c>
      <c r="C353" t="s">
        <v>46</v>
      </c>
      <c r="H353" s="6">
        <f t="shared" si="41"/>
        <v>-640</v>
      </c>
      <c r="I353">
        <v>20370403</v>
      </c>
      <c r="J353" s="1">
        <f t="shared" si="42"/>
        <v>50133</v>
      </c>
      <c r="L353">
        <v>20201225</v>
      </c>
      <c r="M353" s="1">
        <f t="shared" si="43"/>
        <v>44190</v>
      </c>
      <c r="N353" t="str">
        <f t="shared" si="44"/>
        <v>insert #t values('20201225')</v>
      </c>
    </row>
    <row r="354" spans="1:14" x14ac:dyDescent="0.2">
      <c r="A354" s="12">
        <v>50822</v>
      </c>
      <c r="C354" t="s">
        <v>46</v>
      </c>
      <c r="H354" s="6">
        <f t="shared" si="41"/>
        <v>-644</v>
      </c>
      <c r="I354">
        <v>20370518</v>
      </c>
      <c r="J354" s="1">
        <f t="shared" si="42"/>
        <v>50178</v>
      </c>
      <c r="L354">
        <v>20201228</v>
      </c>
      <c r="M354" s="1">
        <f t="shared" si="43"/>
        <v>44193</v>
      </c>
      <c r="N354" t="str">
        <f t="shared" si="44"/>
        <v>insert #t values('20201228')</v>
      </c>
    </row>
    <row r="355" spans="1:14" x14ac:dyDescent="0.2">
      <c r="A355" s="12">
        <v>50868</v>
      </c>
      <c r="B355">
        <v>70</v>
      </c>
      <c r="C355" t="s">
        <v>46</v>
      </c>
      <c r="H355" s="6">
        <f t="shared" si="41"/>
        <v>-646</v>
      </c>
      <c r="I355">
        <v>20370701</v>
      </c>
      <c r="J355" s="1">
        <f t="shared" si="42"/>
        <v>50222</v>
      </c>
      <c r="L355">
        <v>20201228</v>
      </c>
      <c r="M355" s="1">
        <f t="shared" si="43"/>
        <v>44193</v>
      </c>
      <c r="N355" t="str">
        <f t="shared" si="44"/>
        <v>insert #t values('20201228')</v>
      </c>
    </row>
    <row r="356" spans="1:14" x14ac:dyDescent="0.2">
      <c r="A356" s="12">
        <v>50913</v>
      </c>
      <c r="B356">
        <v>71</v>
      </c>
      <c r="C356" t="s">
        <v>46</v>
      </c>
      <c r="H356" s="6">
        <f t="shared" si="41"/>
        <v>-658</v>
      </c>
      <c r="I356">
        <v>20370803</v>
      </c>
      <c r="J356" s="1">
        <f t="shared" si="42"/>
        <v>50255</v>
      </c>
      <c r="L356">
        <v>20210101</v>
      </c>
      <c r="M356" s="1">
        <f t="shared" si="43"/>
        <v>44197</v>
      </c>
      <c r="N356" t="str">
        <f t="shared" si="44"/>
        <v>insert #t values('20210101')</v>
      </c>
    </row>
    <row r="357" spans="1:14" x14ac:dyDescent="0.2">
      <c r="A357" s="12">
        <v>50952</v>
      </c>
      <c r="B357">
        <v>72</v>
      </c>
      <c r="C357" t="s">
        <v>46</v>
      </c>
      <c r="H357" s="6">
        <f t="shared" si="41"/>
        <v>-662</v>
      </c>
      <c r="I357">
        <v>20370907</v>
      </c>
      <c r="J357" s="1">
        <f t="shared" si="42"/>
        <v>50290</v>
      </c>
      <c r="L357">
        <v>20210215</v>
      </c>
      <c r="M357" s="1">
        <f t="shared" si="43"/>
        <v>44242</v>
      </c>
      <c r="N357" t="str">
        <f t="shared" si="44"/>
        <v>insert #t values('20210215')</v>
      </c>
    </row>
    <row r="358" spans="1:14" x14ac:dyDescent="0.2">
      <c r="A358" s="12">
        <v>50983</v>
      </c>
      <c r="B358">
        <v>178</v>
      </c>
      <c r="C358" t="s">
        <v>46</v>
      </c>
      <c r="H358" s="6">
        <f t="shared" si="41"/>
        <v>-658</v>
      </c>
      <c r="I358">
        <v>20371012</v>
      </c>
      <c r="J358" s="1">
        <f t="shared" si="42"/>
        <v>50325</v>
      </c>
      <c r="L358">
        <v>20210402</v>
      </c>
      <c r="M358" s="1">
        <f t="shared" si="43"/>
        <v>44288</v>
      </c>
      <c r="N358" t="str">
        <f t="shared" si="44"/>
        <v>insert #t values('20210402')</v>
      </c>
    </row>
    <row r="359" spans="1:14" x14ac:dyDescent="0.2">
      <c r="A359" s="12">
        <v>51018</v>
      </c>
      <c r="B359">
        <v>74</v>
      </c>
      <c r="C359" t="s">
        <v>46</v>
      </c>
      <c r="H359" s="6">
        <f t="shared" si="41"/>
        <v>-663</v>
      </c>
      <c r="I359">
        <v>20371111</v>
      </c>
      <c r="J359" s="1">
        <f t="shared" si="42"/>
        <v>50355</v>
      </c>
      <c r="L359">
        <v>20210524</v>
      </c>
      <c r="M359" s="1">
        <f t="shared" si="43"/>
        <v>44340</v>
      </c>
      <c r="N359" t="str">
        <f t="shared" si="44"/>
        <v>insert #t values('20210524')</v>
      </c>
    </row>
    <row r="360" spans="1:14" x14ac:dyDescent="0.2">
      <c r="A360" s="12">
        <v>51053</v>
      </c>
      <c r="B360">
        <v>75</v>
      </c>
      <c r="C360" t="s">
        <v>46</v>
      </c>
      <c r="H360" s="6">
        <f t="shared" si="41"/>
        <v>-654</v>
      </c>
      <c r="I360">
        <v>20371225</v>
      </c>
      <c r="J360" s="1">
        <f t="shared" si="42"/>
        <v>50399</v>
      </c>
      <c r="L360">
        <v>20210701</v>
      </c>
      <c r="M360" s="1">
        <f t="shared" si="43"/>
        <v>44378</v>
      </c>
      <c r="N360" t="str">
        <f t="shared" si="44"/>
        <v>insert #t values('20210701')</v>
      </c>
    </row>
    <row r="361" spans="1:14" x14ac:dyDescent="0.2">
      <c r="A361" s="12">
        <v>51085</v>
      </c>
      <c r="B361">
        <v>76</v>
      </c>
      <c r="C361" t="s">
        <v>46</v>
      </c>
      <c r="H361" s="6">
        <f t="shared" si="41"/>
        <v>-683</v>
      </c>
      <c r="I361">
        <v>20371228</v>
      </c>
      <c r="J361" s="1">
        <f t="shared" si="42"/>
        <v>50402</v>
      </c>
      <c r="L361">
        <v>20210802</v>
      </c>
      <c r="M361" s="1">
        <f t="shared" si="43"/>
        <v>44410</v>
      </c>
      <c r="N361" t="str">
        <f t="shared" si="44"/>
        <v>insert #t values('20210802')</v>
      </c>
    </row>
    <row r="362" spans="1:14" x14ac:dyDescent="0.2">
      <c r="A362" s="12">
        <v>51130</v>
      </c>
      <c r="B362">
        <v>78</v>
      </c>
      <c r="C362" t="s">
        <v>46</v>
      </c>
      <c r="H362" s="6">
        <f t="shared" si="41"/>
        <v>-728</v>
      </c>
      <c r="I362">
        <v>20371228</v>
      </c>
      <c r="J362" s="1">
        <f t="shared" si="42"/>
        <v>50402</v>
      </c>
      <c r="L362">
        <v>20210906</v>
      </c>
      <c r="M362" s="1">
        <f t="shared" si="43"/>
        <v>44445</v>
      </c>
      <c r="N362" t="str">
        <f t="shared" si="44"/>
        <v>insert #t values('20210906')</v>
      </c>
    </row>
    <row r="363" spans="1:14" x14ac:dyDescent="0.2">
      <c r="A363" s="12">
        <v>51131</v>
      </c>
      <c r="B363">
        <v>77</v>
      </c>
      <c r="C363" t="s">
        <v>46</v>
      </c>
      <c r="H363" s="6">
        <f t="shared" si="41"/>
        <v>-725</v>
      </c>
      <c r="I363">
        <v>20380101</v>
      </c>
      <c r="J363" s="1">
        <f t="shared" si="42"/>
        <v>50406</v>
      </c>
      <c r="L363">
        <v>20211011</v>
      </c>
      <c r="M363" s="1">
        <f t="shared" si="43"/>
        <v>44480</v>
      </c>
      <c r="N363" t="str">
        <f t="shared" si="44"/>
        <v>insert #t values('20211011')</v>
      </c>
    </row>
    <row r="364" spans="1:14" x14ac:dyDescent="0.2">
      <c r="H364" s="6">
        <f t="shared" si="41"/>
        <v>50451</v>
      </c>
      <c r="I364">
        <v>20380215</v>
      </c>
      <c r="J364" s="1">
        <f t="shared" si="42"/>
        <v>50451</v>
      </c>
      <c r="L364">
        <v>20211111</v>
      </c>
      <c r="M364" s="1">
        <f t="shared" si="43"/>
        <v>44511</v>
      </c>
      <c r="N364" t="str">
        <f t="shared" si="44"/>
        <v>insert #t values('20211111')</v>
      </c>
    </row>
    <row r="365" spans="1:14" x14ac:dyDescent="0.2">
      <c r="H365" s="6">
        <f t="shared" si="41"/>
        <v>50518</v>
      </c>
      <c r="I365">
        <v>20380423</v>
      </c>
      <c r="J365" s="1">
        <f t="shared" si="42"/>
        <v>50518</v>
      </c>
      <c r="L365">
        <v>20211227</v>
      </c>
      <c r="M365" s="1">
        <f t="shared" si="43"/>
        <v>44557</v>
      </c>
      <c r="N365" t="str">
        <f t="shared" si="44"/>
        <v>insert #t values('20211227')</v>
      </c>
    </row>
    <row r="366" spans="1:14" x14ac:dyDescent="0.2">
      <c r="H366" s="6">
        <f t="shared" si="41"/>
        <v>50549</v>
      </c>
      <c r="I366">
        <v>20380524</v>
      </c>
      <c r="J366" s="1">
        <f t="shared" si="42"/>
        <v>50549</v>
      </c>
      <c r="L366">
        <v>20211227</v>
      </c>
      <c r="M366" s="1">
        <f t="shared" si="43"/>
        <v>44557</v>
      </c>
      <c r="N366" t="str">
        <f t="shared" si="44"/>
        <v>insert #t values('20211227')</v>
      </c>
    </row>
    <row r="367" spans="1:14" x14ac:dyDescent="0.2">
      <c r="H367" s="6">
        <f t="shared" si="41"/>
        <v>50587</v>
      </c>
      <c r="I367">
        <v>20380701</v>
      </c>
      <c r="J367" s="1">
        <f t="shared" si="42"/>
        <v>50587</v>
      </c>
      <c r="L367">
        <v>20211228</v>
      </c>
      <c r="M367" s="1">
        <f t="shared" si="43"/>
        <v>44558</v>
      </c>
      <c r="N367" t="str">
        <f t="shared" si="44"/>
        <v>insert #t values('20211228')</v>
      </c>
    </row>
    <row r="368" spans="1:14" x14ac:dyDescent="0.2">
      <c r="H368" s="6">
        <f t="shared" si="41"/>
        <v>50619</v>
      </c>
      <c r="I368">
        <v>20380802</v>
      </c>
      <c r="J368" s="1">
        <f t="shared" si="42"/>
        <v>50619</v>
      </c>
      <c r="L368">
        <v>20220103</v>
      </c>
      <c r="M368" s="1">
        <f t="shared" si="43"/>
        <v>44564</v>
      </c>
      <c r="N368" t="str">
        <f t="shared" si="44"/>
        <v>insert #t values('20220103')</v>
      </c>
    </row>
    <row r="369" spans="8:14" x14ac:dyDescent="0.2">
      <c r="H369" s="6">
        <f t="shared" si="41"/>
        <v>50654</v>
      </c>
      <c r="I369">
        <v>20380906</v>
      </c>
      <c r="J369" s="1">
        <f t="shared" si="42"/>
        <v>50654</v>
      </c>
      <c r="L369">
        <v>20220221</v>
      </c>
      <c r="M369" s="1">
        <f t="shared" si="43"/>
        <v>44613</v>
      </c>
      <c r="N369" t="str">
        <f t="shared" si="44"/>
        <v>insert #t values('20220221')</v>
      </c>
    </row>
    <row r="370" spans="8:14" x14ac:dyDescent="0.2">
      <c r="H370" s="6">
        <f t="shared" si="41"/>
        <v>50689</v>
      </c>
      <c r="I370">
        <v>20381011</v>
      </c>
      <c r="J370" s="1">
        <f t="shared" si="42"/>
        <v>50689</v>
      </c>
      <c r="L370">
        <v>20220415</v>
      </c>
      <c r="M370" s="1">
        <f t="shared" si="43"/>
        <v>44666</v>
      </c>
      <c r="N370" t="str">
        <f t="shared" si="44"/>
        <v>insert #t values('20220415')</v>
      </c>
    </row>
    <row r="371" spans="8:14" x14ac:dyDescent="0.2">
      <c r="H371" s="6">
        <f t="shared" si="41"/>
        <v>50720</v>
      </c>
      <c r="I371">
        <v>20381111</v>
      </c>
      <c r="J371" s="1">
        <f t="shared" si="42"/>
        <v>50720</v>
      </c>
      <c r="L371">
        <v>20220523</v>
      </c>
      <c r="M371" s="1">
        <f t="shared" si="43"/>
        <v>44704</v>
      </c>
      <c r="N371" t="str">
        <f t="shared" si="44"/>
        <v>insert #t values('20220523')</v>
      </c>
    </row>
    <row r="372" spans="8:14" x14ac:dyDescent="0.2">
      <c r="H372" s="6">
        <f t="shared" si="41"/>
        <v>50766</v>
      </c>
      <c r="I372">
        <v>20381227</v>
      </c>
      <c r="J372" s="1">
        <f t="shared" si="42"/>
        <v>50766</v>
      </c>
      <c r="L372">
        <v>20220701</v>
      </c>
      <c r="M372" s="1">
        <f t="shared" si="43"/>
        <v>44743</v>
      </c>
      <c r="N372" t="str">
        <f t="shared" si="44"/>
        <v>insert #t values('20220701')</v>
      </c>
    </row>
    <row r="373" spans="8:14" x14ac:dyDescent="0.2">
      <c r="H373" s="6">
        <f t="shared" si="41"/>
        <v>50766</v>
      </c>
      <c r="I373">
        <v>20381227</v>
      </c>
      <c r="J373" s="1">
        <f t="shared" si="42"/>
        <v>50766</v>
      </c>
      <c r="L373">
        <v>20220801</v>
      </c>
      <c r="M373" s="1">
        <f t="shared" si="43"/>
        <v>44774</v>
      </c>
      <c r="N373" t="str">
        <f t="shared" si="44"/>
        <v>insert #t values('20220801')</v>
      </c>
    </row>
    <row r="374" spans="8:14" x14ac:dyDescent="0.2">
      <c r="H374" s="6">
        <f t="shared" si="41"/>
        <v>50767</v>
      </c>
      <c r="I374">
        <v>20381228</v>
      </c>
      <c r="J374" s="1">
        <f t="shared" si="42"/>
        <v>50767</v>
      </c>
      <c r="L374">
        <v>20220905</v>
      </c>
      <c r="M374" s="1">
        <f t="shared" si="43"/>
        <v>44809</v>
      </c>
      <c r="N374" t="str">
        <f t="shared" si="44"/>
        <v>insert #t values('20220905')</v>
      </c>
    </row>
    <row r="375" spans="8:14" x14ac:dyDescent="0.2">
      <c r="H375" s="6">
        <f t="shared" si="41"/>
        <v>50773</v>
      </c>
      <c r="I375">
        <v>20390103</v>
      </c>
      <c r="J375" s="1">
        <f t="shared" si="42"/>
        <v>50773</v>
      </c>
      <c r="L375">
        <v>20221010</v>
      </c>
      <c r="M375" s="1">
        <f t="shared" si="43"/>
        <v>44844</v>
      </c>
      <c r="N375" t="str">
        <f t="shared" si="44"/>
        <v>insert #t values('20221010')</v>
      </c>
    </row>
    <row r="376" spans="8:14" x14ac:dyDescent="0.2">
      <c r="H376" s="6">
        <f t="shared" si="41"/>
        <v>50822</v>
      </c>
      <c r="I376">
        <v>20390221</v>
      </c>
      <c r="J376" s="1">
        <f t="shared" si="42"/>
        <v>50822</v>
      </c>
      <c r="L376">
        <v>20221111</v>
      </c>
      <c r="M376" s="1">
        <f t="shared" si="43"/>
        <v>44876</v>
      </c>
      <c r="N376" t="str">
        <f t="shared" si="44"/>
        <v>insert #t values('20221111')</v>
      </c>
    </row>
    <row r="377" spans="8:14" x14ac:dyDescent="0.2">
      <c r="H377" s="6">
        <f t="shared" si="41"/>
        <v>50868</v>
      </c>
      <c r="I377">
        <v>20390408</v>
      </c>
      <c r="J377" s="1">
        <f t="shared" si="42"/>
        <v>50868</v>
      </c>
      <c r="L377">
        <v>20221226</v>
      </c>
      <c r="M377" s="1">
        <f t="shared" si="43"/>
        <v>44921</v>
      </c>
      <c r="N377" t="str">
        <f t="shared" si="44"/>
        <v>insert #t values('20221226')</v>
      </c>
    </row>
    <row r="378" spans="8:14" x14ac:dyDescent="0.2">
      <c r="H378" s="6">
        <f t="shared" si="41"/>
        <v>50913</v>
      </c>
      <c r="I378">
        <v>20390523</v>
      </c>
      <c r="J378" s="1">
        <f t="shared" si="42"/>
        <v>50913</v>
      </c>
      <c r="L378">
        <v>20221226</v>
      </c>
      <c r="M378" s="1">
        <f t="shared" si="43"/>
        <v>44921</v>
      </c>
      <c r="N378" t="str">
        <f t="shared" si="44"/>
        <v>insert #t values('20221226')</v>
      </c>
    </row>
    <row r="379" spans="8:14" x14ac:dyDescent="0.2">
      <c r="H379" s="6">
        <f t="shared" si="41"/>
        <v>50952</v>
      </c>
      <c r="I379">
        <v>20390701</v>
      </c>
      <c r="J379" s="1">
        <f t="shared" si="42"/>
        <v>50952</v>
      </c>
      <c r="L379">
        <v>20221226</v>
      </c>
      <c r="M379" s="1">
        <f t="shared" si="43"/>
        <v>44921</v>
      </c>
      <c r="N379" t="str">
        <f t="shared" si="44"/>
        <v>insert #t values('20221226')</v>
      </c>
    </row>
    <row r="380" spans="8:14" x14ac:dyDescent="0.2">
      <c r="H380" s="6">
        <f t="shared" si="41"/>
        <v>50983</v>
      </c>
      <c r="I380">
        <v>20390801</v>
      </c>
      <c r="J380" s="1">
        <f t="shared" si="42"/>
        <v>50983</v>
      </c>
      <c r="L380">
        <v>20230102</v>
      </c>
      <c r="M380" s="1">
        <f t="shared" si="43"/>
        <v>44928</v>
      </c>
      <c r="N380" t="str">
        <f t="shared" si="44"/>
        <v>insert #t values('20230102')</v>
      </c>
    </row>
    <row r="381" spans="8:14" x14ac:dyDescent="0.2">
      <c r="H381" s="6">
        <f t="shared" si="41"/>
        <v>51018</v>
      </c>
      <c r="I381">
        <v>20390905</v>
      </c>
      <c r="J381" s="1">
        <f t="shared" si="42"/>
        <v>51018</v>
      </c>
      <c r="L381">
        <v>20230220</v>
      </c>
      <c r="M381" s="1">
        <f t="shared" si="43"/>
        <v>44977</v>
      </c>
      <c r="N381" t="str">
        <f t="shared" si="44"/>
        <v>insert #t values('20230220')</v>
      </c>
    </row>
    <row r="382" spans="8:14" x14ac:dyDescent="0.2">
      <c r="H382" s="6">
        <f t="shared" si="41"/>
        <v>51053</v>
      </c>
      <c r="I382">
        <v>20391010</v>
      </c>
      <c r="J382" s="1">
        <f t="shared" si="42"/>
        <v>51053</v>
      </c>
      <c r="L382">
        <v>20230407</v>
      </c>
      <c r="M382" s="1">
        <f t="shared" si="43"/>
        <v>45023</v>
      </c>
      <c r="N382" t="str">
        <f t="shared" si="44"/>
        <v>insert #t values('20230407')</v>
      </c>
    </row>
    <row r="383" spans="8:14" x14ac:dyDescent="0.2">
      <c r="H383" s="6">
        <f t="shared" si="41"/>
        <v>51085</v>
      </c>
      <c r="I383">
        <v>20391111</v>
      </c>
      <c r="J383" s="1">
        <f t="shared" si="42"/>
        <v>51085</v>
      </c>
      <c r="L383">
        <v>20230522</v>
      </c>
      <c r="M383" s="1">
        <f t="shared" si="43"/>
        <v>45068</v>
      </c>
      <c r="N383" t="str">
        <f t="shared" si="44"/>
        <v>insert #t values('20230522')</v>
      </c>
    </row>
    <row r="384" spans="8:14" x14ac:dyDescent="0.2">
      <c r="H384" s="6">
        <f t="shared" si="41"/>
        <v>51130</v>
      </c>
      <c r="I384">
        <v>20391226</v>
      </c>
      <c r="J384" s="1">
        <f t="shared" si="42"/>
        <v>51130</v>
      </c>
      <c r="L384">
        <v>20230703</v>
      </c>
      <c r="M384" s="1">
        <f t="shared" si="43"/>
        <v>45110</v>
      </c>
      <c r="N384" t="str">
        <f t="shared" si="44"/>
        <v>insert #t values('20230703')</v>
      </c>
    </row>
    <row r="385" spans="8:14" x14ac:dyDescent="0.2">
      <c r="H385" s="6">
        <f t="shared" si="41"/>
        <v>51130</v>
      </c>
      <c r="I385">
        <v>20391226</v>
      </c>
      <c r="J385" s="1">
        <f t="shared" si="42"/>
        <v>51130</v>
      </c>
      <c r="L385">
        <v>20230807</v>
      </c>
      <c r="M385" s="1">
        <f t="shared" si="43"/>
        <v>45145</v>
      </c>
      <c r="N385" t="str">
        <f t="shared" si="44"/>
        <v>insert #t values('20230807')</v>
      </c>
    </row>
    <row r="386" spans="8:14" x14ac:dyDescent="0.2">
      <c r="H386" s="6">
        <f t="shared" ref="H386:H449" si="45">J386-A386</f>
        <v>51130</v>
      </c>
      <c r="I386">
        <v>20391226</v>
      </c>
      <c r="J386" s="1">
        <f t="shared" ref="J386:J449" si="46">DATE(LEFT(I386,4),MID(I386,5,2),RIGHT(I386,2))</f>
        <v>51130</v>
      </c>
      <c r="L386">
        <v>20230904</v>
      </c>
      <c r="M386" s="1">
        <f t="shared" ref="M386:M449" si="47">DATE(LEFT(L386,4),MID(L386,5,2),RIGHT(L386,2))</f>
        <v>45173</v>
      </c>
      <c r="N386" t="str">
        <f t="shared" ref="N386:N449" si="48">"insert #t values('"&amp;L386 &amp; "')"</f>
        <v>insert #t values('20230904')</v>
      </c>
    </row>
    <row r="387" spans="8:14" x14ac:dyDescent="0.2">
      <c r="H387" s="6">
        <f t="shared" si="45"/>
        <v>51137</v>
      </c>
      <c r="I387">
        <v>20400102</v>
      </c>
      <c r="J387" s="1">
        <f t="shared" si="46"/>
        <v>51137</v>
      </c>
      <c r="L387">
        <v>20231009</v>
      </c>
      <c r="M387" s="1">
        <f t="shared" si="47"/>
        <v>45208</v>
      </c>
      <c r="N387" t="str">
        <f t="shared" si="48"/>
        <v>insert #t values('20231009')</v>
      </c>
    </row>
    <row r="388" spans="8:14" x14ac:dyDescent="0.2">
      <c r="H388" s="6">
        <f t="shared" si="45"/>
        <v>51186</v>
      </c>
      <c r="I388">
        <v>20400220</v>
      </c>
      <c r="J388" s="1">
        <f t="shared" si="46"/>
        <v>51186</v>
      </c>
      <c r="L388">
        <v>20231113</v>
      </c>
      <c r="M388" s="1">
        <f t="shared" si="47"/>
        <v>45243</v>
      </c>
      <c r="N388" t="str">
        <f t="shared" si="48"/>
        <v>insert #t values('20231113')</v>
      </c>
    </row>
    <row r="389" spans="8:14" x14ac:dyDescent="0.2">
      <c r="H389" s="6">
        <f t="shared" si="45"/>
        <v>51225</v>
      </c>
      <c r="I389">
        <v>20400330</v>
      </c>
      <c r="J389" s="1">
        <f t="shared" si="46"/>
        <v>51225</v>
      </c>
      <c r="L389">
        <v>20231225</v>
      </c>
      <c r="M389" s="1">
        <f t="shared" si="47"/>
        <v>45285</v>
      </c>
      <c r="N389" t="str">
        <f t="shared" si="48"/>
        <v>insert #t values('20231225')</v>
      </c>
    </row>
    <row r="390" spans="8:14" x14ac:dyDescent="0.2">
      <c r="H390" s="6">
        <f t="shared" si="45"/>
        <v>51277</v>
      </c>
      <c r="I390">
        <v>20400521</v>
      </c>
      <c r="J390" s="1">
        <f t="shared" si="46"/>
        <v>51277</v>
      </c>
      <c r="L390">
        <v>20231226</v>
      </c>
      <c r="M390" s="1">
        <f t="shared" si="47"/>
        <v>45286</v>
      </c>
      <c r="N390" t="str">
        <f t="shared" si="48"/>
        <v>insert #t values('20231226')</v>
      </c>
    </row>
    <row r="391" spans="8:14" x14ac:dyDescent="0.2">
      <c r="H391" s="6">
        <f t="shared" si="45"/>
        <v>51319</v>
      </c>
      <c r="I391">
        <v>20400702</v>
      </c>
      <c r="J391" s="1">
        <f t="shared" si="46"/>
        <v>51319</v>
      </c>
      <c r="L391">
        <v>20231226</v>
      </c>
      <c r="M391" s="1">
        <f t="shared" si="47"/>
        <v>45286</v>
      </c>
      <c r="N391" t="str">
        <f t="shared" si="48"/>
        <v>insert #t values('20231226')</v>
      </c>
    </row>
    <row r="392" spans="8:14" x14ac:dyDescent="0.2">
      <c r="H392" s="6">
        <f t="shared" si="45"/>
        <v>51354</v>
      </c>
      <c r="I392">
        <v>20400806</v>
      </c>
      <c r="J392" s="1">
        <f t="shared" si="46"/>
        <v>51354</v>
      </c>
      <c r="L392">
        <v>20240101</v>
      </c>
      <c r="M392" s="1">
        <f t="shared" si="47"/>
        <v>45292</v>
      </c>
      <c r="N392" t="str">
        <f t="shared" si="48"/>
        <v>insert #t values('20240101')</v>
      </c>
    </row>
    <row r="393" spans="8:14" x14ac:dyDescent="0.2">
      <c r="H393" s="6">
        <f t="shared" si="45"/>
        <v>51382</v>
      </c>
      <c r="I393">
        <v>20400903</v>
      </c>
      <c r="J393" s="1">
        <f t="shared" si="46"/>
        <v>51382</v>
      </c>
      <c r="L393">
        <v>20240219</v>
      </c>
      <c r="M393" s="1">
        <f t="shared" si="47"/>
        <v>45341</v>
      </c>
      <c r="N393" t="str">
        <f t="shared" si="48"/>
        <v>insert #t values('20240219')</v>
      </c>
    </row>
    <row r="394" spans="8:14" x14ac:dyDescent="0.2">
      <c r="H394" s="6">
        <f t="shared" si="45"/>
        <v>51417</v>
      </c>
      <c r="I394">
        <v>20401008</v>
      </c>
      <c r="J394" s="1">
        <f t="shared" si="46"/>
        <v>51417</v>
      </c>
      <c r="L394">
        <v>20240329</v>
      </c>
      <c r="M394" s="1">
        <f t="shared" si="47"/>
        <v>45380</v>
      </c>
      <c r="N394" t="str">
        <f t="shared" si="48"/>
        <v>insert #t values('20240329')</v>
      </c>
    </row>
    <row r="395" spans="8:14" x14ac:dyDescent="0.2">
      <c r="H395" s="6">
        <f t="shared" si="45"/>
        <v>51452</v>
      </c>
      <c r="I395">
        <v>20401112</v>
      </c>
      <c r="J395" s="1">
        <f t="shared" si="46"/>
        <v>51452</v>
      </c>
      <c r="L395">
        <v>20240520</v>
      </c>
      <c r="M395" s="1">
        <f t="shared" si="47"/>
        <v>45432</v>
      </c>
      <c r="N395" t="str">
        <f t="shared" si="48"/>
        <v>insert #t values('20240520')</v>
      </c>
    </row>
    <row r="396" spans="8:14" x14ac:dyDescent="0.2">
      <c r="H396" s="6">
        <f t="shared" si="45"/>
        <v>51495</v>
      </c>
      <c r="I396">
        <v>20401225</v>
      </c>
      <c r="J396" s="1">
        <f t="shared" si="46"/>
        <v>51495</v>
      </c>
      <c r="L396">
        <v>20240701</v>
      </c>
      <c r="M396" s="1">
        <f t="shared" si="47"/>
        <v>45474</v>
      </c>
      <c r="N396" t="str">
        <f t="shared" si="48"/>
        <v>insert #t values('20240701')</v>
      </c>
    </row>
    <row r="397" spans="8:14" x14ac:dyDescent="0.2">
      <c r="H397" s="6">
        <f t="shared" si="45"/>
        <v>51496</v>
      </c>
      <c r="I397">
        <v>20401226</v>
      </c>
      <c r="J397" s="1">
        <f t="shared" si="46"/>
        <v>51496</v>
      </c>
      <c r="L397">
        <v>20240805</v>
      </c>
      <c r="M397" s="1">
        <f t="shared" si="47"/>
        <v>45509</v>
      </c>
      <c r="N397" t="str">
        <f t="shared" si="48"/>
        <v>insert #t values('20240805')</v>
      </c>
    </row>
    <row r="398" spans="8:14" x14ac:dyDescent="0.2">
      <c r="H398" s="6">
        <f t="shared" si="45"/>
        <v>51496</v>
      </c>
      <c r="I398">
        <v>20401226</v>
      </c>
      <c r="J398" s="1">
        <f t="shared" si="46"/>
        <v>51496</v>
      </c>
      <c r="L398">
        <v>20240902</v>
      </c>
      <c r="M398" s="1">
        <f t="shared" si="47"/>
        <v>45537</v>
      </c>
      <c r="N398" t="str">
        <f t="shared" si="48"/>
        <v>insert #t values('20240902')</v>
      </c>
    </row>
    <row r="399" spans="8:14" x14ac:dyDescent="0.2">
      <c r="H399" s="6">
        <f t="shared" si="45"/>
        <v>51502</v>
      </c>
      <c r="I399">
        <v>20410101</v>
      </c>
      <c r="J399" s="1">
        <f t="shared" si="46"/>
        <v>51502</v>
      </c>
      <c r="L399">
        <v>20241014</v>
      </c>
      <c r="M399" s="1">
        <f t="shared" si="47"/>
        <v>45579</v>
      </c>
      <c r="N399" t="str">
        <f t="shared" si="48"/>
        <v>insert #t values('20241014')</v>
      </c>
    </row>
    <row r="400" spans="8:14" x14ac:dyDescent="0.2">
      <c r="H400" s="6">
        <f t="shared" si="45"/>
        <v>51550</v>
      </c>
      <c r="I400">
        <v>20410218</v>
      </c>
      <c r="J400" s="1">
        <f t="shared" si="46"/>
        <v>51550</v>
      </c>
      <c r="L400">
        <v>20241111</v>
      </c>
      <c r="M400" s="1">
        <f t="shared" si="47"/>
        <v>45607</v>
      </c>
      <c r="N400" t="str">
        <f t="shared" si="48"/>
        <v>insert #t values('20241111')</v>
      </c>
    </row>
    <row r="401" spans="8:14" x14ac:dyDescent="0.2">
      <c r="H401" s="6">
        <f t="shared" si="45"/>
        <v>51610</v>
      </c>
      <c r="I401">
        <v>20410419</v>
      </c>
      <c r="J401" s="1">
        <f t="shared" si="46"/>
        <v>51610</v>
      </c>
      <c r="L401">
        <v>20241225</v>
      </c>
      <c r="M401" s="1">
        <f t="shared" si="47"/>
        <v>45651</v>
      </c>
      <c r="N401" t="str">
        <f t="shared" si="48"/>
        <v>insert #t values('20241225')</v>
      </c>
    </row>
    <row r="402" spans="8:14" x14ac:dyDescent="0.2">
      <c r="H402" s="6">
        <f t="shared" si="45"/>
        <v>51641</v>
      </c>
      <c r="I402">
        <v>20410520</v>
      </c>
      <c r="J402" s="1">
        <f t="shared" si="46"/>
        <v>51641</v>
      </c>
      <c r="L402">
        <v>20241226</v>
      </c>
      <c r="M402" s="1">
        <f t="shared" si="47"/>
        <v>45652</v>
      </c>
      <c r="N402" t="str">
        <f t="shared" si="48"/>
        <v>insert #t values('20241226')</v>
      </c>
    </row>
    <row r="403" spans="8:14" x14ac:dyDescent="0.2">
      <c r="H403" s="6">
        <f t="shared" si="45"/>
        <v>51683</v>
      </c>
      <c r="I403">
        <v>20410701</v>
      </c>
      <c r="J403" s="1">
        <f t="shared" si="46"/>
        <v>51683</v>
      </c>
      <c r="L403">
        <v>20241226</v>
      </c>
      <c r="M403" s="1">
        <f t="shared" si="47"/>
        <v>45652</v>
      </c>
      <c r="N403" t="str">
        <f t="shared" si="48"/>
        <v>insert #t values('20241226')</v>
      </c>
    </row>
    <row r="404" spans="8:14" x14ac:dyDescent="0.2">
      <c r="H404" s="6">
        <f t="shared" si="45"/>
        <v>51718</v>
      </c>
      <c r="I404">
        <v>20410805</v>
      </c>
      <c r="J404" s="1">
        <f t="shared" si="46"/>
        <v>51718</v>
      </c>
      <c r="L404">
        <v>20250101</v>
      </c>
      <c r="M404" s="1">
        <f t="shared" si="47"/>
        <v>45658</v>
      </c>
      <c r="N404" t="str">
        <f t="shared" si="48"/>
        <v>insert #t values('20250101')</v>
      </c>
    </row>
    <row r="405" spans="8:14" x14ac:dyDescent="0.2">
      <c r="H405" s="6">
        <f t="shared" si="45"/>
        <v>51746</v>
      </c>
      <c r="I405">
        <v>20410902</v>
      </c>
      <c r="J405" s="1">
        <f t="shared" si="46"/>
        <v>51746</v>
      </c>
      <c r="L405">
        <v>20250217</v>
      </c>
      <c r="M405" s="1">
        <f t="shared" si="47"/>
        <v>45705</v>
      </c>
      <c r="N405" t="str">
        <f t="shared" si="48"/>
        <v>insert #t values('20250217')</v>
      </c>
    </row>
    <row r="406" spans="8:14" x14ac:dyDescent="0.2">
      <c r="H406" s="6">
        <f t="shared" si="45"/>
        <v>51788</v>
      </c>
      <c r="I406">
        <v>20411014</v>
      </c>
      <c r="J406" s="1">
        <f t="shared" si="46"/>
        <v>51788</v>
      </c>
      <c r="L406">
        <v>20250418</v>
      </c>
      <c r="M406" s="1">
        <f t="shared" si="47"/>
        <v>45765</v>
      </c>
      <c r="N406" t="str">
        <f t="shared" si="48"/>
        <v>insert #t values('20250418')</v>
      </c>
    </row>
    <row r="407" spans="8:14" x14ac:dyDescent="0.2">
      <c r="H407" s="6">
        <f t="shared" si="45"/>
        <v>51816</v>
      </c>
      <c r="I407">
        <v>20411111</v>
      </c>
      <c r="J407" s="1">
        <f t="shared" si="46"/>
        <v>51816</v>
      </c>
      <c r="L407">
        <v>20250519</v>
      </c>
      <c r="M407" s="1">
        <f t="shared" si="47"/>
        <v>45796</v>
      </c>
      <c r="N407" t="str">
        <f t="shared" si="48"/>
        <v>insert #t values('20250519')</v>
      </c>
    </row>
    <row r="408" spans="8:14" x14ac:dyDescent="0.2">
      <c r="H408" s="6">
        <f t="shared" si="45"/>
        <v>51860</v>
      </c>
      <c r="I408">
        <v>20411225</v>
      </c>
      <c r="J408" s="1">
        <f t="shared" si="46"/>
        <v>51860</v>
      </c>
      <c r="L408">
        <v>20250701</v>
      </c>
      <c r="M408" s="1">
        <f t="shared" si="47"/>
        <v>45839</v>
      </c>
      <c r="N408" t="str">
        <f t="shared" si="48"/>
        <v>insert #t values('20250701')</v>
      </c>
    </row>
    <row r="409" spans="8:14" x14ac:dyDescent="0.2">
      <c r="H409" s="6">
        <f t="shared" si="45"/>
        <v>51861</v>
      </c>
      <c r="I409">
        <v>20411226</v>
      </c>
      <c r="J409" s="1">
        <f t="shared" si="46"/>
        <v>51861</v>
      </c>
      <c r="L409">
        <v>20250804</v>
      </c>
      <c r="M409" s="1">
        <f t="shared" si="47"/>
        <v>45873</v>
      </c>
      <c r="N409" t="str">
        <f t="shared" si="48"/>
        <v>insert #t values('20250804')</v>
      </c>
    </row>
    <row r="410" spans="8:14" x14ac:dyDescent="0.2">
      <c r="H410" s="6">
        <f t="shared" si="45"/>
        <v>51861</v>
      </c>
      <c r="I410">
        <v>20411226</v>
      </c>
      <c r="J410" s="1">
        <f t="shared" si="46"/>
        <v>51861</v>
      </c>
      <c r="L410">
        <v>20250901</v>
      </c>
      <c r="M410" s="1">
        <f t="shared" si="47"/>
        <v>45901</v>
      </c>
      <c r="N410" t="str">
        <f t="shared" si="48"/>
        <v>insert #t values('20250901')</v>
      </c>
    </row>
    <row r="411" spans="8:14" x14ac:dyDescent="0.2">
      <c r="H411" s="6">
        <f t="shared" si="45"/>
        <v>51867</v>
      </c>
      <c r="I411">
        <v>20420101</v>
      </c>
      <c r="J411" s="1">
        <f t="shared" si="46"/>
        <v>51867</v>
      </c>
      <c r="L411">
        <v>20251013</v>
      </c>
      <c r="M411" s="1">
        <f t="shared" si="47"/>
        <v>45943</v>
      </c>
      <c r="N411" t="str">
        <f t="shared" si="48"/>
        <v>insert #t values('20251013')</v>
      </c>
    </row>
    <row r="412" spans="8:14" x14ac:dyDescent="0.2">
      <c r="H412" s="6">
        <f t="shared" si="45"/>
        <v>51914</v>
      </c>
      <c r="I412">
        <v>20420217</v>
      </c>
      <c r="J412" s="1">
        <f t="shared" si="46"/>
        <v>51914</v>
      </c>
      <c r="L412">
        <v>20251111</v>
      </c>
      <c r="M412" s="1">
        <f t="shared" si="47"/>
        <v>45972</v>
      </c>
      <c r="N412" t="str">
        <f t="shared" si="48"/>
        <v>insert #t values('20251111')</v>
      </c>
    </row>
    <row r="413" spans="8:14" x14ac:dyDescent="0.2">
      <c r="H413" s="6">
        <f t="shared" si="45"/>
        <v>51960</v>
      </c>
      <c r="I413">
        <v>20420404</v>
      </c>
      <c r="J413" s="1">
        <f t="shared" si="46"/>
        <v>51960</v>
      </c>
      <c r="L413">
        <v>20251225</v>
      </c>
      <c r="M413" s="1">
        <f t="shared" si="47"/>
        <v>46016</v>
      </c>
      <c r="N413" t="str">
        <f t="shared" si="48"/>
        <v>insert #t values('20251225')</v>
      </c>
    </row>
    <row r="414" spans="8:14" x14ac:dyDescent="0.2">
      <c r="H414" s="6">
        <f t="shared" si="45"/>
        <v>52005</v>
      </c>
      <c r="I414">
        <v>20420519</v>
      </c>
      <c r="J414" s="1">
        <f t="shared" si="46"/>
        <v>52005</v>
      </c>
      <c r="L414">
        <v>20251226</v>
      </c>
      <c r="M414" s="1">
        <f t="shared" si="47"/>
        <v>46017</v>
      </c>
      <c r="N414" t="str">
        <f t="shared" si="48"/>
        <v>insert #t values('20251226')</v>
      </c>
    </row>
    <row r="415" spans="8:14" x14ac:dyDescent="0.2">
      <c r="H415" s="6">
        <f t="shared" si="45"/>
        <v>52048</v>
      </c>
      <c r="I415">
        <v>20420701</v>
      </c>
      <c r="J415" s="1">
        <f t="shared" si="46"/>
        <v>52048</v>
      </c>
      <c r="L415">
        <v>20251226</v>
      </c>
      <c r="M415" s="1">
        <f t="shared" si="47"/>
        <v>46017</v>
      </c>
      <c r="N415" t="str">
        <f t="shared" si="48"/>
        <v>insert #t values('20251226')</v>
      </c>
    </row>
    <row r="416" spans="8:14" x14ac:dyDescent="0.2">
      <c r="H416" s="6">
        <f t="shared" si="45"/>
        <v>52082</v>
      </c>
      <c r="I416">
        <v>20420804</v>
      </c>
      <c r="J416" s="1">
        <f t="shared" si="46"/>
        <v>52082</v>
      </c>
      <c r="L416">
        <v>20260101</v>
      </c>
      <c r="M416" s="1">
        <f t="shared" si="47"/>
        <v>46023</v>
      </c>
      <c r="N416" t="str">
        <f t="shared" si="48"/>
        <v>insert #t values('20260101')</v>
      </c>
    </row>
    <row r="417" spans="8:14" x14ac:dyDescent="0.2">
      <c r="H417" s="6">
        <f t="shared" si="45"/>
        <v>52110</v>
      </c>
      <c r="I417">
        <v>20420901</v>
      </c>
      <c r="J417" s="1">
        <f t="shared" si="46"/>
        <v>52110</v>
      </c>
      <c r="L417">
        <v>20260216</v>
      </c>
      <c r="M417" s="1">
        <f t="shared" si="47"/>
        <v>46069</v>
      </c>
      <c r="N417" t="str">
        <f t="shared" si="48"/>
        <v>insert #t values('20260216')</v>
      </c>
    </row>
    <row r="418" spans="8:14" x14ac:dyDescent="0.2">
      <c r="H418" s="6">
        <f t="shared" si="45"/>
        <v>52152</v>
      </c>
      <c r="I418">
        <v>20421013</v>
      </c>
      <c r="J418" s="1">
        <f t="shared" si="46"/>
        <v>52152</v>
      </c>
      <c r="L418">
        <v>20260403</v>
      </c>
      <c r="M418" s="1">
        <f t="shared" si="47"/>
        <v>46115</v>
      </c>
      <c r="N418" t="str">
        <f t="shared" si="48"/>
        <v>insert #t values('20260403')</v>
      </c>
    </row>
    <row r="419" spans="8:14" x14ac:dyDescent="0.2">
      <c r="H419" s="6">
        <f t="shared" si="45"/>
        <v>52181</v>
      </c>
      <c r="I419">
        <v>20421111</v>
      </c>
      <c r="J419" s="1">
        <f t="shared" si="46"/>
        <v>52181</v>
      </c>
      <c r="L419">
        <v>20260518</v>
      </c>
      <c r="M419" s="1">
        <f t="shared" si="47"/>
        <v>46160</v>
      </c>
      <c r="N419" t="str">
        <f t="shared" si="48"/>
        <v>insert #t values('20260518')</v>
      </c>
    </row>
    <row r="420" spans="8:14" x14ac:dyDescent="0.2">
      <c r="H420" s="6">
        <f t="shared" si="45"/>
        <v>52225</v>
      </c>
      <c r="I420">
        <v>20421225</v>
      </c>
      <c r="J420" s="1">
        <f t="shared" si="46"/>
        <v>52225</v>
      </c>
      <c r="L420">
        <v>20260701</v>
      </c>
      <c r="M420" s="1">
        <f t="shared" si="47"/>
        <v>46204</v>
      </c>
      <c r="N420" t="str">
        <f t="shared" si="48"/>
        <v>insert #t values('20260701')</v>
      </c>
    </row>
    <row r="421" spans="8:14" x14ac:dyDescent="0.2">
      <c r="H421" s="6">
        <f t="shared" si="45"/>
        <v>52226</v>
      </c>
      <c r="I421">
        <v>20421226</v>
      </c>
      <c r="J421" s="1">
        <f t="shared" si="46"/>
        <v>52226</v>
      </c>
      <c r="L421">
        <v>20260803</v>
      </c>
      <c r="M421" s="1">
        <f t="shared" si="47"/>
        <v>46237</v>
      </c>
      <c r="N421" t="str">
        <f t="shared" si="48"/>
        <v>insert #t values('20260803')</v>
      </c>
    </row>
    <row r="422" spans="8:14" x14ac:dyDescent="0.2">
      <c r="H422" s="6">
        <f t="shared" si="45"/>
        <v>52226</v>
      </c>
      <c r="I422">
        <v>20421226</v>
      </c>
      <c r="J422" s="1">
        <f t="shared" si="46"/>
        <v>52226</v>
      </c>
      <c r="L422">
        <v>20260907</v>
      </c>
      <c r="M422" s="1">
        <f t="shared" si="47"/>
        <v>46272</v>
      </c>
      <c r="N422" t="str">
        <f t="shared" si="48"/>
        <v>insert #t values('20260907')</v>
      </c>
    </row>
    <row r="423" spans="8:14" x14ac:dyDescent="0.2">
      <c r="H423" s="6">
        <f t="shared" si="45"/>
        <v>52232</v>
      </c>
      <c r="I423">
        <v>20430101</v>
      </c>
      <c r="J423" s="1">
        <f t="shared" si="46"/>
        <v>52232</v>
      </c>
      <c r="L423">
        <v>20261012</v>
      </c>
      <c r="M423" s="1">
        <f t="shared" si="47"/>
        <v>46307</v>
      </c>
      <c r="N423" t="str">
        <f t="shared" si="48"/>
        <v>insert #t values('20261012')</v>
      </c>
    </row>
    <row r="424" spans="8:14" x14ac:dyDescent="0.2">
      <c r="H424" s="6">
        <f t="shared" si="45"/>
        <v>52278</v>
      </c>
      <c r="I424">
        <v>20430216</v>
      </c>
      <c r="J424" s="1">
        <f t="shared" si="46"/>
        <v>52278</v>
      </c>
      <c r="L424">
        <v>20261111</v>
      </c>
      <c r="M424" s="1">
        <f t="shared" si="47"/>
        <v>46337</v>
      </c>
      <c r="N424" t="str">
        <f t="shared" si="48"/>
        <v>insert #t values('20261111')</v>
      </c>
    </row>
    <row r="425" spans="8:14" x14ac:dyDescent="0.2">
      <c r="H425" s="6">
        <f t="shared" si="45"/>
        <v>52317</v>
      </c>
      <c r="I425">
        <v>20430327</v>
      </c>
      <c r="J425" s="1">
        <f t="shared" si="46"/>
        <v>52317</v>
      </c>
      <c r="L425">
        <v>20261225</v>
      </c>
      <c r="M425" s="1">
        <f t="shared" si="47"/>
        <v>46381</v>
      </c>
      <c r="N425" t="str">
        <f t="shared" si="48"/>
        <v>insert #t values('20261225')</v>
      </c>
    </row>
    <row r="426" spans="8:14" x14ac:dyDescent="0.2">
      <c r="H426" s="6">
        <f t="shared" si="45"/>
        <v>52369</v>
      </c>
      <c r="I426">
        <v>20430518</v>
      </c>
      <c r="J426" s="1">
        <f t="shared" si="46"/>
        <v>52369</v>
      </c>
      <c r="L426">
        <v>20261228</v>
      </c>
      <c r="M426" s="1">
        <f t="shared" si="47"/>
        <v>46384</v>
      </c>
      <c r="N426" t="str">
        <f t="shared" si="48"/>
        <v>insert #t values('20261228')</v>
      </c>
    </row>
    <row r="427" spans="8:14" x14ac:dyDescent="0.2">
      <c r="H427" s="6">
        <f t="shared" si="45"/>
        <v>52413</v>
      </c>
      <c r="I427">
        <v>20430701</v>
      </c>
      <c r="J427" s="1">
        <f t="shared" si="46"/>
        <v>52413</v>
      </c>
      <c r="L427">
        <v>20261228</v>
      </c>
      <c r="M427" s="1">
        <f t="shared" si="47"/>
        <v>46384</v>
      </c>
      <c r="N427" t="str">
        <f t="shared" si="48"/>
        <v>insert #t values('20261228')</v>
      </c>
    </row>
    <row r="428" spans="8:14" x14ac:dyDescent="0.2">
      <c r="H428" s="6">
        <f t="shared" si="45"/>
        <v>52446</v>
      </c>
      <c r="I428">
        <v>20430803</v>
      </c>
      <c r="J428" s="1">
        <f t="shared" si="46"/>
        <v>52446</v>
      </c>
      <c r="L428">
        <v>20270101</v>
      </c>
      <c r="M428" s="1">
        <f t="shared" si="47"/>
        <v>46388</v>
      </c>
      <c r="N428" t="str">
        <f t="shared" si="48"/>
        <v>insert #t values('20270101')</v>
      </c>
    </row>
    <row r="429" spans="8:14" x14ac:dyDescent="0.2">
      <c r="H429" s="6">
        <f t="shared" si="45"/>
        <v>52481</v>
      </c>
      <c r="I429">
        <v>20430907</v>
      </c>
      <c r="J429" s="1">
        <f t="shared" si="46"/>
        <v>52481</v>
      </c>
      <c r="L429">
        <v>20270215</v>
      </c>
      <c r="M429" s="1">
        <f t="shared" si="47"/>
        <v>46433</v>
      </c>
      <c r="N429" t="str">
        <f t="shared" si="48"/>
        <v>insert #t values('20270215')</v>
      </c>
    </row>
    <row r="430" spans="8:14" x14ac:dyDescent="0.2">
      <c r="H430" s="6">
        <f t="shared" si="45"/>
        <v>52516</v>
      </c>
      <c r="I430">
        <v>20431012</v>
      </c>
      <c r="J430" s="1">
        <f t="shared" si="46"/>
        <v>52516</v>
      </c>
      <c r="L430">
        <v>20270326</v>
      </c>
      <c r="M430" s="1">
        <f t="shared" si="47"/>
        <v>46472</v>
      </c>
      <c r="N430" t="str">
        <f t="shared" si="48"/>
        <v>insert #t values('20270326')</v>
      </c>
    </row>
    <row r="431" spans="8:14" x14ac:dyDescent="0.2">
      <c r="H431" s="6">
        <f t="shared" si="45"/>
        <v>52546</v>
      </c>
      <c r="I431">
        <v>20431111</v>
      </c>
      <c r="J431" s="1">
        <f t="shared" si="46"/>
        <v>52546</v>
      </c>
      <c r="L431">
        <v>20270524</v>
      </c>
      <c r="M431" s="1">
        <f t="shared" si="47"/>
        <v>46531</v>
      </c>
      <c r="N431" t="str">
        <f t="shared" si="48"/>
        <v>insert #t values('20270524')</v>
      </c>
    </row>
    <row r="432" spans="8:14" x14ac:dyDescent="0.2">
      <c r="H432" s="6">
        <f t="shared" si="45"/>
        <v>52590</v>
      </c>
      <c r="I432">
        <v>20431225</v>
      </c>
      <c r="J432" s="1">
        <f t="shared" si="46"/>
        <v>52590</v>
      </c>
      <c r="L432">
        <v>20270701</v>
      </c>
      <c r="M432" s="1">
        <f t="shared" si="47"/>
        <v>46569</v>
      </c>
      <c r="N432" t="str">
        <f t="shared" si="48"/>
        <v>insert #t values('20270701')</v>
      </c>
    </row>
    <row r="433" spans="8:14" x14ac:dyDescent="0.2">
      <c r="H433" s="6">
        <f t="shared" si="45"/>
        <v>52593</v>
      </c>
      <c r="I433">
        <v>20431228</v>
      </c>
      <c r="J433" s="1">
        <f t="shared" si="46"/>
        <v>52593</v>
      </c>
      <c r="L433">
        <v>20270802</v>
      </c>
      <c r="M433" s="1">
        <f t="shared" si="47"/>
        <v>46601</v>
      </c>
      <c r="N433" t="str">
        <f t="shared" si="48"/>
        <v>insert #t values('20270802')</v>
      </c>
    </row>
    <row r="434" spans="8:14" x14ac:dyDescent="0.2">
      <c r="H434" s="6">
        <f t="shared" si="45"/>
        <v>52593</v>
      </c>
      <c r="I434">
        <v>20431228</v>
      </c>
      <c r="J434" s="1">
        <f t="shared" si="46"/>
        <v>52593</v>
      </c>
      <c r="L434">
        <v>20270906</v>
      </c>
      <c r="M434" s="1">
        <f t="shared" si="47"/>
        <v>46636</v>
      </c>
      <c r="N434" t="str">
        <f t="shared" si="48"/>
        <v>insert #t values('20270906')</v>
      </c>
    </row>
    <row r="435" spans="8:14" x14ac:dyDescent="0.2">
      <c r="H435" s="6">
        <f t="shared" si="45"/>
        <v>52597</v>
      </c>
      <c r="I435">
        <v>20440101</v>
      </c>
      <c r="J435" s="1">
        <f t="shared" si="46"/>
        <v>52597</v>
      </c>
      <c r="L435">
        <v>20271011</v>
      </c>
      <c r="M435" s="1">
        <f t="shared" si="47"/>
        <v>46671</v>
      </c>
      <c r="N435" t="str">
        <f t="shared" si="48"/>
        <v>insert #t values('20271011')</v>
      </c>
    </row>
    <row r="436" spans="8:14" x14ac:dyDescent="0.2">
      <c r="H436" s="6">
        <f t="shared" si="45"/>
        <v>52642</v>
      </c>
      <c r="I436">
        <v>20440215</v>
      </c>
      <c r="J436" s="1">
        <f t="shared" si="46"/>
        <v>52642</v>
      </c>
      <c r="L436">
        <v>20271111</v>
      </c>
      <c r="M436" s="1">
        <f t="shared" si="47"/>
        <v>46702</v>
      </c>
      <c r="N436" t="str">
        <f t="shared" si="48"/>
        <v>insert #t values('20271111')</v>
      </c>
    </row>
    <row r="437" spans="8:14" x14ac:dyDescent="0.2">
      <c r="H437" s="6">
        <f t="shared" si="45"/>
        <v>52702</v>
      </c>
      <c r="I437">
        <v>20440415</v>
      </c>
      <c r="J437" s="1">
        <f t="shared" si="46"/>
        <v>52702</v>
      </c>
      <c r="L437">
        <v>20271227</v>
      </c>
      <c r="M437" s="1">
        <f t="shared" si="47"/>
        <v>46748</v>
      </c>
      <c r="N437" t="str">
        <f t="shared" si="48"/>
        <v>insert #t values('20271227')</v>
      </c>
    </row>
    <row r="438" spans="8:14" x14ac:dyDescent="0.2">
      <c r="H438" s="6">
        <f t="shared" si="45"/>
        <v>52740</v>
      </c>
      <c r="I438">
        <v>20440523</v>
      </c>
      <c r="J438" s="1">
        <f t="shared" si="46"/>
        <v>52740</v>
      </c>
      <c r="L438">
        <v>20271227</v>
      </c>
      <c r="M438" s="1">
        <f t="shared" si="47"/>
        <v>46748</v>
      </c>
      <c r="N438" t="str">
        <f t="shared" si="48"/>
        <v>insert #t values('20271227')</v>
      </c>
    </row>
    <row r="439" spans="8:14" x14ac:dyDescent="0.2">
      <c r="H439" s="6">
        <f t="shared" si="45"/>
        <v>52779</v>
      </c>
      <c r="I439">
        <v>20440701</v>
      </c>
      <c r="J439" s="1">
        <f t="shared" si="46"/>
        <v>52779</v>
      </c>
      <c r="L439">
        <v>20271228</v>
      </c>
      <c r="M439" s="1">
        <f t="shared" si="47"/>
        <v>46749</v>
      </c>
      <c r="N439" t="str">
        <f t="shared" si="48"/>
        <v>insert #t values('20271228')</v>
      </c>
    </row>
    <row r="440" spans="8:14" x14ac:dyDescent="0.2">
      <c r="H440" s="6">
        <f t="shared" si="45"/>
        <v>52810</v>
      </c>
      <c r="I440">
        <v>20440801</v>
      </c>
      <c r="J440" s="1">
        <f t="shared" si="46"/>
        <v>52810</v>
      </c>
      <c r="L440">
        <v>20280103</v>
      </c>
      <c r="M440" s="1">
        <f t="shared" si="47"/>
        <v>46755</v>
      </c>
      <c r="N440" t="str">
        <f t="shared" si="48"/>
        <v>insert #t values('20280103')</v>
      </c>
    </row>
    <row r="441" spans="8:14" x14ac:dyDescent="0.2">
      <c r="H441" s="6">
        <f t="shared" si="45"/>
        <v>52845</v>
      </c>
      <c r="I441">
        <v>20440905</v>
      </c>
      <c r="J441" s="1">
        <f t="shared" si="46"/>
        <v>52845</v>
      </c>
      <c r="L441">
        <v>20280221</v>
      </c>
      <c r="M441" s="1">
        <f t="shared" si="47"/>
        <v>46804</v>
      </c>
      <c r="N441" t="str">
        <f t="shared" si="48"/>
        <v>insert #t values('20280221')</v>
      </c>
    </row>
    <row r="442" spans="8:14" x14ac:dyDescent="0.2">
      <c r="H442" s="6">
        <f t="shared" si="45"/>
        <v>52880</v>
      </c>
      <c r="I442">
        <v>20441010</v>
      </c>
      <c r="J442" s="1">
        <f t="shared" si="46"/>
        <v>52880</v>
      </c>
      <c r="L442">
        <v>20280414</v>
      </c>
      <c r="M442" s="1">
        <f t="shared" si="47"/>
        <v>46857</v>
      </c>
      <c r="N442" t="str">
        <f t="shared" si="48"/>
        <v>insert #t values('20280414')</v>
      </c>
    </row>
    <row r="443" spans="8:14" x14ac:dyDescent="0.2">
      <c r="H443" s="6">
        <f t="shared" si="45"/>
        <v>52912</v>
      </c>
      <c r="I443">
        <v>20441111</v>
      </c>
      <c r="J443" s="1">
        <f t="shared" si="46"/>
        <v>52912</v>
      </c>
      <c r="L443">
        <v>20280522</v>
      </c>
      <c r="M443" s="1">
        <f t="shared" si="47"/>
        <v>46895</v>
      </c>
      <c r="N443" t="str">
        <f t="shared" si="48"/>
        <v>insert #t values('20280522')</v>
      </c>
    </row>
    <row r="444" spans="8:14" x14ac:dyDescent="0.2">
      <c r="H444" s="6">
        <f t="shared" si="45"/>
        <v>52957</v>
      </c>
      <c r="I444">
        <v>20441226</v>
      </c>
      <c r="J444" s="1">
        <f t="shared" si="46"/>
        <v>52957</v>
      </c>
      <c r="L444">
        <v>20280703</v>
      </c>
      <c r="M444" s="1">
        <f t="shared" si="47"/>
        <v>46937</v>
      </c>
      <c r="N444" t="str">
        <f t="shared" si="48"/>
        <v>insert #t values('20280703')</v>
      </c>
    </row>
    <row r="445" spans="8:14" x14ac:dyDescent="0.2">
      <c r="H445" s="6">
        <f t="shared" si="45"/>
        <v>52957</v>
      </c>
      <c r="I445">
        <v>20441226</v>
      </c>
      <c r="J445" s="1">
        <f t="shared" si="46"/>
        <v>52957</v>
      </c>
      <c r="L445">
        <v>20280807</v>
      </c>
      <c r="M445" s="1">
        <f t="shared" si="47"/>
        <v>46972</v>
      </c>
      <c r="N445" t="str">
        <f t="shared" si="48"/>
        <v>insert #t values('20280807')</v>
      </c>
    </row>
    <row r="446" spans="8:14" x14ac:dyDescent="0.2">
      <c r="H446" s="6">
        <f t="shared" si="45"/>
        <v>52957</v>
      </c>
      <c r="I446">
        <v>20441226</v>
      </c>
      <c r="J446" s="1">
        <f t="shared" si="46"/>
        <v>52957</v>
      </c>
      <c r="L446">
        <v>20280904</v>
      </c>
      <c r="M446" s="1">
        <f t="shared" si="47"/>
        <v>47000</v>
      </c>
      <c r="N446" t="str">
        <f t="shared" si="48"/>
        <v>insert #t values('20280904')</v>
      </c>
    </row>
    <row r="447" spans="8:14" x14ac:dyDescent="0.2">
      <c r="H447" s="6">
        <f t="shared" si="45"/>
        <v>52964</v>
      </c>
      <c r="I447">
        <v>20450102</v>
      </c>
      <c r="J447" s="1">
        <f t="shared" si="46"/>
        <v>52964</v>
      </c>
      <c r="L447">
        <v>20281009</v>
      </c>
      <c r="M447" s="1">
        <f t="shared" si="47"/>
        <v>47035</v>
      </c>
      <c r="N447" t="str">
        <f t="shared" si="48"/>
        <v>insert #t values('20281009')</v>
      </c>
    </row>
    <row r="448" spans="8:14" x14ac:dyDescent="0.2">
      <c r="H448" s="6">
        <f t="shared" si="45"/>
        <v>53013</v>
      </c>
      <c r="I448">
        <v>20450220</v>
      </c>
      <c r="J448" s="1">
        <f t="shared" si="46"/>
        <v>53013</v>
      </c>
      <c r="L448">
        <v>20281113</v>
      </c>
      <c r="M448" s="1">
        <f t="shared" si="47"/>
        <v>47070</v>
      </c>
      <c r="N448" t="str">
        <f t="shared" si="48"/>
        <v>insert #t values('20281113')</v>
      </c>
    </row>
    <row r="449" spans="8:14" x14ac:dyDescent="0.2">
      <c r="H449" s="6">
        <f t="shared" si="45"/>
        <v>53059</v>
      </c>
      <c r="I449">
        <v>20450407</v>
      </c>
      <c r="J449" s="1">
        <f t="shared" si="46"/>
        <v>53059</v>
      </c>
      <c r="L449">
        <v>20281225</v>
      </c>
      <c r="M449" s="1">
        <f t="shared" si="47"/>
        <v>47112</v>
      </c>
      <c r="N449" t="str">
        <f t="shared" si="48"/>
        <v>insert #t values('20281225')</v>
      </c>
    </row>
    <row r="450" spans="8:14" x14ac:dyDescent="0.2">
      <c r="H450" s="6">
        <f t="shared" ref="H450:H513" si="49">J450-A450</f>
        <v>53104</v>
      </c>
      <c r="I450">
        <v>20450522</v>
      </c>
      <c r="J450" s="1">
        <f t="shared" ref="J450:J513" si="50">DATE(LEFT(I450,4),MID(I450,5,2),RIGHT(I450,2))</f>
        <v>53104</v>
      </c>
      <c r="L450">
        <v>20281226</v>
      </c>
      <c r="M450" s="1">
        <f t="shared" ref="M450:M513" si="51">DATE(LEFT(L450,4),MID(L450,5,2),RIGHT(L450,2))</f>
        <v>47113</v>
      </c>
      <c r="N450" t="str">
        <f t="shared" ref="N450:N513" si="52">"insert #t values('"&amp;L450 &amp; "')"</f>
        <v>insert #t values('20281226')</v>
      </c>
    </row>
    <row r="451" spans="8:14" x14ac:dyDescent="0.2">
      <c r="H451" s="6">
        <f t="shared" si="49"/>
        <v>53146</v>
      </c>
      <c r="I451">
        <v>20450703</v>
      </c>
      <c r="J451" s="1">
        <f t="shared" si="50"/>
        <v>53146</v>
      </c>
      <c r="L451">
        <v>20281226</v>
      </c>
      <c r="M451" s="1">
        <f t="shared" si="51"/>
        <v>47113</v>
      </c>
      <c r="N451" t="str">
        <f t="shared" si="52"/>
        <v>insert #t values('20281226')</v>
      </c>
    </row>
    <row r="452" spans="8:14" x14ac:dyDescent="0.2">
      <c r="H452" s="6">
        <f t="shared" si="49"/>
        <v>53181</v>
      </c>
      <c r="I452">
        <v>20450807</v>
      </c>
      <c r="J452" s="1">
        <f t="shared" si="50"/>
        <v>53181</v>
      </c>
      <c r="L452">
        <v>20290101</v>
      </c>
      <c r="M452" s="1">
        <f t="shared" si="51"/>
        <v>47119</v>
      </c>
      <c r="N452" t="str">
        <f t="shared" si="52"/>
        <v>insert #t values('20290101')</v>
      </c>
    </row>
    <row r="453" spans="8:14" x14ac:dyDescent="0.2">
      <c r="H453" s="6">
        <f t="shared" si="49"/>
        <v>53209</v>
      </c>
      <c r="I453">
        <v>20450904</v>
      </c>
      <c r="J453" s="1">
        <f t="shared" si="50"/>
        <v>53209</v>
      </c>
      <c r="L453">
        <v>20290219</v>
      </c>
      <c r="M453" s="1">
        <f t="shared" si="51"/>
        <v>47168</v>
      </c>
      <c r="N453" t="str">
        <f t="shared" si="52"/>
        <v>insert #t values('20290219')</v>
      </c>
    </row>
    <row r="454" spans="8:14" x14ac:dyDescent="0.2">
      <c r="H454" s="6">
        <f t="shared" si="49"/>
        <v>53244</v>
      </c>
      <c r="I454">
        <v>20451009</v>
      </c>
      <c r="J454" s="1">
        <f t="shared" si="50"/>
        <v>53244</v>
      </c>
      <c r="L454">
        <v>20290330</v>
      </c>
      <c r="M454" s="1">
        <f t="shared" si="51"/>
        <v>47207</v>
      </c>
      <c r="N454" t="str">
        <f t="shared" si="52"/>
        <v>insert #t values('20290330')</v>
      </c>
    </row>
    <row r="455" spans="8:14" x14ac:dyDescent="0.2">
      <c r="H455" s="6">
        <f t="shared" si="49"/>
        <v>53279</v>
      </c>
      <c r="I455">
        <v>20451113</v>
      </c>
      <c r="J455" s="1">
        <f t="shared" si="50"/>
        <v>53279</v>
      </c>
      <c r="L455">
        <v>20290521</v>
      </c>
      <c r="M455" s="1">
        <f t="shared" si="51"/>
        <v>47259</v>
      </c>
      <c r="N455" t="str">
        <f t="shared" si="52"/>
        <v>insert #t values('20290521')</v>
      </c>
    </row>
    <row r="456" spans="8:14" x14ac:dyDescent="0.2">
      <c r="H456" s="6">
        <f t="shared" si="49"/>
        <v>53321</v>
      </c>
      <c r="I456">
        <v>20451225</v>
      </c>
      <c r="J456" s="1">
        <f t="shared" si="50"/>
        <v>53321</v>
      </c>
      <c r="L456">
        <v>20290702</v>
      </c>
      <c r="M456" s="1">
        <f t="shared" si="51"/>
        <v>47301</v>
      </c>
      <c r="N456" t="str">
        <f t="shared" si="52"/>
        <v>insert #t values('20290702')</v>
      </c>
    </row>
    <row r="457" spans="8:14" x14ac:dyDescent="0.2">
      <c r="H457" s="6">
        <f t="shared" si="49"/>
        <v>53322</v>
      </c>
      <c r="I457">
        <v>20451226</v>
      </c>
      <c r="J457" s="1">
        <f t="shared" si="50"/>
        <v>53322</v>
      </c>
      <c r="L457">
        <v>20290806</v>
      </c>
      <c r="M457" s="1">
        <f t="shared" si="51"/>
        <v>47336</v>
      </c>
      <c r="N457" t="str">
        <f t="shared" si="52"/>
        <v>insert #t values('20290806')</v>
      </c>
    </row>
    <row r="458" spans="8:14" x14ac:dyDescent="0.2">
      <c r="H458" s="6">
        <f t="shared" si="49"/>
        <v>53322</v>
      </c>
      <c r="I458">
        <v>20451226</v>
      </c>
      <c r="J458" s="1">
        <f t="shared" si="50"/>
        <v>53322</v>
      </c>
      <c r="L458">
        <v>20290903</v>
      </c>
      <c r="M458" s="1">
        <f t="shared" si="51"/>
        <v>47364</v>
      </c>
      <c r="N458" t="str">
        <f t="shared" si="52"/>
        <v>insert #t values('20290903')</v>
      </c>
    </row>
    <row r="459" spans="8:14" x14ac:dyDescent="0.2">
      <c r="H459" s="6">
        <f t="shared" si="49"/>
        <v>53328</v>
      </c>
      <c r="I459">
        <v>20460101</v>
      </c>
      <c r="J459" s="1">
        <f t="shared" si="50"/>
        <v>53328</v>
      </c>
      <c r="L459">
        <v>20291008</v>
      </c>
      <c r="M459" s="1">
        <f t="shared" si="51"/>
        <v>47399</v>
      </c>
      <c r="N459" t="str">
        <f t="shared" si="52"/>
        <v>insert #t values('20291008')</v>
      </c>
    </row>
    <row r="460" spans="8:14" x14ac:dyDescent="0.2">
      <c r="H460" s="6">
        <f t="shared" si="49"/>
        <v>53377</v>
      </c>
      <c r="I460">
        <v>20460219</v>
      </c>
      <c r="J460" s="1">
        <f t="shared" si="50"/>
        <v>53377</v>
      </c>
      <c r="L460">
        <v>20291112</v>
      </c>
      <c r="M460" s="1">
        <f t="shared" si="51"/>
        <v>47434</v>
      </c>
      <c r="N460" t="str">
        <f t="shared" si="52"/>
        <v>insert #t values('20291112')</v>
      </c>
    </row>
    <row r="461" spans="8:14" x14ac:dyDescent="0.2">
      <c r="H461" s="6">
        <f t="shared" si="49"/>
        <v>53409</v>
      </c>
      <c r="I461">
        <v>20460323</v>
      </c>
      <c r="J461" s="1">
        <f t="shared" si="50"/>
        <v>53409</v>
      </c>
      <c r="L461">
        <v>20291225</v>
      </c>
      <c r="M461" s="1">
        <f t="shared" si="51"/>
        <v>47477</v>
      </c>
      <c r="N461" t="str">
        <f t="shared" si="52"/>
        <v>insert #t values('20291225')</v>
      </c>
    </row>
    <row r="462" spans="8:14" x14ac:dyDescent="0.2">
      <c r="H462" s="6">
        <f t="shared" si="49"/>
        <v>53468</v>
      </c>
      <c r="I462">
        <v>20460521</v>
      </c>
      <c r="J462" s="1">
        <f t="shared" si="50"/>
        <v>53468</v>
      </c>
      <c r="L462">
        <v>20291226</v>
      </c>
      <c r="M462" s="1">
        <f t="shared" si="51"/>
        <v>47478</v>
      </c>
      <c r="N462" t="str">
        <f t="shared" si="52"/>
        <v>insert #t values('20291226')</v>
      </c>
    </row>
    <row r="463" spans="8:14" x14ac:dyDescent="0.2">
      <c r="H463" s="6">
        <f t="shared" si="49"/>
        <v>53510</v>
      </c>
      <c r="I463">
        <v>20460702</v>
      </c>
      <c r="J463" s="1">
        <f t="shared" si="50"/>
        <v>53510</v>
      </c>
      <c r="L463">
        <v>20291226</v>
      </c>
      <c r="M463" s="1">
        <f t="shared" si="51"/>
        <v>47478</v>
      </c>
      <c r="N463" t="str">
        <f t="shared" si="52"/>
        <v>insert #t values('20291226')</v>
      </c>
    </row>
    <row r="464" spans="8:14" x14ac:dyDescent="0.2">
      <c r="H464" s="6">
        <f t="shared" si="49"/>
        <v>53545</v>
      </c>
      <c r="I464">
        <v>20460806</v>
      </c>
      <c r="J464" s="1">
        <f t="shared" si="50"/>
        <v>53545</v>
      </c>
      <c r="L464">
        <v>20300101</v>
      </c>
      <c r="M464" s="1">
        <f t="shared" si="51"/>
        <v>47484</v>
      </c>
      <c r="N464" t="str">
        <f t="shared" si="52"/>
        <v>insert #t values('20300101')</v>
      </c>
    </row>
    <row r="465" spans="8:14" x14ac:dyDescent="0.2">
      <c r="H465" s="6">
        <f t="shared" si="49"/>
        <v>53573</v>
      </c>
      <c r="I465">
        <v>20460903</v>
      </c>
      <c r="J465" s="1">
        <f t="shared" si="50"/>
        <v>53573</v>
      </c>
      <c r="L465">
        <v>20300218</v>
      </c>
      <c r="M465" s="1">
        <f t="shared" si="51"/>
        <v>47532</v>
      </c>
      <c r="N465" t="str">
        <f t="shared" si="52"/>
        <v>insert #t values('20300218')</v>
      </c>
    </row>
    <row r="466" spans="8:14" x14ac:dyDescent="0.2">
      <c r="H466" s="6">
        <f t="shared" si="49"/>
        <v>53608</v>
      </c>
      <c r="I466">
        <v>20461008</v>
      </c>
      <c r="J466" s="1">
        <f t="shared" si="50"/>
        <v>53608</v>
      </c>
      <c r="L466">
        <v>20300419</v>
      </c>
      <c r="M466" s="1">
        <f t="shared" si="51"/>
        <v>47592</v>
      </c>
      <c r="N466" t="str">
        <f t="shared" si="52"/>
        <v>insert #t values('20300419')</v>
      </c>
    </row>
    <row r="467" spans="8:14" x14ac:dyDescent="0.2">
      <c r="H467" s="6">
        <f t="shared" si="49"/>
        <v>53643</v>
      </c>
      <c r="I467">
        <v>20461112</v>
      </c>
      <c r="J467" s="1">
        <f t="shared" si="50"/>
        <v>53643</v>
      </c>
      <c r="L467">
        <v>20300520</v>
      </c>
      <c r="M467" s="1">
        <f t="shared" si="51"/>
        <v>47623</v>
      </c>
      <c r="N467" t="str">
        <f t="shared" si="52"/>
        <v>insert #t values('20300520')</v>
      </c>
    </row>
    <row r="468" spans="8:14" x14ac:dyDescent="0.2">
      <c r="H468" s="6">
        <f t="shared" si="49"/>
        <v>53686</v>
      </c>
      <c r="I468">
        <v>20461225</v>
      </c>
      <c r="J468" s="1">
        <f t="shared" si="50"/>
        <v>53686</v>
      </c>
      <c r="L468">
        <v>20300701</v>
      </c>
      <c r="M468" s="1">
        <f t="shared" si="51"/>
        <v>47665</v>
      </c>
      <c r="N468" t="str">
        <f t="shared" si="52"/>
        <v>insert #t values('20300701')</v>
      </c>
    </row>
    <row r="469" spans="8:14" x14ac:dyDescent="0.2">
      <c r="H469" s="6">
        <f t="shared" si="49"/>
        <v>53687</v>
      </c>
      <c r="I469">
        <v>20461226</v>
      </c>
      <c r="J469" s="1">
        <f t="shared" si="50"/>
        <v>53687</v>
      </c>
      <c r="L469">
        <v>20300805</v>
      </c>
      <c r="M469" s="1">
        <f t="shared" si="51"/>
        <v>47700</v>
      </c>
      <c r="N469" t="str">
        <f t="shared" si="52"/>
        <v>insert #t values('20300805')</v>
      </c>
    </row>
    <row r="470" spans="8:14" x14ac:dyDescent="0.2">
      <c r="H470" s="6">
        <f t="shared" si="49"/>
        <v>53687</v>
      </c>
      <c r="I470">
        <v>20461226</v>
      </c>
      <c r="J470" s="1">
        <f t="shared" si="50"/>
        <v>53687</v>
      </c>
      <c r="L470">
        <v>20300902</v>
      </c>
      <c r="M470" s="1">
        <f t="shared" si="51"/>
        <v>47728</v>
      </c>
      <c r="N470" t="str">
        <f t="shared" si="52"/>
        <v>insert #t values('20300902')</v>
      </c>
    </row>
    <row r="471" spans="8:14" x14ac:dyDescent="0.2">
      <c r="H471" s="6">
        <f t="shared" si="49"/>
        <v>53693</v>
      </c>
      <c r="I471">
        <v>20470101</v>
      </c>
      <c r="J471" s="1">
        <f t="shared" si="50"/>
        <v>53693</v>
      </c>
      <c r="L471">
        <v>20301014</v>
      </c>
      <c r="M471" s="1">
        <f t="shared" si="51"/>
        <v>47770</v>
      </c>
      <c r="N471" t="str">
        <f t="shared" si="52"/>
        <v>insert #t values('20301014')</v>
      </c>
    </row>
    <row r="472" spans="8:14" x14ac:dyDescent="0.2">
      <c r="H472" s="6">
        <f t="shared" si="49"/>
        <v>53741</v>
      </c>
      <c r="I472">
        <v>20470218</v>
      </c>
      <c r="J472" s="1">
        <f t="shared" si="50"/>
        <v>53741</v>
      </c>
      <c r="L472">
        <v>20301111</v>
      </c>
      <c r="M472" s="1">
        <f t="shared" si="51"/>
        <v>47798</v>
      </c>
      <c r="N472" t="str">
        <f t="shared" si="52"/>
        <v>insert #t values('20301111')</v>
      </c>
    </row>
    <row r="473" spans="8:14" x14ac:dyDescent="0.2">
      <c r="H473" s="6">
        <f t="shared" si="49"/>
        <v>53794</v>
      </c>
      <c r="I473">
        <v>20470412</v>
      </c>
      <c r="J473" s="1">
        <f t="shared" si="50"/>
        <v>53794</v>
      </c>
      <c r="L473">
        <v>20301225</v>
      </c>
      <c r="M473" s="1">
        <f t="shared" si="51"/>
        <v>47842</v>
      </c>
      <c r="N473" t="str">
        <f t="shared" si="52"/>
        <v>insert #t values('20301225')</v>
      </c>
    </row>
    <row r="474" spans="8:14" x14ac:dyDescent="0.2">
      <c r="H474" s="6">
        <f t="shared" si="49"/>
        <v>53832</v>
      </c>
      <c r="I474">
        <v>20470520</v>
      </c>
      <c r="J474" s="1">
        <f t="shared" si="50"/>
        <v>53832</v>
      </c>
      <c r="L474">
        <v>20301226</v>
      </c>
      <c r="M474" s="1">
        <f t="shared" si="51"/>
        <v>47843</v>
      </c>
      <c r="N474" t="str">
        <f t="shared" si="52"/>
        <v>insert #t values('20301226')</v>
      </c>
    </row>
    <row r="475" spans="8:14" x14ac:dyDescent="0.2">
      <c r="H475" s="6">
        <f t="shared" si="49"/>
        <v>53874</v>
      </c>
      <c r="I475">
        <v>20470701</v>
      </c>
      <c r="J475" s="1">
        <f t="shared" si="50"/>
        <v>53874</v>
      </c>
      <c r="L475">
        <v>20301226</v>
      </c>
      <c r="M475" s="1">
        <f t="shared" si="51"/>
        <v>47843</v>
      </c>
      <c r="N475" t="str">
        <f t="shared" si="52"/>
        <v>insert #t values('20301226')</v>
      </c>
    </row>
    <row r="476" spans="8:14" x14ac:dyDescent="0.2">
      <c r="H476" s="6">
        <f t="shared" si="49"/>
        <v>53909</v>
      </c>
      <c r="I476">
        <v>20470805</v>
      </c>
      <c r="J476" s="1">
        <f t="shared" si="50"/>
        <v>53909</v>
      </c>
      <c r="L476">
        <v>20310101</v>
      </c>
      <c r="M476" s="1">
        <f t="shared" si="51"/>
        <v>47849</v>
      </c>
      <c r="N476" t="str">
        <f t="shared" si="52"/>
        <v>insert #t values('20310101')</v>
      </c>
    </row>
    <row r="477" spans="8:14" x14ac:dyDescent="0.2">
      <c r="H477" s="6">
        <f t="shared" si="49"/>
        <v>53937</v>
      </c>
      <c r="I477">
        <v>20470902</v>
      </c>
      <c r="J477" s="1">
        <f t="shared" si="50"/>
        <v>53937</v>
      </c>
      <c r="L477">
        <v>20310217</v>
      </c>
      <c r="M477" s="1">
        <f t="shared" si="51"/>
        <v>47896</v>
      </c>
      <c r="N477" t="str">
        <f t="shared" si="52"/>
        <v>insert #t values('20310217')</v>
      </c>
    </row>
    <row r="478" spans="8:14" x14ac:dyDescent="0.2">
      <c r="H478" s="6">
        <f t="shared" si="49"/>
        <v>53979</v>
      </c>
      <c r="I478">
        <v>20471014</v>
      </c>
      <c r="J478" s="1">
        <f t="shared" si="50"/>
        <v>53979</v>
      </c>
      <c r="L478">
        <v>20310411</v>
      </c>
      <c r="M478" s="1">
        <f t="shared" si="51"/>
        <v>47949</v>
      </c>
      <c r="N478" t="str">
        <f t="shared" si="52"/>
        <v>insert #t values('20310411')</v>
      </c>
    </row>
    <row r="479" spans="8:14" x14ac:dyDescent="0.2">
      <c r="H479" s="6">
        <f t="shared" si="49"/>
        <v>54007</v>
      </c>
      <c r="I479">
        <v>20471111</v>
      </c>
      <c r="J479" s="1">
        <f t="shared" si="50"/>
        <v>54007</v>
      </c>
      <c r="L479">
        <v>20310519</v>
      </c>
      <c r="M479" s="1">
        <f t="shared" si="51"/>
        <v>47987</v>
      </c>
      <c r="N479" t="str">
        <f t="shared" si="52"/>
        <v>insert #t values('20310519')</v>
      </c>
    </row>
    <row r="480" spans="8:14" x14ac:dyDescent="0.2">
      <c r="H480" s="6">
        <f t="shared" si="49"/>
        <v>54051</v>
      </c>
      <c r="I480">
        <v>20471225</v>
      </c>
      <c r="J480" s="1">
        <f t="shared" si="50"/>
        <v>54051</v>
      </c>
      <c r="L480">
        <v>20310701</v>
      </c>
      <c r="M480" s="1">
        <f t="shared" si="51"/>
        <v>48030</v>
      </c>
      <c r="N480" t="str">
        <f t="shared" si="52"/>
        <v>insert #t values('20310701')</v>
      </c>
    </row>
    <row r="481" spans="8:14" x14ac:dyDescent="0.2">
      <c r="H481" s="6">
        <f t="shared" si="49"/>
        <v>54052</v>
      </c>
      <c r="I481">
        <v>20471226</v>
      </c>
      <c r="J481" s="1">
        <f t="shared" si="50"/>
        <v>54052</v>
      </c>
      <c r="L481">
        <v>20310804</v>
      </c>
      <c r="M481" s="1">
        <f t="shared" si="51"/>
        <v>48064</v>
      </c>
      <c r="N481" t="str">
        <f t="shared" si="52"/>
        <v>insert #t values('20310804')</v>
      </c>
    </row>
    <row r="482" spans="8:14" x14ac:dyDescent="0.2">
      <c r="H482" s="6">
        <f t="shared" si="49"/>
        <v>54052</v>
      </c>
      <c r="I482">
        <v>20471226</v>
      </c>
      <c r="J482" s="1">
        <f t="shared" si="50"/>
        <v>54052</v>
      </c>
      <c r="L482">
        <v>20310901</v>
      </c>
      <c r="M482" s="1">
        <f t="shared" si="51"/>
        <v>48092</v>
      </c>
      <c r="N482" t="str">
        <f t="shared" si="52"/>
        <v>insert #t values('20310901')</v>
      </c>
    </row>
    <row r="483" spans="8:14" x14ac:dyDescent="0.2">
      <c r="H483" s="6">
        <f t="shared" si="49"/>
        <v>54058</v>
      </c>
      <c r="I483">
        <v>20480101</v>
      </c>
      <c r="J483" s="1">
        <f t="shared" si="50"/>
        <v>54058</v>
      </c>
      <c r="L483">
        <v>20311013</v>
      </c>
      <c r="M483" s="1">
        <f t="shared" si="51"/>
        <v>48134</v>
      </c>
      <c r="N483" t="str">
        <f t="shared" si="52"/>
        <v>insert #t values('20311013')</v>
      </c>
    </row>
    <row r="484" spans="8:14" x14ac:dyDescent="0.2">
      <c r="H484" s="6">
        <f t="shared" si="49"/>
        <v>54105</v>
      </c>
      <c r="I484">
        <v>20480217</v>
      </c>
      <c r="J484" s="1">
        <f t="shared" si="50"/>
        <v>54105</v>
      </c>
      <c r="L484">
        <v>20311111</v>
      </c>
      <c r="M484" s="1">
        <f t="shared" si="51"/>
        <v>48163</v>
      </c>
      <c r="N484" t="str">
        <f t="shared" si="52"/>
        <v>insert #t values('20311111')</v>
      </c>
    </row>
    <row r="485" spans="8:14" x14ac:dyDescent="0.2">
      <c r="H485" s="6">
        <f t="shared" si="49"/>
        <v>54151</v>
      </c>
      <c r="I485">
        <v>20480403</v>
      </c>
      <c r="J485" s="1">
        <f t="shared" si="50"/>
        <v>54151</v>
      </c>
      <c r="L485">
        <v>20311225</v>
      </c>
      <c r="M485" s="1">
        <f t="shared" si="51"/>
        <v>48207</v>
      </c>
      <c r="N485" t="str">
        <f t="shared" si="52"/>
        <v>insert #t values('20311225')</v>
      </c>
    </row>
    <row r="486" spans="8:14" x14ac:dyDescent="0.2">
      <c r="H486" s="6">
        <f t="shared" si="49"/>
        <v>54196</v>
      </c>
      <c r="I486">
        <v>20480518</v>
      </c>
      <c r="J486" s="1">
        <f t="shared" si="50"/>
        <v>54196</v>
      </c>
      <c r="L486">
        <v>20311226</v>
      </c>
      <c r="M486" s="1">
        <f t="shared" si="51"/>
        <v>48208</v>
      </c>
      <c r="N486" t="str">
        <f t="shared" si="52"/>
        <v>insert #t values('20311226')</v>
      </c>
    </row>
    <row r="487" spans="8:14" x14ac:dyDescent="0.2">
      <c r="H487" s="6">
        <f t="shared" si="49"/>
        <v>54240</v>
      </c>
      <c r="I487">
        <v>20480701</v>
      </c>
      <c r="J487" s="1">
        <f t="shared" si="50"/>
        <v>54240</v>
      </c>
      <c r="L487">
        <v>20311226</v>
      </c>
      <c r="M487" s="1">
        <f t="shared" si="51"/>
        <v>48208</v>
      </c>
      <c r="N487" t="str">
        <f t="shared" si="52"/>
        <v>insert #t values('20311226')</v>
      </c>
    </row>
    <row r="488" spans="8:14" x14ac:dyDescent="0.2">
      <c r="H488" s="6">
        <f t="shared" si="49"/>
        <v>54273</v>
      </c>
      <c r="I488">
        <v>20480803</v>
      </c>
      <c r="J488" s="1">
        <f t="shared" si="50"/>
        <v>54273</v>
      </c>
      <c r="L488">
        <v>20320101</v>
      </c>
      <c r="M488" s="1">
        <f t="shared" si="51"/>
        <v>48214</v>
      </c>
      <c r="N488" t="str">
        <f t="shared" si="52"/>
        <v>insert #t values('20320101')</v>
      </c>
    </row>
    <row r="489" spans="8:14" x14ac:dyDescent="0.2">
      <c r="H489" s="6">
        <f t="shared" si="49"/>
        <v>54308</v>
      </c>
      <c r="I489">
        <v>20480907</v>
      </c>
      <c r="J489" s="1">
        <f t="shared" si="50"/>
        <v>54308</v>
      </c>
      <c r="L489">
        <v>20320216</v>
      </c>
      <c r="M489" s="1">
        <f t="shared" si="51"/>
        <v>48260</v>
      </c>
      <c r="N489" t="str">
        <f t="shared" si="52"/>
        <v>insert #t values('20320216')</v>
      </c>
    </row>
    <row r="490" spans="8:14" x14ac:dyDescent="0.2">
      <c r="H490" s="6">
        <f t="shared" si="49"/>
        <v>54343</v>
      </c>
      <c r="I490">
        <v>20481012</v>
      </c>
      <c r="J490" s="1">
        <f t="shared" si="50"/>
        <v>54343</v>
      </c>
      <c r="L490">
        <v>20320326</v>
      </c>
      <c r="M490" s="1">
        <f t="shared" si="51"/>
        <v>48299</v>
      </c>
      <c r="N490" t="str">
        <f t="shared" si="52"/>
        <v>insert #t values('20320326')</v>
      </c>
    </row>
    <row r="491" spans="8:14" x14ac:dyDescent="0.2">
      <c r="H491" s="6">
        <f t="shared" si="49"/>
        <v>54373</v>
      </c>
      <c r="I491">
        <v>20481111</v>
      </c>
      <c r="J491" s="1">
        <f t="shared" si="50"/>
        <v>54373</v>
      </c>
      <c r="L491">
        <v>20320524</v>
      </c>
      <c r="M491" s="1">
        <f t="shared" si="51"/>
        <v>48358</v>
      </c>
      <c r="N491" t="str">
        <f t="shared" si="52"/>
        <v>insert #t values('20320524')</v>
      </c>
    </row>
    <row r="492" spans="8:14" x14ac:dyDescent="0.2">
      <c r="H492" s="6">
        <f t="shared" si="49"/>
        <v>54417</v>
      </c>
      <c r="I492">
        <v>20481225</v>
      </c>
      <c r="J492" s="1">
        <f t="shared" si="50"/>
        <v>54417</v>
      </c>
      <c r="L492">
        <v>20320701</v>
      </c>
      <c r="M492" s="1">
        <f t="shared" si="51"/>
        <v>48396</v>
      </c>
      <c r="N492" t="str">
        <f t="shared" si="52"/>
        <v>insert #t values('20320701')</v>
      </c>
    </row>
    <row r="493" spans="8:14" x14ac:dyDescent="0.2">
      <c r="H493" s="6">
        <f t="shared" si="49"/>
        <v>54420</v>
      </c>
      <c r="I493">
        <v>20481228</v>
      </c>
      <c r="J493" s="1">
        <f t="shared" si="50"/>
        <v>54420</v>
      </c>
      <c r="L493">
        <v>20320802</v>
      </c>
      <c r="M493" s="1">
        <f t="shared" si="51"/>
        <v>48428</v>
      </c>
      <c r="N493" t="str">
        <f t="shared" si="52"/>
        <v>insert #t values('20320802')</v>
      </c>
    </row>
    <row r="494" spans="8:14" x14ac:dyDescent="0.2">
      <c r="H494" s="6">
        <f t="shared" si="49"/>
        <v>54420</v>
      </c>
      <c r="I494">
        <v>20481228</v>
      </c>
      <c r="J494" s="1">
        <f t="shared" si="50"/>
        <v>54420</v>
      </c>
      <c r="L494">
        <v>20320906</v>
      </c>
      <c r="M494" s="1">
        <f t="shared" si="51"/>
        <v>48463</v>
      </c>
      <c r="N494" t="str">
        <f t="shared" si="52"/>
        <v>insert #t values('20320906')</v>
      </c>
    </row>
    <row r="495" spans="8:14" x14ac:dyDescent="0.2">
      <c r="H495" s="6">
        <f t="shared" si="49"/>
        <v>54424</v>
      </c>
      <c r="I495">
        <v>20490101</v>
      </c>
      <c r="J495" s="1">
        <f t="shared" si="50"/>
        <v>54424</v>
      </c>
      <c r="L495">
        <v>20321011</v>
      </c>
      <c r="M495" s="1">
        <f t="shared" si="51"/>
        <v>48498</v>
      </c>
      <c r="N495" t="str">
        <f t="shared" si="52"/>
        <v>insert #t values('20321011')</v>
      </c>
    </row>
    <row r="496" spans="8:14" x14ac:dyDescent="0.2">
      <c r="H496" s="6">
        <f t="shared" si="49"/>
        <v>54469</v>
      </c>
      <c r="I496">
        <v>20490215</v>
      </c>
      <c r="J496" s="1">
        <f t="shared" si="50"/>
        <v>54469</v>
      </c>
      <c r="L496">
        <v>20321111</v>
      </c>
      <c r="M496" s="1">
        <f t="shared" si="51"/>
        <v>48529</v>
      </c>
      <c r="N496" t="str">
        <f t="shared" si="52"/>
        <v>insert #t values('20321111')</v>
      </c>
    </row>
    <row r="497" spans="8:14" x14ac:dyDescent="0.2">
      <c r="H497" s="6">
        <f t="shared" si="49"/>
        <v>54529</v>
      </c>
      <c r="I497">
        <v>20490416</v>
      </c>
      <c r="J497" s="1">
        <f t="shared" si="50"/>
        <v>54529</v>
      </c>
      <c r="L497">
        <v>20321227</v>
      </c>
      <c r="M497" s="1">
        <f t="shared" si="51"/>
        <v>48575</v>
      </c>
      <c r="N497" t="str">
        <f t="shared" si="52"/>
        <v>insert #t values('20321227')</v>
      </c>
    </row>
    <row r="498" spans="8:14" x14ac:dyDescent="0.2">
      <c r="H498" s="6">
        <f t="shared" si="49"/>
        <v>54567</v>
      </c>
      <c r="I498">
        <v>20490524</v>
      </c>
      <c r="J498" s="1">
        <f t="shared" si="50"/>
        <v>54567</v>
      </c>
      <c r="L498">
        <v>20321227</v>
      </c>
      <c r="M498" s="1">
        <f t="shared" si="51"/>
        <v>48575</v>
      </c>
      <c r="N498" t="str">
        <f t="shared" si="52"/>
        <v>insert #t values('20321227')</v>
      </c>
    </row>
    <row r="499" spans="8:14" x14ac:dyDescent="0.2">
      <c r="H499" s="6">
        <f t="shared" si="49"/>
        <v>54605</v>
      </c>
      <c r="I499">
        <v>20490701</v>
      </c>
      <c r="J499" s="1">
        <f t="shared" si="50"/>
        <v>54605</v>
      </c>
      <c r="L499">
        <v>20321228</v>
      </c>
      <c r="M499" s="1">
        <f t="shared" si="51"/>
        <v>48576</v>
      </c>
      <c r="N499" t="str">
        <f t="shared" si="52"/>
        <v>insert #t values('20321228')</v>
      </c>
    </row>
    <row r="500" spans="8:14" x14ac:dyDescent="0.2">
      <c r="H500" s="6">
        <f t="shared" si="49"/>
        <v>54637</v>
      </c>
      <c r="I500">
        <v>20490802</v>
      </c>
      <c r="J500" s="1">
        <f t="shared" si="50"/>
        <v>54637</v>
      </c>
      <c r="L500">
        <v>20330103</v>
      </c>
      <c r="M500" s="1">
        <f t="shared" si="51"/>
        <v>48582</v>
      </c>
      <c r="N500" t="str">
        <f t="shared" si="52"/>
        <v>insert #t values('20330103')</v>
      </c>
    </row>
    <row r="501" spans="8:14" x14ac:dyDescent="0.2">
      <c r="H501" s="6">
        <f t="shared" si="49"/>
        <v>54672</v>
      </c>
      <c r="I501">
        <v>20490906</v>
      </c>
      <c r="J501" s="1">
        <f t="shared" si="50"/>
        <v>54672</v>
      </c>
      <c r="L501">
        <v>20330221</v>
      </c>
      <c r="M501" s="1">
        <f t="shared" si="51"/>
        <v>48631</v>
      </c>
      <c r="N501" t="str">
        <f t="shared" si="52"/>
        <v>insert #t values('20330221')</v>
      </c>
    </row>
    <row r="502" spans="8:14" x14ac:dyDescent="0.2">
      <c r="H502" s="6">
        <f t="shared" si="49"/>
        <v>54707</v>
      </c>
      <c r="I502">
        <v>20491011</v>
      </c>
      <c r="J502" s="1">
        <f t="shared" si="50"/>
        <v>54707</v>
      </c>
      <c r="L502">
        <v>20330415</v>
      </c>
      <c r="M502" s="1">
        <f t="shared" si="51"/>
        <v>48684</v>
      </c>
      <c r="N502" t="str">
        <f t="shared" si="52"/>
        <v>insert #t values('20330415')</v>
      </c>
    </row>
    <row r="503" spans="8:14" x14ac:dyDescent="0.2">
      <c r="H503" s="6">
        <f t="shared" si="49"/>
        <v>54738</v>
      </c>
      <c r="I503">
        <v>20491111</v>
      </c>
      <c r="J503" s="1">
        <f t="shared" si="50"/>
        <v>54738</v>
      </c>
      <c r="L503">
        <v>20330523</v>
      </c>
      <c r="M503" s="1">
        <f t="shared" si="51"/>
        <v>48722</v>
      </c>
      <c r="N503" t="str">
        <f t="shared" si="52"/>
        <v>insert #t values('20330523')</v>
      </c>
    </row>
    <row r="504" spans="8:14" x14ac:dyDescent="0.2">
      <c r="H504" s="6">
        <f t="shared" si="49"/>
        <v>54784</v>
      </c>
      <c r="I504">
        <v>20491227</v>
      </c>
      <c r="J504" s="1">
        <f t="shared" si="50"/>
        <v>54784</v>
      </c>
      <c r="L504">
        <v>20330701</v>
      </c>
      <c r="M504" s="1">
        <f t="shared" si="51"/>
        <v>48761</v>
      </c>
      <c r="N504" t="str">
        <f t="shared" si="52"/>
        <v>insert #t values('20330701')</v>
      </c>
    </row>
    <row r="505" spans="8:14" x14ac:dyDescent="0.2">
      <c r="H505" s="6">
        <f t="shared" si="49"/>
        <v>54784</v>
      </c>
      <c r="I505">
        <v>20491227</v>
      </c>
      <c r="J505" s="1">
        <f t="shared" si="50"/>
        <v>54784</v>
      </c>
      <c r="L505">
        <v>20330801</v>
      </c>
      <c r="M505" s="1">
        <f t="shared" si="51"/>
        <v>48792</v>
      </c>
      <c r="N505" t="str">
        <f t="shared" si="52"/>
        <v>insert #t values('20330801')</v>
      </c>
    </row>
    <row r="506" spans="8:14" x14ac:dyDescent="0.2">
      <c r="H506" s="6">
        <f t="shared" si="49"/>
        <v>54785</v>
      </c>
      <c r="I506">
        <v>20491228</v>
      </c>
      <c r="J506" s="1">
        <f t="shared" si="50"/>
        <v>54785</v>
      </c>
      <c r="L506">
        <v>20330905</v>
      </c>
      <c r="M506" s="1">
        <f t="shared" si="51"/>
        <v>48827</v>
      </c>
      <c r="N506" t="str">
        <f t="shared" si="52"/>
        <v>insert #t values('20330905')</v>
      </c>
    </row>
    <row r="507" spans="8:14" x14ac:dyDescent="0.2">
      <c r="H507" s="6">
        <f t="shared" si="49"/>
        <v>54791</v>
      </c>
      <c r="I507">
        <v>20500103</v>
      </c>
      <c r="J507" s="1">
        <f t="shared" si="50"/>
        <v>54791</v>
      </c>
      <c r="L507">
        <v>20331010</v>
      </c>
      <c r="M507" s="1">
        <f t="shared" si="51"/>
        <v>48862</v>
      </c>
      <c r="N507" t="str">
        <f t="shared" si="52"/>
        <v>insert #t values('20331010')</v>
      </c>
    </row>
    <row r="508" spans="8:14" x14ac:dyDescent="0.2">
      <c r="H508" s="6">
        <f t="shared" si="49"/>
        <v>54840</v>
      </c>
      <c r="I508">
        <v>20500221</v>
      </c>
      <c r="J508" s="1">
        <f t="shared" si="50"/>
        <v>54840</v>
      </c>
      <c r="L508">
        <v>20331111</v>
      </c>
      <c r="M508" s="1">
        <f t="shared" si="51"/>
        <v>48894</v>
      </c>
      <c r="N508" t="str">
        <f t="shared" si="52"/>
        <v>insert #t values('20331111')</v>
      </c>
    </row>
    <row r="509" spans="8:14" x14ac:dyDescent="0.2">
      <c r="H509" s="6">
        <f t="shared" si="49"/>
        <v>54886</v>
      </c>
      <c r="I509">
        <v>20500408</v>
      </c>
      <c r="J509" s="1">
        <f t="shared" si="50"/>
        <v>54886</v>
      </c>
      <c r="L509">
        <v>20331226</v>
      </c>
      <c r="M509" s="1">
        <f t="shared" si="51"/>
        <v>48939</v>
      </c>
      <c r="N509" t="str">
        <f t="shared" si="52"/>
        <v>insert #t values('20331226')</v>
      </c>
    </row>
    <row r="510" spans="8:14" x14ac:dyDescent="0.2">
      <c r="H510" s="6">
        <f t="shared" si="49"/>
        <v>54931</v>
      </c>
      <c r="I510">
        <v>20500523</v>
      </c>
      <c r="J510" s="1">
        <f t="shared" si="50"/>
        <v>54931</v>
      </c>
      <c r="L510">
        <v>20331226</v>
      </c>
      <c r="M510" s="1">
        <f t="shared" si="51"/>
        <v>48939</v>
      </c>
      <c r="N510" t="str">
        <f t="shared" si="52"/>
        <v>insert #t values('20331226')</v>
      </c>
    </row>
    <row r="511" spans="8:14" x14ac:dyDescent="0.2">
      <c r="H511" s="6">
        <f t="shared" si="49"/>
        <v>54970</v>
      </c>
      <c r="I511">
        <v>20500701</v>
      </c>
      <c r="J511" s="1">
        <f t="shared" si="50"/>
        <v>54970</v>
      </c>
      <c r="L511">
        <v>20331226</v>
      </c>
      <c r="M511" s="1">
        <f t="shared" si="51"/>
        <v>48939</v>
      </c>
      <c r="N511" t="str">
        <f t="shared" si="52"/>
        <v>insert #t values('20331226')</v>
      </c>
    </row>
    <row r="512" spans="8:14" x14ac:dyDescent="0.2">
      <c r="H512" s="6">
        <f t="shared" si="49"/>
        <v>55001</v>
      </c>
      <c r="I512">
        <v>20500801</v>
      </c>
      <c r="J512" s="1">
        <f t="shared" si="50"/>
        <v>55001</v>
      </c>
      <c r="L512">
        <v>20340102</v>
      </c>
      <c r="M512" s="1">
        <f t="shared" si="51"/>
        <v>48946</v>
      </c>
      <c r="N512" t="str">
        <f t="shared" si="52"/>
        <v>insert #t values('20340102')</v>
      </c>
    </row>
    <row r="513" spans="8:14" x14ac:dyDescent="0.2">
      <c r="H513" s="6">
        <f t="shared" si="49"/>
        <v>55036</v>
      </c>
      <c r="I513">
        <v>20500905</v>
      </c>
      <c r="J513" s="1">
        <f t="shared" si="50"/>
        <v>55036</v>
      </c>
      <c r="L513">
        <v>20340220</v>
      </c>
      <c r="M513" s="1">
        <f t="shared" si="51"/>
        <v>48995</v>
      </c>
      <c r="N513" t="str">
        <f t="shared" si="52"/>
        <v>insert #t values('20340220')</v>
      </c>
    </row>
    <row r="514" spans="8:14" x14ac:dyDescent="0.2">
      <c r="H514" s="6">
        <f t="shared" ref="H514:H577" si="53">J514-A514</f>
        <v>55071</v>
      </c>
      <c r="I514">
        <v>20501010</v>
      </c>
      <c r="J514" s="1">
        <f t="shared" ref="J514:J577" si="54">DATE(LEFT(I514,4),MID(I514,5,2),RIGHT(I514,2))</f>
        <v>55071</v>
      </c>
      <c r="L514">
        <v>20340407</v>
      </c>
      <c r="M514" s="1">
        <f t="shared" ref="M514:M577" si="55">DATE(LEFT(L514,4),MID(L514,5,2),RIGHT(L514,2))</f>
        <v>49041</v>
      </c>
      <c r="N514" t="str">
        <f t="shared" ref="N514:N577" si="56">"insert #t values('"&amp;L514 &amp; "')"</f>
        <v>insert #t values('20340407')</v>
      </c>
    </row>
    <row r="515" spans="8:14" x14ac:dyDescent="0.2">
      <c r="H515" s="6">
        <f t="shared" si="53"/>
        <v>55103</v>
      </c>
      <c r="I515">
        <v>20501111</v>
      </c>
      <c r="J515" s="1">
        <f t="shared" si="54"/>
        <v>55103</v>
      </c>
      <c r="L515">
        <v>20340522</v>
      </c>
      <c r="M515" s="1">
        <f t="shared" si="55"/>
        <v>49086</v>
      </c>
      <c r="N515" t="str">
        <f t="shared" si="56"/>
        <v>insert #t values('20340522')</v>
      </c>
    </row>
    <row r="516" spans="8:14" x14ac:dyDescent="0.2">
      <c r="H516" s="6">
        <f t="shared" si="53"/>
        <v>55148</v>
      </c>
      <c r="I516">
        <v>20501226</v>
      </c>
      <c r="J516" s="1">
        <f t="shared" si="54"/>
        <v>55148</v>
      </c>
      <c r="L516">
        <v>20340703</v>
      </c>
      <c r="M516" s="1">
        <f t="shared" si="55"/>
        <v>49128</v>
      </c>
      <c r="N516" t="str">
        <f t="shared" si="56"/>
        <v>insert #t values('20340703')</v>
      </c>
    </row>
    <row r="517" spans="8:14" x14ac:dyDescent="0.2">
      <c r="H517" s="6">
        <f t="shared" si="53"/>
        <v>55148</v>
      </c>
      <c r="I517">
        <v>20501226</v>
      </c>
      <c r="J517" s="1">
        <f t="shared" si="54"/>
        <v>55148</v>
      </c>
      <c r="L517">
        <v>20340807</v>
      </c>
      <c r="M517" s="1">
        <f t="shared" si="55"/>
        <v>49163</v>
      </c>
      <c r="N517" t="str">
        <f t="shared" si="56"/>
        <v>insert #t values('20340807')</v>
      </c>
    </row>
    <row r="518" spans="8:14" x14ac:dyDescent="0.2">
      <c r="H518" s="6">
        <f t="shared" si="53"/>
        <v>55148</v>
      </c>
      <c r="I518">
        <v>20501226</v>
      </c>
      <c r="J518" s="1">
        <f t="shared" si="54"/>
        <v>55148</v>
      </c>
      <c r="L518">
        <v>20340904</v>
      </c>
      <c r="M518" s="1">
        <f t="shared" si="55"/>
        <v>49191</v>
      </c>
      <c r="N518" t="str">
        <f t="shared" si="56"/>
        <v>insert #t values('20340904')</v>
      </c>
    </row>
    <row r="519" spans="8:14" x14ac:dyDescent="0.2">
      <c r="H519" s="6">
        <f t="shared" si="53"/>
        <v>55155</v>
      </c>
      <c r="I519">
        <v>20510102</v>
      </c>
      <c r="J519" s="1">
        <f t="shared" si="54"/>
        <v>55155</v>
      </c>
      <c r="L519">
        <v>20341009</v>
      </c>
      <c r="M519" s="1">
        <f t="shared" si="55"/>
        <v>49226</v>
      </c>
      <c r="N519" t="str">
        <f t="shared" si="56"/>
        <v>insert #t values('20341009')</v>
      </c>
    </row>
    <row r="520" spans="8:14" x14ac:dyDescent="0.2">
      <c r="H520" s="6">
        <f t="shared" si="53"/>
        <v>55204</v>
      </c>
      <c r="I520">
        <v>20510220</v>
      </c>
      <c r="J520" s="1">
        <f t="shared" si="54"/>
        <v>55204</v>
      </c>
      <c r="L520">
        <v>20341113</v>
      </c>
      <c r="M520" s="1">
        <f t="shared" si="55"/>
        <v>49261</v>
      </c>
      <c r="N520" t="str">
        <f t="shared" si="56"/>
        <v>insert #t values('20341113')</v>
      </c>
    </row>
    <row r="521" spans="8:14" x14ac:dyDescent="0.2">
      <c r="H521" s="6">
        <f t="shared" si="53"/>
        <v>55243</v>
      </c>
      <c r="I521">
        <v>20510331</v>
      </c>
      <c r="J521" s="1">
        <f t="shared" si="54"/>
        <v>55243</v>
      </c>
      <c r="L521">
        <v>20341225</v>
      </c>
      <c r="M521" s="1">
        <f t="shared" si="55"/>
        <v>49303</v>
      </c>
      <c r="N521" t="str">
        <f t="shared" si="56"/>
        <v>insert #t values('20341225')</v>
      </c>
    </row>
    <row r="522" spans="8:14" x14ac:dyDescent="0.2">
      <c r="H522" s="6">
        <f t="shared" si="53"/>
        <v>55295</v>
      </c>
      <c r="I522">
        <v>20510522</v>
      </c>
      <c r="J522" s="1">
        <f t="shared" si="54"/>
        <v>55295</v>
      </c>
      <c r="L522">
        <v>20341226</v>
      </c>
      <c r="M522" s="1">
        <f t="shared" si="55"/>
        <v>49304</v>
      </c>
      <c r="N522" t="str">
        <f t="shared" si="56"/>
        <v>insert #t values('20341226')</v>
      </c>
    </row>
    <row r="523" spans="8:14" x14ac:dyDescent="0.2">
      <c r="H523" s="6">
        <f t="shared" si="53"/>
        <v>55337</v>
      </c>
      <c r="I523">
        <v>20510703</v>
      </c>
      <c r="J523" s="1">
        <f t="shared" si="54"/>
        <v>55337</v>
      </c>
      <c r="L523">
        <v>20341226</v>
      </c>
      <c r="M523" s="1">
        <f t="shared" si="55"/>
        <v>49304</v>
      </c>
      <c r="N523" t="str">
        <f t="shared" si="56"/>
        <v>insert #t values('20341226')</v>
      </c>
    </row>
    <row r="524" spans="8:14" x14ac:dyDescent="0.2">
      <c r="H524" s="6">
        <f t="shared" si="53"/>
        <v>55372</v>
      </c>
      <c r="I524">
        <v>20510807</v>
      </c>
      <c r="J524" s="1">
        <f t="shared" si="54"/>
        <v>55372</v>
      </c>
      <c r="L524">
        <v>20350101</v>
      </c>
      <c r="M524" s="1">
        <f t="shared" si="55"/>
        <v>49310</v>
      </c>
      <c r="N524" t="str">
        <f t="shared" si="56"/>
        <v>insert #t values('20350101')</v>
      </c>
    </row>
    <row r="525" spans="8:14" x14ac:dyDescent="0.2">
      <c r="H525" s="6">
        <f t="shared" si="53"/>
        <v>55400</v>
      </c>
      <c r="I525">
        <v>20510904</v>
      </c>
      <c r="J525" s="1">
        <f t="shared" si="54"/>
        <v>55400</v>
      </c>
      <c r="L525">
        <v>20350219</v>
      </c>
      <c r="M525" s="1">
        <f t="shared" si="55"/>
        <v>49359</v>
      </c>
      <c r="N525" t="str">
        <f t="shared" si="56"/>
        <v>insert #t values('20350219')</v>
      </c>
    </row>
    <row r="526" spans="8:14" x14ac:dyDescent="0.2">
      <c r="H526" s="6">
        <f t="shared" si="53"/>
        <v>55435</v>
      </c>
      <c r="I526">
        <v>20511009</v>
      </c>
      <c r="J526" s="1">
        <f t="shared" si="54"/>
        <v>55435</v>
      </c>
      <c r="L526">
        <v>20350323</v>
      </c>
      <c r="M526" s="1">
        <f t="shared" si="55"/>
        <v>49391</v>
      </c>
      <c r="N526" t="str">
        <f t="shared" si="56"/>
        <v>insert #t values('20350323')</v>
      </c>
    </row>
    <row r="527" spans="8:14" x14ac:dyDescent="0.2">
      <c r="H527" s="6">
        <f t="shared" si="53"/>
        <v>55470</v>
      </c>
      <c r="I527">
        <v>20511113</v>
      </c>
      <c r="J527" s="1">
        <f t="shared" si="54"/>
        <v>55470</v>
      </c>
      <c r="L527">
        <v>20350521</v>
      </c>
      <c r="M527" s="1">
        <f t="shared" si="55"/>
        <v>49450</v>
      </c>
      <c r="N527" t="str">
        <f t="shared" si="56"/>
        <v>insert #t values('20350521')</v>
      </c>
    </row>
    <row r="528" spans="8:14" x14ac:dyDescent="0.2">
      <c r="H528" s="6">
        <f t="shared" si="53"/>
        <v>55512</v>
      </c>
      <c r="I528">
        <v>20511225</v>
      </c>
      <c r="J528" s="1">
        <f t="shared" si="54"/>
        <v>55512</v>
      </c>
      <c r="L528">
        <v>20350702</v>
      </c>
      <c r="M528" s="1">
        <f t="shared" si="55"/>
        <v>49492</v>
      </c>
      <c r="N528" t="str">
        <f t="shared" si="56"/>
        <v>insert #t values('20350702')</v>
      </c>
    </row>
    <row r="529" spans="8:14" x14ac:dyDescent="0.2">
      <c r="H529" s="6">
        <f t="shared" si="53"/>
        <v>55513</v>
      </c>
      <c r="I529">
        <v>20511226</v>
      </c>
      <c r="J529" s="1">
        <f t="shared" si="54"/>
        <v>55513</v>
      </c>
      <c r="L529">
        <v>20350806</v>
      </c>
      <c r="M529" s="1">
        <f t="shared" si="55"/>
        <v>49527</v>
      </c>
      <c r="N529" t="str">
        <f t="shared" si="56"/>
        <v>insert #t values('20350806')</v>
      </c>
    </row>
    <row r="530" spans="8:14" x14ac:dyDescent="0.2">
      <c r="H530" s="6">
        <f t="shared" si="53"/>
        <v>55513</v>
      </c>
      <c r="I530">
        <v>20511226</v>
      </c>
      <c r="J530" s="1">
        <f t="shared" si="54"/>
        <v>55513</v>
      </c>
      <c r="L530">
        <v>20350903</v>
      </c>
      <c r="M530" s="1">
        <f t="shared" si="55"/>
        <v>49555</v>
      </c>
      <c r="N530" t="str">
        <f t="shared" si="56"/>
        <v>insert #t values('20350903')</v>
      </c>
    </row>
    <row r="531" spans="8:14" x14ac:dyDescent="0.2">
      <c r="H531" s="6">
        <f t="shared" si="53"/>
        <v>55519</v>
      </c>
      <c r="I531">
        <v>20520101</v>
      </c>
      <c r="J531" s="1">
        <f t="shared" si="54"/>
        <v>55519</v>
      </c>
      <c r="L531">
        <v>20351008</v>
      </c>
      <c r="M531" s="1">
        <f t="shared" si="55"/>
        <v>49590</v>
      </c>
      <c r="N531" t="str">
        <f t="shared" si="56"/>
        <v>insert #t values('20351008')</v>
      </c>
    </row>
    <row r="532" spans="8:14" x14ac:dyDescent="0.2">
      <c r="H532" s="6">
        <f t="shared" si="53"/>
        <v>55568</v>
      </c>
      <c r="I532">
        <v>20520219</v>
      </c>
      <c r="J532" s="1">
        <f t="shared" si="54"/>
        <v>55568</v>
      </c>
      <c r="L532">
        <v>20351112</v>
      </c>
      <c r="M532" s="1">
        <f t="shared" si="55"/>
        <v>49625</v>
      </c>
      <c r="N532" t="str">
        <f t="shared" si="56"/>
        <v>insert #t values('20351112')</v>
      </c>
    </row>
    <row r="533" spans="8:14" x14ac:dyDescent="0.2">
      <c r="H533" s="6">
        <f t="shared" si="53"/>
        <v>55628</v>
      </c>
      <c r="I533">
        <v>20520419</v>
      </c>
      <c r="J533" s="1">
        <f t="shared" si="54"/>
        <v>55628</v>
      </c>
      <c r="L533">
        <v>20351225</v>
      </c>
      <c r="M533" s="1">
        <f t="shared" si="55"/>
        <v>49668</v>
      </c>
      <c r="N533" t="str">
        <f t="shared" si="56"/>
        <v>insert #t values('20351225')</v>
      </c>
    </row>
    <row r="534" spans="8:14" x14ac:dyDescent="0.2">
      <c r="H534" s="6">
        <f t="shared" si="53"/>
        <v>55659</v>
      </c>
      <c r="I534">
        <v>20520520</v>
      </c>
      <c r="J534" s="1">
        <f t="shared" si="54"/>
        <v>55659</v>
      </c>
      <c r="L534">
        <v>20351226</v>
      </c>
      <c r="M534" s="1">
        <f t="shared" si="55"/>
        <v>49669</v>
      </c>
      <c r="N534" t="str">
        <f t="shared" si="56"/>
        <v>insert #t values('20351226')</v>
      </c>
    </row>
    <row r="535" spans="8:14" x14ac:dyDescent="0.2">
      <c r="H535" s="6">
        <f t="shared" si="53"/>
        <v>55701</v>
      </c>
      <c r="I535">
        <v>20520701</v>
      </c>
      <c r="J535" s="1">
        <f t="shared" si="54"/>
        <v>55701</v>
      </c>
      <c r="L535">
        <v>20351226</v>
      </c>
      <c r="M535" s="1">
        <f t="shared" si="55"/>
        <v>49669</v>
      </c>
      <c r="N535" t="str">
        <f t="shared" si="56"/>
        <v>insert #t values('20351226')</v>
      </c>
    </row>
    <row r="536" spans="8:14" x14ac:dyDescent="0.2">
      <c r="H536" s="6">
        <f t="shared" si="53"/>
        <v>55736</v>
      </c>
      <c r="I536">
        <v>20520805</v>
      </c>
      <c r="J536" s="1">
        <f t="shared" si="54"/>
        <v>55736</v>
      </c>
      <c r="L536">
        <v>20360101</v>
      </c>
      <c r="M536" s="1">
        <f t="shared" si="55"/>
        <v>49675</v>
      </c>
      <c r="N536" t="str">
        <f t="shared" si="56"/>
        <v>insert #t values('20360101')</v>
      </c>
    </row>
    <row r="537" spans="8:14" x14ac:dyDescent="0.2">
      <c r="H537" s="6">
        <f t="shared" si="53"/>
        <v>55764</v>
      </c>
      <c r="I537">
        <v>20520902</v>
      </c>
      <c r="J537" s="1">
        <f t="shared" si="54"/>
        <v>55764</v>
      </c>
      <c r="L537">
        <v>20360218</v>
      </c>
      <c r="M537" s="1">
        <f t="shared" si="55"/>
        <v>49723</v>
      </c>
      <c r="N537" t="str">
        <f t="shared" si="56"/>
        <v>insert #t values('20360218')</v>
      </c>
    </row>
    <row r="538" spans="8:14" x14ac:dyDescent="0.2">
      <c r="H538" s="6">
        <f t="shared" si="53"/>
        <v>55806</v>
      </c>
      <c r="I538">
        <v>20521014</v>
      </c>
      <c r="J538" s="1">
        <f t="shared" si="54"/>
        <v>55806</v>
      </c>
      <c r="L538">
        <v>20360411</v>
      </c>
      <c r="M538" s="1">
        <f t="shared" si="55"/>
        <v>49776</v>
      </c>
      <c r="N538" t="str">
        <f t="shared" si="56"/>
        <v>insert #t values('20360411')</v>
      </c>
    </row>
    <row r="539" spans="8:14" x14ac:dyDescent="0.2">
      <c r="H539" s="6">
        <f t="shared" si="53"/>
        <v>55834</v>
      </c>
      <c r="I539">
        <v>20521111</v>
      </c>
      <c r="J539" s="1">
        <f t="shared" si="54"/>
        <v>55834</v>
      </c>
      <c r="L539">
        <v>20360519</v>
      </c>
      <c r="M539" s="1">
        <f t="shared" si="55"/>
        <v>49814</v>
      </c>
      <c r="N539" t="str">
        <f t="shared" si="56"/>
        <v>insert #t values('20360519')</v>
      </c>
    </row>
    <row r="540" spans="8:14" x14ac:dyDescent="0.2">
      <c r="H540" s="6">
        <f t="shared" si="53"/>
        <v>55878</v>
      </c>
      <c r="I540">
        <v>20521225</v>
      </c>
      <c r="J540" s="1">
        <f t="shared" si="54"/>
        <v>55878</v>
      </c>
      <c r="L540">
        <v>20360701</v>
      </c>
      <c r="M540" s="1">
        <f t="shared" si="55"/>
        <v>49857</v>
      </c>
      <c r="N540" t="str">
        <f t="shared" si="56"/>
        <v>insert #t values('20360701')</v>
      </c>
    </row>
    <row r="541" spans="8:14" x14ac:dyDescent="0.2">
      <c r="H541" s="6">
        <f t="shared" si="53"/>
        <v>55879</v>
      </c>
      <c r="I541">
        <v>20521226</v>
      </c>
      <c r="J541" s="1">
        <f t="shared" si="54"/>
        <v>55879</v>
      </c>
      <c r="L541">
        <v>20360804</v>
      </c>
      <c r="M541" s="1">
        <f t="shared" si="55"/>
        <v>49891</v>
      </c>
      <c r="N541" t="str">
        <f t="shared" si="56"/>
        <v>insert #t values('20360804')</v>
      </c>
    </row>
    <row r="542" spans="8:14" x14ac:dyDescent="0.2">
      <c r="H542" s="6">
        <f t="shared" si="53"/>
        <v>55879</v>
      </c>
      <c r="I542">
        <v>20521226</v>
      </c>
      <c r="J542" s="1">
        <f t="shared" si="54"/>
        <v>55879</v>
      </c>
      <c r="L542">
        <v>20360901</v>
      </c>
      <c r="M542" s="1">
        <f t="shared" si="55"/>
        <v>49919</v>
      </c>
      <c r="N542" t="str">
        <f t="shared" si="56"/>
        <v>insert #t values('20360901')</v>
      </c>
    </row>
    <row r="543" spans="8:14" x14ac:dyDescent="0.2">
      <c r="H543" s="6">
        <f t="shared" si="53"/>
        <v>55885</v>
      </c>
      <c r="I543">
        <v>20530101</v>
      </c>
      <c r="J543" s="1">
        <f t="shared" si="54"/>
        <v>55885</v>
      </c>
      <c r="L543">
        <v>20361013</v>
      </c>
      <c r="M543" s="1">
        <f t="shared" si="55"/>
        <v>49961</v>
      </c>
      <c r="N543" t="str">
        <f t="shared" si="56"/>
        <v>insert #t values('20361013')</v>
      </c>
    </row>
    <row r="544" spans="8:14" x14ac:dyDescent="0.2">
      <c r="H544" s="6">
        <f t="shared" si="53"/>
        <v>55932</v>
      </c>
      <c r="I544">
        <v>20530217</v>
      </c>
      <c r="J544" s="1">
        <f t="shared" si="54"/>
        <v>55932</v>
      </c>
      <c r="L544">
        <v>20361111</v>
      </c>
      <c r="M544" s="1">
        <f t="shared" si="55"/>
        <v>49990</v>
      </c>
      <c r="N544" t="str">
        <f t="shared" si="56"/>
        <v>insert #t values('20361111')</v>
      </c>
    </row>
    <row r="545" spans="8:14" x14ac:dyDescent="0.2">
      <c r="H545" s="6">
        <f t="shared" si="53"/>
        <v>55978</v>
      </c>
      <c r="I545">
        <v>20530404</v>
      </c>
      <c r="J545" s="1">
        <f t="shared" si="54"/>
        <v>55978</v>
      </c>
      <c r="L545">
        <v>20361225</v>
      </c>
      <c r="M545" s="1">
        <f t="shared" si="55"/>
        <v>50034</v>
      </c>
      <c r="N545" t="str">
        <f t="shared" si="56"/>
        <v>insert #t values('20361225')</v>
      </c>
    </row>
    <row r="546" spans="8:14" x14ac:dyDescent="0.2">
      <c r="H546" s="6">
        <f t="shared" si="53"/>
        <v>56023</v>
      </c>
      <c r="I546">
        <v>20530519</v>
      </c>
      <c r="J546" s="1">
        <f t="shared" si="54"/>
        <v>56023</v>
      </c>
      <c r="L546">
        <v>20361226</v>
      </c>
      <c r="M546" s="1">
        <f t="shared" si="55"/>
        <v>50035</v>
      </c>
      <c r="N546" t="str">
        <f t="shared" si="56"/>
        <v>insert #t values('20361226')</v>
      </c>
    </row>
    <row r="547" spans="8:14" x14ac:dyDescent="0.2">
      <c r="H547" s="6">
        <f t="shared" si="53"/>
        <v>56066</v>
      </c>
      <c r="I547">
        <v>20530701</v>
      </c>
      <c r="J547" s="1">
        <f t="shared" si="54"/>
        <v>56066</v>
      </c>
      <c r="L547">
        <v>20361226</v>
      </c>
      <c r="M547" s="1">
        <f t="shared" si="55"/>
        <v>50035</v>
      </c>
      <c r="N547" t="str">
        <f t="shared" si="56"/>
        <v>insert #t values('20361226')</v>
      </c>
    </row>
    <row r="548" spans="8:14" x14ac:dyDescent="0.2">
      <c r="H548" s="6">
        <f t="shared" si="53"/>
        <v>56100</v>
      </c>
      <c r="I548">
        <v>20530804</v>
      </c>
      <c r="J548" s="1">
        <f t="shared" si="54"/>
        <v>56100</v>
      </c>
      <c r="L548">
        <v>20370101</v>
      </c>
      <c r="M548" s="1">
        <f t="shared" si="55"/>
        <v>50041</v>
      </c>
      <c r="N548" t="str">
        <f t="shared" si="56"/>
        <v>insert #t values('20370101')</v>
      </c>
    </row>
    <row r="549" spans="8:14" x14ac:dyDescent="0.2">
      <c r="H549" s="6">
        <f t="shared" si="53"/>
        <v>56128</v>
      </c>
      <c r="I549">
        <v>20530901</v>
      </c>
      <c r="J549" s="1">
        <f t="shared" si="54"/>
        <v>56128</v>
      </c>
      <c r="L549">
        <v>20370216</v>
      </c>
      <c r="M549" s="1">
        <f t="shared" si="55"/>
        <v>50087</v>
      </c>
      <c r="N549" t="str">
        <f t="shared" si="56"/>
        <v>insert #t values('20370216')</v>
      </c>
    </row>
    <row r="550" spans="8:14" x14ac:dyDescent="0.2">
      <c r="H550" s="6">
        <f t="shared" si="53"/>
        <v>56170</v>
      </c>
      <c r="I550">
        <v>20531013</v>
      </c>
      <c r="J550" s="1">
        <f t="shared" si="54"/>
        <v>56170</v>
      </c>
      <c r="L550">
        <v>20370403</v>
      </c>
      <c r="M550" s="1">
        <f t="shared" si="55"/>
        <v>50133</v>
      </c>
      <c r="N550" t="str">
        <f t="shared" si="56"/>
        <v>insert #t values('20370403')</v>
      </c>
    </row>
    <row r="551" spans="8:14" x14ac:dyDescent="0.2">
      <c r="H551" s="6">
        <f t="shared" si="53"/>
        <v>56199</v>
      </c>
      <c r="I551">
        <v>20531111</v>
      </c>
      <c r="J551" s="1">
        <f t="shared" si="54"/>
        <v>56199</v>
      </c>
      <c r="L551">
        <v>20370518</v>
      </c>
      <c r="M551" s="1">
        <f t="shared" si="55"/>
        <v>50178</v>
      </c>
      <c r="N551" t="str">
        <f t="shared" si="56"/>
        <v>insert #t values('20370518')</v>
      </c>
    </row>
    <row r="552" spans="8:14" x14ac:dyDescent="0.2">
      <c r="H552" s="6">
        <f t="shared" si="53"/>
        <v>56243</v>
      </c>
      <c r="I552">
        <v>20531225</v>
      </c>
      <c r="J552" s="1">
        <f t="shared" si="54"/>
        <v>56243</v>
      </c>
      <c r="L552">
        <v>20370701</v>
      </c>
      <c r="M552" s="1">
        <f t="shared" si="55"/>
        <v>50222</v>
      </c>
      <c r="N552" t="str">
        <f t="shared" si="56"/>
        <v>insert #t values('20370701')</v>
      </c>
    </row>
    <row r="553" spans="8:14" x14ac:dyDescent="0.2">
      <c r="H553" s="6">
        <f t="shared" si="53"/>
        <v>56244</v>
      </c>
      <c r="I553">
        <v>20531226</v>
      </c>
      <c r="J553" s="1">
        <f t="shared" si="54"/>
        <v>56244</v>
      </c>
      <c r="L553">
        <v>20370803</v>
      </c>
      <c r="M553" s="1">
        <f t="shared" si="55"/>
        <v>50255</v>
      </c>
      <c r="N553" t="str">
        <f t="shared" si="56"/>
        <v>insert #t values('20370803')</v>
      </c>
    </row>
    <row r="554" spans="8:14" x14ac:dyDescent="0.2">
      <c r="H554" s="6">
        <f t="shared" si="53"/>
        <v>56244</v>
      </c>
      <c r="I554">
        <v>20531226</v>
      </c>
      <c r="J554" s="1">
        <f t="shared" si="54"/>
        <v>56244</v>
      </c>
      <c r="L554">
        <v>20370907</v>
      </c>
      <c r="M554" s="1">
        <f t="shared" si="55"/>
        <v>50290</v>
      </c>
      <c r="N554" t="str">
        <f t="shared" si="56"/>
        <v>insert #t values('20370907')</v>
      </c>
    </row>
    <row r="555" spans="8:14" x14ac:dyDescent="0.2">
      <c r="H555" s="6">
        <f t="shared" si="53"/>
        <v>56250</v>
      </c>
      <c r="I555">
        <v>20540101</v>
      </c>
      <c r="J555" s="1">
        <f t="shared" si="54"/>
        <v>56250</v>
      </c>
      <c r="L555">
        <v>20371012</v>
      </c>
      <c r="M555" s="1">
        <f t="shared" si="55"/>
        <v>50325</v>
      </c>
      <c r="N555" t="str">
        <f t="shared" si="56"/>
        <v>insert #t values('20371012')</v>
      </c>
    </row>
    <row r="556" spans="8:14" x14ac:dyDescent="0.2">
      <c r="H556" s="6">
        <f t="shared" si="53"/>
        <v>56296</v>
      </c>
      <c r="I556">
        <v>20540216</v>
      </c>
      <c r="J556" s="1">
        <f t="shared" si="54"/>
        <v>56296</v>
      </c>
      <c r="L556">
        <v>20371111</v>
      </c>
      <c r="M556" s="1">
        <f t="shared" si="55"/>
        <v>50355</v>
      </c>
      <c r="N556" t="str">
        <f t="shared" si="56"/>
        <v>insert #t values('20371111')</v>
      </c>
    </row>
    <row r="557" spans="8:14" x14ac:dyDescent="0.2">
      <c r="H557" s="6">
        <f t="shared" si="53"/>
        <v>56335</v>
      </c>
      <c r="I557">
        <v>20540327</v>
      </c>
      <c r="J557" s="1">
        <f t="shared" si="54"/>
        <v>56335</v>
      </c>
      <c r="L557">
        <v>20371225</v>
      </c>
      <c r="M557" s="1">
        <f t="shared" si="55"/>
        <v>50399</v>
      </c>
      <c r="N557" t="str">
        <f t="shared" si="56"/>
        <v>insert #t values('20371225')</v>
      </c>
    </row>
    <row r="558" spans="8:14" x14ac:dyDescent="0.2">
      <c r="H558" s="6">
        <f t="shared" si="53"/>
        <v>56387</v>
      </c>
      <c r="I558">
        <v>20540518</v>
      </c>
      <c r="J558" s="1">
        <f t="shared" si="54"/>
        <v>56387</v>
      </c>
      <c r="L558">
        <v>20371228</v>
      </c>
      <c r="M558" s="1">
        <f t="shared" si="55"/>
        <v>50402</v>
      </c>
      <c r="N558" t="str">
        <f t="shared" si="56"/>
        <v>insert #t values('20371228')</v>
      </c>
    </row>
    <row r="559" spans="8:14" x14ac:dyDescent="0.2">
      <c r="H559" s="6">
        <f t="shared" si="53"/>
        <v>56431</v>
      </c>
      <c r="I559">
        <v>20540701</v>
      </c>
      <c r="J559" s="1">
        <f t="shared" si="54"/>
        <v>56431</v>
      </c>
      <c r="L559">
        <v>20371228</v>
      </c>
      <c r="M559" s="1">
        <f t="shared" si="55"/>
        <v>50402</v>
      </c>
      <c r="N559" t="str">
        <f t="shared" si="56"/>
        <v>insert #t values('20371228')</v>
      </c>
    </row>
    <row r="560" spans="8:14" x14ac:dyDescent="0.2">
      <c r="H560" s="6">
        <f t="shared" si="53"/>
        <v>56464</v>
      </c>
      <c r="I560">
        <v>20540803</v>
      </c>
      <c r="J560" s="1">
        <f t="shared" si="54"/>
        <v>56464</v>
      </c>
      <c r="L560">
        <v>20380101</v>
      </c>
      <c r="M560" s="1">
        <f t="shared" si="55"/>
        <v>50406</v>
      </c>
      <c r="N560" t="str">
        <f t="shared" si="56"/>
        <v>insert #t values('20380101')</v>
      </c>
    </row>
    <row r="561" spans="8:14" x14ac:dyDescent="0.2">
      <c r="H561" s="6">
        <f t="shared" si="53"/>
        <v>56499</v>
      </c>
      <c r="I561">
        <v>20540907</v>
      </c>
      <c r="J561" s="1">
        <f t="shared" si="54"/>
        <v>56499</v>
      </c>
      <c r="L561">
        <v>20380215</v>
      </c>
      <c r="M561" s="1">
        <f t="shared" si="55"/>
        <v>50451</v>
      </c>
      <c r="N561" t="str">
        <f t="shared" si="56"/>
        <v>insert #t values('20380215')</v>
      </c>
    </row>
    <row r="562" spans="8:14" x14ac:dyDescent="0.2">
      <c r="H562" s="6">
        <f t="shared" si="53"/>
        <v>56534</v>
      </c>
      <c r="I562">
        <v>20541012</v>
      </c>
      <c r="J562" s="1">
        <f t="shared" si="54"/>
        <v>56534</v>
      </c>
      <c r="L562">
        <v>20380423</v>
      </c>
      <c r="M562" s="1">
        <f t="shared" si="55"/>
        <v>50518</v>
      </c>
      <c r="N562" t="str">
        <f t="shared" si="56"/>
        <v>insert #t values('20380423')</v>
      </c>
    </row>
    <row r="563" spans="8:14" x14ac:dyDescent="0.2">
      <c r="H563" s="6">
        <f t="shared" si="53"/>
        <v>56564</v>
      </c>
      <c r="I563">
        <v>20541111</v>
      </c>
      <c r="J563" s="1">
        <f t="shared" si="54"/>
        <v>56564</v>
      </c>
      <c r="L563">
        <v>20380524</v>
      </c>
      <c r="M563" s="1">
        <f t="shared" si="55"/>
        <v>50549</v>
      </c>
      <c r="N563" t="str">
        <f t="shared" si="56"/>
        <v>insert #t values('20380524')</v>
      </c>
    </row>
    <row r="564" spans="8:14" x14ac:dyDescent="0.2">
      <c r="H564" s="6">
        <f t="shared" si="53"/>
        <v>56608</v>
      </c>
      <c r="I564">
        <v>20541225</v>
      </c>
      <c r="J564" s="1">
        <f t="shared" si="54"/>
        <v>56608</v>
      </c>
      <c r="L564">
        <v>20380701</v>
      </c>
      <c r="M564" s="1">
        <f t="shared" si="55"/>
        <v>50587</v>
      </c>
      <c r="N564" t="str">
        <f t="shared" si="56"/>
        <v>insert #t values('20380701')</v>
      </c>
    </row>
    <row r="565" spans="8:14" x14ac:dyDescent="0.2">
      <c r="H565" s="6">
        <f t="shared" si="53"/>
        <v>56611</v>
      </c>
      <c r="I565">
        <v>20541228</v>
      </c>
      <c r="J565" s="1">
        <f t="shared" si="54"/>
        <v>56611</v>
      </c>
      <c r="L565">
        <v>20380802</v>
      </c>
      <c r="M565" s="1">
        <f t="shared" si="55"/>
        <v>50619</v>
      </c>
      <c r="N565" t="str">
        <f t="shared" si="56"/>
        <v>insert #t values('20380802')</v>
      </c>
    </row>
    <row r="566" spans="8:14" x14ac:dyDescent="0.2">
      <c r="H566" s="6">
        <f t="shared" si="53"/>
        <v>56611</v>
      </c>
      <c r="I566">
        <v>20541228</v>
      </c>
      <c r="J566" s="1">
        <f t="shared" si="54"/>
        <v>56611</v>
      </c>
      <c r="L566">
        <v>20380906</v>
      </c>
      <c r="M566" s="1">
        <f t="shared" si="55"/>
        <v>50654</v>
      </c>
      <c r="N566" t="str">
        <f t="shared" si="56"/>
        <v>insert #t values('20380906')</v>
      </c>
    </row>
    <row r="567" spans="8:14" x14ac:dyDescent="0.2">
      <c r="H567" s="6">
        <f t="shared" si="53"/>
        <v>56615</v>
      </c>
      <c r="I567">
        <v>20550101</v>
      </c>
      <c r="J567" s="1">
        <f t="shared" si="54"/>
        <v>56615</v>
      </c>
      <c r="L567">
        <v>20381011</v>
      </c>
      <c r="M567" s="1">
        <f t="shared" si="55"/>
        <v>50689</v>
      </c>
      <c r="N567" t="str">
        <f t="shared" si="56"/>
        <v>insert #t values('20381011')</v>
      </c>
    </row>
    <row r="568" spans="8:14" x14ac:dyDescent="0.2">
      <c r="H568" s="6">
        <f t="shared" si="53"/>
        <v>56660</v>
      </c>
      <c r="I568">
        <v>20550215</v>
      </c>
      <c r="J568" s="1">
        <f t="shared" si="54"/>
        <v>56660</v>
      </c>
      <c r="L568">
        <v>20381111</v>
      </c>
      <c r="M568" s="1">
        <f t="shared" si="55"/>
        <v>50720</v>
      </c>
      <c r="N568" t="str">
        <f t="shared" si="56"/>
        <v>insert #t values('20381111')</v>
      </c>
    </row>
    <row r="569" spans="8:14" x14ac:dyDescent="0.2">
      <c r="H569" s="6">
        <f t="shared" si="53"/>
        <v>56720</v>
      </c>
      <c r="I569">
        <v>20550416</v>
      </c>
      <c r="J569" s="1">
        <f t="shared" si="54"/>
        <v>56720</v>
      </c>
      <c r="L569">
        <v>20381227</v>
      </c>
      <c r="M569" s="1">
        <f t="shared" si="55"/>
        <v>50766</v>
      </c>
      <c r="N569" t="str">
        <f t="shared" si="56"/>
        <v>insert #t values('20381227')</v>
      </c>
    </row>
    <row r="570" spans="8:14" x14ac:dyDescent="0.2">
      <c r="H570" s="6">
        <f t="shared" si="53"/>
        <v>56758</v>
      </c>
      <c r="I570">
        <v>20550524</v>
      </c>
      <c r="J570" s="1">
        <f t="shared" si="54"/>
        <v>56758</v>
      </c>
      <c r="L570">
        <v>20381227</v>
      </c>
      <c r="M570" s="1">
        <f t="shared" si="55"/>
        <v>50766</v>
      </c>
      <c r="N570" t="str">
        <f t="shared" si="56"/>
        <v>insert #t values('20381227')</v>
      </c>
    </row>
    <row r="571" spans="8:14" x14ac:dyDescent="0.2">
      <c r="H571" s="6">
        <f t="shared" si="53"/>
        <v>56796</v>
      </c>
      <c r="I571">
        <v>20550701</v>
      </c>
      <c r="J571" s="1">
        <f t="shared" si="54"/>
        <v>56796</v>
      </c>
      <c r="L571">
        <v>20381228</v>
      </c>
      <c r="M571" s="1">
        <f t="shared" si="55"/>
        <v>50767</v>
      </c>
      <c r="N571" t="str">
        <f t="shared" si="56"/>
        <v>insert #t values('20381228')</v>
      </c>
    </row>
    <row r="572" spans="8:14" x14ac:dyDescent="0.2">
      <c r="H572" s="6">
        <f t="shared" si="53"/>
        <v>56828</v>
      </c>
      <c r="I572">
        <v>20550802</v>
      </c>
      <c r="J572" s="1">
        <f t="shared" si="54"/>
        <v>56828</v>
      </c>
      <c r="L572">
        <v>20390103</v>
      </c>
      <c r="M572" s="1">
        <f t="shared" si="55"/>
        <v>50773</v>
      </c>
      <c r="N572" t="str">
        <f t="shared" si="56"/>
        <v>insert #t values('20390103')</v>
      </c>
    </row>
    <row r="573" spans="8:14" x14ac:dyDescent="0.2">
      <c r="H573" s="6">
        <f t="shared" si="53"/>
        <v>56863</v>
      </c>
      <c r="I573">
        <v>20550906</v>
      </c>
      <c r="J573" s="1">
        <f t="shared" si="54"/>
        <v>56863</v>
      </c>
      <c r="L573">
        <v>20390221</v>
      </c>
      <c r="M573" s="1">
        <f t="shared" si="55"/>
        <v>50822</v>
      </c>
      <c r="N573" t="str">
        <f t="shared" si="56"/>
        <v>insert #t values('20390221')</v>
      </c>
    </row>
    <row r="574" spans="8:14" x14ac:dyDescent="0.2">
      <c r="H574" s="6">
        <f t="shared" si="53"/>
        <v>56898</v>
      </c>
      <c r="I574">
        <v>20551011</v>
      </c>
      <c r="J574" s="1">
        <f t="shared" si="54"/>
        <v>56898</v>
      </c>
      <c r="L574">
        <v>20390408</v>
      </c>
      <c r="M574" s="1">
        <f t="shared" si="55"/>
        <v>50868</v>
      </c>
      <c r="N574" t="str">
        <f t="shared" si="56"/>
        <v>insert #t values('20390408')</v>
      </c>
    </row>
    <row r="575" spans="8:14" x14ac:dyDescent="0.2">
      <c r="H575" s="6">
        <f t="shared" si="53"/>
        <v>56929</v>
      </c>
      <c r="I575">
        <v>20551111</v>
      </c>
      <c r="J575" s="1">
        <f t="shared" si="54"/>
        <v>56929</v>
      </c>
      <c r="L575">
        <v>20390523</v>
      </c>
      <c r="M575" s="1">
        <f t="shared" si="55"/>
        <v>50913</v>
      </c>
      <c r="N575" t="str">
        <f t="shared" si="56"/>
        <v>insert #t values('20390523')</v>
      </c>
    </row>
    <row r="576" spans="8:14" x14ac:dyDescent="0.2">
      <c r="H576" s="6">
        <f t="shared" si="53"/>
        <v>56975</v>
      </c>
      <c r="I576">
        <v>20551227</v>
      </c>
      <c r="J576" s="1">
        <f t="shared" si="54"/>
        <v>56975</v>
      </c>
      <c r="L576">
        <v>20390701</v>
      </c>
      <c r="M576" s="1">
        <f t="shared" si="55"/>
        <v>50952</v>
      </c>
      <c r="N576" t="str">
        <f t="shared" si="56"/>
        <v>insert #t values('20390701')</v>
      </c>
    </row>
    <row r="577" spans="8:14" x14ac:dyDescent="0.2">
      <c r="H577" s="6">
        <f t="shared" si="53"/>
        <v>56975</v>
      </c>
      <c r="I577">
        <v>20551227</v>
      </c>
      <c r="J577" s="1">
        <f t="shared" si="54"/>
        <v>56975</v>
      </c>
      <c r="L577">
        <v>20390801</v>
      </c>
      <c r="M577" s="1">
        <f t="shared" si="55"/>
        <v>50983</v>
      </c>
      <c r="N577" t="str">
        <f t="shared" si="56"/>
        <v>insert #t values('20390801')</v>
      </c>
    </row>
    <row r="578" spans="8:14" x14ac:dyDescent="0.2">
      <c r="H578" s="6">
        <f t="shared" ref="H578:H641" si="57">J578-A578</f>
        <v>56976</v>
      </c>
      <c r="I578">
        <v>20551228</v>
      </c>
      <c r="J578" s="1">
        <f t="shared" ref="J578:J641" si="58">DATE(LEFT(I578,4),MID(I578,5,2),RIGHT(I578,2))</f>
        <v>56976</v>
      </c>
      <c r="L578">
        <v>20390905</v>
      </c>
      <c r="M578" s="1">
        <f t="shared" ref="M578:M641" si="59">DATE(LEFT(L578,4),MID(L578,5,2),RIGHT(L578,2))</f>
        <v>51018</v>
      </c>
      <c r="N578" t="str">
        <f t="shared" ref="N578:N641" si="60">"insert #t values('"&amp;L578 &amp; "')"</f>
        <v>insert #t values('20390905')</v>
      </c>
    </row>
    <row r="579" spans="8:14" x14ac:dyDescent="0.2">
      <c r="H579" s="6">
        <f t="shared" si="57"/>
        <v>56982</v>
      </c>
      <c r="I579">
        <v>20560103</v>
      </c>
      <c r="J579" s="1">
        <f t="shared" si="58"/>
        <v>56982</v>
      </c>
      <c r="L579">
        <v>20391010</v>
      </c>
      <c r="M579" s="1">
        <f t="shared" si="59"/>
        <v>51053</v>
      </c>
      <c r="N579" t="str">
        <f t="shared" si="60"/>
        <v>insert #t values('20391010')</v>
      </c>
    </row>
    <row r="580" spans="8:14" x14ac:dyDescent="0.2">
      <c r="H580" s="6">
        <f t="shared" si="57"/>
        <v>57031</v>
      </c>
      <c r="I580">
        <v>20560221</v>
      </c>
      <c r="J580" s="1">
        <f t="shared" si="58"/>
        <v>57031</v>
      </c>
      <c r="L580">
        <v>20391111</v>
      </c>
      <c r="M580" s="1">
        <f t="shared" si="59"/>
        <v>51085</v>
      </c>
      <c r="N580" t="str">
        <f t="shared" si="60"/>
        <v>insert #t values('20391111')</v>
      </c>
    </row>
    <row r="581" spans="8:14" x14ac:dyDescent="0.2">
      <c r="H581" s="6">
        <f t="shared" si="57"/>
        <v>57070</v>
      </c>
      <c r="I581">
        <v>20560331</v>
      </c>
      <c r="J581" s="1">
        <f t="shared" si="58"/>
        <v>57070</v>
      </c>
      <c r="L581">
        <v>20391226</v>
      </c>
      <c r="M581" s="1">
        <f t="shared" si="59"/>
        <v>51130</v>
      </c>
      <c r="N581" t="str">
        <f t="shared" si="60"/>
        <v>insert #t values('20391226')</v>
      </c>
    </row>
    <row r="582" spans="8:14" x14ac:dyDescent="0.2">
      <c r="H582" s="6">
        <f t="shared" si="57"/>
        <v>57122</v>
      </c>
      <c r="I582">
        <v>20560522</v>
      </c>
      <c r="J582" s="1">
        <f t="shared" si="58"/>
        <v>57122</v>
      </c>
      <c r="L582">
        <v>20391226</v>
      </c>
      <c r="M582" s="1">
        <f t="shared" si="59"/>
        <v>51130</v>
      </c>
      <c r="N582" t="str">
        <f t="shared" si="60"/>
        <v>insert #t values('20391226')</v>
      </c>
    </row>
    <row r="583" spans="8:14" x14ac:dyDescent="0.2">
      <c r="H583" s="6">
        <f t="shared" si="57"/>
        <v>57164</v>
      </c>
      <c r="I583">
        <v>20560703</v>
      </c>
      <c r="J583" s="1">
        <f t="shared" si="58"/>
        <v>57164</v>
      </c>
      <c r="L583">
        <v>20391226</v>
      </c>
      <c r="M583" s="1">
        <f t="shared" si="59"/>
        <v>51130</v>
      </c>
      <c r="N583" t="str">
        <f t="shared" si="60"/>
        <v>insert #t values('20391226')</v>
      </c>
    </row>
    <row r="584" spans="8:14" x14ac:dyDescent="0.2">
      <c r="H584" s="6">
        <f t="shared" si="57"/>
        <v>57199</v>
      </c>
      <c r="I584">
        <v>20560807</v>
      </c>
      <c r="J584" s="1">
        <f t="shared" si="58"/>
        <v>57199</v>
      </c>
      <c r="L584">
        <v>20400102</v>
      </c>
      <c r="M584" s="1">
        <f t="shared" si="59"/>
        <v>51137</v>
      </c>
      <c r="N584" t="str">
        <f t="shared" si="60"/>
        <v>insert #t values('20400102')</v>
      </c>
    </row>
    <row r="585" spans="8:14" x14ac:dyDescent="0.2">
      <c r="H585" s="6">
        <f t="shared" si="57"/>
        <v>57227</v>
      </c>
      <c r="I585">
        <v>20560904</v>
      </c>
      <c r="J585" s="1">
        <f t="shared" si="58"/>
        <v>57227</v>
      </c>
      <c r="L585">
        <v>20400220</v>
      </c>
      <c r="M585" s="1">
        <f t="shared" si="59"/>
        <v>51186</v>
      </c>
      <c r="N585" t="str">
        <f t="shared" si="60"/>
        <v>insert #t values('20400220')</v>
      </c>
    </row>
    <row r="586" spans="8:14" x14ac:dyDescent="0.2">
      <c r="H586" s="6">
        <f t="shared" si="57"/>
        <v>57262</v>
      </c>
      <c r="I586">
        <v>20561009</v>
      </c>
      <c r="J586" s="1">
        <f t="shared" si="58"/>
        <v>57262</v>
      </c>
      <c r="L586">
        <v>20400330</v>
      </c>
      <c r="M586" s="1">
        <f t="shared" si="59"/>
        <v>51225</v>
      </c>
      <c r="N586" t="str">
        <f t="shared" si="60"/>
        <v>insert #t values('20400330')</v>
      </c>
    </row>
    <row r="587" spans="8:14" x14ac:dyDescent="0.2">
      <c r="H587" s="6">
        <f t="shared" si="57"/>
        <v>57297</v>
      </c>
      <c r="I587">
        <v>20561113</v>
      </c>
      <c r="J587" s="1">
        <f t="shared" si="58"/>
        <v>57297</v>
      </c>
      <c r="L587">
        <v>20400521</v>
      </c>
      <c r="M587" s="1">
        <f t="shared" si="59"/>
        <v>51277</v>
      </c>
      <c r="N587" t="str">
        <f t="shared" si="60"/>
        <v>insert #t values('20400521')</v>
      </c>
    </row>
    <row r="588" spans="8:14" x14ac:dyDescent="0.2">
      <c r="H588" s="6">
        <f t="shared" si="57"/>
        <v>57339</v>
      </c>
      <c r="I588">
        <v>20561225</v>
      </c>
      <c r="J588" s="1">
        <f t="shared" si="58"/>
        <v>57339</v>
      </c>
      <c r="L588">
        <v>20400702</v>
      </c>
      <c r="M588" s="1">
        <f t="shared" si="59"/>
        <v>51319</v>
      </c>
      <c r="N588" t="str">
        <f t="shared" si="60"/>
        <v>insert #t values('20400702')</v>
      </c>
    </row>
    <row r="589" spans="8:14" x14ac:dyDescent="0.2">
      <c r="H589" s="6">
        <f t="shared" si="57"/>
        <v>57340</v>
      </c>
      <c r="I589">
        <v>20561226</v>
      </c>
      <c r="J589" s="1">
        <f t="shared" si="58"/>
        <v>57340</v>
      </c>
      <c r="L589">
        <v>20400806</v>
      </c>
      <c r="M589" s="1">
        <f t="shared" si="59"/>
        <v>51354</v>
      </c>
      <c r="N589" t="str">
        <f t="shared" si="60"/>
        <v>insert #t values('20400806')</v>
      </c>
    </row>
    <row r="590" spans="8:14" x14ac:dyDescent="0.2">
      <c r="H590" s="6">
        <f t="shared" si="57"/>
        <v>57340</v>
      </c>
      <c r="I590">
        <v>20561226</v>
      </c>
      <c r="J590" s="1">
        <f t="shared" si="58"/>
        <v>57340</v>
      </c>
      <c r="L590">
        <v>20400903</v>
      </c>
      <c r="M590" s="1">
        <f t="shared" si="59"/>
        <v>51382</v>
      </c>
      <c r="N590" t="str">
        <f t="shared" si="60"/>
        <v>insert #t values('20400903')</v>
      </c>
    </row>
    <row r="591" spans="8:14" x14ac:dyDescent="0.2">
      <c r="H591" s="6">
        <f t="shared" si="57"/>
        <v>57346</v>
      </c>
      <c r="I591">
        <v>20570101</v>
      </c>
      <c r="J591" s="1">
        <f t="shared" si="58"/>
        <v>57346</v>
      </c>
      <c r="L591">
        <v>20401008</v>
      </c>
      <c r="M591" s="1">
        <f t="shared" si="59"/>
        <v>51417</v>
      </c>
      <c r="N591" t="str">
        <f t="shared" si="60"/>
        <v>insert #t values('20401008')</v>
      </c>
    </row>
    <row r="592" spans="8:14" x14ac:dyDescent="0.2">
      <c r="H592" s="6">
        <f t="shared" si="57"/>
        <v>57395</v>
      </c>
      <c r="I592">
        <v>20570219</v>
      </c>
      <c r="J592" s="1">
        <f t="shared" si="58"/>
        <v>57395</v>
      </c>
      <c r="L592">
        <v>20401112</v>
      </c>
      <c r="M592" s="1">
        <f t="shared" si="59"/>
        <v>51452</v>
      </c>
      <c r="N592" t="str">
        <f t="shared" si="60"/>
        <v>insert #t values('20401112')</v>
      </c>
    </row>
    <row r="593" spans="8:14" x14ac:dyDescent="0.2">
      <c r="H593" s="6">
        <f t="shared" si="57"/>
        <v>57455</v>
      </c>
      <c r="I593">
        <v>20570420</v>
      </c>
      <c r="J593" s="1">
        <f t="shared" si="58"/>
        <v>57455</v>
      </c>
      <c r="L593">
        <v>20401225</v>
      </c>
      <c r="M593" s="1">
        <f t="shared" si="59"/>
        <v>51495</v>
      </c>
      <c r="N593" t="str">
        <f t="shared" si="60"/>
        <v>insert #t values('20401225')</v>
      </c>
    </row>
    <row r="594" spans="8:14" x14ac:dyDescent="0.2">
      <c r="H594" s="6">
        <f t="shared" si="57"/>
        <v>57486</v>
      </c>
      <c r="I594">
        <v>20570521</v>
      </c>
      <c r="J594" s="1">
        <f t="shared" si="58"/>
        <v>57486</v>
      </c>
      <c r="L594">
        <v>20401226</v>
      </c>
      <c r="M594" s="1">
        <f t="shared" si="59"/>
        <v>51496</v>
      </c>
      <c r="N594" t="str">
        <f t="shared" si="60"/>
        <v>insert #t values('20401226')</v>
      </c>
    </row>
    <row r="595" spans="8:14" x14ac:dyDescent="0.2">
      <c r="H595" s="6">
        <f t="shared" si="57"/>
        <v>57528</v>
      </c>
      <c r="I595">
        <v>20570702</v>
      </c>
      <c r="J595" s="1">
        <f t="shared" si="58"/>
        <v>57528</v>
      </c>
      <c r="L595">
        <v>20401226</v>
      </c>
      <c r="M595" s="1">
        <f t="shared" si="59"/>
        <v>51496</v>
      </c>
      <c r="N595" t="str">
        <f t="shared" si="60"/>
        <v>insert #t values('20401226')</v>
      </c>
    </row>
    <row r="596" spans="8:14" x14ac:dyDescent="0.2">
      <c r="H596" s="6">
        <f t="shared" si="57"/>
        <v>57563</v>
      </c>
      <c r="I596">
        <v>20570806</v>
      </c>
      <c r="J596" s="1">
        <f t="shared" si="58"/>
        <v>57563</v>
      </c>
      <c r="L596">
        <v>20410101</v>
      </c>
      <c r="M596" s="1">
        <f t="shared" si="59"/>
        <v>51502</v>
      </c>
      <c r="N596" t="str">
        <f t="shared" si="60"/>
        <v>insert #t values('20410101')</v>
      </c>
    </row>
    <row r="597" spans="8:14" x14ac:dyDescent="0.2">
      <c r="H597" s="6">
        <f t="shared" si="57"/>
        <v>57591</v>
      </c>
      <c r="I597">
        <v>20570903</v>
      </c>
      <c r="J597" s="1">
        <f t="shared" si="58"/>
        <v>57591</v>
      </c>
      <c r="L597">
        <v>20410218</v>
      </c>
      <c r="M597" s="1">
        <f t="shared" si="59"/>
        <v>51550</v>
      </c>
      <c r="N597" t="str">
        <f t="shared" si="60"/>
        <v>insert #t values('20410218')</v>
      </c>
    </row>
    <row r="598" spans="8:14" x14ac:dyDescent="0.2">
      <c r="H598" s="6">
        <f t="shared" si="57"/>
        <v>57626</v>
      </c>
      <c r="I598">
        <v>20571008</v>
      </c>
      <c r="J598" s="1">
        <f t="shared" si="58"/>
        <v>57626</v>
      </c>
      <c r="L598">
        <v>20410419</v>
      </c>
      <c r="M598" s="1">
        <f t="shared" si="59"/>
        <v>51610</v>
      </c>
      <c r="N598" t="str">
        <f t="shared" si="60"/>
        <v>insert #t values('20410419')</v>
      </c>
    </row>
    <row r="599" spans="8:14" x14ac:dyDescent="0.2">
      <c r="H599" s="6">
        <f t="shared" si="57"/>
        <v>57661</v>
      </c>
      <c r="I599">
        <v>20571112</v>
      </c>
      <c r="J599" s="1">
        <f t="shared" si="58"/>
        <v>57661</v>
      </c>
      <c r="L599">
        <v>20410520</v>
      </c>
      <c r="M599" s="1">
        <f t="shared" si="59"/>
        <v>51641</v>
      </c>
      <c r="N599" t="str">
        <f t="shared" si="60"/>
        <v>insert #t values('20410520')</v>
      </c>
    </row>
    <row r="600" spans="8:14" x14ac:dyDescent="0.2">
      <c r="H600" s="6">
        <f t="shared" si="57"/>
        <v>57704</v>
      </c>
      <c r="I600">
        <v>20571225</v>
      </c>
      <c r="J600" s="1">
        <f t="shared" si="58"/>
        <v>57704</v>
      </c>
      <c r="L600">
        <v>20410701</v>
      </c>
      <c r="M600" s="1">
        <f t="shared" si="59"/>
        <v>51683</v>
      </c>
      <c r="N600" t="str">
        <f t="shared" si="60"/>
        <v>insert #t values('20410701')</v>
      </c>
    </row>
    <row r="601" spans="8:14" x14ac:dyDescent="0.2">
      <c r="H601" s="6">
        <f t="shared" si="57"/>
        <v>57705</v>
      </c>
      <c r="I601">
        <v>20571226</v>
      </c>
      <c r="J601" s="1">
        <f t="shared" si="58"/>
        <v>57705</v>
      </c>
      <c r="L601">
        <v>20410805</v>
      </c>
      <c r="M601" s="1">
        <f t="shared" si="59"/>
        <v>51718</v>
      </c>
      <c r="N601" t="str">
        <f t="shared" si="60"/>
        <v>insert #t values('20410805')</v>
      </c>
    </row>
    <row r="602" spans="8:14" x14ac:dyDescent="0.2">
      <c r="H602" s="6">
        <f t="shared" si="57"/>
        <v>57705</v>
      </c>
      <c r="I602">
        <v>20571226</v>
      </c>
      <c r="J602" s="1">
        <f t="shared" si="58"/>
        <v>57705</v>
      </c>
      <c r="L602">
        <v>20410902</v>
      </c>
      <c r="M602" s="1">
        <f t="shared" si="59"/>
        <v>51746</v>
      </c>
      <c r="N602" t="str">
        <f t="shared" si="60"/>
        <v>insert #t values('20410902')</v>
      </c>
    </row>
    <row r="603" spans="8:14" x14ac:dyDescent="0.2">
      <c r="H603" s="6">
        <f t="shared" si="57"/>
        <v>57711</v>
      </c>
      <c r="I603">
        <v>20580101</v>
      </c>
      <c r="J603" s="1">
        <f t="shared" si="58"/>
        <v>57711</v>
      </c>
      <c r="L603">
        <v>20411014</v>
      </c>
      <c r="M603" s="1">
        <f t="shared" si="59"/>
        <v>51788</v>
      </c>
      <c r="N603" t="str">
        <f t="shared" si="60"/>
        <v>insert #t values('20411014')</v>
      </c>
    </row>
    <row r="604" spans="8:14" x14ac:dyDescent="0.2">
      <c r="H604" s="6">
        <f t="shared" si="57"/>
        <v>57759</v>
      </c>
      <c r="I604">
        <v>20580218</v>
      </c>
      <c r="J604" s="1">
        <f t="shared" si="58"/>
        <v>57759</v>
      </c>
      <c r="L604">
        <v>20411111</v>
      </c>
      <c r="M604" s="1">
        <f t="shared" si="59"/>
        <v>51816</v>
      </c>
      <c r="N604" t="str">
        <f t="shared" si="60"/>
        <v>insert #t values('20411111')</v>
      </c>
    </row>
    <row r="605" spans="8:14" x14ac:dyDescent="0.2">
      <c r="H605" s="6">
        <f t="shared" si="57"/>
        <v>57812</v>
      </c>
      <c r="I605">
        <v>20580412</v>
      </c>
      <c r="J605" s="1">
        <f t="shared" si="58"/>
        <v>57812</v>
      </c>
      <c r="L605">
        <v>20411225</v>
      </c>
      <c r="M605" s="1">
        <f t="shared" si="59"/>
        <v>51860</v>
      </c>
      <c r="N605" t="str">
        <f t="shared" si="60"/>
        <v>insert #t values('20411225')</v>
      </c>
    </row>
    <row r="606" spans="8:14" x14ac:dyDescent="0.2">
      <c r="H606" s="6">
        <f t="shared" si="57"/>
        <v>57850</v>
      </c>
      <c r="I606">
        <v>20580520</v>
      </c>
      <c r="J606" s="1">
        <f t="shared" si="58"/>
        <v>57850</v>
      </c>
      <c r="L606">
        <v>20411226</v>
      </c>
      <c r="M606" s="1">
        <f t="shared" si="59"/>
        <v>51861</v>
      </c>
      <c r="N606" t="str">
        <f t="shared" si="60"/>
        <v>insert #t values('20411226')</v>
      </c>
    </row>
    <row r="607" spans="8:14" x14ac:dyDescent="0.2">
      <c r="H607" s="6">
        <f t="shared" si="57"/>
        <v>57892</v>
      </c>
      <c r="I607">
        <v>20580701</v>
      </c>
      <c r="J607" s="1">
        <f t="shared" si="58"/>
        <v>57892</v>
      </c>
      <c r="L607">
        <v>20411226</v>
      </c>
      <c r="M607" s="1">
        <f t="shared" si="59"/>
        <v>51861</v>
      </c>
      <c r="N607" t="str">
        <f t="shared" si="60"/>
        <v>insert #t values('20411226')</v>
      </c>
    </row>
    <row r="608" spans="8:14" x14ac:dyDescent="0.2">
      <c r="H608" s="6">
        <f t="shared" si="57"/>
        <v>57927</v>
      </c>
      <c r="I608">
        <v>20580805</v>
      </c>
      <c r="J608" s="1">
        <f t="shared" si="58"/>
        <v>57927</v>
      </c>
      <c r="L608">
        <v>20420101</v>
      </c>
      <c r="M608" s="1">
        <f t="shared" si="59"/>
        <v>51867</v>
      </c>
      <c r="N608" t="str">
        <f t="shared" si="60"/>
        <v>insert #t values('20420101')</v>
      </c>
    </row>
    <row r="609" spans="8:14" x14ac:dyDescent="0.2">
      <c r="H609" s="6">
        <f t="shared" si="57"/>
        <v>57955</v>
      </c>
      <c r="I609">
        <v>20580902</v>
      </c>
      <c r="J609" s="1">
        <f t="shared" si="58"/>
        <v>57955</v>
      </c>
      <c r="L609">
        <v>20420217</v>
      </c>
      <c r="M609" s="1">
        <f t="shared" si="59"/>
        <v>51914</v>
      </c>
      <c r="N609" t="str">
        <f t="shared" si="60"/>
        <v>insert #t values('20420217')</v>
      </c>
    </row>
    <row r="610" spans="8:14" x14ac:dyDescent="0.2">
      <c r="H610" s="6">
        <f t="shared" si="57"/>
        <v>57997</v>
      </c>
      <c r="I610">
        <v>20581014</v>
      </c>
      <c r="J610" s="1">
        <f t="shared" si="58"/>
        <v>57997</v>
      </c>
      <c r="L610">
        <v>20420404</v>
      </c>
      <c r="M610" s="1">
        <f t="shared" si="59"/>
        <v>51960</v>
      </c>
      <c r="N610" t="str">
        <f t="shared" si="60"/>
        <v>insert #t values('20420404')</v>
      </c>
    </row>
    <row r="611" spans="8:14" x14ac:dyDescent="0.2">
      <c r="H611" s="6">
        <f t="shared" si="57"/>
        <v>58025</v>
      </c>
      <c r="I611">
        <v>20581111</v>
      </c>
      <c r="J611" s="1">
        <f t="shared" si="58"/>
        <v>58025</v>
      </c>
      <c r="L611">
        <v>20420519</v>
      </c>
      <c r="M611" s="1">
        <f t="shared" si="59"/>
        <v>52005</v>
      </c>
      <c r="N611" t="str">
        <f t="shared" si="60"/>
        <v>insert #t values('20420519')</v>
      </c>
    </row>
    <row r="612" spans="8:14" x14ac:dyDescent="0.2">
      <c r="H612" s="6">
        <f t="shared" si="57"/>
        <v>58069</v>
      </c>
      <c r="I612">
        <v>20581225</v>
      </c>
      <c r="J612" s="1">
        <f t="shared" si="58"/>
        <v>58069</v>
      </c>
      <c r="L612">
        <v>20420701</v>
      </c>
      <c r="M612" s="1">
        <f t="shared" si="59"/>
        <v>52048</v>
      </c>
      <c r="N612" t="str">
        <f t="shared" si="60"/>
        <v>insert #t values('20420701')</v>
      </c>
    </row>
    <row r="613" spans="8:14" x14ac:dyDescent="0.2">
      <c r="H613" s="6">
        <f t="shared" si="57"/>
        <v>58070</v>
      </c>
      <c r="I613">
        <v>20581226</v>
      </c>
      <c r="J613" s="1">
        <f t="shared" si="58"/>
        <v>58070</v>
      </c>
      <c r="L613">
        <v>20420804</v>
      </c>
      <c r="M613" s="1">
        <f t="shared" si="59"/>
        <v>52082</v>
      </c>
      <c r="N613" t="str">
        <f t="shared" si="60"/>
        <v>insert #t values('20420804')</v>
      </c>
    </row>
    <row r="614" spans="8:14" x14ac:dyDescent="0.2">
      <c r="H614" s="6">
        <f t="shared" si="57"/>
        <v>58070</v>
      </c>
      <c r="I614">
        <v>20581226</v>
      </c>
      <c r="J614" s="1">
        <f t="shared" si="58"/>
        <v>58070</v>
      </c>
      <c r="L614">
        <v>20420901</v>
      </c>
      <c r="M614" s="1">
        <f t="shared" si="59"/>
        <v>52110</v>
      </c>
      <c r="N614" t="str">
        <f t="shared" si="60"/>
        <v>insert #t values('20420901')</v>
      </c>
    </row>
    <row r="615" spans="8:14" x14ac:dyDescent="0.2">
      <c r="H615" s="6">
        <f t="shared" si="57"/>
        <v>58076</v>
      </c>
      <c r="I615">
        <v>20590101</v>
      </c>
      <c r="J615" s="1">
        <f t="shared" si="58"/>
        <v>58076</v>
      </c>
      <c r="L615">
        <v>20421013</v>
      </c>
      <c r="M615" s="1">
        <f t="shared" si="59"/>
        <v>52152</v>
      </c>
      <c r="N615" t="str">
        <f t="shared" si="60"/>
        <v>insert #t values('20421013')</v>
      </c>
    </row>
    <row r="616" spans="8:14" x14ac:dyDescent="0.2">
      <c r="H616" s="6">
        <f t="shared" si="57"/>
        <v>58123</v>
      </c>
      <c r="I616">
        <v>20590217</v>
      </c>
      <c r="J616" s="1">
        <f t="shared" si="58"/>
        <v>58123</v>
      </c>
      <c r="L616">
        <v>20421111</v>
      </c>
      <c r="M616" s="1">
        <f t="shared" si="59"/>
        <v>52181</v>
      </c>
      <c r="N616" t="str">
        <f t="shared" si="60"/>
        <v>insert #t values('20421111')</v>
      </c>
    </row>
    <row r="617" spans="8:14" x14ac:dyDescent="0.2">
      <c r="H617" s="6">
        <f t="shared" si="57"/>
        <v>58162</v>
      </c>
      <c r="I617">
        <v>20590328</v>
      </c>
      <c r="J617" s="1">
        <f t="shared" si="58"/>
        <v>58162</v>
      </c>
      <c r="L617">
        <v>20421225</v>
      </c>
      <c r="M617" s="1">
        <f t="shared" si="59"/>
        <v>52225</v>
      </c>
      <c r="N617" t="str">
        <f t="shared" si="60"/>
        <v>insert #t values('20421225')</v>
      </c>
    </row>
    <row r="618" spans="8:14" x14ac:dyDescent="0.2">
      <c r="H618" s="6">
        <f t="shared" si="57"/>
        <v>58214</v>
      </c>
      <c r="I618">
        <v>20590519</v>
      </c>
      <c r="J618" s="1">
        <f t="shared" si="58"/>
        <v>58214</v>
      </c>
      <c r="L618">
        <v>20421226</v>
      </c>
      <c r="M618" s="1">
        <f t="shared" si="59"/>
        <v>52226</v>
      </c>
      <c r="N618" t="str">
        <f t="shared" si="60"/>
        <v>insert #t values('20421226')</v>
      </c>
    </row>
    <row r="619" spans="8:14" x14ac:dyDescent="0.2">
      <c r="H619" s="6">
        <f t="shared" si="57"/>
        <v>58257</v>
      </c>
      <c r="I619">
        <v>20590701</v>
      </c>
      <c r="J619" s="1">
        <f t="shared" si="58"/>
        <v>58257</v>
      </c>
      <c r="L619">
        <v>20421226</v>
      </c>
      <c r="M619" s="1">
        <f t="shared" si="59"/>
        <v>52226</v>
      </c>
      <c r="N619" t="str">
        <f t="shared" si="60"/>
        <v>insert #t values('20421226')</v>
      </c>
    </row>
    <row r="620" spans="8:14" x14ac:dyDescent="0.2">
      <c r="H620" s="6">
        <f t="shared" si="57"/>
        <v>58291</v>
      </c>
      <c r="I620">
        <v>20590804</v>
      </c>
      <c r="J620" s="1">
        <f t="shared" si="58"/>
        <v>58291</v>
      </c>
      <c r="L620">
        <v>20430101</v>
      </c>
      <c r="M620" s="1">
        <f t="shared" si="59"/>
        <v>52232</v>
      </c>
      <c r="N620" t="str">
        <f t="shared" si="60"/>
        <v>insert #t values('20430101')</v>
      </c>
    </row>
    <row r="621" spans="8:14" x14ac:dyDescent="0.2">
      <c r="H621" s="6">
        <f t="shared" si="57"/>
        <v>58319</v>
      </c>
      <c r="I621">
        <v>20590901</v>
      </c>
      <c r="J621" s="1">
        <f t="shared" si="58"/>
        <v>58319</v>
      </c>
      <c r="L621">
        <v>20430216</v>
      </c>
      <c r="M621" s="1">
        <f t="shared" si="59"/>
        <v>52278</v>
      </c>
      <c r="N621" t="str">
        <f t="shared" si="60"/>
        <v>insert #t values('20430216')</v>
      </c>
    </row>
    <row r="622" spans="8:14" x14ac:dyDescent="0.2">
      <c r="H622" s="6">
        <f t="shared" si="57"/>
        <v>58361</v>
      </c>
      <c r="I622">
        <v>20591013</v>
      </c>
      <c r="J622" s="1">
        <f t="shared" si="58"/>
        <v>58361</v>
      </c>
      <c r="L622">
        <v>20430327</v>
      </c>
      <c r="M622" s="1">
        <f t="shared" si="59"/>
        <v>52317</v>
      </c>
      <c r="N622" t="str">
        <f t="shared" si="60"/>
        <v>insert #t values('20430327')</v>
      </c>
    </row>
    <row r="623" spans="8:14" x14ac:dyDescent="0.2">
      <c r="H623" s="6">
        <f t="shared" si="57"/>
        <v>58390</v>
      </c>
      <c r="I623">
        <v>20591111</v>
      </c>
      <c r="J623" s="1">
        <f t="shared" si="58"/>
        <v>58390</v>
      </c>
      <c r="L623">
        <v>20430518</v>
      </c>
      <c r="M623" s="1">
        <f t="shared" si="59"/>
        <v>52369</v>
      </c>
      <c r="N623" t="str">
        <f t="shared" si="60"/>
        <v>insert #t values('20430518')</v>
      </c>
    </row>
    <row r="624" spans="8:14" x14ac:dyDescent="0.2">
      <c r="H624" s="6">
        <f t="shared" si="57"/>
        <v>58434</v>
      </c>
      <c r="I624">
        <v>20591225</v>
      </c>
      <c r="J624" s="1">
        <f t="shared" si="58"/>
        <v>58434</v>
      </c>
      <c r="L624">
        <v>20430701</v>
      </c>
      <c r="M624" s="1">
        <f t="shared" si="59"/>
        <v>52413</v>
      </c>
      <c r="N624" t="str">
        <f t="shared" si="60"/>
        <v>insert #t values('20430701')</v>
      </c>
    </row>
    <row r="625" spans="8:14" x14ac:dyDescent="0.2">
      <c r="H625" s="6">
        <f t="shared" si="57"/>
        <v>58435</v>
      </c>
      <c r="I625">
        <v>20591226</v>
      </c>
      <c r="J625" s="1">
        <f t="shared" si="58"/>
        <v>58435</v>
      </c>
      <c r="L625">
        <v>20430803</v>
      </c>
      <c r="M625" s="1">
        <f t="shared" si="59"/>
        <v>52446</v>
      </c>
      <c r="N625" t="str">
        <f t="shared" si="60"/>
        <v>insert #t values('20430803')</v>
      </c>
    </row>
    <row r="626" spans="8:14" x14ac:dyDescent="0.2">
      <c r="H626" s="6">
        <f t="shared" si="57"/>
        <v>58435</v>
      </c>
      <c r="I626">
        <v>20591226</v>
      </c>
      <c r="J626" s="1">
        <f t="shared" si="58"/>
        <v>58435</v>
      </c>
      <c r="L626">
        <v>20430907</v>
      </c>
      <c r="M626" s="1">
        <f t="shared" si="59"/>
        <v>52481</v>
      </c>
      <c r="N626" t="str">
        <f t="shared" si="60"/>
        <v>insert #t values('20430907')</v>
      </c>
    </row>
    <row r="627" spans="8:14" x14ac:dyDescent="0.2">
      <c r="H627" s="6">
        <f t="shared" si="57"/>
        <v>58441</v>
      </c>
      <c r="I627">
        <v>20600101</v>
      </c>
      <c r="J627" s="1">
        <f t="shared" si="58"/>
        <v>58441</v>
      </c>
      <c r="L627">
        <v>20431012</v>
      </c>
      <c r="M627" s="1">
        <f t="shared" si="59"/>
        <v>52516</v>
      </c>
      <c r="N627" t="str">
        <f t="shared" si="60"/>
        <v>insert #t values('20431012')</v>
      </c>
    </row>
    <row r="628" spans="8:14" x14ac:dyDescent="0.2">
      <c r="H628" s="6">
        <f t="shared" si="57"/>
        <v>58487</v>
      </c>
      <c r="I628">
        <v>20600216</v>
      </c>
      <c r="J628" s="1">
        <f t="shared" si="58"/>
        <v>58487</v>
      </c>
      <c r="L628">
        <v>20431111</v>
      </c>
      <c r="M628" s="1">
        <f t="shared" si="59"/>
        <v>52546</v>
      </c>
      <c r="N628" t="str">
        <f t="shared" si="60"/>
        <v>insert #t values('20431111')</v>
      </c>
    </row>
    <row r="629" spans="8:14" x14ac:dyDescent="0.2">
      <c r="H629" s="6">
        <f t="shared" si="57"/>
        <v>58547</v>
      </c>
      <c r="I629">
        <v>20600416</v>
      </c>
      <c r="J629" s="1">
        <f t="shared" si="58"/>
        <v>58547</v>
      </c>
      <c r="L629">
        <v>20431225</v>
      </c>
      <c r="M629" s="1">
        <f t="shared" si="59"/>
        <v>52590</v>
      </c>
      <c r="N629" t="str">
        <f t="shared" si="60"/>
        <v>insert #t values('20431225')</v>
      </c>
    </row>
    <row r="630" spans="8:14" x14ac:dyDescent="0.2">
      <c r="H630" s="6">
        <f t="shared" si="57"/>
        <v>58585</v>
      </c>
      <c r="I630">
        <v>20600524</v>
      </c>
      <c r="J630" s="1">
        <f t="shared" si="58"/>
        <v>58585</v>
      </c>
      <c r="L630">
        <v>20431228</v>
      </c>
      <c r="M630" s="1">
        <f t="shared" si="59"/>
        <v>52593</v>
      </c>
      <c r="N630" t="str">
        <f t="shared" si="60"/>
        <v>insert #t values('20431228')</v>
      </c>
    </row>
    <row r="631" spans="8:14" x14ac:dyDescent="0.2">
      <c r="H631" s="6">
        <f t="shared" si="57"/>
        <v>58623</v>
      </c>
      <c r="I631">
        <v>20600701</v>
      </c>
      <c r="J631" s="1">
        <f t="shared" si="58"/>
        <v>58623</v>
      </c>
      <c r="L631">
        <v>20431228</v>
      </c>
      <c r="M631" s="1">
        <f t="shared" si="59"/>
        <v>52593</v>
      </c>
      <c r="N631" t="str">
        <f t="shared" si="60"/>
        <v>insert #t values('20431228')</v>
      </c>
    </row>
    <row r="632" spans="8:14" x14ac:dyDescent="0.2">
      <c r="H632" s="6">
        <f t="shared" si="57"/>
        <v>58655</v>
      </c>
      <c r="I632">
        <v>20600802</v>
      </c>
      <c r="J632" s="1">
        <f t="shared" si="58"/>
        <v>58655</v>
      </c>
      <c r="L632">
        <v>20440101</v>
      </c>
      <c r="M632" s="1">
        <f t="shared" si="59"/>
        <v>52597</v>
      </c>
      <c r="N632" t="str">
        <f t="shared" si="60"/>
        <v>insert #t values('20440101')</v>
      </c>
    </row>
    <row r="633" spans="8:14" x14ac:dyDescent="0.2">
      <c r="H633" s="6">
        <f t="shared" si="57"/>
        <v>58690</v>
      </c>
      <c r="I633">
        <v>20600906</v>
      </c>
      <c r="J633" s="1">
        <f t="shared" si="58"/>
        <v>58690</v>
      </c>
      <c r="L633">
        <v>20440215</v>
      </c>
      <c r="M633" s="1">
        <f t="shared" si="59"/>
        <v>52642</v>
      </c>
      <c r="N633" t="str">
        <f t="shared" si="60"/>
        <v>insert #t values('20440215')</v>
      </c>
    </row>
    <row r="634" spans="8:14" x14ac:dyDescent="0.2">
      <c r="H634" s="6">
        <f t="shared" si="57"/>
        <v>58725</v>
      </c>
      <c r="I634">
        <v>20601011</v>
      </c>
      <c r="J634" s="1">
        <f t="shared" si="58"/>
        <v>58725</v>
      </c>
      <c r="L634">
        <v>20440415</v>
      </c>
      <c r="M634" s="1">
        <f t="shared" si="59"/>
        <v>52702</v>
      </c>
      <c r="N634" t="str">
        <f t="shared" si="60"/>
        <v>insert #t values('20440415')</v>
      </c>
    </row>
    <row r="635" spans="8:14" x14ac:dyDescent="0.2">
      <c r="H635" s="6">
        <f t="shared" si="57"/>
        <v>58756</v>
      </c>
      <c r="I635">
        <v>20601111</v>
      </c>
      <c r="J635" s="1">
        <f t="shared" si="58"/>
        <v>58756</v>
      </c>
      <c r="L635">
        <v>20440523</v>
      </c>
      <c r="M635" s="1">
        <f t="shared" si="59"/>
        <v>52740</v>
      </c>
      <c r="N635" t="str">
        <f t="shared" si="60"/>
        <v>insert #t values('20440523')</v>
      </c>
    </row>
    <row r="636" spans="8:14" x14ac:dyDescent="0.2">
      <c r="H636" s="6">
        <f t="shared" si="57"/>
        <v>58802</v>
      </c>
      <c r="I636">
        <v>20601227</v>
      </c>
      <c r="J636" s="1">
        <f t="shared" si="58"/>
        <v>58802</v>
      </c>
      <c r="L636">
        <v>20440701</v>
      </c>
      <c r="M636" s="1">
        <f t="shared" si="59"/>
        <v>52779</v>
      </c>
      <c r="N636" t="str">
        <f t="shared" si="60"/>
        <v>insert #t values('20440701')</v>
      </c>
    </row>
    <row r="637" spans="8:14" x14ac:dyDescent="0.2">
      <c r="H637" s="6">
        <f t="shared" si="57"/>
        <v>58802</v>
      </c>
      <c r="I637">
        <v>20601227</v>
      </c>
      <c r="J637" s="1">
        <f t="shared" si="58"/>
        <v>58802</v>
      </c>
      <c r="L637">
        <v>20440801</v>
      </c>
      <c r="M637" s="1">
        <f t="shared" si="59"/>
        <v>52810</v>
      </c>
      <c r="N637" t="str">
        <f t="shared" si="60"/>
        <v>insert #t values('20440801')</v>
      </c>
    </row>
    <row r="638" spans="8:14" x14ac:dyDescent="0.2">
      <c r="H638" s="6">
        <f t="shared" si="57"/>
        <v>58803</v>
      </c>
      <c r="I638">
        <v>20601228</v>
      </c>
      <c r="J638" s="1">
        <f t="shared" si="58"/>
        <v>58803</v>
      </c>
      <c r="L638">
        <v>20440905</v>
      </c>
      <c r="M638" s="1">
        <f t="shared" si="59"/>
        <v>52845</v>
      </c>
      <c r="N638" t="str">
        <f t="shared" si="60"/>
        <v>insert #t values('20440905')</v>
      </c>
    </row>
    <row r="639" spans="8:14" x14ac:dyDescent="0.2">
      <c r="H639" s="6">
        <f t="shared" si="57"/>
        <v>58809</v>
      </c>
      <c r="I639">
        <v>20610103</v>
      </c>
      <c r="J639" s="1">
        <f t="shared" si="58"/>
        <v>58809</v>
      </c>
      <c r="L639">
        <v>20441010</v>
      </c>
      <c r="M639" s="1">
        <f t="shared" si="59"/>
        <v>52880</v>
      </c>
      <c r="N639" t="str">
        <f t="shared" si="60"/>
        <v>insert #t values('20441010')</v>
      </c>
    </row>
    <row r="640" spans="8:14" x14ac:dyDescent="0.2">
      <c r="H640" s="6">
        <f t="shared" si="57"/>
        <v>58858</v>
      </c>
      <c r="I640">
        <v>20610221</v>
      </c>
      <c r="J640" s="1">
        <f t="shared" si="58"/>
        <v>58858</v>
      </c>
      <c r="L640">
        <v>20441111</v>
      </c>
      <c r="M640" s="1">
        <f t="shared" si="59"/>
        <v>52912</v>
      </c>
      <c r="N640" t="str">
        <f t="shared" si="60"/>
        <v>insert #t values('20441111')</v>
      </c>
    </row>
    <row r="641" spans="8:14" x14ac:dyDescent="0.2">
      <c r="H641" s="6">
        <f t="shared" si="57"/>
        <v>58904</v>
      </c>
      <c r="I641">
        <v>20610408</v>
      </c>
      <c r="J641" s="1">
        <f t="shared" si="58"/>
        <v>58904</v>
      </c>
      <c r="L641">
        <v>20441226</v>
      </c>
      <c r="M641" s="1">
        <f t="shared" si="59"/>
        <v>52957</v>
      </c>
      <c r="N641" t="str">
        <f t="shared" si="60"/>
        <v>insert #t values('20441226')</v>
      </c>
    </row>
    <row r="642" spans="8:14" x14ac:dyDescent="0.2">
      <c r="H642" s="6">
        <f t="shared" ref="H642:H705" si="61">J642-A642</f>
        <v>58949</v>
      </c>
      <c r="I642">
        <v>20610523</v>
      </c>
      <c r="J642" s="1">
        <f t="shared" ref="J642:J705" si="62">DATE(LEFT(I642,4),MID(I642,5,2),RIGHT(I642,2))</f>
        <v>58949</v>
      </c>
      <c r="L642">
        <v>20441226</v>
      </c>
      <c r="M642" s="1">
        <f t="shared" ref="M642:M705" si="63">DATE(LEFT(L642,4),MID(L642,5,2),RIGHT(L642,2))</f>
        <v>52957</v>
      </c>
      <c r="N642" t="str">
        <f t="shared" ref="N642:N705" si="64">"insert #t values('"&amp;L642 &amp; "')"</f>
        <v>insert #t values('20441226')</v>
      </c>
    </row>
    <row r="643" spans="8:14" x14ac:dyDescent="0.2">
      <c r="H643" s="6">
        <f t="shared" si="61"/>
        <v>58988</v>
      </c>
      <c r="I643">
        <v>20610701</v>
      </c>
      <c r="J643" s="1">
        <f t="shared" si="62"/>
        <v>58988</v>
      </c>
      <c r="L643">
        <v>20441226</v>
      </c>
      <c r="M643" s="1">
        <f t="shared" si="63"/>
        <v>52957</v>
      </c>
      <c r="N643" t="str">
        <f t="shared" si="64"/>
        <v>insert #t values('20441226')</v>
      </c>
    </row>
    <row r="644" spans="8:14" x14ac:dyDescent="0.2">
      <c r="H644" s="6">
        <f t="shared" si="61"/>
        <v>59019</v>
      </c>
      <c r="I644">
        <v>20610801</v>
      </c>
      <c r="J644" s="1">
        <f t="shared" si="62"/>
        <v>59019</v>
      </c>
      <c r="L644">
        <v>20450102</v>
      </c>
      <c r="M644" s="1">
        <f t="shared" si="63"/>
        <v>52964</v>
      </c>
      <c r="N644" t="str">
        <f t="shared" si="64"/>
        <v>insert #t values('20450102')</v>
      </c>
    </row>
    <row r="645" spans="8:14" x14ac:dyDescent="0.2">
      <c r="H645" s="6">
        <f t="shared" si="61"/>
        <v>59054</v>
      </c>
      <c r="I645">
        <v>20610905</v>
      </c>
      <c r="J645" s="1">
        <f t="shared" si="62"/>
        <v>59054</v>
      </c>
      <c r="L645">
        <v>20450220</v>
      </c>
      <c r="M645" s="1">
        <f t="shared" si="63"/>
        <v>53013</v>
      </c>
      <c r="N645" t="str">
        <f t="shared" si="64"/>
        <v>insert #t values('20450220')</v>
      </c>
    </row>
    <row r="646" spans="8:14" x14ac:dyDescent="0.2">
      <c r="H646" s="6">
        <f t="shared" si="61"/>
        <v>59089</v>
      </c>
      <c r="I646">
        <v>20611010</v>
      </c>
      <c r="J646" s="1">
        <f t="shared" si="62"/>
        <v>59089</v>
      </c>
      <c r="L646">
        <v>20450407</v>
      </c>
      <c r="M646" s="1">
        <f t="shared" si="63"/>
        <v>53059</v>
      </c>
      <c r="N646" t="str">
        <f t="shared" si="64"/>
        <v>insert #t values('20450407')</v>
      </c>
    </row>
    <row r="647" spans="8:14" x14ac:dyDescent="0.2">
      <c r="H647" s="6">
        <f t="shared" si="61"/>
        <v>59121</v>
      </c>
      <c r="I647">
        <v>20611111</v>
      </c>
      <c r="J647" s="1">
        <f t="shared" si="62"/>
        <v>59121</v>
      </c>
      <c r="L647">
        <v>20450522</v>
      </c>
      <c r="M647" s="1">
        <f t="shared" si="63"/>
        <v>53104</v>
      </c>
      <c r="N647" t="str">
        <f t="shared" si="64"/>
        <v>insert #t values('20450522')</v>
      </c>
    </row>
    <row r="648" spans="8:14" x14ac:dyDescent="0.2">
      <c r="H648" s="6">
        <f t="shared" si="61"/>
        <v>59166</v>
      </c>
      <c r="I648">
        <v>20611226</v>
      </c>
      <c r="J648" s="1">
        <f t="shared" si="62"/>
        <v>59166</v>
      </c>
      <c r="L648">
        <v>20450703</v>
      </c>
      <c r="M648" s="1">
        <f t="shared" si="63"/>
        <v>53146</v>
      </c>
      <c r="N648" t="str">
        <f t="shared" si="64"/>
        <v>insert #t values('20450703')</v>
      </c>
    </row>
    <row r="649" spans="8:14" x14ac:dyDescent="0.2">
      <c r="H649" s="6">
        <f t="shared" si="61"/>
        <v>59166</v>
      </c>
      <c r="I649">
        <v>20611226</v>
      </c>
      <c r="J649" s="1">
        <f t="shared" si="62"/>
        <v>59166</v>
      </c>
      <c r="L649">
        <v>20450807</v>
      </c>
      <c r="M649" s="1">
        <f t="shared" si="63"/>
        <v>53181</v>
      </c>
      <c r="N649" t="str">
        <f t="shared" si="64"/>
        <v>insert #t values('20450807')</v>
      </c>
    </row>
    <row r="650" spans="8:14" x14ac:dyDescent="0.2">
      <c r="H650" s="6">
        <f t="shared" si="61"/>
        <v>59166</v>
      </c>
      <c r="I650">
        <v>20611226</v>
      </c>
      <c r="J650" s="1">
        <f t="shared" si="62"/>
        <v>59166</v>
      </c>
      <c r="L650">
        <v>20450904</v>
      </c>
      <c r="M650" s="1">
        <f t="shared" si="63"/>
        <v>53209</v>
      </c>
      <c r="N650" t="str">
        <f t="shared" si="64"/>
        <v>insert #t values('20450904')</v>
      </c>
    </row>
    <row r="651" spans="8:14" x14ac:dyDescent="0.2">
      <c r="H651" s="6">
        <f t="shared" si="61"/>
        <v>59173</v>
      </c>
      <c r="I651">
        <v>20620102</v>
      </c>
      <c r="J651" s="1">
        <f t="shared" si="62"/>
        <v>59173</v>
      </c>
      <c r="L651">
        <v>20451009</v>
      </c>
      <c r="M651" s="1">
        <f t="shared" si="63"/>
        <v>53244</v>
      </c>
      <c r="N651" t="str">
        <f t="shared" si="64"/>
        <v>insert #t values('20451009')</v>
      </c>
    </row>
    <row r="652" spans="8:14" x14ac:dyDescent="0.2">
      <c r="H652" s="6">
        <f t="shared" si="61"/>
        <v>59222</v>
      </c>
      <c r="I652">
        <v>20620220</v>
      </c>
      <c r="J652" s="1">
        <f t="shared" si="62"/>
        <v>59222</v>
      </c>
      <c r="L652">
        <v>20451113</v>
      </c>
      <c r="M652" s="1">
        <f t="shared" si="63"/>
        <v>53279</v>
      </c>
      <c r="N652" t="str">
        <f t="shared" si="64"/>
        <v>insert #t values('20451113')</v>
      </c>
    </row>
    <row r="653" spans="8:14" x14ac:dyDescent="0.2">
      <c r="H653" s="6">
        <f t="shared" si="61"/>
        <v>59254</v>
      </c>
      <c r="I653">
        <v>20620324</v>
      </c>
      <c r="J653" s="1">
        <f t="shared" si="62"/>
        <v>59254</v>
      </c>
      <c r="L653">
        <v>20451225</v>
      </c>
      <c r="M653" s="1">
        <f t="shared" si="63"/>
        <v>53321</v>
      </c>
      <c r="N653" t="str">
        <f t="shared" si="64"/>
        <v>insert #t values('20451225')</v>
      </c>
    </row>
    <row r="654" spans="8:14" x14ac:dyDescent="0.2">
      <c r="H654" s="6">
        <f t="shared" si="61"/>
        <v>59313</v>
      </c>
      <c r="I654">
        <v>20620522</v>
      </c>
      <c r="J654" s="1">
        <f t="shared" si="62"/>
        <v>59313</v>
      </c>
      <c r="L654">
        <v>20451226</v>
      </c>
      <c r="M654" s="1">
        <f t="shared" si="63"/>
        <v>53322</v>
      </c>
      <c r="N654" t="str">
        <f t="shared" si="64"/>
        <v>insert #t values('20451226')</v>
      </c>
    </row>
    <row r="655" spans="8:14" x14ac:dyDescent="0.2">
      <c r="H655" s="6">
        <f t="shared" si="61"/>
        <v>59355</v>
      </c>
      <c r="I655">
        <v>20620703</v>
      </c>
      <c r="J655" s="1">
        <f t="shared" si="62"/>
        <v>59355</v>
      </c>
      <c r="L655">
        <v>20451226</v>
      </c>
      <c r="M655" s="1">
        <f t="shared" si="63"/>
        <v>53322</v>
      </c>
      <c r="N655" t="str">
        <f t="shared" si="64"/>
        <v>insert #t values('20451226')</v>
      </c>
    </row>
    <row r="656" spans="8:14" x14ac:dyDescent="0.2">
      <c r="H656" s="6">
        <f t="shared" si="61"/>
        <v>59390</v>
      </c>
      <c r="I656">
        <v>20620807</v>
      </c>
      <c r="J656" s="1">
        <f t="shared" si="62"/>
        <v>59390</v>
      </c>
      <c r="L656">
        <v>20460101</v>
      </c>
      <c r="M656" s="1">
        <f t="shared" si="63"/>
        <v>53328</v>
      </c>
      <c r="N656" t="str">
        <f t="shared" si="64"/>
        <v>insert #t values('20460101')</v>
      </c>
    </row>
    <row r="657" spans="8:14" x14ac:dyDescent="0.2">
      <c r="H657" s="6">
        <f t="shared" si="61"/>
        <v>59418</v>
      </c>
      <c r="I657">
        <v>20620904</v>
      </c>
      <c r="J657" s="1">
        <f t="shared" si="62"/>
        <v>59418</v>
      </c>
      <c r="L657">
        <v>20460219</v>
      </c>
      <c r="M657" s="1">
        <f t="shared" si="63"/>
        <v>53377</v>
      </c>
      <c r="N657" t="str">
        <f t="shared" si="64"/>
        <v>insert #t values('20460219')</v>
      </c>
    </row>
    <row r="658" spans="8:14" x14ac:dyDescent="0.2">
      <c r="H658" s="6">
        <f t="shared" si="61"/>
        <v>59453</v>
      </c>
      <c r="I658">
        <v>20621009</v>
      </c>
      <c r="J658" s="1">
        <f t="shared" si="62"/>
        <v>59453</v>
      </c>
      <c r="L658">
        <v>20460323</v>
      </c>
      <c r="M658" s="1">
        <f t="shared" si="63"/>
        <v>53409</v>
      </c>
      <c r="N658" t="str">
        <f t="shared" si="64"/>
        <v>insert #t values('20460323')</v>
      </c>
    </row>
    <row r="659" spans="8:14" x14ac:dyDescent="0.2">
      <c r="H659" s="6">
        <f t="shared" si="61"/>
        <v>59488</v>
      </c>
      <c r="I659">
        <v>20621113</v>
      </c>
      <c r="J659" s="1">
        <f t="shared" si="62"/>
        <v>59488</v>
      </c>
      <c r="L659">
        <v>20460521</v>
      </c>
      <c r="M659" s="1">
        <f t="shared" si="63"/>
        <v>53468</v>
      </c>
      <c r="N659" t="str">
        <f t="shared" si="64"/>
        <v>insert #t values('20460521')</v>
      </c>
    </row>
    <row r="660" spans="8:14" x14ac:dyDescent="0.2">
      <c r="H660" s="6">
        <f t="shared" si="61"/>
        <v>59530</v>
      </c>
      <c r="I660">
        <v>20621225</v>
      </c>
      <c r="J660" s="1">
        <f t="shared" si="62"/>
        <v>59530</v>
      </c>
      <c r="L660">
        <v>20460702</v>
      </c>
      <c r="M660" s="1">
        <f t="shared" si="63"/>
        <v>53510</v>
      </c>
      <c r="N660" t="str">
        <f t="shared" si="64"/>
        <v>insert #t values('20460702')</v>
      </c>
    </row>
    <row r="661" spans="8:14" x14ac:dyDescent="0.2">
      <c r="H661" s="6">
        <f t="shared" si="61"/>
        <v>59531</v>
      </c>
      <c r="I661">
        <v>20621226</v>
      </c>
      <c r="J661" s="1">
        <f t="shared" si="62"/>
        <v>59531</v>
      </c>
      <c r="L661">
        <v>20460806</v>
      </c>
      <c r="M661" s="1">
        <f t="shared" si="63"/>
        <v>53545</v>
      </c>
      <c r="N661" t="str">
        <f t="shared" si="64"/>
        <v>insert #t values('20460806')</v>
      </c>
    </row>
    <row r="662" spans="8:14" x14ac:dyDescent="0.2">
      <c r="H662" s="6">
        <f t="shared" si="61"/>
        <v>59531</v>
      </c>
      <c r="I662">
        <v>20621226</v>
      </c>
      <c r="J662" s="1">
        <f t="shared" si="62"/>
        <v>59531</v>
      </c>
      <c r="L662">
        <v>20460903</v>
      </c>
      <c r="M662" s="1">
        <f t="shared" si="63"/>
        <v>53573</v>
      </c>
      <c r="N662" t="str">
        <f t="shared" si="64"/>
        <v>insert #t values('20460903')</v>
      </c>
    </row>
    <row r="663" spans="8:14" x14ac:dyDescent="0.2">
      <c r="H663" s="6">
        <f t="shared" si="61"/>
        <v>59537</v>
      </c>
      <c r="I663">
        <v>20630101</v>
      </c>
      <c r="J663" s="1">
        <f t="shared" si="62"/>
        <v>59537</v>
      </c>
      <c r="L663">
        <v>20461008</v>
      </c>
      <c r="M663" s="1">
        <f t="shared" si="63"/>
        <v>53608</v>
      </c>
      <c r="N663" t="str">
        <f t="shared" si="64"/>
        <v>insert #t values('20461008')</v>
      </c>
    </row>
    <row r="664" spans="8:14" x14ac:dyDescent="0.2">
      <c r="H664" s="6">
        <f t="shared" si="61"/>
        <v>59586</v>
      </c>
      <c r="I664">
        <v>20630219</v>
      </c>
      <c r="J664" s="1">
        <f t="shared" si="62"/>
        <v>59586</v>
      </c>
      <c r="L664">
        <v>20461112</v>
      </c>
      <c r="M664" s="1">
        <f t="shared" si="63"/>
        <v>53643</v>
      </c>
      <c r="N664" t="str">
        <f t="shared" si="64"/>
        <v>insert #t values('20461112')</v>
      </c>
    </row>
    <row r="665" spans="8:14" x14ac:dyDescent="0.2">
      <c r="H665" s="6">
        <f t="shared" si="61"/>
        <v>59639</v>
      </c>
      <c r="I665">
        <v>20630413</v>
      </c>
      <c r="J665" s="1">
        <f t="shared" si="62"/>
        <v>59639</v>
      </c>
      <c r="L665">
        <v>20461225</v>
      </c>
      <c r="M665" s="1">
        <f t="shared" si="63"/>
        <v>53686</v>
      </c>
      <c r="N665" t="str">
        <f t="shared" si="64"/>
        <v>insert #t values('20461225')</v>
      </c>
    </row>
    <row r="666" spans="8:14" x14ac:dyDescent="0.2">
      <c r="H666" s="6">
        <f t="shared" si="61"/>
        <v>59677</v>
      </c>
      <c r="I666">
        <v>20630521</v>
      </c>
      <c r="J666" s="1">
        <f t="shared" si="62"/>
        <v>59677</v>
      </c>
      <c r="L666">
        <v>20461226</v>
      </c>
      <c r="M666" s="1">
        <f t="shared" si="63"/>
        <v>53687</v>
      </c>
      <c r="N666" t="str">
        <f t="shared" si="64"/>
        <v>insert #t values('20461226')</v>
      </c>
    </row>
    <row r="667" spans="8:14" x14ac:dyDescent="0.2">
      <c r="H667" s="6">
        <f t="shared" si="61"/>
        <v>59719</v>
      </c>
      <c r="I667">
        <v>20630702</v>
      </c>
      <c r="J667" s="1">
        <f t="shared" si="62"/>
        <v>59719</v>
      </c>
      <c r="L667">
        <v>20461226</v>
      </c>
      <c r="M667" s="1">
        <f t="shared" si="63"/>
        <v>53687</v>
      </c>
      <c r="N667" t="str">
        <f t="shared" si="64"/>
        <v>insert #t values('20461226')</v>
      </c>
    </row>
    <row r="668" spans="8:14" x14ac:dyDescent="0.2">
      <c r="H668" s="6">
        <f t="shared" si="61"/>
        <v>59754</v>
      </c>
      <c r="I668">
        <v>20630806</v>
      </c>
      <c r="J668" s="1">
        <f t="shared" si="62"/>
        <v>59754</v>
      </c>
      <c r="L668">
        <v>20470101</v>
      </c>
      <c r="M668" s="1">
        <f t="shared" si="63"/>
        <v>53693</v>
      </c>
      <c r="N668" t="str">
        <f t="shared" si="64"/>
        <v>insert #t values('20470101')</v>
      </c>
    </row>
    <row r="669" spans="8:14" x14ac:dyDescent="0.2">
      <c r="H669" s="6">
        <f t="shared" si="61"/>
        <v>59782</v>
      </c>
      <c r="I669">
        <v>20630903</v>
      </c>
      <c r="J669" s="1">
        <f t="shared" si="62"/>
        <v>59782</v>
      </c>
      <c r="L669">
        <v>20470218</v>
      </c>
      <c r="M669" s="1">
        <f t="shared" si="63"/>
        <v>53741</v>
      </c>
      <c r="N669" t="str">
        <f t="shared" si="64"/>
        <v>insert #t values('20470218')</v>
      </c>
    </row>
    <row r="670" spans="8:14" x14ac:dyDescent="0.2">
      <c r="H670" s="6">
        <f t="shared" si="61"/>
        <v>59817</v>
      </c>
      <c r="I670">
        <v>20631008</v>
      </c>
      <c r="J670" s="1">
        <f t="shared" si="62"/>
        <v>59817</v>
      </c>
      <c r="L670">
        <v>20470412</v>
      </c>
      <c r="M670" s="1">
        <f t="shared" si="63"/>
        <v>53794</v>
      </c>
      <c r="N670" t="str">
        <f t="shared" si="64"/>
        <v>insert #t values('20470412')</v>
      </c>
    </row>
    <row r="671" spans="8:14" x14ac:dyDescent="0.2">
      <c r="H671" s="6">
        <f t="shared" si="61"/>
        <v>59852</v>
      </c>
      <c r="I671">
        <v>20631112</v>
      </c>
      <c r="J671" s="1">
        <f t="shared" si="62"/>
        <v>59852</v>
      </c>
      <c r="L671">
        <v>20470520</v>
      </c>
      <c r="M671" s="1">
        <f t="shared" si="63"/>
        <v>53832</v>
      </c>
      <c r="N671" t="str">
        <f t="shared" si="64"/>
        <v>insert #t values('20470520')</v>
      </c>
    </row>
    <row r="672" spans="8:14" x14ac:dyDescent="0.2">
      <c r="H672" s="6">
        <f t="shared" si="61"/>
        <v>59895</v>
      </c>
      <c r="I672">
        <v>20631225</v>
      </c>
      <c r="J672" s="1">
        <f t="shared" si="62"/>
        <v>59895</v>
      </c>
      <c r="L672">
        <v>20470701</v>
      </c>
      <c r="M672" s="1">
        <f t="shared" si="63"/>
        <v>53874</v>
      </c>
      <c r="N672" t="str">
        <f t="shared" si="64"/>
        <v>insert #t values('20470701')</v>
      </c>
    </row>
    <row r="673" spans="8:14" x14ac:dyDescent="0.2">
      <c r="H673" s="6">
        <f t="shared" si="61"/>
        <v>59896</v>
      </c>
      <c r="I673">
        <v>20631226</v>
      </c>
      <c r="J673" s="1">
        <f t="shared" si="62"/>
        <v>59896</v>
      </c>
      <c r="L673">
        <v>20470805</v>
      </c>
      <c r="M673" s="1">
        <f t="shared" si="63"/>
        <v>53909</v>
      </c>
      <c r="N673" t="str">
        <f t="shared" si="64"/>
        <v>insert #t values('20470805')</v>
      </c>
    </row>
    <row r="674" spans="8:14" x14ac:dyDescent="0.2">
      <c r="H674" s="6">
        <f t="shared" si="61"/>
        <v>59896</v>
      </c>
      <c r="I674">
        <v>20631226</v>
      </c>
      <c r="J674" s="1">
        <f t="shared" si="62"/>
        <v>59896</v>
      </c>
      <c r="L674">
        <v>20470902</v>
      </c>
      <c r="M674" s="1">
        <f t="shared" si="63"/>
        <v>53937</v>
      </c>
      <c r="N674" t="str">
        <f t="shared" si="64"/>
        <v>insert #t values('20470902')</v>
      </c>
    </row>
    <row r="675" spans="8:14" x14ac:dyDescent="0.2">
      <c r="H675" s="6">
        <f t="shared" si="61"/>
        <v>59902</v>
      </c>
      <c r="I675">
        <v>20640101</v>
      </c>
      <c r="J675" s="1">
        <f t="shared" si="62"/>
        <v>59902</v>
      </c>
      <c r="L675">
        <v>20471014</v>
      </c>
      <c r="M675" s="1">
        <f t="shared" si="63"/>
        <v>53979</v>
      </c>
      <c r="N675" t="str">
        <f t="shared" si="64"/>
        <v>insert #t values('20471014')</v>
      </c>
    </row>
    <row r="676" spans="8:14" x14ac:dyDescent="0.2">
      <c r="H676" s="6">
        <f t="shared" si="61"/>
        <v>59950</v>
      </c>
      <c r="I676">
        <v>20640218</v>
      </c>
      <c r="J676" s="1">
        <f t="shared" si="62"/>
        <v>59950</v>
      </c>
      <c r="L676">
        <v>20471111</v>
      </c>
      <c r="M676" s="1">
        <f t="shared" si="63"/>
        <v>54007</v>
      </c>
      <c r="N676" t="str">
        <f t="shared" si="64"/>
        <v>insert #t values('20471111')</v>
      </c>
    </row>
    <row r="677" spans="8:14" x14ac:dyDescent="0.2">
      <c r="H677" s="6">
        <f t="shared" si="61"/>
        <v>59996</v>
      </c>
      <c r="I677">
        <v>20640404</v>
      </c>
      <c r="J677" s="1">
        <f t="shared" si="62"/>
        <v>59996</v>
      </c>
      <c r="L677">
        <v>20471225</v>
      </c>
      <c r="M677" s="1">
        <f t="shared" si="63"/>
        <v>54051</v>
      </c>
      <c r="N677" t="str">
        <f t="shared" si="64"/>
        <v>insert #t values('20471225')</v>
      </c>
    </row>
    <row r="678" spans="8:14" x14ac:dyDescent="0.2">
      <c r="H678" s="6">
        <f t="shared" si="61"/>
        <v>60041</v>
      </c>
      <c r="I678">
        <v>20640519</v>
      </c>
      <c r="J678" s="1">
        <f t="shared" si="62"/>
        <v>60041</v>
      </c>
      <c r="L678">
        <v>20471226</v>
      </c>
      <c r="M678" s="1">
        <f t="shared" si="63"/>
        <v>54052</v>
      </c>
      <c r="N678" t="str">
        <f t="shared" si="64"/>
        <v>insert #t values('20471226')</v>
      </c>
    </row>
    <row r="679" spans="8:14" x14ac:dyDescent="0.2">
      <c r="H679" s="6">
        <f t="shared" si="61"/>
        <v>60084</v>
      </c>
      <c r="I679">
        <v>20640701</v>
      </c>
      <c r="J679" s="1">
        <f t="shared" si="62"/>
        <v>60084</v>
      </c>
      <c r="L679">
        <v>20471226</v>
      </c>
      <c r="M679" s="1">
        <f t="shared" si="63"/>
        <v>54052</v>
      </c>
      <c r="N679" t="str">
        <f t="shared" si="64"/>
        <v>insert #t values('20471226')</v>
      </c>
    </row>
    <row r="680" spans="8:14" x14ac:dyDescent="0.2">
      <c r="H680" s="6">
        <f t="shared" si="61"/>
        <v>60118</v>
      </c>
      <c r="I680">
        <v>20640804</v>
      </c>
      <c r="J680" s="1">
        <f t="shared" si="62"/>
        <v>60118</v>
      </c>
      <c r="L680">
        <v>20480101</v>
      </c>
      <c r="M680" s="1">
        <f t="shared" si="63"/>
        <v>54058</v>
      </c>
      <c r="N680" t="str">
        <f t="shared" si="64"/>
        <v>insert #t values('20480101')</v>
      </c>
    </row>
    <row r="681" spans="8:14" x14ac:dyDescent="0.2">
      <c r="H681" s="6">
        <f t="shared" si="61"/>
        <v>60146</v>
      </c>
      <c r="I681">
        <v>20640901</v>
      </c>
      <c r="J681" s="1">
        <f t="shared" si="62"/>
        <v>60146</v>
      </c>
      <c r="L681">
        <v>20480217</v>
      </c>
      <c r="M681" s="1">
        <f t="shared" si="63"/>
        <v>54105</v>
      </c>
      <c r="N681" t="str">
        <f t="shared" si="64"/>
        <v>insert #t values('20480217')</v>
      </c>
    </row>
    <row r="682" spans="8:14" x14ac:dyDescent="0.2">
      <c r="H682" s="6">
        <f t="shared" si="61"/>
        <v>60188</v>
      </c>
      <c r="I682">
        <v>20641013</v>
      </c>
      <c r="J682" s="1">
        <f t="shared" si="62"/>
        <v>60188</v>
      </c>
      <c r="L682">
        <v>20480403</v>
      </c>
      <c r="M682" s="1">
        <f t="shared" si="63"/>
        <v>54151</v>
      </c>
      <c r="N682" t="str">
        <f t="shared" si="64"/>
        <v>insert #t values('20480403')</v>
      </c>
    </row>
    <row r="683" spans="8:14" x14ac:dyDescent="0.2">
      <c r="H683" s="6">
        <f t="shared" si="61"/>
        <v>60217</v>
      </c>
      <c r="I683">
        <v>20641111</v>
      </c>
      <c r="J683" s="1">
        <f t="shared" si="62"/>
        <v>60217</v>
      </c>
      <c r="L683">
        <v>20480518</v>
      </c>
      <c r="M683" s="1">
        <f t="shared" si="63"/>
        <v>54196</v>
      </c>
      <c r="N683" t="str">
        <f t="shared" si="64"/>
        <v>insert #t values('20480518')</v>
      </c>
    </row>
    <row r="684" spans="8:14" x14ac:dyDescent="0.2">
      <c r="H684" s="6">
        <f t="shared" si="61"/>
        <v>60261</v>
      </c>
      <c r="I684">
        <v>20641225</v>
      </c>
      <c r="J684" s="1">
        <f t="shared" si="62"/>
        <v>60261</v>
      </c>
      <c r="L684">
        <v>20480701</v>
      </c>
      <c r="M684" s="1">
        <f t="shared" si="63"/>
        <v>54240</v>
      </c>
      <c r="N684" t="str">
        <f t="shared" si="64"/>
        <v>insert #t values('20480701')</v>
      </c>
    </row>
    <row r="685" spans="8:14" x14ac:dyDescent="0.2">
      <c r="H685" s="6">
        <f t="shared" si="61"/>
        <v>60262</v>
      </c>
      <c r="I685">
        <v>20641226</v>
      </c>
      <c r="J685" s="1">
        <f t="shared" si="62"/>
        <v>60262</v>
      </c>
      <c r="L685">
        <v>20480803</v>
      </c>
      <c r="M685" s="1">
        <f t="shared" si="63"/>
        <v>54273</v>
      </c>
      <c r="N685" t="str">
        <f t="shared" si="64"/>
        <v>insert #t values('20480803')</v>
      </c>
    </row>
    <row r="686" spans="8:14" x14ac:dyDescent="0.2">
      <c r="H686" s="6">
        <f t="shared" si="61"/>
        <v>60262</v>
      </c>
      <c r="I686">
        <v>20641226</v>
      </c>
      <c r="J686" s="1">
        <f t="shared" si="62"/>
        <v>60262</v>
      </c>
      <c r="L686">
        <v>20480907</v>
      </c>
      <c r="M686" s="1">
        <f t="shared" si="63"/>
        <v>54308</v>
      </c>
      <c r="N686" t="str">
        <f t="shared" si="64"/>
        <v>insert #t values('20480907')</v>
      </c>
    </row>
    <row r="687" spans="8:14" x14ac:dyDescent="0.2">
      <c r="H687" s="6">
        <f t="shared" si="61"/>
        <v>60268</v>
      </c>
      <c r="I687">
        <v>20650101</v>
      </c>
      <c r="J687" s="1">
        <f t="shared" si="62"/>
        <v>60268</v>
      </c>
      <c r="L687">
        <v>20481012</v>
      </c>
      <c r="M687" s="1">
        <f t="shared" si="63"/>
        <v>54343</v>
      </c>
      <c r="N687" t="str">
        <f t="shared" si="64"/>
        <v>insert #t values('20481012')</v>
      </c>
    </row>
    <row r="688" spans="8:14" x14ac:dyDescent="0.2">
      <c r="H688" s="6">
        <f t="shared" si="61"/>
        <v>60314</v>
      </c>
      <c r="I688">
        <v>20650216</v>
      </c>
      <c r="J688" s="1">
        <f t="shared" si="62"/>
        <v>60314</v>
      </c>
      <c r="L688">
        <v>20481111</v>
      </c>
      <c r="M688" s="1">
        <f t="shared" si="63"/>
        <v>54373</v>
      </c>
      <c r="N688" t="str">
        <f t="shared" si="64"/>
        <v>insert #t values('20481111')</v>
      </c>
    </row>
    <row r="689" spans="8:14" x14ac:dyDescent="0.2">
      <c r="H689" s="6">
        <f t="shared" si="61"/>
        <v>60353</v>
      </c>
      <c r="I689">
        <v>20650327</v>
      </c>
      <c r="J689" s="1">
        <f t="shared" si="62"/>
        <v>60353</v>
      </c>
      <c r="L689">
        <v>20481225</v>
      </c>
      <c r="M689" s="1">
        <f t="shared" si="63"/>
        <v>54417</v>
      </c>
      <c r="N689" t="str">
        <f t="shared" si="64"/>
        <v>insert #t values('20481225')</v>
      </c>
    </row>
    <row r="690" spans="8:14" x14ac:dyDescent="0.2">
      <c r="H690" s="6">
        <f t="shared" si="61"/>
        <v>60405</v>
      </c>
      <c r="I690">
        <v>20650518</v>
      </c>
      <c r="J690" s="1">
        <f t="shared" si="62"/>
        <v>60405</v>
      </c>
      <c r="L690">
        <v>20481228</v>
      </c>
      <c r="M690" s="1">
        <f t="shared" si="63"/>
        <v>54420</v>
      </c>
      <c r="N690" t="str">
        <f t="shared" si="64"/>
        <v>insert #t values('20481228')</v>
      </c>
    </row>
    <row r="691" spans="8:14" x14ac:dyDescent="0.2">
      <c r="H691" s="6">
        <f t="shared" si="61"/>
        <v>60449</v>
      </c>
      <c r="I691">
        <v>20650701</v>
      </c>
      <c r="J691" s="1">
        <f t="shared" si="62"/>
        <v>60449</v>
      </c>
      <c r="L691">
        <v>20481228</v>
      </c>
      <c r="M691" s="1">
        <f t="shared" si="63"/>
        <v>54420</v>
      </c>
      <c r="N691" t="str">
        <f t="shared" si="64"/>
        <v>insert #t values('20481228')</v>
      </c>
    </row>
    <row r="692" spans="8:14" x14ac:dyDescent="0.2">
      <c r="H692" s="6">
        <f t="shared" si="61"/>
        <v>60482</v>
      </c>
      <c r="I692">
        <v>20650803</v>
      </c>
      <c r="J692" s="1">
        <f t="shared" si="62"/>
        <v>60482</v>
      </c>
      <c r="L692">
        <v>20490101</v>
      </c>
      <c r="M692" s="1">
        <f t="shared" si="63"/>
        <v>54424</v>
      </c>
      <c r="N692" t="str">
        <f t="shared" si="64"/>
        <v>insert #t values('20490101')</v>
      </c>
    </row>
    <row r="693" spans="8:14" x14ac:dyDescent="0.2">
      <c r="H693" s="6">
        <f t="shared" si="61"/>
        <v>60517</v>
      </c>
      <c r="I693">
        <v>20650907</v>
      </c>
      <c r="J693" s="1">
        <f t="shared" si="62"/>
        <v>60517</v>
      </c>
      <c r="L693">
        <v>20490215</v>
      </c>
      <c r="M693" s="1">
        <f t="shared" si="63"/>
        <v>54469</v>
      </c>
      <c r="N693" t="str">
        <f t="shared" si="64"/>
        <v>insert #t values('20490215')</v>
      </c>
    </row>
    <row r="694" spans="8:14" x14ac:dyDescent="0.2">
      <c r="H694" s="6">
        <f t="shared" si="61"/>
        <v>60552</v>
      </c>
      <c r="I694">
        <v>20651012</v>
      </c>
      <c r="J694" s="1">
        <f t="shared" si="62"/>
        <v>60552</v>
      </c>
      <c r="L694">
        <v>20490416</v>
      </c>
      <c r="M694" s="1">
        <f t="shared" si="63"/>
        <v>54529</v>
      </c>
      <c r="N694" t="str">
        <f t="shared" si="64"/>
        <v>insert #t values('20490416')</v>
      </c>
    </row>
    <row r="695" spans="8:14" x14ac:dyDescent="0.2">
      <c r="H695" s="6">
        <f t="shared" si="61"/>
        <v>60582</v>
      </c>
      <c r="I695">
        <v>20651111</v>
      </c>
      <c r="J695" s="1">
        <f t="shared" si="62"/>
        <v>60582</v>
      </c>
      <c r="L695">
        <v>20490524</v>
      </c>
      <c r="M695" s="1">
        <f t="shared" si="63"/>
        <v>54567</v>
      </c>
      <c r="N695" t="str">
        <f t="shared" si="64"/>
        <v>insert #t values('20490524')</v>
      </c>
    </row>
    <row r="696" spans="8:14" x14ac:dyDescent="0.2">
      <c r="H696" s="6">
        <f t="shared" si="61"/>
        <v>60626</v>
      </c>
      <c r="I696">
        <v>20651225</v>
      </c>
      <c r="J696" s="1">
        <f t="shared" si="62"/>
        <v>60626</v>
      </c>
      <c r="L696">
        <v>20490701</v>
      </c>
      <c r="M696" s="1">
        <f t="shared" si="63"/>
        <v>54605</v>
      </c>
      <c r="N696" t="str">
        <f t="shared" si="64"/>
        <v>insert #t values('20490701')</v>
      </c>
    </row>
    <row r="697" spans="8:14" x14ac:dyDescent="0.2">
      <c r="H697" s="6">
        <f t="shared" si="61"/>
        <v>60629</v>
      </c>
      <c r="I697">
        <v>20651228</v>
      </c>
      <c r="J697" s="1">
        <f t="shared" si="62"/>
        <v>60629</v>
      </c>
      <c r="L697">
        <v>20490802</v>
      </c>
      <c r="M697" s="1">
        <f t="shared" si="63"/>
        <v>54637</v>
      </c>
      <c r="N697" t="str">
        <f t="shared" si="64"/>
        <v>insert #t values('20490802')</v>
      </c>
    </row>
    <row r="698" spans="8:14" x14ac:dyDescent="0.2">
      <c r="H698" s="6">
        <f t="shared" si="61"/>
        <v>60629</v>
      </c>
      <c r="I698">
        <v>20651228</v>
      </c>
      <c r="J698" s="1">
        <f t="shared" si="62"/>
        <v>60629</v>
      </c>
      <c r="L698">
        <v>20490906</v>
      </c>
      <c r="M698" s="1">
        <f t="shared" si="63"/>
        <v>54672</v>
      </c>
      <c r="N698" t="str">
        <f t="shared" si="64"/>
        <v>insert #t values('20490906')</v>
      </c>
    </row>
    <row r="699" spans="8:14" x14ac:dyDescent="0.2">
      <c r="H699" s="6">
        <f t="shared" si="61"/>
        <v>60633</v>
      </c>
      <c r="I699">
        <v>20660101</v>
      </c>
      <c r="J699" s="1">
        <f t="shared" si="62"/>
        <v>60633</v>
      </c>
      <c r="L699">
        <v>20491011</v>
      </c>
      <c r="M699" s="1">
        <f t="shared" si="63"/>
        <v>54707</v>
      </c>
      <c r="N699" t="str">
        <f t="shared" si="64"/>
        <v>insert #t values('20491011')</v>
      </c>
    </row>
    <row r="700" spans="8:14" x14ac:dyDescent="0.2">
      <c r="H700" s="6">
        <f t="shared" si="61"/>
        <v>60678</v>
      </c>
      <c r="I700">
        <v>20660215</v>
      </c>
      <c r="J700" s="1">
        <f t="shared" si="62"/>
        <v>60678</v>
      </c>
      <c r="L700">
        <v>20491111</v>
      </c>
      <c r="M700" s="1">
        <f t="shared" si="63"/>
        <v>54738</v>
      </c>
      <c r="N700" t="str">
        <f t="shared" si="64"/>
        <v>insert #t values('20491111')</v>
      </c>
    </row>
    <row r="701" spans="8:14" x14ac:dyDescent="0.2">
      <c r="H701" s="6">
        <f t="shared" si="61"/>
        <v>60731</v>
      </c>
      <c r="I701">
        <v>20660409</v>
      </c>
      <c r="J701" s="1">
        <f t="shared" si="62"/>
        <v>60731</v>
      </c>
      <c r="L701">
        <v>20491227</v>
      </c>
      <c r="M701" s="1">
        <f t="shared" si="63"/>
        <v>54784</v>
      </c>
      <c r="N701" t="str">
        <f t="shared" si="64"/>
        <v>insert #t values('20491227')</v>
      </c>
    </row>
    <row r="702" spans="8:14" x14ac:dyDescent="0.2">
      <c r="H702" s="6">
        <f t="shared" si="61"/>
        <v>60776</v>
      </c>
      <c r="I702">
        <v>20660524</v>
      </c>
      <c r="J702" s="1">
        <f t="shared" si="62"/>
        <v>60776</v>
      </c>
      <c r="L702">
        <v>20491227</v>
      </c>
      <c r="M702" s="1">
        <f t="shared" si="63"/>
        <v>54784</v>
      </c>
      <c r="N702" t="str">
        <f t="shared" si="64"/>
        <v>insert #t values('20491227')</v>
      </c>
    </row>
    <row r="703" spans="8:14" x14ac:dyDescent="0.2">
      <c r="H703" s="6">
        <f t="shared" si="61"/>
        <v>60814</v>
      </c>
      <c r="I703">
        <v>20660701</v>
      </c>
      <c r="J703" s="1">
        <f t="shared" si="62"/>
        <v>60814</v>
      </c>
      <c r="L703">
        <v>20491228</v>
      </c>
      <c r="M703" s="1">
        <f t="shared" si="63"/>
        <v>54785</v>
      </c>
      <c r="N703" t="str">
        <f t="shared" si="64"/>
        <v>insert #t values('20491228')</v>
      </c>
    </row>
    <row r="704" spans="8:14" x14ac:dyDescent="0.2">
      <c r="H704" s="6">
        <f t="shared" si="61"/>
        <v>60846</v>
      </c>
      <c r="I704">
        <v>20660802</v>
      </c>
      <c r="J704" s="1">
        <f t="shared" si="62"/>
        <v>60846</v>
      </c>
      <c r="L704">
        <v>20500103</v>
      </c>
      <c r="M704" s="1">
        <f t="shared" si="63"/>
        <v>54791</v>
      </c>
      <c r="N704" t="str">
        <f t="shared" si="64"/>
        <v>insert #t values('20500103')</v>
      </c>
    </row>
    <row r="705" spans="8:14" x14ac:dyDescent="0.2">
      <c r="H705" s="6">
        <f t="shared" si="61"/>
        <v>60881</v>
      </c>
      <c r="I705">
        <v>20660906</v>
      </c>
      <c r="J705" s="1">
        <f t="shared" si="62"/>
        <v>60881</v>
      </c>
      <c r="L705">
        <v>20500221</v>
      </c>
      <c r="M705" s="1">
        <f t="shared" si="63"/>
        <v>54840</v>
      </c>
      <c r="N705" t="str">
        <f t="shared" si="64"/>
        <v>insert #t values('20500221')</v>
      </c>
    </row>
    <row r="706" spans="8:14" x14ac:dyDescent="0.2">
      <c r="H706" s="6">
        <f t="shared" ref="H706:H769" si="65">J706-A706</f>
        <v>60916</v>
      </c>
      <c r="I706">
        <v>20661011</v>
      </c>
      <c r="J706" s="1">
        <f t="shared" ref="J706:J769" si="66">DATE(LEFT(I706,4),MID(I706,5,2),RIGHT(I706,2))</f>
        <v>60916</v>
      </c>
      <c r="L706">
        <v>20500408</v>
      </c>
      <c r="M706" s="1">
        <f t="shared" ref="M706:M769" si="67">DATE(LEFT(L706,4),MID(L706,5,2),RIGHT(L706,2))</f>
        <v>54886</v>
      </c>
      <c r="N706" t="str">
        <f t="shared" ref="N706:N769" si="68">"insert #t values('"&amp;L706 &amp; "')"</f>
        <v>insert #t values('20500408')</v>
      </c>
    </row>
    <row r="707" spans="8:14" x14ac:dyDescent="0.2">
      <c r="H707" s="6">
        <f t="shared" si="65"/>
        <v>60947</v>
      </c>
      <c r="I707">
        <v>20661111</v>
      </c>
      <c r="J707" s="1">
        <f t="shared" si="66"/>
        <v>60947</v>
      </c>
      <c r="L707">
        <v>20500523</v>
      </c>
      <c r="M707" s="1">
        <f t="shared" si="67"/>
        <v>54931</v>
      </c>
      <c r="N707" t="str">
        <f t="shared" si="68"/>
        <v>insert #t values('20500523')</v>
      </c>
    </row>
    <row r="708" spans="8:14" x14ac:dyDescent="0.2">
      <c r="H708" s="6">
        <f t="shared" si="65"/>
        <v>60993</v>
      </c>
      <c r="I708">
        <v>20661227</v>
      </c>
      <c r="J708" s="1">
        <f t="shared" si="66"/>
        <v>60993</v>
      </c>
      <c r="L708">
        <v>20500701</v>
      </c>
      <c r="M708" s="1">
        <f t="shared" si="67"/>
        <v>54970</v>
      </c>
      <c r="N708" t="str">
        <f t="shared" si="68"/>
        <v>insert #t values('20500701')</v>
      </c>
    </row>
    <row r="709" spans="8:14" x14ac:dyDescent="0.2">
      <c r="H709" s="6">
        <f t="shared" si="65"/>
        <v>60993</v>
      </c>
      <c r="I709">
        <v>20661227</v>
      </c>
      <c r="J709" s="1">
        <f t="shared" si="66"/>
        <v>60993</v>
      </c>
      <c r="L709">
        <v>20500801</v>
      </c>
      <c r="M709" s="1">
        <f t="shared" si="67"/>
        <v>55001</v>
      </c>
      <c r="N709" t="str">
        <f t="shared" si="68"/>
        <v>insert #t values('20500801')</v>
      </c>
    </row>
    <row r="710" spans="8:14" x14ac:dyDescent="0.2">
      <c r="H710" s="6">
        <f t="shared" si="65"/>
        <v>60994</v>
      </c>
      <c r="I710">
        <v>20661228</v>
      </c>
      <c r="J710" s="1">
        <f t="shared" si="66"/>
        <v>60994</v>
      </c>
      <c r="L710">
        <v>20500905</v>
      </c>
      <c r="M710" s="1">
        <f t="shared" si="67"/>
        <v>55036</v>
      </c>
      <c r="N710" t="str">
        <f t="shared" si="68"/>
        <v>insert #t values('20500905')</v>
      </c>
    </row>
    <row r="711" spans="8:14" x14ac:dyDescent="0.2">
      <c r="H711" s="6">
        <f t="shared" si="65"/>
        <v>61000</v>
      </c>
      <c r="I711">
        <v>20670103</v>
      </c>
      <c r="J711" s="1">
        <f t="shared" si="66"/>
        <v>61000</v>
      </c>
      <c r="L711">
        <v>20501010</v>
      </c>
      <c r="M711" s="1">
        <f t="shared" si="67"/>
        <v>55071</v>
      </c>
      <c r="N711" t="str">
        <f t="shared" si="68"/>
        <v>insert #t values('20501010')</v>
      </c>
    </row>
    <row r="712" spans="8:14" x14ac:dyDescent="0.2">
      <c r="H712" s="6">
        <f t="shared" si="65"/>
        <v>61049</v>
      </c>
      <c r="I712">
        <v>20670221</v>
      </c>
      <c r="J712" s="1">
        <f t="shared" si="66"/>
        <v>61049</v>
      </c>
      <c r="L712">
        <v>20501111</v>
      </c>
      <c r="M712" s="1">
        <f t="shared" si="67"/>
        <v>55103</v>
      </c>
      <c r="N712" t="str">
        <f t="shared" si="68"/>
        <v>insert #t values('20501111')</v>
      </c>
    </row>
    <row r="713" spans="8:14" x14ac:dyDescent="0.2">
      <c r="H713" s="6">
        <f t="shared" si="65"/>
        <v>61088</v>
      </c>
      <c r="I713">
        <v>20670401</v>
      </c>
      <c r="J713" s="1">
        <f t="shared" si="66"/>
        <v>61088</v>
      </c>
      <c r="L713">
        <v>20501226</v>
      </c>
      <c r="M713" s="1">
        <f t="shared" si="67"/>
        <v>55148</v>
      </c>
      <c r="N713" t="str">
        <f t="shared" si="68"/>
        <v>insert #t values('20501226')</v>
      </c>
    </row>
    <row r="714" spans="8:14" x14ac:dyDescent="0.2">
      <c r="H714" s="6">
        <f t="shared" si="65"/>
        <v>61140</v>
      </c>
      <c r="I714">
        <v>20670523</v>
      </c>
      <c r="J714" s="1">
        <f t="shared" si="66"/>
        <v>61140</v>
      </c>
      <c r="L714">
        <v>20501226</v>
      </c>
      <c r="M714" s="1">
        <f t="shared" si="67"/>
        <v>55148</v>
      </c>
      <c r="N714" t="str">
        <f t="shared" si="68"/>
        <v>insert #t values('20501226')</v>
      </c>
    </row>
    <row r="715" spans="8:14" x14ac:dyDescent="0.2">
      <c r="H715" s="6">
        <f t="shared" si="65"/>
        <v>61179</v>
      </c>
      <c r="I715">
        <v>20670701</v>
      </c>
      <c r="J715" s="1">
        <f t="shared" si="66"/>
        <v>61179</v>
      </c>
      <c r="L715">
        <v>20501226</v>
      </c>
      <c r="M715" s="1">
        <f t="shared" si="67"/>
        <v>55148</v>
      </c>
      <c r="N715" t="str">
        <f t="shared" si="68"/>
        <v>insert #t values('20501226')</v>
      </c>
    </row>
    <row r="716" spans="8:14" x14ac:dyDescent="0.2">
      <c r="H716" s="6">
        <f t="shared" si="65"/>
        <v>61210</v>
      </c>
      <c r="I716">
        <v>20670801</v>
      </c>
      <c r="J716" s="1">
        <f t="shared" si="66"/>
        <v>61210</v>
      </c>
      <c r="L716">
        <v>20510102</v>
      </c>
      <c r="M716" s="1">
        <f t="shared" si="67"/>
        <v>55155</v>
      </c>
      <c r="N716" t="str">
        <f t="shared" si="68"/>
        <v>insert #t values('20510102')</v>
      </c>
    </row>
    <row r="717" spans="8:14" x14ac:dyDescent="0.2">
      <c r="H717" s="6">
        <f t="shared" si="65"/>
        <v>61245</v>
      </c>
      <c r="I717">
        <v>20670905</v>
      </c>
      <c r="J717" s="1">
        <f t="shared" si="66"/>
        <v>61245</v>
      </c>
      <c r="L717">
        <v>20510220</v>
      </c>
      <c r="M717" s="1">
        <f t="shared" si="67"/>
        <v>55204</v>
      </c>
      <c r="N717" t="str">
        <f t="shared" si="68"/>
        <v>insert #t values('20510220')</v>
      </c>
    </row>
    <row r="718" spans="8:14" x14ac:dyDescent="0.2">
      <c r="H718" s="6">
        <f t="shared" si="65"/>
        <v>61280</v>
      </c>
      <c r="I718">
        <v>20671010</v>
      </c>
      <c r="J718" s="1">
        <f t="shared" si="66"/>
        <v>61280</v>
      </c>
      <c r="L718">
        <v>20510331</v>
      </c>
      <c r="M718" s="1">
        <f t="shared" si="67"/>
        <v>55243</v>
      </c>
      <c r="N718" t="str">
        <f t="shared" si="68"/>
        <v>insert #t values('20510331')</v>
      </c>
    </row>
    <row r="719" spans="8:14" x14ac:dyDescent="0.2">
      <c r="H719" s="6">
        <f t="shared" si="65"/>
        <v>61312</v>
      </c>
      <c r="I719">
        <v>20671111</v>
      </c>
      <c r="J719" s="1">
        <f t="shared" si="66"/>
        <v>61312</v>
      </c>
      <c r="L719">
        <v>20510522</v>
      </c>
      <c r="M719" s="1">
        <f t="shared" si="67"/>
        <v>55295</v>
      </c>
      <c r="N719" t="str">
        <f t="shared" si="68"/>
        <v>insert #t values('20510522')</v>
      </c>
    </row>
    <row r="720" spans="8:14" x14ac:dyDescent="0.2">
      <c r="H720" s="6">
        <f t="shared" si="65"/>
        <v>61357</v>
      </c>
      <c r="I720">
        <v>20671226</v>
      </c>
      <c r="J720" s="1">
        <f t="shared" si="66"/>
        <v>61357</v>
      </c>
      <c r="L720">
        <v>20510703</v>
      </c>
      <c r="M720" s="1">
        <f t="shared" si="67"/>
        <v>55337</v>
      </c>
      <c r="N720" t="str">
        <f t="shared" si="68"/>
        <v>insert #t values('20510703')</v>
      </c>
    </row>
    <row r="721" spans="8:14" x14ac:dyDescent="0.2">
      <c r="H721" s="6">
        <f t="shared" si="65"/>
        <v>61357</v>
      </c>
      <c r="I721">
        <v>20671226</v>
      </c>
      <c r="J721" s="1">
        <f t="shared" si="66"/>
        <v>61357</v>
      </c>
      <c r="L721">
        <v>20510807</v>
      </c>
      <c r="M721" s="1">
        <f t="shared" si="67"/>
        <v>55372</v>
      </c>
      <c r="N721" t="str">
        <f t="shared" si="68"/>
        <v>insert #t values('20510807')</v>
      </c>
    </row>
    <row r="722" spans="8:14" x14ac:dyDescent="0.2">
      <c r="H722" s="6">
        <f t="shared" si="65"/>
        <v>61357</v>
      </c>
      <c r="I722">
        <v>20671226</v>
      </c>
      <c r="J722" s="1">
        <f t="shared" si="66"/>
        <v>61357</v>
      </c>
      <c r="L722">
        <v>20510904</v>
      </c>
      <c r="M722" s="1">
        <f t="shared" si="67"/>
        <v>55400</v>
      </c>
      <c r="N722" t="str">
        <f t="shared" si="68"/>
        <v>insert #t values('20510904')</v>
      </c>
    </row>
    <row r="723" spans="8:14" x14ac:dyDescent="0.2">
      <c r="H723" s="6">
        <f t="shared" si="65"/>
        <v>61364</v>
      </c>
      <c r="I723">
        <v>20680102</v>
      </c>
      <c r="J723" s="1">
        <f t="shared" si="66"/>
        <v>61364</v>
      </c>
      <c r="L723">
        <v>20511009</v>
      </c>
      <c r="M723" s="1">
        <f t="shared" si="67"/>
        <v>55435</v>
      </c>
      <c r="N723" t="str">
        <f t="shared" si="68"/>
        <v>insert #t values('20511009')</v>
      </c>
    </row>
    <row r="724" spans="8:14" x14ac:dyDescent="0.2">
      <c r="H724" s="6">
        <f t="shared" si="65"/>
        <v>61413</v>
      </c>
      <c r="I724">
        <v>20680220</v>
      </c>
      <c r="J724" s="1">
        <f t="shared" si="66"/>
        <v>61413</v>
      </c>
      <c r="L724">
        <v>20511113</v>
      </c>
      <c r="M724" s="1">
        <f t="shared" si="67"/>
        <v>55470</v>
      </c>
      <c r="N724" t="str">
        <f t="shared" si="68"/>
        <v>insert #t values('20511113')</v>
      </c>
    </row>
    <row r="725" spans="8:14" x14ac:dyDescent="0.2">
      <c r="H725" s="6">
        <f t="shared" si="65"/>
        <v>61473</v>
      </c>
      <c r="I725">
        <v>20680420</v>
      </c>
      <c r="J725" s="1">
        <f t="shared" si="66"/>
        <v>61473</v>
      </c>
      <c r="L725">
        <v>20511225</v>
      </c>
      <c r="M725" s="1">
        <f t="shared" si="67"/>
        <v>55512</v>
      </c>
      <c r="N725" t="str">
        <f t="shared" si="68"/>
        <v>insert #t values('20511225')</v>
      </c>
    </row>
    <row r="726" spans="8:14" x14ac:dyDescent="0.2">
      <c r="H726" s="6">
        <f t="shared" si="65"/>
        <v>61504</v>
      </c>
      <c r="I726">
        <v>20680521</v>
      </c>
      <c r="J726" s="1">
        <f t="shared" si="66"/>
        <v>61504</v>
      </c>
      <c r="L726">
        <v>20511226</v>
      </c>
      <c r="M726" s="1">
        <f t="shared" si="67"/>
        <v>55513</v>
      </c>
      <c r="N726" t="str">
        <f t="shared" si="68"/>
        <v>insert #t values('20511226')</v>
      </c>
    </row>
    <row r="727" spans="8:14" x14ac:dyDescent="0.2">
      <c r="H727" s="6">
        <f t="shared" si="65"/>
        <v>61546</v>
      </c>
      <c r="I727">
        <v>20680702</v>
      </c>
      <c r="J727" s="1">
        <f t="shared" si="66"/>
        <v>61546</v>
      </c>
      <c r="L727">
        <v>20511226</v>
      </c>
      <c r="M727" s="1">
        <f t="shared" si="67"/>
        <v>55513</v>
      </c>
      <c r="N727" t="str">
        <f t="shared" si="68"/>
        <v>insert #t values('20511226')</v>
      </c>
    </row>
    <row r="728" spans="8:14" x14ac:dyDescent="0.2">
      <c r="H728" s="6">
        <f t="shared" si="65"/>
        <v>61581</v>
      </c>
      <c r="I728">
        <v>20680806</v>
      </c>
      <c r="J728" s="1">
        <f t="shared" si="66"/>
        <v>61581</v>
      </c>
      <c r="L728">
        <v>20520101</v>
      </c>
      <c r="M728" s="1">
        <f t="shared" si="67"/>
        <v>55519</v>
      </c>
      <c r="N728" t="str">
        <f t="shared" si="68"/>
        <v>insert #t values('20520101')</v>
      </c>
    </row>
    <row r="729" spans="8:14" x14ac:dyDescent="0.2">
      <c r="H729" s="6">
        <f t="shared" si="65"/>
        <v>61609</v>
      </c>
      <c r="I729">
        <v>20680903</v>
      </c>
      <c r="J729" s="1">
        <f t="shared" si="66"/>
        <v>61609</v>
      </c>
      <c r="L729">
        <v>20520219</v>
      </c>
      <c r="M729" s="1">
        <f t="shared" si="67"/>
        <v>55568</v>
      </c>
      <c r="N729" t="str">
        <f t="shared" si="68"/>
        <v>insert #t values('20520219')</v>
      </c>
    </row>
    <row r="730" spans="8:14" x14ac:dyDescent="0.2">
      <c r="H730" s="6">
        <f t="shared" si="65"/>
        <v>61644</v>
      </c>
      <c r="I730">
        <v>20681008</v>
      </c>
      <c r="J730" s="1">
        <f t="shared" si="66"/>
        <v>61644</v>
      </c>
      <c r="L730">
        <v>20520419</v>
      </c>
      <c r="M730" s="1">
        <f t="shared" si="67"/>
        <v>55628</v>
      </c>
      <c r="N730" t="str">
        <f t="shared" si="68"/>
        <v>insert #t values('20520419')</v>
      </c>
    </row>
    <row r="731" spans="8:14" x14ac:dyDescent="0.2">
      <c r="H731" s="6">
        <f t="shared" si="65"/>
        <v>61679</v>
      </c>
      <c r="I731">
        <v>20681112</v>
      </c>
      <c r="J731" s="1">
        <f t="shared" si="66"/>
        <v>61679</v>
      </c>
      <c r="L731">
        <v>20520520</v>
      </c>
      <c r="M731" s="1">
        <f t="shared" si="67"/>
        <v>55659</v>
      </c>
      <c r="N731" t="str">
        <f t="shared" si="68"/>
        <v>insert #t values('20520520')</v>
      </c>
    </row>
    <row r="732" spans="8:14" x14ac:dyDescent="0.2">
      <c r="H732" s="6">
        <f t="shared" si="65"/>
        <v>61722</v>
      </c>
      <c r="I732">
        <v>20681225</v>
      </c>
      <c r="J732" s="1">
        <f t="shared" si="66"/>
        <v>61722</v>
      </c>
      <c r="L732">
        <v>20520701</v>
      </c>
      <c r="M732" s="1">
        <f t="shared" si="67"/>
        <v>55701</v>
      </c>
      <c r="N732" t="str">
        <f t="shared" si="68"/>
        <v>insert #t values('20520701')</v>
      </c>
    </row>
    <row r="733" spans="8:14" x14ac:dyDescent="0.2">
      <c r="H733" s="6">
        <f t="shared" si="65"/>
        <v>61723</v>
      </c>
      <c r="I733">
        <v>20681226</v>
      </c>
      <c r="J733" s="1">
        <f t="shared" si="66"/>
        <v>61723</v>
      </c>
      <c r="L733">
        <v>20520805</v>
      </c>
      <c r="M733" s="1">
        <f t="shared" si="67"/>
        <v>55736</v>
      </c>
      <c r="N733" t="str">
        <f t="shared" si="68"/>
        <v>insert #t values('20520805')</v>
      </c>
    </row>
    <row r="734" spans="8:14" x14ac:dyDescent="0.2">
      <c r="H734" s="6">
        <f t="shared" si="65"/>
        <v>61723</v>
      </c>
      <c r="I734">
        <v>20681226</v>
      </c>
      <c r="J734" s="1">
        <f t="shared" si="66"/>
        <v>61723</v>
      </c>
      <c r="L734">
        <v>20520902</v>
      </c>
      <c r="M734" s="1">
        <f t="shared" si="67"/>
        <v>55764</v>
      </c>
      <c r="N734" t="str">
        <f t="shared" si="68"/>
        <v>insert #t values('20520902')</v>
      </c>
    </row>
    <row r="735" spans="8:14" x14ac:dyDescent="0.2">
      <c r="H735" s="6">
        <f t="shared" si="65"/>
        <v>61729</v>
      </c>
      <c r="I735">
        <v>20690101</v>
      </c>
      <c r="J735" s="1">
        <f t="shared" si="66"/>
        <v>61729</v>
      </c>
      <c r="L735">
        <v>20521014</v>
      </c>
      <c r="M735" s="1">
        <f t="shared" si="67"/>
        <v>55806</v>
      </c>
      <c r="N735" t="str">
        <f t="shared" si="68"/>
        <v>insert #t values('20521014')</v>
      </c>
    </row>
    <row r="736" spans="8:14" x14ac:dyDescent="0.2">
      <c r="H736" s="6">
        <f t="shared" si="65"/>
        <v>61777</v>
      </c>
      <c r="I736">
        <v>20690218</v>
      </c>
      <c r="J736" s="1">
        <f t="shared" si="66"/>
        <v>61777</v>
      </c>
      <c r="L736">
        <v>20521111</v>
      </c>
      <c r="M736" s="1">
        <f t="shared" si="67"/>
        <v>55834</v>
      </c>
      <c r="N736" t="str">
        <f t="shared" si="68"/>
        <v>insert #t values('20521111')</v>
      </c>
    </row>
    <row r="737" spans="8:14" x14ac:dyDescent="0.2">
      <c r="H737" s="6">
        <f t="shared" si="65"/>
        <v>61830</v>
      </c>
      <c r="I737">
        <v>20690412</v>
      </c>
      <c r="J737" s="1">
        <f t="shared" si="66"/>
        <v>61830</v>
      </c>
      <c r="L737">
        <v>20521225</v>
      </c>
      <c r="M737" s="1">
        <f t="shared" si="67"/>
        <v>55878</v>
      </c>
      <c r="N737" t="str">
        <f t="shared" si="68"/>
        <v>insert #t values('20521225')</v>
      </c>
    </row>
    <row r="738" spans="8:14" x14ac:dyDescent="0.2">
      <c r="H738" s="6">
        <f t="shared" si="65"/>
        <v>61868</v>
      </c>
      <c r="I738">
        <v>20690520</v>
      </c>
      <c r="J738" s="1">
        <f t="shared" si="66"/>
        <v>61868</v>
      </c>
      <c r="L738">
        <v>20521226</v>
      </c>
      <c r="M738" s="1">
        <f t="shared" si="67"/>
        <v>55879</v>
      </c>
      <c r="N738" t="str">
        <f t="shared" si="68"/>
        <v>insert #t values('20521226')</v>
      </c>
    </row>
    <row r="739" spans="8:14" x14ac:dyDescent="0.2">
      <c r="H739" s="6">
        <f t="shared" si="65"/>
        <v>61910</v>
      </c>
      <c r="I739">
        <v>20690701</v>
      </c>
      <c r="J739" s="1">
        <f t="shared" si="66"/>
        <v>61910</v>
      </c>
      <c r="L739">
        <v>20521226</v>
      </c>
      <c r="M739" s="1">
        <f t="shared" si="67"/>
        <v>55879</v>
      </c>
      <c r="N739" t="str">
        <f t="shared" si="68"/>
        <v>insert #t values('20521226')</v>
      </c>
    </row>
    <row r="740" spans="8:14" x14ac:dyDescent="0.2">
      <c r="H740" s="6">
        <f t="shared" si="65"/>
        <v>61945</v>
      </c>
      <c r="I740">
        <v>20690805</v>
      </c>
      <c r="J740" s="1">
        <f t="shared" si="66"/>
        <v>61945</v>
      </c>
      <c r="L740">
        <v>20530101</v>
      </c>
      <c r="M740" s="1">
        <f t="shared" si="67"/>
        <v>55885</v>
      </c>
      <c r="N740" t="str">
        <f t="shared" si="68"/>
        <v>insert #t values('20530101')</v>
      </c>
    </row>
    <row r="741" spans="8:14" x14ac:dyDescent="0.2">
      <c r="H741" s="6">
        <f t="shared" si="65"/>
        <v>61973</v>
      </c>
      <c r="I741">
        <v>20690902</v>
      </c>
      <c r="J741" s="1">
        <f t="shared" si="66"/>
        <v>61973</v>
      </c>
      <c r="L741">
        <v>20530217</v>
      </c>
      <c r="M741" s="1">
        <f t="shared" si="67"/>
        <v>55932</v>
      </c>
      <c r="N741" t="str">
        <f t="shared" si="68"/>
        <v>insert #t values('20530217')</v>
      </c>
    </row>
    <row r="742" spans="8:14" x14ac:dyDescent="0.2">
      <c r="H742" s="6">
        <f t="shared" si="65"/>
        <v>62015</v>
      </c>
      <c r="I742">
        <v>20691014</v>
      </c>
      <c r="J742" s="1">
        <f t="shared" si="66"/>
        <v>62015</v>
      </c>
      <c r="L742">
        <v>20530404</v>
      </c>
      <c r="M742" s="1">
        <f t="shared" si="67"/>
        <v>55978</v>
      </c>
      <c r="N742" t="str">
        <f t="shared" si="68"/>
        <v>insert #t values('20530404')</v>
      </c>
    </row>
    <row r="743" spans="8:14" x14ac:dyDescent="0.2">
      <c r="H743" s="6">
        <f t="shared" si="65"/>
        <v>62043</v>
      </c>
      <c r="I743">
        <v>20691111</v>
      </c>
      <c r="J743" s="1">
        <f t="shared" si="66"/>
        <v>62043</v>
      </c>
      <c r="L743">
        <v>20530519</v>
      </c>
      <c r="M743" s="1">
        <f t="shared" si="67"/>
        <v>56023</v>
      </c>
      <c r="N743" t="str">
        <f t="shared" si="68"/>
        <v>insert #t values('20530519')</v>
      </c>
    </row>
    <row r="744" spans="8:14" x14ac:dyDescent="0.2">
      <c r="H744" s="6">
        <f t="shared" si="65"/>
        <v>62087</v>
      </c>
      <c r="I744">
        <v>20691225</v>
      </c>
      <c r="J744" s="1">
        <f t="shared" si="66"/>
        <v>62087</v>
      </c>
      <c r="L744">
        <v>20530701</v>
      </c>
      <c r="M744" s="1">
        <f t="shared" si="67"/>
        <v>56066</v>
      </c>
      <c r="N744" t="str">
        <f t="shared" si="68"/>
        <v>insert #t values('20530701')</v>
      </c>
    </row>
    <row r="745" spans="8:14" x14ac:dyDescent="0.2">
      <c r="H745" s="6">
        <f t="shared" si="65"/>
        <v>62088</v>
      </c>
      <c r="I745">
        <v>20691226</v>
      </c>
      <c r="J745" s="1">
        <f t="shared" si="66"/>
        <v>62088</v>
      </c>
      <c r="L745">
        <v>20530804</v>
      </c>
      <c r="M745" s="1">
        <f t="shared" si="67"/>
        <v>56100</v>
      </c>
      <c r="N745" t="str">
        <f t="shared" si="68"/>
        <v>insert #t values('20530804')</v>
      </c>
    </row>
    <row r="746" spans="8:14" x14ac:dyDescent="0.2">
      <c r="H746" s="6">
        <f t="shared" si="65"/>
        <v>62088</v>
      </c>
      <c r="I746">
        <v>20691226</v>
      </c>
      <c r="J746" s="1">
        <f t="shared" si="66"/>
        <v>62088</v>
      </c>
      <c r="L746">
        <v>20530901</v>
      </c>
      <c r="M746" s="1">
        <f t="shared" si="67"/>
        <v>56128</v>
      </c>
      <c r="N746" t="str">
        <f t="shared" si="68"/>
        <v>insert #t values('20530901')</v>
      </c>
    </row>
    <row r="747" spans="8:14" x14ac:dyDescent="0.2">
      <c r="H747" s="6">
        <f t="shared" si="65"/>
        <v>62094</v>
      </c>
      <c r="I747">
        <v>20700101</v>
      </c>
      <c r="J747" s="1">
        <f t="shared" si="66"/>
        <v>62094</v>
      </c>
      <c r="L747">
        <v>20531013</v>
      </c>
      <c r="M747" s="1">
        <f t="shared" si="67"/>
        <v>56170</v>
      </c>
      <c r="N747" t="str">
        <f t="shared" si="68"/>
        <v>insert #t values('20531013')</v>
      </c>
    </row>
    <row r="748" spans="8:14" x14ac:dyDescent="0.2">
      <c r="H748" s="6">
        <f t="shared" si="65"/>
        <v>62141</v>
      </c>
      <c r="I748">
        <v>20700217</v>
      </c>
      <c r="J748" s="1">
        <f t="shared" si="66"/>
        <v>62141</v>
      </c>
      <c r="L748">
        <v>20531111</v>
      </c>
      <c r="M748" s="1">
        <f t="shared" si="67"/>
        <v>56199</v>
      </c>
      <c r="N748" t="str">
        <f t="shared" si="68"/>
        <v>insert #t values('20531111')</v>
      </c>
    </row>
    <row r="749" spans="8:14" x14ac:dyDescent="0.2">
      <c r="H749" s="6">
        <f t="shared" si="65"/>
        <v>62180</v>
      </c>
      <c r="I749">
        <v>20700328</v>
      </c>
      <c r="J749" s="1">
        <f t="shared" si="66"/>
        <v>62180</v>
      </c>
      <c r="L749">
        <v>20531225</v>
      </c>
      <c r="M749" s="1">
        <f t="shared" si="67"/>
        <v>56243</v>
      </c>
      <c r="N749" t="str">
        <f t="shared" si="68"/>
        <v>insert #t values('20531225')</v>
      </c>
    </row>
    <row r="750" spans="8:14" x14ac:dyDescent="0.2">
      <c r="H750" s="6">
        <f t="shared" si="65"/>
        <v>62232</v>
      </c>
      <c r="I750">
        <v>20700519</v>
      </c>
      <c r="J750" s="1">
        <f t="shared" si="66"/>
        <v>62232</v>
      </c>
      <c r="L750">
        <v>20531226</v>
      </c>
      <c r="M750" s="1">
        <f t="shared" si="67"/>
        <v>56244</v>
      </c>
      <c r="N750" t="str">
        <f t="shared" si="68"/>
        <v>insert #t values('20531226')</v>
      </c>
    </row>
    <row r="751" spans="8:14" x14ac:dyDescent="0.2">
      <c r="H751" s="6">
        <f t="shared" si="65"/>
        <v>62275</v>
      </c>
      <c r="I751">
        <v>20700701</v>
      </c>
      <c r="J751" s="1">
        <f t="shared" si="66"/>
        <v>62275</v>
      </c>
      <c r="L751">
        <v>20531226</v>
      </c>
      <c r="M751" s="1">
        <f t="shared" si="67"/>
        <v>56244</v>
      </c>
      <c r="N751" t="str">
        <f t="shared" si="68"/>
        <v>insert #t values('20531226')</v>
      </c>
    </row>
    <row r="752" spans="8:14" x14ac:dyDescent="0.2">
      <c r="H752" s="6">
        <f t="shared" si="65"/>
        <v>62309</v>
      </c>
      <c r="I752">
        <v>20700804</v>
      </c>
      <c r="J752" s="1">
        <f t="shared" si="66"/>
        <v>62309</v>
      </c>
      <c r="L752">
        <v>20540101</v>
      </c>
      <c r="M752" s="1">
        <f t="shared" si="67"/>
        <v>56250</v>
      </c>
      <c r="N752" t="str">
        <f t="shared" si="68"/>
        <v>insert #t values('20540101')</v>
      </c>
    </row>
    <row r="753" spans="8:14" x14ac:dyDescent="0.2">
      <c r="H753" s="6">
        <f t="shared" si="65"/>
        <v>62337</v>
      </c>
      <c r="I753">
        <v>20700901</v>
      </c>
      <c r="J753" s="1">
        <f t="shared" si="66"/>
        <v>62337</v>
      </c>
      <c r="L753">
        <v>20540216</v>
      </c>
      <c r="M753" s="1">
        <f t="shared" si="67"/>
        <v>56296</v>
      </c>
      <c r="N753" t="str">
        <f t="shared" si="68"/>
        <v>insert #t values('20540216')</v>
      </c>
    </row>
    <row r="754" spans="8:14" x14ac:dyDescent="0.2">
      <c r="H754" s="6">
        <f t="shared" si="65"/>
        <v>62379</v>
      </c>
      <c r="I754">
        <v>20701013</v>
      </c>
      <c r="J754" s="1">
        <f t="shared" si="66"/>
        <v>62379</v>
      </c>
      <c r="L754">
        <v>20540327</v>
      </c>
      <c r="M754" s="1">
        <f t="shared" si="67"/>
        <v>56335</v>
      </c>
      <c r="N754" t="str">
        <f t="shared" si="68"/>
        <v>insert #t values('20540327')</v>
      </c>
    </row>
    <row r="755" spans="8:14" x14ac:dyDescent="0.2">
      <c r="H755" s="6">
        <f t="shared" si="65"/>
        <v>62408</v>
      </c>
      <c r="I755">
        <v>20701111</v>
      </c>
      <c r="J755" s="1">
        <f t="shared" si="66"/>
        <v>62408</v>
      </c>
      <c r="L755">
        <v>20540518</v>
      </c>
      <c r="M755" s="1">
        <f t="shared" si="67"/>
        <v>56387</v>
      </c>
      <c r="N755" t="str">
        <f t="shared" si="68"/>
        <v>insert #t values('20540518')</v>
      </c>
    </row>
    <row r="756" spans="8:14" x14ac:dyDescent="0.2">
      <c r="H756" s="6">
        <f t="shared" si="65"/>
        <v>62452</v>
      </c>
      <c r="I756">
        <v>20701225</v>
      </c>
      <c r="J756" s="1">
        <f t="shared" si="66"/>
        <v>62452</v>
      </c>
      <c r="L756">
        <v>20540701</v>
      </c>
      <c r="M756" s="1">
        <f t="shared" si="67"/>
        <v>56431</v>
      </c>
      <c r="N756" t="str">
        <f t="shared" si="68"/>
        <v>insert #t values('20540701')</v>
      </c>
    </row>
    <row r="757" spans="8:14" x14ac:dyDescent="0.2">
      <c r="H757" s="6">
        <f t="shared" si="65"/>
        <v>62453</v>
      </c>
      <c r="I757">
        <v>20701226</v>
      </c>
      <c r="J757" s="1">
        <f t="shared" si="66"/>
        <v>62453</v>
      </c>
      <c r="L757">
        <v>20540803</v>
      </c>
      <c r="M757" s="1">
        <f t="shared" si="67"/>
        <v>56464</v>
      </c>
      <c r="N757" t="str">
        <f t="shared" si="68"/>
        <v>insert #t values('20540803')</v>
      </c>
    </row>
    <row r="758" spans="8:14" x14ac:dyDescent="0.2">
      <c r="H758" s="6">
        <f t="shared" si="65"/>
        <v>62453</v>
      </c>
      <c r="I758">
        <v>20701226</v>
      </c>
      <c r="J758" s="1">
        <f t="shared" si="66"/>
        <v>62453</v>
      </c>
      <c r="L758">
        <v>20540907</v>
      </c>
      <c r="M758" s="1">
        <f t="shared" si="67"/>
        <v>56499</v>
      </c>
      <c r="N758" t="str">
        <f t="shared" si="68"/>
        <v>insert #t values('20540907')</v>
      </c>
    </row>
    <row r="759" spans="8:14" x14ac:dyDescent="0.2">
      <c r="H759" s="6">
        <f t="shared" si="65"/>
        <v>62459</v>
      </c>
      <c r="I759">
        <v>20710101</v>
      </c>
      <c r="J759" s="1">
        <f t="shared" si="66"/>
        <v>62459</v>
      </c>
      <c r="L759">
        <v>20541012</v>
      </c>
      <c r="M759" s="1">
        <f t="shared" si="67"/>
        <v>56534</v>
      </c>
      <c r="N759" t="str">
        <f t="shared" si="68"/>
        <v>insert #t values('20541012')</v>
      </c>
    </row>
    <row r="760" spans="8:14" x14ac:dyDescent="0.2">
      <c r="H760" s="6">
        <f t="shared" si="65"/>
        <v>62505</v>
      </c>
      <c r="I760">
        <v>20710216</v>
      </c>
      <c r="J760" s="1">
        <f t="shared" si="66"/>
        <v>62505</v>
      </c>
      <c r="L760">
        <v>20541111</v>
      </c>
      <c r="M760" s="1">
        <f t="shared" si="67"/>
        <v>56564</v>
      </c>
      <c r="N760" t="str">
        <f t="shared" si="68"/>
        <v>insert #t values('20541111')</v>
      </c>
    </row>
    <row r="761" spans="8:14" x14ac:dyDescent="0.2">
      <c r="H761" s="6">
        <f t="shared" si="65"/>
        <v>62565</v>
      </c>
      <c r="I761">
        <v>20710417</v>
      </c>
      <c r="J761" s="1">
        <f t="shared" si="66"/>
        <v>62565</v>
      </c>
      <c r="L761">
        <v>20541225</v>
      </c>
      <c r="M761" s="1">
        <f t="shared" si="67"/>
        <v>56608</v>
      </c>
      <c r="N761" t="str">
        <f t="shared" si="68"/>
        <v>insert #t values('20541225')</v>
      </c>
    </row>
    <row r="762" spans="8:14" x14ac:dyDescent="0.2">
      <c r="H762" s="6">
        <f t="shared" si="65"/>
        <v>62596</v>
      </c>
      <c r="I762">
        <v>20710518</v>
      </c>
      <c r="J762" s="1">
        <f t="shared" si="66"/>
        <v>62596</v>
      </c>
      <c r="L762">
        <v>20541228</v>
      </c>
      <c r="M762" s="1">
        <f t="shared" si="67"/>
        <v>56611</v>
      </c>
      <c r="N762" t="str">
        <f t="shared" si="68"/>
        <v>insert #t values('20541228')</v>
      </c>
    </row>
    <row r="763" spans="8:14" x14ac:dyDescent="0.2">
      <c r="H763" s="6">
        <f t="shared" si="65"/>
        <v>62640</v>
      </c>
      <c r="I763">
        <v>20710701</v>
      </c>
      <c r="J763" s="1">
        <f t="shared" si="66"/>
        <v>62640</v>
      </c>
      <c r="L763">
        <v>20541228</v>
      </c>
      <c r="M763" s="1">
        <f t="shared" si="67"/>
        <v>56611</v>
      </c>
      <c r="N763" t="str">
        <f t="shared" si="68"/>
        <v>insert #t values('20541228')</v>
      </c>
    </row>
    <row r="764" spans="8:14" x14ac:dyDescent="0.2">
      <c r="H764" s="6">
        <f t="shared" si="65"/>
        <v>62673</v>
      </c>
      <c r="I764">
        <v>20710803</v>
      </c>
      <c r="J764" s="1">
        <f t="shared" si="66"/>
        <v>62673</v>
      </c>
      <c r="L764">
        <v>20550101</v>
      </c>
      <c r="M764" s="1">
        <f t="shared" si="67"/>
        <v>56615</v>
      </c>
      <c r="N764" t="str">
        <f t="shared" si="68"/>
        <v>insert #t values('20550101')</v>
      </c>
    </row>
    <row r="765" spans="8:14" x14ac:dyDescent="0.2">
      <c r="H765" s="6">
        <f t="shared" si="65"/>
        <v>62708</v>
      </c>
      <c r="I765">
        <v>20710907</v>
      </c>
      <c r="J765" s="1">
        <f t="shared" si="66"/>
        <v>62708</v>
      </c>
      <c r="L765">
        <v>20550215</v>
      </c>
      <c r="M765" s="1">
        <f t="shared" si="67"/>
        <v>56660</v>
      </c>
      <c r="N765" t="str">
        <f t="shared" si="68"/>
        <v>insert #t values('20550215')</v>
      </c>
    </row>
    <row r="766" spans="8:14" x14ac:dyDescent="0.2">
      <c r="H766" s="6">
        <f t="shared" si="65"/>
        <v>62743</v>
      </c>
      <c r="I766">
        <v>20711012</v>
      </c>
      <c r="J766" s="1">
        <f t="shared" si="66"/>
        <v>62743</v>
      </c>
      <c r="L766">
        <v>20550416</v>
      </c>
      <c r="M766" s="1">
        <f t="shared" si="67"/>
        <v>56720</v>
      </c>
      <c r="N766" t="str">
        <f t="shared" si="68"/>
        <v>insert #t values('20550416')</v>
      </c>
    </row>
    <row r="767" spans="8:14" x14ac:dyDescent="0.2">
      <c r="H767" s="6">
        <f t="shared" si="65"/>
        <v>62773</v>
      </c>
      <c r="I767">
        <v>20711111</v>
      </c>
      <c r="J767" s="1">
        <f t="shared" si="66"/>
        <v>62773</v>
      </c>
      <c r="L767">
        <v>20550524</v>
      </c>
      <c r="M767" s="1">
        <f t="shared" si="67"/>
        <v>56758</v>
      </c>
      <c r="N767" t="str">
        <f t="shared" si="68"/>
        <v>insert #t values('20550524')</v>
      </c>
    </row>
    <row r="768" spans="8:14" x14ac:dyDescent="0.2">
      <c r="H768" s="6">
        <f t="shared" si="65"/>
        <v>62817</v>
      </c>
      <c r="I768">
        <v>20711225</v>
      </c>
      <c r="J768" s="1">
        <f t="shared" si="66"/>
        <v>62817</v>
      </c>
      <c r="L768">
        <v>20550701</v>
      </c>
      <c r="M768" s="1">
        <f t="shared" si="67"/>
        <v>56796</v>
      </c>
      <c r="N768" t="str">
        <f t="shared" si="68"/>
        <v>insert #t values('20550701')</v>
      </c>
    </row>
    <row r="769" spans="8:14" x14ac:dyDescent="0.2">
      <c r="H769" s="6">
        <f t="shared" si="65"/>
        <v>62820</v>
      </c>
      <c r="I769">
        <v>20711228</v>
      </c>
      <c r="J769" s="1">
        <f t="shared" si="66"/>
        <v>62820</v>
      </c>
      <c r="L769">
        <v>20550802</v>
      </c>
      <c r="M769" s="1">
        <f t="shared" si="67"/>
        <v>56828</v>
      </c>
      <c r="N769" t="str">
        <f t="shared" si="68"/>
        <v>insert #t values('20550802')</v>
      </c>
    </row>
    <row r="770" spans="8:14" x14ac:dyDescent="0.2">
      <c r="H770" s="6">
        <f t="shared" ref="H770:H833" si="69">J770-A770</f>
        <v>62820</v>
      </c>
      <c r="I770">
        <v>20711228</v>
      </c>
      <c r="J770" s="1">
        <f t="shared" ref="J770:J833" si="70">DATE(LEFT(I770,4),MID(I770,5,2),RIGHT(I770,2))</f>
        <v>62820</v>
      </c>
      <c r="L770">
        <v>20550906</v>
      </c>
      <c r="M770" s="1">
        <f t="shared" ref="M770:M833" si="71">DATE(LEFT(L770,4),MID(L770,5,2),RIGHT(L770,2))</f>
        <v>56863</v>
      </c>
      <c r="N770" t="str">
        <f t="shared" ref="N770:N833" si="72">"insert #t values('"&amp;L770 &amp; "')"</f>
        <v>insert #t values('20550906')</v>
      </c>
    </row>
    <row r="771" spans="8:14" x14ac:dyDescent="0.2">
      <c r="H771" s="6">
        <f t="shared" si="69"/>
        <v>62824</v>
      </c>
      <c r="I771">
        <v>20720101</v>
      </c>
      <c r="J771" s="1">
        <f t="shared" si="70"/>
        <v>62824</v>
      </c>
      <c r="L771">
        <v>20551011</v>
      </c>
      <c r="M771" s="1">
        <f t="shared" si="71"/>
        <v>56898</v>
      </c>
      <c r="N771" t="str">
        <f t="shared" si="72"/>
        <v>insert #t values('20551011')</v>
      </c>
    </row>
    <row r="772" spans="8:14" x14ac:dyDescent="0.2">
      <c r="H772" s="6">
        <f t="shared" si="69"/>
        <v>62869</v>
      </c>
      <c r="I772">
        <v>20720215</v>
      </c>
      <c r="J772" s="1">
        <f t="shared" si="70"/>
        <v>62869</v>
      </c>
      <c r="L772">
        <v>20551111</v>
      </c>
      <c r="M772" s="1">
        <f t="shared" si="71"/>
        <v>56929</v>
      </c>
      <c r="N772" t="str">
        <f t="shared" si="72"/>
        <v>insert #t values('20551111')</v>
      </c>
    </row>
    <row r="773" spans="8:14" x14ac:dyDescent="0.2">
      <c r="H773" s="6">
        <f t="shared" si="69"/>
        <v>62922</v>
      </c>
      <c r="I773">
        <v>20720408</v>
      </c>
      <c r="J773" s="1">
        <f t="shared" si="70"/>
        <v>62922</v>
      </c>
      <c r="L773">
        <v>20551227</v>
      </c>
      <c r="M773" s="1">
        <f t="shared" si="71"/>
        <v>56975</v>
      </c>
      <c r="N773" t="str">
        <f t="shared" si="72"/>
        <v>insert #t values('20551227')</v>
      </c>
    </row>
    <row r="774" spans="8:14" x14ac:dyDescent="0.2">
      <c r="H774" s="6">
        <f t="shared" si="69"/>
        <v>62967</v>
      </c>
      <c r="I774">
        <v>20720523</v>
      </c>
      <c r="J774" s="1">
        <f t="shared" si="70"/>
        <v>62967</v>
      </c>
      <c r="L774">
        <v>20551227</v>
      </c>
      <c r="M774" s="1">
        <f t="shared" si="71"/>
        <v>56975</v>
      </c>
      <c r="N774" t="str">
        <f t="shared" si="72"/>
        <v>insert #t values('20551227')</v>
      </c>
    </row>
    <row r="775" spans="8:14" x14ac:dyDescent="0.2">
      <c r="H775" s="6">
        <f t="shared" si="69"/>
        <v>63006</v>
      </c>
      <c r="I775">
        <v>20720701</v>
      </c>
      <c r="J775" s="1">
        <f t="shared" si="70"/>
        <v>63006</v>
      </c>
      <c r="L775">
        <v>20551228</v>
      </c>
      <c r="M775" s="1">
        <f t="shared" si="71"/>
        <v>56976</v>
      </c>
      <c r="N775" t="str">
        <f t="shared" si="72"/>
        <v>insert #t values('20551228')</v>
      </c>
    </row>
    <row r="776" spans="8:14" x14ac:dyDescent="0.2">
      <c r="H776" s="6">
        <f t="shared" si="69"/>
        <v>63037</v>
      </c>
      <c r="I776">
        <v>20720801</v>
      </c>
      <c r="J776" s="1">
        <f t="shared" si="70"/>
        <v>63037</v>
      </c>
      <c r="L776">
        <v>20560103</v>
      </c>
      <c r="M776" s="1">
        <f t="shared" si="71"/>
        <v>56982</v>
      </c>
      <c r="N776" t="str">
        <f t="shared" si="72"/>
        <v>insert #t values('20560103')</v>
      </c>
    </row>
    <row r="777" spans="8:14" x14ac:dyDescent="0.2">
      <c r="H777" s="6">
        <f t="shared" si="69"/>
        <v>63072</v>
      </c>
      <c r="I777">
        <v>20720905</v>
      </c>
      <c r="J777" s="1">
        <f t="shared" si="70"/>
        <v>63072</v>
      </c>
      <c r="L777">
        <v>20560221</v>
      </c>
      <c r="M777" s="1">
        <f t="shared" si="71"/>
        <v>57031</v>
      </c>
      <c r="N777" t="str">
        <f t="shared" si="72"/>
        <v>insert #t values('20560221')</v>
      </c>
    </row>
    <row r="778" spans="8:14" x14ac:dyDescent="0.2">
      <c r="H778" s="6">
        <f t="shared" si="69"/>
        <v>63107</v>
      </c>
      <c r="I778">
        <v>20721010</v>
      </c>
      <c r="J778" s="1">
        <f t="shared" si="70"/>
        <v>63107</v>
      </c>
      <c r="L778">
        <v>20560331</v>
      </c>
      <c r="M778" s="1">
        <f t="shared" si="71"/>
        <v>57070</v>
      </c>
      <c r="N778" t="str">
        <f t="shared" si="72"/>
        <v>insert #t values('20560331')</v>
      </c>
    </row>
    <row r="779" spans="8:14" x14ac:dyDescent="0.2">
      <c r="H779" s="6">
        <f t="shared" si="69"/>
        <v>63139</v>
      </c>
      <c r="I779">
        <v>20721111</v>
      </c>
      <c r="J779" s="1">
        <f t="shared" si="70"/>
        <v>63139</v>
      </c>
      <c r="L779">
        <v>20560522</v>
      </c>
      <c r="M779" s="1">
        <f t="shared" si="71"/>
        <v>57122</v>
      </c>
      <c r="N779" t="str">
        <f t="shared" si="72"/>
        <v>insert #t values('20560522')</v>
      </c>
    </row>
    <row r="780" spans="8:14" x14ac:dyDescent="0.2">
      <c r="H780" s="6">
        <f t="shared" si="69"/>
        <v>63184</v>
      </c>
      <c r="I780">
        <v>20721226</v>
      </c>
      <c r="J780" s="1">
        <f t="shared" si="70"/>
        <v>63184</v>
      </c>
      <c r="L780">
        <v>20560703</v>
      </c>
      <c r="M780" s="1">
        <f t="shared" si="71"/>
        <v>57164</v>
      </c>
      <c r="N780" t="str">
        <f t="shared" si="72"/>
        <v>insert #t values('20560703')</v>
      </c>
    </row>
    <row r="781" spans="8:14" x14ac:dyDescent="0.2">
      <c r="H781" s="6">
        <f t="shared" si="69"/>
        <v>63184</v>
      </c>
      <c r="I781">
        <v>20721226</v>
      </c>
      <c r="J781" s="1">
        <f t="shared" si="70"/>
        <v>63184</v>
      </c>
      <c r="L781">
        <v>20560807</v>
      </c>
      <c r="M781" s="1">
        <f t="shared" si="71"/>
        <v>57199</v>
      </c>
      <c r="N781" t="str">
        <f t="shared" si="72"/>
        <v>insert #t values('20560807')</v>
      </c>
    </row>
    <row r="782" spans="8:14" x14ac:dyDescent="0.2">
      <c r="H782" s="6">
        <f t="shared" si="69"/>
        <v>63184</v>
      </c>
      <c r="I782">
        <v>20721226</v>
      </c>
      <c r="J782" s="1">
        <f t="shared" si="70"/>
        <v>63184</v>
      </c>
      <c r="L782">
        <v>20560904</v>
      </c>
      <c r="M782" s="1">
        <f t="shared" si="71"/>
        <v>57227</v>
      </c>
      <c r="N782" t="str">
        <f t="shared" si="72"/>
        <v>insert #t values('20560904')</v>
      </c>
    </row>
    <row r="783" spans="8:14" x14ac:dyDescent="0.2">
      <c r="H783" s="6">
        <f t="shared" si="69"/>
        <v>63191</v>
      </c>
      <c r="I783">
        <v>20730102</v>
      </c>
      <c r="J783" s="1">
        <f t="shared" si="70"/>
        <v>63191</v>
      </c>
      <c r="L783">
        <v>20561009</v>
      </c>
      <c r="M783" s="1">
        <f t="shared" si="71"/>
        <v>57262</v>
      </c>
      <c r="N783" t="str">
        <f t="shared" si="72"/>
        <v>insert #t values('20561009')</v>
      </c>
    </row>
    <row r="784" spans="8:14" x14ac:dyDescent="0.2">
      <c r="H784" s="6">
        <f t="shared" si="69"/>
        <v>63240</v>
      </c>
      <c r="I784">
        <v>20730220</v>
      </c>
      <c r="J784" s="1">
        <f t="shared" si="70"/>
        <v>63240</v>
      </c>
      <c r="L784">
        <v>20561113</v>
      </c>
      <c r="M784" s="1">
        <f t="shared" si="71"/>
        <v>57297</v>
      </c>
      <c r="N784" t="str">
        <f t="shared" si="72"/>
        <v>insert #t values('20561113')</v>
      </c>
    </row>
    <row r="785" spans="8:14" x14ac:dyDescent="0.2">
      <c r="H785" s="6">
        <f t="shared" si="69"/>
        <v>63272</v>
      </c>
      <c r="I785">
        <v>20730324</v>
      </c>
      <c r="J785" s="1">
        <f t="shared" si="70"/>
        <v>63272</v>
      </c>
      <c r="L785">
        <v>20561225</v>
      </c>
      <c r="M785" s="1">
        <f t="shared" si="71"/>
        <v>57339</v>
      </c>
      <c r="N785" t="str">
        <f t="shared" si="72"/>
        <v>insert #t values('20561225')</v>
      </c>
    </row>
    <row r="786" spans="8:14" x14ac:dyDescent="0.2">
      <c r="H786" s="6">
        <f t="shared" si="69"/>
        <v>63331</v>
      </c>
      <c r="I786">
        <v>20730522</v>
      </c>
      <c r="J786" s="1">
        <f t="shared" si="70"/>
        <v>63331</v>
      </c>
      <c r="L786">
        <v>20561226</v>
      </c>
      <c r="M786" s="1">
        <f t="shared" si="71"/>
        <v>57340</v>
      </c>
      <c r="N786" t="str">
        <f t="shared" si="72"/>
        <v>insert #t values('20561226')</v>
      </c>
    </row>
    <row r="787" spans="8:14" x14ac:dyDescent="0.2">
      <c r="H787" s="6">
        <f t="shared" si="69"/>
        <v>63373</v>
      </c>
      <c r="I787">
        <v>20730703</v>
      </c>
      <c r="J787" s="1">
        <f t="shared" si="70"/>
        <v>63373</v>
      </c>
      <c r="L787">
        <v>20561226</v>
      </c>
      <c r="M787" s="1">
        <f t="shared" si="71"/>
        <v>57340</v>
      </c>
      <c r="N787" t="str">
        <f t="shared" si="72"/>
        <v>insert #t values('20561226')</v>
      </c>
    </row>
    <row r="788" spans="8:14" x14ac:dyDescent="0.2">
      <c r="H788" s="6">
        <f t="shared" si="69"/>
        <v>63408</v>
      </c>
      <c r="I788">
        <v>20730807</v>
      </c>
      <c r="J788" s="1">
        <f t="shared" si="70"/>
        <v>63408</v>
      </c>
      <c r="L788">
        <v>20570101</v>
      </c>
      <c r="M788" s="1">
        <f t="shared" si="71"/>
        <v>57346</v>
      </c>
      <c r="N788" t="str">
        <f t="shared" si="72"/>
        <v>insert #t values('20570101')</v>
      </c>
    </row>
    <row r="789" spans="8:14" x14ac:dyDescent="0.2">
      <c r="H789" s="6">
        <f t="shared" si="69"/>
        <v>63436</v>
      </c>
      <c r="I789">
        <v>20730904</v>
      </c>
      <c r="J789" s="1">
        <f t="shared" si="70"/>
        <v>63436</v>
      </c>
      <c r="L789">
        <v>20570219</v>
      </c>
      <c r="M789" s="1">
        <f t="shared" si="71"/>
        <v>57395</v>
      </c>
      <c r="N789" t="str">
        <f t="shared" si="72"/>
        <v>insert #t values('20570219')</v>
      </c>
    </row>
    <row r="790" spans="8:14" x14ac:dyDescent="0.2">
      <c r="H790" s="6">
        <f t="shared" si="69"/>
        <v>63471</v>
      </c>
      <c r="I790">
        <v>20731009</v>
      </c>
      <c r="J790" s="1">
        <f t="shared" si="70"/>
        <v>63471</v>
      </c>
      <c r="L790">
        <v>20570420</v>
      </c>
      <c r="M790" s="1">
        <f t="shared" si="71"/>
        <v>57455</v>
      </c>
      <c r="N790" t="str">
        <f t="shared" si="72"/>
        <v>insert #t values('20570420')</v>
      </c>
    </row>
    <row r="791" spans="8:14" x14ac:dyDescent="0.2">
      <c r="H791" s="6">
        <f t="shared" si="69"/>
        <v>63506</v>
      </c>
      <c r="I791">
        <v>20731113</v>
      </c>
      <c r="J791" s="1">
        <f t="shared" si="70"/>
        <v>63506</v>
      </c>
      <c r="L791">
        <v>20570521</v>
      </c>
      <c r="M791" s="1">
        <f t="shared" si="71"/>
        <v>57486</v>
      </c>
      <c r="N791" t="str">
        <f t="shared" si="72"/>
        <v>insert #t values('20570521')</v>
      </c>
    </row>
    <row r="792" spans="8:14" x14ac:dyDescent="0.2">
      <c r="H792" s="6">
        <f t="shared" si="69"/>
        <v>63548</v>
      </c>
      <c r="I792">
        <v>20731225</v>
      </c>
      <c r="J792" s="1">
        <f t="shared" si="70"/>
        <v>63548</v>
      </c>
      <c r="L792">
        <v>20570702</v>
      </c>
      <c r="M792" s="1">
        <f t="shared" si="71"/>
        <v>57528</v>
      </c>
      <c r="N792" t="str">
        <f t="shared" si="72"/>
        <v>insert #t values('20570702')</v>
      </c>
    </row>
    <row r="793" spans="8:14" x14ac:dyDescent="0.2">
      <c r="H793" s="6">
        <f t="shared" si="69"/>
        <v>63549</v>
      </c>
      <c r="I793">
        <v>20731226</v>
      </c>
      <c r="J793" s="1">
        <f t="shared" si="70"/>
        <v>63549</v>
      </c>
      <c r="L793">
        <v>20570806</v>
      </c>
      <c r="M793" s="1">
        <f t="shared" si="71"/>
        <v>57563</v>
      </c>
      <c r="N793" t="str">
        <f t="shared" si="72"/>
        <v>insert #t values('20570806')</v>
      </c>
    </row>
    <row r="794" spans="8:14" x14ac:dyDescent="0.2">
      <c r="H794" s="6">
        <f t="shared" si="69"/>
        <v>63549</v>
      </c>
      <c r="I794">
        <v>20731226</v>
      </c>
      <c r="J794" s="1">
        <f t="shared" si="70"/>
        <v>63549</v>
      </c>
      <c r="L794">
        <v>20570903</v>
      </c>
      <c r="M794" s="1">
        <f t="shared" si="71"/>
        <v>57591</v>
      </c>
      <c r="N794" t="str">
        <f t="shared" si="72"/>
        <v>insert #t values('20570903')</v>
      </c>
    </row>
    <row r="795" spans="8:14" x14ac:dyDescent="0.2">
      <c r="H795" s="6">
        <f t="shared" si="69"/>
        <v>63555</v>
      </c>
      <c r="I795">
        <v>20740101</v>
      </c>
      <c r="J795" s="1">
        <f t="shared" si="70"/>
        <v>63555</v>
      </c>
      <c r="L795">
        <v>20571008</v>
      </c>
      <c r="M795" s="1">
        <f t="shared" si="71"/>
        <v>57626</v>
      </c>
      <c r="N795" t="str">
        <f t="shared" si="72"/>
        <v>insert #t values('20571008')</v>
      </c>
    </row>
    <row r="796" spans="8:14" x14ac:dyDescent="0.2">
      <c r="H796" s="6">
        <f t="shared" si="69"/>
        <v>63604</v>
      </c>
      <c r="I796">
        <v>20740219</v>
      </c>
      <c r="J796" s="1">
        <f t="shared" si="70"/>
        <v>63604</v>
      </c>
      <c r="L796">
        <v>20571112</v>
      </c>
      <c r="M796" s="1">
        <f t="shared" si="71"/>
        <v>57661</v>
      </c>
      <c r="N796" t="str">
        <f t="shared" si="72"/>
        <v>insert #t values('20571112')</v>
      </c>
    </row>
    <row r="797" spans="8:14" x14ac:dyDescent="0.2">
      <c r="H797" s="6">
        <f t="shared" si="69"/>
        <v>63657</v>
      </c>
      <c r="I797">
        <v>20740413</v>
      </c>
      <c r="J797" s="1">
        <f t="shared" si="70"/>
        <v>63657</v>
      </c>
      <c r="L797">
        <v>20571225</v>
      </c>
      <c r="M797" s="1">
        <f t="shared" si="71"/>
        <v>57704</v>
      </c>
      <c r="N797" t="str">
        <f t="shared" si="72"/>
        <v>insert #t values('20571225')</v>
      </c>
    </row>
    <row r="798" spans="8:14" x14ac:dyDescent="0.2">
      <c r="H798" s="6">
        <f t="shared" si="69"/>
        <v>63695</v>
      </c>
      <c r="I798">
        <v>20740521</v>
      </c>
      <c r="J798" s="1">
        <f t="shared" si="70"/>
        <v>63695</v>
      </c>
      <c r="L798">
        <v>20571226</v>
      </c>
      <c r="M798" s="1">
        <f t="shared" si="71"/>
        <v>57705</v>
      </c>
      <c r="N798" t="str">
        <f t="shared" si="72"/>
        <v>insert #t values('20571226')</v>
      </c>
    </row>
    <row r="799" spans="8:14" x14ac:dyDescent="0.2">
      <c r="H799" s="6">
        <f t="shared" si="69"/>
        <v>63737</v>
      </c>
      <c r="I799">
        <v>20740702</v>
      </c>
      <c r="J799" s="1">
        <f t="shared" si="70"/>
        <v>63737</v>
      </c>
      <c r="L799">
        <v>20571226</v>
      </c>
      <c r="M799" s="1">
        <f t="shared" si="71"/>
        <v>57705</v>
      </c>
      <c r="N799" t="str">
        <f t="shared" si="72"/>
        <v>insert #t values('20571226')</v>
      </c>
    </row>
    <row r="800" spans="8:14" x14ac:dyDescent="0.2">
      <c r="H800" s="6">
        <f t="shared" si="69"/>
        <v>63772</v>
      </c>
      <c r="I800">
        <v>20740806</v>
      </c>
      <c r="J800" s="1">
        <f t="shared" si="70"/>
        <v>63772</v>
      </c>
      <c r="L800">
        <v>20580101</v>
      </c>
      <c r="M800" s="1">
        <f t="shared" si="71"/>
        <v>57711</v>
      </c>
      <c r="N800" t="str">
        <f t="shared" si="72"/>
        <v>insert #t values('20580101')</v>
      </c>
    </row>
    <row r="801" spans="8:14" x14ac:dyDescent="0.2">
      <c r="H801" s="6">
        <f t="shared" si="69"/>
        <v>63800</v>
      </c>
      <c r="I801">
        <v>20740903</v>
      </c>
      <c r="J801" s="1">
        <f t="shared" si="70"/>
        <v>63800</v>
      </c>
      <c r="L801">
        <v>20580218</v>
      </c>
      <c r="M801" s="1">
        <f t="shared" si="71"/>
        <v>57759</v>
      </c>
      <c r="N801" t="str">
        <f t="shared" si="72"/>
        <v>insert #t values('20580218')</v>
      </c>
    </row>
    <row r="802" spans="8:14" x14ac:dyDescent="0.2">
      <c r="H802" s="6">
        <f t="shared" si="69"/>
        <v>63835</v>
      </c>
      <c r="I802">
        <v>20741008</v>
      </c>
      <c r="J802" s="1">
        <f t="shared" si="70"/>
        <v>63835</v>
      </c>
      <c r="L802">
        <v>20580412</v>
      </c>
      <c r="M802" s="1">
        <f t="shared" si="71"/>
        <v>57812</v>
      </c>
      <c r="N802" t="str">
        <f t="shared" si="72"/>
        <v>insert #t values('20580412')</v>
      </c>
    </row>
    <row r="803" spans="8:14" x14ac:dyDescent="0.2">
      <c r="H803" s="6">
        <f t="shared" si="69"/>
        <v>63870</v>
      </c>
      <c r="I803">
        <v>20741112</v>
      </c>
      <c r="J803" s="1">
        <f t="shared" si="70"/>
        <v>63870</v>
      </c>
      <c r="L803">
        <v>20580520</v>
      </c>
      <c r="M803" s="1">
        <f t="shared" si="71"/>
        <v>57850</v>
      </c>
      <c r="N803" t="str">
        <f t="shared" si="72"/>
        <v>insert #t values('20580520')</v>
      </c>
    </row>
    <row r="804" spans="8:14" x14ac:dyDescent="0.2">
      <c r="H804" s="6">
        <f t="shared" si="69"/>
        <v>63913</v>
      </c>
      <c r="I804">
        <v>20741225</v>
      </c>
      <c r="J804" s="1">
        <f t="shared" si="70"/>
        <v>63913</v>
      </c>
      <c r="L804">
        <v>20580701</v>
      </c>
      <c r="M804" s="1">
        <f t="shared" si="71"/>
        <v>57892</v>
      </c>
      <c r="N804" t="str">
        <f t="shared" si="72"/>
        <v>insert #t values('20580701')</v>
      </c>
    </row>
    <row r="805" spans="8:14" x14ac:dyDescent="0.2">
      <c r="H805" s="6">
        <f t="shared" si="69"/>
        <v>63914</v>
      </c>
      <c r="I805">
        <v>20741226</v>
      </c>
      <c r="J805" s="1">
        <f t="shared" si="70"/>
        <v>63914</v>
      </c>
      <c r="L805">
        <v>20580805</v>
      </c>
      <c r="M805" s="1">
        <f t="shared" si="71"/>
        <v>57927</v>
      </c>
      <c r="N805" t="str">
        <f t="shared" si="72"/>
        <v>insert #t values('20580805')</v>
      </c>
    </row>
    <row r="806" spans="8:14" x14ac:dyDescent="0.2">
      <c r="H806" s="6">
        <f t="shared" si="69"/>
        <v>63914</v>
      </c>
      <c r="I806">
        <v>20741226</v>
      </c>
      <c r="J806" s="1">
        <f t="shared" si="70"/>
        <v>63914</v>
      </c>
      <c r="L806">
        <v>20580902</v>
      </c>
      <c r="M806" s="1">
        <f t="shared" si="71"/>
        <v>57955</v>
      </c>
      <c r="N806" t="str">
        <f t="shared" si="72"/>
        <v>insert #t values('20580902')</v>
      </c>
    </row>
    <row r="807" spans="8:14" x14ac:dyDescent="0.2">
      <c r="H807" s="6">
        <f t="shared" si="69"/>
        <v>63920</v>
      </c>
      <c r="I807">
        <v>20750101</v>
      </c>
      <c r="J807" s="1">
        <f t="shared" si="70"/>
        <v>63920</v>
      </c>
      <c r="L807">
        <v>20581014</v>
      </c>
      <c r="M807" s="1">
        <f t="shared" si="71"/>
        <v>57997</v>
      </c>
      <c r="N807" t="str">
        <f t="shared" si="72"/>
        <v>insert #t values('20581014')</v>
      </c>
    </row>
    <row r="808" spans="8:14" x14ac:dyDescent="0.2">
      <c r="H808" s="6">
        <f t="shared" si="69"/>
        <v>63968</v>
      </c>
      <c r="I808">
        <v>20750218</v>
      </c>
      <c r="J808" s="1">
        <f t="shared" si="70"/>
        <v>63968</v>
      </c>
      <c r="L808">
        <v>20581111</v>
      </c>
      <c r="M808" s="1">
        <f t="shared" si="71"/>
        <v>58025</v>
      </c>
      <c r="N808" t="str">
        <f t="shared" si="72"/>
        <v>insert #t values('20581111')</v>
      </c>
    </row>
    <row r="809" spans="8:14" x14ac:dyDescent="0.2">
      <c r="H809" s="6">
        <f t="shared" si="69"/>
        <v>64014</v>
      </c>
      <c r="I809">
        <v>20750405</v>
      </c>
      <c r="J809" s="1">
        <f t="shared" si="70"/>
        <v>64014</v>
      </c>
      <c r="L809">
        <v>20581225</v>
      </c>
      <c r="M809" s="1">
        <f t="shared" si="71"/>
        <v>58069</v>
      </c>
      <c r="N809" t="str">
        <f t="shared" si="72"/>
        <v>insert #t values('20581225')</v>
      </c>
    </row>
    <row r="810" spans="8:14" x14ac:dyDescent="0.2">
      <c r="H810" s="6">
        <f t="shared" si="69"/>
        <v>64059</v>
      </c>
      <c r="I810">
        <v>20750520</v>
      </c>
      <c r="J810" s="1">
        <f t="shared" si="70"/>
        <v>64059</v>
      </c>
      <c r="L810">
        <v>20581226</v>
      </c>
      <c r="M810" s="1">
        <f t="shared" si="71"/>
        <v>58070</v>
      </c>
      <c r="N810" t="str">
        <f t="shared" si="72"/>
        <v>insert #t values('20581226')</v>
      </c>
    </row>
    <row r="811" spans="8:14" x14ac:dyDescent="0.2">
      <c r="H811" s="6">
        <f t="shared" si="69"/>
        <v>64101</v>
      </c>
      <c r="I811">
        <v>20750701</v>
      </c>
      <c r="J811" s="1">
        <f t="shared" si="70"/>
        <v>64101</v>
      </c>
      <c r="L811">
        <v>20581226</v>
      </c>
      <c r="M811" s="1">
        <f t="shared" si="71"/>
        <v>58070</v>
      </c>
      <c r="N811" t="str">
        <f t="shared" si="72"/>
        <v>insert #t values('20581226')</v>
      </c>
    </row>
    <row r="812" spans="8:14" x14ac:dyDescent="0.2">
      <c r="H812" s="6">
        <f t="shared" si="69"/>
        <v>64136</v>
      </c>
      <c r="I812">
        <v>20750805</v>
      </c>
      <c r="J812" s="1">
        <f t="shared" si="70"/>
        <v>64136</v>
      </c>
      <c r="L812">
        <v>20590101</v>
      </c>
      <c r="M812" s="1">
        <f t="shared" si="71"/>
        <v>58076</v>
      </c>
      <c r="N812" t="str">
        <f t="shared" si="72"/>
        <v>insert #t values('20590101')</v>
      </c>
    </row>
    <row r="813" spans="8:14" x14ac:dyDescent="0.2">
      <c r="H813" s="6">
        <f t="shared" si="69"/>
        <v>64164</v>
      </c>
      <c r="I813">
        <v>20750902</v>
      </c>
      <c r="J813" s="1">
        <f t="shared" si="70"/>
        <v>64164</v>
      </c>
      <c r="L813">
        <v>20590217</v>
      </c>
      <c r="M813" s="1">
        <f t="shared" si="71"/>
        <v>58123</v>
      </c>
      <c r="N813" t="str">
        <f t="shared" si="72"/>
        <v>insert #t values('20590217')</v>
      </c>
    </row>
    <row r="814" spans="8:14" x14ac:dyDescent="0.2">
      <c r="H814" s="6">
        <f t="shared" si="69"/>
        <v>64206</v>
      </c>
      <c r="I814">
        <v>20751014</v>
      </c>
      <c r="J814" s="1">
        <f t="shared" si="70"/>
        <v>64206</v>
      </c>
      <c r="L814">
        <v>20590328</v>
      </c>
      <c r="M814" s="1">
        <f t="shared" si="71"/>
        <v>58162</v>
      </c>
      <c r="N814" t="str">
        <f t="shared" si="72"/>
        <v>insert #t values('20590328')</v>
      </c>
    </row>
    <row r="815" spans="8:14" x14ac:dyDescent="0.2">
      <c r="H815" s="6">
        <f t="shared" si="69"/>
        <v>64234</v>
      </c>
      <c r="I815">
        <v>20751111</v>
      </c>
      <c r="J815" s="1">
        <f t="shared" si="70"/>
        <v>64234</v>
      </c>
      <c r="L815">
        <v>20590519</v>
      </c>
      <c r="M815" s="1">
        <f t="shared" si="71"/>
        <v>58214</v>
      </c>
      <c r="N815" t="str">
        <f t="shared" si="72"/>
        <v>insert #t values('20590519')</v>
      </c>
    </row>
    <row r="816" spans="8:14" x14ac:dyDescent="0.2">
      <c r="H816" s="6">
        <f t="shared" si="69"/>
        <v>64278</v>
      </c>
      <c r="I816">
        <v>20751225</v>
      </c>
      <c r="J816" s="1">
        <f t="shared" si="70"/>
        <v>64278</v>
      </c>
      <c r="L816">
        <v>20590701</v>
      </c>
      <c r="M816" s="1">
        <f t="shared" si="71"/>
        <v>58257</v>
      </c>
      <c r="N816" t="str">
        <f t="shared" si="72"/>
        <v>insert #t values('20590701')</v>
      </c>
    </row>
    <row r="817" spans="8:14" x14ac:dyDescent="0.2">
      <c r="H817" s="6">
        <f t="shared" si="69"/>
        <v>64279</v>
      </c>
      <c r="I817">
        <v>20751226</v>
      </c>
      <c r="J817" s="1">
        <f t="shared" si="70"/>
        <v>64279</v>
      </c>
      <c r="L817">
        <v>20590804</v>
      </c>
      <c r="M817" s="1">
        <f t="shared" si="71"/>
        <v>58291</v>
      </c>
      <c r="N817" t="str">
        <f t="shared" si="72"/>
        <v>insert #t values('20590804')</v>
      </c>
    </row>
    <row r="818" spans="8:14" x14ac:dyDescent="0.2">
      <c r="H818" s="6">
        <f t="shared" si="69"/>
        <v>64279</v>
      </c>
      <c r="I818">
        <v>20751226</v>
      </c>
      <c r="J818" s="1">
        <f t="shared" si="70"/>
        <v>64279</v>
      </c>
      <c r="L818">
        <v>20590901</v>
      </c>
      <c r="M818" s="1">
        <f t="shared" si="71"/>
        <v>58319</v>
      </c>
      <c r="N818" t="str">
        <f t="shared" si="72"/>
        <v>insert #t values('20590901')</v>
      </c>
    </row>
    <row r="819" spans="8:14" x14ac:dyDescent="0.2">
      <c r="H819" s="6">
        <f t="shared" si="69"/>
        <v>64285</v>
      </c>
      <c r="I819">
        <v>20760101</v>
      </c>
      <c r="J819" s="1">
        <f t="shared" si="70"/>
        <v>64285</v>
      </c>
      <c r="L819">
        <v>20591013</v>
      </c>
      <c r="M819" s="1">
        <f t="shared" si="71"/>
        <v>58361</v>
      </c>
      <c r="N819" t="str">
        <f t="shared" si="72"/>
        <v>insert #t values('20591013')</v>
      </c>
    </row>
    <row r="820" spans="8:14" x14ac:dyDescent="0.2">
      <c r="H820" s="6">
        <f t="shared" si="69"/>
        <v>64332</v>
      </c>
      <c r="I820">
        <v>20760217</v>
      </c>
      <c r="J820" s="1">
        <f t="shared" si="70"/>
        <v>64332</v>
      </c>
      <c r="L820">
        <v>20591111</v>
      </c>
      <c r="M820" s="1">
        <f t="shared" si="71"/>
        <v>58390</v>
      </c>
      <c r="N820" t="str">
        <f t="shared" si="72"/>
        <v>insert #t values('20591111')</v>
      </c>
    </row>
    <row r="821" spans="8:14" x14ac:dyDescent="0.2">
      <c r="H821" s="6">
        <f t="shared" si="69"/>
        <v>64399</v>
      </c>
      <c r="I821">
        <v>20760424</v>
      </c>
      <c r="J821" s="1">
        <f t="shared" si="70"/>
        <v>64399</v>
      </c>
      <c r="L821">
        <v>20591225</v>
      </c>
      <c r="M821" s="1">
        <f t="shared" si="71"/>
        <v>58434</v>
      </c>
      <c r="N821" t="str">
        <f t="shared" si="72"/>
        <v>insert #t values('20591225')</v>
      </c>
    </row>
    <row r="822" spans="8:14" x14ac:dyDescent="0.2">
      <c r="H822" s="6">
        <f t="shared" si="69"/>
        <v>64423</v>
      </c>
      <c r="I822">
        <v>20760518</v>
      </c>
      <c r="J822" s="1">
        <f t="shared" si="70"/>
        <v>64423</v>
      </c>
      <c r="L822">
        <v>20591226</v>
      </c>
      <c r="M822" s="1">
        <f t="shared" si="71"/>
        <v>58435</v>
      </c>
      <c r="N822" t="str">
        <f t="shared" si="72"/>
        <v>insert #t values('20591226')</v>
      </c>
    </row>
    <row r="823" spans="8:14" x14ac:dyDescent="0.2">
      <c r="H823" s="6">
        <f t="shared" si="69"/>
        <v>64467</v>
      </c>
      <c r="I823">
        <v>20760701</v>
      </c>
      <c r="J823" s="1">
        <f t="shared" si="70"/>
        <v>64467</v>
      </c>
      <c r="L823">
        <v>20591226</v>
      </c>
      <c r="M823" s="1">
        <f t="shared" si="71"/>
        <v>58435</v>
      </c>
      <c r="N823" t="str">
        <f t="shared" si="72"/>
        <v>insert #t values('20591226')</v>
      </c>
    </row>
    <row r="824" spans="8:14" x14ac:dyDescent="0.2">
      <c r="H824" s="6">
        <f t="shared" si="69"/>
        <v>64500</v>
      </c>
      <c r="I824">
        <v>20760803</v>
      </c>
      <c r="J824" s="1">
        <f t="shared" si="70"/>
        <v>64500</v>
      </c>
      <c r="L824">
        <v>20600101</v>
      </c>
      <c r="M824" s="1">
        <f t="shared" si="71"/>
        <v>58441</v>
      </c>
      <c r="N824" t="str">
        <f t="shared" si="72"/>
        <v>insert #t values('20600101')</v>
      </c>
    </row>
    <row r="825" spans="8:14" x14ac:dyDescent="0.2">
      <c r="H825" s="6">
        <f t="shared" si="69"/>
        <v>64535</v>
      </c>
      <c r="I825">
        <v>20760907</v>
      </c>
      <c r="J825" s="1">
        <f t="shared" si="70"/>
        <v>64535</v>
      </c>
      <c r="L825">
        <v>20600216</v>
      </c>
      <c r="M825" s="1">
        <f t="shared" si="71"/>
        <v>58487</v>
      </c>
      <c r="N825" t="str">
        <f t="shared" si="72"/>
        <v>insert #t values('20600216')</v>
      </c>
    </row>
    <row r="826" spans="8:14" x14ac:dyDescent="0.2">
      <c r="H826" s="6">
        <f t="shared" si="69"/>
        <v>64570</v>
      </c>
      <c r="I826">
        <v>20761012</v>
      </c>
      <c r="J826" s="1">
        <f t="shared" si="70"/>
        <v>64570</v>
      </c>
      <c r="L826">
        <v>20600416</v>
      </c>
      <c r="M826" s="1">
        <f t="shared" si="71"/>
        <v>58547</v>
      </c>
      <c r="N826" t="str">
        <f t="shared" si="72"/>
        <v>insert #t values('20600416')</v>
      </c>
    </row>
    <row r="827" spans="8:14" x14ac:dyDescent="0.2">
      <c r="H827" s="6">
        <f t="shared" si="69"/>
        <v>64600</v>
      </c>
      <c r="I827">
        <v>20761111</v>
      </c>
      <c r="J827" s="1">
        <f t="shared" si="70"/>
        <v>64600</v>
      </c>
      <c r="L827">
        <v>20600524</v>
      </c>
      <c r="M827" s="1">
        <f t="shared" si="71"/>
        <v>58585</v>
      </c>
      <c r="N827" t="str">
        <f t="shared" si="72"/>
        <v>insert #t values('20600524')</v>
      </c>
    </row>
    <row r="828" spans="8:14" x14ac:dyDescent="0.2">
      <c r="H828" s="6">
        <f t="shared" si="69"/>
        <v>64644</v>
      </c>
      <c r="I828">
        <v>20761225</v>
      </c>
      <c r="J828" s="1">
        <f t="shared" si="70"/>
        <v>64644</v>
      </c>
      <c r="L828">
        <v>20600701</v>
      </c>
      <c r="M828" s="1">
        <f t="shared" si="71"/>
        <v>58623</v>
      </c>
      <c r="N828" t="str">
        <f t="shared" si="72"/>
        <v>insert #t values('20600701')</v>
      </c>
    </row>
    <row r="829" spans="8:14" x14ac:dyDescent="0.2">
      <c r="H829" s="6">
        <f t="shared" si="69"/>
        <v>64647</v>
      </c>
      <c r="I829">
        <v>20761228</v>
      </c>
      <c r="J829" s="1">
        <f t="shared" si="70"/>
        <v>64647</v>
      </c>
      <c r="L829">
        <v>20600802</v>
      </c>
      <c r="M829" s="1">
        <f t="shared" si="71"/>
        <v>58655</v>
      </c>
      <c r="N829" t="str">
        <f t="shared" si="72"/>
        <v>insert #t values('20600802')</v>
      </c>
    </row>
    <row r="830" spans="8:14" x14ac:dyDescent="0.2">
      <c r="H830" s="6">
        <f t="shared" si="69"/>
        <v>64647</v>
      </c>
      <c r="I830">
        <v>20761228</v>
      </c>
      <c r="J830" s="1">
        <f t="shared" si="70"/>
        <v>64647</v>
      </c>
      <c r="L830">
        <v>20600906</v>
      </c>
      <c r="M830" s="1">
        <f t="shared" si="71"/>
        <v>58690</v>
      </c>
      <c r="N830" t="str">
        <f t="shared" si="72"/>
        <v>insert #t values('20600906')</v>
      </c>
    </row>
    <row r="831" spans="8:14" x14ac:dyDescent="0.2">
      <c r="H831" s="6">
        <f t="shared" si="69"/>
        <v>64651</v>
      </c>
      <c r="I831">
        <v>20770101</v>
      </c>
      <c r="J831" s="1">
        <f t="shared" si="70"/>
        <v>64651</v>
      </c>
      <c r="L831">
        <v>20601011</v>
      </c>
      <c r="M831" s="1">
        <f t="shared" si="71"/>
        <v>58725</v>
      </c>
      <c r="N831" t="str">
        <f t="shared" si="72"/>
        <v>insert #t values('20601011')</v>
      </c>
    </row>
    <row r="832" spans="8:14" x14ac:dyDescent="0.2">
      <c r="H832" s="6">
        <f t="shared" si="69"/>
        <v>64696</v>
      </c>
      <c r="I832">
        <v>20770215</v>
      </c>
      <c r="J832" s="1">
        <f t="shared" si="70"/>
        <v>64696</v>
      </c>
      <c r="L832">
        <v>20601111</v>
      </c>
      <c r="M832" s="1">
        <f t="shared" si="71"/>
        <v>58756</v>
      </c>
      <c r="N832" t="str">
        <f t="shared" si="72"/>
        <v>insert #t values('20601111')</v>
      </c>
    </row>
    <row r="833" spans="8:14" x14ac:dyDescent="0.2">
      <c r="H833" s="6">
        <f t="shared" si="69"/>
        <v>64749</v>
      </c>
      <c r="I833">
        <v>20770409</v>
      </c>
      <c r="J833" s="1">
        <f t="shared" si="70"/>
        <v>64749</v>
      </c>
      <c r="L833">
        <v>20601227</v>
      </c>
      <c r="M833" s="1">
        <f t="shared" si="71"/>
        <v>58802</v>
      </c>
      <c r="N833" t="str">
        <f t="shared" si="72"/>
        <v>insert #t values('20601227')</v>
      </c>
    </row>
    <row r="834" spans="8:14" x14ac:dyDescent="0.2">
      <c r="H834" s="6">
        <f t="shared" ref="H834:H897" si="73">J834-A834</f>
        <v>64794</v>
      </c>
      <c r="I834">
        <v>20770524</v>
      </c>
      <c r="J834" s="1">
        <f t="shared" ref="J834:J897" si="74">DATE(LEFT(I834,4),MID(I834,5,2),RIGHT(I834,2))</f>
        <v>64794</v>
      </c>
      <c r="L834">
        <v>20601227</v>
      </c>
      <c r="M834" s="1">
        <f t="shared" ref="M834:M897" si="75">DATE(LEFT(L834,4),MID(L834,5,2),RIGHT(L834,2))</f>
        <v>58802</v>
      </c>
      <c r="N834" t="str">
        <f t="shared" ref="N834:N897" si="76">"insert #t values('"&amp;L834 &amp; "')"</f>
        <v>insert #t values('20601227')</v>
      </c>
    </row>
    <row r="835" spans="8:14" x14ac:dyDescent="0.2">
      <c r="H835" s="6">
        <f t="shared" si="73"/>
        <v>64832</v>
      </c>
      <c r="I835">
        <v>20770701</v>
      </c>
      <c r="J835" s="1">
        <f t="shared" si="74"/>
        <v>64832</v>
      </c>
      <c r="L835">
        <v>20601228</v>
      </c>
      <c r="M835" s="1">
        <f t="shared" si="75"/>
        <v>58803</v>
      </c>
      <c r="N835" t="str">
        <f t="shared" si="76"/>
        <v>insert #t values('20601228')</v>
      </c>
    </row>
    <row r="836" spans="8:14" x14ac:dyDescent="0.2">
      <c r="H836" s="6">
        <f t="shared" si="73"/>
        <v>64864</v>
      </c>
      <c r="I836">
        <v>20770802</v>
      </c>
      <c r="J836" s="1">
        <f t="shared" si="74"/>
        <v>64864</v>
      </c>
      <c r="L836">
        <v>20610103</v>
      </c>
      <c r="M836" s="1">
        <f t="shared" si="75"/>
        <v>58809</v>
      </c>
      <c r="N836" t="str">
        <f t="shared" si="76"/>
        <v>insert #t values('20610103')</v>
      </c>
    </row>
    <row r="837" spans="8:14" x14ac:dyDescent="0.2">
      <c r="H837" s="6">
        <f t="shared" si="73"/>
        <v>64899</v>
      </c>
      <c r="I837">
        <v>20770906</v>
      </c>
      <c r="J837" s="1">
        <f t="shared" si="74"/>
        <v>64899</v>
      </c>
      <c r="L837">
        <v>20610221</v>
      </c>
      <c r="M837" s="1">
        <f t="shared" si="75"/>
        <v>58858</v>
      </c>
      <c r="N837" t="str">
        <f t="shared" si="76"/>
        <v>insert #t values('20610221')</v>
      </c>
    </row>
    <row r="838" spans="8:14" x14ac:dyDescent="0.2">
      <c r="H838" s="6">
        <f t="shared" si="73"/>
        <v>64934</v>
      </c>
      <c r="I838">
        <v>20771011</v>
      </c>
      <c r="J838" s="1">
        <f t="shared" si="74"/>
        <v>64934</v>
      </c>
      <c r="L838">
        <v>20610408</v>
      </c>
      <c r="M838" s="1">
        <f t="shared" si="75"/>
        <v>58904</v>
      </c>
      <c r="N838" t="str">
        <f t="shared" si="76"/>
        <v>insert #t values('20610408')</v>
      </c>
    </row>
    <row r="839" spans="8:14" x14ac:dyDescent="0.2">
      <c r="H839" s="6">
        <f t="shared" si="73"/>
        <v>64965</v>
      </c>
      <c r="I839">
        <v>20771111</v>
      </c>
      <c r="J839" s="1">
        <f t="shared" si="74"/>
        <v>64965</v>
      </c>
      <c r="L839">
        <v>20610523</v>
      </c>
      <c r="M839" s="1">
        <f t="shared" si="75"/>
        <v>58949</v>
      </c>
      <c r="N839" t="str">
        <f t="shared" si="76"/>
        <v>insert #t values('20610523')</v>
      </c>
    </row>
    <row r="840" spans="8:14" x14ac:dyDescent="0.2">
      <c r="H840" s="6">
        <f t="shared" si="73"/>
        <v>65011</v>
      </c>
      <c r="I840">
        <v>20771227</v>
      </c>
      <c r="J840" s="1">
        <f t="shared" si="74"/>
        <v>65011</v>
      </c>
      <c r="L840">
        <v>20610701</v>
      </c>
      <c r="M840" s="1">
        <f t="shared" si="75"/>
        <v>58988</v>
      </c>
      <c r="N840" t="str">
        <f t="shared" si="76"/>
        <v>insert #t values('20610701')</v>
      </c>
    </row>
    <row r="841" spans="8:14" x14ac:dyDescent="0.2">
      <c r="H841" s="6">
        <f t="shared" si="73"/>
        <v>65011</v>
      </c>
      <c r="I841">
        <v>20771227</v>
      </c>
      <c r="J841" s="1">
        <f t="shared" si="74"/>
        <v>65011</v>
      </c>
      <c r="L841">
        <v>20610801</v>
      </c>
      <c r="M841" s="1">
        <f t="shared" si="75"/>
        <v>59019</v>
      </c>
      <c r="N841" t="str">
        <f t="shared" si="76"/>
        <v>insert #t values('20610801')</v>
      </c>
    </row>
    <row r="842" spans="8:14" x14ac:dyDescent="0.2">
      <c r="H842" s="6">
        <f t="shared" si="73"/>
        <v>65012</v>
      </c>
      <c r="I842">
        <v>20771228</v>
      </c>
      <c r="J842" s="1">
        <f t="shared" si="74"/>
        <v>65012</v>
      </c>
      <c r="L842">
        <v>20610905</v>
      </c>
      <c r="M842" s="1">
        <f t="shared" si="75"/>
        <v>59054</v>
      </c>
      <c r="N842" t="str">
        <f t="shared" si="76"/>
        <v>insert #t values('20610905')</v>
      </c>
    </row>
    <row r="843" spans="8:14" x14ac:dyDescent="0.2">
      <c r="H843" s="6">
        <f t="shared" si="73"/>
        <v>65018</v>
      </c>
      <c r="I843">
        <v>20780103</v>
      </c>
      <c r="J843" s="1">
        <f t="shared" si="74"/>
        <v>65018</v>
      </c>
      <c r="L843">
        <v>20611010</v>
      </c>
      <c r="M843" s="1">
        <f t="shared" si="75"/>
        <v>59089</v>
      </c>
      <c r="N843" t="str">
        <f t="shared" si="76"/>
        <v>insert #t values('20611010')</v>
      </c>
    </row>
    <row r="844" spans="8:14" x14ac:dyDescent="0.2">
      <c r="H844" s="6">
        <f t="shared" si="73"/>
        <v>65067</v>
      </c>
      <c r="I844">
        <v>20780221</v>
      </c>
      <c r="J844" s="1">
        <f t="shared" si="74"/>
        <v>65067</v>
      </c>
      <c r="L844">
        <v>20611111</v>
      </c>
      <c r="M844" s="1">
        <f t="shared" si="75"/>
        <v>59121</v>
      </c>
      <c r="N844" t="str">
        <f t="shared" si="76"/>
        <v>insert #t values('20611111')</v>
      </c>
    </row>
    <row r="845" spans="8:14" x14ac:dyDescent="0.2">
      <c r="H845" s="6">
        <f t="shared" si="73"/>
        <v>65106</v>
      </c>
      <c r="I845">
        <v>20780401</v>
      </c>
      <c r="J845" s="1">
        <f t="shared" si="74"/>
        <v>65106</v>
      </c>
      <c r="L845">
        <v>20611226</v>
      </c>
      <c r="M845" s="1">
        <f t="shared" si="75"/>
        <v>59166</v>
      </c>
      <c r="N845" t="str">
        <f t="shared" si="76"/>
        <v>insert #t values('20611226')</v>
      </c>
    </row>
    <row r="846" spans="8:14" x14ac:dyDescent="0.2">
      <c r="H846" s="6">
        <f t="shared" si="73"/>
        <v>65158</v>
      </c>
      <c r="I846">
        <v>20780523</v>
      </c>
      <c r="J846" s="1">
        <f t="shared" si="74"/>
        <v>65158</v>
      </c>
      <c r="L846">
        <v>20611226</v>
      </c>
      <c r="M846" s="1">
        <f t="shared" si="75"/>
        <v>59166</v>
      </c>
      <c r="N846" t="str">
        <f t="shared" si="76"/>
        <v>insert #t values('20611226')</v>
      </c>
    </row>
    <row r="847" spans="8:14" x14ac:dyDescent="0.2">
      <c r="H847" s="6">
        <f t="shared" si="73"/>
        <v>65197</v>
      </c>
      <c r="I847">
        <v>20780701</v>
      </c>
      <c r="J847" s="1">
        <f t="shared" si="74"/>
        <v>65197</v>
      </c>
      <c r="L847">
        <v>20611226</v>
      </c>
      <c r="M847" s="1">
        <f t="shared" si="75"/>
        <v>59166</v>
      </c>
      <c r="N847" t="str">
        <f t="shared" si="76"/>
        <v>insert #t values('20611226')</v>
      </c>
    </row>
    <row r="848" spans="8:14" x14ac:dyDescent="0.2">
      <c r="H848" s="6">
        <f t="shared" si="73"/>
        <v>65228</v>
      </c>
      <c r="I848">
        <v>20780801</v>
      </c>
      <c r="J848" s="1">
        <f t="shared" si="74"/>
        <v>65228</v>
      </c>
      <c r="L848">
        <v>20620102</v>
      </c>
      <c r="M848" s="1">
        <f t="shared" si="75"/>
        <v>59173</v>
      </c>
      <c r="N848" t="str">
        <f t="shared" si="76"/>
        <v>insert #t values('20620102')</v>
      </c>
    </row>
    <row r="849" spans="8:14" x14ac:dyDescent="0.2">
      <c r="H849" s="6">
        <f t="shared" si="73"/>
        <v>65263</v>
      </c>
      <c r="I849">
        <v>20780905</v>
      </c>
      <c r="J849" s="1">
        <f t="shared" si="74"/>
        <v>65263</v>
      </c>
      <c r="L849">
        <v>20620220</v>
      </c>
      <c r="M849" s="1">
        <f t="shared" si="75"/>
        <v>59222</v>
      </c>
      <c r="N849" t="str">
        <f t="shared" si="76"/>
        <v>insert #t values('20620220')</v>
      </c>
    </row>
    <row r="850" spans="8:14" x14ac:dyDescent="0.2">
      <c r="H850" s="6">
        <f t="shared" si="73"/>
        <v>65298</v>
      </c>
      <c r="I850">
        <v>20781010</v>
      </c>
      <c r="J850" s="1">
        <f t="shared" si="74"/>
        <v>65298</v>
      </c>
      <c r="L850">
        <v>20620324</v>
      </c>
      <c r="M850" s="1">
        <f t="shared" si="75"/>
        <v>59254</v>
      </c>
      <c r="N850" t="str">
        <f t="shared" si="76"/>
        <v>insert #t values('20620324')</v>
      </c>
    </row>
    <row r="851" spans="8:14" x14ac:dyDescent="0.2">
      <c r="H851" s="6">
        <f t="shared" si="73"/>
        <v>65330</v>
      </c>
      <c r="I851">
        <v>20781111</v>
      </c>
      <c r="J851" s="1">
        <f t="shared" si="74"/>
        <v>65330</v>
      </c>
      <c r="L851">
        <v>20620522</v>
      </c>
      <c r="M851" s="1">
        <f t="shared" si="75"/>
        <v>59313</v>
      </c>
      <c r="N851" t="str">
        <f t="shared" si="76"/>
        <v>insert #t values('20620522')</v>
      </c>
    </row>
    <row r="852" spans="8:14" x14ac:dyDescent="0.2">
      <c r="H852" s="6">
        <f t="shared" si="73"/>
        <v>65375</v>
      </c>
      <c r="I852">
        <v>20781226</v>
      </c>
      <c r="J852" s="1">
        <f t="shared" si="74"/>
        <v>65375</v>
      </c>
      <c r="L852">
        <v>20620703</v>
      </c>
      <c r="M852" s="1">
        <f t="shared" si="75"/>
        <v>59355</v>
      </c>
      <c r="N852" t="str">
        <f t="shared" si="76"/>
        <v>insert #t values('20620703')</v>
      </c>
    </row>
    <row r="853" spans="8:14" x14ac:dyDescent="0.2">
      <c r="H853" s="6">
        <f t="shared" si="73"/>
        <v>65375</v>
      </c>
      <c r="I853">
        <v>20781226</v>
      </c>
      <c r="J853" s="1">
        <f t="shared" si="74"/>
        <v>65375</v>
      </c>
      <c r="L853">
        <v>20620807</v>
      </c>
      <c r="M853" s="1">
        <f t="shared" si="75"/>
        <v>59390</v>
      </c>
      <c r="N853" t="str">
        <f t="shared" si="76"/>
        <v>insert #t values('20620807')</v>
      </c>
    </row>
    <row r="854" spans="8:14" x14ac:dyDescent="0.2">
      <c r="H854" s="6">
        <f t="shared" si="73"/>
        <v>65375</v>
      </c>
      <c r="I854">
        <v>20781226</v>
      </c>
      <c r="J854" s="1">
        <f t="shared" si="74"/>
        <v>65375</v>
      </c>
      <c r="L854">
        <v>20620904</v>
      </c>
      <c r="M854" s="1">
        <f t="shared" si="75"/>
        <v>59418</v>
      </c>
      <c r="N854" t="str">
        <f t="shared" si="76"/>
        <v>insert #t values('20620904')</v>
      </c>
    </row>
    <row r="855" spans="8:14" x14ac:dyDescent="0.2">
      <c r="H855" s="6">
        <f t="shared" si="73"/>
        <v>65382</v>
      </c>
      <c r="I855">
        <v>20790102</v>
      </c>
      <c r="J855" s="1">
        <f t="shared" si="74"/>
        <v>65382</v>
      </c>
      <c r="L855">
        <v>20621009</v>
      </c>
      <c r="M855" s="1">
        <f t="shared" si="75"/>
        <v>59453</v>
      </c>
      <c r="N855" t="str">
        <f t="shared" si="76"/>
        <v>insert #t values('20621009')</v>
      </c>
    </row>
    <row r="856" spans="8:14" x14ac:dyDescent="0.2">
      <c r="H856" s="6">
        <f t="shared" si="73"/>
        <v>65431</v>
      </c>
      <c r="I856">
        <v>20790220</v>
      </c>
      <c r="J856" s="1">
        <f t="shared" si="74"/>
        <v>65431</v>
      </c>
      <c r="L856">
        <v>20621113</v>
      </c>
      <c r="M856" s="1">
        <f t="shared" si="75"/>
        <v>59488</v>
      </c>
      <c r="N856" t="str">
        <f t="shared" si="76"/>
        <v>insert #t values('20621113')</v>
      </c>
    </row>
    <row r="857" spans="8:14" x14ac:dyDescent="0.2">
      <c r="H857" s="6">
        <f t="shared" si="73"/>
        <v>65491</v>
      </c>
      <c r="I857">
        <v>20790421</v>
      </c>
      <c r="J857" s="1">
        <f t="shared" si="74"/>
        <v>65491</v>
      </c>
      <c r="L857">
        <v>20621225</v>
      </c>
      <c r="M857" s="1">
        <f t="shared" si="75"/>
        <v>59530</v>
      </c>
      <c r="N857" t="str">
        <f t="shared" si="76"/>
        <v>insert #t values('20621225')</v>
      </c>
    </row>
    <row r="858" spans="8:14" x14ac:dyDescent="0.2">
      <c r="H858" s="6">
        <f t="shared" si="73"/>
        <v>65522</v>
      </c>
      <c r="I858">
        <v>20790522</v>
      </c>
      <c r="J858" s="1">
        <f t="shared" si="74"/>
        <v>65522</v>
      </c>
      <c r="L858">
        <v>20621226</v>
      </c>
      <c r="M858" s="1">
        <f t="shared" si="75"/>
        <v>59531</v>
      </c>
      <c r="N858" t="str">
        <f t="shared" si="76"/>
        <v>insert #t values('20621226')</v>
      </c>
    </row>
    <row r="859" spans="8:14" x14ac:dyDescent="0.2">
      <c r="H859" s="6">
        <f t="shared" si="73"/>
        <v>65564</v>
      </c>
      <c r="I859">
        <v>20790703</v>
      </c>
      <c r="J859" s="1">
        <f t="shared" si="74"/>
        <v>65564</v>
      </c>
      <c r="L859">
        <v>20621226</v>
      </c>
      <c r="M859" s="1">
        <f t="shared" si="75"/>
        <v>59531</v>
      </c>
      <c r="N859" t="str">
        <f t="shared" si="76"/>
        <v>insert #t values('20621226')</v>
      </c>
    </row>
    <row r="860" spans="8:14" x14ac:dyDescent="0.2">
      <c r="H860" s="6">
        <f t="shared" si="73"/>
        <v>65599</v>
      </c>
      <c r="I860">
        <v>20790807</v>
      </c>
      <c r="J860" s="1">
        <f t="shared" si="74"/>
        <v>65599</v>
      </c>
      <c r="L860">
        <v>20630101</v>
      </c>
      <c r="M860" s="1">
        <f t="shared" si="75"/>
        <v>59537</v>
      </c>
      <c r="N860" t="str">
        <f t="shared" si="76"/>
        <v>insert #t values('20630101')</v>
      </c>
    </row>
    <row r="861" spans="8:14" x14ac:dyDescent="0.2">
      <c r="H861" s="6">
        <f t="shared" si="73"/>
        <v>65627</v>
      </c>
      <c r="I861">
        <v>20790904</v>
      </c>
      <c r="J861" s="1">
        <f t="shared" si="74"/>
        <v>65627</v>
      </c>
      <c r="L861">
        <v>20630219</v>
      </c>
      <c r="M861" s="1">
        <f t="shared" si="75"/>
        <v>59586</v>
      </c>
      <c r="N861" t="str">
        <f t="shared" si="76"/>
        <v>insert #t values('20630219')</v>
      </c>
    </row>
    <row r="862" spans="8:14" x14ac:dyDescent="0.2">
      <c r="H862" s="6">
        <f t="shared" si="73"/>
        <v>65662</v>
      </c>
      <c r="I862">
        <v>20791009</v>
      </c>
      <c r="J862" s="1">
        <f t="shared" si="74"/>
        <v>65662</v>
      </c>
      <c r="L862">
        <v>20630413</v>
      </c>
      <c r="M862" s="1">
        <f t="shared" si="75"/>
        <v>59639</v>
      </c>
      <c r="N862" t="str">
        <f t="shared" si="76"/>
        <v>insert #t values('20630413')</v>
      </c>
    </row>
    <row r="863" spans="8:14" x14ac:dyDescent="0.2">
      <c r="H863" s="6">
        <f t="shared" si="73"/>
        <v>65697</v>
      </c>
      <c r="I863">
        <v>20791113</v>
      </c>
      <c r="J863" s="1">
        <f t="shared" si="74"/>
        <v>65697</v>
      </c>
      <c r="L863">
        <v>20630521</v>
      </c>
      <c r="M863" s="1">
        <f t="shared" si="75"/>
        <v>59677</v>
      </c>
      <c r="N863" t="str">
        <f t="shared" si="76"/>
        <v>insert #t values('20630521')</v>
      </c>
    </row>
    <row r="864" spans="8:14" x14ac:dyDescent="0.2">
      <c r="H864" s="6">
        <f t="shared" si="73"/>
        <v>65739</v>
      </c>
      <c r="I864">
        <v>20791225</v>
      </c>
      <c r="J864" s="1">
        <f t="shared" si="74"/>
        <v>65739</v>
      </c>
      <c r="L864">
        <v>20630702</v>
      </c>
      <c r="M864" s="1">
        <f t="shared" si="75"/>
        <v>59719</v>
      </c>
      <c r="N864" t="str">
        <f t="shared" si="76"/>
        <v>insert #t values('20630702')</v>
      </c>
    </row>
    <row r="865" spans="8:14" x14ac:dyDescent="0.2">
      <c r="H865" s="6">
        <f t="shared" si="73"/>
        <v>65740</v>
      </c>
      <c r="I865">
        <v>20791226</v>
      </c>
      <c r="J865" s="1">
        <f t="shared" si="74"/>
        <v>65740</v>
      </c>
      <c r="L865">
        <v>20630806</v>
      </c>
      <c r="M865" s="1">
        <f t="shared" si="75"/>
        <v>59754</v>
      </c>
      <c r="N865" t="str">
        <f t="shared" si="76"/>
        <v>insert #t values('20630806')</v>
      </c>
    </row>
    <row r="866" spans="8:14" x14ac:dyDescent="0.2">
      <c r="H866" s="6">
        <f t="shared" si="73"/>
        <v>65740</v>
      </c>
      <c r="I866">
        <v>20791226</v>
      </c>
      <c r="J866" s="1">
        <f t="shared" si="74"/>
        <v>65740</v>
      </c>
      <c r="L866">
        <v>20630903</v>
      </c>
      <c r="M866" s="1">
        <f t="shared" si="75"/>
        <v>59782</v>
      </c>
      <c r="N866" t="str">
        <f t="shared" si="76"/>
        <v>insert #t values('20630903')</v>
      </c>
    </row>
    <row r="867" spans="8:14" x14ac:dyDescent="0.2">
      <c r="H867" s="6">
        <f t="shared" si="73"/>
        <v>65746</v>
      </c>
      <c r="I867">
        <v>20800101</v>
      </c>
      <c r="J867" s="1">
        <f t="shared" si="74"/>
        <v>65746</v>
      </c>
      <c r="L867">
        <v>20631008</v>
      </c>
      <c r="M867" s="1">
        <f t="shared" si="75"/>
        <v>59817</v>
      </c>
      <c r="N867" t="str">
        <f t="shared" si="76"/>
        <v>insert #t values('20631008')</v>
      </c>
    </row>
    <row r="868" spans="8:14" x14ac:dyDescent="0.2">
      <c r="H868" s="6">
        <f t="shared" si="73"/>
        <v>65795</v>
      </c>
      <c r="I868">
        <v>20800219</v>
      </c>
      <c r="J868" s="1">
        <f t="shared" si="74"/>
        <v>65795</v>
      </c>
      <c r="L868">
        <v>20631112</v>
      </c>
      <c r="M868" s="1">
        <f t="shared" si="75"/>
        <v>59852</v>
      </c>
      <c r="N868" t="str">
        <f t="shared" si="76"/>
        <v>insert #t values('20631112')</v>
      </c>
    </row>
    <row r="869" spans="8:14" x14ac:dyDescent="0.2">
      <c r="H869" s="6">
        <f t="shared" si="73"/>
        <v>65841</v>
      </c>
      <c r="I869">
        <v>20800405</v>
      </c>
      <c r="J869" s="1">
        <f t="shared" si="74"/>
        <v>65841</v>
      </c>
      <c r="L869">
        <v>20631225</v>
      </c>
      <c r="M869" s="1">
        <f t="shared" si="75"/>
        <v>59895</v>
      </c>
      <c r="N869" t="str">
        <f t="shared" si="76"/>
        <v>insert #t values('20631225')</v>
      </c>
    </row>
    <row r="870" spans="8:14" x14ac:dyDescent="0.2">
      <c r="H870" s="6">
        <f t="shared" si="73"/>
        <v>65886</v>
      </c>
      <c r="I870">
        <v>20800520</v>
      </c>
      <c r="J870" s="1">
        <f t="shared" si="74"/>
        <v>65886</v>
      </c>
      <c r="L870">
        <v>20631226</v>
      </c>
      <c r="M870" s="1">
        <f t="shared" si="75"/>
        <v>59896</v>
      </c>
      <c r="N870" t="str">
        <f t="shared" si="76"/>
        <v>insert #t values('20631226')</v>
      </c>
    </row>
    <row r="871" spans="8:14" x14ac:dyDescent="0.2">
      <c r="H871" s="6">
        <f t="shared" si="73"/>
        <v>65928</v>
      </c>
      <c r="I871">
        <v>20800701</v>
      </c>
      <c r="J871" s="1">
        <f t="shared" si="74"/>
        <v>65928</v>
      </c>
      <c r="L871">
        <v>20631226</v>
      </c>
      <c r="M871" s="1">
        <f t="shared" si="75"/>
        <v>59896</v>
      </c>
      <c r="N871" t="str">
        <f t="shared" si="76"/>
        <v>insert #t values('20631226')</v>
      </c>
    </row>
    <row r="872" spans="8:14" x14ac:dyDescent="0.2">
      <c r="H872" s="6">
        <f t="shared" si="73"/>
        <v>65963</v>
      </c>
      <c r="I872">
        <v>20800805</v>
      </c>
      <c r="J872" s="1">
        <f t="shared" si="74"/>
        <v>65963</v>
      </c>
      <c r="L872">
        <v>20640101</v>
      </c>
      <c r="M872" s="1">
        <f t="shared" si="75"/>
        <v>59902</v>
      </c>
      <c r="N872" t="str">
        <f t="shared" si="76"/>
        <v>insert #t values('20640101')</v>
      </c>
    </row>
    <row r="873" spans="8:14" x14ac:dyDescent="0.2">
      <c r="H873" s="6">
        <f t="shared" si="73"/>
        <v>65991</v>
      </c>
      <c r="I873">
        <v>20800902</v>
      </c>
      <c r="J873" s="1">
        <f t="shared" si="74"/>
        <v>65991</v>
      </c>
      <c r="L873">
        <v>20640218</v>
      </c>
      <c r="M873" s="1">
        <f t="shared" si="75"/>
        <v>59950</v>
      </c>
      <c r="N873" t="str">
        <f t="shared" si="76"/>
        <v>insert #t values('20640218')</v>
      </c>
    </row>
    <row r="874" spans="8:14" x14ac:dyDescent="0.2">
      <c r="H874" s="6">
        <f t="shared" si="73"/>
        <v>66033</v>
      </c>
      <c r="I874">
        <v>20801014</v>
      </c>
      <c r="J874" s="1">
        <f t="shared" si="74"/>
        <v>66033</v>
      </c>
      <c r="L874">
        <v>20640404</v>
      </c>
      <c r="M874" s="1">
        <f t="shared" si="75"/>
        <v>59996</v>
      </c>
      <c r="N874" t="str">
        <f t="shared" si="76"/>
        <v>insert #t values('20640404')</v>
      </c>
    </row>
    <row r="875" spans="8:14" x14ac:dyDescent="0.2">
      <c r="H875" s="6">
        <f t="shared" si="73"/>
        <v>66061</v>
      </c>
      <c r="I875">
        <v>20801111</v>
      </c>
      <c r="J875" s="1">
        <f t="shared" si="74"/>
        <v>66061</v>
      </c>
      <c r="L875">
        <v>20640519</v>
      </c>
      <c r="M875" s="1">
        <f t="shared" si="75"/>
        <v>60041</v>
      </c>
      <c r="N875" t="str">
        <f t="shared" si="76"/>
        <v>insert #t values('20640519')</v>
      </c>
    </row>
    <row r="876" spans="8:14" x14ac:dyDescent="0.2">
      <c r="H876" s="6">
        <f t="shared" si="73"/>
        <v>66105</v>
      </c>
      <c r="I876">
        <v>20801225</v>
      </c>
      <c r="J876" s="1">
        <f t="shared" si="74"/>
        <v>66105</v>
      </c>
      <c r="L876">
        <v>20640701</v>
      </c>
      <c r="M876" s="1">
        <f t="shared" si="75"/>
        <v>60084</v>
      </c>
      <c r="N876" t="str">
        <f t="shared" si="76"/>
        <v>insert #t values('20640701')</v>
      </c>
    </row>
    <row r="877" spans="8:14" x14ac:dyDescent="0.2">
      <c r="H877" s="6">
        <f t="shared" si="73"/>
        <v>66106</v>
      </c>
      <c r="I877">
        <v>20801226</v>
      </c>
      <c r="J877" s="1">
        <f t="shared" si="74"/>
        <v>66106</v>
      </c>
      <c r="L877">
        <v>20640804</v>
      </c>
      <c r="M877" s="1">
        <f t="shared" si="75"/>
        <v>60118</v>
      </c>
      <c r="N877" t="str">
        <f t="shared" si="76"/>
        <v>insert #t values('20640804')</v>
      </c>
    </row>
    <row r="878" spans="8:14" x14ac:dyDescent="0.2">
      <c r="H878" s="6">
        <f t="shared" si="73"/>
        <v>66106</v>
      </c>
      <c r="I878">
        <v>20801226</v>
      </c>
      <c r="J878" s="1">
        <f t="shared" si="74"/>
        <v>66106</v>
      </c>
      <c r="L878">
        <v>20640901</v>
      </c>
      <c r="M878" s="1">
        <f t="shared" si="75"/>
        <v>60146</v>
      </c>
      <c r="N878" t="str">
        <f t="shared" si="76"/>
        <v>insert #t values('20640901')</v>
      </c>
    </row>
    <row r="879" spans="8:14" x14ac:dyDescent="0.2">
      <c r="H879" s="6">
        <f t="shared" si="73"/>
        <v>66112</v>
      </c>
      <c r="I879">
        <v>20810101</v>
      </c>
      <c r="J879" s="1">
        <f t="shared" si="74"/>
        <v>66112</v>
      </c>
      <c r="L879">
        <v>20641013</v>
      </c>
      <c r="M879" s="1">
        <f t="shared" si="75"/>
        <v>60188</v>
      </c>
      <c r="N879" t="str">
        <f t="shared" si="76"/>
        <v>insert #t values('20641013')</v>
      </c>
    </row>
    <row r="880" spans="8:14" x14ac:dyDescent="0.2">
      <c r="H880" s="6">
        <f t="shared" si="73"/>
        <v>66159</v>
      </c>
      <c r="I880">
        <v>20810217</v>
      </c>
      <c r="J880" s="1">
        <f t="shared" si="74"/>
        <v>66159</v>
      </c>
      <c r="L880">
        <v>20641111</v>
      </c>
      <c r="M880" s="1">
        <f t="shared" si="75"/>
        <v>60217</v>
      </c>
      <c r="N880" t="str">
        <f t="shared" si="76"/>
        <v>insert #t values('20641111')</v>
      </c>
    </row>
    <row r="881" spans="8:14" x14ac:dyDescent="0.2">
      <c r="H881" s="6">
        <f t="shared" si="73"/>
        <v>66198</v>
      </c>
      <c r="I881">
        <v>20810328</v>
      </c>
      <c r="J881" s="1">
        <f t="shared" si="74"/>
        <v>66198</v>
      </c>
      <c r="L881">
        <v>20641225</v>
      </c>
      <c r="M881" s="1">
        <f t="shared" si="75"/>
        <v>60261</v>
      </c>
      <c r="N881" t="str">
        <f t="shared" si="76"/>
        <v>insert #t values('20641225')</v>
      </c>
    </row>
    <row r="882" spans="8:14" x14ac:dyDescent="0.2">
      <c r="H882" s="6">
        <f t="shared" si="73"/>
        <v>66250</v>
      </c>
      <c r="I882">
        <v>20810519</v>
      </c>
      <c r="J882" s="1">
        <f t="shared" si="74"/>
        <v>66250</v>
      </c>
      <c r="L882">
        <v>20641226</v>
      </c>
      <c r="M882" s="1">
        <f t="shared" si="75"/>
        <v>60262</v>
      </c>
      <c r="N882" t="str">
        <f t="shared" si="76"/>
        <v>insert #t values('20641226')</v>
      </c>
    </row>
    <row r="883" spans="8:14" x14ac:dyDescent="0.2">
      <c r="H883" s="6">
        <f t="shared" si="73"/>
        <v>66293</v>
      </c>
      <c r="I883">
        <v>20810701</v>
      </c>
      <c r="J883" s="1">
        <f t="shared" si="74"/>
        <v>66293</v>
      </c>
      <c r="L883">
        <v>20641226</v>
      </c>
      <c r="M883" s="1">
        <f t="shared" si="75"/>
        <v>60262</v>
      </c>
      <c r="N883" t="str">
        <f t="shared" si="76"/>
        <v>insert #t values('20641226')</v>
      </c>
    </row>
    <row r="884" spans="8:14" x14ac:dyDescent="0.2">
      <c r="H884" s="6">
        <f t="shared" si="73"/>
        <v>66327</v>
      </c>
      <c r="I884">
        <v>20810804</v>
      </c>
      <c r="J884" s="1">
        <f t="shared" si="74"/>
        <v>66327</v>
      </c>
      <c r="L884">
        <v>20650101</v>
      </c>
      <c r="M884" s="1">
        <f t="shared" si="75"/>
        <v>60268</v>
      </c>
      <c r="N884" t="str">
        <f t="shared" si="76"/>
        <v>insert #t values('20650101')</v>
      </c>
    </row>
    <row r="885" spans="8:14" x14ac:dyDescent="0.2">
      <c r="H885" s="6">
        <f t="shared" si="73"/>
        <v>66355</v>
      </c>
      <c r="I885">
        <v>20810901</v>
      </c>
      <c r="J885" s="1">
        <f t="shared" si="74"/>
        <v>66355</v>
      </c>
      <c r="L885">
        <v>20650216</v>
      </c>
      <c r="M885" s="1">
        <f t="shared" si="75"/>
        <v>60314</v>
      </c>
      <c r="N885" t="str">
        <f t="shared" si="76"/>
        <v>insert #t values('20650216')</v>
      </c>
    </row>
    <row r="886" spans="8:14" x14ac:dyDescent="0.2">
      <c r="H886" s="6">
        <f t="shared" si="73"/>
        <v>66397</v>
      </c>
      <c r="I886">
        <v>20811013</v>
      </c>
      <c r="J886" s="1">
        <f t="shared" si="74"/>
        <v>66397</v>
      </c>
      <c r="L886">
        <v>20650327</v>
      </c>
      <c r="M886" s="1">
        <f t="shared" si="75"/>
        <v>60353</v>
      </c>
      <c r="N886" t="str">
        <f t="shared" si="76"/>
        <v>insert #t values('20650327')</v>
      </c>
    </row>
    <row r="887" spans="8:14" x14ac:dyDescent="0.2">
      <c r="H887" s="6">
        <f t="shared" si="73"/>
        <v>66426</v>
      </c>
      <c r="I887">
        <v>20811111</v>
      </c>
      <c r="J887" s="1">
        <f t="shared" si="74"/>
        <v>66426</v>
      </c>
      <c r="L887">
        <v>20650518</v>
      </c>
      <c r="M887" s="1">
        <f t="shared" si="75"/>
        <v>60405</v>
      </c>
      <c r="N887" t="str">
        <f t="shared" si="76"/>
        <v>insert #t values('20650518')</v>
      </c>
    </row>
    <row r="888" spans="8:14" x14ac:dyDescent="0.2">
      <c r="H888" s="6">
        <f t="shared" si="73"/>
        <v>66470</v>
      </c>
      <c r="I888">
        <v>20811225</v>
      </c>
      <c r="J888" s="1">
        <f t="shared" si="74"/>
        <v>66470</v>
      </c>
      <c r="L888">
        <v>20650701</v>
      </c>
      <c r="M888" s="1">
        <f t="shared" si="75"/>
        <v>60449</v>
      </c>
      <c r="N888" t="str">
        <f t="shared" si="76"/>
        <v>insert #t values('20650701')</v>
      </c>
    </row>
    <row r="889" spans="8:14" x14ac:dyDescent="0.2">
      <c r="H889" s="6">
        <f t="shared" si="73"/>
        <v>66471</v>
      </c>
      <c r="I889">
        <v>20811226</v>
      </c>
      <c r="J889" s="1">
        <f t="shared" si="74"/>
        <v>66471</v>
      </c>
      <c r="L889">
        <v>20650803</v>
      </c>
      <c r="M889" s="1">
        <f t="shared" si="75"/>
        <v>60482</v>
      </c>
      <c r="N889" t="str">
        <f t="shared" si="76"/>
        <v>insert #t values('20650803')</v>
      </c>
    </row>
    <row r="890" spans="8:14" x14ac:dyDescent="0.2">
      <c r="H890" s="6">
        <f t="shared" si="73"/>
        <v>66471</v>
      </c>
      <c r="I890">
        <v>20811226</v>
      </c>
      <c r="J890" s="1">
        <f t="shared" si="74"/>
        <v>66471</v>
      </c>
      <c r="L890">
        <v>20650907</v>
      </c>
      <c r="M890" s="1">
        <f t="shared" si="75"/>
        <v>60517</v>
      </c>
      <c r="N890" t="str">
        <f t="shared" si="76"/>
        <v>insert #t values('20650907')</v>
      </c>
    </row>
    <row r="891" spans="8:14" x14ac:dyDescent="0.2">
      <c r="H891" s="6">
        <f t="shared" si="73"/>
        <v>66477</v>
      </c>
      <c r="I891">
        <v>20820101</v>
      </c>
      <c r="J891" s="1">
        <f t="shared" si="74"/>
        <v>66477</v>
      </c>
      <c r="L891">
        <v>20651012</v>
      </c>
      <c r="M891" s="1">
        <f t="shared" si="75"/>
        <v>60552</v>
      </c>
      <c r="N891" t="str">
        <f t="shared" si="76"/>
        <v>insert #t values('20651012')</v>
      </c>
    </row>
    <row r="892" spans="8:14" x14ac:dyDescent="0.2">
      <c r="H892" s="6">
        <f t="shared" si="73"/>
        <v>66523</v>
      </c>
      <c r="I892">
        <v>20820216</v>
      </c>
      <c r="J892" s="1">
        <f t="shared" si="74"/>
        <v>66523</v>
      </c>
      <c r="L892">
        <v>20651111</v>
      </c>
      <c r="M892" s="1">
        <f t="shared" si="75"/>
        <v>60582</v>
      </c>
      <c r="N892" t="str">
        <f t="shared" si="76"/>
        <v>insert #t values('20651111')</v>
      </c>
    </row>
    <row r="893" spans="8:14" x14ac:dyDescent="0.2">
      <c r="H893" s="6">
        <f t="shared" si="73"/>
        <v>66583</v>
      </c>
      <c r="I893">
        <v>20820417</v>
      </c>
      <c r="J893" s="1">
        <f t="shared" si="74"/>
        <v>66583</v>
      </c>
      <c r="L893">
        <v>20651225</v>
      </c>
      <c r="M893" s="1">
        <f t="shared" si="75"/>
        <v>60626</v>
      </c>
      <c r="N893" t="str">
        <f t="shared" si="76"/>
        <v>insert #t values('20651225')</v>
      </c>
    </row>
    <row r="894" spans="8:14" x14ac:dyDescent="0.2">
      <c r="H894" s="6">
        <f t="shared" si="73"/>
        <v>66614</v>
      </c>
      <c r="I894">
        <v>20820518</v>
      </c>
      <c r="J894" s="1">
        <f t="shared" si="74"/>
        <v>66614</v>
      </c>
      <c r="L894">
        <v>20651228</v>
      </c>
      <c r="M894" s="1">
        <f t="shared" si="75"/>
        <v>60629</v>
      </c>
      <c r="N894" t="str">
        <f t="shared" si="76"/>
        <v>insert #t values('20651228')</v>
      </c>
    </row>
    <row r="895" spans="8:14" x14ac:dyDescent="0.2">
      <c r="H895" s="6">
        <f t="shared" si="73"/>
        <v>66658</v>
      </c>
      <c r="I895">
        <v>20820701</v>
      </c>
      <c r="J895" s="1">
        <f t="shared" si="74"/>
        <v>66658</v>
      </c>
      <c r="L895">
        <v>20651228</v>
      </c>
      <c r="M895" s="1">
        <f t="shared" si="75"/>
        <v>60629</v>
      </c>
      <c r="N895" t="str">
        <f t="shared" si="76"/>
        <v>insert #t values('20651228')</v>
      </c>
    </row>
    <row r="896" spans="8:14" x14ac:dyDescent="0.2">
      <c r="H896" s="6">
        <f t="shared" si="73"/>
        <v>66691</v>
      </c>
      <c r="I896">
        <v>20820803</v>
      </c>
      <c r="J896" s="1">
        <f t="shared" si="74"/>
        <v>66691</v>
      </c>
      <c r="L896">
        <v>20660101</v>
      </c>
      <c r="M896" s="1">
        <f t="shared" si="75"/>
        <v>60633</v>
      </c>
      <c r="N896" t="str">
        <f t="shared" si="76"/>
        <v>insert #t values('20660101')</v>
      </c>
    </row>
    <row r="897" spans="8:14" x14ac:dyDescent="0.2">
      <c r="H897" s="6">
        <f t="shared" si="73"/>
        <v>66726</v>
      </c>
      <c r="I897">
        <v>20820907</v>
      </c>
      <c r="J897" s="1">
        <f t="shared" si="74"/>
        <v>66726</v>
      </c>
      <c r="L897">
        <v>20660215</v>
      </c>
      <c r="M897" s="1">
        <f t="shared" si="75"/>
        <v>60678</v>
      </c>
      <c r="N897" t="str">
        <f t="shared" si="76"/>
        <v>insert #t values('20660215')</v>
      </c>
    </row>
    <row r="898" spans="8:14" x14ac:dyDescent="0.2">
      <c r="H898" s="6">
        <f t="shared" ref="H898:H948" si="77">J898-A898</f>
        <v>66761</v>
      </c>
      <c r="I898">
        <v>20821012</v>
      </c>
      <c r="J898" s="1">
        <f t="shared" ref="J898:J938" si="78">DATE(LEFT(I898,4),MID(I898,5,2),RIGHT(I898,2))</f>
        <v>66761</v>
      </c>
      <c r="L898">
        <v>20660409</v>
      </c>
      <c r="M898" s="1">
        <f t="shared" ref="M898:M961" si="79">DATE(LEFT(L898,4),MID(L898,5,2),RIGHT(L898,2))</f>
        <v>60731</v>
      </c>
      <c r="N898" t="str">
        <f t="shared" ref="N898:N961" si="80">"insert #t values('"&amp;L898 &amp; "')"</f>
        <v>insert #t values('20660409')</v>
      </c>
    </row>
    <row r="899" spans="8:14" x14ac:dyDescent="0.2">
      <c r="H899" s="6">
        <f t="shared" si="77"/>
        <v>66791</v>
      </c>
      <c r="I899">
        <v>20821111</v>
      </c>
      <c r="J899" s="1">
        <f t="shared" si="78"/>
        <v>66791</v>
      </c>
      <c r="L899">
        <v>20660524</v>
      </c>
      <c r="M899" s="1">
        <f t="shared" si="79"/>
        <v>60776</v>
      </c>
      <c r="N899" t="str">
        <f t="shared" si="80"/>
        <v>insert #t values('20660524')</v>
      </c>
    </row>
    <row r="900" spans="8:14" x14ac:dyDescent="0.2">
      <c r="H900" s="6">
        <f t="shared" si="77"/>
        <v>66835</v>
      </c>
      <c r="I900">
        <v>20821225</v>
      </c>
      <c r="J900" s="1">
        <f t="shared" si="78"/>
        <v>66835</v>
      </c>
      <c r="L900">
        <v>20660701</v>
      </c>
      <c r="M900" s="1">
        <f t="shared" si="79"/>
        <v>60814</v>
      </c>
      <c r="N900" t="str">
        <f t="shared" si="80"/>
        <v>insert #t values('20660701')</v>
      </c>
    </row>
    <row r="901" spans="8:14" x14ac:dyDescent="0.2">
      <c r="H901" s="6">
        <f t="shared" si="77"/>
        <v>66838</v>
      </c>
      <c r="I901">
        <v>20821228</v>
      </c>
      <c r="J901" s="1">
        <f t="shared" si="78"/>
        <v>66838</v>
      </c>
      <c r="L901">
        <v>20660802</v>
      </c>
      <c r="M901" s="1">
        <f t="shared" si="79"/>
        <v>60846</v>
      </c>
      <c r="N901" t="str">
        <f t="shared" si="80"/>
        <v>insert #t values('20660802')</v>
      </c>
    </row>
    <row r="902" spans="8:14" x14ac:dyDescent="0.2">
      <c r="H902" s="6">
        <f t="shared" si="77"/>
        <v>66838</v>
      </c>
      <c r="I902">
        <v>20821228</v>
      </c>
      <c r="J902" s="1">
        <f t="shared" si="78"/>
        <v>66838</v>
      </c>
      <c r="L902">
        <v>20660906</v>
      </c>
      <c r="M902" s="1">
        <f t="shared" si="79"/>
        <v>60881</v>
      </c>
      <c r="N902" t="str">
        <f t="shared" si="80"/>
        <v>insert #t values('20660906')</v>
      </c>
    </row>
    <row r="903" spans="8:14" x14ac:dyDescent="0.2">
      <c r="H903" s="6">
        <f t="shared" si="77"/>
        <v>66842</v>
      </c>
      <c r="I903">
        <v>20830101</v>
      </c>
      <c r="J903" s="1">
        <f t="shared" si="78"/>
        <v>66842</v>
      </c>
      <c r="L903">
        <v>20661011</v>
      </c>
      <c r="M903" s="1">
        <f t="shared" si="79"/>
        <v>60916</v>
      </c>
      <c r="N903" t="str">
        <f t="shared" si="80"/>
        <v>insert #t values('20661011')</v>
      </c>
    </row>
    <row r="904" spans="8:14" x14ac:dyDescent="0.2">
      <c r="H904" s="6">
        <f t="shared" si="77"/>
        <v>66887</v>
      </c>
      <c r="I904">
        <v>20830215</v>
      </c>
      <c r="J904" s="1">
        <f t="shared" si="78"/>
        <v>66887</v>
      </c>
      <c r="L904">
        <v>20661111</v>
      </c>
      <c r="M904" s="1">
        <f t="shared" si="79"/>
        <v>60947</v>
      </c>
      <c r="N904" t="str">
        <f t="shared" si="80"/>
        <v>insert #t values('20661111')</v>
      </c>
    </row>
    <row r="905" spans="8:14" x14ac:dyDescent="0.2">
      <c r="H905" s="6">
        <f t="shared" si="77"/>
        <v>66933</v>
      </c>
      <c r="I905">
        <v>20830402</v>
      </c>
      <c r="J905" s="1">
        <f t="shared" si="78"/>
        <v>66933</v>
      </c>
      <c r="L905">
        <v>20661227</v>
      </c>
      <c r="M905" s="1">
        <f t="shared" si="79"/>
        <v>60993</v>
      </c>
      <c r="N905" t="str">
        <f t="shared" si="80"/>
        <v>insert #t values('20661227')</v>
      </c>
    </row>
    <row r="906" spans="8:14" x14ac:dyDescent="0.2">
      <c r="H906" s="6">
        <f t="shared" si="77"/>
        <v>66985</v>
      </c>
      <c r="I906">
        <v>20830524</v>
      </c>
      <c r="J906" s="1">
        <f t="shared" si="78"/>
        <v>66985</v>
      </c>
      <c r="L906">
        <v>20661227</v>
      </c>
      <c r="M906" s="1">
        <f t="shared" si="79"/>
        <v>60993</v>
      </c>
      <c r="N906" t="str">
        <f t="shared" si="80"/>
        <v>insert #t values('20661227')</v>
      </c>
    </row>
    <row r="907" spans="8:14" x14ac:dyDescent="0.2">
      <c r="H907" s="6">
        <f t="shared" si="77"/>
        <v>67023</v>
      </c>
      <c r="I907">
        <v>20830701</v>
      </c>
      <c r="J907" s="1">
        <f t="shared" si="78"/>
        <v>67023</v>
      </c>
      <c r="L907">
        <v>20661228</v>
      </c>
      <c r="M907" s="1">
        <f t="shared" si="79"/>
        <v>60994</v>
      </c>
      <c r="N907" t="str">
        <f t="shared" si="80"/>
        <v>insert #t values('20661228')</v>
      </c>
    </row>
    <row r="908" spans="8:14" x14ac:dyDescent="0.2">
      <c r="H908" s="6">
        <f t="shared" si="77"/>
        <v>67055</v>
      </c>
      <c r="I908">
        <v>20830802</v>
      </c>
      <c r="J908" s="1">
        <f t="shared" si="78"/>
        <v>67055</v>
      </c>
      <c r="L908">
        <v>20670103</v>
      </c>
      <c r="M908" s="1">
        <f t="shared" si="79"/>
        <v>61000</v>
      </c>
      <c r="N908" t="str">
        <f t="shared" si="80"/>
        <v>insert #t values('20670103')</v>
      </c>
    </row>
    <row r="909" spans="8:14" x14ac:dyDescent="0.2">
      <c r="H909" s="6">
        <f t="shared" si="77"/>
        <v>67090</v>
      </c>
      <c r="I909">
        <v>20830906</v>
      </c>
      <c r="J909" s="1">
        <f t="shared" si="78"/>
        <v>67090</v>
      </c>
      <c r="L909">
        <v>20670221</v>
      </c>
      <c r="M909" s="1">
        <f t="shared" si="79"/>
        <v>61049</v>
      </c>
      <c r="N909" t="str">
        <f t="shared" si="80"/>
        <v>insert #t values('20670221')</v>
      </c>
    </row>
    <row r="910" spans="8:14" x14ac:dyDescent="0.2">
      <c r="H910" s="6">
        <f t="shared" si="77"/>
        <v>67125</v>
      </c>
      <c r="I910">
        <v>20831011</v>
      </c>
      <c r="J910" s="1">
        <f t="shared" si="78"/>
        <v>67125</v>
      </c>
      <c r="L910">
        <v>20670401</v>
      </c>
      <c r="M910" s="1">
        <f t="shared" si="79"/>
        <v>61088</v>
      </c>
      <c r="N910" t="str">
        <f t="shared" si="80"/>
        <v>insert #t values('20670401')</v>
      </c>
    </row>
    <row r="911" spans="8:14" x14ac:dyDescent="0.2">
      <c r="H911" s="6">
        <f t="shared" si="77"/>
        <v>67156</v>
      </c>
      <c r="I911">
        <v>20831111</v>
      </c>
      <c r="J911" s="1">
        <f t="shared" si="78"/>
        <v>67156</v>
      </c>
      <c r="L911">
        <v>20670523</v>
      </c>
      <c r="M911" s="1">
        <f t="shared" si="79"/>
        <v>61140</v>
      </c>
      <c r="N911" t="str">
        <f t="shared" si="80"/>
        <v>insert #t values('20670523')</v>
      </c>
    </row>
    <row r="912" spans="8:14" x14ac:dyDescent="0.2">
      <c r="H912" s="6">
        <f t="shared" si="77"/>
        <v>67202</v>
      </c>
      <c r="I912">
        <v>20831227</v>
      </c>
      <c r="J912" s="1">
        <f t="shared" si="78"/>
        <v>67202</v>
      </c>
      <c r="L912">
        <v>20670701</v>
      </c>
      <c r="M912" s="1">
        <f t="shared" si="79"/>
        <v>61179</v>
      </c>
      <c r="N912" t="str">
        <f t="shared" si="80"/>
        <v>insert #t values('20670701')</v>
      </c>
    </row>
    <row r="913" spans="8:14" x14ac:dyDescent="0.2">
      <c r="H913" s="6">
        <f t="shared" si="77"/>
        <v>67202</v>
      </c>
      <c r="I913">
        <v>20831227</v>
      </c>
      <c r="J913" s="1">
        <f t="shared" si="78"/>
        <v>67202</v>
      </c>
      <c r="L913">
        <v>20670801</v>
      </c>
      <c r="M913" s="1">
        <f t="shared" si="79"/>
        <v>61210</v>
      </c>
      <c r="N913" t="str">
        <f t="shared" si="80"/>
        <v>insert #t values('20670801')</v>
      </c>
    </row>
    <row r="914" spans="8:14" x14ac:dyDescent="0.2">
      <c r="H914" s="6">
        <f t="shared" si="77"/>
        <v>67203</v>
      </c>
      <c r="I914">
        <v>20831228</v>
      </c>
      <c r="J914" s="1">
        <f t="shared" si="78"/>
        <v>67203</v>
      </c>
      <c r="L914">
        <v>20670905</v>
      </c>
      <c r="M914" s="1">
        <f t="shared" si="79"/>
        <v>61245</v>
      </c>
      <c r="N914" t="str">
        <f t="shared" si="80"/>
        <v>insert #t values('20670905')</v>
      </c>
    </row>
    <row r="915" spans="8:14" x14ac:dyDescent="0.2">
      <c r="H915" s="6">
        <f t="shared" si="77"/>
        <v>67209</v>
      </c>
      <c r="I915">
        <v>20840103</v>
      </c>
      <c r="J915" s="1">
        <f t="shared" si="78"/>
        <v>67209</v>
      </c>
      <c r="L915">
        <v>20671010</v>
      </c>
      <c r="M915" s="1">
        <f t="shared" si="79"/>
        <v>61280</v>
      </c>
      <c r="N915" t="str">
        <f t="shared" si="80"/>
        <v>insert #t values('20671010')</v>
      </c>
    </row>
    <row r="916" spans="8:14" x14ac:dyDescent="0.2">
      <c r="H916" s="6">
        <f t="shared" si="77"/>
        <v>67258</v>
      </c>
      <c r="I916">
        <v>20840221</v>
      </c>
      <c r="J916" s="1">
        <f t="shared" si="78"/>
        <v>67258</v>
      </c>
      <c r="L916">
        <v>20671111</v>
      </c>
      <c r="M916" s="1">
        <f t="shared" si="79"/>
        <v>61312</v>
      </c>
      <c r="N916" t="str">
        <f t="shared" si="80"/>
        <v>insert #t values('20671111')</v>
      </c>
    </row>
    <row r="917" spans="8:14" x14ac:dyDescent="0.2">
      <c r="H917" s="6">
        <f t="shared" si="77"/>
        <v>67290</v>
      </c>
      <c r="I917">
        <v>20840324</v>
      </c>
      <c r="J917" s="1">
        <f t="shared" si="78"/>
        <v>67290</v>
      </c>
      <c r="L917">
        <v>20671226</v>
      </c>
      <c r="M917" s="1">
        <f t="shared" si="79"/>
        <v>61357</v>
      </c>
      <c r="N917" t="str">
        <f t="shared" si="80"/>
        <v>insert #t values('20671226')</v>
      </c>
    </row>
    <row r="918" spans="8:14" x14ac:dyDescent="0.2">
      <c r="H918" s="6">
        <f t="shared" si="77"/>
        <v>67349</v>
      </c>
      <c r="I918">
        <v>20840522</v>
      </c>
      <c r="J918" s="1">
        <f t="shared" si="78"/>
        <v>67349</v>
      </c>
      <c r="L918">
        <v>20671226</v>
      </c>
      <c r="M918" s="1">
        <f t="shared" si="79"/>
        <v>61357</v>
      </c>
      <c r="N918" t="str">
        <f t="shared" si="80"/>
        <v>insert #t values('20671226')</v>
      </c>
    </row>
    <row r="919" spans="8:14" x14ac:dyDescent="0.2">
      <c r="H919" s="6">
        <f t="shared" si="77"/>
        <v>67391</v>
      </c>
      <c r="I919">
        <v>20840703</v>
      </c>
      <c r="J919" s="1">
        <f t="shared" si="78"/>
        <v>67391</v>
      </c>
      <c r="L919">
        <v>20671226</v>
      </c>
      <c r="M919" s="1">
        <f t="shared" si="79"/>
        <v>61357</v>
      </c>
      <c r="N919" t="str">
        <f t="shared" si="80"/>
        <v>insert #t values('20671226')</v>
      </c>
    </row>
    <row r="920" spans="8:14" x14ac:dyDescent="0.2">
      <c r="H920" s="6">
        <f t="shared" si="77"/>
        <v>67426</v>
      </c>
      <c r="I920">
        <v>20840807</v>
      </c>
      <c r="J920" s="1">
        <f t="shared" si="78"/>
        <v>67426</v>
      </c>
      <c r="L920">
        <v>20680102</v>
      </c>
      <c r="M920" s="1">
        <f t="shared" si="79"/>
        <v>61364</v>
      </c>
      <c r="N920" t="str">
        <f t="shared" si="80"/>
        <v>insert #t values('20680102')</v>
      </c>
    </row>
    <row r="921" spans="8:14" x14ac:dyDescent="0.2">
      <c r="H921" s="6">
        <f t="shared" si="77"/>
        <v>67454</v>
      </c>
      <c r="I921">
        <v>20840904</v>
      </c>
      <c r="J921" s="1">
        <f t="shared" si="78"/>
        <v>67454</v>
      </c>
      <c r="L921">
        <v>20680220</v>
      </c>
      <c r="M921" s="1">
        <f t="shared" si="79"/>
        <v>61413</v>
      </c>
      <c r="N921" t="str">
        <f t="shared" si="80"/>
        <v>insert #t values('20680220')</v>
      </c>
    </row>
    <row r="922" spans="8:14" x14ac:dyDescent="0.2">
      <c r="H922" s="6">
        <f t="shared" si="77"/>
        <v>67489</v>
      </c>
      <c r="I922">
        <v>20841009</v>
      </c>
      <c r="J922" s="1">
        <f t="shared" si="78"/>
        <v>67489</v>
      </c>
      <c r="L922">
        <v>20680420</v>
      </c>
      <c r="M922" s="1">
        <f t="shared" si="79"/>
        <v>61473</v>
      </c>
      <c r="N922" t="str">
        <f t="shared" si="80"/>
        <v>insert #t values('20680420')</v>
      </c>
    </row>
    <row r="923" spans="8:14" x14ac:dyDescent="0.2">
      <c r="H923" s="6">
        <f t="shared" si="77"/>
        <v>67524</v>
      </c>
      <c r="I923">
        <v>20841113</v>
      </c>
      <c r="J923" s="1">
        <f t="shared" si="78"/>
        <v>67524</v>
      </c>
      <c r="L923">
        <v>20680521</v>
      </c>
      <c r="M923" s="1">
        <f t="shared" si="79"/>
        <v>61504</v>
      </c>
      <c r="N923" t="str">
        <f t="shared" si="80"/>
        <v>insert #t values('20680521')</v>
      </c>
    </row>
    <row r="924" spans="8:14" x14ac:dyDescent="0.2">
      <c r="H924" s="6">
        <f t="shared" si="77"/>
        <v>67566</v>
      </c>
      <c r="I924">
        <v>20841225</v>
      </c>
      <c r="J924" s="1">
        <f t="shared" si="78"/>
        <v>67566</v>
      </c>
      <c r="L924">
        <v>20680702</v>
      </c>
      <c r="M924" s="1">
        <f t="shared" si="79"/>
        <v>61546</v>
      </c>
      <c r="N924" t="str">
        <f t="shared" si="80"/>
        <v>insert #t values('20680702')</v>
      </c>
    </row>
    <row r="925" spans="8:14" x14ac:dyDescent="0.2">
      <c r="H925" s="6">
        <f t="shared" si="77"/>
        <v>67567</v>
      </c>
      <c r="I925">
        <v>20841226</v>
      </c>
      <c r="J925" s="1">
        <f t="shared" si="78"/>
        <v>67567</v>
      </c>
      <c r="L925">
        <v>20680806</v>
      </c>
      <c r="M925" s="1">
        <f t="shared" si="79"/>
        <v>61581</v>
      </c>
      <c r="N925" t="str">
        <f t="shared" si="80"/>
        <v>insert #t values('20680806')</v>
      </c>
    </row>
    <row r="926" spans="8:14" x14ac:dyDescent="0.2">
      <c r="H926" s="6">
        <f t="shared" si="77"/>
        <v>67567</v>
      </c>
      <c r="I926">
        <v>20841226</v>
      </c>
      <c r="J926" s="1">
        <f t="shared" si="78"/>
        <v>67567</v>
      </c>
      <c r="L926">
        <v>20680903</v>
      </c>
      <c r="M926" s="1">
        <f t="shared" si="79"/>
        <v>61609</v>
      </c>
      <c r="N926" t="str">
        <f t="shared" si="80"/>
        <v>insert #t values('20680903')</v>
      </c>
    </row>
    <row r="927" spans="8:14" x14ac:dyDescent="0.2">
      <c r="H927" s="6">
        <f t="shared" si="77"/>
        <v>67573</v>
      </c>
      <c r="I927">
        <v>20850101</v>
      </c>
      <c r="J927" s="1">
        <f t="shared" si="78"/>
        <v>67573</v>
      </c>
      <c r="L927">
        <v>20681008</v>
      </c>
      <c r="M927" s="1">
        <f t="shared" si="79"/>
        <v>61644</v>
      </c>
      <c r="N927" t="str">
        <f t="shared" si="80"/>
        <v>insert #t values('20681008')</v>
      </c>
    </row>
    <row r="928" spans="8:14" x14ac:dyDescent="0.2">
      <c r="H928" s="6">
        <f t="shared" si="77"/>
        <v>67622</v>
      </c>
      <c r="I928">
        <v>20850219</v>
      </c>
      <c r="J928" s="1">
        <f t="shared" si="78"/>
        <v>67622</v>
      </c>
      <c r="L928">
        <v>20681112</v>
      </c>
      <c r="M928" s="1">
        <f t="shared" si="79"/>
        <v>61679</v>
      </c>
      <c r="N928" t="str">
        <f t="shared" si="80"/>
        <v>insert #t values('20681112')</v>
      </c>
    </row>
    <row r="929" spans="8:14" x14ac:dyDescent="0.2">
      <c r="H929" s="6">
        <f t="shared" si="77"/>
        <v>67675</v>
      </c>
      <c r="I929">
        <v>20850413</v>
      </c>
      <c r="J929" s="1">
        <f t="shared" si="78"/>
        <v>67675</v>
      </c>
      <c r="L929">
        <v>20681225</v>
      </c>
      <c r="M929" s="1">
        <f t="shared" si="79"/>
        <v>61722</v>
      </c>
      <c r="N929" t="str">
        <f t="shared" si="80"/>
        <v>insert #t values('20681225')</v>
      </c>
    </row>
    <row r="930" spans="8:14" x14ac:dyDescent="0.2">
      <c r="H930" s="6">
        <f t="shared" si="77"/>
        <v>67713</v>
      </c>
      <c r="I930">
        <v>20850521</v>
      </c>
      <c r="J930" s="1">
        <f t="shared" si="78"/>
        <v>67713</v>
      </c>
      <c r="L930">
        <v>20681226</v>
      </c>
      <c r="M930" s="1">
        <f t="shared" si="79"/>
        <v>61723</v>
      </c>
      <c r="N930" t="str">
        <f t="shared" si="80"/>
        <v>insert #t values('20681226')</v>
      </c>
    </row>
    <row r="931" spans="8:14" x14ac:dyDescent="0.2">
      <c r="H931" s="6">
        <f t="shared" si="77"/>
        <v>67755</v>
      </c>
      <c r="I931">
        <v>20850702</v>
      </c>
      <c r="J931" s="1">
        <f t="shared" si="78"/>
        <v>67755</v>
      </c>
      <c r="L931">
        <v>20681226</v>
      </c>
      <c r="M931" s="1">
        <f t="shared" si="79"/>
        <v>61723</v>
      </c>
      <c r="N931" t="str">
        <f t="shared" si="80"/>
        <v>insert #t values('20681226')</v>
      </c>
    </row>
    <row r="932" spans="8:14" x14ac:dyDescent="0.2">
      <c r="H932" s="6">
        <f t="shared" si="77"/>
        <v>67790</v>
      </c>
      <c r="I932">
        <v>20850806</v>
      </c>
      <c r="J932" s="1">
        <f t="shared" si="78"/>
        <v>67790</v>
      </c>
      <c r="L932">
        <v>20690101</v>
      </c>
      <c r="M932" s="1">
        <f t="shared" si="79"/>
        <v>61729</v>
      </c>
      <c r="N932" t="str">
        <f t="shared" si="80"/>
        <v>insert #t values('20690101')</v>
      </c>
    </row>
    <row r="933" spans="8:14" x14ac:dyDescent="0.2">
      <c r="H933" s="6">
        <f t="shared" si="77"/>
        <v>67818</v>
      </c>
      <c r="I933">
        <v>20850903</v>
      </c>
      <c r="J933" s="1">
        <f t="shared" si="78"/>
        <v>67818</v>
      </c>
      <c r="L933">
        <v>20690218</v>
      </c>
      <c r="M933" s="1">
        <f t="shared" si="79"/>
        <v>61777</v>
      </c>
      <c r="N933" t="str">
        <f t="shared" si="80"/>
        <v>insert #t values('20690218')</v>
      </c>
    </row>
    <row r="934" spans="8:14" x14ac:dyDescent="0.2">
      <c r="H934" s="6">
        <f t="shared" si="77"/>
        <v>67853</v>
      </c>
      <c r="I934">
        <v>20851008</v>
      </c>
      <c r="J934" s="1">
        <f t="shared" si="78"/>
        <v>67853</v>
      </c>
      <c r="L934">
        <v>20690412</v>
      </c>
      <c r="M934" s="1">
        <f t="shared" si="79"/>
        <v>61830</v>
      </c>
      <c r="N934" t="str">
        <f t="shared" si="80"/>
        <v>insert #t values('20690412')</v>
      </c>
    </row>
    <row r="935" spans="8:14" x14ac:dyDescent="0.2">
      <c r="H935" s="6">
        <f t="shared" si="77"/>
        <v>67888</v>
      </c>
      <c r="I935">
        <v>20851112</v>
      </c>
      <c r="J935" s="1">
        <f t="shared" si="78"/>
        <v>67888</v>
      </c>
      <c r="L935">
        <v>20690520</v>
      </c>
      <c r="M935" s="1">
        <f t="shared" si="79"/>
        <v>61868</v>
      </c>
      <c r="N935" t="str">
        <f t="shared" si="80"/>
        <v>insert #t values('20690520')</v>
      </c>
    </row>
    <row r="936" spans="8:14" x14ac:dyDescent="0.2">
      <c r="H936" s="6">
        <f t="shared" si="77"/>
        <v>67931</v>
      </c>
      <c r="I936">
        <v>20851225</v>
      </c>
      <c r="J936" s="1">
        <f t="shared" si="78"/>
        <v>67931</v>
      </c>
      <c r="L936">
        <v>20690701</v>
      </c>
      <c r="M936" s="1">
        <f t="shared" si="79"/>
        <v>61910</v>
      </c>
      <c r="N936" t="str">
        <f t="shared" si="80"/>
        <v>insert #t values('20690701')</v>
      </c>
    </row>
    <row r="937" spans="8:14" x14ac:dyDescent="0.2">
      <c r="H937" s="6">
        <f t="shared" si="77"/>
        <v>67932</v>
      </c>
      <c r="I937">
        <v>20851226</v>
      </c>
      <c r="J937" s="1">
        <f t="shared" si="78"/>
        <v>67932</v>
      </c>
      <c r="L937">
        <v>20690805</v>
      </c>
      <c r="M937" s="1">
        <f t="shared" si="79"/>
        <v>61945</v>
      </c>
      <c r="N937" t="str">
        <f t="shared" si="80"/>
        <v>insert #t values('20690805')</v>
      </c>
    </row>
    <row r="938" spans="8:14" x14ac:dyDescent="0.2">
      <c r="H938" s="6">
        <f t="shared" si="77"/>
        <v>67932</v>
      </c>
      <c r="I938">
        <v>20851226</v>
      </c>
      <c r="J938" s="1">
        <f t="shared" si="78"/>
        <v>67932</v>
      </c>
      <c r="L938">
        <v>20690902</v>
      </c>
      <c r="M938" s="1">
        <f t="shared" si="79"/>
        <v>61973</v>
      </c>
      <c r="N938" t="str">
        <f t="shared" si="80"/>
        <v>insert #t values('20690902')</v>
      </c>
    </row>
    <row r="939" spans="8:14" x14ac:dyDescent="0.2">
      <c r="H939" s="6">
        <f t="shared" si="77"/>
        <v>0</v>
      </c>
      <c r="L939">
        <v>20691014</v>
      </c>
      <c r="M939" s="1">
        <f t="shared" si="79"/>
        <v>62015</v>
      </c>
      <c r="N939" t="str">
        <f t="shared" si="80"/>
        <v>insert #t values('20691014')</v>
      </c>
    </row>
    <row r="940" spans="8:14" x14ac:dyDescent="0.2">
      <c r="H940" s="6">
        <f t="shared" si="77"/>
        <v>0</v>
      </c>
      <c r="L940">
        <v>20691111</v>
      </c>
      <c r="M940" s="1">
        <f t="shared" si="79"/>
        <v>62043</v>
      </c>
      <c r="N940" t="str">
        <f t="shared" si="80"/>
        <v>insert #t values('20691111')</v>
      </c>
    </row>
    <row r="941" spans="8:14" x14ac:dyDescent="0.2">
      <c r="H941" s="6">
        <f t="shared" si="77"/>
        <v>0</v>
      </c>
      <c r="L941">
        <v>20691225</v>
      </c>
      <c r="M941" s="1">
        <f t="shared" si="79"/>
        <v>62087</v>
      </c>
      <c r="N941" t="str">
        <f t="shared" si="80"/>
        <v>insert #t values('20691225')</v>
      </c>
    </row>
    <row r="942" spans="8:14" x14ac:dyDescent="0.2">
      <c r="H942" s="6">
        <f t="shared" si="77"/>
        <v>0</v>
      </c>
      <c r="L942">
        <v>20691226</v>
      </c>
      <c r="M942" s="1">
        <f t="shared" si="79"/>
        <v>62088</v>
      </c>
      <c r="N942" t="str">
        <f t="shared" si="80"/>
        <v>insert #t values('20691226')</v>
      </c>
    </row>
    <row r="943" spans="8:14" x14ac:dyDescent="0.2">
      <c r="H943" s="6">
        <f t="shared" si="77"/>
        <v>0</v>
      </c>
      <c r="L943">
        <v>20691226</v>
      </c>
      <c r="M943" s="1">
        <f t="shared" si="79"/>
        <v>62088</v>
      </c>
      <c r="N943" t="str">
        <f t="shared" si="80"/>
        <v>insert #t values('20691226')</v>
      </c>
    </row>
    <row r="944" spans="8:14" x14ac:dyDescent="0.2">
      <c r="H944" s="6">
        <f t="shared" si="77"/>
        <v>0</v>
      </c>
      <c r="L944">
        <v>20700101</v>
      </c>
      <c r="M944" s="1">
        <f t="shared" si="79"/>
        <v>62094</v>
      </c>
      <c r="N944" t="str">
        <f t="shared" si="80"/>
        <v>insert #t values('20700101')</v>
      </c>
    </row>
    <row r="945" spans="8:14" x14ac:dyDescent="0.2">
      <c r="H945" s="6">
        <f t="shared" si="77"/>
        <v>0</v>
      </c>
      <c r="L945">
        <v>20700217</v>
      </c>
      <c r="M945" s="1">
        <f t="shared" si="79"/>
        <v>62141</v>
      </c>
      <c r="N945" t="str">
        <f t="shared" si="80"/>
        <v>insert #t values('20700217')</v>
      </c>
    </row>
    <row r="946" spans="8:14" x14ac:dyDescent="0.2">
      <c r="H946" s="6">
        <f t="shared" si="77"/>
        <v>0</v>
      </c>
      <c r="L946">
        <v>20700328</v>
      </c>
      <c r="M946" s="1">
        <f t="shared" si="79"/>
        <v>62180</v>
      </c>
      <c r="N946" t="str">
        <f t="shared" si="80"/>
        <v>insert #t values('20700328')</v>
      </c>
    </row>
    <row r="947" spans="8:14" x14ac:dyDescent="0.2">
      <c r="H947" s="6">
        <f t="shared" si="77"/>
        <v>0</v>
      </c>
      <c r="L947">
        <v>20700519</v>
      </c>
      <c r="M947" s="1">
        <f t="shared" si="79"/>
        <v>62232</v>
      </c>
      <c r="N947" t="str">
        <f t="shared" si="80"/>
        <v>insert #t values('20700519')</v>
      </c>
    </row>
    <row r="948" spans="8:14" x14ac:dyDescent="0.2">
      <c r="H948" s="6">
        <f t="shared" si="77"/>
        <v>0</v>
      </c>
      <c r="L948">
        <v>20700701</v>
      </c>
      <c r="M948" s="1">
        <f t="shared" si="79"/>
        <v>62275</v>
      </c>
      <c r="N948" t="str">
        <f t="shared" si="80"/>
        <v>insert #t values('20700701')</v>
      </c>
    </row>
    <row r="949" spans="8:14" x14ac:dyDescent="0.2">
      <c r="L949">
        <v>20700804</v>
      </c>
      <c r="M949" s="1">
        <f t="shared" si="79"/>
        <v>62309</v>
      </c>
      <c r="N949" t="str">
        <f t="shared" si="80"/>
        <v>insert #t values('20700804')</v>
      </c>
    </row>
    <row r="950" spans="8:14" x14ac:dyDescent="0.2">
      <c r="L950">
        <v>20700901</v>
      </c>
      <c r="M950" s="1">
        <f t="shared" si="79"/>
        <v>62337</v>
      </c>
      <c r="N950" t="str">
        <f t="shared" si="80"/>
        <v>insert #t values('20700901')</v>
      </c>
    </row>
    <row r="951" spans="8:14" x14ac:dyDescent="0.2">
      <c r="L951">
        <v>20701013</v>
      </c>
      <c r="M951" s="1">
        <f t="shared" si="79"/>
        <v>62379</v>
      </c>
      <c r="N951" t="str">
        <f t="shared" si="80"/>
        <v>insert #t values('20701013')</v>
      </c>
    </row>
    <row r="952" spans="8:14" x14ac:dyDescent="0.2">
      <c r="L952">
        <v>20701111</v>
      </c>
      <c r="M952" s="1">
        <f t="shared" si="79"/>
        <v>62408</v>
      </c>
      <c r="N952" t="str">
        <f t="shared" si="80"/>
        <v>insert #t values('20701111')</v>
      </c>
    </row>
    <row r="953" spans="8:14" x14ac:dyDescent="0.2">
      <c r="L953">
        <v>20701225</v>
      </c>
      <c r="M953" s="1">
        <f t="shared" si="79"/>
        <v>62452</v>
      </c>
      <c r="N953" t="str">
        <f t="shared" si="80"/>
        <v>insert #t values('20701225')</v>
      </c>
    </row>
    <row r="954" spans="8:14" x14ac:dyDescent="0.2">
      <c r="L954">
        <v>20701226</v>
      </c>
      <c r="M954" s="1">
        <f t="shared" si="79"/>
        <v>62453</v>
      </c>
      <c r="N954" t="str">
        <f t="shared" si="80"/>
        <v>insert #t values('20701226')</v>
      </c>
    </row>
    <row r="955" spans="8:14" x14ac:dyDescent="0.2">
      <c r="L955">
        <v>20701226</v>
      </c>
      <c r="M955" s="1">
        <f t="shared" si="79"/>
        <v>62453</v>
      </c>
      <c r="N955" t="str">
        <f t="shared" si="80"/>
        <v>insert #t values('20701226')</v>
      </c>
    </row>
    <row r="956" spans="8:14" x14ac:dyDescent="0.2">
      <c r="L956">
        <v>20710101</v>
      </c>
      <c r="M956" s="1">
        <f t="shared" si="79"/>
        <v>62459</v>
      </c>
      <c r="N956" t="str">
        <f t="shared" si="80"/>
        <v>insert #t values('20710101')</v>
      </c>
    </row>
    <row r="957" spans="8:14" x14ac:dyDescent="0.2">
      <c r="L957">
        <v>20710216</v>
      </c>
      <c r="M957" s="1">
        <f t="shared" si="79"/>
        <v>62505</v>
      </c>
      <c r="N957" t="str">
        <f t="shared" si="80"/>
        <v>insert #t values('20710216')</v>
      </c>
    </row>
    <row r="958" spans="8:14" x14ac:dyDescent="0.2">
      <c r="L958">
        <v>20710417</v>
      </c>
      <c r="M958" s="1">
        <f t="shared" si="79"/>
        <v>62565</v>
      </c>
      <c r="N958" t="str">
        <f t="shared" si="80"/>
        <v>insert #t values('20710417')</v>
      </c>
    </row>
    <row r="959" spans="8:14" x14ac:dyDescent="0.2">
      <c r="L959">
        <v>20710518</v>
      </c>
      <c r="M959" s="1">
        <f t="shared" si="79"/>
        <v>62596</v>
      </c>
      <c r="N959" t="str">
        <f t="shared" si="80"/>
        <v>insert #t values('20710518')</v>
      </c>
    </row>
    <row r="960" spans="8:14" x14ac:dyDescent="0.2">
      <c r="L960">
        <v>20710701</v>
      </c>
      <c r="M960" s="1">
        <f t="shared" si="79"/>
        <v>62640</v>
      </c>
      <c r="N960" t="str">
        <f t="shared" si="80"/>
        <v>insert #t values('20710701')</v>
      </c>
    </row>
    <row r="961" spans="12:14" x14ac:dyDescent="0.2">
      <c r="L961">
        <v>20710803</v>
      </c>
      <c r="M961" s="1">
        <f t="shared" si="79"/>
        <v>62673</v>
      </c>
      <c r="N961" t="str">
        <f t="shared" si="80"/>
        <v>insert #t values('20710803')</v>
      </c>
    </row>
    <row r="962" spans="12:14" x14ac:dyDescent="0.2">
      <c r="L962">
        <v>20710907</v>
      </c>
      <c r="M962" s="1">
        <f t="shared" ref="M962:M1025" si="81">DATE(LEFT(L962,4),MID(L962,5,2),RIGHT(L962,2))</f>
        <v>62708</v>
      </c>
      <c r="N962" t="str">
        <f t="shared" ref="N962:N1025" si="82">"insert #t values('"&amp;L962 &amp; "')"</f>
        <v>insert #t values('20710907')</v>
      </c>
    </row>
    <row r="963" spans="12:14" x14ac:dyDescent="0.2">
      <c r="L963">
        <v>20711012</v>
      </c>
      <c r="M963" s="1">
        <f t="shared" si="81"/>
        <v>62743</v>
      </c>
      <c r="N963" t="str">
        <f t="shared" si="82"/>
        <v>insert #t values('20711012')</v>
      </c>
    </row>
    <row r="964" spans="12:14" x14ac:dyDescent="0.2">
      <c r="L964">
        <v>20711111</v>
      </c>
      <c r="M964" s="1">
        <f t="shared" si="81"/>
        <v>62773</v>
      </c>
      <c r="N964" t="str">
        <f t="shared" si="82"/>
        <v>insert #t values('20711111')</v>
      </c>
    </row>
    <row r="965" spans="12:14" x14ac:dyDescent="0.2">
      <c r="L965">
        <v>20711225</v>
      </c>
      <c r="M965" s="1">
        <f t="shared" si="81"/>
        <v>62817</v>
      </c>
      <c r="N965" t="str">
        <f t="shared" si="82"/>
        <v>insert #t values('20711225')</v>
      </c>
    </row>
    <row r="966" spans="12:14" x14ac:dyDescent="0.2">
      <c r="L966">
        <v>20711228</v>
      </c>
      <c r="M966" s="1">
        <f t="shared" si="81"/>
        <v>62820</v>
      </c>
      <c r="N966" t="str">
        <f t="shared" si="82"/>
        <v>insert #t values('20711228')</v>
      </c>
    </row>
    <row r="967" spans="12:14" x14ac:dyDescent="0.2">
      <c r="L967">
        <v>20711228</v>
      </c>
      <c r="M967" s="1">
        <f t="shared" si="81"/>
        <v>62820</v>
      </c>
      <c r="N967" t="str">
        <f t="shared" si="82"/>
        <v>insert #t values('20711228')</v>
      </c>
    </row>
    <row r="968" spans="12:14" x14ac:dyDescent="0.2">
      <c r="L968">
        <v>20720101</v>
      </c>
      <c r="M968" s="1">
        <f t="shared" si="81"/>
        <v>62824</v>
      </c>
      <c r="N968" t="str">
        <f t="shared" si="82"/>
        <v>insert #t values('20720101')</v>
      </c>
    </row>
    <row r="969" spans="12:14" x14ac:dyDescent="0.2">
      <c r="L969">
        <v>20720215</v>
      </c>
      <c r="M969" s="1">
        <f t="shared" si="81"/>
        <v>62869</v>
      </c>
      <c r="N969" t="str">
        <f t="shared" si="82"/>
        <v>insert #t values('20720215')</v>
      </c>
    </row>
    <row r="970" spans="12:14" x14ac:dyDescent="0.2">
      <c r="L970">
        <v>20720408</v>
      </c>
      <c r="M970" s="1">
        <f t="shared" si="81"/>
        <v>62922</v>
      </c>
      <c r="N970" t="str">
        <f t="shared" si="82"/>
        <v>insert #t values('20720408')</v>
      </c>
    </row>
    <row r="971" spans="12:14" x14ac:dyDescent="0.2">
      <c r="L971">
        <v>20720523</v>
      </c>
      <c r="M971" s="1">
        <f t="shared" si="81"/>
        <v>62967</v>
      </c>
      <c r="N971" t="str">
        <f t="shared" si="82"/>
        <v>insert #t values('20720523')</v>
      </c>
    </row>
    <row r="972" spans="12:14" x14ac:dyDescent="0.2">
      <c r="L972">
        <v>20720701</v>
      </c>
      <c r="M972" s="1">
        <f t="shared" si="81"/>
        <v>63006</v>
      </c>
      <c r="N972" t="str">
        <f t="shared" si="82"/>
        <v>insert #t values('20720701')</v>
      </c>
    </row>
    <row r="973" spans="12:14" x14ac:dyDescent="0.2">
      <c r="L973">
        <v>20720801</v>
      </c>
      <c r="M973" s="1">
        <f t="shared" si="81"/>
        <v>63037</v>
      </c>
      <c r="N973" t="str">
        <f t="shared" si="82"/>
        <v>insert #t values('20720801')</v>
      </c>
    </row>
    <row r="974" spans="12:14" x14ac:dyDescent="0.2">
      <c r="L974">
        <v>20720905</v>
      </c>
      <c r="M974" s="1">
        <f t="shared" si="81"/>
        <v>63072</v>
      </c>
      <c r="N974" t="str">
        <f t="shared" si="82"/>
        <v>insert #t values('20720905')</v>
      </c>
    </row>
    <row r="975" spans="12:14" x14ac:dyDescent="0.2">
      <c r="L975">
        <v>20721010</v>
      </c>
      <c r="M975" s="1">
        <f t="shared" si="81"/>
        <v>63107</v>
      </c>
      <c r="N975" t="str">
        <f t="shared" si="82"/>
        <v>insert #t values('20721010')</v>
      </c>
    </row>
    <row r="976" spans="12:14" x14ac:dyDescent="0.2">
      <c r="L976">
        <v>20721111</v>
      </c>
      <c r="M976" s="1">
        <f t="shared" si="81"/>
        <v>63139</v>
      </c>
      <c r="N976" t="str">
        <f t="shared" si="82"/>
        <v>insert #t values('20721111')</v>
      </c>
    </row>
    <row r="977" spans="12:14" x14ac:dyDescent="0.2">
      <c r="L977">
        <v>20721226</v>
      </c>
      <c r="M977" s="1">
        <f t="shared" si="81"/>
        <v>63184</v>
      </c>
      <c r="N977" t="str">
        <f t="shared" si="82"/>
        <v>insert #t values('20721226')</v>
      </c>
    </row>
    <row r="978" spans="12:14" x14ac:dyDescent="0.2">
      <c r="L978">
        <v>20721226</v>
      </c>
      <c r="M978" s="1">
        <f t="shared" si="81"/>
        <v>63184</v>
      </c>
      <c r="N978" t="str">
        <f t="shared" si="82"/>
        <v>insert #t values('20721226')</v>
      </c>
    </row>
    <row r="979" spans="12:14" x14ac:dyDescent="0.2">
      <c r="L979">
        <v>20721226</v>
      </c>
      <c r="M979" s="1">
        <f t="shared" si="81"/>
        <v>63184</v>
      </c>
      <c r="N979" t="str">
        <f t="shared" si="82"/>
        <v>insert #t values('20721226')</v>
      </c>
    </row>
    <row r="980" spans="12:14" x14ac:dyDescent="0.2">
      <c r="L980">
        <v>20730102</v>
      </c>
      <c r="M980" s="1">
        <f t="shared" si="81"/>
        <v>63191</v>
      </c>
      <c r="N980" t="str">
        <f t="shared" si="82"/>
        <v>insert #t values('20730102')</v>
      </c>
    </row>
    <row r="981" spans="12:14" x14ac:dyDescent="0.2">
      <c r="L981">
        <v>20730220</v>
      </c>
      <c r="M981" s="1">
        <f t="shared" si="81"/>
        <v>63240</v>
      </c>
      <c r="N981" t="str">
        <f t="shared" si="82"/>
        <v>insert #t values('20730220')</v>
      </c>
    </row>
    <row r="982" spans="12:14" x14ac:dyDescent="0.2">
      <c r="L982">
        <v>20730324</v>
      </c>
      <c r="M982" s="1">
        <f t="shared" si="81"/>
        <v>63272</v>
      </c>
      <c r="N982" t="str">
        <f t="shared" si="82"/>
        <v>insert #t values('20730324')</v>
      </c>
    </row>
    <row r="983" spans="12:14" x14ac:dyDescent="0.2">
      <c r="L983">
        <v>20730522</v>
      </c>
      <c r="M983" s="1">
        <f t="shared" si="81"/>
        <v>63331</v>
      </c>
      <c r="N983" t="str">
        <f t="shared" si="82"/>
        <v>insert #t values('20730522')</v>
      </c>
    </row>
    <row r="984" spans="12:14" x14ac:dyDescent="0.2">
      <c r="L984">
        <v>20730703</v>
      </c>
      <c r="M984" s="1">
        <f t="shared" si="81"/>
        <v>63373</v>
      </c>
      <c r="N984" t="str">
        <f t="shared" si="82"/>
        <v>insert #t values('20730703')</v>
      </c>
    </row>
    <row r="985" spans="12:14" x14ac:dyDescent="0.2">
      <c r="L985">
        <v>20730807</v>
      </c>
      <c r="M985" s="1">
        <f t="shared" si="81"/>
        <v>63408</v>
      </c>
      <c r="N985" t="str">
        <f t="shared" si="82"/>
        <v>insert #t values('20730807')</v>
      </c>
    </row>
    <row r="986" spans="12:14" x14ac:dyDescent="0.2">
      <c r="L986">
        <v>20730904</v>
      </c>
      <c r="M986" s="1">
        <f t="shared" si="81"/>
        <v>63436</v>
      </c>
      <c r="N986" t="str">
        <f t="shared" si="82"/>
        <v>insert #t values('20730904')</v>
      </c>
    </row>
    <row r="987" spans="12:14" x14ac:dyDescent="0.2">
      <c r="L987">
        <v>20731009</v>
      </c>
      <c r="M987" s="1">
        <f t="shared" si="81"/>
        <v>63471</v>
      </c>
      <c r="N987" t="str">
        <f t="shared" si="82"/>
        <v>insert #t values('20731009')</v>
      </c>
    </row>
    <row r="988" spans="12:14" x14ac:dyDescent="0.2">
      <c r="L988">
        <v>20731113</v>
      </c>
      <c r="M988" s="1">
        <f t="shared" si="81"/>
        <v>63506</v>
      </c>
      <c r="N988" t="str">
        <f t="shared" si="82"/>
        <v>insert #t values('20731113')</v>
      </c>
    </row>
    <row r="989" spans="12:14" x14ac:dyDescent="0.2">
      <c r="L989">
        <v>20731225</v>
      </c>
      <c r="M989" s="1">
        <f t="shared" si="81"/>
        <v>63548</v>
      </c>
      <c r="N989" t="str">
        <f t="shared" si="82"/>
        <v>insert #t values('20731225')</v>
      </c>
    </row>
    <row r="990" spans="12:14" x14ac:dyDescent="0.2">
      <c r="L990">
        <v>20731226</v>
      </c>
      <c r="M990" s="1">
        <f t="shared" si="81"/>
        <v>63549</v>
      </c>
      <c r="N990" t="str">
        <f t="shared" si="82"/>
        <v>insert #t values('20731226')</v>
      </c>
    </row>
    <row r="991" spans="12:14" x14ac:dyDescent="0.2">
      <c r="L991">
        <v>20731226</v>
      </c>
      <c r="M991" s="1">
        <f t="shared" si="81"/>
        <v>63549</v>
      </c>
      <c r="N991" t="str">
        <f t="shared" si="82"/>
        <v>insert #t values('20731226')</v>
      </c>
    </row>
    <row r="992" spans="12:14" x14ac:dyDescent="0.2">
      <c r="L992">
        <v>20740101</v>
      </c>
      <c r="M992" s="1">
        <f t="shared" si="81"/>
        <v>63555</v>
      </c>
      <c r="N992" t="str">
        <f t="shared" si="82"/>
        <v>insert #t values('20740101')</v>
      </c>
    </row>
    <row r="993" spans="12:14" x14ac:dyDescent="0.2">
      <c r="L993">
        <v>20740219</v>
      </c>
      <c r="M993" s="1">
        <f t="shared" si="81"/>
        <v>63604</v>
      </c>
      <c r="N993" t="str">
        <f t="shared" si="82"/>
        <v>insert #t values('20740219')</v>
      </c>
    </row>
    <row r="994" spans="12:14" x14ac:dyDescent="0.2">
      <c r="L994">
        <v>20740413</v>
      </c>
      <c r="M994" s="1">
        <f t="shared" si="81"/>
        <v>63657</v>
      </c>
      <c r="N994" t="str">
        <f t="shared" si="82"/>
        <v>insert #t values('20740413')</v>
      </c>
    </row>
    <row r="995" spans="12:14" x14ac:dyDescent="0.2">
      <c r="L995">
        <v>20740521</v>
      </c>
      <c r="M995" s="1">
        <f t="shared" si="81"/>
        <v>63695</v>
      </c>
      <c r="N995" t="str">
        <f t="shared" si="82"/>
        <v>insert #t values('20740521')</v>
      </c>
    </row>
    <row r="996" spans="12:14" x14ac:dyDescent="0.2">
      <c r="L996">
        <v>20740702</v>
      </c>
      <c r="M996" s="1">
        <f t="shared" si="81"/>
        <v>63737</v>
      </c>
      <c r="N996" t="str">
        <f t="shared" si="82"/>
        <v>insert #t values('20740702')</v>
      </c>
    </row>
    <row r="997" spans="12:14" x14ac:dyDescent="0.2">
      <c r="L997">
        <v>20740806</v>
      </c>
      <c r="M997" s="1">
        <f t="shared" si="81"/>
        <v>63772</v>
      </c>
      <c r="N997" t="str">
        <f t="shared" si="82"/>
        <v>insert #t values('20740806')</v>
      </c>
    </row>
    <row r="998" spans="12:14" x14ac:dyDescent="0.2">
      <c r="L998">
        <v>20740903</v>
      </c>
      <c r="M998" s="1">
        <f t="shared" si="81"/>
        <v>63800</v>
      </c>
      <c r="N998" t="str">
        <f t="shared" si="82"/>
        <v>insert #t values('20740903')</v>
      </c>
    </row>
    <row r="999" spans="12:14" x14ac:dyDescent="0.2">
      <c r="L999">
        <v>20741008</v>
      </c>
      <c r="M999" s="1">
        <f t="shared" si="81"/>
        <v>63835</v>
      </c>
      <c r="N999" t="str">
        <f t="shared" si="82"/>
        <v>insert #t values('20741008')</v>
      </c>
    </row>
    <row r="1000" spans="12:14" x14ac:dyDescent="0.2">
      <c r="L1000">
        <v>20741112</v>
      </c>
      <c r="M1000" s="1">
        <f t="shared" si="81"/>
        <v>63870</v>
      </c>
      <c r="N1000" t="str">
        <f t="shared" si="82"/>
        <v>insert #t values('20741112')</v>
      </c>
    </row>
    <row r="1001" spans="12:14" x14ac:dyDescent="0.2">
      <c r="L1001">
        <v>20741225</v>
      </c>
      <c r="M1001" s="1">
        <f t="shared" si="81"/>
        <v>63913</v>
      </c>
      <c r="N1001" t="str">
        <f t="shared" si="82"/>
        <v>insert #t values('20741225')</v>
      </c>
    </row>
    <row r="1002" spans="12:14" x14ac:dyDescent="0.2">
      <c r="L1002">
        <v>20741226</v>
      </c>
      <c r="M1002" s="1">
        <f t="shared" si="81"/>
        <v>63914</v>
      </c>
      <c r="N1002" t="str">
        <f t="shared" si="82"/>
        <v>insert #t values('20741226')</v>
      </c>
    </row>
    <row r="1003" spans="12:14" x14ac:dyDescent="0.2">
      <c r="L1003">
        <v>20741226</v>
      </c>
      <c r="M1003" s="1">
        <f t="shared" si="81"/>
        <v>63914</v>
      </c>
      <c r="N1003" t="str">
        <f t="shared" si="82"/>
        <v>insert #t values('20741226')</v>
      </c>
    </row>
    <row r="1004" spans="12:14" x14ac:dyDescent="0.2">
      <c r="L1004">
        <v>20750101</v>
      </c>
      <c r="M1004" s="1">
        <f t="shared" si="81"/>
        <v>63920</v>
      </c>
      <c r="N1004" t="str">
        <f t="shared" si="82"/>
        <v>insert #t values('20750101')</v>
      </c>
    </row>
    <row r="1005" spans="12:14" x14ac:dyDescent="0.2">
      <c r="L1005">
        <v>20750218</v>
      </c>
      <c r="M1005" s="1">
        <f t="shared" si="81"/>
        <v>63968</v>
      </c>
      <c r="N1005" t="str">
        <f t="shared" si="82"/>
        <v>insert #t values('20750218')</v>
      </c>
    </row>
    <row r="1006" spans="12:14" x14ac:dyDescent="0.2">
      <c r="L1006">
        <v>20750405</v>
      </c>
      <c r="M1006" s="1">
        <f t="shared" si="81"/>
        <v>64014</v>
      </c>
      <c r="N1006" t="str">
        <f t="shared" si="82"/>
        <v>insert #t values('20750405')</v>
      </c>
    </row>
    <row r="1007" spans="12:14" x14ac:dyDescent="0.2">
      <c r="L1007">
        <v>20750520</v>
      </c>
      <c r="M1007" s="1">
        <f t="shared" si="81"/>
        <v>64059</v>
      </c>
      <c r="N1007" t="str">
        <f t="shared" si="82"/>
        <v>insert #t values('20750520')</v>
      </c>
    </row>
    <row r="1008" spans="12:14" x14ac:dyDescent="0.2">
      <c r="L1008">
        <v>20750701</v>
      </c>
      <c r="M1008" s="1">
        <f t="shared" si="81"/>
        <v>64101</v>
      </c>
      <c r="N1008" t="str">
        <f t="shared" si="82"/>
        <v>insert #t values('20750701')</v>
      </c>
    </row>
    <row r="1009" spans="12:14" x14ac:dyDescent="0.2">
      <c r="L1009">
        <v>20750805</v>
      </c>
      <c r="M1009" s="1">
        <f t="shared" si="81"/>
        <v>64136</v>
      </c>
      <c r="N1009" t="str">
        <f t="shared" si="82"/>
        <v>insert #t values('20750805')</v>
      </c>
    </row>
    <row r="1010" spans="12:14" x14ac:dyDescent="0.2">
      <c r="L1010">
        <v>20750902</v>
      </c>
      <c r="M1010" s="1">
        <f t="shared" si="81"/>
        <v>64164</v>
      </c>
      <c r="N1010" t="str">
        <f t="shared" si="82"/>
        <v>insert #t values('20750902')</v>
      </c>
    </row>
    <row r="1011" spans="12:14" x14ac:dyDescent="0.2">
      <c r="L1011">
        <v>20751014</v>
      </c>
      <c r="M1011" s="1">
        <f t="shared" si="81"/>
        <v>64206</v>
      </c>
      <c r="N1011" t="str">
        <f t="shared" si="82"/>
        <v>insert #t values('20751014')</v>
      </c>
    </row>
    <row r="1012" spans="12:14" x14ac:dyDescent="0.2">
      <c r="L1012">
        <v>20751111</v>
      </c>
      <c r="M1012" s="1">
        <f t="shared" si="81"/>
        <v>64234</v>
      </c>
      <c r="N1012" t="str">
        <f t="shared" si="82"/>
        <v>insert #t values('20751111')</v>
      </c>
    </row>
    <row r="1013" spans="12:14" x14ac:dyDescent="0.2">
      <c r="L1013">
        <v>20751225</v>
      </c>
      <c r="M1013" s="1">
        <f t="shared" si="81"/>
        <v>64278</v>
      </c>
      <c r="N1013" t="str">
        <f t="shared" si="82"/>
        <v>insert #t values('20751225')</v>
      </c>
    </row>
    <row r="1014" spans="12:14" x14ac:dyDescent="0.2">
      <c r="L1014">
        <v>20751226</v>
      </c>
      <c r="M1014" s="1">
        <f t="shared" si="81"/>
        <v>64279</v>
      </c>
      <c r="N1014" t="str">
        <f t="shared" si="82"/>
        <v>insert #t values('20751226')</v>
      </c>
    </row>
    <row r="1015" spans="12:14" x14ac:dyDescent="0.2">
      <c r="L1015">
        <v>20751226</v>
      </c>
      <c r="M1015" s="1">
        <f t="shared" si="81"/>
        <v>64279</v>
      </c>
      <c r="N1015" t="str">
        <f t="shared" si="82"/>
        <v>insert #t values('20751226')</v>
      </c>
    </row>
    <row r="1016" spans="12:14" x14ac:dyDescent="0.2">
      <c r="L1016">
        <v>20760101</v>
      </c>
      <c r="M1016" s="1">
        <f t="shared" si="81"/>
        <v>64285</v>
      </c>
      <c r="N1016" t="str">
        <f t="shared" si="82"/>
        <v>insert #t values('20760101')</v>
      </c>
    </row>
    <row r="1017" spans="12:14" x14ac:dyDescent="0.2">
      <c r="L1017">
        <v>20760217</v>
      </c>
      <c r="M1017" s="1">
        <f t="shared" si="81"/>
        <v>64332</v>
      </c>
      <c r="N1017" t="str">
        <f t="shared" si="82"/>
        <v>insert #t values('20760217')</v>
      </c>
    </row>
    <row r="1018" spans="12:14" x14ac:dyDescent="0.2">
      <c r="L1018">
        <v>20760424</v>
      </c>
      <c r="M1018" s="1">
        <f t="shared" si="81"/>
        <v>64399</v>
      </c>
      <c r="N1018" t="str">
        <f t="shared" si="82"/>
        <v>insert #t values('20760424')</v>
      </c>
    </row>
    <row r="1019" spans="12:14" x14ac:dyDescent="0.2">
      <c r="L1019">
        <v>20760518</v>
      </c>
      <c r="M1019" s="1">
        <f t="shared" si="81"/>
        <v>64423</v>
      </c>
      <c r="N1019" t="str">
        <f t="shared" si="82"/>
        <v>insert #t values('20760518')</v>
      </c>
    </row>
    <row r="1020" spans="12:14" x14ac:dyDescent="0.2">
      <c r="L1020">
        <v>20760701</v>
      </c>
      <c r="M1020" s="1">
        <f t="shared" si="81"/>
        <v>64467</v>
      </c>
      <c r="N1020" t="str">
        <f t="shared" si="82"/>
        <v>insert #t values('20760701')</v>
      </c>
    </row>
    <row r="1021" spans="12:14" x14ac:dyDescent="0.2">
      <c r="L1021">
        <v>20760803</v>
      </c>
      <c r="M1021" s="1">
        <f t="shared" si="81"/>
        <v>64500</v>
      </c>
      <c r="N1021" t="str">
        <f t="shared" si="82"/>
        <v>insert #t values('20760803')</v>
      </c>
    </row>
    <row r="1022" spans="12:14" x14ac:dyDescent="0.2">
      <c r="L1022">
        <v>20760907</v>
      </c>
      <c r="M1022" s="1">
        <f t="shared" si="81"/>
        <v>64535</v>
      </c>
      <c r="N1022" t="str">
        <f t="shared" si="82"/>
        <v>insert #t values('20760907')</v>
      </c>
    </row>
    <row r="1023" spans="12:14" x14ac:dyDescent="0.2">
      <c r="L1023">
        <v>20761012</v>
      </c>
      <c r="M1023" s="1">
        <f t="shared" si="81"/>
        <v>64570</v>
      </c>
      <c r="N1023" t="str">
        <f t="shared" si="82"/>
        <v>insert #t values('20761012')</v>
      </c>
    </row>
    <row r="1024" spans="12:14" x14ac:dyDescent="0.2">
      <c r="L1024">
        <v>20761111</v>
      </c>
      <c r="M1024" s="1">
        <f t="shared" si="81"/>
        <v>64600</v>
      </c>
      <c r="N1024" t="str">
        <f t="shared" si="82"/>
        <v>insert #t values('20761111')</v>
      </c>
    </row>
    <row r="1025" spans="12:14" x14ac:dyDescent="0.2">
      <c r="L1025">
        <v>20761225</v>
      </c>
      <c r="M1025" s="1">
        <f t="shared" si="81"/>
        <v>64644</v>
      </c>
      <c r="N1025" t="str">
        <f t="shared" si="82"/>
        <v>insert #t values('20761225')</v>
      </c>
    </row>
    <row r="1026" spans="12:14" x14ac:dyDescent="0.2">
      <c r="L1026">
        <v>20761228</v>
      </c>
      <c r="M1026" s="1">
        <f t="shared" ref="M1026:M1089" si="83">DATE(LEFT(L1026,4),MID(L1026,5,2),RIGHT(L1026,2))</f>
        <v>64647</v>
      </c>
      <c r="N1026" t="str">
        <f t="shared" ref="N1026:N1089" si="84">"insert #t values('"&amp;L1026 &amp; "')"</f>
        <v>insert #t values('20761228')</v>
      </c>
    </row>
    <row r="1027" spans="12:14" x14ac:dyDescent="0.2">
      <c r="L1027">
        <v>20761228</v>
      </c>
      <c r="M1027" s="1">
        <f t="shared" si="83"/>
        <v>64647</v>
      </c>
      <c r="N1027" t="str">
        <f t="shared" si="84"/>
        <v>insert #t values('20761228')</v>
      </c>
    </row>
    <row r="1028" spans="12:14" x14ac:dyDescent="0.2">
      <c r="L1028">
        <v>20770101</v>
      </c>
      <c r="M1028" s="1">
        <f t="shared" si="83"/>
        <v>64651</v>
      </c>
      <c r="N1028" t="str">
        <f t="shared" si="84"/>
        <v>insert #t values('20770101')</v>
      </c>
    </row>
    <row r="1029" spans="12:14" x14ac:dyDescent="0.2">
      <c r="L1029">
        <v>20770215</v>
      </c>
      <c r="M1029" s="1">
        <f t="shared" si="83"/>
        <v>64696</v>
      </c>
      <c r="N1029" t="str">
        <f t="shared" si="84"/>
        <v>insert #t values('20770215')</v>
      </c>
    </row>
    <row r="1030" spans="12:14" x14ac:dyDescent="0.2">
      <c r="L1030">
        <v>20770409</v>
      </c>
      <c r="M1030" s="1">
        <f t="shared" si="83"/>
        <v>64749</v>
      </c>
      <c r="N1030" t="str">
        <f t="shared" si="84"/>
        <v>insert #t values('20770409')</v>
      </c>
    </row>
    <row r="1031" spans="12:14" x14ac:dyDescent="0.2">
      <c r="L1031">
        <v>20770524</v>
      </c>
      <c r="M1031" s="1">
        <f t="shared" si="83"/>
        <v>64794</v>
      </c>
      <c r="N1031" t="str">
        <f t="shared" si="84"/>
        <v>insert #t values('20770524')</v>
      </c>
    </row>
    <row r="1032" spans="12:14" x14ac:dyDescent="0.2">
      <c r="L1032">
        <v>20770701</v>
      </c>
      <c r="M1032" s="1">
        <f t="shared" si="83"/>
        <v>64832</v>
      </c>
      <c r="N1032" t="str">
        <f t="shared" si="84"/>
        <v>insert #t values('20770701')</v>
      </c>
    </row>
    <row r="1033" spans="12:14" x14ac:dyDescent="0.2">
      <c r="L1033">
        <v>20770802</v>
      </c>
      <c r="M1033" s="1">
        <f t="shared" si="83"/>
        <v>64864</v>
      </c>
      <c r="N1033" t="str">
        <f t="shared" si="84"/>
        <v>insert #t values('20770802')</v>
      </c>
    </row>
    <row r="1034" spans="12:14" x14ac:dyDescent="0.2">
      <c r="L1034">
        <v>20770906</v>
      </c>
      <c r="M1034" s="1">
        <f t="shared" si="83"/>
        <v>64899</v>
      </c>
      <c r="N1034" t="str">
        <f t="shared" si="84"/>
        <v>insert #t values('20770906')</v>
      </c>
    </row>
    <row r="1035" spans="12:14" x14ac:dyDescent="0.2">
      <c r="L1035">
        <v>20771011</v>
      </c>
      <c r="M1035" s="1">
        <f t="shared" si="83"/>
        <v>64934</v>
      </c>
      <c r="N1035" t="str">
        <f t="shared" si="84"/>
        <v>insert #t values('20771011')</v>
      </c>
    </row>
    <row r="1036" spans="12:14" x14ac:dyDescent="0.2">
      <c r="L1036">
        <v>20771111</v>
      </c>
      <c r="M1036" s="1">
        <f t="shared" si="83"/>
        <v>64965</v>
      </c>
      <c r="N1036" t="str">
        <f t="shared" si="84"/>
        <v>insert #t values('20771111')</v>
      </c>
    </row>
    <row r="1037" spans="12:14" x14ac:dyDescent="0.2">
      <c r="L1037">
        <v>20771227</v>
      </c>
      <c r="M1037" s="1">
        <f t="shared" si="83"/>
        <v>65011</v>
      </c>
      <c r="N1037" t="str">
        <f t="shared" si="84"/>
        <v>insert #t values('20771227')</v>
      </c>
    </row>
    <row r="1038" spans="12:14" x14ac:dyDescent="0.2">
      <c r="L1038">
        <v>20771227</v>
      </c>
      <c r="M1038" s="1">
        <f t="shared" si="83"/>
        <v>65011</v>
      </c>
      <c r="N1038" t="str">
        <f t="shared" si="84"/>
        <v>insert #t values('20771227')</v>
      </c>
    </row>
    <row r="1039" spans="12:14" x14ac:dyDescent="0.2">
      <c r="L1039">
        <v>20771228</v>
      </c>
      <c r="M1039" s="1">
        <f t="shared" si="83"/>
        <v>65012</v>
      </c>
      <c r="N1039" t="str">
        <f t="shared" si="84"/>
        <v>insert #t values('20771228')</v>
      </c>
    </row>
    <row r="1040" spans="12:14" x14ac:dyDescent="0.2">
      <c r="L1040">
        <v>20780103</v>
      </c>
      <c r="M1040" s="1">
        <f t="shared" si="83"/>
        <v>65018</v>
      </c>
      <c r="N1040" t="str">
        <f t="shared" si="84"/>
        <v>insert #t values('20780103')</v>
      </c>
    </row>
    <row r="1041" spans="12:14" x14ac:dyDescent="0.2">
      <c r="L1041">
        <v>20780221</v>
      </c>
      <c r="M1041" s="1">
        <f t="shared" si="83"/>
        <v>65067</v>
      </c>
      <c r="N1041" t="str">
        <f t="shared" si="84"/>
        <v>insert #t values('20780221')</v>
      </c>
    </row>
    <row r="1042" spans="12:14" x14ac:dyDescent="0.2">
      <c r="L1042">
        <v>20780401</v>
      </c>
      <c r="M1042" s="1">
        <f t="shared" si="83"/>
        <v>65106</v>
      </c>
      <c r="N1042" t="str">
        <f t="shared" si="84"/>
        <v>insert #t values('20780401')</v>
      </c>
    </row>
    <row r="1043" spans="12:14" x14ac:dyDescent="0.2">
      <c r="L1043">
        <v>20780523</v>
      </c>
      <c r="M1043" s="1">
        <f t="shared" si="83"/>
        <v>65158</v>
      </c>
      <c r="N1043" t="str">
        <f t="shared" si="84"/>
        <v>insert #t values('20780523')</v>
      </c>
    </row>
    <row r="1044" spans="12:14" x14ac:dyDescent="0.2">
      <c r="L1044">
        <v>20780701</v>
      </c>
      <c r="M1044" s="1">
        <f t="shared" si="83"/>
        <v>65197</v>
      </c>
      <c r="N1044" t="str">
        <f t="shared" si="84"/>
        <v>insert #t values('20780701')</v>
      </c>
    </row>
    <row r="1045" spans="12:14" x14ac:dyDescent="0.2">
      <c r="L1045">
        <v>20780801</v>
      </c>
      <c r="M1045" s="1">
        <f t="shared" si="83"/>
        <v>65228</v>
      </c>
      <c r="N1045" t="str">
        <f t="shared" si="84"/>
        <v>insert #t values('20780801')</v>
      </c>
    </row>
    <row r="1046" spans="12:14" x14ac:dyDescent="0.2">
      <c r="L1046">
        <v>20780905</v>
      </c>
      <c r="M1046" s="1">
        <f t="shared" si="83"/>
        <v>65263</v>
      </c>
      <c r="N1046" t="str">
        <f t="shared" si="84"/>
        <v>insert #t values('20780905')</v>
      </c>
    </row>
    <row r="1047" spans="12:14" x14ac:dyDescent="0.2">
      <c r="L1047">
        <v>20781010</v>
      </c>
      <c r="M1047" s="1">
        <f t="shared" si="83"/>
        <v>65298</v>
      </c>
      <c r="N1047" t="str">
        <f t="shared" si="84"/>
        <v>insert #t values('20781010')</v>
      </c>
    </row>
    <row r="1048" spans="12:14" x14ac:dyDescent="0.2">
      <c r="L1048">
        <v>20781111</v>
      </c>
      <c r="M1048" s="1">
        <f t="shared" si="83"/>
        <v>65330</v>
      </c>
      <c r="N1048" t="str">
        <f t="shared" si="84"/>
        <v>insert #t values('20781111')</v>
      </c>
    </row>
    <row r="1049" spans="12:14" x14ac:dyDescent="0.2">
      <c r="L1049">
        <v>20781226</v>
      </c>
      <c r="M1049" s="1">
        <f t="shared" si="83"/>
        <v>65375</v>
      </c>
      <c r="N1049" t="str">
        <f t="shared" si="84"/>
        <v>insert #t values('20781226')</v>
      </c>
    </row>
    <row r="1050" spans="12:14" x14ac:dyDescent="0.2">
      <c r="L1050">
        <v>20781226</v>
      </c>
      <c r="M1050" s="1">
        <f t="shared" si="83"/>
        <v>65375</v>
      </c>
      <c r="N1050" t="str">
        <f t="shared" si="84"/>
        <v>insert #t values('20781226')</v>
      </c>
    </row>
    <row r="1051" spans="12:14" x14ac:dyDescent="0.2">
      <c r="L1051">
        <v>20781226</v>
      </c>
      <c r="M1051" s="1">
        <f t="shared" si="83"/>
        <v>65375</v>
      </c>
      <c r="N1051" t="str">
        <f t="shared" si="84"/>
        <v>insert #t values('20781226')</v>
      </c>
    </row>
    <row r="1052" spans="12:14" x14ac:dyDescent="0.2">
      <c r="L1052">
        <v>20790102</v>
      </c>
      <c r="M1052" s="1">
        <f t="shared" si="83"/>
        <v>65382</v>
      </c>
      <c r="N1052" t="str">
        <f t="shared" si="84"/>
        <v>insert #t values('20790102')</v>
      </c>
    </row>
    <row r="1053" spans="12:14" x14ac:dyDescent="0.2">
      <c r="L1053">
        <v>20790220</v>
      </c>
      <c r="M1053" s="1">
        <f t="shared" si="83"/>
        <v>65431</v>
      </c>
      <c r="N1053" t="str">
        <f t="shared" si="84"/>
        <v>insert #t values('20790220')</v>
      </c>
    </row>
    <row r="1054" spans="12:14" x14ac:dyDescent="0.2">
      <c r="L1054">
        <v>20790421</v>
      </c>
      <c r="M1054" s="1">
        <f t="shared" si="83"/>
        <v>65491</v>
      </c>
      <c r="N1054" t="str">
        <f t="shared" si="84"/>
        <v>insert #t values('20790421')</v>
      </c>
    </row>
    <row r="1055" spans="12:14" x14ac:dyDescent="0.2">
      <c r="L1055">
        <v>20790522</v>
      </c>
      <c r="M1055" s="1">
        <f t="shared" si="83"/>
        <v>65522</v>
      </c>
      <c r="N1055" t="str">
        <f t="shared" si="84"/>
        <v>insert #t values('20790522')</v>
      </c>
    </row>
    <row r="1056" spans="12:14" x14ac:dyDescent="0.2">
      <c r="L1056">
        <v>20790703</v>
      </c>
      <c r="M1056" s="1">
        <f t="shared" si="83"/>
        <v>65564</v>
      </c>
      <c r="N1056" t="str">
        <f t="shared" si="84"/>
        <v>insert #t values('20790703')</v>
      </c>
    </row>
    <row r="1057" spans="12:14" x14ac:dyDescent="0.2">
      <c r="L1057">
        <v>20790807</v>
      </c>
      <c r="M1057" s="1">
        <f t="shared" si="83"/>
        <v>65599</v>
      </c>
      <c r="N1057" t="str">
        <f t="shared" si="84"/>
        <v>insert #t values('20790807')</v>
      </c>
    </row>
    <row r="1058" spans="12:14" x14ac:dyDescent="0.2">
      <c r="L1058">
        <v>20790904</v>
      </c>
      <c r="M1058" s="1">
        <f t="shared" si="83"/>
        <v>65627</v>
      </c>
      <c r="N1058" t="str">
        <f t="shared" si="84"/>
        <v>insert #t values('20790904')</v>
      </c>
    </row>
    <row r="1059" spans="12:14" x14ac:dyDescent="0.2">
      <c r="L1059">
        <v>20791009</v>
      </c>
      <c r="M1059" s="1">
        <f t="shared" si="83"/>
        <v>65662</v>
      </c>
      <c r="N1059" t="str">
        <f t="shared" si="84"/>
        <v>insert #t values('20791009')</v>
      </c>
    </row>
    <row r="1060" spans="12:14" x14ac:dyDescent="0.2">
      <c r="L1060">
        <v>20791113</v>
      </c>
      <c r="M1060" s="1">
        <f t="shared" si="83"/>
        <v>65697</v>
      </c>
      <c r="N1060" t="str">
        <f t="shared" si="84"/>
        <v>insert #t values('20791113')</v>
      </c>
    </row>
    <row r="1061" spans="12:14" x14ac:dyDescent="0.2">
      <c r="L1061">
        <v>20791225</v>
      </c>
      <c r="M1061" s="1">
        <f t="shared" si="83"/>
        <v>65739</v>
      </c>
      <c r="N1061" t="str">
        <f t="shared" si="84"/>
        <v>insert #t values('20791225')</v>
      </c>
    </row>
    <row r="1062" spans="12:14" x14ac:dyDescent="0.2">
      <c r="L1062">
        <v>20791226</v>
      </c>
      <c r="M1062" s="1">
        <f t="shared" si="83"/>
        <v>65740</v>
      </c>
      <c r="N1062" t="str">
        <f t="shared" si="84"/>
        <v>insert #t values('20791226')</v>
      </c>
    </row>
    <row r="1063" spans="12:14" x14ac:dyDescent="0.2">
      <c r="L1063">
        <v>20791226</v>
      </c>
      <c r="M1063" s="1">
        <f t="shared" si="83"/>
        <v>65740</v>
      </c>
      <c r="N1063" t="str">
        <f t="shared" si="84"/>
        <v>insert #t values('20791226')</v>
      </c>
    </row>
    <row r="1064" spans="12:14" x14ac:dyDescent="0.2">
      <c r="L1064">
        <v>20800101</v>
      </c>
      <c r="M1064" s="1">
        <f t="shared" si="83"/>
        <v>65746</v>
      </c>
      <c r="N1064" t="str">
        <f t="shared" si="84"/>
        <v>insert #t values('20800101')</v>
      </c>
    </row>
    <row r="1065" spans="12:14" x14ac:dyDescent="0.2">
      <c r="L1065">
        <v>20800219</v>
      </c>
      <c r="M1065" s="1">
        <f t="shared" si="83"/>
        <v>65795</v>
      </c>
      <c r="N1065" t="str">
        <f t="shared" si="84"/>
        <v>insert #t values('20800219')</v>
      </c>
    </row>
    <row r="1066" spans="12:14" x14ac:dyDescent="0.2">
      <c r="L1066">
        <v>20800405</v>
      </c>
      <c r="M1066" s="1">
        <f t="shared" si="83"/>
        <v>65841</v>
      </c>
      <c r="N1066" t="str">
        <f t="shared" si="84"/>
        <v>insert #t values('20800405')</v>
      </c>
    </row>
    <row r="1067" spans="12:14" x14ac:dyDescent="0.2">
      <c r="L1067">
        <v>20800520</v>
      </c>
      <c r="M1067" s="1">
        <f t="shared" si="83"/>
        <v>65886</v>
      </c>
      <c r="N1067" t="str">
        <f t="shared" si="84"/>
        <v>insert #t values('20800520')</v>
      </c>
    </row>
    <row r="1068" spans="12:14" x14ac:dyDescent="0.2">
      <c r="L1068">
        <v>20800701</v>
      </c>
      <c r="M1068" s="1">
        <f t="shared" si="83"/>
        <v>65928</v>
      </c>
      <c r="N1068" t="str">
        <f t="shared" si="84"/>
        <v>insert #t values('20800701')</v>
      </c>
    </row>
    <row r="1069" spans="12:14" x14ac:dyDescent="0.2">
      <c r="L1069">
        <v>20800805</v>
      </c>
      <c r="M1069" s="1">
        <f t="shared" si="83"/>
        <v>65963</v>
      </c>
      <c r="N1069" t="str">
        <f t="shared" si="84"/>
        <v>insert #t values('20800805')</v>
      </c>
    </row>
    <row r="1070" spans="12:14" x14ac:dyDescent="0.2">
      <c r="L1070">
        <v>20800902</v>
      </c>
      <c r="M1070" s="1">
        <f t="shared" si="83"/>
        <v>65991</v>
      </c>
      <c r="N1070" t="str">
        <f t="shared" si="84"/>
        <v>insert #t values('20800902')</v>
      </c>
    </row>
    <row r="1071" spans="12:14" x14ac:dyDescent="0.2">
      <c r="L1071">
        <v>20801014</v>
      </c>
      <c r="M1071" s="1">
        <f t="shared" si="83"/>
        <v>66033</v>
      </c>
      <c r="N1071" t="str">
        <f t="shared" si="84"/>
        <v>insert #t values('20801014')</v>
      </c>
    </row>
    <row r="1072" spans="12:14" x14ac:dyDescent="0.2">
      <c r="L1072">
        <v>20801111</v>
      </c>
      <c r="M1072" s="1">
        <f t="shared" si="83"/>
        <v>66061</v>
      </c>
      <c r="N1072" t="str">
        <f t="shared" si="84"/>
        <v>insert #t values('20801111')</v>
      </c>
    </row>
    <row r="1073" spans="12:14" x14ac:dyDescent="0.2">
      <c r="L1073">
        <v>20801225</v>
      </c>
      <c r="M1073" s="1">
        <f t="shared" si="83"/>
        <v>66105</v>
      </c>
      <c r="N1073" t="str">
        <f t="shared" si="84"/>
        <v>insert #t values('20801225')</v>
      </c>
    </row>
    <row r="1074" spans="12:14" x14ac:dyDescent="0.2">
      <c r="L1074">
        <v>20801226</v>
      </c>
      <c r="M1074" s="1">
        <f t="shared" si="83"/>
        <v>66106</v>
      </c>
      <c r="N1074" t="str">
        <f t="shared" si="84"/>
        <v>insert #t values('20801226')</v>
      </c>
    </row>
    <row r="1075" spans="12:14" x14ac:dyDescent="0.2">
      <c r="L1075">
        <v>20801226</v>
      </c>
      <c r="M1075" s="1">
        <f t="shared" si="83"/>
        <v>66106</v>
      </c>
      <c r="N1075" t="str">
        <f t="shared" si="84"/>
        <v>insert #t values('20801226')</v>
      </c>
    </row>
    <row r="1076" spans="12:14" x14ac:dyDescent="0.2">
      <c r="L1076">
        <v>20810101</v>
      </c>
      <c r="M1076" s="1">
        <f t="shared" si="83"/>
        <v>66112</v>
      </c>
      <c r="N1076" t="str">
        <f t="shared" si="84"/>
        <v>insert #t values('20810101')</v>
      </c>
    </row>
    <row r="1077" spans="12:14" x14ac:dyDescent="0.2">
      <c r="L1077">
        <v>20810217</v>
      </c>
      <c r="M1077" s="1">
        <f t="shared" si="83"/>
        <v>66159</v>
      </c>
      <c r="N1077" t="str">
        <f t="shared" si="84"/>
        <v>insert #t values('20810217')</v>
      </c>
    </row>
    <row r="1078" spans="12:14" x14ac:dyDescent="0.2">
      <c r="L1078">
        <v>20810328</v>
      </c>
      <c r="M1078" s="1">
        <f t="shared" si="83"/>
        <v>66198</v>
      </c>
      <c r="N1078" t="str">
        <f t="shared" si="84"/>
        <v>insert #t values('20810328')</v>
      </c>
    </row>
    <row r="1079" spans="12:14" x14ac:dyDescent="0.2">
      <c r="L1079">
        <v>20810519</v>
      </c>
      <c r="M1079" s="1">
        <f t="shared" si="83"/>
        <v>66250</v>
      </c>
      <c r="N1079" t="str">
        <f t="shared" si="84"/>
        <v>insert #t values('20810519')</v>
      </c>
    </row>
    <row r="1080" spans="12:14" x14ac:dyDescent="0.2">
      <c r="L1080">
        <v>20810701</v>
      </c>
      <c r="M1080" s="1">
        <f t="shared" si="83"/>
        <v>66293</v>
      </c>
      <c r="N1080" t="str">
        <f t="shared" si="84"/>
        <v>insert #t values('20810701')</v>
      </c>
    </row>
    <row r="1081" spans="12:14" x14ac:dyDescent="0.2">
      <c r="L1081">
        <v>20810804</v>
      </c>
      <c r="M1081" s="1">
        <f t="shared" si="83"/>
        <v>66327</v>
      </c>
      <c r="N1081" t="str">
        <f t="shared" si="84"/>
        <v>insert #t values('20810804')</v>
      </c>
    </row>
    <row r="1082" spans="12:14" x14ac:dyDescent="0.2">
      <c r="L1082">
        <v>20810901</v>
      </c>
      <c r="M1082" s="1">
        <f t="shared" si="83"/>
        <v>66355</v>
      </c>
      <c r="N1082" t="str">
        <f t="shared" si="84"/>
        <v>insert #t values('20810901')</v>
      </c>
    </row>
    <row r="1083" spans="12:14" x14ac:dyDescent="0.2">
      <c r="L1083">
        <v>20811013</v>
      </c>
      <c r="M1083" s="1">
        <f t="shared" si="83"/>
        <v>66397</v>
      </c>
      <c r="N1083" t="str">
        <f t="shared" si="84"/>
        <v>insert #t values('20811013')</v>
      </c>
    </row>
    <row r="1084" spans="12:14" x14ac:dyDescent="0.2">
      <c r="L1084">
        <v>20811111</v>
      </c>
      <c r="M1084" s="1">
        <f t="shared" si="83"/>
        <v>66426</v>
      </c>
      <c r="N1084" t="str">
        <f t="shared" si="84"/>
        <v>insert #t values('20811111')</v>
      </c>
    </row>
    <row r="1085" spans="12:14" x14ac:dyDescent="0.2">
      <c r="L1085">
        <v>20811225</v>
      </c>
      <c r="M1085" s="1">
        <f t="shared" si="83"/>
        <v>66470</v>
      </c>
      <c r="N1085" t="str">
        <f t="shared" si="84"/>
        <v>insert #t values('20811225')</v>
      </c>
    </row>
    <row r="1086" spans="12:14" x14ac:dyDescent="0.2">
      <c r="L1086">
        <v>20811226</v>
      </c>
      <c r="M1086" s="1">
        <f t="shared" si="83"/>
        <v>66471</v>
      </c>
      <c r="N1086" t="str">
        <f t="shared" si="84"/>
        <v>insert #t values('20811226')</v>
      </c>
    </row>
    <row r="1087" spans="12:14" x14ac:dyDescent="0.2">
      <c r="L1087">
        <v>20811226</v>
      </c>
      <c r="M1087" s="1">
        <f t="shared" si="83"/>
        <v>66471</v>
      </c>
      <c r="N1087" t="str">
        <f t="shared" si="84"/>
        <v>insert #t values('20811226')</v>
      </c>
    </row>
    <row r="1088" spans="12:14" x14ac:dyDescent="0.2">
      <c r="L1088">
        <v>20820101</v>
      </c>
      <c r="M1088" s="1">
        <f t="shared" si="83"/>
        <v>66477</v>
      </c>
      <c r="N1088" t="str">
        <f t="shared" si="84"/>
        <v>insert #t values('20820101')</v>
      </c>
    </row>
    <row r="1089" spans="12:14" x14ac:dyDescent="0.2">
      <c r="L1089">
        <v>20820216</v>
      </c>
      <c r="M1089" s="1">
        <f t="shared" si="83"/>
        <v>66523</v>
      </c>
      <c r="N1089" t="str">
        <f t="shared" si="84"/>
        <v>insert #t values('20820216')</v>
      </c>
    </row>
    <row r="1090" spans="12:14" x14ac:dyDescent="0.2">
      <c r="L1090">
        <v>20820417</v>
      </c>
      <c r="M1090" s="1">
        <f t="shared" ref="M1090:M1135" si="85">DATE(LEFT(L1090,4),MID(L1090,5,2),RIGHT(L1090,2))</f>
        <v>66583</v>
      </c>
      <c r="N1090" t="str">
        <f t="shared" ref="N1090:N1135" si="86">"insert #t values('"&amp;L1090 &amp; "')"</f>
        <v>insert #t values('20820417')</v>
      </c>
    </row>
    <row r="1091" spans="12:14" x14ac:dyDescent="0.2">
      <c r="L1091">
        <v>20820518</v>
      </c>
      <c r="M1091" s="1">
        <f t="shared" si="85"/>
        <v>66614</v>
      </c>
      <c r="N1091" t="str">
        <f t="shared" si="86"/>
        <v>insert #t values('20820518')</v>
      </c>
    </row>
    <row r="1092" spans="12:14" x14ac:dyDescent="0.2">
      <c r="L1092">
        <v>20820701</v>
      </c>
      <c r="M1092" s="1">
        <f t="shared" si="85"/>
        <v>66658</v>
      </c>
      <c r="N1092" t="str">
        <f t="shared" si="86"/>
        <v>insert #t values('20820701')</v>
      </c>
    </row>
    <row r="1093" spans="12:14" x14ac:dyDescent="0.2">
      <c r="L1093">
        <v>20820803</v>
      </c>
      <c r="M1093" s="1">
        <f t="shared" si="85"/>
        <v>66691</v>
      </c>
      <c r="N1093" t="str">
        <f t="shared" si="86"/>
        <v>insert #t values('20820803')</v>
      </c>
    </row>
    <row r="1094" spans="12:14" x14ac:dyDescent="0.2">
      <c r="L1094">
        <v>20820907</v>
      </c>
      <c r="M1094" s="1">
        <f t="shared" si="85"/>
        <v>66726</v>
      </c>
      <c r="N1094" t="str">
        <f t="shared" si="86"/>
        <v>insert #t values('20820907')</v>
      </c>
    </row>
    <row r="1095" spans="12:14" x14ac:dyDescent="0.2">
      <c r="L1095">
        <v>20821012</v>
      </c>
      <c r="M1095" s="1">
        <f t="shared" si="85"/>
        <v>66761</v>
      </c>
      <c r="N1095" t="str">
        <f t="shared" si="86"/>
        <v>insert #t values('20821012')</v>
      </c>
    </row>
    <row r="1096" spans="12:14" x14ac:dyDescent="0.2">
      <c r="L1096">
        <v>20821111</v>
      </c>
      <c r="M1096" s="1">
        <f t="shared" si="85"/>
        <v>66791</v>
      </c>
      <c r="N1096" t="str">
        <f t="shared" si="86"/>
        <v>insert #t values('20821111')</v>
      </c>
    </row>
    <row r="1097" spans="12:14" x14ac:dyDescent="0.2">
      <c r="L1097">
        <v>20821225</v>
      </c>
      <c r="M1097" s="1">
        <f t="shared" si="85"/>
        <v>66835</v>
      </c>
      <c r="N1097" t="str">
        <f t="shared" si="86"/>
        <v>insert #t values('20821225')</v>
      </c>
    </row>
    <row r="1098" spans="12:14" x14ac:dyDescent="0.2">
      <c r="L1098">
        <v>20821228</v>
      </c>
      <c r="M1098" s="1">
        <f t="shared" si="85"/>
        <v>66838</v>
      </c>
      <c r="N1098" t="str">
        <f t="shared" si="86"/>
        <v>insert #t values('20821228')</v>
      </c>
    </row>
    <row r="1099" spans="12:14" x14ac:dyDescent="0.2">
      <c r="L1099">
        <v>20821228</v>
      </c>
      <c r="M1099" s="1">
        <f t="shared" si="85"/>
        <v>66838</v>
      </c>
      <c r="N1099" t="str">
        <f t="shared" si="86"/>
        <v>insert #t values('20821228')</v>
      </c>
    </row>
    <row r="1100" spans="12:14" x14ac:dyDescent="0.2">
      <c r="L1100">
        <v>20830101</v>
      </c>
      <c r="M1100" s="1">
        <f t="shared" si="85"/>
        <v>66842</v>
      </c>
      <c r="N1100" t="str">
        <f t="shared" si="86"/>
        <v>insert #t values('20830101')</v>
      </c>
    </row>
    <row r="1101" spans="12:14" x14ac:dyDescent="0.2">
      <c r="L1101">
        <v>20830215</v>
      </c>
      <c r="M1101" s="1">
        <f t="shared" si="85"/>
        <v>66887</v>
      </c>
      <c r="N1101" t="str">
        <f t="shared" si="86"/>
        <v>insert #t values('20830215')</v>
      </c>
    </row>
    <row r="1102" spans="12:14" x14ac:dyDescent="0.2">
      <c r="L1102">
        <v>20830402</v>
      </c>
      <c r="M1102" s="1">
        <f t="shared" si="85"/>
        <v>66933</v>
      </c>
      <c r="N1102" t="str">
        <f t="shared" si="86"/>
        <v>insert #t values('20830402')</v>
      </c>
    </row>
    <row r="1103" spans="12:14" x14ac:dyDescent="0.2">
      <c r="L1103">
        <v>20830524</v>
      </c>
      <c r="M1103" s="1">
        <f t="shared" si="85"/>
        <v>66985</v>
      </c>
      <c r="N1103" t="str">
        <f t="shared" si="86"/>
        <v>insert #t values('20830524')</v>
      </c>
    </row>
    <row r="1104" spans="12:14" x14ac:dyDescent="0.2">
      <c r="L1104">
        <v>20830701</v>
      </c>
      <c r="M1104" s="1">
        <f t="shared" si="85"/>
        <v>67023</v>
      </c>
      <c r="N1104" t="str">
        <f t="shared" si="86"/>
        <v>insert #t values('20830701')</v>
      </c>
    </row>
    <row r="1105" spans="12:14" x14ac:dyDescent="0.2">
      <c r="L1105">
        <v>20830802</v>
      </c>
      <c r="M1105" s="1">
        <f t="shared" si="85"/>
        <v>67055</v>
      </c>
      <c r="N1105" t="str">
        <f t="shared" si="86"/>
        <v>insert #t values('20830802')</v>
      </c>
    </row>
    <row r="1106" spans="12:14" x14ac:dyDescent="0.2">
      <c r="L1106">
        <v>20830906</v>
      </c>
      <c r="M1106" s="1">
        <f t="shared" si="85"/>
        <v>67090</v>
      </c>
      <c r="N1106" t="str">
        <f t="shared" si="86"/>
        <v>insert #t values('20830906')</v>
      </c>
    </row>
    <row r="1107" spans="12:14" x14ac:dyDescent="0.2">
      <c r="L1107">
        <v>20831011</v>
      </c>
      <c r="M1107" s="1">
        <f t="shared" si="85"/>
        <v>67125</v>
      </c>
      <c r="N1107" t="str">
        <f t="shared" si="86"/>
        <v>insert #t values('20831011')</v>
      </c>
    </row>
    <row r="1108" spans="12:14" x14ac:dyDescent="0.2">
      <c r="L1108">
        <v>20831111</v>
      </c>
      <c r="M1108" s="1">
        <f t="shared" si="85"/>
        <v>67156</v>
      </c>
      <c r="N1108" t="str">
        <f t="shared" si="86"/>
        <v>insert #t values('20831111')</v>
      </c>
    </row>
    <row r="1109" spans="12:14" x14ac:dyDescent="0.2">
      <c r="L1109">
        <v>20831227</v>
      </c>
      <c r="M1109" s="1">
        <f t="shared" si="85"/>
        <v>67202</v>
      </c>
      <c r="N1109" t="str">
        <f t="shared" si="86"/>
        <v>insert #t values('20831227')</v>
      </c>
    </row>
    <row r="1110" spans="12:14" x14ac:dyDescent="0.2">
      <c r="L1110">
        <v>20831227</v>
      </c>
      <c r="M1110" s="1">
        <f t="shared" si="85"/>
        <v>67202</v>
      </c>
      <c r="N1110" t="str">
        <f t="shared" si="86"/>
        <v>insert #t values('20831227')</v>
      </c>
    </row>
    <row r="1111" spans="12:14" x14ac:dyDescent="0.2">
      <c r="L1111">
        <v>20831228</v>
      </c>
      <c r="M1111" s="1">
        <f t="shared" si="85"/>
        <v>67203</v>
      </c>
      <c r="N1111" t="str">
        <f t="shared" si="86"/>
        <v>insert #t values('20831228')</v>
      </c>
    </row>
    <row r="1112" spans="12:14" x14ac:dyDescent="0.2">
      <c r="L1112">
        <v>20840103</v>
      </c>
      <c r="M1112" s="1">
        <f t="shared" si="85"/>
        <v>67209</v>
      </c>
      <c r="N1112" t="str">
        <f t="shared" si="86"/>
        <v>insert #t values('20840103')</v>
      </c>
    </row>
    <row r="1113" spans="12:14" x14ac:dyDescent="0.2">
      <c r="L1113">
        <v>20840221</v>
      </c>
      <c r="M1113" s="1">
        <f t="shared" si="85"/>
        <v>67258</v>
      </c>
      <c r="N1113" t="str">
        <f t="shared" si="86"/>
        <v>insert #t values('20840221')</v>
      </c>
    </row>
    <row r="1114" spans="12:14" x14ac:dyDescent="0.2">
      <c r="L1114">
        <v>20840324</v>
      </c>
      <c r="M1114" s="1">
        <f t="shared" si="85"/>
        <v>67290</v>
      </c>
      <c r="N1114" t="str">
        <f t="shared" si="86"/>
        <v>insert #t values('20840324')</v>
      </c>
    </row>
    <row r="1115" spans="12:14" x14ac:dyDescent="0.2">
      <c r="L1115">
        <v>20840522</v>
      </c>
      <c r="M1115" s="1">
        <f t="shared" si="85"/>
        <v>67349</v>
      </c>
      <c r="N1115" t="str">
        <f t="shared" si="86"/>
        <v>insert #t values('20840522')</v>
      </c>
    </row>
    <row r="1116" spans="12:14" x14ac:dyDescent="0.2">
      <c r="L1116">
        <v>20840703</v>
      </c>
      <c r="M1116" s="1">
        <f t="shared" si="85"/>
        <v>67391</v>
      </c>
      <c r="N1116" t="str">
        <f t="shared" si="86"/>
        <v>insert #t values('20840703')</v>
      </c>
    </row>
    <row r="1117" spans="12:14" x14ac:dyDescent="0.2">
      <c r="L1117">
        <v>20840807</v>
      </c>
      <c r="M1117" s="1">
        <f t="shared" si="85"/>
        <v>67426</v>
      </c>
      <c r="N1117" t="str">
        <f t="shared" si="86"/>
        <v>insert #t values('20840807')</v>
      </c>
    </row>
    <row r="1118" spans="12:14" x14ac:dyDescent="0.2">
      <c r="L1118">
        <v>20840904</v>
      </c>
      <c r="M1118" s="1">
        <f t="shared" si="85"/>
        <v>67454</v>
      </c>
      <c r="N1118" t="str">
        <f t="shared" si="86"/>
        <v>insert #t values('20840904')</v>
      </c>
    </row>
    <row r="1119" spans="12:14" x14ac:dyDescent="0.2">
      <c r="L1119">
        <v>20841009</v>
      </c>
      <c r="M1119" s="1">
        <f t="shared" si="85"/>
        <v>67489</v>
      </c>
      <c r="N1119" t="str">
        <f t="shared" si="86"/>
        <v>insert #t values('20841009')</v>
      </c>
    </row>
    <row r="1120" spans="12:14" x14ac:dyDescent="0.2">
      <c r="L1120">
        <v>20841113</v>
      </c>
      <c r="M1120" s="1">
        <f t="shared" si="85"/>
        <v>67524</v>
      </c>
      <c r="N1120" t="str">
        <f t="shared" si="86"/>
        <v>insert #t values('20841113')</v>
      </c>
    </row>
    <row r="1121" spans="12:14" x14ac:dyDescent="0.2">
      <c r="L1121">
        <v>20841225</v>
      </c>
      <c r="M1121" s="1">
        <f t="shared" si="85"/>
        <v>67566</v>
      </c>
      <c r="N1121" t="str">
        <f t="shared" si="86"/>
        <v>insert #t values('20841225')</v>
      </c>
    </row>
    <row r="1122" spans="12:14" x14ac:dyDescent="0.2">
      <c r="L1122">
        <v>20841226</v>
      </c>
      <c r="M1122" s="1">
        <f t="shared" si="85"/>
        <v>67567</v>
      </c>
      <c r="N1122" t="str">
        <f t="shared" si="86"/>
        <v>insert #t values('20841226')</v>
      </c>
    </row>
    <row r="1123" spans="12:14" x14ac:dyDescent="0.2">
      <c r="L1123">
        <v>20841226</v>
      </c>
      <c r="M1123" s="1">
        <f t="shared" si="85"/>
        <v>67567</v>
      </c>
      <c r="N1123" t="str">
        <f t="shared" si="86"/>
        <v>insert #t values('20841226')</v>
      </c>
    </row>
    <row r="1124" spans="12:14" x14ac:dyDescent="0.2">
      <c r="L1124">
        <v>20850101</v>
      </c>
      <c r="M1124" s="1">
        <f t="shared" si="85"/>
        <v>67573</v>
      </c>
      <c r="N1124" t="str">
        <f t="shared" si="86"/>
        <v>insert #t values('20850101')</v>
      </c>
    </row>
    <row r="1125" spans="12:14" x14ac:dyDescent="0.2">
      <c r="L1125">
        <v>20850219</v>
      </c>
      <c r="M1125" s="1">
        <f t="shared" si="85"/>
        <v>67622</v>
      </c>
      <c r="N1125" t="str">
        <f t="shared" si="86"/>
        <v>insert #t values('20850219')</v>
      </c>
    </row>
    <row r="1126" spans="12:14" x14ac:dyDescent="0.2">
      <c r="L1126">
        <v>20850413</v>
      </c>
      <c r="M1126" s="1">
        <f t="shared" si="85"/>
        <v>67675</v>
      </c>
      <c r="N1126" t="str">
        <f t="shared" si="86"/>
        <v>insert #t values('20850413')</v>
      </c>
    </row>
    <row r="1127" spans="12:14" x14ac:dyDescent="0.2">
      <c r="L1127">
        <v>20850521</v>
      </c>
      <c r="M1127" s="1">
        <f t="shared" si="85"/>
        <v>67713</v>
      </c>
      <c r="N1127" t="str">
        <f t="shared" si="86"/>
        <v>insert #t values('20850521')</v>
      </c>
    </row>
    <row r="1128" spans="12:14" x14ac:dyDescent="0.2">
      <c r="L1128">
        <v>20850702</v>
      </c>
      <c r="M1128" s="1">
        <f t="shared" si="85"/>
        <v>67755</v>
      </c>
      <c r="N1128" t="str">
        <f t="shared" si="86"/>
        <v>insert #t values('20850702')</v>
      </c>
    </row>
    <row r="1129" spans="12:14" x14ac:dyDescent="0.2">
      <c r="L1129">
        <v>20850806</v>
      </c>
      <c r="M1129" s="1">
        <f t="shared" si="85"/>
        <v>67790</v>
      </c>
      <c r="N1129" t="str">
        <f t="shared" si="86"/>
        <v>insert #t values('20850806')</v>
      </c>
    </row>
    <row r="1130" spans="12:14" x14ac:dyDescent="0.2">
      <c r="L1130">
        <v>20850903</v>
      </c>
      <c r="M1130" s="1">
        <f t="shared" si="85"/>
        <v>67818</v>
      </c>
      <c r="N1130" t="str">
        <f t="shared" si="86"/>
        <v>insert #t values('20850903')</v>
      </c>
    </row>
    <row r="1131" spans="12:14" x14ac:dyDescent="0.2">
      <c r="L1131">
        <v>20851008</v>
      </c>
      <c r="M1131" s="1">
        <f t="shared" si="85"/>
        <v>67853</v>
      </c>
      <c r="N1131" t="str">
        <f t="shared" si="86"/>
        <v>insert #t values('20851008')</v>
      </c>
    </row>
    <row r="1132" spans="12:14" x14ac:dyDescent="0.2">
      <c r="L1132">
        <v>20851112</v>
      </c>
      <c r="M1132" s="1">
        <f t="shared" si="85"/>
        <v>67888</v>
      </c>
      <c r="N1132" t="str">
        <f t="shared" si="86"/>
        <v>insert #t values('20851112')</v>
      </c>
    </row>
    <row r="1133" spans="12:14" x14ac:dyDescent="0.2">
      <c r="L1133">
        <v>20851225</v>
      </c>
      <c r="M1133" s="1">
        <f t="shared" si="85"/>
        <v>67931</v>
      </c>
      <c r="N1133" t="str">
        <f t="shared" si="86"/>
        <v>insert #t values('20851225')</v>
      </c>
    </row>
    <row r="1134" spans="12:14" x14ac:dyDescent="0.2">
      <c r="L1134">
        <v>20851226</v>
      </c>
      <c r="M1134" s="1">
        <f t="shared" si="85"/>
        <v>67932</v>
      </c>
      <c r="N1134" t="str">
        <f t="shared" si="86"/>
        <v>insert #t values('20851226')</v>
      </c>
    </row>
    <row r="1135" spans="12:14" x14ac:dyDescent="0.2">
      <c r="L1135">
        <v>20851226</v>
      </c>
      <c r="M1135" s="1">
        <f t="shared" si="85"/>
        <v>67932</v>
      </c>
      <c r="N1135" t="str">
        <f t="shared" si="86"/>
        <v>insert #t values('20851226')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P696"/>
  <sheetViews>
    <sheetView tabSelected="1" topLeftCell="Q1" workbookViewId="0">
      <selection activeCell="Z32" sqref="Z32"/>
    </sheetView>
  </sheetViews>
  <sheetFormatPr defaultRowHeight="12.75" x14ac:dyDescent="0.2"/>
  <cols>
    <col min="4" max="6" width="10.140625" bestFit="1" customWidth="1"/>
    <col min="7" max="7" width="12" bestFit="1" customWidth="1"/>
    <col min="8" max="8" width="3.7109375" hidden="1" customWidth="1"/>
    <col min="9" max="9" width="4.28515625" hidden="1" customWidth="1"/>
    <col min="10" max="10" width="4.28515625" customWidth="1"/>
    <col min="13" max="13" width="14.28515625" bestFit="1" customWidth="1"/>
    <col min="15" max="16" width="10.140625" bestFit="1" customWidth="1"/>
    <col min="18" max="18" width="3.85546875" customWidth="1"/>
    <col min="19" max="19" width="4.28515625" customWidth="1"/>
    <col min="20" max="20" width="4.42578125" customWidth="1"/>
    <col min="21" max="21" width="15.7109375" bestFit="1" customWidth="1"/>
    <col min="22" max="22" width="12.140625" customWidth="1"/>
    <col min="23" max="23" width="14" customWidth="1"/>
    <col min="24" max="24" width="4" customWidth="1"/>
    <col min="25" max="25" width="10.5703125" style="5" customWidth="1"/>
    <col min="26" max="26" width="15.7109375" customWidth="1"/>
    <col min="27" max="27" width="13.28515625" style="14" customWidth="1"/>
    <col min="28" max="28" width="12" bestFit="1" customWidth="1"/>
    <col min="29" max="29" width="13.140625" customWidth="1"/>
    <col min="30" max="30" width="12.85546875" customWidth="1"/>
    <col min="31" max="31" width="11.5703125" customWidth="1"/>
    <col min="34" max="34" width="11.5703125" customWidth="1"/>
    <col min="38" max="38" width="12" bestFit="1" customWidth="1"/>
    <col min="39" max="39" width="16.28515625" customWidth="1"/>
    <col min="40" max="40" width="12" bestFit="1" customWidth="1"/>
    <col min="42" max="42" width="12.28515625" bestFit="1" customWidth="1"/>
  </cols>
  <sheetData>
    <row r="1" spans="1:42" x14ac:dyDescent="0.2">
      <c r="A1" s="10" t="s">
        <v>52</v>
      </c>
      <c r="B1" s="15">
        <v>39848</v>
      </c>
      <c r="D1" s="10" t="s">
        <v>69</v>
      </c>
      <c r="E1" s="16">
        <v>365</v>
      </c>
      <c r="Y1"/>
      <c r="AL1" t="s">
        <v>81</v>
      </c>
      <c r="AM1" s="26">
        <v>1.15071483842362E-2</v>
      </c>
      <c r="AN1">
        <v>1.1161074192118099</v>
      </c>
    </row>
    <row r="2" spans="1:42" x14ac:dyDescent="0.2">
      <c r="D2" s="10" t="s">
        <v>55</v>
      </c>
      <c r="E2" s="16" t="b">
        <v>1</v>
      </c>
      <c r="Y2"/>
      <c r="AL2" t="s">
        <v>82</v>
      </c>
      <c r="AM2">
        <v>0.99077698331156505</v>
      </c>
    </row>
    <row r="3" spans="1:42" x14ac:dyDescent="0.2">
      <c r="D3" s="10" t="s">
        <v>56</v>
      </c>
      <c r="E3" s="16" t="b">
        <v>1</v>
      </c>
      <c r="Y3"/>
    </row>
    <row r="4" spans="1:42" x14ac:dyDescent="0.2">
      <c r="A4" s="10" t="s">
        <v>37</v>
      </c>
      <c r="D4" s="10"/>
      <c r="E4" s="16"/>
      <c r="K4" s="10" t="s">
        <v>36</v>
      </c>
      <c r="O4" s="5"/>
      <c r="P4" s="1"/>
      <c r="U4" s="10" t="s">
        <v>38</v>
      </c>
      <c r="Y4" s="10" t="s">
        <v>62</v>
      </c>
      <c r="AB4" s="33" t="s">
        <v>118</v>
      </c>
    </row>
    <row r="5" spans="1:42" x14ac:dyDescent="0.2">
      <c r="O5" s="5"/>
      <c r="P5" s="12"/>
      <c r="Y5"/>
      <c r="AL5" t="s">
        <v>65</v>
      </c>
    </row>
    <row r="6" spans="1:42" x14ac:dyDescent="0.2">
      <c r="A6" s="11" t="s">
        <v>16</v>
      </c>
      <c r="B6" s="11" t="s">
        <v>17</v>
      </c>
      <c r="C6" s="11" t="s">
        <v>7</v>
      </c>
      <c r="D6" s="11" t="s">
        <v>13</v>
      </c>
      <c r="E6" s="11" t="s">
        <v>8</v>
      </c>
      <c r="F6" s="11" t="s">
        <v>9</v>
      </c>
      <c r="G6" s="11" t="s">
        <v>10</v>
      </c>
      <c r="H6" s="11" t="s">
        <v>11</v>
      </c>
      <c r="I6" s="11" t="s">
        <v>12</v>
      </c>
      <c r="K6" s="11" t="s">
        <v>16</v>
      </c>
      <c r="L6" s="11" t="s">
        <v>17</v>
      </c>
      <c r="M6" s="11" t="s">
        <v>7</v>
      </c>
      <c r="N6" s="11" t="s">
        <v>13</v>
      </c>
      <c r="O6" s="11" t="s">
        <v>8</v>
      </c>
      <c r="P6" s="11" t="s">
        <v>9</v>
      </c>
      <c r="Q6" s="11" t="s">
        <v>10</v>
      </c>
      <c r="R6" s="11"/>
      <c r="S6" s="11"/>
      <c r="U6" s="11" t="s">
        <v>33</v>
      </c>
      <c r="V6" s="11" t="s">
        <v>34</v>
      </c>
      <c r="W6" s="11" t="s">
        <v>35</v>
      </c>
      <c r="Y6" s="11" t="s">
        <v>47</v>
      </c>
      <c r="Z6" s="11" t="s">
        <v>48</v>
      </c>
      <c r="AA6" s="11" t="s">
        <v>49</v>
      </c>
      <c r="AB6" s="11" t="s">
        <v>50</v>
      </c>
      <c r="AC6" s="11" t="s">
        <v>51</v>
      </c>
      <c r="AD6" s="11" t="s">
        <v>63</v>
      </c>
      <c r="AL6" t="s">
        <v>66</v>
      </c>
      <c r="AM6" t="s">
        <v>67</v>
      </c>
      <c r="AN6" t="s">
        <v>79</v>
      </c>
      <c r="AO6" t="s">
        <v>80</v>
      </c>
    </row>
    <row r="7" spans="1:42" x14ac:dyDescent="0.2">
      <c r="A7">
        <v>1</v>
      </c>
      <c r="B7" t="b">
        <v>1</v>
      </c>
      <c r="C7" t="s">
        <v>116</v>
      </c>
      <c r="D7" t="s">
        <v>14</v>
      </c>
      <c r="E7" s="1">
        <v>39848</v>
      </c>
      <c r="F7" s="1">
        <v>39876</v>
      </c>
      <c r="G7">
        <v>1.381</v>
      </c>
      <c r="H7" s="2"/>
      <c r="I7" s="3"/>
      <c r="K7">
        <v>1</v>
      </c>
      <c r="L7" t="b">
        <v>1</v>
      </c>
      <c r="M7" t="s">
        <v>116</v>
      </c>
      <c r="N7" t="s">
        <v>14</v>
      </c>
      <c r="O7" s="1">
        <v>39848</v>
      </c>
      <c r="P7" s="1">
        <v>39876</v>
      </c>
      <c r="Q7">
        <v>1.381</v>
      </c>
      <c r="R7" s="24"/>
      <c r="S7" s="3"/>
      <c r="T7" s="3"/>
      <c r="U7" s="1">
        <v>39848</v>
      </c>
      <c r="V7" s="13">
        <v>0</v>
      </c>
      <c r="W7" s="13">
        <f t="array" ref="W7:W58">MMULT(Matrix!$G$153:$BF$204,Matrix!$E$6:$E$57)</f>
        <v>1</v>
      </c>
      <c r="X7" s="8"/>
      <c r="Y7" s="20">
        <v>0</v>
      </c>
      <c r="Z7" s="23">
        <f>EDATE($U$7,Y7)</f>
        <v>39848</v>
      </c>
      <c r="AA7" s="20"/>
      <c r="AB7" s="20">
        <v>1</v>
      </c>
      <c r="AC7" s="30">
        <v>1</v>
      </c>
      <c r="AD7" s="22">
        <f t="shared" ref="AD7:AD21" si="0">dfinterp(Z7,DfVector,DfDates)</f>
        <v>1</v>
      </c>
      <c r="AE7" s="5"/>
      <c r="AF7" s="5"/>
      <c r="AG7" s="5"/>
      <c r="AH7" s="5"/>
      <c r="AL7">
        <v>29.999999880000001</v>
      </c>
      <c r="AM7">
        <v>0.99855293038399995</v>
      </c>
      <c r="AN7">
        <f>AL7/getyearbasis()</f>
        <v>8.2191780493150693E-2</v>
      </c>
      <c r="AO7">
        <f t="shared" ref="AO7:AO38" si="1">dfinterpt(AN7,DfVector,DfTime)</f>
        <v>0.99914970388476043</v>
      </c>
      <c r="AP7">
        <f>AO7-AM7</f>
        <v>5.9677350076048352E-4</v>
      </c>
    </row>
    <row r="8" spans="1:42" x14ac:dyDescent="0.2">
      <c r="A8">
        <f>A7+1</f>
        <v>2</v>
      </c>
      <c r="B8" t="b">
        <v>1</v>
      </c>
      <c r="C8" t="s">
        <v>117</v>
      </c>
      <c r="D8" t="s">
        <v>14</v>
      </c>
      <c r="E8" s="1">
        <v>39848</v>
      </c>
      <c r="F8" s="1">
        <v>39907</v>
      </c>
      <c r="G8">
        <v>1.45</v>
      </c>
      <c r="H8" s="2"/>
      <c r="I8" s="3"/>
      <c r="K8">
        <f t="shared" ref="K8:K23" si="2">K7 + 1</f>
        <v>2</v>
      </c>
      <c r="L8" t="b">
        <v>1</v>
      </c>
      <c r="M8" t="s">
        <v>117</v>
      </c>
      <c r="N8" t="s">
        <v>14</v>
      </c>
      <c r="O8" s="1">
        <v>39876</v>
      </c>
      <c r="P8" s="1">
        <v>39888</v>
      </c>
      <c r="Q8">
        <v>1.8486353594528624</v>
      </c>
      <c r="R8" s="24"/>
      <c r="S8" s="3"/>
      <c r="T8" s="3"/>
      <c r="U8" s="1">
        <v>39888</v>
      </c>
      <c r="V8" s="13">
        <v>0.1095890410958904</v>
      </c>
      <c r="W8" s="13">
        <v>0.99848886233546807</v>
      </c>
      <c r="X8" s="8"/>
      <c r="Y8" s="5">
        <v>1</v>
      </c>
      <c r="Z8" s="1">
        <f t="shared" ref="Z8:Z21" si="3">NextBusDay(EDATE($Z$7,Y8))</f>
        <v>39876</v>
      </c>
      <c r="AA8" s="17">
        <v>0</v>
      </c>
      <c r="AB8" s="21">
        <f>dfinterp(Z8,DfVector,DfDates)</f>
        <v>0.99925925699919793</v>
      </c>
      <c r="AC8" s="31">
        <v>1</v>
      </c>
      <c r="AD8" s="22">
        <f t="shared" si="0"/>
        <v>0.99925925699919793</v>
      </c>
      <c r="AE8" s="22">
        <f>AD8-AB8</f>
        <v>0</v>
      </c>
      <c r="AF8" s="5"/>
      <c r="AG8" s="5"/>
      <c r="AH8" s="5"/>
      <c r="AL8">
        <v>60.000000120000003</v>
      </c>
      <c r="AM8">
        <v>0.99711004272000003</v>
      </c>
      <c r="AN8">
        <f>AL8/getyearbasis()</f>
        <v>0.16438356197260276</v>
      </c>
      <c r="AO8">
        <f t="shared" si="1"/>
        <v>0.9978619105188179</v>
      </c>
      <c r="AP8">
        <f t="shared" ref="AP8:AP70" si="4">AO8-AM8</f>
        <v>7.5186779881786237E-4</v>
      </c>
    </row>
    <row r="9" spans="1:42" x14ac:dyDescent="0.2">
      <c r="A9">
        <f>A8+1</f>
        <v>3</v>
      </c>
      <c r="B9" t="b">
        <v>1</v>
      </c>
      <c r="C9" t="s">
        <v>93</v>
      </c>
      <c r="D9" t="s">
        <v>15</v>
      </c>
      <c r="E9" s="1">
        <v>39888</v>
      </c>
      <c r="F9" s="1">
        <v>39980</v>
      </c>
      <c r="G9">
        <v>0.87</v>
      </c>
      <c r="H9" s="2"/>
      <c r="I9" s="3"/>
      <c r="K9">
        <f t="shared" si="2"/>
        <v>3</v>
      </c>
      <c r="L9" t="b">
        <v>1</v>
      </c>
      <c r="M9" t="s">
        <v>117</v>
      </c>
      <c r="N9" t="s">
        <v>14</v>
      </c>
      <c r="O9" s="1">
        <v>39888</v>
      </c>
      <c r="P9" s="1">
        <v>39907</v>
      </c>
      <c r="Q9">
        <v>1.2965152575649002</v>
      </c>
      <c r="R9" s="24"/>
      <c r="S9" s="3"/>
      <c r="T9" s="3"/>
      <c r="U9" s="1">
        <v>39979</v>
      </c>
      <c r="V9" s="13">
        <v>0.35890410958904112</v>
      </c>
      <c r="W9" s="13">
        <v>0.9963260414142735</v>
      </c>
      <c r="X9" s="8"/>
      <c r="Y9" s="5">
        <v>2</v>
      </c>
      <c r="Z9" s="1">
        <f t="shared" si="3"/>
        <v>39909</v>
      </c>
      <c r="AA9" s="17">
        <v>2</v>
      </c>
      <c r="AB9" s="21">
        <v>0.99786612286168364</v>
      </c>
      <c r="AC9" s="32">
        <f>Swap1MFloat2M(Y9,AA9/10000,$AB$7:AB9,$Z$7:Z9,DfVector,DfDates)</f>
        <v>0.99999998864341821</v>
      </c>
      <c r="AD9" s="22">
        <f t="shared" si="0"/>
        <v>0.99783280915116168</v>
      </c>
      <c r="AE9" s="22">
        <f t="shared" ref="AE9:AE21" si="5">AD9-AB9</f>
        <v>-3.3313710521953865E-5</v>
      </c>
      <c r="AF9" s="5"/>
      <c r="AG9" s="5"/>
      <c r="AH9" s="5"/>
      <c r="AL9">
        <v>90</v>
      </c>
      <c r="AM9">
        <v>0.99609282589000003</v>
      </c>
      <c r="AN9">
        <f t="shared" ref="AN9:AN70" si="6">AL9/getyearbasis()</f>
        <v>0.24657534246575341</v>
      </c>
      <c r="AO9">
        <f t="shared" si="1"/>
        <v>0.99708179403451613</v>
      </c>
      <c r="AP9">
        <f t="shared" si="4"/>
        <v>9.8896814451610027E-4</v>
      </c>
    </row>
    <row r="10" spans="1:42" x14ac:dyDescent="0.2">
      <c r="A10">
        <f t="shared" ref="A10:A38" si="7">A9+1</f>
        <v>4</v>
      </c>
      <c r="B10" t="b">
        <v>1</v>
      </c>
      <c r="C10" t="s">
        <v>94</v>
      </c>
      <c r="D10" t="s">
        <v>15</v>
      </c>
      <c r="E10" s="1">
        <v>39979</v>
      </c>
      <c r="F10" s="1">
        <v>40071</v>
      </c>
      <c r="G10">
        <v>0.74</v>
      </c>
      <c r="H10" s="2"/>
      <c r="I10" s="3"/>
      <c r="K10">
        <f t="shared" si="2"/>
        <v>4</v>
      </c>
      <c r="L10" t="b">
        <v>1</v>
      </c>
      <c r="M10" t="s">
        <v>93</v>
      </c>
      <c r="N10" t="s">
        <v>14</v>
      </c>
      <c r="O10" s="1">
        <v>39907</v>
      </c>
      <c r="P10" s="1">
        <v>39979</v>
      </c>
      <c r="Q10">
        <v>0.75859870209560309</v>
      </c>
      <c r="R10" s="24"/>
      <c r="S10" s="3"/>
      <c r="T10" s="3"/>
      <c r="U10" s="1">
        <v>39980</v>
      </c>
      <c r="V10" s="13">
        <v>0.36164383561643837</v>
      </c>
      <c r="W10" s="13">
        <v>0.99630409029745692</v>
      </c>
      <c r="X10" s="8"/>
      <c r="Y10" s="5">
        <v>3</v>
      </c>
      <c r="Z10" s="1">
        <f t="shared" si="3"/>
        <v>39937</v>
      </c>
      <c r="AA10" s="17">
        <v>2</v>
      </c>
      <c r="AB10" s="21">
        <v>0.99715324656478732</v>
      </c>
      <c r="AC10" s="32">
        <f>Swap1MFloat(Y10,AA10/10000,$AB$7:AB10,$Z$7:Z10,DfVector,DfDates)</f>
        <v>0.99999998866038331</v>
      </c>
      <c r="AD10" s="22">
        <f t="shared" si="0"/>
        <v>0.99710470268462637</v>
      </c>
      <c r="AE10" s="22">
        <f t="shared" si="5"/>
        <v>-4.8543880160956121E-5</v>
      </c>
      <c r="AF10" s="5"/>
      <c r="AG10" s="5"/>
      <c r="AH10" s="5"/>
      <c r="AL10">
        <v>180</v>
      </c>
      <c r="AM10" s="25">
        <v>0.99295498438600005</v>
      </c>
      <c r="AN10">
        <f t="shared" si="6"/>
        <v>0.49315068493150682</v>
      </c>
      <c r="AO10">
        <f t="shared" si="1"/>
        <v>0.99533557930149497</v>
      </c>
      <c r="AP10">
        <f t="shared" si="4"/>
        <v>2.3805949154949158E-3</v>
      </c>
    </row>
    <row r="11" spans="1:42" x14ac:dyDescent="0.2">
      <c r="A11">
        <f t="shared" si="7"/>
        <v>5</v>
      </c>
      <c r="B11" t="b">
        <v>1</v>
      </c>
      <c r="C11" t="s">
        <v>95</v>
      </c>
      <c r="D11" t="s">
        <v>15</v>
      </c>
      <c r="E11" s="1">
        <v>40070</v>
      </c>
      <c r="F11" s="1">
        <v>40161</v>
      </c>
      <c r="G11">
        <v>0.85</v>
      </c>
      <c r="H11" s="2"/>
      <c r="I11" s="3"/>
      <c r="K11">
        <f t="shared" si="2"/>
        <v>5</v>
      </c>
      <c r="L11" t="b">
        <v>1</v>
      </c>
      <c r="M11" t="s">
        <v>93</v>
      </c>
      <c r="N11" t="s">
        <v>14</v>
      </c>
      <c r="O11" s="1">
        <v>39979</v>
      </c>
      <c r="P11" s="1">
        <v>39980</v>
      </c>
      <c r="Q11">
        <v>0.74861497741751659</v>
      </c>
      <c r="R11" s="24"/>
      <c r="S11" s="3"/>
      <c r="T11" s="3"/>
      <c r="U11" s="1">
        <v>40029</v>
      </c>
      <c r="V11" s="13">
        <v>0.49589041095890413</v>
      </c>
      <c r="W11" s="13">
        <v>0.99531752245879368</v>
      </c>
      <c r="X11" s="8"/>
      <c r="Y11" s="5">
        <v>6</v>
      </c>
      <c r="Z11" s="1">
        <f t="shared" si="3"/>
        <v>40029</v>
      </c>
      <c r="AA11" s="17">
        <v>2</v>
      </c>
      <c r="AB11" s="21">
        <v>0.99541609378797347</v>
      </c>
      <c r="AC11" s="32">
        <f>Swap1MFloat(Y11,AA11/10000,$AB$7:AB11,$Z$7:Z11,DfVector,DfDates)</f>
        <v>0.99999998863424178</v>
      </c>
      <c r="AD11" s="22">
        <f t="shared" si="0"/>
        <v>0.99531752245879368</v>
      </c>
      <c r="AE11" s="22">
        <f t="shared" si="5"/>
        <v>-9.8571329179786282E-5</v>
      </c>
      <c r="AF11" s="5"/>
      <c r="AG11" s="5"/>
      <c r="AH11" s="5"/>
      <c r="AL11">
        <v>270</v>
      </c>
      <c r="AM11" s="25">
        <v>0.99111711287600002</v>
      </c>
      <c r="AN11">
        <f t="shared" si="6"/>
        <v>0.73972602739726023</v>
      </c>
      <c r="AO11">
        <f t="shared" si="1"/>
        <v>0.99337349277570053</v>
      </c>
      <c r="AP11">
        <f t="shared" si="4"/>
        <v>2.2563798997005113E-3</v>
      </c>
    </row>
    <row r="12" spans="1:42" x14ac:dyDescent="0.2">
      <c r="A12">
        <f t="shared" si="7"/>
        <v>6</v>
      </c>
      <c r="B12" t="b">
        <v>1</v>
      </c>
      <c r="C12" t="s">
        <v>96</v>
      </c>
      <c r="D12" t="s">
        <v>15</v>
      </c>
      <c r="E12" s="1">
        <v>40161</v>
      </c>
      <c r="F12" s="1">
        <v>40252</v>
      </c>
      <c r="G12">
        <v>1.05</v>
      </c>
      <c r="H12" s="2"/>
      <c r="I12" s="3"/>
      <c r="K12">
        <f t="shared" si="2"/>
        <v>6</v>
      </c>
      <c r="L12" t="b">
        <v>1</v>
      </c>
      <c r="M12" t="s">
        <v>94</v>
      </c>
      <c r="N12" t="s">
        <v>14</v>
      </c>
      <c r="O12" s="1">
        <v>39980</v>
      </c>
      <c r="P12" s="1">
        <v>40029</v>
      </c>
      <c r="Q12">
        <v>0.73896435621404988</v>
      </c>
      <c r="R12" s="24"/>
      <c r="S12" s="3"/>
      <c r="T12" s="3"/>
      <c r="U12" s="1">
        <v>40070</v>
      </c>
      <c r="V12" s="13">
        <v>0.60821917808219184</v>
      </c>
      <c r="W12" s="13">
        <v>0.99449277766042188</v>
      </c>
      <c r="X12" s="8"/>
      <c r="Y12" s="5">
        <v>12</v>
      </c>
      <c r="Z12" s="1">
        <f t="shared" si="3"/>
        <v>40213</v>
      </c>
      <c r="AA12" s="17">
        <v>2</v>
      </c>
      <c r="AB12" s="21">
        <v>0.99110670586194671</v>
      </c>
      <c r="AC12" s="32">
        <f>Swap1MFloat(Y12,AA12/10000,$AB$7:AB12,$Z$7:Z12,DfVector,DfDates)</f>
        <v>0.99999998862566031</v>
      </c>
      <c r="AD12" s="22">
        <f t="shared" si="0"/>
        <v>0.99090826739540305</v>
      </c>
      <c r="AE12" s="22">
        <f t="shared" si="5"/>
        <v>-1.9843846654366004E-4</v>
      </c>
      <c r="AF12" s="5"/>
      <c r="AG12" s="5"/>
      <c r="AH12" s="5"/>
      <c r="AL12">
        <v>360</v>
      </c>
      <c r="AM12" s="25">
        <v>0.98859898223700005</v>
      </c>
      <c r="AN12">
        <f t="shared" si="6"/>
        <v>0.98630136986301364</v>
      </c>
      <c r="AO12">
        <f t="shared" si="1"/>
        <v>0.99105337741534794</v>
      </c>
      <c r="AP12">
        <f t="shared" si="4"/>
        <v>2.4543951783478901E-3</v>
      </c>
    </row>
    <row r="13" spans="1:42" x14ac:dyDescent="0.2">
      <c r="A13">
        <f t="shared" si="7"/>
        <v>7</v>
      </c>
      <c r="B13" t="b">
        <v>1</v>
      </c>
      <c r="C13" t="s">
        <v>97</v>
      </c>
      <c r="D13" t="s">
        <v>15</v>
      </c>
      <c r="E13" s="1">
        <v>40252</v>
      </c>
      <c r="F13" s="1">
        <v>40344</v>
      </c>
      <c r="G13">
        <v>1.32</v>
      </c>
      <c r="H13" s="2"/>
      <c r="I13" s="3"/>
      <c r="K13">
        <f t="shared" si="2"/>
        <v>7</v>
      </c>
      <c r="L13" t="b">
        <v>1</v>
      </c>
      <c r="M13" t="s">
        <v>94</v>
      </c>
      <c r="N13" t="s">
        <v>14</v>
      </c>
      <c r="O13" s="1">
        <v>40029</v>
      </c>
      <c r="P13" s="1">
        <v>40070</v>
      </c>
      <c r="Q13">
        <v>0.73890453611756046</v>
      </c>
      <c r="R13" s="24"/>
      <c r="S13" s="3"/>
      <c r="T13" s="3"/>
      <c r="U13" s="1">
        <v>40071</v>
      </c>
      <c r="V13" s="13">
        <v>0.61095890410958908</v>
      </c>
      <c r="W13" s="13">
        <v>0.9944711483791594</v>
      </c>
      <c r="X13" s="8"/>
      <c r="Y13" s="5">
        <v>24</v>
      </c>
      <c r="Z13" s="1">
        <f t="shared" si="3"/>
        <v>40578</v>
      </c>
      <c r="AA13" s="17">
        <v>2</v>
      </c>
      <c r="AB13" s="21">
        <v>0.97563498015467998</v>
      </c>
      <c r="AC13" s="32">
        <f>Swap1MFloat(Y13,AA13/10000,$AB$7:AB13,$Z$7:Z13,DfVector,DfDates)</f>
        <v>0.99999998878364782</v>
      </c>
      <c r="AD13" s="22">
        <f t="shared" si="0"/>
        <v>0.97524046645325069</v>
      </c>
      <c r="AE13" s="22">
        <f t="shared" si="5"/>
        <v>-3.9451370142928877E-4</v>
      </c>
      <c r="AF13" s="5"/>
      <c r="AG13" s="5"/>
      <c r="AH13" s="5"/>
      <c r="AL13">
        <v>540</v>
      </c>
      <c r="AM13">
        <v>0.98345366492200004</v>
      </c>
      <c r="AN13">
        <f t="shared" si="6"/>
        <v>1.4794520547945205</v>
      </c>
      <c r="AO13">
        <f t="shared" si="1"/>
        <v>0.98465031563505523</v>
      </c>
      <c r="AP13">
        <f t="shared" si="4"/>
        <v>1.1966507130551918E-3</v>
      </c>
    </row>
    <row r="14" spans="1:42" x14ac:dyDescent="0.2">
      <c r="A14">
        <f t="shared" si="7"/>
        <v>8</v>
      </c>
      <c r="B14" t="b">
        <v>1</v>
      </c>
      <c r="C14" t="s">
        <v>98</v>
      </c>
      <c r="D14" t="s">
        <v>15</v>
      </c>
      <c r="E14" s="1">
        <v>40343</v>
      </c>
      <c r="F14" s="1">
        <v>40435</v>
      </c>
      <c r="G14">
        <v>1.58</v>
      </c>
      <c r="H14" s="2"/>
      <c r="I14" s="3"/>
      <c r="K14">
        <f t="shared" si="2"/>
        <v>8</v>
      </c>
      <c r="L14" t="b">
        <v>1</v>
      </c>
      <c r="M14" t="s">
        <v>94</v>
      </c>
      <c r="N14" t="s">
        <v>14</v>
      </c>
      <c r="O14" s="1">
        <v>40070</v>
      </c>
      <c r="P14" s="1">
        <v>40071</v>
      </c>
      <c r="Q14">
        <v>0.79416323480596684</v>
      </c>
      <c r="R14" s="24"/>
      <c r="S14" s="3"/>
      <c r="T14" s="3"/>
      <c r="U14" s="1">
        <v>40161</v>
      </c>
      <c r="V14" s="13">
        <v>0.8575342465753425</v>
      </c>
      <c r="W14" s="13">
        <v>0.99238972710175521</v>
      </c>
      <c r="X14" s="8"/>
      <c r="Y14" s="5">
        <v>36</v>
      </c>
      <c r="Z14" s="1">
        <f t="shared" si="3"/>
        <v>40945</v>
      </c>
      <c r="AA14" s="17">
        <v>2</v>
      </c>
      <c r="AB14" s="21">
        <v>0.95399003889940359</v>
      </c>
      <c r="AC14" s="32">
        <f>Swap1MFloat(Y14,AA14/10000,$AB$7:AB14,$Z$7:Z14,DfVector,DfDates)</f>
        <v>0.99999998888633612</v>
      </c>
      <c r="AD14" s="22">
        <f t="shared" si="0"/>
        <v>0.9534137528488803</v>
      </c>
      <c r="AE14" s="22">
        <f t="shared" si="5"/>
        <v>-5.7628605052328918E-4</v>
      </c>
      <c r="AF14" s="5"/>
      <c r="AG14" s="5"/>
      <c r="AH14" s="5"/>
      <c r="AL14">
        <v>720</v>
      </c>
      <c r="AM14">
        <v>0.97867453866499998</v>
      </c>
      <c r="AN14">
        <f t="shared" si="6"/>
        <v>1.9726027397260273</v>
      </c>
      <c r="AO14">
        <f t="shared" si="1"/>
        <v>0.97582213794954908</v>
      </c>
      <c r="AP14">
        <f t="shared" si="4"/>
        <v>-2.8524007154508979E-3</v>
      </c>
    </row>
    <row r="15" spans="1:42" x14ac:dyDescent="0.2">
      <c r="A15">
        <f t="shared" si="7"/>
        <v>9</v>
      </c>
      <c r="B15" t="b">
        <v>1</v>
      </c>
      <c r="C15" t="s">
        <v>99</v>
      </c>
      <c r="D15" t="s">
        <v>15</v>
      </c>
      <c r="E15" s="1">
        <v>40434</v>
      </c>
      <c r="F15" s="1">
        <v>40525</v>
      </c>
      <c r="G15">
        <v>1.82</v>
      </c>
      <c r="H15" s="2"/>
      <c r="I15" s="3"/>
      <c r="J15" s="4"/>
      <c r="K15">
        <f t="shared" si="2"/>
        <v>9</v>
      </c>
      <c r="L15" t="b">
        <v>1</v>
      </c>
      <c r="M15" t="s">
        <v>95</v>
      </c>
      <c r="N15" t="s">
        <v>14</v>
      </c>
      <c r="O15" s="1">
        <v>40071</v>
      </c>
      <c r="P15" s="1">
        <v>40161</v>
      </c>
      <c r="Q15">
        <v>0.85060190119377665</v>
      </c>
      <c r="R15" s="24"/>
      <c r="S15" s="3"/>
      <c r="T15" s="3"/>
      <c r="U15" s="1">
        <v>40213</v>
      </c>
      <c r="V15" s="13">
        <v>1</v>
      </c>
      <c r="W15" s="13">
        <v>0.99090826739540305</v>
      </c>
      <c r="X15" s="8"/>
      <c r="Y15" s="5">
        <v>48</v>
      </c>
      <c r="Z15" s="1">
        <f t="shared" si="3"/>
        <v>41309</v>
      </c>
      <c r="AA15" s="17">
        <v>2</v>
      </c>
      <c r="AB15" s="21">
        <v>0.93171798511271331</v>
      </c>
      <c r="AC15" s="32">
        <f>Swap1MFloat(Y15,AA15/10000,$AB$7:AB15,$Z$7:Z15,DfVector,DfDates)</f>
        <v>0.99999998727987949</v>
      </c>
      <c r="AD15" s="22">
        <f t="shared" si="0"/>
        <v>0.93096986406692728</v>
      </c>
      <c r="AE15" s="22">
        <f t="shared" si="5"/>
        <v>-7.4812104578603211E-4</v>
      </c>
      <c r="AF15" s="5"/>
      <c r="AG15" s="5"/>
      <c r="AH15" s="5"/>
      <c r="AL15">
        <v>900</v>
      </c>
      <c r="AM15">
        <v>0.96904909878699996</v>
      </c>
      <c r="AN15">
        <f t="shared" si="6"/>
        <v>2.4657534246575343</v>
      </c>
      <c r="AO15">
        <f t="shared" si="1"/>
        <v>0.96583071612181848</v>
      </c>
      <c r="AP15">
        <f t="shared" si="4"/>
        <v>-3.2183826651814851E-3</v>
      </c>
    </row>
    <row r="16" spans="1:42" x14ac:dyDescent="0.2">
      <c r="A16">
        <f t="shared" si="7"/>
        <v>10</v>
      </c>
      <c r="B16" t="b">
        <v>1</v>
      </c>
      <c r="C16" t="s">
        <v>101</v>
      </c>
      <c r="D16" t="s">
        <v>19</v>
      </c>
      <c r="E16" s="5">
        <v>2</v>
      </c>
      <c r="F16" s="5"/>
      <c r="G16">
        <v>1.2549999999999999</v>
      </c>
      <c r="H16" s="2"/>
      <c r="I16" s="3"/>
      <c r="K16">
        <f t="shared" si="2"/>
        <v>10</v>
      </c>
      <c r="L16" t="b">
        <v>1</v>
      </c>
      <c r="M16" t="s">
        <v>96</v>
      </c>
      <c r="N16" t="s">
        <v>14</v>
      </c>
      <c r="O16" s="1">
        <v>40161</v>
      </c>
      <c r="P16" s="1">
        <v>40213</v>
      </c>
      <c r="Q16">
        <v>1.0494117262272089</v>
      </c>
      <c r="R16" s="24"/>
      <c r="S16" s="3"/>
      <c r="T16" s="3"/>
      <c r="U16" s="1">
        <v>40252</v>
      </c>
      <c r="V16" s="13">
        <v>1.106849315068493</v>
      </c>
      <c r="W16" s="13">
        <v>0.9897986241281812</v>
      </c>
      <c r="X16" s="8"/>
      <c r="Y16" s="5">
        <v>60</v>
      </c>
      <c r="Z16" s="1">
        <f t="shared" si="3"/>
        <v>41674</v>
      </c>
      <c r="AA16" s="17">
        <v>2</v>
      </c>
      <c r="AB16" s="21">
        <v>0.90813118290140937</v>
      </c>
      <c r="AC16" s="32">
        <f>Swap1MFloat(Y16,AA16/10000,$AB$7:AB16,$Z$7:Z16,DfVector,DfDates)</f>
        <v>0.9999999859405434</v>
      </c>
      <c r="AD16" s="22">
        <f t="shared" si="0"/>
        <v>0.90722107006428454</v>
      </c>
      <c r="AE16" s="22">
        <f t="shared" si="5"/>
        <v>-9.1011283712483237E-4</v>
      </c>
      <c r="AF16" s="5"/>
      <c r="AG16" s="5"/>
      <c r="AH16" s="5"/>
      <c r="AL16">
        <v>1080</v>
      </c>
      <c r="AM16">
        <v>0.95777472650499995</v>
      </c>
      <c r="AN16">
        <f t="shared" si="6"/>
        <v>2.9589041095890409</v>
      </c>
      <c r="AO16">
        <f t="shared" si="1"/>
        <v>0.95455040846516481</v>
      </c>
      <c r="AP16">
        <f t="shared" si="4"/>
        <v>-3.224318039835139E-3</v>
      </c>
    </row>
    <row r="17" spans="1:42" x14ac:dyDescent="0.2">
      <c r="A17">
        <f t="shared" si="7"/>
        <v>11</v>
      </c>
      <c r="B17" t="b">
        <v>1</v>
      </c>
      <c r="C17" t="s">
        <v>102</v>
      </c>
      <c r="D17" t="s">
        <v>19</v>
      </c>
      <c r="E17" s="5">
        <v>3</v>
      </c>
      <c r="F17" s="5"/>
      <c r="G17">
        <v>1.5860000000000001</v>
      </c>
      <c r="H17" s="2"/>
      <c r="I17" s="3"/>
      <c r="K17">
        <f t="shared" si="2"/>
        <v>11</v>
      </c>
      <c r="L17" t="b">
        <v>1</v>
      </c>
      <c r="M17" t="s">
        <v>96</v>
      </c>
      <c r="N17" t="s">
        <v>14</v>
      </c>
      <c r="O17" s="1">
        <v>40213</v>
      </c>
      <c r="P17" s="1">
        <v>40252</v>
      </c>
      <c r="Q17">
        <v>1.0492157326128002</v>
      </c>
      <c r="R17" s="24"/>
      <c r="S17" s="3"/>
      <c r="T17" s="3"/>
      <c r="U17" s="1">
        <v>40343</v>
      </c>
      <c r="V17" s="13">
        <v>1.3561643835616439</v>
      </c>
      <c r="W17" s="13">
        <v>0.98655548170242346</v>
      </c>
      <c r="X17" s="8"/>
      <c r="Y17" s="5">
        <v>72</v>
      </c>
      <c r="Z17" s="1">
        <f t="shared" si="3"/>
        <v>42039</v>
      </c>
      <c r="AA17" s="17">
        <v>2</v>
      </c>
      <c r="AB17" s="21">
        <v>0.88120991370815249</v>
      </c>
      <c r="AC17" s="32">
        <f>Swap1MFloat(Y17,AA17/10000,$AB$7:AB17,$Z$7:Z17,DfVector,DfDates)</f>
        <v>0.9999999857465881</v>
      </c>
      <c r="AD17" s="22">
        <f t="shared" si="0"/>
        <v>0.88015157903951025</v>
      </c>
      <c r="AE17" s="22">
        <f t="shared" si="5"/>
        <v>-1.0583346686422468E-3</v>
      </c>
      <c r="AF17" s="5"/>
      <c r="AG17" s="5"/>
      <c r="AH17" s="5"/>
      <c r="AL17">
        <v>1260</v>
      </c>
      <c r="AM17">
        <v>0.94600719334200001</v>
      </c>
      <c r="AN17">
        <f t="shared" si="6"/>
        <v>3.452054794520548</v>
      </c>
      <c r="AO17">
        <f t="shared" si="1"/>
        <v>0.94378602546967594</v>
      </c>
      <c r="AP17">
        <f t="shared" si="4"/>
        <v>-2.2211678723240702E-3</v>
      </c>
    </row>
    <row r="18" spans="1:42" x14ac:dyDescent="0.2">
      <c r="A18">
        <f t="shared" si="7"/>
        <v>12</v>
      </c>
      <c r="B18" t="b">
        <v>1</v>
      </c>
      <c r="C18" t="s">
        <v>103</v>
      </c>
      <c r="D18" t="s">
        <v>19</v>
      </c>
      <c r="E18" s="5">
        <v>4</v>
      </c>
      <c r="F18" s="5"/>
      <c r="G18">
        <v>1.7829999999999999</v>
      </c>
      <c r="H18" s="2"/>
      <c r="I18" s="3"/>
      <c r="K18">
        <f t="shared" si="2"/>
        <v>12</v>
      </c>
      <c r="L18" t="b">
        <v>1</v>
      </c>
      <c r="M18" t="s">
        <v>97</v>
      </c>
      <c r="N18" t="s">
        <v>14</v>
      </c>
      <c r="O18" s="1">
        <v>40252</v>
      </c>
      <c r="P18" s="1">
        <v>40343</v>
      </c>
      <c r="Q18">
        <v>1.3185481072326104</v>
      </c>
      <c r="R18" s="24"/>
      <c r="S18" s="3"/>
      <c r="T18" s="3"/>
      <c r="U18" s="1">
        <v>40344</v>
      </c>
      <c r="V18" s="13">
        <v>1.3589041095890411</v>
      </c>
      <c r="W18" s="13">
        <v>0.98651636256462394</v>
      </c>
      <c r="X18" s="8"/>
      <c r="Y18" s="5">
        <v>84</v>
      </c>
      <c r="Z18" s="1">
        <f t="shared" si="3"/>
        <v>42404</v>
      </c>
      <c r="AA18" s="17">
        <v>2</v>
      </c>
      <c r="AB18" s="21">
        <v>0.85178399312327369</v>
      </c>
      <c r="AC18" s="32">
        <f>Swap1MFloat(Y18,AA18/10000,$AB$7:AB18,$Z$7:Z18,DfVector,DfDates)</f>
        <v>0.99999998573235982</v>
      </c>
      <c r="AD18" s="22">
        <f t="shared" si="0"/>
        <v>0.85059222249246835</v>
      </c>
      <c r="AE18" s="22">
        <f t="shared" si="5"/>
        <v>-1.1917706308053333E-3</v>
      </c>
      <c r="AF18" s="5"/>
      <c r="AG18" s="5"/>
      <c r="AH18" s="5"/>
      <c r="AL18">
        <v>1440</v>
      </c>
      <c r="AM18">
        <v>0.932974799859</v>
      </c>
      <c r="AN18">
        <f t="shared" si="6"/>
        <v>3.9452054794520546</v>
      </c>
      <c r="AO18">
        <f t="shared" si="1"/>
        <v>0.932354711147385</v>
      </c>
      <c r="AP18">
        <f t="shared" si="4"/>
        <v>-6.2008871161500778E-4</v>
      </c>
    </row>
    <row r="19" spans="1:42" x14ac:dyDescent="0.2">
      <c r="A19">
        <f t="shared" si="7"/>
        <v>13</v>
      </c>
      <c r="B19" t="b">
        <v>1</v>
      </c>
      <c r="C19" t="s">
        <v>104</v>
      </c>
      <c r="D19" t="s">
        <v>19</v>
      </c>
      <c r="E19" s="5">
        <v>5</v>
      </c>
      <c r="F19" s="5"/>
      <c r="G19">
        <v>1.9390000000000001</v>
      </c>
      <c r="H19" s="2"/>
      <c r="I19" s="3"/>
      <c r="K19">
        <f t="shared" si="2"/>
        <v>13</v>
      </c>
      <c r="L19" t="b">
        <v>1</v>
      </c>
      <c r="M19" t="s">
        <v>97</v>
      </c>
      <c r="N19" t="s">
        <v>14</v>
      </c>
      <c r="O19" s="1">
        <v>40343</v>
      </c>
      <c r="P19" s="1">
        <v>40344</v>
      </c>
      <c r="Q19">
        <v>1.4473642646670726</v>
      </c>
      <c r="R19" s="24"/>
      <c r="S19" s="3"/>
      <c r="T19" s="3"/>
      <c r="U19" s="1">
        <v>40394</v>
      </c>
      <c r="V19" s="13">
        <v>1.4958904109589042</v>
      </c>
      <c r="W19" s="13">
        <v>0.98438756365430846</v>
      </c>
      <c r="X19" s="8"/>
      <c r="Y19" s="5">
        <v>96</v>
      </c>
      <c r="Z19" s="1">
        <f t="shared" si="3"/>
        <v>42772</v>
      </c>
      <c r="AA19" s="17">
        <v>2</v>
      </c>
      <c r="AB19" s="21">
        <v>0.82001803130093287</v>
      </c>
      <c r="AC19" s="32">
        <f>Swap1MFloat(Y19,AA19/10000,$AB$7:AB19,$Z$7:Z19,DfVector,DfDates)</f>
        <v>0.99999998590233119</v>
      </c>
      <c r="AD19" s="22">
        <f t="shared" si="0"/>
        <v>0.81870738449778879</v>
      </c>
      <c r="AE19" s="22">
        <f t="shared" si="5"/>
        <v>-1.3106468031440777E-3</v>
      </c>
      <c r="AF19" s="5"/>
      <c r="AG19" s="5"/>
      <c r="AH19" s="5"/>
      <c r="AL19">
        <v>1620</v>
      </c>
      <c r="AM19">
        <v>0.92129456821900002</v>
      </c>
      <c r="AN19">
        <f t="shared" si="6"/>
        <v>4.4383561643835616</v>
      </c>
      <c r="AO19">
        <f t="shared" si="1"/>
        <v>0.92092640578299156</v>
      </c>
      <c r="AP19">
        <f t="shared" si="4"/>
        <v>-3.6816243600845677E-4</v>
      </c>
    </row>
    <row r="20" spans="1:42" x14ac:dyDescent="0.2">
      <c r="A20">
        <f t="shared" si="7"/>
        <v>14</v>
      </c>
      <c r="B20" t="b">
        <v>1</v>
      </c>
      <c r="C20" t="s">
        <v>105</v>
      </c>
      <c r="D20" t="s">
        <v>19</v>
      </c>
      <c r="E20" s="5">
        <v>6</v>
      </c>
      <c r="F20" s="5"/>
      <c r="G20">
        <v>2.113</v>
      </c>
      <c r="H20" s="2"/>
      <c r="I20" s="3"/>
      <c r="K20">
        <f t="shared" si="2"/>
        <v>14</v>
      </c>
      <c r="L20" t="b">
        <v>1</v>
      </c>
      <c r="M20" t="s">
        <v>98</v>
      </c>
      <c r="N20" t="s">
        <v>14</v>
      </c>
      <c r="O20" s="1">
        <v>40344</v>
      </c>
      <c r="P20" s="1">
        <v>40394</v>
      </c>
      <c r="Q20">
        <v>1.578670090834271</v>
      </c>
      <c r="R20" s="24"/>
      <c r="S20" s="3"/>
      <c r="T20" s="3"/>
      <c r="U20" s="1">
        <v>40434</v>
      </c>
      <c r="V20" s="13">
        <v>1.6054794520547946</v>
      </c>
      <c r="W20" s="13">
        <v>0.98268783248412128</v>
      </c>
      <c r="X20" s="8"/>
      <c r="Y20" s="5">
        <v>108</v>
      </c>
      <c r="Z20" s="1">
        <f t="shared" si="3"/>
        <v>43136</v>
      </c>
      <c r="AA20" s="17">
        <v>2</v>
      </c>
      <c r="AB20" s="21">
        <v>0.78444267593168349</v>
      </c>
      <c r="AC20" s="32">
        <f>Swap1MFloat(Y20,AA20/10000,$AB$7:AB20,$Z$7:Z20,DfVector,DfDates)</f>
        <v>0.99999998603580509</v>
      </c>
      <c r="AD20" s="22">
        <f t="shared" si="0"/>
        <v>0.78303572727573223</v>
      </c>
      <c r="AE20" s="22">
        <f t="shared" si="5"/>
        <v>-1.4069486559512567E-3</v>
      </c>
      <c r="AF20" s="5"/>
      <c r="AG20" s="5"/>
      <c r="AH20" s="5"/>
      <c r="AL20">
        <v>1800</v>
      </c>
      <c r="AM20">
        <v>0.90894292725199999</v>
      </c>
      <c r="AN20">
        <f t="shared" si="6"/>
        <v>4.9315068493150687</v>
      </c>
      <c r="AO20">
        <f t="shared" si="1"/>
        <v>0.90899136650681711</v>
      </c>
      <c r="AP20">
        <f t="shared" si="4"/>
        <v>4.8439254817123079E-5</v>
      </c>
    </row>
    <row r="21" spans="1:42" x14ac:dyDescent="0.2">
      <c r="A21">
        <f t="shared" si="7"/>
        <v>15</v>
      </c>
      <c r="B21" t="b">
        <v>1</v>
      </c>
      <c r="C21" t="s">
        <v>106</v>
      </c>
      <c r="D21" t="s">
        <v>19</v>
      </c>
      <c r="E21" s="5">
        <v>7</v>
      </c>
      <c r="F21" s="5"/>
      <c r="G21">
        <v>2.2879999999999998</v>
      </c>
      <c r="H21" s="2"/>
      <c r="I21" s="3"/>
      <c r="K21">
        <f t="shared" si="2"/>
        <v>15</v>
      </c>
      <c r="L21" t="b">
        <v>1</v>
      </c>
      <c r="M21" t="s">
        <v>98</v>
      </c>
      <c r="N21" t="s">
        <v>14</v>
      </c>
      <c r="O21" s="1">
        <v>40394</v>
      </c>
      <c r="P21" s="1">
        <v>40434</v>
      </c>
      <c r="Q21">
        <v>1.5783289886422525</v>
      </c>
      <c r="R21" s="24"/>
      <c r="S21" s="3"/>
      <c r="T21" s="3"/>
      <c r="U21" s="1">
        <v>40435</v>
      </c>
      <c r="V21" s="13">
        <v>1.6082191780821917</v>
      </c>
      <c r="W21" s="13">
        <v>0.98264214301997443</v>
      </c>
      <c r="X21" s="8"/>
      <c r="Y21" s="5">
        <v>120</v>
      </c>
      <c r="Z21" s="1">
        <f t="shared" si="3"/>
        <v>43500</v>
      </c>
      <c r="AA21" s="17">
        <v>2</v>
      </c>
      <c r="AB21" s="21">
        <v>0.74633259999778589</v>
      </c>
      <c r="AC21" s="32">
        <f>Swap1MFloat(Y21,AA21/10000,$AB$7:AB21,$Z$7:Z21,DfVector,DfDates)</f>
        <v>0.99999997225084702</v>
      </c>
      <c r="AD21" s="22">
        <f t="shared" si="0"/>
        <v>0.74484421395694922</v>
      </c>
      <c r="AE21" s="22">
        <f t="shared" si="5"/>
        <v>-1.4883860408366756E-3</v>
      </c>
      <c r="AF21" s="5"/>
      <c r="AG21" s="5"/>
      <c r="AH21" s="5"/>
      <c r="AL21">
        <v>1980</v>
      </c>
      <c r="AM21">
        <v>0.89884396205399997</v>
      </c>
      <c r="AN21">
        <f t="shared" si="6"/>
        <v>5.4246575342465757</v>
      </c>
      <c r="AO21">
        <f t="shared" si="1"/>
        <v>0.89609619954014585</v>
      </c>
      <c r="AP21">
        <f t="shared" si="4"/>
        <v>-2.7477625138541129E-3</v>
      </c>
    </row>
    <row r="22" spans="1:42" x14ac:dyDescent="0.2">
      <c r="A22">
        <f t="shared" si="7"/>
        <v>16</v>
      </c>
      <c r="B22" t="b">
        <v>1</v>
      </c>
      <c r="C22" t="s">
        <v>107</v>
      </c>
      <c r="D22" t="s">
        <v>19</v>
      </c>
      <c r="E22" s="5">
        <v>8</v>
      </c>
      <c r="F22" s="5"/>
      <c r="G22">
        <v>2.4620000000000002</v>
      </c>
      <c r="H22" s="2"/>
      <c r="I22" s="3"/>
      <c r="K22">
        <f t="shared" si="2"/>
        <v>16</v>
      </c>
      <c r="L22" t="b">
        <v>1</v>
      </c>
      <c r="M22" t="s">
        <v>98</v>
      </c>
      <c r="N22" t="s">
        <v>14</v>
      </c>
      <c r="O22" s="1">
        <v>40434</v>
      </c>
      <c r="P22" s="1">
        <v>40435</v>
      </c>
      <c r="Q22">
        <v>1.6971238748560991</v>
      </c>
      <c r="R22" s="24"/>
      <c r="S22" s="3"/>
      <c r="T22" s="3"/>
      <c r="U22" s="1">
        <v>40525</v>
      </c>
      <c r="V22" s="13">
        <v>1.8547945205479452</v>
      </c>
      <c r="W22" s="13">
        <v>0.97824899417139044</v>
      </c>
      <c r="X22" s="8"/>
      <c r="Y22" s="18"/>
      <c r="Z22" s="18"/>
      <c r="AA22" s="19"/>
      <c r="AB22" s="18"/>
      <c r="AC22" s="18"/>
      <c r="AD22" s="18"/>
      <c r="AE22" s="18"/>
      <c r="AF22" s="18"/>
      <c r="AG22" s="18"/>
      <c r="AH22" s="18"/>
      <c r="AL22">
        <v>2160</v>
      </c>
      <c r="AM22">
        <v>0.88857879381600002</v>
      </c>
      <c r="AN22">
        <f t="shared" si="6"/>
        <v>5.9178082191780819</v>
      </c>
      <c r="AO22">
        <f t="shared" si="1"/>
        <v>0.88254308185690511</v>
      </c>
      <c r="AP22">
        <f t="shared" si="4"/>
        <v>-6.0357119590949138E-3</v>
      </c>
    </row>
    <row r="23" spans="1:42" x14ac:dyDescent="0.2">
      <c r="A23">
        <f t="shared" si="7"/>
        <v>17</v>
      </c>
      <c r="B23" t="b">
        <v>1</v>
      </c>
      <c r="C23" t="s">
        <v>108</v>
      </c>
      <c r="D23" t="s">
        <v>19</v>
      </c>
      <c r="E23" s="5">
        <v>9</v>
      </c>
      <c r="F23" s="5"/>
      <c r="G23">
        <v>2.661</v>
      </c>
      <c r="H23" s="2"/>
      <c r="I23" s="3"/>
      <c r="K23">
        <f t="shared" si="2"/>
        <v>17</v>
      </c>
      <c r="L23" t="b">
        <v>1</v>
      </c>
      <c r="M23" t="s">
        <v>99</v>
      </c>
      <c r="N23" t="s">
        <v>14</v>
      </c>
      <c r="O23" s="1">
        <v>40435</v>
      </c>
      <c r="P23" s="1">
        <v>40525</v>
      </c>
      <c r="Q23">
        <v>1.8212806070246139</v>
      </c>
      <c r="R23" s="24"/>
      <c r="S23" s="3"/>
      <c r="T23" s="3"/>
      <c r="U23" s="1">
        <v>40578</v>
      </c>
      <c r="V23" s="13">
        <v>2</v>
      </c>
      <c r="W23" s="13">
        <v>0.97524046645325069</v>
      </c>
      <c r="X23" s="8"/>
      <c r="Y23" s="18"/>
      <c r="Z23" s="18"/>
      <c r="AA23" s="19"/>
      <c r="AB23" s="18"/>
      <c r="AC23" s="18"/>
      <c r="AD23" s="18"/>
      <c r="AE23" s="18"/>
      <c r="AF23" s="18"/>
      <c r="AG23" s="18"/>
      <c r="AH23" s="18"/>
      <c r="AL23">
        <v>2340</v>
      </c>
      <c r="AM23">
        <v>0.87815358584500003</v>
      </c>
      <c r="AN23">
        <f t="shared" si="6"/>
        <v>6.4109589041095889</v>
      </c>
      <c r="AO23">
        <f t="shared" si="1"/>
        <v>0.86832941711302181</v>
      </c>
      <c r="AP23">
        <f t="shared" si="4"/>
        <v>-9.8241687319782223E-3</v>
      </c>
    </row>
    <row r="24" spans="1:42" x14ac:dyDescent="0.2">
      <c r="A24">
        <f t="shared" si="7"/>
        <v>18</v>
      </c>
      <c r="B24" t="b">
        <v>1</v>
      </c>
      <c r="C24" t="s">
        <v>109</v>
      </c>
      <c r="D24" t="s">
        <v>19</v>
      </c>
      <c r="E24" s="5">
        <v>10</v>
      </c>
      <c r="F24" s="5"/>
      <c r="G24">
        <v>2.8650000000000002</v>
      </c>
      <c r="H24" s="2"/>
      <c r="I24" s="3"/>
      <c r="K24">
        <f t="shared" ref="K24:K55" si="8">K23+1</f>
        <v>18</v>
      </c>
      <c r="L24" t="b">
        <v>1</v>
      </c>
      <c r="M24" t="s">
        <v>101</v>
      </c>
      <c r="N24" t="s">
        <v>19</v>
      </c>
      <c r="O24" s="5">
        <v>2</v>
      </c>
      <c r="P24" s="1">
        <v>40578</v>
      </c>
      <c r="Q24">
        <v>1.2549999999999999</v>
      </c>
      <c r="R24" s="2"/>
      <c r="S24" s="3"/>
      <c r="T24" s="3"/>
      <c r="U24" s="1">
        <v>40759</v>
      </c>
      <c r="V24" s="13">
        <v>2.495890410958904</v>
      </c>
      <c r="W24" s="13">
        <v>0.96517654206234271</v>
      </c>
      <c r="X24" s="8"/>
      <c r="Z24" s="3"/>
      <c r="AB24" s="1"/>
      <c r="AL24">
        <v>2520</v>
      </c>
      <c r="AM24">
        <v>0.86757453389100003</v>
      </c>
      <c r="AN24">
        <f t="shared" si="6"/>
        <v>6.904109589041096</v>
      </c>
      <c r="AO24">
        <f t="shared" si="1"/>
        <v>0.85359778874270298</v>
      </c>
      <c r="AP24">
        <f t="shared" si="4"/>
        <v>-1.3976745148297054E-2</v>
      </c>
    </row>
    <row r="25" spans="1:42" x14ac:dyDescent="0.2">
      <c r="A25">
        <f t="shared" si="7"/>
        <v>19</v>
      </c>
      <c r="B25" t="b">
        <v>1</v>
      </c>
      <c r="C25" t="s">
        <v>110</v>
      </c>
      <c r="D25" t="s">
        <v>19</v>
      </c>
      <c r="E25" s="5">
        <v>12</v>
      </c>
      <c r="F25" s="5"/>
      <c r="G25">
        <v>3.1869999999999998</v>
      </c>
      <c r="H25" s="2"/>
      <c r="I25" s="3"/>
      <c r="K25">
        <f t="shared" si="8"/>
        <v>19</v>
      </c>
      <c r="L25" t="b">
        <v>1</v>
      </c>
      <c r="M25" t="s">
        <v>102</v>
      </c>
      <c r="N25" t="s">
        <v>19</v>
      </c>
      <c r="O25" s="5">
        <v>2.5</v>
      </c>
      <c r="P25" s="1">
        <v>40759</v>
      </c>
      <c r="Q25">
        <v>1.4205000000000001</v>
      </c>
      <c r="R25" s="2"/>
      <c r="S25" s="3"/>
      <c r="T25" s="3"/>
      <c r="U25" s="1">
        <v>40945</v>
      </c>
      <c r="V25" s="13">
        <v>3.0054794520547947</v>
      </c>
      <c r="W25" s="13">
        <v>0.9534137528488803</v>
      </c>
      <c r="X25" s="8"/>
      <c r="Z25" s="3"/>
      <c r="AB25" s="1"/>
      <c r="AL25">
        <v>2700</v>
      </c>
      <c r="AM25">
        <v>0.85551860018100001</v>
      </c>
      <c r="AN25">
        <f t="shared" si="6"/>
        <v>7.397260273972603</v>
      </c>
      <c r="AO25">
        <f t="shared" si="1"/>
        <v>0.83831347578405591</v>
      </c>
      <c r="AP25">
        <f t="shared" si="4"/>
        <v>-1.7205124396944105E-2</v>
      </c>
    </row>
    <row r="26" spans="1:42" x14ac:dyDescent="0.2">
      <c r="A26">
        <f t="shared" si="7"/>
        <v>20</v>
      </c>
      <c r="B26" t="b">
        <v>1</v>
      </c>
      <c r="C26" t="s">
        <v>111</v>
      </c>
      <c r="D26" t="s">
        <v>19</v>
      </c>
      <c r="E26" s="5">
        <v>15</v>
      </c>
      <c r="F26" s="5"/>
      <c r="G26">
        <v>3.5680000000000001</v>
      </c>
      <c r="H26" s="2"/>
      <c r="I26" s="3"/>
      <c r="K26">
        <f t="shared" si="8"/>
        <v>20</v>
      </c>
      <c r="L26" t="b">
        <v>1</v>
      </c>
      <c r="M26" t="s">
        <v>102</v>
      </c>
      <c r="N26" t="s">
        <v>19</v>
      </c>
      <c r="O26" s="5">
        <v>3</v>
      </c>
      <c r="P26" s="1">
        <v>40945</v>
      </c>
      <c r="Q26">
        <v>1.5860000000000001</v>
      </c>
      <c r="R26" s="2"/>
      <c r="S26" s="3"/>
      <c r="T26" s="3"/>
      <c r="U26" s="1">
        <v>41128</v>
      </c>
      <c r="V26" s="13">
        <v>3.506849315068493</v>
      </c>
      <c r="W26" s="13">
        <v>0.94256000921798411</v>
      </c>
      <c r="X26" s="8"/>
      <c r="Z26" s="3"/>
      <c r="AB26" s="1"/>
      <c r="AL26">
        <v>2880</v>
      </c>
      <c r="AM26">
        <v>0.84317490590699995</v>
      </c>
      <c r="AN26">
        <f t="shared" si="6"/>
        <v>7.8904109589041092</v>
      </c>
      <c r="AO26">
        <f t="shared" si="1"/>
        <v>0.8226085387375055</v>
      </c>
      <c r="AP26">
        <f t="shared" si="4"/>
        <v>-2.0566367169494448E-2</v>
      </c>
    </row>
    <row r="27" spans="1:42" x14ac:dyDescent="0.2">
      <c r="A27">
        <f t="shared" si="7"/>
        <v>21</v>
      </c>
      <c r="B27" t="b">
        <v>1</v>
      </c>
      <c r="C27" t="s">
        <v>112</v>
      </c>
      <c r="D27" t="s">
        <v>19</v>
      </c>
      <c r="E27" s="5">
        <v>20</v>
      </c>
      <c r="F27" s="5"/>
      <c r="G27">
        <v>3.7959999999999998</v>
      </c>
      <c r="H27" s="2"/>
      <c r="I27" s="3"/>
      <c r="K27">
        <f t="shared" si="8"/>
        <v>21</v>
      </c>
      <c r="L27" t="b">
        <v>1</v>
      </c>
      <c r="M27" t="s">
        <v>103</v>
      </c>
      <c r="N27" t="s">
        <v>19</v>
      </c>
      <c r="O27" s="5">
        <v>3.5</v>
      </c>
      <c r="P27" s="1">
        <v>41128</v>
      </c>
      <c r="Q27">
        <v>1.6844999999999999</v>
      </c>
      <c r="R27" s="2"/>
      <c r="S27" s="3"/>
      <c r="T27" s="3"/>
      <c r="U27" s="1">
        <v>41309</v>
      </c>
      <c r="V27" s="13">
        <v>4.0027397260273974</v>
      </c>
      <c r="W27" s="13">
        <v>0.93096986406692728</v>
      </c>
      <c r="X27" s="8"/>
      <c r="Z27" s="3"/>
      <c r="AB27" s="1"/>
      <c r="AL27">
        <v>3060</v>
      </c>
      <c r="AM27">
        <v>0.83055549421800001</v>
      </c>
      <c r="AN27">
        <f t="shared" si="6"/>
        <v>8.3835616438356162</v>
      </c>
      <c r="AO27">
        <f t="shared" si="1"/>
        <v>0.80553696237071115</v>
      </c>
      <c r="AP27">
        <f t="shared" si="4"/>
        <v>-2.5018531847288861E-2</v>
      </c>
    </row>
    <row r="28" spans="1:42" x14ac:dyDescent="0.2">
      <c r="A28">
        <f t="shared" si="7"/>
        <v>22</v>
      </c>
      <c r="B28" t="b">
        <v>1</v>
      </c>
      <c r="C28" t="s">
        <v>113</v>
      </c>
      <c r="D28" t="s">
        <v>19</v>
      </c>
      <c r="E28" s="5">
        <v>25</v>
      </c>
      <c r="F28" s="5"/>
      <c r="G28">
        <v>3.7040000000000002</v>
      </c>
      <c r="K28">
        <f t="shared" si="8"/>
        <v>22</v>
      </c>
      <c r="L28" t="b">
        <v>1</v>
      </c>
      <c r="M28" t="s">
        <v>103</v>
      </c>
      <c r="N28" t="s">
        <v>19</v>
      </c>
      <c r="O28" s="5">
        <v>4</v>
      </c>
      <c r="P28" s="1">
        <v>41309</v>
      </c>
      <c r="Q28">
        <v>1.7829999999999999</v>
      </c>
      <c r="R28" s="2"/>
      <c r="S28" s="3"/>
      <c r="T28" s="3"/>
      <c r="U28" s="1">
        <v>41492</v>
      </c>
      <c r="V28" s="13">
        <v>4.5041095890410956</v>
      </c>
      <c r="W28" s="13">
        <v>0.91937184489143819</v>
      </c>
      <c r="X28" s="8"/>
      <c r="Z28" s="3"/>
      <c r="AB28" s="1"/>
      <c r="AL28">
        <v>3240</v>
      </c>
      <c r="AM28">
        <v>0.81767254308699999</v>
      </c>
      <c r="AN28">
        <f t="shared" si="6"/>
        <v>8.8767123287671232</v>
      </c>
      <c r="AO28">
        <f t="shared" si="1"/>
        <v>0.78782194934727634</v>
      </c>
      <c r="AP28">
        <f t="shared" si="4"/>
        <v>-2.9850593739723652E-2</v>
      </c>
    </row>
    <row r="29" spans="1:42" x14ac:dyDescent="0.2">
      <c r="A29">
        <f t="shared" si="7"/>
        <v>23</v>
      </c>
      <c r="B29" t="b">
        <v>1</v>
      </c>
      <c r="C29" t="s">
        <v>114</v>
      </c>
      <c r="D29" t="s">
        <v>19</v>
      </c>
      <c r="E29" s="5">
        <v>30</v>
      </c>
      <c r="F29" s="5"/>
      <c r="G29">
        <v>3.6520000000000001</v>
      </c>
      <c r="K29">
        <f t="shared" si="8"/>
        <v>23</v>
      </c>
      <c r="L29" t="b">
        <v>1</v>
      </c>
      <c r="M29" t="s">
        <v>104</v>
      </c>
      <c r="N29" t="s">
        <v>19</v>
      </c>
      <c r="O29" s="5">
        <v>4.5</v>
      </c>
      <c r="P29" s="1">
        <v>41492</v>
      </c>
      <c r="Q29">
        <v>1.861</v>
      </c>
      <c r="U29" s="1">
        <v>41674</v>
      </c>
      <c r="V29" s="13">
        <v>5.0027397260273974</v>
      </c>
      <c r="W29" s="13">
        <v>0.90722107006428454</v>
      </c>
      <c r="X29" s="8"/>
      <c r="Z29" s="3"/>
      <c r="AB29" s="1"/>
      <c r="AL29">
        <v>3420</v>
      </c>
      <c r="AM29">
        <v>0.80453834907499999</v>
      </c>
      <c r="AN29">
        <f t="shared" si="6"/>
        <v>9.3698630136986303</v>
      </c>
      <c r="AO29">
        <f t="shared" si="1"/>
        <v>0.76944342390382636</v>
      </c>
      <c r="AP29">
        <f t="shared" si="4"/>
        <v>-3.509492517117363E-2</v>
      </c>
    </row>
    <row r="30" spans="1:42" x14ac:dyDescent="0.2">
      <c r="A30">
        <f t="shared" si="7"/>
        <v>24</v>
      </c>
      <c r="B30" t="b">
        <v>1</v>
      </c>
      <c r="C30" t="s">
        <v>115</v>
      </c>
      <c r="D30" t="s">
        <v>19</v>
      </c>
      <c r="E30" s="5">
        <v>35</v>
      </c>
      <c r="F30" s="5"/>
      <c r="G30">
        <v>3.6219999999999999</v>
      </c>
      <c r="K30">
        <f t="shared" si="8"/>
        <v>24</v>
      </c>
      <c r="L30" t="b">
        <v>1</v>
      </c>
      <c r="M30" t="s">
        <v>104</v>
      </c>
      <c r="N30" t="s">
        <v>19</v>
      </c>
      <c r="O30" s="5">
        <v>5</v>
      </c>
      <c r="P30" s="1">
        <v>41674</v>
      </c>
      <c r="Q30">
        <v>1.9390000000000001</v>
      </c>
      <c r="T30" s="3"/>
      <c r="U30" s="1">
        <v>41856</v>
      </c>
      <c r="V30" s="13">
        <v>5.5013698630136982</v>
      </c>
      <c r="W30" s="13">
        <v>0.89402654309199803</v>
      </c>
      <c r="X30" s="8"/>
      <c r="Z30" s="3"/>
      <c r="AB30" s="1"/>
      <c r="AL30">
        <v>3600</v>
      </c>
      <c r="AM30">
        <v>0.79116531111300004</v>
      </c>
      <c r="AN30">
        <f t="shared" si="6"/>
        <v>9.8630136986301373</v>
      </c>
      <c r="AO30">
        <f t="shared" si="1"/>
        <v>0.75042343103058262</v>
      </c>
      <c r="AP30">
        <f t="shared" si="4"/>
        <v>-4.0741880082417414E-2</v>
      </c>
    </row>
    <row r="31" spans="1:42" x14ac:dyDescent="0.2">
      <c r="A31">
        <f t="shared" si="7"/>
        <v>25</v>
      </c>
      <c r="E31" s="5"/>
      <c r="F31" s="5"/>
      <c r="K31">
        <f t="shared" si="8"/>
        <v>25</v>
      </c>
      <c r="L31" t="b">
        <v>1</v>
      </c>
      <c r="M31" t="s">
        <v>105</v>
      </c>
      <c r="N31" t="s">
        <v>19</v>
      </c>
      <c r="O31" s="5">
        <v>5.5</v>
      </c>
      <c r="P31" s="1">
        <v>41856</v>
      </c>
      <c r="Q31">
        <v>2.0259999999999998</v>
      </c>
      <c r="U31" s="1">
        <v>42039</v>
      </c>
      <c r="V31" s="13">
        <v>6.0027397260273974</v>
      </c>
      <c r="W31" s="13">
        <v>0.88015157903951025</v>
      </c>
      <c r="X31" s="8"/>
      <c r="Z31" s="3"/>
      <c r="AB31" s="1"/>
      <c r="AL31">
        <v>3780</v>
      </c>
      <c r="AM31">
        <v>0.77065683111500005</v>
      </c>
      <c r="AN31">
        <f t="shared" si="6"/>
        <v>10.356164383561644</v>
      </c>
      <c r="AO31">
        <f t="shared" si="1"/>
        <v>0.73234534313453015</v>
      </c>
      <c r="AP31">
        <f t="shared" si="4"/>
        <v>-3.8311487980469905E-2</v>
      </c>
    </row>
    <row r="32" spans="1:42" x14ac:dyDescent="0.2">
      <c r="A32">
        <f t="shared" si="7"/>
        <v>26</v>
      </c>
      <c r="E32" s="5"/>
      <c r="F32" s="5"/>
      <c r="K32">
        <f t="shared" si="8"/>
        <v>26</v>
      </c>
      <c r="L32" t="b">
        <v>1</v>
      </c>
      <c r="M32" t="s">
        <v>105</v>
      </c>
      <c r="N32" t="s">
        <v>19</v>
      </c>
      <c r="O32" s="5">
        <v>6</v>
      </c>
      <c r="P32" s="1">
        <v>42039</v>
      </c>
      <c r="Q32">
        <v>2.113</v>
      </c>
      <c r="U32" s="1">
        <v>42220</v>
      </c>
      <c r="V32" s="13">
        <v>6.4986301369863018</v>
      </c>
      <c r="W32" s="13">
        <v>0.86574158643686605</v>
      </c>
      <c r="X32" s="8"/>
      <c r="Z32" s="3"/>
      <c r="AB32" s="1"/>
      <c r="AL32">
        <v>3960</v>
      </c>
      <c r="AM32">
        <v>0.74947021727200003</v>
      </c>
      <c r="AN32">
        <f t="shared" si="6"/>
        <v>10.849315068493151</v>
      </c>
      <c r="AO32">
        <f t="shared" si="1"/>
        <v>0.7144904079952662</v>
      </c>
      <c r="AP32">
        <f t="shared" si="4"/>
        <v>-3.4979809276733831E-2</v>
      </c>
    </row>
    <row r="33" spans="1:42" x14ac:dyDescent="0.2">
      <c r="A33">
        <f t="shared" si="7"/>
        <v>27</v>
      </c>
      <c r="E33" s="5"/>
      <c r="F33" s="5"/>
      <c r="K33">
        <f t="shared" si="8"/>
        <v>27</v>
      </c>
      <c r="L33" t="b">
        <v>1</v>
      </c>
      <c r="M33" t="s">
        <v>106</v>
      </c>
      <c r="N33" t="s">
        <v>19</v>
      </c>
      <c r="O33" s="5">
        <v>6.5</v>
      </c>
      <c r="P33" s="1">
        <v>42220</v>
      </c>
      <c r="Q33">
        <v>2.2004999999999999</v>
      </c>
      <c r="U33" s="1">
        <v>42404</v>
      </c>
      <c r="V33" s="13">
        <v>7.0027397260273974</v>
      </c>
      <c r="W33" s="13">
        <v>0.85059222249246835</v>
      </c>
      <c r="X33" s="8"/>
      <c r="Z33" s="3"/>
      <c r="AB33" s="1"/>
      <c r="AL33">
        <v>4140</v>
      </c>
      <c r="AM33">
        <v>0.72765307340399998</v>
      </c>
      <c r="AN33">
        <f t="shared" si="6"/>
        <v>11.342465753424657</v>
      </c>
      <c r="AO33">
        <f t="shared" si="1"/>
        <v>0.69633783891269663</v>
      </c>
      <c r="AP33">
        <f t="shared" si="4"/>
        <v>-3.1315234491303356E-2</v>
      </c>
    </row>
    <row r="34" spans="1:42" x14ac:dyDescent="0.2">
      <c r="A34">
        <f t="shared" si="7"/>
        <v>28</v>
      </c>
      <c r="E34" s="5"/>
      <c r="F34" s="5"/>
      <c r="H34" s="2"/>
      <c r="I34" s="3"/>
      <c r="K34">
        <f t="shared" si="8"/>
        <v>28</v>
      </c>
      <c r="L34" t="b">
        <v>1</v>
      </c>
      <c r="M34" t="s">
        <v>106</v>
      </c>
      <c r="N34" t="s">
        <v>19</v>
      </c>
      <c r="O34" s="5">
        <v>7</v>
      </c>
      <c r="P34" s="1">
        <v>42404</v>
      </c>
      <c r="Q34">
        <v>2.2879999999999998</v>
      </c>
      <c r="U34" s="1">
        <v>42586</v>
      </c>
      <c r="V34" s="13">
        <v>7.5013698630136982</v>
      </c>
      <c r="W34" s="13">
        <v>0.83502234657085728</v>
      </c>
      <c r="X34" s="8"/>
      <c r="Z34" s="3"/>
      <c r="AB34" s="1"/>
      <c r="AL34">
        <v>4320</v>
      </c>
      <c r="AM34">
        <v>0.70525387655399996</v>
      </c>
      <c r="AN34">
        <f t="shared" si="6"/>
        <v>11.835616438356164</v>
      </c>
      <c r="AO34">
        <f t="shared" si="1"/>
        <v>0.67798477014558156</v>
      </c>
      <c r="AP34">
        <f t="shared" si="4"/>
        <v>-2.7269106408418398E-2</v>
      </c>
    </row>
    <row r="35" spans="1:42" x14ac:dyDescent="0.2">
      <c r="A35">
        <f t="shared" si="7"/>
        <v>29</v>
      </c>
      <c r="E35" s="5"/>
      <c r="F35" s="5"/>
      <c r="H35" s="2"/>
      <c r="I35" s="3"/>
      <c r="K35">
        <f t="shared" si="8"/>
        <v>29</v>
      </c>
      <c r="L35" t="b">
        <v>1</v>
      </c>
      <c r="M35" t="s">
        <v>107</v>
      </c>
      <c r="N35" t="s">
        <v>19</v>
      </c>
      <c r="O35" s="5">
        <v>7.5</v>
      </c>
      <c r="P35" s="1">
        <v>42586</v>
      </c>
      <c r="Q35">
        <v>2.375</v>
      </c>
      <c r="U35" s="1">
        <v>42772</v>
      </c>
      <c r="V35" s="13">
        <v>8.0109589041095894</v>
      </c>
      <c r="W35" s="13">
        <v>0.81870738449778879</v>
      </c>
      <c r="X35" s="8"/>
      <c r="Z35" s="3"/>
      <c r="AB35" s="1"/>
      <c r="AL35">
        <v>4500</v>
      </c>
      <c r="AM35">
        <v>0.69240941005699996</v>
      </c>
      <c r="AN35">
        <f t="shared" si="6"/>
        <v>12.328767123287671</v>
      </c>
      <c r="AO35">
        <f t="shared" si="1"/>
        <v>0.66048501233001966</v>
      </c>
      <c r="AP35">
        <f t="shared" si="4"/>
        <v>-3.1924397726980303E-2</v>
      </c>
    </row>
    <row r="36" spans="1:42" x14ac:dyDescent="0.2">
      <c r="A36">
        <f t="shared" si="7"/>
        <v>30</v>
      </c>
      <c r="E36" s="5"/>
      <c r="F36" s="5"/>
      <c r="H36" s="2"/>
      <c r="I36" s="3"/>
      <c r="K36">
        <f t="shared" si="8"/>
        <v>30</v>
      </c>
      <c r="L36" t="b">
        <v>1</v>
      </c>
      <c r="M36" t="s">
        <v>107</v>
      </c>
      <c r="N36" t="s">
        <v>19</v>
      </c>
      <c r="O36" s="5">
        <v>8</v>
      </c>
      <c r="P36" s="1">
        <v>42772</v>
      </c>
      <c r="Q36">
        <v>2.4620000000000002</v>
      </c>
      <c r="U36" s="1">
        <v>42951</v>
      </c>
      <c r="V36" s="13">
        <v>8.5013698630136982</v>
      </c>
      <c r="W36" s="13">
        <v>0.80131455617068692</v>
      </c>
      <c r="X36" s="8"/>
      <c r="Z36" s="3"/>
      <c r="AB36" s="1"/>
      <c r="AL36">
        <v>4680</v>
      </c>
      <c r="AM36">
        <v>0.67954933568200004</v>
      </c>
      <c r="AN36">
        <f t="shared" si="6"/>
        <v>12.821917808219178</v>
      </c>
      <c r="AO36">
        <f t="shared" si="1"/>
        <v>0.64347262557217522</v>
      </c>
      <c r="AP36">
        <f t="shared" si="4"/>
        <v>-3.6076710109824828E-2</v>
      </c>
    </row>
    <row r="37" spans="1:42" x14ac:dyDescent="0.2">
      <c r="A37">
        <f t="shared" si="7"/>
        <v>31</v>
      </c>
      <c r="E37" s="5"/>
      <c r="F37" s="5"/>
      <c r="H37" s="2"/>
      <c r="I37" s="3"/>
      <c r="K37">
        <f t="shared" si="8"/>
        <v>31</v>
      </c>
      <c r="L37" t="b">
        <v>1</v>
      </c>
      <c r="M37" t="s">
        <v>108</v>
      </c>
      <c r="N37" t="s">
        <v>19</v>
      </c>
      <c r="O37" s="5">
        <v>8.5</v>
      </c>
      <c r="P37" s="1">
        <v>42951</v>
      </c>
      <c r="Q37">
        <v>2.5615000000000001</v>
      </c>
      <c r="U37" s="1">
        <v>43136</v>
      </c>
      <c r="V37" s="13">
        <v>9.0082191780821912</v>
      </c>
      <c r="W37" s="13">
        <v>0.78303572727573223</v>
      </c>
      <c r="X37" s="8"/>
      <c r="Z37" s="3"/>
      <c r="AB37" s="1"/>
      <c r="AL37">
        <v>4860</v>
      </c>
      <c r="AM37">
        <v>0.66667936131000005</v>
      </c>
      <c r="AN37">
        <f t="shared" si="6"/>
        <v>13.315068493150685</v>
      </c>
      <c r="AO37">
        <f t="shared" si="1"/>
        <v>0.62631605217256225</v>
      </c>
      <c r="AP37">
        <f t="shared" si="4"/>
        <v>-4.0363309137437797E-2</v>
      </c>
    </row>
    <row r="38" spans="1:42" x14ac:dyDescent="0.2">
      <c r="A38">
        <f t="shared" si="7"/>
        <v>32</v>
      </c>
      <c r="E38" s="5"/>
      <c r="F38" s="5"/>
      <c r="H38" s="2"/>
      <c r="I38" s="3"/>
      <c r="K38">
        <f t="shared" si="8"/>
        <v>32</v>
      </c>
      <c r="L38" t="b">
        <v>1</v>
      </c>
      <c r="M38" t="s">
        <v>108</v>
      </c>
      <c r="N38" t="s">
        <v>19</v>
      </c>
      <c r="O38" s="5">
        <v>9</v>
      </c>
      <c r="P38" s="1">
        <v>43136</v>
      </c>
      <c r="Q38">
        <v>2.661</v>
      </c>
      <c r="U38" s="1">
        <v>43319</v>
      </c>
      <c r="V38" s="13">
        <v>9.5095890410958912</v>
      </c>
      <c r="W38" s="13">
        <v>0.76413374158357128</v>
      </c>
      <c r="X38" s="8"/>
      <c r="Z38" s="3"/>
      <c r="AB38" s="1"/>
      <c r="AL38">
        <v>5040</v>
      </c>
      <c r="AM38">
        <v>0.65380511827599996</v>
      </c>
      <c r="AN38">
        <f t="shared" si="6"/>
        <v>13.808219178082192</v>
      </c>
      <c r="AO38">
        <f t="shared" si="1"/>
        <v>0.60913813393955929</v>
      </c>
      <c r="AP38">
        <f t="shared" si="4"/>
        <v>-4.4666984336440674E-2</v>
      </c>
    </row>
    <row r="39" spans="1:42" x14ac:dyDescent="0.2">
      <c r="E39" s="1"/>
      <c r="F39" s="1"/>
      <c r="H39" s="2"/>
      <c r="I39" s="3"/>
      <c r="K39">
        <f t="shared" si="8"/>
        <v>33</v>
      </c>
      <c r="L39" t="b">
        <v>1</v>
      </c>
      <c r="M39" t="s">
        <v>109</v>
      </c>
      <c r="N39" t="s">
        <v>19</v>
      </c>
      <c r="O39" s="5">
        <v>9.5</v>
      </c>
      <c r="P39" s="1">
        <v>43319</v>
      </c>
      <c r="Q39">
        <v>2.7629999999999999</v>
      </c>
      <c r="U39" s="1">
        <v>43500</v>
      </c>
      <c r="V39" s="13">
        <v>10.005479452054795</v>
      </c>
      <c r="W39" s="13">
        <v>0.74484421395694922</v>
      </c>
      <c r="X39" s="8"/>
      <c r="Z39" s="3"/>
      <c r="AB39" s="1"/>
      <c r="AL39">
        <v>5220</v>
      </c>
      <c r="AM39">
        <v>0.64093215848399998</v>
      </c>
      <c r="AN39">
        <f t="shared" si="6"/>
        <v>14.301369863013699</v>
      </c>
      <c r="AO39">
        <f t="shared" ref="AO39:AO70" si="9">dfinterpt(AN39,DfVector,DfTime)</f>
        <v>0.59179438055280753</v>
      </c>
      <c r="AP39">
        <f t="shared" si="4"/>
        <v>-4.913777793119245E-2</v>
      </c>
    </row>
    <row r="40" spans="1:42" x14ac:dyDescent="0.2">
      <c r="E40" s="1"/>
      <c r="F40" s="1"/>
      <c r="H40" s="2"/>
      <c r="I40" s="3"/>
      <c r="K40">
        <f t="shared" si="8"/>
        <v>34</v>
      </c>
      <c r="L40" t="b">
        <v>1</v>
      </c>
      <c r="M40" t="s">
        <v>109</v>
      </c>
      <c r="N40" t="s">
        <v>19</v>
      </c>
      <c r="O40" s="5">
        <v>10</v>
      </c>
      <c r="P40" s="1">
        <v>43500</v>
      </c>
      <c r="Q40">
        <v>2.8650000000000002</v>
      </c>
      <c r="U40" s="1">
        <v>43683</v>
      </c>
      <c r="V40" s="13">
        <v>10.506849315068493</v>
      </c>
      <c r="W40" s="13">
        <v>0.72693958106232492</v>
      </c>
      <c r="X40" s="8"/>
      <c r="Z40" s="3"/>
      <c r="AB40" s="1"/>
      <c r="AL40">
        <v>5400</v>
      </c>
      <c r="AM40">
        <v>0.62806595162300005</v>
      </c>
      <c r="AN40">
        <f t="shared" si="6"/>
        <v>14.794520547945206</v>
      </c>
      <c r="AO40">
        <f t="shared" si="9"/>
        <v>0.57441447294236458</v>
      </c>
      <c r="AP40">
        <f t="shared" si="4"/>
        <v>-5.3651478680635467E-2</v>
      </c>
    </row>
    <row r="41" spans="1:42" x14ac:dyDescent="0.2">
      <c r="E41" s="1"/>
      <c r="F41" s="1"/>
      <c r="H41" s="2"/>
      <c r="I41" s="3"/>
      <c r="K41">
        <f t="shared" si="8"/>
        <v>35</v>
      </c>
      <c r="L41" t="b">
        <v>1</v>
      </c>
      <c r="M41" t="s">
        <v>110</v>
      </c>
      <c r="N41" t="s">
        <v>19</v>
      </c>
      <c r="O41" s="5">
        <v>10.5</v>
      </c>
      <c r="P41" s="1">
        <v>43683</v>
      </c>
      <c r="Q41">
        <v>2.9455</v>
      </c>
      <c r="R41" s="2"/>
      <c r="S41" s="3"/>
      <c r="T41" s="3"/>
      <c r="U41" s="1">
        <v>43865</v>
      </c>
      <c r="V41" s="13">
        <v>11.005479452054795</v>
      </c>
      <c r="W41" s="13">
        <v>0.70878239047407043</v>
      </c>
      <c r="X41" s="8"/>
      <c r="Z41" s="3"/>
      <c r="AB41" s="1"/>
      <c r="AL41">
        <v>5580</v>
      </c>
      <c r="AM41">
        <v>0.61590169888500002</v>
      </c>
      <c r="AN41">
        <f t="shared" si="6"/>
        <v>15.287671232876713</v>
      </c>
      <c r="AO41">
        <f t="shared" si="9"/>
        <v>0.55978044522203785</v>
      </c>
      <c r="AP41">
        <f t="shared" si="4"/>
        <v>-5.6121253662962167E-2</v>
      </c>
    </row>
    <row r="42" spans="1:42" x14ac:dyDescent="0.2">
      <c r="E42" s="1"/>
      <c r="F42" s="1"/>
      <c r="H42" s="2"/>
      <c r="I42" s="3"/>
      <c r="K42">
        <f t="shared" si="8"/>
        <v>36</v>
      </c>
      <c r="L42" t="b">
        <v>1</v>
      </c>
      <c r="M42" t="s">
        <v>110</v>
      </c>
      <c r="N42" t="s">
        <v>19</v>
      </c>
      <c r="O42" s="5">
        <v>11</v>
      </c>
      <c r="P42" s="1">
        <v>43865</v>
      </c>
      <c r="Q42">
        <v>3.0259999999999998</v>
      </c>
      <c r="R42" s="2"/>
      <c r="S42" s="3"/>
      <c r="T42" s="3"/>
      <c r="U42" s="1">
        <v>44047</v>
      </c>
      <c r="V42" s="13">
        <v>11.504109589041096</v>
      </c>
      <c r="W42" s="13">
        <v>0.69034183643805891</v>
      </c>
      <c r="X42" s="8"/>
      <c r="Z42" s="3"/>
      <c r="AB42" s="1"/>
      <c r="AL42">
        <v>5760</v>
      </c>
      <c r="AM42">
        <v>0.603776919937</v>
      </c>
      <c r="AN42">
        <f t="shared" si="6"/>
        <v>15.780821917808218</v>
      </c>
      <c r="AO42">
        <f t="shared" si="9"/>
        <v>0.5472918787503499</v>
      </c>
      <c r="AP42">
        <f t="shared" si="4"/>
        <v>-5.6485041186650098E-2</v>
      </c>
    </row>
    <row r="43" spans="1:42" x14ac:dyDescent="0.2">
      <c r="E43" s="1"/>
      <c r="F43" s="5"/>
      <c r="G43" s="5"/>
      <c r="H43" s="17"/>
      <c r="I43" s="3"/>
      <c r="K43">
        <f t="shared" si="8"/>
        <v>37</v>
      </c>
      <c r="L43" t="b">
        <v>1</v>
      </c>
      <c r="M43" t="s">
        <v>110</v>
      </c>
      <c r="N43" t="s">
        <v>19</v>
      </c>
      <c r="O43" s="5">
        <v>11.5</v>
      </c>
      <c r="P43" s="1">
        <v>44047</v>
      </c>
      <c r="Q43">
        <v>3.1065</v>
      </c>
      <c r="R43" s="2"/>
      <c r="S43" s="3"/>
      <c r="T43" s="3"/>
      <c r="U43" s="1">
        <v>44231</v>
      </c>
      <c r="V43" s="13">
        <v>12.008219178082191</v>
      </c>
      <c r="W43" s="13">
        <v>0.67152877539232014</v>
      </c>
      <c r="X43" s="8"/>
      <c r="Z43" s="3"/>
      <c r="AB43" s="1"/>
      <c r="AL43">
        <v>5940</v>
      </c>
      <c r="AM43">
        <v>0.59169520926600006</v>
      </c>
      <c r="AN43">
        <f t="shared" si="6"/>
        <v>16.273972602739725</v>
      </c>
      <c r="AO43">
        <f t="shared" si="9"/>
        <v>0.53489601088332361</v>
      </c>
      <c r="AP43">
        <f t="shared" si="4"/>
        <v>-5.6799198382676441E-2</v>
      </c>
    </row>
    <row r="44" spans="1:42" x14ac:dyDescent="0.2">
      <c r="E44" s="1"/>
      <c r="F44" s="5"/>
      <c r="G44" s="5"/>
      <c r="H44" s="17"/>
      <c r="I44" s="3"/>
      <c r="K44">
        <f t="shared" si="8"/>
        <v>38</v>
      </c>
      <c r="L44" t="b">
        <v>1</v>
      </c>
      <c r="M44" t="s">
        <v>110</v>
      </c>
      <c r="N44" t="s">
        <v>19</v>
      </c>
      <c r="O44" s="5">
        <v>12</v>
      </c>
      <c r="P44" s="1">
        <v>44231</v>
      </c>
      <c r="Q44">
        <v>3.1869999999999998</v>
      </c>
      <c r="R44" s="2"/>
      <c r="S44" s="3"/>
      <c r="T44" s="3"/>
      <c r="U44" s="1">
        <v>44412</v>
      </c>
      <c r="V44" s="13">
        <v>12.504109589041096</v>
      </c>
      <c r="W44" s="13">
        <v>0.65443529795282718</v>
      </c>
      <c r="X44" s="8"/>
      <c r="Z44" s="3"/>
      <c r="AB44" s="1"/>
      <c r="AL44">
        <v>6120</v>
      </c>
      <c r="AM44">
        <v>0.57966008714100004</v>
      </c>
      <c r="AN44">
        <f t="shared" si="6"/>
        <v>16.767123287671232</v>
      </c>
      <c r="AO44">
        <f t="shared" si="9"/>
        <v>0.52261090461191473</v>
      </c>
      <c r="AP44">
        <f t="shared" si="4"/>
        <v>-5.7049182529085307E-2</v>
      </c>
    </row>
    <row r="45" spans="1:42" x14ac:dyDescent="0.2">
      <c r="E45" s="1"/>
      <c r="F45" s="5"/>
      <c r="G45" s="5"/>
      <c r="H45" s="17"/>
      <c r="I45" s="3"/>
      <c r="K45">
        <f t="shared" si="8"/>
        <v>39</v>
      </c>
      <c r="L45" t="b">
        <v>1</v>
      </c>
      <c r="M45" t="s">
        <v>111</v>
      </c>
      <c r="N45" t="s">
        <v>19</v>
      </c>
      <c r="O45" s="5">
        <v>12.5</v>
      </c>
      <c r="P45" s="1">
        <v>44412</v>
      </c>
      <c r="Q45">
        <v>3.2504999999999997</v>
      </c>
      <c r="R45" s="2"/>
      <c r="S45" s="3"/>
      <c r="T45" s="3"/>
      <c r="U45" s="1">
        <v>44596</v>
      </c>
      <c r="V45" s="13">
        <v>13.008219178082191</v>
      </c>
      <c r="W45" s="13">
        <v>0.63704198826354796</v>
      </c>
      <c r="X45" s="8"/>
      <c r="Z45" s="3"/>
      <c r="AB45" s="1"/>
      <c r="AL45">
        <v>6300</v>
      </c>
      <c r="AM45">
        <v>0.56767499872600002</v>
      </c>
      <c r="AN45">
        <f t="shared" si="6"/>
        <v>17.260273972602739</v>
      </c>
      <c r="AO45">
        <f t="shared" si="9"/>
        <v>0.51042140070374731</v>
      </c>
      <c r="AP45">
        <f t="shared" si="4"/>
        <v>-5.7253598022252716E-2</v>
      </c>
    </row>
    <row r="46" spans="1:42" x14ac:dyDescent="0.2">
      <c r="D46" s="1"/>
      <c r="F46" s="5"/>
      <c r="G46" s="5"/>
      <c r="H46" s="17"/>
      <c r="K46">
        <f t="shared" si="8"/>
        <v>40</v>
      </c>
      <c r="L46" t="b">
        <v>1</v>
      </c>
      <c r="M46" t="s">
        <v>111</v>
      </c>
      <c r="N46" t="s">
        <v>19</v>
      </c>
      <c r="O46" s="5">
        <v>13</v>
      </c>
      <c r="P46" s="1">
        <v>44596</v>
      </c>
      <c r="Q46">
        <v>3.3140000000000001</v>
      </c>
      <c r="R46" s="2"/>
      <c r="S46" s="3"/>
      <c r="T46" s="3"/>
      <c r="U46" s="1">
        <v>44777</v>
      </c>
      <c r="V46" s="13">
        <v>13.504109589041096</v>
      </c>
      <c r="W46" s="13">
        <v>0.61970799844886515</v>
      </c>
      <c r="X46" s="8"/>
      <c r="Z46" s="3"/>
      <c r="AB46" s="1"/>
      <c r="AL46">
        <v>6480</v>
      </c>
      <c r="AM46">
        <v>0.55574331324500004</v>
      </c>
      <c r="AN46">
        <f t="shared" si="6"/>
        <v>17.753424657534246</v>
      </c>
      <c r="AO46">
        <f t="shared" si="9"/>
        <v>0.49834697583253096</v>
      </c>
      <c r="AP46">
        <f t="shared" si="4"/>
        <v>-5.7396337412469078E-2</v>
      </c>
    </row>
    <row r="47" spans="1:42" x14ac:dyDescent="0.2">
      <c r="D47" s="1"/>
      <c r="E47" s="1"/>
      <c r="F47" s="5"/>
      <c r="G47" s="5"/>
      <c r="H47" s="17"/>
      <c r="I47" s="3"/>
      <c r="K47">
        <f t="shared" si="8"/>
        <v>41</v>
      </c>
      <c r="L47" t="b">
        <v>1</v>
      </c>
      <c r="M47" t="s">
        <v>111</v>
      </c>
      <c r="N47" t="s">
        <v>19</v>
      </c>
      <c r="O47" s="5">
        <v>13.5</v>
      </c>
      <c r="P47" s="1">
        <v>44777</v>
      </c>
      <c r="Q47">
        <v>3.3774999999999999</v>
      </c>
      <c r="R47" s="2"/>
      <c r="S47" s="3"/>
      <c r="T47" s="3"/>
      <c r="U47" s="1">
        <v>44963</v>
      </c>
      <c r="V47" s="13">
        <v>14.013698630136986</v>
      </c>
      <c r="W47" s="13">
        <v>0.60200208913933539</v>
      </c>
      <c r="X47" s="8"/>
      <c r="Z47" s="3"/>
      <c r="AB47" s="1"/>
      <c r="AL47">
        <v>6660</v>
      </c>
      <c r="AM47">
        <v>0.54386832322000001</v>
      </c>
      <c r="AN47">
        <f t="shared" si="6"/>
        <v>18.246575342465754</v>
      </c>
      <c r="AO47">
        <f t="shared" si="9"/>
        <v>0.48638247926517886</v>
      </c>
      <c r="AP47">
        <f t="shared" si="4"/>
        <v>-5.7485843954821148E-2</v>
      </c>
    </row>
    <row r="48" spans="1:42" x14ac:dyDescent="0.2">
      <c r="E48" s="1"/>
      <c r="F48" s="5"/>
      <c r="G48" s="5"/>
      <c r="H48" s="17"/>
      <c r="I48" s="3"/>
      <c r="K48">
        <f t="shared" si="8"/>
        <v>42</v>
      </c>
      <c r="L48" t="b">
        <v>1</v>
      </c>
      <c r="M48" t="s">
        <v>111</v>
      </c>
      <c r="N48" t="s">
        <v>19</v>
      </c>
      <c r="O48" s="5">
        <v>14</v>
      </c>
      <c r="P48" s="1">
        <v>44963</v>
      </c>
      <c r="Q48">
        <v>3.4409999999999998</v>
      </c>
      <c r="R48" s="2"/>
      <c r="S48" s="3"/>
      <c r="T48" s="3"/>
      <c r="U48" s="1">
        <v>45142</v>
      </c>
      <c r="V48" s="13">
        <v>14.504109589041096</v>
      </c>
      <c r="W48" s="13">
        <v>0.58461008720971075</v>
      </c>
      <c r="X48" s="8"/>
      <c r="Z48" s="3"/>
      <c r="AB48" s="1"/>
      <c r="AL48">
        <v>6840</v>
      </c>
      <c r="AM48">
        <v>0.53205324377399998</v>
      </c>
      <c r="AN48">
        <f t="shared" si="6"/>
        <v>18.739726027397261</v>
      </c>
      <c r="AO48">
        <f t="shared" si="9"/>
        <v>0.4745259587058549</v>
      </c>
      <c r="AP48">
        <f t="shared" si="4"/>
        <v>-5.7527285068145084E-2</v>
      </c>
    </row>
    <row r="49" spans="5:42" x14ac:dyDescent="0.2">
      <c r="E49" s="1"/>
      <c r="F49" s="5"/>
      <c r="G49" s="5"/>
      <c r="H49" s="17"/>
      <c r="I49" s="3"/>
      <c r="K49">
        <f t="shared" si="8"/>
        <v>43</v>
      </c>
      <c r="L49" t="b">
        <v>1</v>
      </c>
      <c r="M49" t="s">
        <v>111</v>
      </c>
      <c r="N49" t="s">
        <v>19</v>
      </c>
      <c r="O49" s="5">
        <v>14.5</v>
      </c>
      <c r="P49" s="1">
        <v>45142</v>
      </c>
      <c r="Q49">
        <v>3.5045000000000002</v>
      </c>
      <c r="R49" s="2"/>
      <c r="S49" s="3"/>
      <c r="T49" s="3"/>
      <c r="U49" s="1">
        <v>45327</v>
      </c>
      <c r="V49" s="13">
        <v>15.010958904109589</v>
      </c>
      <c r="W49" s="13">
        <v>0.56683258661523339</v>
      </c>
      <c r="X49" s="8"/>
      <c r="Z49" s="3"/>
      <c r="AB49" s="1"/>
      <c r="AL49">
        <v>7020</v>
      </c>
      <c r="AM49">
        <v>0.52030121199500001</v>
      </c>
      <c r="AN49">
        <f t="shared" si="6"/>
        <v>19.232876712328768</v>
      </c>
      <c r="AO49">
        <f t="shared" si="9"/>
        <v>0.46279426967444731</v>
      </c>
      <c r="AP49">
        <f t="shared" si="4"/>
        <v>-5.7506942320552701E-2</v>
      </c>
    </row>
    <row r="50" spans="5:42" x14ac:dyDescent="0.2">
      <c r="E50" s="1"/>
      <c r="F50" s="5"/>
      <c r="G50" s="5"/>
      <c r="H50" s="17"/>
      <c r="I50" s="3"/>
      <c r="K50">
        <f t="shared" si="8"/>
        <v>44</v>
      </c>
      <c r="L50" t="b">
        <v>1</v>
      </c>
      <c r="M50" t="s">
        <v>111</v>
      </c>
      <c r="N50" t="s">
        <v>19</v>
      </c>
      <c r="O50" s="5">
        <v>15</v>
      </c>
      <c r="P50" s="1">
        <v>45327</v>
      </c>
      <c r="Q50">
        <v>3.5680000000000001</v>
      </c>
      <c r="R50" s="2"/>
      <c r="S50" s="3"/>
      <c r="T50" s="3"/>
      <c r="U50" s="1">
        <v>45510</v>
      </c>
      <c r="V50" s="13">
        <v>15.512328767123288</v>
      </c>
      <c r="W50" s="13">
        <v>0.55408921567463876</v>
      </c>
      <c r="X50" s="8"/>
      <c r="Z50" s="3"/>
      <c r="AB50" s="1"/>
      <c r="AL50">
        <v>7200</v>
      </c>
      <c r="AM50">
        <v>0.50861528636700004</v>
      </c>
      <c r="AN50">
        <f t="shared" si="6"/>
        <v>19.726027397260275</v>
      </c>
      <c r="AO50">
        <f t="shared" si="9"/>
        <v>0.45625677297105927</v>
      </c>
      <c r="AP50">
        <f t="shared" si="4"/>
        <v>-5.2358513395940776E-2</v>
      </c>
    </row>
    <row r="51" spans="5:42" x14ac:dyDescent="0.2">
      <c r="E51" s="1"/>
      <c r="F51" s="5"/>
      <c r="G51" s="5"/>
      <c r="H51" s="17"/>
      <c r="I51" s="3"/>
      <c r="K51">
        <f t="shared" si="8"/>
        <v>45</v>
      </c>
      <c r="L51" t="b">
        <v>1</v>
      </c>
      <c r="M51" t="s">
        <v>112</v>
      </c>
      <c r="N51" t="s">
        <v>19</v>
      </c>
      <c r="O51" s="5">
        <v>15.5</v>
      </c>
      <c r="P51" s="1">
        <v>45510</v>
      </c>
      <c r="Q51">
        <v>3.5908000000000002</v>
      </c>
      <c r="R51" s="2"/>
      <c r="S51" s="3"/>
      <c r="T51" s="3"/>
      <c r="U51" s="1">
        <v>45692</v>
      </c>
      <c r="V51" s="13">
        <v>16.010958904109589</v>
      </c>
      <c r="W51" s="13">
        <v>0.54150084614637206</v>
      </c>
      <c r="X51" s="8"/>
      <c r="Z51" s="3"/>
      <c r="AB51" s="1"/>
      <c r="AL51">
        <v>7380</v>
      </c>
      <c r="AM51">
        <v>0.49923451052500001</v>
      </c>
      <c r="AN51">
        <f t="shared" si="6"/>
        <v>20.219178082191782</v>
      </c>
      <c r="AO51">
        <f t="shared" si="9"/>
        <v>0.45625677297105927</v>
      </c>
      <c r="AP51">
        <f t="shared" si="4"/>
        <v>-4.2977737553940742E-2</v>
      </c>
    </row>
    <row r="52" spans="5:42" x14ac:dyDescent="0.2">
      <c r="E52" s="1"/>
      <c r="F52" s="5"/>
      <c r="G52" s="5"/>
      <c r="H52" s="17"/>
      <c r="I52" s="3"/>
      <c r="K52">
        <f t="shared" si="8"/>
        <v>46</v>
      </c>
      <c r="L52" t="b">
        <v>1</v>
      </c>
      <c r="M52" t="s">
        <v>112</v>
      </c>
      <c r="N52" t="s">
        <v>19</v>
      </c>
      <c r="O52" s="5">
        <v>16</v>
      </c>
      <c r="P52" s="1">
        <v>45692</v>
      </c>
      <c r="Q52">
        <v>3.6135999999999999</v>
      </c>
      <c r="R52" s="2"/>
      <c r="S52" s="3"/>
      <c r="T52" s="3"/>
      <c r="U52" s="1">
        <v>45874</v>
      </c>
      <c r="V52" s="13">
        <v>16.509589041095889</v>
      </c>
      <c r="W52" s="13">
        <v>0.52901573503837074</v>
      </c>
      <c r="X52" s="8"/>
      <c r="Z52" s="3"/>
      <c r="AB52" s="1"/>
      <c r="AL52">
        <v>7560</v>
      </c>
      <c r="AM52">
        <v>0.48995982080599998</v>
      </c>
      <c r="AN52">
        <f t="shared" si="6"/>
        <v>20.712328767123289</v>
      </c>
      <c r="AO52">
        <f t="shared" si="9"/>
        <v>0.45625677297105927</v>
      </c>
      <c r="AP52">
        <f t="shared" si="4"/>
        <v>-3.3703047834940714E-2</v>
      </c>
    </row>
    <row r="53" spans="5:42" x14ac:dyDescent="0.2">
      <c r="E53" s="1"/>
      <c r="F53" s="5"/>
      <c r="G53" s="5"/>
      <c r="H53" s="17"/>
      <c r="I53" s="3"/>
      <c r="K53">
        <f t="shared" si="8"/>
        <v>47</v>
      </c>
      <c r="L53" t="b">
        <v>1</v>
      </c>
      <c r="M53" t="s">
        <v>112</v>
      </c>
      <c r="N53" t="s">
        <v>19</v>
      </c>
      <c r="O53" s="5">
        <v>16.5</v>
      </c>
      <c r="P53" s="1">
        <v>45874</v>
      </c>
      <c r="Q53">
        <v>3.6364000000000001</v>
      </c>
      <c r="R53" s="2"/>
      <c r="S53" s="3"/>
      <c r="T53" s="3"/>
      <c r="U53" s="1">
        <v>46057</v>
      </c>
      <c r="V53" s="13">
        <v>17.010958904109589</v>
      </c>
      <c r="W53" s="13">
        <v>0.5165853532331568</v>
      </c>
      <c r="X53" s="8"/>
      <c r="Z53" s="3"/>
      <c r="AB53" s="1"/>
      <c r="AL53">
        <v>7740</v>
      </c>
      <c r="AM53">
        <v>0.48079072525200001</v>
      </c>
      <c r="AN53">
        <f t="shared" si="6"/>
        <v>21.205479452054796</v>
      </c>
      <c r="AO53">
        <f t="shared" si="9"/>
        <v>0.45625677297105927</v>
      </c>
      <c r="AP53">
        <f t="shared" si="4"/>
        <v>-2.4533952280940741E-2</v>
      </c>
    </row>
    <row r="54" spans="5:42" x14ac:dyDescent="0.2">
      <c r="E54" s="1"/>
      <c r="F54" s="5"/>
      <c r="G54" s="5"/>
      <c r="H54" s="17"/>
      <c r="I54" s="3"/>
      <c r="K54">
        <f t="shared" si="8"/>
        <v>48</v>
      </c>
      <c r="L54" t="b">
        <v>1</v>
      </c>
      <c r="M54" t="s">
        <v>112</v>
      </c>
      <c r="N54" t="s">
        <v>19</v>
      </c>
      <c r="O54" s="5">
        <v>17</v>
      </c>
      <c r="P54" s="1">
        <v>46057</v>
      </c>
      <c r="Q54">
        <v>3.6591999999999998</v>
      </c>
      <c r="R54" s="2"/>
      <c r="S54" s="3"/>
      <c r="T54" s="3"/>
      <c r="U54" s="1">
        <v>46238</v>
      </c>
      <c r="V54" s="13">
        <v>17.506849315068493</v>
      </c>
      <c r="W54" s="13">
        <v>0.50436423174929823</v>
      </c>
      <c r="X54" s="8"/>
      <c r="Z54" s="3"/>
      <c r="AB54" s="1"/>
      <c r="AL54">
        <v>7920</v>
      </c>
      <c r="AM54">
        <v>0.47172672157200002</v>
      </c>
      <c r="AN54">
        <f t="shared" si="6"/>
        <v>21.698630136986303</v>
      </c>
      <c r="AO54">
        <f t="shared" si="9"/>
        <v>0.45625677297105927</v>
      </c>
      <c r="AP54">
        <f t="shared" si="4"/>
        <v>-1.5469948600940753E-2</v>
      </c>
    </row>
    <row r="55" spans="5:42" x14ac:dyDescent="0.2">
      <c r="E55" s="1"/>
      <c r="F55" s="5"/>
      <c r="G55" s="5"/>
      <c r="H55" s="17"/>
      <c r="I55" s="3"/>
      <c r="K55">
        <f t="shared" si="8"/>
        <v>49</v>
      </c>
      <c r="L55" t="b">
        <v>1</v>
      </c>
      <c r="M55" t="s">
        <v>112</v>
      </c>
      <c r="N55" t="s">
        <v>19</v>
      </c>
      <c r="O55" s="5">
        <v>17.5</v>
      </c>
      <c r="P55" s="1">
        <v>46238</v>
      </c>
      <c r="Q55">
        <v>3.6819999999999999</v>
      </c>
      <c r="R55" s="2"/>
      <c r="S55" s="3"/>
      <c r="T55" s="3"/>
      <c r="U55" s="1">
        <v>46422</v>
      </c>
      <c r="V55" s="13">
        <v>18.010958904109589</v>
      </c>
      <c r="W55" s="13">
        <v>0.49210444624821204</v>
      </c>
      <c r="X55" s="8"/>
      <c r="Z55" s="3"/>
      <c r="AB55" s="1"/>
      <c r="AL55">
        <v>8100</v>
      </c>
      <c r="AM55">
        <v>0.46276729741099998</v>
      </c>
      <c r="AN55">
        <f t="shared" si="6"/>
        <v>22.19178082191781</v>
      </c>
      <c r="AO55">
        <f t="shared" si="9"/>
        <v>0.45625677297105927</v>
      </c>
      <c r="AP55">
        <f t="shared" si="4"/>
        <v>-6.5105244399407125E-3</v>
      </c>
    </row>
    <row r="56" spans="5:42" x14ac:dyDescent="0.2">
      <c r="E56" s="1"/>
      <c r="F56" s="5"/>
      <c r="G56" s="5"/>
      <c r="H56" s="17"/>
      <c r="I56" s="3"/>
      <c r="K56">
        <f t="shared" ref="K56:K90" si="10">K55+1</f>
        <v>50</v>
      </c>
      <c r="L56" t="b">
        <v>1</v>
      </c>
      <c r="M56" t="s">
        <v>112</v>
      </c>
      <c r="N56" t="s">
        <v>19</v>
      </c>
      <c r="O56" s="5">
        <v>18</v>
      </c>
      <c r="P56" s="1">
        <v>46422</v>
      </c>
      <c r="Q56">
        <v>3.7048000000000001</v>
      </c>
      <c r="R56" s="2"/>
      <c r="S56" s="3"/>
      <c r="T56" s="3"/>
      <c r="U56" s="1">
        <v>46603</v>
      </c>
      <c r="V56" s="13">
        <v>18.506849315068493</v>
      </c>
      <c r="W56" s="13">
        <v>0.48010413229449256</v>
      </c>
      <c r="X56" s="8"/>
      <c r="Z56" s="3"/>
      <c r="AB56" s="1"/>
      <c r="AL56">
        <v>8280</v>
      </c>
      <c r="AM56">
        <v>0.45391193062599999</v>
      </c>
      <c r="AN56">
        <f t="shared" si="6"/>
        <v>22.684931506849313</v>
      </c>
      <c r="AO56">
        <f t="shared" si="9"/>
        <v>0.45625677297105927</v>
      </c>
      <c r="AP56">
        <f t="shared" si="4"/>
        <v>2.3448423450592726E-3</v>
      </c>
    </row>
    <row r="57" spans="5:42" x14ac:dyDescent="0.2">
      <c r="E57" s="1"/>
      <c r="F57" s="5"/>
      <c r="G57" s="5"/>
      <c r="H57" s="17"/>
      <c r="I57" s="3"/>
      <c r="K57">
        <f t="shared" si="10"/>
        <v>51</v>
      </c>
      <c r="L57" t="b">
        <v>1</v>
      </c>
      <c r="M57" t="s">
        <v>112</v>
      </c>
      <c r="N57" t="s">
        <v>19</v>
      </c>
      <c r="O57" s="5">
        <v>18.5</v>
      </c>
      <c r="P57" s="1">
        <v>46603</v>
      </c>
      <c r="Q57">
        <v>3.7275999999999998</v>
      </c>
      <c r="R57" s="2"/>
      <c r="S57" s="3"/>
      <c r="T57" s="3"/>
      <c r="U57" s="1">
        <v>46787</v>
      </c>
      <c r="V57" s="13">
        <v>19.010958904109589</v>
      </c>
      <c r="W57" s="13">
        <v>0.4680746913419922</v>
      </c>
      <c r="X57" s="8"/>
      <c r="Z57" s="3"/>
      <c r="AB57" s="1"/>
      <c r="AL57">
        <v>8460</v>
      </c>
      <c r="AM57">
        <v>0.44516008955300002</v>
      </c>
      <c r="AN57">
        <f t="shared" si="6"/>
        <v>23.17808219178082</v>
      </c>
      <c r="AO57">
        <f t="shared" si="9"/>
        <v>0.45625677297105927</v>
      </c>
      <c r="AP57">
        <f t="shared" si="4"/>
        <v>1.109668341805925E-2</v>
      </c>
    </row>
    <row r="58" spans="5:42" x14ac:dyDescent="0.2">
      <c r="E58" s="1"/>
      <c r="F58" s="5"/>
      <c r="G58" s="5"/>
      <c r="H58" s="17"/>
      <c r="I58" s="3"/>
      <c r="K58">
        <f t="shared" si="10"/>
        <v>52</v>
      </c>
      <c r="L58" t="b">
        <v>1</v>
      </c>
      <c r="M58" t="s">
        <v>112</v>
      </c>
      <c r="N58" t="s">
        <v>19</v>
      </c>
      <c r="O58" s="5">
        <v>19</v>
      </c>
      <c r="P58" s="1">
        <v>46787</v>
      </c>
      <c r="Q58">
        <v>3.7504</v>
      </c>
      <c r="R58" s="2"/>
      <c r="S58" s="3"/>
      <c r="T58" s="3"/>
      <c r="U58" s="1">
        <v>46969</v>
      </c>
      <c r="V58" s="13">
        <v>19.509589041095889</v>
      </c>
      <c r="W58" s="13">
        <v>0.45625677297105927</v>
      </c>
      <c r="X58" s="8"/>
      <c r="Z58" s="3"/>
      <c r="AB58" s="1"/>
      <c r="AL58">
        <v>8640</v>
      </c>
      <c r="AM58">
        <v>0.43651123327899999</v>
      </c>
      <c r="AN58">
        <f t="shared" si="6"/>
        <v>23.671232876712327</v>
      </c>
      <c r="AO58">
        <f t="shared" si="9"/>
        <v>0.45625677297105927</v>
      </c>
      <c r="AP58">
        <f t="shared" si="4"/>
        <v>1.9745539692059277E-2</v>
      </c>
    </row>
    <row r="59" spans="5:42" x14ac:dyDescent="0.2">
      <c r="E59" s="1"/>
      <c r="F59" s="1"/>
      <c r="H59" s="2"/>
      <c r="I59" s="3"/>
      <c r="K59">
        <f t="shared" si="10"/>
        <v>53</v>
      </c>
      <c r="L59" t="b">
        <v>1</v>
      </c>
      <c r="M59" t="s">
        <v>112</v>
      </c>
      <c r="N59" t="s">
        <v>19</v>
      </c>
      <c r="O59" s="5">
        <v>19.5</v>
      </c>
      <c r="P59" s="1">
        <v>46969</v>
      </c>
      <c r="Q59">
        <v>3.7731999999999997</v>
      </c>
      <c r="R59" s="2"/>
      <c r="S59" s="3"/>
      <c r="T59" s="3"/>
      <c r="U59" s="3"/>
      <c r="V59" s="3"/>
      <c r="W59" s="3"/>
      <c r="X59" s="3"/>
      <c r="Z59" s="3"/>
      <c r="AB59" s="1"/>
      <c r="AL59">
        <v>8820</v>
      </c>
      <c r="AM59">
        <v>0.42796481190399999</v>
      </c>
      <c r="AN59">
        <f t="shared" si="6"/>
        <v>24.164383561643834</v>
      </c>
      <c r="AO59">
        <f t="shared" si="9"/>
        <v>0.45625677297105927</v>
      </c>
      <c r="AP59">
        <f t="shared" si="4"/>
        <v>2.8291961067059279E-2</v>
      </c>
    </row>
    <row r="60" spans="5:42" x14ac:dyDescent="0.2">
      <c r="E60" s="1"/>
      <c r="F60" s="1"/>
      <c r="H60" s="2"/>
      <c r="I60" s="3"/>
      <c r="K60">
        <f t="shared" si="10"/>
        <v>54</v>
      </c>
      <c r="L60" t="b">
        <v>1</v>
      </c>
      <c r="M60" t="s">
        <v>112</v>
      </c>
      <c r="N60" t="s">
        <v>19</v>
      </c>
      <c r="O60" s="5">
        <v>20</v>
      </c>
      <c r="P60" s="1">
        <v>47154</v>
      </c>
      <c r="Q60">
        <v>3.7959999999999998</v>
      </c>
      <c r="R60" s="2"/>
      <c r="S60" s="3"/>
      <c r="T60" s="3"/>
      <c r="U60" s="3"/>
      <c r="V60" s="3"/>
      <c r="W60" s="3"/>
      <c r="X60" s="3"/>
      <c r="AL60">
        <v>9000</v>
      </c>
      <c r="AM60">
        <v>0.41952026680799998</v>
      </c>
      <c r="AN60">
        <f t="shared" si="6"/>
        <v>24.657534246575342</v>
      </c>
      <c r="AO60">
        <f t="shared" si="9"/>
        <v>0.45625677297105927</v>
      </c>
      <c r="AP60">
        <f t="shared" si="4"/>
        <v>3.673650616305929E-2</v>
      </c>
    </row>
    <row r="61" spans="5:42" x14ac:dyDescent="0.2">
      <c r="E61" s="1"/>
      <c r="F61" s="1"/>
      <c r="H61" s="2"/>
      <c r="I61" s="3"/>
      <c r="K61">
        <f t="shared" si="10"/>
        <v>55</v>
      </c>
      <c r="L61" t="b">
        <v>1</v>
      </c>
      <c r="M61" t="s">
        <v>113</v>
      </c>
      <c r="N61" t="s">
        <v>19</v>
      </c>
      <c r="O61" s="5">
        <v>20.5</v>
      </c>
      <c r="P61" s="1">
        <v>47337</v>
      </c>
      <c r="Q61">
        <v>3.7867999999999999</v>
      </c>
      <c r="R61" s="2"/>
      <c r="S61" s="3"/>
      <c r="T61" s="3"/>
      <c r="U61" s="3"/>
      <c r="V61" s="3"/>
      <c r="W61" s="3"/>
      <c r="X61" s="3"/>
      <c r="AL61">
        <v>9180</v>
      </c>
      <c r="AM61">
        <v>0.41117703091300001</v>
      </c>
      <c r="AN61">
        <f t="shared" si="6"/>
        <v>25.150684931506849</v>
      </c>
      <c r="AO61">
        <f t="shared" si="9"/>
        <v>0.45625677297105927</v>
      </c>
      <c r="AP61">
        <f t="shared" si="4"/>
        <v>4.5079742058059258E-2</v>
      </c>
    </row>
    <row r="62" spans="5:42" x14ac:dyDescent="0.2">
      <c r="E62" s="1"/>
      <c r="F62" s="1"/>
      <c r="H62" s="2"/>
      <c r="I62" s="3"/>
      <c r="K62">
        <f t="shared" si="10"/>
        <v>56</v>
      </c>
      <c r="L62" t="b">
        <v>1</v>
      </c>
      <c r="M62" t="s">
        <v>113</v>
      </c>
      <c r="N62" t="s">
        <v>19</v>
      </c>
      <c r="O62" s="5">
        <v>21</v>
      </c>
      <c r="P62" s="1">
        <v>47518</v>
      </c>
      <c r="Q62">
        <v>3.7776000000000001</v>
      </c>
      <c r="R62" s="2"/>
      <c r="S62" s="3"/>
      <c r="T62" s="3"/>
      <c r="U62" s="3"/>
      <c r="V62" s="3"/>
      <c r="W62" s="3"/>
      <c r="X62" s="3"/>
      <c r="AL62">
        <v>9360</v>
      </c>
      <c r="AM62">
        <v>0.40293452894100001</v>
      </c>
      <c r="AN62">
        <f t="shared" si="6"/>
        <v>25.643835616438356</v>
      </c>
      <c r="AO62">
        <f t="shared" si="9"/>
        <v>0.45625677297105927</v>
      </c>
      <c r="AP62">
        <f t="shared" si="4"/>
        <v>5.3322244030059252E-2</v>
      </c>
    </row>
    <row r="63" spans="5:42" x14ac:dyDescent="0.2">
      <c r="E63" s="1"/>
      <c r="F63" s="1"/>
      <c r="H63" s="2"/>
      <c r="I63" s="3"/>
      <c r="K63">
        <f t="shared" si="10"/>
        <v>57</v>
      </c>
      <c r="L63" t="b">
        <v>1</v>
      </c>
      <c r="M63" t="s">
        <v>113</v>
      </c>
      <c r="N63" t="s">
        <v>19</v>
      </c>
      <c r="O63" s="5">
        <v>21.5</v>
      </c>
      <c r="P63" s="1">
        <v>47701</v>
      </c>
      <c r="Q63">
        <v>3.7683999999999997</v>
      </c>
      <c r="R63" s="2"/>
      <c r="S63" s="3"/>
      <c r="T63" s="3"/>
      <c r="U63" s="3"/>
      <c r="V63" s="3"/>
      <c r="W63" s="3"/>
      <c r="X63" s="3"/>
      <c r="AL63">
        <v>9540</v>
      </c>
      <c r="AM63">
        <v>0.39479217767699998</v>
      </c>
      <c r="AN63">
        <f t="shared" si="6"/>
        <v>26.136986301369863</v>
      </c>
      <c r="AO63">
        <f t="shared" si="9"/>
        <v>0.45625677297105927</v>
      </c>
      <c r="AP63">
        <f t="shared" si="4"/>
        <v>6.1464595294059288E-2</v>
      </c>
    </row>
    <row r="64" spans="5:42" x14ac:dyDescent="0.2">
      <c r="E64" s="1"/>
      <c r="F64" s="1"/>
      <c r="H64" s="2"/>
      <c r="I64" s="3"/>
      <c r="K64">
        <f t="shared" si="10"/>
        <v>58</v>
      </c>
      <c r="L64" t="b">
        <v>1</v>
      </c>
      <c r="M64" t="s">
        <v>113</v>
      </c>
      <c r="N64" t="s">
        <v>19</v>
      </c>
      <c r="O64" s="5">
        <v>22</v>
      </c>
      <c r="P64" s="1">
        <v>47883</v>
      </c>
      <c r="Q64">
        <v>3.7591999999999999</v>
      </c>
      <c r="R64" s="2"/>
      <c r="S64" s="3"/>
      <c r="T64" s="3"/>
      <c r="U64" s="3"/>
      <c r="V64" s="3"/>
      <c r="W64" s="3"/>
      <c r="X64" s="3"/>
      <c r="AL64">
        <v>9720</v>
      </c>
      <c r="AM64">
        <v>0.38674938621799998</v>
      </c>
      <c r="AN64">
        <f t="shared" si="6"/>
        <v>26.63013698630137</v>
      </c>
      <c r="AO64">
        <f t="shared" si="9"/>
        <v>0.45625677297105927</v>
      </c>
      <c r="AP64">
        <f t="shared" si="4"/>
        <v>6.9507386753059286E-2</v>
      </c>
    </row>
    <row r="65" spans="5:42" x14ac:dyDescent="0.2">
      <c r="E65" s="1"/>
      <c r="F65" s="1"/>
      <c r="H65" s="2"/>
      <c r="I65" s="3"/>
      <c r="K65">
        <f t="shared" si="10"/>
        <v>59</v>
      </c>
      <c r="L65" t="b">
        <v>1</v>
      </c>
      <c r="M65" t="s">
        <v>113</v>
      </c>
      <c r="N65" t="s">
        <v>19</v>
      </c>
      <c r="O65" s="5">
        <v>22.5</v>
      </c>
      <c r="P65" s="1">
        <v>48064</v>
      </c>
      <c r="Q65">
        <v>3.75</v>
      </c>
      <c r="R65" s="2"/>
      <c r="S65" s="3"/>
      <c r="T65" s="3"/>
      <c r="U65" s="3"/>
      <c r="V65" s="3"/>
      <c r="W65" s="3"/>
      <c r="X65" s="3"/>
      <c r="AL65">
        <v>9900</v>
      </c>
      <c r="AM65">
        <v>0.37880555623200002</v>
      </c>
      <c r="AN65">
        <f t="shared" si="6"/>
        <v>27.123287671232877</v>
      </c>
      <c r="AO65">
        <f t="shared" si="9"/>
        <v>0.45625677297105927</v>
      </c>
      <c r="AP65">
        <f t="shared" si="4"/>
        <v>7.7451216739059248E-2</v>
      </c>
    </row>
    <row r="66" spans="5:42" x14ac:dyDescent="0.2">
      <c r="E66" s="1"/>
      <c r="F66" s="1"/>
      <c r="H66" s="2"/>
      <c r="I66" s="3"/>
      <c r="K66">
        <f t="shared" si="10"/>
        <v>60</v>
      </c>
      <c r="L66" t="b">
        <v>1</v>
      </c>
      <c r="M66" t="s">
        <v>113</v>
      </c>
      <c r="N66" t="s">
        <v>19</v>
      </c>
      <c r="O66" s="5">
        <v>23</v>
      </c>
      <c r="P66" s="1">
        <v>48248</v>
      </c>
      <c r="Q66">
        <v>3.7408000000000001</v>
      </c>
      <c r="R66" s="2"/>
      <c r="S66" s="3"/>
      <c r="T66" s="3"/>
      <c r="U66" s="3"/>
      <c r="V66" s="3"/>
      <c r="W66" s="3"/>
      <c r="X66" s="3"/>
      <c r="AL66">
        <v>10080</v>
      </c>
      <c r="AM66">
        <v>0.370960082207</v>
      </c>
      <c r="AN66">
        <f t="shared" si="6"/>
        <v>27.616438356164384</v>
      </c>
      <c r="AO66">
        <f t="shared" si="9"/>
        <v>0.45625677297105927</v>
      </c>
      <c r="AP66">
        <f t="shared" si="4"/>
        <v>8.5296690764059269E-2</v>
      </c>
    </row>
    <row r="67" spans="5:42" x14ac:dyDescent="0.2">
      <c r="E67" s="1"/>
      <c r="F67" s="1"/>
      <c r="H67" s="2"/>
      <c r="I67" s="3"/>
      <c r="K67">
        <f t="shared" si="10"/>
        <v>61</v>
      </c>
      <c r="L67" t="b">
        <v>1</v>
      </c>
      <c r="M67" t="s">
        <v>113</v>
      </c>
      <c r="N67" t="s">
        <v>19</v>
      </c>
      <c r="O67" s="5">
        <v>23.5</v>
      </c>
      <c r="P67" s="1">
        <v>48430</v>
      </c>
      <c r="Q67">
        <v>3.7316000000000003</v>
      </c>
      <c r="R67" s="2"/>
      <c r="S67" s="3"/>
      <c r="T67" s="3"/>
      <c r="U67" s="3"/>
      <c r="V67" s="3"/>
      <c r="W67" s="3"/>
      <c r="X67" s="3"/>
      <c r="AL67">
        <v>10260</v>
      </c>
      <c r="AM67">
        <v>0.36321235169999999</v>
      </c>
      <c r="AN67">
        <f t="shared" si="6"/>
        <v>28.109589041095891</v>
      </c>
      <c r="AO67">
        <f t="shared" si="9"/>
        <v>0.45625677297105927</v>
      </c>
      <c r="AP67">
        <f t="shared" si="4"/>
        <v>9.3044421271059274E-2</v>
      </c>
    </row>
    <row r="68" spans="5:42" x14ac:dyDescent="0.2">
      <c r="E68" s="1"/>
      <c r="F68" s="1"/>
      <c r="H68" s="2"/>
      <c r="I68" s="3"/>
      <c r="K68">
        <f t="shared" si="10"/>
        <v>62</v>
      </c>
      <c r="L68" t="b">
        <v>1</v>
      </c>
      <c r="M68" t="s">
        <v>113</v>
      </c>
      <c r="N68" t="s">
        <v>19</v>
      </c>
      <c r="O68" s="5">
        <v>24</v>
      </c>
      <c r="P68" s="1">
        <v>48614</v>
      </c>
      <c r="Q68">
        <v>3.7223999999999999</v>
      </c>
      <c r="R68" s="2"/>
      <c r="S68" s="3"/>
      <c r="T68" s="3"/>
      <c r="U68" s="3"/>
      <c r="V68" s="3"/>
      <c r="W68" s="3"/>
      <c r="X68" s="3"/>
      <c r="AL68">
        <v>10440</v>
      </c>
      <c r="AM68">
        <v>0.35556174558499998</v>
      </c>
      <c r="AN68">
        <f t="shared" si="6"/>
        <v>28.602739726027398</v>
      </c>
      <c r="AO68">
        <f t="shared" si="9"/>
        <v>0.45625677297105927</v>
      </c>
      <c r="AP68">
        <f t="shared" si="4"/>
        <v>0.10069502738605929</v>
      </c>
    </row>
    <row r="69" spans="5:42" x14ac:dyDescent="0.2">
      <c r="E69" s="1"/>
      <c r="F69" s="1"/>
      <c r="H69" s="2"/>
      <c r="I69" s="3"/>
      <c r="K69">
        <f t="shared" si="10"/>
        <v>63</v>
      </c>
      <c r="L69" t="b">
        <v>1</v>
      </c>
      <c r="M69" t="s">
        <v>113</v>
      </c>
      <c r="N69" t="s">
        <v>19</v>
      </c>
      <c r="O69" s="5">
        <v>24.5</v>
      </c>
      <c r="P69" s="1">
        <v>48795</v>
      </c>
      <c r="Q69">
        <v>3.7132000000000001</v>
      </c>
      <c r="R69" s="2"/>
      <c r="S69" s="3"/>
      <c r="T69" s="3"/>
      <c r="U69" s="3"/>
      <c r="V69" s="3"/>
      <c r="W69" s="3"/>
      <c r="X69" s="3"/>
      <c r="AL69">
        <v>10620</v>
      </c>
      <c r="AM69">
        <v>0.34800763829600001</v>
      </c>
      <c r="AN69">
        <f t="shared" si="6"/>
        <v>29.095890410958905</v>
      </c>
      <c r="AO69">
        <f t="shared" si="9"/>
        <v>0.45625677297105927</v>
      </c>
      <c r="AP69">
        <f t="shared" si="4"/>
        <v>0.10824913467505926</v>
      </c>
    </row>
    <row r="70" spans="5:42" x14ac:dyDescent="0.2">
      <c r="E70" s="1"/>
      <c r="F70" s="1"/>
      <c r="H70" s="2"/>
      <c r="I70" s="3"/>
      <c r="K70">
        <f t="shared" si="10"/>
        <v>64</v>
      </c>
      <c r="L70" t="b">
        <v>1</v>
      </c>
      <c r="M70" t="s">
        <v>113</v>
      </c>
      <c r="N70" t="s">
        <v>19</v>
      </c>
      <c r="O70" s="5">
        <v>25</v>
      </c>
      <c r="P70" s="1">
        <v>48979</v>
      </c>
      <c r="Q70">
        <v>3.7040000000000002</v>
      </c>
      <c r="R70" s="2"/>
      <c r="S70" s="3"/>
      <c r="T70" s="3"/>
      <c r="U70" s="3"/>
      <c r="V70" s="3"/>
      <c r="W70" s="3"/>
      <c r="X70" s="3"/>
      <c r="AL70">
        <v>10800</v>
      </c>
      <c r="AM70">
        <v>0.34054939807099999</v>
      </c>
      <c r="AN70">
        <f t="shared" si="6"/>
        <v>29.589041095890412</v>
      </c>
      <c r="AO70">
        <f t="shared" si="9"/>
        <v>0.45625677297105927</v>
      </c>
      <c r="AP70">
        <f t="shared" si="4"/>
        <v>0.11570737490005928</v>
      </c>
    </row>
    <row r="71" spans="5:42" x14ac:dyDescent="0.2">
      <c r="E71" s="1"/>
      <c r="F71" s="1"/>
      <c r="H71" s="2"/>
      <c r="I71" s="3"/>
      <c r="K71">
        <f t="shared" si="10"/>
        <v>65</v>
      </c>
      <c r="L71" t="b">
        <v>1</v>
      </c>
      <c r="M71" t="s">
        <v>114</v>
      </c>
      <c r="N71" t="s">
        <v>19</v>
      </c>
      <c r="O71" s="5">
        <v>25.5</v>
      </c>
      <c r="P71" s="1">
        <v>49160</v>
      </c>
      <c r="Q71">
        <v>3.6988000000000003</v>
      </c>
      <c r="R71" s="2"/>
      <c r="S71" s="3"/>
      <c r="T71" s="3"/>
      <c r="U71" s="3"/>
      <c r="V71" s="3"/>
      <c r="W71" s="3"/>
      <c r="X71" s="3"/>
    </row>
    <row r="72" spans="5:42" x14ac:dyDescent="0.2">
      <c r="E72" s="1"/>
      <c r="F72" s="1"/>
      <c r="H72" s="2"/>
      <c r="I72" s="3"/>
      <c r="K72">
        <f t="shared" si="10"/>
        <v>66</v>
      </c>
      <c r="L72" t="b">
        <v>1</v>
      </c>
      <c r="M72" t="s">
        <v>114</v>
      </c>
      <c r="N72" t="s">
        <v>19</v>
      </c>
      <c r="O72" s="5">
        <v>26</v>
      </c>
      <c r="P72" s="1">
        <v>49344</v>
      </c>
      <c r="Q72">
        <v>3.6936</v>
      </c>
      <c r="R72" s="2"/>
      <c r="S72" s="3"/>
      <c r="T72" s="3"/>
      <c r="U72" s="3"/>
      <c r="V72" s="3"/>
      <c r="W72" s="3"/>
      <c r="X72" s="3"/>
    </row>
    <row r="73" spans="5:42" x14ac:dyDescent="0.2">
      <c r="E73" s="1"/>
      <c r="F73" s="1"/>
      <c r="H73" s="2"/>
      <c r="I73" s="3"/>
      <c r="K73">
        <f t="shared" si="10"/>
        <v>67</v>
      </c>
      <c r="L73" t="b">
        <v>1</v>
      </c>
      <c r="M73" t="s">
        <v>114</v>
      </c>
      <c r="N73" t="s">
        <v>19</v>
      </c>
      <c r="O73" s="5">
        <v>26.5</v>
      </c>
      <c r="P73" s="1">
        <v>49525</v>
      </c>
      <c r="Q73">
        <v>3.6884000000000001</v>
      </c>
      <c r="R73" s="2"/>
      <c r="S73" s="3"/>
      <c r="T73" s="3"/>
      <c r="U73" s="3"/>
      <c r="V73" s="3"/>
      <c r="W73" s="3"/>
      <c r="X73" s="3"/>
    </row>
    <row r="74" spans="5:42" x14ac:dyDescent="0.2">
      <c r="E74" s="1"/>
      <c r="F74" s="1"/>
      <c r="H74" s="2"/>
      <c r="I74" s="3"/>
      <c r="K74">
        <f t="shared" si="10"/>
        <v>68</v>
      </c>
      <c r="L74" t="b">
        <v>1</v>
      </c>
      <c r="M74" t="s">
        <v>114</v>
      </c>
      <c r="N74" t="s">
        <v>19</v>
      </c>
      <c r="O74" s="5">
        <v>27</v>
      </c>
      <c r="P74" s="1">
        <v>49709</v>
      </c>
      <c r="Q74">
        <v>3.6832000000000003</v>
      </c>
      <c r="R74" s="2"/>
      <c r="S74" s="3"/>
      <c r="T74" s="3"/>
      <c r="U74" s="3"/>
      <c r="V74" s="3"/>
      <c r="W74" s="3"/>
      <c r="X74" s="3"/>
    </row>
    <row r="75" spans="5:42" x14ac:dyDescent="0.2">
      <c r="E75" s="1"/>
      <c r="F75" s="1"/>
      <c r="H75" s="2"/>
      <c r="I75" s="3"/>
      <c r="K75">
        <f t="shared" si="10"/>
        <v>69</v>
      </c>
      <c r="L75" t="b">
        <v>1</v>
      </c>
      <c r="M75" t="s">
        <v>114</v>
      </c>
      <c r="N75" t="s">
        <v>19</v>
      </c>
      <c r="O75" s="5">
        <v>27.5</v>
      </c>
      <c r="P75" s="1">
        <v>49891</v>
      </c>
      <c r="Q75">
        <v>3.6779999999999999</v>
      </c>
      <c r="R75" s="2"/>
      <c r="S75" s="3"/>
      <c r="T75" s="3"/>
      <c r="U75" s="3"/>
      <c r="V75" s="3"/>
      <c r="W75" s="3"/>
      <c r="X75" s="3"/>
    </row>
    <row r="76" spans="5:42" x14ac:dyDescent="0.2">
      <c r="K76">
        <f t="shared" si="10"/>
        <v>70</v>
      </c>
      <c r="L76" t="b">
        <v>1</v>
      </c>
      <c r="M76" t="s">
        <v>114</v>
      </c>
      <c r="N76" t="s">
        <v>19</v>
      </c>
      <c r="O76" s="5">
        <v>28</v>
      </c>
      <c r="P76" s="1">
        <v>50075</v>
      </c>
      <c r="Q76">
        <v>3.6728000000000001</v>
      </c>
      <c r="R76" s="2"/>
      <c r="S76" s="3"/>
      <c r="T76" s="3"/>
      <c r="U76" s="3"/>
      <c r="V76" s="3"/>
      <c r="W76" s="3"/>
      <c r="X76" s="3"/>
    </row>
    <row r="77" spans="5:42" x14ac:dyDescent="0.2">
      <c r="K77">
        <f t="shared" si="10"/>
        <v>71</v>
      </c>
      <c r="L77" t="b">
        <v>1</v>
      </c>
      <c r="M77" t="s">
        <v>114</v>
      </c>
      <c r="N77" t="s">
        <v>19</v>
      </c>
      <c r="O77" s="5">
        <v>28.5</v>
      </c>
      <c r="P77" s="1">
        <v>50256</v>
      </c>
      <c r="Q77">
        <v>3.6676000000000002</v>
      </c>
      <c r="R77" s="2"/>
      <c r="S77" s="3"/>
      <c r="T77" s="3"/>
      <c r="U77" s="3"/>
      <c r="V77" s="3"/>
      <c r="W77" s="3"/>
      <c r="X77" s="3"/>
    </row>
    <row r="78" spans="5:42" x14ac:dyDescent="0.2">
      <c r="K78">
        <f t="shared" si="10"/>
        <v>72</v>
      </c>
      <c r="L78" t="b">
        <v>1</v>
      </c>
      <c r="M78" t="s">
        <v>114</v>
      </c>
      <c r="N78" t="s">
        <v>19</v>
      </c>
      <c r="O78" s="5">
        <v>29</v>
      </c>
      <c r="P78" s="1">
        <v>50440</v>
      </c>
      <c r="Q78">
        <v>3.6624000000000003</v>
      </c>
      <c r="R78" s="2"/>
      <c r="S78" s="3"/>
      <c r="T78" s="3"/>
      <c r="U78" s="3"/>
      <c r="V78" s="3"/>
      <c r="W78" s="3"/>
      <c r="X78" s="3"/>
    </row>
    <row r="79" spans="5:42" x14ac:dyDescent="0.2">
      <c r="K79">
        <f t="shared" si="10"/>
        <v>73</v>
      </c>
      <c r="L79" t="b">
        <v>1</v>
      </c>
      <c r="M79" t="s">
        <v>114</v>
      </c>
      <c r="N79" t="s">
        <v>19</v>
      </c>
      <c r="O79" s="5">
        <v>29.5</v>
      </c>
      <c r="P79" s="1">
        <v>50621</v>
      </c>
      <c r="Q79">
        <v>3.6572</v>
      </c>
      <c r="R79" s="2"/>
      <c r="S79" s="3"/>
      <c r="T79" s="3"/>
      <c r="U79" s="3"/>
      <c r="V79" s="3"/>
      <c r="W79" s="3"/>
      <c r="X79" s="3"/>
    </row>
    <row r="80" spans="5:42" x14ac:dyDescent="0.2">
      <c r="K80">
        <f t="shared" si="10"/>
        <v>74</v>
      </c>
      <c r="L80" t="b">
        <v>1</v>
      </c>
      <c r="M80" t="s">
        <v>114</v>
      </c>
      <c r="N80" t="s">
        <v>19</v>
      </c>
      <c r="O80" s="5">
        <v>30</v>
      </c>
      <c r="P80" s="1">
        <v>50805</v>
      </c>
      <c r="Q80">
        <v>3.6520000000000001</v>
      </c>
      <c r="R80" s="2"/>
      <c r="S80" s="3"/>
      <c r="T80" s="3"/>
      <c r="U80" s="3"/>
      <c r="V80" s="3"/>
      <c r="W80" s="3"/>
      <c r="X80" s="3"/>
    </row>
    <row r="81" spans="11:24" x14ac:dyDescent="0.2">
      <c r="K81">
        <f t="shared" si="10"/>
        <v>75</v>
      </c>
      <c r="L81" t="b">
        <v>1</v>
      </c>
      <c r="M81" t="s">
        <v>115</v>
      </c>
      <c r="N81" t="s">
        <v>19</v>
      </c>
      <c r="O81" s="5">
        <v>30.5</v>
      </c>
      <c r="P81" s="1">
        <v>50986</v>
      </c>
      <c r="Q81">
        <v>3.649</v>
      </c>
      <c r="R81" s="2"/>
      <c r="S81" s="3"/>
      <c r="T81" s="3"/>
      <c r="U81" s="3"/>
      <c r="V81" s="3"/>
      <c r="W81" s="3"/>
      <c r="X81" s="3"/>
    </row>
    <row r="82" spans="11:24" x14ac:dyDescent="0.2">
      <c r="K82">
        <f t="shared" si="10"/>
        <v>76</v>
      </c>
      <c r="L82" t="b">
        <v>1</v>
      </c>
      <c r="M82" t="s">
        <v>115</v>
      </c>
      <c r="N82" t="s">
        <v>19</v>
      </c>
      <c r="O82" s="5">
        <v>31</v>
      </c>
      <c r="P82" s="1">
        <v>51170</v>
      </c>
      <c r="Q82">
        <v>3.6459999999999999</v>
      </c>
      <c r="R82" s="2"/>
      <c r="S82" s="3"/>
      <c r="T82" s="3"/>
      <c r="U82" s="3"/>
      <c r="V82" s="3"/>
      <c r="W82" s="3"/>
      <c r="X82" s="3"/>
    </row>
    <row r="83" spans="11:24" x14ac:dyDescent="0.2">
      <c r="K83">
        <f t="shared" si="10"/>
        <v>77</v>
      </c>
      <c r="L83" t="b">
        <v>1</v>
      </c>
      <c r="M83" t="s">
        <v>115</v>
      </c>
      <c r="N83" t="s">
        <v>19</v>
      </c>
      <c r="O83" s="5">
        <v>31.5</v>
      </c>
      <c r="P83" s="1">
        <v>51352</v>
      </c>
      <c r="Q83">
        <v>3.6430000000000002</v>
      </c>
      <c r="R83" s="2"/>
      <c r="S83" s="3"/>
      <c r="T83" s="3"/>
      <c r="U83" s="3"/>
      <c r="V83" s="3"/>
      <c r="W83" s="3"/>
      <c r="X83" s="3"/>
    </row>
    <row r="84" spans="11:24" x14ac:dyDescent="0.2">
      <c r="K84">
        <f t="shared" si="10"/>
        <v>78</v>
      </c>
      <c r="L84" t="b">
        <v>1</v>
      </c>
      <c r="M84" t="s">
        <v>115</v>
      </c>
      <c r="N84" t="s">
        <v>19</v>
      </c>
      <c r="O84" s="5">
        <v>32</v>
      </c>
      <c r="P84" s="1">
        <v>51536</v>
      </c>
      <c r="Q84">
        <v>3.64</v>
      </c>
      <c r="R84" s="2"/>
      <c r="S84" s="3"/>
      <c r="T84" s="3"/>
      <c r="U84" s="3"/>
      <c r="V84" s="3"/>
      <c r="W84" s="3"/>
      <c r="X84" s="3"/>
    </row>
    <row r="85" spans="11:24" x14ac:dyDescent="0.2">
      <c r="K85">
        <f t="shared" si="10"/>
        <v>79</v>
      </c>
      <c r="L85" t="b">
        <v>1</v>
      </c>
      <c r="M85" t="s">
        <v>115</v>
      </c>
      <c r="N85" t="s">
        <v>19</v>
      </c>
      <c r="O85" s="5">
        <v>32.5</v>
      </c>
      <c r="P85" s="1">
        <v>51717</v>
      </c>
      <c r="Q85">
        <v>3.637</v>
      </c>
      <c r="R85" s="2"/>
      <c r="S85" s="3"/>
      <c r="T85" s="3"/>
      <c r="U85" s="3"/>
      <c r="V85" s="3"/>
      <c r="W85" s="3"/>
      <c r="X85" s="3"/>
    </row>
    <row r="86" spans="11:24" x14ac:dyDescent="0.2">
      <c r="K86">
        <f t="shared" si="10"/>
        <v>80</v>
      </c>
      <c r="L86" t="b">
        <v>1</v>
      </c>
      <c r="M86" t="s">
        <v>115</v>
      </c>
      <c r="N86" t="s">
        <v>19</v>
      </c>
      <c r="O86" s="5">
        <v>33</v>
      </c>
      <c r="P86" s="1">
        <v>51901</v>
      </c>
      <c r="Q86">
        <v>3.6339999999999999</v>
      </c>
      <c r="R86" s="2"/>
      <c r="S86" s="3"/>
      <c r="T86" s="3"/>
      <c r="U86" s="3"/>
      <c r="V86" s="3"/>
      <c r="W86" s="3"/>
      <c r="X86" s="3"/>
    </row>
    <row r="87" spans="11:24" x14ac:dyDescent="0.2">
      <c r="K87">
        <f t="shared" si="10"/>
        <v>81</v>
      </c>
      <c r="L87" t="b">
        <v>1</v>
      </c>
      <c r="M87" t="s">
        <v>115</v>
      </c>
      <c r="N87" t="s">
        <v>19</v>
      </c>
      <c r="O87" s="5">
        <v>33.5</v>
      </c>
      <c r="P87" s="1">
        <v>52082</v>
      </c>
      <c r="Q87">
        <v>3.6309999999999998</v>
      </c>
      <c r="R87" s="2"/>
      <c r="S87" s="3"/>
      <c r="T87" s="3"/>
      <c r="U87" s="3"/>
      <c r="V87" s="3"/>
      <c r="W87" s="3"/>
      <c r="X87" s="3"/>
    </row>
    <row r="88" spans="11:24" x14ac:dyDescent="0.2">
      <c r="K88">
        <f t="shared" si="10"/>
        <v>82</v>
      </c>
      <c r="L88" t="b">
        <v>1</v>
      </c>
      <c r="M88" t="s">
        <v>115</v>
      </c>
      <c r="N88" t="s">
        <v>19</v>
      </c>
      <c r="O88" s="5">
        <v>34</v>
      </c>
      <c r="P88" s="1">
        <v>52266</v>
      </c>
      <c r="Q88">
        <v>3.6280000000000001</v>
      </c>
      <c r="R88" s="2"/>
      <c r="S88" s="3"/>
      <c r="T88" s="3"/>
      <c r="U88" s="3"/>
      <c r="V88" s="3"/>
      <c r="W88" s="3"/>
      <c r="X88" s="3"/>
    </row>
    <row r="89" spans="11:24" x14ac:dyDescent="0.2">
      <c r="K89">
        <f t="shared" si="10"/>
        <v>83</v>
      </c>
      <c r="L89" t="b">
        <v>1</v>
      </c>
      <c r="M89" t="s">
        <v>115</v>
      </c>
      <c r="N89" t="s">
        <v>19</v>
      </c>
      <c r="O89" s="5">
        <v>34.5</v>
      </c>
      <c r="P89" s="1">
        <v>52447</v>
      </c>
      <c r="Q89">
        <v>3.625</v>
      </c>
      <c r="R89" s="2"/>
      <c r="S89" s="3"/>
      <c r="T89" s="3"/>
      <c r="U89" s="3"/>
      <c r="V89" s="3"/>
      <c r="W89" s="3"/>
      <c r="X89" s="3"/>
    </row>
    <row r="90" spans="11:24" x14ac:dyDescent="0.2">
      <c r="K90">
        <f t="shared" si="10"/>
        <v>84</v>
      </c>
      <c r="L90" t="b">
        <v>1</v>
      </c>
      <c r="M90" t="s">
        <v>115</v>
      </c>
      <c r="N90" t="s">
        <v>19</v>
      </c>
      <c r="O90" s="5">
        <v>35</v>
      </c>
      <c r="P90" s="1">
        <v>52631</v>
      </c>
      <c r="Q90">
        <v>3.6219999999999999</v>
      </c>
      <c r="R90" s="2"/>
      <c r="S90" s="3"/>
      <c r="T90" s="3"/>
      <c r="U90" s="3"/>
      <c r="V90" s="3"/>
      <c r="W90" s="3"/>
      <c r="X90" s="3"/>
    </row>
    <row r="91" spans="11:24" x14ac:dyDescent="0.2">
      <c r="O91" s="1"/>
      <c r="P91" s="1"/>
      <c r="R91" s="2"/>
      <c r="S91" s="3"/>
      <c r="T91" s="3"/>
      <c r="U91" s="3"/>
      <c r="V91" s="3"/>
      <c r="W91" s="3"/>
      <c r="X91" s="3"/>
    </row>
    <row r="92" spans="11:24" x14ac:dyDescent="0.2">
      <c r="O92" s="1"/>
      <c r="P92" s="1"/>
      <c r="R92" s="2"/>
      <c r="S92" s="3"/>
      <c r="T92" s="3"/>
      <c r="U92" s="3"/>
      <c r="V92" s="3"/>
      <c r="W92" s="3"/>
      <c r="X92" s="3"/>
    </row>
    <row r="93" spans="11:24" x14ac:dyDescent="0.2">
      <c r="O93" s="1"/>
      <c r="P93" s="1"/>
      <c r="R93" s="2"/>
      <c r="S93" s="3"/>
      <c r="T93" s="3"/>
      <c r="U93" s="3"/>
      <c r="V93" s="3"/>
      <c r="W93" s="3"/>
      <c r="X93" s="3"/>
    </row>
    <row r="94" spans="11:24" x14ac:dyDescent="0.2">
      <c r="O94" s="1"/>
      <c r="P94" s="1"/>
      <c r="R94" s="2"/>
      <c r="S94" s="3"/>
      <c r="T94" s="3"/>
      <c r="U94" s="3"/>
      <c r="V94" s="3"/>
      <c r="W94" s="3"/>
      <c r="X94" s="3"/>
    </row>
    <row r="95" spans="11:24" x14ac:dyDescent="0.2">
      <c r="O95" s="1"/>
      <c r="P95" s="1"/>
      <c r="R95" s="2"/>
      <c r="S95" s="3"/>
      <c r="T95" s="3"/>
      <c r="U95" s="3"/>
      <c r="V95" s="3"/>
      <c r="W95" s="3"/>
      <c r="X95" s="3"/>
    </row>
    <row r="96" spans="11:24" x14ac:dyDescent="0.2">
      <c r="O96" s="1"/>
      <c r="P96" s="1"/>
      <c r="R96" s="2"/>
      <c r="S96" s="3"/>
      <c r="T96" s="3"/>
      <c r="U96" s="3"/>
      <c r="V96" s="3"/>
      <c r="W96" s="3"/>
      <c r="X96" s="3"/>
    </row>
    <row r="97" spans="15:24" x14ac:dyDescent="0.2">
      <c r="O97" s="1"/>
      <c r="P97" s="1"/>
      <c r="R97" s="2"/>
      <c r="S97" s="3"/>
      <c r="T97" s="3"/>
      <c r="U97" s="3"/>
      <c r="V97" s="3"/>
      <c r="W97" s="3"/>
      <c r="X97" s="3"/>
    </row>
    <row r="98" spans="15:24" x14ac:dyDescent="0.2">
      <c r="O98" s="1"/>
      <c r="P98" s="1"/>
      <c r="R98" s="2"/>
      <c r="S98" s="3"/>
      <c r="T98" s="3"/>
      <c r="U98" s="3"/>
      <c r="V98" s="3"/>
      <c r="W98" s="3"/>
      <c r="X98" s="3"/>
    </row>
    <row r="99" spans="15:24" x14ac:dyDescent="0.2">
      <c r="O99" s="1"/>
      <c r="P99" s="1"/>
      <c r="R99" s="2"/>
      <c r="S99" s="3"/>
      <c r="T99" s="3"/>
      <c r="U99" s="3"/>
      <c r="V99" s="3"/>
      <c r="W99" s="3"/>
      <c r="X99" s="3"/>
    </row>
    <row r="100" spans="15:24" x14ac:dyDescent="0.2">
      <c r="O100" s="1"/>
      <c r="P100" s="1"/>
      <c r="R100" s="2"/>
      <c r="S100" s="3"/>
      <c r="T100" s="3"/>
      <c r="U100" s="3"/>
      <c r="V100" s="3"/>
      <c r="W100" s="3"/>
      <c r="X100" s="3"/>
    </row>
    <row r="101" spans="15:24" x14ac:dyDescent="0.2">
      <c r="O101" s="1"/>
      <c r="P101" s="1"/>
      <c r="R101" s="2"/>
      <c r="S101" s="3"/>
      <c r="T101" s="3"/>
      <c r="U101" s="3"/>
      <c r="V101" s="3"/>
      <c r="W101" s="3"/>
      <c r="X101" s="3"/>
    </row>
    <row r="102" spans="15:24" x14ac:dyDescent="0.2">
      <c r="O102" s="1"/>
      <c r="P102" s="1"/>
      <c r="R102" s="2"/>
      <c r="S102" s="3"/>
      <c r="T102" s="3"/>
      <c r="U102" s="3"/>
      <c r="V102" s="3"/>
      <c r="W102" s="3"/>
      <c r="X102" s="3"/>
    </row>
    <row r="103" spans="15:24" x14ac:dyDescent="0.2">
      <c r="O103" s="1"/>
      <c r="P103" s="1"/>
      <c r="R103" s="2"/>
      <c r="S103" s="3"/>
      <c r="T103" s="3"/>
      <c r="U103" s="3"/>
      <c r="V103" s="3"/>
      <c r="W103" s="3"/>
      <c r="X103" s="3"/>
    </row>
    <row r="104" spans="15:24" x14ac:dyDescent="0.2">
      <c r="O104" s="1"/>
      <c r="P104" s="1"/>
      <c r="R104" s="2"/>
      <c r="S104" s="3"/>
      <c r="T104" s="3"/>
      <c r="U104" s="3"/>
      <c r="V104" s="3"/>
      <c r="W104" s="3"/>
      <c r="X104" s="3"/>
    </row>
    <row r="105" spans="15:24" x14ac:dyDescent="0.2">
      <c r="O105" s="1"/>
      <c r="P105" s="1"/>
      <c r="R105" s="2"/>
      <c r="S105" s="3"/>
      <c r="T105" s="3"/>
      <c r="U105" s="3"/>
      <c r="V105" s="3"/>
      <c r="W105" s="3"/>
      <c r="X105" s="3"/>
    </row>
    <row r="106" spans="15:24" x14ac:dyDescent="0.2">
      <c r="O106" s="1"/>
      <c r="P106" s="1"/>
      <c r="R106" s="2"/>
      <c r="S106" s="3"/>
      <c r="T106" s="3"/>
      <c r="U106" s="3"/>
      <c r="V106" s="3"/>
      <c r="W106" s="3"/>
      <c r="X106" s="3"/>
    </row>
    <row r="107" spans="15:24" x14ac:dyDescent="0.2">
      <c r="O107" s="1"/>
      <c r="P107" s="1"/>
      <c r="R107" s="2"/>
      <c r="S107" s="3"/>
      <c r="T107" s="3"/>
      <c r="U107" s="3"/>
      <c r="V107" s="3"/>
      <c r="W107" s="3"/>
      <c r="X107" s="3"/>
    </row>
    <row r="108" spans="15:24" x14ac:dyDescent="0.2">
      <c r="O108" s="1"/>
      <c r="P108" s="1"/>
      <c r="R108" s="2"/>
      <c r="S108" s="3"/>
      <c r="T108" s="3"/>
      <c r="U108" s="3"/>
      <c r="V108" s="3"/>
      <c r="W108" s="3"/>
      <c r="X108" s="3"/>
    </row>
    <row r="109" spans="15:24" x14ac:dyDescent="0.2">
      <c r="O109" s="1"/>
      <c r="P109" s="1"/>
      <c r="R109" s="2"/>
      <c r="S109" s="3"/>
      <c r="T109" s="3"/>
      <c r="U109" s="3"/>
      <c r="V109" s="3"/>
      <c r="W109" s="3"/>
      <c r="X109" s="3"/>
    </row>
    <row r="110" spans="15:24" x14ac:dyDescent="0.2">
      <c r="O110" s="1"/>
      <c r="P110" s="1"/>
      <c r="R110" s="2"/>
      <c r="S110" s="3"/>
      <c r="T110" s="3"/>
      <c r="U110" s="3"/>
      <c r="V110" s="3"/>
      <c r="W110" s="3"/>
      <c r="X110" s="3"/>
    </row>
    <row r="111" spans="15:24" x14ac:dyDescent="0.2">
      <c r="O111" s="1"/>
      <c r="P111" s="1"/>
      <c r="R111" s="2"/>
      <c r="S111" s="3"/>
      <c r="T111" s="3"/>
      <c r="U111" s="3"/>
      <c r="V111" s="3"/>
      <c r="W111" s="3"/>
      <c r="X111" s="3"/>
    </row>
    <row r="112" spans="15:24" x14ac:dyDescent="0.2">
      <c r="O112" s="1"/>
      <c r="P112" s="1"/>
      <c r="R112" s="2"/>
      <c r="S112" s="3"/>
      <c r="T112" s="3"/>
      <c r="U112" s="3"/>
      <c r="V112" s="3"/>
      <c r="W112" s="3"/>
      <c r="X112" s="3"/>
    </row>
    <row r="113" spans="15:24" x14ac:dyDescent="0.2">
      <c r="O113" s="1"/>
      <c r="P113" s="1"/>
      <c r="R113" s="2"/>
      <c r="S113" s="3"/>
      <c r="T113" s="3"/>
      <c r="U113" s="3"/>
      <c r="V113" s="3"/>
      <c r="W113" s="3"/>
      <c r="X113" s="3"/>
    </row>
    <row r="114" spans="15:24" x14ac:dyDescent="0.2">
      <c r="O114" s="1"/>
      <c r="P114" s="1"/>
      <c r="R114" s="2"/>
      <c r="S114" s="3"/>
      <c r="T114" s="3"/>
      <c r="U114" s="3"/>
      <c r="V114" s="3"/>
      <c r="W114" s="3"/>
      <c r="X114" s="3"/>
    </row>
    <row r="115" spans="15:24" x14ac:dyDescent="0.2">
      <c r="O115" s="1"/>
      <c r="P115" s="1"/>
      <c r="R115" s="2"/>
      <c r="S115" s="3"/>
      <c r="T115" s="3"/>
      <c r="U115" s="3"/>
      <c r="V115" s="3"/>
      <c r="W115" s="3"/>
      <c r="X115" s="3"/>
    </row>
    <row r="116" spans="15:24" x14ac:dyDescent="0.2">
      <c r="O116" s="1"/>
      <c r="P116" s="1"/>
      <c r="R116" s="2"/>
      <c r="S116" s="3"/>
      <c r="T116" s="3"/>
      <c r="U116" s="3"/>
      <c r="V116" s="3"/>
      <c r="W116" s="3"/>
      <c r="X116" s="3"/>
    </row>
    <row r="117" spans="15:24" x14ac:dyDescent="0.2">
      <c r="O117" s="1"/>
      <c r="P117" s="1"/>
      <c r="R117" s="2"/>
      <c r="S117" s="3"/>
      <c r="T117" s="3"/>
      <c r="U117" s="3"/>
      <c r="V117" s="3"/>
      <c r="W117" s="3"/>
      <c r="X117" s="3"/>
    </row>
    <row r="118" spans="15:24" x14ac:dyDescent="0.2">
      <c r="O118" s="1"/>
      <c r="P118" s="1"/>
      <c r="R118" s="2"/>
      <c r="S118" s="3"/>
      <c r="T118" s="3"/>
      <c r="U118" s="3"/>
      <c r="V118" s="3"/>
      <c r="W118" s="3"/>
      <c r="X118" s="3"/>
    </row>
    <row r="119" spans="15:24" x14ac:dyDescent="0.2">
      <c r="O119" s="1"/>
      <c r="P119" s="1"/>
      <c r="R119" s="2"/>
      <c r="S119" s="3"/>
      <c r="T119" s="3"/>
      <c r="U119" s="3"/>
      <c r="V119" s="3"/>
      <c r="W119" s="3"/>
      <c r="X119" s="3"/>
    </row>
    <row r="120" spans="15:24" x14ac:dyDescent="0.2">
      <c r="O120" s="1"/>
      <c r="P120" s="1"/>
      <c r="R120" s="2"/>
      <c r="S120" s="3"/>
      <c r="T120" s="3"/>
      <c r="U120" s="3"/>
      <c r="V120" s="3"/>
      <c r="W120" s="3"/>
      <c r="X120" s="3"/>
    </row>
    <row r="121" spans="15:24" x14ac:dyDescent="0.2">
      <c r="O121" s="1"/>
      <c r="P121" s="1"/>
      <c r="R121" s="2"/>
      <c r="S121" s="3"/>
      <c r="T121" s="3"/>
      <c r="U121" s="3"/>
      <c r="V121" s="3"/>
      <c r="W121" s="3"/>
      <c r="X121" s="3"/>
    </row>
    <row r="122" spans="15:24" x14ac:dyDescent="0.2">
      <c r="O122" s="1"/>
      <c r="P122" s="1"/>
      <c r="R122" s="2"/>
      <c r="S122" s="3"/>
      <c r="T122" s="3"/>
      <c r="U122" s="3"/>
      <c r="V122" s="3"/>
      <c r="W122" s="3"/>
      <c r="X122" s="3"/>
    </row>
    <row r="123" spans="15:24" x14ac:dyDescent="0.2">
      <c r="O123" s="1"/>
      <c r="P123" s="1"/>
      <c r="R123" s="2"/>
      <c r="S123" s="3"/>
      <c r="T123" s="3"/>
      <c r="U123" s="3"/>
      <c r="V123" s="3"/>
      <c r="W123" s="3"/>
      <c r="X123" s="3"/>
    </row>
    <row r="124" spans="15:24" x14ac:dyDescent="0.2">
      <c r="O124" s="1"/>
      <c r="P124" s="1"/>
      <c r="R124" s="2"/>
      <c r="S124" s="3"/>
      <c r="T124" s="3"/>
      <c r="U124" s="3"/>
      <c r="V124" s="3"/>
      <c r="W124" s="3"/>
      <c r="X124" s="3"/>
    </row>
    <row r="125" spans="15:24" x14ac:dyDescent="0.2">
      <c r="O125" s="1"/>
      <c r="P125" s="1"/>
      <c r="R125" s="2"/>
      <c r="S125" s="3"/>
      <c r="T125" s="3"/>
      <c r="U125" s="3"/>
      <c r="V125" s="3"/>
      <c r="W125" s="3"/>
      <c r="X125" s="3"/>
    </row>
    <row r="126" spans="15:24" x14ac:dyDescent="0.2">
      <c r="O126" s="1"/>
      <c r="P126" s="1"/>
      <c r="R126" s="2"/>
      <c r="S126" s="3"/>
      <c r="T126" s="3"/>
      <c r="U126" s="3"/>
      <c r="V126" s="3"/>
      <c r="W126" s="3"/>
      <c r="X126" s="3"/>
    </row>
    <row r="127" spans="15:24" x14ac:dyDescent="0.2">
      <c r="O127" s="1"/>
      <c r="P127" s="1"/>
      <c r="R127" s="2"/>
      <c r="S127" s="3"/>
      <c r="T127" s="3"/>
      <c r="U127" s="3"/>
      <c r="V127" s="3"/>
      <c r="W127" s="3"/>
      <c r="X127" s="3"/>
    </row>
    <row r="128" spans="15:24" x14ac:dyDescent="0.2">
      <c r="O128" s="1"/>
      <c r="P128" s="1"/>
      <c r="R128" s="2"/>
      <c r="S128" s="3"/>
      <c r="T128" s="3"/>
      <c r="U128" s="3"/>
      <c r="V128" s="3"/>
      <c r="W128" s="3"/>
      <c r="X128" s="3"/>
    </row>
    <row r="129" spans="15:24" x14ac:dyDescent="0.2">
      <c r="O129" s="1"/>
      <c r="P129" s="1"/>
      <c r="R129" s="2"/>
      <c r="S129" s="3"/>
      <c r="T129" s="3"/>
      <c r="U129" s="3"/>
      <c r="V129" s="3"/>
      <c r="W129" s="3"/>
      <c r="X129" s="3"/>
    </row>
    <row r="130" spans="15:24" x14ac:dyDescent="0.2">
      <c r="O130" s="1"/>
      <c r="P130" s="1"/>
      <c r="R130" s="2"/>
      <c r="S130" s="3"/>
      <c r="T130" s="3"/>
      <c r="U130" s="3"/>
      <c r="V130" s="3"/>
      <c r="W130" s="3"/>
      <c r="X130" s="3"/>
    </row>
    <row r="131" spans="15:24" x14ac:dyDescent="0.2">
      <c r="O131" s="1"/>
      <c r="P131" s="1"/>
      <c r="R131" s="2"/>
      <c r="S131" s="3"/>
      <c r="T131" s="3"/>
      <c r="U131" s="3"/>
      <c r="V131" s="3"/>
      <c r="W131" s="3"/>
      <c r="X131" s="3"/>
    </row>
    <row r="132" spans="15:24" x14ac:dyDescent="0.2">
      <c r="O132" s="1"/>
      <c r="P132" s="1"/>
      <c r="R132" s="2"/>
      <c r="S132" s="3"/>
      <c r="T132" s="3"/>
      <c r="U132" s="3"/>
      <c r="V132" s="3"/>
      <c r="W132" s="3"/>
      <c r="X132" s="3"/>
    </row>
    <row r="133" spans="15:24" x14ac:dyDescent="0.2">
      <c r="O133" s="1"/>
      <c r="P133" s="1"/>
      <c r="R133" s="2"/>
      <c r="S133" s="3"/>
      <c r="T133" s="3"/>
      <c r="U133" s="3"/>
      <c r="V133" s="3"/>
      <c r="W133" s="3"/>
      <c r="X133" s="3"/>
    </row>
    <row r="134" spans="15:24" x14ac:dyDescent="0.2">
      <c r="O134" s="1"/>
      <c r="P134" s="1"/>
      <c r="R134" s="2"/>
      <c r="S134" s="3"/>
      <c r="T134" s="3"/>
      <c r="U134" s="3"/>
      <c r="V134" s="3"/>
      <c r="W134" s="3"/>
      <c r="X134" s="3"/>
    </row>
    <row r="135" spans="15:24" x14ac:dyDescent="0.2">
      <c r="O135" s="1"/>
      <c r="P135" s="1"/>
      <c r="R135" s="2"/>
      <c r="S135" s="3"/>
      <c r="T135" s="3"/>
      <c r="U135" s="3"/>
      <c r="V135" s="3"/>
      <c r="W135" s="3"/>
      <c r="X135" s="3"/>
    </row>
    <row r="136" spans="15:24" x14ac:dyDescent="0.2">
      <c r="O136" s="1"/>
      <c r="P136" s="1"/>
      <c r="R136" s="2"/>
      <c r="S136" s="3"/>
      <c r="T136" s="3"/>
      <c r="U136" s="3"/>
      <c r="V136" s="3"/>
      <c r="W136" s="3"/>
      <c r="X136" s="3"/>
    </row>
    <row r="137" spans="15:24" x14ac:dyDescent="0.2">
      <c r="O137" s="1"/>
      <c r="P137" s="1"/>
      <c r="R137" s="2"/>
      <c r="S137" s="3"/>
      <c r="T137" s="3"/>
      <c r="U137" s="3"/>
      <c r="V137" s="3"/>
      <c r="W137" s="3"/>
      <c r="X137" s="3"/>
    </row>
    <row r="138" spans="15:24" x14ac:dyDescent="0.2">
      <c r="O138" s="1"/>
      <c r="P138" s="1"/>
      <c r="R138" s="2"/>
      <c r="S138" s="3"/>
      <c r="T138" s="3"/>
      <c r="U138" s="3"/>
      <c r="V138" s="3"/>
      <c r="W138" s="3"/>
      <c r="X138" s="3"/>
    </row>
    <row r="139" spans="15:24" x14ac:dyDescent="0.2">
      <c r="O139" s="1"/>
      <c r="P139" s="1"/>
      <c r="R139" s="2"/>
      <c r="S139" s="3"/>
      <c r="T139" s="3"/>
      <c r="U139" s="3"/>
      <c r="V139" s="3"/>
      <c r="W139" s="3"/>
      <c r="X139" s="3"/>
    </row>
    <row r="140" spans="15:24" x14ac:dyDescent="0.2">
      <c r="O140" s="1"/>
      <c r="P140" s="1"/>
      <c r="R140" s="2"/>
      <c r="S140" s="3"/>
      <c r="T140" s="3"/>
      <c r="U140" s="3"/>
      <c r="V140" s="3"/>
      <c r="W140" s="3"/>
      <c r="X140" s="3"/>
    </row>
    <row r="141" spans="15:24" x14ac:dyDescent="0.2">
      <c r="O141" s="1"/>
      <c r="P141" s="1"/>
      <c r="R141" s="2"/>
      <c r="S141" s="3"/>
      <c r="T141" s="3"/>
      <c r="U141" s="3"/>
      <c r="V141" s="3"/>
      <c r="W141" s="3"/>
      <c r="X141" s="3"/>
    </row>
    <row r="142" spans="15:24" x14ac:dyDescent="0.2">
      <c r="O142" s="1"/>
      <c r="P142" s="1"/>
      <c r="R142" s="2"/>
      <c r="S142" s="3"/>
      <c r="T142" s="3"/>
      <c r="U142" s="3"/>
      <c r="V142" s="3"/>
      <c r="W142" s="3"/>
      <c r="X142" s="3"/>
    </row>
    <row r="143" spans="15:24" x14ac:dyDescent="0.2">
      <c r="O143" s="1"/>
      <c r="P143" s="1"/>
      <c r="R143" s="2"/>
      <c r="S143" s="3"/>
      <c r="T143" s="3"/>
      <c r="U143" s="3"/>
      <c r="V143" s="3"/>
      <c r="W143" s="3"/>
      <c r="X143" s="3"/>
    </row>
    <row r="144" spans="15:24" x14ac:dyDescent="0.2">
      <c r="O144" s="1"/>
      <c r="P144" s="1"/>
      <c r="R144" s="2"/>
      <c r="S144" s="3"/>
      <c r="T144" s="3"/>
      <c r="U144" s="3"/>
      <c r="V144" s="3"/>
      <c r="W144" s="3"/>
      <c r="X144" s="3"/>
    </row>
    <row r="145" spans="15:24" x14ac:dyDescent="0.2">
      <c r="O145" s="1"/>
      <c r="P145" s="1"/>
      <c r="R145" s="2"/>
      <c r="S145" s="3"/>
      <c r="T145" s="3"/>
      <c r="U145" s="3"/>
      <c r="V145" s="3"/>
      <c r="W145" s="3"/>
      <c r="X145" s="3"/>
    </row>
    <row r="146" spans="15:24" x14ac:dyDescent="0.2">
      <c r="O146" s="1"/>
      <c r="P146" s="1"/>
      <c r="R146" s="2"/>
      <c r="S146" s="3"/>
      <c r="T146" s="3"/>
      <c r="U146" s="3"/>
      <c r="V146" s="3"/>
      <c r="W146" s="3"/>
      <c r="X146" s="3"/>
    </row>
    <row r="147" spans="15:24" x14ac:dyDescent="0.2">
      <c r="O147" s="1"/>
      <c r="P147" s="1"/>
      <c r="R147" s="2"/>
      <c r="S147" s="3"/>
      <c r="T147" s="3"/>
      <c r="U147" s="3"/>
      <c r="V147" s="3"/>
      <c r="W147" s="3"/>
      <c r="X147" s="3"/>
    </row>
    <row r="148" spans="15:24" x14ac:dyDescent="0.2">
      <c r="O148" s="1"/>
      <c r="P148" s="1"/>
      <c r="R148" s="2"/>
      <c r="S148" s="3"/>
      <c r="T148" s="3"/>
      <c r="U148" s="3"/>
      <c r="V148" s="3"/>
      <c r="W148" s="3"/>
      <c r="X148" s="3"/>
    </row>
    <row r="149" spans="15:24" x14ac:dyDescent="0.2">
      <c r="O149" s="1"/>
      <c r="P149" s="1"/>
      <c r="R149" s="2"/>
      <c r="S149" s="3"/>
      <c r="T149" s="3"/>
      <c r="U149" s="3"/>
      <c r="V149" s="3"/>
      <c r="W149" s="3"/>
      <c r="X149" s="3"/>
    </row>
    <row r="150" spans="15:24" x14ac:dyDescent="0.2">
      <c r="O150" s="1"/>
      <c r="P150" s="1"/>
      <c r="R150" s="2"/>
      <c r="S150" s="3"/>
      <c r="T150" s="3"/>
      <c r="U150" s="3"/>
      <c r="V150" s="3"/>
      <c r="W150" s="3"/>
      <c r="X150" s="3"/>
    </row>
    <row r="151" spans="15:24" x14ac:dyDescent="0.2">
      <c r="O151" s="1"/>
      <c r="P151" s="1"/>
      <c r="R151" s="2"/>
      <c r="S151" s="3"/>
      <c r="T151" s="3"/>
      <c r="U151" s="3"/>
      <c r="V151" s="3"/>
      <c r="W151" s="3"/>
      <c r="X151" s="3"/>
    </row>
    <row r="152" spans="15:24" x14ac:dyDescent="0.2">
      <c r="O152" s="1"/>
      <c r="P152" s="1"/>
      <c r="R152" s="2"/>
      <c r="S152" s="3"/>
      <c r="T152" s="3"/>
      <c r="U152" s="3"/>
      <c r="V152" s="3"/>
      <c r="W152" s="3"/>
      <c r="X152" s="3"/>
    </row>
    <row r="153" spans="15:24" x14ac:dyDescent="0.2">
      <c r="O153" s="1"/>
      <c r="P153" s="1"/>
      <c r="R153" s="2"/>
      <c r="S153" s="3"/>
      <c r="T153" s="3"/>
      <c r="U153" s="3"/>
      <c r="V153" s="3"/>
      <c r="W153" s="3"/>
      <c r="X153" s="3"/>
    </row>
    <row r="154" spans="15:24" x14ac:dyDescent="0.2">
      <c r="O154" s="1"/>
      <c r="P154" s="1"/>
      <c r="R154" s="2"/>
      <c r="S154" s="3"/>
      <c r="T154" s="3"/>
      <c r="U154" s="3"/>
      <c r="V154" s="3"/>
      <c r="W154" s="3"/>
      <c r="X154" s="3"/>
    </row>
    <row r="155" spans="15:24" x14ac:dyDescent="0.2">
      <c r="O155" s="1"/>
      <c r="P155" s="1"/>
      <c r="R155" s="2"/>
      <c r="S155" s="3"/>
      <c r="T155" s="3"/>
      <c r="U155" s="3"/>
      <c r="V155" s="3"/>
      <c r="W155" s="3"/>
      <c r="X155" s="3"/>
    </row>
    <row r="156" spans="15:24" x14ac:dyDescent="0.2">
      <c r="O156" s="1"/>
      <c r="P156" s="1"/>
      <c r="R156" s="2"/>
      <c r="S156" s="3"/>
      <c r="T156" s="3"/>
      <c r="U156" s="3"/>
      <c r="V156" s="3"/>
      <c r="W156" s="3"/>
      <c r="X156" s="3"/>
    </row>
    <row r="157" spans="15:24" x14ac:dyDescent="0.2">
      <c r="O157" s="1"/>
      <c r="P157" s="1"/>
      <c r="R157" s="2"/>
      <c r="S157" s="3"/>
      <c r="T157" s="3"/>
      <c r="U157" s="3"/>
      <c r="V157" s="3"/>
      <c r="W157" s="3"/>
      <c r="X157" s="3"/>
    </row>
    <row r="158" spans="15:24" x14ac:dyDescent="0.2">
      <c r="O158" s="1"/>
      <c r="P158" s="1"/>
      <c r="R158" s="2"/>
      <c r="S158" s="3"/>
      <c r="T158" s="3"/>
      <c r="U158" s="3"/>
      <c r="V158" s="3"/>
      <c r="W158" s="3"/>
      <c r="X158" s="3"/>
    </row>
    <row r="159" spans="15:24" x14ac:dyDescent="0.2">
      <c r="O159" s="1"/>
      <c r="P159" s="1"/>
      <c r="R159" s="2"/>
      <c r="S159" s="3"/>
      <c r="T159" s="3"/>
      <c r="U159" s="3"/>
      <c r="V159" s="3"/>
      <c r="W159" s="3"/>
      <c r="X159" s="3"/>
    </row>
    <row r="160" spans="15:24" x14ac:dyDescent="0.2">
      <c r="O160" s="1"/>
      <c r="P160" s="1"/>
      <c r="R160" s="2"/>
      <c r="S160" s="3"/>
      <c r="T160" s="3"/>
      <c r="U160" s="3"/>
      <c r="V160" s="3"/>
      <c r="W160" s="3"/>
      <c r="X160" s="3"/>
    </row>
    <row r="161" spans="15:24" x14ac:dyDescent="0.2">
      <c r="O161" s="1"/>
      <c r="P161" s="1"/>
      <c r="R161" s="2"/>
      <c r="S161" s="3"/>
      <c r="T161" s="3"/>
      <c r="U161" s="3"/>
      <c r="V161" s="3"/>
      <c r="W161" s="3"/>
      <c r="X161" s="3"/>
    </row>
    <row r="162" spans="15:24" x14ac:dyDescent="0.2">
      <c r="O162" s="1"/>
      <c r="P162" s="1"/>
      <c r="R162" s="2"/>
      <c r="S162" s="3"/>
      <c r="T162" s="3"/>
      <c r="U162" s="3"/>
      <c r="V162" s="3"/>
      <c r="W162" s="3"/>
      <c r="X162" s="3"/>
    </row>
    <row r="163" spans="15:24" x14ac:dyDescent="0.2">
      <c r="O163" s="1"/>
      <c r="P163" s="1"/>
      <c r="R163" s="2"/>
      <c r="S163" s="3"/>
      <c r="T163" s="3"/>
      <c r="U163" s="3"/>
      <c r="V163" s="3"/>
      <c r="W163" s="3"/>
      <c r="X163" s="3"/>
    </row>
    <row r="164" spans="15:24" x14ac:dyDescent="0.2">
      <c r="O164" s="1"/>
      <c r="P164" s="1"/>
      <c r="R164" s="2"/>
      <c r="S164" s="3"/>
      <c r="T164" s="3"/>
      <c r="U164" s="3"/>
      <c r="V164" s="3"/>
      <c r="W164" s="3"/>
      <c r="X164" s="3"/>
    </row>
    <row r="165" spans="15:24" x14ac:dyDescent="0.2">
      <c r="O165" s="1"/>
      <c r="P165" s="1"/>
      <c r="R165" s="2"/>
      <c r="S165" s="3"/>
      <c r="T165" s="3"/>
      <c r="U165" s="3"/>
      <c r="V165" s="3"/>
      <c r="W165" s="3"/>
      <c r="X165" s="3"/>
    </row>
    <row r="166" spans="15:24" x14ac:dyDescent="0.2">
      <c r="O166" s="1"/>
      <c r="P166" s="1"/>
      <c r="R166" s="2"/>
      <c r="S166" s="3"/>
      <c r="T166" s="3"/>
      <c r="U166" s="3"/>
      <c r="V166" s="3"/>
      <c r="W166" s="3"/>
      <c r="X166" s="3"/>
    </row>
    <row r="167" spans="15:24" x14ac:dyDescent="0.2">
      <c r="O167" s="1"/>
      <c r="P167" s="1"/>
      <c r="R167" s="2"/>
      <c r="S167" s="3"/>
      <c r="T167" s="3"/>
      <c r="U167" s="3"/>
      <c r="V167" s="3"/>
      <c r="W167" s="3"/>
      <c r="X167" s="3"/>
    </row>
    <row r="168" spans="15:24" x14ac:dyDescent="0.2">
      <c r="O168" s="1"/>
      <c r="P168" s="1"/>
      <c r="R168" s="2"/>
      <c r="S168" s="3"/>
      <c r="T168" s="3"/>
      <c r="U168" s="3"/>
      <c r="V168" s="3"/>
      <c r="W168" s="3"/>
      <c r="X168" s="3"/>
    </row>
    <row r="169" spans="15:24" x14ac:dyDescent="0.2">
      <c r="O169" s="1"/>
      <c r="P169" s="1"/>
      <c r="R169" s="2"/>
      <c r="S169" s="3"/>
      <c r="T169" s="3"/>
      <c r="U169" s="3"/>
      <c r="V169" s="3"/>
      <c r="W169" s="3"/>
      <c r="X169" s="3"/>
    </row>
    <row r="170" spans="15:24" x14ac:dyDescent="0.2">
      <c r="O170" s="1"/>
      <c r="P170" s="1"/>
      <c r="R170" s="2"/>
      <c r="S170" s="3"/>
      <c r="T170" s="3"/>
      <c r="U170" s="3"/>
      <c r="V170" s="3"/>
      <c r="W170" s="3"/>
      <c r="X170" s="3"/>
    </row>
    <row r="171" spans="15:24" x14ac:dyDescent="0.2">
      <c r="O171" s="1"/>
      <c r="P171" s="1"/>
      <c r="R171" s="2"/>
      <c r="S171" s="3"/>
      <c r="T171" s="3"/>
      <c r="U171" s="3"/>
      <c r="V171" s="3"/>
      <c r="W171" s="3"/>
      <c r="X171" s="3"/>
    </row>
    <row r="172" spans="15:24" x14ac:dyDescent="0.2">
      <c r="O172" s="1"/>
      <c r="P172" s="1"/>
      <c r="R172" s="2"/>
      <c r="S172" s="3"/>
      <c r="T172" s="3"/>
      <c r="U172" s="3"/>
      <c r="V172" s="3"/>
      <c r="W172" s="3"/>
      <c r="X172" s="3"/>
    </row>
    <row r="173" spans="15:24" x14ac:dyDescent="0.2">
      <c r="O173" s="1"/>
      <c r="P173" s="1"/>
      <c r="R173" s="2"/>
      <c r="S173" s="3"/>
      <c r="T173" s="3"/>
      <c r="U173" s="3"/>
      <c r="V173" s="3"/>
      <c r="W173" s="3"/>
      <c r="X173" s="3"/>
    </row>
    <row r="174" spans="15:24" x14ac:dyDescent="0.2">
      <c r="O174" s="1"/>
      <c r="P174" s="1"/>
      <c r="R174" s="2"/>
      <c r="S174" s="3"/>
      <c r="T174" s="3"/>
      <c r="U174" s="3"/>
      <c r="V174" s="3"/>
      <c r="W174" s="3"/>
      <c r="X174" s="3"/>
    </row>
    <row r="175" spans="15:24" x14ac:dyDescent="0.2">
      <c r="O175" s="1"/>
      <c r="P175" s="1"/>
      <c r="R175" s="2"/>
      <c r="S175" s="3"/>
      <c r="T175" s="3"/>
      <c r="U175" s="3"/>
      <c r="V175" s="3"/>
      <c r="W175" s="3"/>
      <c r="X175" s="3"/>
    </row>
    <row r="176" spans="15:24" x14ac:dyDescent="0.2">
      <c r="O176" s="1"/>
      <c r="P176" s="1"/>
      <c r="R176" s="2"/>
      <c r="S176" s="3"/>
      <c r="T176" s="3"/>
      <c r="U176" s="3"/>
      <c r="V176" s="3"/>
      <c r="W176" s="3"/>
      <c r="X176" s="3"/>
    </row>
    <row r="177" spans="15:24" x14ac:dyDescent="0.2">
      <c r="O177" s="1"/>
      <c r="P177" s="1"/>
      <c r="R177" s="2"/>
      <c r="S177" s="3"/>
      <c r="T177" s="3"/>
      <c r="U177" s="3"/>
      <c r="V177" s="3"/>
      <c r="W177" s="3"/>
      <c r="X177" s="3"/>
    </row>
    <row r="178" spans="15:24" x14ac:dyDescent="0.2">
      <c r="O178" s="1"/>
      <c r="P178" s="1"/>
      <c r="R178" s="2"/>
      <c r="S178" s="3"/>
      <c r="T178" s="3"/>
      <c r="U178" s="3"/>
      <c r="V178" s="3"/>
      <c r="W178" s="3"/>
      <c r="X178" s="3"/>
    </row>
    <row r="179" spans="15:24" x14ac:dyDescent="0.2">
      <c r="O179" s="1"/>
      <c r="P179" s="1"/>
      <c r="R179" s="2"/>
      <c r="S179" s="3"/>
      <c r="T179" s="3"/>
      <c r="U179" s="3"/>
      <c r="V179" s="3"/>
      <c r="W179" s="3"/>
      <c r="X179" s="3"/>
    </row>
    <row r="180" spans="15:24" x14ac:dyDescent="0.2">
      <c r="O180" s="1"/>
      <c r="P180" s="1"/>
      <c r="R180" s="2"/>
      <c r="S180" s="3"/>
      <c r="T180" s="3"/>
      <c r="U180" s="3"/>
      <c r="V180" s="3"/>
      <c r="W180" s="3"/>
      <c r="X180" s="3"/>
    </row>
    <row r="181" spans="15:24" x14ac:dyDescent="0.2">
      <c r="O181" s="1"/>
      <c r="P181" s="1"/>
      <c r="R181" s="2"/>
      <c r="S181" s="3"/>
      <c r="T181" s="3"/>
      <c r="U181" s="3"/>
      <c r="V181" s="3"/>
      <c r="W181" s="3"/>
      <c r="X181" s="3"/>
    </row>
    <row r="182" spans="15:24" x14ac:dyDescent="0.2">
      <c r="O182" s="1"/>
      <c r="P182" s="1"/>
      <c r="R182" s="2"/>
      <c r="S182" s="3"/>
      <c r="T182" s="3"/>
      <c r="U182" s="3"/>
      <c r="V182" s="3"/>
      <c r="W182" s="3"/>
      <c r="X182" s="3"/>
    </row>
    <row r="183" spans="15:24" x14ac:dyDescent="0.2">
      <c r="O183" s="1"/>
      <c r="P183" s="1"/>
      <c r="R183" s="2"/>
      <c r="S183" s="3"/>
      <c r="T183" s="3"/>
      <c r="U183" s="3"/>
      <c r="V183" s="3"/>
      <c r="W183" s="3"/>
      <c r="X183" s="3"/>
    </row>
    <row r="184" spans="15:24" x14ac:dyDescent="0.2">
      <c r="O184" s="1"/>
      <c r="P184" s="1"/>
      <c r="R184" s="2"/>
      <c r="S184" s="3"/>
      <c r="T184" s="3"/>
      <c r="U184" s="3"/>
      <c r="V184" s="3"/>
      <c r="W184" s="3"/>
      <c r="X184" s="3"/>
    </row>
    <row r="185" spans="15:24" x14ac:dyDescent="0.2">
      <c r="O185" s="1"/>
      <c r="P185" s="1"/>
      <c r="R185" s="2"/>
      <c r="S185" s="3"/>
      <c r="T185" s="3"/>
      <c r="U185" s="3"/>
      <c r="V185" s="3"/>
      <c r="W185" s="3"/>
      <c r="X185" s="3"/>
    </row>
    <row r="186" spans="15:24" x14ac:dyDescent="0.2">
      <c r="O186" s="1"/>
      <c r="P186" s="1"/>
      <c r="R186" s="2"/>
      <c r="S186" s="3"/>
      <c r="T186" s="3"/>
      <c r="U186" s="3"/>
      <c r="V186" s="3"/>
      <c r="W186" s="3"/>
      <c r="X186" s="3"/>
    </row>
    <row r="187" spans="15:24" x14ac:dyDescent="0.2">
      <c r="O187" s="1"/>
      <c r="P187" s="1"/>
      <c r="R187" s="2"/>
      <c r="S187" s="3"/>
      <c r="T187" s="3"/>
      <c r="U187" s="3"/>
      <c r="V187" s="3"/>
      <c r="W187" s="3"/>
      <c r="X187" s="3"/>
    </row>
    <row r="188" spans="15:24" x14ac:dyDescent="0.2">
      <c r="O188" s="1"/>
      <c r="P188" s="1"/>
      <c r="R188" s="2"/>
      <c r="S188" s="3"/>
      <c r="T188" s="3"/>
      <c r="U188" s="3"/>
      <c r="V188" s="3"/>
      <c r="W188" s="3"/>
      <c r="X188" s="3"/>
    </row>
    <row r="189" spans="15:24" x14ac:dyDescent="0.2">
      <c r="O189" s="1"/>
      <c r="P189" s="1"/>
      <c r="R189" s="2"/>
      <c r="S189" s="3"/>
      <c r="T189" s="3"/>
      <c r="U189" s="3"/>
      <c r="V189" s="3"/>
      <c r="W189" s="3"/>
      <c r="X189" s="3"/>
    </row>
    <row r="190" spans="15:24" x14ac:dyDescent="0.2">
      <c r="O190" s="1"/>
      <c r="P190" s="1"/>
      <c r="R190" s="2"/>
      <c r="S190" s="3"/>
      <c r="T190" s="3"/>
      <c r="U190" s="3"/>
      <c r="V190" s="3"/>
      <c r="W190" s="3"/>
      <c r="X190" s="3"/>
    </row>
    <row r="191" spans="15:24" x14ac:dyDescent="0.2">
      <c r="O191" s="1"/>
      <c r="P191" s="1"/>
      <c r="R191" s="2"/>
      <c r="S191" s="3"/>
      <c r="T191" s="3"/>
      <c r="U191" s="3"/>
      <c r="V191" s="3"/>
      <c r="W191" s="3"/>
      <c r="X191" s="3"/>
    </row>
    <row r="192" spans="15:24" x14ac:dyDescent="0.2">
      <c r="O192" s="1"/>
      <c r="P192" s="1"/>
      <c r="R192" s="2"/>
      <c r="S192" s="3"/>
      <c r="T192" s="3"/>
      <c r="U192" s="3"/>
      <c r="V192" s="3"/>
      <c r="W192" s="3"/>
      <c r="X192" s="3"/>
    </row>
    <row r="193" spans="15:24" x14ac:dyDescent="0.2">
      <c r="O193" s="1"/>
      <c r="P193" s="1"/>
      <c r="R193" s="2"/>
      <c r="S193" s="3"/>
      <c r="T193" s="3"/>
      <c r="U193" s="3"/>
      <c r="V193" s="3"/>
      <c r="W193" s="3"/>
      <c r="X193" s="3"/>
    </row>
    <row r="194" spans="15:24" x14ac:dyDescent="0.2">
      <c r="O194" s="1"/>
      <c r="P194" s="1"/>
      <c r="R194" s="2"/>
      <c r="S194" s="3"/>
      <c r="T194" s="3"/>
      <c r="U194" s="3"/>
      <c r="V194" s="3"/>
      <c r="W194" s="3"/>
      <c r="X194" s="3"/>
    </row>
    <row r="195" spans="15:24" x14ac:dyDescent="0.2">
      <c r="O195" s="1"/>
      <c r="P195" s="1"/>
      <c r="R195" s="2"/>
      <c r="S195" s="3"/>
      <c r="T195" s="3"/>
      <c r="U195" s="3"/>
      <c r="V195" s="3"/>
      <c r="W195" s="3"/>
      <c r="X195" s="3"/>
    </row>
    <row r="196" spans="15:24" x14ac:dyDescent="0.2">
      <c r="O196" s="1"/>
      <c r="P196" s="1"/>
      <c r="R196" s="2"/>
      <c r="S196" s="3"/>
      <c r="T196" s="3"/>
      <c r="U196" s="3"/>
      <c r="V196" s="3"/>
      <c r="W196" s="3"/>
      <c r="X196" s="3"/>
    </row>
    <row r="197" spans="15:24" x14ac:dyDescent="0.2">
      <c r="O197" s="1"/>
      <c r="P197" s="1"/>
      <c r="R197" s="2"/>
      <c r="S197" s="3"/>
      <c r="T197" s="3"/>
      <c r="U197" s="3"/>
      <c r="V197" s="3"/>
      <c r="W197" s="3"/>
      <c r="X197" s="3"/>
    </row>
    <row r="198" spans="15:24" x14ac:dyDescent="0.2">
      <c r="O198" s="1"/>
      <c r="P198" s="1"/>
      <c r="R198" s="2"/>
      <c r="S198" s="3"/>
      <c r="T198" s="3"/>
      <c r="U198" s="3"/>
      <c r="V198" s="3"/>
      <c r="W198" s="3"/>
      <c r="X198" s="3"/>
    </row>
    <row r="199" spans="15:24" x14ac:dyDescent="0.2">
      <c r="O199" s="1"/>
      <c r="P199" s="1"/>
      <c r="R199" s="2"/>
      <c r="S199" s="3"/>
      <c r="T199" s="3"/>
      <c r="U199" s="3"/>
      <c r="V199" s="3"/>
      <c r="W199" s="3"/>
      <c r="X199" s="3"/>
    </row>
    <row r="200" spans="15:24" x14ac:dyDescent="0.2">
      <c r="O200" s="1"/>
      <c r="P200" s="1"/>
      <c r="R200" s="2"/>
      <c r="S200" s="3"/>
      <c r="T200" s="3"/>
      <c r="U200" s="3"/>
      <c r="V200" s="3"/>
      <c r="W200" s="3"/>
      <c r="X200" s="3"/>
    </row>
    <row r="201" spans="15:24" x14ac:dyDescent="0.2">
      <c r="O201" s="1"/>
      <c r="P201" s="1"/>
      <c r="R201" s="2"/>
      <c r="S201" s="3"/>
      <c r="T201" s="3"/>
      <c r="U201" s="3"/>
      <c r="V201" s="3"/>
      <c r="W201" s="3"/>
      <c r="X201" s="3"/>
    </row>
    <row r="202" spans="15:24" x14ac:dyDescent="0.2">
      <c r="O202" s="1"/>
      <c r="P202" s="1"/>
      <c r="R202" s="2"/>
      <c r="S202" s="3"/>
      <c r="T202" s="3"/>
      <c r="U202" s="3"/>
      <c r="V202" s="3"/>
      <c r="W202" s="3"/>
      <c r="X202" s="3"/>
    </row>
    <row r="203" spans="15:24" x14ac:dyDescent="0.2">
      <c r="O203" s="1"/>
      <c r="P203" s="1"/>
      <c r="R203" s="2"/>
      <c r="S203" s="3"/>
      <c r="T203" s="3"/>
      <c r="U203" s="3"/>
      <c r="V203" s="3"/>
      <c r="W203" s="3"/>
      <c r="X203" s="3"/>
    </row>
    <row r="204" spans="15:24" x14ac:dyDescent="0.2">
      <c r="O204" s="1"/>
      <c r="P204" s="1"/>
      <c r="R204" s="2"/>
      <c r="S204" s="3"/>
      <c r="T204" s="3"/>
      <c r="U204" s="3"/>
      <c r="V204" s="3"/>
      <c r="W204" s="3"/>
      <c r="X204" s="3"/>
    </row>
    <row r="205" spans="15:24" x14ac:dyDescent="0.2">
      <c r="O205" s="1"/>
      <c r="P205" s="1"/>
      <c r="R205" s="2"/>
      <c r="S205" s="3"/>
      <c r="T205" s="3"/>
      <c r="U205" s="3"/>
      <c r="V205" s="3"/>
      <c r="W205" s="3"/>
      <c r="X205" s="3"/>
    </row>
    <row r="206" spans="15:24" x14ac:dyDescent="0.2">
      <c r="O206" s="1"/>
      <c r="P206" s="1"/>
      <c r="R206" s="2"/>
      <c r="S206" s="3"/>
      <c r="T206" s="3"/>
      <c r="U206" s="3"/>
      <c r="V206" s="3"/>
      <c r="W206" s="3"/>
      <c r="X206" s="3"/>
    </row>
    <row r="207" spans="15:24" x14ac:dyDescent="0.2">
      <c r="O207" s="1"/>
      <c r="P207" s="1"/>
      <c r="R207" s="2"/>
      <c r="S207" s="3"/>
      <c r="T207" s="3"/>
      <c r="U207" s="3"/>
      <c r="V207" s="3"/>
      <c r="W207" s="3"/>
      <c r="X207" s="3"/>
    </row>
    <row r="208" spans="15:24" x14ac:dyDescent="0.2">
      <c r="O208" s="1"/>
      <c r="P208" s="1"/>
      <c r="R208" s="2"/>
      <c r="S208" s="3"/>
      <c r="T208" s="3"/>
      <c r="U208" s="3"/>
      <c r="V208" s="3"/>
      <c r="W208" s="3"/>
      <c r="X208" s="3"/>
    </row>
    <row r="209" spans="15:24" x14ac:dyDescent="0.2">
      <c r="O209" s="1"/>
      <c r="P209" s="1"/>
      <c r="R209" s="2"/>
      <c r="S209" s="3"/>
      <c r="T209" s="3"/>
      <c r="U209" s="3"/>
      <c r="V209" s="3"/>
      <c r="W209" s="3"/>
      <c r="X209" s="3"/>
    </row>
    <row r="210" spans="15:24" x14ac:dyDescent="0.2">
      <c r="O210" s="1"/>
      <c r="P210" s="1"/>
      <c r="R210" s="2"/>
      <c r="S210" s="3"/>
      <c r="T210" s="3"/>
      <c r="U210" s="3"/>
      <c r="V210" s="3"/>
      <c r="W210" s="3"/>
      <c r="X210" s="3"/>
    </row>
    <row r="211" spans="15:24" x14ac:dyDescent="0.2">
      <c r="O211" s="1"/>
      <c r="P211" s="1"/>
      <c r="R211" s="2"/>
      <c r="S211" s="3"/>
      <c r="T211" s="3"/>
      <c r="U211" s="3"/>
      <c r="V211" s="3"/>
      <c r="W211" s="3"/>
      <c r="X211" s="3"/>
    </row>
    <row r="212" spans="15:24" x14ac:dyDescent="0.2">
      <c r="O212" s="1"/>
      <c r="P212" s="1"/>
      <c r="R212" s="2"/>
      <c r="S212" s="3"/>
      <c r="T212" s="3"/>
      <c r="U212" s="3"/>
      <c r="V212" s="3"/>
      <c r="W212" s="3"/>
      <c r="X212" s="3"/>
    </row>
    <row r="213" spans="15:24" x14ac:dyDescent="0.2">
      <c r="O213" s="1"/>
      <c r="P213" s="1"/>
      <c r="R213" s="2"/>
      <c r="S213" s="3"/>
      <c r="T213" s="3"/>
      <c r="U213" s="3"/>
      <c r="V213" s="3"/>
      <c r="W213" s="3"/>
      <c r="X213" s="3"/>
    </row>
    <row r="214" spans="15:24" x14ac:dyDescent="0.2">
      <c r="O214" s="1"/>
      <c r="P214" s="1"/>
      <c r="R214" s="2"/>
      <c r="S214" s="3"/>
      <c r="T214" s="3"/>
      <c r="U214" s="3"/>
      <c r="V214" s="3"/>
      <c r="W214" s="3"/>
      <c r="X214" s="3"/>
    </row>
    <row r="215" spans="15:24" x14ac:dyDescent="0.2">
      <c r="O215" s="1"/>
      <c r="P215" s="1"/>
      <c r="R215" s="2"/>
      <c r="S215" s="3"/>
      <c r="T215" s="3"/>
      <c r="U215" s="3"/>
      <c r="V215" s="3"/>
      <c r="W215" s="3"/>
      <c r="X215" s="3"/>
    </row>
    <row r="216" spans="15:24" x14ac:dyDescent="0.2">
      <c r="O216" s="1"/>
      <c r="P216" s="1"/>
      <c r="R216" s="2"/>
      <c r="S216" s="3"/>
      <c r="T216" s="3"/>
      <c r="U216" s="3"/>
      <c r="V216" s="3"/>
      <c r="W216" s="3"/>
      <c r="X216" s="3"/>
    </row>
    <row r="217" spans="15:24" x14ac:dyDescent="0.2">
      <c r="O217" s="1"/>
      <c r="P217" s="1"/>
      <c r="R217" s="2"/>
      <c r="S217" s="3"/>
      <c r="T217" s="3"/>
      <c r="U217" s="3"/>
      <c r="V217" s="3"/>
      <c r="W217" s="3"/>
      <c r="X217" s="3"/>
    </row>
    <row r="218" spans="15:24" x14ac:dyDescent="0.2">
      <c r="O218" s="1"/>
      <c r="P218" s="1"/>
      <c r="R218" s="2"/>
      <c r="S218" s="3"/>
      <c r="T218" s="3"/>
      <c r="U218" s="3"/>
      <c r="V218" s="3"/>
      <c r="W218" s="3"/>
      <c r="X218" s="3"/>
    </row>
    <row r="219" spans="15:24" x14ac:dyDescent="0.2">
      <c r="O219" s="1"/>
      <c r="P219" s="1"/>
      <c r="R219" s="2"/>
      <c r="S219" s="3"/>
      <c r="T219" s="3"/>
      <c r="U219" s="3"/>
      <c r="V219" s="3"/>
      <c r="W219" s="3"/>
      <c r="X219" s="3"/>
    </row>
    <row r="220" spans="15:24" x14ac:dyDescent="0.2">
      <c r="O220" s="1"/>
      <c r="P220" s="1"/>
      <c r="R220" s="2"/>
      <c r="S220" s="3"/>
      <c r="T220" s="3"/>
      <c r="U220" s="3"/>
      <c r="V220" s="3"/>
      <c r="W220" s="3"/>
      <c r="X220" s="3"/>
    </row>
    <row r="221" spans="15:24" x14ac:dyDescent="0.2">
      <c r="O221" s="1"/>
      <c r="P221" s="1"/>
      <c r="R221" s="2"/>
      <c r="S221" s="3"/>
      <c r="T221" s="3"/>
      <c r="U221" s="3"/>
      <c r="V221" s="3"/>
      <c r="W221" s="3"/>
      <c r="X221" s="3"/>
    </row>
    <row r="222" spans="15:24" x14ac:dyDescent="0.2">
      <c r="O222" s="1"/>
      <c r="P222" s="1"/>
      <c r="R222" s="2"/>
      <c r="S222" s="3"/>
      <c r="T222" s="3"/>
      <c r="U222" s="3"/>
      <c r="V222" s="3"/>
      <c r="W222" s="3"/>
      <c r="X222" s="3"/>
    </row>
    <row r="223" spans="15:24" x14ac:dyDescent="0.2">
      <c r="O223" s="1"/>
      <c r="P223" s="1"/>
      <c r="R223" s="2"/>
      <c r="S223" s="3"/>
      <c r="T223" s="3"/>
      <c r="U223" s="3"/>
      <c r="V223" s="3"/>
      <c r="W223" s="3"/>
      <c r="X223" s="3"/>
    </row>
    <row r="224" spans="15:24" x14ac:dyDescent="0.2">
      <c r="O224" s="1"/>
      <c r="P224" s="1"/>
      <c r="R224" s="2"/>
      <c r="S224" s="3"/>
      <c r="T224" s="3"/>
      <c r="U224" s="3"/>
      <c r="V224" s="3"/>
      <c r="W224" s="3"/>
      <c r="X224" s="3"/>
    </row>
    <row r="225" spans="15:24" x14ac:dyDescent="0.2">
      <c r="O225" s="1"/>
      <c r="P225" s="1"/>
      <c r="R225" s="2"/>
      <c r="S225" s="3"/>
      <c r="T225" s="3"/>
      <c r="U225" s="3"/>
      <c r="V225" s="3"/>
      <c r="W225" s="3"/>
      <c r="X225" s="3"/>
    </row>
    <row r="226" spans="15:24" x14ac:dyDescent="0.2">
      <c r="O226" s="1"/>
      <c r="P226" s="1"/>
      <c r="R226" s="2"/>
      <c r="S226" s="3"/>
      <c r="T226" s="3"/>
      <c r="U226" s="3"/>
      <c r="V226" s="3"/>
      <c r="W226" s="3"/>
      <c r="X226" s="3"/>
    </row>
    <row r="227" spans="15:24" x14ac:dyDescent="0.2">
      <c r="O227" s="1"/>
      <c r="P227" s="1"/>
      <c r="R227" s="2"/>
      <c r="S227" s="3"/>
      <c r="T227" s="3"/>
      <c r="U227" s="3"/>
      <c r="V227" s="3"/>
      <c r="W227" s="3"/>
      <c r="X227" s="3"/>
    </row>
    <row r="228" spans="15:24" x14ac:dyDescent="0.2">
      <c r="O228" s="1"/>
      <c r="P228" s="1"/>
      <c r="R228" s="2"/>
      <c r="S228" s="3"/>
      <c r="T228" s="3"/>
      <c r="U228" s="3"/>
      <c r="V228" s="3"/>
      <c r="W228" s="3"/>
      <c r="X228" s="3"/>
    </row>
    <row r="229" spans="15:24" x14ac:dyDescent="0.2">
      <c r="O229" s="1"/>
      <c r="P229" s="1"/>
      <c r="R229" s="2"/>
      <c r="S229" s="3"/>
      <c r="T229" s="3"/>
      <c r="U229" s="3"/>
      <c r="V229" s="3"/>
      <c r="W229" s="3"/>
      <c r="X229" s="3"/>
    </row>
    <row r="230" spans="15:24" x14ac:dyDescent="0.2">
      <c r="O230" s="1"/>
      <c r="P230" s="1"/>
      <c r="R230" s="2"/>
      <c r="S230" s="3"/>
      <c r="T230" s="3"/>
      <c r="U230" s="3"/>
      <c r="V230" s="3"/>
      <c r="W230" s="3"/>
      <c r="X230" s="3"/>
    </row>
    <row r="231" spans="15:24" x14ac:dyDescent="0.2">
      <c r="O231" s="1"/>
      <c r="P231" s="1"/>
      <c r="R231" s="2"/>
      <c r="S231" s="3"/>
      <c r="T231" s="3"/>
      <c r="U231" s="3"/>
      <c r="V231" s="3"/>
      <c r="W231" s="3"/>
      <c r="X231" s="3"/>
    </row>
    <row r="232" spans="15:24" x14ac:dyDescent="0.2">
      <c r="O232" s="1"/>
      <c r="P232" s="1"/>
      <c r="R232" s="2"/>
      <c r="S232" s="3"/>
      <c r="T232" s="3"/>
      <c r="U232" s="3"/>
      <c r="V232" s="3"/>
      <c r="W232" s="3"/>
      <c r="X232" s="3"/>
    </row>
    <row r="233" spans="15:24" x14ac:dyDescent="0.2">
      <c r="O233" s="1"/>
      <c r="P233" s="1"/>
      <c r="R233" s="2"/>
      <c r="S233" s="3"/>
      <c r="T233" s="3"/>
      <c r="U233" s="3"/>
      <c r="V233" s="3"/>
      <c r="W233" s="3"/>
      <c r="X233" s="3"/>
    </row>
    <row r="234" spans="15:24" x14ac:dyDescent="0.2">
      <c r="O234" s="1"/>
      <c r="P234" s="1"/>
      <c r="R234" s="2"/>
      <c r="S234" s="3"/>
      <c r="T234" s="3"/>
      <c r="U234" s="3"/>
      <c r="V234" s="3"/>
      <c r="W234" s="3"/>
      <c r="X234" s="3"/>
    </row>
    <row r="235" spans="15:24" x14ac:dyDescent="0.2">
      <c r="O235" s="1"/>
      <c r="P235" s="1"/>
      <c r="R235" s="2"/>
      <c r="S235" s="3"/>
      <c r="T235" s="3"/>
      <c r="U235" s="3"/>
      <c r="V235" s="3"/>
      <c r="W235" s="3"/>
      <c r="X235" s="3"/>
    </row>
    <row r="236" spans="15:24" x14ac:dyDescent="0.2">
      <c r="O236" s="1"/>
      <c r="P236" s="1"/>
      <c r="R236" s="2"/>
      <c r="S236" s="3"/>
      <c r="T236" s="3"/>
      <c r="U236" s="3"/>
      <c r="V236" s="3"/>
      <c r="W236" s="3"/>
      <c r="X236" s="3"/>
    </row>
    <row r="237" spans="15:24" x14ac:dyDescent="0.2">
      <c r="O237" s="1"/>
      <c r="P237" s="1"/>
      <c r="R237" s="2"/>
      <c r="S237" s="3"/>
      <c r="T237" s="3"/>
      <c r="U237" s="3"/>
      <c r="V237" s="3"/>
      <c r="W237" s="3"/>
      <c r="X237" s="3"/>
    </row>
    <row r="238" spans="15:24" x14ac:dyDescent="0.2">
      <c r="O238" s="1"/>
      <c r="P238" s="1"/>
      <c r="R238" s="2"/>
      <c r="S238" s="3"/>
      <c r="T238" s="3"/>
      <c r="U238" s="3"/>
      <c r="V238" s="3"/>
      <c r="W238" s="3"/>
      <c r="X238" s="3"/>
    </row>
    <row r="239" spans="15:24" x14ac:dyDescent="0.2">
      <c r="O239" s="1"/>
      <c r="P239" s="1"/>
      <c r="R239" s="2"/>
      <c r="S239" s="3"/>
      <c r="T239" s="3"/>
      <c r="U239" s="3"/>
      <c r="V239" s="3"/>
      <c r="W239" s="3"/>
      <c r="X239" s="3"/>
    </row>
    <row r="240" spans="15:24" x14ac:dyDescent="0.2">
      <c r="O240" s="1"/>
      <c r="P240" s="1"/>
      <c r="R240" s="2"/>
      <c r="S240" s="3"/>
      <c r="T240" s="3"/>
      <c r="U240" s="3"/>
      <c r="V240" s="3"/>
      <c r="W240" s="3"/>
      <c r="X240" s="3"/>
    </row>
    <row r="241" spans="15:24" x14ac:dyDescent="0.2">
      <c r="O241" s="1"/>
      <c r="P241" s="1"/>
      <c r="R241" s="2"/>
      <c r="S241" s="3"/>
      <c r="T241" s="3"/>
      <c r="U241" s="3"/>
      <c r="V241" s="3"/>
      <c r="W241" s="3"/>
      <c r="X241" s="3"/>
    </row>
    <row r="242" spans="15:24" x14ac:dyDescent="0.2">
      <c r="O242" s="1"/>
      <c r="P242" s="1"/>
      <c r="R242" s="2"/>
      <c r="S242" s="3"/>
      <c r="T242" s="3"/>
      <c r="U242" s="3"/>
      <c r="V242" s="3"/>
      <c r="W242" s="3"/>
      <c r="X242" s="3"/>
    </row>
    <row r="243" spans="15:24" x14ac:dyDescent="0.2">
      <c r="O243" s="1"/>
      <c r="P243" s="1"/>
      <c r="R243" s="2"/>
      <c r="S243" s="3"/>
      <c r="T243" s="3"/>
      <c r="U243" s="3"/>
      <c r="V243" s="3"/>
      <c r="W243" s="3"/>
      <c r="X243" s="3"/>
    </row>
    <row r="244" spans="15:24" x14ac:dyDescent="0.2">
      <c r="O244" s="1"/>
      <c r="P244" s="1"/>
      <c r="R244" s="2"/>
      <c r="S244" s="3"/>
      <c r="T244" s="3"/>
      <c r="U244" s="3"/>
      <c r="V244" s="3"/>
      <c r="W244" s="3"/>
      <c r="X244" s="3"/>
    </row>
    <row r="245" spans="15:24" x14ac:dyDescent="0.2">
      <c r="O245" s="1"/>
      <c r="P245" s="1"/>
      <c r="R245" s="2"/>
      <c r="S245" s="3"/>
      <c r="T245" s="3"/>
      <c r="U245" s="3"/>
      <c r="V245" s="3"/>
      <c r="W245" s="3"/>
      <c r="X245" s="3"/>
    </row>
    <row r="246" spans="15:24" x14ac:dyDescent="0.2">
      <c r="O246" s="1"/>
      <c r="P246" s="1"/>
      <c r="R246" s="2"/>
      <c r="S246" s="3"/>
      <c r="T246" s="3"/>
      <c r="U246" s="3"/>
      <c r="V246" s="3"/>
      <c r="W246" s="3"/>
      <c r="X246" s="3"/>
    </row>
    <row r="247" spans="15:24" x14ac:dyDescent="0.2">
      <c r="O247" s="1"/>
      <c r="P247" s="1"/>
      <c r="R247" s="2"/>
      <c r="S247" s="3"/>
      <c r="T247" s="3"/>
      <c r="U247" s="3"/>
      <c r="V247" s="3"/>
      <c r="W247" s="3"/>
      <c r="X247" s="3"/>
    </row>
    <row r="248" spans="15:24" x14ac:dyDescent="0.2">
      <c r="O248" s="1"/>
      <c r="P248" s="1"/>
      <c r="R248" s="2"/>
      <c r="S248" s="3"/>
      <c r="T248" s="3"/>
      <c r="U248" s="3"/>
      <c r="V248" s="3"/>
      <c r="W248" s="3"/>
      <c r="X248" s="3"/>
    </row>
    <row r="249" spans="15:24" x14ac:dyDescent="0.2">
      <c r="O249" s="1"/>
      <c r="P249" s="1"/>
      <c r="R249" s="2"/>
      <c r="S249" s="3"/>
      <c r="T249" s="3"/>
      <c r="U249" s="3"/>
      <c r="V249" s="3"/>
      <c r="W249" s="3"/>
      <c r="X249" s="3"/>
    </row>
    <row r="250" spans="15:24" x14ac:dyDescent="0.2">
      <c r="O250" s="1"/>
      <c r="P250" s="1"/>
      <c r="R250" s="2"/>
      <c r="S250" s="3"/>
      <c r="T250" s="3"/>
      <c r="U250" s="3"/>
      <c r="V250" s="3"/>
      <c r="W250" s="3"/>
      <c r="X250" s="3"/>
    </row>
    <row r="251" spans="15:24" x14ac:dyDescent="0.2">
      <c r="O251" s="1"/>
      <c r="P251" s="1"/>
      <c r="R251" s="2"/>
      <c r="S251" s="3"/>
      <c r="T251" s="3"/>
      <c r="U251" s="3"/>
      <c r="V251" s="3"/>
      <c r="W251" s="3"/>
      <c r="X251" s="3"/>
    </row>
    <row r="252" spans="15:24" x14ac:dyDescent="0.2">
      <c r="O252" s="1"/>
      <c r="P252" s="1"/>
      <c r="R252" s="2"/>
      <c r="S252" s="3"/>
      <c r="T252" s="3"/>
      <c r="U252" s="3"/>
      <c r="V252" s="3"/>
      <c r="W252" s="3"/>
      <c r="X252" s="3"/>
    </row>
    <row r="253" spans="15:24" x14ac:dyDescent="0.2">
      <c r="O253" s="1"/>
      <c r="P253" s="1"/>
      <c r="R253" s="2"/>
      <c r="S253" s="3"/>
      <c r="T253" s="3"/>
      <c r="U253" s="3"/>
      <c r="V253" s="3"/>
      <c r="W253" s="3"/>
      <c r="X253" s="3"/>
    </row>
    <row r="254" spans="15:24" x14ac:dyDescent="0.2">
      <c r="O254" s="1"/>
      <c r="P254" s="1"/>
      <c r="R254" s="2"/>
      <c r="S254" s="3"/>
      <c r="T254" s="3"/>
      <c r="U254" s="3"/>
      <c r="V254" s="3"/>
      <c r="W254" s="3"/>
      <c r="X254" s="3"/>
    </row>
    <row r="255" spans="15:24" x14ac:dyDescent="0.2">
      <c r="O255" s="1"/>
      <c r="P255" s="1"/>
      <c r="R255" s="2"/>
      <c r="S255" s="3"/>
      <c r="T255" s="3"/>
      <c r="U255" s="3"/>
      <c r="V255" s="3"/>
      <c r="W255" s="3"/>
      <c r="X255" s="3"/>
    </row>
    <row r="256" spans="15:24" x14ac:dyDescent="0.2">
      <c r="O256" s="1"/>
      <c r="P256" s="1"/>
      <c r="R256" s="2"/>
      <c r="S256" s="3"/>
      <c r="T256" s="3"/>
      <c r="U256" s="3"/>
      <c r="V256" s="3"/>
      <c r="W256" s="3"/>
      <c r="X256" s="3"/>
    </row>
    <row r="257" spans="15:24" x14ac:dyDescent="0.2">
      <c r="O257" s="1"/>
      <c r="P257" s="1"/>
      <c r="R257" s="2"/>
      <c r="S257" s="3"/>
      <c r="T257" s="3"/>
      <c r="U257" s="3"/>
      <c r="V257" s="3"/>
      <c r="W257" s="3"/>
      <c r="X257" s="3"/>
    </row>
    <row r="258" spans="15:24" x14ac:dyDescent="0.2">
      <c r="O258" s="1"/>
      <c r="P258" s="1"/>
      <c r="R258" s="2"/>
      <c r="S258" s="3"/>
      <c r="T258" s="3"/>
      <c r="U258" s="3"/>
      <c r="V258" s="3"/>
      <c r="W258" s="3"/>
      <c r="X258" s="3"/>
    </row>
    <row r="259" spans="15:24" x14ac:dyDescent="0.2">
      <c r="O259" s="1"/>
      <c r="P259" s="1"/>
      <c r="R259" s="2"/>
      <c r="S259" s="3"/>
      <c r="T259" s="3"/>
      <c r="U259" s="3"/>
      <c r="V259" s="3"/>
      <c r="W259" s="3"/>
      <c r="X259" s="3"/>
    </row>
    <row r="260" spans="15:24" x14ac:dyDescent="0.2">
      <c r="O260" s="1"/>
      <c r="P260" s="1"/>
      <c r="R260" s="2"/>
      <c r="S260" s="3"/>
      <c r="T260" s="3"/>
      <c r="U260" s="3"/>
      <c r="V260" s="3"/>
      <c r="W260" s="3"/>
      <c r="X260" s="3"/>
    </row>
    <row r="261" spans="15:24" x14ac:dyDescent="0.2">
      <c r="O261" s="1"/>
      <c r="P261" s="1"/>
      <c r="R261" s="2"/>
      <c r="S261" s="3"/>
      <c r="T261" s="3"/>
      <c r="U261" s="3"/>
      <c r="V261" s="3"/>
      <c r="W261" s="3"/>
      <c r="X261" s="3"/>
    </row>
    <row r="262" spans="15:24" x14ac:dyDescent="0.2">
      <c r="O262" s="1"/>
      <c r="P262" s="1"/>
      <c r="R262" s="2"/>
      <c r="S262" s="3"/>
      <c r="T262" s="3"/>
      <c r="U262" s="3"/>
      <c r="V262" s="3"/>
      <c r="W262" s="3"/>
      <c r="X262" s="3"/>
    </row>
    <row r="263" spans="15:24" x14ac:dyDescent="0.2">
      <c r="O263" s="1"/>
      <c r="P263" s="1"/>
      <c r="R263" s="2"/>
      <c r="S263" s="3"/>
      <c r="T263" s="3"/>
      <c r="U263" s="3"/>
      <c r="V263" s="3"/>
      <c r="W263" s="3"/>
      <c r="X263" s="3"/>
    </row>
    <row r="264" spans="15:24" x14ac:dyDescent="0.2">
      <c r="O264" s="1"/>
      <c r="P264" s="1"/>
      <c r="R264" s="2"/>
      <c r="S264" s="3"/>
      <c r="T264" s="3"/>
      <c r="U264" s="3"/>
      <c r="V264" s="3"/>
      <c r="W264" s="3"/>
      <c r="X264" s="3"/>
    </row>
    <row r="265" spans="15:24" x14ac:dyDescent="0.2">
      <c r="O265" s="1"/>
      <c r="P265" s="1"/>
      <c r="R265" s="2"/>
      <c r="S265" s="3"/>
      <c r="T265" s="3"/>
      <c r="U265" s="3"/>
      <c r="V265" s="3"/>
      <c r="W265" s="3"/>
      <c r="X265" s="3"/>
    </row>
    <row r="266" spans="15:24" x14ac:dyDescent="0.2">
      <c r="O266" s="1"/>
      <c r="P266" s="1"/>
      <c r="R266" s="2"/>
      <c r="S266" s="3"/>
      <c r="T266" s="3"/>
      <c r="U266" s="3"/>
      <c r="V266" s="3"/>
      <c r="W266" s="3"/>
      <c r="X266" s="3"/>
    </row>
    <row r="267" spans="15:24" x14ac:dyDescent="0.2">
      <c r="O267" s="1"/>
      <c r="P267" s="1"/>
      <c r="R267" s="2"/>
      <c r="S267" s="3"/>
      <c r="T267" s="3"/>
      <c r="U267" s="3"/>
      <c r="V267" s="3"/>
      <c r="W267" s="3"/>
      <c r="X267" s="3"/>
    </row>
    <row r="268" spans="15:24" x14ac:dyDescent="0.2">
      <c r="O268" s="1"/>
      <c r="P268" s="1"/>
      <c r="R268" s="2"/>
      <c r="S268" s="3"/>
      <c r="T268" s="3"/>
      <c r="U268" s="3"/>
      <c r="V268" s="3"/>
      <c r="W268" s="3"/>
      <c r="X268" s="3"/>
    </row>
    <row r="269" spans="15:24" x14ac:dyDescent="0.2">
      <c r="O269" s="1"/>
      <c r="P269" s="1"/>
      <c r="R269" s="2"/>
      <c r="S269" s="3"/>
      <c r="T269" s="3"/>
      <c r="U269" s="3"/>
      <c r="V269" s="3"/>
      <c r="W269" s="3"/>
      <c r="X269" s="3"/>
    </row>
    <row r="270" spans="15:24" x14ac:dyDescent="0.2">
      <c r="O270" s="1"/>
      <c r="P270" s="1"/>
      <c r="R270" s="2"/>
      <c r="S270" s="3"/>
      <c r="T270" s="3"/>
      <c r="U270" s="3"/>
      <c r="V270" s="3"/>
      <c r="W270" s="3"/>
      <c r="X270" s="3"/>
    </row>
    <row r="271" spans="15:24" x14ac:dyDescent="0.2">
      <c r="O271" s="1"/>
      <c r="P271" s="1"/>
      <c r="R271" s="2"/>
      <c r="S271" s="3"/>
      <c r="T271" s="3"/>
      <c r="U271" s="3"/>
      <c r="V271" s="3"/>
      <c r="W271" s="3"/>
      <c r="X271" s="3"/>
    </row>
    <row r="272" spans="15:24" x14ac:dyDescent="0.2">
      <c r="O272" s="1"/>
      <c r="P272" s="1"/>
      <c r="R272" s="2"/>
      <c r="S272" s="3"/>
      <c r="T272" s="3"/>
      <c r="U272" s="3"/>
      <c r="V272" s="3"/>
      <c r="W272" s="3"/>
      <c r="X272" s="3"/>
    </row>
    <row r="273" spans="15:24" x14ac:dyDescent="0.2">
      <c r="O273" s="1"/>
      <c r="P273" s="1"/>
      <c r="R273" s="2"/>
      <c r="S273" s="3"/>
      <c r="T273" s="3"/>
      <c r="U273" s="3"/>
      <c r="V273" s="3"/>
      <c r="W273" s="3"/>
      <c r="X273" s="3"/>
    </row>
    <row r="274" spans="15:24" x14ac:dyDescent="0.2">
      <c r="O274" s="1"/>
      <c r="P274" s="1"/>
      <c r="R274" s="2"/>
      <c r="S274" s="3"/>
      <c r="T274" s="3"/>
      <c r="U274" s="3"/>
      <c r="V274" s="3"/>
      <c r="W274" s="3"/>
      <c r="X274" s="3"/>
    </row>
    <row r="275" spans="15:24" x14ac:dyDescent="0.2">
      <c r="O275" s="1"/>
      <c r="P275" s="1"/>
      <c r="R275" s="2"/>
      <c r="S275" s="3"/>
      <c r="T275" s="3"/>
      <c r="U275" s="3"/>
      <c r="V275" s="3"/>
      <c r="W275" s="3"/>
      <c r="X275" s="3"/>
    </row>
    <row r="276" spans="15:24" x14ac:dyDescent="0.2">
      <c r="O276" s="1"/>
      <c r="P276" s="1"/>
      <c r="R276" s="2"/>
      <c r="S276" s="3"/>
      <c r="T276" s="3"/>
      <c r="U276" s="3"/>
      <c r="V276" s="3"/>
      <c r="W276" s="3"/>
      <c r="X276" s="3"/>
    </row>
    <row r="277" spans="15:24" x14ac:dyDescent="0.2">
      <c r="O277" s="1"/>
      <c r="P277" s="1"/>
      <c r="R277" s="2"/>
      <c r="S277" s="3"/>
      <c r="T277" s="3"/>
      <c r="U277" s="3"/>
      <c r="V277" s="3"/>
      <c r="W277" s="3"/>
      <c r="X277" s="3"/>
    </row>
    <row r="278" spans="15:24" x14ac:dyDescent="0.2">
      <c r="O278" s="1"/>
      <c r="P278" s="1"/>
      <c r="R278" s="2"/>
      <c r="S278" s="3"/>
      <c r="T278" s="3"/>
      <c r="U278" s="3"/>
      <c r="V278" s="3"/>
      <c r="W278" s="3"/>
      <c r="X278" s="3"/>
    </row>
    <row r="279" spans="15:24" x14ac:dyDescent="0.2">
      <c r="O279" s="1"/>
      <c r="P279" s="1"/>
      <c r="R279" s="2"/>
      <c r="S279" s="3"/>
      <c r="T279" s="3"/>
      <c r="U279" s="3"/>
      <c r="V279" s="3"/>
      <c r="W279" s="3"/>
      <c r="X279" s="3"/>
    </row>
    <row r="280" spans="15:24" x14ac:dyDescent="0.2">
      <c r="O280" s="1"/>
      <c r="P280" s="1"/>
      <c r="R280" s="2"/>
      <c r="S280" s="3"/>
      <c r="T280" s="3"/>
      <c r="U280" s="3"/>
      <c r="V280" s="3"/>
      <c r="W280" s="3"/>
      <c r="X280" s="3"/>
    </row>
    <row r="281" spans="15:24" x14ac:dyDescent="0.2">
      <c r="O281" s="1"/>
      <c r="P281" s="1"/>
      <c r="R281" s="2"/>
      <c r="S281" s="3"/>
      <c r="T281" s="3"/>
      <c r="U281" s="3"/>
      <c r="V281" s="3"/>
      <c r="W281" s="3"/>
      <c r="X281" s="3"/>
    </row>
    <row r="282" spans="15:24" x14ac:dyDescent="0.2">
      <c r="O282" s="1"/>
      <c r="P282" s="1"/>
      <c r="R282" s="2"/>
      <c r="S282" s="3"/>
      <c r="T282" s="3"/>
      <c r="U282" s="3"/>
      <c r="V282" s="3"/>
      <c r="W282" s="3"/>
      <c r="X282" s="3"/>
    </row>
    <row r="283" spans="15:24" x14ac:dyDescent="0.2">
      <c r="O283" s="1"/>
      <c r="P283" s="1"/>
      <c r="R283" s="2"/>
      <c r="S283" s="3"/>
      <c r="T283" s="3"/>
      <c r="U283" s="3"/>
      <c r="V283" s="3"/>
      <c r="W283" s="3"/>
      <c r="X283" s="3"/>
    </row>
    <row r="284" spans="15:24" x14ac:dyDescent="0.2">
      <c r="O284" s="1"/>
      <c r="P284" s="1"/>
      <c r="R284" s="2"/>
      <c r="S284" s="3"/>
      <c r="T284" s="3"/>
      <c r="U284" s="3"/>
      <c r="V284" s="3"/>
      <c r="W284" s="3"/>
      <c r="X284" s="3"/>
    </row>
    <row r="285" spans="15:24" x14ac:dyDescent="0.2">
      <c r="O285" s="1"/>
      <c r="P285" s="1"/>
      <c r="R285" s="2"/>
      <c r="S285" s="3"/>
      <c r="T285" s="3"/>
      <c r="U285" s="3"/>
      <c r="V285" s="3"/>
      <c r="W285" s="3"/>
      <c r="X285" s="3"/>
    </row>
    <row r="286" spans="15:24" x14ac:dyDescent="0.2">
      <c r="O286" s="1"/>
      <c r="P286" s="1"/>
      <c r="R286" s="2"/>
      <c r="S286" s="3"/>
      <c r="T286" s="3"/>
      <c r="U286" s="3"/>
      <c r="V286" s="3"/>
      <c r="W286" s="3"/>
      <c r="X286" s="3"/>
    </row>
    <row r="287" spans="15:24" x14ac:dyDescent="0.2">
      <c r="O287" s="1"/>
      <c r="P287" s="1"/>
      <c r="R287" s="2"/>
      <c r="S287" s="3"/>
      <c r="T287" s="3"/>
      <c r="U287" s="3"/>
      <c r="V287" s="3"/>
      <c r="W287" s="3"/>
      <c r="X287" s="3"/>
    </row>
    <row r="288" spans="15:24" x14ac:dyDescent="0.2">
      <c r="O288" s="1"/>
      <c r="P288" s="1"/>
      <c r="R288" s="2"/>
      <c r="S288" s="3"/>
      <c r="T288" s="3"/>
      <c r="U288" s="3"/>
      <c r="V288" s="3"/>
      <c r="W288" s="3"/>
      <c r="X288" s="3"/>
    </row>
    <row r="289" spans="15:24" x14ac:dyDescent="0.2">
      <c r="O289" s="1"/>
      <c r="P289" s="1"/>
      <c r="R289" s="2"/>
      <c r="S289" s="3"/>
      <c r="T289" s="3"/>
      <c r="U289" s="3"/>
      <c r="V289" s="3"/>
      <c r="W289" s="3"/>
      <c r="X289" s="3"/>
    </row>
    <row r="290" spans="15:24" x14ac:dyDescent="0.2">
      <c r="O290" s="1"/>
      <c r="P290" s="1"/>
      <c r="R290" s="2"/>
      <c r="S290" s="3"/>
      <c r="T290" s="3"/>
      <c r="U290" s="3"/>
      <c r="V290" s="3"/>
      <c r="W290" s="3"/>
      <c r="X290" s="3"/>
    </row>
    <row r="291" spans="15:24" x14ac:dyDescent="0.2">
      <c r="O291" s="1"/>
      <c r="P291" s="1"/>
      <c r="R291" s="2"/>
      <c r="S291" s="3"/>
      <c r="T291" s="3"/>
      <c r="U291" s="3"/>
      <c r="V291" s="3"/>
      <c r="W291" s="3"/>
      <c r="X291" s="3"/>
    </row>
    <row r="292" spans="15:24" x14ac:dyDescent="0.2">
      <c r="O292" s="1"/>
      <c r="P292" s="1"/>
      <c r="R292" s="2"/>
      <c r="S292" s="3"/>
      <c r="T292" s="3"/>
      <c r="U292" s="3"/>
      <c r="V292" s="3"/>
      <c r="W292" s="3"/>
      <c r="X292" s="3"/>
    </row>
    <row r="293" spans="15:24" x14ac:dyDescent="0.2">
      <c r="O293" s="1"/>
      <c r="P293" s="1"/>
      <c r="R293" s="2"/>
      <c r="S293" s="3"/>
      <c r="T293" s="3"/>
      <c r="U293" s="3"/>
      <c r="V293" s="3"/>
      <c r="W293" s="3"/>
      <c r="X293" s="3"/>
    </row>
    <row r="294" spans="15:24" x14ac:dyDescent="0.2">
      <c r="O294" s="1"/>
      <c r="P294" s="1"/>
      <c r="R294" s="2"/>
      <c r="S294" s="3"/>
      <c r="T294" s="3"/>
      <c r="U294" s="3"/>
      <c r="V294" s="3"/>
      <c r="W294" s="3"/>
      <c r="X294" s="3"/>
    </row>
    <row r="295" spans="15:24" x14ac:dyDescent="0.2">
      <c r="O295" s="1"/>
      <c r="P295" s="1"/>
      <c r="R295" s="2"/>
      <c r="S295" s="3"/>
      <c r="T295" s="3"/>
      <c r="U295" s="3"/>
      <c r="V295" s="3"/>
      <c r="W295" s="3"/>
      <c r="X295" s="3"/>
    </row>
    <row r="296" spans="15:24" x14ac:dyDescent="0.2">
      <c r="O296" s="1"/>
      <c r="P296" s="1"/>
      <c r="R296" s="2"/>
      <c r="S296" s="3"/>
      <c r="T296" s="3"/>
      <c r="U296" s="3"/>
      <c r="V296" s="3"/>
      <c r="W296" s="3"/>
      <c r="X296" s="3"/>
    </row>
    <row r="297" spans="15:24" x14ac:dyDescent="0.2">
      <c r="O297" s="1"/>
      <c r="P297" s="1"/>
      <c r="R297" s="2"/>
      <c r="S297" s="3"/>
      <c r="T297" s="3"/>
      <c r="U297" s="3"/>
      <c r="V297" s="3"/>
      <c r="W297" s="3"/>
      <c r="X297" s="3"/>
    </row>
    <row r="298" spans="15:24" x14ac:dyDescent="0.2">
      <c r="O298" s="1"/>
      <c r="P298" s="1"/>
      <c r="R298" s="2"/>
      <c r="S298" s="3"/>
      <c r="T298" s="3"/>
      <c r="U298" s="3"/>
      <c r="V298" s="3"/>
      <c r="W298" s="3"/>
      <c r="X298" s="3"/>
    </row>
    <row r="299" spans="15:24" x14ac:dyDescent="0.2">
      <c r="O299" s="1"/>
      <c r="P299" s="1"/>
      <c r="R299" s="2"/>
      <c r="S299" s="3"/>
      <c r="T299" s="3"/>
      <c r="U299" s="3"/>
      <c r="V299" s="3"/>
      <c r="W299" s="3"/>
      <c r="X299" s="3"/>
    </row>
    <row r="300" spans="15:24" x14ac:dyDescent="0.2">
      <c r="O300" s="1"/>
      <c r="P300" s="1"/>
      <c r="R300" s="2"/>
      <c r="S300" s="3"/>
      <c r="T300" s="3"/>
      <c r="U300" s="3"/>
      <c r="V300" s="3"/>
      <c r="W300" s="3"/>
      <c r="X300" s="3"/>
    </row>
    <row r="301" spans="15:24" x14ac:dyDescent="0.2">
      <c r="O301" s="1"/>
      <c r="P301" s="1"/>
      <c r="R301" s="2"/>
      <c r="S301" s="3"/>
      <c r="T301" s="3"/>
      <c r="U301" s="3"/>
      <c r="V301" s="3"/>
      <c r="W301" s="3"/>
      <c r="X301" s="3"/>
    </row>
    <row r="302" spans="15:24" x14ac:dyDescent="0.2">
      <c r="O302" s="1"/>
      <c r="P302" s="1"/>
      <c r="R302" s="2"/>
      <c r="S302" s="3"/>
      <c r="T302" s="3"/>
      <c r="U302" s="3"/>
      <c r="V302" s="3"/>
      <c r="W302" s="3"/>
      <c r="X302" s="3"/>
    </row>
    <row r="303" spans="15:24" x14ac:dyDescent="0.2">
      <c r="O303" s="1"/>
      <c r="P303" s="1"/>
      <c r="R303" s="2"/>
      <c r="S303" s="3"/>
      <c r="T303" s="3"/>
      <c r="U303" s="3"/>
      <c r="V303" s="3"/>
      <c r="W303" s="3"/>
      <c r="X303" s="3"/>
    </row>
    <row r="304" spans="15:24" x14ac:dyDescent="0.2">
      <c r="O304" s="1"/>
      <c r="P304" s="1"/>
      <c r="R304" s="2"/>
      <c r="S304" s="3"/>
      <c r="T304" s="3"/>
      <c r="U304" s="3"/>
      <c r="V304" s="3"/>
      <c r="W304" s="3"/>
      <c r="X304" s="3"/>
    </row>
    <row r="305" spans="15:24" x14ac:dyDescent="0.2">
      <c r="O305" s="1"/>
      <c r="P305" s="1"/>
      <c r="R305" s="2"/>
      <c r="S305" s="3"/>
      <c r="T305" s="3"/>
      <c r="U305" s="3"/>
      <c r="V305" s="3"/>
      <c r="W305" s="3"/>
      <c r="X305" s="3"/>
    </row>
    <row r="306" spans="15:24" x14ac:dyDescent="0.2">
      <c r="O306" s="1"/>
      <c r="P306" s="1"/>
      <c r="R306" s="2"/>
      <c r="S306" s="3"/>
      <c r="T306" s="3"/>
      <c r="U306" s="3"/>
      <c r="V306" s="3"/>
      <c r="W306" s="3"/>
      <c r="X306" s="3"/>
    </row>
    <row r="307" spans="15:24" x14ac:dyDescent="0.2">
      <c r="O307" s="1"/>
      <c r="P307" s="1"/>
      <c r="R307" s="2"/>
      <c r="S307" s="3"/>
      <c r="T307" s="3"/>
      <c r="U307" s="3"/>
      <c r="V307" s="3"/>
      <c r="W307" s="3"/>
      <c r="X307" s="3"/>
    </row>
    <row r="308" spans="15:24" x14ac:dyDescent="0.2">
      <c r="O308" s="1"/>
      <c r="P308" s="1"/>
      <c r="R308" s="2"/>
      <c r="S308" s="3"/>
      <c r="T308" s="3"/>
      <c r="U308" s="3"/>
      <c r="V308" s="3"/>
      <c r="W308" s="3"/>
      <c r="X308" s="3"/>
    </row>
    <row r="309" spans="15:24" x14ac:dyDescent="0.2">
      <c r="O309" s="1"/>
      <c r="P309" s="1"/>
      <c r="R309" s="2"/>
      <c r="S309" s="3"/>
      <c r="T309" s="3"/>
      <c r="U309" s="3"/>
      <c r="V309" s="3"/>
      <c r="W309" s="3"/>
      <c r="X309" s="3"/>
    </row>
    <row r="310" spans="15:24" x14ac:dyDescent="0.2">
      <c r="O310" s="1"/>
      <c r="P310" s="1"/>
      <c r="R310" s="2"/>
      <c r="S310" s="3"/>
      <c r="T310" s="3"/>
      <c r="U310" s="3"/>
      <c r="V310" s="3"/>
      <c r="W310" s="3"/>
      <c r="X310" s="3"/>
    </row>
    <row r="311" spans="15:24" x14ac:dyDescent="0.2">
      <c r="O311" s="1"/>
      <c r="P311" s="1"/>
      <c r="R311" s="2"/>
      <c r="S311" s="3"/>
      <c r="T311" s="3"/>
      <c r="U311" s="3"/>
      <c r="V311" s="3"/>
      <c r="W311" s="3"/>
      <c r="X311" s="3"/>
    </row>
    <row r="312" spans="15:24" x14ac:dyDescent="0.2">
      <c r="O312" s="1"/>
      <c r="P312" s="1"/>
      <c r="R312" s="2"/>
      <c r="S312" s="3"/>
      <c r="T312" s="3"/>
      <c r="U312" s="3"/>
      <c r="V312" s="3"/>
      <c r="W312" s="3"/>
      <c r="X312" s="3"/>
    </row>
    <row r="313" spans="15:24" x14ac:dyDescent="0.2">
      <c r="O313" s="1"/>
      <c r="P313" s="1"/>
      <c r="R313" s="2"/>
      <c r="S313" s="3"/>
      <c r="T313" s="3"/>
      <c r="U313" s="3"/>
      <c r="V313" s="3"/>
      <c r="W313" s="3"/>
      <c r="X313" s="3"/>
    </row>
    <row r="314" spans="15:24" x14ac:dyDescent="0.2">
      <c r="O314" s="1"/>
      <c r="P314" s="1"/>
      <c r="R314" s="2"/>
      <c r="S314" s="3"/>
      <c r="T314" s="3"/>
      <c r="U314" s="3"/>
      <c r="V314" s="3"/>
      <c r="W314" s="3"/>
      <c r="X314" s="3"/>
    </row>
    <row r="315" spans="15:24" x14ac:dyDescent="0.2">
      <c r="O315" s="1"/>
      <c r="P315" s="1"/>
      <c r="R315" s="2"/>
      <c r="S315" s="3"/>
      <c r="T315" s="3"/>
      <c r="U315" s="3"/>
      <c r="V315" s="3"/>
      <c r="W315" s="3"/>
      <c r="X315" s="3"/>
    </row>
    <row r="316" spans="15:24" x14ac:dyDescent="0.2">
      <c r="O316" s="1"/>
      <c r="P316" s="1"/>
      <c r="R316" s="2"/>
      <c r="S316" s="3"/>
      <c r="T316" s="3"/>
      <c r="U316" s="3"/>
      <c r="V316" s="3"/>
      <c r="W316" s="3"/>
      <c r="X316" s="3"/>
    </row>
    <row r="317" spans="15:24" x14ac:dyDescent="0.2">
      <c r="O317" s="1"/>
      <c r="P317" s="1"/>
      <c r="R317" s="2"/>
      <c r="S317" s="3"/>
      <c r="T317" s="3"/>
      <c r="U317" s="3"/>
      <c r="V317" s="3"/>
      <c r="W317" s="3"/>
      <c r="X317" s="3"/>
    </row>
    <row r="318" spans="15:24" x14ac:dyDescent="0.2">
      <c r="O318" s="1"/>
      <c r="P318" s="1"/>
      <c r="R318" s="2"/>
      <c r="S318" s="3"/>
      <c r="T318" s="3"/>
      <c r="U318" s="3"/>
      <c r="V318" s="3"/>
      <c r="W318" s="3"/>
      <c r="X318" s="3"/>
    </row>
    <row r="319" spans="15:24" x14ac:dyDescent="0.2">
      <c r="O319" s="1"/>
      <c r="P319" s="1"/>
      <c r="R319" s="2"/>
      <c r="S319" s="3"/>
      <c r="T319" s="3"/>
      <c r="U319" s="3"/>
      <c r="V319" s="3"/>
      <c r="W319" s="3"/>
      <c r="X319" s="3"/>
    </row>
    <row r="320" spans="15:24" x14ac:dyDescent="0.2">
      <c r="O320" s="1"/>
      <c r="P320" s="1"/>
      <c r="R320" s="2"/>
      <c r="S320" s="3"/>
      <c r="T320" s="3"/>
      <c r="U320" s="3"/>
      <c r="V320" s="3"/>
      <c r="W320" s="3"/>
      <c r="X320" s="3"/>
    </row>
    <row r="321" spans="15:24" x14ac:dyDescent="0.2">
      <c r="O321" s="1"/>
      <c r="P321" s="1"/>
      <c r="R321" s="2"/>
      <c r="S321" s="3"/>
      <c r="T321" s="3"/>
      <c r="U321" s="3"/>
      <c r="V321" s="3"/>
      <c r="W321" s="3"/>
      <c r="X321" s="3"/>
    </row>
    <row r="322" spans="15:24" x14ac:dyDescent="0.2">
      <c r="O322" s="1"/>
      <c r="P322" s="1"/>
      <c r="R322" s="2"/>
      <c r="S322" s="3"/>
      <c r="T322" s="3"/>
      <c r="U322" s="3"/>
      <c r="V322" s="3"/>
      <c r="W322" s="3"/>
      <c r="X322" s="3"/>
    </row>
    <row r="323" spans="15:24" x14ac:dyDescent="0.2">
      <c r="O323" s="1"/>
      <c r="P323" s="1"/>
      <c r="R323" s="2"/>
      <c r="S323" s="3"/>
      <c r="T323" s="3"/>
      <c r="U323" s="3"/>
      <c r="V323" s="3"/>
      <c r="W323" s="3"/>
      <c r="X323" s="3"/>
    </row>
    <row r="324" spans="15:24" x14ac:dyDescent="0.2">
      <c r="O324" s="1"/>
      <c r="P324" s="1"/>
      <c r="R324" s="2"/>
      <c r="S324" s="3"/>
      <c r="T324" s="3"/>
      <c r="U324" s="3"/>
      <c r="V324" s="3"/>
      <c r="W324" s="3"/>
      <c r="X324" s="3"/>
    </row>
    <row r="325" spans="15:24" x14ac:dyDescent="0.2">
      <c r="O325" s="1"/>
      <c r="P325" s="1"/>
      <c r="R325" s="2"/>
      <c r="S325" s="3"/>
      <c r="T325" s="3"/>
      <c r="U325" s="3"/>
      <c r="V325" s="3"/>
      <c r="W325" s="3"/>
      <c r="X325" s="3"/>
    </row>
    <row r="326" spans="15:24" x14ac:dyDescent="0.2">
      <c r="O326" s="1"/>
      <c r="P326" s="1"/>
      <c r="R326" s="2"/>
      <c r="S326" s="3"/>
      <c r="T326" s="3"/>
      <c r="U326" s="3"/>
      <c r="V326" s="3"/>
      <c r="W326" s="3"/>
      <c r="X326" s="3"/>
    </row>
    <row r="327" spans="15:24" x14ac:dyDescent="0.2">
      <c r="O327" s="1"/>
      <c r="P327" s="1"/>
      <c r="R327" s="2"/>
      <c r="S327" s="3"/>
      <c r="T327" s="3"/>
      <c r="U327" s="3"/>
      <c r="V327" s="3"/>
      <c r="W327" s="3"/>
      <c r="X327" s="3"/>
    </row>
    <row r="328" spans="15:24" x14ac:dyDescent="0.2">
      <c r="O328" s="1"/>
      <c r="P328" s="1"/>
      <c r="R328" s="2"/>
      <c r="S328" s="3"/>
      <c r="T328" s="3"/>
      <c r="U328" s="3"/>
      <c r="V328" s="3"/>
      <c r="W328" s="3"/>
      <c r="X328" s="3"/>
    </row>
    <row r="329" spans="15:24" x14ac:dyDescent="0.2">
      <c r="O329" s="1"/>
      <c r="P329" s="1"/>
      <c r="R329" s="2"/>
      <c r="S329" s="3"/>
      <c r="T329" s="3"/>
      <c r="U329" s="3"/>
      <c r="V329" s="3"/>
      <c r="W329" s="3"/>
      <c r="X329" s="3"/>
    </row>
    <row r="330" spans="15:24" x14ac:dyDescent="0.2">
      <c r="O330" s="1"/>
      <c r="P330" s="1"/>
      <c r="R330" s="2"/>
      <c r="S330" s="3"/>
      <c r="T330" s="3"/>
      <c r="U330" s="3"/>
      <c r="V330" s="3"/>
      <c r="W330" s="3"/>
      <c r="X330" s="3"/>
    </row>
    <row r="331" spans="15:24" x14ac:dyDescent="0.2">
      <c r="O331" s="1"/>
      <c r="P331" s="1"/>
      <c r="R331" s="2"/>
      <c r="S331" s="3"/>
      <c r="T331" s="3"/>
      <c r="U331" s="3"/>
      <c r="V331" s="3"/>
      <c r="W331" s="3"/>
      <c r="X331" s="3"/>
    </row>
    <row r="332" spans="15:24" x14ac:dyDescent="0.2">
      <c r="O332" s="1"/>
      <c r="P332" s="1"/>
      <c r="R332" s="2"/>
      <c r="S332" s="3"/>
      <c r="T332" s="3"/>
      <c r="U332" s="3"/>
      <c r="V332" s="3"/>
      <c r="W332" s="3"/>
      <c r="X332" s="3"/>
    </row>
    <row r="333" spans="15:24" x14ac:dyDescent="0.2">
      <c r="O333" s="1"/>
      <c r="P333" s="1"/>
      <c r="R333" s="2"/>
      <c r="S333" s="3"/>
      <c r="T333" s="3"/>
      <c r="U333" s="3"/>
      <c r="V333" s="3"/>
      <c r="W333" s="3"/>
      <c r="X333" s="3"/>
    </row>
    <row r="334" spans="15:24" x14ac:dyDescent="0.2">
      <c r="O334" s="1"/>
      <c r="P334" s="1"/>
      <c r="R334" s="2"/>
      <c r="S334" s="3"/>
      <c r="T334" s="3"/>
      <c r="U334" s="3"/>
      <c r="V334" s="3"/>
      <c r="W334" s="3"/>
      <c r="X334" s="3"/>
    </row>
    <row r="335" spans="15:24" x14ac:dyDescent="0.2">
      <c r="O335" s="1"/>
      <c r="P335" s="1"/>
      <c r="R335" s="2"/>
      <c r="S335" s="3"/>
      <c r="T335" s="3"/>
      <c r="U335" s="3"/>
      <c r="V335" s="3"/>
      <c r="W335" s="3"/>
      <c r="X335" s="3"/>
    </row>
    <row r="336" spans="15:24" x14ac:dyDescent="0.2">
      <c r="O336" s="1"/>
      <c r="P336" s="1"/>
      <c r="R336" s="2"/>
      <c r="S336" s="3"/>
      <c r="T336" s="3"/>
      <c r="U336" s="3"/>
      <c r="V336" s="3"/>
      <c r="W336" s="3"/>
      <c r="X336" s="3"/>
    </row>
    <row r="337" spans="15:24" x14ac:dyDescent="0.2">
      <c r="O337" s="1"/>
      <c r="P337" s="1"/>
      <c r="R337" s="2"/>
      <c r="S337" s="3"/>
      <c r="T337" s="3"/>
      <c r="U337" s="3"/>
      <c r="V337" s="3"/>
      <c r="W337" s="3"/>
      <c r="X337" s="3"/>
    </row>
    <row r="338" spans="15:24" x14ac:dyDescent="0.2">
      <c r="O338" s="1"/>
      <c r="P338" s="1"/>
      <c r="R338" s="2"/>
      <c r="S338" s="3"/>
      <c r="T338" s="3"/>
      <c r="U338" s="3"/>
      <c r="V338" s="3"/>
      <c r="W338" s="3"/>
      <c r="X338" s="3"/>
    </row>
    <row r="339" spans="15:24" x14ac:dyDescent="0.2">
      <c r="O339" s="1"/>
      <c r="P339" s="1"/>
      <c r="R339" s="2"/>
      <c r="S339" s="3"/>
      <c r="T339" s="3"/>
      <c r="U339" s="3"/>
      <c r="V339" s="3"/>
      <c r="W339" s="3"/>
      <c r="X339" s="3"/>
    </row>
    <row r="340" spans="15:24" x14ac:dyDescent="0.2">
      <c r="O340" s="1"/>
      <c r="P340" s="1"/>
      <c r="R340" s="2"/>
      <c r="S340" s="3"/>
      <c r="T340" s="3"/>
      <c r="U340" s="3"/>
      <c r="V340" s="3"/>
      <c r="W340" s="3"/>
      <c r="X340" s="3"/>
    </row>
    <row r="341" spans="15:24" x14ac:dyDescent="0.2">
      <c r="O341" s="1"/>
      <c r="P341" s="1"/>
      <c r="R341" s="2"/>
      <c r="S341" s="3"/>
      <c r="T341" s="3"/>
      <c r="U341" s="3"/>
      <c r="V341" s="3"/>
      <c r="W341" s="3"/>
      <c r="X341" s="3"/>
    </row>
    <row r="342" spans="15:24" x14ac:dyDescent="0.2">
      <c r="O342" s="1"/>
      <c r="P342" s="1"/>
      <c r="R342" s="2"/>
      <c r="S342" s="3"/>
      <c r="T342" s="3"/>
      <c r="U342" s="3"/>
      <c r="V342" s="3"/>
      <c r="W342" s="3"/>
      <c r="X342" s="3"/>
    </row>
    <row r="343" spans="15:24" x14ac:dyDescent="0.2">
      <c r="O343" s="1"/>
      <c r="P343" s="1"/>
      <c r="R343" s="2"/>
      <c r="S343" s="3"/>
      <c r="T343" s="3"/>
      <c r="U343" s="3"/>
      <c r="V343" s="3"/>
      <c r="W343" s="3"/>
      <c r="X343" s="3"/>
    </row>
    <row r="344" spans="15:24" x14ac:dyDescent="0.2">
      <c r="O344" s="1"/>
      <c r="P344" s="1"/>
      <c r="R344" s="2"/>
      <c r="S344" s="3"/>
      <c r="T344" s="3"/>
      <c r="U344" s="3"/>
      <c r="V344" s="3"/>
      <c r="W344" s="3"/>
      <c r="X344" s="3"/>
    </row>
    <row r="345" spans="15:24" x14ac:dyDescent="0.2">
      <c r="O345" s="1"/>
      <c r="P345" s="1"/>
      <c r="R345" s="2"/>
      <c r="S345" s="3"/>
      <c r="T345" s="3"/>
      <c r="U345" s="3"/>
      <c r="V345" s="3"/>
      <c r="W345" s="3"/>
      <c r="X345" s="3"/>
    </row>
    <row r="346" spans="15:24" x14ac:dyDescent="0.2">
      <c r="O346" s="1"/>
      <c r="P346" s="1"/>
      <c r="R346" s="2"/>
      <c r="S346" s="3"/>
      <c r="T346" s="3"/>
      <c r="U346" s="3"/>
      <c r="V346" s="3"/>
      <c r="W346" s="3"/>
      <c r="X346" s="3"/>
    </row>
    <row r="347" spans="15:24" x14ac:dyDescent="0.2">
      <c r="O347" s="1"/>
      <c r="P347" s="1"/>
      <c r="R347" s="2"/>
      <c r="S347" s="3"/>
      <c r="T347" s="3"/>
      <c r="U347" s="3"/>
      <c r="V347" s="3"/>
      <c r="W347" s="3"/>
      <c r="X347" s="3"/>
    </row>
    <row r="348" spans="15:24" x14ac:dyDescent="0.2">
      <c r="O348" s="1"/>
      <c r="P348" s="1"/>
      <c r="R348" s="2"/>
      <c r="S348" s="3"/>
      <c r="T348" s="3"/>
      <c r="U348" s="3"/>
      <c r="V348" s="3"/>
      <c r="W348" s="3"/>
      <c r="X348" s="3"/>
    </row>
    <row r="349" spans="15:24" x14ac:dyDescent="0.2">
      <c r="O349" s="1"/>
      <c r="P349" s="1"/>
      <c r="R349" s="2"/>
      <c r="S349" s="3"/>
      <c r="T349" s="3"/>
      <c r="U349" s="3"/>
      <c r="V349" s="3"/>
      <c r="W349" s="3"/>
      <c r="X349" s="3"/>
    </row>
    <row r="350" spans="15:24" x14ac:dyDescent="0.2">
      <c r="O350" s="1"/>
      <c r="P350" s="1"/>
      <c r="R350" s="2"/>
      <c r="S350" s="3"/>
      <c r="T350" s="3"/>
      <c r="U350" s="3"/>
      <c r="V350" s="3"/>
      <c r="W350" s="3"/>
      <c r="X350" s="3"/>
    </row>
    <row r="351" spans="15:24" x14ac:dyDescent="0.2">
      <c r="O351" s="1"/>
      <c r="P351" s="1"/>
      <c r="R351" s="2"/>
      <c r="S351" s="3"/>
      <c r="T351" s="3"/>
      <c r="U351" s="3"/>
      <c r="V351" s="3"/>
      <c r="W351" s="3"/>
      <c r="X351" s="3"/>
    </row>
    <row r="352" spans="15:24" x14ac:dyDescent="0.2">
      <c r="O352" s="1"/>
      <c r="P352" s="1"/>
      <c r="R352" s="2"/>
      <c r="S352" s="3"/>
      <c r="T352" s="3"/>
      <c r="U352" s="3"/>
      <c r="V352" s="3"/>
      <c r="W352" s="3"/>
      <c r="X352" s="3"/>
    </row>
    <row r="353" spans="15:24" x14ac:dyDescent="0.2">
      <c r="O353" s="1"/>
      <c r="P353" s="1"/>
      <c r="R353" s="2"/>
      <c r="S353" s="3"/>
      <c r="T353" s="3"/>
      <c r="U353" s="3"/>
      <c r="V353" s="3"/>
      <c r="W353" s="3"/>
      <c r="X353" s="3"/>
    </row>
    <row r="354" spans="15:24" x14ac:dyDescent="0.2">
      <c r="O354" s="1"/>
      <c r="P354" s="1"/>
      <c r="R354" s="2"/>
      <c r="S354" s="3"/>
      <c r="T354" s="3"/>
      <c r="U354" s="3"/>
      <c r="V354" s="3"/>
      <c r="W354" s="3"/>
      <c r="X354" s="3"/>
    </row>
    <row r="355" spans="15:24" x14ac:dyDescent="0.2">
      <c r="O355" s="1"/>
      <c r="P355" s="1"/>
      <c r="R355" s="2"/>
      <c r="S355" s="3"/>
      <c r="T355" s="3"/>
      <c r="U355" s="3"/>
      <c r="V355" s="3"/>
      <c r="W355" s="3"/>
      <c r="X355" s="3"/>
    </row>
    <row r="356" spans="15:24" x14ac:dyDescent="0.2">
      <c r="O356" s="1"/>
      <c r="P356" s="1"/>
      <c r="R356" s="2"/>
      <c r="S356" s="3"/>
      <c r="T356" s="3"/>
      <c r="U356" s="3"/>
      <c r="V356" s="3"/>
      <c r="W356" s="3"/>
      <c r="X356" s="3"/>
    </row>
    <row r="357" spans="15:24" x14ac:dyDescent="0.2">
      <c r="O357" s="1"/>
      <c r="P357" s="1"/>
      <c r="R357" s="2"/>
      <c r="S357" s="3"/>
      <c r="T357" s="3"/>
      <c r="U357" s="3"/>
      <c r="V357" s="3"/>
      <c r="W357" s="3"/>
      <c r="X357" s="3"/>
    </row>
    <row r="358" spans="15:24" x14ac:dyDescent="0.2">
      <c r="O358" s="1"/>
      <c r="P358" s="1"/>
      <c r="R358" s="2"/>
      <c r="S358" s="3"/>
      <c r="T358" s="3"/>
      <c r="U358" s="3"/>
      <c r="V358" s="3"/>
      <c r="W358" s="3"/>
      <c r="X358" s="3"/>
    </row>
    <row r="359" spans="15:24" x14ac:dyDescent="0.2">
      <c r="O359" s="1"/>
      <c r="P359" s="1"/>
      <c r="R359" s="2"/>
      <c r="S359" s="3"/>
      <c r="T359" s="3"/>
      <c r="U359" s="3"/>
      <c r="V359" s="3"/>
      <c r="W359" s="3"/>
      <c r="X359" s="3"/>
    </row>
    <row r="360" spans="15:24" x14ac:dyDescent="0.2">
      <c r="O360" s="1"/>
      <c r="P360" s="1"/>
      <c r="R360" s="2"/>
      <c r="S360" s="3"/>
      <c r="T360" s="3"/>
      <c r="U360" s="3"/>
      <c r="V360" s="3"/>
      <c r="W360" s="3"/>
      <c r="X360" s="3"/>
    </row>
    <row r="361" spans="15:24" x14ac:dyDescent="0.2">
      <c r="O361" s="1"/>
      <c r="P361" s="1"/>
      <c r="R361" s="2"/>
      <c r="S361" s="3"/>
      <c r="T361" s="3"/>
      <c r="U361" s="3"/>
      <c r="V361" s="3"/>
      <c r="W361" s="3"/>
      <c r="X361" s="3"/>
    </row>
    <row r="362" spans="15:24" x14ac:dyDescent="0.2">
      <c r="O362" s="1"/>
      <c r="P362" s="1"/>
      <c r="R362" s="2"/>
      <c r="S362" s="3"/>
      <c r="T362" s="3"/>
      <c r="U362" s="3"/>
      <c r="V362" s="3"/>
      <c r="W362" s="3"/>
      <c r="X362" s="3"/>
    </row>
    <row r="363" spans="15:24" x14ac:dyDescent="0.2">
      <c r="O363" s="1"/>
      <c r="P363" s="1"/>
      <c r="R363" s="2"/>
      <c r="S363" s="3"/>
      <c r="T363" s="3"/>
      <c r="U363" s="3"/>
      <c r="V363" s="3"/>
      <c r="W363" s="3"/>
      <c r="X363" s="3"/>
    </row>
    <row r="364" spans="15:24" x14ac:dyDescent="0.2">
      <c r="O364" s="1"/>
      <c r="P364" s="1"/>
      <c r="R364" s="2"/>
      <c r="S364" s="3"/>
      <c r="T364" s="3"/>
      <c r="U364" s="3"/>
      <c r="V364" s="3"/>
      <c r="W364" s="3"/>
      <c r="X364" s="3"/>
    </row>
    <row r="365" spans="15:24" x14ac:dyDescent="0.2">
      <c r="O365" s="1"/>
      <c r="P365" s="1"/>
      <c r="R365" s="2"/>
      <c r="S365" s="3"/>
      <c r="T365" s="3"/>
      <c r="U365" s="3"/>
      <c r="V365" s="3"/>
      <c r="W365" s="3"/>
      <c r="X365" s="3"/>
    </row>
    <row r="366" spans="15:24" x14ac:dyDescent="0.2">
      <c r="O366" s="1"/>
      <c r="P366" s="1"/>
      <c r="R366" s="2"/>
      <c r="S366" s="3"/>
      <c r="T366" s="3"/>
      <c r="U366" s="3"/>
      <c r="V366" s="3"/>
      <c r="W366" s="3"/>
      <c r="X366" s="3"/>
    </row>
    <row r="367" spans="15:24" x14ac:dyDescent="0.2">
      <c r="O367" s="1"/>
      <c r="P367" s="1"/>
      <c r="R367" s="2"/>
      <c r="S367" s="3"/>
      <c r="T367" s="3"/>
      <c r="U367" s="3"/>
      <c r="V367" s="3"/>
      <c r="W367" s="3"/>
      <c r="X367" s="3"/>
    </row>
    <row r="368" spans="15:24" x14ac:dyDescent="0.2">
      <c r="O368" s="1"/>
      <c r="P368" s="1"/>
      <c r="R368" s="2"/>
      <c r="S368" s="3"/>
      <c r="T368" s="3"/>
      <c r="U368" s="3"/>
      <c r="V368" s="3"/>
      <c r="W368" s="3"/>
      <c r="X368" s="3"/>
    </row>
    <row r="369" spans="15:24" x14ac:dyDescent="0.2">
      <c r="O369" s="1"/>
      <c r="P369" s="1"/>
      <c r="R369" s="2"/>
      <c r="S369" s="3"/>
      <c r="T369" s="3"/>
      <c r="U369" s="3"/>
      <c r="V369" s="3"/>
      <c r="W369" s="3"/>
      <c r="X369" s="3"/>
    </row>
    <row r="370" spans="15:24" x14ac:dyDescent="0.2">
      <c r="O370" s="1"/>
      <c r="P370" s="1"/>
      <c r="R370" s="2"/>
      <c r="S370" s="3"/>
      <c r="T370" s="3"/>
      <c r="U370" s="3"/>
      <c r="V370" s="3"/>
      <c r="W370" s="3"/>
      <c r="X370" s="3"/>
    </row>
    <row r="371" spans="15:24" x14ac:dyDescent="0.2">
      <c r="O371" s="1"/>
      <c r="P371" s="1"/>
      <c r="R371" s="2"/>
      <c r="S371" s="3"/>
      <c r="T371" s="3"/>
      <c r="U371" s="3"/>
      <c r="V371" s="3"/>
      <c r="W371" s="3"/>
      <c r="X371" s="3"/>
    </row>
    <row r="372" spans="15:24" x14ac:dyDescent="0.2">
      <c r="O372" s="1"/>
      <c r="P372" s="1"/>
      <c r="R372" s="2"/>
      <c r="S372" s="3"/>
      <c r="T372" s="3"/>
      <c r="U372" s="3"/>
      <c r="V372" s="3"/>
      <c r="W372" s="3"/>
      <c r="X372" s="3"/>
    </row>
    <row r="373" spans="15:24" x14ac:dyDescent="0.2">
      <c r="O373" s="1"/>
      <c r="P373" s="1"/>
      <c r="R373" s="2"/>
      <c r="S373" s="3"/>
      <c r="T373" s="3"/>
      <c r="U373" s="3"/>
      <c r="V373" s="3"/>
      <c r="W373" s="3"/>
      <c r="X373" s="3"/>
    </row>
    <row r="374" spans="15:24" x14ac:dyDescent="0.2">
      <c r="O374" s="1"/>
      <c r="P374" s="1"/>
      <c r="R374" s="2"/>
      <c r="S374" s="3"/>
      <c r="T374" s="3"/>
      <c r="U374" s="3"/>
      <c r="V374" s="3"/>
      <c r="W374" s="3"/>
      <c r="X374" s="3"/>
    </row>
    <row r="375" spans="15:24" x14ac:dyDescent="0.2">
      <c r="O375" s="1"/>
      <c r="P375" s="1"/>
      <c r="R375" s="2"/>
      <c r="S375" s="3"/>
      <c r="T375" s="3"/>
      <c r="U375" s="3"/>
      <c r="V375" s="3"/>
      <c r="W375" s="3"/>
      <c r="X375" s="3"/>
    </row>
    <row r="376" spans="15:24" x14ac:dyDescent="0.2">
      <c r="O376" s="1"/>
      <c r="P376" s="1"/>
      <c r="R376" s="2"/>
      <c r="S376" s="3"/>
      <c r="T376" s="3"/>
      <c r="U376" s="3"/>
      <c r="V376" s="3"/>
      <c r="W376" s="3"/>
      <c r="X376" s="3"/>
    </row>
    <row r="377" spans="15:24" x14ac:dyDescent="0.2">
      <c r="O377" s="1"/>
      <c r="P377" s="1"/>
      <c r="R377" s="2"/>
      <c r="S377" s="3"/>
      <c r="T377" s="3"/>
      <c r="U377" s="3"/>
      <c r="V377" s="3"/>
      <c r="W377" s="3"/>
      <c r="X377" s="3"/>
    </row>
    <row r="378" spans="15:24" x14ac:dyDescent="0.2">
      <c r="O378" s="1"/>
      <c r="P378" s="1"/>
      <c r="R378" s="2"/>
      <c r="S378" s="3"/>
      <c r="T378" s="3"/>
      <c r="U378" s="3"/>
      <c r="V378" s="3"/>
      <c r="W378" s="3"/>
      <c r="X378" s="3"/>
    </row>
    <row r="379" spans="15:24" x14ac:dyDescent="0.2">
      <c r="O379" s="1"/>
      <c r="P379" s="1"/>
      <c r="R379" s="2"/>
      <c r="S379" s="3"/>
      <c r="T379" s="3"/>
      <c r="U379" s="3"/>
      <c r="V379" s="3"/>
      <c r="W379" s="3"/>
      <c r="X379" s="3"/>
    </row>
    <row r="380" spans="15:24" x14ac:dyDescent="0.2">
      <c r="O380" s="1"/>
      <c r="P380" s="1"/>
      <c r="R380" s="2"/>
      <c r="S380" s="3"/>
      <c r="T380" s="3"/>
      <c r="U380" s="3"/>
      <c r="V380" s="3"/>
      <c r="W380" s="3"/>
      <c r="X380" s="3"/>
    </row>
    <row r="381" spans="15:24" x14ac:dyDescent="0.2">
      <c r="O381" s="1"/>
      <c r="P381" s="1"/>
      <c r="R381" s="2"/>
      <c r="S381" s="3"/>
      <c r="T381" s="3"/>
      <c r="U381" s="3"/>
      <c r="V381" s="3"/>
      <c r="W381" s="3"/>
      <c r="X381" s="3"/>
    </row>
    <row r="382" spans="15:24" x14ac:dyDescent="0.2">
      <c r="O382" s="1"/>
      <c r="P382" s="1"/>
      <c r="R382" s="2"/>
      <c r="S382" s="3"/>
      <c r="T382" s="3"/>
      <c r="U382" s="3"/>
      <c r="V382" s="3"/>
      <c r="W382" s="3"/>
      <c r="X382" s="3"/>
    </row>
    <row r="383" spans="15:24" x14ac:dyDescent="0.2">
      <c r="O383" s="1"/>
      <c r="P383" s="1"/>
      <c r="R383" s="2"/>
      <c r="S383" s="3"/>
      <c r="T383" s="3"/>
      <c r="U383" s="3"/>
      <c r="V383" s="3"/>
      <c r="W383" s="3"/>
      <c r="X383" s="3"/>
    </row>
    <row r="384" spans="15:24" x14ac:dyDescent="0.2">
      <c r="O384" s="1"/>
      <c r="P384" s="1"/>
      <c r="R384" s="2"/>
      <c r="S384" s="3"/>
      <c r="T384" s="3"/>
      <c r="U384" s="3"/>
      <c r="V384" s="3"/>
      <c r="W384" s="3"/>
      <c r="X384" s="3"/>
    </row>
    <row r="385" spans="15:24" x14ac:dyDescent="0.2">
      <c r="O385" s="1"/>
      <c r="P385" s="1"/>
      <c r="R385" s="2"/>
      <c r="S385" s="3"/>
      <c r="T385" s="3"/>
      <c r="U385" s="3"/>
      <c r="V385" s="3"/>
      <c r="W385" s="3"/>
      <c r="X385" s="3"/>
    </row>
    <row r="386" spans="15:24" x14ac:dyDescent="0.2">
      <c r="O386" s="1"/>
      <c r="P386" s="1"/>
      <c r="R386" s="2"/>
      <c r="S386" s="3"/>
      <c r="T386" s="3"/>
      <c r="U386" s="3"/>
      <c r="V386" s="3"/>
      <c r="W386" s="3"/>
      <c r="X386" s="3"/>
    </row>
    <row r="387" spans="15:24" x14ac:dyDescent="0.2">
      <c r="O387" s="1"/>
      <c r="P387" s="1"/>
      <c r="R387" s="2"/>
      <c r="S387" s="3"/>
      <c r="T387" s="3"/>
      <c r="U387" s="3"/>
      <c r="V387" s="3"/>
      <c r="W387" s="3"/>
      <c r="X387" s="3"/>
    </row>
    <row r="388" spans="15:24" x14ac:dyDescent="0.2">
      <c r="O388" s="1"/>
      <c r="P388" s="1"/>
      <c r="R388" s="2"/>
      <c r="S388" s="3"/>
      <c r="T388" s="3"/>
      <c r="U388" s="3"/>
      <c r="V388" s="3"/>
      <c r="W388" s="3"/>
      <c r="X388" s="3"/>
    </row>
    <row r="389" spans="15:24" x14ac:dyDescent="0.2">
      <c r="O389" s="1"/>
      <c r="P389" s="1"/>
      <c r="R389" s="2"/>
      <c r="S389" s="3"/>
      <c r="T389" s="3"/>
      <c r="U389" s="3"/>
      <c r="V389" s="3"/>
      <c r="W389" s="3"/>
      <c r="X389" s="3"/>
    </row>
    <row r="390" spans="15:24" x14ac:dyDescent="0.2">
      <c r="O390" s="1"/>
      <c r="P390" s="1"/>
      <c r="R390" s="2"/>
      <c r="S390" s="3"/>
      <c r="T390" s="3"/>
      <c r="U390" s="3"/>
      <c r="V390" s="3"/>
      <c r="W390" s="3"/>
      <c r="X390" s="3"/>
    </row>
    <row r="391" spans="15:24" x14ac:dyDescent="0.2">
      <c r="O391" s="1"/>
      <c r="P391" s="1"/>
      <c r="R391" s="2"/>
      <c r="S391" s="3"/>
      <c r="T391" s="3"/>
      <c r="U391" s="3"/>
      <c r="V391" s="3"/>
      <c r="W391" s="3"/>
      <c r="X391" s="3"/>
    </row>
    <row r="392" spans="15:24" x14ac:dyDescent="0.2">
      <c r="O392" s="1"/>
      <c r="P392" s="1"/>
      <c r="R392" s="2"/>
      <c r="S392" s="3"/>
      <c r="T392" s="3"/>
      <c r="U392" s="3"/>
      <c r="V392" s="3"/>
      <c r="W392" s="3"/>
      <c r="X392" s="3"/>
    </row>
    <row r="393" spans="15:24" x14ac:dyDescent="0.2">
      <c r="O393" s="1"/>
      <c r="P393" s="1"/>
      <c r="R393" s="2"/>
      <c r="S393" s="3"/>
      <c r="T393" s="3"/>
      <c r="U393" s="3"/>
      <c r="V393" s="3"/>
      <c r="W393" s="3"/>
      <c r="X393" s="3"/>
    </row>
    <row r="394" spans="15:24" x14ac:dyDescent="0.2">
      <c r="O394" s="1"/>
      <c r="P394" s="1"/>
      <c r="R394" s="2"/>
      <c r="S394" s="3"/>
      <c r="T394" s="3"/>
      <c r="U394" s="3"/>
      <c r="V394" s="3"/>
      <c r="W394" s="3"/>
      <c r="X394" s="3"/>
    </row>
    <row r="395" spans="15:24" x14ac:dyDescent="0.2">
      <c r="O395" s="1"/>
      <c r="P395" s="1"/>
      <c r="R395" s="2"/>
      <c r="S395" s="3"/>
      <c r="T395" s="3"/>
      <c r="U395" s="3"/>
      <c r="V395" s="3"/>
      <c r="W395" s="3"/>
      <c r="X395" s="3"/>
    </row>
    <row r="396" spans="15:24" x14ac:dyDescent="0.2">
      <c r="O396" s="1"/>
      <c r="P396" s="1"/>
      <c r="R396" s="2"/>
      <c r="S396" s="3"/>
      <c r="T396" s="3"/>
      <c r="U396" s="3"/>
      <c r="V396" s="3"/>
      <c r="W396" s="3"/>
      <c r="X396" s="3"/>
    </row>
    <row r="397" spans="15:24" x14ac:dyDescent="0.2">
      <c r="O397" s="1"/>
      <c r="P397" s="1"/>
      <c r="R397" s="2"/>
      <c r="S397" s="3"/>
      <c r="T397" s="3"/>
      <c r="U397" s="3"/>
      <c r="V397" s="3"/>
      <c r="W397" s="3"/>
      <c r="X397" s="3"/>
    </row>
    <row r="398" spans="15:24" x14ac:dyDescent="0.2">
      <c r="O398" s="1"/>
      <c r="P398" s="1"/>
      <c r="R398" s="2"/>
      <c r="S398" s="3"/>
      <c r="T398" s="3"/>
      <c r="U398" s="3"/>
      <c r="V398" s="3"/>
      <c r="W398" s="3"/>
      <c r="X398" s="3"/>
    </row>
    <row r="399" spans="15:24" x14ac:dyDescent="0.2">
      <c r="O399" s="1"/>
      <c r="P399" s="1"/>
      <c r="R399" s="2"/>
      <c r="S399" s="3"/>
      <c r="T399" s="3"/>
      <c r="U399" s="3"/>
      <c r="V399" s="3"/>
      <c r="W399" s="3"/>
      <c r="X399" s="3"/>
    </row>
    <row r="400" spans="15:24" x14ac:dyDescent="0.2">
      <c r="O400" s="1"/>
      <c r="P400" s="1"/>
      <c r="R400" s="2"/>
      <c r="S400" s="3"/>
      <c r="T400" s="3"/>
      <c r="U400" s="3"/>
      <c r="V400" s="3"/>
      <c r="W400" s="3"/>
      <c r="X400" s="3"/>
    </row>
    <row r="401" spans="15:24" x14ac:dyDescent="0.2">
      <c r="O401" s="1"/>
      <c r="P401" s="1"/>
      <c r="R401" s="2"/>
      <c r="S401" s="3"/>
      <c r="T401" s="3"/>
      <c r="U401" s="3"/>
      <c r="V401" s="3"/>
      <c r="W401" s="3"/>
      <c r="X401" s="3"/>
    </row>
    <row r="402" spans="15:24" x14ac:dyDescent="0.2">
      <c r="O402" s="1"/>
      <c r="P402" s="1"/>
      <c r="R402" s="2"/>
      <c r="S402" s="3"/>
      <c r="T402" s="3"/>
      <c r="U402" s="3"/>
      <c r="V402" s="3"/>
      <c r="W402" s="3"/>
      <c r="X402" s="3"/>
    </row>
    <row r="403" spans="15:24" x14ac:dyDescent="0.2">
      <c r="O403" s="1"/>
      <c r="P403" s="1"/>
      <c r="R403" s="2"/>
      <c r="S403" s="3"/>
      <c r="T403" s="3"/>
      <c r="U403" s="3"/>
      <c r="V403" s="3"/>
      <c r="W403" s="3"/>
      <c r="X403" s="3"/>
    </row>
    <row r="404" spans="15:24" x14ac:dyDescent="0.2">
      <c r="O404" s="1"/>
      <c r="P404" s="1"/>
      <c r="R404" s="2"/>
      <c r="S404" s="3"/>
      <c r="T404" s="3"/>
      <c r="U404" s="3"/>
      <c r="V404" s="3"/>
      <c r="W404" s="3"/>
      <c r="X404" s="3"/>
    </row>
    <row r="405" spans="15:24" x14ac:dyDescent="0.2">
      <c r="O405" s="1"/>
      <c r="P405" s="1"/>
      <c r="R405" s="2"/>
      <c r="S405" s="3"/>
      <c r="T405" s="3"/>
      <c r="U405" s="3"/>
      <c r="V405" s="3"/>
      <c r="W405" s="3"/>
      <c r="X405" s="3"/>
    </row>
    <row r="406" spans="15:24" x14ac:dyDescent="0.2">
      <c r="O406" s="1"/>
      <c r="P406" s="1"/>
      <c r="R406" s="2"/>
      <c r="S406" s="3"/>
      <c r="T406" s="3"/>
      <c r="U406" s="3"/>
      <c r="V406" s="3"/>
      <c r="W406" s="3"/>
      <c r="X406" s="3"/>
    </row>
    <row r="407" spans="15:24" x14ac:dyDescent="0.2">
      <c r="O407" s="1"/>
      <c r="P407" s="1"/>
      <c r="R407" s="2"/>
      <c r="S407" s="3"/>
      <c r="T407" s="3"/>
      <c r="U407" s="3"/>
      <c r="V407" s="3"/>
      <c r="W407" s="3"/>
      <c r="X407" s="3"/>
    </row>
    <row r="408" spans="15:24" x14ac:dyDescent="0.2">
      <c r="O408" s="1"/>
      <c r="P408" s="1"/>
      <c r="R408" s="2"/>
      <c r="S408" s="3"/>
      <c r="T408" s="3"/>
      <c r="U408" s="3"/>
      <c r="V408" s="3"/>
      <c r="W408" s="3"/>
      <c r="X408" s="3"/>
    </row>
    <row r="409" spans="15:24" x14ac:dyDescent="0.2">
      <c r="O409" s="1"/>
      <c r="P409" s="1"/>
      <c r="R409" s="2"/>
      <c r="S409" s="3"/>
      <c r="T409" s="3"/>
      <c r="U409" s="3"/>
      <c r="V409" s="3"/>
      <c r="W409" s="3"/>
      <c r="X409" s="3"/>
    </row>
    <row r="410" spans="15:24" x14ac:dyDescent="0.2">
      <c r="O410" s="1"/>
      <c r="P410" s="1"/>
      <c r="R410" s="2"/>
      <c r="S410" s="3"/>
      <c r="T410" s="3"/>
      <c r="U410" s="3"/>
      <c r="V410" s="3"/>
      <c r="W410" s="3"/>
      <c r="X410" s="3"/>
    </row>
    <row r="411" spans="15:24" x14ac:dyDescent="0.2">
      <c r="O411" s="1"/>
      <c r="P411" s="1"/>
      <c r="R411" s="2"/>
      <c r="S411" s="3"/>
      <c r="T411" s="3"/>
      <c r="U411" s="3"/>
      <c r="V411" s="3"/>
      <c r="W411" s="3"/>
      <c r="X411" s="3"/>
    </row>
    <row r="412" spans="15:24" x14ac:dyDescent="0.2">
      <c r="O412" s="1"/>
      <c r="P412" s="1"/>
      <c r="R412" s="2"/>
      <c r="S412" s="3"/>
      <c r="T412" s="3"/>
      <c r="U412" s="3"/>
      <c r="V412" s="3"/>
      <c r="W412" s="3"/>
      <c r="X412" s="3"/>
    </row>
    <row r="413" spans="15:24" x14ac:dyDescent="0.2">
      <c r="O413" s="1"/>
      <c r="P413" s="1"/>
      <c r="R413" s="2"/>
      <c r="S413" s="3"/>
      <c r="T413" s="3"/>
      <c r="U413" s="3"/>
      <c r="V413" s="3"/>
      <c r="W413" s="3"/>
      <c r="X413" s="3"/>
    </row>
    <row r="414" spans="15:24" x14ac:dyDescent="0.2">
      <c r="O414" s="1"/>
      <c r="P414" s="1"/>
      <c r="R414" s="2"/>
      <c r="S414" s="3"/>
      <c r="T414" s="3"/>
      <c r="U414" s="3"/>
      <c r="V414" s="3"/>
      <c r="W414" s="3"/>
      <c r="X414" s="3"/>
    </row>
    <row r="415" spans="15:24" x14ac:dyDescent="0.2">
      <c r="O415" s="1"/>
      <c r="P415" s="1"/>
      <c r="R415" s="2"/>
      <c r="S415" s="3"/>
      <c r="T415" s="3"/>
      <c r="U415" s="3"/>
      <c r="V415" s="3"/>
      <c r="W415" s="3"/>
      <c r="X415" s="3"/>
    </row>
    <row r="416" spans="15:24" x14ac:dyDescent="0.2">
      <c r="O416" s="1"/>
      <c r="P416" s="1"/>
      <c r="R416" s="2"/>
      <c r="S416" s="3"/>
      <c r="T416" s="3"/>
      <c r="U416" s="3"/>
      <c r="V416" s="3"/>
      <c r="W416" s="3"/>
      <c r="X416" s="3"/>
    </row>
    <row r="417" spans="15:24" x14ac:dyDescent="0.2">
      <c r="O417" s="1"/>
      <c r="P417" s="1"/>
      <c r="R417" s="2"/>
      <c r="S417" s="3"/>
      <c r="T417" s="3"/>
      <c r="U417" s="3"/>
      <c r="V417" s="3"/>
      <c r="W417" s="3"/>
      <c r="X417" s="3"/>
    </row>
    <row r="418" spans="15:24" x14ac:dyDescent="0.2">
      <c r="O418" s="1"/>
      <c r="P418" s="1"/>
      <c r="R418" s="2"/>
      <c r="S418" s="3"/>
      <c r="T418" s="3"/>
      <c r="U418" s="3"/>
      <c r="V418" s="3"/>
      <c r="W418" s="3"/>
      <c r="X418" s="3"/>
    </row>
    <row r="419" spans="15:24" x14ac:dyDescent="0.2">
      <c r="O419" s="1"/>
      <c r="P419" s="1"/>
      <c r="R419" s="2"/>
      <c r="S419" s="3"/>
      <c r="T419" s="3"/>
      <c r="U419" s="3"/>
      <c r="V419" s="3"/>
      <c r="W419" s="3"/>
      <c r="X419" s="3"/>
    </row>
    <row r="420" spans="15:24" x14ac:dyDescent="0.2">
      <c r="O420" s="1"/>
      <c r="P420" s="1"/>
      <c r="R420" s="2"/>
      <c r="S420" s="3"/>
      <c r="T420" s="3"/>
      <c r="U420" s="3"/>
      <c r="V420" s="3"/>
      <c r="W420" s="3"/>
      <c r="X420" s="3"/>
    </row>
    <row r="421" spans="15:24" x14ac:dyDescent="0.2">
      <c r="O421" s="1"/>
      <c r="P421" s="1"/>
      <c r="R421" s="2"/>
      <c r="S421" s="3"/>
      <c r="T421" s="3"/>
      <c r="U421" s="3"/>
      <c r="V421" s="3"/>
      <c r="W421" s="3"/>
      <c r="X421" s="3"/>
    </row>
    <row r="422" spans="15:24" x14ac:dyDescent="0.2">
      <c r="O422" s="1"/>
      <c r="P422" s="1"/>
      <c r="R422" s="2"/>
      <c r="S422" s="3"/>
      <c r="T422" s="3"/>
      <c r="U422" s="3"/>
      <c r="V422" s="3"/>
      <c r="W422" s="3"/>
      <c r="X422" s="3"/>
    </row>
    <row r="423" spans="15:24" x14ac:dyDescent="0.2">
      <c r="O423" s="1"/>
      <c r="P423" s="1"/>
      <c r="R423" s="2"/>
      <c r="S423" s="3"/>
      <c r="T423" s="3"/>
      <c r="U423" s="3"/>
      <c r="V423" s="3"/>
      <c r="W423" s="3"/>
      <c r="X423" s="3"/>
    </row>
    <row r="424" spans="15:24" x14ac:dyDescent="0.2">
      <c r="O424" s="1"/>
      <c r="P424" s="1"/>
      <c r="R424" s="2"/>
      <c r="S424" s="3"/>
      <c r="T424" s="3"/>
      <c r="U424" s="3"/>
      <c r="V424" s="3"/>
      <c r="W424" s="3"/>
      <c r="X424" s="3"/>
    </row>
    <row r="425" spans="15:24" x14ac:dyDescent="0.2">
      <c r="O425" s="1"/>
      <c r="P425" s="1"/>
      <c r="R425" s="2"/>
      <c r="S425" s="3"/>
      <c r="T425" s="3"/>
      <c r="U425" s="3"/>
      <c r="V425" s="3"/>
      <c r="W425" s="3"/>
      <c r="X425" s="3"/>
    </row>
    <row r="426" spans="15:24" x14ac:dyDescent="0.2">
      <c r="O426" s="1"/>
      <c r="P426" s="1"/>
      <c r="R426" s="2"/>
      <c r="S426" s="3"/>
      <c r="T426" s="3"/>
      <c r="U426" s="3"/>
      <c r="V426" s="3"/>
      <c r="W426" s="3"/>
      <c r="X426" s="3"/>
    </row>
    <row r="427" spans="15:24" x14ac:dyDescent="0.2">
      <c r="O427" s="1"/>
      <c r="P427" s="1"/>
      <c r="R427" s="2"/>
      <c r="S427" s="3"/>
      <c r="T427" s="3"/>
      <c r="U427" s="3"/>
      <c r="V427" s="3"/>
      <c r="W427" s="3"/>
      <c r="X427" s="3"/>
    </row>
    <row r="428" spans="15:24" x14ac:dyDescent="0.2">
      <c r="O428" s="1"/>
      <c r="P428" s="1"/>
      <c r="R428" s="2"/>
      <c r="S428" s="3"/>
      <c r="T428" s="3"/>
      <c r="U428" s="3"/>
      <c r="V428" s="3"/>
      <c r="W428" s="3"/>
      <c r="X428" s="3"/>
    </row>
    <row r="429" spans="15:24" x14ac:dyDescent="0.2">
      <c r="O429" s="1"/>
      <c r="P429" s="1"/>
      <c r="R429" s="2"/>
      <c r="S429" s="3"/>
      <c r="T429" s="3"/>
      <c r="U429" s="3"/>
      <c r="V429" s="3"/>
      <c r="W429" s="3"/>
      <c r="X429" s="3"/>
    </row>
    <row r="430" spans="15:24" x14ac:dyDescent="0.2">
      <c r="O430" s="1"/>
      <c r="P430" s="1"/>
      <c r="R430" s="2"/>
      <c r="S430" s="3"/>
      <c r="T430" s="3"/>
      <c r="U430" s="3"/>
      <c r="V430" s="3"/>
      <c r="W430" s="3"/>
      <c r="X430" s="3"/>
    </row>
    <row r="431" spans="15:24" x14ac:dyDescent="0.2">
      <c r="O431" s="1"/>
      <c r="P431" s="1"/>
      <c r="R431" s="2"/>
      <c r="S431" s="3"/>
      <c r="T431" s="3"/>
      <c r="U431" s="3"/>
      <c r="V431" s="3"/>
      <c r="W431" s="3"/>
      <c r="X431" s="3"/>
    </row>
    <row r="432" spans="15:24" x14ac:dyDescent="0.2">
      <c r="O432" s="1"/>
      <c r="P432" s="1"/>
      <c r="R432" s="2"/>
      <c r="S432" s="3"/>
      <c r="T432" s="3"/>
      <c r="U432" s="3"/>
      <c r="V432" s="3"/>
      <c r="W432" s="3"/>
      <c r="X432" s="3"/>
    </row>
    <row r="433" spans="15:24" x14ac:dyDescent="0.2">
      <c r="O433" s="1"/>
      <c r="P433" s="1"/>
      <c r="R433" s="2"/>
      <c r="S433" s="3"/>
      <c r="T433" s="3"/>
      <c r="U433" s="3"/>
      <c r="V433" s="3"/>
      <c r="W433" s="3"/>
      <c r="X433" s="3"/>
    </row>
    <row r="434" spans="15:24" x14ac:dyDescent="0.2">
      <c r="O434" s="1"/>
      <c r="P434" s="1"/>
      <c r="R434" s="2"/>
      <c r="S434" s="3"/>
      <c r="T434" s="3"/>
      <c r="U434" s="3"/>
      <c r="V434" s="3"/>
      <c r="W434" s="3"/>
      <c r="X434" s="3"/>
    </row>
    <row r="435" spans="15:24" x14ac:dyDescent="0.2">
      <c r="O435" s="1"/>
      <c r="P435" s="1"/>
      <c r="R435" s="2"/>
      <c r="S435" s="3"/>
      <c r="T435" s="3"/>
      <c r="U435" s="3"/>
      <c r="V435" s="3"/>
      <c r="W435" s="3"/>
      <c r="X435" s="3"/>
    </row>
    <row r="436" spans="15:24" x14ac:dyDescent="0.2">
      <c r="O436" s="1"/>
      <c r="P436" s="1"/>
      <c r="R436" s="2"/>
      <c r="S436" s="3"/>
      <c r="T436" s="3"/>
      <c r="U436" s="3"/>
      <c r="V436" s="3"/>
      <c r="W436" s="3"/>
      <c r="X436" s="3"/>
    </row>
    <row r="437" spans="15:24" x14ac:dyDescent="0.2">
      <c r="O437" s="1"/>
      <c r="P437" s="1"/>
      <c r="R437" s="2"/>
      <c r="S437" s="3"/>
      <c r="T437" s="3"/>
      <c r="U437" s="3"/>
      <c r="V437" s="3"/>
      <c r="W437" s="3"/>
      <c r="X437" s="3"/>
    </row>
    <row r="438" spans="15:24" x14ac:dyDescent="0.2">
      <c r="O438" s="1"/>
      <c r="P438" s="1"/>
      <c r="R438" s="2"/>
      <c r="S438" s="3"/>
      <c r="T438" s="3"/>
      <c r="U438" s="3"/>
      <c r="V438" s="3"/>
      <c r="W438" s="3"/>
      <c r="X438" s="3"/>
    </row>
    <row r="439" spans="15:24" x14ac:dyDescent="0.2">
      <c r="O439" s="1"/>
      <c r="P439" s="1"/>
      <c r="R439" s="2"/>
      <c r="S439" s="3"/>
      <c r="T439" s="3"/>
      <c r="U439" s="3"/>
      <c r="V439" s="3"/>
      <c r="W439" s="3"/>
      <c r="X439" s="3"/>
    </row>
    <row r="440" spans="15:24" x14ac:dyDescent="0.2">
      <c r="O440" s="1"/>
      <c r="P440" s="1"/>
      <c r="R440" s="2"/>
      <c r="S440" s="3"/>
      <c r="T440" s="3"/>
      <c r="U440" s="3"/>
      <c r="V440" s="3"/>
      <c r="W440" s="3"/>
      <c r="X440" s="3"/>
    </row>
    <row r="441" spans="15:24" x14ac:dyDescent="0.2">
      <c r="O441" s="1"/>
      <c r="P441" s="1"/>
      <c r="R441" s="2"/>
      <c r="S441" s="3"/>
      <c r="T441" s="3"/>
      <c r="U441" s="3"/>
      <c r="V441" s="3"/>
      <c r="W441" s="3"/>
      <c r="X441" s="3"/>
    </row>
    <row r="442" spans="15:24" x14ac:dyDescent="0.2">
      <c r="O442" s="1"/>
      <c r="P442" s="1"/>
      <c r="R442" s="2"/>
      <c r="S442" s="3"/>
      <c r="T442" s="3"/>
      <c r="U442" s="3"/>
      <c r="V442" s="3"/>
      <c r="W442" s="3"/>
      <c r="X442" s="3"/>
    </row>
    <row r="443" spans="15:24" x14ac:dyDescent="0.2">
      <c r="O443" s="1"/>
      <c r="P443" s="1"/>
      <c r="R443" s="2"/>
      <c r="S443" s="3"/>
      <c r="T443" s="3"/>
      <c r="U443" s="3"/>
      <c r="V443" s="3"/>
      <c r="W443" s="3"/>
      <c r="X443" s="3"/>
    </row>
    <row r="444" spans="15:24" x14ac:dyDescent="0.2">
      <c r="O444" s="1"/>
      <c r="P444" s="1"/>
      <c r="R444" s="2"/>
      <c r="S444" s="3"/>
      <c r="T444" s="3"/>
      <c r="U444" s="3"/>
      <c r="V444" s="3"/>
      <c r="W444" s="3"/>
      <c r="X444" s="3"/>
    </row>
    <row r="445" spans="15:24" x14ac:dyDescent="0.2">
      <c r="O445" s="1"/>
      <c r="P445" s="1"/>
      <c r="R445" s="2"/>
      <c r="S445" s="3"/>
      <c r="T445" s="3"/>
      <c r="U445" s="3"/>
      <c r="V445" s="3"/>
      <c r="W445" s="3"/>
      <c r="X445" s="3"/>
    </row>
    <row r="446" spans="15:24" x14ac:dyDescent="0.2">
      <c r="O446" s="1"/>
      <c r="P446" s="1"/>
      <c r="R446" s="2"/>
      <c r="S446" s="3"/>
      <c r="T446" s="3"/>
      <c r="U446" s="3"/>
      <c r="V446" s="3"/>
      <c r="W446" s="3"/>
      <c r="X446" s="3"/>
    </row>
    <row r="447" spans="15:24" x14ac:dyDescent="0.2">
      <c r="O447" s="1"/>
      <c r="P447" s="1"/>
      <c r="R447" s="2"/>
      <c r="S447" s="3"/>
      <c r="T447" s="3"/>
      <c r="U447" s="3"/>
      <c r="V447" s="3"/>
      <c r="W447" s="3"/>
      <c r="X447" s="3"/>
    </row>
    <row r="448" spans="15:24" x14ac:dyDescent="0.2">
      <c r="O448" s="1"/>
      <c r="P448" s="1"/>
      <c r="R448" s="2"/>
      <c r="S448" s="3"/>
      <c r="T448" s="3"/>
      <c r="U448" s="3"/>
      <c r="V448" s="3"/>
      <c r="W448" s="3"/>
      <c r="X448" s="3"/>
    </row>
    <row r="449" spans="15:24" x14ac:dyDescent="0.2">
      <c r="O449" s="1"/>
      <c r="P449" s="1"/>
      <c r="R449" s="2"/>
      <c r="S449" s="3"/>
      <c r="T449" s="3"/>
      <c r="U449" s="3"/>
      <c r="V449" s="3"/>
      <c r="W449" s="3"/>
      <c r="X449" s="3"/>
    </row>
    <row r="450" spans="15:24" x14ac:dyDescent="0.2">
      <c r="O450" s="1"/>
      <c r="P450" s="1"/>
      <c r="R450" s="2"/>
      <c r="S450" s="3"/>
      <c r="T450" s="3"/>
      <c r="U450" s="3"/>
      <c r="V450" s="3"/>
      <c r="W450" s="3"/>
      <c r="X450" s="3"/>
    </row>
    <row r="451" spans="15:24" x14ac:dyDescent="0.2">
      <c r="O451" s="1"/>
      <c r="P451" s="1"/>
      <c r="R451" s="2"/>
      <c r="S451" s="3"/>
      <c r="T451" s="3"/>
      <c r="U451" s="3"/>
      <c r="V451" s="3"/>
      <c r="W451" s="3"/>
      <c r="X451" s="3"/>
    </row>
    <row r="452" spans="15:24" x14ac:dyDescent="0.2">
      <c r="O452" s="1"/>
      <c r="P452" s="1"/>
      <c r="R452" s="2"/>
      <c r="S452" s="3"/>
      <c r="T452" s="3"/>
      <c r="U452" s="3"/>
      <c r="V452" s="3"/>
      <c r="W452" s="3"/>
      <c r="X452" s="3"/>
    </row>
    <row r="453" spans="15:24" x14ac:dyDescent="0.2">
      <c r="O453" s="1"/>
      <c r="P453" s="1"/>
      <c r="R453" s="2"/>
      <c r="S453" s="3"/>
      <c r="T453" s="3"/>
      <c r="U453" s="3"/>
      <c r="V453" s="3"/>
      <c r="W453" s="3"/>
      <c r="X453" s="3"/>
    </row>
    <row r="454" spans="15:24" x14ac:dyDescent="0.2">
      <c r="O454" s="1"/>
      <c r="P454" s="1"/>
      <c r="R454" s="2"/>
      <c r="S454" s="3"/>
      <c r="T454" s="3"/>
      <c r="U454" s="3"/>
      <c r="V454" s="3"/>
      <c r="W454" s="3"/>
      <c r="X454" s="3"/>
    </row>
    <row r="455" spans="15:24" x14ac:dyDescent="0.2">
      <c r="O455" s="1"/>
      <c r="P455" s="1"/>
      <c r="R455" s="2"/>
      <c r="S455" s="3"/>
      <c r="T455" s="3"/>
      <c r="U455" s="3"/>
      <c r="V455" s="3"/>
      <c r="W455" s="3"/>
      <c r="X455" s="3"/>
    </row>
    <row r="456" spans="15:24" x14ac:dyDescent="0.2">
      <c r="O456" s="1"/>
      <c r="P456" s="1"/>
      <c r="R456" s="2"/>
      <c r="S456" s="3"/>
      <c r="T456" s="3"/>
      <c r="U456" s="3"/>
      <c r="V456" s="3"/>
      <c r="W456" s="3"/>
      <c r="X456" s="3"/>
    </row>
    <row r="457" spans="15:24" x14ac:dyDescent="0.2">
      <c r="O457" s="1"/>
      <c r="P457" s="1"/>
      <c r="R457" s="2"/>
      <c r="S457" s="3"/>
      <c r="T457" s="3"/>
      <c r="U457" s="3"/>
      <c r="V457" s="3"/>
      <c r="W457" s="3"/>
      <c r="X457" s="3"/>
    </row>
    <row r="458" spans="15:24" x14ac:dyDescent="0.2">
      <c r="O458" s="1"/>
      <c r="P458" s="1"/>
      <c r="R458" s="2"/>
      <c r="S458" s="3"/>
      <c r="T458" s="3"/>
      <c r="U458" s="3"/>
      <c r="V458" s="3"/>
      <c r="W458" s="3"/>
      <c r="X458" s="3"/>
    </row>
    <row r="459" spans="15:24" x14ac:dyDescent="0.2">
      <c r="O459" s="1"/>
      <c r="P459" s="1"/>
      <c r="R459" s="2"/>
      <c r="S459" s="3"/>
      <c r="T459" s="3"/>
      <c r="U459" s="3"/>
      <c r="V459" s="3"/>
      <c r="W459" s="3"/>
      <c r="X459" s="3"/>
    </row>
    <row r="460" spans="15:24" x14ac:dyDescent="0.2">
      <c r="O460" s="1"/>
      <c r="P460" s="1"/>
      <c r="R460" s="2"/>
      <c r="S460" s="3"/>
      <c r="T460" s="3"/>
      <c r="U460" s="3"/>
      <c r="V460" s="3"/>
      <c r="W460" s="3"/>
      <c r="X460" s="3"/>
    </row>
    <row r="461" spans="15:24" x14ac:dyDescent="0.2">
      <c r="O461" s="1"/>
      <c r="P461" s="1"/>
      <c r="R461" s="2"/>
      <c r="S461" s="3"/>
      <c r="T461" s="3"/>
      <c r="U461" s="3"/>
      <c r="V461" s="3"/>
      <c r="W461" s="3"/>
      <c r="X461" s="3"/>
    </row>
    <row r="462" spans="15:24" x14ac:dyDescent="0.2">
      <c r="O462" s="1"/>
      <c r="P462" s="1"/>
      <c r="R462" s="2"/>
      <c r="S462" s="3"/>
      <c r="T462" s="3"/>
      <c r="U462" s="3"/>
      <c r="V462" s="3"/>
      <c r="W462" s="3"/>
      <c r="X462" s="3"/>
    </row>
    <row r="463" spans="15:24" x14ac:dyDescent="0.2">
      <c r="O463" s="1"/>
      <c r="P463" s="1"/>
      <c r="R463" s="2"/>
      <c r="S463" s="3"/>
      <c r="T463" s="3"/>
      <c r="U463" s="3"/>
      <c r="V463" s="3"/>
      <c r="W463" s="3"/>
      <c r="X463" s="3"/>
    </row>
    <row r="464" spans="15:24" x14ac:dyDescent="0.2">
      <c r="O464" s="1"/>
      <c r="P464" s="1"/>
      <c r="R464" s="2"/>
      <c r="S464" s="3"/>
      <c r="T464" s="3"/>
      <c r="U464" s="3"/>
      <c r="V464" s="3"/>
      <c r="W464" s="3"/>
      <c r="X464" s="3"/>
    </row>
    <row r="465" spans="15:24" x14ac:dyDescent="0.2">
      <c r="O465" s="1"/>
      <c r="P465" s="1"/>
      <c r="R465" s="2"/>
      <c r="S465" s="3"/>
      <c r="T465" s="3"/>
      <c r="U465" s="3"/>
      <c r="V465" s="3"/>
      <c r="W465" s="3"/>
      <c r="X465" s="3"/>
    </row>
    <row r="466" spans="15:24" x14ac:dyDescent="0.2">
      <c r="O466" s="1"/>
      <c r="P466" s="1"/>
      <c r="R466" s="2"/>
      <c r="S466" s="3"/>
      <c r="T466" s="3"/>
      <c r="U466" s="3"/>
      <c r="V466" s="3"/>
      <c r="W466" s="3"/>
      <c r="X466" s="3"/>
    </row>
    <row r="467" spans="15:24" x14ac:dyDescent="0.2">
      <c r="O467" s="1"/>
      <c r="P467" s="1"/>
      <c r="R467" s="2"/>
      <c r="S467" s="3"/>
      <c r="T467" s="3"/>
      <c r="U467" s="3"/>
      <c r="V467" s="3"/>
      <c r="W467" s="3"/>
      <c r="X467" s="3"/>
    </row>
    <row r="468" spans="15:24" x14ac:dyDescent="0.2">
      <c r="O468" s="1"/>
      <c r="P468" s="1"/>
      <c r="R468" s="2"/>
      <c r="S468" s="3"/>
      <c r="T468" s="3"/>
      <c r="U468" s="3"/>
      <c r="V468" s="3"/>
      <c r="W468" s="3"/>
      <c r="X468" s="3"/>
    </row>
    <row r="469" spans="15:24" x14ac:dyDescent="0.2">
      <c r="O469" s="1"/>
      <c r="P469" s="1"/>
      <c r="R469" s="2"/>
      <c r="S469" s="3"/>
      <c r="T469" s="3"/>
      <c r="U469" s="3"/>
      <c r="V469" s="3"/>
      <c r="W469" s="3"/>
      <c r="X469" s="3"/>
    </row>
    <row r="470" spans="15:24" x14ac:dyDescent="0.2">
      <c r="O470" s="1"/>
      <c r="P470" s="1"/>
      <c r="R470" s="2"/>
      <c r="S470" s="3"/>
      <c r="T470" s="3"/>
      <c r="U470" s="3"/>
      <c r="V470" s="3"/>
      <c r="W470" s="3"/>
      <c r="X470" s="3"/>
    </row>
    <row r="471" spans="15:24" x14ac:dyDescent="0.2">
      <c r="O471" s="1"/>
      <c r="P471" s="1"/>
      <c r="R471" s="2"/>
      <c r="S471" s="3"/>
      <c r="T471" s="3"/>
      <c r="U471" s="3"/>
      <c r="V471" s="3"/>
      <c r="W471" s="3"/>
      <c r="X471" s="3"/>
    </row>
    <row r="472" spans="15:24" x14ac:dyDescent="0.2">
      <c r="O472" s="1"/>
      <c r="P472" s="1"/>
      <c r="R472" s="2"/>
      <c r="S472" s="3"/>
      <c r="T472" s="3"/>
      <c r="U472" s="3"/>
      <c r="V472" s="3"/>
      <c r="W472" s="3"/>
      <c r="X472" s="3"/>
    </row>
    <row r="473" spans="15:24" x14ac:dyDescent="0.2">
      <c r="O473" s="1"/>
      <c r="P473" s="1"/>
      <c r="R473" s="2"/>
      <c r="S473" s="3"/>
      <c r="T473" s="3"/>
      <c r="U473" s="3"/>
      <c r="V473" s="3"/>
      <c r="W473" s="3"/>
      <c r="X473" s="3"/>
    </row>
    <row r="474" spans="15:24" x14ac:dyDescent="0.2">
      <c r="O474" s="1"/>
      <c r="P474" s="1"/>
      <c r="R474" s="2"/>
      <c r="S474" s="3"/>
      <c r="T474" s="3"/>
      <c r="U474" s="3"/>
      <c r="V474" s="3"/>
      <c r="W474" s="3"/>
      <c r="X474" s="3"/>
    </row>
    <row r="475" spans="15:24" x14ac:dyDescent="0.2">
      <c r="O475" s="1"/>
      <c r="P475" s="1"/>
      <c r="R475" s="2"/>
      <c r="S475" s="3"/>
      <c r="T475" s="3"/>
      <c r="U475" s="3"/>
      <c r="V475" s="3"/>
      <c r="W475" s="3"/>
      <c r="X475" s="3"/>
    </row>
    <row r="476" spans="15:24" x14ac:dyDescent="0.2">
      <c r="O476" s="1"/>
      <c r="P476" s="1"/>
      <c r="R476" s="2"/>
      <c r="S476" s="3"/>
      <c r="T476" s="3"/>
      <c r="U476" s="3"/>
      <c r="V476" s="3"/>
      <c r="W476" s="3"/>
      <c r="X476" s="3"/>
    </row>
    <row r="477" spans="15:24" x14ac:dyDescent="0.2">
      <c r="O477" s="1"/>
      <c r="P477" s="1"/>
      <c r="R477" s="2"/>
      <c r="S477" s="3"/>
      <c r="T477" s="3"/>
      <c r="U477" s="3"/>
      <c r="V477" s="3"/>
      <c r="W477" s="3"/>
      <c r="X477" s="3"/>
    </row>
    <row r="478" spans="15:24" x14ac:dyDescent="0.2">
      <c r="O478" s="1"/>
      <c r="P478" s="1"/>
      <c r="R478" s="2"/>
      <c r="S478" s="3"/>
      <c r="T478" s="3"/>
      <c r="U478" s="3"/>
      <c r="V478" s="3"/>
      <c r="W478" s="3"/>
      <c r="X478" s="3"/>
    </row>
    <row r="479" spans="15:24" x14ac:dyDescent="0.2">
      <c r="O479" s="1"/>
      <c r="P479" s="1"/>
      <c r="R479" s="2"/>
      <c r="S479" s="3"/>
      <c r="T479" s="3"/>
      <c r="U479" s="3"/>
      <c r="V479" s="3"/>
      <c r="W479" s="3"/>
      <c r="X479" s="3"/>
    </row>
    <row r="480" spans="15:24" x14ac:dyDescent="0.2">
      <c r="O480" s="1"/>
      <c r="P480" s="1"/>
      <c r="R480" s="2"/>
      <c r="S480" s="3"/>
      <c r="T480" s="3"/>
      <c r="U480" s="3"/>
      <c r="V480" s="3"/>
      <c r="W480" s="3"/>
      <c r="X480" s="3"/>
    </row>
    <row r="481" spans="15:24" x14ac:dyDescent="0.2">
      <c r="O481" s="1"/>
      <c r="P481" s="1"/>
      <c r="R481" s="2"/>
      <c r="S481" s="3"/>
      <c r="T481" s="3"/>
      <c r="U481" s="3"/>
      <c r="V481" s="3"/>
      <c r="W481" s="3"/>
      <c r="X481" s="3"/>
    </row>
    <row r="482" spans="15:24" x14ac:dyDescent="0.2">
      <c r="O482" s="1"/>
      <c r="P482" s="1"/>
      <c r="R482" s="2"/>
      <c r="S482" s="3"/>
      <c r="T482" s="3"/>
      <c r="U482" s="3"/>
      <c r="V482" s="3"/>
      <c r="W482" s="3"/>
      <c r="X482" s="3"/>
    </row>
    <row r="483" spans="15:24" x14ac:dyDescent="0.2">
      <c r="O483" s="1"/>
      <c r="P483" s="1"/>
      <c r="R483" s="2"/>
      <c r="S483" s="3"/>
      <c r="T483" s="3"/>
      <c r="U483" s="3"/>
      <c r="V483" s="3"/>
      <c r="W483" s="3"/>
      <c r="X483" s="3"/>
    </row>
    <row r="484" spans="15:24" x14ac:dyDescent="0.2">
      <c r="O484" s="1"/>
      <c r="P484" s="1"/>
      <c r="R484" s="2"/>
      <c r="S484" s="3"/>
      <c r="T484" s="3"/>
      <c r="U484" s="3"/>
      <c r="V484" s="3"/>
      <c r="W484" s="3"/>
      <c r="X484" s="3"/>
    </row>
    <row r="485" spans="15:24" x14ac:dyDescent="0.2">
      <c r="O485" s="1"/>
      <c r="P485" s="1"/>
      <c r="R485" s="2"/>
      <c r="S485" s="3"/>
      <c r="T485" s="3"/>
      <c r="U485" s="3"/>
      <c r="V485" s="3"/>
      <c r="W485" s="3"/>
      <c r="X485" s="3"/>
    </row>
    <row r="486" spans="15:24" x14ac:dyDescent="0.2">
      <c r="O486" s="1"/>
      <c r="P486" s="1"/>
      <c r="R486" s="2"/>
      <c r="S486" s="3"/>
      <c r="T486" s="3"/>
      <c r="U486" s="3"/>
      <c r="V486" s="3"/>
      <c r="W486" s="3"/>
      <c r="X486" s="3"/>
    </row>
    <row r="487" spans="15:24" x14ac:dyDescent="0.2">
      <c r="O487" s="1"/>
      <c r="P487" s="1"/>
      <c r="R487" s="2"/>
      <c r="S487" s="3"/>
      <c r="T487" s="3"/>
      <c r="U487" s="3"/>
      <c r="V487" s="3"/>
      <c r="W487" s="3"/>
      <c r="X487" s="3"/>
    </row>
    <row r="488" spans="15:24" x14ac:dyDescent="0.2">
      <c r="O488" s="1"/>
      <c r="P488" s="1"/>
      <c r="R488" s="2"/>
      <c r="S488" s="3"/>
      <c r="T488" s="3"/>
      <c r="U488" s="3"/>
      <c r="V488" s="3"/>
      <c r="W488" s="3"/>
      <c r="X488" s="3"/>
    </row>
    <row r="489" spans="15:24" x14ac:dyDescent="0.2">
      <c r="O489" s="1"/>
      <c r="P489" s="1"/>
      <c r="R489" s="2"/>
      <c r="S489" s="3"/>
      <c r="T489" s="3"/>
      <c r="U489" s="3"/>
      <c r="V489" s="3"/>
      <c r="W489" s="3"/>
      <c r="X489" s="3"/>
    </row>
    <row r="490" spans="15:24" x14ac:dyDescent="0.2">
      <c r="O490" s="1"/>
      <c r="P490" s="1"/>
      <c r="R490" s="2"/>
      <c r="S490" s="3"/>
      <c r="T490" s="3"/>
      <c r="U490" s="3"/>
      <c r="V490" s="3"/>
      <c r="W490" s="3"/>
      <c r="X490" s="3"/>
    </row>
    <row r="491" spans="15:24" x14ac:dyDescent="0.2">
      <c r="O491" s="1"/>
      <c r="P491" s="1"/>
      <c r="R491" s="2"/>
      <c r="S491" s="3"/>
      <c r="T491" s="3"/>
      <c r="U491" s="3"/>
      <c r="V491" s="3"/>
      <c r="W491" s="3"/>
      <c r="X491" s="3"/>
    </row>
    <row r="492" spans="15:24" x14ac:dyDescent="0.2">
      <c r="O492" s="1"/>
      <c r="P492" s="1"/>
      <c r="R492" s="2"/>
      <c r="S492" s="3"/>
      <c r="T492" s="3"/>
      <c r="U492" s="3"/>
      <c r="V492" s="3"/>
      <c r="W492" s="3"/>
      <c r="X492" s="3"/>
    </row>
    <row r="493" spans="15:24" x14ac:dyDescent="0.2">
      <c r="O493" s="1"/>
      <c r="P493" s="1"/>
      <c r="R493" s="2"/>
      <c r="S493" s="3"/>
      <c r="T493" s="3"/>
      <c r="U493" s="3"/>
      <c r="V493" s="3"/>
      <c r="W493" s="3"/>
      <c r="X493" s="3"/>
    </row>
    <row r="494" spans="15:24" x14ac:dyDescent="0.2">
      <c r="O494" s="1"/>
      <c r="P494" s="1"/>
      <c r="R494" s="2"/>
      <c r="S494" s="3"/>
      <c r="T494" s="3"/>
      <c r="U494" s="3"/>
      <c r="V494" s="3"/>
      <c r="W494" s="3"/>
      <c r="X494" s="3"/>
    </row>
    <row r="495" spans="15:24" x14ac:dyDescent="0.2">
      <c r="O495" s="1"/>
      <c r="P495" s="1"/>
      <c r="R495" s="2"/>
      <c r="S495" s="3"/>
      <c r="T495" s="3"/>
      <c r="U495" s="3"/>
      <c r="V495" s="3"/>
      <c r="W495" s="3"/>
      <c r="X495" s="3"/>
    </row>
    <row r="496" spans="15:24" x14ac:dyDescent="0.2">
      <c r="O496" s="1"/>
      <c r="P496" s="1"/>
      <c r="R496" s="2"/>
      <c r="S496" s="3"/>
      <c r="T496" s="3"/>
      <c r="U496" s="3"/>
      <c r="V496" s="3"/>
      <c r="W496" s="3"/>
      <c r="X496" s="3"/>
    </row>
    <row r="497" spans="15:24" x14ac:dyDescent="0.2">
      <c r="O497" s="1"/>
      <c r="P497" s="1"/>
      <c r="R497" s="2"/>
      <c r="S497" s="3"/>
      <c r="T497" s="3"/>
      <c r="U497" s="3"/>
      <c r="V497" s="3"/>
      <c r="W497" s="3"/>
      <c r="X497" s="3"/>
    </row>
    <row r="498" spans="15:24" x14ac:dyDescent="0.2">
      <c r="O498" s="1"/>
      <c r="P498" s="1"/>
      <c r="R498" s="2"/>
      <c r="S498" s="3"/>
      <c r="T498" s="3"/>
      <c r="U498" s="3"/>
      <c r="V498" s="3"/>
      <c r="W498" s="3"/>
      <c r="X498" s="3"/>
    </row>
    <row r="499" spans="15:24" x14ac:dyDescent="0.2">
      <c r="O499" s="1"/>
      <c r="P499" s="1"/>
      <c r="R499" s="2"/>
      <c r="S499" s="3"/>
      <c r="T499" s="3"/>
      <c r="U499" s="3"/>
      <c r="V499" s="3"/>
      <c r="W499" s="3"/>
      <c r="X499" s="3"/>
    </row>
    <row r="500" spans="15:24" x14ac:dyDescent="0.2">
      <c r="O500" s="1"/>
      <c r="P500" s="1"/>
      <c r="R500" s="2"/>
      <c r="S500" s="3"/>
      <c r="T500" s="3"/>
      <c r="U500" s="3"/>
      <c r="V500" s="3"/>
      <c r="W500" s="3"/>
      <c r="X500" s="3"/>
    </row>
    <row r="501" spans="15:24" x14ac:dyDescent="0.2">
      <c r="O501" s="1"/>
      <c r="P501" s="1"/>
      <c r="R501" s="2"/>
      <c r="S501" s="3"/>
      <c r="T501" s="3"/>
      <c r="U501" s="3"/>
      <c r="V501" s="3"/>
      <c r="W501" s="3"/>
      <c r="X501" s="3"/>
    </row>
    <row r="502" spans="15:24" x14ac:dyDescent="0.2">
      <c r="O502" s="1"/>
      <c r="P502" s="1"/>
      <c r="R502" s="2"/>
      <c r="S502" s="3"/>
      <c r="T502" s="3"/>
      <c r="U502" s="3"/>
      <c r="V502" s="3"/>
      <c r="W502" s="3"/>
      <c r="X502" s="3"/>
    </row>
    <row r="503" spans="15:24" x14ac:dyDescent="0.2">
      <c r="O503" s="1"/>
      <c r="P503" s="1"/>
      <c r="R503" s="2"/>
      <c r="S503" s="3"/>
      <c r="T503" s="3"/>
      <c r="U503" s="3"/>
      <c r="V503" s="3"/>
      <c r="W503" s="3"/>
      <c r="X503" s="3"/>
    </row>
    <row r="504" spans="15:24" x14ac:dyDescent="0.2">
      <c r="O504" s="1"/>
      <c r="P504" s="1"/>
      <c r="R504" s="2"/>
      <c r="S504" s="3"/>
      <c r="T504" s="3"/>
      <c r="U504" s="3"/>
      <c r="V504" s="3"/>
      <c r="W504" s="3"/>
      <c r="X504" s="3"/>
    </row>
    <row r="505" spans="15:24" x14ac:dyDescent="0.2">
      <c r="O505" s="1"/>
      <c r="P505" s="1"/>
      <c r="R505" s="2"/>
      <c r="S505" s="3"/>
      <c r="T505" s="3"/>
      <c r="U505" s="3"/>
      <c r="V505" s="3"/>
      <c r="W505" s="3"/>
      <c r="X505" s="3"/>
    </row>
    <row r="506" spans="15:24" x14ac:dyDescent="0.2">
      <c r="O506" s="1"/>
      <c r="P506" s="1"/>
      <c r="R506" s="2"/>
      <c r="S506" s="3"/>
      <c r="T506" s="3"/>
      <c r="U506" s="3"/>
      <c r="V506" s="3"/>
      <c r="W506" s="3"/>
      <c r="X506" s="3"/>
    </row>
    <row r="507" spans="15:24" x14ac:dyDescent="0.2">
      <c r="O507" s="1"/>
      <c r="P507" s="1"/>
      <c r="R507" s="2"/>
      <c r="S507" s="3"/>
      <c r="T507" s="3"/>
      <c r="U507" s="3"/>
      <c r="V507" s="3"/>
      <c r="W507" s="3"/>
      <c r="X507" s="3"/>
    </row>
    <row r="508" spans="15:24" x14ac:dyDescent="0.2">
      <c r="O508" s="1"/>
      <c r="P508" s="1"/>
      <c r="R508" s="2"/>
      <c r="S508" s="3"/>
      <c r="T508" s="3"/>
      <c r="U508" s="3"/>
      <c r="V508" s="3"/>
      <c r="W508" s="3"/>
      <c r="X508" s="3"/>
    </row>
    <row r="509" spans="15:24" x14ac:dyDescent="0.2">
      <c r="O509" s="1"/>
      <c r="P509" s="1"/>
      <c r="R509" s="2"/>
      <c r="S509" s="3"/>
      <c r="T509" s="3"/>
      <c r="U509" s="3"/>
      <c r="V509" s="3"/>
      <c r="W509" s="3"/>
      <c r="X509" s="3"/>
    </row>
    <row r="510" spans="15:24" x14ac:dyDescent="0.2">
      <c r="O510" s="1"/>
      <c r="P510" s="1"/>
      <c r="R510" s="2"/>
      <c r="S510" s="3"/>
      <c r="T510" s="3"/>
      <c r="U510" s="3"/>
      <c r="V510" s="3"/>
      <c r="W510" s="3"/>
      <c r="X510" s="3"/>
    </row>
    <row r="511" spans="15:24" x14ac:dyDescent="0.2">
      <c r="O511" s="1"/>
      <c r="P511" s="1"/>
      <c r="R511" s="2"/>
      <c r="S511" s="3"/>
      <c r="T511" s="3"/>
      <c r="U511" s="3"/>
      <c r="V511" s="3"/>
      <c r="W511" s="3"/>
      <c r="X511" s="3"/>
    </row>
    <row r="512" spans="15:24" x14ac:dyDescent="0.2">
      <c r="O512" s="1"/>
      <c r="P512" s="1"/>
      <c r="R512" s="2"/>
      <c r="S512" s="3"/>
      <c r="T512" s="3"/>
      <c r="U512" s="3"/>
      <c r="V512" s="3"/>
      <c r="W512" s="3"/>
      <c r="X512" s="3"/>
    </row>
    <row r="513" spans="15:24" x14ac:dyDescent="0.2">
      <c r="O513" s="1"/>
      <c r="P513" s="1"/>
      <c r="R513" s="2"/>
      <c r="S513" s="3"/>
      <c r="T513" s="3"/>
      <c r="U513" s="3"/>
      <c r="V513" s="3"/>
      <c r="W513" s="3"/>
      <c r="X513" s="3"/>
    </row>
    <row r="514" spans="15:24" x14ac:dyDescent="0.2">
      <c r="O514" s="1"/>
      <c r="P514" s="1"/>
      <c r="R514" s="2"/>
      <c r="S514" s="3"/>
      <c r="T514" s="3"/>
      <c r="U514" s="3"/>
      <c r="V514" s="3"/>
      <c r="W514" s="3"/>
      <c r="X514" s="3"/>
    </row>
    <row r="515" spans="15:24" x14ac:dyDescent="0.2">
      <c r="O515" s="1"/>
      <c r="P515" s="1"/>
      <c r="R515" s="2"/>
      <c r="S515" s="3"/>
      <c r="T515" s="3"/>
      <c r="U515" s="3"/>
      <c r="V515" s="3"/>
      <c r="W515" s="3"/>
      <c r="X515" s="3"/>
    </row>
    <row r="516" spans="15:24" x14ac:dyDescent="0.2">
      <c r="O516" s="1"/>
      <c r="P516" s="1"/>
      <c r="R516" s="2"/>
      <c r="S516" s="3"/>
      <c r="T516" s="3"/>
      <c r="U516" s="3"/>
      <c r="V516" s="3"/>
      <c r="W516" s="3"/>
      <c r="X516" s="3"/>
    </row>
    <row r="517" spans="15:24" x14ac:dyDescent="0.2">
      <c r="O517" s="1"/>
      <c r="P517" s="1"/>
      <c r="R517" s="2"/>
      <c r="S517" s="3"/>
      <c r="T517" s="3"/>
      <c r="U517" s="3"/>
      <c r="V517" s="3"/>
      <c r="W517" s="3"/>
      <c r="X517" s="3"/>
    </row>
    <row r="518" spans="15:24" x14ac:dyDescent="0.2">
      <c r="O518" s="1"/>
      <c r="P518" s="1"/>
      <c r="R518" s="2"/>
      <c r="S518" s="3"/>
      <c r="T518" s="3"/>
      <c r="U518" s="3"/>
      <c r="V518" s="3"/>
      <c r="W518" s="3"/>
      <c r="X518" s="3"/>
    </row>
    <row r="519" spans="15:24" x14ac:dyDescent="0.2">
      <c r="O519" s="1"/>
      <c r="P519" s="1"/>
      <c r="R519" s="2"/>
      <c r="S519" s="3"/>
      <c r="T519" s="3"/>
      <c r="U519" s="3"/>
      <c r="V519" s="3"/>
      <c r="W519" s="3"/>
      <c r="X519" s="3"/>
    </row>
    <row r="520" spans="15:24" x14ac:dyDescent="0.2">
      <c r="O520" s="1"/>
      <c r="P520" s="1"/>
      <c r="R520" s="2"/>
      <c r="S520" s="3"/>
      <c r="T520" s="3"/>
      <c r="U520" s="3"/>
      <c r="V520" s="3"/>
      <c r="W520" s="3"/>
      <c r="X520" s="3"/>
    </row>
    <row r="521" spans="15:24" x14ac:dyDescent="0.2">
      <c r="O521" s="1"/>
      <c r="P521" s="1"/>
      <c r="R521" s="2"/>
      <c r="S521" s="3"/>
      <c r="T521" s="3"/>
      <c r="U521" s="3"/>
      <c r="V521" s="3"/>
      <c r="W521" s="3"/>
      <c r="X521" s="3"/>
    </row>
    <row r="522" spans="15:24" x14ac:dyDescent="0.2">
      <c r="O522" s="1"/>
      <c r="P522" s="1"/>
      <c r="R522" s="2"/>
      <c r="S522" s="3"/>
      <c r="T522" s="3"/>
      <c r="U522" s="3"/>
      <c r="V522" s="3"/>
      <c r="W522" s="3"/>
      <c r="X522" s="3"/>
    </row>
    <row r="523" spans="15:24" x14ac:dyDescent="0.2">
      <c r="O523" s="1"/>
      <c r="P523" s="1"/>
      <c r="R523" s="2"/>
      <c r="S523" s="3"/>
      <c r="T523" s="3"/>
      <c r="U523" s="3"/>
      <c r="V523" s="3"/>
      <c r="W523" s="3"/>
      <c r="X523" s="3"/>
    </row>
    <row r="524" spans="15:24" x14ac:dyDescent="0.2">
      <c r="O524" s="1"/>
      <c r="P524" s="1"/>
      <c r="R524" s="2"/>
      <c r="S524" s="3"/>
      <c r="T524" s="3"/>
      <c r="U524" s="3"/>
      <c r="V524" s="3"/>
      <c r="W524" s="3"/>
      <c r="X524" s="3"/>
    </row>
    <row r="525" spans="15:24" x14ac:dyDescent="0.2">
      <c r="O525" s="1"/>
      <c r="P525" s="1"/>
      <c r="R525" s="2"/>
      <c r="S525" s="3"/>
      <c r="T525" s="3"/>
      <c r="U525" s="3"/>
      <c r="V525" s="3"/>
      <c r="W525" s="3"/>
      <c r="X525" s="3"/>
    </row>
    <row r="526" spans="15:24" x14ac:dyDescent="0.2">
      <c r="O526" s="1"/>
      <c r="P526" s="1"/>
      <c r="R526" s="2"/>
      <c r="S526" s="3"/>
      <c r="T526" s="3"/>
      <c r="U526" s="3"/>
      <c r="V526" s="3"/>
      <c r="W526" s="3"/>
      <c r="X526" s="3"/>
    </row>
    <row r="527" spans="15:24" x14ac:dyDescent="0.2">
      <c r="O527" s="1"/>
      <c r="P527" s="1"/>
      <c r="R527" s="2"/>
      <c r="S527" s="3"/>
      <c r="T527" s="3"/>
      <c r="U527" s="3"/>
      <c r="V527" s="3"/>
      <c r="W527" s="3"/>
      <c r="X527" s="3"/>
    </row>
    <row r="528" spans="15:24" x14ac:dyDescent="0.2">
      <c r="O528" s="1"/>
      <c r="P528" s="1"/>
      <c r="R528" s="2"/>
      <c r="S528" s="3"/>
      <c r="T528" s="3"/>
      <c r="U528" s="3"/>
      <c r="V528" s="3"/>
      <c r="W528" s="3"/>
      <c r="X528" s="3"/>
    </row>
    <row r="529" spans="15:24" x14ac:dyDescent="0.2">
      <c r="O529" s="1"/>
      <c r="P529" s="1"/>
      <c r="R529" s="2"/>
      <c r="S529" s="3"/>
      <c r="T529" s="3"/>
      <c r="U529" s="3"/>
      <c r="V529" s="3"/>
      <c r="W529" s="3"/>
      <c r="X529" s="3"/>
    </row>
    <row r="530" spans="15:24" x14ac:dyDescent="0.2">
      <c r="O530" s="1"/>
      <c r="P530" s="1"/>
      <c r="R530" s="2"/>
      <c r="S530" s="3"/>
      <c r="T530" s="3"/>
      <c r="U530" s="3"/>
      <c r="V530" s="3"/>
      <c r="W530" s="3"/>
      <c r="X530" s="3"/>
    </row>
    <row r="531" spans="15:24" x14ac:dyDescent="0.2">
      <c r="O531" s="1"/>
      <c r="P531" s="1"/>
      <c r="R531" s="2"/>
      <c r="S531" s="3"/>
      <c r="T531" s="3"/>
      <c r="U531" s="3"/>
      <c r="V531" s="3"/>
      <c r="W531" s="3"/>
      <c r="X531" s="3"/>
    </row>
    <row r="532" spans="15:24" x14ac:dyDescent="0.2">
      <c r="O532" s="1"/>
      <c r="P532" s="1"/>
      <c r="R532" s="2"/>
      <c r="S532" s="3"/>
      <c r="T532" s="3"/>
      <c r="U532" s="3"/>
      <c r="V532" s="3"/>
      <c r="W532" s="3"/>
      <c r="X532" s="3"/>
    </row>
    <row r="533" spans="15:24" x14ac:dyDescent="0.2">
      <c r="O533" s="1"/>
      <c r="P533" s="1"/>
      <c r="R533" s="2"/>
      <c r="S533" s="3"/>
      <c r="T533" s="3"/>
      <c r="U533" s="3"/>
      <c r="V533" s="3"/>
      <c r="W533" s="3"/>
      <c r="X533" s="3"/>
    </row>
    <row r="534" spans="15:24" x14ac:dyDescent="0.2">
      <c r="O534" s="1"/>
      <c r="P534" s="1"/>
      <c r="R534" s="2"/>
      <c r="S534" s="3"/>
      <c r="T534" s="3"/>
      <c r="U534" s="3"/>
      <c r="V534" s="3"/>
      <c r="W534" s="3"/>
      <c r="X534" s="3"/>
    </row>
    <row r="535" spans="15:24" x14ac:dyDescent="0.2">
      <c r="O535" s="1"/>
      <c r="P535" s="1"/>
      <c r="R535" s="2"/>
      <c r="S535" s="3"/>
      <c r="T535" s="3"/>
      <c r="U535" s="3"/>
      <c r="V535" s="3"/>
      <c r="W535" s="3"/>
      <c r="X535" s="3"/>
    </row>
    <row r="536" spans="15:24" x14ac:dyDescent="0.2">
      <c r="O536" s="1"/>
      <c r="P536" s="1"/>
      <c r="R536" s="2"/>
      <c r="S536" s="3"/>
      <c r="T536" s="3"/>
      <c r="U536" s="3"/>
      <c r="V536" s="3"/>
      <c r="W536" s="3"/>
      <c r="X536" s="3"/>
    </row>
    <row r="537" spans="15:24" x14ac:dyDescent="0.2">
      <c r="O537" s="1"/>
      <c r="P537" s="1"/>
      <c r="R537" s="2"/>
      <c r="S537" s="3"/>
      <c r="T537" s="3"/>
      <c r="U537" s="3"/>
      <c r="V537" s="3"/>
      <c r="W537" s="3"/>
      <c r="X537" s="3"/>
    </row>
    <row r="538" spans="15:24" x14ac:dyDescent="0.2">
      <c r="O538" s="1"/>
      <c r="P538" s="1"/>
      <c r="R538" s="2"/>
      <c r="S538" s="3"/>
      <c r="T538" s="3"/>
      <c r="U538" s="3"/>
      <c r="V538" s="3"/>
      <c r="W538" s="3"/>
      <c r="X538" s="3"/>
    </row>
    <row r="539" spans="15:24" x14ac:dyDescent="0.2">
      <c r="O539" s="1"/>
      <c r="P539" s="1"/>
      <c r="R539" s="2"/>
      <c r="S539" s="3"/>
      <c r="T539" s="3"/>
      <c r="U539" s="3"/>
      <c r="V539" s="3"/>
      <c r="W539" s="3"/>
      <c r="X539" s="3"/>
    </row>
    <row r="540" spans="15:24" x14ac:dyDescent="0.2">
      <c r="O540" s="1"/>
      <c r="P540" s="1"/>
      <c r="R540" s="2"/>
      <c r="S540" s="3"/>
      <c r="T540" s="3"/>
      <c r="U540" s="3"/>
      <c r="V540" s="3"/>
      <c r="W540" s="3"/>
      <c r="X540" s="3"/>
    </row>
    <row r="541" spans="15:24" x14ac:dyDescent="0.2">
      <c r="O541" s="1"/>
      <c r="P541" s="1"/>
      <c r="R541" s="2"/>
      <c r="S541" s="3"/>
      <c r="T541" s="3"/>
      <c r="U541" s="3"/>
      <c r="V541" s="3"/>
      <c r="W541" s="3"/>
      <c r="X541" s="3"/>
    </row>
    <row r="542" spans="15:24" x14ac:dyDescent="0.2">
      <c r="O542" s="1"/>
      <c r="P542" s="1"/>
      <c r="R542" s="2"/>
      <c r="S542" s="3"/>
      <c r="T542" s="3"/>
      <c r="U542" s="3"/>
      <c r="V542" s="3"/>
      <c r="W542" s="3"/>
      <c r="X542" s="3"/>
    </row>
    <row r="543" spans="15:24" x14ac:dyDescent="0.2">
      <c r="O543" s="1"/>
      <c r="P543" s="1"/>
      <c r="R543" s="2"/>
      <c r="S543" s="3"/>
      <c r="T543" s="3"/>
      <c r="U543" s="3"/>
      <c r="V543" s="3"/>
      <c r="W543" s="3"/>
      <c r="X543" s="3"/>
    </row>
    <row r="544" spans="15:24" x14ac:dyDescent="0.2">
      <c r="O544" s="1"/>
      <c r="P544" s="1"/>
      <c r="R544" s="2"/>
      <c r="S544" s="3"/>
      <c r="T544" s="3"/>
      <c r="U544" s="3"/>
      <c r="V544" s="3"/>
      <c r="W544" s="3"/>
      <c r="X544" s="3"/>
    </row>
    <row r="545" spans="15:24" x14ac:dyDescent="0.2">
      <c r="O545" s="1"/>
      <c r="P545" s="1"/>
      <c r="R545" s="2"/>
      <c r="S545" s="3"/>
      <c r="T545" s="3"/>
      <c r="U545" s="3"/>
      <c r="V545" s="3"/>
      <c r="W545" s="3"/>
      <c r="X545" s="3"/>
    </row>
    <row r="546" spans="15:24" x14ac:dyDescent="0.2">
      <c r="O546" s="1"/>
      <c r="P546" s="1"/>
      <c r="R546" s="2"/>
      <c r="S546" s="3"/>
      <c r="T546" s="3"/>
      <c r="U546" s="3"/>
      <c r="V546" s="3"/>
      <c r="W546" s="3"/>
      <c r="X546" s="3"/>
    </row>
    <row r="547" spans="15:24" x14ac:dyDescent="0.2">
      <c r="O547" s="1"/>
      <c r="P547" s="1"/>
      <c r="R547" s="2"/>
      <c r="S547" s="3"/>
      <c r="T547" s="3"/>
      <c r="U547" s="3"/>
      <c r="V547" s="3"/>
      <c r="W547" s="3"/>
      <c r="X547" s="3"/>
    </row>
    <row r="548" spans="15:24" x14ac:dyDescent="0.2">
      <c r="O548" s="1"/>
      <c r="P548" s="1"/>
      <c r="R548" s="2"/>
      <c r="S548" s="3"/>
      <c r="T548" s="3"/>
      <c r="U548" s="3"/>
      <c r="V548" s="3"/>
      <c r="W548" s="3"/>
      <c r="X548" s="3"/>
    </row>
    <row r="549" spans="15:24" x14ac:dyDescent="0.2">
      <c r="O549" s="1"/>
      <c r="P549" s="1"/>
      <c r="R549" s="2"/>
      <c r="S549" s="3"/>
      <c r="T549" s="3"/>
      <c r="U549" s="3"/>
      <c r="V549" s="3"/>
      <c r="W549" s="3"/>
      <c r="X549" s="3"/>
    </row>
    <row r="550" spans="15:24" x14ac:dyDescent="0.2">
      <c r="O550" s="1"/>
      <c r="P550" s="1"/>
      <c r="R550" s="2"/>
      <c r="S550" s="3"/>
      <c r="T550" s="3"/>
      <c r="U550" s="3"/>
      <c r="V550" s="3"/>
      <c r="W550" s="3"/>
      <c r="X550" s="3"/>
    </row>
    <row r="551" spans="15:24" x14ac:dyDescent="0.2">
      <c r="O551" s="1"/>
      <c r="P551" s="1"/>
      <c r="R551" s="2"/>
      <c r="S551" s="3"/>
      <c r="T551" s="3"/>
      <c r="U551" s="3"/>
      <c r="V551" s="3"/>
      <c r="W551" s="3"/>
      <c r="X551" s="3"/>
    </row>
    <row r="552" spans="15:24" x14ac:dyDescent="0.2">
      <c r="O552" s="1"/>
      <c r="P552" s="1"/>
      <c r="R552" s="2"/>
      <c r="S552" s="3"/>
      <c r="T552" s="3"/>
      <c r="U552" s="3"/>
      <c r="V552" s="3"/>
      <c r="W552" s="3"/>
      <c r="X552" s="3"/>
    </row>
    <row r="553" spans="15:24" x14ac:dyDescent="0.2">
      <c r="O553" s="1"/>
      <c r="P553" s="1"/>
      <c r="R553" s="2"/>
      <c r="S553" s="3"/>
      <c r="T553" s="3"/>
      <c r="U553" s="3"/>
      <c r="V553" s="3"/>
      <c r="W553" s="3"/>
      <c r="X553" s="3"/>
    </row>
    <row r="554" spans="15:24" x14ac:dyDescent="0.2">
      <c r="O554" s="1"/>
      <c r="P554" s="1"/>
      <c r="R554" s="2"/>
      <c r="S554" s="3"/>
      <c r="T554" s="3"/>
      <c r="U554" s="3"/>
      <c r="V554" s="3"/>
      <c r="W554" s="3"/>
      <c r="X554" s="3"/>
    </row>
    <row r="555" spans="15:24" x14ac:dyDescent="0.2">
      <c r="O555" s="1"/>
      <c r="P555" s="1"/>
      <c r="R555" s="2"/>
      <c r="S555" s="3"/>
      <c r="T555" s="3"/>
      <c r="U555" s="3"/>
      <c r="V555" s="3"/>
      <c r="W555" s="3"/>
      <c r="X555" s="3"/>
    </row>
    <row r="556" spans="15:24" x14ac:dyDescent="0.2">
      <c r="O556" s="1"/>
      <c r="P556" s="1"/>
      <c r="R556" s="2"/>
      <c r="S556" s="3"/>
      <c r="T556" s="3"/>
      <c r="U556" s="3"/>
      <c r="V556" s="3"/>
      <c r="W556" s="3"/>
      <c r="X556" s="3"/>
    </row>
    <row r="557" spans="15:24" x14ac:dyDescent="0.2">
      <c r="O557" s="1"/>
      <c r="P557" s="1"/>
      <c r="R557" s="2"/>
      <c r="S557" s="3"/>
      <c r="T557" s="3"/>
      <c r="U557" s="3"/>
      <c r="V557" s="3"/>
      <c r="W557" s="3"/>
      <c r="X557" s="3"/>
    </row>
    <row r="558" spans="15:24" x14ac:dyDescent="0.2">
      <c r="O558" s="1"/>
      <c r="P558" s="1"/>
      <c r="R558" s="2"/>
      <c r="S558" s="3"/>
      <c r="T558" s="3"/>
      <c r="U558" s="3"/>
      <c r="V558" s="3"/>
      <c r="W558" s="3"/>
      <c r="X558" s="3"/>
    </row>
    <row r="559" spans="15:24" x14ac:dyDescent="0.2">
      <c r="O559" s="1"/>
      <c r="P559" s="1"/>
      <c r="R559" s="2"/>
      <c r="S559" s="3"/>
      <c r="T559" s="3"/>
      <c r="U559" s="3"/>
      <c r="V559" s="3"/>
      <c r="W559" s="3"/>
      <c r="X559" s="3"/>
    </row>
    <row r="560" spans="15:24" x14ac:dyDescent="0.2">
      <c r="O560" s="1"/>
      <c r="P560" s="1"/>
      <c r="R560" s="2"/>
      <c r="S560" s="3"/>
      <c r="T560" s="3"/>
      <c r="U560" s="3"/>
      <c r="V560" s="3"/>
      <c r="W560" s="3"/>
      <c r="X560" s="3"/>
    </row>
    <row r="561" spans="15:24" x14ac:dyDescent="0.2">
      <c r="O561" s="1"/>
      <c r="P561" s="1"/>
      <c r="R561" s="2"/>
      <c r="S561" s="3"/>
      <c r="T561" s="3"/>
      <c r="U561" s="3"/>
      <c r="V561" s="3"/>
      <c r="W561" s="3"/>
      <c r="X561" s="3"/>
    </row>
    <row r="562" spans="15:24" x14ac:dyDescent="0.2">
      <c r="O562" s="1"/>
      <c r="P562" s="1"/>
      <c r="R562" s="2"/>
      <c r="S562" s="3"/>
      <c r="T562" s="3"/>
      <c r="U562" s="3"/>
      <c r="V562" s="3"/>
      <c r="W562" s="3"/>
      <c r="X562" s="3"/>
    </row>
    <row r="563" spans="15:24" x14ac:dyDescent="0.2">
      <c r="O563" s="1"/>
      <c r="P563" s="1"/>
      <c r="R563" s="2"/>
      <c r="S563" s="3"/>
      <c r="T563" s="3"/>
      <c r="U563" s="3"/>
      <c r="V563" s="3"/>
      <c r="W563" s="3"/>
      <c r="X563" s="3"/>
    </row>
    <row r="564" spans="15:24" x14ac:dyDescent="0.2">
      <c r="O564" s="1"/>
      <c r="P564" s="1"/>
      <c r="R564" s="2"/>
      <c r="S564" s="3"/>
      <c r="T564" s="3"/>
      <c r="U564" s="3"/>
      <c r="V564" s="3"/>
      <c r="W564" s="3"/>
      <c r="X564" s="3"/>
    </row>
    <row r="565" spans="15:24" x14ac:dyDescent="0.2">
      <c r="O565" s="1"/>
      <c r="P565" s="1"/>
      <c r="R565" s="2"/>
      <c r="S565" s="3"/>
      <c r="T565" s="3"/>
      <c r="U565" s="3"/>
      <c r="V565" s="3"/>
      <c r="W565" s="3"/>
      <c r="X565" s="3"/>
    </row>
    <row r="566" spans="15:24" x14ac:dyDescent="0.2">
      <c r="O566" s="1"/>
      <c r="P566" s="1"/>
      <c r="R566" s="2"/>
      <c r="S566" s="3"/>
      <c r="T566" s="3"/>
      <c r="U566" s="3"/>
      <c r="V566" s="3"/>
      <c r="W566" s="3"/>
      <c r="X566" s="3"/>
    </row>
    <row r="567" spans="15:24" x14ac:dyDescent="0.2">
      <c r="O567" s="1"/>
      <c r="P567" s="1"/>
      <c r="R567" s="2"/>
      <c r="S567" s="3"/>
      <c r="T567" s="3"/>
      <c r="U567" s="3"/>
      <c r="V567" s="3"/>
      <c r="W567" s="3"/>
      <c r="X567" s="3"/>
    </row>
    <row r="568" spans="15:24" x14ac:dyDescent="0.2">
      <c r="O568" s="1"/>
      <c r="P568" s="1"/>
      <c r="R568" s="2"/>
      <c r="S568" s="3"/>
      <c r="T568" s="3"/>
      <c r="U568" s="3"/>
      <c r="V568" s="3"/>
      <c r="W568" s="3"/>
      <c r="X568" s="3"/>
    </row>
    <row r="569" spans="15:24" x14ac:dyDescent="0.2">
      <c r="O569" s="1"/>
      <c r="P569" s="1"/>
      <c r="R569" s="2"/>
      <c r="S569" s="3"/>
      <c r="T569" s="3"/>
      <c r="U569" s="3"/>
      <c r="V569" s="3"/>
      <c r="W569" s="3"/>
      <c r="X569" s="3"/>
    </row>
    <row r="570" spans="15:24" x14ac:dyDescent="0.2">
      <c r="O570" s="1"/>
      <c r="P570" s="1"/>
      <c r="R570" s="2"/>
      <c r="S570" s="3"/>
      <c r="T570" s="3"/>
      <c r="U570" s="3"/>
      <c r="V570" s="3"/>
      <c r="W570" s="3"/>
      <c r="X570" s="3"/>
    </row>
    <row r="571" spans="15:24" x14ac:dyDescent="0.2">
      <c r="O571" s="1"/>
      <c r="P571" s="1"/>
      <c r="R571" s="2"/>
      <c r="S571" s="3"/>
      <c r="T571" s="3"/>
      <c r="U571" s="3"/>
      <c r="V571" s="3"/>
      <c r="W571" s="3"/>
      <c r="X571" s="3"/>
    </row>
    <row r="572" spans="15:24" x14ac:dyDescent="0.2">
      <c r="O572" s="1"/>
      <c r="P572" s="1"/>
      <c r="R572" s="2"/>
      <c r="S572" s="3"/>
      <c r="T572" s="3"/>
      <c r="U572" s="3"/>
      <c r="V572" s="3"/>
      <c r="W572" s="3"/>
      <c r="X572" s="3"/>
    </row>
    <row r="573" spans="15:24" x14ac:dyDescent="0.2">
      <c r="O573" s="1"/>
      <c r="P573" s="1"/>
      <c r="R573" s="2"/>
      <c r="S573" s="3"/>
      <c r="T573" s="3"/>
      <c r="U573" s="3"/>
      <c r="V573" s="3"/>
      <c r="W573" s="3"/>
      <c r="X573" s="3"/>
    </row>
    <row r="574" spans="15:24" x14ac:dyDescent="0.2">
      <c r="O574" s="1"/>
      <c r="P574" s="1"/>
      <c r="R574" s="2"/>
      <c r="S574" s="3"/>
      <c r="T574" s="3"/>
      <c r="U574" s="3"/>
      <c r="V574" s="3"/>
      <c r="W574" s="3"/>
      <c r="X574" s="3"/>
    </row>
    <row r="575" spans="15:24" x14ac:dyDescent="0.2">
      <c r="O575" s="1"/>
      <c r="P575" s="1"/>
      <c r="R575" s="2"/>
      <c r="S575" s="3"/>
      <c r="T575" s="3"/>
      <c r="U575" s="3"/>
      <c r="V575" s="3"/>
      <c r="W575" s="3"/>
      <c r="X575" s="3"/>
    </row>
    <row r="576" spans="15:24" x14ac:dyDescent="0.2">
      <c r="O576" s="1"/>
      <c r="P576" s="1"/>
      <c r="R576" s="2"/>
      <c r="S576" s="3"/>
      <c r="T576" s="3"/>
      <c r="U576" s="3"/>
      <c r="V576" s="3"/>
      <c r="W576" s="3"/>
      <c r="X576" s="3"/>
    </row>
    <row r="577" spans="15:24" x14ac:dyDescent="0.2">
      <c r="O577" s="1"/>
      <c r="P577" s="1"/>
      <c r="R577" s="2"/>
      <c r="S577" s="3"/>
      <c r="T577" s="3"/>
      <c r="U577" s="3"/>
      <c r="V577" s="3"/>
      <c r="W577" s="3"/>
      <c r="X577" s="3"/>
    </row>
    <row r="578" spans="15:24" x14ac:dyDescent="0.2">
      <c r="O578" s="1"/>
      <c r="P578" s="1"/>
      <c r="R578" s="2"/>
      <c r="S578" s="3"/>
      <c r="T578" s="3"/>
      <c r="U578" s="3"/>
      <c r="V578" s="3"/>
      <c r="W578" s="3"/>
      <c r="X578" s="3"/>
    </row>
    <row r="579" spans="15:24" x14ac:dyDescent="0.2">
      <c r="O579" s="1"/>
      <c r="P579" s="1"/>
      <c r="R579" s="2"/>
      <c r="S579" s="3"/>
      <c r="T579" s="3"/>
      <c r="U579" s="3"/>
      <c r="V579" s="3"/>
      <c r="W579" s="3"/>
      <c r="X579" s="3"/>
    </row>
    <row r="580" spans="15:24" x14ac:dyDescent="0.2">
      <c r="O580" s="1"/>
      <c r="P580" s="1"/>
      <c r="R580" s="2"/>
      <c r="S580" s="3"/>
      <c r="T580" s="3"/>
      <c r="U580" s="3"/>
      <c r="V580" s="3"/>
      <c r="W580" s="3"/>
      <c r="X580" s="3"/>
    </row>
    <row r="581" spans="15:24" x14ac:dyDescent="0.2">
      <c r="O581" s="1"/>
      <c r="P581" s="1"/>
      <c r="R581" s="2"/>
      <c r="S581" s="3"/>
      <c r="T581" s="3"/>
      <c r="U581" s="3"/>
      <c r="V581" s="3"/>
      <c r="W581" s="3"/>
      <c r="X581" s="3"/>
    </row>
    <row r="582" spans="15:24" x14ac:dyDescent="0.2">
      <c r="O582" s="1"/>
      <c r="P582" s="1"/>
      <c r="R582" s="2"/>
      <c r="S582" s="3"/>
      <c r="T582" s="3"/>
      <c r="U582" s="3"/>
      <c r="V582" s="3"/>
      <c r="W582" s="3"/>
      <c r="X582" s="3"/>
    </row>
    <row r="583" spans="15:24" x14ac:dyDescent="0.2">
      <c r="O583" s="1"/>
      <c r="P583" s="1"/>
      <c r="R583" s="2"/>
      <c r="S583" s="3"/>
      <c r="T583" s="3"/>
      <c r="U583" s="3"/>
      <c r="V583" s="3"/>
      <c r="W583" s="3"/>
      <c r="X583" s="3"/>
    </row>
    <row r="584" spans="15:24" x14ac:dyDescent="0.2">
      <c r="O584" s="1"/>
      <c r="P584" s="1"/>
      <c r="R584" s="2"/>
      <c r="S584" s="3"/>
      <c r="T584" s="3"/>
      <c r="U584" s="3"/>
      <c r="V584" s="3"/>
      <c r="W584" s="3"/>
      <c r="X584" s="3"/>
    </row>
    <row r="585" spans="15:24" x14ac:dyDescent="0.2">
      <c r="O585" s="1"/>
      <c r="P585" s="1"/>
      <c r="R585" s="2"/>
      <c r="S585" s="3"/>
      <c r="T585" s="3"/>
      <c r="U585" s="3"/>
      <c r="V585" s="3"/>
      <c r="W585" s="3"/>
      <c r="X585" s="3"/>
    </row>
    <row r="586" spans="15:24" x14ac:dyDescent="0.2">
      <c r="O586" s="1"/>
      <c r="P586" s="1"/>
      <c r="R586" s="2"/>
      <c r="S586" s="3"/>
      <c r="T586" s="3"/>
      <c r="U586" s="3"/>
      <c r="V586" s="3"/>
      <c r="W586" s="3"/>
      <c r="X586" s="3"/>
    </row>
    <row r="587" spans="15:24" x14ac:dyDescent="0.2">
      <c r="O587" s="1"/>
      <c r="P587" s="1"/>
      <c r="R587" s="2"/>
      <c r="S587" s="3"/>
      <c r="T587" s="3"/>
      <c r="U587" s="3"/>
      <c r="V587" s="3"/>
      <c r="W587" s="3"/>
      <c r="X587" s="3"/>
    </row>
    <row r="588" spans="15:24" x14ac:dyDescent="0.2">
      <c r="O588" s="1"/>
      <c r="P588" s="1"/>
      <c r="R588" s="2"/>
      <c r="S588" s="3"/>
      <c r="T588" s="3"/>
      <c r="U588" s="3"/>
      <c r="V588" s="3"/>
      <c r="W588" s="3"/>
      <c r="X588" s="3"/>
    </row>
    <row r="589" spans="15:24" x14ac:dyDescent="0.2">
      <c r="O589" s="1"/>
      <c r="P589" s="1"/>
      <c r="R589" s="2"/>
      <c r="S589" s="3"/>
      <c r="T589" s="3"/>
      <c r="U589" s="3"/>
      <c r="V589" s="3"/>
      <c r="W589" s="3"/>
      <c r="X589" s="3"/>
    </row>
    <row r="590" spans="15:24" x14ac:dyDescent="0.2">
      <c r="O590" s="1"/>
      <c r="P590" s="1"/>
      <c r="R590" s="2"/>
      <c r="S590" s="3"/>
      <c r="T590" s="3"/>
      <c r="U590" s="3"/>
      <c r="V590" s="3"/>
      <c r="W590" s="3"/>
      <c r="X590" s="3"/>
    </row>
    <row r="591" spans="15:24" x14ac:dyDescent="0.2">
      <c r="O591" s="1"/>
      <c r="P591" s="1"/>
      <c r="R591" s="2"/>
      <c r="S591" s="3"/>
      <c r="T591" s="3"/>
      <c r="U591" s="3"/>
      <c r="V591" s="3"/>
      <c r="W591" s="3"/>
      <c r="X591" s="3"/>
    </row>
    <row r="592" spans="15:24" x14ac:dyDescent="0.2">
      <c r="O592" s="1"/>
      <c r="P592" s="1"/>
      <c r="R592" s="2"/>
      <c r="S592" s="3"/>
      <c r="T592" s="3"/>
      <c r="U592" s="3"/>
      <c r="V592" s="3"/>
      <c r="W592" s="3"/>
      <c r="X592" s="3"/>
    </row>
    <row r="593" spans="15:24" x14ac:dyDescent="0.2">
      <c r="O593" s="1"/>
      <c r="P593" s="1"/>
      <c r="R593" s="2"/>
      <c r="S593" s="3"/>
      <c r="T593" s="3"/>
      <c r="U593" s="3"/>
      <c r="V593" s="3"/>
      <c r="W593" s="3"/>
      <c r="X593" s="3"/>
    </row>
    <row r="594" spans="15:24" x14ac:dyDescent="0.2">
      <c r="O594" s="1"/>
      <c r="P594" s="1"/>
      <c r="R594" s="2"/>
      <c r="S594" s="3"/>
      <c r="T594" s="3"/>
      <c r="U594" s="3"/>
      <c r="V594" s="3"/>
      <c r="W594" s="3"/>
      <c r="X594" s="3"/>
    </row>
    <row r="595" spans="15:24" x14ac:dyDescent="0.2">
      <c r="O595" s="1"/>
      <c r="P595" s="1"/>
      <c r="R595" s="2"/>
      <c r="S595" s="3"/>
      <c r="T595" s="3"/>
      <c r="U595" s="3"/>
      <c r="V595" s="3"/>
      <c r="W595" s="3"/>
      <c r="X595" s="3"/>
    </row>
    <row r="596" spans="15:24" x14ac:dyDescent="0.2">
      <c r="O596" s="1"/>
      <c r="P596" s="1"/>
      <c r="R596" s="2"/>
      <c r="S596" s="3"/>
      <c r="T596" s="3"/>
      <c r="U596" s="3"/>
      <c r="V596" s="3"/>
      <c r="W596" s="3"/>
      <c r="X596" s="3"/>
    </row>
    <row r="597" spans="15:24" x14ac:dyDescent="0.2">
      <c r="O597" s="1"/>
      <c r="P597" s="1"/>
      <c r="R597" s="2"/>
      <c r="S597" s="3"/>
      <c r="T597" s="3"/>
      <c r="U597" s="3"/>
      <c r="V597" s="3"/>
      <c r="W597" s="3"/>
      <c r="X597" s="3"/>
    </row>
    <row r="598" spans="15:24" x14ac:dyDescent="0.2">
      <c r="O598" s="1"/>
      <c r="P598" s="1"/>
      <c r="R598" s="2"/>
      <c r="S598" s="3"/>
      <c r="T598" s="3"/>
      <c r="U598" s="3"/>
      <c r="V598" s="3"/>
      <c r="W598" s="3"/>
      <c r="X598" s="3"/>
    </row>
    <row r="599" spans="15:24" x14ac:dyDescent="0.2">
      <c r="O599" s="1"/>
      <c r="P599" s="1"/>
      <c r="R599" s="2"/>
      <c r="S599" s="3"/>
      <c r="T599" s="3"/>
      <c r="U599" s="3"/>
      <c r="V599" s="3"/>
      <c r="W599" s="3"/>
      <c r="X599" s="3"/>
    </row>
    <row r="600" spans="15:24" x14ac:dyDescent="0.2">
      <c r="O600" s="1"/>
      <c r="P600" s="1"/>
      <c r="R600" s="2"/>
      <c r="S600" s="3"/>
      <c r="T600" s="3"/>
      <c r="U600" s="3"/>
      <c r="V600" s="3"/>
      <c r="W600" s="3"/>
      <c r="X600" s="3"/>
    </row>
    <row r="601" spans="15:24" x14ac:dyDescent="0.2">
      <c r="O601" s="1"/>
      <c r="P601" s="1"/>
      <c r="R601" s="2"/>
      <c r="S601" s="3"/>
      <c r="T601" s="3"/>
      <c r="U601" s="3"/>
      <c r="V601" s="3"/>
      <c r="W601" s="3"/>
      <c r="X601" s="3"/>
    </row>
    <row r="602" spans="15:24" x14ac:dyDescent="0.2">
      <c r="O602" s="1"/>
      <c r="P602" s="1"/>
      <c r="R602" s="2"/>
      <c r="S602" s="3"/>
      <c r="T602" s="3"/>
      <c r="U602" s="3"/>
      <c r="V602" s="3"/>
      <c r="W602" s="3"/>
      <c r="X602" s="3"/>
    </row>
    <row r="603" spans="15:24" x14ac:dyDescent="0.2">
      <c r="O603" s="1"/>
      <c r="P603" s="1"/>
      <c r="R603" s="2"/>
      <c r="S603" s="3"/>
      <c r="T603" s="3"/>
      <c r="U603" s="3"/>
      <c r="V603" s="3"/>
      <c r="W603" s="3"/>
      <c r="X603" s="3"/>
    </row>
    <row r="604" spans="15:24" x14ac:dyDescent="0.2">
      <c r="O604" s="1"/>
      <c r="P604" s="1"/>
      <c r="R604" s="2"/>
      <c r="S604" s="3"/>
      <c r="T604" s="3"/>
      <c r="U604" s="3"/>
      <c r="V604" s="3"/>
      <c r="W604" s="3"/>
      <c r="X604" s="3"/>
    </row>
    <row r="605" spans="15:24" x14ac:dyDescent="0.2">
      <c r="O605" s="1"/>
      <c r="P605" s="1"/>
      <c r="R605" s="2"/>
      <c r="S605" s="3"/>
      <c r="T605" s="3"/>
      <c r="U605" s="3"/>
      <c r="V605" s="3"/>
      <c r="W605" s="3"/>
      <c r="X605" s="3"/>
    </row>
    <row r="606" spans="15:24" x14ac:dyDescent="0.2">
      <c r="O606" s="1"/>
      <c r="P606" s="1"/>
      <c r="R606" s="2"/>
      <c r="S606" s="3"/>
      <c r="T606" s="3"/>
      <c r="U606" s="3"/>
      <c r="V606" s="3"/>
      <c r="W606" s="3"/>
      <c r="X606" s="3"/>
    </row>
    <row r="607" spans="15:24" x14ac:dyDescent="0.2">
      <c r="O607" s="1"/>
      <c r="P607" s="1"/>
      <c r="R607" s="2"/>
      <c r="S607" s="3"/>
      <c r="T607" s="3"/>
      <c r="U607" s="3"/>
      <c r="V607" s="3"/>
      <c r="W607" s="3"/>
      <c r="X607" s="3"/>
    </row>
    <row r="608" spans="15:24" x14ac:dyDescent="0.2">
      <c r="O608" s="1"/>
      <c r="P608" s="1"/>
      <c r="R608" s="2"/>
      <c r="S608" s="3"/>
      <c r="T608" s="3"/>
      <c r="U608" s="3"/>
      <c r="V608" s="3"/>
      <c r="W608" s="3"/>
      <c r="X608" s="3"/>
    </row>
    <row r="609" spans="15:24" x14ac:dyDescent="0.2">
      <c r="O609" s="1"/>
      <c r="P609" s="1"/>
      <c r="R609" s="2"/>
      <c r="S609" s="3"/>
      <c r="T609" s="3"/>
      <c r="U609" s="3"/>
      <c r="V609" s="3"/>
      <c r="W609" s="3"/>
      <c r="X609" s="3"/>
    </row>
    <row r="610" spans="15:24" x14ac:dyDescent="0.2">
      <c r="O610" s="1"/>
      <c r="P610" s="1"/>
      <c r="R610" s="2"/>
      <c r="S610" s="3"/>
      <c r="T610" s="3"/>
      <c r="U610" s="3"/>
      <c r="V610" s="3"/>
      <c r="W610" s="3"/>
      <c r="X610" s="3"/>
    </row>
    <row r="611" spans="15:24" x14ac:dyDescent="0.2">
      <c r="O611" s="1"/>
      <c r="P611" s="1"/>
      <c r="R611" s="2"/>
      <c r="S611" s="3"/>
      <c r="T611" s="3"/>
      <c r="U611" s="3"/>
      <c r="V611" s="3"/>
      <c r="W611" s="3"/>
      <c r="X611" s="3"/>
    </row>
    <row r="612" spans="15:24" x14ac:dyDescent="0.2">
      <c r="O612" s="1"/>
      <c r="P612" s="1"/>
      <c r="R612" s="2"/>
      <c r="S612" s="3"/>
      <c r="T612" s="3"/>
      <c r="U612" s="3"/>
      <c r="V612" s="3"/>
      <c r="W612" s="3"/>
      <c r="X612" s="3"/>
    </row>
    <row r="613" spans="15:24" x14ac:dyDescent="0.2">
      <c r="O613" s="1"/>
      <c r="P613" s="1"/>
      <c r="R613" s="2"/>
      <c r="S613" s="3"/>
      <c r="T613" s="3"/>
      <c r="U613" s="3"/>
      <c r="V613" s="3"/>
      <c r="W613" s="3"/>
      <c r="X613" s="3"/>
    </row>
    <row r="614" spans="15:24" x14ac:dyDescent="0.2">
      <c r="O614" s="1"/>
      <c r="P614" s="1"/>
      <c r="R614" s="2"/>
      <c r="S614" s="3"/>
      <c r="T614" s="3"/>
      <c r="U614" s="3"/>
      <c r="V614" s="3"/>
      <c r="W614" s="3"/>
      <c r="X614" s="3"/>
    </row>
    <row r="615" spans="15:24" x14ac:dyDescent="0.2">
      <c r="O615" s="1"/>
      <c r="P615" s="1"/>
      <c r="R615" s="2"/>
      <c r="S615" s="3"/>
      <c r="T615" s="3"/>
      <c r="U615" s="3"/>
      <c r="V615" s="3"/>
      <c r="W615" s="3"/>
      <c r="X615" s="3"/>
    </row>
    <row r="616" spans="15:24" x14ac:dyDescent="0.2">
      <c r="O616" s="1"/>
      <c r="P616" s="1"/>
      <c r="R616" s="2"/>
      <c r="S616" s="3"/>
      <c r="T616" s="3"/>
      <c r="U616" s="3"/>
      <c r="V616" s="3"/>
      <c r="W616" s="3"/>
      <c r="X616" s="3"/>
    </row>
    <row r="617" spans="15:24" x14ac:dyDescent="0.2">
      <c r="O617" s="1"/>
      <c r="P617" s="1"/>
      <c r="R617" s="2"/>
      <c r="S617" s="3"/>
      <c r="T617" s="3"/>
      <c r="U617" s="3"/>
      <c r="V617" s="3"/>
      <c r="W617" s="3"/>
      <c r="X617" s="3"/>
    </row>
    <row r="618" spans="15:24" x14ac:dyDescent="0.2">
      <c r="O618" s="1"/>
      <c r="P618" s="1"/>
      <c r="R618" s="2"/>
      <c r="S618" s="3"/>
      <c r="T618" s="3"/>
      <c r="U618" s="3"/>
      <c r="V618" s="3"/>
      <c r="W618" s="3"/>
      <c r="X618" s="3"/>
    </row>
    <row r="619" spans="15:24" x14ac:dyDescent="0.2">
      <c r="O619" s="1"/>
      <c r="P619" s="1"/>
      <c r="R619" s="2"/>
      <c r="S619" s="3"/>
      <c r="T619" s="3"/>
      <c r="U619" s="3"/>
      <c r="V619" s="3"/>
      <c r="W619" s="3"/>
      <c r="X619" s="3"/>
    </row>
    <row r="620" spans="15:24" x14ac:dyDescent="0.2">
      <c r="O620" s="1"/>
      <c r="P620" s="1"/>
      <c r="R620" s="2"/>
      <c r="S620" s="3"/>
      <c r="T620" s="3"/>
      <c r="U620" s="3"/>
      <c r="V620" s="3"/>
      <c r="W620" s="3"/>
      <c r="X620" s="3"/>
    </row>
    <row r="621" spans="15:24" x14ac:dyDescent="0.2">
      <c r="O621" s="1"/>
      <c r="P621" s="1"/>
      <c r="R621" s="2"/>
      <c r="S621" s="3"/>
      <c r="T621" s="3"/>
      <c r="U621" s="3"/>
      <c r="V621" s="3"/>
      <c r="W621" s="3"/>
      <c r="X621" s="3"/>
    </row>
    <row r="622" spans="15:24" x14ac:dyDescent="0.2">
      <c r="O622" s="1"/>
      <c r="P622" s="1"/>
      <c r="R622" s="2"/>
      <c r="S622" s="3"/>
      <c r="T622" s="3"/>
      <c r="U622" s="3"/>
      <c r="V622" s="3"/>
      <c r="W622" s="3"/>
      <c r="X622" s="3"/>
    </row>
    <row r="623" spans="15:24" x14ac:dyDescent="0.2">
      <c r="O623" s="1"/>
      <c r="P623" s="1"/>
      <c r="R623" s="2"/>
      <c r="S623" s="3"/>
      <c r="T623" s="3"/>
      <c r="U623" s="3"/>
      <c r="V623" s="3"/>
      <c r="W623" s="3"/>
      <c r="X623" s="3"/>
    </row>
    <row r="624" spans="15:24" x14ac:dyDescent="0.2">
      <c r="O624" s="1"/>
      <c r="P624" s="1"/>
      <c r="R624" s="2"/>
      <c r="S624" s="3"/>
      <c r="T624" s="3"/>
      <c r="U624" s="3"/>
      <c r="V624" s="3"/>
      <c r="W624" s="3"/>
      <c r="X624" s="3"/>
    </row>
    <row r="625" spans="15:24" x14ac:dyDescent="0.2">
      <c r="O625" s="1"/>
      <c r="P625" s="1"/>
      <c r="R625" s="2"/>
      <c r="S625" s="3"/>
      <c r="T625" s="3"/>
      <c r="U625" s="3"/>
      <c r="V625" s="3"/>
      <c r="W625" s="3"/>
      <c r="X625" s="3"/>
    </row>
    <row r="626" spans="15:24" x14ac:dyDescent="0.2">
      <c r="O626" s="1"/>
      <c r="P626" s="1"/>
      <c r="R626" s="2"/>
      <c r="S626" s="3"/>
      <c r="T626" s="3"/>
      <c r="U626" s="3"/>
      <c r="V626" s="3"/>
      <c r="W626" s="3"/>
      <c r="X626" s="3"/>
    </row>
    <row r="627" spans="15:24" x14ac:dyDescent="0.2">
      <c r="O627" s="1"/>
      <c r="P627" s="1"/>
      <c r="R627" s="2"/>
      <c r="S627" s="3"/>
      <c r="T627" s="3"/>
      <c r="U627" s="3"/>
      <c r="V627" s="3"/>
      <c r="W627" s="3"/>
      <c r="X627" s="3"/>
    </row>
    <row r="628" spans="15:24" x14ac:dyDescent="0.2">
      <c r="O628" s="1"/>
      <c r="P628" s="1"/>
      <c r="R628" s="2"/>
      <c r="S628" s="3"/>
      <c r="T628" s="3"/>
      <c r="U628" s="3"/>
      <c r="V628" s="3"/>
      <c r="W628" s="3"/>
      <c r="X628" s="3"/>
    </row>
    <row r="629" spans="15:24" x14ac:dyDescent="0.2">
      <c r="O629" s="1"/>
      <c r="P629" s="1"/>
      <c r="R629" s="2"/>
      <c r="S629" s="3"/>
      <c r="T629" s="3"/>
      <c r="U629" s="3"/>
      <c r="V629" s="3"/>
      <c r="W629" s="3"/>
      <c r="X629" s="3"/>
    </row>
    <row r="630" spans="15:24" x14ac:dyDescent="0.2">
      <c r="O630" s="1"/>
      <c r="P630" s="1"/>
      <c r="R630" s="2"/>
      <c r="S630" s="3"/>
      <c r="T630" s="3"/>
      <c r="U630" s="3"/>
      <c r="V630" s="3"/>
      <c r="W630" s="3"/>
      <c r="X630" s="3"/>
    </row>
    <row r="631" spans="15:24" x14ac:dyDescent="0.2">
      <c r="O631" s="1"/>
      <c r="P631" s="1"/>
      <c r="R631" s="2"/>
      <c r="S631" s="3"/>
      <c r="T631" s="3"/>
      <c r="U631" s="3"/>
      <c r="V631" s="3"/>
      <c r="W631" s="3"/>
      <c r="X631" s="3"/>
    </row>
    <row r="632" spans="15:24" x14ac:dyDescent="0.2">
      <c r="O632" s="1"/>
      <c r="P632" s="1"/>
      <c r="R632" s="2"/>
      <c r="S632" s="3"/>
      <c r="T632" s="3"/>
      <c r="U632" s="3"/>
      <c r="V632" s="3"/>
      <c r="W632" s="3"/>
      <c r="X632" s="3"/>
    </row>
    <row r="633" spans="15:24" x14ac:dyDescent="0.2">
      <c r="O633" s="1"/>
      <c r="P633" s="1"/>
      <c r="R633" s="2"/>
      <c r="S633" s="3"/>
      <c r="T633" s="3"/>
      <c r="U633" s="3"/>
      <c r="V633" s="3"/>
      <c r="W633" s="3"/>
      <c r="X633" s="3"/>
    </row>
    <row r="634" spans="15:24" x14ac:dyDescent="0.2">
      <c r="O634" s="1"/>
      <c r="P634" s="1"/>
      <c r="R634" s="2"/>
      <c r="S634" s="3"/>
      <c r="T634" s="3"/>
      <c r="U634" s="3"/>
      <c r="V634" s="3"/>
      <c r="W634" s="3"/>
      <c r="X634" s="3"/>
    </row>
    <row r="635" spans="15:24" x14ac:dyDescent="0.2">
      <c r="O635" s="1"/>
      <c r="P635" s="1"/>
      <c r="R635" s="2"/>
      <c r="S635" s="3"/>
      <c r="T635" s="3"/>
      <c r="U635" s="3"/>
      <c r="V635" s="3"/>
      <c r="W635" s="3"/>
      <c r="X635" s="3"/>
    </row>
    <row r="636" spans="15:24" x14ac:dyDescent="0.2">
      <c r="O636" s="1"/>
      <c r="P636" s="1"/>
      <c r="R636" s="2"/>
      <c r="S636" s="3"/>
      <c r="T636" s="3"/>
      <c r="U636" s="3"/>
      <c r="V636" s="3"/>
      <c r="W636" s="3"/>
      <c r="X636" s="3"/>
    </row>
    <row r="637" spans="15:24" x14ac:dyDescent="0.2">
      <c r="O637" s="1"/>
      <c r="P637" s="1"/>
      <c r="R637" s="2"/>
      <c r="S637" s="3"/>
      <c r="T637" s="3"/>
      <c r="U637" s="3"/>
      <c r="V637" s="3"/>
      <c r="W637" s="3"/>
      <c r="X637" s="3"/>
    </row>
    <row r="638" spans="15:24" x14ac:dyDescent="0.2">
      <c r="O638" s="1"/>
      <c r="P638" s="1"/>
      <c r="R638" s="2"/>
      <c r="S638" s="3"/>
      <c r="T638" s="3"/>
      <c r="U638" s="3"/>
      <c r="V638" s="3"/>
      <c r="W638" s="3"/>
      <c r="X638" s="3"/>
    </row>
    <row r="639" spans="15:24" x14ac:dyDescent="0.2">
      <c r="O639" s="1"/>
      <c r="P639" s="1"/>
      <c r="R639" s="2"/>
      <c r="S639" s="3"/>
      <c r="T639" s="3"/>
      <c r="U639" s="3"/>
      <c r="V639" s="3"/>
      <c r="W639" s="3"/>
      <c r="X639" s="3"/>
    </row>
    <row r="640" spans="15:24" x14ac:dyDescent="0.2">
      <c r="O640" s="1"/>
      <c r="P640" s="1"/>
      <c r="R640" s="2"/>
      <c r="S640" s="3"/>
      <c r="T640" s="3"/>
      <c r="U640" s="3"/>
      <c r="V640" s="3"/>
      <c r="W640" s="3"/>
      <c r="X640" s="3"/>
    </row>
    <row r="641" spans="15:24" x14ac:dyDescent="0.2">
      <c r="O641" s="1"/>
      <c r="P641" s="1"/>
      <c r="R641" s="2"/>
      <c r="S641" s="3"/>
      <c r="T641" s="3"/>
      <c r="U641" s="3"/>
      <c r="V641" s="3"/>
      <c r="W641" s="3"/>
      <c r="X641" s="3"/>
    </row>
    <row r="642" spans="15:24" x14ac:dyDescent="0.2">
      <c r="O642" s="1"/>
      <c r="P642" s="1"/>
      <c r="R642" s="2"/>
      <c r="S642" s="3"/>
      <c r="T642" s="3"/>
      <c r="U642" s="3"/>
      <c r="V642" s="3"/>
      <c r="W642" s="3"/>
      <c r="X642" s="3"/>
    </row>
    <row r="643" spans="15:24" x14ac:dyDescent="0.2">
      <c r="O643" s="1"/>
      <c r="P643" s="1"/>
      <c r="R643" s="2"/>
      <c r="S643" s="3"/>
      <c r="T643" s="3"/>
      <c r="U643" s="3"/>
      <c r="V643" s="3"/>
      <c r="W643" s="3"/>
      <c r="X643" s="3"/>
    </row>
    <row r="644" spans="15:24" x14ac:dyDescent="0.2">
      <c r="O644" s="1"/>
      <c r="P644" s="1"/>
      <c r="R644" s="2"/>
      <c r="S644" s="3"/>
      <c r="T644" s="3"/>
      <c r="U644" s="3"/>
      <c r="V644" s="3"/>
      <c r="W644" s="3"/>
      <c r="X644" s="3"/>
    </row>
    <row r="645" spans="15:24" x14ac:dyDescent="0.2">
      <c r="O645" s="1"/>
      <c r="P645" s="1"/>
      <c r="R645" s="2"/>
      <c r="S645" s="3"/>
      <c r="T645" s="3"/>
      <c r="U645" s="3"/>
      <c r="V645" s="3"/>
      <c r="W645" s="3"/>
      <c r="X645" s="3"/>
    </row>
    <row r="646" spans="15:24" x14ac:dyDescent="0.2">
      <c r="O646" s="1"/>
      <c r="P646" s="1"/>
      <c r="R646" s="2"/>
      <c r="S646" s="3"/>
      <c r="T646" s="3"/>
      <c r="U646" s="3"/>
      <c r="V646" s="3"/>
      <c r="W646" s="3"/>
      <c r="X646" s="3"/>
    </row>
    <row r="647" spans="15:24" x14ac:dyDescent="0.2">
      <c r="O647" s="1"/>
      <c r="P647" s="1"/>
      <c r="R647" s="2"/>
      <c r="S647" s="3"/>
      <c r="T647" s="3"/>
      <c r="U647" s="3"/>
      <c r="V647" s="3"/>
      <c r="W647" s="3"/>
      <c r="X647" s="3"/>
    </row>
    <row r="648" spans="15:24" x14ac:dyDescent="0.2">
      <c r="O648" s="1"/>
      <c r="P648" s="1"/>
      <c r="R648" s="2"/>
      <c r="S648" s="3"/>
      <c r="T648" s="3"/>
      <c r="U648" s="3"/>
      <c r="V648" s="3"/>
      <c r="W648" s="3"/>
      <c r="X648" s="3"/>
    </row>
    <row r="649" spans="15:24" x14ac:dyDescent="0.2">
      <c r="O649" s="1"/>
      <c r="P649" s="1"/>
      <c r="R649" s="2"/>
      <c r="S649" s="3"/>
      <c r="T649" s="3"/>
      <c r="U649" s="3"/>
      <c r="V649" s="3"/>
      <c r="W649" s="3"/>
      <c r="X649" s="3"/>
    </row>
    <row r="650" spans="15:24" x14ac:dyDescent="0.2">
      <c r="O650" s="1"/>
      <c r="P650" s="1"/>
      <c r="R650" s="2"/>
      <c r="S650" s="3"/>
      <c r="T650" s="3"/>
      <c r="U650" s="3"/>
      <c r="V650" s="3"/>
      <c r="W650" s="3"/>
      <c r="X650" s="3"/>
    </row>
    <row r="651" spans="15:24" x14ac:dyDescent="0.2">
      <c r="O651" s="1"/>
      <c r="P651" s="1"/>
      <c r="R651" s="2"/>
      <c r="S651" s="3"/>
      <c r="T651" s="3"/>
      <c r="U651" s="3"/>
      <c r="V651" s="3"/>
      <c r="W651" s="3"/>
      <c r="X651" s="3"/>
    </row>
    <row r="652" spans="15:24" x14ac:dyDescent="0.2">
      <c r="O652" s="1"/>
      <c r="P652" s="1"/>
      <c r="R652" s="2"/>
      <c r="S652" s="3"/>
      <c r="T652" s="3"/>
      <c r="U652" s="3"/>
      <c r="V652" s="3"/>
      <c r="W652" s="3"/>
      <c r="X652" s="3"/>
    </row>
    <row r="653" spans="15:24" x14ac:dyDescent="0.2">
      <c r="O653" s="1"/>
      <c r="P653" s="1"/>
      <c r="R653" s="2"/>
      <c r="S653" s="3"/>
      <c r="T653" s="3"/>
      <c r="U653" s="3"/>
      <c r="V653" s="3"/>
      <c r="W653" s="3"/>
      <c r="X653" s="3"/>
    </row>
    <row r="654" spans="15:24" x14ac:dyDescent="0.2">
      <c r="O654" s="1"/>
      <c r="P654" s="1"/>
      <c r="R654" s="2"/>
      <c r="S654" s="3"/>
      <c r="T654" s="3"/>
      <c r="U654" s="3"/>
      <c r="V654" s="3"/>
      <c r="W654" s="3"/>
      <c r="X654" s="3"/>
    </row>
    <row r="655" spans="15:24" x14ac:dyDescent="0.2">
      <c r="O655" s="1"/>
      <c r="P655" s="1"/>
      <c r="R655" s="2"/>
      <c r="S655" s="3"/>
      <c r="T655" s="3"/>
      <c r="U655" s="3"/>
      <c r="V655" s="3"/>
      <c r="W655" s="3"/>
      <c r="X655" s="3"/>
    </row>
    <row r="656" spans="15:24" x14ac:dyDescent="0.2">
      <c r="O656" s="1"/>
      <c r="P656" s="1"/>
      <c r="R656" s="2"/>
      <c r="S656" s="3"/>
      <c r="T656" s="3"/>
      <c r="U656" s="3"/>
      <c r="V656" s="3"/>
      <c r="W656" s="3"/>
      <c r="X656" s="3"/>
    </row>
    <row r="657" spans="15:24" x14ac:dyDescent="0.2">
      <c r="O657" s="1"/>
      <c r="P657" s="1"/>
      <c r="R657" s="2"/>
      <c r="S657" s="3"/>
      <c r="T657" s="3"/>
      <c r="U657" s="3"/>
      <c r="V657" s="3"/>
      <c r="W657" s="3"/>
      <c r="X657" s="3"/>
    </row>
    <row r="658" spans="15:24" x14ac:dyDescent="0.2">
      <c r="O658" s="1"/>
      <c r="P658" s="1"/>
      <c r="R658" s="2"/>
      <c r="S658" s="3"/>
      <c r="T658" s="3"/>
      <c r="U658" s="3"/>
      <c r="V658" s="3"/>
      <c r="W658" s="3"/>
      <c r="X658" s="3"/>
    </row>
    <row r="659" spans="15:24" x14ac:dyDescent="0.2">
      <c r="O659" s="1"/>
      <c r="P659" s="1"/>
      <c r="R659" s="2"/>
      <c r="S659" s="3"/>
      <c r="T659" s="3"/>
      <c r="U659" s="3"/>
      <c r="V659" s="3"/>
      <c r="W659" s="3"/>
      <c r="X659" s="3"/>
    </row>
    <row r="660" spans="15:24" x14ac:dyDescent="0.2">
      <c r="O660" s="1"/>
      <c r="P660" s="1"/>
      <c r="R660" s="2"/>
      <c r="S660" s="3"/>
      <c r="T660" s="3"/>
      <c r="U660" s="3"/>
      <c r="V660" s="3"/>
      <c r="W660" s="3"/>
      <c r="X660" s="3"/>
    </row>
    <row r="661" spans="15:24" x14ac:dyDescent="0.2">
      <c r="O661" s="1"/>
      <c r="P661" s="1"/>
      <c r="R661" s="2"/>
      <c r="S661" s="3"/>
      <c r="T661" s="3"/>
      <c r="U661" s="3"/>
      <c r="V661" s="3"/>
      <c r="W661" s="3"/>
      <c r="X661" s="3"/>
    </row>
    <row r="662" spans="15:24" x14ac:dyDescent="0.2">
      <c r="O662" s="1"/>
      <c r="P662" s="1"/>
      <c r="R662" s="2"/>
      <c r="S662" s="3"/>
      <c r="T662" s="3"/>
      <c r="U662" s="3"/>
      <c r="V662" s="3"/>
      <c r="W662" s="3"/>
      <c r="X662" s="3"/>
    </row>
    <row r="663" spans="15:24" x14ac:dyDescent="0.2">
      <c r="O663" s="1"/>
      <c r="P663" s="1"/>
      <c r="R663" s="2"/>
      <c r="S663" s="3"/>
      <c r="T663" s="3"/>
      <c r="U663" s="3"/>
      <c r="V663" s="3"/>
      <c r="W663" s="3"/>
      <c r="X663" s="3"/>
    </row>
    <row r="664" spans="15:24" x14ac:dyDescent="0.2">
      <c r="O664" s="1"/>
      <c r="P664" s="1"/>
      <c r="R664" s="2"/>
      <c r="S664" s="3"/>
      <c r="T664" s="3"/>
      <c r="U664" s="3"/>
      <c r="V664" s="3"/>
      <c r="W664" s="3"/>
      <c r="X664" s="3"/>
    </row>
    <row r="665" spans="15:24" x14ac:dyDescent="0.2">
      <c r="O665" s="1"/>
      <c r="P665" s="1"/>
      <c r="R665" s="2"/>
      <c r="S665" s="3"/>
      <c r="T665" s="3"/>
      <c r="U665" s="3"/>
      <c r="V665" s="3"/>
      <c r="W665" s="3"/>
      <c r="X665" s="3"/>
    </row>
    <row r="666" spans="15:24" x14ac:dyDescent="0.2">
      <c r="O666" s="1"/>
      <c r="P666" s="1"/>
      <c r="R666" s="2"/>
      <c r="S666" s="3"/>
      <c r="T666" s="3"/>
      <c r="U666" s="3"/>
      <c r="V666" s="3"/>
      <c r="W666" s="3"/>
      <c r="X666" s="3"/>
    </row>
    <row r="667" spans="15:24" x14ac:dyDescent="0.2">
      <c r="O667" s="1"/>
      <c r="P667" s="1"/>
      <c r="R667" s="2"/>
      <c r="S667" s="3"/>
      <c r="T667" s="3"/>
      <c r="U667" s="3"/>
      <c r="V667" s="3"/>
      <c r="W667" s="3"/>
      <c r="X667" s="3"/>
    </row>
    <row r="668" spans="15:24" x14ac:dyDescent="0.2">
      <c r="O668" s="1"/>
      <c r="P668" s="1"/>
      <c r="R668" s="2"/>
      <c r="S668" s="3"/>
      <c r="T668" s="3"/>
      <c r="U668" s="3"/>
      <c r="V668" s="3"/>
      <c r="W668" s="3"/>
      <c r="X668" s="3"/>
    </row>
    <row r="669" spans="15:24" x14ac:dyDescent="0.2">
      <c r="O669" s="1"/>
      <c r="P669" s="1"/>
      <c r="R669" s="2"/>
      <c r="S669" s="3"/>
      <c r="T669" s="3"/>
      <c r="U669" s="3"/>
      <c r="V669" s="3"/>
      <c r="W669" s="3"/>
      <c r="X669" s="3"/>
    </row>
    <row r="670" spans="15:24" x14ac:dyDescent="0.2">
      <c r="O670" s="1"/>
      <c r="P670" s="1"/>
      <c r="R670" s="2"/>
      <c r="S670" s="3"/>
      <c r="T670" s="3"/>
      <c r="U670" s="3"/>
      <c r="V670" s="3"/>
      <c r="W670" s="3"/>
      <c r="X670" s="3"/>
    </row>
    <row r="671" spans="15:24" x14ac:dyDescent="0.2">
      <c r="O671" s="1"/>
      <c r="P671" s="1"/>
      <c r="R671" s="2"/>
      <c r="S671" s="3"/>
      <c r="T671" s="3"/>
      <c r="U671" s="3"/>
      <c r="V671" s="3"/>
      <c r="W671" s="3"/>
      <c r="X671" s="3"/>
    </row>
    <row r="672" spans="15:24" x14ac:dyDescent="0.2">
      <c r="O672" s="1"/>
      <c r="P672" s="1"/>
      <c r="R672" s="2"/>
      <c r="S672" s="3"/>
      <c r="T672" s="3"/>
      <c r="U672" s="3"/>
      <c r="V672" s="3"/>
      <c r="W672" s="3"/>
      <c r="X672" s="3"/>
    </row>
    <row r="673" spans="15:24" x14ac:dyDescent="0.2">
      <c r="O673" s="1"/>
      <c r="P673" s="1"/>
      <c r="R673" s="2"/>
      <c r="S673" s="3"/>
      <c r="T673" s="3"/>
      <c r="U673" s="3"/>
      <c r="V673" s="3"/>
      <c r="W673" s="3"/>
      <c r="X673" s="3"/>
    </row>
    <row r="674" spans="15:24" x14ac:dyDescent="0.2">
      <c r="O674" s="1"/>
      <c r="P674" s="1"/>
      <c r="R674" s="2"/>
      <c r="S674" s="3"/>
      <c r="T674" s="3"/>
      <c r="U674" s="3"/>
      <c r="V674" s="3"/>
      <c r="W674" s="3"/>
      <c r="X674" s="3"/>
    </row>
    <row r="675" spans="15:24" x14ac:dyDescent="0.2">
      <c r="O675" s="1"/>
      <c r="P675" s="1"/>
      <c r="R675" s="2"/>
      <c r="S675" s="3"/>
      <c r="T675" s="3"/>
      <c r="U675" s="3"/>
      <c r="V675" s="3"/>
      <c r="W675" s="3"/>
      <c r="X675" s="3"/>
    </row>
    <row r="676" spans="15:24" x14ac:dyDescent="0.2">
      <c r="O676" s="1"/>
      <c r="P676" s="1"/>
      <c r="R676" s="2"/>
      <c r="S676" s="3"/>
      <c r="T676" s="3"/>
      <c r="U676" s="3"/>
      <c r="V676" s="3"/>
      <c r="W676" s="3"/>
      <c r="X676" s="3"/>
    </row>
    <row r="677" spans="15:24" x14ac:dyDescent="0.2">
      <c r="O677" s="1"/>
      <c r="P677" s="1"/>
      <c r="R677" s="2"/>
      <c r="S677" s="3"/>
      <c r="T677" s="3"/>
      <c r="U677" s="3"/>
      <c r="V677" s="3"/>
      <c r="W677" s="3"/>
      <c r="X677" s="3"/>
    </row>
    <row r="678" spans="15:24" x14ac:dyDescent="0.2">
      <c r="O678" s="1"/>
      <c r="P678" s="1"/>
      <c r="R678" s="2"/>
      <c r="S678" s="3"/>
      <c r="T678" s="3"/>
      <c r="U678" s="3"/>
      <c r="V678" s="3"/>
      <c r="W678" s="3"/>
      <c r="X678" s="3"/>
    </row>
    <row r="679" spans="15:24" x14ac:dyDescent="0.2">
      <c r="O679" s="1"/>
      <c r="P679" s="1"/>
      <c r="R679" s="2"/>
      <c r="S679" s="3"/>
      <c r="T679" s="3"/>
      <c r="U679" s="3"/>
      <c r="V679" s="3"/>
      <c r="W679" s="3"/>
      <c r="X679" s="3"/>
    </row>
    <row r="680" spans="15:24" x14ac:dyDescent="0.2">
      <c r="O680" s="1"/>
      <c r="P680" s="1"/>
      <c r="R680" s="2"/>
      <c r="S680" s="3"/>
      <c r="T680" s="3"/>
      <c r="U680" s="3"/>
      <c r="V680" s="3"/>
      <c r="W680" s="3"/>
      <c r="X680" s="3"/>
    </row>
    <row r="681" spans="15:24" x14ac:dyDescent="0.2">
      <c r="O681" s="1"/>
      <c r="P681" s="1"/>
      <c r="R681" s="2"/>
      <c r="S681" s="3"/>
      <c r="T681" s="3"/>
      <c r="U681" s="3"/>
      <c r="V681" s="3"/>
      <c r="W681" s="3"/>
      <c r="X681" s="3"/>
    </row>
    <row r="682" spans="15:24" x14ac:dyDescent="0.2">
      <c r="O682" s="1"/>
      <c r="P682" s="1"/>
      <c r="R682" s="2"/>
      <c r="S682" s="3"/>
      <c r="T682" s="3"/>
      <c r="U682" s="3"/>
      <c r="V682" s="3"/>
      <c r="W682" s="3"/>
      <c r="X682" s="3"/>
    </row>
    <row r="683" spans="15:24" x14ac:dyDescent="0.2">
      <c r="O683" s="1"/>
      <c r="P683" s="1"/>
      <c r="R683" s="2"/>
      <c r="S683" s="3"/>
      <c r="T683" s="3"/>
      <c r="U683" s="3"/>
      <c r="V683" s="3"/>
      <c r="W683" s="3"/>
      <c r="X683" s="3"/>
    </row>
    <row r="684" spans="15:24" x14ac:dyDescent="0.2">
      <c r="O684" s="1"/>
      <c r="P684" s="1"/>
      <c r="R684" s="2"/>
      <c r="S684" s="3"/>
      <c r="T684" s="3"/>
      <c r="U684" s="3"/>
      <c r="V684" s="3"/>
      <c r="W684" s="3"/>
      <c r="X684" s="3"/>
    </row>
    <row r="685" spans="15:24" x14ac:dyDescent="0.2">
      <c r="O685" s="1"/>
      <c r="P685" s="1"/>
      <c r="R685" s="2"/>
      <c r="S685" s="3"/>
      <c r="T685" s="3"/>
      <c r="U685" s="3"/>
      <c r="V685" s="3"/>
      <c r="W685" s="3"/>
      <c r="X685" s="3"/>
    </row>
    <row r="686" spans="15:24" x14ac:dyDescent="0.2">
      <c r="O686" s="1"/>
      <c r="P686" s="1"/>
      <c r="R686" s="2"/>
      <c r="S686" s="3"/>
      <c r="T686" s="3"/>
      <c r="U686" s="3"/>
      <c r="V686" s="3"/>
      <c r="W686" s="3"/>
      <c r="X686" s="3"/>
    </row>
    <row r="687" spans="15:24" x14ac:dyDescent="0.2">
      <c r="O687" s="1"/>
      <c r="P687" s="1"/>
      <c r="R687" s="2"/>
      <c r="S687" s="3"/>
      <c r="T687" s="3"/>
      <c r="U687" s="3"/>
      <c r="V687" s="3"/>
      <c r="W687" s="3"/>
      <c r="X687" s="3"/>
    </row>
    <row r="688" spans="15:24" x14ac:dyDescent="0.2">
      <c r="O688" s="1"/>
      <c r="P688" s="1"/>
      <c r="R688" s="2"/>
      <c r="S688" s="3"/>
      <c r="T688" s="3"/>
      <c r="U688" s="3"/>
      <c r="V688" s="3"/>
      <c r="W688" s="3"/>
      <c r="X688" s="3"/>
    </row>
    <row r="689" spans="15:24" x14ac:dyDescent="0.2">
      <c r="O689" s="1"/>
      <c r="P689" s="1"/>
      <c r="R689" s="2"/>
      <c r="S689" s="3"/>
      <c r="T689" s="3"/>
      <c r="U689" s="3"/>
      <c r="V689" s="3"/>
      <c r="W689" s="3"/>
      <c r="X689" s="3"/>
    </row>
    <row r="690" spans="15:24" x14ac:dyDescent="0.2">
      <c r="O690" s="1"/>
      <c r="P690" s="1"/>
      <c r="R690" s="2"/>
      <c r="S690" s="3"/>
      <c r="T690" s="3"/>
      <c r="U690" s="3"/>
      <c r="V690" s="3"/>
      <c r="W690" s="3"/>
      <c r="X690" s="3"/>
    </row>
    <row r="691" spans="15:24" x14ac:dyDescent="0.2">
      <c r="O691" s="1"/>
      <c r="P691" s="1"/>
      <c r="R691" s="2"/>
      <c r="S691" s="3"/>
      <c r="T691" s="3"/>
      <c r="U691" s="3"/>
      <c r="V691" s="3"/>
      <c r="W691" s="3"/>
      <c r="X691" s="3"/>
    </row>
    <row r="692" spans="15:24" x14ac:dyDescent="0.2">
      <c r="O692" s="1"/>
      <c r="P692" s="1"/>
      <c r="R692" s="2"/>
      <c r="S692" s="3"/>
      <c r="T692" s="3"/>
      <c r="U692" s="3"/>
      <c r="V692" s="3"/>
      <c r="W692" s="3"/>
      <c r="X692" s="3"/>
    </row>
    <row r="693" spans="15:24" x14ac:dyDescent="0.2">
      <c r="O693" s="1"/>
      <c r="P693" s="1"/>
      <c r="R693" s="2"/>
      <c r="S693" s="3"/>
      <c r="T693" s="3"/>
      <c r="U693" s="3"/>
      <c r="V693" s="3"/>
      <c r="W693" s="3"/>
      <c r="X693" s="3"/>
    </row>
    <row r="694" spans="15:24" x14ac:dyDescent="0.2">
      <c r="O694" s="1"/>
      <c r="P694" s="1"/>
      <c r="R694" s="2"/>
      <c r="S694" s="3"/>
      <c r="T694" s="3"/>
      <c r="U694" s="3"/>
      <c r="V694" s="3"/>
      <c r="W694" s="3"/>
      <c r="X694" s="3"/>
    </row>
    <row r="695" spans="15:24" x14ac:dyDescent="0.2">
      <c r="O695" s="1"/>
      <c r="P695" s="1"/>
      <c r="R695" s="2"/>
      <c r="S695" s="3"/>
      <c r="T695" s="3"/>
      <c r="U695" s="3"/>
      <c r="V695" s="3"/>
      <c r="W695" s="3"/>
      <c r="X695" s="3"/>
    </row>
    <row r="696" spans="15:24" x14ac:dyDescent="0.2">
      <c r="O696" s="1"/>
      <c r="P696" s="1"/>
      <c r="R696" s="2"/>
      <c r="S696" s="3"/>
      <c r="T696" s="3"/>
      <c r="U696" s="3"/>
      <c r="V696" s="3"/>
      <c r="W696" s="3"/>
      <c r="X696" s="3"/>
    </row>
  </sheetData>
  <sortState ref="K7:Q90">
    <sortCondition ref="P6"/>
  </sortState>
  <phoneticPr fontId="2" type="noConversion"/>
  <dataValidations count="1">
    <dataValidation type="list" allowBlank="1" showInputMessage="1" showErrorMessage="1" sqref="E2:E3 B7:B38 L13 L24:L90">
      <formula1>"TRUE,FALSE"</formula1>
    </dataValidation>
  </dataValidations>
  <hyperlinks>
    <hyperlink ref="AL1" r:id="rId1" display="ImpliedYield@1y"/>
  </hyperlinks>
  <pageMargins left="0.25" right="0.25" top="0.75" bottom="0.75" header="0.3" footer="0.3"/>
  <pageSetup scale="90" orientation="landscape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031" r:id="rId5" name="cmdBuildBasisDF">
          <controlPr defaultSize="0" autoLine="0" r:id="rId6">
            <anchor moveWithCells="1">
              <from>
                <xdr:col>24</xdr:col>
                <xdr:colOff>0</xdr:colOff>
                <xdr:row>0</xdr:row>
                <xdr:rowOff>0</xdr:rowOff>
              </from>
              <to>
                <xdr:col>26</xdr:col>
                <xdr:colOff>47625</xdr:colOff>
                <xdr:row>1</xdr:row>
                <xdr:rowOff>152400</xdr:rowOff>
              </to>
            </anchor>
          </controlPr>
        </control>
      </mc:Choice>
      <mc:Fallback>
        <control shapeId="1031" r:id="rId5" name="cmdBuildBasisDF"/>
      </mc:Fallback>
    </mc:AlternateContent>
    <mc:AlternateContent xmlns:mc="http://schemas.openxmlformats.org/markup-compatibility/2006">
      <mc:Choice Requires="x14">
        <control shapeId="1027" r:id="rId7" name="cmdGenDFVector">
          <controlPr defaultSize="0" autoLine="0" r:id="rId8">
            <anchor moveWithCells="1">
              <from>
                <xdr:col>20</xdr:col>
                <xdr:colOff>0</xdr:colOff>
                <xdr:row>0</xdr:row>
                <xdr:rowOff>0</xdr:rowOff>
              </from>
              <to>
                <xdr:col>21</xdr:col>
                <xdr:colOff>790575</xdr:colOff>
                <xdr:row>1</xdr:row>
                <xdr:rowOff>142875</xdr:rowOff>
              </to>
            </anchor>
          </controlPr>
        </control>
      </mc:Choice>
      <mc:Fallback>
        <control shapeId="1027" r:id="rId7" name="cmdGenDFVector"/>
      </mc:Fallback>
    </mc:AlternateContent>
    <mc:AlternateContent xmlns:mc="http://schemas.openxmlformats.org/markup-compatibility/2006">
      <mc:Choice Requires="x14">
        <control shapeId="1025" r:id="rId9" name="cmdNormalize">
          <controlPr defaultSize="0" autoLine="0" r:id="rId10">
            <anchor moveWithCells="1">
              <from>
                <xdr:col>10</xdr:col>
                <xdr:colOff>0</xdr:colOff>
                <xdr:row>0</xdr:row>
                <xdr:rowOff>9525</xdr:rowOff>
              </from>
              <to>
                <xdr:col>13</xdr:col>
                <xdr:colOff>285750</xdr:colOff>
                <xdr:row>1</xdr:row>
                <xdr:rowOff>133350</xdr:rowOff>
              </to>
            </anchor>
          </controlPr>
        </control>
      </mc:Choice>
      <mc:Fallback>
        <control shapeId="1025" r:id="rId9" name="cmdNormaliz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144"/>
  <sheetViews>
    <sheetView workbookViewId="0">
      <selection activeCell="AB48" sqref="AB48"/>
    </sheetView>
  </sheetViews>
  <sheetFormatPr defaultRowHeight="12.75" x14ac:dyDescent="0.2"/>
  <cols>
    <col min="5" max="6" width="10.140625" bestFit="1" customWidth="1"/>
    <col min="9" max="9" width="13.7109375" bestFit="1" customWidth="1"/>
    <col min="20" max="20" width="11.5703125" bestFit="1" customWidth="1"/>
    <col min="21" max="21" width="10.7109375" customWidth="1"/>
    <col min="24" max="24" width="11.140625" bestFit="1" customWidth="1"/>
    <col min="26" max="26" width="12" bestFit="1" customWidth="1"/>
    <col min="27" max="27" width="11.5703125" bestFit="1" customWidth="1"/>
    <col min="28" max="28" width="14.28515625" bestFit="1" customWidth="1"/>
    <col min="29" max="29" width="11.28515625" bestFit="1" customWidth="1"/>
    <col min="30" max="30" width="14.28515625" bestFit="1" customWidth="1"/>
    <col min="32" max="32" width="11" bestFit="1" customWidth="1"/>
    <col min="33" max="33" width="12.7109375" bestFit="1" customWidth="1"/>
  </cols>
  <sheetData>
    <row r="1" spans="1:39" x14ac:dyDescent="0.2">
      <c r="A1" t="s">
        <v>78</v>
      </c>
    </row>
    <row r="2" spans="1:39" x14ac:dyDescent="0.2">
      <c r="B2" t="s">
        <v>72</v>
      </c>
    </row>
    <row r="3" spans="1:39" x14ac:dyDescent="0.2">
      <c r="B3" t="s">
        <v>73</v>
      </c>
    </row>
    <row r="4" spans="1:39" x14ac:dyDescent="0.2">
      <c r="B4" t="s">
        <v>74</v>
      </c>
    </row>
    <row r="5" spans="1:39" x14ac:dyDescent="0.2">
      <c r="B5" t="s">
        <v>75</v>
      </c>
    </row>
    <row r="6" spans="1:39" x14ac:dyDescent="0.2">
      <c r="B6" t="s">
        <v>76</v>
      </c>
    </row>
    <row r="7" spans="1:39" x14ac:dyDescent="0.2">
      <c r="B7" t="s">
        <v>77</v>
      </c>
    </row>
    <row r="8" spans="1:39" x14ac:dyDescent="0.2">
      <c r="L8" s="10" t="s">
        <v>84</v>
      </c>
      <c r="Z8" s="10" t="s">
        <v>87</v>
      </c>
    </row>
    <row r="9" spans="1:39" x14ac:dyDescent="0.2">
      <c r="A9" t="s">
        <v>68</v>
      </c>
      <c r="Z9" s="10"/>
    </row>
    <row r="10" spans="1:39" x14ac:dyDescent="0.2">
      <c r="A10" s="11" t="s">
        <v>16</v>
      </c>
      <c r="B10" s="11" t="s">
        <v>17</v>
      </c>
      <c r="C10" s="11" t="s">
        <v>7</v>
      </c>
      <c r="D10" s="11" t="s">
        <v>13</v>
      </c>
      <c r="E10" s="11" t="s">
        <v>8</v>
      </c>
      <c r="F10" s="11" t="s">
        <v>9</v>
      </c>
      <c r="G10" s="11" t="s">
        <v>10</v>
      </c>
      <c r="H10" s="11" t="s">
        <v>11</v>
      </c>
      <c r="I10" s="11" t="s">
        <v>12</v>
      </c>
      <c r="L10" s="11" t="s">
        <v>16</v>
      </c>
      <c r="M10" s="11" t="s">
        <v>17</v>
      </c>
      <c r="N10" s="11" t="s">
        <v>7</v>
      </c>
      <c r="O10" s="11" t="s">
        <v>13</v>
      </c>
      <c r="P10" s="11" t="s">
        <v>8</v>
      </c>
      <c r="Q10" s="11" t="s">
        <v>9</v>
      </c>
      <c r="R10" s="11" t="s">
        <v>10</v>
      </c>
      <c r="S10" s="11"/>
      <c r="T10" s="11"/>
      <c r="Z10" s="11" t="s">
        <v>16</v>
      </c>
      <c r="AA10" s="11" t="s">
        <v>17</v>
      </c>
      <c r="AB10" s="11" t="s">
        <v>7</v>
      </c>
      <c r="AC10" s="11" t="s">
        <v>13</v>
      </c>
      <c r="AD10" s="11" t="s">
        <v>8</v>
      </c>
      <c r="AE10" s="11" t="s">
        <v>9</v>
      </c>
      <c r="AF10" s="11" t="s">
        <v>10</v>
      </c>
    </row>
    <row r="11" spans="1:39" x14ac:dyDescent="0.2">
      <c r="A11">
        <v>1</v>
      </c>
      <c r="B11" t="b">
        <v>1</v>
      </c>
      <c r="C11" t="s">
        <v>0</v>
      </c>
      <c r="D11" t="s">
        <v>14</v>
      </c>
      <c r="E11" s="1">
        <v>34561</v>
      </c>
      <c r="F11" s="1">
        <v>34562</v>
      </c>
      <c r="G11">
        <v>4.5599999999999996</v>
      </c>
      <c r="H11" s="2">
        <f>F11-E11</f>
        <v>1</v>
      </c>
      <c r="I11" s="3">
        <f>1+G11*H11/100/getyearbasis()</f>
        <v>1.0001249315068492</v>
      </c>
      <c r="L11">
        <v>1</v>
      </c>
      <c r="M11" t="b">
        <v>1</v>
      </c>
      <c r="N11" t="s">
        <v>53</v>
      </c>
      <c r="O11" t="s">
        <v>14</v>
      </c>
      <c r="P11" s="1">
        <f t="shared" ref="P11:P17" si="0">CurveDate</f>
        <v>39848</v>
      </c>
      <c r="Q11" s="1">
        <f t="shared" ref="Q11:Q16" si="1">P11+LEFT(N11,2)*30</f>
        <v>39878</v>
      </c>
      <c r="R11">
        <v>1.7389999999999999</v>
      </c>
      <c r="S11" s="2"/>
      <c r="T11" s="3"/>
      <c r="Z11">
        <v>1</v>
      </c>
      <c r="AA11" t="b">
        <v>1</v>
      </c>
      <c r="AB11" t="s">
        <v>89</v>
      </c>
      <c r="AC11" t="s">
        <v>88</v>
      </c>
      <c r="AD11" s="28">
        <v>39848</v>
      </c>
      <c r="AE11" s="28">
        <v>39888</v>
      </c>
      <c r="AF11">
        <f>0.5*(AH11+AJ11)</f>
        <v>1.466</v>
      </c>
      <c r="AG11" t="s">
        <v>90</v>
      </c>
      <c r="AH11">
        <v>1.381</v>
      </c>
      <c r="AI11">
        <v>0.17</v>
      </c>
      <c r="AJ11">
        <v>1.5509999999999999</v>
      </c>
      <c r="AK11" t="s">
        <v>91</v>
      </c>
      <c r="AL11" t="s">
        <v>91</v>
      </c>
      <c r="AM11" t="s">
        <v>92</v>
      </c>
    </row>
    <row r="12" spans="1:39" x14ac:dyDescent="0.2">
      <c r="A12">
        <v>2</v>
      </c>
      <c r="B12" t="b">
        <v>1</v>
      </c>
      <c r="C12" t="s">
        <v>0</v>
      </c>
      <c r="D12" t="s">
        <v>14</v>
      </c>
      <c r="E12" s="1">
        <v>34562</v>
      </c>
      <c r="F12" s="1">
        <v>34563</v>
      </c>
      <c r="G12">
        <v>4.5</v>
      </c>
      <c r="H12" s="2">
        <f t="shared" ref="H12:H25" si="2">F12-E12</f>
        <v>1</v>
      </c>
      <c r="I12" s="3">
        <f>1+G12*H12/100/getyearbasis()</f>
        <v>1.0001232876712329</v>
      </c>
      <c r="L12">
        <f t="shared" ref="L12:L28" si="3">L11+1</f>
        <v>2</v>
      </c>
      <c r="M12" t="b">
        <v>1</v>
      </c>
      <c r="N12" t="s">
        <v>61</v>
      </c>
      <c r="O12" t="s">
        <v>14</v>
      </c>
      <c r="P12" s="1">
        <f t="shared" si="0"/>
        <v>39848</v>
      </c>
      <c r="Q12" s="1">
        <f t="shared" si="1"/>
        <v>39908</v>
      </c>
      <c r="R12">
        <v>1.7389999999999999</v>
      </c>
      <c r="S12" s="2"/>
      <c r="T12" s="3"/>
      <c r="AA12" t="b">
        <v>1</v>
      </c>
      <c r="AB12" t="s">
        <v>93</v>
      </c>
      <c r="AC12" t="s">
        <v>15</v>
      </c>
      <c r="AD12" s="28">
        <v>39888</v>
      </c>
      <c r="AE12" s="28">
        <f t="shared" ref="AE12:AE18" si="4">NextBusDay(EDATE(AD12,3))</f>
        <v>39980</v>
      </c>
      <c r="AF12">
        <f t="shared" ref="AF12:AF33" si="5">0.5*(AH12+AJ12)</f>
        <v>0.95500000000000007</v>
      </c>
      <c r="AG12">
        <v>98.96</v>
      </c>
      <c r="AH12">
        <v>0.87</v>
      </c>
      <c r="AI12">
        <v>0.17</v>
      </c>
      <c r="AJ12">
        <v>1.04</v>
      </c>
      <c r="AK12">
        <v>0</v>
      </c>
      <c r="AL12">
        <v>0</v>
      </c>
      <c r="AM12">
        <v>0</v>
      </c>
    </row>
    <row r="13" spans="1:39" x14ac:dyDescent="0.2">
      <c r="A13">
        <v>3</v>
      </c>
      <c r="B13" t="b">
        <v>1</v>
      </c>
      <c r="C13" t="s">
        <v>1</v>
      </c>
      <c r="D13" t="s">
        <v>14</v>
      </c>
      <c r="E13" s="1">
        <v>34563</v>
      </c>
      <c r="F13" s="1">
        <v>34570</v>
      </c>
      <c r="G13">
        <v>4.5</v>
      </c>
      <c r="H13" s="2">
        <f t="shared" si="2"/>
        <v>7</v>
      </c>
      <c r="I13" s="3">
        <f t="shared" ref="I13:I25" si="6">1+G13*H13/100/getyearbasis()</f>
        <v>1.0008630136986301</v>
      </c>
      <c r="L13">
        <f t="shared" si="3"/>
        <v>3</v>
      </c>
      <c r="M13" t="b">
        <v>1</v>
      </c>
      <c r="N13" t="s">
        <v>54</v>
      </c>
      <c r="O13" t="s">
        <v>14</v>
      </c>
      <c r="P13" s="1">
        <f t="shared" si="0"/>
        <v>39848</v>
      </c>
      <c r="Q13" s="1">
        <f t="shared" si="1"/>
        <v>39938</v>
      </c>
      <c r="R13">
        <v>1.569</v>
      </c>
      <c r="S13" s="2"/>
      <c r="T13" s="3"/>
      <c r="AA13" t="b">
        <v>1</v>
      </c>
      <c r="AB13" t="s">
        <v>94</v>
      </c>
      <c r="AC13" t="s">
        <v>15</v>
      </c>
      <c r="AD13" s="28">
        <v>39979</v>
      </c>
      <c r="AE13" s="28">
        <f t="shared" si="4"/>
        <v>40071</v>
      </c>
      <c r="AF13">
        <f t="shared" si="5"/>
        <v>0.82499999999999996</v>
      </c>
      <c r="AG13">
        <v>99.09</v>
      </c>
      <c r="AH13">
        <v>0.74</v>
      </c>
      <c r="AI13">
        <v>0.17</v>
      </c>
      <c r="AJ13">
        <v>0.91</v>
      </c>
      <c r="AK13">
        <v>0</v>
      </c>
      <c r="AL13">
        <v>0</v>
      </c>
      <c r="AM13">
        <v>0</v>
      </c>
    </row>
    <row r="14" spans="1:39" x14ac:dyDescent="0.2">
      <c r="A14">
        <v>4</v>
      </c>
      <c r="B14" t="b">
        <v>1</v>
      </c>
      <c r="C14" t="s">
        <v>2</v>
      </c>
      <c r="D14" t="s">
        <v>14</v>
      </c>
      <c r="E14" s="1">
        <v>34563</v>
      </c>
      <c r="F14" s="1">
        <v>34577</v>
      </c>
      <c r="G14">
        <v>4.5599999999999996</v>
      </c>
      <c r="H14" s="2">
        <f t="shared" si="2"/>
        <v>14</v>
      </c>
      <c r="I14" s="3">
        <f t="shared" si="6"/>
        <v>1.0017490410958905</v>
      </c>
      <c r="L14">
        <f t="shared" si="3"/>
        <v>4</v>
      </c>
      <c r="M14" t="b">
        <v>1</v>
      </c>
      <c r="N14" t="s">
        <v>57</v>
      </c>
      <c r="O14" t="s">
        <v>14</v>
      </c>
      <c r="P14" s="1">
        <f t="shared" si="0"/>
        <v>39848</v>
      </c>
      <c r="Q14" s="1">
        <f t="shared" si="1"/>
        <v>40028</v>
      </c>
      <c r="R14">
        <v>1.419</v>
      </c>
      <c r="S14" s="2"/>
      <c r="T14" s="3"/>
      <c r="AA14" t="b">
        <v>1</v>
      </c>
      <c r="AB14" t="s">
        <v>95</v>
      </c>
      <c r="AC14" t="s">
        <v>15</v>
      </c>
      <c r="AD14" s="28">
        <v>40070</v>
      </c>
      <c r="AE14" s="28">
        <f t="shared" si="4"/>
        <v>40161</v>
      </c>
      <c r="AF14">
        <f t="shared" si="5"/>
        <v>0.93500000000000005</v>
      </c>
      <c r="AG14">
        <v>98.98</v>
      </c>
      <c r="AH14">
        <v>0.85</v>
      </c>
      <c r="AI14">
        <v>0.17</v>
      </c>
      <c r="AJ14">
        <v>1.02</v>
      </c>
      <c r="AK14">
        <v>0</v>
      </c>
      <c r="AL14">
        <v>0</v>
      </c>
      <c r="AM14">
        <v>0</v>
      </c>
    </row>
    <row r="15" spans="1:39" x14ac:dyDescent="0.2">
      <c r="A15">
        <v>5</v>
      </c>
      <c r="B15" t="b">
        <v>1</v>
      </c>
      <c r="C15" t="s">
        <v>53</v>
      </c>
      <c r="D15" t="s">
        <v>14</v>
      </c>
      <c r="E15" s="1">
        <v>34563</v>
      </c>
      <c r="F15" s="1">
        <v>34596</v>
      </c>
      <c r="G15">
        <v>4.6500000000000004</v>
      </c>
      <c r="H15" s="2">
        <f t="shared" si="2"/>
        <v>33</v>
      </c>
      <c r="I15" s="3">
        <f t="shared" si="6"/>
        <v>1.004204109589041</v>
      </c>
      <c r="L15">
        <f t="shared" si="3"/>
        <v>5</v>
      </c>
      <c r="M15" t="b">
        <v>1</v>
      </c>
      <c r="N15" t="s">
        <v>58</v>
      </c>
      <c r="O15" t="s">
        <v>14</v>
      </c>
      <c r="P15" s="1">
        <f t="shared" si="0"/>
        <v>39848</v>
      </c>
      <c r="Q15" s="1">
        <f t="shared" si="1"/>
        <v>40118</v>
      </c>
      <c r="R15">
        <v>1.1950000000000001</v>
      </c>
      <c r="S15" s="2"/>
      <c r="T15" s="3"/>
      <c r="AA15" t="b">
        <v>1</v>
      </c>
      <c r="AB15" t="s">
        <v>96</v>
      </c>
      <c r="AC15" t="s">
        <v>15</v>
      </c>
      <c r="AD15" s="28">
        <v>40161</v>
      </c>
      <c r="AE15" s="28">
        <f t="shared" si="4"/>
        <v>40252</v>
      </c>
      <c r="AF15">
        <f t="shared" si="5"/>
        <v>1.135</v>
      </c>
      <c r="AG15">
        <v>98.78</v>
      </c>
      <c r="AH15">
        <v>1.05</v>
      </c>
      <c r="AI15">
        <v>0.17</v>
      </c>
      <c r="AJ15">
        <v>1.22</v>
      </c>
      <c r="AK15">
        <v>0</v>
      </c>
      <c r="AL15">
        <v>0</v>
      </c>
      <c r="AM15">
        <v>0</v>
      </c>
    </row>
    <row r="16" spans="1:39" x14ac:dyDescent="0.2">
      <c r="A16">
        <v>7</v>
      </c>
      <c r="B16" t="b">
        <v>1</v>
      </c>
      <c r="C16" t="s">
        <v>54</v>
      </c>
      <c r="D16" t="s">
        <v>14</v>
      </c>
      <c r="E16" s="1">
        <v>34563</v>
      </c>
      <c r="F16" s="1">
        <v>34655</v>
      </c>
      <c r="G16">
        <v>4.96</v>
      </c>
      <c r="H16" s="2">
        <f t="shared" si="2"/>
        <v>92</v>
      </c>
      <c r="I16" s="3">
        <f t="shared" si="6"/>
        <v>1.0125019178082191</v>
      </c>
      <c r="L16">
        <f t="shared" si="3"/>
        <v>6</v>
      </c>
      <c r="M16" t="b">
        <v>1</v>
      </c>
      <c r="N16" t="s">
        <v>59</v>
      </c>
      <c r="O16" t="s">
        <v>14</v>
      </c>
      <c r="P16" s="1">
        <f t="shared" si="0"/>
        <v>39848</v>
      </c>
      <c r="Q16" s="1">
        <f t="shared" si="1"/>
        <v>40208</v>
      </c>
      <c r="R16">
        <v>1.1532500000000001</v>
      </c>
      <c r="S16" s="2"/>
      <c r="T16" s="3"/>
      <c r="AA16" t="b">
        <v>1</v>
      </c>
      <c r="AB16" t="s">
        <v>97</v>
      </c>
      <c r="AC16" t="s">
        <v>15</v>
      </c>
      <c r="AD16" s="28">
        <v>40252</v>
      </c>
      <c r="AE16" s="28">
        <f t="shared" si="4"/>
        <v>40344</v>
      </c>
      <c r="AF16">
        <f t="shared" si="5"/>
        <v>1.405</v>
      </c>
      <c r="AG16">
        <v>98.51</v>
      </c>
      <c r="AH16">
        <v>1.32</v>
      </c>
      <c r="AI16">
        <v>0.17</v>
      </c>
      <c r="AJ16">
        <v>1.49</v>
      </c>
      <c r="AK16">
        <v>0</v>
      </c>
      <c r="AL16">
        <v>0</v>
      </c>
      <c r="AM16">
        <v>0</v>
      </c>
    </row>
    <row r="17" spans="1:39" x14ac:dyDescent="0.2">
      <c r="A17">
        <v>12</v>
      </c>
      <c r="B17" t="b">
        <v>1</v>
      </c>
      <c r="C17" t="s">
        <v>3</v>
      </c>
      <c r="D17" t="s">
        <v>15</v>
      </c>
      <c r="E17" s="1">
        <v>34598</v>
      </c>
      <c r="F17" s="1">
        <v>34689</v>
      </c>
      <c r="G17">
        <v>5.15</v>
      </c>
      <c r="H17" s="2">
        <f t="shared" si="2"/>
        <v>91</v>
      </c>
      <c r="I17" s="3">
        <f t="shared" si="6"/>
        <v>1.0128397260273974</v>
      </c>
      <c r="L17">
        <f t="shared" si="3"/>
        <v>7</v>
      </c>
      <c r="M17" t="b">
        <v>0</v>
      </c>
      <c r="N17" t="s">
        <v>60</v>
      </c>
      <c r="O17" t="s">
        <v>14</v>
      </c>
      <c r="P17" s="1">
        <f t="shared" si="0"/>
        <v>39848</v>
      </c>
      <c r="Q17" s="1">
        <f>EDATE(P17,LEFT(N17,2))</f>
        <v>40394</v>
      </c>
      <c r="R17">
        <v>1.2</v>
      </c>
      <c r="S17" s="2"/>
      <c r="T17" s="3"/>
      <c r="AA17" t="b">
        <v>1</v>
      </c>
      <c r="AB17" t="s">
        <v>98</v>
      </c>
      <c r="AC17" t="s">
        <v>15</v>
      </c>
      <c r="AD17" s="28">
        <v>40343</v>
      </c>
      <c r="AE17" s="28">
        <f t="shared" si="4"/>
        <v>40435</v>
      </c>
      <c r="AF17">
        <f t="shared" si="5"/>
        <v>1.665</v>
      </c>
      <c r="AG17">
        <v>98.25</v>
      </c>
      <c r="AH17">
        <v>1.58</v>
      </c>
      <c r="AI17">
        <v>0.17</v>
      </c>
      <c r="AJ17">
        <v>1.75</v>
      </c>
      <c r="AK17">
        <v>0</v>
      </c>
      <c r="AL17">
        <v>0</v>
      </c>
      <c r="AM17">
        <v>0</v>
      </c>
    </row>
    <row r="18" spans="1:39" x14ac:dyDescent="0.2">
      <c r="A18">
        <v>13</v>
      </c>
      <c r="B18" t="b">
        <v>1</v>
      </c>
      <c r="C18" t="s">
        <v>4</v>
      </c>
      <c r="D18" t="s">
        <v>15</v>
      </c>
      <c r="E18" s="1">
        <v>34689</v>
      </c>
      <c r="F18" s="1">
        <v>34779</v>
      </c>
      <c r="G18">
        <v>5.86</v>
      </c>
      <c r="H18" s="2">
        <f t="shared" si="2"/>
        <v>90</v>
      </c>
      <c r="I18" s="3">
        <f t="shared" si="6"/>
        <v>1.0144493150684932</v>
      </c>
      <c r="L18">
        <f t="shared" si="3"/>
        <v>8</v>
      </c>
      <c r="M18" t="b">
        <v>0</v>
      </c>
      <c r="N18" t="s">
        <v>64</v>
      </c>
      <c r="O18" t="s">
        <v>19</v>
      </c>
      <c r="P18" s="5">
        <v>1</v>
      </c>
      <c r="Q18" s="5"/>
      <c r="R18">
        <v>1.1000000000000001</v>
      </c>
      <c r="AA18" t="b">
        <v>1</v>
      </c>
      <c r="AB18" t="s">
        <v>99</v>
      </c>
      <c r="AC18" t="s">
        <v>15</v>
      </c>
      <c r="AD18" s="28">
        <v>40434</v>
      </c>
      <c r="AE18" s="28">
        <f t="shared" si="4"/>
        <v>40525</v>
      </c>
      <c r="AF18">
        <f t="shared" si="5"/>
        <v>1.905</v>
      </c>
      <c r="AG18">
        <v>98.01</v>
      </c>
      <c r="AH18">
        <v>1.82</v>
      </c>
      <c r="AI18">
        <v>0.17</v>
      </c>
      <c r="AJ18">
        <v>1.99</v>
      </c>
      <c r="AK18">
        <v>0</v>
      </c>
      <c r="AL18">
        <v>0</v>
      </c>
      <c r="AM18">
        <v>0</v>
      </c>
    </row>
    <row r="19" spans="1:39" x14ac:dyDescent="0.2">
      <c r="A19">
        <v>14</v>
      </c>
      <c r="B19" t="b">
        <v>1</v>
      </c>
      <c r="C19" t="s">
        <v>18</v>
      </c>
      <c r="D19" t="s">
        <v>15</v>
      </c>
      <c r="E19" s="1">
        <v>34698</v>
      </c>
      <c r="F19" s="1">
        <v>34702</v>
      </c>
      <c r="G19">
        <v>5.7</v>
      </c>
      <c r="H19" s="2">
        <f t="shared" si="2"/>
        <v>4</v>
      </c>
      <c r="I19" s="3">
        <f t="shared" si="6"/>
        <v>1.0006246575342466</v>
      </c>
      <c r="L19">
        <f t="shared" si="3"/>
        <v>9</v>
      </c>
      <c r="M19" t="b">
        <v>1</v>
      </c>
      <c r="N19" t="s">
        <v>20</v>
      </c>
      <c r="O19" t="s">
        <v>19</v>
      </c>
      <c r="P19" s="5">
        <v>2</v>
      </c>
      <c r="Q19" s="5"/>
      <c r="R19">
        <v>1.0815000000000001</v>
      </c>
      <c r="AA19" t="b">
        <v>1</v>
      </c>
      <c r="AB19" t="s">
        <v>101</v>
      </c>
      <c r="AC19" t="s">
        <v>100</v>
      </c>
      <c r="AD19" t="s">
        <v>101</v>
      </c>
      <c r="AE19">
        <v>2</v>
      </c>
      <c r="AF19">
        <f t="shared" si="5"/>
        <v>1.3399999999999999</v>
      </c>
      <c r="AG19" t="s">
        <v>90</v>
      </c>
      <c r="AH19">
        <v>1.2549999999999999</v>
      </c>
      <c r="AI19">
        <v>0.17</v>
      </c>
      <c r="AJ19">
        <v>1.425</v>
      </c>
      <c r="AK19" t="s">
        <v>91</v>
      </c>
      <c r="AL19" t="s">
        <v>91</v>
      </c>
      <c r="AM19" t="s">
        <v>92</v>
      </c>
    </row>
    <row r="20" spans="1:39" x14ac:dyDescent="0.2">
      <c r="A20">
        <v>15</v>
      </c>
      <c r="B20" t="b">
        <v>1</v>
      </c>
      <c r="C20" t="s">
        <v>5</v>
      </c>
      <c r="D20" t="s">
        <v>15</v>
      </c>
      <c r="E20" s="1">
        <v>34773</v>
      </c>
      <c r="F20" s="1">
        <v>34865</v>
      </c>
      <c r="G20">
        <v>6.12</v>
      </c>
      <c r="H20" s="2">
        <f t="shared" si="2"/>
        <v>92</v>
      </c>
      <c r="I20" s="3">
        <f t="shared" si="6"/>
        <v>1.0154257534246576</v>
      </c>
      <c r="L20">
        <f t="shared" si="3"/>
        <v>10</v>
      </c>
      <c r="M20" t="b">
        <v>1</v>
      </c>
      <c r="N20" t="s">
        <v>21</v>
      </c>
      <c r="O20" t="s">
        <v>19</v>
      </c>
      <c r="P20" s="5">
        <v>3</v>
      </c>
      <c r="Q20" s="5"/>
      <c r="R20">
        <v>1.438556524</v>
      </c>
      <c r="AA20" t="b">
        <v>1</v>
      </c>
      <c r="AB20" t="s">
        <v>102</v>
      </c>
      <c r="AC20" t="s">
        <v>100</v>
      </c>
      <c r="AD20" t="s">
        <v>102</v>
      </c>
      <c r="AE20">
        <v>3</v>
      </c>
      <c r="AF20">
        <f t="shared" si="5"/>
        <v>1.6760000000000002</v>
      </c>
      <c r="AG20" t="s">
        <v>90</v>
      </c>
      <c r="AH20">
        <v>1.5860000000000001</v>
      </c>
      <c r="AI20">
        <v>0.18</v>
      </c>
      <c r="AJ20">
        <v>1.766</v>
      </c>
      <c r="AK20" t="s">
        <v>91</v>
      </c>
      <c r="AL20" t="s">
        <v>91</v>
      </c>
      <c r="AM20" t="s">
        <v>92</v>
      </c>
    </row>
    <row r="21" spans="1:39" x14ac:dyDescent="0.2">
      <c r="A21">
        <v>16</v>
      </c>
      <c r="B21" t="b">
        <v>1</v>
      </c>
      <c r="C21" t="s">
        <v>6</v>
      </c>
      <c r="D21" t="s">
        <v>15</v>
      </c>
      <c r="E21" s="1">
        <v>34871</v>
      </c>
      <c r="F21" s="1">
        <v>34963</v>
      </c>
      <c r="G21">
        <v>6.45</v>
      </c>
      <c r="H21" s="2">
        <f t="shared" si="2"/>
        <v>92</v>
      </c>
      <c r="I21" s="3">
        <f t="shared" si="6"/>
        <v>1.0162575342465754</v>
      </c>
      <c r="L21">
        <f t="shared" si="3"/>
        <v>11</v>
      </c>
      <c r="M21" t="b">
        <v>1</v>
      </c>
      <c r="N21" t="s">
        <v>22</v>
      </c>
      <c r="O21" t="s">
        <v>19</v>
      </c>
      <c r="P21" s="5">
        <v>4</v>
      </c>
      <c r="Q21" s="5"/>
      <c r="R21">
        <v>1.729796865</v>
      </c>
      <c r="AA21" t="b">
        <v>1</v>
      </c>
      <c r="AB21" t="s">
        <v>103</v>
      </c>
      <c r="AC21" t="s">
        <v>100</v>
      </c>
      <c r="AD21" t="s">
        <v>103</v>
      </c>
      <c r="AE21">
        <v>4</v>
      </c>
      <c r="AF21">
        <f t="shared" si="5"/>
        <v>1.873</v>
      </c>
      <c r="AG21" t="s">
        <v>90</v>
      </c>
      <c r="AH21">
        <v>1.7829999999999999</v>
      </c>
      <c r="AI21">
        <v>0.18</v>
      </c>
      <c r="AJ21">
        <v>1.9630000000000001</v>
      </c>
      <c r="AK21" t="s">
        <v>91</v>
      </c>
      <c r="AL21" t="s">
        <v>91</v>
      </c>
      <c r="AM21" t="s">
        <v>92</v>
      </c>
    </row>
    <row r="22" spans="1:39" x14ac:dyDescent="0.2">
      <c r="A22">
        <v>17</v>
      </c>
      <c r="B22" t="b">
        <v>1</v>
      </c>
      <c r="C22" t="s">
        <v>3</v>
      </c>
      <c r="D22" t="s">
        <v>15</v>
      </c>
      <c r="E22" s="1">
        <v>34962</v>
      </c>
      <c r="F22" s="1">
        <v>35053</v>
      </c>
      <c r="G22">
        <v>6.73</v>
      </c>
      <c r="H22" s="2">
        <f t="shared" si="2"/>
        <v>91</v>
      </c>
      <c r="I22" s="3">
        <f t="shared" si="6"/>
        <v>1.0167789041095889</v>
      </c>
      <c r="L22">
        <f t="shared" si="3"/>
        <v>12</v>
      </c>
      <c r="M22" t="b">
        <v>1</v>
      </c>
      <c r="N22" t="s">
        <v>23</v>
      </c>
      <c r="O22" t="s">
        <v>19</v>
      </c>
      <c r="P22" s="5">
        <v>5</v>
      </c>
      <c r="Q22" s="5"/>
      <c r="R22">
        <v>1.9010372039999999</v>
      </c>
      <c r="AA22" t="b">
        <v>1</v>
      </c>
      <c r="AB22" t="s">
        <v>104</v>
      </c>
      <c r="AC22" t="s">
        <v>100</v>
      </c>
      <c r="AD22" t="s">
        <v>104</v>
      </c>
      <c r="AE22">
        <v>5</v>
      </c>
      <c r="AF22">
        <f t="shared" si="5"/>
        <v>2.0289999999999999</v>
      </c>
      <c r="AG22" t="s">
        <v>90</v>
      </c>
      <c r="AH22">
        <v>1.9390000000000001</v>
      </c>
      <c r="AI22">
        <v>0.18</v>
      </c>
      <c r="AJ22">
        <v>2.1190000000000002</v>
      </c>
      <c r="AK22" t="s">
        <v>91</v>
      </c>
      <c r="AL22" t="s">
        <v>91</v>
      </c>
      <c r="AM22" t="s">
        <v>92</v>
      </c>
    </row>
    <row r="23" spans="1:39" x14ac:dyDescent="0.2">
      <c r="A23">
        <v>18</v>
      </c>
      <c r="B23" t="b">
        <v>1</v>
      </c>
      <c r="C23" t="s">
        <v>4</v>
      </c>
      <c r="D23" t="s">
        <v>15</v>
      </c>
      <c r="E23" s="1">
        <v>35053</v>
      </c>
      <c r="F23" s="1">
        <v>35144</v>
      </c>
      <c r="G23">
        <v>7.02</v>
      </c>
      <c r="H23" s="2">
        <f t="shared" si="2"/>
        <v>91</v>
      </c>
      <c r="I23" s="3">
        <f t="shared" si="6"/>
        <v>1.0175019178082192</v>
      </c>
      <c r="L23">
        <f t="shared" si="3"/>
        <v>13</v>
      </c>
      <c r="M23" t="b">
        <v>1</v>
      </c>
      <c r="N23" t="s">
        <v>24</v>
      </c>
      <c r="O23" t="s">
        <v>19</v>
      </c>
      <c r="P23" s="5">
        <v>7</v>
      </c>
      <c r="Q23" s="5"/>
      <c r="R23">
        <v>2.0197775449999997</v>
      </c>
      <c r="AA23" t="b">
        <v>1</v>
      </c>
      <c r="AB23" t="s">
        <v>105</v>
      </c>
      <c r="AC23" t="s">
        <v>100</v>
      </c>
      <c r="AD23" t="s">
        <v>105</v>
      </c>
      <c r="AE23">
        <v>6</v>
      </c>
      <c r="AF23">
        <f t="shared" si="5"/>
        <v>2.2030000000000003</v>
      </c>
      <c r="AG23" t="s">
        <v>90</v>
      </c>
      <c r="AH23">
        <v>2.113</v>
      </c>
      <c r="AI23">
        <v>0.18</v>
      </c>
      <c r="AJ23">
        <v>2.2930000000000001</v>
      </c>
      <c r="AK23" t="s">
        <v>91</v>
      </c>
      <c r="AL23" t="s">
        <v>91</v>
      </c>
      <c r="AM23" t="s">
        <v>92</v>
      </c>
    </row>
    <row r="24" spans="1:39" x14ac:dyDescent="0.2">
      <c r="A24">
        <v>19</v>
      </c>
      <c r="B24" t="b">
        <v>1</v>
      </c>
      <c r="C24" t="s">
        <v>5</v>
      </c>
      <c r="D24" t="s">
        <v>15</v>
      </c>
      <c r="E24" s="1">
        <v>35144</v>
      </c>
      <c r="F24" s="1">
        <v>35236</v>
      </c>
      <c r="G24">
        <v>7.1</v>
      </c>
      <c r="H24" s="2">
        <f t="shared" si="2"/>
        <v>92</v>
      </c>
      <c r="I24" s="3">
        <f t="shared" si="6"/>
        <v>1.017895890410959</v>
      </c>
      <c r="L24">
        <f>L23+1</f>
        <v>14</v>
      </c>
      <c r="M24" t="b">
        <v>1</v>
      </c>
      <c r="N24" t="s">
        <v>25</v>
      </c>
      <c r="O24" t="s">
        <v>19</v>
      </c>
      <c r="P24" s="5">
        <v>10</v>
      </c>
      <c r="Q24" s="5"/>
      <c r="R24">
        <v>2.3132527019999998</v>
      </c>
      <c r="AA24" t="b">
        <v>1</v>
      </c>
      <c r="AB24" t="s">
        <v>106</v>
      </c>
      <c r="AC24" t="s">
        <v>100</v>
      </c>
      <c r="AD24" t="s">
        <v>106</v>
      </c>
      <c r="AE24">
        <v>7</v>
      </c>
      <c r="AF24">
        <f t="shared" si="5"/>
        <v>2.3780000000000001</v>
      </c>
      <c r="AG24" t="s">
        <v>90</v>
      </c>
      <c r="AH24">
        <v>2.2879999999999998</v>
      </c>
      <c r="AI24">
        <v>0.18</v>
      </c>
      <c r="AJ24">
        <v>2.468</v>
      </c>
      <c r="AK24" t="s">
        <v>91</v>
      </c>
      <c r="AL24" t="s">
        <v>91</v>
      </c>
      <c r="AM24" t="s">
        <v>92</v>
      </c>
    </row>
    <row r="25" spans="1:39" x14ac:dyDescent="0.2">
      <c r="A25">
        <v>20</v>
      </c>
      <c r="B25" t="b">
        <v>1</v>
      </c>
      <c r="C25" t="s">
        <v>6</v>
      </c>
      <c r="D25" t="s">
        <v>15</v>
      </c>
      <c r="E25" s="1">
        <v>35235</v>
      </c>
      <c r="F25" s="1">
        <v>35327</v>
      </c>
      <c r="G25">
        <v>7.21</v>
      </c>
      <c r="H25" s="2">
        <f t="shared" si="2"/>
        <v>92</v>
      </c>
      <c r="I25" s="3">
        <f t="shared" si="6"/>
        <v>1.0181731506849314</v>
      </c>
      <c r="L25">
        <f t="shared" si="3"/>
        <v>15</v>
      </c>
      <c r="M25" t="b">
        <v>1</v>
      </c>
      <c r="N25" t="s">
        <v>26</v>
      </c>
      <c r="O25" t="s">
        <v>19</v>
      </c>
      <c r="P25" s="5">
        <v>12</v>
      </c>
      <c r="Q25" s="5"/>
      <c r="R25">
        <v>2.8059654380000003</v>
      </c>
      <c r="S25" s="2"/>
      <c r="T25" s="3"/>
      <c r="AA25" t="b">
        <v>1</v>
      </c>
      <c r="AB25" t="s">
        <v>107</v>
      </c>
      <c r="AC25" t="s">
        <v>100</v>
      </c>
      <c r="AD25" t="s">
        <v>107</v>
      </c>
      <c r="AE25">
        <v>8</v>
      </c>
      <c r="AF25">
        <f t="shared" si="5"/>
        <v>2.5470000000000002</v>
      </c>
      <c r="AG25" t="s">
        <v>90</v>
      </c>
      <c r="AH25">
        <v>2.4620000000000002</v>
      </c>
      <c r="AI25">
        <v>0.17</v>
      </c>
      <c r="AJ25">
        <v>2.6320000000000001</v>
      </c>
      <c r="AK25" t="s">
        <v>91</v>
      </c>
      <c r="AL25" t="s">
        <v>91</v>
      </c>
      <c r="AM25" t="s">
        <v>92</v>
      </c>
    </row>
    <row r="26" spans="1:39" x14ac:dyDescent="0.2">
      <c r="A26">
        <v>21</v>
      </c>
      <c r="B26" t="b">
        <v>0</v>
      </c>
      <c r="C26" t="s">
        <v>20</v>
      </c>
      <c r="D26" t="s">
        <v>19</v>
      </c>
      <c r="E26" s="5">
        <v>2</v>
      </c>
      <c r="F26" s="5"/>
      <c r="G26">
        <v>1.0815000000000001</v>
      </c>
      <c r="L26">
        <f t="shared" si="3"/>
        <v>16</v>
      </c>
      <c r="M26" t="b">
        <v>1</v>
      </c>
      <c r="N26" t="s">
        <v>27</v>
      </c>
      <c r="O26" t="s">
        <v>19</v>
      </c>
      <c r="P26" s="5">
        <v>15</v>
      </c>
      <c r="Q26" s="5"/>
      <c r="R26">
        <v>2.97905</v>
      </c>
      <c r="S26" s="2"/>
      <c r="T26" s="3"/>
      <c r="AA26" t="b">
        <v>1</v>
      </c>
      <c r="AB26" t="s">
        <v>108</v>
      </c>
      <c r="AC26" t="s">
        <v>100</v>
      </c>
      <c r="AD26" t="s">
        <v>108</v>
      </c>
      <c r="AE26">
        <v>9</v>
      </c>
      <c r="AF26">
        <f t="shared" si="5"/>
        <v>2.746</v>
      </c>
      <c r="AG26" t="s">
        <v>90</v>
      </c>
      <c r="AH26">
        <v>2.661</v>
      </c>
      <c r="AI26">
        <v>0.17</v>
      </c>
      <c r="AJ26">
        <v>2.831</v>
      </c>
      <c r="AK26" t="s">
        <v>91</v>
      </c>
      <c r="AL26" t="s">
        <v>91</v>
      </c>
      <c r="AM26" t="s">
        <v>92</v>
      </c>
    </row>
    <row r="27" spans="1:39" x14ac:dyDescent="0.2">
      <c r="A27">
        <v>22</v>
      </c>
      <c r="B27" t="b">
        <v>0</v>
      </c>
      <c r="C27" t="s">
        <v>21</v>
      </c>
      <c r="D27" t="s">
        <v>19</v>
      </c>
      <c r="E27" s="5">
        <v>3</v>
      </c>
      <c r="F27" s="5"/>
      <c r="G27">
        <v>1.438556524</v>
      </c>
      <c r="L27">
        <f t="shared" si="3"/>
        <v>17</v>
      </c>
      <c r="M27" t="b">
        <v>1</v>
      </c>
      <c r="N27" t="s">
        <v>28</v>
      </c>
      <c r="O27" t="s">
        <v>19</v>
      </c>
      <c r="P27" s="5">
        <v>20</v>
      </c>
      <c r="Q27" s="5"/>
      <c r="R27">
        <v>3.2127916669999999</v>
      </c>
      <c r="S27" s="2"/>
      <c r="T27" s="3"/>
      <c r="AA27" t="b">
        <v>1</v>
      </c>
      <c r="AB27" t="s">
        <v>109</v>
      </c>
      <c r="AC27" t="s">
        <v>100</v>
      </c>
      <c r="AD27" t="s">
        <v>109</v>
      </c>
      <c r="AE27">
        <v>10</v>
      </c>
      <c r="AF27">
        <f t="shared" si="5"/>
        <v>2.95</v>
      </c>
      <c r="AG27" t="s">
        <v>90</v>
      </c>
      <c r="AH27">
        <v>2.8650000000000002</v>
      </c>
      <c r="AI27">
        <v>0.17</v>
      </c>
      <c r="AJ27">
        <v>3.0350000000000001</v>
      </c>
      <c r="AK27" t="s">
        <v>91</v>
      </c>
      <c r="AL27" t="s">
        <v>91</v>
      </c>
      <c r="AM27" t="s">
        <v>92</v>
      </c>
    </row>
    <row r="28" spans="1:39" x14ac:dyDescent="0.2">
      <c r="A28">
        <v>23</v>
      </c>
      <c r="B28" t="b">
        <v>0</v>
      </c>
      <c r="C28" t="s">
        <v>22</v>
      </c>
      <c r="D28" t="s">
        <v>19</v>
      </c>
      <c r="E28" s="5">
        <v>4</v>
      </c>
      <c r="F28" s="5"/>
      <c r="G28">
        <v>1.729796865</v>
      </c>
      <c r="L28">
        <f t="shared" si="3"/>
        <v>18</v>
      </c>
      <c r="M28" t="b">
        <v>1</v>
      </c>
      <c r="N28" t="s">
        <v>29</v>
      </c>
      <c r="O28" t="s">
        <v>19</v>
      </c>
      <c r="P28" s="5">
        <v>30</v>
      </c>
      <c r="Q28" s="5"/>
      <c r="R28">
        <v>3.3879166669999998</v>
      </c>
      <c r="S28" s="2"/>
      <c r="T28" s="3"/>
      <c r="AA28" t="b">
        <v>1</v>
      </c>
      <c r="AB28" t="s">
        <v>110</v>
      </c>
      <c r="AC28" t="s">
        <v>100</v>
      </c>
      <c r="AD28" t="s">
        <v>110</v>
      </c>
      <c r="AE28">
        <v>12</v>
      </c>
      <c r="AF28">
        <f t="shared" si="5"/>
        <v>3.2569999999999997</v>
      </c>
      <c r="AG28" t="s">
        <v>90</v>
      </c>
      <c r="AH28">
        <v>3.1869999999999998</v>
      </c>
      <c r="AI28">
        <v>0.14000000000000001</v>
      </c>
      <c r="AJ28">
        <v>3.327</v>
      </c>
      <c r="AK28" t="s">
        <v>91</v>
      </c>
      <c r="AL28" t="s">
        <v>91</v>
      </c>
      <c r="AM28" t="s">
        <v>92</v>
      </c>
    </row>
    <row r="29" spans="1:39" x14ac:dyDescent="0.2">
      <c r="A29">
        <v>24</v>
      </c>
      <c r="B29" t="b">
        <v>0</v>
      </c>
      <c r="C29" t="s">
        <v>23</v>
      </c>
      <c r="D29" t="s">
        <v>19</v>
      </c>
      <c r="E29" s="5">
        <v>5</v>
      </c>
      <c r="F29" s="5"/>
      <c r="G29">
        <v>1.9010372039999999</v>
      </c>
      <c r="S29" s="2"/>
      <c r="T29" s="3"/>
      <c r="AA29" t="b">
        <v>1</v>
      </c>
      <c r="AB29" t="s">
        <v>111</v>
      </c>
      <c r="AC29" t="s">
        <v>100</v>
      </c>
      <c r="AD29" t="s">
        <v>111</v>
      </c>
      <c r="AE29">
        <v>15</v>
      </c>
      <c r="AF29">
        <f t="shared" si="5"/>
        <v>3.6230000000000002</v>
      </c>
      <c r="AG29" t="s">
        <v>90</v>
      </c>
      <c r="AH29">
        <v>3.5680000000000001</v>
      </c>
      <c r="AI29">
        <v>0.11</v>
      </c>
      <c r="AJ29">
        <v>3.6779999999999999</v>
      </c>
      <c r="AK29" t="s">
        <v>91</v>
      </c>
      <c r="AL29" t="s">
        <v>91</v>
      </c>
      <c r="AM29" t="s">
        <v>92</v>
      </c>
    </row>
    <row r="30" spans="1:39" x14ac:dyDescent="0.2">
      <c r="A30">
        <v>25</v>
      </c>
      <c r="B30" t="b">
        <v>0</v>
      </c>
      <c r="C30" t="s">
        <v>24</v>
      </c>
      <c r="D30" t="s">
        <v>19</v>
      </c>
      <c r="E30" s="5">
        <v>7</v>
      </c>
      <c r="F30" s="5"/>
      <c r="G30">
        <v>2.0197775449999997</v>
      </c>
      <c r="AA30" t="b">
        <v>1</v>
      </c>
      <c r="AB30" t="s">
        <v>112</v>
      </c>
      <c r="AC30" t="s">
        <v>100</v>
      </c>
      <c r="AD30" t="s">
        <v>112</v>
      </c>
      <c r="AE30">
        <v>20</v>
      </c>
      <c r="AF30">
        <f t="shared" si="5"/>
        <v>3.8359999999999999</v>
      </c>
      <c r="AG30" t="s">
        <v>90</v>
      </c>
      <c r="AH30">
        <v>3.7959999999999998</v>
      </c>
      <c r="AI30">
        <v>0.08</v>
      </c>
      <c r="AJ30">
        <v>3.8759999999999999</v>
      </c>
      <c r="AK30" t="s">
        <v>91</v>
      </c>
      <c r="AL30" t="s">
        <v>91</v>
      </c>
      <c r="AM30" t="s">
        <v>92</v>
      </c>
    </row>
    <row r="31" spans="1:39" x14ac:dyDescent="0.2">
      <c r="A31">
        <v>26</v>
      </c>
      <c r="B31" t="b">
        <v>0</v>
      </c>
      <c r="C31" t="s">
        <v>25</v>
      </c>
      <c r="D31" t="s">
        <v>19</v>
      </c>
      <c r="E31" s="5">
        <v>10</v>
      </c>
      <c r="F31" s="5"/>
      <c r="G31">
        <v>2.3132527019999998</v>
      </c>
      <c r="H31" s="2"/>
      <c r="I31" s="3"/>
      <c r="AA31" t="b">
        <v>1</v>
      </c>
      <c r="AB31" t="s">
        <v>113</v>
      </c>
      <c r="AC31" t="s">
        <v>100</v>
      </c>
      <c r="AD31" t="s">
        <v>113</v>
      </c>
      <c r="AE31">
        <v>25</v>
      </c>
      <c r="AF31">
        <f t="shared" si="5"/>
        <v>3.7290000000000001</v>
      </c>
      <c r="AG31" t="s">
        <v>90</v>
      </c>
      <c r="AH31">
        <v>3.7040000000000002</v>
      </c>
      <c r="AI31">
        <v>0.05</v>
      </c>
      <c r="AJ31">
        <v>3.754</v>
      </c>
      <c r="AK31" t="s">
        <v>91</v>
      </c>
      <c r="AL31" t="s">
        <v>91</v>
      </c>
      <c r="AM31" t="s">
        <v>92</v>
      </c>
    </row>
    <row r="32" spans="1:39" x14ac:dyDescent="0.2">
      <c r="A32">
        <v>27</v>
      </c>
      <c r="B32" t="b">
        <v>0</v>
      </c>
      <c r="C32" t="s">
        <v>26</v>
      </c>
      <c r="D32" t="s">
        <v>19</v>
      </c>
      <c r="E32" s="5">
        <v>12</v>
      </c>
      <c r="F32" s="5"/>
      <c r="G32">
        <v>2.8059654380000003</v>
      </c>
      <c r="H32" s="2"/>
      <c r="I32" s="3"/>
      <c r="AA32" t="b">
        <v>1</v>
      </c>
      <c r="AB32" t="s">
        <v>114</v>
      </c>
      <c r="AC32" t="s">
        <v>100</v>
      </c>
      <c r="AD32" t="s">
        <v>114</v>
      </c>
      <c r="AE32">
        <v>30</v>
      </c>
      <c r="AF32">
        <f t="shared" si="5"/>
        <v>3.6619999999999999</v>
      </c>
      <c r="AG32" t="s">
        <v>90</v>
      </c>
      <c r="AH32">
        <v>3.6520000000000001</v>
      </c>
      <c r="AI32">
        <v>0.02</v>
      </c>
      <c r="AJ32">
        <v>3.6720000000000002</v>
      </c>
      <c r="AK32" t="s">
        <v>91</v>
      </c>
      <c r="AL32" t="s">
        <v>91</v>
      </c>
      <c r="AM32" t="s">
        <v>92</v>
      </c>
    </row>
    <row r="33" spans="1:39" x14ac:dyDescent="0.2">
      <c r="A33">
        <v>28</v>
      </c>
      <c r="B33" t="b">
        <v>0</v>
      </c>
      <c r="C33" t="s">
        <v>27</v>
      </c>
      <c r="D33" t="s">
        <v>19</v>
      </c>
      <c r="E33" s="5">
        <v>15</v>
      </c>
      <c r="F33" s="5"/>
      <c r="G33">
        <v>2.97905</v>
      </c>
      <c r="H33" s="2"/>
      <c r="I33" s="3"/>
      <c r="AA33" t="b">
        <v>1</v>
      </c>
      <c r="AB33" t="s">
        <v>115</v>
      </c>
      <c r="AC33" t="s">
        <v>100</v>
      </c>
      <c r="AD33" t="s">
        <v>115</v>
      </c>
      <c r="AE33">
        <v>35</v>
      </c>
      <c r="AF33">
        <f t="shared" si="5"/>
        <v>3.6319999999999997</v>
      </c>
      <c r="AG33" t="s">
        <v>90</v>
      </c>
      <c r="AH33">
        <v>3.6219999999999999</v>
      </c>
      <c r="AI33">
        <v>0.02</v>
      </c>
      <c r="AJ33">
        <v>3.6419999999999999</v>
      </c>
      <c r="AK33" t="s">
        <v>91</v>
      </c>
      <c r="AL33" t="s">
        <v>91</v>
      </c>
      <c r="AM33" t="s">
        <v>92</v>
      </c>
    </row>
    <row r="34" spans="1:39" x14ac:dyDescent="0.2">
      <c r="A34">
        <v>29</v>
      </c>
      <c r="B34" t="b">
        <v>0</v>
      </c>
      <c r="C34" t="s">
        <v>28</v>
      </c>
      <c r="D34" t="s">
        <v>19</v>
      </c>
      <c r="E34" s="5">
        <v>20</v>
      </c>
      <c r="F34" s="5"/>
      <c r="G34">
        <v>3.2127916669999999</v>
      </c>
      <c r="H34" s="2"/>
      <c r="I34" s="3"/>
    </row>
    <row r="35" spans="1:39" x14ac:dyDescent="0.2">
      <c r="A35">
        <v>30</v>
      </c>
      <c r="B35" t="b">
        <v>0</v>
      </c>
      <c r="C35" t="s">
        <v>29</v>
      </c>
      <c r="D35" t="s">
        <v>19</v>
      </c>
      <c r="E35" s="5">
        <v>30</v>
      </c>
      <c r="F35" s="5"/>
      <c r="G35">
        <v>3.3879166669999998</v>
      </c>
      <c r="H35" s="2"/>
      <c r="I35" s="3"/>
    </row>
    <row r="36" spans="1:39" x14ac:dyDescent="0.2">
      <c r="E36" s="5"/>
      <c r="F36" s="5"/>
      <c r="H36" s="2"/>
      <c r="I36" s="3"/>
      <c r="L36" t="s">
        <v>83</v>
      </c>
    </row>
    <row r="37" spans="1:39" x14ac:dyDescent="0.2">
      <c r="A37" s="10" t="s">
        <v>70</v>
      </c>
    </row>
    <row r="38" spans="1:39" x14ac:dyDescent="0.2">
      <c r="A38" s="11" t="s">
        <v>16</v>
      </c>
      <c r="B38" s="11" t="s">
        <v>17</v>
      </c>
      <c r="C38" s="11" t="s">
        <v>7</v>
      </c>
      <c r="D38" s="11" t="s">
        <v>13</v>
      </c>
      <c r="E38" s="11" t="s">
        <v>8</v>
      </c>
      <c r="F38" s="11" t="s">
        <v>9</v>
      </c>
      <c r="G38" s="11" t="s">
        <v>10</v>
      </c>
      <c r="H38" s="11" t="s">
        <v>11</v>
      </c>
      <c r="I38" s="11" t="s">
        <v>12</v>
      </c>
      <c r="J38" s="11" t="s">
        <v>71</v>
      </c>
      <c r="K38" s="11"/>
      <c r="L38" s="11" t="s">
        <v>16</v>
      </c>
      <c r="M38" s="11" t="s">
        <v>17</v>
      </c>
      <c r="N38" s="11" t="s">
        <v>7</v>
      </c>
      <c r="O38" s="11" t="s">
        <v>13</v>
      </c>
      <c r="P38" s="11" t="s">
        <v>8</v>
      </c>
      <c r="Q38" s="11" t="s">
        <v>9</v>
      </c>
      <c r="R38" s="11" t="s">
        <v>10</v>
      </c>
      <c r="S38" s="11" t="s">
        <v>33</v>
      </c>
      <c r="T38" s="11" t="s">
        <v>34</v>
      </c>
      <c r="U38" s="11" t="s">
        <v>35</v>
      </c>
      <c r="V38" s="11" t="s">
        <v>86</v>
      </c>
      <c r="W38" s="11"/>
      <c r="X38" s="11" t="s">
        <v>85</v>
      </c>
      <c r="Z38" s="11" t="s">
        <v>33</v>
      </c>
      <c r="AA38" s="11" t="s">
        <v>34</v>
      </c>
      <c r="AB38" s="11" t="s">
        <v>35</v>
      </c>
    </row>
    <row r="39" spans="1:39" x14ac:dyDescent="0.2">
      <c r="A39">
        <v>1</v>
      </c>
      <c r="B39" t="b">
        <v>1</v>
      </c>
      <c r="C39" t="s">
        <v>0</v>
      </c>
      <c r="D39" t="s">
        <v>14</v>
      </c>
      <c r="E39" s="1">
        <v>34561</v>
      </c>
      <c r="F39" s="1">
        <v>34562</v>
      </c>
      <c r="G39">
        <v>4.5599999999999996</v>
      </c>
      <c r="H39">
        <v>1</v>
      </c>
      <c r="I39">
        <v>1.0001266666666666</v>
      </c>
      <c r="J39">
        <v>1.0001266666666666</v>
      </c>
      <c r="L39">
        <v>1</v>
      </c>
      <c r="M39" t="b">
        <v>1</v>
      </c>
      <c r="N39" t="s">
        <v>53</v>
      </c>
      <c r="O39" t="s">
        <v>14</v>
      </c>
      <c r="P39" s="1">
        <v>39848</v>
      </c>
      <c r="Q39" s="1">
        <v>39876</v>
      </c>
      <c r="R39">
        <v>1.7389999999999999</v>
      </c>
      <c r="S39" s="1">
        <v>39848</v>
      </c>
      <c r="T39" s="13">
        <v>0</v>
      </c>
      <c r="U39" s="13">
        <v>1</v>
      </c>
      <c r="V39" t="s">
        <v>67</v>
      </c>
      <c r="W39" t="s">
        <v>79</v>
      </c>
      <c r="Z39" s="1">
        <v>39848</v>
      </c>
      <c r="AA39" s="13">
        <v>0</v>
      </c>
      <c r="AB39" s="13">
        <v>1</v>
      </c>
    </row>
    <row r="40" spans="1:39" x14ac:dyDescent="0.2">
      <c r="A40">
        <v>2</v>
      </c>
      <c r="B40" t="b">
        <v>1</v>
      </c>
      <c r="C40" t="s">
        <v>0</v>
      </c>
      <c r="D40" t="s">
        <v>14</v>
      </c>
      <c r="E40" s="1">
        <v>34562</v>
      </c>
      <c r="F40" s="1">
        <v>34563</v>
      </c>
      <c r="G40">
        <v>4.5</v>
      </c>
      <c r="H40">
        <v>1</v>
      </c>
      <c r="I40">
        <v>1.0001249999999999</v>
      </c>
      <c r="J40">
        <v>1.0002516824999999</v>
      </c>
      <c r="L40">
        <v>2</v>
      </c>
      <c r="M40" t="b">
        <v>1</v>
      </c>
      <c r="N40" t="s">
        <v>61</v>
      </c>
      <c r="O40" t="s">
        <v>14</v>
      </c>
      <c r="P40" s="1">
        <v>39876</v>
      </c>
      <c r="Q40" s="1">
        <v>39907</v>
      </c>
      <c r="R40">
        <v>1.7364835459277472</v>
      </c>
      <c r="S40" s="1">
        <v>39876</v>
      </c>
      <c r="T40" s="13">
        <v>8.3333333333333329E-2</v>
      </c>
      <c r="U40" s="13">
        <v>0.99855293037839321</v>
      </c>
      <c r="V40">
        <v>0.99855293038399995</v>
      </c>
      <c r="W40">
        <v>8.3333332999999996E-2</v>
      </c>
      <c r="X40" s="27">
        <f>U40-V40</f>
        <v>-5.606737296659503E-12</v>
      </c>
      <c r="Z40" s="1">
        <v>39888</v>
      </c>
      <c r="AA40" s="13">
        <v>0.1095890410958904</v>
      </c>
      <c r="AB40" s="13">
        <v>0.99848886233546807</v>
      </c>
      <c r="AC40" s="27">
        <f>AB40-AF40</f>
        <v>2.3354680411813433E-9</v>
      </c>
      <c r="AD40" s="29">
        <v>39888</v>
      </c>
      <c r="AE40">
        <v>40</v>
      </c>
      <c r="AF40">
        <v>0.99848886000000003</v>
      </c>
    </row>
    <row r="41" spans="1:39" x14ac:dyDescent="0.2">
      <c r="A41">
        <v>3</v>
      </c>
      <c r="B41" t="b">
        <v>1</v>
      </c>
      <c r="C41" t="s">
        <v>1</v>
      </c>
      <c r="D41" t="s">
        <v>14</v>
      </c>
      <c r="E41" s="1">
        <v>34563</v>
      </c>
      <c r="F41" s="1">
        <v>34570</v>
      </c>
      <c r="G41">
        <v>4.5</v>
      </c>
      <c r="H41">
        <v>7</v>
      </c>
      <c r="I41">
        <v>1.000875</v>
      </c>
      <c r="J41">
        <v>1.0011269027221874</v>
      </c>
      <c r="L41">
        <v>3</v>
      </c>
      <c r="M41" t="b">
        <v>1</v>
      </c>
      <c r="N41" t="s">
        <v>54</v>
      </c>
      <c r="O41" t="s">
        <v>14</v>
      </c>
      <c r="P41" s="1">
        <v>39907</v>
      </c>
      <c r="Q41" s="1">
        <v>39937</v>
      </c>
      <c r="R41">
        <v>1.2254482425107405</v>
      </c>
      <c r="S41" s="1">
        <v>39907</v>
      </c>
      <c r="T41" s="13">
        <v>0.16666666666666666</v>
      </c>
      <c r="U41" s="13">
        <v>0.99711004272616544</v>
      </c>
      <c r="V41">
        <v>0.99711004272000003</v>
      </c>
      <c r="W41">
        <v>0.16666666700000002</v>
      </c>
      <c r="X41" s="27">
        <f t="shared" ref="X41:X103" si="7">U41-V41</f>
        <v>6.1654015226508818E-12</v>
      </c>
      <c r="Z41" s="1">
        <v>39980</v>
      </c>
      <c r="AA41" s="13">
        <v>0.36164383561643837</v>
      </c>
      <c r="AB41" s="13">
        <v>0.99630409029745692</v>
      </c>
      <c r="AC41" s="27">
        <f t="shared" ref="AC41:AC83" si="8">AB41-AF41</f>
        <v>2.9745694796190492E-10</v>
      </c>
      <c r="AD41" s="29">
        <v>39980</v>
      </c>
      <c r="AE41">
        <v>132</v>
      </c>
      <c r="AF41">
        <v>0.99630408999999998</v>
      </c>
    </row>
    <row r="42" spans="1:39" x14ac:dyDescent="0.2">
      <c r="A42">
        <v>4</v>
      </c>
      <c r="B42" t="b">
        <v>1</v>
      </c>
      <c r="C42" t="s">
        <v>2</v>
      </c>
      <c r="D42" t="s">
        <v>14</v>
      </c>
      <c r="E42" s="1">
        <v>34570</v>
      </c>
      <c r="F42" s="1">
        <v>34577</v>
      </c>
      <c r="G42">
        <v>4.6159610340959896</v>
      </c>
      <c r="H42">
        <v>7</v>
      </c>
      <c r="I42">
        <v>1.000897547978852</v>
      </c>
      <c r="J42">
        <v>1.0020254621503</v>
      </c>
      <c r="L42">
        <v>4</v>
      </c>
      <c r="M42" t="b">
        <v>1</v>
      </c>
      <c r="N42" t="s">
        <v>57</v>
      </c>
      <c r="O42" t="s">
        <v>14</v>
      </c>
      <c r="P42" s="1">
        <v>39937</v>
      </c>
      <c r="Q42" s="1">
        <v>40029</v>
      </c>
      <c r="R42">
        <v>1.2640417960549932</v>
      </c>
      <c r="S42" s="1">
        <v>39937</v>
      </c>
      <c r="T42" s="13">
        <v>0.25</v>
      </c>
      <c r="U42" s="13">
        <v>0.99609282589044468</v>
      </c>
      <c r="V42">
        <v>0.99609282589000003</v>
      </c>
      <c r="W42">
        <v>0.25</v>
      </c>
      <c r="X42" s="27">
        <f t="shared" si="7"/>
        <v>4.4464432136237519E-13</v>
      </c>
      <c r="Z42" s="1">
        <v>40071</v>
      </c>
      <c r="AA42" s="13">
        <v>0.61095890410958908</v>
      </c>
      <c r="AB42" s="13">
        <v>0.9944711483791594</v>
      </c>
      <c r="AC42" s="27">
        <f t="shared" si="8"/>
        <v>-1.7716208405849088E-6</v>
      </c>
      <c r="AD42" s="29">
        <v>40071</v>
      </c>
      <c r="AE42">
        <v>223</v>
      </c>
      <c r="AF42">
        <v>0.99447291999999998</v>
      </c>
    </row>
    <row r="43" spans="1:39" x14ac:dyDescent="0.2">
      <c r="A43">
        <v>5</v>
      </c>
      <c r="B43" t="b">
        <v>1</v>
      </c>
      <c r="C43" t="s">
        <v>53</v>
      </c>
      <c r="D43" t="s">
        <v>14</v>
      </c>
      <c r="E43" s="1">
        <v>34577</v>
      </c>
      <c r="F43" s="1">
        <v>34596</v>
      </c>
      <c r="G43">
        <v>4.7079669946699569</v>
      </c>
      <c r="H43">
        <v>19</v>
      </c>
      <c r="I43">
        <v>1.002484760358298</v>
      </c>
      <c r="J43">
        <v>1.0045152552966563</v>
      </c>
      <c r="L43">
        <v>5</v>
      </c>
      <c r="M43" t="b">
        <v>1</v>
      </c>
      <c r="N43" t="s">
        <v>58</v>
      </c>
      <c r="O43" t="s">
        <v>14</v>
      </c>
      <c r="P43" s="1">
        <v>40029</v>
      </c>
      <c r="Q43" s="1">
        <v>40121</v>
      </c>
      <c r="R43">
        <v>0.74173737333618206</v>
      </c>
      <c r="S43" s="1">
        <v>40029</v>
      </c>
      <c r="T43" s="13">
        <v>0.5</v>
      </c>
      <c r="U43" s="13">
        <v>0.99295498438578278</v>
      </c>
      <c r="V43">
        <v>0.99295498438600005</v>
      </c>
      <c r="W43">
        <v>0.5</v>
      </c>
      <c r="X43" s="27">
        <f t="shared" si="7"/>
        <v>-2.1727064591914313E-13</v>
      </c>
      <c r="Z43" s="1">
        <v>40161</v>
      </c>
      <c r="AA43" s="13">
        <v>0.8575342465753425</v>
      </c>
      <c r="AB43" s="13">
        <v>0.99238972710175521</v>
      </c>
      <c r="AC43" s="27">
        <f t="shared" si="8"/>
        <v>-2.4289824473999744E-7</v>
      </c>
      <c r="AD43" s="29">
        <v>40161</v>
      </c>
      <c r="AE43">
        <v>313</v>
      </c>
      <c r="AF43">
        <v>0.99238996999999995</v>
      </c>
    </row>
    <row r="44" spans="1:39" x14ac:dyDescent="0.2">
      <c r="A44">
        <v>6</v>
      </c>
      <c r="B44" t="b">
        <v>1</v>
      </c>
      <c r="C44" t="s">
        <v>54</v>
      </c>
      <c r="D44" t="s">
        <v>14</v>
      </c>
      <c r="E44" s="1">
        <v>34596</v>
      </c>
      <c r="F44" s="1">
        <v>34598</v>
      </c>
      <c r="G44">
        <v>4.9179360151931917</v>
      </c>
      <c r="H44">
        <v>2</v>
      </c>
      <c r="I44">
        <v>1.0002732186675107</v>
      </c>
      <c r="J44">
        <v>1.0047897076162027</v>
      </c>
      <c r="L44">
        <v>6</v>
      </c>
      <c r="M44" t="b">
        <v>1</v>
      </c>
      <c r="N44" t="s">
        <v>59</v>
      </c>
      <c r="O44" t="s">
        <v>14</v>
      </c>
      <c r="P44" s="1">
        <v>40121</v>
      </c>
      <c r="Q44" s="1">
        <v>40213</v>
      </c>
      <c r="R44">
        <v>1.0188683920363317</v>
      </c>
      <c r="S44" s="1">
        <v>40121</v>
      </c>
      <c r="T44" s="13">
        <v>0.75</v>
      </c>
      <c r="U44" s="13">
        <v>0.99111711287585025</v>
      </c>
      <c r="V44">
        <v>0.99111711287600002</v>
      </c>
      <c r="W44">
        <v>0.75</v>
      </c>
      <c r="X44" s="27">
        <f t="shared" si="7"/>
        <v>-1.4976908602193362E-13</v>
      </c>
      <c r="Z44" s="1">
        <v>40252</v>
      </c>
      <c r="AA44" s="13">
        <v>1.106849315068493</v>
      </c>
      <c r="AB44" s="13">
        <v>0.9897986241281812</v>
      </c>
      <c r="AC44" s="27">
        <f t="shared" si="8"/>
        <v>-2.4587181879365261E-7</v>
      </c>
      <c r="AD44" s="29">
        <v>40252</v>
      </c>
      <c r="AE44">
        <v>404</v>
      </c>
      <c r="AF44">
        <v>0.98979887</v>
      </c>
    </row>
    <row r="45" spans="1:39" x14ac:dyDescent="0.2">
      <c r="A45">
        <v>7</v>
      </c>
      <c r="B45" t="b">
        <v>1</v>
      </c>
      <c r="C45" t="s">
        <v>54</v>
      </c>
      <c r="D45" t="s">
        <v>14</v>
      </c>
      <c r="E45" s="1">
        <v>34598</v>
      </c>
      <c r="F45" s="1">
        <v>34655</v>
      </c>
      <c r="G45">
        <v>5.1169988536380036</v>
      </c>
      <c r="H45">
        <v>57</v>
      </c>
      <c r="I45">
        <v>1.0081019148515935</v>
      </c>
      <c r="J45">
        <v>1.0129304282710667</v>
      </c>
      <c r="L45">
        <v>7</v>
      </c>
      <c r="M45" t="b">
        <v>1</v>
      </c>
      <c r="N45" t="s">
        <v>20</v>
      </c>
      <c r="O45" t="s">
        <v>19</v>
      </c>
      <c r="P45" s="5">
        <v>1.5</v>
      </c>
      <c r="Q45" s="1">
        <v>40394</v>
      </c>
      <c r="R45">
        <v>1.1161074192118114</v>
      </c>
      <c r="S45" s="1">
        <v>40213</v>
      </c>
      <c r="T45" s="13">
        <v>1</v>
      </c>
      <c r="U45" s="13">
        <v>0.98859898223734788</v>
      </c>
      <c r="V45">
        <v>0.98859898223700005</v>
      </c>
      <c r="W45">
        <v>1</v>
      </c>
      <c r="X45" s="27">
        <f t="shared" si="7"/>
        <v>3.4783287361506154E-13</v>
      </c>
      <c r="Z45" s="1">
        <v>40344</v>
      </c>
      <c r="AA45" s="13">
        <v>1.3589041095890411</v>
      </c>
      <c r="AB45" s="13">
        <v>0.98651636256462394</v>
      </c>
      <c r="AC45" s="27">
        <f t="shared" si="8"/>
        <v>-2.3743537602705089E-7</v>
      </c>
      <c r="AD45" s="29">
        <v>40344</v>
      </c>
      <c r="AE45">
        <v>496</v>
      </c>
      <c r="AF45">
        <v>0.98651659999999997</v>
      </c>
    </row>
    <row r="46" spans="1:39" x14ac:dyDescent="0.2">
      <c r="A46">
        <v>8</v>
      </c>
      <c r="B46" t="b">
        <v>1</v>
      </c>
      <c r="C46" t="s">
        <v>3</v>
      </c>
      <c r="D46" t="s">
        <v>14</v>
      </c>
      <c r="E46" s="1">
        <v>34655</v>
      </c>
      <c r="F46" s="1">
        <v>34689</v>
      </c>
      <c r="G46">
        <v>5.1634912845296617</v>
      </c>
      <c r="H46">
        <v>34</v>
      </c>
      <c r="I46">
        <v>1.0048766306576113</v>
      </c>
      <c r="J46">
        <v>1.0178701158516008</v>
      </c>
      <c r="L46">
        <v>8</v>
      </c>
      <c r="M46" t="b">
        <v>1</v>
      </c>
      <c r="N46" t="s">
        <v>20</v>
      </c>
      <c r="O46" t="s">
        <v>19</v>
      </c>
      <c r="P46" s="5">
        <v>2</v>
      </c>
      <c r="Q46" s="1">
        <v>40578</v>
      </c>
      <c r="R46">
        <v>1.0815000000000001</v>
      </c>
      <c r="S46" s="1">
        <v>40394</v>
      </c>
      <c r="T46" s="13">
        <v>1.5</v>
      </c>
      <c r="U46" s="13">
        <v>0.98345366492206376</v>
      </c>
      <c r="V46">
        <v>0.98345366492200004</v>
      </c>
      <c r="W46">
        <v>1.5</v>
      </c>
      <c r="X46" s="27">
        <f t="shared" si="7"/>
        <v>6.3726801613483985E-14</v>
      </c>
      <c r="Z46" s="1">
        <v>40435</v>
      </c>
      <c r="AA46" s="13">
        <v>1.6082191780821917</v>
      </c>
      <c r="AB46" s="13">
        <v>0.98264214301997443</v>
      </c>
      <c r="AC46" s="27">
        <f t="shared" si="8"/>
        <v>3.2430199744526433E-6</v>
      </c>
      <c r="AD46" s="29">
        <v>40435</v>
      </c>
      <c r="AE46">
        <v>587</v>
      </c>
      <c r="AF46">
        <v>0.98263889999999998</v>
      </c>
    </row>
    <row r="47" spans="1:39" x14ac:dyDescent="0.2">
      <c r="A47">
        <v>9</v>
      </c>
      <c r="B47" t="b">
        <v>1</v>
      </c>
      <c r="C47" t="s">
        <v>4</v>
      </c>
      <c r="D47" t="s">
        <v>14</v>
      </c>
      <c r="E47" s="1">
        <v>34689</v>
      </c>
      <c r="F47" s="1">
        <v>34698</v>
      </c>
      <c r="G47">
        <v>5.8272792837810172</v>
      </c>
      <c r="H47">
        <v>9</v>
      </c>
      <c r="I47">
        <v>1.0014568198209453</v>
      </c>
      <c r="J47">
        <v>1.0193529692115213</v>
      </c>
      <c r="L47">
        <v>9</v>
      </c>
      <c r="M47" t="b">
        <v>1</v>
      </c>
      <c r="N47" t="s">
        <v>21</v>
      </c>
      <c r="O47" t="s">
        <v>19</v>
      </c>
      <c r="P47" s="5">
        <v>2.5</v>
      </c>
      <c r="Q47" s="1">
        <v>40759</v>
      </c>
      <c r="R47">
        <v>1.2600282620000001</v>
      </c>
      <c r="S47" s="1">
        <v>40578</v>
      </c>
      <c r="T47" s="13">
        <v>2</v>
      </c>
      <c r="U47" s="13">
        <v>0.97867453866459053</v>
      </c>
      <c r="V47">
        <v>0.97867453866499998</v>
      </c>
      <c r="W47">
        <v>2</v>
      </c>
      <c r="X47" s="27">
        <f t="shared" si="7"/>
        <v>-4.0945025148175773E-13</v>
      </c>
      <c r="Z47" s="1">
        <v>40525</v>
      </c>
      <c r="AA47" s="13">
        <v>1.8547945205479452</v>
      </c>
      <c r="AB47" s="13">
        <v>0.97824899417139044</v>
      </c>
      <c r="AC47" s="27">
        <f t="shared" si="8"/>
        <v>6.37417139048857E-6</v>
      </c>
      <c r="AD47" s="29">
        <v>40525</v>
      </c>
      <c r="AE47">
        <v>677</v>
      </c>
      <c r="AF47">
        <v>0.97824261999999995</v>
      </c>
    </row>
    <row r="48" spans="1:39" x14ac:dyDescent="0.2">
      <c r="A48">
        <v>10</v>
      </c>
      <c r="B48" t="b">
        <v>1</v>
      </c>
      <c r="C48" t="s">
        <v>18</v>
      </c>
      <c r="D48" t="s">
        <v>14</v>
      </c>
      <c r="E48" s="1">
        <v>34698</v>
      </c>
      <c r="F48" s="1">
        <v>34702</v>
      </c>
      <c r="G48">
        <v>5.7</v>
      </c>
      <c r="H48">
        <v>4</v>
      </c>
      <c r="I48">
        <v>1.0006333333333333</v>
      </c>
      <c r="J48">
        <v>1.0199985594253551</v>
      </c>
      <c r="L48">
        <v>10</v>
      </c>
      <c r="M48" t="b">
        <v>1</v>
      </c>
      <c r="N48" t="s">
        <v>21</v>
      </c>
      <c r="O48" t="s">
        <v>19</v>
      </c>
      <c r="P48" s="5">
        <v>3</v>
      </c>
      <c r="Q48" s="1">
        <v>40943</v>
      </c>
      <c r="R48">
        <v>1.438556524</v>
      </c>
      <c r="S48" s="1">
        <v>40759</v>
      </c>
      <c r="T48" s="13">
        <v>2.5</v>
      </c>
      <c r="U48" s="13">
        <v>0.96904909878726309</v>
      </c>
      <c r="V48">
        <v>0.96904909878699996</v>
      </c>
      <c r="W48">
        <v>2.5</v>
      </c>
      <c r="X48" s="27">
        <f t="shared" si="7"/>
        <v>2.631228568361621E-13</v>
      </c>
      <c r="Z48" s="1">
        <v>40578</v>
      </c>
      <c r="AA48" s="13">
        <v>2</v>
      </c>
      <c r="AB48" s="13">
        <v>0.97524046645325069</v>
      </c>
      <c r="AC48" s="27">
        <f t="shared" si="8"/>
        <v>-2.3546749328140493E-8</v>
      </c>
      <c r="AD48" s="29">
        <v>40578</v>
      </c>
      <c r="AE48">
        <v>730</v>
      </c>
      <c r="AF48">
        <v>0.97524049000000002</v>
      </c>
    </row>
    <row r="49" spans="1:32" x14ac:dyDescent="0.2">
      <c r="A49">
        <v>11</v>
      </c>
      <c r="B49" t="b">
        <v>1</v>
      </c>
      <c r="C49" t="s">
        <v>4</v>
      </c>
      <c r="D49" t="s">
        <v>14</v>
      </c>
      <c r="E49" s="1">
        <v>34702</v>
      </c>
      <c r="F49" s="1">
        <v>34773</v>
      </c>
      <c r="G49">
        <v>5.845955343667427</v>
      </c>
      <c r="H49">
        <v>71</v>
      </c>
      <c r="I49">
        <v>1.0115295230388996</v>
      </c>
      <c r="J49">
        <v>1.0317586563158943</v>
      </c>
      <c r="L49">
        <v>11</v>
      </c>
      <c r="M49" t="b">
        <v>1</v>
      </c>
      <c r="N49" t="s">
        <v>22</v>
      </c>
      <c r="O49" t="s">
        <v>19</v>
      </c>
      <c r="P49" s="5">
        <v>3.5</v>
      </c>
      <c r="Q49" s="1">
        <v>41125</v>
      </c>
      <c r="R49">
        <v>1.5841766945</v>
      </c>
      <c r="S49" s="1">
        <v>40943</v>
      </c>
      <c r="T49" s="13">
        <v>3</v>
      </c>
      <c r="U49" s="13">
        <v>0.95777472650494744</v>
      </c>
      <c r="V49">
        <v>0.95777472650499995</v>
      </c>
      <c r="W49">
        <v>3</v>
      </c>
      <c r="X49" s="27">
        <f t="shared" si="7"/>
        <v>-5.2513549064769904E-14</v>
      </c>
      <c r="Z49" s="1">
        <v>40759</v>
      </c>
      <c r="AA49" s="13">
        <v>2.495890410958904</v>
      </c>
      <c r="AB49" s="13">
        <v>0.96517654206234271</v>
      </c>
      <c r="AC49" s="27">
        <f t="shared" si="8"/>
        <v>-5.4907937657278083E-5</v>
      </c>
      <c r="AD49" s="29">
        <v>40759</v>
      </c>
      <c r="AE49">
        <v>911</v>
      </c>
      <c r="AF49">
        <v>0.96523144999999999</v>
      </c>
    </row>
    <row r="50" spans="1:32" x14ac:dyDescent="0.2">
      <c r="A50">
        <v>12</v>
      </c>
      <c r="B50" t="b">
        <v>1</v>
      </c>
      <c r="C50" t="s">
        <v>4</v>
      </c>
      <c r="D50" t="s">
        <v>14</v>
      </c>
      <c r="E50" s="1">
        <v>34773</v>
      </c>
      <c r="F50" s="1">
        <v>34779</v>
      </c>
      <c r="G50">
        <v>5.9505586505221864</v>
      </c>
      <c r="H50">
        <v>6</v>
      </c>
      <c r="I50">
        <v>1.000991759775087</v>
      </c>
      <c r="J50">
        <v>1.0327819130488263</v>
      </c>
      <c r="L50">
        <v>12</v>
      </c>
      <c r="M50" t="b">
        <v>1</v>
      </c>
      <c r="N50" t="s">
        <v>22</v>
      </c>
      <c r="O50" t="s">
        <v>19</v>
      </c>
      <c r="P50" s="5">
        <v>4</v>
      </c>
      <c r="Q50" s="1">
        <v>41309</v>
      </c>
      <c r="R50">
        <v>1.729796865</v>
      </c>
      <c r="S50" s="1">
        <v>41125</v>
      </c>
      <c r="T50" s="13">
        <v>3.5</v>
      </c>
      <c r="U50" s="13">
        <v>0.94600719334240413</v>
      </c>
      <c r="V50">
        <v>0.94600719334200001</v>
      </c>
      <c r="W50">
        <v>3.5</v>
      </c>
      <c r="X50" s="27">
        <f t="shared" si="7"/>
        <v>4.0412118096355698E-13</v>
      </c>
      <c r="Z50" s="1">
        <v>40945</v>
      </c>
      <c r="AA50" s="13">
        <v>3.0054794520547947</v>
      </c>
      <c r="AB50" s="13">
        <v>0.9534137528488803</v>
      </c>
      <c r="AC50" s="27">
        <f t="shared" si="8"/>
        <v>4.0284888025432508E-7</v>
      </c>
      <c r="AD50" s="29">
        <v>40945</v>
      </c>
      <c r="AE50">
        <v>1097</v>
      </c>
      <c r="AF50">
        <v>0.95341335000000005</v>
      </c>
    </row>
    <row r="51" spans="1:32" x14ac:dyDescent="0.2">
      <c r="A51">
        <v>13</v>
      </c>
      <c r="B51" t="b">
        <v>1</v>
      </c>
      <c r="C51" t="s">
        <v>5</v>
      </c>
      <c r="D51" t="s">
        <v>14</v>
      </c>
      <c r="E51" s="1">
        <v>34779</v>
      </c>
      <c r="F51" s="1">
        <v>34865</v>
      </c>
      <c r="G51">
        <v>6.1257462208043298</v>
      </c>
      <c r="H51">
        <v>86</v>
      </c>
      <c r="I51">
        <v>1.0146337270830326</v>
      </c>
      <c r="J51">
        <v>1.047895361700675</v>
      </c>
      <c r="L51">
        <v>13</v>
      </c>
      <c r="M51" t="b">
        <v>1</v>
      </c>
      <c r="N51" t="s">
        <v>23</v>
      </c>
      <c r="O51" t="s">
        <v>19</v>
      </c>
      <c r="P51" s="5">
        <v>4.5</v>
      </c>
      <c r="Q51" s="1">
        <v>41490</v>
      </c>
      <c r="R51">
        <v>1.8154170344999998</v>
      </c>
      <c r="S51" s="1">
        <v>41309</v>
      </c>
      <c r="T51" s="13">
        <v>4</v>
      </c>
      <c r="U51" s="13">
        <v>0.93297479985892917</v>
      </c>
      <c r="V51">
        <v>0.932974799859</v>
      </c>
      <c r="W51">
        <v>4</v>
      </c>
      <c r="X51" s="27">
        <f t="shared" si="7"/>
        <v>-7.0832228971084987E-14</v>
      </c>
      <c r="Z51" s="1">
        <v>41128</v>
      </c>
      <c r="AA51" s="13">
        <v>3.506849315068493</v>
      </c>
      <c r="AB51" s="13">
        <v>0.94256000921798411</v>
      </c>
      <c r="AC51" s="27">
        <f t="shared" si="8"/>
        <v>1.8729217984070345E-5</v>
      </c>
      <c r="AD51" s="29">
        <v>41128</v>
      </c>
      <c r="AE51">
        <v>1280</v>
      </c>
      <c r="AF51">
        <v>0.94254128000000004</v>
      </c>
    </row>
    <row r="52" spans="1:32" x14ac:dyDescent="0.2">
      <c r="A52">
        <v>14</v>
      </c>
      <c r="B52" t="b">
        <v>1</v>
      </c>
      <c r="C52" t="s">
        <v>5</v>
      </c>
      <c r="D52" t="s">
        <v>14</v>
      </c>
      <c r="E52" s="1">
        <v>34865</v>
      </c>
      <c r="F52" s="1">
        <v>34871</v>
      </c>
      <c r="G52">
        <v>6.287873110402165</v>
      </c>
      <c r="H52">
        <v>6</v>
      </c>
      <c r="I52">
        <v>1.0010479788517337</v>
      </c>
      <c r="J52">
        <v>1.0489935338785672</v>
      </c>
      <c r="L52">
        <v>14</v>
      </c>
      <c r="M52" t="b">
        <v>1</v>
      </c>
      <c r="N52" t="s">
        <v>23</v>
      </c>
      <c r="O52" t="s">
        <v>19</v>
      </c>
      <c r="P52" s="5">
        <v>5</v>
      </c>
      <c r="Q52" s="1">
        <v>41674</v>
      </c>
      <c r="R52">
        <v>1.9010372039999999</v>
      </c>
      <c r="S52" s="1">
        <v>41490</v>
      </c>
      <c r="T52" s="13">
        <v>4.5</v>
      </c>
      <c r="U52" s="13">
        <v>0.92129456821859246</v>
      </c>
      <c r="V52">
        <v>0.92129456821900002</v>
      </c>
      <c r="W52">
        <v>4.5</v>
      </c>
      <c r="X52" s="27">
        <f t="shared" si="7"/>
        <v>-4.0756287233989497E-13</v>
      </c>
      <c r="Z52" s="1">
        <v>41309</v>
      </c>
      <c r="AA52" s="13">
        <v>4.0027397260273974</v>
      </c>
      <c r="AB52" s="13">
        <v>0.93096986406692728</v>
      </c>
      <c r="AC52" s="27">
        <f t="shared" si="8"/>
        <v>2.8406692731408612E-7</v>
      </c>
      <c r="AD52" s="29">
        <v>41309</v>
      </c>
      <c r="AE52">
        <v>1461</v>
      </c>
      <c r="AF52">
        <v>0.93096957999999996</v>
      </c>
    </row>
    <row r="53" spans="1:32" x14ac:dyDescent="0.2">
      <c r="A53">
        <v>15</v>
      </c>
      <c r="B53" t="b">
        <v>1</v>
      </c>
      <c r="C53" t="s">
        <v>6</v>
      </c>
      <c r="D53" t="s">
        <v>14</v>
      </c>
      <c r="E53" s="1">
        <v>34871</v>
      </c>
      <c r="F53" s="1">
        <v>34962</v>
      </c>
      <c r="G53">
        <v>6.4478842881825269</v>
      </c>
      <c r="H53">
        <v>91</v>
      </c>
      <c r="I53">
        <v>1.0162988186173503</v>
      </c>
      <c r="J53">
        <v>1.0660908892180272</v>
      </c>
      <c r="L53">
        <v>15</v>
      </c>
      <c r="M53" t="b">
        <v>1</v>
      </c>
      <c r="N53" t="s">
        <v>24</v>
      </c>
      <c r="O53" t="s">
        <v>19</v>
      </c>
      <c r="P53" s="5">
        <v>5.5</v>
      </c>
      <c r="Q53" s="1">
        <v>41855</v>
      </c>
      <c r="R53">
        <v>1.9307222892499998</v>
      </c>
      <c r="S53" s="1">
        <v>41674</v>
      </c>
      <c r="T53" s="13">
        <v>5</v>
      </c>
      <c r="U53" s="13">
        <v>0.90894292725238868</v>
      </c>
      <c r="V53">
        <v>0.90894292725199999</v>
      </c>
      <c r="W53">
        <v>5</v>
      </c>
      <c r="X53" s="27">
        <f t="shared" si="7"/>
        <v>3.886890809212673E-13</v>
      </c>
      <c r="Z53" s="1">
        <v>41492</v>
      </c>
      <c r="AA53" s="13">
        <v>4.5041095890410956</v>
      </c>
      <c r="AB53" s="13">
        <v>0.91937184489143819</v>
      </c>
      <c r="AC53" s="27">
        <f t="shared" si="8"/>
        <v>9.4648914381600946E-6</v>
      </c>
      <c r="AD53" s="29">
        <v>41492</v>
      </c>
      <c r="AE53">
        <v>1644</v>
      </c>
      <c r="AF53">
        <v>0.91936238000000003</v>
      </c>
    </row>
    <row r="54" spans="1:32" x14ac:dyDescent="0.2">
      <c r="A54">
        <v>16</v>
      </c>
      <c r="B54" t="b">
        <v>1</v>
      </c>
      <c r="C54" t="s">
        <v>6</v>
      </c>
      <c r="D54" t="s">
        <v>14</v>
      </c>
      <c r="E54" s="1">
        <v>34962</v>
      </c>
      <c r="F54" s="1">
        <v>34963</v>
      </c>
      <c r="G54">
        <v>6.5360006857311248</v>
      </c>
      <c r="H54">
        <v>1</v>
      </c>
      <c r="I54">
        <v>1.0001815555746036</v>
      </c>
      <c r="J54">
        <v>1.066284443961999</v>
      </c>
      <c r="L54">
        <v>16</v>
      </c>
      <c r="M54" t="b">
        <v>1</v>
      </c>
      <c r="N54" t="s">
        <v>24</v>
      </c>
      <c r="O54" t="s">
        <v>19</v>
      </c>
      <c r="P54" s="5">
        <v>6</v>
      </c>
      <c r="Q54" s="1">
        <v>42039</v>
      </c>
      <c r="R54">
        <v>1.9604073744999999</v>
      </c>
      <c r="S54" s="1">
        <v>41855</v>
      </c>
      <c r="T54" s="13">
        <v>5.5</v>
      </c>
      <c r="U54" s="13">
        <v>0.89884396205356909</v>
      </c>
      <c r="V54">
        <v>0.89884396205399997</v>
      </c>
      <c r="W54">
        <v>5.5</v>
      </c>
      <c r="X54" s="27">
        <f t="shared" si="7"/>
        <v>-4.3087755585702325E-13</v>
      </c>
      <c r="Z54" s="1">
        <v>41674</v>
      </c>
      <c r="AA54" s="13">
        <v>5.0027397260273974</v>
      </c>
      <c r="AB54" s="13">
        <v>0.90722107006428454</v>
      </c>
      <c r="AC54" s="27">
        <f t="shared" si="8"/>
        <v>2.2006428457288507E-7</v>
      </c>
      <c r="AD54" s="29">
        <v>41674</v>
      </c>
      <c r="AE54">
        <v>1826</v>
      </c>
      <c r="AF54">
        <v>0.90722084999999997</v>
      </c>
    </row>
    <row r="55" spans="1:32" x14ac:dyDescent="0.2">
      <c r="A55">
        <v>17</v>
      </c>
      <c r="B55" t="b">
        <v>1</v>
      </c>
      <c r="C55" t="s">
        <v>3</v>
      </c>
      <c r="D55" t="s">
        <v>14</v>
      </c>
      <c r="E55" s="1">
        <v>34963</v>
      </c>
      <c r="F55" s="1">
        <v>35053</v>
      </c>
      <c r="G55">
        <v>6.7309335094354772</v>
      </c>
      <c r="H55">
        <v>90</v>
      </c>
      <c r="I55">
        <v>1.0168273337735887</v>
      </c>
      <c r="J55">
        <v>1.084227168198133</v>
      </c>
      <c r="L55">
        <v>17</v>
      </c>
      <c r="M55" t="b">
        <v>1</v>
      </c>
      <c r="N55" t="s">
        <v>24</v>
      </c>
      <c r="O55" t="s">
        <v>19</v>
      </c>
      <c r="P55" s="5">
        <v>6.5</v>
      </c>
      <c r="Q55" s="1">
        <v>42220</v>
      </c>
      <c r="R55">
        <v>1.9900924597499998</v>
      </c>
      <c r="S55" s="1">
        <v>42039</v>
      </c>
      <c r="T55" s="13">
        <v>6</v>
      </c>
      <c r="U55" s="13">
        <v>0.8885787938159172</v>
      </c>
      <c r="V55">
        <v>0.88857879381600002</v>
      </c>
      <c r="W55">
        <v>6</v>
      </c>
      <c r="X55" s="27">
        <f t="shared" si="7"/>
        <v>-8.2822637637036678E-14</v>
      </c>
      <c r="Z55" s="1">
        <v>41856</v>
      </c>
      <c r="AA55" s="13">
        <v>5.5013698630136982</v>
      </c>
      <c r="AB55" s="13">
        <v>0.89402654309199803</v>
      </c>
      <c r="AC55" s="27">
        <f t="shared" si="8"/>
        <v>-1.211690800195786E-5</v>
      </c>
      <c r="AD55" s="29">
        <v>41856</v>
      </c>
      <c r="AE55">
        <v>2008</v>
      </c>
      <c r="AF55">
        <v>0.89403865999999999</v>
      </c>
    </row>
    <row r="56" spans="1:32" x14ac:dyDescent="0.2">
      <c r="A56">
        <v>18</v>
      </c>
      <c r="B56" t="b">
        <v>1</v>
      </c>
      <c r="C56" t="s">
        <v>4</v>
      </c>
      <c r="D56" t="s">
        <v>14</v>
      </c>
      <c r="E56" s="1">
        <v>35053</v>
      </c>
      <c r="F56" s="1">
        <v>35144</v>
      </c>
      <c r="G56">
        <v>7.02</v>
      </c>
      <c r="H56">
        <v>91</v>
      </c>
      <c r="I56">
        <v>1.0177449999999999</v>
      </c>
      <c r="J56">
        <v>1.1034667792978088</v>
      </c>
      <c r="L56">
        <v>18</v>
      </c>
      <c r="M56" t="b">
        <v>1</v>
      </c>
      <c r="N56" t="s">
        <v>24</v>
      </c>
      <c r="O56" t="s">
        <v>19</v>
      </c>
      <c r="P56" s="5">
        <v>7</v>
      </c>
      <c r="Q56" s="1">
        <v>42404</v>
      </c>
      <c r="R56">
        <v>2.0197775449999997</v>
      </c>
      <c r="S56" s="1">
        <v>42220</v>
      </c>
      <c r="T56" s="13">
        <v>6.5</v>
      </c>
      <c r="U56" s="13">
        <v>0.87815358584468206</v>
      </c>
      <c r="V56">
        <v>0.87815358584500003</v>
      </c>
      <c r="W56">
        <v>6.5</v>
      </c>
      <c r="X56" s="27">
        <f t="shared" si="7"/>
        <v>-3.1796787425264483E-13</v>
      </c>
      <c r="Z56" s="1">
        <v>42039</v>
      </c>
      <c r="AA56" s="13">
        <v>6.0027397260273974</v>
      </c>
      <c r="AB56" s="13">
        <v>0.88015157903951025</v>
      </c>
      <c r="AC56" s="27">
        <f t="shared" si="8"/>
        <v>3.5903951023374958E-7</v>
      </c>
      <c r="AD56" s="29">
        <v>42039</v>
      </c>
      <c r="AE56">
        <v>2191</v>
      </c>
      <c r="AF56">
        <v>0.88015122000000001</v>
      </c>
    </row>
    <row r="57" spans="1:32" x14ac:dyDescent="0.2">
      <c r="A57">
        <v>19</v>
      </c>
      <c r="B57" t="b">
        <v>1</v>
      </c>
      <c r="C57" t="s">
        <v>5</v>
      </c>
      <c r="D57" t="s">
        <v>14</v>
      </c>
      <c r="E57" s="1">
        <v>35144</v>
      </c>
      <c r="F57" s="1">
        <v>35235</v>
      </c>
      <c r="G57">
        <v>7.0986999094333267</v>
      </c>
      <c r="H57">
        <v>91</v>
      </c>
      <c r="I57">
        <v>1.0179439358821787</v>
      </c>
      <c r="J57">
        <v>1.1232673164336429</v>
      </c>
      <c r="L57">
        <v>19</v>
      </c>
      <c r="M57" t="b">
        <v>1</v>
      </c>
      <c r="N57" t="s">
        <v>25</v>
      </c>
      <c r="O57" t="s">
        <v>19</v>
      </c>
      <c r="P57" s="5">
        <v>7.5</v>
      </c>
      <c r="Q57" s="1">
        <v>42586</v>
      </c>
      <c r="R57">
        <v>2.0686900711666665</v>
      </c>
      <c r="S57" s="1">
        <v>42404</v>
      </c>
      <c r="T57" s="13">
        <v>7</v>
      </c>
      <c r="U57" s="13">
        <v>0.86757453389078265</v>
      </c>
      <c r="V57">
        <v>0.86757453389100003</v>
      </c>
      <c r="W57">
        <v>7</v>
      </c>
      <c r="X57" s="27">
        <f t="shared" si="7"/>
        <v>-2.1738166822160565E-13</v>
      </c>
      <c r="Z57" s="1">
        <v>42220</v>
      </c>
      <c r="AA57" s="13">
        <v>6.4986301369863018</v>
      </c>
      <c r="AB57" s="13">
        <v>0.86574158643686605</v>
      </c>
      <c r="AC57" s="27">
        <f t="shared" si="8"/>
        <v>-4.3033563133954011E-5</v>
      </c>
      <c r="AD57" s="29">
        <v>42220</v>
      </c>
      <c r="AE57">
        <v>2372</v>
      </c>
      <c r="AF57">
        <v>0.86578462</v>
      </c>
    </row>
    <row r="58" spans="1:32" x14ac:dyDescent="0.2">
      <c r="A58">
        <v>20</v>
      </c>
      <c r="B58" t="b">
        <v>1</v>
      </c>
      <c r="C58" t="s">
        <v>5</v>
      </c>
      <c r="D58" t="s">
        <v>14</v>
      </c>
      <c r="E58" s="1">
        <v>35235</v>
      </c>
      <c r="F58" s="1">
        <v>35236</v>
      </c>
      <c r="G58">
        <v>7.091066597213036</v>
      </c>
      <c r="H58">
        <v>1</v>
      </c>
      <c r="I58">
        <v>1.0001969740721448</v>
      </c>
      <c r="J58">
        <v>1.123488570971068</v>
      </c>
      <c r="L58">
        <v>20</v>
      </c>
      <c r="M58" t="b">
        <v>1</v>
      </c>
      <c r="N58" t="s">
        <v>25</v>
      </c>
      <c r="O58" t="s">
        <v>19</v>
      </c>
      <c r="P58" s="5">
        <v>8</v>
      </c>
      <c r="Q58" s="1">
        <v>42770</v>
      </c>
      <c r="R58">
        <v>2.1176025973333332</v>
      </c>
      <c r="S58" s="1">
        <v>42586</v>
      </c>
      <c r="T58" s="13">
        <v>7.5</v>
      </c>
      <c r="U58" s="13">
        <v>0.85551860018097869</v>
      </c>
      <c r="V58">
        <v>0.85551860018100001</v>
      </c>
      <c r="W58">
        <v>7.5</v>
      </c>
      <c r="X58" s="27">
        <f t="shared" si="7"/>
        <v>-2.1316282072803006E-14</v>
      </c>
      <c r="Z58" s="1">
        <v>42404</v>
      </c>
      <c r="AA58" s="13">
        <v>7.0027397260273974</v>
      </c>
      <c r="AB58" s="13">
        <v>0.85059222249246835</v>
      </c>
      <c r="AC58" s="27">
        <f t="shared" si="8"/>
        <v>8.6249246833425275E-7</v>
      </c>
      <c r="AD58" s="29">
        <v>42404</v>
      </c>
      <c r="AE58">
        <v>2556</v>
      </c>
      <c r="AF58">
        <v>0.85059136000000002</v>
      </c>
    </row>
    <row r="59" spans="1:32" x14ac:dyDescent="0.2">
      <c r="A59">
        <v>21</v>
      </c>
      <c r="B59" t="b">
        <v>1</v>
      </c>
      <c r="C59" t="s">
        <v>6</v>
      </c>
      <c r="D59" t="s">
        <v>14</v>
      </c>
      <c r="E59" s="1">
        <v>35236</v>
      </c>
      <c r="F59" s="1">
        <v>35327</v>
      </c>
      <c r="G59">
        <v>7.2098867997075393</v>
      </c>
      <c r="H59">
        <v>91</v>
      </c>
      <c r="I59">
        <v>1.0182249916325941</v>
      </c>
      <c r="J59">
        <v>1.1439641407763308</v>
      </c>
      <c r="L59">
        <v>21</v>
      </c>
      <c r="M59" t="b">
        <v>1</v>
      </c>
      <c r="N59" t="s">
        <v>25</v>
      </c>
      <c r="O59" t="s">
        <v>19</v>
      </c>
      <c r="P59" s="5">
        <v>8.5</v>
      </c>
      <c r="Q59" s="1">
        <v>42951</v>
      </c>
      <c r="R59">
        <v>2.1665151235</v>
      </c>
      <c r="S59" s="1">
        <v>42770</v>
      </c>
      <c r="T59" s="13">
        <v>8</v>
      </c>
      <c r="U59" s="13">
        <v>0.84317490590727417</v>
      </c>
      <c r="V59">
        <v>0.84317490590699995</v>
      </c>
      <c r="W59">
        <v>8</v>
      </c>
      <c r="X59" s="27">
        <f t="shared" si="7"/>
        <v>2.7422508708241367E-13</v>
      </c>
      <c r="Z59" s="1">
        <v>42586</v>
      </c>
      <c r="AA59" s="13">
        <v>7.5013698630136982</v>
      </c>
      <c r="AB59" s="13">
        <v>0.83502234657085728</v>
      </c>
      <c r="AC59" s="27">
        <f t="shared" si="8"/>
        <v>-6.4033429142740239E-5</v>
      </c>
      <c r="AD59" s="29">
        <v>42586</v>
      </c>
      <c r="AE59">
        <v>2738</v>
      </c>
      <c r="AF59">
        <v>0.83508638000000002</v>
      </c>
    </row>
    <row r="60" spans="1:32" x14ac:dyDescent="0.2">
      <c r="L60">
        <v>22</v>
      </c>
      <c r="M60" t="b">
        <v>1</v>
      </c>
      <c r="N60" t="s">
        <v>25</v>
      </c>
      <c r="O60" t="s">
        <v>19</v>
      </c>
      <c r="P60" s="5">
        <v>9</v>
      </c>
      <c r="Q60" s="1">
        <v>43135</v>
      </c>
      <c r="R60">
        <v>2.2154276496666663</v>
      </c>
      <c r="S60" s="1">
        <v>42951</v>
      </c>
      <c r="T60" s="13">
        <v>8.5</v>
      </c>
      <c r="U60" s="13">
        <v>0.83055549421845432</v>
      </c>
      <c r="V60">
        <v>0.83055549421800001</v>
      </c>
      <c r="W60">
        <v>8.5</v>
      </c>
      <c r="X60" s="27">
        <f t="shared" si="7"/>
        <v>4.5430326167661406E-13</v>
      </c>
      <c r="Z60" s="1">
        <v>42772</v>
      </c>
      <c r="AA60" s="13">
        <v>8.0109589041095894</v>
      </c>
      <c r="AB60" s="13">
        <v>0.81870738449778879</v>
      </c>
      <c r="AC60" s="27">
        <f t="shared" si="8"/>
        <v>1.6944977887511925E-6</v>
      </c>
      <c r="AD60" s="29">
        <v>42772</v>
      </c>
      <c r="AE60">
        <v>2924</v>
      </c>
      <c r="AF60">
        <v>0.81870569000000004</v>
      </c>
    </row>
    <row r="61" spans="1:32" x14ac:dyDescent="0.2">
      <c r="L61">
        <v>23</v>
      </c>
      <c r="M61" t="b">
        <v>1</v>
      </c>
      <c r="N61" t="s">
        <v>25</v>
      </c>
      <c r="O61" t="s">
        <v>19</v>
      </c>
      <c r="P61" s="5">
        <v>9.5</v>
      </c>
      <c r="Q61" s="1">
        <v>43316</v>
      </c>
      <c r="R61">
        <v>2.264340175833333</v>
      </c>
      <c r="S61" s="1">
        <v>43135</v>
      </c>
      <c r="T61" s="13">
        <v>9</v>
      </c>
      <c r="U61" s="13">
        <v>0.81767254308692683</v>
      </c>
      <c r="V61">
        <v>0.81767254308699999</v>
      </c>
      <c r="W61">
        <v>9</v>
      </c>
      <c r="X61" s="27">
        <f t="shared" si="7"/>
        <v>-7.3163697322797816E-14</v>
      </c>
      <c r="Z61" s="1">
        <v>42951</v>
      </c>
      <c r="AA61" s="13">
        <v>8.5013698630136982</v>
      </c>
      <c r="AB61" s="13">
        <v>0.80131455617068692</v>
      </c>
      <c r="AC61" s="27">
        <f t="shared" si="8"/>
        <v>-1.2389382931310422E-4</v>
      </c>
      <c r="AD61" s="29">
        <v>42951</v>
      </c>
      <c r="AE61">
        <v>3103</v>
      </c>
      <c r="AF61">
        <v>0.80143845000000002</v>
      </c>
    </row>
    <row r="62" spans="1:32" x14ac:dyDescent="0.2">
      <c r="L62">
        <v>24</v>
      </c>
      <c r="M62" t="b">
        <v>1</v>
      </c>
      <c r="N62" t="s">
        <v>25</v>
      </c>
      <c r="O62" t="s">
        <v>19</v>
      </c>
      <c r="P62" s="5">
        <v>10</v>
      </c>
      <c r="Q62" s="1">
        <v>43500</v>
      </c>
      <c r="R62">
        <v>2.3132527019999998</v>
      </c>
      <c r="S62" s="1">
        <v>43316</v>
      </c>
      <c r="T62" s="13">
        <v>9.5</v>
      </c>
      <c r="U62" s="13">
        <v>0.80453834907469957</v>
      </c>
      <c r="V62">
        <v>0.80453834907499999</v>
      </c>
      <c r="W62">
        <v>9.5</v>
      </c>
      <c r="X62" s="27">
        <f t="shared" si="7"/>
        <v>-3.0042635046356736E-13</v>
      </c>
      <c r="Z62" s="1">
        <v>43136</v>
      </c>
      <c r="AA62" s="13">
        <v>9.0082191780821912</v>
      </c>
      <c r="AB62" s="13">
        <v>0.78303572727573223</v>
      </c>
      <c r="AC62" s="27">
        <f t="shared" si="8"/>
        <v>3.4072757322256564E-6</v>
      </c>
      <c r="AD62" s="29">
        <v>43136</v>
      </c>
      <c r="AE62">
        <v>3288</v>
      </c>
      <c r="AF62">
        <v>0.78303232</v>
      </c>
    </row>
    <row r="63" spans="1:32" x14ac:dyDescent="0.2">
      <c r="L63">
        <v>25</v>
      </c>
      <c r="M63" t="b">
        <v>1</v>
      </c>
      <c r="N63" t="s">
        <v>26</v>
      </c>
      <c r="O63" t="s">
        <v>19</v>
      </c>
      <c r="P63" s="5">
        <v>10.5</v>
      </c>
      <c r="Q63" s="1">
        <v>43681</v>
      </c>
      <c r="R63">
        <v>2.4364308860000001</v>
      </c>
      <c r="S63" s="1">
        <v>43500</v>
      </c>
      <c r="T63" s="13">
        <v>10</v>
      </c>
      <c r="U63" s="13">
        <v>0.79116531111295496</v>
      </c>
      <c r="V63">
        <v>0.79116531111300004</v>
      </c>
      <c r="W63">
        <v>10</v>
      </c>
      <c r="X63" s="27">
        <f t="shared" si="7"/>
        <v>-4.5075054799781356E-14</v>
      </c>
      <c r="Z63" s="1">
        <v>43319</v>
      </c>
      <c r="AA63" s="13">
        <v>9.5095890410958912</v>
      </c>
      <c r="AB63" s="13">
        <v>0.76413374158357128</v>
      </c>
      <c r="AC63" s="27">
        <f t="shared" si="8"/>
        <v>5.0681583571243749E-5</v>
      </c>
      <c r="AD63" s="29">
        <v>43319</v>
      </c>
      <c r="AE63">
        <v>3471</v>
      </c>
      <c r="AF63">
        <v>0.76408306000000004</v>
      </c>
    </row>
    <row r="64" spans="1:32" x14ac:dyDescent="0.2">
      <c r="L64">
        <v>26</v>
      </c>
      <c r="M64" t="b">
        <v>1</v>
      </c>
      <c r="N64" t="s">
        <v>26</v>
      </c>
      <c r="O64" t="s">
        <v>19</v>
      </c>
      <c r="P64" s="5">
        <v>11</v>
      </c>
      <c r="Q64" s="1">
        <v>43865</v>
      </c>
      <c r="R64">
        <v>2.55960907</v>
      </c>
      <c r="S64" s="1">
        <v>43681</v>
      </c>
      <c r="T64" s="13">
        <v>10.5</v>
      </c>
      <c r="U64" s="13">
        <v>0.77065683111485972</v>
      </c>
      <c r="V64">
        <v>0.77065683111500005</v>
      </c>
      <c r="W64">
        <v>10.5</v>
      </c>
      <c r="X64" s="27">
        <f t="shared" si="7"/>
        <v>-1.4033219031261979E-13</v>
      </c>
      <c r="Z64" s="1">
        <v>43500</v>
      </c>
      <c r="AA64" s="13">
        <v>10.005479452054795</v>
      </c>
      <c r="AB64" s="13">
        <v>0.74484421395694922</v>
      </c>
      <c r="AC64" s="27">
        <f t="shared" si="8"/>
        <v>2.8939569491903683E-6</v>
      </c>
      <c r="AD64" s="29">
        <v>43500</v>
      </c>
      <c r="AE64">
        <v>3652</v>
      </c>
      <c r="AF64">
        <v>0.74484132000000003</v>
      </c>
    </row>
    <row r="65" spans="12:32" x14ac:dyDescent="0.2">
      <c r="L65">
        <v>27</v>
      </c>
      <c r="M65" t="b">
        <v>1</v>
      </c>
      <c r="N65" t="s">
        <v>26</v>
      </c>
      <c r="O65" t="s">
        <v>19</v>
      </c>
      <c r="P65" s="5">
        <v>11.5</v>
      </c>
      <c r="Q65" s="1">
        <v>44047</v>
      </c>
      <c r="R65">
        <v>2.682787254</v>
      </c>
      <c r="S65" s="1">
        <v>43865</v>
      </c>
      <c r="T65" s="13">
        <v>11</v>
      </c>
      <c r="U65" s="13">
        <v>0.74947021727209784</v>
      </c>
      <c r="V65">
        <v>0.74947021727200003</v>
      </c>
      <c r="W65">
        <v>11</v>
      </c>
      <c r="X65" s="27">
        <f t="shared" si="7"/>
        <v>9.7810648469476291E-14</v>
      </c>
      <c r="Z65" s="1">
        <v>43683</v>
      </c>
      <c r="AA65" s="13">
        <v>10.506849315068493</v>
      </c>
      <c r="AB65" s="13">
        <v>0.72693958106232492</v>
      </c>
      <c r="AC65" s="27">
        <f t="shared" si="8"/>
        <v>1.3001062324935475E-5</v>
      </c>
      <c r="AD65" s="29">
        <v>43683</v>
      </c>
      <c r="AE65">
        <v>3835</v>
      </c>
      <c r="AF65">
        <v>0.72692657999999999</v>
      </c>
    </row>
    <row r="66" spans="12:32" x14ac:dyDescent="0.2">
      <c r="L66">
        <v>28</v>
      </c>
      <c r="M66" t="b">
        <v>1</v>
      </c>
      <c r="N66" t="s">
        <v>26</v>
      </c>
      <c r="O66" t="s">
        <v>19</v>
      </c>
      <c r="P66" s="5">
        <v>12</v>
      </c>
      <c r="Q66" s="1">
        <v>44231</v>
      </c>
      <c r="R66">
        <v>2.8059654380000003</v>
      </c>
      <c r="S66" s="1">
        <v>44047</v>
      </c>
      <c r="T66" s="13">
        <v>11.5</v>
      </c>
      <c r="U66" s="13">
        <v>0.72765307340352581</v>
      </c>
      <c r="V66">
        <v>0.72765307340399998</v>
      </c>
      <c r="W66">
        <v>11.5</v>
      </c>
      <c r="X66" s="27">
        <f t="shared" si="7"/>
        <v>-4.7417625381740436E-13</v>
      </c>
      <c r="Z66" s="1">
        <v>43865</v>
      </c>
      <c r="AA66" s="13">
        <v>11.005479452054795</v>
      </c>
      <c r="AB66" s="13">
        <v>0.70878239047407043</v>
      </c>
      <c r="AC66" s="27">
        <f t="shared" si="8"/>
        <v>-1.8059525929592368E-5</v>
      </c>
      <c r="AD66" s="29">
        <v>43865</v>
      </c>
      <c r="AE66">
        <v>4017</v>
      </c>
      <c r="AF66">
        <v>0.70880045000000003</v>
      </c>
    </row>
    <row r="67" spans="12:32" x14ac:dyDescent="0.2">
      <c r="L67">
        <v>29</v>
      </c>
      <c r="M67" t="b">
        <v>1</v>
      </c>
      <c r="N67" t="s">
        <v>27</v>
      </c>
      <c r="O67" t="s">
        <v>19</v>
      </c>
      <c r="P67" s="5">
        <v>12.5</v>
      </c>
      <c r="Q67" s="1">
        <v>44412</v>
      </c>
      <c r="R67">
        <v>2.8348128650000004</v>
      </c>
      <c r="S67" s="1">
        <v>44231</v>
      </c>
      <c r="T67" s="13">
        <v>12</v>
      </c>
      <c r="U67" s="13">
        <v>0.7052538765543046</v>
      </c>
      <c r="V67">
        <v>0.70525387655399996</v>
      </c>
      <c r="W67">
        <v>12</v>
      </c>
      <c r="X67" s="27">
        <f t="shared" si="7"/>
        <v>3.0464519795714295E-13</v>
      </c>
      <c r="Z67" s="1">
        <v>44047</v>
      </c>
      <c r="AA67" s="13">
        <v>11.504109589041096</v>
      </c>
      <c r="AB67" s="13">
        <v>0.69034183643805891</v>
      </c>
      <c r="AC67" s="27">
        <f t="shared" si="8"/>
        <v>-5.0883561941050814E-5</v>
      </c>
      <c r="AD67" s="29">
        <v>44047</v>
      </c>
      <c r="AE67">
        <v>4199</v>
      </c>
      <c r="AF67">
        <v>0.69039271999999996</v>
      </c>
    </row>
    <row r="68" spans="12:32" x14ac:dyDescent="0.2">
      <c r="L68">
        <v>30</v>
      </c>
      <c r="M68" t="b">
        <v>1</v>
      </c>
      <c r="N68" t="s">
        <v>27</v>
      </c>
      <c r="O68" t="s">
        <v>19</v>
      </c>
      <c r="P68" s="5">
        <v>13</v>
      </c>
      <c r="Q68" s="1">
        <v>44596</v>
      </c>
      <c r="R68">
        <v>2.8636602920000001</v>
      </c>
      <c r="S68" s="1">
        <v>44412</v>
      </c>
      <c r="T68" s="13">
        <v>12.5</v>
      </c>
      <c r="U68" s="13">
        <v>0.692409410056956</v>
      </c>
      <c r="V68">
        <v>0.69240941005699996</v>
      </c>
      <c r="W68">
        <v>12.5</v>
      </c>
      <c r="X68" s="27">
        <f t="shared" si="7"/>
        <v>-4.3964831775156199E-14</v>
      </c>
      <c r="Z68" s="1">
        <v>44231</v>
      </c>
      <c r="AA68" s="13">
        <v>12.008219178082191</v>
      </c>
      <c r="AB68" s="13">
        <v>0.67152877539232014</v>
      </c>
      <c r="AC68" s="27">
        <f t="shared" si="8"/>
        <v>4.0453923201289044E-6</v>
      </c>
      <c r="AD68" s="29">
        <v>44231</v>
      </c>
      <c r="AE68">
        <v>4383</v>
      </c>
      <c r="AF68">
        <v>0.67152473000000001</v>
      </c>
    </row>
    <row r="69" spans="12:32" x14ac:dyDescent="0.2">
      <c r="L69">
        <v>31</v>
      </c>
      <c r="M69" t="b">
        <v>1</v>
      </c>
      <c r="N69" t="s">
        <v>27</v>
      </c>
      <c r="O69" t="s">
        <v>19</v>
      </c>
      <c r="P69" s="5">
        <v>13.5</v>
      </c>
      <c r="Q69" s="1">
        <v>44777</v>
      </c>
      <c r="R69">
        <v>2.8925077190000001</v>
      </c>
      <c r="S69" s="1">
        <v>44596</v>
      </c>
      <c r="T69" s="13">
        <v>13</v>
      </c>
      <c r="U69" s="13">
        <v>0.67954933568219589</v>
      </c>
      <c r="V69">
        <v>0.67954933568200004</v>
      </c>
      <c r="W69">
        <v>13</v>
      </c>
      <c r="X69" s="27">
        <f t="shared" si="7"/>
        <v>1.9584334154387761E-13</v>
      </c>
      <c r="Z69" s="1">
        <v>44412</v>
      </c>
      <c r="AA69" s="13">
        <v>12.504109589041096</v>
      </c>
      <c r="AB69" s="13">
        <v>0.65443529795282718</v>
      </c>
      <c r="AC69" s="27">
        <f t="shared" si="8"/>
        <v>-5.6552047172808706E-5</v>
      </c>
      <c r="AD69" s="29">
        <v>44412</v>
      </c>
      <c r="AE69">
        <v>4564</v>
      </c>
      <c r="AF69">
        <v>0.65449184999999999</v>
      </c>
    </row>
    <row r="70" spans="12:32" x14ac:dyDescent="0.2">
      <c r="L70">
        <v>32</v>
      </c>
      <c r="M70" t="b">
        <v>1</v>
      </c>
      <c r="N70" t="s">
        <v>27</v>
      </c>
      <c r="O70" t="s">
        <v>19</v>
      </c>
      <c r="P70" s="5">
        <v>14</v>
      </c>
      <c r="Q70" s="1">
        <v>44961</v>
      </c>
      <c r="R70">
        <v>2.9213551460000002</v>
      </c>
      <c r="S70" s="1">
        <v>44777</v>
      </c>
      <c r="T70" s="13">
        <v>13.5</v>
      </c>
      <c r="U70" s="13">
        <v>0.66667936130997085</v>
      </c>
      <c r="V70">
        <v>0.66667936131000005</v>
      </c>
      <c r="W70">
        <v>13.5</v>
      </c>
      <c r="X70" s="27">
        <f t="shared" si="7"/>
        <v>-2.9198865547641617E-14</v>
      </c>
      <c r="Z70" s="1">
        <v>44596</v>
      </c>
      <c r="AA70" s="13">
        <v>13.008219178082191</v>
      </c>
      <c r="AB70" s="13">
        <v>0.63704198826354796</v>
      </c>
      <c r="AC70" s="27">
        <f t="shared" si="8"/>
        <v>-7.4317364520126716E-6</v>
      </c>
      <c r="AD70" s="29">
        <v>44596</v>
      </c>
      <c r="AE70">
        <v>4748</v>
      </c>
      <c r="AF70">
        <v>0.63704941999999998</v>
      </c>
    </row>
    <row r="71" spans="12:32" x14ac:dyDescent="0.2">
      <c r="L71">
        <v>33</v>
      </c>
      <c r="M71" t="b">
        <v>1</v>
      </c>
      <c r="N71" t="s">
        <v>27</v>
      </c>
      <c r="O71" t="s">
        <v>19</v>
      </c>
      <c r="P71" s="5">
        <v>14.5</v>
      </c>
      <c r="Q71" s="1">
        <v>45142</v>
      </c>
      <c r="R71">
        <v>2.9502025729999999</v>
      </c>
      <c r="S71" s="1">
        <v>44961</v>
      </c>
      <c r="T71" s="13">
        <v>14</v>
      </c>
      <c r="U71" s="13">
        <v>0.65380511827635357</v>
      </c>
      <c r="V71">
        <v>0.65380511827599996</v>
      </c>
      <c r="W71">
        <v>14</v>
      </c>
      <c r="X71" s="27">
        <f t="shared" si="7"/>
        <v>3.5360603334311236E-13</v>
      </c>
      <c r="Z71" s="1">
        <v>44777</v>
      </c>
      <c r="AA71" s="13">
        <v>13.504109589041096</v>
      </c>
      <c r="AB71" s="13">
        <v>0.61970799844886515</v>
      </c>
      <c r="AC71" s="27">
        <f t="shared" si="8"/>
        <v>-7.1721551134884542E-5</v>
      </c>
      <c r="AD71" s="29">
        <v>44777</v>
      </c>
      <c r="AE71">
        <v>4929</v>
      </c>
      <c r="AF71">
        <v>0.61977972000000003</v>
      </c>
    </row>
    <row r="72" spans="12:32" x14ac:dyDescent="0.2">
      <c r="L72">
        <v>34</v>
      </c>
      <c r="M72" t="b">
        <v>1</v>
      </c>
      <c r="N72" t="s">
        <v>27</v>
      </c>
      <c r="O72" t="s">
        <v>19</v>
      </c>
      <c r="P72" s="5">
        <v>15</v>
      </c>
      <c r="Q72" s="1">
        <v>45326</v>
      </c>
      <c r="R72">
        <v>2.97905</v>
      </c>
      <c r="S72" s="1">
        <v>45142</v>
      </c>
      <c r="T72" s="13">
        <v>14.5</v>
      </c>
      <c r="U72" s="13">
        <v>0.6409321584840264</v>
      </c>
      <c r="V72">
        <v>0.64093215848399998</v>
      </c>
      <c r="W72">
        <v>14.5</v>
      </c>
      <c r="X72" s="27">
        <f t="shared" si="7"/>
        <v>2.6423307986078726E-14</v>
      </c>
      <c r="Z72" s="1">
        <v>44963</v>
      </c>
      <c r="AA72" s="13">
        <v>14.013698630136986</v>
      </c>
      <c r="AB72" s="13">
        <v>0.60200208913933539</v>
      </c>
      <c r="AC72" s="27">
        <f t="shared" si="8"/>
        <v>5.925913933535476E-5</v>
      </c>
      <c r="AD72" s="29">
        <v>44963</v>
      </c>
      <c r="AE72">
        <v>5115</v>
      </c>
      <c r="AF72">
        <v>0.60194283000000004</v>
      </c>
    </row>
    <row r="73" spans="12:32" x14ac:dyDescent="0.2">
      <c r="L73">
        <v>35</v>
      </c>
      <c r="M73" t="b">
        <v>1</v>
      </c>
      <c r="N73" t="s">
        <v>28</v>
      </c>
      <c r="O73" t="s">
        <v>19</v>
      </c>
      <c r="P73" s="5">
        <v>15.5</v>
      </c>
      <c r="Q73" s="1">
        <v>45508</v>
      </c>
      <c r="R73">
        <v>3.0024241667</v>
      </c>
      <c r="S73" s="1">
        <v>45326</v>
      </c>
      <c r="T73" s="13">
        <v>15</v>
      </c>
      <c r="U73" s="13">
        <v>0.62806595162290901</v>
      </c>
      <c r="V73">
        <v>0.62806595162300005</v>
      </c>
      <c r="W73">
        <v>15</v>
      </c>
      <c r="X73" s="27">
        <f t="shared" si="7"/>
        <v>-9.1038288019262836E-14</v>
      </c>
      <c r="Z73" s="1">
        <v>45142</v>
      </c>
      <c r="AA73" s="13">
        <v>14.504109589041096</v>
      </c>
      <c r="AB73" s="13">
        <v>0.58461008720971075</v>
      </c>
      <c r="AC73" s="27">
        <f t="shared" si="8"/>
        <v>-8.886279028930133E-5</v>
      </c>
      <c r="AD73" s="29">
        <v>45142</v>
      </c>
      <c r="AE73">
        <v>5294</v>
      </c>
      <c r="AF73">
        <v>0.58469895000000005</v>
      </c>
    </row>
    <row r="74" spans="12:32" x14ac:dyDescent="0.2">
      <c r="L74">
        <v>36</v>
      </c>
      <c r="M74" t="b">
        <v>1</v>
      </c>
      <c r="N74" t="s">
        <v>28</v>
      </c>
      <c r="O74" t="s">
        <v>19</v>
      </c>
      <c r="P74" s="5">
        <v>16</v>
      </c>
      <c r="Q74" s="1">
        <v>45692</v>
      </c>
      <c r="R74">
        <v>3.0257983334</v>
      </c>
      <c r="S74" s="1">
        <v>45508</v>
      </c>
      <c r="T74" s="13">
        <v>15.5</v>
      </c>
      <c r="U74" s="13">
        <v>0.61590169888524149</v>
      </c>
      <c r="V74">
        <v>0.61590169888500002</v>
      </c>
      <c r="W74">
        <v>15.5</v>
      </c>
      <c r="X74" s="27">
        <f t="shared" si="7"/>
        <v>2.4147350785597155E-13</v>
      </c>
      <c r="Z74" s="1">
        <v>45327</v>
      </c>
      <c r="AA74" s="13">
        <v>15.010958904109589</v>
      </c>
      <c r="AB74" s="13">
        <v>0.56683258661523339</v>
      </c>
      <c r="AC74" s="27">
        <f t="shared" si="8"/>
        <v>7.2766152333647582E-6</v>
      </c>
      <c r="AD74" s="29">
        <v>45327</v>
      </c>
      <c r="AE74">
        <v>5479</v>
      </c>
      <c r="AF74">
        <v>0.56682531000000003</v>
      </c>
    </row>
    <row r="75" spans="12:32" x14ac:dyDescent="0.2">
      <c r="L75">
        <v>37</v>
      </c>
      <c r="M75" t="b">
        <v>1</v>
      </c>
      <c r="N75" t="s">
        <v>28</v>
      </c>
      <c r="O75" t="s">
        <v>19</v>
      </c>
      <c r="P75" s="5">
        <v>16.5</v>
      </c>
      <c r="Q75" s="1">
        <v>45873</v>
      </c>
      <c r="R75">
        <v>3.0491725001000001</v>
      </c>
      <c r="S75" s="1">
        <v>45692</v>
      </c>
      <c r="T75" s="13">
        <v>16</v>
      </c>
      <c r="U75" s="13">
        <v>0.6037769199374341</v>
      </c>
      <c r="V75">
        <v>0.603776919937</v>
      </c>
      <c r="W75">
        <v>16</v>
      </c>
      <c r="X75" s="27">
        <f t="shared" si="7"/>
        <v>4.3409720262843621E-13</v>
      </c>
      <c r="Z75" s="1">
        <v>45510</v>
      </c>
      <c r="AA75" s="13">
        <v>15.512328767123288</v>
      </c>
      <c r="AB75" s="13">
        <v>0.55408921567463876</v>
      </c>
      <c r="AC75" s="27">
        <f t="shared" si="8"/>
        <v>1.1765674638786194E-5</v>
      </c>
      <c r="AD75" s="29">
        <v>45510</v>
      </c>
      <c r="AE75">
        <v>5662</v>
      </c>
      <c r="AF75">
        <v>0.55407744999999997</v>
      </c>
    </row>
    <row r="76" spans="12:32" x14ac:dyDescent="0.2">
      <c r="L76">
        <v>38</v>
      </c>
      <c r="M76" t="b">
        <v>1</v>
      </c>
      <c r="N76" t="s">
        <v>28</v>
      </c>
      <c r="O76" t="s">
        <v>19</v>
      </c>
      <c r="P76" s="5">
        <v>17</v>
      </c>
      <c r="Q76" s="1">
        <v>46057</v>
      </c>
      <c r="R76">
        <v>3.0725466668000001</v>
      </c>
      <c r="S76" s="1">
        <v>45873</v>
      </c>
      <c r="T76" s="13">
        <v>16.5</v>
      </c>
      <c r="U76" s="13">
        <v>0.59169520926553887</v>
      </c>
      <c r="V76">
        <v>0.59169520926600006</v>
      </c>
      <c r="W76">
        <v>16.5</v>
      </c>
      <c r="X76" s="27">
        <f t="shared" si="7"/>
        <v>-4.6118664442929003E-13</v>
      </c>
      <c r="Z76" s="1">
        <v>45692</v>
      </c>
      <c r="AA76" s="13">
        <v>16.010958904109589</v>
      </c>
      <c r="AB76" s="13">
        <v>0.54150084614637206</v>
      </c>
      <c r="AC76" s="27">
        <f t="shared" si="8"/>
        <v>8.0614637210096873E-7</v>
      </c>
      <c r="AD76" s="29">
        <v>45692</v>
      </c>
      <c r="AE76">
        <v>5844</v>
      </c>
      <c r="AF76">
        <v>0.54150003999999996</v>
      </c>
    </row>
    <row r="77" spans="12:32" x14ac:dyDescent="0.2">
      <c r="L77">
        <v>39</v>
      </c>
      <c r="M77" t="b">
        <v>1</v>
      </c>
      <c r="N77" t="s">
        <v>28</v>
      </c>
      <c r="O77" t="s">
        <v>19</v>
      </c>
      <c r="P77" s="5">
        <v>17.5</v>
      </c>
      <c r="Q77" s="1">
        <v>46238</v>
      </c>
      <c r="R77">
        <v>3.0959208335000001</v>
      </c>
      <c r="S77" s="1">
        <v>46057</v>
      </c>
      <c r="T77" s="13">
        <v>17</v>
      </c>
      <c r="U77" s="13">
        <v>0.57966008714091677</v>
      </c>
      <c r="V77">
        <v>0.57966008714100004</v>
      </c>
      <c r="W77">
        <v>17</v>
      </c>
      <c r="X77" s="27">
        <f t="shared" si="7"/>
        <v>-8.3266726846886741E-14</v>
      </c>
      <c r="Z77" s="1">
        <v>45874</v>
      </c>
      <c r="AA77" s="13">
        <v>16.509589041095889</v>
      </c>
      <c r="AB77" s="13">
        <v>0.52901573503837074</v>
      </c>
      <c r="AC77" s="27">
        <f t="shared" si="8"/>
        <v>-1.0404961629295606E-5</v>
      </c>
      <c r="AD77" s="29">
        <v>45874</v>
      </c>
      <c r="AE77">
        <v>6026</v>
      </c>
      <c r="AF77">
        <v>0.52902614000000003</v>
      </c>
    </row>
    <row r="78" spans="12:32" x14ac:dyDescent="0.2">
      <c r="L78">
        <v>40</v>
      </c>
      <c r="M78" t="b">
        <v>1</v>
      </c>
      <c r="N78" t="s">
        <v>28</v>
      </c>
      <c r="O78" t="s">
        <v>19</v>
      </c>
      <c r="P78" s="5">
        <v>18</v>
      </c>
      <c r="Q78" s="1">
        <v>46422</v>
      </c>
      <c r="R78">
        <v>3.1192950001999997</v>
      </c>
      <c r="S78" s="1">
        <v>46238</v>
      </c>
      <c r="T78" s="13">
        <v>17.5</v>
      </c>
      <c r="U78" s="13">
        <v>0.5676749987258114</v>
      </c>
      <c r="V78">
        <v>0.56767499872600002</v>
      </c>
      <c r="W78">
        <v>17.5</v>
      </c>
      <c r="X78" s="27">
        <f t="shared" si="7"/>
        <v>-1.886268918838141E-13</v>
      </c>
      <c r="Z78" s="1">
        <v>46057</v>
      </c>
      <c r="AA78" s="13">
        <v>17.010958904109589</v>
      </c>
      <c r="AB78" s="13">
        <v>0.5165853532331568</v>
      </c>
      <c r="AC78" s="27">
        <f t="shared" si="8"/>
        <v>-5.6567668431650731E-6</v>
      </c>
      <c r="AD78" s="29">
        <v>46057</v>
      </c>
      <c r="AE78">
        <v>6209</v>
      </c>
      <c r="AF78">
        <v>0.51659100999999996</v>
      </c>
    </row>
    <row r="79" spans="12:32" x14ac:dyDescent="0.2">
      <c r="L79">
        <v>41</v>
      </c>
      <c r="M79" t="b">
        <v>1</v>
      </c>
      <c r="N79" t="s">
        <v>28</v>
      </c>
      <c r="O79" t="s">
        <v>19</v>
      </c>
      <c r="P79" s="5">
        <v>18.5</v>
      </c>
      <c r="Q79" s="1">
        <v>46603</v>
      </c>
      <c r="R79">
        <v>3.1426691668999998</v>
      </c>
      <c r="S79" s="1">
        <v>46422</v>
      </c>
      <c r="T79" s="13">
        <v>18</v>
      </c>
      <c r="U79" s="13">
        <v>0.55574331324451831</v>
      </c>
      <c r="V79">
        <v>0.55574331324500004</v>
      </c>
      <c r="W79">
        <v>18</v>
      </c>
      <c r="X79" s="27">
        <f t="shared" si="7"/>
        <v>-4.8172577038485542E-13</v>
      </c>
      <c r="Z79" s="1">
        <v>46238</v>
      </c>
      <c r="AA79" s="13">
        <v>17.506849315068493</v>
      </c>
      <c r="AB79" s="13">
        <v>0.50436423174929823</v>
      </c>
      <c r="AC79" s="27">
        <f t="shared" si="8"/>
        <v>-3.3808250701761189E-5</v>
      </c>
      <c r="AD79" s="29">
        <v>46238</v>
      </c>
      <c r="AE79">
        <v>6390</v>
      </c>
      <c r="AF79">
        <v>0.50439803999999999</v>
      </c>
    </row>
    <row r="80" spans="12:32" x14ac:dyDescent="0.2">
      <c r="L80">
        <v>42</v>
      </c>
      <c r="M80" t="b">
        <v>1</v>
      </c>
      <c r="N80" t="s">
        <v>28</v>
      </c>
      <c r="O80" t="s">
        <v>19</v>
      </c>
      <c r="P80" s="5">
        <v>19</v>
      </c>
      <c r="Q80" s="1">
        <v>46787</v>
      </c>
      <c r="R80">
        <v>3.1660433335999998</v>
      </c>
      <c r="S80" s="1">
        <v>46603</v>
      </c>
      <c r="T80" s="13">
        <v>18.5</v>
      </c>
      <c r="U80" s="13">
        <v>0.54386832321980294</v>
      </c>
      <c r="V80">
        <v>0.54386832322000001</v>
      </c>
      <c r="W80">
        <v>18.5</v>
      </c>
      <c r="X80" s="27">
        <f t="shared" si="7"/>
        <v>-1.9706458687096529E-13</v>
      </c>
      <c r="Z80" s="1">
        <v>46422</v>
      </c>
      <c r="AA80" s="13">
        <v>18.010958904109589</v>
      </c>
      <c r="AB80" s="13">
        <v>0.49210444624821204</v>
      </c>
      <c r="AC80" s="27">
        <f t="shared" si="8"/>
        <v>-1.206375178797181E-5</v>
      </c>
      <c r="AD80" s="29">
        <v>46422</v>
      </c>
      <c r="AE80">
        <v>6574</v>
      </c>
      <c r="AF80">
        <v>0.49211651000000001</v>
      </c>
    </row>
    <row r="81" spans="12:32" x14ac:dyDescent="0.2">
      <c r="L81">
        <v>43</v>
      </c>
      <c r="M81" t="b">
        <v>1</v>
      </c>
      <c r="N81" t="s">
        <v>28</v>
      </c>
      <c r="O81" t="s">
        <v>19</v>
      </c>
      <c r="P81" s="5">
        <v>19.5</v>
      </c>
      <c r="Q81" s="1">
        <v>46969</v>
      </c>
      <c r="R81">
        <v>3.1894175002999998</v>
      </c>
      <c r="S81" s="1">
        <v>46787</v>
      </c>
      <c r="T81" s="13">
        <v>19</v>
      </c>
      <c r="U81" s="13">
        <v>0.53205324377416385</v>
      </c>
      <c r="V81">
        <v>0.53205324377399998</v>
      </c>
      <c r="W81">
        <v>19</v>
      </c>
      <c r="X81" s="27">
        <f t="shared" si="7"/>
        <v>1.6386891843467311E-13</v>
      </c>
      <c r="Z81" s="1">
        <v>46603</v>
      </c>
      <c r="AA81" s="13">
        <v>18.506849315068493</v>
      </c>
      <c r="AB81" s="13">
        <v>0.48010413229449256</v>
      </c>
      <c r="AC81" s="27">
        <f t="shared" si="8"/>
        <v>-4.1197705507423077E-5</v>
      </c>
      <c r="AD81" s="29">
        <v>46603</v>
      </c>
      <c r="AE81">
        <v>6755</v>
      </c>
      <c r="AF81">
        <v>0.48014532999999998</v>
      </c>
    </row>
    <row r="82" spans="12:32" x14ac:dyDescent="0.2">
      <c r="L82">
        <v>44</v>
      </c>
      <c r="M82" t="b">
        <v>1</v>
      </c>
      <c r="N82" t="s">
        <v>28</v>
      </c>
      <c r="O82" t="s">
        <v>19</v>
      </c>
      <c r="P82" s="5">
        <v>20</v>
      </c>
      <c r="Q82" s="1">
        <v>47153</v>
      </c>
      <c r="R82">
        <v>3.2127916669999999</v>
      </c>
      <c r="S82" s="1">
        <v>46969</v>
      </c>
      <c r="T82" s="13">
        <v>19.5</v>
      </c>
      <c r="U82" s="13">
        <v>0.52030121199548729</v>
      </c>
      <c r="V82">
        <v>0.52030121199500001</v>
      </c>
      <c r="W82">
        <v>19.5</v>
      </c>
      <c r="X82" s="27">
        <f t="shared" si="7"/>
        <v>4.8727688550798121E-13</v>
      </c>
      <c r="Z82" s="1">
        <v>46787</v>
      </c>
      <c r="AA82" s="13">
        <v>19.010958904109589</v>
      </c>
      <c r="AB82" s="13">
        <v>0.4680746913419922</v>
      </c>
      <c r="AC82" s="27">
        <f t="shared" si="8"/>
        <v>-1.8628658007779908E-5</v>
      </c>
      <c r="AD82" s="29">
        <v>46787</v>
      </c>
      <c r="AE82">
        <v>6939</v>
      </c>
      <c r="AF82">
        <v>0.46809331999999998</v>
      </c>
    </row>
    <row r="83" spans="12:32" x14ac:dyDescent="0.2">
      <c r="L83">
        <v>45</v>
      </c>
      <c r="M83" t="b">
        <v>1</v>
      </c>
      <c r="N83" t="s">
        <v>29</v>
      </c>
      <c r="O83" t="s">
        <v>19</v>
      </c>
      <c r="P83" s="5">
        <v>20.5</v>
      </c>
      <c r="Q83" s="1">
        <v>47334</v>
      </c>
      <c r="R83">
        <v>3.2215479169999997</v>
      </c>
      <c r="S83" s="1">
        <v>47153</v>
      </c>
      <c r="T83" s="13">
        <v>20</v>
      </c>
      <c r="U83" s="13">
        <v>0.50861528636658515</v>
      </c>
      <c r="V83">
        <v>0.50861528636700004</v>
      </c>
      <c r="W83">
        <v>20</v>
      </c>
      <c r="X83" s="27">
        <f t="shared" si="7"/>
        <v>-4.14890344302421E-13</v>
      </c>
      <c r="Z83" s="1">
        <v>46969</v>
      </c>
      <c r="AA83" s="13">
        <v>19.509589041095889</v>
      </c>
      <c r="AB83" s="13">
        <v>0.45625677297105927</v>
      </c>
      <c r="AC83" s="27">
        <f t="shared" si="8"/>
        <v>-3.1027028940755486E-5</v>
      </c>
      <c r="AD83" s="29">
        <v>46969</v>
      </c>
      <c r="AE83">
        <v>7121</v>
      </c>
      <c r="AF83">
        <v>0.45628780000000002</v>
      </c>
    </row>
    <row r="84" spans="12:32" x14ac:dyDescent="0.2">
      <c r="L84">
        <v>46</v>
      </c>
      <c r="M84" t="b">
        <v>1</v>
      </c>
      <c r="N84" t="s">
        <v>29</v>
      </c>
      <c r="O84" t="s">
        <v>19</v>
      </c>
      <c r="P84" s="5">
        <v>21</v>
      </c>
      <c r="Q84" s="1">
        <v>47518</v>
      </c>
      <c r="R84">
        <v>3.2303041669999999</v>
      </c>
      <c r="S84" s="1">
        <v>47334</v>
      </c>
      <c r="T84" s="13">
        <v>20.5</v>
      </c>
      <c r="U84" s="13">
        <v>0.49923451052505391</v>
      </c>
      <c r="V84">
        <v>0.49923451052500001</v>
      </c>
      <c r="W84">
        <v>20.5</v>
      </c>
      <c r="X84" s="27">
        <f t="shared" si="7"/>
        <v>5.390132784555135E-14</v>
      </c>
      <c r="AD84" s="29">
        <v>47154</v>
      </c>
      <c r="AE84">
        <v>7306</v>
      </c>
      <c r="AF84">
        <v>0.44441028999999999</v>
      </c>
    </row>
    <row r="85" spans="12:32" x14ac:dyDescent="0.2">
      <c r="L85">
        <v>47</v>
      </c>
      <c r="M85" t="b">
        <v>1</v>
      </c>
      <c r="N85" t="s">
        <v>29</v>
      </c>
      <c r="O85" t="s">
        <v>19</v>
      </c>
      <c r="P85" s="5">
        <v>21.5</v>
      </c>
      <c r="Q85" s="1">
        <v>47699</v>
      </c>
      <c r="R85">
        <v>3.2390604169999997</v>
      </c>
      <c r="S85" s="1">
        <v>47518</v>
      </c>
      <c r="T85" s="13">
        <v>21</v>
      </c>
      <c r="U85" s="13">
        <v>0.48995982080593126</v>
      </c>
      <c r="V85">
        <v>0.48995982080599998</v>
      </c>
      <c r="W85">
        <v>21</v>
      </c>
      <c r="X85" s="27">
        <f t="shared" si="7"/>
        <v>-6.872280522429719E-14</v>
      </c>
      <c r="AD85" s="29">
        <v>47337</v>
      </c>
      <c r="AE85">
        <v>7489</v>
      </c>
      <c r="AF85">
        <v>0.43745362999999998</v>
      </c>
    </row>
    <row r="86" spans="12:32" x14ac:dyDescent="0.2">
      <c r="L86">
        <v>48</v>
      </c>
      <c r="M86" t="b">
        <v>1</v>
      </c>
      <c r="N86" t="s">
        <v>29</v>
      </c>
      <c r="O86" t="s">
        <v>19</v>
      </c>
      <c r="P86" s="5">
        <v>22</v>
      </c>
      <c r="Q86" s="1">
        <v>47883</v>
      </c>
      <c r="R86">
        <v>3.2478166669999999</v>
      </c>
      <c r="S86" s="1">
        <v>47699</v>
      </c>
      <c r="T86" s="13">
        <v>21.5</v>
      </c>
      <c r="U86" s="13">
        <v>0.48079072525233613</v>
      </c>
      <c r="V86">
        <v>0.48079072525200001</v>
      </c>
      <c r="W86">
        <v>21.5</v>
      </c>
      <c r="X86" s="27">
        <f t="shared" si="7"/>
        <v>3.3612002070526614E-13</v>
      </c>
      <c r="AD86" s="29">
        <v>47518</v>
      </c>
      <c r="AE86">
        <v>7670</v>
      </c>
      <c r="AF86">
        <v>0.43073854</v>
      </c>
    </row>
    <row r="87" spans="12:32" x14ac:dyDescent="0.2">
      <c r="L87">
        <v>49</v>
      </c>
      <c r="M87" t="b">
        <v>1</v>
      </c>
      <c r="N87" t="s">
        <v>29</v>
      </c>
      <c r="O87" t="s">
        <v>19</v>
      </c>
      <c r="P87" s="5">
        <v>22.5</v>
      </c>
      <c r="Q87" s="1">
        <v>48064</v>
      </c>
      <c r="R87">
        <v>3.2565729169999997</v>
      </c>
      <c r="S87" s="1">
        <v>47883</v>
      </c>
      <c r="T87" s="13">
        <v>22</v>
      </c>
      <c r="U87" s="13">
        <v>0.47172672157197526</v>
      </c>
      <c r="V87">
        <v>0.47172672157200002</v>
      </c>
      <c r="W87">
        <v>22</v>
      </c>
      <c r="X87" s="27">
        <f t="shared" si="7"/>
        <v>-2.4757973449140991E-14</v>
      </c>
      <c r="AD87" s="29">
        <v>47701</v>
      </c>
      <c r="AE87">
        <v>7853</v>
      </c>
      <c r="AF87">
        <v>0.42411400999999999</v>
      </c>
    </row>
    <row r="88" spans="12:32" x14ac:dyDescent="0.2">
      <c r="L88">
        <v>50</v>
      </c>
      <c r="M88" t="b">
        <v>1</v>
      </c>
      <c r="N88" t="s">
        <v>29</v>
      </c>
      <c r="O88" t="s">
        <v>19</v>
      </c>
      <c r="P88" s="5">
        <v>23</v>
      </c>
      <c r="Q88" s="1">
        <v>48248</v>
      </c>
      <c r="R88">
        <v>3.265329167</v>
      </c>
      <c r="S88" s="1">
        <v>48064</v>
      </c>
      <c r="T88" s="13">
        <v>22.5</v>
      </c>
      <c r="U88" s="13">
        <v>0.46276729741093059</v>
      </c>
      <c r="V88">
        <v>0.46276729741099998</v>
      </c>
      <c r="W88">
        <v>22.5</v>
      </c>
      <c r="X88" s="27">
        <f t="shared" si="7"/>
        <v>-6.9388939039072284E-14</v>
      </c>
      <c r="AD88" s="29">
        <v>47883</v>
      </c>
      <c r="AE88">
        <v>8035</v>
      </c>
      <c r="AF88">
        <v>0.41768506</v>
      </c>
    </row>
    <row r="89" spans="12:32" x14ac:dyDescent="0.2">
      <c r="L89">
        <v>51</v>
      </c>
      <c r="M89" t="b">
        <v>1</v>
      </c>
      <c r="N89" t="s">
        <v>29</v>
      </c>
      <c r="O89" t="s">
        <v>19</v>
      </c>
      <c r="P89" s="5">
        <v>23.5</v>
      </c>
      <c r="Q89" s="1">
        <v>48430</v>
      </c>
      <c r="R89">
        <v>3.2740854169999998</v>
      </c>
      <c r="S89" s="1">
        <v>48248</v>
      </c>
      <c r="T89" s="13">
        <v>23</v>
      </c>
      <c r="U89" s="13">
        <v>0.45391193062564839</v>
      </c>
      <c r="V89">
        <v>0.45391193062599999</v>
      </c>
      <c r="W89">
        <v>23</v>
      </c>
      <c r="X89" s="27">
        <f t="shared" si="7"/>
        <v>-3.5160763189878708E-13</v>
      </c>
      <c r="AD89" s="29">
        <v>48065</v>
      </c>
      <c r="AE89">
        <v>8217</v>
      </c>
      <c r="AF89">
        <v>0.41141158999999999</v>
      </c>
    </row>
    <row r="90" spans="12:32" x14ac:dyDescent="0.2">
      <c r="L90">
        <v>52</v>
      </c>
      <c r="M90" t="b">
        <v>1</v>
      </c>
      <c r="N90" t="s">
        <v>29</v>
      </c>
      <c r="O90" t="s">
        <v>19</v>
      </c>
      <c r="P90" s="5">
        <v>24</v>
      </c>
      <c r="Q90" s="1">
        <v>48614</v>
      </c>
      <c r="R90">
        <v>3.282841667</v>
      </c>
      <c r="S90" s="1">
        <v>48430</v>
      </c>
      <c r="T90" s="13">
        <v>23.5</v>
      </c>
      <c r="U90" s="13">
        <v>0.44516008955307895</v>
      </c>
      <c r="V90">
        <v>0.44516008955300002</v>
      </c>
      <c r="W90">
        <v>23.5</v>
      </c>
      <c r="X90" s="27">
        <f t="shared" si="7"/>
        <v>7.893685705084863E-14</v>
      </c>
      <c r="AD90" s="29">
        <v>48248</v>
      </c>
      <c r="AE90">
        <v>8400</v>
      </c>
      <c r="AF90">
        <v>0.40525699999999998</v>
      </c>
    </row>
    <row r="91" spans="12:32" x14ac:dyDescent="0.2">
      <c r="L91">
        <v>53</v>
      </c>
      <c r="M91" t="b">
        <v>1</v>
      </c>
      <c r="N91" t="s">
        <v>29</v>
      </c>
      <c r="O91" t="s">
        <v>19</v>
      </c>
      <c r="P91" s="5">
        <v>24.5</v>
      </c>
      <c r="Q91" s="1">
        <v>48795</v>
      </c>
      <c r="R91">
        <v>3.2915979169999998</v>
      </c>
      <c r="V91">
        <v>0.43651123327899999</v>
      </c>
      <c r="W91">
        <v>24</v>
      </c>
      <c r="X91" s="27">
        <f t="shared" si="7"/>
        <v>-0.43651123327899999</v>
      </c>
      <c r="AD91" s="29">
        <v>48430</v>
      </c>
      <c r="AE91">
        <v>8582</v>
      </c>
      <c r="AF91">
        <v>0.39928430999999998</v>
      </c>
    </row>
    <row r="92" spans="12:32" x14ac:dyDescent="0.2">
      <c r="L92">
        <v>54</v>
      </c>
      <c r="M92" t="b">
        <v>1</v>
      </c>
      <c r="N92" t="s">
        <v>29</v>
      </c>
      <c r="O92" t="s">
        <v>19</v>
      </c>
      <c r="P92" s="5">
        <v>25</v>
      </c>
      <c r="Q92" s="1">
        <v>48979</v>
      </c>
      <c r="R92">
        <v>3.3003541670000001</v>
      </c>
      <c r="V92">
        <v>0.42796481190399999</v>
      </c>
      <c r="W92">
        <v>24.5</v>
      </c>
      <c r="X92" s="27">
        <f t="shared" si="7"/>
        <v>-0.42796481190399999</v>
      </c>
      <c r="AD92" s="29">
        <v>48614</v>
      </c>
      <c r="AE92">
        <v>8766</v>
      </c>
      <c r="AF92">
        <v>0.39339362999999999</v>
      </c>
    </row>
    <row r="93" spans="12:32" x14ac:dyDescent="0.2">
      <c r="L93">
        <v>55</v>
      </c>
      <c r="M93" t="b">
        <v>1</v>
      </c>
      <c r="N93" t="s">
        <v>29</v>
      </c>
      <c r="O93" t="s">
        <v>19</v>
      </c>
      <c r="P93" s="5">
        <v>25.5</v>
      </c>
      <c r="Q93" s="1">
        <v>49160</v>
      </c>
      <c r="R93">
        <v>3.3091104169999999</v>
      </c>
      <c r="V93">
        <v>0.41952026680799998</v>
      </c>
      <c r="W93">
        <v>25</v>
      </c>
      <c r="X93" s="27">
        <f t="shared" si="7"/>
        <v>-0.41952026680799998</v>
      </c>
      <c r="AD93" s="29">
        <v>48795</v>
      </c>
      <c r="AE93">
        <v>8947</v>
      </c>
      <c r="AF93">
        <v>0.38773898000000001</v>
      </c>
    </row>
    <row r="94" spans="12:32" x14ac:dyDescent="0.2">
      <c r="L94">
        <v>56</v>
      </c>
      <c r="M94" t="b">
        <v>1</v>
      </c>
      <c r="N94" t="s">
        <v>29</v>
      </c>
      <c r="O94" t="s">
        <v>19</v>
      </c>
      <c r="P94" s="5">
        <v>26</v>
      </c>
      <c r="Q94" s="1">
        <v>49344</v>
      </c>
      <c r="R94">
        <v>3.3178666669999997</v>
      </c>
      <c r="V94">
        <v>0.41117703091300001</v>
      </c>
      <c r="W94">
        <v>25.5</v>
      </c>
      <c r="X94" s="27">
        <f t="shared" si="7"/>
        <v>-0.41117703091300001</v>
      </c>
      <c r="AD94" s="29">
        <v>48981</v>
      </c>
      <c r="AE94">
        <v>9133</v>
      </c>
      <c r="AF94">
        <v>0.38207161000000001</v>
      </c>
    </row>
    <row r="95" spans="12:32" x14ac:dyDescent="0.2">
      <c r="L95">
        <v>57</v>
      </c>
      <c r="M95" t="b">
        <v>1</v>
      </c>
      <c r="N95" t="s">
        <v>29</v>
      </c>
      <c r="O95" t="s">
        <v>19</v>
      </c>
      <c r="P95" s="5">
        <v>26.5</v>
      </c>
      <c r="Q95" s="1">
        <v>49525</v>
      </c>
      <c r="R95">
        <v>3.3266229169999999</v>
      </c>
      <c r="V95">
        <v>0.40293452894100001</v>
      </c>
      <c r="W95">
        <v>26</v>
      </c>
      <c r="X95" s="27">
        <f t="shared" si="7"/>
        <v>-0.40293452894100001</v>
      </c>
      <c r="AD95" s="29">
        <v>49160</v>
      </c>
      <c r="AE95">
        <v>9312</v>
      </c>
      <c r="AF95">
        <v>0.37610054999999998</v>
      </c>
    </row>
    <row r="96" spans="12:32" x14ac:dyDescent="0.2">
      <c r="L96">
        <v>58</v>
      </c>
      <c r="M96" t="b">
        <v>1</v>
      </c>
      <c r="N96" t="s">
        <v>29</v>
      </c>
      <c r="O96" t="s">
        <v>19</v>
      </c>
      <c r="P96" s="5">
        <v>27</v>
      </c>
      <c r="Q96" s="1">
        <v>49709</v>
      </c>
      <c r="R96">
        <v>3.3353791669999997</v>
      </c>
      <c r="V96">
        <v>0.39479217767699998</v>
      </c>
      <c r="W96">
        <v>26.5</v>
      </c>
      <c r="X96" s="27">
        <f t="shared" si="7"/>
        <v>-0.39479217767699998</v>
      </c>
      <c r="AD96" s="29">
        <v>49345</v>
      </c>
      <c r="AE96">
        <v>9497</v>
      </c>
      <c r="AF96">
        <v>0.37006218000000002</v>
      </c>
    </row>
    <row r="97" spans="12:32" x14ac:dyDescent="0.2">
      <c r="L97">
        <v>59</v>
      </c>
      <c r="M97" t="b">
        <v>1</v>
      </c>
      <c r="N97" t="s">
        <v>29</v>
      </c>
      <c r="O97" t="s">
        <v>19</v>
      </c>
      <c r="P97" s="5">
        <v>27.5</v>
      </c>
      <c r="Q97" s="1">
        <v>49891</v>
      </c>
      <c r="R97">
        <v>3.3441354169999999</v>
      </c>
      <c r="V97">
        <v>0.38674938621799998</v>
      </c>
      <c r="W97">
        <v>27</v>
      </c>
      <c r="X97" s="27">
        <f t="shared" si="7"/>
        <v>-0.38674938621799998</v>
      </c>
      <c r="AD97" s="29">
        <v>49528</v>
      </c>
      <c r="AE97">
        <v>9680</v>
      </c>
      <c r="AF97">
        <v>0.36421663999999998</v>
      </c>
    </row>
    <row r="98" spans="12:32" x14ac:dyDescent="0.2">
      <c r="L98">
        <v>60</v>
      </c>
      <c r="M98" t="b">
        <v>1</v>
      </c>
      <c r="N98" t="s">
        <v>29</v>
      </c>
      <c r="O98" t="s">
        <v>19</v>
      </c>
      <c r="P98" s="5">
        <v>28</v>
      </c>
      <c r="Q98" s="1">
        <v>50075</v>
      </c>
      <c r="R98">
        <v>3.3528916669999997</v>
      </c>
      <c r="V98">
        <v>0.37880555623200002</v>
      </c>
      <c r="W98">
        <v>27.5</v>
      </c>
      <c r="X98" s="27">
        <f t="shared" si="7"/>
        <v>-0.37880555623200002</v>
      </c>
      <c r="AD98" s="29">
        <v>49709</v>
      </c>
      <c r="AE98">
        <v>9861</v>
      </c>
      <c r="AF98">
        <v>0.35855711000000001</v>
      </c>
    </row>
    <row r="99" spans="12:32" x14ac:dyDescent="0.2">
      <c r="L99">
        <v>61</v>
      </c>
      <c r="M99" t="b">
        <v>1</v>
      </c>
      <c r="N99" t="s">
        <v>29</v>
      </c>
      <c r="O99" t="s">
        <v>19</v>
      </c>
      <c r="P99" s="5">
        <v>28.5</v>
      </c>
      <c r="Q99" s="1">
        <v>50256</v>
      </c>
      <c r="R99">
        <v>3.361647917</v>
      </c>
      <c r="V99">
        <v>0.370960082207</v>
      </c>
      <c r="W99">
        <v>28</v>
      </c>
      <c r="X99" s="27">
        <f t="shared" si="7"/>
        <v>-0.370960082207</v>
      </c>
      <c r="AD99" s="29">
        <v>49892</v>
      </c>
      <c r="AE99">
        <v>10044</v>
      </c>
      <c r="AF99">
        <v>0.35295696999999998</v>
      </c>
    </row>
    <row r="100" spans="12:32" x14ac:dyDescent="0.2">
      <c r="L100">
        <v>62</v>
      </c>
      <c r="M100" t="b">
        <v>1</v>
      </c>
      <c r="N100" t="s">
        <v>29</v>
      </c>
      <c r="O100" t="s">
        <v>19</v>
      </c>
      <c r="P100" s="5">
        <v>29</v>
      </c>
      <c r="Q100" s="1">
        <v>50440</v>
      </c>
      <c r="R100">
        <v>3.3704041669999998</v>
      </c>
      <c r="V100">
        <v>0.36321235169999999</v>
      </c>
      <c r="W100">
        <v>28.5</v>
      </c>
      <c r="X100" s="27">
        <f t="shared" si="7"/>
        <v>-0.36321235169999999</v>
      </c>
      <c r="AD100" s="29">
        <v>50075</v>
      </c>
      <c r="AE100">
        <v>10227</v>
      </c>
      <c r="AF100">
        <v>0.34747621000000001</v>
      </c>
    </row>
    <row r="101" spans="12:32" x14ac:dyDescent="0.2">
      <c r="L101">
        <v>63</v>
      </c>
      <c r="M101" t="b">
        <v>1</v>
      </c>
      <c r="N101" t="s">
        <v>29</v>
      </c>
      <c r="O101" t="s">
        <v>19</v>
      </c>
      <c r="P101" s="5">
        <v>29.5</v>
      </c>
      <c r="Q101" s="1">
        <v>50621</v>
      </c>
      <c r="R101">
        <v>3.379160417</v>
      </c>
      <c r="V101">
        <v>0.35556174558499998</v>
      </c>
      <c r="W101">
        <v>29</v>
      </c>
      <c r="X101" s="27">
        <f t="shared" si="7"/>
        <v>-0.35556174558499998</v>
      </c>
      <c r="AD101" s="29">
        <v>50256</v>
      </c>
      <c r="AE101">
        <v>10408</v>
      </c>
      <c r="AF101">
        <v>0.34216974</v>
      </c>
    </row>
    <row r="102" spans="12:32" x14ac:dyDescent="0.2">
      <c r="L102">
        <v>64</v>
      </c>
      <c r="M102" t="b">
        <v>1</v>
      </c>
      <c r="N102" t="s">
        <v>29</v>
      </c>
      <c r="O102" t="s">
        <v>19</v>
      </c>
      <c r="P102" s="5">
        <v>30</v>
      </c>
      <c r="Q102" s="1">
        <v>50805</v>
      </c>
      <c r="R102">
        <v>3.3879166669999998</v>
      </c>
      <c r="V102">
        <v>0.34800763829600001</v>
      </c>
      <c r="W102">
        <v>29.5</v>
      </c>
      <c r="X102" s="27">
        <f t="shared" si="7"/>
        <v>-0.34800763829600001</v>
      </c>
      <c r="AD102" s="29">
        <v>50440</v>
      </c>
      <c r="AE102">
        <v>10592</v>
      </c>
      <c r="AF102">
        <v>0.33689074000000002</v>
      </c>
    </row>
    <row r="103" spans="12:32" x14ac:dyDescent="0.2">
      <c r="V103">
        <v>0.34054939807099999</v>
      </c>
      <c r="W103">
        <v>30</v>
      </c>
      <c r="X103" s="27">
        <f t="shared" si="7"/>
        <v>-0.34054939807099999</v>
      </c>
      <c r="AD103" s="29">
        <v>50621</v>
      </c>
      <c r="AE103">
        <v>10773</v>
      </c>
      <c r="AF103">
        <v>0.33180737999999999</v>
      </c>
    </row>
    <row r="104" spans="12:32" x14ac:dyDescent="0.2">
      <c r="AD104" s="29">
        <v>50805</v>
      </c>
      <c r="AE104">
        <v>10957</v>
      </c>
      <c r="AF104">
        <v>0.32675028</v>
      </c>
    </row>
    <row r="105" spans="12:32" x14ac:dyDescent="0.2">
      <c r="AD105" s="29">
        <v>50986</v>
      </c>
      <c r="AE105">
        <v>11138</v>
      </c>
      <c r="AF105">
        <v>0.32148122000000001</v>
      </c>
    </row>
    <row r="106" spans="12:32" x14ac:dyDescent="0.2">
      <c r="AD106" s="29">
        <v>51172</v>
      </c>
      <c r="AE106">
        <v>11324</v>
      </c>
      <c r="AF106">
        <v>0.31617508</v>
      </c>
    </row>
    <row r="107" spans="12:32" x14ac:dyDescent="0.2">
      <c r="AD107" s="29">
        <v>51355</v>
      </c>
      <c r="AE107">
        <v>11507</v>
      </c>
      <c r="AF107">
        <v>0.31105759999999999</v>
      </c>
    </row>
    <row r="108" spans="12:32" x14ac:dyDescent="0.2">
      <c r="AD108" s="29">
        <v>51536</v>
      </c>
      <c r="AE108">
        <v>11688</v>
      </c>
      <c r="AF108">
        <v>0.30609486000000002</v>
      </c>
    </row>
    <row r="109" spans="12:32" x14ac:dyDescent="0.2">
      <c r="AD109" s="29">
        <v>51719</v>
      </c>
      <c r="AE109">
        <v>11871</v>
      </c>
      <c r="AF109">
        <v>0.30117613999999998</v>
      </c>
    </row>
    <row r="110" spans="12:32" x14ac:dyDescent="0.2">
      <c r="AD110" s="29">
        <v>51901</v>
      </c>
      <c r="AE110">
        <v>12053</v>
      </c>
      <c r="AF110">
        <v>0.29638022000000003</v>
      </c>
    </row>
    <row r="111" spans="12:32" x14ac:dyDescent="0.2">
      <c r="AD111" s="29">
        <v>52083</v>
      </c>
      <c r="AE111">
        <v>12235</v>
      </c>
      <c r="AF111">
        <v>0.29167826000000002</v>
      </c>
    </row>
    <row r="112" spans="12:32" x14ac:dyDescent="0.2">
      <c r="AD112" s="29">
        <v>52266</v>
      </c>
      <c r="AE112">
        <v>12418</v>
      </c>
      <c r="AF112">
        <v>0.28704353999999999</v>
      </c>
    </row>
    <row r="113" spans="30:32" x14ac:dyDescent="0.2">
      <c r="AD113" s="29">
        <v>52447</v>
      </c>
      <c r="AE113">
        <v>12599</v>
      </c>
      <c r="AF113">
        <v>0.28254878</v>
      </c>
    </row>
    <row r="114" spans="30:32" x14ac:dyDescent="0.2">
      <c r="AD114" s="29">
        <v>52631</v>
      </c>
      <c r="AE114">
        <v>12783</v>
      </c>
      <c r="AF114">
        <v>0.27806984000000001</v>
      </c>
    </row>
    <row r="115" spans="30:32" x14ac:dyDescent="0.2">
      <c r="AD115" s="29">
        <v>52813</v>
      </c>
      <c r="AE115">
        <v>12965</v>
      </c>
      <c r="AF115">
        <v>0.27313689000000002</v>
      </c>
    </row>
    <row r="116" spans="30:32" x14ac:dyDescent="0.2">
      <c r="AD116" s="29">
        <v>52999</v>
      </c>
      <c r="AE116">
        <v>13151</v>
      </c>
      <c r="AF116">
        <v>0.26818688000000002</v>
      </c>
    </row>
    <row r="117" spans="30:32" x14ac:dyDescent="0.2">
      <c r="AD117" s="29">
        <v>53178</v>
      </c>
      <c r="AE117">
        <v>13330</v>
      </c>
      <c r="AF117">
        <v>0.26350630000000003</v>
      </c>
    </row>
    <row r="118" spans="30:32" x14ac:dyDescent="0.2">
      <c r="AD118" s="29">
        <v>53363</v>
      </c>
      <c r="AE118">
        <v>13515</v>
      </c>
      <c r="AF118">
        <v>0.25875603000000003</v>
      </c>
    </row>
    <row r="119" spans="30:32" x14ac:dyDescent="0.2">
      <c r="AD119" s="29">
        <v>53546</v>
      </c>
      <c r="AE119">
        <v>13698</v>
      </c>
      <c r="AF119">
        <v>0.25414092999999999</v>
      </c>
    </row>
    <row r="120" spans="30:32" x14ac:dyDescent="0.2">
      <c r="AD120" s="29">
        <v>53727</v>
      </c>
      <c r="AE120">
        <v>13879</v>
      </c>
      <c r="AF120">
        <v>0.24965681000000001</v>
      </c>
    </row>
    <row r="121" spans="30:32" x14ac:dyDescent="0.2">
      <c r="AD121" s="29">
        <v>53910</v>
      </c>
      <c r="AE121">
        <v>14062</v>
      </c>
      <c r="AF121">
        <v>0.24520400000000001</v>
      </c>
    </row>
    <row r="122" spans="30:32" x14ac:dyDescent="0.2">
      <c r="AD122" s="29">
        <v>54092</v>
      </c>
      <c r="AE122">
        <v>14244</v>
      </c>
      <c r="AF122">
        <v>0.24085408</v>
      </c>
    </row>
    <row r="123" spans="30:32" x14ac:dyDescent="0.2">
      <c r="AD123" s="29">
        <v>54274</v>
      </c>
      <c r="AE123">
        <v>14426</v>
      </c>
      <c r="AF123">
        <v>0.23658133000000001</v>
      </c>
    </row>
    <row r="124" spans="30:32" x14ac:dyDescent="0.2">
      <c r="AD124" s="29">
        <v>54458</v>
      </c>
      <c r="AE124">
        <v>14610</v>
      </c>
      <c r="AF124">
        <v>0.23233909</v>
      </c>
    </row>
    <row r="125" spans="30:32" x14ac:dyDescent="0.2">
      <c r="AD125" s="29">
        <v>54639</v>
      </c>
      <c r="AE125">
        <v>14791</v>
      </c>
      <c r="AF125">
        <v>0.22855086999999999</v>
      </c>
    </row>
    <row r="126" spans="30:32" x14ac:dyDescent="0.2">
      <c r="AD126" s="29">
        <v>54823</v>
      </c>
      <c r="AE126">
        <v>14975</v>
      </c>
      <c r="AF126">
        <v>0.22477225000000001</v>
      </c>
    </row>
    <row r="127" spans="30:32" x14ac:dyDescent="0.2">
      <c r="AD127" s="29">
        <v>55004</v>
      </c>
      <c r="AE127">
        <v>15156</v>
      </c>
      <c r="AF127">
        <v>0.22112402</v>
      </c>
    </row>
    <row r="128" spans="30:32" x14ac:dyDescent="0.2">
      <c r="AD128" s="29">
        <v>55190</v>
      </c>
      <c r="AE128">
        <v>15342</v>
      </c>
      <c r="AF128">
        <v>0.21744619000000001</v>
      </c>
    </row>
    <row r="129" spans="30:32" x14ac:dyDescent="0.2">
      <c r="AD129" s="29">
        <v>55369</v>
      </c>
      <c r="AE129">
        <v>15521</v>
      </c>
      <c r="AF129">
        <v>0.21397155000000001</v>
      </c>
    </row>
    <row r="130" spans="30:32" x14ac:dyDescent="0.2">
      <c r="AD130" s="29">
        <v>55554</v>
      </c>
      <c r="AE130">
        <v>15706</v>
      </c>
      <c r="AF130">
        <v>0.21044821999999999</v>
      </c>
    </row>
    <row r="131" spans="30:32" x14ac:dyDescent="0.2">
      <c r="AD131" s="29">
        <v>55737</v>
      </c>
      <c r="AE131">
        <v>15889</v>
      </c>
      <c r="AF131">
        <v>0.20702808</v>
      </c>
    </row>
    <row r="132" spans="30:32" x14ac:dyDescent="0.2">
      <c r="AD132" s="29">
        <v>55919</v>
      </c>
      <c r="AE132">
        <v>16071</v>
      </c>
      <c r="AF132">
        <v>0.20368982999999999</v>
      </c>
    </row>
    <row r="133" spans="30:32" x14ac:dyDescent="0.2">
      <c r="AD133" s="29">
        <v>56101</v>
      </c>
      <c r="AE133">
        <v>16253</v>
      </c>
      <c r="AF133">
        <v>0.20041355999999999</v>
      </c>
    </row>
    <row r="134" spans="30:32" x14ac:dyDescent="0.2">
      <c r="AD134" s="29">
        <v>56284</v>
      </c>
      <c r="AE134">
        <v>16436</v>
      </c>
      <c r="AF134">
        <v>0.19718077000000001</v>
      </c>
    </row>
    <row r="135" spans="30:32" x14ac:dyDescent="0.2">
      <c r="AD135" s="29">
        <v>56465</v>
      </c>
      <c r="AE135">
        <v>16617</v>
      </c>
      <c r="AF135">
        <v>0.19404234000000001</v>
      </c>
    </row>
    <row r="136" spans="30:32" x14ac:dyDescent="0.2">
      <c r="AD136" s="29">
        <v>56649</v>
      </c>
      <c r="AE136">
        <v>16801</v>
      </c>
      <c r="AF136">
        <v>0.19091171000000001</v>
      </c>
    </row>
    <row r="137" spans="30:32" x14ac:dyDescent="0.2">
      <c r="AD137" s="29">
        <v>56830</v>
      </c>
      <c r="AE137">
        <v>16982</v>
      </c>
      <c r="AF137">
        <v>0.18788895999999999</v>
      </c>
    </row>
    <row r="138" spans="30:32" x14ac:dyDescent="0.2">
      <c r="AD138" s="29">
        <v>57014</v>
      </c>
      <c r="AE138">
        <v>17166</v>
      </c>
      <c r="AF138">
        <v>0.18487368000000001</v>
      </c>
    </row>
    <row r="139" spans="30:32" x14ac:dyDescent="0.2">
      <c r="AD139" s="29">
        <v>57196</v>
      </c>
      <c r="AE139">
        <v>17348</v>
      </c>
      <c r="AF139">
        <v>0.18194648999999999</v>
      </c>
    </row>
    <row r="140" spans="30:32" x14ac:dyDescent="0.2">
      <c r="AD140" s="29">
        <v>57381</v>
      </c>
      <c r="AE140">
        <v>17533</v>
      </c>
      <c r="AF140">
        <v>0.17902705999999999</v>
      </c>
    </row>
    <row r="141" spans="30:32" x14ac:dyDescent="0.2">
      <c r="AD141" s="29">
        <v>57564</v>
      </c>
      <c r="AE141">
        <v>17716</v>
      </c>
      <c r="AF141">
        <v>0.17619302000000001</v>
      </c>
    </row>
    <row r="142" spans="30:32" x14ac:dyDescent="0.2">
      <c r="AD142" s="29">
        <v>57745</v>
      </c>
      <c r="AE142">
        <v>17897</v>
      </c>
      <c r="AF142">
        <v>0.17344161</v>
      </c>
    </row>
    <row r="143" spans="30:32" x14ac:dyDescent="0.2">
      <c r="AD143" s="29">
        <v>57928</v>
      </c>
      <c r="AE143">
        <v>18080</v>
      </c>
      <c r="AF143">
        <v>0.17071158</v>
      </c>
    </row>
    <row r="144" spans="30:32" x14ac:dyDescent="0.2">
      <c r="AD144" s="29">
        <v>58110</v>
      </c>
      <c r="AE144">
        <v>18262</v>
      </c>
      <c r="AF144">
        <v>0.16804675999999999</v>
      </c>
    </row>
  </sheetData>
  <phoneticPr fontId="2" type="noConversion"/>
  <dataValidations count="1">
    <dataValidation type="list" allowBlank="1" showInputMessage="1" showErrorMessage="1" sqref="M11:M28">
      <formula1>"TRUE,FALSE"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6"/>
  <sheetViews>
    <sheetView topLeftCell="A77" workbookViewId="0">
      <selection activeCell="I2" sqref="I2:K106"/>
    </sheetView>
  </sheetViews>
  <sheetFormatPr defaultRowHeight="12.75" x14ac:dyDescent="0.2"/>
  <cols>
    <col min="3" max="3" width="10.5703125" customWidth="1"/>
    <col min="9" max="9" width="9.7109375" bestFit="1" customWidth="1"/>
  </cols>
  <sheetData>
    <row r="1" spans="1:12" x14ac:dyDescent="0.2">
      <c r="A1">
        <v>39848</v>
      </c>
      <c r="B1">
        <v>0</v>
      </c>
      <c r="C1">
        <v>1</v>
      </c>
      <c r="I1" s="29">
        <v>39848</v>
      </c>
      <c r="J1">
        <v>0</v>
      </c>
      <c r="K1">
        <v>1</v>
      </c>
      <c r="L1">
        <v>1</v>
      </c>
    </row>
    <row r="2" spans="1:12" x14ac:dyDescent="0.2">
      <c r="A2">
        <v>39878</v>
      </c>
      <c r="B2">
        <v>8.3333333333333329E-2</v>
      </c>
      <c r="C2">
        <v>0.99855293037839321</v>
      </c>
      <c r="D2">
        <f>C1+(C3-C1)*(A2-A1)/(A3-A1)</f>
        <v>0.99855502136308272</v>
      </c>
      <c r="E2">
        <f>EXP(-D2*A2)</f>
        <v>0</v>
      </c>
      <c r="F2">
        <f>(C1*A1+(C3*A3-C1*A1)*(A2-A1)/(A3-A1))/A2</f>
        <v>0.99855393431360406</v>
      </c>
      <c r="G2">
        <f>EXP(-F2*A2)</f>
        <v>0</v>
      </c>
      <c r="I2" s="29">
        <v>39888</v>
      </c>
      <c r="J2">
        <v>40</v>
      </c>
      <c r="K2">
        <v>0.99848886000000003</v>
      </c>
      <c r="L2">
        <v>0.99830315999999997</v>
      </c>
    </row>
    <row r="3" spans="1:12" x14ac:dyDescent="0.2">
      <c r="A3">
        <v>39908</v>
      </c>
      <c r="B3">
        <v>0.16666666666666666</v>
      </c>
      <c r="C3">
        <v>0.99711004272616544</v>
      </c>
      <c r="I3" s="29">
        <v>39980</v>
      </c>
      <c r="J3">
        <v>132</v>
      </c>
      <c r="K3">
        <v>0.99630408999999998</v>
      </c>
      <c r="L3">
        <v>0.99569308000000001</v>
      </c>
    </row>
    <row r="4" spans="1:12" x14ac:dyDescent="0.2">
      <c r="A4">
        <v>39938</v>
      </c>
      <c r="B4">
        <v>0.25</v>
      </c>
      <c r="C4">
        <v>0.99609282589044468</v>
      </c>
      <c r="I4" s="29">
        <v>40071</v>
      </c>
      <c r="J4">
        <v>223</v>
      </c>
      <c r="K4">
        <v>0.99447291999999998</v>
      </c>
      <c r="L4">
        <v>0.99344275000000004</v>
      </c>
    </row>
    <row r="5" spans="1:12" x14ac:dyDescent="0.2">
      <c r="A5">
        <v>40028</v>
      </c>
      <c r="B5">
        <v>0.5</v>
      </c>
      <c r="C5">
        <v>0.99295498438578278</v>
      </c>
      <c r="I5" s="29">
        <v>40161</v>
      </c>
      <c r="J5">
        <v>313</v>
      </c>
      <c r="K5">
        <v>0.99238996999999995</v>
      </c>
      <c r="L5">
        <v>0.99094746</v>
      </c>
    </row>
    <row r="6" spans="1:12" x14ac:dyDescent="0.2">
      <c r="A6">
        <v>40029</v>
      </c>
      <c r="B6">
        <v>0.50277777777777777</v>
      </c>
      <c r="C6">
        <v>0.99293454487970878</v>
      </c>
      <c r="I6" s="29">
        <v>40252</v>
      </c>
      <c r="J6">
        <v>404</v>
      </c>
      <c r="K6">
        <v>0.98979887</v>
      </c>
      <c r="L6">
        <v>0.98794249000000001</v>
      </c>
    </row>
    <row r="7" spans="1:12" x14ac:dyDescent="0.2">
      <c r="A7">
        <v>40118</v>
      </c>
      <c r="B7">
        <v>0.75</v>
      </c>
      <c r="C7">
        <v>0.99111711287585091</v>
      </c>
      <c r="I7" s="29">
        <v>40344</v>
      </c>
      <c r="J7">
        <v>496</v>
      </c>
      <c r="K7">
        <v>0.98651659999999997</v>
      </c>
      <c r="L7">
        <v>0.98424604000000004</v>
      </c>
    </row>
    <row r="8" spans="1:12" x14ac:dyDescent="0.2">
      <c r="A8">
        <v>40208</v>
      </c>
      <c r="B8">
        <v>1</v>
      </c>
      <c r="C8">
        <v>0.98859898223734854</v>
      </c>
      <c r="I8" s="29">
        <v>40435</v>
      </c>
      <c r="J8">
        <v>587</v>
      </c>
      <c r="K8">
        <v>0.98263889999999998</v>
      </c>
      <c r="L8">
        <v>0.97996357000000001</v>
      </c>
    </row>
    <row r="9" spans="1:12" x14ac:dyDescent="0.2">
      <c r="A9">
        <v>40213</v>
      </c>
      <c r="B9">
        <v>1.0138888888888888</v>
      </c>
      <c r="C9">
        <v>0.98691827760904094</v>
      </c>
      <c r="I9" s="29">
        <v>40525</v>
      </c>
      <c r="J9">
        <v>677</v>
      </c>
      <c r="K9">
        <v>0.97824261999999995</v>
      </c>
      <c r="L9">
        <v>0.97517233999999997</v>
      </c>
    </row>
    <row r="10" spans="1:12" x14ac:dyDescent="0.2">
      <c r="A10">
        <v>40394</v>
      </c>
      <c r="B10">
        <v>1.5166666666666666</v>
      </c>
      <c r="C10">
        <v>0.98212997179014239</v>
      </c>
      <c r="I10" s="29">
        <v>40578</v>
      </c>
      <c r="J10">
        <v>730</v>
      </c>
      <c r="K10">
        <v>0.97524049000000002</v>
      </c>
      <c r="L10">
        <v>0.97194586999999999</v>
      </c>
    </row>
    <row r="11" spans="1:12" x14ac:dyDescent="0.2">
      <c r="A11">
        <v>40578</v>
      </c>
      <c r="B11">
        <v>2.0277777777777777</v>
      </c>
      <c r="C11">
        <v>0.97839689721488454</v>
      </c>
      <c r="I11" s="29">
        <v>40759</v>
      </c>
      <c r="J11">
        <v>911</v>
      </c>
      <c r="K11">
        <v>0.96523144999999999</v>
      </c>
      <c r="L11">
        <v>0.96104232000000001</v>
      </c>
    </row>
    <row r="12" spans="1:12" x14ac:dyDescent="0.2">
      <c r="A12">
        <v>40759</v>
      </c>
      <c r="B12">
        <v>2.5305555555555554</v>
      </c>
      <c r="C12">
        <v>0.96869395815239734</v>
      </c>
      <c r="I12" s="29">
        <v>40945</v>
      </c>
      <c r="J12">
        <v>1097</v>
      </c>
      <c r="K12">
        <v>0.95341335000000005</v>
      </c>
      <c r="L12">
        <v>0.94828239000000003</v>
      </c>
    </row>
    <row r="13" spans="1:12" x14ac:dyDescent="0.2">
      <c r="A13">
        <v>40943</v>
      </c>
      <c r="B13">
        <v>3.0416666666666665</v>
      </c>
      <c r="C13">
        <v>0.95722025392795873</v>
      </c>
      <c r="I13" s="29">
        <v>41128</v>
      </c>
      <c r="J13">
        <v>1280</v>
      </c>
      <c r="K13">
        <v>0.94254128000000004</v>
      </c>
      <c r="L13">
        <v>0.93662382</v>
      </c>
    </row>
    <row r="14" spans="1:12" x14ac:dyDescent="0.2">
      <c r="A14">
        <v>41125</v>
      </c>
      <c r="B14">
        <v>3.5472222222222221</v>
      </c>
      <c r="C14">
        <v>0.94531884835971325</v>
      </c>
      <c r="I14" s="29">
        <v>41309</v>
      </c>
      <c r="J14">
        <v>1461</v>
      </c>
      <c r="K14">
        <v>0.93096957999999996</v>
      </c>
      <c r="L14">
        <v>0.92429764999999997</v>
      </c>
    </row>
    <row r="15" spans="1:12" x14ac:dyDescent="0.2">
      <c r="A15">
        <v>41309</v>
      </c>
      <c r="B15">
        <v>4.0583333333333336</v>
      </c>
      <c r="C15">
        <v>0.93205202207116189</v>
      </c>
      <c r="I15" s="29">
        <v>41492</v>
      </c>
      <c r="J15">
        <v>1644</v>
      </c>
      <c r="K15">
        <v>0.91936238000000003</v>
      </c>
      <c r="L15">
        <v>0.91194845999999996</v>
      </c>
    </row>
    <row r="16" spans="1:12" x14ac:dyDescent="0.2">
      <c r="A16">
        <v>41490</v>
      </c>
      <c r="B16">
        <v>4.5611111111111109</v>
      </c>
      <c r="C16">
        <v>0.92028883603805811</v>
      </c>
      <c r="I16" s="29">
        <v>41674</v>
      </c>
      <c r="J16">
        <v>1826</v>
      </c>
      <c r="K16">
        <v>0.90722084999999997</v>
      </c>
      <c r="L16">
        <v>0.89909320999999998</v>
      </c>
    </row>
    <row r="17" spans="1:12" x14ac:dyDescent="0.2">
      <c r="A17">
        <v>41674</v>
      </c>
      <c r="B17">
        <v>5.072222222222222</v>
      </c>
      <c r="C17">
        <v>0.90770975125979314</v>
      </c>
      <c r="I17" s="29">
        <v>41856</v>
      </c>
      <c r="J17">
        <v>2008</v>
      </c>
      <c r="K17">
        <v>0.89403865999999999</v>
      </c>
      <c r="L17">
        <v>0.88522539</v>
      </c>
    </row>
    <row r="18" spans="1:12" x14ac:dyDescent="0.2">
      <c r="A18">
        <v>41855</v>
      </c>
      <c r="B18">
        <v>5.5750000000000002</v>
      </c>
      <c r="C18">
        <v>0.89755582793813815</v>
      </c>
      <c r="I18" s="29">
        <v>42039</v>
      </c>
      <c r="J18">
        <v>2191</v>
      </c>
      <c r="K18">
        <v>0.88015122000000001</v>
      </c>
      <c r="L18">
        <v>0.87067636999999998</v>
      </c>
    </row>
    <row r="19" spans="1:12" x14ac:dyDescent="0.2">
      <c r="A19">
        <v>42039</v>
      </c>
      <c r="B19">
        <v>6.0861111111111112</v>
      </c>
      <c r="C19">
        <v>0.88709219704083087</v>
      </c>
      <c r="I19" s="29">
        <v>42220</v>
      </c>
      <c r="J19">
        <v>2372</v>
      </c>
      <c r="K19">
        <v>0.86578462</v>
      </c>
      <c r="L19">
        <v>0.85568398000000001</v>
      </c>
    </row>
    <row r="20" spans="1:12" x14ac:dyDescent="0.2">
      <c r="A20">
        <v>42220</v>
      </c>
      <c r="B20">
        <v>6.5888888888888886</v>
      </c>
      <c r="C20">
        <v>0.87661136499940029</v>
      </c>
      <c r="I20" s="29">
        <v>42404</v>
      </c>
      <c r="J20">
        <v>2556</v>
      </c>
      <c r="K20">
        <v>0.85059136000000002</v>
      </c>
      <c r="L20">
        <v>0.83988476999999995</v>
      </c>
    </row>
    <row r="21" spans="1:12" x14ac:dyDescent="0.2">
      <c r="A21">
        <v>42404</v>
      </c>
      <c r="B21">
        <v>7.1</v>
      </c>
      <c r="C21">
        <v>0.86583259038629357</v>
      </c>
      <c r="I21" s="29">
        <v>42586</v>
      </c>
      <c r="J21">
        <v>2738</v>
      </c>
      <c r="K21">
        <v>0.83508638000000002</v>
      </c>
      <c r="L21">
        <v>0.82414730000000003</v>
      </c>
    </row>
    <row r="22" spans="1:12" x14ac:dyDescent="0.2">
      <c r="A22">
        <v>42586</v>
      </c>
      <c r="B22">
        <v>7.6055555555555552</v>
      </c>
      <c r="C22">
        <v>0.85365563362658259</v>
      </c>
      <c r="I22" s="29">
        <v>42772</v>
      </c>
      <c r="J22">
        <v>2924</v>
      </c>
      <c r="K22">
        <v>0.81870569000000004</v>
      </c>
      <c r="L22">
        <v>0.80759716000000004</v>
      </c>
    </row>
    <row r="23" spans="1:12" x14ac:dyDescent="0.2">
      <c r="A23">
        <v>42770</v>
      </c>
      <c r="B23">
        <v>8.1166666666666671</v>
      </c>
      <c r="C23">
        <v>0.84109204450337915</v>
      </c>
      <c r="I23" s="29">
        <v>42951</v>
      </c>
      <c r="J23">
        <v>3103</v>
      </c>
      <c r="K23">
        <v>0.80143845000000002</v>
      </c>
      <c r="L23">
        <v>0.78986906999999995</v>
      </c>
    </row>
    <row r="24" spans="1:12" x14ac:dyDescent="0.2">
      <c r="A24">
        <v>42951</v>
      </c>
      <c r="B24">
        <v>8.6194444444444436</v>
      </c>
      <c r="C24">
        <v>0.82839803972943216</v>
      </c>
      <c r="I24" s="29">
        <v>43136</v>
      </c>
      <c r="J24">
        <v>3288</v>
      </c>
      <c r="K24">
        <v>0.78303232</v>
      </c>
      <c r="L24">
        <v>0.77102051000000005</v>
      </c>
    </row>
    <row r="25" spans="1:12" x14ac:dyDescent="0.2">
      <c r="A25">
        <v>43135</v>
      </c>
      <c r="B25">
        <v>9.1305555555555564</v>
      </c>
      <c r="C25">
        <v>0.8152920584134965</v>
      </c>
      <c r="I25" s="29">
        <v>43319</v>
      </c>
      <c r="J25">
        <v>3471</v>
      </c>
      <c r="K25">
        <v>0.76408306000000004</v>
      </c>
      <c r="L25">
        <v>0.75166957999999995</v>
      </c>
    </row>
    <row r="26" spans="1:12" x14ac:dyDescent="0.2">
      <c r="A26">
        <v>43316</v>
      </c>
      <c r="B26">
        <v>9.6333333333333329</v>
      </c>
      <c r="C26">
        <v>0.80208266062629818</v>
      </c>
      <c r="I26" s="29">
        <v>43500</v>
      </c>
      <c r="J26">
        <v>3652</v>
      </c>
      <c r="K26">
        <v>0.74484132000000003</v>
      </c>
      <c r="L26">
        <v>0.73206479000000002</v>
      </c>
    </row>
    <row r="27" spans="1:12" x14ac:dyDescent="0.2">
      <c r="A27">
        <v>43500</v>
      </c>
      <c r="B27">
        <v>10.144444444444444</v>
      </c>
      <c r="C27">
        <v>0.78848491617256844</v>
      </c>
      <c r="I27" s="29">
        <v>43683</v>
      </c>
      <c r="J27">
        <v>3835</v>
      </c>
      <c r="K27">
        <v>0.72692657999999999</v>
      </c>
      <c r="L27">
        <v>0.71447764000000002</v>
      </c>
    </row>
    <row r="28" spans="1:12" x14ac:dyDescent="0.2">
      <c r="A28">
        <v>43681</v>
      </c>
      <c r="B28">
        <v>10.647222222222222</v>
      </c>
      <c r="C28">
        <v>0.76781634652571595</v>
      </c>
      <c r="I28" s="29">
        <v>43865</v>
      </c>
      <c r="J28">
        <v>4017</v>
      </c>
      <c r="K28">
        <v>0.70880045000000003</v>
      </c>
      <c r="L28">
        <v>0.69674837000000001</v>
      </c>
    </row>
    <row r="29" spans="1:12" x14ac:dyDescent="0.2">
      <c r="A29">
        <v>43865</v>
      </c>
      <c r="B29">
        <v>11.158333333333333</v>
      </c>
      <c r="C29">
        <v>0.74631426433086301</v>
      </c>
      <c r="I29" s="29">
        <v>44047</v>
      </c>
      <c r="J29">
        <v>4199</v>
      </c>
      <c r="K29">
        <v>0.69039271999999996</v>
      </c>
      <c r="L29">
        <v>0.67880503000000003</v>
      </c>
    </row>
    <row r="30" spans="1:12" x14ac:dyDescent="0.2">
      <c r="A30">
        <v>44047</v>
      </c>
      <c r="B30">
        <v>11.66388888888889</v>
      </c>
      <c r="C30">
        <v>0.72428250672467698</v>
      </c>
      <c r="I30" s="29">
        <v>44231</v>
      </c>
      <c r="J30">
        <v>4383</v>
      </c>
      <c r="K30">
        <v>0.67152473000000001</v>
      </c>
      <c r="L30">
        <v>0.66047171999999998</v>
      </c>
    </row>
    <row r="31" spans="1:12" x14ac:dyDescent="0.2">
      <c r="A31">
        <v>44231</v>
      </c>
      <c r="B31">
        <v>12.175000000000001</v>
      </c>
      <c r="C31">
        <v>0.70156162581927939</v>
      </c>
      <c r="I31" s="29">
        <v>44412</v>
      </c>
      <c r="J31">
        <v>4564</v>
      </c>
      <c r="K31">
        <v>0.65449184999999999</v>
      </c>
      <c r="L31">
        <v>0.64375031000000005</v>
      </c>
    </row>
    <row r="32" spans="1:12" x14ac:dyDescent="0.2">
      <c r="A32">
        <v>44412</v>
      </c>
      <c r="B32">
        <v>12.677777777777777</v>
      </c>
      <c r="C32">
        <v>0.68867786162385225</v>
      </c>
      <c r="I32" s="29">
        <v>44596</v>
      </c>
      <c r="J32">
        <v>4748</v>
      </c>
      <c r="K32">
        <v>0.63704941999999998</v>
      </c>
      <c r="L32">
        <v>0.62666896000000005</v>
      </c>
    </row>
    <row r="33" spans="1:12" x14ac:dyDescent="0.2">
      <c r="A33">
        <v>44596</v>
      </c>
      <c r="B33">
        <v>13.188888888888888</v>
      </c>
      <c r="C33">
        <v>0.67562108821245559</v>
      </c>
      <c r="I33" s="29">
        <v>44777</v>
      </c>
      <c r="J33">
        <v>4929</v>
      </c>
      <c r="K33">
        <v>0.61977972000000003</v>
      </c>
      <c r="L33">
        <v>0.60979585999999997</v>
      </c>
    </row>
    <row r="34" spans="1:12" x14ac:dyDescent="0.2">
      <c r="A34">
        <v>44777</v>
      </c>
      <c r="B34">
        <v>13.691666666666666</v>
      </c>
      <c r="C34">
        <v>0.66271562042029752</v>
      </c>
      <c r="I34" s="29">
        <v>44963</v>
      </c>
      <c r="J34">
        <v>5115</v>
      </c>
      <c r="K34">
        <v>0.60194283000000004</v>
      </c>
      <c r="L34">
        <v>0.59240700999999996</v>
      </c>
    </row>
    <row r="35" spans="1:12" x14ac:dyDescent="0.2">
      <c r="A35">
        <v>44961</v>
      </c>
      <c r="B35">
        <v>14.202777777777778</v>
      </c>
      <c r="C35">
        <v>0.6496516416026592</v>
      </c>
      <c r="I35" s="29">
        <v>45142</v>
      </c>
      <c r="J35">
        <v>5294</v>
      </c>
      <c r="K35">
        <v>0.58469895000000005</v>
      </c>
      <c r="L35">
        <v>0.57563069</v>
      </c>
    </row>
    <row r="36" spans="1:12" x14ac:dyDescent="0.2">
      <c r="A36">
        <v>45142</v>
      </c>
      <c r="B36">
        <v>14.705555555555556</v>
      </c>
      <c r="C36">
        <v>0.63674721821378188</v>
      </c>
      <c r="I36" s="29">
        <v>45327</v>
      </c>
      <c r="J36">
        <v>5479</v>
      </c>
      <c r="K36">
        <v>0.56682531000000003</v>
      </c>
      <c r="L36">
        <v>0.55827547</v>
      </c>
    </row>
    <row r="37" spans="1:12" x14ac:dyDescent="0.2">
      <c r="A37">
        <v>45326</v>
      </c>
      <c r="B37">
        <v>15.216666666666667</v>
      </c>
      <c r="C37">
        <v>0.6236986941742968</v>
      </c>
      <c r="I37" s="29">
        <v>45510</v>
      </c>
      <c r="J37">
        <v>5662</v>
      </c>
      <c r="K37">
        <v>0.55407744999999997</v>
      </c>
      <c r="L37">
        <v>0.54577503999999999</v>
      </c>
    </row>
    <row r="38" spans="1:12" x14ac:dyDescent="0.2">
      <c r="A38">
        <v>45508</v>
      </c>
      <c r="B38">
        <v>15.722222222222221</v>
      </c>
      <c r="C38">
        <v>0.61146478941572624</v>
      </c>
      <c r="I38" s="29">
        <v>45692</v>
      </c>
      <c r="J38">
        <v>5844</v>
      </c>
      <c r="K38">
        <v>0.54150003999999996</v>
      </c>
      <c r="L38">
        <v>0.53346347999999999</v>
      </c>
    </row>
    <row r="39" spans="1:12" x14ac:dyDescent="0.2">
      <c r="A39">
        <v>45692</v>
      </c>
      <c r="B39">
        <v>16.233333333333334</v>
      </c>
      <c r="C39">
        <v>0.59917366915846071</v>
      </c>
      <c r="I39" s="29">
        <v>45874</v>
      </c>
      <c r="J39">
        <v>6026</v>
      </c>
      <c r="K39">
        <v>0.52902614000000003</v>
      </c>
      <c r="L39">
        <v>0.52127413</v>
      </c>
    </row>
    <row r="40" spans="1:12" x14ac:dyDescent="0.2">
      <c r="A40">
        <v>45873</v>
      </c>
      <c r="B40">
        <v>16.736111111111111</v>
      </c>
      <c r="C40">
        <v>0.58707708093436395</v>
      </c>
      <c r="I40" s="29">
        <v>46057</v>
      </c>
      <c r="J40">
        <v>6209</v>
      </c>
      <c r="K40">
        <v>0.51659100999999996</v>
      </c>
      <c r="L40">
        <v>0.50914294999999998</v>
      </c>
    </row>
    <row r="41" spans="1:12" x14ac:dyDescent="0.2">
      <c r="A41">
        <v>46057</v>
      </c>
      <c r="B41">
        <v>17.247222222222224</v>
      </c>
      <c r="C41">
        <v>0.57488367431087539</v>
      </c>
      <c r="I41" s="29">
        <v>46238</v>
      </c>
      <c r="J41">
        <v>6390</v>
      </c>
      <c r="K41">
        <v>0.50439803999999999</v>
      </c>
      <c r="L41">
        <v>0.49726716999999998</v>
      </c>
    </row>
    <row r="42" spans="1:12" x14ac:dyDescent="0.2">
      <c r="A42">
        <v>46238</v>
      </c>
      <c r="B42">
        <v>17.75</v>
      </c>
      <c r="C42">
        <v>0.56288794427851918</v>
      </c>
      <c r="I42" s="29">
        <v>46422</v>
      </c>
      <c r="J42">
        <v>6574</v>
      </c>
      <c r="K42">
        <v>0.49211651000000001</v>
      </c>
      <c r="L42">
        <v>0.48532396999999999</v>
      </c>
    </row>
    <row r="43" spans="1:12" x14ac:dyDescent="0.2">
      <c r="A43">
        <v>46422</v>
      </c>
      <c r="B43">
        <v>18.261111111111113</v>
      </c>
      <c r="C43">
        <v>0.5508062149138474</v>
      </c>
      <c r="I43" s="29">
        <v>46603</v>
      </c>
      <c r="J43">
        <v>6755</v>
      </c>
      <c r="K43">
        <v>0.48014532999999998</v>
      </c>
      <c r="L43">
        <v>0.47370026999999998</v>
      </c>
    </row>
    <row r="44" spans="1:12" x14ac:dyDescent="0.2">
      <c r="A44">
        <v>46603</v>
      </c>
      <c r="B44">
        <v>18.763888888888889</v>
      </c>
      <c r="C44">
        <v>0.53892486131546324</v>
      </c>
      <c r="I44" s="29">
        <v>46787</v>
      </c>
      <c r="J44">
        <v>6939</v>
      </c>
      <c r="K44">
        <v>0.46809331999999998</v>
      </c>
      <c r="L44">
        <v>0.46201543</v>
      </c>
    </row>
    <row r="45" spans="1:12" x14ac:dyDescent="0.2">
      <c r="A45">
        <v>46787</v>
      </c>
      <c r="B45">
        <v>19.274999999999999</v>
      </c>
      <c r="C45">
        <v>0.52696813415412147</v>
      </c>
      <c r="I45" s="29">
        <v>46969</v>
      </c>
      <c r="J45">
        <v>7121</v>
      </c>
      <c r="K45">
        <v>0.45628780000000002</v>
      </c>
      <c r="L45">
        <v>0.45058597</v>
      </c>
    </row>
    <row r="46" spans="1:12" x14ac:dyDescent="0.2">
      <c r="A46">
        <v>46969</v>
      </c>
      <c r="B46">
        <v>19.780555555555555</v>
      </c>
      <c r="C46">
        <v>0.51516911937101084</v>
      </c>
      <c r="I46" s="29">
        <v>47154</v>
      </c>
      <c r="J46">
        <v>7306</v>
      </c>
      <c r="K46">
        <v>0.44441028999999999</v>
      </c>
      <c r="L46">
        <v>0.43910286999999998</v>
      </c>
    </row>
    <row r="47" spans="1:12" x14ac:dyDescent="0.2">
      <c r="A47">
        <v>47153</v>
      </c>
      <c r="B47">
        <v>20.291666666666668</v>
      </c>
      <c r="C47">
        <v>0.50335047166099645</v>
      </c>
      <c r="I47" s="29">
        <v>47337</v>
      </c>
      <c r="J47">
        <v>7489</v>
      </c>
      <c r="K47">
        <v>0.43745362999999998</v>
      </c>
      <c r="L47">
        <v>0.43249305999999998</v>
      </c>
    </row>
    <row r="48" spans="1:12" x14ac:dyDescent="0.2">
      <c r="A48">
        <v>47334</v>
      </c>
      <c r="B48">
        <v>20.794444444444444</v>
      </c>
      <c r="C48">
        <v>0.49399552867618002</v>
      </c>
      <c r="I48" s="29">
        <v>47518</v>
      </c>
      <c r="J48">
        <v>7670</v>
      </c>
      <c r="K48">
        <v>0.43073854</v>
      </c>
      <c r="L48">
        <v>0.42612916000000001</v>
      </c>
    </row>
    <row r="49" spans="1:12" x14ac:dyDescent="0.2">
      <c r="A49">
        <v>47518</v>
      </c>
      <c r="B49">
        <v>21.305555555555557</v>
      </c>
      <c r="C49">
        <v>0.48461892218037261</v>
      </c>
      <c r="I49" s="29">
        <v>47701</v>
      </c>
      <c r="J49">
        <v>7853</v>
      </c>
      <c r="K49">
        <v>0.42411400999999999</v>
      </c>
      <c r="L49">
        <v>0.41986741</v>
      </c>
    </row>
    <row r="50" spans="1:12" x14ac:dyDescent="0.2">
      <c r="A50">
        <v>47699</v>
      </c>
      <c r="B50">
        <v>21.808333333333334</v>
      </c>
      <c r="C50">
        <v>0.47547860008448051</v>
      </c>
      <c r="I50" s="29">
        <v>47883</v>
      </c>
      <c r="J50">
        <v>8035</v>
      </c>
      <c r="K50">
        <v>0.41768506</v>
      </c>
      <c r="L50">
        <v>0.41380657999999998</v>
      </c>
    </row>
    <row r="51" spans="1:12" x14ac:dyDescent="0.2">
      <c r="A51">
        <v>47883</v>
      </c>
      <c r="B51">
        <v>22.319444444444443</v>
      </c>
      <c r="C51">
        <v>0.46631975995481489</v>
      </c>
      <c r="I51" s="29">
        <v>48065</v>
      </c>
      <c r="J51">
        <v>8217</v>
      </c>
      <c r="K51">
        <v>0.41141158999999999</v>
      </c>
      <c r="L51">
        <v>0.4079081</v>
      </c>
    </row>
    <row r="52" spans="1:12" x14ac:dyDescent="0.2">
      <c r="A52">
        <v>48064</v>
      </c>
      <c r="B52">
        <v>22.822222222222223</v>
      </c>
      <c r="C52">
        <v>0.45739190927920759</v>
      </c>
      <c r="I52" s="29">
        <v>48248</v>
      </c>
      <c r="J52">
        <v>8400</v>
      </c>
      <c r="K52">
        <v>0.40525699999999998</v>
      </c>
      <c r="L52">
        <v>0.40213710000000003</v>
      </c>
    </row>
    <row r="53" spans="1:12" x14ac:dyDescent="0.2">
      <c r="I53" s="29">
        <v>48430</v>
      </c>
      <c r="J53">
        <v>8582</v>
      </c>
      <c r="K53">
        <v>0.39928430999999998</v>
      </c>
      <c r="L53">
        <v>0.39655207999999997</v>
      </c>
    </row>
    <row r="54" spans="1:12" x14ac:dyDescent="0.2">
      <c r="I54" s="29">
        <v>48614</v>
      </c>
      <c r="J54">
        <v>8766</v>
      </c>
      <c r="K54">
        <v>0.39339362999999999</v>
      </c>
      <c r="L54">
        <v>0.39105916000000002</v>
      </c>
    </row>
    <row r="55" spans="1:12" x14ac:dyDescent="0.2">
      <c r="I55" s="29">
        <v>48795</v>
      </c>
      <c r="J55">
        <v>8947</v>
      </c>
      <c r="K55">
        <v>0.38773898000000001</v>
      </c>
      <c r="L55">
        <v>0.38580128000000002</v>
      </c>
    </row>
    <row r="56" spans="1:12" x14ac:dyDescent="0.2">
      <c r="I56" s="29">
        <v>48981</v>
      </c>
      <c r="J56">
        <v>9133</v>
      </c>
      <c r="K56">
        <v>0.38207161000000001</v>
      </c>
      <c r="L56">
        <v>0.38054684</v>
      </c>
    </row>
    <row r="57" spans="1:12" x14ac:dyDescent="0.2">
      <c r="I57" s="29">
        <v>49160</v>
      </c>
      <c r="J57">
        <v>9312</v>
      </c>
      <c r="K57">
        <v>0.37610054999999998</v>
      </c>
      <c r="L57">
        <v>0.37498600999999998</v>
      </c>
    </row>
    <row r="58" spans="1:12" x14ac:dyDescent="0.2">
      <c r="I58" s="29">
        <v>49345</v>
      </c>
      <c r="J58">
        <v>9497</v>
      </c>
      <c r="K58">
        <v>0.37006218000000002</v>
      </c>
      <c r="L58">
        <v>0.36937616000000001</v>
      </c>
    </row>
    <row r="59" spans="1:12" x14ac:dyDescent="0.2">
      <c r="I59" s="29">
        <v>49528</v>
      </c>
      <c r="J59">
        <v>9680</v>
      </c>
      <c r="K59">
        <v>0.36421663999999998</v>
      </c>
      <c r="L59">
        <v>0.36395887999999998</v>
      </c>
    </row>
    <row r="60" spans="1:12" x14ac:dyDescent="0.2">
      <c r="I60" s="29">
        <v>49709</v>
      </c>
      <c r="J60">
        <v>9861</v>
      </c>
      <c r="K60">
        <v>0.35855711000000001</v>
      </c>
      <c r="L60">
        <v>0.35872690000000002</v>
      </c>
    </row>
    <row r="61" spans="1:12" x14ac:dyDescent="0.2">
      <c r="I61" s="29">
        <v>49892</v>
      </c>
      <c r="J61">
        <v>10044</v>
      </c>
      <c r="K61">
        <v>0.35295696999999998</v>
      </c>
      <c r="L61">
        <v>0.35356267000000002</v>
      </c>
    </row>
    <row r="62" spans="1:12" x14ac:dyDescent="0.2">
      <c r="I62" s="29">
        <v>50075</v>
      </c>
      <c r="J62">
        <v>10227</v>
      </c>
      <c r="K62">
        <v>0.34747621000000001</v>
      </c>
      <c r="L62">
        <v>0.34852125</v>
      </c>
    </row>
    <row r="63" spans="1:12" x14ac:dyDescent="0.2">
      <c r="I63" s="29">
        <v>50256</v>
      </c>
      <c r="J63">
        <v>10408</v>
      </c>
      <c r="K63">
        <v>0.34216974</v>
      </c>
      <c r="L63">
        <v>0.34365245999999999</v>
      </c>
    </row>
    <row r="64" spans="1:12" x14ac:dyDescent="0.2">
      <c r="I64" s="29">
        <v>50440</v>
      </c>
      <c r="J64">
        <v>10592</v>
      </c>
      <c r="K64">
        <v>0.33689074000000002</v>
      </c>
      <c r="L64">
        <v>0.33882122999999997</v>
      </c>
    </row>
    <row r="65" spans="9:12" x14ac:dyDescent="0.2">
      <c r="I65" s="29">
        <v>50621</v>
      </c>
      <c r="J65">
        <v>10773</v>
      </c>
      <c r="K65">
        <v>0.33180737999999999</v>
      </c>
      <c r="L65">
        <v>0.33418102999999999</v>
      </c>
    </row>
    <row r="66" spans="9:12" x14ac:dyDescent="0.2">
      <c r="I66" s="29">
        <v>50805</v>
      </c>
      <c r="J66">
        <v>10957</v>
      </c>
      <c r="K66">
        <v>0.32675028</v>
      </c>
      <c r="L66">
        <v>0.32957678000000001</v>
      </c>
    </row>
    <row r="67" spans="9:12" x14ac:dyDescent="0.2">
      <c r="I67" s="29">
        <v>50986</v>
      </c>
      <c r="J67">
        <v>11138</v>
      </c>
      <c r="K67">
        <v>0.32148122000000001</v>
      </c>
      <c r="L67">
        <v>0.32422073000000001</v>
      </c>
    </row>
    <row r="68" spans="9:12" x14ac:dyDescent="0.2">
      <c r="I68" s="29">
        <v>51172</v>
      </c>
      <c r="J68">
        <v>11324</v>
      </c>
      <c r="K68">
        <v>0.31617508</v>
      </c>
      <c r="L68">
        <v>0.31882744000000002</v>
      </c>
    </row>
    <row r="69" spans="9:12" x14ac:dyDescent="0.2">
      <c r="I69" s="29">
        <v>51355</v>
      </c>
      <c r="J69">
        <v>11507</v>
      </c>
      <c r="K69">
        <v>0.31105759999999999</v>
      </c>
      <c r="L69">
        <v>0.31362634</v>
      </c>
    </row>
    <row r="70" spans="9:12" x14ac:dyDescent="0.2">
      <c r="I70" s="29">
        <v>51536</v>
      </c>
      <c r="J70">
        <v>11688</v>
      </c>
      <c r="K70">
        <v>0.30609486000000002</v>
      </c>
      <c r="L70">
        <v>0.30858291999999998</v>
      </c>
    </row>
    <row r="71" spans="9:12" x14ac:dyDescent="0.2">
      <c r="I71" s="29">
        <v>51719</v>
      </c>
      <c r="J71">
        <v>11871</v>
      </c>
      <c r="K71">
        <v>0.30117613999999998</v>
      </c>
      <c r="L71">
        <v>0.30358467</v>
      </c>
    </row>
    <row r="72" spans="9:12" x14ac:dyDescent="0.2">
      <c r="I72" s="29">
        <v>51901</v>
      </c>
      <c r="J72">
        <v>12053</v>
      </c>
      <c r="K72">
        <v>0.29638022000000003</v>
      </c>
      <c r="L72">
        <v>0.29871160000000002</v>
      </c>
    </row>
    <row r="73" spans="9:12" x14ac:dyDescent="0.2">
      <c r="I73" s="29">
        <v>52083</v>
      </c>
      <c r="J73">
        <v>12235</v>
      </c>
      <c r="K73">
        <v>0.29167826000000002</v>
      </c>
      <c r="L73">
        <v>0.29393439999999998</v>
      </c>
    </row>
    <row r="74" spans="9:12" x14ac:dyDescent="0.2">
      <c r="I74" s="29">
        <v>52266</v>
      </c>
      <c r="J74">
        <v>12418</v>
      </c>
      <c r="K74">
        <v>0.28704353999999999</v>
      </c>
      <c r="L74">
        <v>0.28922590999999997</v>
      </c>
    </row>
    <row r="75" spans="9:12" x14ac:dyDescent="0.2">
      <c r="I75" s="29">
        <v>52447</v>
      </c>
      <c r="J75">
        <v>12599</v>
      </c>
      <c r="K75">
        <v>0.28254878</v>
      </c>
      <c r="L75">
        <v>0.28465998999999997</v>
      </c>
    </row>
    <row r="76" spans="9:12" x14ac:dyDescent="0.2">
      <c r="I76" s="29">
        <v>52631</v>
      </c>
      <c r="J76">
        <v>12783</v>
      </c>
      <c r="K76">
        <v>0.27806984000000001</v>
      </c>
      <c r="L76">
        <v>0.28011051999999997</v>
      </c>
    </row>
    <row r="77" spans="9:12" x14ac:dyDescent="0.2">
      <c r="I77" s="29">
        <v>52813</v>
      </c>
      <c r="J77">
        <v>12965</v>
      </c>
      <c r="K77">
        <v>0.27313689000000002</v>
      </c>
      <c r="L77">
        <v>0.27511440999999998</v>
      </c>
    </row>
    <row r="78" spans="9:12" x14ac:dyDescent="0.2">
      <c r="I78" s="29">
        <v>52999</v>
      </c>
      <c r="J78">
        <v>13151</v>
      </c>
      <c r="K78">
        <v>0.26818688000000002</v>
      </c>
      <c r="L78">
        <v>0.27010152999999998</v>
      </c>
    </row>
    <row r="79" spans="9:12" x14ac:dyDescent="0.2">
      <c r="I79" s="29">
        <v>53178</v>
      </c>
      <c r="J79">
        <v>13330</v>
      </c>
      <c r="K79">
        <v>0.26350630000000003</v>
      </c>
      <c r="L79">
        <v>0.26536197</v>
      </c>
    </row>
    <row r="80" spans="9:12" x14ac:dyDescent="0.2">
      <c r="I80" s="29">
        <v>53363</v>
      </c>
      <c r="J80">
        <v>13515</v>
      </c>
      <c r="K80">
        <v>0.25875603000000003</v>
      </c>
      <c r="L80">
        <v>0.26055231000000001</v>
      </c>
    </row>
    <row r="81" spans="9:12" x14ac:dyDescent="0.2">
      <c r="I81" s="29">
        <v>53546</v>
      </c>
      <c r="J81">
        <v>13698</v>
      </c>
      <c r="K81">
        <v>0.25414092999999999</v>
      </c>
      <c r="L81">
        <v>0.25587997000000001</v>
      </c>
    </row>
    <row r="82" spans="9:12" x14ac:dyDescent="0.2">
      <c r="I82" s="29">
        <v>53727</v>
      </c>
      <c r="J82">
        <v>13879</v>
      </c>
      <c r="K82">
        <v>0.24965681000000001</v>
      </c>
      <c r="L82">
        <v>0.25134067999999998</v>
      </c>
    </row>
    <row r="83" spans="9:12" x14ac:dyDescent="0.2">
      <c r="I83" s="29">
        <v>53910</v>
      </c>
      <c r="J83">
        <v>14062</v>
      </c>
      <c r="K83">
        <v>0.24520400000000001</v>
      </c>
      <c r="L83">
        <v>0.24683352</v>
      </c>
    </row>
    <row r="84" spans="9:12" x14ac:dyDescent="0.2">
      <c r="I84" s="29">
        <v>54092</v>
      </c>
      <c r="J84">
        <v>14244</v>
      </c>
      <c r="K84">
        <v>0.24085408</v>
      </c>
      <c r="L84">
        <v>0.24243095000000001</v>
      </c>
    </row>
    <row r="85" spans="9:12" x14ac:dyDescent="0.2">
      <c r="I85" s="29">
        <v>54274</v>
      </c>
      <c r="J85">
        <v>14426</v>
      </c>
      <c r="K85">
        <v>0.23658133000000001</v>
      </c>
      <c r="L85">
        <v>0.23810690000000001</v>
      </c>
    </row>
    <row r="86" spans="9:12" x14ac:dyDescent="0.2">
      <c r="I86" s="29">
        <v>54458</v>
      </c>
      <c r="J86">
        <v>14610</v>
      </c>
      <c r="K86">
        <v>0.23233909</v>
      </c>
      <c r="L86">
        <v>0.23381415</v>
      </c>
    </row>
    <row r="87" spans="9:12" x14ac:dyDescent="0.2">
      <c r="I87" s="29">
        <v>54639</v>
      </c>
      <c r="J87">
        <v>14791</v>
      </c>
      <c r="K87">
        <v>0.22855086999999999</v>
      </c>
      <c r="L87">
        <v>0.22997522000000001</v>
      </c>
    </row>
    <row r="88" spans="9:12" x14ac:dyDescent="0.2">
      <c r="I88" s="29">
        <v>54823</v>
      </c>
      <c r="J88">
        <v>14975</v>
      </c>
      <c r="K88">
        <v>0.22477225000000001</v>
      </c>
      <c r="L88">
        <v>0.22614637000000001</v>
      </c>
    </row>
    <row r="89" spans="9:12" x14ac:dyDescent="0.2">
      <c r="I89" s="29">
        <v>55004</v>
      </c>
      <c r="J89">
        <v>15156</v>
      </c>
      <c r="K89">
        <v>0.22112402</v>
      </c>
      <c r="L89">
        <v>0.22244997999999999</v>
      </c>
    </row>
    <row r="90" spans="9:12" x14ac:dyDescent="0.2">
      <c r="I90" s="29">
        <v>55190</v>
      </c>
      <c r="J90">
        <v>15342</v>
      </c>
      <c r="K90">
        <v>0.21744619000000001</v>
      </c>
      <c r="L90">
        <v>0.21872395</v>
      </c>
    </row>
    <row r="91" spans="9:12" x14ac:dyDescent="0.2">
      <c r="I91" s="29">
        <v>55369</v>
      </c>
      <c r="J91">
        <v>15521</v>
      </c>
      <c r="K91">
        <v>0.21397155000000001</v>
      </c>
      <c r="L91">
        <v>0.21520408999999999</v>
      </c>
    </row>
    <row r="92" spans="9:12" x14ac:dyDescent="0.2">
      <c r="I92" s="29">
        <v>55554</v>
      </c>
      <c r="J92">
        <v>15706</v>
      </c>
      <c r="K92">
        <v>0.21044821999999999</v>
      </c>
      <c r="L92">
        <v>0.21163523000000001</v>
      </c>
    </row>
    <row r="93" spans="9:12" x14ac:dyDescent="0.2">
      <c r="I93" s="29">
        <v>55737</v>
      </c>
      <c r="J93">
        <v>15889</v>
      </c>
      <c r="K93">
        <v>0.20702808</v>
      </c>
      <c r="L93">
        <v>0.20817121999999999</v>
      </c>
    </row>
    <row r="94" spans="9:12" x14ac:dyDescent="0.2">
      <c r="I94" s="29">
        <v>55919</v>
      </c>
      <c r="J94">
        <v>16071</v>
      </c>
      <c r="K94">
        <v>0.20368982999999999</v>
      </c>
      <c r="L94">
        <v>0.20479045000000001</v>
      </c>
    </row>
    <row r="95" spans="9:12" x14ac:dyDescent="0.2">
      <c r="I95" s="29">
        <v>56101</v>
      </c>
      <c r="J95">
        <v>16253</v>
      </c>
      <c r="K95">
        <v>0.20041355999999999</v>
      </c>
      <c r="L95">
        <v>0.20147277</v>
      </c>
    </row>
    <row r="96" spans="9:12" x14ac:dyDescent="0.2">
      <c r="I96" s="29">
        <v>56284</v>
      </c>
      <c r="J96">
        <v>16436</v>
      </c>
      <c r="K96">
        <v>0.19718077000000001</v>
      </c>
      <c r="L96">
        <v>0.1981994</v>
      </c>
    </row>
    <row r="97" spans="9:12" x14ac:dyDescent="0.2">
      <c r="I97" s="29">
        <v>56465</v>
      </c>
      <c r="J97">
        <v>16617</v>
      </c>
      <c r="K97">
        <v>0.19404234000000001</v>
      </c>
      <c r="L97">
        <v>0.19502188000000001</v>
      </c>
    </row>
    <row r="98" spans="9:12" x14ac:dyDescent="0.2">
      <c r="I98" s="29">
        <v>56649</v>
      </c>
      <c r="J98">
        <v>16801</v>
      </c>
      <c r="K98">
        <v>0.19091171000000001</v>
      </c>
      <c r="L98">
        <v>0.19185253999999999</v>
      </c>
    </row>
    <row r="99" spans="9:12" x14ac:dyDescent="0.2">
      <c r="I99" s="29">
        <v>56830</v>
      </c>
      <c r="J99">
        <v>16982</v>
      </c>
      <c r="K99">
        <v>0.18788895999999999</v>
      </c>
      <c r="L99">
        <v>0.18879269000000001</v>
      </c>
    </row>
    <row r="100" spans="9:12" x14ac:dyDescent="0.2">
      <c r="I100" s="29">
        <v>57014</v>
      </c>
      <c r="J100">
        <v>17166</v>
      </c>
      <c r="K100">
        <v>0.18487368000000001</v>
      </c>
      <c r="L100">
        <v>0.18574069000000001</v>
      </c>
    </row>
    <row r="101" spans="9:12" x14ac:dyDescent="0.2">
      <c r="I101" s="29">
        <v>57196</v>
      </c>
      <c r="J101">
        <v>17348</v>
      </c>
      <c r="K101">
        <v>0.18194648999999999</v>
      </c>
      <c r="L101">
        <v>0.18277810999999999</v>
      </c>
    </row>
    <row r="102" spans="9:12" x14ac:dyDescent="0.2">
      <c r="I102" s="29">
        <v>57381</v>
      </c>
      <c r="J102">
        <v>17533</v>
      </c>
      <c r="K102">
        <v>0.17902705999999999</v>
      </c>
      <c r="L102">
        <v>0.17982368000000001</v>
      </c>
    </row>
    <row r="103" spans="9:12" x14ac:dyDescent="0.2">
      <c r="I103" s="29">
        <v>57564</v>
      </c>
      <c r="J103">
        <v>17716</v>
      </c>
      <c r="K103">
        <v>0.17619302000000001</v>
      </c>
      <c r="L103">
        <v>0.1769559</v>
      </c>
    </row>
    <row r="104" spans="9:12" x14ac:dyDescent="0.2">
      <c r="I104" s="29">
        <v>57745</v>
      </c>
      <c r="J104">
        <v>17897</v>
      </c>
      <c r="K104">
        <v>0.17344161</v>
      </c>
      <c r="L104">
        <v>0.17417199999999999</v>
      </c>
    </row>
    <row r="105" spans="9:12" x14ac:dyDescent="0.2">
      <c r="I105" s="29">
        <v>57928</v>
      </c>
      <c r="J105">
        <v>18080</v>
      </c>
      <c r="K105">
        <v>0.17071158</v>
      </c>
      <c r="L105">
        <v>0.17140999000000001</v>
      </c>
    </row>
    <row r="106" spans="9:12" x14ac:dyDescent="0.2">
      <c r="I106" s="29">
        <v>58110</v>
      </c>
      <c r="J106">
        <v>18262</v>
      </c>
      <c r="K106">
        <v>0.16804675999999999</v>
      </c>
      <c r="L106">
        <v>0.16871419000000001</v>
      </c>
    </row>
  </sheetData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F204"/>
  <sheetViews>
    <sheetView workbookViewId="0">
      <selection activeCell="M13" sqref="M13"/>
    </sheetView>
  </sheetViews>
  <sheetFormatPr defaultRowHeight="12.75" x14ac:dyDescent="0.2"/>
  <cols>
    <col min="1" max="1" width="10.140625" bestFit="1" customWidth="1"/>
    <col min="4" max="4" width="4.7109375" customWidth="1"/>
    <col min="6" max="6" width="4" customWidth="1"/>
    <col min="8" max="8" width="9.7109375" customWidth="1"/>
    <col min="9" max="9" width="8.7109375" customWidth="1"/>
    <col min="15" max="15" width="9.85546875" bestFit="1" customWidth="1"/>
  </cols>
  <sheetData>
    <row r="2" spans="1:58" x14ac:dyDescent="0.2">
      <c r="H2">
        <v>1.0014491666666667</v>
      </c>
      <c r="I2">
        <v>1.0028983333333332</v>
      </c>
      <c r="J2">
        <v>1.0039225000000001</v>
      </c>
      <c r="K2">
        <v>1.0070950000000001</v>
      </c>
      <c r="L2">
        <v>1.0089625</v>
      </c>
      <c r="M2">
        <v>1.0115324999999999</v>
      </c>
    </row>
    <row r="3" spans="1:58" x14ac:dyDescent="0.2">
      <c r="H3">
        <v>1.00144916666087</v>
      </c>
      <c r="I3">
        <v>1.0028983333391299</v>
      </c>
      <c r="J3">
        <v>1.0039225000000001</v>
      </c>
      <c r="K3">
        <v>1.0070950000000001</v>
      </c>
      <c r="L3">
        <v>1.0089625</v>
      </c>
      <c r="M3">
        <v>1.0115324999999999</v>
      </c>
    </row>
    <row r="4" spans="1:58" x14ac:dyDescent="0.2">
      <c r="A4" s="10"/>
      <c r="B4" s="10"/>
      <c r="C4" s="10"/>
      <c r="D4" s="10"/>
      <c r="E4" s="10" t="s">
        <v>30</v>
      </c>
      <c r="F4" s="10"/>
      <c r="G4" s="10" t="s">
        <v>31</v>
      </c>
      <c r="H4" s="10"/>
    </row>
    <row r="6" spans="1:58" x14ac:dyDescent="0.2">
      <c r="A6" s="1"/>
      <c r="E6">
        <v>1</v>
      </c>
      <c r="F6">
        <v>1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</row>
    <row r="7" spans="1:58" x14ac:dyDescent="0.2">
      <c r="A7" s="1"/>
      <c r="E7">
        <v>1</v>
      </c>
      <c r="G7">
        <v>0</v>
      </c>
      <c r="H7">
        <v>1.0015134246575343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</row>
    <row r="8" spans="1:58" x14ac:dyDescent="0.2">
      <c r="A8" s="1"/>
      <c r="E8">
        <v>1</v>
      </c>
      <c r="G8">
        <v>0</v>
      </c>
      <c r="H8">
        <v>0</v>
      </c>
      <c r="I8">
        <v>1.0036875063312722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</row>
    <row r="9" spans="1:58" x14ac:dyDescent="0.2">
      <c r="A9" s="1"/>
      <c r="E9">
        <v>1</v>
      </c>
      <c r="G9">
        <v>0</v>
      </c>
      <c r="H9">
        <v>0</v>
      </c>
      <c r="I9">
        <v>0</v>
      </c>
      <c r="J9">
        <v>1.0037096201235505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</row>
    <row r="10" spans="1:58" x14ac:dyDescent="0.2">
      <c r="A10" s="1"/>
      <c r="E10">
        <v>1</v>
      </c>
      <c r="G10">
        <v>0</v>
      </c>
      <c r="H10">
        <v>0</v>
      </c>
      <c r="I10">
        <v>0</v>
      </c>
      <c r="J10">
        <v>0</v>
      </c>
      <c r="K10">
        <v>1.0047045062862341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</row>
    <row r="11" spans="1:58" x14ac:dyDescent="0.2">
      <c r="A11" s="1"/>
      <c r="E11">
        <v>1</v>
      </c>
      <c r="G11">
        <v>0</v>
      </c>
      <c r="H11">
        <v>0</v>
      </c>
      <c r="I11">
        <v>0</v>
      </c>
      <c r="J11">
        <v>0</v>
      </c>
      <c r="K11">
        <v>0</v>
      </c>
      <c r="L11">
        <v>1.0055377197937365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</row>
    <row r="12" spans="1:58" x14ac:dyDescent="0.2">
      <c r="A12" s="1"/>
      <c r="E12">
        <v>1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1.0055595897677392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</row>
    <row r="13" spans="1:58" x14ac:dyDescent="0.2">
      <c r="A13" s="1"/>
      <c r="E13">
        <v>1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1.0076686332903408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</row>
    <row r="14" spans="1:58" x14ac:dyDescent="0.2">
      <c r="A14" s="1"/>
      <c r="E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 s="7">
        <v>1.0091751506206468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</row>
    <row r="15" spans="1:58" x14ac:dyDescent="0.2">
      <c r="A15" s="1"/>
      <c r="E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1.0103065165207763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</row>
    <row r="16" spans="1:58" x14ac:dyDescent="0.2">
      <c r="A16" s="1"/>
      <c r="E16">
        <v>1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1.0136277366523536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</row>
    <row r="17" spans="1:58" x14ac:dyDescent="0.2">
      <c r="A17" s="1"/>
      <c r="E17">
        <v>1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1.0136679308595784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</row>
    <row r="18" spans="1:58" x14ac:dyDescent="0.2">
      <c r="A18" s="1"/>
      <c r="E18">
        <v>1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1.0158600503725728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</row>
    <row r="19" spans="1:58" x14ac:dyDescent="0.2">
      <c r="A19" s="1"/>
      <c r="E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1.0176171587187719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</row>
    <row r="20" spans="1:58" x14ac:dyDescent="0.2">
      <c r="A20" s="1"/>
      <c r="E20">
        <v>1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1.0176644744002932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</row>
    <row r="21" spans="1:58" x14ac:dyDescent="0.2">
      <c r="A21" s="1"/>
      <c r="E21">
        <v>1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1.0222346314263613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</row>
    <row r="22" spans="1:58" x14ac:dyDescent="0.2">
      <c r="A22" s="1"/>
      <c r="E22">
        <v>1</v>
      </c>
      <c r="G22">
        <v>0</v>
      </c>
      <c r="H22">
        <v>0</v>
      </c>
      <c r="I22">
        <v>0</v>
      </c>
      <c r="J22">
        <v>0</v>
      </c>
      <c r="K22">
        <v>6.2234246575342458E-3</v>
      </c>
      <c r="L22">
        <v>0</v>
      </c>
      <c r="M22">
        <v>0</v>
      </c>
      <c r="N22">
        <v>0</v>
      </c>
      <c r="O22">
        <v>6.326575342465752E-3</v>
      </c>
      <c r="P22">
        <v>0</v>
      </c>
      <c r="Q22">
        <v>0</v>
      </c>
      <c r="R22">
        <v>0</v>
      </c>
      <c r="S22">
        <v>6.2234246575342466E-3</v>
      </c>
      <c r="T22">
        <v>0</v>
      </c>
      <c r="U22">
        <v>0</v>
      </c>
      <c r="V22">
        <v>0</v>
      </c>
      <c r="W22">
        <v>1.0063265753424657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</row>
    <row r="23" spans="1:58" x14ac:dyDescent="0.2">
      <c r="A23" s="1"/>
      <c r="E23">
        <v>1</v>
      </c>
      <c r="G23">
        <v>0</v>
      </c>
      <c r="H23">
        <v>0</v>
      </c>
      <c r="I23">
        <v>0</v>
      </c>
      <c r="J23">
        <v>0</v>
      </c>
      <c r="K23">
        <v>7.0441232876712334E-3</v>
      </c>
      <c r="L23">
        <v>0</v>
      </c>
      <c r="M23">
        <v>0</v>
      </c>
      <c r="N23">
        <v>0</v>
      </c>
      <c r="O23">
        <v>7.1608767123287663E-3</v>
      </c>
      <c r="P23">
        <v>0</v>
      </c>
      <c r="Q23">
        <v>0</v>
      </c>
      <c r="R23">
        <v>0</v>
      </c>
      <c r="S23">
        <v>7.0441232876712343E-3</v>
      </c>
      <c r="T23">
        <v>0</v>
      </c>
      <c r="U23">
        <v>0</v>
      </c>
      <c r="V23">
        <v>0</v>
      </c>
      <c r="W23">
        <v>7.1608767123287663E-3</v>
      </c>
      <c r="X23">
        <v>1.0070441232876712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</row>
    <row r="24" spans="1:58" x14ac:dyDescent="0.2">
      <c r="A24" s="1"/>
      <c r="E24">
        <v>1</v>
      </c>
      <c r="G24">
        <v>0</v>
      </c>
      <c r="H24">
        <v>0</v>
      </c>
      <c r="I24">
        <v>0</v>
      </c>
      <c r="J24">
        <v>0</v>
      </c>
      <c r="K24">
        <v>7.8648219178082193E-3</v>
      </c>
      <c r="L24">
        <v>0</v>
      </c>
      <c r="M24">
        <v>0</v>
      </c>
      <c r="N24">
        <v>0</v>
      </c>
      <c r="O24">
        <v>7.9951780821917798E-3</v>
      </c>
      <c r="P24">
        <v>0</v>
      </c>
      <c r="Q24">
        <v>0</v>
      </c>
      <c r="R24">
        <v>0</v>
      </c>
      <c r="S24">
        <v>7.8648219178082193E-3</v>
      </c>
      <c r="T24">
        <v>0</v>
      </c>
      <c r="U24">
        <v>0</v>
      </c>
      <c r="V24">
        <v>0</v>
      </c>
      <c r="W24">
        <v>7.9951780821917798E-3</v>
      </c>
      <c r="X24">
        <v>7.8648219178082159E-3</v>
      </c>
      <c r="Y24">
        <v>1.0080820821917809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</row>
    <row r="25" spans="1:58" x14ac:dyDescent="0.2">
      <c r="A25" s="1"/>
      <c r="E25">
        <v>1</v>
      </c>
      <c r="G25">
        <v>0</v>
      </c>
      <c r="H25">
        <v>0</v>
      </c>
      <c r="I25">
        <v>0</v>
      </c>
      <c r="J25">
        <v>0</v>
      </c>
      <c r="K25">
        <v>8.3532739726027393E-3</v>
      </c>
      <c r="L25">
        <v>0</v>
      </c>
      <c r="M25">
        <v>0</v>
      </c>
      <c r="N25">
        <v>0</v>
      </c>
      <c r="O25">
        <v>8.4917260273972579E-3</v>
      </c>
      <c r="P25">
        <v>0</v>
      </c>
      <c r="Q25">
        <v>0</v>
      </c>
      <c r="R25">
        <v>0</v>
      </c>
      <c r="S25">
        <v>8.353273972602741E-3</v>
      </c>
      <c r="T25">
        <v>0</v>
      </c>
      <c r="U25">
        <v>0</v>
      </c>
      <c r="V25">
        <v>0</v>
      </c>
      <c r="W25">
        <v>8.4917260273972579E-3</v>
      </c>
      <c r="X25">
        <v>8.3532739726027358E-3</v>
      </c>
      <c r="Y25">
        <v>8.5840273972602795E-3</v>
      </c>
      <c r="Z25">
        <v>1.0084455753424657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</row>
    <row r="26" spans="1:58" x14ac:dyDescent="0.2">
      <c r="A26" s="1"/>
      <c r="E26">
        <v>1</v>
      </c>
      <c r="G26">
        <v>0</v>
      </c>
      <c r="H26">
        <v>0</v>
      </c>
      <c r="I26">
        <v>0</v>
      </c>
      <c r="J26">
        <v>0</v>
      </c>
      <c r="K26">
        <v>8.8417260273972592E-3</v>
      </c>
      <c r="L26">
        <v>0</v>
      </c>
      <c r="M26">
        <v>0</v>
      </c>
      <c r="N26">
        <v>0</v>
      </c>
      <c r="O26">
        <v>8.9882739726027377E-3</v>
      </c>
      <c r="P26">
        <v>0</v>
      </c>
      <c r="Q26">
        <v>0</v>
      </c>
      <c r="R26">
        <v>0</v>
      </c>
      <c r="S26">
        <v>8.8417260273972609E-3</v>
      </c>
      <c r="T26">
        <v>0</v>
      </c>
      <c r="U26">
        <v>0</v>
      </c>
      <c r="V26">
        <v>0</v>
      </c>
      <c r="W26">
        <v>8.9882739726027377E-3</v>
      </c>
      <c r="X26">
        <v>8.8417260273972575E-3</v>
      </c>
      <c r="Y26">
        <v>9.0859726027397308E-3</v>
      </c>
      <c r="Z26">
        <v>8.9394246575342385E-3</v>
      </c>
      <c r="AA26">
        <v>1.0088417260273972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</row>
    <row r="27" spans="1:58" x14ac:dyDescent="0.2">
      <c r="A27" s="1"/>
      <c r="E27">
        <v>1</v>
      </c>
      <c r="G27">
        <v>0</v>
      </c>
      <c r="H27">
        <v>0</v>
      </c>
      <c r="I27">
        <v>0</v>
      </c>
      <c r="J27">
        <v>0</v>
      </c>
      <c r="K27">
        <v>9.228520547945207E-3</v>
      </c>
      <c r="L27">
        <v>0</v>
      </c>
      <c r="M27">
        <v>0</v>
      </c>
      <c r="N27">
        <v>0</v>
      </c>
      <c r="O27">
        <v>9.3814794520547945E-3</v>
      </c>
      <c r="P27">
        <v>0</v>
      </c>
      <c r="Q27">
        <v>0</v>
      </c>
      <c r="R27">
        <v>0</v>
      </c>
      <c r="S27">
        <v>9.228520547945207E-3</v>
      </c>
      <c r="T27">
        <v>0</v>
      </c>
      <c r="U27">
        <v>0</v>
      </c>
      <c r="V27">
        <v>0</v>
      </c>
      <c r="W27">
        <v>9.3814794520547945E-3</v>
      </c>
      <c r="X27">
        <v>9.2285205479452036E-3</v>
      </c>
      <c r="Y27">
        <v>9.4834520547945281E-3</v>
      </c>
      <c r="Z27">
        <v>9.3304931506849251E-3</v>
      </c>
      <c r="AA27">
        <v>9.2285205479452122E-3</v>
      </c>
      <c r="AB27">
        <v>1.009330493150685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</row>
    <row r="28" spans="1:58" x14ac:dyDescent="0.2">
      <c r="A28" s="1"/>
      <c r="E28">
        <v>1</v>
      </c>
      <c r="G28">
        <v>0</v>
      </c>
      <c r="H28">
        <v>0</v>
      </c>
      <c r="I28">
        <v>0</v>
      </c>
      <c r="J28">
        <v>0</v>
      </c>
      <c r="K28">
        <v>9.6153150684931514E-3</v>
      </c>
      <c r="L28">
        <v>0</v>
      </c>
      <c r="M28">
        <v>0</v>
      </c>
      <c r="N28">
        <v>0</v>
      </c>
      <c r="O28">
        <v>9.7746849315068478E-3</v>
      </c>
      <c r="P28">
        <v>0</v>
      </c>
      <c r="Q28">
        <v>0</v>
      </c>
      <c r="R28">
        <v>0</v>
      </c>
      <c r="S28">
        <v>9.6153150684931531E-3</v>
      </c>
      <c r="T28">
        <v>0</v>
      </c>
      <c r="U28">
        <v>0</v>
      </c>
      <c r="V28">
        <v>0</v>
      </c>
      <c r="W28">
        <v>9.7746849315068478E-3</v>
      </c>
      <c r="X28">
        <v>9.6153150684931479E-3</v>
      </c>
      <c r="Y28">
        <v>9.880931506849322E-3</v>
      </c>
      <c r="Z28">
        <v>9.7215616438356099E-3</v>
      </c>
      <c r="AA28">
        <v>9.6153150684931566E-3</v>
      </c>
      <c r="AB28">
        <v>9.7215616438356099E-3</v>
      </c>
      <c r="AC28">
        <v>1.0096684383561645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</row>
    <row r="29" spans="1:58" x14ac:dyDescent="0.2">
      <c r="A29" s="1"/>
      <c r="E29">
        <v>1</v>
      </c>
      <c r="G29">
        <v>0</v>
      </c>
      <c r="H29">
        <v>0</v>
      </c>
      <c r="I29">
        <v>0</v>
      </c>
      <c r="J29">
        <v>0</v>
      </c>
      <c r="K29">
        <v>1.0046739726027395E-2</v>
      </c>
      <c r="L29">
        <v>0</v>
      </c>
      <c r="M29">
        <v>0</v>
      </c>
      <c r="N29">
        <v>0</v>
      </c>
      <c r="O29">
        <v>1.02132602739726E-2</v>
      </c>
      <c r="P29">
        <v>0</v>
      </c>
      <c r="Q29">
        <v>0</v>
      </c>
      <c r="R29">
        <v>0</v>
      </c>
      <c r="S29">
        <v>1.0046739726027397E-2</v>
      </c>
      <c r="T29">
        <v>0</v>
      </c>
      <c r="U29">
        <v>0</v>
      </c>
      <c r="V29">
        <v>0</v>
      </c>
      <c r="W29">
        <v>1.02132602739726E-2</v>
      </c>
      <c r="X29">
        <v>1.0046739726027393E-2</v>
      </c>
      <c r="Y29">
        <v>1.0324273972602745E-2</v>
      </c>
      <c r="Z29">
        <v>1.0157753424657525E-2</v>
      </c>
      <c r="AA29">
        <v>1.0046739726027402E-2</v>
      </c>
      <c r="AB29">
        <v>1.0157753424657525E-2</v>
      </c>
      <c r="AC29">
        <v>1.0102246575342472E-2</v>
      </c>
      <c r="AD29">
        <v>1.0101022465753424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</row>
    <row r="30" spans="1:58" x14ac:dyDescent="0.2">
      <c r="A30" s="1"/>
      <c r="E30">
        <v>1</v>
      </c>
      <c r="G30">
        <v>0</v>
      </c>
      <c r="H30">
        <v>0</v>
      </c>
      <c r="I30">
        <v>0</v>
      </c>
      <c r="J30">
        <v>0</v>
      </c>
      <c r="K30">
        <v>1.0478164383561644E-2</v>
      </c>
      <c r="L30">
        <v>0</v>
      </c>
      <c r="M30">
        <v>0</v>
      </c>
      <c r="N30">
        <v>0</v>
      </c>
      <c r="O30">
        <v>1.0651835616438354E-2</v>
      </c>
      <c r="P30">
        <v>0</v>
      </c>
      <c r="Q30">
        <v>0</v>
      </c>
      <c r="R30">
        <v>0</v>
      </c>
      <c r="S30">
        <v>1.0478164383561646E-2</v>
      </c>
      <c r="T30">
        <v>0</v>
      </c>
      <c r="U30">
        <v>0</v>
      </c>
      <c r="V30">
        <v>0</v>
      </c>
      <c r="W30">
        <v>1.0651835616438354E-2</v>
      </c>
      <c r="X30">
        <v>1.0478164383561641E-2</v>
      </c>
      <c r="Y30">
        <v>1.0767616438356171E-2</v>
      </c>
      <c r="Z30">
        <v>1.0593945205479443E-2</v>
      </c>
      <c r="AA30">
        <v>1.0478164383561649E-2</v>
      </c>
      <c r="AB30">
        <v>1.0593945205479443E-2</v>
      </c>
      <c r="AC30">
        <v>1.0536054794520557E-2</v>
      </c>
      <c r="AD30">
        <v>1.0536054794520537E-2</v>
      </c>
      <c r="AE30">
        <v>1.0105939452054795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</row>
    <row r="31" spans="1:58" x14ac:dyDescent="0.2">
      <c r="A31" s="1"/>
      <c r="E31">
        <v>1</v>
      </c>
      <c r="G31">
        <v>0</v>
      </c>
      <c r="H31">
        <v>0</v>
      </c>
      <c r="I31">
        <v>0</v>
      </c>
      <c r="J31">
        <v>0</v>
      </c>
      <c r="K31">
        <v>1.0912068493150686E-2</v>
      </c>
      <c r="L31">
        <v>0</v>
      </c>
      <c r="M31">
        <v>0</v>
      </c>
      <c r="N31">
        <v>0</v>
      </c>
      <c r="O31">
        <v>1.1092931506849313E-2</v>
      </c>
      <c r="P31">
        <v>0</v>
      </c>
      <c r="Q31">
        <v>0</v>
      </c>
      <c r="R31">
        <v>0</v>
      </c>
      <c r="S31">
        <v>1.0912068493150687E-2</v>
      </c>
      <c r="T31">
        <v>0</v>
      </c>
      <c r="U31">
        <v>0</v>
      </c>
      <c r="V31">
        <v>0</v>
      </c>
      <c r="W31">
        <v>1.1092931506849313E-2</v>
      </c>
      <c r="X31">
        <v>1.0912068493150682E-2</v>
      </c>
      <c r="Y31">
        <v>1.1213506849315076E-2</v>
      </c>
      <c r="Z31">
        <v>1.103264383561643E-2</v>
      </c>
      <c r="AA31">
        <v>1.0912068493150691E-2</v>
      </c>
      <c r="AB31">
        <v>1.103264383561643E-2</v>
      </c>
      <c r="AC31">
        <v>1.097235616438357E-2</v>
      </c>
      <c r="AD31">
        <v>1.0972356164383551E-2</v>
      </c>
      <c r="AE31">
        <v>1.1032643835616449E-2</v>
      </c>
      <c r="AF31">
        <v>1.0109120684931507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</row>
    <row r="32" spans="1:58" x14ac:dyDescent="0.2">
      <c r="A32" s="1"/>
      <c r="E32">
        <v>1</v>
      </c>
      <c r="G32">
        <v>0</v>
      </c>
      <c r="H32">
        <v>0</v>
      </c>
      <c r="I32">
        <v>0</v>
      </c>
      <c r="J32">
        <v>0</v>
      </c>
      <c r="K32">
        <v>1.1345972602739725E-2</v>
      </c>
      <c r="L32">
        <v>0</v>
      </c>
      <c r="M32">
        <v>0</v>
      </c>
      <c r="N32">
        <v>0</v>
      </c>
      <c r="O32">
        <v>1.153402739726027E-2</v>
      </c>
      <c r="P32">
        <v>0</v>
      </c>
      <c r="Q32">
        <v>0</v>
      </c>
      <c r="R32">
        <v>0</v>
      </c>
      <c r="S32">
        <v>1.1345972602739727E-2</v>
      </c>
      <c r="T32">
        <v>0</v>
      </c>
      <c r="U32">
        <v>0</v>
      </c>
      <c r="V32">
        <v>0</v>
      </c>
      <c r="W32">
        <v>1.153402739726027E-2</v>
      </c>
      <c r="X32">
        <v>1.1345972602739722E-2</v>
      </c>
      <c r="Y32">
        <v>1.165939726027398E-2</v>
      </c>
      <c r="Z32">
        <v>1.1471342465753414E-2</v>
      </c>
      <c r="AA32">
        <v>1.1345972602739731E-2</v>
      </c>
      <c r="AB32">
        <v>1.1471342465753414E-2</v>
      </c>
      <c r="AC32">
        <v>1.1408657534246584E-2</v>
      </c>
      <c r="AD32">
        <v>1.1408657534246563E-2</v>
      </c>
      <c r="AE32">
        <v>1.1471342465753435E-2</v>
      </c>
      <c r="AF32">
        <v>1.1345972602739731E-2</v>
      </c>
      <c r="AG32">
        <v>1.0115340273972602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</row>
    <row r="33" spans="1:58" x14ac:dyDescent="0.2">
      <c r="A33" s="1"/>
      <c r="E33">
        <v>1</v>
      </c>
      <c r="G33">
        <v>0</v>
      </c>
      <c r="H33">
        <v>0</v>
      </c>
      <c r="I33">
        <v>0</v>
      </c>
      <c r="J33">
        <v>0</v>
      </c>
      <c r="K33">
        <v>1.1777397260273973E-2</v>
      </c>
      <c r="L33">
        <v>0</v>
      </c>
      <c r="M33">
        <v>0</v>
      </c>
      <c r="N33">
        <v>0</v>
      </c>
      <c r="O33">
        <v>1.1972602739726026E-2</v>
      </c>
      <c r="P33">
        <v>0</v>
      </c>
      <c r="Q33">
        <v>0</v>
      </c>
      <c r="R33">
        <v>0</v>
      </c>
      <c r="S33">
        <v>1.1777397260273974E-2</v>
      </c>
      <c r="T33">
        <v>0</v>
      </c>
      <c r="U33">
        <v>0</v>
      </c>
      <c r="V33">
        <v>0</v>
      </c>
      <c r="W33">
        <v>1.1972602739726026E-2</v>
      </c>
      <c r="X33">
        <v>1.1777397260273969E-2</v>
      </c>
      <c r="Y33">
        <v>1.2102739726027406E-2</v>
      </c>
      <c r="Z33">
        <v>1.1907534246575334E-2</v>
      </c>
      <c r="AA33">
        <v>1.177739726027398E-2</v>
      </c>
      <c r="AB33">
        <v>1.1907534246575334E-2</v>
      </c>
      <c r="AC33">
        <v>1.1842465753424666E-2</v>
      </c>
      <c r="AD33">
        <v>1.1842465753424646E-2</v>
      </c>
      <c r="AE33">
        <v>1.1907534246575355E-2</v>
      </c>
      <c r="AF33">
        <v>1.177739726027398E-2</v>
      </c>
      <c r="AG33">
        <v>1.1972602739726021E-2</v>
      </c>
      <c r="AH33">
        <v>1.0118424657534246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</row>
    <row r="34" spans="1:58" x14ac:dyDescent="0.2">
      <c r="A34" s="1"/>
      <c r="E34">
        <v>1</v>
      </c>
      <c r="G34">
        <v>0</v>
      </c>
      <c r="H34">
        <v>0</v>
      </c>
      <c r="I34">
        <v>0</v>
      </c>
      <c r="J34">
        <v>0</v>
      </c>
      <c r="K34">
        <v>1.2208821917808222E-2</v>
      </c>
      <c r="L34">
        <v>0</v>
      </c>
      <c r="M34">
        <v>0</v>
      </c>
      <c r="N34">
        <v>0</v>
      </c>
      <c r="O34">
        <v>1.2411178082191781E-2</v>
      </c>
      <c r="P34">
        <v>0</v>
      </c>
      <c r="Q34">
        <v>0</v>
      </c>
      <c r="R34">
        <v>0</v>
      </c>
      <c r="S34">
        <v>1.2208821917808222E-2</v>
      </c>
      <c r="T34">
        <v>0</v>
      </c>
      <c r="U34">
        <v>0</v>
      </c>
      <c r="V34">
        <v>0</v>
      </c>
      <c r="W34">
        <v>1.2411178082191781E-2</v>
      </c>
      <c r="X34">
        <v>1.2208821917808216E-2</v>
      </c>
      <c r="Y34">
        <v>1.2546082191780833E-2</v>
      </c>
      <c r="Z34">
        <v>1.2343726027397252E-2</v>
      </c>
      <c r="AA34">
        <v>1.2208821917808229E-2</v>
      </c>
      <c r="AB34">
        <v>1.2343726027397252E-2</v>
      </c>
      <c r="AC34">
        <v>1.2276273972602751E-2</v>
      </c>
      <c r="AD34">
        <v>1.2276273972602728E-2</v>
      </c>
      <c r="AE34">
        <v>1.2343726027397275E-2</v>
      </c>
      <c r="AF34">
        <v>1.2208821917808229E-2</v>
      </c>
      <c r="AG34">
        <v>1.2411178082191774E-2</v>
      </c>
      <c r="AH34">
        <v>1.2276273972602728E-2</v>
      </c>
      <c r="AI34">
        <v>1.0125460821917809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</row>
    <row r="35" spans="1:58" x14ac:dyDescent="0.2">
      <c r="A35" s="1"/>
      <c r="E35">
        <v>1</v>
      </c>
      <c r="G35">
        <v>0</v>
      </c>
      <c r="H35">
        <v>0</v>
      </c>
      <c r="I35">
        <v>0</v>
      </c>
      <c r="J35">
        <v>0</v>
      </c>
      <c r="K35">
        <v>1.270223287671233E-2</v>
      </c>
      <c r="L35">
        <v>0</v>
      </c>
      <c r="M35">
        <v>0</v>
      </c>
      <c r="N35">
        <v>0</v>
      </c>
      <c r="O35">
        <v>1.291276712328767E-2</v>
      </c>
      <c r="P35">
        <v>0</v>
      </c>
      <c r="Q35">
        <v>0</v>
      </c>
      <c r="R35">
        <v>0</v>
      </c>
      <c r="S35">
        <v>1.2702232876712332E-2</v>
      </c>
      <c r="T35">
        <v>0</v>
      </c>
      <c r="U35">
        <v>0</v>
      </c>
      <c r="V35">
        <v>0</v>
      </c>
      <c r="W35">
        <v>1.291276712328767E-2</v>
      </c>
      <c r="X35">
        <v>1.2702232876712327E-2</v>
      </c>
      <c r="Y35">
        <v>1.3053123287671243E-2</v>
      </c>
      <c r="Z35">
        <v>1.2842589041095882E-2</v>
      </c>
      <c r="AA35">
        <v>1.2702232876712337E-2</v>
      </c>
      <c r="AB35">
        <v>1.2842589041095882E-2</v>
      </c>
      <c r="AC35">
        <v>1.2772410958904121E-2</v>
      </c>
      <c r="AD35">
        <v>1.2772410958904098E-2</v>
      </c>
      <c r="AE35">
        <v>1.2842589041095904E-2</v>
      </c>
      <c r="AF35">
        <v>1.2702232876712337E-2</v>
      </c>
      <c r="AG35">
        <v>1.2912767123287665E-2</v>
      </c>
      <c r="AH35">
        <v>1.2772410958904098E-2</v>
      </c>
      <c r="AI35">
        <v>1.3053123287671255E-2</v>
      </c>
      <c r="AJ35">
        <v>1.0125618767123288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</row>
    <row r="36" spans="1:58" x14ac:dyDescent="0.2">
      <c r="A36" s="1"/>
      <c r="E36">
        <v>1</v>
      </c>
      <c r="G36">
        <v>0</v>
      </c>
      <c r="H36">
        <v>0</v>
      </c>
      <c r="I36">
        <v>0</v>
      </c>
      <c r="J36">
        <v>0</v>
      </c>
      <c r="K36">
        <v>1.3195643835616439E-2</v>
      </c>
      <c r="L36">
        <v>0</v>
      </c>
      <c r="M36">
        <v>0</v>
      </c>
      <c r="N36">
        <v>0</v>
      </c>
      <c r="O36">
        <v>1.3414356164383561E-2</v>
      </c>
      <c r="P36">
        <v>0</v>
      </c>
      <c r="Q36">
        <v>0</v>
      </c>
      <c r="R36">
        <v>0</v>
      </c>
      <c r="S36">
        <v>1.3195643835616441E-2</v>
      </c>
      <c r="T36">
        <v>0</v>
      </c>
      <c r="U36">
        <v>0</v>
      </c>
      <c r="V36">
        <v>0</v>
      </c>
      <c r="W36">
        <v>1.3414356164383561E-2</v>
      </c>
      <c r="X36">
        <v>1.3195643835616435E-2</v>
      </c>
      <c r="Y36">
        <v>1.3560164383561654E-2</v>
      </c>
      <c r="Z36">
        <v>1.3341452054794511E-2</v>
      </c>
      <c r="AA36">
        <v>1.3195643835616448E-2</v>
      </c>
      <c r="AB36">
        <v>1.3341452054794511E-2</v>
      </c>
      <c r="AC36">
        <v>1.3268547945205491E-2</v>
      </c>
      <c r="AD36">
        <v>1.3268547945205466E-2</v>
      </c>
      <c r="AE36">
        <v>1.3341452054794535E-2</v>
      </c>
      <c r="AF36">
        <v>1.3195643835616448E-2</v>
      </c>
      <c r="AG36">
        <v>1.3414356164383554E-2</v>
      </c>
      <c r="AH36">
        <v>1.3268547945205466E-2</v>
      </c>
      <c r="AI36">
        <v>1.3560164383561666E-2</v>
      </c>
      <c r="AJ36">
        <v>1.3049835616438335E-2</v>
      </c>
      <c r="AK36">
        <v>1.0134872602739726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</row>
    <row r="37" spans="1:58" x14ac:dyDescent="0.2">
      <c r="A37" s="1"/>
      <c r="E37">
        <v>1</v>
      </c>
      <c r="G37">
        <v>0</v>
      </c>
      <c r="H37">
        <v>0</v>
      </c>
      <c r="I37">
        <v>0</v>
      </c>
      <c r="J37">
        <v>0</v>
      </c>
      <c r="K37">
        <v>1.3701452054794521E-2</v>
      </c>
      <c r="L37">
        <v>0</v>
      </c>
      <c r="M37">
        <v>0</v>
      </c>
      <c r="N37">
        <v>0</v>
      </c>
      <c r="O37">
        <v>1.3928547945205476E-2</v>
      </c>
      <c r="P37">
        <v>0</v>
      </c>
      <c r="Q37">
        <v>0</v>
      </c>
      <c r="R37">
        <v>0</v>
      </c>
      <c r="S37">
        <v>1.3701452054794522E-2</v>
      </c>
      <c r="T37">
        <v>0</v>
      </c>
      <c r="U37">
        <v>0</v>
      </c>
      <c r="V37">
        <v>0</v>
      </c>
      <c r="W37">
        <v>1.3928547945205476E-2</v>
      </c>
      <c r="X37">
        <v>1.3701452054794516E-2</v>
      </c>
      <c r="Y37">
        <v>1.4079945205479462E-2</v>
      </c>
      <c r="Z37">
        <v>1.3852849315068482E-2</v>
      </c>
      <c r="AA37">
        <v>1.3701452054794528E-2</v>
      </c>
      <c r="AB37">
        <v>1.3852849315068482E-2</v>
      </c>
      <c r="AC37">
        <v>1.3777150684931516E-2</v>
      </c>
      <c r="AD37">
        <v>1.3777150684931492E-2</v>
      </c>
      <c r="AE37">
        <v>1.3852849315068506E-2</v>
      </c>
      <c r="AF37">
        <v>1.3701452054794528E-2</v>
      </c>
      <c r="AG37">
        <v>1.3928547945205471E-2</v>
      </c>
      <c r="AH37">
        <v>1.3777150684931492E-2</v>
      </c>
      <c r="AI37">
        <v>1.4079945205479474E-2</v>
      </c>
      <c r="AJ37">
        <v>1.3550054794520525E-2</v>
      </c>
      <c r="AK37">
        <v>1.4004246575342459E-2</v>
      </c>
      <c r="AL37">
        <v>1.0138528493150685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</row>
    <row r="38" spans="1:58" x14ac:dyDescent="0.2">
      <c r="A38" s="1"/>
      <c r="E38">
        <v>1</v>
      </c>
      <c r="G38">
        <v>0</v>
      </c>
      <c r="H38">
        <v>0</v>
      </c>
      <c r="I38">
        <v>0</v>
      </c>
      <c r="J38">
        <v>0</v>
      </c>
      <c r="K38">
        <v>1.4207260273972604E-2</v>
      </c>
      <c r="L38">
        <v>0</v>
      </c>
      <c r="M38">
        <v>0</v>
      </c>
      <c r="N38">
        <v>0</v>
      </c>
      <c r="O38">
        <v>1.4442739726027396E-2</v>
      </c>
      <c r="P38">
        <v>0</v>
      </c>
      <c r="Q38">
        <v>0</v>
      </c>
      <c r="R38">
        <v>0</v>
      </c>
      <c r="S38">
        <v>1.4207260273972606E-2</v>
      </c>
      <c r="T38">
        <v>0</v>
      </c>
      <c r="U38">
        <v>0</v>
      </c>
      <c r="V38">
        <v>0</v>
      </c>
      <c r="W38">
        <v>1.4442739726027396E-2</v>
      </c>
      <c r="X38">
        <v>1.4207260273972599E-2</v>
      </c>
      <c r="Y38">
        <v>1.4599726027397271E-2</v>
      </c>
      <c r="Z38">
        <v>1.4364246575342455E-2</v>
      </c>
      <c r="AA38">
        <v>1.4207260273972611E-2</v>
      </c>
      <c r="AB38">
        <v>1.4364246575342455E-2</v>
      </c>
      <c r="AC38">
        <v>1.4285753424657547E-2</v>
      </c>
      <c r="AD38">
        <v>1.4285753424657521E-2</v>
      </c>
      <c r="AE38">
        <v>1.4364246575342481E-2</v>
      </c>
      <c r="AF38">
        <v>1.4207260273972611E-2</v>
      </c>
      <c r="AG38">
        <v>1.4442739726027391E-2</v>
      </c>
      <c r="AH38">
        <v>1.4285753424657521E-2</v>
      </c>
      <c r="AI38">
        <v>1.4599726027397284E-2</v>
      </c>
      <c r="AJ38">
        <v>1.4050273972602717E-2</v>
      </c>
      <c r="AK38">
        <v>1.4521232876712325E-2</v>
      </c>
      <c r="AL38">
        <v>1.4364246575342507E-2</v>
      </c>
      <c r="AM38">
        <v>1.0142072602739727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</row>
    <row r="39" spans="1:58" x14ac:dyDescent="0.2">
      <c r="A39" s="1"/>
      <c r="E39">
        <v>1</v>
      </c>
      <c r="G39">
        <v>0</v>
      </c>
      <c r="H39">
        <v>0</v>
      </c>
      <c r="I39">
        <v>0</v>
      </c>
      <c r="J39">
        <v>0</v>
      </c>
      <c r="K39">
        <v>1.460645205479452E-2</v>
      </c>
      <c r="L39">
        <v>0</v>
      </c>
      <c r="M39">
        <v>0</v>
      </c>
      <c r="N39">
        <v>0</v>
      </c>
      <c r="O39">
        <v>1.4848547945205477E-2</v>
      </c>
      <c r="P39">
        <v>0</v>
      </c>
      <c r="Q39">
        <v>0</v>
      </c>
      <c r="R39">
        <v>0</v>
      </c>
      <c r="S39">
        <v>1.4606452054794522E-2</v>
      </c>
      <c r="T39">
        <v>0</v>
      </c>
      <c r="U39">
        <v>0</v>
      </c>
      <c r="V39">
        <v>0</v>
      </c>
      <c r="W39">
        <v>1.4848547945205477E-2</v>
      </c>
      <c r="X39">
        <v>1.4606452054794515E-2</v>
      </c>
      <c r="Y39">
        <v>1.5009945205479462E-2</v>
      </c>
      <c r="Z39">
        <v>1.4767849315068481E-2</v>
      </c>
      <c r="AA39">
        <v>1.4606452054794529E-2</v>
      </c>
      <c r="AB39">
        <v>1.4767849315068481E-2</v>
      </c>
      <c r="AC39">
        <v>1.4687150684931517E-2</v>
      </c>
      <c r="AD39">
        <v>1.4687150684931491E-2</v>
      </c>
      <c r="AE39">
        <v>1.4767849315068507E-2</v>
      </c>
      <c r="AF39">
        <v>1.4606452054794529E-2</v>
      </c>
      <c r="AG39">
        <v>1.484854794520547E-2</v>
      </c>
      <c r="AH39">
        <v>1.4687150684931491E-2</v>
      </c>
      <c r="AI39">
        <v>1.5009945205479474E-2</v>
      </c>
      <c r="AJ39">
        <v>1.4445054794520525E-2</v>
      </c>
      <c r="AK39">
        <v>1.492924657534246E-2</v>
      </c>
      <c r="AL39">
        <v>1.4767849315068533E-2</v>
      </c>
      <c r="AM39">
        <v>1.4606452054794503E-2</v>
      </c>
      <c r="AN39">
        <v>1.0147678493150685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</row>
    <row r="40" spans="1:58" x14ac:dyDescent="0.2">
      <c r="A40" s="1"/>
      <c r="E40">
        <v>1</v>
      </c>
      <c r="G40">
        <v>0</v>
      </c>
      <c r="H40">
        <v>0</v>
      </c>
      <c r="I40">
        <v>0</v>
      </c>
      <c r="J40">
        <v>0</v>
      </c>
      <c r="K40">
        <v>1.5005643835616438E-2</v>
      </c>
      <c r="L40">
        <v>0</v>
      </c>
      <c r="M40">
        <v>0</v>
      </c>
      <c r="N40">
        <v>0</v>
      </c>
      <c r="O40">
        <v>1.5254356164383559E-2</v>
      </c>
      <c r="P40">
        <v>0</v>
      </c>
      <c r="Q40">
        <v>0</v>
      </c>
      <c r="R40">
        <v>0</v>
      </c>
      <c r="S40">
        <v>1.500564383561644E-2</v>
      </c>
      <c r="T40">
        <v>0</v>
      </c>
      <c r="U40">
        <v>0</v>
      </c>
      <c r="V40">
        <v>0</v>
      </c>
      <c r="W40">
        <v>1.5254356164383559E-2</v>
      </c>
      <c r="X40">
        <v>1.5005643835616433E-2</v>
      </c>
      <c r="Y40">
        <v>1.5420164383561653E-2</v>
      </c>
      <c r="Z40">
        <v>1.5171452054794508E-2</v>
      </c>
      <c r="AA40">
        <v>1.5005643835616447E-2</v>
      </c>
      <c r="AB40">
        <v>1.5171452054794508E-2</v>
      </c>
      <c r="AC40">
        <v>1.5088547945205491E-2</v>
      </c>
      <c r="AD40">
        <v>1.5088547945205463E-2</v>
      </c>
      <c r="AE40">
        <v>1.5171452054794535E-2</v>
      </c>
      <c r="AF40">
        <v>1.5005643835616447E-2</v>
      </c>
      <c r="AG40">
        <v>1.5254356164383552E-2</v>
      </c>
      <c r="AH40">
        <v>1.5088547945205463E-2</v>
      </c>
      <c r="AI40">
        <v>1.5420164383561667E-2</v>
      </c>
      <c r="AJ40">
        <v>1.4839835616438332E-2</v>
      </c>
      <c r="AK40">
        <v>1.5337260273972596E-2</v>
      </c>
      <c r="AL40">
        <v>1.5171452054794561E-2</v>
      </c>
      <c r="AM40">
        <v>1.5005643835616421E-2</v>
      </c>
      <c r="AN40">
        <v>1.5171452054794508E-2</v>
      </c>
      <c r="AO40">
        <v>1.0150885479452054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</row>
    <row r="41" spans="1:58" x14ac:dyDescent="0.2">
      <c r="A41" s="1"/>
      <c r="E41">
        <v>1</v>
      </c>
      <c r="G41">
        <v>0</v>
      </c>
      <c r="H41">
        <v>0</v>
      </c>
      <c r="I41">
        <v>0</v>
      </c>
      <c r="J41">
        <v>0</v>
      </c>
      <c r="K41">
        <v>1.5404835616438356E-2</v>
      </c>
      <c r="L41">
        <v>0</v>
      </c>
      <c r="M41">
        <v>0</v>
      </c>
      <c r="N41">
        <v>0</v>
      </c>
      <c r="O41">
        <v>1.5660164383561642E-2</v>
      </c>
      <c r="P41">
        <v>0</v>
      </c>
      <c r="Q41">
        <v>0</v>
      </c>
      <c r="R41">
        <v>0</v>
      </c>
      <c r="S41">
        <v>1.5404835616438357E-2</v>
      </c>
      <c r="T41">
        <v>0</v>
      </c>
      <c r="U41">
        <v>0</v>
      </c>
      <c r="V41">
        <v>0</v>
      </c>
      <c r="W41">
        <v>1.5660164383561642E-2</v>
      </c>
      <c r="X41">
        <v>1.540483561643835E-2</v>
      </c>
      <c r="Y41">
        <v>1.5830383561643846E-2</v>
      </c>
      <c r="Z41">
        <v>1.5575054794520536E-2</v>
      </c>
      <c r="AA41">
        <v>1.5404835616438364E-2</v>
      </c>
      <c r="AB41">
        <v>1.5575054794520536E-2</v>
      </c>
      <c r="AC41">
        <v>1.5489945205479463E-2</v>
      </c>
      <c r="AD41">
        <v>1.5489945205479435E-2</v>
      </c>
      <c r="AE41">
        <v>1.5575054794520564E-2</v>
      </c>
      <c r="AF41">
        <v>1.5404835616438364E-2</v>
      </c>
      <c r="AG41">
        <v>1.5660164383561635E-2</v>
      </c>
      <c r="AH41">
        <v>1.5489945205479435E-2</v>
      </c>
      <c r="AI41">
        <v>1.583038356164386E-2</v>
      </c>
      <c r="AJ41">
        <v>1.5234616438356139E-2</v>
      </c>
      <c r="AK41">
        <v>1.5745273972602732E-2</v>
      </c>
      <c r="AL41">
        <v>1.557505479452059E-2</v>
      </c>
      <c r="AM41">
        <v>1.5404835616438337E-2</v>
      </c>
      <c r="AN41">
        <v>1.5575054794520536E-2</v>
      </c>
      <c r="AO41">
        <v>1.5489945205479463E-2</v>
      </c>
      <c r="AP41">
        <v>1.0154899452054795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</row>
    <row r="42" spans="1:58" x14ac:dyDescent="0.2">
      <c r="A42" s="1"/>
      <c r="E42">
        <v>1</v>
      </c>
      <c r="G42">
        <v>0</v>
      </c>
      <c r="H42">
        <v>0</v>
      </c>
      <c r="I42">
        <v>0</v>
      </c>
      <c r="J42">
        <v>0</v>
      </c>
      <c r="K42">
        <v>1.5804027397260272E-2</v>
      </c>
      <c r="L42">
        <v>0</v>
      </c>
      <c r="M42">
        <v>0</v>
      </c>
      <c r="N42">
        <v>0</v>
      </c>
      <c r="O42">
        <v>1.6065972602739721E-2</v>
      </c>
      <c r="P42">
        <v>0</v>
      </c>
      <c r="Q42">
        <v>0</v>
      </c>
      <c r="R42">
        <v>0</v>
      </c>
      <c r="S42">
        <v>1.5804027397260275E-2</v>
      </c>
      <c r="T42">
        <v>0</v>
      </c>
      <c r="U42">
        <v>0</v>
      </c>
      <c r="V42">
        <v>0</v>
      </c>
      <c r="W42">
        <v>1.6065972602739721E-2</v>
      </c>
      <c r="X42">
        <v>1.5804027397260268E-2</v>
      </c>
      <c r="Y42">
        <v>1.6240602739726037E-2</v>
      </c>
      <c r="Z42">
        <v>1.597865753424656E-2</v>
      </c>
      <c r="AA42">
        <v>1.5804027397260282E-2</v>
      </c>
      <c r="AB42">
        <v>1.597865753424656E-2</v>
      </c>
      <c r="AC42">
        <v>1.5891342465753435E-2</v>
      </c>
      <c r="AD42">
        <v>1.5891342465753407E-2</v>
      </c>
      <c r="AE42">
        <v>1.5978657534246588E-2</v>
      </c>
      <c r="AF42">
        <v>1.5804027397260282E-2</v>
      </c>
      <c r="AG42">
        <v>1.6065972602739714E-2</v>
      </c>
      <c r="AH42">
        <v>1.5891342465753407E-2</v>
      </c>
      <c r="AI42">
        <v>1.6240602739726051E-2</v>
      </c>
      <c r="AJ42">
        <v>1.5629397260273944E-2</v>
      </c>
      <c r="AK42">
        <v>1.6153287671232867E-2</v>
      </c>
      <c r="AL42">
        <v>1.5978657534246616E-2</v>
      </c>
      <c r="AM42">
        <v>1.5804027397260254E-2</v>
      </c>
      <c r="AN42">
        <v>1.597865753424656E-2</v>
      </c>
      <c r="AO42">
        <v>1.5891342465753435E-2</v>
      </c>
      <c r="AP42">
        <v>1.5891342465753435E-2</v>
      </c>
      <c r="AQ42">
        <v>1.0160659726027397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</row>
    <row r="43" spans="1:58" x14ac:dyDescent="0.2">
      <c r="A43" s="1"/>
      <c r="E43">
        <v>1</v>
      </c>
      <c r="G43">
        <v>0</v>
      </c>
      <c r="H43">
        <v>0</v>
      </c>
      <c r="I43">
        <v>0</v>
      </c>
      <c r="J43">
        <v>0</v>
      </c>
      <c r="K43">
        <v>1.6118917808219179E-2</v>
      </c>
      <c r="L43">
        <v>0</v>
      </c>
      <c r="M43">
        <v>0</v>
      </c>
      <c r="N43">
        <v>0</v>
      </c>
      <c r="O43">
        <v>1.638608219178082E-2</v>
      </c>
      <c r="P43">
        <v>0</v>
      </c>
      <c r="Q43">
        <v>0</v>
      </c>
      <c r="R43">
        <v>0</v>
      </c>
      <c r="S43">
        <v>1.6118917808219179E-2</v>
      </c>
      <c r="T43">
        <v>0</v>
      </c>
      <c r="U43">
        <v>0</v>
      </c>
      <c r="V43">
        <v>0</v>
      </c>
      <c r="W43">
        <v>1.638608219178082E-2</v>
      </c>
      <c r="X43">
        <v>1.6118917808219172E-2</v>
      </c>
      <c r="Y43">
        <v>1.656419178082193E-2</v>
      </c>
      <c r="Z43">
        <v>1.6297027397260262E-2</v>
      </c>
      <c r="AA43">
        <v>1.6118917808219186E-2</v>
      </c>
      <c r="AB43">
        <v>1.6297027397260262E-2</v>
      </c>
      <c r="AC43">
        <v>1.6207972602739738E-2</v>
      </c>
      <c r="AD43">
        <v>1.620797260273971E-2</v>
      </c>
      <c r="AE43">
        <v>1.6297027397260289E-2</v>
      </c>
      <c r="AF43">
        <v>1.6118917808219186E-2</v>
      </c>
      <c r="AG43">
        <v>1.6386082191780813E-2</v>
      </c>
      <c r="AH43">
        <v>1.620797260273971E-2</v>
      </c>
      <c r="AI43">
        <v>1.6564191780821944E-2</v>
      </c>
      <c r="AJ43">
        <v>1.5940808219178055E-2</v>
      </c>
      <c r="AK43">
        <v>1.6475136986301365E-2</v>
      </c>
      <c r="AL43">
        <v>1.6297027397260317E-2</v>
      </c>
      <c r="AM43">
        <v>1.6118917808219158E-2</v>
      </c>
      <c r="AN43">
        <v>1.6297027397260262E-2</v>
      </c>
      <c r="AO43">
        <v>1.6207972602739738E-2</v>
      </c>
      <c r="AP43">
        <v>1.6207972602739738E-2</v>
      </c>
      <c r="AQ43">
        <v>1.6386082191780782E-2</v>
      </c>
      <c r="AR43">
        <v>1.0161189178082193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</row>
    <row r="44" spans="1:58" x14ac:dyDescent="0.2">
      <c r="A44" s="1"/>
      <c r="E44">
        <v>1</v>
      </c>
      <c r="G44">
        <v>0</v>
      </c>
      <c r="H44">
        <v>0</v>
      </c>
      <c r="I44">
        <v>0</v>
      </c>
      <c r="J44">
        <v>0</v>
      </c>
      <c r="K44">
        <v>1.6433808219178083E-2</v>
      </c>
      <c r="L44">
        <v>0</v>
      </c>
      <c r="M44">
        <v>0</v>
      </c>
      <c r="N44">
        <v>0</v>
      </c>
      <c r="O44">
        <v>1.6706191780821916E-2</v>
      </c>
      <c r="P44">
        <v>0</v>
      </c>
      <c r="Q44">
        <v>0</v>
      </c>
      <c r="R44">
        <v>0</v>
      </c>
      <c r="S44">
        <v>1.6433808219178087E-2</v>
      </c>
      <c r="T44">
        <v>0</v>
      </c>
      <c r="U44">
        <v>0</v>
      </c>
      <c r="V44">
        <v>0</v>
      </c>
      <c r="W44">
        <v>1.6706191780821916E-2</v>
      </c>
      <c r="X44">
        <v>1.643380821917808E-2</v>
      </c>
      <c r="Y44">
        <v>1.688778082191782E-2</v>
      </c>
      <c r="Z44">
        <v>1.6615397260273963E-2</v>
      </c>
      <c r="AA44">
        <v>1.6433808219178093E-2</v>
      </c>
      <c r="AB44">
        <v>1.6615397260273963E-2</v>
      </c>
      <c r="AC44">
        <v>1.652460273972604E-2</v>
      </c>
      <c r="AD44">
        <v>1.6524602739726012E-2</v>
      </c>
      <c r="AE44">
        <v>1.661539726027399E-2</v>
      </c>
      <c r="AF44">
        <v>1.6433808219178093E-2</v>
      </c>
      <c r="AG44">
        <v>1.6706191780821909E-2</v>
      </c>
      <c r="AH44">
        <v>1.6524602739726012E-2</v>
      </c>
      <c r="AI44">
        <v>1.6887780821917837E-2</v>
      </c>
      <c r="AJ44">
        <v>1.6252219178082165E-2</v>
      </c>
      <c r="AK44">
        <v>1.6796986301369859E-2</v>
      </c>
      <c r="AL44">
        <v>1.6615397260274018E-2</v>
      </c>
      <c r="AM44">
        <v>1.6433808219178062E-2</v>
      </c>
      <c r="AN44">
        <v>1.6615397260273963E-2</v>
      </c>
      <c r="AO44">
        <v>1.652460273972604E-2</v>
      </c>
      <c r="AP44">
        <v>1.652460273972604E-2</v>
      </c>
      <c r="AQ44">
        <v>1.6706191780821882E-2</v>
      </c>
      <c r="AR44">
        <v>1.6433808219178121E-2</v>
      </c>
      <c r="AS44">
        <v>1.0167061917808218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</row>
    <row r="45" spans="1:58" x14ac:dyDescent="0.2">
      <c r="A45" s="1"/>
      <c r="E45">
        <v>1</v>
      </c>
      <c r="G45">
        <v>0</v>
      </c>
      <c r="H45">
        <v>0</v>
      </c>
      <c r="I45">
        <v>0</v>
      </c>
      <c r="J45">
        <v>0</v>
      </c>
      <c r="K45">
        <v>1.6748698630136987E-2</v>
      </c>
      <c r="L45">
        <v>0</v>
      </c>
      <c r="M45">
        <v>0</v>
      </c>
      <c r="N45">
        <v>0</v>
      </c>
      <c r="O45">
        <v>1.7026301369863012E-2</v>
      </c>
      <c r="P45">
        <v>0</v>
      </c>
      <c r="Q45">
        <v>0</v>
      </c>
      <c r="R45">
        <v>0</v>
      </c>
      <c r="S45">
        <v>1.6748698630136987E-2</v>
      </c>
      <c r="T45">
        <v>0</v>
      </c>
      <c r="U45">
        <v>0</v>
      </c>
      <c r="V45">
        <v>0</v>
      </c>
      <c r="W45">
        <v>1.7026301369863012E-2</v>
      </c>
      <c r="X45">
        <v>1.674869863013698E-2</v>
      </c>
      <c r="Y45">
        <v>1.721136986301371E-2</v>
      </c>
      <c r="Z45">
        <v>1.6933767123287657E-2</v>
      </c>
      <c r="AA45">
        <v>1.6748698630136998E-2</v>
      </c>
      <c r="AB45">
        <v>1.6933767123287657E-2</v>
      </c>
      <c r="AC45">
        <v>1.6841232876712343E-2</v>
      </c>
      <c r="AD45">
        <v>1.6841232876712312E-2</v>
      </c>
      <c r="AE45">
        <v>1.6933767123287688E-2</v>
      </c>
      <c r="AF45">
        <v>1.6748698630136998E-2</v>
      </c>
      <c r="AG45">
        <v>1.7026301369863002E-2</v>
      </c>
      <c r="AH45">
        <v>1.6841232876712312E-2</v>
      </c>
      <c r="AI45">
        <v>1.7211369863013724E-2</v>
      </c>
      <c r="AJ45">
        <v>1.6563630136986276E-2</v>
      </c>
      <c r="AK45">
        <v>1.7118835616438351E-2</v>
      </c>
      <c r="AL45">
        <v>1.6933767123287719E-2</v>
      </c>
      <c r="AM45">
        <v>1.6748698630136966E-2</v>
      </c>
      <c r="AN45">
        <v>1.6933767123287657E-2</v>
      </c>
      <c r="AO45">
        <v>1.6841232876712343E-2</v>
      </c>
      <c r="AP45">
        <v>1.6841232876712343E-2</v>
      </c>
      <c r="AQ45">
        <v>1.7026301369862974E-2</v>
      </c>
      <c r="AR45">
        <v>1.6748698630137025E-2</v>
      </c>
      <c r="AS45">
        <v>1.7026301369862974E-2</v>
      </c>
      <c r="AT45">
        <v>1.0167486986301371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</row>
    <row r="46" spans="1:58" x14ac:dyDescent="0.2">
      <c r="A46" s="1"/>
      <c r="E46">
        <v>1</v>
      </c>
      <c r="G46">
        <v>0</v>
      </c>
      <c r="H46">
        <v>0</v>
      </c>
      <c r="I46">
        <v>0</v>
      </c>
      <c r="J46">
        <v>0</v>
      </c>
      <c r="K46">
        <v>1.7063589041095888E-2</v>
      </c>
      <c r="L46">
        <v>0</v>
      </c>
      <c r="M46">
        <v>0</v>
      </c>
      <c r="N46">
        <v>0</v>
      </c>
      <c r="O46">
        <v>1.7346410958904105E-2</v>
      </c>
      <c r="P46">
        <v>0</v>
      </c>
      <c r="Q46">
        <v>0</v>
      </c>
      <c r="R46">
        <v>0</v>
      </c>
      <c r="S46">
        <v>1.7063589041095891E-2</v>
      </c>
      <c r="T46">
        <v>0</v>
      </c>
      <c r="U46">
        <v>0</v>
      </c>
      <c r="V46">
        <v>0</v>
      </c>
      <c r="W46">
        <v>1.7346410958904105E-2</v>
      </c>
      <c r="X46">
        <v>1.7063589041095884E-2</v>
      </c>
      <c r="Y46">
        <v>1.7534958904109599E-2</v>
      </c>
      <c r="Z46">
        <v>1.7252136986301354E-2</v>
      </c>
      <c r="AA46">
        <v>1.7063589041095898E-2</v>
      </c>
      <c r="AB46">
        <v>1.7252136986301354E-2</v>
      </c>
      <c r="AC46">
        <v>1.7157863013698642E-2</v>
      </c>
      <c r="AD46">
        <v>1.7157863013698611E-2</v>
      </c>
      <c r="AE46">
        <v>1.7252136986301386E-2</v>
      </c>
      <c r="AF46">
        <v>1.7063589041095898E-2</v>
      </c>
      <c r="AG46">
        <v>1.7346410958904098E-2</v>
      </c>
      <c r="AH46">
        <v>1.7157863013698611E-2</v>
      </c>
      <c r="AI46">
        <v>1.7534958904109613E-2</v>
      </c>
      <c r="AJ46">
        <v>1.6875041095890383E-2</v>
      </c>
      <c r="AK46">
        <v>1.7440684931506842E-2</v>
      </c>
      <c r="AL46">
        <v>1.7252136986301417E-2</v>
      </c>
      <c r="AM46">
        <v>1.7063589041095867E-2</v>
      </c>
      <c r="AN46">
        <v>1.7252136986301354E-2</v>
      </c>
      <c r="AO46">
        <v>1.7157863013698642E-2</v>
      </c>
      <c r="AP46">
        <v>1.7157863013698642E-2</v>
      </c>
      <c r="AQ46">
        <v>1.7346410958904067E-2</v>
      </c>
      <c r="AR46">
        <v>1.7063589041095929E-2</v>
      </c>
      <c r="AS46">
        <v>1.7346410958904067E-2</v>
      </c>
      <c r="AT46">
        <v>1.7063589041095929E-2</v>
      </c>
      <c r="AU46">
        <v>1.0175349589041096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</row>
    <row r="47" spans="1:58" x14ac:dyDescent="0.2">
      <c r="A47" s="1"/>
      <c r="E47">
        <v>1</v>
      </c>
      <c r="G47">
        <v>0</v>
      </c>
      <c r="H47">
        <v>0</v>
      </c>
      <c r="I47">
        <v>0</v>
      </c>
      <c r="J47">
        <v>0</v>
      </c>
      <c r="K47">
        <v>1.7378479452054795E-2</v>
      </c>
      <c r="L47">
        <v>0</v>
      </c>
      <c r="M47">
        <v>0</v>
      </c>
      <c r="N47">
        <v>0</v>
      </c>
      <c r="O47">
        <v>1.7666520547945201E-2</v>
      </c>
      <c r="P47">
        <v>0</v>
      </c>
      <c r="Q47">
        <v>0</v>
      </c>
      <c r="R47">
        <v>0</v>
      </c>
      <c r="S47">
        <v>1.7378479452054799E-2</v>
      </c>
      <c r="T47">
        <v>0</v>
      </c>
      <c r="U47">
        <v>0</v>
      </c>
      <c r="V47">
        <v>0</v>
      </c>
      <c r="W47">
        <v>1.7666520547945201E-2</v>
      </c>
      <c r="X47">
        <v>1.7378479452054788E-2</v>
      </c>
      <c r="Y47">
        <v>1.7858547945205493E-2</v>
      </c>
      <c r="Z47">
        <v>1.7570506849315055E-2</v>
      </c>
      <c r="AA47">
        <v>1.7378479452054806E-2</v>
      </c>
      <c r="AB47">
        <v>1.7570506849315055E-2</v>
      </c>
      <c r="AC47">
        <v>1.7474493150684944E-2</v>
      </c>
      <c r="AD47">
        <v>1.7474493150684913E-2</v>
      </c>
      <c r="AE47">
        <v>1.7570506849315087E-2</v>
      </c>
      <c r="AF47">
        <v>1.7378479452054806E-2</v>
      </c>
      <c r="AG47">
        <v>1.7666520547945194E-2</v>
      </c>
      <c r="AH47">
        <v>1.7474493150684913E-2</v>
      </c>
      <c r="AI47">
        <v>1.7858547945205507E-2</v>
      </c>
      <c r="AJ47">
        <v>1.7186452054794493E-2</v>
      </c>
      <c r="AK47">
        <v>1.7762534246575336E-2</v>
      </c>
      <c r="AL47">
        <v>1.7570506849315118E-2</v>
      </c>
      <c r="AM47">
        <v>1.7378479452054774E-2</v>
      </c>
      <c r="AN47">
        <v>1.7570506849315055E-2</v>
      </c>
      <c r="AO47">
        <v>1.7474493150684944E-2</v>
      </c>
      <c r="AP47">
        <v>1.7474493150684944E-2</v>
      </c>
      <c r="AQ47">
        <v>1.7666520547945163E-2</v>
      </c>
      <c r="AR47">
        <v>1.7378479452054837E-2</v>
      </c>
      <c r="AS47">
        <v>1.7666520547945163E-2</v>
      </c>
      <c r="AT47">
        <v>1.7378479452054837E-2</v>
      </c>
      <c r="AU47">
        <v>1.7858547945205444E-2</v>
      </c>
      <c r="AV47">
        <v>1.0171864520547946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</row>
    <row r="48" spans="1:58" x14ac:dyDescent="0.2">
      <c r="A48" s="1"/>
      <c r="E48">
        <v>1</v>
      </c>
      <c r="G48">
        <v>0</v>
      </c>
      <c r="H48">
        <v>0</v>
      </c>
      <c r="I48">
        <v>0</v>
      </c>
      <c r="J48">
        <v>0</v>
      </c>
      <c r="K48">
        <v>1.7693369863013703E-2</v>
      </c>
      <c r="L48">
        <v>0</v>
      </c>
      <c r="M48">
        <v>0</v>
      </c>
      <c r="N48">
        <v>0</v>
      </c>
      <c r="O48">
        <v>1.7986630136986301E-2</v>
      </c>
      <c r="P48">
        <v>0</v>
      </c>
      <c r="Q48">
        <v>0</v>
      </c>
      <c r="R48">
        <v>0</v>
      </c>
      <c r="S48">
        <v>1.7693369863013703E-2</v>
      </c>
      <c r="T48">
        <v>0</v>
      </c>
      <c r="U48">
        <v>0</v>
      </c>
      <c r="V48">
        <v>0</v>
      </c>
      <c r="W48">
        <v>1.7986630136986301E-2</v>
      </c>
      <c r="X48">
        <v>1.7693369863013696E-2</v>
      </c>
      <c r="Y48">
        <v>1.8182136986301382E-2</v>
      </c>
      <c r="Z48">
        <v>1.7888876712328756E-2</v>
      </c>
      <c r="AA48">
        <v>1.769336986301371E-2</v>
      </c>
      <c r="AB48">
        <v>1.7888876712328756E-2</v>
      </c>
      <c r="AC48">
        <v>1.7791123287671247E-2</v>
      </c>
      <c r="AD48">
        <v>1.7791123287671216E-2</v>
      </c>
      <c r="AE48">
        <v>1.7888876712328788E-2</v>
      </c>
      <c r="AF48">
        <v>1.769336986301371E-2</v>
      </c>
      <c r="AG48">
        <v>1.7986630136986294E-2</v>
      </c>
      <c r="AH48">
        <v>1.7791123287671216E-2</v>
      </c>
      <c r="AI48">
        <v>1.81821369863014E-2</v>
      </c>
      <c r="AJ48">
        <v>1.7497863013698604E-2</v>
      </c>
      <c r="AK48">
        <v>1.8084383561643831E-2</v>
      </c>
      <c r="AL48">
        <v>1.7888876712328819E-2</v>
      </c>
      <c r="AM48">
        <v>1.7693369863013678E-2</v>
      </c>
      <c r="AN48">
        <v>1.7888876712328756E-2</v>
      </c>
      <c r="AO48">
        <v>1.7791123287671247E-2</v>
      </c>
      <c r="AP48">
        <v>1.7791123287671247E-2</v>
      </c>
      <c r="AQ48">
        <v>1.7986630136986263E-2</v>
      </c>
      <c r="AR48">
        <v>1.7693369863013741E-2</v>
      </c>
      <c r="AS48">
        <v>1.7986630136986263E-2</v>
      </c>
      <c r="AT48">
        <v>1.7693369863013741E-2</v>
      </c>
      <c r="AU48">
        <v>1.8182136986301337E-2</v>
      </c>
      <c r="AV48">
        <v>1.7497863013698666E-2</v>
      </c>
      <c r="AW48">
        <v>1.0180843835616438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</row>
    <row r="49" spans="1:58" x14ac:dyDescent="0.2">
      <c r="A49" s="1"/>
      <c r="E49">
        <v>1</v>
      </c>
      <c r="G49">
        <v>0</v>
      </c>
      <c r="H49">
        <v>0</v>
      </c>
      <c r="I49">
        <v>0</v>
      </c>
      <c r="J49">
        <v>0</v>
      </c>
      <c r="K49">
        <v>1.7806432876712332E-2</v>
      </c>
      <c r="L49">
        <v>0</v>
      </c>
      <c r="M49">
        <v>0</v>
      </c>
      <c r="N49">
        <v>0</v>
      </c>
      <c r="O49">
        <v>1.8101567123287671E-2</v>
      </c>
      <c r="P49">
        <v>0</v>
      </c>
      <c r="Q49">
        <v>0</v>
      </c>
      <c r="R49">
        <v>0</v>
      </c>
      <c r="S49">
        <v>1.7806432876712332E-2</v>
      </c>
      <c r="T49">
        <v>0</v>
      </c>
      <c r="U49">
        <v>0</v>
      </c>
      <c r="V49">
        <v>0</v>
      </c>
      <c r="W49">
        <v>1.8101567123287671E-2</v>
      </c>
      <c r="X49">
        <v>1.7806432876712325E-2</v>
      </c>
      <c r="Y49">
        <v>1.8298323287671246E-2</v>
      </c>
      <c r="Z49">
        <v>1.8003189041095876E-2</v>
      </c>
      <c r="AA49">
        <v>1.7806432876712342E-2</v>
      </c>
      <c r="AB49">
        <v>1.8003189041095876E-2</v>
      </c>
      <c r="AC49">
        <v>1.7904810958904126E-2</v>
      </c>
      <c r="AD49">
        <v>1.7904810958904092E-2</v>
      </c>
      <c r="AE49">
        <v>1.8003189041095911E-2</v>
      </c>
      <c r="AF49">
        <v>1.7806432876712342E-2</v>
      </c>
      <c r="AG49">
        <v>1.810156712328766E-2</v>
      </c>
      <c r="AH49">
        <v>1.7904810958904092E-2</v>
      </c>
      <c r="AI49">
        <v>1.8298323287671264E-2</v>
      </c>
      <c r="AJ49">
        <v>1.7609676712328739E-2</v>
      </c>
      <c r="AK49">
        <v>1.8199945205479445E-2</v>
      </c>
      <c r="AL49">
        <v>1.8003189041095942E-2</v>
      </c>
      <c r="AM49">
        <v>1.7806432876712307E-2</v>
      </c>
      <c r="AN49">
        <v>1.8003189041095876E-2</v>
      </c>
      <c r="AO49">
        <v>1.7904810958904126E-2</v>
      </c>
      <c r="AP49">
        <v>1.7904810958904126E-2</v>
      </c>
      <c r="AQ49">
        <v>1.8101567123287629E-2</v>
      </c>
      <c r="AR49">
        <v>1.7806432876712373E-2</v>
      </c>
      <c r="AS49">
        <v>1.8101567123287629E-2</v>
      </c>
      <c r="AT49">
        <v>1.7806432876712373E-2</v>
      </c>
      <c r="AU49">
        <v>1.8298323287671198E-2</v>
      </c>
      <c r="AV49">
        <v>1.7609676712328805E-2</v>
      </c>
      <c r="AW49">
        <v>1.8199945205479445E-2</v>
      </c>
      <c r="AX49">
        <v>1.0180031890410959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</row>
    <row r="50" spans="1:58" x14ac:dyDescent="0.2">
      <c r="A50" s="1"/>
      <c r="E50">
        <v>1</v>
      </c>
      <c r="G50">
        <v>0</v>
      </c>
      <c r="H50">
        <v>0</v>
      </c>
      <c r="I50">
        <v>0</v>
      </c>
      <c r="J50">
        <v>0</v>
      </c>
      <c r="K50">
        <v>1.7919495890410961E-2</v>
      </c>
      <c r="L50">
        <v>0</v>
      </c>
      <c r="M50">
        <v>0</v>
      </c>
      <c r="N50">
        <v>0</v>
      </c>
      <c r="O50">
        <v>1.8216504109589041E-2</v>
      </c>
      <c r="P50">
        <v>0</v>
      </c>
      <c r="Q50">
        <v>0</v>
      </c>
      <c r="R50">
        <v>0</v>
      </c>
      <c r="S50">
        <v>1.7919495890410961E-2</v>
      </c>
      <c r="T50">
        <v>0</v>
      </c>
      <c r="U50">
        <v>0</v>
      </c>
      <c r="V50">
        <v>0</v>
      </c>
      <c r="W50">
        <v>1.8216504109589041E-2</v>
      </c>
      <c r="X50">
        <v>1.7919495890410954E-2</v>
      </c>
      <c r="Y50">
        <v>1.841450958904111E-2</v>
      </c>
      <c r="Z50">
        <v>1.8117501369862999E-2</v>
      </c>
      <c r="AA50">
        <v>1.7919495890410971E-2</v>
      </c>
      <c r="AB50">
        <v>1.8117501369862999E-2</v>
      </c>
      <c r="AC50">
        <v>1.8018498630137002E-2</v>
      </c>
      <c r="AD50">
        <v>1.8018498630136968E-2</v>
      </c>
      <c r="AE50">
        <v>1.8117501369863034E-2</v>
      </c>
      <c r="AF50">
        <v>1.7919495890410971E-2</v>
      </c>
      <c r="AG50">
        <v>1.821650410958903E-2</v>
      </c>
      <c r="AH50">
        <v>1.8018498630136968E-2</v>
      </c>
      <c r="AI50">
        <v>1.8414509589041124E-2</v>
      </c>
      <c r="AJ50">
        <v>1.7721490410958878E-2</v>
      </c>
      <c r="AK50">
        <v>1.8315506849315061E-2</v>
      </c>
      <c r="AL50">
        <v>1.8117501369863065E-2</v>
      </c>
      <c r="AM50">
        <v>1.7919495890410937E-2</v>
      </c>
      <c r="AN50">
        <v>1.8117501369862999E-2</v>
      </c>
      <c r="AO50">
        <v>1.8018498630137002E-2</v>
      </c>
      <c r="AP50">
        <v>1.8018498630137002E-2</v>
      </c>
      <c r="AQ50">
        <v>1.8216504109588999E-2</v>
      </c>
      <c r="AR50">
        <v>1.7919495890411002E-2</v>
      </c>
      <c r="AS50">
        <v>1.8216504109588999E-2</v>
      </c>
      <c r="AT50">
        <v>1.7919495890411002E-2</v>
      </c>
      <c r="AU50">
        <v>1.8414509589041061E-2</v>
      </c>
      <c r="AV50">
        <v>1.772149041095894E-2</v>
      </c>
      <c r="AW50">
        <v>1.8315506849315061E-2</v>
      </c>
      <c r="AX50">
        <v>1.8117501369862999E-2</v>
      </c>
      <c r="AY50">
        <v>1.018018498630137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</row>
    <row r="51" spans="1:58" x14ac:dyDescent="0.2">
      <c r="A51" s="1"/>
      <c r="E51">
        <v>1</v>
      </c>
      <c r="G51">
        <v>0</v>
      </c>
      <c r="H51">
        <v>0</v>
      </c>
      <c r="I51">
        <v>0</v>
      </c>
      <c r="J51">
        <v>0</v>
      </c>
      <c r="K51">
        <v>1.803255890410959E-2</v>
      </c>
      <c r="L51">
        <v>0</v>
      </c>
      <c r="M51">
        <v>0</v>
      </c>
      <c r="N51">
        <v>0</v>
      </c>
      <c r="O51">
        <v>1.8331441095890407E-2</v>
      </c>
      <c r="P51">
        <v>0</v>
      </c>
      <c r="Q51">
        <v>0</v>
      </c>
      <c r="R51">
        <v>0</v>
      </c>
      <c r="S51">
        <v>1.8032558904109593E-2</v>
      </c>
      <c r="T51">
        <v>0</v>
      </c>
      <c r="U51">
        <v>0</v>
      </c>
      <c r="V51">
        <v>0</v>
      </c>
      <c r="W51">
        <v>1.8331441095890407E-2</v>
      </c>
      <c r="X51">
        <v>1.8032558904109583E-2</v>
      </c>
      <c r="Y51">
        <v>1.853069589041097E-2</v>
      </c>
      <c r="Z51">
        <v>1.8231813698630122E-2</v>
      </c>
      <c r="AA51">
        <v>1.80325589041096E-2</v>
      </c>
      <c r="AB51">
        <v>1.8231813698630122E-2</v>
      </c>
      <c r="AC51">
        <v>1.8132186301369878E-2</v>
      </c>
      <c r="AD51">
        <v>1.8132186301369844E-2</v>
      </c>
      <c r="AE51">
        <v>1.8231813698630157E-2</v>
      </c>
      <c r="AF51">
        <v>1.80325589041096E-2</v>
      </c>
      <c r="AG51">
        <v>1.83314410958904E-2</v>
      </c>
      <c r="AH51">
        <v>1.8132186301369844E-2</v>
      </c>
      <c r="AI51">
        <v>1.8530695890410988E-2</v>
      </c>
      <c r="AJ51">
        <v>1.7833304109589013E-2</v>
      </c>
      <c r="AK51">
        <v>1.8431068493150678E-2</v>
      </c>
      <c r="AL51">
        <v>1.8231813698630188E-2</v>
      </c>
      <c r="AM51">
        <v>1.8032558904109569E-2</v>
      </c>
      <c r="AN51">
        <v>1.8231813698630122E-2</v>
      </c>
      <c r="AO51">
        <v>1.8132186301369878E-2</v>
      </c>
      <c r="AP51">
        <v>1.8132186301369878E-2</v>
      </c>
      <c r="AQ51">
        <v>1.8331441095890369E-2</v>
      </c>
      <c r="AR51">
        <v>1.8032558904109632E-2</v>
      </c>
      <c r="AS51">
        <v>1.8331441095890369E-2</v>
      </c>
      <c r="AT51">
        <v>1.8032558904109632E-2</v>
      </c>
      <c r="AU51">
        <v>1.8530695890410922E-2</v>
      </c>
      <c r="AV51">
        <v>1.7833304109589079E-2</v>
      </c>
      <c r="AW51">
        <v>1.8431068493150678E-2</v>
      </c>
      <c r="AX51">
        <v>1.8231813698630122E-2</v>
      </c>
      <c r="AY51">
        <v>1.8132186301369878E-2</v>
      </c>
      <c r="AZ51">
        <v>1.0181321863013699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</row>
    <row r="52" spans="1:58" x14ac:dyDescent="0.2">
      <c r="A52" s="1"/>
      <c r="E52">
        <v>1</v>
      </c>
      <c r="G52">
        <v>0</v>
      </c>
      <c r="H52">
        <v>0</v>
      </c>
      <c r="I52">
        <v>0</v>
      </c>
      <c r="J52">
        <v>0</v>
      </c>
      <c r="K52">
        <v>1.8145621917808219E-2</v>
      </c>
      <c r="L52">
        <v>0</v>
      </c>
      <c r="M52">
        <v>0</v>
      </c>
      <c r="N52">
        <v>0</v>
      </c>
      <c r="O52">
        <v>1.8446378082191777E-2</v>
      </c>
      <c r="P52">
        <v>0</v>
      </c>
      <c r="Q52">
        <v>0</v>
      </c>
      <c r="R52">
        <v>0</v>
      </c>
      <c r="S52">
        <v>1.8145621917808222E-2</v>
      </c>
      <c r="T52">
        <v>0</v>
      </c>
      <c r="U52">
        <v>0</v>
      </c>
      <c r="V52">
        <v>0</v>
      </c>
      <c r="W52">
        <v>1.8446378082191777E-2</v>
      </c>
      <c r="X52">
        <v>1.8145621917808212E-2</v>
      </c>
      <c r="Y52">
        <v>1.8646882191780834E-2</v>
      </c>
      <c r="Z52">
        <v>1.8346126027397245E-2</v>
      </c>
      <c r="AA52">
        <v>1.8145621917808229E-2</v>
      </c>
      <c r="AB52">
        <v>1.8346126027397245E-2</v>
      </c>
      <c r="AC52">
        <v>1.8245873972602755E-2</v>
      </c>
      <c r="AD52">
        <v>1.824587397260272E-2</v>
      </c>
      <c r="AE52">
        <v>1.834612602739728E-2</v>
      </c>
      <c r="AF52">
        <v>1.8145621917808229E-2</v>
      </c>
      <c r="AG52">
        <v>1.844637808219177E-2</v>
      </c>
      <c r="AH52">
        <v>1.824587397260272E-2</v>
      </c>
      <c r="AI52">
        <v>1.8646882191780852E-2</v>
      </c>
      <c r="AJ52">
        <v>1.7945117808219148E-2</v>
      </c>
      <c r="AK52">
        <v>1.8546630136986295E-2</v>
      </c>
      <c r="AL52">
        <v>1.8346126027397311E-2</v>
      </c>
      <c r="AM52">
        <v>1.8145621917808198E-2</v>
      </c>
      <c r="AN52">
        <v>1.8346126027397245E-2</v>
      </c>
      <c r="AO52">
        <v>1.8245873972602755E-2</v>
      </c>
      <c r="AP52">
        <v>1.8245873972602755E-2</v>
      </c>
      <c r="AQ52">
        <v>1.8446378082191739E-2</v>
      </c>
      <c r="AR52">
        <v>1.8145621917808261E-2</v>
      </c>
      <c r="AS52">
        <v>1.8446378082191739E-2</v>
      </c>
      <c r="AT52">
        <v>1.8145621917808261E-2</v>
      </c>
      <c r="AU52">
        <v>1.8646882191780786E-2</v>
      </c>
      <c r="AV52">
        <v>1.7945117808219214E-2</v>
      </c>
      <c r="AW52">
        <v>1.8546630136986295E-2</v>
      </c>
      <c r="AX52">
        <v>1.8346126027397245E-2</v>
      </c>
      <c r="AY52">
        <v>1.8245873972602755E-2</v>
      </c>
      <c r="AZ52">
        <v>1.8245873972602689E-2</v>
      </c>
      <c r="BA52">
        <v>1.0183461260273974</v>
      </c>
      <c r="BB52">
        <v>0</v>
      </c>
      <c r="BC52">
        <v>0</v>
      </c>
      <c r="BD52">
        <v>0</v>
      </c>
      <c r="BE52">
        <v>0</v>
      </c>
      <c r="BF52">
        <v>0</v>
      </c>
    </row>
    <row r="53" spans="1:58" x14ac:dyDescent="0.2">
      <c r="A53" s="1"/>
      <c r="E53">
        <v>1</v>
      </c>
      <c r="G53">
        <v>0</v>
      </c>
      <c r="H53">
        <v>0</v>
      </c>
      <c r="I53">
        <v>0</v>
      </c>
      <c r="J53">
        <v>0</v>
      </c>
      <c r="K53">
        <v>1.8258684931506848E-2</v>
      </c>
      <c r="L53">
        <v>0</v>
      </c>
      <c r="M53">
        <v>0</v>
      </c>
      <c r="N53">
        <v>0</v>
      </c>
      <c r="O53">
        <v>1.8561315068493147E-2</v>
      </c>
      <c r="P53">
        <v>0</v>
      </c>
      <c r="Q53">
        <v>0</v>
      </c>
      <c r="R53">
        <v>0</v>
      </c>
      <c r="S53">
        <v>1.8258684931506852E-2</v>
      </c>
      <c r="T53">
        <v>0</v>
      </c>
      <c r="U53">
        <v>0</v>
      </c>
      <c r="V53">
        <v>0</v>
      </c>
      <c r="W53">
        <v>1.8561315068493147E-2</v>
      </c>
      <c r="X53">
        <v>1.8258684931506845E-2</v>
      </c>
      <c r="Y53">
        <v>1.8763068493150698E-2</v>
      </c>
      <c r="Z53">
        <v>1.8460438356164368E-2</v>
      </c>
      <c r="AA53">
        <v>1.8258684931506858E-2</v>
      </c>
      <c r="AB53">
        <v>1.8460438356164368E-2</v>
      </c>
      <c r="AC53">
        <v>1.8359561643835631E-2</v>
      </c>
      <c r="AD53">
        <v>1.8359561643835596E-2</v>
      </c>
      <c r="AE53">
        <v>1.8460438356164403E-2</v>
      </c>
      <c r="AF53">
        <v>1.8258684931506858E-2</v>
      </c>
      <c r="AG53">
        <v>1.856131506849314E-2</v>
      </c>
      <c r="AH53">
        <v>1.8359561643835596E-2</v>
      </c>
      <c r="AI53">
        <v>1.8763068493150712E-2</v>
      </c>
      <c r="AJ53">
        <v>1.8056931506849287E-2</v>
      </c>
      <c r="AK53">
        <v>1.8662191780821909E-2</v>
      </c>
      <c r="AL53">
        <v>1.8460438356164434E-2</v>
      </c>
      <c r="AM53">
        <v>1.8258684931506827E-2</v>
      </c>
      <c r="AN53">
        <v>1.8460438356164368E-2</v>
      </c>
      <c r="AO53">
        <v>1.8359561643835631E-2</v>
      </c>
      <c r="AP53">
        <v>1.8359561643835631E-2</v>
      </c>
      <c r="AQ53">
        <v>1.8561315068493105E-2</v>
      </c>
      <c r="AR53">
        <v>1.8258684931506893E-2</v>
      </c>
      <c r="AS53">
        <v>1.8561315068493105E-2</v>
      </c>
      <c r="AT53">
        <v>1.8258684931506893E-2</v>
      </c>
      <c r="AU53">
        <v>1.876306849315065E-2</v>
      </c>
      <c r="AV53">
        <v>1.8056931506849349E-2</v>
      </c>
      <c r="AW53">
        <v>1.8662191780821909E-2</v>
      </c>
      <c r="AX53">
        <v>1.8460438356164368E-2</v>
      </c>
      <c r="AY53">
        <v>1.8359561643835631E-2</v>
      </c>
      <c r="AZ53">
        <v>1.8359561643835565E-2</v>
      </c>
      <c r="BA53">
        <v>1.8460438356164434E-2</v>
      </c>
      <c r="BB53">
        <v>1.0182586849315067</v>
      </c>
      <c r="BC53">
        <v>0</v>
      </c>
      <c r="BD53">
        <v>0</v>
      </c>
      <c r="BE53">
        <v>0</v>
      </c>
      <c r="BF53">
        <v>0</v>
      </c>
    </row>
    <row r="54" spans="1:58" x14ac:dyDescent="0.2">
      <c r="A54" s="1"/>
      <c r="E54">
        <v>1</v>
      </c>
      <c r="G54">
        <v>0</v>
      </c>
      <c r="H54">
        <v>0</v>
      </c>
      <c r="I54">
        <v>0</v>
      </c>
      <c r="J54">
        <v>0</v>
      </c>
      <c r="K54">
        <v>1.8371747945205477E-2</v>
      </c>
      <c r="L54">
        <v>0</v>
      </c>
      <c r="M54">
        <v>0</v>
      </c>
      <c r="N54">
        <v>0</v>
      </c>
      <c r="O54">
        <v>1.8676252054794517E-2</v>
      </c>
      <c r="P54">
        <v>0</v>
      </c>
      <c r="Q54">
        <v>0</v>
      </c>
      <c r="R54">
        <v>0</v>
      </c>
      <c r="S54">
        <v>1.8371747945205481E-2</v>
      </c>
      <c r="T54">
        <v>0</v>
      </c>
      <c r="U54">
        <v>0</v>
      </c>
      <c r="V54">
        <v>0</v>
      </c>
      <c r="W54">
        <v>1.8676252054794517E-2</v>
      </c>
      <c r="X54">
        <v>1.8371747945205474E-2</v>
      </c>
      <c r="Y54">
        <v>1.8879254794520559E-2</v>
      </c>
      <c r="Z54">
        <v>1.8574750684931491E-2</v>
      </c>
      <c r="AA54">
        <v>1.8371747945205488E-2</v>
      </c>
      <c r="AB54">
        <v>1.8574750684931491E-2</v>
      </c>
      <c r="AC54">
        <v>1.8473249315068507E-2</v>
      </c>
      <c r="AD54">
        <v>1.8473249315068472E-2</v>
      </c>
      <c r="AE54">
        <v>1.8574750684931526E-2</v>
      </c>
      <c r="AF54">
        <v>1.8371747945205488E-2</v>
      </c>
      <c r="AG54">
        <v>1.867625205479451E-2</v>
      </c>
      <c r="AH54">
        <v>1.8473249315068472E-2</v>
      </c>
      <c r="AI54">
        <v>1.8879254794520576E-2</v>
      </c>
      <c r="AJ54">
        <v>1.8168745205479422E-2</v>
      </c>
      <c r="AK54">
        <v>1.8777753424657526E-2</v>
      </c>
      <c r="AL54">
        <v>1.8574750684931557E-2</v>
      </c>
      <c r="AM54">
        <v>1.8371747945205456E-2</v>
      </c>
      <c r="AN54">
        <v>1.8574750684931491E-2</v>
      </c>
      <c r="AO54">
        <v>1.8473249315068507E-2</v>
      </c>
      <c r="AP54">
        <v>1.8473249315068507E-2</v>
      </c>
      <c r="AQ54">
        <v>1.8676252054794475E-2</v>
      </c>
      <c r="AR54">
        <v>1.8371747945205522E-2</v>
      </c>
      <c r="AS54">
        <v>1.8676252054794475E-2</v>
      </c>
      <c r="AT54">
        <v>1.8371747945205522E-2</v>
      </c>
      <c r="AU54">
        <v>1.887925479452051E-2</v>
      </c>
      <c r="AV54">
        <v>1.8168745205479488E-2</v>
      </c>
      <c r="AW54">
        <v>1.8777753424657526E-2</v>
      </c>
      <c r="AX54">
        <v>1.8574750684931491E-2</v>
      </c>
      <c r="AY54">
        <v>1.8473249315068507E-2</v>
      </c>
      <c r="AZ54">
        <v>1.8473249315068441E-2</v>
      </c>
      <c r="BA54">
        <v>1.8574750684931557E-2</v>
      </c>
      <c r="BB54">
        <v>1.8371747945205456E-2</v>
      </c>
      <c r="BC54">
        <v>1.0186762520547945</v>
      </c>
      <c r="BD54">
        <v>0</v>
      </c>
      <c r="BE54">
        <v>0</v>
      </c>
      <c r="BF54">
        <v>0</v>
      </c>
    </row>
    <row r="55" spans="1:58" x14ac:dyDescent="0.2">
      <c r="A55" s="1"/>
      <c r="E55">
        <v>1</v>
      </c>
      <c r="G55">
        <v>0</v>
      </c>
      <c r="H55">
        <v>0</v>
      </c>
      <c r="I55">
        <v>0</v>
      </c>
      <c r="J55">
        <v>0</v>
      </c>
      <c r="K55">
        <v>1.848481095890411E-2</v>
      </c>
      <c r="L55">
        <v>0</v>
      </c>
      <c r="M55">
        <v>0</v>
      </c>
      <c r="N55">
        <v>0</v>
      </c>
      <c r="O55">
        <v>1.8791189041095887E-2</v>
      </c>
      <c r="P55">
        <v>0</v>
      </c>
      <c r="Q55">
        <v>0</v>
      </c>
      <c r="R55">
        <v>0</v>
      </c>
      <c r="S55">
        <v>1.848481095890411E-2</v>
      </c>
      <c r="T55">
        <v>0</v>
      </c>
      <c r="U55">
        <v>0</v>
      </c>
      <c r="V55">
        <v>0</v>
      </c>
      <c r="W55">
        <v>1.8791189041095887E-2</v>
      </c>
      <c r="X55">
        <v>1.8484810958904103E-2</v>
      </c>
      <c r="Y55">
        <v>1.8995441095890422E-2</v>
      </c>
      <c r="Z55">
        <v>1.8689063013698614E-2</v>
      </c>
      <c r="AA55">
        <v>1.848481095890412E-2</v>
      </c>
      <c r="AB55">
        <v>1.8689063013698614E-2</v>
      </c>
      <c r="AC55">
        <v>1.8586936986301383E-2</v>
      </c>
      <c r="AD55">
        <v>1.8586936986301351E-2</v>
      </c>
      <c r="AE55">
        <v>1.8689063013698645E-2</v>
      </c>
      <c r="AF55">
        <v>1.848481095890412E-2</v>
      </c>
      <c r="AG55">
        <v>1.8791189041095877E-2</v>
      </c>
      <c r="AH55">
        <v>1.8586936986301351E-2</v>
      </c>
      <c r="AI55">
        <v>1.899544109589044E-2</v>
      </c>
      <c r="AJ55">
        <v>1.8280558904109557E-2</v>
      </c>
      <c r="AK55">
        <v>1.8893315068493143E-2</v>
      </c>
      <c r="AL55">
        <v>1.868906301369868E-2</v>
      </c>
      <c r="AM55">
        <v>1.8484810958904085E-2</v>
      </c>
      <c r="AN55">
        <v>1.8689063013698614E-2</v>
      </c>
      <c r="AO55">
        <v>1.8586936986301383E-2</v>
      </c>
      <c r="AP55">
        <v>1.8586936986301383E-2</v>
      </c>
      <c r="AQ55">
        <v>1.8791189041095845E-2</v>
      </c>
      <c r="AR55">
        <v>1.8484810958904151E-2</v>
      </c>
      <c r="AS55">
        <v>1.8791189041095845E-2</v>
      </c>
      <c r="AT55">
        <v>1.8484810958904151E-2</v>
      </c>
      <c r="AU55">
        <v>1.8995441095890374E-2</v>
      </c>
      <c r="AV55">
        <v>1.8280558904109623E-2</v>
      </c>
      <c r="AW55">
        <v>1.8893315068493143E-2</v>
      </c>
      <c r="AX55">
        <v>1.8689063013698614E-2</v>
      </c>
      <c r="AY55">
        <v>1.8586936986301383E-2</v>
      </c>
      <c r="AZ55">
        <v>1.8586936986301317E-2</v>
      </c>
      <c r="BA55">
        <v>1.868906301369868E-2</v>
      </c>
      <c r="BB55">
        <v>1.8484810958904085E-2</v>
      </c>
      <c r="BC55">
        <v>1.8791189041095911E-2</v>
      </c>
      <c r="BD55">
        <v>1.018484810958904</v>
      </c>
      <c r="BE55">
        <v>0</v>
      </c>
      <c r="BF55">
        <v>0</v>
      </c>
    </row>
    <row r="56" spans="1:58" x14ac:dyDescent="0.2">
      <c r="A56" s="1"/>
      <c r="E56">
        <v>1</v>
      </c>
      <c r="G56">
        <v>0</v>
      </c>
      <c r="H56">
        <v>0</v>
      </c>
      <c r="I56">
        <v>0</v>
      </c>
      <c r="J56">
        <v>0</v>
      </c>
      <c r="K56">
        <v>1.8597873972602742E-2</v>
      </c>
      <c r="L56">
        <v>0</v>
      </c>
      <c r="M56">
        <v>0</v>
      </c>
      <c r="N56">
        <v>0</v>
      </c>
      <c r="O56">
        <v>1.890612602739726E-2</v>
      </c>
      <c r="P56">
        <v>0</v>
      </c>
      <c r="Q56">
        <v>0</v>
      </c>
      <c r="R56">
        <v>0</v>
      </c>
      <c r="S56">
        <v>1.8597873972602742E-2</v>
      </c>
      <c r="T56">
        <v>0</v>
      </c>
      <c r="U56">
        <v>0</v>
      </c>
      <c r="V56">
        <v>0</v>
      </c>
      <c r="W56">
        <v>1.890612602739726E-2</v>
      </c>
      <c r="X56">
        <v>1.8597873972602735E-2</v>
      </c>
      <c r="Y56">
        <v>1.911162739726029E-2</v>
      </c>
      <c r="Z56">
        <v>1.880337534246574E-2</v>
      </c>
      <c r="AA56">
        <v>1.8597873972602753E-2</v>
      </c>
      <c r="AB56">
        <v>1.880337534246574E-2</v>
      </c>
      <c r="AC56">
        <v>1.8700624657534262E-2</v>
      </c>
      <c r="AD56">
        <v>1.8700624657534231E-2</v>
      </c>
      <c r="AE56">
        <v>1.8803375342465772E-2</v>
      </c>
      <c r="AF56">
        <v>1.8597873972602753E-2</v>
      </c>
      <c r="AG56">
        <v>1.890612602739725E-2</v>
      </c>
      <c r="AH56">
        <v>1.8700624657534231E-2</v>
      </c>
      <c r="AI56">
        <v>1.9111627397260304E-2</v>
      </c>
      <c r="AJ56">
        <v>1.8392372602739699E-2</v>
      </c>
      <c r="AK56">
        <v>1.9008876712328759E-2</v>
      </c>
      <c r="AL56">
        <v>1.8803375342465806E-2</v>
      </c>
      <c r="AM56">
        <v>1.8597873972602718E-2</v>
      </c>
      <c r="AN56">
        <v>1.880337534246574E-2</v>
      </c>
      <c r="AO56">
        <v>1.8700624657534262E-2</v>
      </c>
      <c r="AP56">
        <v>1.8700624657534262E-2</v>
      </c>
      <c r="AQ56">
        <v>1.8906126027397219E-2</v>
      </c>
      <c r="AR56">
        <v>1.8597873972602784E-2</v>
      </c>
      <c r="AS56">
        <v>1.8906126027397219E-2</v>
      </c>
      <c r="AT56">
        <v>1.8597873972602784E-2</v>
      </c>
      <c r="AU56">
        <v>1.9111627397260238E-2</v>
      </c>
      <c r="AV56">
        <v>1.8392372602739765E-2</v>
      </c>
      <c r="AW56">
        <v>1.9008876712328759E-2</v>
      </c>
      <c r="AX56">
        <v>1.880337534246574E-2</v>
      </c>
      <c r="AY56">
        <v>1.8700624657534262E-2</v>
      </c>
      <c r="AZ56">
        <v>1.8700624657534196E-2</v>
      </c>
      <c r="BA56">
        <v>1.8803375342465806E-2</v>
      </c>
      <c r="BB56">
        <v>1.8597873972602718E-2</v>
      </c>
      <c r="BC56">
        <v>1.8906126027397285E-2</v>
      </c>
      <c r="BD56">
        <v>1.8597873972602718E-2</v>
      </c>
      <c r="BE56">
        <v>1.0189061260273973</v>
      </c>
      <c r="BF56">
        <v>0</v>
      </c>
    </row>
    <row r="57" spans="1:58" x14ac:dyDescent="0.2">
      <c r="A57" s="1"/>
      <c r="E57">
        <v>1</v>
      </c>
      <c r="G57">
        <v>0</v>
      </c>
      <c r="H57">
        <v>0</v>
      </c>
      <c r="I57">
        <v>0</v>
      </c>
      <c r="J57">
        <v>0</v>
      </c>
      <c r="K57">
        <v>1.8710936986301368E-2</v>
      </c>
      <c r="L57">
        <v>0</v>
      </c>
      <c r="M57">
        <v>0</v>
      </c>
      <c r="N57">
        <v>0</v>
      </c>
      <c r="O57">
        <v>1.9021063013698623E-2</v>
      </c>
      <c r="P57">
        <v>0</v>
      </c>
      <c r="Q57">
        <v>0</v>
      </c>
      <c r="R57">
        <v>0</v>
      </c>
      <c r="S57">
        <v>1.8710936986301371E-2</v>
      </c>
      <c r="T57">
        <v>0</v>
      </c>
      <c r="U57">
        <v>0</v>
      </c>
      <c r="V57">
        <v>0</v>
      </c>
      <c r="W57">
        <v>1.9021063013698623E-2</v>
      </c>
      <c r="X57">
        <v>1.8710936986301361E-2</v>
      </c>
      <c r="Y57">
        <v>1.9227813698630147E-2</v>
      </c>
      <c r="Z57">
        <v>1.891768767123286E-2</v>
      </c>
      <c r="AA57">
        <v>1.8710936986301378E-2</v>
      </c>
      <c r="AB57">
        <v>1.891768767123286E-2</v>
      </c>
      <c r="AC57">
        <v>1.8814312328767135E-2</v>
      </c>
      <c r="AD57">
        <v>1.8814312328767104E-2</v>
      </c>
      <c r="AE57">
        <v>1.8917687671232891E-2</v>
      </c>
      <c r="AF57">
        <v>1.8710936986301378E-2</v>
      </c>
      <c r="AG57">
        <v>1.9021063013698616E-2</v>
      </c>
      <c r="AH57">
        <v>1.8814312328767104E-2</v>
      </c>
      <c r="AI57">
        <v>1.9227813698630164E-2</v>
      </c>
      <c r="AJ57">
        <v>1.8504186301369831E-2</v>
      </c>
      <c r="AK57">
        <v>1.9124438356164373E-2</v>
      </c>
      <c r="AL57">
        <v>1.8917687671232926E-2</v>
      </c>
      <c r="AM57">
        <v>1.8710936986301344E-2</v>
      </c>
      <c r="AN57">
        <v>1.891768767123286E-2</v>
      </c>
      <c r="AO57">
        <v>1.8814312328767135E-2</v>
      </c>
      <c r="AP57">
        <v>1.8814312328767135E-2</v>
      </c>
      <c r="AQ57">
        <v>1.9021063013698582E-2</v>
      </c>
      <c r="AR57">
        <v>1.8710936986301413E-2</v>
      </c>
      <c r="AS57">
        <v>1.9021063013698582E-2</v>
      </c>
      <c r="AT57">
        <v>1.8710936986301413E-2</v>
      </c>
      <c r="AU57">
        <v>1.9227813698630098E-2</v>
      </c>
      <c r="AV57">
        <v>1.8504186301369897E-2</v>
      </c>
      <c r="AW57">
        <v>1.9124438356164373E-2</v>
      </c>
      <c r="AX57">
        <v>1.891768767123286E-2</v>
      </c>
      <c r="AY57">
        <v>1.8814312328767135E-2</v>
      </c>
      <c r="AZ57">
        <v>1.8814312328767069E-2</v>
      </c>
      <c r="BA57">
        <v>1.8917687671232926E-2</v>
      </c>
      <c r="BB57">
        <v>1.8710936986301344E-2</v>
      </c>
      <c r="BC57">
        <v>1.9021063013698651E-2</v>
      </c>
      <c r="BD57">
        <v>1.8710936986301344E-2</v>
      </c>
      <c r="BE57">
        <v>1.9021063013698651E-2</v>
      </c>
      <c r="BF57">
        <v>1.0188143123287672</v>
      </c>
    </row>
    <row r="58" spans="1:58" x14ac:dyDescent="0.2">
      <c r="A58" s="1"/>
    </row>
    <row r="59" spans="1:58" x14ac:dyDescent="0.2">
      <c r="A59" s="1"/>
    </row>
    <row r="60" spans="1:58" x14ac:dyDescent="0.2">
      <c r="A60" s="1"/>
    </row>
    <row r="61" spans="1:58" x14ac:dyDescent="0.2">
      <c r="A61" s="1"/>
    </row>
    <row r="62" spans="1:58" x14ac:dyDescent="0.2">
      <c r="A62" s="1"/>
    </row>
    <row r="63" spans="1:58" x14ac:dyDescent="0.2">
      <c r="A63" s="1"/>
    </row>
    <row r="64" spans="1:58" x14ac:dyDescent="0.2">
      <c r="A64" s="1"/>
    </row>
    <row r="65" spans="1:1" x14ac:dyDescent="0.2">
      <c r="A65" s="1"/>
    </row>
    <row r="66" spans="1:1" x14ac:dyDescent="0.2">
      <c r="A66" s="1"/>
    </row>
    <row r="67" spans="1:1" x14ac:dyDescent="0.2">
      <c r="A67" s="1"/>
    </row>
    <row r="68" spans="1:1" x14ac:dyDescent="0.2">
      <c r="A68" s="1"/>
    </row>
    <row r="69" spans="1:1" x14ac:dyDescent="0.2">
      <c r="A69" s="1"/>
    </row>
    <row r="70" spans="1:1" x14ac:dyDescent="0.2">
      <c r="A70" s="1"/>
    </row>
    <row r="71" spans="1:1" x14ac:dyDescent="0.2">
      <c r="A71" s="1"/>
    </row>
    <row r="72" spans="1:1" x14ac:dyDescent="0.2">
      <c r="A72" s="1"/>
    </row>
    <row r="73" spans="1:1" x14ac:dyDescent="0.2">
      <c r="A73" s="1"/>
    </row>
    <row r="74" spans="1:1" x14ac:dyDescent="0.2">
      <c r="A74" s="1"/>
    </row>
    <row r="75" spans="1:1" x14ac:dyDescent="0.2">
      <c r="A75" s="1"/>
    </row>
    <row r="76" spans="1:1" x14ac:dyDescent="0.2">
      <c r="A76" s="1"/>
    </row>
    <row r="77" spans="1:1" x14ac:dyDescent="0.2">
      <c r="A77" s="1"/>
    </row>
    <row r="78" spans="1:1" x14ac:dyDescent="0.2">
      <c r="A78" s="1"/>
    </row>
    <row r="79" spans="1:1" x14ac:dyDescent="0.2">
      <c r="A79" s="1"/>
    </row>
    <row r="80" spans="1:1" x14ac:dyDescent="0.2">
      <c r="A80" s="1"/>
    </row>
    <row r="81" spans="1:1" x14ac:dyDescent="0.2">
      <c r="A81" s="1"/>
    </row>
    <row r="82" spans="1:1" x14ac:dyDescent="0.2">
      <c r="A82" s="1"/>
    </row>
    <row r="83" spans="1:1" x14ac:dyDescent="0.2">
      <c r="A83" s="1"/>
    </row>
    <row r="84" spans="1:1" x14ac:dyDescent="0.2">
      <c r="A84" s="1"/>
    </row>
    <row r="85" spans="1:1" x14ac:dyDescent="0.2">
      <c r="A85" s="1"/>
    </row>
    <row r="86" spans="1:1" x14ac:dyDescent="0.2">
      <c r="A86" s="1"/>
    </row>
    <row r="87" spans="1:1" x14ac:dyDescent="0.2">
      <c r="A87" s="1"/>
    </row>
    <row r="88" spans="1:1" x14ac:dyDescent="0.2">
      <c r="A88" s="1"/>
    </row>
    <row r="89" spans="1:1" x14ac:dyDescent="0.2">
      <c r="A89" s="1"/>
    </row>
    <row r="90" spans="1:1" x14ac:dyDescent="0.2">
      <c r="A90" s="1"/>
    </row>
    <row r="91" spans="1:1" x14ac:dyDescent="0.2">
      <c r="A91" s="1"/>
    </row>
    <row r="92" spans="1:1" x14ac:dyDescent="0.2">
      <c r="A92" s="1"/>
    </row>
    <row r="93" spans="1:1" x14ac:dyDescent="0.2">
      <c r="A93" s="1"/>
    </row>
    <row r="94" spans="1:1" x14ac:dyDescent="0.2">
      <c r="A94" s="1"/>
    </row>
    <row r="95" spans="1:1" x14ac:dyDescent="0.2">
      <c r="A95" s="1"/>
    </row>
    <row r="96" spans="1:1" x14ac:dyDescent="0.2">
      <c r="A96" s="1"/>
    </row>
    <row r="97" spans="1:1" x14ac:dyDescent="0.2">
      <c r="A97" s="1"/>
    </row>
    <row r="98" spans="1:1" x14ac:dyDescent="0.2">
      <c r="A98" s="1"/>
    </row>
    <row r="99" spans="1:1" x14ac:dyDescent="0.2">
      <c r="A99" s="1"/>
    </row>
    <row r="100" spans="1:1" x14ac:dyDescent="0.2">
      <c r="A100" s="1"/>
    </row>
    <row r="101" spans="1:1" x14ac:dyDescent="0.2">
      <c r="A101" s="1"/>
    </row>
    <row r="102" spans="1:1" x14ac:dyDescent="0.2">
      <c r="A102" s="1"/>
    </row>
    <row r="103" spans="1:1" x14ac:dyDescent="0.2">
      <c r="A103" s="1"/>
    </row>
    <row r="104" spans="1:1" x14ac:dyDescent="0.2">
      <c r="A104" s="1"/>
    </row>
    <row r="105" spans="1:1" x14ac:dyDescent="0.2">
      <c r="A105" s="1"/>
    </row>
    <row r="106" spans="1:1" x14ac:dyDescent="0.2">
      <c r="A106" s="1"/>
    </row>
    <row r="107" spans="1:1" x14ac:dyDescent="0.2">
      <c r="A107" s="1"/>
    </row>
    <row r="108" spans="1:1" x14ac:dyDescent="0.2">
      <c r="A108" s="1"/>
    </row>
    <row r="109" spans="1:1" x14ac:dyDescent="0.2">
      <c r="A109" s="1"/>
    </row>
    <row r="110" spans="1:1" x14ac:dyDescent="0.2">
      <c r="A110" s="1"/>
    </row>
    <row r="111" spans="1:1" x14ac:dyDescent="0.2">
      <c r="A111" s="1"/>
    </row>
    <row r="112" spans="1:1" x14ac:dyDescent="0.2">
      <c r="A112" s="1"/>
    </row>
    <row r="113" spans="1:1" x14ac:dyDescent="0.2">
      <c r="A113" s="1"/>
    </row>
    <row r="114" spans="1:1" x14ac:dyDescent="0.2">
      <c r="A114" s="1"/>
    </row>
    <row r="115" spans="1:1" x14ac:dyDescent="0.2">
      <c r="A115" s="1"/>
    </row>
    <row r="116" spans="1:1" x14ac:dyDescent="0.2">
      <c r="A116" s="1"/>
    </row>
    <row r="117" spans="1:1" x14ac:dyDescent="0.2">
      <c r="A117" s="1"/>
    </row>
    <row r="118" spans="1:1" x14ac:dyDescent="0.2">
      <c r="A118" s="1"/>
    </row>
    <row r="119" spans="1:1" x14ac:dyDescent="0.2">
      <c r="A119" s="1"/>
    </row>
    <row r="120" spans="1:1" x14ac:dyDescent="0.2">
      <c r="A120" s="1"/>
    </row>
    <row r="121" spans="1:1" x14ac:dyDescent="0.2">
      <c r="A121" s="1"/>
    </row>
    <row r="122" spans="1:1" x14ac:dyDescent="0.2">
      <c r="A122" s="1"/>
    </row>
    <row r="123" spans="1:1" x14ac:dyDescent="0.2">
      <c r="A123" s="1"/>
    </row>
    <row r="124" spans="1:1" x14ac:dyDescent="0.2">
      <c r="A124" s="1"/>
    </row>
    <row r="125" spans="1:1" x14ac:dyDescent="0.2">
      <c r="A125" s="1"/>
    </row>
    <row r="126" spans="1:1" x14ac:dyDescent="0.2">
      <c r="A126" s="1"/>
    </row>
    <row r="127" spans="1:1" x14ac:dyDescent="0.2">
      <c r="A127" s="1"/>
    </row>
    <row r="128" spans="1:1" x14ac:dyDescent="0.2">
      <c r="A128" s="1"/>
    </row>
    <row r="129" spans="1:1" x14ac:dyDescent="0.2">
      <c r="A129" s="1"/>
    </row>
    <row r="130" spans="1:1" x14ac:dyDescent="0.2">
      <c r="A130" s="1"/>
    </row>
    <row r="131" spans="1:1" x14ac:dyDescent="0.2">
      <c r="A131" s="1"/>
    </row>
    <row r="132" spans="1:1" x14ac:dyDescent="0.2">
      <c r="A132" s="1"/>
    </row>
    <row r="133" spans="1:1" x14ac:dyDescent="0.2">
      <c r="A133" s="1"/>
    </row>
    <row r="134" spans="1:1" x14ac:dyDescent="0.2">
      <c r="A134" s="1"/>
    </row>
    <row r="135" spans="1:1" x14ac:dyDescent="0.2">
      <c r="A135" s="1"/>
    </row>
    <row r="136" spans="1:1" x14ac:dyDescent="0.2">
      <c r="A136" s="1"/>
    </row>
    <row r="137" spans="1:1" x14ac:dyDescent="0.2">
      <c r="A137" s="1"/>
    </row>
    <row r="138" spans="1:1" x14ac:dyDescent="0.2">
      <c r="A138" s="1"/>
    </row>
    <row r="139" spans="1:1" x14ac:dyDescent="0.2">
      <c r="A139" s="1"/>
    </row>
    <row r="140" spans="1:1" x14ac:dyDescent="0.2">
      <c r="A140" s="1"/>
    </row>
    <row r="141" spans="1:1" x14ac:dyDescent="0.2">
      <c r="A141" s="1"/>
    </row>
    <row r="142" spans="1:1" x14ac:dyDescent="0.2">
      <c r="A142" s="1"/>
    </row>
    <row r="143" spans="1:1" x14ac:dyDescent="0.2">
      <c r="A143" s="1"/>
    </row>
    <row r="144" spans="1:1" x14ac:dyDescent="0.2">
      <c r="A144" s="1"/>
    </row>
    <row r="145" spans="1:58" x14ac:dyDescent="0.2">
      <c r="A145" s="1"/>
    </row>
    <row r="146" spans="1:58" x14ac:dyDescent="0.2">
      <c r="A146" s="1"/>
    </row>
    <row r="147" spans="1:58" x14ac:dyDescent="0.2">
      <c r="A147" s="1"/>
    </row>
    <row r="148" spans="1:58" x14ac:dyDescent="0.2">
      <c r="A148" s="1"/>
    </row>
    <row r="149" spans="1:58" x14ac:dyDescent="0.2">
      <c r="A149" s="1"/>
    </row>
    <row r="150" spans="1:58" x14ac:dyDescent="0.2">
      <c r="A150" s="1"/>
    </row>
    <row r="151" spans="1:58" x14ac:dyDescent="0.2">
      <c r="A151" s="1"/>
    </row>
    <row r="152" spans="1:58" x14ac:dyDescent="0.2">
      <c r="G152" s="10" t="s">
        <v>32</v>
      </c>
    </row>
    <row r="153" spans="1:58" x14ac:dyDescent="0.2">
      <c r="G153">
        <f t="array" ref="G153:BF204">MINVERSE(Matrix!$G$6:$BF$57)</f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</row>
    <row r="154" spans="1:58" x14ac:dyDescent="0.2">
      <c r="G154">
        <v>0</v>
      </c>
      <c r="H154">
        <v>0.99848886233546807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</row>
    <row r="155" spans="1:58" x14ac:dyDescent="0.2">
      <c r="G155">
        <v>0</v>
      </c>
      <c r="H155">
        <v>0</v>
      </c>
      <c r="I155">
        <v>0.9963260414142735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</row>
    <row r="156" spans="1:58" x14ac:dyDescent="0.2">
      <c r="G156">
        <v>0</v>
      </c>
      <c r="H156">
        <v>0</v>
      </c>
      <c r="I156">
        <v>0</v>
      </c>
      <c r="J156">
        <v>0.99630409029745692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</row>
    <row r="157" spans="1:58" x14ac:dyDescent="0.2">
      <c r="G157">
        <v>0</v>
      </c>
      <c r="H157">
        <v>0</v>
      </c>
      <c r="I157">
        <v>0</v>
      </c>
      <c r="J157">
        <v>0</v>
      </c>
      <c r="K157">
        <v>0.99531752245879368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</row>
    <row r="158" spans="1:58" x14ac:dyDescent="0.2">
      <c r="G158">
        <v>0</v>
      </c>
      <c r="H158">
        <v>0</v>
      </c>
      <c r="I158">
        <v>0</v>
      </c>
      <c r="J158">
        <v>0</v>
      </c>
      <c r="K158">
        <v>0</v>
      </c>
      <c r="L158">
        <v>0.99449277766042188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</row>
    <row r="159" spans="1:58" x14ac:dyDescent="0.2"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0.9944711483791594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</row>
    <row r="160" spans="1:58" x14ac:dyDescent="0.2"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0.99238972710175521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</row>
    <row r="161" spans="7:58" x14ac:dyDescent="0.2"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0.99090826739540305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</row>
    <row r="162" spans="7:58" x14ac:dyDescent="0.2"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0.9897986241281812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</row>
    <row r="163" spans="7:58" x14ac:dyDescent="0.2"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0.98655548170242346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</row>
    <row r="164" spans="7:58" x14ac:dyDescent="0.2"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0.98651636256462394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</row>
    <row r="165" spans="7:58" x14ac:dyDescent="0.2"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0.98438756365430846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</row>
    <row r="166" spans="7:58" x14ac:dyDescent="0.2"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0.98268783248412128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</row>
    <row r="167" spans="7:58" x14ac:dyDescent="0.2"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0.98264214301997443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</row>
    <row r="168" spans="7:58" x14ac:dyDescent="0.2"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0.97824899417139044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</row>
    <row r="169" spans="7:58" x14ac:dyDescent="0.2">
      <c r="G169">
        <v>0</v>
      </c>
      <c r="H169">
        <v>0</v>
      </c>
      <c r="I169">
        <v>0</v>
      </c>
      <c r="J169">
        <v>0</v>
      </c>
      <c r="K169">
        <v>-6.1553413803446047E-3</v>
      </c>
      <c r="L169">
        <v>0</v>
      </c>
      <c r="M169">
        <v>0</v>
      </c>
      <c r="N169">
        <v>0</v>
      </c>
      <c r="O169">
        <v>-6.2296435021759987E-3</v>
      </c>
      <c r="P169">
        <v>0</v>
      </c>
      <c r="Q169">
        <v>0</v>
      </c>
      <c r="R169">
        <v>0</v>
      </c>
      <c r="S169">
        <v>-6.08774724460739E-3</v>
      </c>
      <c r="T169">
        <v>0</v>
      </c>
      <c r="U169">
        <v>0</v>
      </c>
      <c r="V169">
        <v>0</v>
      </c>
      <c r="W169">
        <v>0.99371319858037865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</row>
    <row r="170" spans="7:58" x14ac:dyDescent="0.2">
      <c r="G170">
        <v>0</v>
      </c>
      <c r="H170">
        <v>0</v>
      </c>
      <c r="I170">
        <v>0</v>
      </c>
      <c r="J170">
        <v>0</v>
      </c>
      <c r="K170">
        <v>-6.9183281414592762E-3</v>
      </c>
      <c r="L170">
        <v>0</v>
      </c>
      <c r="M170">
        <v>0</v>
      </c>
      <c r="N170">
        <v>0</v>
      </c>
      <c r="O170">
        <v>-7.0018403999471211E-3</v>
      </c>
      <c r="P170">
        <v>0</v>
      </c>
      <c r="Q170">
        <v>0</v>
      </c>
      <c r="R170">
        <v>0</v>
      </c>
      <c r="S170">
        <v>-6.8423553590297474E-3</v>
      </c>
      <c r="T170">
        <v>0</v>
      </c>
      <c r="U170">
        <v>0</v>
      </c>
      <c r="V170">
        <v>0</v>
      </c>
      <c r="W170">
        <v>-7.0660833402383652E-3</v>
      </c>
      <c r="X170">
        <v>0.9930051493030172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</row>
    <row r="171" spans="7:58" x14ac:dyDescent="0.2">
      <c r="G171">
        <v>0</v>
      </c>
      <c r="H171">
        <v>0</v>
      </c>
      <c r="I171">
        <v>0</v>
      </c>
      <c r="J171">
        <v>0</v>
      </c>
      <c r="K171">
        <v>-7.6624421095988771E-3</v>
      </c>
      <c r="L171">
        <v>0</v>
      </c>
      <c r="M171">
        <v>0</v>
      </c>
      <c r="N171">
        <v>0</v>
      </c>
      <c r="O171">
        <v>-7.7549366882052606E-3</v>
      </c>
      <c r="P171">
        <v>0</v>
      </c>
      <c r="Q171">
        <v>0</v>
      </c>
      <c r="R171">
        <v>0</v>
      </c>
      <c r="S171">
        <v>-7.5782979297669218E-3</v>
      </c>
      <c r="T171">
        <v>0</v>
      </c>
      <c r="U171">
        <v>0</v>
      </c>
      <c r="V171">
        <v>0</v>
      </c>
      <c r="W171">
        <v>-7.8260894003731232E-3</v>
      </c>
      <c r="X171">
        <v>-7.7471951944177355E-3</v>
      </c>
      <c r="Y171">
        <v>0.99198271417124217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</row>
    <row r="172" spans="7:58" x14ac:dyDescent="0.2">
      <c r="G172">
        <v>0</v>
      </c>
      <c r="H172">
        <v>0</v>
      </c>
      <c r="I172">
        <v>0</v>
      </c>
      <c r="J172">
        <v>0</v>
      </c>
      <c r="K172">
        <v>-8.0701679672331821E-3</v>
      </c>
      <c r="L172">
        <v>0</v>
      </c>
      <c r="M172">
        <v>0</v>
      </c>
      <c r="N172">
        <v>0</v>
      </c>
      <c r="O172">
        <v>-8.1675842706434056E-3</v>
      </c>
      <c r="P172">
        <v>0</v>
      </c>
      <c r="Q172">
        <v>0</v>
      </c>
      <c r="R172">
        <v>0</v>
      </c>
      <c r="S172">
        <v>-7.9815463952857373E-3</v>
      </c>
      <c r="T172">
        <v>0</v>
      </c>
      <c r="U172">
        <v>0</v>
      </c>
      <c r="V172">
        <v>0</v>
      </c>
      <c r="W172">
        <v>-8.2425230865333828E-3</v>
      </c>
      <c r="X172">
        <v>-8.1594308445830186E-3</v>
      </c>
      <c r="Y172">
        <v>-8.4438932593489859E-3</v>
      </c>
      <c r="Z172">
        <v>0.99162515504161186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</row>
    <row r="173" spans="7:58" x14ac:dyDescent="0.2">
      <c r="G173">
        <v>0</v>
      </c>
      <c r="H173">
        <v>0</v>
      </c>
      <c r="I173">
        <v>0</v>
      </c>
      <c r="J173">
        <v>0</v>
      </c>
      <c r="K173">
        <v>-8.4672009187950863E-3</v>
      </c>
      <c r="L173">
        <v>0</v>
      </c>
      <c r="M173">
        <v>0</v>
      </c>
      <c r="N173">
        <v>0</v>
      </c>
      <c r="O173">
        <v>-8.5694098712096756E-3</v>
      </c>
      <c r="P173">
        <v>0</v>
      </c>
      <c r="Q173">
        <v>0</v>
      </c>
      <c r="R173">
        <v>0</v>
      </c>
      <c r="S173">
        <v>-8.3742193775848961E-3</v>
      </c>
      <c r="T173">
        <v>0</v>
      </c>
      <c r="U173">
        <v>0</v>
      </c>
      <c r="V173">
        <v>0</v>
      </c>
      <c r="W173">
        <v>-8.6480354975080834E-3</v>
      </c>
      <c r="X173">
        <v>-8.5608553160987852E-3</v>
      </c>
      <c r="Y173">
        <v>-8.8593126009345602E-3</v>
      </c>
      <c r="Z173">
        <v>-8.7868672888034988E-3</v>
      </c>
      <c r="AA173">
        <v>0.99123576493786192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</row>
    <row r="174" spans="7:58" x14ac:dyDescent="0.2">
      <c r="G174">
        <v>0</v>
      </c>
      <c r="H174">
        <v>0</v>
      </c>
      <c r="I174">
        <v>0</v>
      </c>
      <c r="J174">
        <v>0</v>
      </c>
      <c r="K174">
        <v>-8.7559142804533203E-3</v>
      </c>
      <c r="L174">
        <v>0</v>
      </c>
      <c r="M174">
        <v>0</v>
      </c>
      <c r="N174">
        <v>0</v>
      </c>
      <c r="O174">
        <v>-8.8616083385747654E-3</v>
      </c>
      <c r="P174">
        <v>0</v>
      </c>
      <c r="Q174">
        <v>0</v>
      </c>
      <c r="R174">
        <v>0</v>
      </c>
      <c r="S174">
        <v>-8.6597622684355478E-3</v>
      </c>
      <c r="T174">
        <v>0</v>
      </c>
      <c r="U174">
        <v>0</v>
      </c>
      <c r="V174">
        <v>0</v>
      </c>
      <c r="W174">
        <v>-8.9429149298223681E-3</v>
      </c>
      <c r="X174">
        <v>-8.8527620915119266E-3</v>
      </c>
      <c r="Y174">
        <v>-9.1613961285994458E-3</v>
      </c>
      <c r="Z174">
        <v>-9.0864805869554244E-3</v>
      </c>
      <c r="AA174">
        <v>-9.0630766499804737E-3</v>
      </c>
      <c r="AB174">
        <v>0.99075576016577149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</row>
    <row r="175" spans="7:58" x14ac:dyDescent="0.2">
      <c r="G175">
        <v>0</v>
      </c>
      <c r="H175">
        <v>0</v>
      </c>
      <c r="I175">
        <v>0</v>
      </c>
      <c r="J175">
        <v>0</v>
      </c>
      <c r="K175">
        <v>-9.0355409078473718E-3</v>
      </c>
      <c r="L175">
        <v>0</v>
      </c>
      <c r="M175">
        <v>0</v>
      </c>
      <c r="N175">
        <v>0</v>
      </c>
      <c r="O175">
        <v>-9.1446103842359946E-3</v>
      </c>
      <c r="P175">
        <v>0</v>
      </c>
      <c r="Q175">
        <v>0</v>
      </c>
      <c r="R175">
        <v>0</v>
      </c>
      <c r="S175">
        <v>-8.9363182098936133E-3</v>
      </c>
      <c r="T175">
        <v>0</v>
      </c>
      <c r="U175">
        <v>0</v>
      </c>
      <c r="V175">
        <v>0</v>
      </c>
      <c r="W175">
        <v>-9.2285135618784889E-3</v>
      </c>
      <c r="X175">
        <v>-9.1354816257012434E-3</v>
      </c>
      <c r="Y175">
        <v>-9.4539721200501657E-3</v>
      </c>
      <c r="Z175">
        <v>-9.376664094928315E-3</v>
      </c>
      <c r="AA175">
        <v>-9.3525127358390688E-3</v>
      </c>
      <c r="AB175">
        <v>-9.5394615009636863E-3</v>
      </c>
      <c r="AC175">
        <v>0.9904241452056225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</row>
    <row r="176" spans="7:58" x14ac:dyDescent="0.2">
      <c r="G176">
        <v>0</v>
      </c>
      <c r="H176">
        <v>0</v>
      </c>
      <c r="I176">
        <v>0</v>
      </c>
      <c r="J176">
        <v>0</v>
      </c>
      <c r="K176">
        <v>-9.346531013956251E-3</v>
      </c>
      <c r="L176">
        <v>0</v>
      </c>
      <c r="M176">
        <v>0</v>
      </c>
      <c r="N176">
        <v>0</v>
      </c>
      <c r="O176">
        <v>-9.4593545022387208E-3</v>
      </c>
      <c r="P176">
        <v>0</v>
      </c>
      <c r="Q176">
        <v>0</v>
      </c>
      <c r="R176">
        <v>0</v>
      </c>
      <c r="S176">
        <v>-9.2438932158242382E-3</v>
      </c>
      <c r="T176">
        <v>0</v>
      </c>
      <c r="U176">
        <v>0</v>
      </c>
      <c r="V176">
        <v>0</v>
      </c>
      <c r="W176">
        <v>-9.5461455045708545E-3</v>
      </c>
      <c r="X176">
        <v>-9.4499115451834488E-3</v>
      </c>
      <c r="Y176">
        <v>-9.7793640166450209E-3</v>
      </c>
      <c r="Z176">
        <v>-9.6993951623397332E-3</v>
      </c>
      <c r="AA176">
        <v>-9.6744125487852137E-3</v>
      </c>
      <c r="AB176">
        <v>-9.8677958170453883E-3</v>
      </c>
      <c r="AC176">
        <v>-9.9054417144034106E-3</v>
      </c>
      <c r="AD176">
        <v>0.98999878813299036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</row>
    <row r="177" spans="7:58" x14ac:dyDescent="0.2">
      <c r="G177">
        <v>0</v>
      </c>
      <c r="H177">
        <v>0</v>
      </c>
      <c r="I177">
        <v>0</v>
      </c>
      <c r="J177">
        <v>0</v>
      </c>
      <c r="K177">
        <v>-9.6457014464257085E-3</v>
      </c>
      <c r="L177">
        <v>0</v>
      </c>
      <c r="M177">
        <v>0</v>
      </c>
      <c r="N177">
        <v>0</v>
      </c>
      <c r="O177">
        <v>-9.7621362694089026E-3</v>
      </c>
      <c r="P177">
        <v>0</v>
      </c>
      <c r="Q177">
        <v>0</v>
      </c>
      <c r="R177">
        <v>0</v>
      </c>
      <c r="S177">
        <v>-9.5397783444297196E-3</v>
      </c>
      <c r="T177">
        <v>0</v>
      </c>
      <c r="U177">
        <v>0</v>
      </c>
      <c r="V177">
        <v>0</v>
      </c>
      <c r="W177">
        <v>-9.8517053400600085E-3</v>
      </c>
      <c r="X177">
        <v>-9.7523910554476439E-3</v>
      </c>
      <c r="Y177">
        <v>-1.0092388876645726E-2</v>
      </c>
      <c r="Z177">
        <v>-1.0009860322202399E-2</v>
      </c>
      <c r="AA177">
        <v>-9.9840780473307352E-3</v>
      </c>
      <c r="AB177">
        <v>-1.0183651265200171E-2</v>
      </c>
      <c r="AC177">
        <v>-1.022250215929725E-2</v>
      </c>
      <c r="AD177">
        <v>-1.0321337791270153E-2</v>
      </c>
      <c r="AE177">
        <v>0.98951710995722864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</row>
    <row r="178" spans="7:58" x14ac:dyDescent="0.2">
      <c r="G178">
        <v>0</v>
      </c>
      <c r="H178">
        <v>0</v>
      </c>
      <c r="I178">
        <v>0</v>
      </c>
      <c r="J178">
        <v>0</v>
      </c>
      <c r="K178">
        <v>-9.9367030178992687E-3</v>
      </c>
      <c r="L178">
        <v>0</v>
      </c>
      <c r="M178">
        <v>0</v>
      </c>
      <c r="N178">
        <v>0</v>
      </c>
      <c r="O178">
        <v>-1.0056650567940265E-2</v>
      </c>
      <c r="P178">
        <v>0</v>
      </c>
      <c r="Q178">
        <v>0</v>
      </c>
      <c r="R178">
        <v>0</v>
      </c>
      <c r="S178">
        <v>-9.8275843173967949E-3</v>
      </c>
      <c r="T178">
        <v>0</v>
      </c>
      <c r="U178">
        <v>0</v>
      </c>
      <c r="V178">
        <v>0</v>
      </c>
      <c r="W178">
        <v>-1.0148921851640329E-2</v>
      </c>
      <c r="X178">
        <v>-1.0046611350210295E-2</v>
      </c>
      <c r="Y178">
        <v>-1.0396866579935457E-2</v>
      </c>
      <c r="Z178">
        <v>-1.031184821807192E-2</v>
      </c>
      <c r="AA178">
        <v>-1.0285288116668356E-2</v>
      </c>
      <c r="AB178">
        <v>-1.0490882267317703E-2</v>
      </c>
      <c r="AC178">
        <v>-1.0530905255668185E-2</v>
      </c>
      <c r="AD178">
        <v>-1.0632722663967203E-2</v>
      </c>
      <c r="AE178">
        <v>-1.079914879211929E-2</v>
      </c>
      <c r="AF178">
        <v>0.98920571943570113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</row>
    <row r="179" spans="7:58" x14ac:dyDescent="0.2">
      <c r="G179">
        <v>0</v>
      </c>
      <c r="H179">
        <v>0</v>
      </c>
      <c r="I179">
        <v>0</v>
      </c>
      <c r="J179">
        <v>0</v>
      </c>
      <c r="K179">
        <v>-1.0214014276523572E-2</v>
      </c>
      <c r="L179">
        <v>0</v>
      </c>
      <c r="M179">
        <v>0</v>
      </c>
      <c r="N179">
        <v>0</v>
      </c>
      <c r="O179">
        <v>-1.0337309295640669E-2</v>
      </c>
      <c r="P179">
        <v>0</v>
      </c>
      <c r="Q179">
        <v>0</v>
      </c>
      <c r="R179">
        <v>0</v>
      </c>
      <c r="S179">
        <v>-1.0101850316026789E-2</v>
      </c>
      <c r="T179">
        <v>0</v>
      </c>
      <c r="U179">
        <v>0</v>
      </c>
      <c r="V179">
        <v>0</v>
      </c>
      <c r="W179">
        <v>-1.0432155665440382E-2</v>
      </c>
      <c r="X179">
        <v>-1.0326989905694693E-2</v>
      </c>
      <c r="Y179">
        <v>-1.0687019979089822E-2</v>
      </c>
      <c r="Z179">
        <v>-1.0599628944027526E-2</v>
      </c>
      <c r="AA179">
        <v>-1.0572327609325947E-2</v>
      </c>
      <c r="AB179">
        <v>-1.0783659434994831E-2</v>
      </c>
      <c r="AC179">
        <v>-1.0824799375844889E-2</v>
      </c>
      <c r="AD179">
        <v>-1.0929458281328073E-2</v>
      </c>
      <c r="AE179">
        <v>-1.1100528992193631E-2</v>
      </c>
      <c r="AF179">
        <v>-1.1095524902973036E-2</v>
      </c>
      <c r="AG179">
        <v>0.98859748947157222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</row>
    <row r="180" spans="7:58" x14ac:dyDescent="0.2">
      <c r="G180">
        <v>0</v>
      </c>
      <c r="H180">
        <v>0</v>
      </c>
      <c r="I180">
        <v>0</v>
      </c>
      <c r="J180">
        <v>0</v>
      </c>
      <c r="K180">
        <v>-1.0478307810982483E-2</v>
      </c>
      <c r="L180">
        <v>0</v>
      </c>
      <c r="M180">
        <v>0</v>
      </c>
      <c r="N180">
        <v>0</v>
      </c>
      <c r="O180">
        <v>-1.0604793160120805E-2</v>
      </c>
      <c r="P180">
        <v>0</v>
      </c>
      <c r="Q180">
        <v>0</v>
      </c>
      <c r="R180">
        <v>0</v>
      </c>
      <c r="S180">
        <v>-1.0363241543052397E-2</v>
      </c>
      <c r="T180">
        <v>0</v>
      </c>
      <c r="U180">
        <v>0</v>
      </c>
      <c r="V180">
        <v>0</v>
      </c>
      <c r="W180">
        <v>-1.070209373466572E-2</v>
      </c>
      <c r="X180">
        <v>-1.0594206749983903E-2</v>
      </c>
      <c r="Y180">
        <v>-1.0963552810025711E-2</v>
      </c>
      <c r="Z180">
        <v>-1.0873900481322024E-2</v>
      </c>
      <c r="AA180">
        <v>-1.0845892708774516E-2</v>
      </c>
      <c r="AB180">
        <v>-1.1062692867817291E-2</v>
      </c>
      <c r="AC180">
        <v>-1.110489732846146E-2</v>
      </c>
      <c r="AD180">
        <v>-1.1212264343733201E-2</v>
      </c>
      <c r="AE180">
        <v>-1.1387761608311437E-2</v>
      </c>
      <c r="AF180">
        <v>-1.1382628035384335E-2</v>
      </c>
      <c r="AG180">
        <v>-1.16975570916767E-2</v>
      </c>
      <c r="AH180">
        <v>0.98829613684516926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</row>
    <row r="181" spans="7:58" x14ac:dyDescent="0.2">
      <c r="G181">
        <v>0</v>
      </c>
      <c r="H181">
        <v>0</v>
      </c>
      <c r="I181">
        <v>0</v>
      </c>
      <c r="J181">
        <v>0</v>
      </c>
      <c r="K181">
        <v>-1.072755597185549E-2</v>
      </c>
      <c r="L181">
        <v>0</v>
      </c>
      <c r="M181">
        <v>0</v>
      </c>
      <c r="N181">
        <v>0</v>
      </c>
      <c r="O181">
        <v>-1.085705003587591E-2</v>
      </c>
      <c r="P181">
        <v>0</v>
      </c>
      <c r="Q181">
        <v>0</v>
      </c>
      <c r="R181">
        <v>0</v>
      </c>
      <c r="S181">
        <v>-1.0609752615439602E-2</v>
      </c>
      <c r="T181">
        <v>0</v>
      </c>
      <c r="U181">
        <v>0</v>
      </c>
      <c r="V181">
        <v>0</v>
      </c>
      <c r="W181">
        <v>-1.095666510525097E-2</v>
      </c>
      <c r="X181">
        <v>-1.084621180614137E-2</v>
      </c>
      <c r="Y181">
        <v>-1.1224343523929805E-2</v>
      </c>
      <c r="Z181">
        <v>-1.1132558629696407E-2</v>
      </c>
      <c r="AA181">
        <v>-1.1103884634517966E-2</v>
      </c>
      <c r="AB181">
        <v>-1.132584183245415E-2</v>
      </c>
      <c r="AC181">
        <v>-1.1369050213233698E-2</v>
      </c>
      <c r="AD181">
        <v>-1.1478971174388472E-2</v>
      </c>
      <c r="AE181">
        <v>-1.165864300333563E-2</v>
      </c>
      <c r="AF181">
        <v>-1.1653387317789404E-2</v>
      </c>
      <c r="AG181">
        <v>-1.1975807611169122E-2</v>
      </c>
      <c r="AH181">
        <v>-1.1982263677040436E-2</v>
      </c>
      <c r="AI181">
        <v>0.98760937164990714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</row>
    <row r="182" spans="7:58" x14ac:dyDescent="0.2">
      <c r="G182">
        <v>0</v>
      </c>
      <c r="H182">
        <v>0</v>
      </c>
      <c r="I182">
        <v>0</v>
      </c>
      <c r="J182">
        <v>0</v>
      </c>
      <c r="K182">
        <v>-1.1022637593911581E-2</v>
      </c>
      <c r="L182">
        <v>0</v>
      </c>
      <c r="M182">
        <v>0</v>
      </c>
      <c r="N182">
        <v>0</v>
      </c>
      <c r="O182">
        <v>-1.1155693635940607E-2</v>
      </c>
      <c r="P182">
        <v>0</v>
      </c>
      <c r="Q182">
        <v>0</v>
      </c>
      <c r="R182">
        <v>0</v>
      </c>
      <c r="S182">
        <v>-1.0901593834407981E-2</v>
      </c>
      <c r="T182">
        <v>0</v>
      </c>
      <c r="U182">
        <v>0</v>
      </c>
      <c r="V182">
        <v>0</v>
      </c>
      <c r="W182">
        <v>-1.1258048805328153E-2</v>
      </c>
      <c r="X182">
        <v>-1.1144557280293822E-2</v>
      </c>
      <c r="Y182">
        <v>-1.1533090222828002E-2</v>
      </c>
      <c r="Z182">
        <v>-1.1438780612290008E-2</v>
      </c>
      <c r="AA182">
        <v>-1.1409317884894245E-2</v>
      </c>
      <c r="AB182">
        <v>-1.1637380433402907E-2</v>
      </c>
      <c r="AC182">
        <v>-1.1681777342037293E-2</v>
      </c>
      <c r="AD182">
        <v>-1.1794721886159196E-2</v>
      </c>
      <c r="AE182">
        <v>-1.1979335927000906E-2</v>
      </c>
      <c r="AF182">
        <v>-1.197393567392969E-2</v>
      </c>
      <c r="AG182">
        <v>-1.230522474444783E-2</v>
      </c>
      <c r="AH182">
        <v>-1.2311858396564734E-2</v>
      </c>
      <c r="AI182">
        <v>-1.2731455908712087E-2</v>
      </c>
      <c r="AJ182">
        <v>0.98759396635283592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</row>
    <row r="183" spans="7:58" x14ac:dyDescent="0.2">
      <c r="G183">
        <v>0</v>
      </c>
      <c r="H183">
        <v>0</v>
      </c>
      <c r="I183">
        <v>0</v>
      </c>
      <c r="J183">
        <v>0</v>
      </c>
      <c r="K183">
        <v>-1.129842089303707E-2</v>
      </c>
      <c r="L183">
        <v>0</v>
      </c>
      <c r="M183">
        <v>0</v>
      </c>
      <c r="N183">
        <v>0</v>
      </c>
      <c r="O183">
        <v>-1.1434805959895832E-2</v>
      </c>
      <c r="P183">
        <v>0</v>
      </c>
      <c r="Q183">
        <v>0</v>
      </c>
      <c r="R183">
        <v>0</v>
      </c>
      <c r="S183">
        <v>-1.1174348652641301E-2</v>
      </c>
      <c r="T183">
        <v>0</v>
      </c>
      <c r="U183">
        <v>0</v>
      </c>
      <c r="V183">
        <v>0</v>
      </c>
      <c r="W183">
        <v>-1.1539722026895747E-2</v>
      </c>
      <c r="X183">
        <v>-1.1423390975756152E-2</v>
      </c>
      <c r="Y183">
        <v>-1.1821644903471795E-2</v>
      </c>
      <c r="Z183">
        <v>-1.1724975692945883E-2</v>
      </c>
      <c r="AA183">
        <v>-1.1694775816379314E-2</v>
      </c>
      <c r="AB183">
        <v>-1.192854442584651E-2</v>
      </c>
      <c r="AC183">
        <v>-1.1974052132675052E-2</v>
      </c>
      <c r="AD183">
        <v>-1.2089822517593298E-2</v>
      </c>
      <c r="AE183">
        <v>-1.2279055549925422E-2</v>
      </c>
      <c r="AF183">
        <v>-1.2273520184037937E-2</v>
      </c>
      <c r="AG183">
        <v>-1.2613098014125032E-2</v>
      </c>
      <c r="AH183">
        <v>-1.2619897638356185E-2</v>
      </c>
      <c r="AI183">
        <v>-1.3049993362498531E-2</v>
      </c>
      <c r="AJ183">
        <v>-1.2716429127295481E-2</v>
      </c>
      <c r="AK183">
        <v>0.98669222514910881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</row>
    <row r="184" spans="7:58" x14ac:dyDescent="0.2">
      <c r="G184">
        <v>0</v>
      </c>
      <c r="H184">
        <v>0</v>
      </c>
      <c r="I184">
        <v>0</v>
      </c>
      <c r="J184">
        <v>0</v>
      </c>
      <c r="K184">
        <v>-1.1571211547655518E-2</v>
      </c>
      <c r="L184">
        <v>0</v>
      </c>
      <c r="M184">
        <v>0</v>
      </c>
      <c r="N184">
        <v>0</v>
      </c>
      <c r="O184">
        <v>-1.171088951464792E-2</v>
      </c>
      <c r="P184">
        <v>0</v>
      </c>
      <c r="Q184">
        <v>0</v>
      </c>
      <c r="R184">
        <v>0</v>
      </c>
      <c r="S184">
        <v>-1.1444143689730719E-2</v>
      </c>
      <c r="T184">
        <v>0</v>
      </c>
      <c r="U184">
        <v>0</v>
      </c>
      <c r="V184">
        <v>0</v>
      </c>
      <c r="W184">
        <v>-1.1818338689846563E-2</v>
      </c>
      <c r="X184">
        <v>-1.1699198925534289E-2</v>
      </c>
      <c r="Y184">
        <v>-1.2107068351793881E-2</v>
      </c>
      <c r="Z184">
        <v>-1.2008065146325624E-2</v>
      </c>
      <c r="AA184">
        <v>-1.1977136119714462E-2</v>
      </c>
      <c r="AB184">
        <v>-1.2216548871191373E-2</v>
      </c>
      <c r="AC184">
        <v>-1.2263155322459821E-2</v>
      </c>
      <c r="AD184">
        <v>-1.2381720883747071E-2</v>
      </c>
      <c r="AE184">
        <v>-1.2575522784884314E-2</v>
      </c>
      <c r="AF184">
        <v>-1.2569853772348476E-2</v>
      </c>
      <c r="AG184">
        <v>-1.2917630417069968E-2</v>
      </c>
      <c r="AH184">
        <v>-1.292459421237978E-2</v>
      </c>
      <c r="AI184">
        <v>-1.3365074227853465E-2</v>
      </c>
      <c r="AJ184">
        <v>-1.3023456371092165E-2</v>
      </c>
      <c r="AK184">
        <v>-1.3629079628563872E-2</v>
      </c>
      <c r="AL184">
        <v>0.98633643006041061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</row>
    <row r="185" spans="7:58" x14ac:dyDescent="0.2">
      <c r="G185">
        <v>0</v>
      </c>
      <c r="H185">
        <v>0</v>
      </c>
      <c r="I185" s="9">
        <v>0</v>
      </c>
      <c r="J185">
        <v>0</v>
      </c>
      <c r="K185">
        <v>-1.1830302775698652E-2</v>
      </c>
      <c r="L185">
        <v>0</v>
      </c>
      <c r="M185">
        <v>0</v>
      </c>
      <c r="N185">
        <v>0</v>
      </c>
      <c r="O185">
        <v>-1.1973108274829716E-2</v>
      </c>
      <c r="P185">
        <v>0</v>
      </c>
      <c r="Q185">
        <v>0</v>
      </c>
      <c r="R185">
        <v>0</v>
      </c>
      <c r="S185">
        <v>-1.1700389738838267E-2</v>
      </c>
      <c r="T185">
        <v>0</v>
      </c>
      <c r="U185">
        <v>0</v>
      </c>
      <c r="V185">
        <v>0</v>
      </c>
      <c r="W185">
        <v>-1.2082963346648594E-2</v>
      </c>
      <c r="X185">
        <v>-1.1961155921502585E-2</v>
      </c>
      <c r="Y185">
        <v>-1.2378157960202595E-2</v>
      </c>
      <c r="Z185">
        <v>-1.2276937971990433E-2</v>
      </c>
      <c r="AA185">
        <v>-1.22453164129289E-2</v>
      </c>
      <c r="AB185">
        <v>-1.2490089860088703E-2</v>
      </c>
      <c r="AC185">
        <v>-1.253773987733502E-2</v>
      </c>
      <c r="AD185">
        <v>-1.2658960242464634E-2</v>
      </c>
      <c r="AE185">
        <v>-1.2857101565827108E-2</v>
      </c>
      <c r="AF185">
        <v>-1.2851305618318761E-2</v>
      </c>
      <c r="AG185">
        <v>-1.3206869336813342E-2</v>
      </c>
      <c r="AH185">
        <v>-1.3213989058602523E-2</v>
      </c>
      <c r="AI185">
        <v>-1.3664331870868705E-2</v>
      </c>
      <c r="AJ185">
        <v>-1.3315064841878102E-2</v>
      </c>
      <c r="AK185">
        <v>-1.3934248621760412E-2</v>
      </c>
      <c r="AL185">
        <v>-1.3969511206026609E-2</v>
      </c>
      <c r="AM185">
        <v>0.98599175845957288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</row>
    <row r="186" spans="7:58" x14ac:dyDescent="0.2">
      <c r="G186">
        <v>0</v>
      </c>
      <c r="H186">
        <v>0</v>
      </c>
      <c r="I186" s="9">
        <v>0</v>
      </c>
      <c r="J186">
        <v>0</v>
      </c>
      <c r="K186">
        <v>-1.1985704367532638E-2</v>
      </c>
      <c r="L186">
        <v>0</v>
      </c>
      <c r="M186">
        <v>0</v>
      </c>
      <c r="N186">
        <v>0</v>
      </c>
      <c r="O186">
        <v>-1.2130385744425112E-2</v>
      </c>
      <c r="P186">
        <v>0</v>
      </c>
      <c r="Q186">
        <v>0</v>
      </c>
      <c r="R186">
        <v>0</v>
      </c>
      <c r="S186">
        <v>-1.1854084806916203E-2</v>
      </c>
      <c r="T186">
        <v>0</v>
      </c>
      <c r="U186">
        <v>0</v>
      </c>
      <c r="V186">
        <v>0</v>
      </c>
      <c r="W186">
        <v>-1.2241683860716756E-2</v>
      </c>
      <c r="X186">
        <v>-1.2118276386263163E-2</v>
      </c>
      <c r="Y186">
        <v>-1.2540756119138937E-2</v>
      </c>
      <c r="Z186">
        <v>-1.243820651598861E-2</v>
      </c>
      <c r="AA186">
        <v>-1.2406169579509647E-2</v>
      </c>
      <c r="AB186">
        <v>-1.2654158344489153E-2</v>
      </c>
      <c r="AC186">
        <v>-1.2702434287265141E-2</v>
      </c>
      <c r="AD186">
        <v>-1.2825246990144774E-2</v>
      </c>
      <c r="AE186">
        <v>-1.3025991076736758E-2</v>
      </c>
      <c r="AF186">
        <v>-1.3020118994281906E-2</v>
      </c>
      <c r="AG186">
        <v>-1.338035335974978E-2</v>
      </c>
      <c r="AH186">
        <v>-1.3387566605442823E-2</v>
      </c>
      <c r="AI186">
        <v>-1.3843825072720041E-2</v>
      </c>
      <c r="AJ186">
        <v>-1.3489970109395944E-2</v>
      </c>
      <c r="AK186">
        <v>-1.4117287421179837E-2</v>
      </c>
      <c r="AL186">
        <v>-1.4153013210981091E-2</v>
      </c>
      <c r="AM186">
        <v>-1.4192252302911443E-2</v>
      </c>
      <c r="AN186">
        <v>0.98544706621811462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</row>
    <row r="187" spans="7:58" x14ac:dyDescent="0.2">
      <c r="G187">
        <v>0</v>
      </c>
      <c r="H187">
        <v>0</v>
      </c>
      <c r="I187">
        <v>0</v>
      </c>
      <c r="J187">
        <v>0</v>
      </c>
      <c r="K187">
        <v>-1.2130243807011897E-2</v>
      </c>
      <c r="L187">
        <v>0</v>
      </c>
      <c r="M187">
        <v>0</v>
      </c>
      <c r="N187">
        <v>0</v>
      </c>
      <c r="O187">
        <v>-1.2276669942867038E-2</v>
      </c>
      <c r="P187">
        <v>0</v>
      </c>
      <c r="Q187">
        <v>0</v>
      </c>
      <c r="R187">
        <v>0</v>
      </c>
      <c r="S187">
        <v>-1.1997037004049693E-2</v>
      </c>
      <c r="T187">
        <v>0</v>
      </c>
      <c r="U187">
        <v>0</v>
      </c>
      <c r="V187">
        <v>0</v>
      </c>
      <c r="W187">
        <v>-1.2389310238712811E-2</v>
      </c>
      <c r="X187">
        <v>-1.2264414554084979E-2</v>
      </c>
      <c r="Y187">
        <v>-1.2691989105079802E-2</v>
      </c>
      <c r="Z187">
        <v>-1.2588202823491252E-2</v>
      </c>
      <c r="AA187">
        <v>-1.2555779543356604E-2</v>
      </c>
      <c r="AB187">
        <v>-1.2806758884107735E-2</v>
      </c>
      <c r="AC187">
        <v>-1.2855617001906162E-2</v>
      </c>
      <c r="AD187">
        <v>-1.2979910742419529E-2</v>
      </c>
      <c r="AE187">
        <v>-1.3183075666107533E-2</v>
      </c>
      <c r="AF187">
        <v>-1.3177132770333696E-2</v>
      </c>
      <c r="AG187">
        <v>-1.3541711317142045E-2</v>
      </c>
      <c r="AH187">
        <v>-1.3549011549670184E-2</v>
      </c>
      <c r="AI187">
        <v>-1.4010772183619943E-2</v>
      </c>
      <c r="AJ187">
        <v>-1.365264997020461E-2</v>
      </c>
      <c r="AK187">
        <v>-1.428753230193564E-2</v>
      </c>
      <c r="AL187">
        <v>-1.4323688920453714E-2</v>
      </c>
      <c r="AM187">
        <v>-1.4363401209134076E-2</v>
      </c>
      <c r="AN187">
        <v>-1.4728432261333198E-2</v>
      </c>
      <c r="AO187">
        <v>0.98513573227109252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</row>
    <row r="188" spans="7:58" x14ac:dyDescent="0.2">
      <c r="G188">
        <v>0</v>
      </c>
      <c r="H188">
        <v>0</v>
      </c>
      <c r="I188">
        <v>0</v>
      </c>
      <c r="J188">
        <v>0</v>
      </c>
      <c r="K188">
        <v>-1.2262988938418198E-2</v>
      </c>
      <c r="L188">
        <v>0</v>
      </c>
      <c r="M188">
        <v>0</v>
      </c>
      <c r="N188">
        <v>0</v>
      </c>
      <c r="O188">
        <v>-1.2411017462234756E-2</v>
      </c>
      <c r="P188">
        <v>0</v>
      </c>
      <c r="Q188">
        <v>0</v>
      </c>
      <c r="R188">
        <v>0</v>
      </c>
      <c r="S188">
        <v>-1.2128324410875614E-2</v>
      </c>
      <c r="T188">
        <v>0</v>
      </c>
      <c r="U188">
        <v>0</v>
      </c>
      <c r="V188">
        <v>0</v>
      </c>
      <c r="W188">
        <v>-1.2524890416806239E-2</v>
      </c>
      <c r="X188">
        <v>-1.2398627958819866E-2</v>
      </c>
      <c r="Y188">
        <v>-1.2830881594659211E-2</v>
      </c>
      <c r="Z188">
        <v>-1.2725959546650234E-2</v>
      </c>
      <c r="AA188">
        <v>-1.2693181448207679E-2</v>
      </c>
      <c r="AB188">
        <v>-1.2946907336027305E-2</v>
      </c>
      <c r="AC188">
        <v>-1.2996300123810159E-2</v>
      </c>
      <c r="AD188">
        <v>-1.3121954050415413E-2</v>
      </c>
      <c r="AE188">
        <v>-1.3327342272737899E-2</v>
      </c>
      <c r="AF188">
        <v>-1.3321334341957926E-2</v>
      </c>
      <c r="AG188">
        <v>-1.3689902588221123E-2</v>
      </c>
      <c r="AH188">
        <v>-1.3697282709524918E-2</v>
      </c>
      <c r="AI188">
        <v>-1.4164096537541273E-2</v>
      </c>
      <c r="AJ188">
        <v>-1.380205527838905E-2</v>
      </c>
      <c r="AK188">
        <v>-1.4443885330206664E-2</v>
      </c>
      <c r="AL188">
        <v>-1.4480437622146704E-2</v>
      </c>
      <c r="AM188">
        <v>-1.4520584495083012E-2</v>
      </c>
      <c r="AN188">
        <v>-1.4889610198647967E-2</v>
      </c>
      <c r="AO188">
        <v>-1.502693215711888E-2</v>
      </c>
      <c r="AP188">
        <v>0.98474633325655903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</row>
    <row r="189" spans="7:58" x14ac:dyDescent="0.2">
      <c r="G189">
        <v>0</v>
      </c>
      <c r="H189">
        <v>0</v>
      </c>
      <c r="I189">
        <v>0</v>
      </c>
      <c r="J189">
        <v>0</v>
      </c>
      <c r="K189">
        <v>-1.2381838488446414E-2</v>
      </c>
      <c r="L189">
        <v>0</v>
      </c>
      <c r="M189">
        <v>0</v>
      </c>
      <c r="N189">
        <v>0</v>
      </c>
      <c r="O189">
        <v>-1.2531301664413057E-2</v>
      </c>
      <c r="P189">
        <v>0</v>
      </c>
      <c r="Q189">
        <v>0</v>
      </c>
      <c r="R189">
        <v>0</v>
      </c>
      <c r="S189">
        <v>-1.2245868828967109E-2</v>
      </c>
      <c r="T189">
        <v>0</v>
      </c>
      <c r="U189">
        <v>0</v>
      </c>
      <c r="V189">
        <v>0</v>
      </c>
      <c r="W189">
        <v>-1.2646278244656806E-2</v>
      </c>
      <c r="X189">
        <v>-1.251879208530428E-2</v>
      </c>
      <c r="Y189">
        <v>-1.2955235005695342E-2</v>
      </c>
      <c r="Z189">
        <v>-1.2849296081763491E-2</v>
      </c>
      <c r="AA189">
        <v>-1.2816200306915106E-2</v>
      </c>
      <c r="AB189">
        <v>-1.3072385236959205E-2</v>
      </c>
      <c r="AC189">
        <v>-1.3122256726193408E-2</v>
      </c>
      <c r="AD189">
        <v>-1.3249128456444359E-2</v>
      </c>
      <c r="AE189">
        <v>-1.3456507245497896E-2</v>
      </c>
      <c r="AF189">
        <v>-1.3450441087488546E-2</v>
      </c>
      <c r="AG189">
        <v>-1.3822581396846887E-2</v>
      </c>
      <c r="AH189">
        <v>-1.3830033044277023E-2</v>
      </c>
      <c r="AI189">
        <v>-1.4301371104818198E-2</v>
      </c>
      <c r="AJ189">
        <v>-1.3935821040352845E-2</v>
      </c>
      <c r="AK189">
        <v>-1.4583871534285855E-2</v>
      </c>
      <c r="AL189">
        <v>-1.4620778081087527E-2</v>
      </c>
      <c r="AM189">
        <v>-1.4661314046585808E-2</v>
      </c>
      <c r="AN189">
        <v>-1.5033916246797528E-2</v>
      </c>
      <c r="AO189">
        <v>-1.5172569092302197E-2</v>
      </c>
      <c r="AP189">
        <v>-1.540150112850334E-2</v>
      </c>
      <c r="AQ189">
        <v>0.9841880615669224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</row>
    <row r="190" spans="7:58" x14ac:dyDescent="0.2">
      <c r="G190">
        <v>0</v>
      </c>
      <c r="H190">
        <v>0</v>
      </c>
      <c r="I190">
        <v>0</v>
      </c>
      <c r="J190">
        <v>0</v>
      </c>
      <c r="K190">
        <v>-1.2428213480749425E-2</v>
      </c>
      <c r="L190">
        <v>0</v>
      </c>
      <c r="M190">
        <v>0</v>
      </c>
      <c r="N190">
        <v>0</v>
      </c>
      <c r="O190">
        <v>-1.257823645675234E-2</v>
      </c>
      <c r="P190">
        <v>0</v>
      </c>
      <c r="Q190">
        <v>0</v>
      </c>
      <c r="R190">
        <v>0</v>
      </c>
      <c r="S190">
        <v>-1.2291734559909801E-2</v>
      </c>
      <c r="T190">
        <v>0</v>
      </c>
      <c r="U190">
        <v>0</v>
      </c>
      <c r="V190">
        <v>0</v>
      </c>
      <c r="W190">
        <v>-1.2693643670785154E-2</v>
      </c>
      <c r="X190">
        <v>-1.2565680024210981E-2</v>
      </c>
      <c r="Y190">
        <v>-1.3003757599834609E-2</v>
      </c>
      <c r="Z190">
        <v>-1.2897421891791376E-2</v>
      </c>
      <c r="AA190">
        <v>-1.2864202159882385E-2</v>
      </c>
      <c r="AB190">
        <v>-1.312134660608962E-2</v>
      </c>
      <c r="AC190">
        <v>-1.3171404884218824E-2</v>
      </c>
      <c r="AD190">
        <v>-1.3298751800405954E-2</v>
      </c>
      <c r="AE190">
        <v>-1.350690730688762E-2</v>
      </c>
      <c r="AF190">
        <v>-1.3500818428663396E-2</v>
      </c>
      <c r="AG190">
        <v>-1.3874352553972274E-2</v>
      </c>
      <c r="AH190">
        <v>-1.3881832110835447E-2</v>
      </c>
      <c r="AI190">
        <v>-1.4354935523020492E-2</v>
      </c>
      <c r="AJ190">
        <v>-1.3988016325736801E-2</v>
      </c>
      <c r="AK190">
        <v>-1.4638494030838506E-2</v>
      </c>
      <c r="AL190">
        <v>-1.4675538807582799E-2</v>
      </c>
      <c r="AM190">
        <v>-1.4716226596664446E-2</v>
      </c>
      <c r="AN190">
        <v>-1.5090224342794735E-2</v>
      </c>
      <c r="AO190">
        <v>-1.5229396499276448E-2</v>
      </c>
      <c r="AP190">
        <v>-1.5459185978532327E-2</v>
      </c>
      <c r="AQ190">
        <v>-1.5871160536791402E-2</v>
      </c>
      <c r="AR190">
        <v>0.98413678012905426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</row>
    <row r="191" spans="7:58" x14ac:dyDescent="0.2">
      <c r="G191">
        <v>0</v>
      </c>
      <c r="H191">
        <v>0</v>
      </c>
      <c r="I191">
        <v>0</v>
      </c>
      <c r="J191">
        <v>0</v>
      </c>
      <c r="K191">
        <v>-1.246279839921814E-2</v>
      </c>
      <c r="L191">
        <v>0</v>
      </c>
      <c r="M191">
        <v>0</v>
      </c>
      <c r="N191">
        <v>0</v>
      </c>
      <c r="O191">
        <v>-1.2613238855368275E-2</v>
      </c>
      <c r="P191">
        <v>0</v>
      </c>
      <c r="Q191">
        <v>0</v>
      </c>
      <c r="R191">
        <v>0</v>
      </c>
      <c r="S191">
        <v>-1.2325939688285836E-2</v>
      </c>
      <c r="T191">
        <v>0</v>
      </c>
      <c r="U191">
        <v>0</v>
      </c>
      <c r="V191">
        <v>0</v>
      </c>
      <c r="W191">
        <v>-1.2728967221680466E-2</v>
      </c>
      <c r="X191">
        <v>-1.2600647481103679E-2</v>
      </c>
      <c r="Y191">
        <v>-1.3039944127936484E-2</v>
      </c>
      <c r="Z191">
        <v>-1.2933312511571537E-2</v>
      </c>
      <c r="AA191">
        <v>-1.2900000336631913E-2</v>
      </c>
      <c r="AB191">
        <v>-1.315786035790715E-2</v>
      </c>
      <c r="AC191">
        <v>-1.3208057936947987E-2</v>
      </c>
      <c r="AD191">
        <v>-1.3335759230915994E-2</v>
      </c>
      <c r="AE191">
        <v>-1.3544493987281934E-2</v>
      </c>
      <c r="AF191">
        <v>-1.353838816508123E-2</v>
      </c>
      <c r="AG191">
        <v>-1.391296175171647E-2</v>
      </c>
      <c r="AH191">
        <v>-1.3920462122501514E-2</v>
      </c>
      <c r="AI191">
        <v>-1.4394882074908771E-2</v>
      </c>
      <c r="AJ191">
        <v>-1.402694182415329E-2</v>
      </c>
      <c r="AK191">
        <v>-1.467922966217808E-2</v>
      </c>
      <c r="AL191">
        <v>-1.4716377526191147E-2</v>
      </c>
      <c r="AM191">
        <v>-1.475717854022425E-2</v>
      </c>
      <c r="AN191">
        <v>-1.513221703783321E-2</v>
      </c>
      <c r="AO191">
        <v>-1.5271776479075726E-2</v>
      </c>
      <c r="AP191">
        <v>-1.5502205410688722E-2</v>
      </c>
      <c r="AQ191">
        <v>-1.5915326401339761E-2</v>
      </c>
      <c r="AR191">
        <v>-1.5907363638409798E-2</v>
      </c>
      <c r="AS191">
        <v>0.98356831903269926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</row>
    <row r="192" spans="7:58" x14ac:dyDescent="0.2">
      <c r="G192">
        <v>0</v>
      </c>
      <c r="H192">
        <v>0</v>
      </c>
      <c r="I192">
        <v>0</v>
      </c>
      <c r="J192">
        <v>0</v>
      </c>
      <c r="K192">
        <v>-1.2492368835788893E-2</v>
      </c>
      <c r="L192">
        <v>0</v>
      </c>
      <c r="M192">
        <v>0</v>
      </c>
      <c r="N192">
        <v>0</v>
      </c>
      <c r="O192">
        <v>-1.264316624146382E-2</v>
      </c>
      <c r="P192">
        <v>0</v>
      </c>
      <c r="Q192">
        <v>0</v>
      </c>
      <c r="R192">
        <v>0</v>
      </c>
      <c r="S192">
        <v>-1.2355185400689401E-2</v>
      </c>
      <c r="T192">
        <v>0</v>
      </c>
      <c r="U192">
        <v>0</v>
      </c>
      <c r="V192">
        <v>0</v>
      </c>
      <c r="W192">
        <v>-1.2759169196051133E-2</v>
      </c>
      <c r="X192">
        <v>-1.2630544991691164E-2</v>
      </c>
      <c r="Y192">
        <v>-1.3070883956084982E-2</v>
      </c>
      <c r="Z192">
        <v>-1.2963999335270543E-2</v>
      </c>
      <c r="AA192">
        <v>-1.2930608120654233E-2</v>
      </c>
      <c r="AB192">
        <v>-1.3189079965466935E-2</v>
      </c>
      <c r="AC192">
        <v>-1.323939664812154E-2</v>
      </c>
      <c r="AD192">
        <v>-1.3367400938486687E-2</v>
      </c>
      <c r="AE192">
        <v>-1.3576630959052174E-2</v>
      </c>
      <c r="AF192">
        <v>-1.3570510649589272E-2</v>
      </c>
      <c r="AG192">
        <v>-1.3945972985615286E-2</v>
      </c>
      <c r="AH192">
        <v>-1.3953491152502898E-2</v>
      </c>
      <c r="AI192">
        <v>-1.4429036759410945E-2</v>
      </c>
      <c r="AJ192">
        <v>-1.4060223498156684E-2</v>
      </c>
      <c r="AK192">
        <v>-1.4714059017169498E-2</v>
      </c>
      <c r="AL192">
        <v>-1.4751295021784811E-2</v>
      </c>
      <c r="AM192">
        <v>-1.4792192844235962E-2</v>
      </c>
      <c r="AN192">
        <v>-1.5168121194328284E-2</v>
      </c>
      <c r="AO192">
        <v>-1.5308011767750986E-2</v>
      </c>
      <c r="AP192">
        <v>-1.5538987437254466E-2</v>
      </c>
      <c r="AQ192">
        <v>-1.5953088638582011E-2</v>
      </c>
      <c r="AR192">
        <v>-1.5945106982433316E-2</v>
      </c>
      <c r="AS192">
        <v>-1.6470668357149439E-2</v>
      </c>
      <c r="AT192">
        <v>0.98352719934365052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</row>
    <row r="193" spans="7:58" x14ac:dyDescent="0.2">
      <c r="G193">
        <v>0</v>
      </c>
      <c r="H193">
        <v>0</v>
      </c>
      <c r="I193">
        <v>0</v>
      </c>
      <c r="J193">
        <v>0</v>
      </c>
      <c r="K193">
        <v>-1.2507910764773658E-2</v>
      </c>
      <c r="L193">
        <v>0</v>
      </c>
      <c r="M193">
        <v>0</v>
      </c>
      <c r="N193">
        <v>0</v>
      </c>
      <c r="O193">
        <v>-1.2658895779588288E-2</v>
      </c>
      <c r="P193">
        <v>0</v>
      </c>
      <c r="Q193">
        <v>0</v>
      </c>
      <c r="R193">
        <v>0</v>
      </c>
      <c r="S193">
        <v>-1.2370556657863711E-2</v>
      </c>
      <c r="T193">
        <v>0</v>
      </c>
      <c r="U193">
        <v>0</v>
      </c>
      <c r="V193">
        <v>0</v>
      </c>
      <c r="W193">
        <v>-1.2775043055057075E-2</v>
      </c>
      <c r="X193">
        <v>-1.2646258827544095E-2</v>
      </c>
      <c r="Y193">
        <v>-1.3087145623738571E-2</v>
      </c>
      <c r="Z193">
        <v>-1.298012802628791E-2</v>
      </c>
      <c r="AA193">
        <v>-1.2946695269199298E-2</v>
      </c>
      <c r="AB193">
        <v>-1.3205488682411835E-2</v>
      </c>
      <c r="AC193">
        <v>-1.3255867964747805E-2</v>
      </c>
      <c r="AD193">
        <v>-1.3384031507022399E-2</v>
      </c>
      <c r="AE193">
        <v>-1.3593521833552571E-2</v>
      </c>
      <c r="AF193">
        <v>-1.3587393909727949E-2</v>
      </c>
      <c r="AG193">
        <v>-1.3963323363643271E-2</v>
      </c>
      <c r="AH193">
        <v>-1.3970850883986367E-2</v>
      </c>
      <c r="AI193">
        <v>-1.4446988123766354E-2</v>
      </c>
      <c r="AJ193">
        <v>-1.4077716016828744E-2</v>
      </c>
      <c r="AK193">
        <v>-1.4732364981660992E-2</v>
      </c>
      <c r="AL193">
        <v>-1.4769647312105054E-2</v>
      </c>
      <c r="AM193">
        <v>-1.4810596016103213E-2</v>
      </c>
      <c r="AN193">
        <v>-1.518699206385939E-2</v>
      </c>
      <c r="AO193">
        <v>-1.532705667708081E-2</v>
      </c>
      <c r="AP193">
        <v>-1.5558319706611827E-2</v>
      </c>
      <c r="AQ193">
        <v>-1.597293609697583E-2</v>
      </c>
      <c r="AR193">
        <v>-1.5964944510738242E-2</v>
      </c>
      <c r="AS193">
        <v>-1.6491159743635332E-2</v>
      </c>
      <c r="AT193">
        <v>-1.6493294695658346E-2</v>
      </c>
      <c r="AU193">
        <v>0.98276721723350435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</row>
    <row r="194" spans="7:58" x14ac:dyDescent="0.2">
      <c r="G194">
        <v>0</v>
      </c>
      <c r="H194">
        <v>0</v>
      </c>
      <c r="I194">
        <v>0</v>
      </c>
      <c r="J194">
        <v>0</v>
      </c>
      <c r="K194">
        <v>-1.2523496499989071E-2</v>
      </c>
      <c r="L194">
        <v>0</v>
      </c>
      <c r="M194">
        <v>0</v>
      </c>
      <c r="N194">
        <v>0</v>
      </c>
      <c r="O194">
        <v>-1.2674669652735499E-2</v>
      </c>
      <c r="P194">
        <v>0</v>
      </c>
      <c r="Q194">
        <v>0</v>
      </c>
      <c r="R194">
        <v>0</v>
      </c>
      <c r="S194">
        <v>-1.2385971240215843E-2</v>
      </c>
      <c r="T194">
        <v>0</v>
      </c>
      <c r="U194">
        <v>0</v>
      </c>
      <c r="V194">
        <v>0</v>
      </c>
      <c r="W194">
        <v>-1.2790961655866287E-2</v>
      </c>
      <c r="X194">
        <v>-1.2662016954161597E-2</v>
      </c>
      <c r="Y194">
        <v>-1.3103453126266615E-2</v>
      </c>
      <c r="Z194">
        <v>-1.2996302177373921E-2</v>
      </c>
      <c r="AA194">
        <v>-1.2962827760722074E-2</v>
      </c>
      <c r="AB194">
        <v>-1.3221943648701958E-2</v>
      </c>
      <c r="AC194">
        <v>-1.3272385707161738E-2</v>
      </c>
      <c r="AD194">
        <v>-1.3400708950210633E-2</v>
      </c>
      <c r="AE194">
        <v>-1.3610460316399706E-2</v>
      </c>
      <c r="AF194">
        <v>-1.3604324756751652E-2</v>
      </c>
      <c r="AG194">
        <v>-1.3980722645167233E-2</v>
      </c>
      <c r="AH194">
        <v>-1.3988259545329318E-2</v>
      </c>
      <c r="AI194">
        <v>-1.4464990085548126E-2</v>
      </c>
      <c r="AJ194">
        <v>-1.4095257839632121E-2</v>
      </c>
      <c r="AK194">
        <v>-1.4750722543049068E-2</v>
      </c>
      <c r="AL194">
        <v>-1.4788051329895118E-2</v>
      </c>
      <c r="AM194">
        <v>-1.48290510588542E-2</v>
      </c>
      <c r="AN194">
        <v>-1.520591612251933E-2</v>
      </c>
      <c r="AO194">
        <v>-1.534615526608525E-2</v>
      </c>
      <c r="AP194">
        <v>-1.5577706465592138E-2</v>
      </c>
      <c r="AQ194">
        <v>-1.5992839497096119E-2</v>
      </c>
      <c r="AR194">
        <v>-1.5984837952780849E-2</v>
      </c>
      <c r="AS194">
        <v>-1.6511708886813043E-2</v>
      </c>
      <c r="AT194">
        <v>-1.651384649913621E-2</v>
      </c>
      <c r="AU194">
        <v>-1.7254256024042316E-2</v>
      </c>
      <c r="AV194">
        <v>0.98310393141780772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</row>
    <row r="195" spans="7:58" x14ac:dyDescent="0.2">
      <c r="G195">
        <v>0</v>
      </c>
      <c r="H195">
        <v>0</v>
      </c>
      <c r="I195">
        <v>0</v>
      </c>
      <c r="J195">
        <v>0</v>
      </c>
      <c r="K195">
        <v>-1.2523929213706497E-2</v>
      </c>
      <c r="L195">
        <v>0</v>
      </c>
      <c r="M195">
        <v>0</v>
      </c>
      <c r="N195">
        <v>0</v>
      </c>
      <c r="O195">
        <v>-1.2675107589810228E-2</v>
      </c>
      <c r="P195">
        <v>0</v>
      </c>
      <c r="Q195">
        <v>0</v>
      </c>
      <c r="R195">
        <v>0</v>
      </c>
      <c r="S195">
        <v>-1.2386399202139997E-2</v>
      </c>
      <c r="T195">
        <v>0</v>
      </c>
      <c r="U195">
        <v>0</v>
      </c>
      <c r="V195">
        <v>0</v>
      </c>
      <c r="W195">
        <v>-1.2791403611079643E-2</v>
      </c>
      <c r="X195">
        <v>-1.2662454454058386E-2</v>
      </c>
      <c r="Y195">
        <v>-1.3103905878731826E-2</v>
      </c>
      <c r="Z195">
        <v>-1.2996751227543579E-2</v>
      </c>
      <c r="AA195">
        <v>-1.296327565427869E-2</v>
      </c>
      <c r="AB195">
        <v>-1.3222400495269354E-2</v>
      </c>
      <c r="AC195">
        <v>-1.3272844296610652E-2</v>
      </c>
      <c r="AD195">
        <v>-1.3401171973503372E-2</v>
      </c>
      <c r="AE195">
        <v>-1.3610930587052913E-2</v>
      </c>
      <c r="AF195">
        <v>-1.3604794815408078E-2</v>
      </c>
      <c r="AG195">
        <v>-1.3981205709179597E-2</v>
      </c>
      <c r="AH195">
        <v>-1.3988742869757775E-2</v>
      </c>
      <c r="AI195">
        <v>-1.4465489882041258E-2</v>
      </c>
      <c r="AJ195">
        <v>-1.4095744861081583E-2</v>
      </c>
      <c r="AK195">
        <v>-1.4751232212212655E-2</v>
      </c>
      <c r="AL195">
        <v>-1.4788562288848509E-2</v>
      </c>
      <c r="AM195">
        <v>-1.4829563434436338E-2</v>
      </c>
      <c r="AN195">
        <v>-1.5206441519599307E-2</v>
      </c>
      <c r="AO195">
        <v>-1.5346685508729014E-2</v>
      </c>
      <c r="AP195">
        <v>-1.557824470882746E-2</v>
      </c>
      <c r="AQ195">
        <v>-1.5993392084069812E-2</v>
      </c>
      <c r="AR195">
        <v>-1.5985390263283987E-2</v>
      </c>
      <c r="AS195">
        <v>-1.6512279401839219E-2</v>
      </c>
      <c r="AT195">
        <v>-1.6514417088021479E-2</v>
      </c>
      <c r="AU195">
        <v>-1.7254852195667834E-2</v>
      </c>
      <c r="AV195">
        <v>-1.6896652377671833E-2</v>
      </c>
      <c r="AW195">
        <v>0.98223685201969435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</row>
    <row r="196" spans="7:58" x14ac:dyDescent="0.2">
      <c r="G196">
        <v>0</v>
      </c>
      <c r="H196">
        <v>0</v>
      </c>
      <c r="I196">
        <v>0</v>
      </c>
      <c r="J196">
        <v>0</v>
      </c>
      <c r="K196">
        <v>-1.238106023821778E-2</v>
      </c>
      <c r="L196">
        <v>0</v>
      </c>
      <c r="M196">
        <v>0</v>
      </c>
      <c r="N196">
        <v>0</v>
      </c>
      <c r="O196">
        <v>-1.2530514019799974E-2</v>
      </c>
      <c r="P196">
        <v>0</v>
      </c>
      <c r="Q196">
        <v>0</v>
      </c>
      <c r="R196">
        <v>0</v>
      </c>
      <c r="S196">
        <v>-1.2245099124999083E-2</v>
      </c>
      <c r="T196">
        <v>0</v>
      </c>
      <c r="U196">
        <v>0</v>
      </c>
      <c r="V196">
        <v>0</v>
      </c>
      <c r="W196">
        <v>-1.2645483373285762E-2</v>
      </c>
      <c r="X196">
        <v>-1.2518005226970464E-2</v>
      </c>
      <c r="Y196">
        <v>-1.295442071510234E-2</v>
      </c>
      <c r="Z196">
        <v>-1.2848488449874029E-2</v>
      </c>
      <c r="AA196">
        <v>-1.2815394755233231E-2</v>
      </c>
      <c r="AB196">
        <v>-1.3071563582985203E-2</v>
      </c>
      <c r="AC196">
        <v>-1.3121431937588152E-2</v>
      </c>
      <c r="AD196">
        <v>-1.3248295693421315E-2</v>
      </c>
      <c r="AE196">
        <v>-1.3455661447852391E-2</v>
      </c>
      <c r="AF196">
        <v>-1.3449595671126396E-2</v>
      </c>
      <c r="AG196">
        <v>-1.3821712589913042E-2</v>
      </c>
      <c r="AH196">
        <v>-1.3829163768976041E-2</v>
      </c>
      <c r="AI196">
        <v>-1.4300472203952821E-2</v>
      </c>
      <c r="AJ196">
        <v>-1.3934945115834771E-2</v>
      </c>
      <c r="AK196">
        <v>-1.4582954877089389E-2</v>
      </c>
      <c r="AL196">
        <v>-1.4619859104160544E-2</v>
      </c>
      <c r="AM196">
        <v>-1.4660392521804202E-2</v>
      </c>
      <c r="AN196">
        <v>-1.5032971302412461E-2</v>
      </c>
      <c r="AO196">
        <v>-1.5171615433007088E-2</v>
      </c>
      <c r="AP196">
        <v>-1.5400533079874231E-2</v>
      </c>
      <c r="AQ196">
        <v>-1.5810944586750857E-2</v>
      </c>
      <c r="AR196">
        <v>-1.5803034048175128E-2</v>
      </c>
      <c r="AS196">
        <v>-1.6323912604097941E-2</v>
      </c>
      <c r="AT196">
        <v>-1.6326025904240527E-2</v>
      </c>
      <c r="AU196">
        <v>-1.7058014365196352E-2</v>
      </c>
      <c r="AV196">
        <v>-1.6703900776062246E-2</v>
      </c>
      <c r="AW196">
        <v>-1.7560511674231498E-2</v>
      </c>
      <c r="AX196">
        <v>0.98231519386687394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</row>
    <row r="197" spans="7:58" x14ac:dyDescent="0.2">
      <c r="G197">
        <v>0</v>
      </c>
      <c r="H197">
        <v>0</v>
      </c>
      <c r="I197">
        <v>0</v>
      </c>
      <c r="J197">
        <v>0</v>
      </c>
      <c r="K197">
        <v>-1.2239143531934242E-2</v>
      </c>
      <c r="L197">
        <v>0</v>
      </c>
      <c r="M197">
        <v>0</v>
      </c>
      <c r="N197">
        <v>0</v>
      </c>
      <c r="O197">
        <v>-1.2386884213990571E-2</v>
      </c>
      <c r="P197">
        <v>0</v>
      </c>
      <c r="Q197">
        <v>0</v>
      </c>
      <c r="R197">
        <v>0</v>
      </c>
      <c r="S197">
        <v>-1.2104740859834436E-2</v>
      </c>
      <c r="T197">
        <v>0</v>
      </c>
      <c r="U197">
        <v>0</v>
      </c>
      <c r="V197">
        <v>0</v>
      </c>
      <c r="W197">
        <v>-1.2500535742374448E-2</v>
      </c>
      <c r="X197">
        <v>-1.2374518801989826E-2</v>
      </c>
      <c r="Y197">
        <v>-1.2805931919770931E-2</v>
      </c>
      <c r="Z197">
        <v>-1.2701213892893869E-2</v>
      </c>
      <c r="AA197">
        <v>-1.2668499531529201E-2</v>
      </c>
      <c r="AB197">
        <v>-1.2921732048853184E-2</v>
      </c>
      <c r="AC197">
        <v>-1.2971028792261552E-2</v>
      </c>
      <c r="AD197">
        <v>-1.3096438384555539E-2</v>
      </c>
      <c r="AE197">
        <v>-1.3301427229069495E-2</v>
      </c>
      <c r="AF197">
        <v>-1.3295430980722929E-2</v>
      </c>
      <c r="AG197">
        <v>-1.3663282545295108E-2</v>
      </c>
      <c r="AH197">
        <v>-1.36706483159383E-2</v>
      </c>
      <c r="AI197">
        <v>-1.4136554423533692E-2</v>
      </c>
      <c r="AJ197">
        <v>-1.3775217154333008E-2</v>
      </c>
      <c r="AK197">
        <v>-1.4415799166332911E-2</v>
      </c>
      <c r="AL197">
        <v>-1.4452280382268274E-2</v>
      </c>
      <c r="AM197">
        <v>-1.4492349189529959E-2</v>
      </c>
      <c r="AN197">
        <v>-1.4860657321877278E-2</v>
      </c>
      <c r="AO197">
        <v>-1.4997712257525666E-2</v>
      </c>
      <c r="AP197">
        <v>-1.5224005957991735E-2</v>
      </c>
      <c r="AQ197">
        <v>-1.5629713162639301E-2</v>
      </c>
      <c r="AR197">
        <v>-1.5621893297847403E-2</v>
      </c>
      <c r="AS197">
        <v>-1.6136801333668706E-2</v>
      </c>
      <c r="AT197">
        <v>-1.6138890410312665E-2</v>
      </c>
      <c r="AU197">
        <v>-1.6862488524285475E-2</v>
      </c>
      <c r="AV197">
        <v>-1.6512433927939794E-2</v>
      </c>
      <c r="AW197">
        <v>-1.7359226006484905E-2</v>
      </c>
      <c r="AX197">
        <v>-1.7482095752158137E-2</v>
      </c>
      <c r="AY197">
        <v>0.9823004212061146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</row>
    <row r="198" spans="7:58" x14ac:dyDescent="0.2">
      <c r="G198">
        <v>0</v>
      </c>
      <c r="H198">
        <v>0</v>
      </c>
      <c r="I198">
        <v>0</v>
      </c>
      <c r="J198">
        <v>0</v>
      </c>
      <c r="K198">
        <v>-1.2097020939521901E-2</v>
      </c>
      <c r="L198">
        <v>0</v>
      </c>
      <c r="M198">
        <v>0</v>
      </c>
      <c r="N198">
        <v>0</v>
      </c>
      <c r="O198">
        <v>-1.2243046036767589E-2</v>
      </c>
      <c r="P198">
        <v>0</v>
      </c>
      <c r="Q198">
        <v>0</v>
      </c>
      <c r="R198">
        <v>0</v>
      </c>
      <c r="S198">
        <v>-1.1964178969454569E-2</v>
      </c>
      <c r="T198">
        <v>0</v>
      </c>
      <c r="U198">
        <v>0</v>
      </c>
      <c r="V198">
        <v>0</v>
      </c>
      <c r="W198">
        <v>-1.2355377828210454E-2</v>
      </c>
      <c r="X198">
        <v>-1.2230824213605817E-2</v>
      </c>
      <c r="Y198">
        <v>-1.2657227703830893E-2</v>
      </c>
      <c r="Z198">
        <v>-1.2553725676865366E-2</v>
      </c>
      <c r="AA198">
        <v>-1.2521391199095839E-2</v>
      </c>
      <c r="AB198">
        <v>-1.2771683146129814E-2</v>
      </c>
      <c r="AC198">
        <v>-1.2820407449076766E-2</v>
      </c>
      <c r="AD198">
        <v>-1.2944360768199055E-2</v>
      </c>
      <c r="AE198">
        <v>-1.3146969254485982E-2</v>
      </c>
      <c r="AF198">
        <v>-1.3141042635387368E-2</v>
      </c>
      <c r="AG198">
        <v>-1.3504622657768434E-2</v>
      </c>
      <c r="AH198">
        <v>-1.3511902896085252E-2</v>
      </c>
      <c r="AI198">
        <v>-1.3972398838855029E-2</v>
      </c>
      <c r="AJ198">
        <v>-1.3615257466965295E-2</v>
      </c>
      <c r="AK198">
        <v>-1.4248400953878823E-2</v>
      </c>
      <c r="AL198">
        <v>-1.4284458544993574E-2</v>
      </c>
      <c r="AM198">
        <v>-1.4324062067838265E-2</v>
      </c>
      <c r="AN198">
        <v>-1.4688093356267595E-2</v>
      </c>
      <c r="AO198">
        <v>-1.482355679143996E-2</v>
      </c>
      <c r="AP198">
        <v>-1.5047222738806078E-2</v>
      </c>
      <c r="AQ198">
        <v>-1.5448218816442639E-2</v>
      </c>
      <c r="AR198">
        <v>-1.5440489756979849E-2</v>
      </c>
      <c r="AS198">
        <v>-1.5949418610947955E-2</v>
      </c>
      <c r="AT198">
        <v>-1.5951483428950974E-2</v>
      </c>
      <c r="AU198">
        <v>-1.666667902361724E-2</v>
      </c>
      <c r="AV198">
        <v>-1.6320689308657162E-2</v>
      </c>
      <c r="AW198">
        <v>-1.7157648322893227E-2</v>
      </c>
      <c r="AX198">
        <v>-1.7279091288437725E-2</v>
      </c>
      <c r="AY198">
        <v>-1.7494048887627636E-2</v>
      </c>
      <c r="AZ198">
        <v>0.98219073461645501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</row>
    <row r="199" spans="7:58" x14ac:dyDescent="0.2">
      <c r="G199">
        <v>0</v>
      </c>
      <c r="H199">
        <v>0</v>
      </c>
      <c r="I199">
        <v>0</v>
      </c>
      <c r="J199">
        <v>0</v>
      </c>
      <c r="K199">
        <v>-1.195356685827818E-2</v>
      </c>
      <c r="L199">
        <v>0</v>
      </c>
      <c r="M199">
        <v>0</v>
      </c>
      <c r="N199">
        <v>0</v>
      </c>
      <c r="O199">
        <v>-1.20978602980961E-2</v>
      </c>
      <c r="P199">
        <v>0</v>
      </c>
      <c r="Q199">
        <v>0</v>
      </c>
      <c r="R199">
        <v>0</v>
      </c>
      <c r="S199">
        <v>-1.1822300211826627E-2</v>
      </c>
      <c r="T199">
        <v>0</v>
      </c>
      <c r="U199">
        <v>0</v>
      </c>
      <c r="V199">
        <v>0</v>
      </c>
      <c r="W199">
        <v>-1.2208859988518677E-2</v>
      </c>
      <c r="X199">
        <v>-1.2085783408998798E-2</v>
      </c>
      <c r="Y199">
        <v>-1.2507130338502433E-2</v>
      </c>
      <c r="Z199">
        <v>-1.2404855703657609E-2</v>
      </c>
      <c r="AA199">
        <v>-1.2372904668458294E-2</v>
      </c>
      <c r="AB199">
        <v>-1.262022849619379E-2</v>
      </c>
      <c r="AC199">
        <v>-1.266837499571721E-2</v>
      </c>
      <c r="AD199">
        <v>-1.2790858398436055E-2</v>
      </c>
      <c r="AE199">
        <v>-1.2991064225886754E-2</v>
      </c>
      <c r="AF199">
        <v>-1.2985207888364226E-2</v>
      </c>
      <c r="AG199">
        <v>-1.3344476350210677E-2</v>
      </c>
      <c r="AH199">
        <v>-1.3351670254883522E-2</v>
      </c>
      <c r="AI199">
        <v>-1.380670534719129E-2</v>
      </c>
      <c r="AJ199">
        <v>-1.3453799182269842E-2</v>
      </c>
      <c r="AK199">
        <v>-1.4079434455577336E-2</v>
      </c>
      <c r="AL199">
        <v>-1.4115064453102635E-2</v>
      </c>
      <c r="AM199">
        <v>-1.4154198332469635E-2</v>
      </c>
      <c r="AN199">
        <v>-1.4513912708967788E-2</v>
      </c>
      <c r="AO199">
        <v>-1.46477697335427E-2</v>
      </c>
      <c r="AP199">
        <v>-1.486878330945759E-2</v>
      </c>
      <c r="AQ199">
        <v>-1.5265024123448059E-2</v>
      </c>
      <c r="AR199">
        <v>-1.525738672003263E-2</v>
      </c>
      <c r="AS199">
        <v>-1.5760280375621775E-2</v>
      </c>
      <c r="AT199">
        <v>-1.5762320707714498E-2</v>
      </c>
      <c r="AU199">
        <v>-1.646903506328436E-2</v>
      </c>
      <c r="AV199">
        <v>-1.6127148311932217E-2</v>
      </c>
      <c r="AW199">
        <v>-1.6954182139874395E-2</v>
      </c>
      <c r="AX199">
        <v>-1.7074184958366757E-2</v>
      </c>
      <c r="AY199">
        <v>-1.7286593455174155E-2</v>
      </c>
      <c r="AZ199">
        <v>-1.7598071915665883E-2</v>
      </c>
      <c r="BA199">
        <v>0.98198439061287912</v>
      </c>
      <c r="BB199">
        <v>0</v>
      </c>
      <c r="BC199">
        <v>0</v>
      </c>
      <c r="BD199">
        <v>0</v>
      </c>
      <c r="BE199">
        <v>0</v>
      </c>
      <c r="BF199">
        <v>0</v>
      </c>
    </row>
    <row r="200" spans="7:58" x14ac:dyDescent="0.2">
      <c r="G200">
        <v>0</v>
      </c>
      <c r="H200">
        <v>0</v>
      </c>
      <c r="I200">
        <v>0</v>
      </c>
      <c r="J200">
        <v>0</v>
      </c>
      <c r="K200">
        <v>-1.1812369645379241E-2</v>
      </c>
      <c r="L200">
        <v>0</v>
      </c>
      <c r="M200">
        <v>0</v>
      </c>
      <c r="N200">
        <v>0</v>
      </c>
      <c r="O200">
        <v>-1.1954958670792363E-2</v>
      </c>
      <c r="P200">
        <v>0</v>
      </c>
      <c r="Q200">
        <v>0</v>
      </c>
      <c r="R200">
        <v>0</v>
      </c>
      <c r="S200">
        <v>-1.1682653539017122E-2</v>
      </c>
      <c r="T200">
        <v>0</v>
      </c>
      <c r="U200">
        <v>0</v>
      </c>
      <c r="V200">
        <v>0</v>
      </c>
      <c r="W200">
        <v>-1.2064647217260503E-2</v>
      </c>
      <c r="X200">
        <v>-1.19430244356076E-2</v>
      </c>
      <c r="Y200">
        <v>-1.2359394355921019E-2</v>
      </c>
      <c r="Z200">
        <v>-1.225832780344705E-2</v>
      </c>
      <c r="AA200">
        <v>-1.2226754178369152E-2</v>
      </c>
      <c r="AB200">
        <v>-1.2471156582267431E-2</v>
      </c>
      <c r="AC200">
        <v>-1.2518734368567069E-2</v>
      </c>
      <c r="AD200">
        <v>-1.2639770980106735E-2</v>
      </c>
      <c r="AE200">
        <v>-1.2837611948166313E-2</v>
      </c>
      <c r="AF200">
        <v>-1.2831824786526254E-2</v>
      </c>
      <c r="AG200">
        <v>-1.318684951877327E-2</v>
      </c>
      <c r="AH200">
        <v>-1.3193958448032362E-2</v>
      </c>
      <c r="AI200">
        <v>-1.3643618601832915E-2</v>
      </c>
      <c r="AJ200">
        <v>-1.3294881014164811E-2</v>
      </c>
      <c r="AK200">
        <v>-1.3913126195633641E-2</v>
      </c>
      <c r="AL200">
        <v>-1.3948335326617101E-2</v>
      </c>
      <c r="AM200">
        <v>-1.3987006951097173E-2</v>
      </c>
      <c r="AN200">
        <v>-1.4342472330789318E-2</v>
      </c>
      <c r="AO200">
        <v>-1.4474748217364089E-2</v>
      </c>
      <c r="AP200">
        <v>-1.469315114983657E-2</v>
      </c>
      <c r="AQ200">
        <v>-1.5084711511604225E-2</v>
      </c>
      <c r="AR200">
        <v>-1.5077164322272088E-2</v>
      </c>
      <c r="AS200">
        <v>-1.5574117727273627E-2</v>
      </c>
      <c r="AT200">
        <v>-1.557613395867672E-2</v>
      </c>
      <c r="AU200">
        <v>-1.6274500504885145E-2</v>
      </c>
      <c r="AV200">
        <v>-1.5936652167923469E-2</v>
      </c>
      <c r="AW200">
        <v>-1.675391695597462E-2</v>
      </c>
      <c r="AX200">
        <v>-1.6872502284297562E-2</v>
      </c>
      <c r="AY200">
        <v>-1.7082401782067203E-2</v>
      </c>
      <c r="AZ200">
        <v>-1.7390201015176764E-2</v>
      </c>
      <c r="BA200">
        <v>-1.7802806475295738E-2</v>
      </c>
      <c r="BB200">
        <v>0.98206871672031459</v>
      </c>
      <c r="BC200">
        <v>0</v>
      </c>
      <c r="BD200">
        <v>0</v>
      </c>
      <c r="BE200">
        <v>0</v>
      </c>
      <c r="BF200">
        <v>0</v>
      </c>
    </row>
    <row r="201" spans="7:58" x14ac:dyDescent="0.2">
      <c r="G201">
        <v>0</v>
      </c>
      <c r="H201">
        <v>0</v>
      </c>
      <c r="I201">
        <v>0</v>
      </c>
      <c r="J201">
        <v>0</v>
      </c>
      <c r="K201">
        <v>-1.1667608037435053E-2</v>
      </c>
      <c r="L201">
        <v>0</v>
      </c>
      <c r="M201">
        <v>0</v>
      </c>
      <c r="N201">
        <v>0</v>
      </c>
      <c r="O201">
        <v>-1.1808449622054027E-2</v>
      </c>
      <c r="P201">
        <v>0</v>
      </c>
      <c r="Q201">
        <v>0</v>
      </c>
      <c r="R201">
        <v>0</v>
      </c>
      <c r="S201">
        <v>-1.1539481613134792E-2</v>
      </c>
      <c r="T201">
        <v>0</v>
      </c>
      <c r="U201">
        <v>0</v>
      </c>
      <c r="V201">
        <v>0</v>
      </c>
      <c r="W201">
        <v>-1.1916793925932688E-2</v>
      </c>
      <c r="X201">
        <v>-1.1796661641949891E-2</v>
      </c>
      <c r="Y201">
        <v>-1.2207928913008866E-2</v>
      </c>
      <c r="Z201">
        <v>-1.2108100939844968E-2</v>
      </c>
      <c r="AA201">
        <v>-1.2076914252263267E-2</v>
      </c>
      <c r="AB201">
        <v>-1.2318321483640204E-2</v>
      </c>
      <c r="AC201">
        <v>-1.2365316200068694E-2</v>
      </c>
      <c r="AD201">
        <v>-1.2484869497503518E-2</v>
      </c>
      <c r="AE201">
        <v>-1.2680285907450434E-2</v>
      </c>
      <c r="AF201">
        <v>-1.2674569667974983E-2</v>
      </c>
      <c r="AG201">
        <v>-1.3025243541533789E-2</v>
      </c>
      <c r="AH201">
        <v>-1.303226535025219E-2</v>
      </c>
      <c r="AI201">
        <v>-1.3476414880118106E-2</v>
      </c>
      <c r="AJ201">
        <v>-1.3131951101639601E-2</v>
      </c>
      <c r="AK201">
        <v>-1.3742619635131783E-2</v>
      </c>
      <c r="AL201">
        <v>-1.3777397275180864E-2</v>
      </c>
      <c r="AM201">
        <v>-1.381559497557038E-2</v>
      </c>
      <c r="AN201">
        <v>-1.4166704096401889E-2</v>
      </c>
      <c r="AO201">
        <v>-1.4297358930587707E-2</v>
      </c>
      <c r="AP201">
        <v>-1.4513085316301685E-2</v>
      </c>
      <c r="AQ201">
        <v>-1.4899847072092881E-2</v>
      </c>
      <c r="AR201">
        <v>-1.4892392374216383E-2</v>
      </c>
      <c r="AS201">
        <v>-1.5383255572414288E-2</v>
      </c>
      <c r="AT201">
        <v>-1.5385247094727786E-2</v>
      </c>
      <c r="AU201">
        <v>-1.6075055098730136E-2</v>
      </c>
      <c r="AV201">
        <v>-1.574134712225228E-2</v>
      </c>
      <c r="AW201">
        <v>-1.6548596259897443E-2</v>
      </c>
      <c r="AX201">
        <v>-1.6665728314802605E-2</v>
      </c>
      <c r="AY201">
        <v>-1.6873055476138824E-2</v>
      </c>
      <c r="AZ201">
        <v>-1.7177082603121795E-2</v>
      </c>
      <c r="BA201">
        <v>-1.7584631547770416E-2</v>
      </c>
      <c r="BB201">
        <v>-1.7711533857850754E-2</v>
      </c>
      <c r="BC201">
        <v>0.98166615544720692</v>
      </c>
      <c r="BD201">
        <v>0</v>
      </c>
      <c r="BE201">
        <v>0</v>
      </c>
      <c r="BF201">
        <v>0</v>
      </c>
    </row>
    <row r="202" spans="7:58" x14ac:dyDescent="0.2">
      <c r="G202">
        <v>0</v>
      </c>
      <c r="H202">
        <v>0</v>
      </c>
      <c r="I202">
        <v>0</v>
      </c>
      <c r="J202">
        <v>0</v>
      </c>
      <c r="K202">
        <v>-1.1526350174350395E-2</v>
      </c>
      <c r="L202">
        <v>0</v>
      </c>
      <c r="M202">
        <v>0</v>
      </c>
      <c r="N202">
        <v>0</v>
      </c>
      <c r="O202">
        <v>-1.1665486612446367E-2</v>
      </c>
      <c r="P202">
        <v>0</v>
      </c>
      <c r="Q202">
        <v>0</v>
      </c>
      <c r="R202">
        <v>0</v>
      </c>
      <c r="S202">
        <v>-1.1399774956162227E-2</v>
      </c>
      <c r="T202">
        <v>0</v>
      </c>
      <c r="U202">
        <v>0</v>
      </c>
      <c r="V202">
        <v>0</v>
      </c>
      <c r="W202">
        <v>-1.1772519209178708E-2</v>
      </c>
      <c r="X202">
        <v>-1.1653841347530655E-2</v>
      </c>
      <c r="Y202">
        <v>-1.206012947156309E-2</v>
      </c>
      <c r="Z202">
        <v>-1.1961510099692612E-2</v>
      </c>
      <c r="AA202">
        <v>-1.1930700984345982E-2</v>
      </c>
      <c r="AB202">
        <v>-1.2169185537010359E-2</v>
      </c>
      <c r="AC202">
        <v>-1.2215611295928647E-2</v>
      </c>
      <c r="AD202">
        <v>-1.2333717180726178E-2</v>
      </c>
      <c r="AE202">
        <v>-1.252676771547466E-2</v>
      </c>
      <c r="AF202">
        <v>-1.2521120681595646E-2</v>
      </c>
      <c r="AG202">
        <v>-1.2867549002693339E-2</v>
      </c>
      <c r="AH202">
        <v>-1.287448579949744E-2</v>
      </c>
      <c r="AI202">
        <v>-1.331325808209231E-2</v>
      </c>
      <c r="AJ202">
        <v>-1.2972964671447713E-2</v>
      </c>
      <c r="AK202">
        <v>-1.3576239938743651E-2</v>
      </c>
      <c r="AL202">
        <v>-1.3610596531470905E-2</v>
      </c>
      <c r="AM202">
        <v>-1.364833177841541E-2</v>
      </c>
      <c r="AN202">
        <v>-1.399519007731675E-2</v>
      </c>
      <c r="AO202">
        <v>-1.4124263094336661E-2</v>
      </c>
      <c r="AP202">
        <v>-1.4337377715226246E-2</v>
      </c>
      <c r="AQ202">
        <v>-1.4719457008342093E-2</v>
      </c>
      <c r="AR202">
        <v>-1.4712092563299643E-2</v>
      </c>
      <c r="AS202">
        <v>-1.5197012959320627E-2</v>
      </c>
      <c r="AT202">
        <v>-1.5198980370592223E-2</v>
      </c>
      <c r="AU202">
        <v>-1.5880436979495309E-2</v>
      </c>
      <c r="AV202">
        <v>-1.5550769152078023E-2</v>
      </c>
      <c r="AW202">
        <v>-1.6348245053615592E-2</v>
      </c>
      <c r="AX202">
        <v>-1.6463959009479241E-2</v>
      </c>
      <c r="AY202">
        <v>-1.6668776094056297E-2</v>
      </c>
      <c r="AZ202">
        <v>-1.6969122413273051E-2</v>
      </c>
      <c r="BA202">
        <v>-1.7371737228077853E-2</v>
      </c>
      <c r="BB202">
        <v>-1.7497103152201019E-2</v>
      </c>
      <c r="BC202">
        <v>-1.8111879631161856E-2</v>
      </c>
      <c r="BD202">
        <v>0.98185067586673136</v>
      </c>
      <c r="BE202">
        <v>0</v>
      </c>
      <c r="BF202">
        <v>0</v>
      </c>
    </row>
    <row r="203" spans="7:58" x14ac:dyDescent="0.2">
      <c r="G203">
        <v>0</v>
      </c>
      <c r="H203">
        <v>0</v>
      </c>
      <c r="I203">
        <v>0</v>
      </c>
      <c r="J203">
        <v>0</v>
      </c>
      <c r="K203">
        <v>-1.1381668256929536E-2</v>
      </c>
      <c r="L203">
        <v>0</v>
      </c>
      <c r="M203">
        <v>0</v>
      </c>
      <c r="N203">
        <v>0</v>
      </c>
      <c r="O203">
        <v>-1.1519058216188547E-2</v>
      </c>
      <c r="P203">
        <v>0</v>
      </c>
      <c r="Q203">
        <v>0</v>
      </c>
      <c r="R203">
        <v>0</v>
      </c>
      <c r="S203">
        <v>-1.1256681845691398E-2</v>
      </c>
      <c r="T203">
        <v>0</v>
      </c>
      <c r="U203">
        <v>0</v>
      </c>
      <c r="V203">
        <v>0</v>
      </c>
      <c r="W203">
        <v>-1.1624747310330081E-2</v>
      </c>
      <c r="X203">
        <v>-1.1507559125840804E-2</v>
      </c>
      <c r="Y203">
        <v>-1.1908747409601062E-2</v>
      </c>
      <c r="Z203">
        <v>-1.1811365935209078E-2</v>
      </c>
      <c r="AA203">
        <v>-1.1780943544351545E-2</v>
      </c>
      <c r="AB203">
        <v>-1.2016434573321697E-2</v>
      </c>
      <c r="AC203">
        <v>-1.2062277583345814E-2</v>
      </c>
      <c r="AD203">
        <v>-1.2178900970595324E-2</v>
      </c>
      <c r="AE203">
        <v>-1.2369528281937945E-2</v>
      </c>
      <c r="AF203">
        <v>-1.2363952131181265E-2</v>
      </c>
      <c r="AG203">
        <v>-1.2706031988716148E-2</v>
      </c>
      <c r="AH203">
        <v>-1.2712881712938977E-2</v>
      </c>
      <c r="AI203">
        <v>-1.3146146405169437E-2</v>
      </c>
      <c r="AJ203">
        <v>-1.2810124451004398E-2</v>
      </c>
      <c r="AK203">
        <v>-1.3405827241229556E-2</v>
      </c>
      <c r="AL203">
        <v>-1.3439752580555978E-2</v>
      </c>
      <c r="AM203">
        <v>-1.3477014164302709E-2</v>
      </c>
      <c r="AN203">
        <v>-1.3819518602441603E-2</v>
      </c>
      <c r="AO203">
        <v>-1.394697145945359E-2</v>
      </c>
      <c r="AP203">
        <v>-1.4157411007009962E-2</v>
      </c>
      <c r="AQ203">
        <v>-1.4534694335757322E-2</v>
      </c>
      <c r="AR203">
        <v>-1.452742233125446E-2</v>
      </c>
      <c r="AS203">
        <v>-1.5006255873099445E-2</v>
      </c>
      <c r="AT203">
        <v>-1.5008198588883671E-2</v>
      </c>
      <c r="AU203">
        <v>-1.5681101367014314E-2</v>
      </c>
      <c r="AV203">
        <v>-1.5355571620833616E-2</v>
      </c>
      <c r="AW203">
        <v>-1.6143037385529409E-2</v>
      </c>
      <c r="AX203">
        <v>-1.6257298867994846E-2</v>
      </c>
      <c r="AY203">
        <v>-1.6459545032196512E-2</v>
      </c>
      <c r="AZ203">
        <v>-1.6756121321811764E-2</v>
      </c>
      <c r="BA203">
        <v>-1.7153682404732071E-2</v>
      </c>
      <c r="BB203">
        <v>-1.72774747012969E-2</v>
      </c>
      <c r="BC203">
        <v>-1.7884534336815028E-2</v>
      </c>
      <c r="BD203">
        <v>-1.7921508825233298E-2</v>
      </c>
      <c r="BE203">
        <v>0.98144468313179134</v>
      </c>
      <c r="BF203">
        <v>0</v>
      </c>
    </row>
    <row r="204" spans="7:58" x14ac:dyDescent="0.2">
      <c r="G204">
        <v>0</v>
      </c>
      <c r="H204">
        <v>0</v>
      </c>
      <c r="I204">
        <v>0</v>
      </c>
      <c r="J204">
        <v>0</v>
      </c>
      <c r="K204">
        <v>-1.1239399840343563E-2</v>
      </c>
      <c r="L204">
        <v>0</v>
      </c>
      <c r="M204">
        <v>0</v>
      </c>
      <c r="N204">
        <v>0</v>
      </c>
      <c r="O204">
        <v>-1.1375072454524732E-2</v>
      </c>
      <c r="P204">
        <v>0</v>
      </c>
      <c r="Q204">
        <v>0</v>
      </c>
      <c r="R204">
        <v>0</v>
      </c>
      <c r="S204">
        <v>-1.1115975732488391E-2</v>
      </c>
      <c r="T204">
        <v>0</v>
      </c>
      <c r="U204">
        <v>0</v>
      </c>
      <c r="V204">
        <v>0</v>
      </c>
      <c r="W204">
        <v>-1.1479440457615774E-2</v>
      </c>
      <c r="X204">
        <v>-1.1363717100344568E-2</v>
      </c>
      <c r="Y204">
        <v>-1.1759890616445563E-2</v>
      </c>
      <c r="Z204">
        <v>-1.1663726389635719E-2</v>
      </c>
      <c r="AA204">
        <v>-1.1633684272150975E-2</v>
      </c>
      <c r="AB204">
        <v>-1.1866231713673731E-2</v>
      </c>
      <c r="AC204">
        <v>-1.1911501695886756E-2</v>
      </c>
      <c r="AD204">
        <v>-1.2026667315762766E-2</v>
      </c>
      <c r="AE204">
        <v>-1.2214911826523737E-2</v>
      </c>
      <c r="AF204">
        <v>-1.220940537645775E-2</v>
      </c>
      <c r="AG204">
        <v>-1.2547209309007056E-2</v>
      </c>
      <c r="AH204">
        <v>-1.2553973413143514E-2</v>
      </c>
      <c r="AI204">
        <v>-1.298182238947585E-2</v>
      </c>
      <c r="AJ204">
        <v>-1.2650000637801169E-2</v>
      </c>
      <c r="AK204">
        <v>-1.3238257270678563E-2</v>
      </c>
      <c r="AL204">
        <v>-1.3271758550526253E-2</v>
      </c>
      <c r="AM204">
        <v>-1.3308554372453233E-2</v>
      </c>
      <c r="AN204">
        <v>-1.3646777578439885E-2</v>
      </c>
      <c r="AO204">
        <v>-1.3772637302024755E-2</v>
      </c>
      <c r="AP204">
        <v>-1.3980446400288277E-2</v>
      </c>
      <c r="AQ204">
        <v>-1.4353013768196371E-2</v>
      </c>
      <c r="AR204">
        <v>-1.4345832662192977E-2</v>
      </c>
      <c r="AS204">
        <v>-1.4818680887275186E-2</v>
      </c>
      <c r="AT204">
        <v>-1.4820599319528015E-2</v>
      </c>
      <c r="AU204">
        <v>-1.5485090956989309E-2</v>
      </c>
      <c r="AV204">
        <v>-1.5163630262945363E-2</v>
      </c>
      <c r="AW204">
        <v>-1.5941252874165771E-2</v>
      </c>
      <c r="AX204">
        <v>-1.6054086112561868E-2</v>
      </c>
      <c r="AY204">
        <v>-1.6253804243008551E-2</v>
      </c>
      <c r="AZ204">
        <v>-1.6546673392495659E-2</v>
      </c>
      <c r="BA204">
        <v>-1.693926504699067E-2</v>
      </c>
      <c r="BB204">
        <v>-1.7061509966350308E-2</v>
      </c>
      <c r="BC204">
        <v>-1.766098148638582E-2</v>
      </c>
      <c r="BD204">
        <v>-1.7697493801614485E-2</v>
      </c>
      <c r="BE204">
        <v>-1.8323379379740379E-2</v>
      </c>
      <c r="BF204">
        <v>0.9815331291471926</v>
      </c>
    </row>
  </sheetData>
  <phoneticPr fontId="2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13</vt:i4>
      </vt:variant>
    </vt:vector>
  </HeadingPairs>
  <TitlesOfParts>
    <vt:vector size="18" baseType="lpstr">
      <vt:lpstr>HolDates</vt:lpstr>
      <vt:lpstr>CashCurve</vt:lpstr>
      <vt:lpstr>TestCases</vt:lpstr>
      <vt:lpstr>Sheet2</vt:lpstr>
      <vt:lpstr>Matrix</vt:lpstr>
      <vt:lpstr>CfMatrix</vt:lpstr>
      <vt:lpstr>CfMatrixInverse</vt:lpstr>
      <vt:lpstr>CurveDate</vt:lpstr>
      <vt:lpstr>DfDates</vt:lpstr>
      <vt:lpstr>DfTime</vt:lpstr>
      <vt:lpstr>DfVector</vt:lpstr>
      <vt:lpstr>HolDates</vt:lpstr>
      <vt:lpstr>Identity</vt:lpstr>
      <vt:lpstr>CashCurve!Print_Area</vt:lpstr>
      <vt:lpstr>tbl1MFloatSolver</vt:lpstr>
      <vt:lpstr>tblInstrument</vt:lpstr>
      <vt:lpstr>tblNormalized</vt:lpstr>
      <vt:lpstr>VarItems</vt:lpstr>
    </vt:vector>
  </TitlesOfParts>
  <Company>CIBC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CIBC</dc:creator>
  <cp:lastModifiedBy>Michael Wang</cp:lastModifiedBy>
  <cp:lastPrinted>2013-01-07T15:51:02Z</cp:lastPrinted>
  <dcterms:created xsi:type="dcterms:W3CDTF">2009-01-15T13:08:51Z</dcterms:created>
  <dcterms:modified xsi:type="dcterms:W3CDTF">2018-02-28T21:38:57Z</dcterms:modified>
</cp:coreProperties>
</file>