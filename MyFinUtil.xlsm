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dev\ExcelSamples\"/>
    </mc:Choice>
  </mc:AlternateContent>
  <xr:revisionPtr revIDLastSave="0" documentId="13_ncr:1_{D30B360E-FE7E-42B7-B75F-14852E84C177}" xr6:coauthVersionLast="41" xr6:coauthVersionMax="41" xr10:uidLastSave="{00000000-0000-0000-0000-000000000000}"/>
  <bookViews>
    <workbookView xWindow="-120" yWindow="-120" windowWidth="19440" windowHeight="15000" xr2:uid="{00000000-000D-0000-FFFF-FFFF00000000}"/>
  </bookViews>
  <sheets>
    <sheet name="Curve" sheetId="4" r:id="rId1"/>
    <sheet name="ValCol" sheetId="6" r:id="rId2"/>
    <sheet name="ValRow" sheetId="7" r:id="rId3"/>
  </sheets>
  <functionGroups builtInGroupCount="19"/>
  <definedNames>
    <definedName name="CrvGenState">Curve!$G$5</definedName>
    <definedName name="CrvInputState">Curve!$G$3</definedName>
    <definedName name="CurveDate">Curve!$J$11</definedName>
    <definedName name="CurveInput">Curve!$H$13:$J$30</definedName>
    <definedName name="HeaderRow">ValRow!$A$2:$AK$2</definedName>
    <definedName name="MtgInput">ValCol!$B$3:$C$33</definedName>
    <definedName name="_xlnm.Print_Area" localSheetId="0">Curve!$G$1:$J$30</definedName>
    <definedName name="_xlnm.Print_Area" localSheetId="1">ValCol!$B$1:$G$28</definedName>
    <definedName name="ResetState">Curve!$P$3</definedName>
    <definedName name="UseHoliday">Curve!$I$6</definedName>
    <definedName name="ValDate">ValCol!$C$3</definedName>
    <definedName name="Z_36817408_ACC6_4F80_81B5_FAD6B11C714D_.wvu.Cols" localSheetId="0" hidden="1">Curve!$N:$Q</definedName>
    <definedName name="Z_36817408_ACC6_4F80_81B5_FAD6B11C714D_.wvu.Rows" localSheetId="0" hidden="1">Curve!$11:$11</definedName>
    <definedName name="Z_47E19336_FB32_4056_9A7A_24D0E9146423_.wvu.Cols" localSheetId="0" hidden="1">Curve!$N:$Q</definedName>
    <definedName name="Z_47E19336_FB32_4056_9A7A_24D0E9146423_.wvu.Rows" localSheetId="0" hidden="1">Curve!$11:$11</definedName>
    <definedName name="Zeros">ValCol!$I$3:$K$63</definedName>
  </definedNames>
  <calcPr calcId="191029" calcOnSave="0"/>
  <customWorkbookViews>
    <customWorkbookView name="Shelley Tom - Personal View" guid="{47E19336-FB32-4056-9A7A-24D0E9146423}" mergeInterval="0" personalView="1" xWindow="38" yWindow="29" windowWidth="936" windowHeight="507" activeSheetId="1"/>
    <customWorkbookView name="Michael Wang - Personal View" guid="{36817408-ACC6-4F80-81B5-FAD6B11C714D}" mergeInterval="0" personalView="1" maximized="1" windowWidth="1015" windowHeight="54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0" i="4" l="1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A3" i="7"/>
  <c r="G14" i="4"/>
  <c r="G15" i="4"/>
  <c r="G16" i="4"/>
  <c r="G1" i="6"/>
  <c r="I6" i="4"/>
  <c r="H9" i="4" s="1"/>
  <c r="G3" i="4"/>
  <c r="G5" i="4"/>
  <c r="I2" i="6" s="1" a="1"/>
  <c r="P3" i="4"/>
  <c r="E3" i="6" a="1"/>
  <c r="AP3" i="7" a="1"/>
  <c r="D3" i="4" a="1"/>
  <c r="F4" i="6" l="1"/>
  <c r="F13" i="6"/>
  <c r="F7" i="6"/>
  <c r="E18" i="6"/>
  <c r="F12" i="6"/>
  <c r="E8" i="6"/>
  <c r="F18" i="6"/>
  <c r="D3" i="4"/>
  <c r="D5" i="4"/>
  <c r="D7" i="4"/>
  <c r="D9" i="4"/>
  <c r="D11" i="4"/>
  <c r="D13" i="4"/>
  <c r="D15" i="4"/>
  <c r="D17" i="4"/>
  <c r="E3" i="4"/>
  <c r="E5" i="4"/>
  <c r="E7" i="4"/>
  <c r="E9" i="4"/>
  <c r="E11" i="4"/>
  <c r="E13" i="4"/>
  <c r="E15" i="4"/>
  <c r="E17" i="4"/>
  <c r="E4" i="4"/>
  <c r="E6" i="4"/>
  <c r="E8" i="4"/>
  <c r="E10" i="4"/>
  <c r="E12" i="4"/>
  <c r="E14" i="4"/>
  <c r="E16" i="4"/>
  <c r="E18" i="4"/>
  <c r="D4" i="4"/>
  <c r="D6" i="4"/>
  <c r="D8" i="4"/>
  <c r="D10" i="4"/>
  <c r="D12" i="4"/>
  <c r="D14" i="4"/>
  <c r="D16" i="4"/>
  <c r="D18" i="4"/>
  <c r="AT3" i="7"/>
  <c r="I2" i="6"/>
  <c r="I5" i="6"/>
  <c r="L5" i="6" s="1"/>
  <c r="J12" i="6"/>
  <c r="J19" i="6"/>
  <c r="J26" i="6"/>
  <c r="K33" i="6"/>
  <c r="K40" i="6"/>
  <c r="K47" i="6"/>
  <c r="I55" i="6"/>
  <c r="L55" i="6" s="1"/>
  <c r="I62" i="6"/>
  <c r="L62" i="6" s="1"/>
  <c r="I7" i="6"/>
  <c r="L7" i="6" s="1"/>
  <c r="I14" i="6"/>
  <c r="L14" i="6" s="1"/>
  <c r="I21" i="6"/>
  <c r="L21" i="6" s="1"/>
  <c r="J28" i="6"/>
  <c r="J35" i="6"/>
  <c r="J42" i="6"/>
  <c r="K49" i="6"/>
  <c r="K56" i="6"/>
  <c r="K63" i="6"/>
  <c r="J3" i="6"/>
  <c r="J10" i="6"/>
  <c r="K17" i="6"/>
  <c r="K24" i="6"/>
  <c r="K31" i="6"/>
  <c r="I39" i="6"/>
  <c r="L39" i="6" s="1"/>
  <c r="I46" i="6"/>
  <c r="L46" i="6" s="1"/>
  <c r="I53" i="6"/>
  <c r="L53" i="6" s="1"/>
  <c r="J60" i="6"/>
  <c r="J67" i="6"/>
  <c r="K8" i="6"/>
  <c r="K15" i="6"/>
  <c r="I23" i="6"/>
  <c r="L23" i="6" s="1"/>
  <c r="I30" i="6"/>
  <c r="L30" i="6" s="1"/>
  <c r="I37" i="6"/>
  <c r="L37" i="6" s="1"/>
  <c r="J44" i="6"/>
  <c r="J51" i="6"/>
  <c r="J58" i="6"/>
  <c r="K65" i="6"/>
  <c r="I66" i="6"/>
  <c r="J62" i="6"/>
  <c r="I59" i="6"/>
  <c r="L59" i="6" s="1"/>
  <c r="J55" i="6"/>
  <c r="K51" i="6"/>
  <c r="J48" i="6"/>
  <c r="K44" i="6"/>
  <c r="I41" i="6"/>
  <c r="L41" i="6" s="1"/>
  <c r="K37" i="6"/>
  <c r="I34" i="6"/>
  <c r="L34" i="6" s="1"/>
  <c r="J30" i="6"/>
  <c r="I27" i="6"/>
  <c r="L27" i="6" s="1"/>
  <c r="J23" i="6"/>
  <c r="K19" i="6"/>
  <c r="J16" i="6"/>
  <c r="K12" i="6"/>
  <c r="I9" i="6"/>
  <c r="L9" i="6" s="1"/>
  <c r="K5" i="6"/>
  <c r="AV3" i="7"/>
  <c r="E16" i="6"/>
  <c r="F10" i="6"/>
  <c r="F5" i="6"/>
  <c r="AZ3" i="7"/>
  <c r="K2" i="6"/>
  <c r="I4" i="6"/>
  <c r="L4" i="6" s="1"/>
  <c r="J5" i="6"/>
  <c r="K6" i="6"/>
  <c r="I8" i="6"/>
  <c r="J9" i="6"/>
  <c r="K10" i="6"/>
  <c r="I12" i="6"/>
  <c r="L12" i="6" s="1"/>
  <c r="J13" i="6"/>
  <c r="K14" i="6"/>
  <c r="I16" i="6"/>
  <c r="L16" i="6" s="1"/>
  <c r="J17" i="6"/>
  <c r="K18" i="6"/>
  <c r="I20" i="6"/>
  <c r="L20" i="6" s="1"/>
  <c r="J21" i="6"/>
  <c r="K22" i="6"/>
  <c r="I24" i="6"/>
  <c r="L24" i="6" s="1"/>
  <c r="J25" i="6"/>
  <c r="K26" i="6"/>
  <c r="I28" i="6"/>
  <c r="L28" i="6" s="1"/>
  <c r="J29" i="6"/>
  <c r="K30" i="6"/>
  <c r="I32" i="6"/>
  <c r="L32" i="6" s="1"/>
  <c r="J33" i="6"/>
  <c r="K34" i="6"/>
  <c r="I36" i="6"/>
  <c r="L36" i="6" s="1"/>
  <c r="J37" i="6"/>
  <c r="K38" i="6"/>
  <c r="I40" i="6"/>
  <c r="L40" i="6" s="1"/>
  <c r="J41" i="6"/>
  <c r="K42" i="6"/>
  <c r="I44" i="6"/>
  <c r="L44" i="6" s="1"/>
  <c r="J45" i="6"/>
  <c r="K46" i="6"/>
  <c r="I48" i="6"/>
  <c r="L48" i="6" s="1"/>
  <c r="J49" i="6"/>
  <c r="K50" i="6"/>
  <c r="I52" i="6"/>
  <c r="L52" i="6" s="1"/>
  <c r="J53" i="6"/>
  <c r="K54" i="6"/>
  <c r="I56" i="6"/>
  <c r="L56" i="6" s="1"/>
  <c r="J57" i="6"/>
  <c r="K58" i="6"/>
  <c r="I60" i="6"/>
  <c r="L60" i="6" s="1"/>
  <c r="J61" i="6"/>
  <c r="K62" i="6"/>
  <c r="I64" i="6"/>
  <c r="J65" i="6"/>
  <c r="K66" i="6"/>
  <c r="I68" i="6"/>
  <c r="J2" i="6"/>
  <c r="J4" i="6"/>
  <c r="I6" i="6"/>
  <c r="L6" i="6" s="1"/>
  <c r="K7" i="6"/>
  <c r="K9" i="6"/>
  <c r="J11" i="6"/>
  <c r="I13" i="6"/>
  <c r="L13" i="6" s="1"/>
  <c r="I15" i="6"/>
  <c r="L15" i="6" s="1"/>
  <c r="K16" i="6"/>
  <c r="J18" i="6"/>
  <c r="J20" i="6"/>
  <c r="I22" i="6"/>
  <c r="L22" i="6" s="1"/>
  <c r="K23" i="6"/>
  <c r="K25" i="6"/>
  <c r="J27" i="6"/>
  <c r="I29" i="6"/>
  <c r="L29" i="6" s="1"/>
  <c r="I31" i="6"/>
  <c r="L31" i="6" s="1"/>
  <c r="K32" i="6"/>
  <c r="J34" i="6"/>
  <c r="J36" i="6"/>
  <c r="I38" i="6"/>
  <c r="L38" i="6" s="1"/>
  <c r="K39" i="6"/>
  <c r="K41" i="6"/>
  <c r="J43" i="6"/>
  <c r="I45" i="6"/>
  <c r="L45" i="6" s="1"/>
  <c r="I47" i="6"/>
  <c r="L47" i="6" s="1"/>
  <c r="K48" i="6"/>
  <c r="J50" i="6"/>
  <c r="J52" i="6"/>
  <c r="I54" i="6"/>
  <c r="L54" i="6" s="1"/>
  <c r="K55" i="6"/>
  <c r="K57" i="6"/>
  <c r="J59" i="6"/>
  <c r="I61" i="6"/>
  <c r="L61" i="6" s="1"/>
  <c r="I63" i="6"/>
  <c r="L63" i="6" s="1"/>
  <c r="K64" i="6"/>
  <c r="J66" i="6"/>
  <c r="J68" i="6"/>
  <c r="I3" i="6"/>
  <c r="L3" i="6" s="1"/>
  <c r="K4" i="6"/>
  <c r="J6" i="6"/>
  <c r="J8" i="6"/>
  <c r="I10" i="6"/>
  <c r="L10" i="6" s="1"/>
  <c r="K11" i="6"/>
  <c r="K13" i="6"/>
  <c r="J15" i="6"/>
  <c r="I17" i="6"/>
  <c r="L17" i="6" s="1"/>
  <c r="I19" i="6"/>
  <c r="K20" i="6"/>
  <c r="J22" i="6"/>
  <c r="J24" i="6"/>
  <c r="I26" i="6"/>
  <c r="L26" i="6" s="1"/>
  <c r="K27" i="6"/>
  <c r="K29" i="6"/>
  <c r="J31" i="6"/>
  <c r="I33" i="6"/>
  <c r="L33" i="6" s="1"/>
  <c r="I35" i="6"/>
  <c r="L35" i="6" s="1"/>
  <c r="K36" i="6"/>
  <c r="J38" i="6"/>
  <c r="J40" i="6"/>
  <c r="I42" i="6"/>
  <c r="L42" i="6" s="1"/>
  <c r="K43" i="6"/>
  <c r="K45" i="6"/>
  <c r="J47" i="6"/>
  <c r="I49" i="6"/>
  <c r="L49" i="6" s="1"/>
  <c r="I51" i="6"/>
  <c r="K52" i="6"/>
  <c r="J54" i="6"/>
  <c r="J56" i="6"/>
  <c r="I58" i="6"/>
  <c r="L58" i="6" s="1"/>
  <c r="K59" i="6"/>
  <c r="K61" i="6"/>
  <c r="J63" i="6"/>
  <c r="I65" i="6"/>
  <c r="I67" i="6"/>
  <c r="K68" i="6"/>
  <c r="F15" i="6"/>
  <c r="E10" i="6"/>
  <c r="AQ3" i="7"/>
  <c r="AU3" i="7"/>
  <c r="AY3" i="7"/>
  <c r="BC3" i="7"/>
  <c r="AR3" i="7"/>
  <c r="AW3" i="7"/>
  <c r="BB3" i="7"/>
  <c r="AS3" i="7"/>
  <c r="AX3" i="7"/>
  <c r="BD3" i="7"/>
  <c r="K67" i="6"/>
  <c r="J64" i="6"/>
  <c r="K60" i="6"/>
  <c r="I57" i="6"/>
  <c r="L57" i="6" s="1"/>
  <c r="K53" i="6"/>
  <c r="I50" i="6"/>
  <c r="L50" i="6" s="1"/>
  <c r="J46" i="6"/>
  <c r="I43" i="6"/>
  <c r="L43" i="6" s="1"/>
  <c r="J39" i="6"/>
  <c r="K35" i="6"/>
  <c r="J32" i="6"/>
  <c r="K28" i="6"/>
  <c r="I25" i="6"/>
  <c r="L25" i="6" s="1"/>
  <c r="K21" i="6"/>
  <c r="I18" i="6"/>
  <c r="L18" i="6" s="1"/>
  <c r="J14" i="6"/>
  <c r="I11" i="6"/>
  <c r="L11" i="6" s="1"/>
  <c r="J7" i="6"/>
  <c r="K3" i="6"/>
  <c r="BA3" i="7"/>
  <c r="AP3" i="7"/>
  <c r="E3" i="6"/>
  <c r="E5" i="6"/>
  <c r="E7" i="6"/>
  <c r="E9" i="6"/>
  <c r="E11" i="6"/>
  <c r="E13" i="6"/>
  <c r="E15" i="6"/>
  <c r="E17" i="6"/>
  <c r="F3" i="6"/>
  <c r="E6" i="6"/>
  <c r="F8" i="6"/>
  <c r="F11" i="6"/>
  <c r="E14" i="6"/>
  <c r="F16" i="6"/>
  <c r="E4" i="6"/>
  <c r="F6" i="6"/>
  <c r="F9" i="6"/>
  <c r="E12" i="6"/>
  <c r="F14" i="6"/>
  <c r="F17" i="6"/>
  <c r="M55" i="6"/>
  <c r="N58" i="6"/>
  <c r="N46" i="6"/>
  <c r="M6" i="6"/>
  <c r="M4" i="6"/>
  <c r="M22" i="6"/>
  <c r="M43" i="6"/>
  <c r="M16" i="6"/>
  <c r="N38" i="6"/>
  <c r="M49" i="6"/>
  <c r="N11" i="6"/>
  <c r="N13" i="6"/>
  <c r="N7" i="6"/>
  <c r="N15" i="6"/>
  <c r="M21" i="6"/>
  <c r="M30" i="6"/>
  <c r="N12" i="6"/>
  <c r="M44" i="6"/>
  <c r="N47" i="6"/>
  <c r="N61" i="6"/>
  <c r="M50" i="6"/>
  <c r="M62" i="6"/>
  <c r="N37" i="6"/>
  <c r="N24" i="6"/>
  <c r="N3" i="6"/>
  <c r="N53" i="6"/>
  <c r="N20" i="6"/>
  <c r="M52" i="6"/>
  <c r="N33" i="6"/>
  <c r="N14" i="6"/>
  <c r="M34" i="6"/>
  <c r="M32" i="6"/>
  <c r="N31" i="6"/>
  <c r="N45" i="6"/>
  <c r="M42" i="6"/>
  <c r="M25" i="6"/>
  <c r="N41" i="6"/>
  <c r="M56" i="6"/>
  <c r="N63" i="6"/>
  <c r="N18" i="6"/>
  <c r="M9" i="6"/>
  <c r="M29" i="6"/>
  <c r="N57" i="6"/>
  <c r="N21" i="6"/>
  <c r="N30" i="6"/>
  <c r="M12" i="6"/>
  <c r="N44" i="6"/>
  <c r="M47" i="6"/>
  <c r="M61" i="6"/>
  <c r="N50" i="6"/>
  <c r="N62" i="6"/>
  <c r="M37" i="6"/>
  <c r="M24" i="6"/>
  <c r="M3" i="6"/>
  <c r="M53" i="6"/>
  <c r="M20" i="6"/>
  <c r="N52" i="6"/>
  <c r="M33" i="6"/>
  <c r="M14" i="6"/>
  <c r="N34" i="6"/>
  <c r="N32" i="6"/>
  <c r="M31" i="6"/>
  <c r="M45" i="6"/>
  <c r="N42" i="6"/>
  <c r="N25" i="6"/>
  <c r="M41" i="6"/>
  <c r="N56" i="6"/>
  <c r="M63" i="6"/>
  <c r="M18" i="6"/>
  <c r="N9" i="6"/>
  <c r="N29" i="6"/>
  <c r="M57" i="6"/>
  <c r="N55" i="6"/>
  <c r="N39" i="6"/>
  <c r="N59" i="6"/>
  <c r="N28" i="6"/>
  <c r="M60" i="6"/>
  <c r="M54" i="6"/>
  <c r="M58" i="6"/>
  <c r="M5" i="6"/>
  <c r="M46" i="6"/>
  <c r="M27" i="6"/>
  <c r="N6" i="6"/>
  <c r="M17" i="6"/>
  <c r="N4" i="6"/>
  <c r="M36" i="6"/>
  <c r="N22" i="6"/>
  <c r="N43" i="6"/>
  <c r="M23" i="6"/>
  <c r="N16" i="6"/>
  <c r="M48" i="6"/>
  <c r="M38" i="6"/>
  <c r="N35" i="6"/>
  <c r="N49" i="6"/>
  <c r="M11" i="6"/>
  <c r="M40" i="6"/>
  <c r="M13" i="6"/>
  <c r="N10" i="6"/>
  <c r="M7" i="6"/>
  <c r="M15" i="6"/>
  <c r="N26" i="6"/>
  <c r="M39" i="6"/>
  <c r="M59" i="6"/>
  <c r="M28" i="6"/>
  <c r="N60" i="6"/>
  <c r="N54" i="6"/>
  <c r="N5" i="6"/>
  <c r="N27" i="6"/>
  <c r="N17" i="6"/>
  <c r="N36" i="6"/>
  <c r="N23" i="6"/>
  <c r="N48" i="6"/>
  <c r="M35" i="6"/>
  <c r="N40" i="6"/>
  <c r="M10" i="6"/>
  <c r="M26" i="6"/>
  <c r="P56" i="6" l="1"/>
  <c r="O42" i="6"/>
  <c r="P17" i="6"/>
  <c r="O28" i="6"/>
  <c r="P28" i="6"/>
  <c r="P61" i="6"/>
  <c r="O47" i="6"/>
  <c r="O40" i="6"/>
  <c r="P62" i="6"/>
  <c r="P46" i="6"/>
  <c r="O41" i="6"/>
  <c r="P30" i="6"/>
  <c r="O9" i="6"/>
  <c r="P37" i="6"/>
  <c r="P60" i="6"/>
  <c r="P59" i="6"/>
  <c r="P45" i="6"/>
  <c r="O31" i="6"/>
  <c r="P48" i="6"/>
  <c r="O34" i="6"/>
  <c r="P34" i="6"/>
  <c r="O7" i="6"/>
  <c r="O39" i="6"/>
  <c r="P53" i="6"/>
  <c r="O63" i="6"/>
  <c r="O56" i="6"/>
  <c r="P27" i="6"/>
  <c r="P20" i="6"/>
  <c r="P13" i="6"/>
  <c r="O6" i="6"/>
  <c r="O59" i="6"/>
  <c r="O52" i="6"/>
  <c r="P23" i="6"/>
  <c r="P16" i="6"/>
  <c r="P9" i="6"/>
  <c r="O53" i="6"/>
  <c r="O37" i="6"/>
  <c r="O21" i="6"/>
  <c r="O5" i="6"/>
  <c r="P5" i="6"/>
  <c r="O62" i="6"/>
  <c r="O14" i="6"/>
  <c r="O54" i="6"/>
  <c r="P4" i="6"/>
  <c r="O36" i="6"/>
  <c r="P7" i="6"/>
  <c r="P14" i="6"/>
  <c r="O23" i="6"/>
  <c r="P3" i="6"/>
  <c r="O32" i="6"/>
  <c r="O46" i="6"/>
  <c r="P52" i="6"/>
  <c r="O38" i="6"/>
  <c r="O24" i="6"/>
  <c r="P55" i="6"/>
  <c r="P41" i="6"/>
  <c r="O27" i="6"/>
  <c r="O20" i="6"/>
  <c r="O55" i="6"/>
  <c r="P21" i="6"/>
  <c r="P35" i="6"/>
  <c r="P36" i="6"/>
  <c r="P29" i="6"/>
  <c r="O22" i="6"/>
  <c r="O15" i="6"/>
  <c r="P39" i="6"/>
  <c r="P32" i="6"/>
  <c r="O4" i="6"/>
  <c r="O30" i="6"/>
  <c r="O61" i="6"/>
  <c r="P50" i="6"/>
  <c r="O45" i="6"/>
  <c r="O29" i="6"/>
  <c r="P18" i="6"/>
  <c r="O13" i="6"/>
  <c r="L8" i="6"/>
  <c r="O44" i="6"/>
  <c r="P24" i="6"/>
  <c r="P12" i="6"/>
  <c r="O12" i="6"/>
  <c r="P49" i="6"/>
  <c r="L51" i="6"/>
  <c r="P43" i="6"/>
  <c r="P25" i="6"/>
  <c r="O18" i="6"/>
  <c r="O11" i="6"/>
  <c r="P54" i="6"/>
  <c r="O49" i="6"/>
  <c r="P38" i="6"/>
  <c r="O33" i="6"/>
  <c r="P22" i="6"/>
  <c r="O17" i="6"/>
  <c r="P6" i="6"/>
  <c r="P15" i="6"/>
  <c r="O58" i="6"/>
  <c r="O60" i="6"/>
  <c r="O16" i="6"/>
  <c r="P44" i="6"/>
  <c r="P33" i="6"/>
  <c r="P63" i="6"/>
  <c r="P58" i="6"/>
  <c r="P42" i="6"/>
  <c r="P26" i="6"/>
  <c r="P10" i="6"/>
  <c r="O26" i="6"/>
  <c r="O48" i="6"/>
  <c r="P47" i="6"/>
  <c r="P31" i="6"/>
  <c r="L19" i="6"/>
  <c r="P11" i="6"/>
  <c r="P57" i="6"/>
  <c r="O50" i="6"/>
  <c r="O43" i="6"/>
  <c r="O57" i="6"/>
  <c r="O25" i="6"/>
  <c r="P40" i="6"/>
  <c r="O10" i="6"/>
  <c r="O35" i="6"/>
  <c r="O3" i="6"/>
  <c r="M8" i="6"/>
  <c r="M51" i="6"/>
  <c r="M19" i="6"/>
  <c r="N19" i="6"/>
  <c r="N8" i="6"/>
  <c r="N51" i="6"/>
  <c r="O51" i="6" l="1"/>
  <c r="P51" i="6"/>
  <c r="P19" i="6"/>
  <c r="O19" i="6"/>
  <c r="O8" i="6"/>
  <c r="P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Wang</author>
  </authors>
  <commentList>
    <comment ref="J11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Michael Wang:</t>
        </r>
        <r>
          <rPr>
            <sz val="8"/>
            <color indexed="81"/>
            <rFont val="Tahoma"/>
            <family val="2"/>
          </rPr>
          <t xml:space="preserve">
functions as a label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CIBC</author>
  </authors>
  <commentList>
    <comment ref="C15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only applies to variable rate mtg</t>
        </r>
      </text>
    </comment>
    <comment ref="C33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CIBC:</t>
        </r>
        <r>
          <rPr>
            <sz val="10"/>
            <color indexed="81"/>
            <rFont val="Tahoma"/>
            <family val="2"/>
          </rPr>
          <t xml:space="preserve">
This is a label to the curve.  Do not edit!</t>
        </r>
      </text>
    </comment>
  </commentList>
</comments>
</file>

<file path=xl/sharedStrings.xml><?xml version="1.0" encoding="utf-8"?>
<sst xmlns="http://schemas.openxmlformats.org/spreadsheetml/2006/main" count="171" uniqueCount="89">
  <si>
    <t>COF</t>
  </si>
  <si>
    <t>Curves</t>
  </si>
  <si>
    <t>Offset in Years</t>
  </si>
  <si>
    <t>Days</t>
  </si>
  <si>
    <t>SWP</t>
  </si>
  <si>
    <t>Yield Term Offset</t>
  </si>
  <si>
    <t>Yield Curves</t>
  </si>
  <si>
    <t>ValueDate</t>
  </si>
  <si>
    <t>SecType</t>
  </si>
  <si>
    <t>IssueDate</t>
  </si>
  <si>
    <t>MaturityDate</t>
  </si>
  <si>
    <t>MtgTerm</t>
  </si>
  <si>
    <t>PayFreq</t>
  </si>
  <si>
    <t>CompFreq</t>
  </si>
  <si>
    <t>Balance</t>
  </si>
  <si>
    <t>Coupon</t>
  </si>
  <si>
    <t>SwapCurve</t>
  </si>
  <si>
    <t>RemainAmort</t>
  </si>
  <si>
    <t>PartialPrePay</t>
  </si>
  <si>
    <t>UnscheduledPay</t>
  </si>
  <si>
    <t>Volatility</t>
  </si>
  <si>
    <t>MaxGuess</t>
  </si>
  <si>
    <t>CurveDate</t>
  </si>
  <si>
    <t>Curve data added to cache at</t>
  </si>
  <si>
    <t>Zeros generated at</t>
  </si>
  <si>
    <t>Mortgage Definition</t>
  </si>
  <si>
    <t>Zeros</t>
  </si>
  <si>
    <t>ForwardOffset</t>
  </si>
  <si>
    <t>ForwardT</t>
  </si>
  <si>
    <t>FwdZeroCOF</t>
  </si>
  <si>
    <t>FwdZeroSWP</t>
  </si>
  <si>
    <t>FwdCOF</t>
  </si>
  <si>
    <t>FwdSWP</t>
  </si>
  <si>
    <t>HolidayOn?</t>
  </si>
  <si>
    <t>given date</t>
  </si>
  <si>
    <t>next business day</t>
  </si>
  <si>
    <t>WindfallPv:MarginIntPv:SrvSpread</t>
  </si>
  <si>
    <t>DoCalcPar</t>
  </si>
  <si>
    <t>AdhocOutput</t>
  </si>
  <si>
    <t>WindfallMths</t>
  </si>
  <si>
    <t>SrvSpread</t>
  </si>
  <si>
    <t>RateReset</t>
  </si>
  <si>
    <t>Date</t>
  </si>
  <si>
    <t>Name</t>
  </si>
  <si>
    <t>Rate</t>
  </si>
  <si>
    <t>CDOR1M</t>
  </si>
  <si>
    <t>MtgPrime</t>
  </si>
  <si>
    <t>PRIME</t>
  </si>
  <si>
    <t>PrimeBa</t>
  </si>
  <si>
    <t>MinGuess</t>
  </si>
  <si>
    <t>DiscountCurve</t>
  </si>
  <si>
    <t>ForecastCurve</t>
  </si>
  <si>
    <t>LevelPayment</t>
  </si>
  <si>
    <t>MbsCoupon</t>
  </si>
  <si>
    <t>PrimeDisc</t>
  </si>
  <si>
    <t>SettleLag</t>
  </si>
  <si>
    <t>PrimeBaSpread</t>
  </si>
  <si>
    <t>MtgPrimeSpread</t>
  </si>
  <si>
    <t>TeaserEndDate</t>
  </si>
  <si>
    <t>TeaserDisc</t>
  </si>
  <si>
    <t>PmtResetType</t>
  </si>
  <si>
    <t>VRM</t>
  </si>
  <si>
    <t>FirstExerDate</t>
  </si>
  <si>
    <t>MTG_FIX</t>
  </si>
  <si>
    <t>business date example:</t>
  </si>
  <si>
    <t>UndPv</t>
  </si>
  <si>
    <t>OptPv</t>
  </si>
  <si>
    <t>M_AccInt</t>
  </si>
  <si>
    <t>C_AccInt</t>
  </si>
  <si>
    <t>WindfallPv</t>
  </si>
  <si>
    <t>MarginIntPv</t>
  </si>
  <si>
    <t>Note</t>
  </si>
  <si>
    <t>Copy2Right=&gt;</t>
  </si>
  <si>
    <t>M_CofRate</t>
  </si>
  <si>
    <t>M_CofRateMth</t>
  </si>
  <si>
    <t>C_CofRate</t>
  </si>
  <si>
    <t>C_CofRateMth</t>
  </si>
  <si>
    <t>M_SwpRate</t>
  </si>
  <si>
    <t>M_SwpRateMth</t>
  </si>
  <si>
    <t>C_SwpRate</t>
  </si>
  <si>
    <t>C_SwpRateMth</t>
  </si>
  <si>
    <t>M_LiqXfrSpread</t>
  </si>
  <si>
    <t>C_LiqXfrSpread</t>
  </si>
  <si>
    <t>M_OptSpread</t>
  </si>
  <si>
    <t>M_OptSpreadMth</t>
  </si>
  <si>
    <t xml:space="preserve">Valuation output: </t>
  </si>
  <si>
    <t xml:space="preserve">TP output: </t>
  </si>
  <si>
    <t>MTG_VAR</t>
  </si>
  <si>
    <t>UseHoliday?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</si>
</sst>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  <numFmt numFmtId="165" formatCode="#,##0.000_);\(#,##0.000\)"/>
    <numFmt numFmtId="166" formatCode="0.000"/>
    <numFmt numFmtId="167" formatCode="#,##0.0_);\(#,##0.0\)"/>
    <numFmt numFmtId="168" formatCode="mm/dd/yy"/>
    <numFmt numFmtId="169" formatCode="0.0000"/>
    <numFmt numFmtId="170" formatCode="0.000000000000"/>
    <numFmt numFmtId="171" formatCode="0.00_)"/>
    <numFmt numFmtId="172" formatCode="0.000_)"/>
    <numFmt numFmtId="173" formatCode="#,##0&quot; $&quot;;[Red]\-#,##0&quot; $&quot;"/>
    <numFmt numFmtId="174" formatCode="_(* #,##0_);_(* \(#,##0\);_(* &quot;-&quot;??_);_(@_)"/>
  </numFmts>
  <fonts count="2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22"/>
      <name val="Arial"/>
      <family val="2"/>
    </font>
    <font>
      <sz val="10"/>
      <color indexed="12"/>
      <name val="Arial"/>
      <family val="2"/>
    </font>
    <font>
      <b/>
      <sz val="14"/>
      <name val="Arial"/>
      <family val="2"/>
    </font>
    <font>
      <b/>
      <sz val="10"/>
      <color indexed="4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Tms Rmn"/>
    </font>
    <font>
      <b/>
      <i/>
      <sz val="16"/>
      <name val="Helv"/>
    </font>
    <font>
      <sz val="10"/>
      <name val="MS Sans Serif"/>
    </font>
    <font>
      <sz val="12"/>
      <name val="Arial"/>
      <family val="2"/>
    </font>
    <font>
      <sz val="10"/>
      <name val="MS Serif"/>
    </font>
    <font>
      <sz val="10"/>
      <color indexed="16"/>
      <name val="MS Serif"/>
    </font>
    <font>
      <sz val="8"/>
      <name val="Arial"/>
      <family val="2"/>
    </font>
    <font>
      <b/>
      <sz val="12"/>
      <name val="Arial"/>
      <family val="2"/>
    </font>
    <font>
      <sz val="8"/>
      <name val="Helv"/>
    </font>
    <font>
      <b/>
      <sz val="8"/>
      <color indexed="8"/>
      <name val="Helv"/>
    </font>
    <font>
      <sz val="10"/>
      <color indexed="55"/>
      <name val="Arial"/>
      <family val="2"/>
    </font>
    <font>
      <sz val="10"/>
      <color indexed="22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3" fontId="14" fillId="0" borderId="0" applyFill="0" applyBorder="0" applyAlignment="0"/>
    <xf numFmtId="43" fontId="1" fillId="0" borderId="0" applyFont="0" applyFill="0" applyBorder="0" applyAlignment="0" applyProtection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172" fontId="12" fillId="0" borderId="0"/>
    <xf numFmtId="0" fontId="16" fillId="0" borderId="0" applyNumberFormat="0" applyAlignment="0">
      <alignment horizontal="left"/>
    </xf>
    <xf numFmtId="0" fontId="17" fillId="0" borderId="0" applyNumberFormat="0" applyAlignment="0">
      <alignment horizontal="left"/>
    </xf>
    <xf numFmtId="38" fontId="18" fillId="2" borderId="0" applyNumberFormat="0" applyBorder="0" applyAlignment="0" applyProtection="0"/>
    <xf numFmtId="0" fontId="19" fillId="0" borderId="1" applyNumberFormat="0" applyAlignment="0" applyProtection="0">
      <alignment horizontal="left" vertical="center"/>
    </xf>
    <xf numFmtId="0" fontId="19" fillId="0" borderId="2">
      <alignment horizontal="left" vertical="center"/>
    </xf>
    <xf numFmtId="10" fontId="18" fillId="3" borderId="3" applyNumberFormat="0" applyBorder="0" applyAlignment="0" applyProtection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1" fontId="13" fillId="0" borderId="0"/>
    <xf numFmtId="0" fontId="15" fillId="0" borderId="0"/>
    <xf numFmtId="0" fontId="2" fillId="0" borderId="0"/>
    <xf numFmtId="9" fontId="1" fillId="0" borderId="0" applyFont="0" applyFill="0" applyBorder="0" applyAlignment="0" applyProtection="0"/>
    <xf numFmtId="10" fontId="1" fillId="0" borderId="0" applyFont="0" applyFill="0" applyBorder="0" applyAlignment="0" applyProtection="0"/>
    <xf numFmtId="14" fontId="20" fillId="0" borderId="0" applyNumberFormat="0" applyFill="0" applyBorder="0" applyAlignment="0" applyProtection="0">
      <alignment horizontal="left"/>
    </xf>
    <xf numFmtId="40" fontId="21" fillId="0" borderId="0" applyBorder="0">
      <alignment horizontal="right"/>
    </xf>
  </cellStyleXfs>
  <cellXfs count="7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Fill="1" applyBorder="1"/>
    <xf numFmtId="37" fontId="4" fillId="0" borderId="0" xfId="0" applyNumberFormat="1" applyFont="1" applyFill="1" applyBorder="1" applyProtection="1">
      <protection locked="0"/>
    </xf>
    <xf numFmtId="0" fontId="2" fillId="0" borderId="0" xfId="0" applyFont="1" applyProtection="1"/>
    <xf numFmtId="164" fontId="2" fillId="0" borderId="0" xfId="0" applyNumberFormat="1" applyFont="1" applyProtection="1"/>
    <xf numFmtId="164" fontId="2" fillId="0" borderId="0" xfId="0" applyNumberFormat="1" applyFont="1"/>
    <xf numFmtId="0" fontId="3" fillId="0" borderId="3" xfId="0" applyFont="1" applyBorder="1"/>
    <xf numFmtId="165" fontId="5" fillId="0" borderId="4" xfId="0" applyNumberFormat="1" applyFont="1" applyFill="1" applyBorder="1" applyAlignment="1" applyProtection="1">
      <alignment horizontal="center"/>
    </xf>
    <xf numFmtId="0" fontId="5" fillId="0" borderId="4" xfId="0" applyNumberFormat="1" applyFont="1" applyFill="1" applyBorder="1" applyAlignment="1" applyProtection="1">
      <alignment horizontal="center"/>
    </xf>
    <xf numFmtId="37" fontId="5" fillId="0" borderId="4" xfId="0" applyNumberFormat="1" applyFont="1" applyFill="1" applyBorder="1" applyAlignment="1" applyProtection="1">
      <alignment horizontal="center"/>
    </xf>
    <xf numFmtId="37" fontId="3" fillId="0" borderId="4" xfId="0" applyNumberFormat="1" applyFont="1" applyFill="1" applyBorder="1" applyAlignment="1" applyProtection="1">
      <alignment horizontal="center"/>
    </xf>
    <xf numFmtId="37" fontId="3" fillId="0" borderId="5" xfId="0" applyNumberFormat="1" applyFont="1" applyFill="1" applyBorder="1" applyAlignment="1" applyProtection="1">
      <alignment horizontal="center"/>
    </xf>
    <xf numFmtId="0" fontId="3" fillId="0" borderId="5" xfId="0" applyNumberFormat="1" applyFont="1" applyFill="1" applyBorder="1" applyAlignment="1" applyProtection="1">
      <alignment horizontal="center"/>
    </xf>
    <xf numFmtId="0" fontId="6" fillId="4" borderId="0" xfId="0" applyFont="1" applyFill="1" applyAlignment="1">
      <alignment horizontal="left"/>
    </xf>
    <xf numFmtId="0" fontId="7" fillId="0" borderId="0" xfId="0" applyFont="1"/>
    <xf numFmtId="15" fontId="7" fillId="0" borderId="0" xfId="0" applyNumberFormat="1" applyFont="1"/>
    <xf numFmtId="10" fontId="7" fillId="0" borderId="0" xfId="39" applyNumberFormat="1" applyFont="1"/>
    <xf numFmtId="0" fontId="8" fillId="0" borderId="0" xfId="0" applyFont="1" applyAlignment="1">
      <alignment horizontal="center"/>
    </xf>
    <xf numFmtId="168" fontId="9" fillId="4" borderId="0" xfId="0" applyNumberFormat="1" applyFont="1" applyFill="1"/>
    <xf numFmtId="0" fontId="9" fillId="4" borderId="0" xfId="0" applyFont="1" applyFill="1"/>
    <xf numFmtId="15" fontId="9" fillId="4" borderId="0" xfId="0" applyNumberFormat="1" applyFont="1" applyFill="1"/>
    <xf numFmtId="169" fontId="7" fillId="0" borderId="0" xfId="0" applyNumberFormat="1" applyFont="1"/>
    <xf numFmtId="167" fontId="6" fillId="0" borderId="0" xfId="0" applyNumberFormat="1" applyFont="1" applyAlignment="1" applyProtection="1">
      <alignment horizontal="right"/>
    </xf>
    <xf numFmtId="169" fontId="8" fillId="0" borderId="0" xfId="0" applyNumberFormat="1" applyFont="1" applyAlignment="1">
      <alignment horizontal="center"/>
    </xf>
    <xf numFmtId="169" fontId="0" fillId="0" borderId="0" xfId="0" applyNumberFormat="1"/>
    <xf numFmtId="169" fontId="3" fillId="0" borderId="0" xfId="0" applyNumberFormat="1" applyFont="1"/>
    <xf numFmtId="165" fontId="2" fillId="0" borderId="0" xfId="0" applyNumberFormat="1" applyFont="1" applyProtection="1"/>
    <xf numFmtId="0" fontId="22" fillId="0" borderId="0" xfId="0" applyFont="1"/>
    <xf numFmtId="170" fontId="7" fillId="0" borderId="0" xfId="0" applyNumberFormat="1" applyFont="1"/>
    <xf numFmtId="170" fontId="0" fillId="0" borderId="0" xfId="0" applyNumberFormat="1"/>
    <xf numFmtId="16" fontId="7" fillId="0" borderId="0" xfId="0" applyNumberFormat="1" applyFont="1"/>
    <xf numFmtId="0" fontId="7" fillId="0" borderId="0" xfId="0" applyNumberFormat="1" applyFont="1"/>
    <xf numFmtId="165" fontId="3" fillId="0" borderId="6" xfId="0" applyNumberFormat="1" applyFont="1" applyFill="1" applyBorder="1" applyAlignment="1" applyProtection="1">
      <alignment horizontal="center"/>
    </xf>
    <xf numFmtId="0" fontId="3" fillId="0" borderId="6" xfId="0" applyNumberFormat="1" applyFont="1" applyFill="1" applyBorder="1" applyAlignment="1" applyProtection="1">
      <alignment horizontal="center"/>
    </xf>
    <xf numFmtId="0" fontId="18" fillId="0" borderId="0" xfId="0" quotePrefix="1" applyFont="1"/>
    <xf numFmtId="0" fontId="23" fillId="5" borderId="0" xfId="0" applyNumberFormat="1" applyFont="1" applyFill="1"/>
    <xf numFmtId="0" fontId="23" fillId="0" borderId="0" xfId="0" applyFont="1"/>
    <xf numFmtId="0" fontId="7" fillId="6" borderId="0" xfId="0" applyFont="1" applyFill="1"/>
    <xf numFmtId="16" fontId="7" fillId="6" borderId="0" xfId="0" applyNumberFormat="1" applyFont="1" applyFill="1"/>
    <xf numFmtId="43" fontId="7" fillId="6" borderId="0" xfId="17" applyFont="1" applyFill="1"/>
    <xf numFmtId="0" fontId="7" fillId="7" borderId="0" xfId="0" applyFont="1" applyFill="1"/>
    <xf numFmtId="0" fontId="7" fillId="8" borderId="0" xfId="0" applyFont="1" applyFill="1"/>
    <xf numFmtId="14" fontId="7" fillId="8" borderId="0" xfId="0" applyNumberFormat="1" applyFont="1" applyFill="1"/>
    <xf numFmtId="169" fontId="7" fillId="0" borderId="0" xfId="0" applyNumberFormat="1" applyFont="1" applyFill="1"/>
    <xf numFmtId="0" fontId="3" fillId="0" borderId="3" xfId="0" applyFont="1" applyBorder="1" applyProtection="1">
      <protection locked="0"/>
    </xf>
    <xf numFmtId="166" fontId="3" fillId="0" borderId="0" xfId="37" applyNumberFormat="1" applyFont="1" applyBorder="1" applyAlignment="1" applyProtection="1">
      <alignment horizontal="center"/>
      <protection locked="0"/>
    </xf>
    <xf numFmtId="165" fontId="3" fillId="0" borderId="6" xfId="0" applyNumberFormat="1" applyFont="1" applyFill="1" applyBorder="1" applyAlignment="1" applyProtection="1">
      <alignment horizontal="center"/>
      <protection locked="0"/>
    </xf>
    <xf numFmtId="165" fontId="3" fillId="0" borderId="4" xfId="0" applyNumberFormat="1" applyFont="1" applyFill="1" applyBorder="1" applyAlignment="1" applyProtection="1">
      <alignment horizontal="center"/>
      <protection locked="0"/>
    </xf>
    <xf numFmtId="165" fontId="3" fillId="0" borderId="5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168" fontId="0" fillId="0" borderId="0" xfId="0" applyNumberFormat="1" applyFill="1"/>
    <xf numFmtId="169" fontId="0" fillId="0" borderId="0" xfId="0" applyNumberFormat="1" applyFill="1"/>
    <xf numFmtId="174" fontId="2" fillId="0" borderId="0" xfId="17" applyNumberFormat="1" applyFont="1" applyProtection="1">
      <protection locked="0"/>
    </xf>
    <xf numFmtId="0" fontId="2" fillId="0" borderId="0" xfId="38" applyProtection="1">
      <protection locked="0"/>
    </xf>
    <xf numFmtId="15" fontId="7" fillId="0" borderId="0" xfId="0" applyNumberFormat="1" applyFont="1" applyFill="1"/>
    <xf numFmtId="0" fontId="3" fillId="0" borderId="0" xfId="0" applyFont="1" applyFill="1" applyAlignment="1">
      <alignment horizontal="left"/>
    </xf>
    <xf numFmtId="0" fontId="3" fillId="9" borderId="0" xfId="0" applyFont="1" applyFill="1" applyAlignment="1">
      <alignment horizontal="left"/>
    </xf>
    <xf numFmtId="15" fontId="2" fillId="9" borderId="0" xfId="0" applyNumberFormat="1" applyFont="1" applyFill="1"/>
    <xf numFmtId="0" fontId="2" fillId="9" borderId="0" xfId="0" applyNumberFormat="1" applyFont="1" applyFill="1"/>
    <xf numFmtId="0" fontId="2" fillId="6" borderId="0" xfId="0" applyFont="1" applyFill="1" applyAlignment="1">
      <alignment horizontal="left"/>
    </xf>
    <xf numFmtId="0" fontId="0" fillId="9" borderId="0" xfId="0" applyFill="1"/>
    <xf numFmtId="0" fontId="7" fillId="9" borderId="0" xfId="0" applyFont="1" applyFill="1"/>
    <xf numFmtId="16" fontId="7" fillId="9" borderId="0" xfId="0" applyNumberFormat="1" applyFont="1" applyFill="1"/>
    <xf numFmtId="43" fontId="7" fillId="9" borderId="0" xfId="17" applyFont="1" applyFill="1"/>
    <xf numFmtId="0" fontId="0" fillId="0" borderId="0" xfId="0" applyAlignment="1">
      <alignment horizontal="right"/>
    </xf>
    <xf numFmtId="0" fontId="3" fillId="0" borderId="3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43">
    <cellStyle name="_Bonds" xfId="2" xr:uid="{00000000-0005-0000-0000-000000000000}"/>
    <cellStyle name="_CommitmentDVO1" xfId="3" xr:uid="{00000000-0005-0000-0000-000001000000}"/>
    <cellStyle name="_commrpt" xfId="4" xr:uid="{00000000-0005-0000-0000-000002000000}"/>
    <cellStyle name="_email" xfId="5" xr:uid="{00000000-0005-0000-0000-000003000000}"/>
    <cellStyle name="_eop" xfId="6" xr:uid="{00000000-0005-0000-0000-000004000000}"/>
    <cellStyle name="_EOP_Summary" xfId="7" xr:uid="{00000000-0005-0000-0000-000005000000}"/>
    <cellStyle name="_Flex Fall97" xfId="8" xr:uid="{00000000-0005-0000-0000-000006000000}"/>
    <cellStyle name="_Flex Spr97" xfId="9" xr:uid="{00000000-0005-0000-0000-000007000000}"/>
    <cellStyle name="_Flex Spr98" xfId="10" xr:uid="{00000000-0005-0000-0000-000008000000}"/>
    <cellStyle name="_Greeks" xfId="11" xr:uid="{00000000-0005-0000-0000-000009000000}"/>
    <cellStyle name="_Market Prices" xfId="12" xr:uid="{00000000-0005-0000-0000-00000A000000}"/>
    <cellStyle name="_Prem Spr98" xfId="13" xr:uid="{00000000-0005-0000-0000-00000B000000}"/>
    <cellStyle name="_Sheet1 (2)" xfId="14" xr:uid="{00000000-0005-0000-0000-00000C000000}"/>
    <cellStyle name="_Swaps" xfId="15" xr:uid="{00000000-0005-0000-0000-00000D000000}"/>
    <cellStyle name="Calc Currency (0)" xfId="16" xr:uid="{00000000-0005-0000-0000-00000E000000}"/>
    <cellStyle name="Comma" xfId="17" builtinId="3"/>
    <cellStyle name="Comma  - Style1" xfId="18" xr:uid="{00000000-0005-0000-0000-000010000000}"/>
    <cellStyle name="Comma  - Style2" xfId="19" xr:uid="{00000000-0005-0000-0000-000011000000}"/>
    <cellStyle name="Comma  - Style3" xfId="20" xr:uid="{00000000-0005-0000-0000-000012000000}"/>
    <cellStyle name="Comma  - Style4" xfId="21" xr:uid="{00000000-0005-0000-0000-000013000000}"/>
    <cellStyle name="Comma  - Style5" xfId="22" xr:uid="{00000000-0005-0000-0000-000014000000}"/>
    <cellStyle name="Comma  - Style6" xfId="23" xr:uid="{00000000-0005-0000-0000-000015000000}"/>
    <cellStyle name="Comma  - Style7" xfId="24" xr:uid="{00000000-0005-0000-0000-000016000000}"/>
    <cellStyle name="Comma  - Style8" xfId="25" xr:uid="{00000000-0005-0000-0000-000017000000}"/>
    <cellStyle name="Copied" xfId="26" xr:uid="{00000000-0005-0000-0000-000018000000}"/>
    <cellStyle name="Entered" xfId="27" xr:uid="{00000000-0005-0000-0000-000019000000}"/>
    <cellStyle name="Grey" xfId="28" xr:uid="{00000000-0005-0000-0000-00001A000000}"/>
    <cellStyle name="Header1" xfId="29" xr:uid="{00000000-0005-0000-0000-00001B000000}"/>
    <cellStyle name="Header2" xfId="30" xr:uid="{00000000-0005-0000-0000-00001C000000}"/>
    <cellStyle name="Input [yellow]" xfId="31" xr:uid="{00000000-0005-0000-0000-00001D000000}"/>
    <cellStyle name="Milliers [0]_Open&amp;Close" xfId="32" xr:uid="{00000000-0005-0000-0000-00001E000000}"/>
    <cellStyle name="Milliers_Open&amp;Close" xfId="33" xr:uid="{00000000-0005-0000-0000-00001F000000}"/>
    <cellStyle name="Monétaire [0]_Open&amp;Close" xfId="34" xr:uid="{00000000-0005-0000-0000-000020000000}"/>
    <cellStyle name="Monétaire_Open&amp;Close" xfId="35" xr:uid="{00000000-0005-0000-0000-000021000000}"/>
    <cellStyle name="Normal" xfId="0" builtinId="0"/>
    <cellStyle name="Normal - Style1" xfId="36" xr:uid="{00000000-0005-0000-0000-000023000000}"/>
    <cellStyle name="Normal_TransferPrice" xfId="37" xr:uid="{00000000-0005-0000-0000-000024000000}"/>
    <cellStyle name="Normal_ValRow" xfId="38" xr:uid="{00000000-0005-0000-0000-000025000000}"/>
    <cellStyle name="Percent" xfId="39" builtinId="5"/>
    <cellStyle name="Percent [2]" xfId="40" xr:uid="{00000000-0005-0000-0000-000027000000}"/>
    <cellStyle name="RevList" xfId="41" xr:uid="{00000000-0005-0000-0000-000028000000}"/>
    <cellStyle name="Style 1" xfId="1" xr:uid="{00000000-0005-0000-0000-000029000000}"/>
    <cellStyle name="Subtotal" xfId="42" xr:uid="{00000000-0005-0000-0000-00002A000000}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4"/>
  <sheetViews>
    <sheetView tabSelected="1" workbookViewId="0">
      <selection activeCell="F35" sqref="F35"/>
    </sheetView>
  </sheetViews>
  <sheetFormatPr defaultRowHeight="12.75" x14ac:dyDescent="0.2"/>
  <cols>
    <col min="1" max="1" width="16.42578125" customWidth="1"/>
    <col min="2" max="2" width="11.7109375" customWidth="1"/>
    <col min="3" max="3" width="3.7109375" customWidth="1"/>
    <col min="4" max="4" width="11.7109375" customWidth="1"/>
    <col min="5" max="5" width="13.7109375" customWidth="1"/>
    <col min="6" max="6" width="10.28515625" customWidth="1"/>
    <col min="7" max="7" width="17" customWidth="1"/>
    <col min="8" max="8" width="9.85546875" bestFit="1" customWidth="1"/>
    <col min="10" max="10" width="19.42578125" customWidth="1"/>
    <col min="11" max="11" width="4.28515625" customWidth="1"/>
    <col min="12" max="14" width="0" hidden="1" customWidth="1"/>
  </cols>
  <sheetData>
    <row r="1" spans="1:18" ht="18" x14ac:dyDescent="0.25">
      <c r="A1" s="76" t="s">
        <v>25</v>
      </c>
      <c r="B1" s="76"/>
      <c r="D1" s="19"/>
      <c r="E1" s="19"/>
    </row>
    <row r="2" spans="1:18" ht="18" x14ac:dyDescent="0.25">
      <c r="A2" s="19"/>
      <c r="B2" s="19"/>
      <c r="D2" s="19"/>
      <c r="E2" s="19"/>
      <c r="G2" s="2" t="s">
        <v>23</v>
      </c>
    </row>
    <row r="3" spans="1:18" x14ac:dyDescent="0.2">
      <c r="A3" s="15" t="s">
        <v>7</v>
      </c>
      <c r="B3" s="17">
        <v>39881</v>
      </c>
      <c r="D3" s="20" t="e">
        <f t="array" ref="D3:E18">MtgPrice(A3:B33,CrvGenState, ResetState)</f>
        <v>#VALUE!</v>
      </c>
      <c r="E3" s="61" t="e">
        <v>#VALUE!</v>
      </c>
      <c r="G3" s="36" t="e">
        <f>AddCurveInputs(CurveDate,CurveInput)</f>
        <v>#VALUE!</v>
      </c>
      <c r="P3" t="e">
        <f>SetResets(P13:R30,CrvInputState)</f>
        <v>#VALUE!</v>
      </c>
    </row>
    <row r="4" spans="1:18" x14ac:dyDescent="0.2">
      <c r="A4" s="15" t="s">
        <v>8</v>
      </c>
      <c r="B4" s="16" t="s">
        <v>63</v>
      </c>
      <c r="D4" s="20" t="e">
        <v>#VALUE!</v>
      </c>
      <c r="E4" s="61" t="e">
        <v>#VALUE!</v>
      </c>
      <c r="G4" s="2" t="s">
        <v>24</v>
      </c>
    </row>
    <row r="5" spans="1:18" x14ac:dyDescent="0.2">
      <c r="A5" s="15" t="s">
        <v>9</v>
      </c>
      <c r="B5" s="17">
        <v>39881</v>
      </c>
      <c r="D5" s="21" t="e">
        <v>#VALUE!</v>
      </c>
      <c r="E5" s="23" t="e">
        <v>#VALUE!</v>
      </c>
      <c r="G5" s="36" t="e">
        <f>GenerateCurves(I13:J13,"CAD",CrvInputState,UseHoliday)</f>
        <v>#VALUE!</v>
      </c>
    </row>
    <row r="6" spans="1:18" x14ac:dyDescent="0.2">
      <c r="A6" s="15" t="s">
        <v>10</v>
      </c>
      <c r="B6" s="17">
        <v>41707</v>
      </c>
      <c r="D6" s="21" t="e">
        <v>#VALUE!</v>
      </c>
      <c r="E6" s="23" t="e">
        <v>#VALUE!</v>
      </c>
      <c r="G6" s="2" t="s">
        <v>88</v>
      </c>
      <c r="H6" s="16">
        <v>0</v>
      </c>
      <c r="I6" s="38" t="e">
        <f>setholidayon(H6)</f>
        <v>#VALUE!</v>
      </c>
      <c r="O6" s="29"/>
    </row>
    <row r="7" spans="1:18" x14ac:dyDescent="0.2">
      <c r="A7" s="15" t="s">
        <v>11</v>
      </c>
      <c r="B7" s="16">
        <v>120</v>
      </c>
      <c r="D7" s="21" t="e">
        <v>#VALUE!</v>
      </c>
      <c r="E7" s="23" t="e">
        <v>#VALUE!</v>
      </c>
      <c r="G7" t="s">
        <v>64</v>
      </c>
    </row>
    <row r="8" spans="1:18" x14ac:dyDescent="0.2">
      <c r="A8" s="15" t="s">
        <v>52</v>
      </c>
      <c r="B8" s="33">
        <v>5000</v>
      </c>
      <c r="D8" s="22" t="e">
        <v>#VALUE!</v>
      </c>
      <c r="E8" s="23" t="e">
        <v>#VALUE!</v>
      </c>
      <c r="G8" t="s">
        <v>34</v>
      </c>
      <c r="H8" s="32">
        <v>39859</v>
      </c>
    </row>
    <row r="9" spans="1:18" x14ac:dyDescent="0.2">
      <c r="A9" s="15" t="s">
        <v>14</v>
      </c>
      <c r="B9" s="16">
        <v>1000000</v>
      </c>
      <c r="D9" s="22" t="e">
        <v>#VALUE!</v>
      </c>
      <c r="E9" s="23" t="e">
        <v>#VALUE!</v>
      </c>
      <c r="G9" t="s">
        <v>35</v>
      </c>
      <c r="H9" s="32" t="e">
        <f>NextBusinessDate(H8,UseHoliday)</f>
        <v>#VALUE!</v>
      </c>
    </row>
    <row r="10" spans="1:18" x14ac:dyDescent="0.2">
      <c r="A10" s="15" t="s">
        <v>53</v>
      </c>
      <c r="B10" s="16">
        <v>2.5</v>
      </c>
      <c r="D10" s="21" t="e">
        <v>#VALUE!</v>
      </c>
      <c r="E10" s="45" t="e">
        <v>#VALUE!</v>
      </c>
      <c r="G10" s="2"/>
      <c r="H10" s="4"/>
      <c r="I10" s="1"/>
      <c r="J10" s="3"/>
    </row>
    <row r="11" spans="1:18" x14ac:dyDescent="0.2">
      <c r="A11" s="15" t="s">
        <v>15</v>
      </c>
      <c r="B11" s="16">
        <v>3</v>
      </c>
      <c r="D11" s="22" t="e">
        <v>#VALUE!</v>
      </c>
      <c r="E11" s="45" t="e">
        <v>#VALUE!</v>
      </c>
      <c r="G11" s="2" t="s">
        <v>1</v>
      </c>
      <c r="H11" s="4"/>
      <c r="I11" s="24" t="s">
        <v>22</v>
      </c>
      <c r="J11" s="24">
        <v>20000101</v>
      </c>
      <c r="P11" s="2" t="s">
        <v>41</v>
      </c>
    </row>
    <row r="12" spans="1:18" x14ac:dyDescent="0.2">
      <c r="A12" s="15" t="s">
        <v>50</v>
      </c>
      <c r="B12" s="16" t="s">
        <v>4</v>
      </c>
      <c r="D12" s="22" t="e">
        <v>#VALUE!</v>
      </c>
      <c r="E12" t="e">
        <v>#VALUE!</v>
      </c>
      <c r="G12" s="75" t="s">
        <v>5</v>
      </c>
      <c r="H12" s="75"/>
      <c r="I12" s="75" t="s">
        <v>6</v>
      </c>
      <c r="J12" s="75"/>
      <c r="P12" s="2" t="s">
        <v>42</v>
      </c>
      <c r="Q12" s="2" t="s">
        <v>43</v>
      </c>
      <c r="R12" s="2" t="s">
        <v>44</v>
      </c>
    </row>
    <row r="13" spans="1:18" x14ac:dyDescent="0.2">
      <c r="A13" s="15" t="s">
        <v>51</v>
      </c>
      <c r="B13" s="18" t="s">
        <v>0</v>
      </c>
      <c r="D13" s="22" t="e">
        <v>#VALUE!</v>
      </c>
      <c r="E13" t="e">
        <v>#VALUE!</v>
      </c>
      <c r="G13" s="8" t="s">
        <v>2</v>
      </c>
      <c r="H13" s="8" t="s">
        <v>3</v>
      </c>
      <c r="I13" s="46" t="s">
        <v>0</v>
      </c>
      <c r="J13" s="46" t="s">
        <v>4</v>
      </c>
      <c r="P13" s="51">
        <v>20090301</v>
      </c>
      <c r="Q13" s="52" t="s">
        <v>45</v>
      </c>
      <c r="R13" s="53">
        <v>0.81142999999999998</v>
      </c>
    </row>
    <row r="14" spans="1:18" x14ac:dyDescent="0.2">
      <c r="A14" s="15" t="s">
        <v>17</v>
      </c>
      <c r="B14" s="16">
        <v>300</v>
      </c>
      <c r="D14" s="22" t="e">
        <v>#VALUE!</v>
      </c>
      <c r="E14" s="26" t="e">
        <v>#VALUE!</v>
      </c>
      <c r="G14" s="34">
        <f>H14/360</f>
        <v>2.7777777777777779E-3</v>
      </c>
      <c r="H14" s="35">
        <v>1</v>
      </c>
      <c r="I14" s="47">
        <v>0.68714000000000008</v>
      </c>
      <c r="J14" s="48">
        <v>0.68714000000000008</v>
      </c>
      <c r="P14" s="54">
        <v>20090301</v>
      </c>
      <c r="Q14" s="55" t="s">
        <v>46</v>
      </c>
      <c r="R14" s="56">
        <v>2.5714000000000001</v>
      </c>
    </row>
    <row r="15" spans="1:18" x14ac:dyDescent="0.2">
      <c r="A15" s="15" t="s">
        <v>60</v>
      </c>
      <c r="B15" s="71" t="s">
        <v>61</v>
      </c>
      <c r="D15" s="22" t="e">
        <v>#VALUE!</v>
      </c>
      <c r="E15" s="26" t="e">
        <v>#VALUE!</v>
      </c>
      <c r="G15" s="9">
        <f>H15/360</f>
        <v>8.3333333333333329E-2</v>
      </c>
      <c r="H15" s="10">
        <v>30</v>
      </c>
      <c r="I15" s="49">
        <v>0.68714000000000008</v>
      </c>
      <c r="J15" s="49">
        <v>0.68714000000000008</v>
      </c>
      <c r="P15" s="54">
        <v>20090301</v>
      </c>
      <c r="Q15" s="55" t="s">
        <v>48</v>
      </c>
      <c r="R15" s="56">
        <v>1</v>
      </c>
    </row>
    <row r="16" spans="1:18" x14ac:dyDescent="0.2">
      <c r="A16" s="15" t="s">
        <v>58</v>
      </c>
      <c r="B16" s="72">
        <v>39892</v>
      </c>
      <c r="D16" s="22" t="e">
        <v>#VALUE!</v>
      </c>
      <c r="E16" s="26" t="e">
        <v>#VALUE!</v>
      </c>
      <c r="G16" s="9">
        <f>H16/360</f>
        <v>0.16666666666666666</v>
      </c>
      <c r="H16" s="10">
        <v>60</v>
      </c>
      <c r="I16" s="49">
        <v>0.61914000000000002</v>
      </c>
      <c r="J16" s="49">
        <v>0.61914000000000002</v>
      </c>
      <c r="P16" s="54">
        <v>20090201</v>
      </c>
      <c r="Q16" s="55" t="s">
        <v>45</v>
      </c>
      <c r="R16" s="56">
        <v>1.14571</v>
      </c>
    </row>
    <row r="17" spans="1:18" x14ac:dyDescent="0.2">
      <c r="A17" s="15" t="s">
        <v>59</v>
      </c>
      <c r="B17" s="71">
        <v>0.5</v>
      </c>
      <c r="D17" s="22" t="e">
        <v>#VALUE!</v>
      </c>
      <c r="E17" s="45" t="e">
        <v>#VALUE!</v>
      </c>
      <c r="G17" s="9">
        <v>0.25</v>
      </c>
      <c r="H17" s="10">
        <f>G17*360</f>
        <v>90</v>
      </c>
      <c r="I17" s="49">
        <v>0.56713999999999998</v>
      </c>
      <c r="J17" s="49">
        <v>0.56713999999999998</v>
      </c>
      <c r="P17" s="54">
        <v>20090121</v>
      </c>
      <c r="Q17" s="55" t="s">
        <v>47</v>
      </c>
      <c r="R17" s="56">
        <v>3</v>
      </c>
    </row>
    <row r="18" spans="1:18" x14ac:dyDescent="0.2">
      <c r="A18" s="15" t="s">
        <v>54</v>
      </c>
      <c r="B18" s="73">
        <v>0.25</v>
      </c>
      <c r="D18" s="22" t="e">
        <v>#VALUE!</v>
      </c>
      <c r="E18" t="e">
        <v>#VALUE!</v>
      </c>
      <c r="G18" s="9">
        <v>0.5</v>
      </c>
      <c r="H18" s="10">
        <f t="shared" ref="H18:H30" si="0">G18*360</f>
        <v>180</v>
      </c>
      <c r="I18" s="49">
        <v>0.46450000000000002</v>
      </c>
      <c r="J18" s="49">
        <v>0.46450000000000002</v>
      </c>
      <c r="P18" s="54"/>
      <c r="Q18" s="55"/>
      <c r="R18" s="56"/>
    </row>
    <row r="19" spans="1:18" x14ac:dyDescent="0.2">
      <c r="A19" s="15" t="s">
        <v>56</v>
      </c>
      <c r="B19" s="73">
        <v>1</v>
      </c>
      <c r="G19" s="9">
        <v>0.75</v>
      </c>
      <c r="H19" s="10">
        <f t="shared" si="0"/>
        <v>270</v>
      </c>
      <c r="I19" s="49">
        <v>0.44838</v>
      </c>
      <c r="J19" s="49">
        <v>0.44838</v>
      </c>
      <c r="P19" s="54"/>
      <c r="Q19" s="55"/>
      <c r="R19" s="56"/>
    </row>
    <row r="20" spans="1:18" x14ac:dyDescent="0.2">
      <c r="A20" s="15" t="s">
        <v>57</v>
      </c>
      <c r="B20" s="73">
        <v>2</v>
      </c>
      <c r="G20" s="11">
        <v>1</v>
      </c>
      <c r="H20" s="10">
        <f t="shared" si="0"/>
        <v>360</v>
      </c>
      <c r="I20" s="49">
        <v>0.47835000000000005</v>
      </c>
      <c r="J20" s="49">
        <v>0.47835000000000005</v>
      </c>
      <c r="P20" s="54"/>
      <c r="Q20" s="55"/>
      <c r="R20" s="56"/>
    </row>
    <row r="21" spans="1:18" x14ac:dyDescent="0.2">
      <c r="A21" s="15" t="s">
        <v>18</v>
      </c>
      <c r="B21" s="42">
        <v>10</v>
      </c>
      <c r="G21" s="12">
        <v>2</v>
      </c>
      <c r="H21" s="10">
        <f t="shared" si="0"/>
        <v>720</v>
      </c>
      <c r="I21" s="49">
        <v>0.85799999999999998</v>
      </c>
      <c r="J21" s="49">
        <v>0.85799999999999998</v>
      </c>
      <c r="P21" s="54"/>
      <c r="Q21" s="55"/>
      <c r="R21" s="56"/>
    </row>
    <row r="22" spans="1:18" x14ac:dyDescent="0.2">
      <c r="A22" s="15" t="s">
        <v>19</v>
      </c>
      <c r="B22" s="42">
        <v>6</v>
      </c>
      <c r="G22" s="12">
        <v>3</v>
      </c>
      <c r="H22" s="10">
        <f t="shared" si="0"/>
        <v>1080</v>
      </c>
      <c r="I22" s="49">
        <v>1.242</v>
      </c>
      <c r="J22" s="49">
        <v>1.242</v>
      </c>
      <c r="P22" s="54"/>
      <c r="Q22" s="55"/>
      <c r="R22" s="56"/>
    </row>
    <row r="23" spans="1:18" x14ac:dyDescent="0.2">
      <c r="A23" s="15" t="s">
        <v>55</v>
      </c>
      <c r="B23" s="42">
        <v>0</v>
      </c>
      <c r="G23" s="12">
        <v>4</v>
      </c>
      <c r="H23" s="10">
        <f t="shared" si="0"/>
        <v>1440</v>
      </c>
      <c r="I23" s="49">
        <v>1.4997500000000001</v>
      </c>
      <c r="J23" s="49">
        <v>1.4997500000000001</v>
      </c>
      <c r="P23" s="54"/>
      <c r="Q23" s="55"/>
      <c r="R23" s="56"/>
    </row>
    <row r="24" spans="1:18" x14ac:dyDescent="0.2">
      <c r="A24" s="15" t="s">
        <v>39</v>
      </c>
      <c r="B24" s="42">
        <v>3</v>
      </c>
      <c r="G24" s="12">
        <v>5</v>
      </c>
      <c r="H24" s="10">
        <f t="shared" si="0"/>
        <v>1800</v>
      </c>
      <c r="I24" s="49">
        <v>1.6975</v>
      </c>
      <c r="J24" s="49">
        <v>1.6975</v>
      </c>
      <c r="P24" s="54"/>
      <c r="Q24" s="55"/>
      <c r="R24" s="56"/>
    </row>
    <row r="25" spans="1:18" x14ac:dyDescent="0.2">
      <c r="A25" s="15" t="s">
        <v>40</v>
      </c>
      <c r="B25" s="42">
        <v>0.25</v>
      </c>
      <c r="G25" s="12">
        <v>7</v>
      </c>
      <c r="H25" s="10">
        <f t="shared" si="0"/>
        <v>2520</v>
      </c>
      <c r="I25" s="49">
        <v>2.1027999999999998</v>
      </c>
      <c r="J25" s="49">
        <v>2.1027999999999998</v>
      </c>
      <c r="P25" s="54"/>
      <c r="Q25" s="55"/>
      <c r="R25" s="56"/>
    </row>
    <row r="26" spans="1:18" x14ac:dyDescent="0.2">
      <c r="A26" s="15" t="s">
        <v>62</v>
      </c>
      <c r="B26" s="44">
        <v>41648</v>
      </c>
      <c r="G26" s="12">
        <v>10</v>
      </c>
      <c r="H26" s="10">
        <f t="shared" si="0"/>
        <v>3600</v>
      </c>
      <c r="I26" s="49">
        <v>2.7069999999999999</v>
      </c>
      <c r="J26" s="49">
        <v>2.7069999999999999</v>
      </c>
      <c r="P26" s="54"/>
      <c r="Q26" s="55"/>
      <c r="R26" s="56"/>
    </row>
    <row r="27" spans="1:18" x14ac:dyDescent="0.2">
      <c r="A27" s="15" t="s">
        <v>20</v>
      </c>
      <c r="B27" s="43">
        <v>1.4999999999999999E-2</v>
      </c>
      <c r="G27" s="12">
        <v>12</v>
      </c>
      <c r="H27" s="10">
        <f t="shared" si="0"/>
        <v>4320</v>
      </c>
      <c r="I27" s="49">
        <v>3.0790999999999999</v>
      </c>
      <c r="J27" s="49">
        <v>3.0790999999999999</v>
      </c>
      <c r="P27" s="54"/>
      <c r="Q27" s="55"/>
      <c r="R27" s="56"/>
    </row>
    <row r="28" spans="1:18" x14ac:dyDescent="0.2">
      <c r="A28" s="15" t="s">
        <v>38</v>
      </c>
      <c r="B28" s="16" t="s">
        <v>36</v>
      </c>
      <c r="G28" s="12">
        <v>15</v>
      </c>
      <c r="H28" s="10">
        <f t="shared" si="0"/>
        <v>5400</v>
      </c>
      <c r="I28" s="49">
        <v>3.5122500000000003</v>
      </c>
      <c r="J28" s="49">
        <v>3.5122500000000003</v>
      </c>
      <c r="P28" s="54"/>
      <c r="Q28" s="55"/>
      <c r="R28" s="56"/>
    </row>
    <row r="29" spans="1:18" x14ac:dyDescent="0.2">
      <c r="A29" s="15" t="s">
        <v>16</v>
      </c>
      <c r="B29" s="18"/>
      <c r="G29" s="12">
        <v>20</v>
      </c>
      <c r="H29" s="10">
        <f t="shared" si="0"/>
        <v>7200</v>
      </c>
      <c r="I29" s="49">
        <v>3.8312499999999998</v>
      </c>
      <c r="J29" s="49">
        <v>3.8312499999999998</v>
      </c>
      <c r="P29" s="54"/>
      <c r="Q29" s="55"/>
      <c r="R29" s="56"/>
    </row>
    <row r="30" spans="1:18" x14ac:dyDescent="0.2">
      <c r="A30" s="15" t="s">
        <v>37</v>
      </c>
      <c r="B30" s="16">
        <v>1</v>
      </c>
      <c r="G30" s="13">
        <v>30</v>
      </c>
      <c r="H30" s="14">
        <f t="shared" si="0"/>
        <v>10800</v>
      </c>
      <c r="I30" s="50">
        <v>3.7167499999999998</v>
      </c>
      <c r="J30" s="50">
        <v>3.7167499999999998</v>
      </c>
      <c r="P30" s="57"/>
      <c r="Q30" s="58"/>
      <c r="R30" s="59"/>
    </row>
    <row r="31" spans="1:18" x14ac:dyDescent="0.2">
      <c r="A31" s="15" t="s">
        <v>49</v>
      </c>
      <c r="B31" s="16">
        <v>1.5</v>
      </c>
      <c r="G31" s="5"/>
      <c r="H31" s="5"/>
      <c r="I31" s="5"/>
      <c r="J31" s="5"/>
    </row>
    <row r="32" spans="1:18" x14ac:dyDescent="0.2">
      <c r="A32" s="15" t="s">
        <v>21</v>
      </c>
      <c r="B32" s="16">
        <v>3</v>
      </c>
      <c r="G32" s="5"/>
      <c r="H32" s="5"/>
      <c r="I32" s="5"/>
      <c r="J32" s="6"/>
    </row>
    <row r="33" spans="1:10" x14ac:dyDescent="0.2">
      <c r="A33" s="15" t="s">
        <v>22</v>
      </c>
      <c r="B33" s="37">
        <v>20000101</v>
      </c>
      <c r="G33" s="5"/>
      <c r="H33" s="28"/>
      <c r="I33" s="5"/>
      <c r="J33" s="6"/>
    </row>
    <row r="34" spans="1:10" x14ac:dyDescent="0.2">
      <c r="G34" s="1"/>
      <c r="H34" s="1"/>
      <c r="I34" s="1"/>
      <c r="J34" s="7"/>
    </row>
  </sheetData>
  <customSheetViews>
    <customSheetView guid="{47E19336-FB32-4056-9A7A-24D0E9146423}" hiddenRows="1" hiddenColumns="1" showRuler="0">
      <selection activeCell="C22" sqref="C22"/>
      <pageMargins left="0.75" right="0.75" top="1" bottom="1" header="0.5" footer="0.5"/>
      <pageSetup orientation="portrait" r:id="rId1"/>
      <headerFooter alignWithMargins="0"/>
    </customSheetView>
    <customSheetView guid="{36817408-ACC6-4F80-81B5-FAD6B11C714D}" hiddenRows="1" hiddenColumns="1" showRuler="0">
      <selection activeCell="E13" sqref="E13"/>
      <pageMargins left="0.75" right="0.75" top="1" bottom="1" header="0.5" footer="0.5"/>
      <pageSetup orientation="portrait" r:id="rId2"/>
      <headerFooter alignWithMargins="0"/>
    </customSheetView>
  </customSheetViews>
  <mergeCells count="3">
    <mergeCell ref="G12:H12"/>
    <mergeCell ref="I12:J12"/>
    <mergeCell ref="A1:B1"/>
  </mergeCells>
  <phoneticPr fontId="0" type="noConversion"/>
  <conditionalFormatting sqref="E11 E17">
    <cfRule type="cellIs" dxfId="1" priority="1" stopIfTrue="1" operator="notEqual">
      <formula>""""""</formula>
    </cfRule>
  </conditionalFormatting>
  <printOptions horizontalCentered="1" headings="1" gridLines="1"/>
  <pageMargins left="0.75" right="0.75" top="1" bottom="1" header="0.5" footer="0.5"/>
  <pageSetup scale="80" orientation="portrait" r:id="rId3"/>
  <headerFooter alignWithMargins="0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83"/>
  <sheetViews>
    <sheetView workbookViewId="0">
      <selection activeCell="E20" sqref="E20"/>
    </sheetView>
  </sheetViews>
  <sheetFormatPr defaultRowHeight="12.75" x14ac:dyDescent="0.2"/>
  <cols>
    <col min="2" max="2" width="16.42578125" customWidth="1"/>
    <col min="3" max="3" width="10.85546875" customWidth="1"/>
    <col min="4" max="4" width="13.28515625" customWidth="1"/>
    <col min="5" max="5" width="15.85546875" bestFit="1" customWidth="1"/>
    <col min="6" max="6" width="19.42578125" style="26" customWidth="1"/>
    <col min="7" max="7" width="13.5703125" customWidth="1"/>
    <col min="9" max="9" width="10.140625" bestFit="1" customWidth="1"/>
    <col min="10" max="11" width="14.7109375" bestFit="1" customWidth="1"/>
    <col min="12" max="12" width="9.42578125" customWidth="1"/>
    <col min="13" max="13" width="12.42578125" style="26" bestFit="1" customWidth="1"/>
    <col min="14" max="14" width="13.140625" bestFit="1" customWidth="1"/>
  </cols>
  <sheetData>
    <row r="1" spans="2:16" ht="18" x14ac:dyDescent="0.25">
      <c r="B1" s="76" t="s">
        <v>25</v>
      </c>
      <c r="C1" s="76"/>
      <c r="D1" s="19"/>
      <c r="E1" s="2" t="s">
        <v>33</v>
      </c>
      <c r="F1" s="16">
        <v>0</v>
      </c>
      <c r="G1" s="38" t="e">
        <f>setholidayon(F1)</f>
        <v>#VALUE!</v>
      </c>
      <c r="I1" s="77" t="s">
        <v>26</v>
      </c>
      <c r="J1" s="77"/>
      <c r="K1" s="77"/>
      <c r="M1" s="26" t="s">
        <v>27</v>
      </c>
      <c r="N1">
        <v>30</v>
      </c>
    </row>
    <row r="2" spans="2:16" ht="18" x14ac:dyDescent="0.25">
      <c r="B2" s="19"/>
      <c r="C2" s="19"/>
      <c r="D2" s="19"/>
      <c r="E2" s="19"/>
      <c r="F2" s="25"/>
      <c r="G2" s="19"/>
      <c r="I2" s="2" t="e">
        <f t="array" ref="I2:K68">GetZeroRates(CrvGenState)</f>
        <v>#VALUE!</v>
      </c>
      <c r="J2" s="2" t="e">
        <v>#VALUE!</v>
      </c>
      <c r="K2" s="2" t="e">
        <v>#VALUE!</v>
      </c>
      <c r="L2" s="2" t="s">
        <v>28</v>
      </c>
      <c r="M2" s="27" t="s">
        <v>29</v>
      </c>
      <c r="N2" s="2" t="s">
        <v>30</v>
      </c>
      <c r="O2" s="2" t="s">
        <v>31</v>
      </c>
      <c r="P2" s="2" t="s">
        <v>32</v>
      </c>
    </row>
    <row r="3" spans="2:16" x14ac:dyDescent="0.2">
      <c r="B3" s="15" t="s">
        <v>7</v>
      </c>
      <c r="C3" s="17">
        <v>39881</v>
      </c>
      <c r="D3" s="60"/>
      <c r="E3" s="20" t="e">
        <f t="array" ref="E3:F18">MtgPrice(MtgInput,CrvGenState, ResetState)</f>
        <v>#VALUE!</v>
      </c>
      <c r="F3" s="61" t="e">
        <v>#VALUE!</v>
      </c>
      <c r="G3" s="60"/>
      <c r="I3" t="e">
        <v>#VALUE!</v>
      </c>
      <c r="J3" s="31" t="e">
        <v>#VALUE!</v>
      </c>
      <c r="K3" s="31" t="e">
        <v>#VALUE!</v>
      </c>
      <c r="L3" t="e">
        <f>(I3+$N$1)/360</f>
        <v>#VALUE!</v>
      </c>
      <c r="M3" s="26" t="e">
        <f t="shared" ref="M3:M34" si="0">DF("COF",CurveDate,L3, CrvGenState)</f>
        <v>#VALUE!</v>
      </c>
      <c r="N3" t="e">
        <f t="shared" ref="N3:N34" si="1">DF("SWP",CurveDate,L3, CrvGenState)</f>
        <v>#VALUE!</v>
      </c>
      <c r="O3" t="e">
        <f>(J3/M3-1)*360/I3</f>
        <v>#VALUE!</v>
      </c>
      <c r="P3" t="e">
        <f>(K3/N3-1)*360/I3</f>
        <v>#VALUE!</v>
      </c>
    </row>
    <row r="4" spans="2:16" x14ac:dyDescent="0.2">
      <c r="B4" s="15" t="s">
        <v>8</v>
      </c>
      <c r="C4" s="16" t="s">
        <v>87</v>
      </c>
      <c r="D4" s="60"/>
      <c r="E4" s="20" t="e">
        <v>#VALUE!</v>
      </c>
      <c r="F4" s="61" t="e">
        <v>#VALUE!</v>
      </c>
      <c r="G4" s="60"/>
      <c r="I4" t="e">
        <v>#VALUE!</v>
      </c>
      <c r="J4" s="31" t="e">
        <v>#VALUE!</v>
      </c>
      <c r="K4" s="31" t="e">
        <v>#VALUE!</v>
      </c>
      <c r="L4" t="e">
        <f t="shared" ref="L4:L63" si="2">(I4+$N$1)/360</f>
        <v>#VALUE!</v>
      </c>
      <c r="M4" s="26" t="e">
        <f t="shared" si="0"/>
        <v>#VALUE!</v>
      </c>
      <c r="N4" t="e">
        <f t="shared" si="1"/>
        <v>#VALUE!</v>
      </c>
      <c r="O4" t="e">
        <f t="shared" ref="O4:O63" si="3">(J4/M4-1)*360/I4</f>
        <v>#VALUE!</v>
      </c>
      <c r="P4" t="e">
        <f t="shared" ref="P4:P63" si="4">(K4/N4-1)*360/I4</f>
        <v>#VALUE!</v>
      </c>
    </row>
    <row r="5" spans="2:16" x14ac:dyDescent="0.2">
      <c r="B5" s="15" t="s">
        <v>9</v>
      </c>
      <c r="C5" s="17">
        <v>39881</v>
      </c>
      <c r="D5" s="16"/>
      <c r="E5" s="21" t="e">
        <v>#VALUE!</v>
      </c>
      <c r="F5" s="23" t="e">
        <v>#VALUE!</v>
      </c>
      <c r="G5" s="16"/>
      <c r="I5" t="e">
        <v>#VALUE!</v>
      </c>
      <c r="J5" s="31" t="e">
        <v>#VALUE!</v>
      </c>
      <c r="K5" s="31" t="e">
        <v>#VALUE!</v>
      </c>
      <c r="L5" t="e">
        <f t="shared" si="2"/>
        <v>#VALUE!</v>
      </c>
      <c r="M5" s="26" t="e">
        <f t="shared" si="0"/>
        <v>#VALUE!</v>
      </c>
      <c r="N5" t="e">
        <f t="shared" si="1"/>
        <v>#VALUE!</v>
      </c>
      <c r="O5" t="e">
        <f t="shared" si="3"/>
        <v>#VALUE!</v>
      </c>
      <c r="P5" t="e">
        <f t="shared" si="4"/>
        <v>#VALUE!</v>
      </c>
    </row>
    <row r="6" spans="2:16" x14ac:dyDescent="0.2">
      <c r="B6" s="15" t="s">
        <v>10</v>
      </c>
      <c r="C6" s="17">
        <v>41707</v>
      </c>
      <c r="D6" s="16"/>
      <c r="E6" s="21" t="e">
        <v>#VALUE!</v>
      </c>
      <c r="F6" s="23" t="e">
        <v>#VALUE!</v>
      </c>
      <c r="G6" s="16"/>
      <c r="I6" t="e">
        <v>#VALUE!</v>
      </c>
      <c r="J6" s="31" t="e">
        <v>#VALUE!</v>
      </c>
      <c r="K6" s="31" t="e">
        <v>#VALUE!</v>
      </c>
      <c r="L6" t="e">
        <f t="shared" si="2"/>
        <v>#VALUE!</v>
      </c>
      <c r="M6" s="26" t="e">
        <f t="shared" si="0"/>
        <v>#VALUE!</v>
      </c>
      <c r="N6" t="e">
        <f t="shared" si="1"/>
        <v>#VALUE!</v>
      </c>
      <c r="O6" t="e">
        <f t="shared" si="3"/>
        <v>#VALUE!</v>
      </c>
      <c r="P6" t="e">
        <f t="shared" si="4"/>
        <v>#VALUE!</v>
      </c>
    </row>
    <row r="7" spans="2:16" x14ac:dyDescent="0.2">
      <c r="B7" s="15" t="s">
        <v>11</v>
      </c>
      <c r="C7" s="16">
        <v>120</v>
      </c>
      <c r="D7" s="16"/>
      <c r="E7" s="21" t="e">
        <v>#VALUE!</v>
      </c>
      <c r="F7" s="23" t="e">
        <v>#VALUE!</v>
      </c>
      <c r="G7" s="16"/>
      <c r="I7" t="e">
        <v>#VALUE!</v>
      </c>
      <c r="J7" s="31" t="e">
        <v>#VALUE!</v>
      </c>
      <c r="K7" s="31" t="e">
        <v>#VALUE!</v>
      </c>
      <c r="L7" t="e">
        <f t="shared" si="2"/>
        <v>#VALUE!</v>
      </c>
      <c r="M7" s="26" t="e">
        <f t="shared" si="0"/>
        <v>#VALUE!</v>
      </c>
      <c r="N7" t="e">
        <f t="shared" si="1"/>
        <v>#VALUE!</v>
      </c>
      <c r="O7" t="e">
        <f t="shared" si="3"/>
        <v>#VALUE!</v>
      </c>
      <c r="P7" t="e">
        <f t="shared" si="4"/>
        <v>#VALUE!</v>
      </c>
    </row>
    <row r="8" spans="2:16" x14ac:dyDescent="0.2">
      <c r="B8" s="15" t="s">
        <v>52</v>
      </c>
      <c r="C8" s="33">
        <v>5000</v>
      </c>
      <c r="D8" s="17"/>
      <c r="E8" s="22" t="e">
        <v>#VALUE!</v>
      </c>
      <c r="F8" s="23" t="e">
        <v>#VALUE!</v>
      </c>
      <c r="G8" s="17"/>
      <c r="I8" t="e">
        <v>#VALUE!</v>
      </c>
      <c r="J8" s="31" t="e">
        <v>#VALUE!</v>
      </c>
      <c r="K8" s="31" t="e">
        <v>#VALUE!</v>
      </c>
      <c r="L8" t="e">
        <f t="shared" si="2"/>
        <v>#VALUE!</v>
      </c>
      <c r="M8" s="26" t="e">
        <f t="shared" si="0"/>
        <v>#VALUE!</v>
      </c>
      <c r="N8" t="e">
        <f t="shared" si="1"/>
        <v>#VALUE!</v>
      </c>
      <c r="O8" t="e">
        <f t="shared" si="3"/>
        <v>#VALUE!</v>
      </c>
      <c r="P8" t="e">
        <f t="shared" si="4"/>
        <v>#VALUE!</v>
      </c>
    </row>
    <row r="9" spans="2:16" x14ac:dyDescent="0.2">
      <c r="B9" s="15" t="s">
        <v>14</v>
      </c>
      <c r="C9" s="16">
        <v>1000000</v>
      </c>
      <c r="D9" s="17"/>
      <c r="E9" s="22" t="e">
        <v>#VALUE!</v>
      </c>
      <c r="F9" s="23" t="e">
        <v>#VALUE!</v>
      </c>
      <c r="G9" s="17"/>
      <c r="I9" t="e">
        <v>#VALUE!</v>
      </c>
      <c r="J9" s="31" t="e">
        <v>#VALUE!</v>
      </c>
      <c r="K9" s="31" t="e">
        <v>#VALUE!</v>
      </c>
      <c r="L9" t="e">
        <f t="shared" si="2"/>
        <v>#VALUE!</v>
      </c>
      <c r="M9" s="26" t="e">
        <f t="shared" si="0"/>
        <v>#VALUE!</v>
      </c>
      <c r="N9" t="e">
        <f t="shared" si="1"/>
        <v>#VALUE!</v>
      </c>
      <c r="O9" t="e">
        <f t="shared" si="3"/>
        <v>#VALUE!</v>
      </c>
      <c r="P9" t="e">
        <f t="shared" si="4"/>
        <v>#VALUE!</v>
      </c>
    </row>
    <row r="10" spans="2:16" x14ac:dyDescent="0.2">
      <c r="B10" s="15" t="s">
        <v>53</v>
      </c>
      <c r="C10" s="16">
        <v>2.5</v>
      </c>
      <c r="D10" s="16"/>
      <c r="E10" s="21" t="e">
        <v>#VALUE!</v>
      </c>
      <c r="F10" s="45" t="e">
        <v>#VALUE!</v>
      </c>
      <c r="G10" s="16"/>
      <c r="I10" t="e">
        <v>#VALUE!</v>
      </c>
      <c r="J10" s="31" t="e">
        <v>#VALUE!</v>
      </c>
      <c r="K10" s="31" t="e">
        <v>#VALUE!</v>
      </c>
      <c r="L10" t="e">
        <f t="shared" si="2"/>
        <v>#VALUE!</v>
      </c>
      <c r="M10" s="26" t="e">
        <f t="shared" si="0"/>
        <v>#VALUE!</v>
      </c>
      <c r="N10" t="e">
        <f t="shared" si="1"/>
        <v>#VALUE!</v>
      </c>
      <c r="O10" t="e">
        <f t="shared" si="3"/>
        <v>#VALUE!</v>
      </c>
      <c r="P10" t="e">
        <f t="shared" si="4"/>
        <v>#VALUE!</v>
      </c>
    </row>
    <row r="11" spans="2:16" x14ac:dyDescent="0.2">
      <c r="B11" s="15" t="s">
        <v>15</v>
      </c>
      <c r="C11" s="16">
        <v>3</v>
      </c>
      <c r="D11" s="17"/>
      <c r="E11" s="22" t="e">
        <v>#VALUE!</v>
      </c>
      <c r="F11" s="45" t="e">
        <v>#VALUE!</v>
      </c>
      <c r="G11" s="17"/>
      <c r="I11" t="e">
        <v>#VALUE!</v>
      </c>
      <c r="J11" s="31" t="e">
        <v>#VALUE!</v>
      </c>
      <c r="K11" s="31" t="e">
        <v>#VALUE!</v>
      </c>
      <c r="L11" t="e">
        <f t="shared" si="2"/>
        <v>#VALUE!</v>
      </c>
      <c r="M11" s="26" t="e">
        <f t="shared" si="0"/>
        <v>#VALUE!</v>
      </c>
      <c r="N11" t="e">
        <f t="shared" si="1"/>
        <v>#VALUE!</v>
      </c>
      <c r="O11" t="e">
        <f t="shared" si="3"/>
        <v>#VALUE!</v>
      </c>
      <c r="P11" t="e">
        <f t="shared" si="4"/>
        <v>#VALUE!</v>
      </c>
    </row>
    <row r="12" spans="2:16" x14ac:dyDescent="0.2">
      <c r="B12" s="15" t="s">
        <v>50</v>
      </c>
      <c r="C12" s="16" t="s">
        <v>4</v>
      </c>
      <c r="D12" s="16"/>
      <c r="E12" s="22" t="e">
        <v>#VALUE!</v>
      </c>
      <c r="F12" t="e">
        <v>#VALUE!</v>
      </c>
      <c r="G12" s="16"/>
      <c r="I12" t="e">
        <v>#VALUE!</v>
      </c>
      <c r="J12" s="31" t="e">
        <v>#VALUE!</v>
      </c>
      <c r="K12" s="31" t="e">
        <v>#VALUE!</v>
      </c>
      <c r="L12" t="e">
        <f t="shared" si="2"/>
        <v>#VALUE!</v>
      </c>
      <c r="M12" s="26" t="e">
        <f t="shared" si="0"/>
        <v>#VALUE!</v>
      </c>
      <c r="N12" t="e">
        <f t="shared" si="1"/>
        <v>#VALUE!</v>
      </c>
      <c r="O12" t="e">
        <f t="shared" si="3"/>
        <v>#VALUE!</v>
      </c>
      <c r="P12" t="e">
        <f t="shared" si="4"/>
        <v>#VALUE!</v>
      </c>
    </row>
    <row r="13" spans="2:16" x14ac:dyDescent="0.2">
      <c r="B13" s="15" t="s">
        <v>51</v>
      </c>
      <c r="C13" s="18" t="s">
        <v>0</v>
      </c>
      <c r="D13" s="16"/>
      <c r="E13" s="22" t="e">
        <v>#VALUE!</v>
      </c>
      <c r="F13" t="e">
        <v>#VALUE!</v>
      </c>
      <c r="G13" s="16"/>
      <c r="I13" t="e">
        <v>#VALUE!</v>
      </c>
      <c r="J13" s="31" t="e">
        <v>#VALUE!</v>
      </c>
      <c r="K13" s="31" t="e">
        <v>#VALUE!</v>
      </c>
      <c r="L13" t="e">
        <f t="shared" si="2"/>
        <v>#VALUE!</v>
      </c>
      <c r="M13" s="26" t="e">
        <f t="shared" si="0"/>
        <v>#VALUE!</v>
      </c>
      <c r="N13" t="e">
        <f t="shared" si="1"/>
        <v>#VALUE!</v>
      </c>
      <c r="O13" t="e">
        <f t="shared" si="3"/>
        <v>#VALUE!</v>
      </c>
      <c r="P13" t="e">
        <f t="shared" si="4"/>
        <v>#VALUE!</v>
      </c>
    </row>
    <row r="14" spans="2:16" x14ac:dyDescent="0.2">
      <c r="B14" s="15" t="s">
        <v>17</v>
      </c>
      <c r="C14" s="16">
        <v>300</v>
      </c>
      <c r="D14" s="16"/>
      <c r="E14" s="22" t="e">
        <v>#VALUE!</v>
      </c>
      <c r="F14" s="26" t="e">
        <v>#VALUE!</v>
      </c>
      <c r="G14" s="16"/>
      <c r="I14" t="e">
        <v>#VALUE!</v>
      </c>
      <c r="J14" s="31" t="e">
        <v>#VALUE!</v>
      </c>
      <c r="K14" s="31" t="e">
        <v>#VALUE!</v>
      </c>
      <c r="L14" t="e">
        <f t="shared" si="2"/>
        <v>#VALUE!</v>
      </c>
      <c r="M14" s="26" t="e">
        <f t="shared" si="0"/>
        <v>#VALUE!</v>
      </c>
      <c r="N14" t="e">
        <f t="shared" si="1"/>
        <v>#VALUE!</v>
      </c>
      <c r="O14" t="e">
        <f t="shared" si="3"/>
        <v>#VALUE!</v>
      </c>
      <c r="P14" t="e">
        <f t="shared" si="4"/>
        <v>#VALUE!</v>
      </c>
    </row>
    <row r="15" spans="2:16" x14ac:dyDescent="0.2">
      <c r="B15" s="15" t="s">
        <v>60</v>
      </c>
      <c r="C15" s="71" t="s">
        <v>61</v>
      </c>
      <c r="D15" s="16"/>
      <c r="E15" s="22" t="e">
        <v>#VALUE!</v>
      </c>
      <c r="F15" s="26" t="e">
        <v>#VALUE!</v>
      </c>
      <c r="G15" s="16"/>
      <c r="I15" t="e">
        <v>#VALUE!</v>
      </c>
      <c r="J15" s="31" t="e">
        <v>#VALUE!</v>
      </c>
      <c r="K15" s="31" t="e">
        <v>#VALUE!</v>
      </c>
      <c r="L15" t="e">
        <f t="shared" si="2"/>
        <v>#VALUE!</v>
      </c>
      <c r="M15" s="26" t="e">
        <f t="shared" si="0"/>
        <v>#VALUE!</v>
      </c>
      <c r="N15" t="e">
        <f t="shared" si="1"/>
        <v>#VALUE!</v>
      </c>
      <c r="O15" t="e">
        <f t="shared" si="3"/>
        <v>#VALUE!</v>
      </c>
      <c r="P15" t="e">
        <f t="shared" si="4"/>
        <v>#VALUE!</v>
      </c>
    </row>
    <row r="16" spans="2:16" x14ac:dyDescent="0.2">
      <c r="B16" s="15" t="s">
        <v>58</v>
      </c>
      <c r="C16" s="72">
        <v>39892</v>
      </c>
      <c r="D16" s="16"/>
      <c r="E16" s="22" t="e">
        <v>#VALUE!</v>
      </c>
      <c r="F16" s="26" t="e">
        <v>#VALUE!</v>
      </c>
      <c r="G16" s="16"/>
      <c r="I16" t="e">
        <v>#VALUE!</v>
      </c>
      <c r="J16" s="31" t="e">
        <v>#VALUE!</v>
      </c>
      <c r="K16" s="31" t="e">
        <v>#VALUE!</v>
      </c>
      <c r="L16" t="e">
        <f t="shared" si="2"/>
        <v>#VALUE!</v>
      </c>
      <c r="M16" s="26" t="e">
        <f t="shared" si="0"/>
        <v>#VALUE!</v>
      </c>
      <c r="N16" t="e">
        <f t="shared" si="1"/>
        <v>#VALUE!</v>
      </c>
      <c r="O16" t="e">
        <f t="shared" si="3"/>
        <v>#VALUE!</v>
      </c>
      <c r="P16" t="e">
        <f t="shared" si="4"/>
        <v>#VALUE!</v>
      </c>
    </row>
    <row r="17" spans="2:16" x14ac:dyDescent="0.2">
      <c r="B17" s="15" t="s">
        <v>59</v>
      </c>
      <c r="C17" s="71">
        <v>0.5</v>
      </c>
      <c r="D17" s="18"/>
      <c r="E17" s="22" t="e">
        <v>#VALUE!</v>
      </c>
      <c r="F17" s="45" t="e">
        <v>#VALUE!</v>
      </c>
      <c r="G17" s="18"/>
      <c r="I17" t="e">
        <v>#VALUE!</v>
      </c>
      <c r="J17" s="31" t="e">
        <v>#VALUE!</v>
      </c>
      <c r="K17" s="31" t="e">
        <v>#VALUE!</v>
      </c>
      <c r="L17" t="e">
        <f t="shared" si="2"/>
        <v>#VALUE!</v>
      </c>
      <c r="M17" s="26" t="e">
        <f t="shared" si="0"/>
        <v>#VALUE!</v>
      </c>
      <c r="N17" t="e">
        <f t="shared" si="1"/>
        <v>#VALUE!</v>
      </c>
      <c r="O17" t="e">
        <f t="shared" si="3"/>
        <v>#VALUE!</v>
      </c>
      <c r="P17" t="e">
        <f t="shared" si="4"/>
        <v>#VALUE!</v>
      </c>
    </row>
    <row r="18" spans="2:16" x14ac:dyDescent="0.2">
      <c r="B18" s="15" t="s">
        <v>54</v>
      </c>
      <c r="C18" s="73">
        <v>0.25</v>
      </c>
      <c r="D18" s="16"/>
      <c r="E18" s="22" t="e">
        <v>#VALUE!</v>
      </c>
      <c r="F18" t="e">
        <v>#VALUE!</v>
      </c>
      <c r="G18" s="16"/>
      <c r="I18" t="e">
        <v>#VALUE!</v>
      </c>
      <c r="J18" s="31" t="e">
        <v>#VALUE!</v>
      </c>
      <c r="K18" s="31" t="e">
        <v>#VALUE!</v>
      </c>
      <c r="L18" t="e">
        <f t="shared" si="2"/>
        <v>#VALUE!</v>
      </c>
      <c r="M18" s="26" t="e">
        <f t="shared" si="0"/>
        <v>#VALUE!</v>
      </c>
      <c r="N18" t="e">
        <f t="shared" si="1"/>
        <v>#VALUE!</v>
      </c>
      <c r="O18" t="e">
        <f t="shared" si="3"/>
        <v>#VALUE!</v>
      </c>
      <c r="P18" t="e">
        <f t="shared" si="4"/>
        <v>#VALUE!</v>
      </c>
    </row>
    <row r="19" spans="2:16" x14ac:dyDescent="0.2">
      <c r="B19" s="15" t="s">
        <v>56</v>
      </c>
      <c r="C19" s="73">
        <v>1</v>
      </c>
      <c r="D19" s="18"/>
      <c r="F19"/>
      <c r="G19" s="18"/>
      <c r="I19" t="e">
        <v>#VALUE!</v>
      </c>
      <c r="J19" s="31" t="e">
        <v>#VALUE!</v>
      </c>
      <c r="K19" s="31" t="e">
        <v>#VALUE!</v>
      </c>
      <c r="L19" t="e">
        <f t="shared" si="2"/>
        <v>#VALUE!</v>
      </c>
      <c r="M19" s="26" t="e">
        <f t="shared" si="0"/>
        <v>#VALUE!</v>
      </c>
      <c r="N19" t="e">
        <f t="shared" si="1"/>
        <v>#VALUE!</v>
      </c>
      <c r="O19" t="e">
        <f t="shared" si="3"/>
        <v>#VALUE!</v>
      </c>
      <c r="P19" t="e">
        <f t="shared" si="4"/>
        <v>#VALUE!</v>
      </c>
    </row>
    <row r="20" spans="2:16" x14ac:dyDescent="0.2">
      <c r="B20" s="15" t="s">
        <v>57</v>
      </c>
      <c r="C20" s="73">
        <v>2</v>
      </c>
      <c r="D20" s="16"/>
      <c r="F20"/>
      <c r="G20" s="16"/>
      <c r="I20" t="e">
        <v>#VALUE!</v>
      </c>
      <c r="J20" s="31" t="e">
        <v>#VALUE!</v>
      </c>
      <c r="K20" s="31" t="e">
        <v>#VALUE!</v>
      </c>
      <c r="L20" t="e">
        <f t="shared" si="2"/>
        <v>#VALUE!</v>
      </c>
      <c r="M20" s="26" t="e">
        <f t="shared" si="0"/>
        <v>#VALUE!</v>
      </c>
      <c r="N20" t="e">
        <f t="shared" si="1"/>
        <v>#VALUE!</v>
      </c>
      <c r="O20" t="e">
        <f t="shared" si="3"/>
        <v>#VALUE!</v>
      </c>
      <c r="P20" t="e">
        <f t="shared" si="4"/>
        <v>#VALUE!</v>
      </c>
    </row>
    <row r="21" spans="2:16" x14ac:dyDescent="0.2">
      <c r="B21" s="15" t="s">
        <v>18</v>
      </c>
      <c r="C21" s="42">
        <v>10</v>
      </c>
      <c r="D21" s="16"/>
      <c r="F21"/>
      <c r="G21" s="16"/>
      <c r="I21" t="e">
        <v>#VALUE!</v>
      </c>
      <c r="J21" s="31" t="e">
        <v>#VALUE!</v>
      </c>
      <c r="K21" s="31" t="e">
        <v>#VALUE!</v>
      </c>
      <c r="L21" t="e">
        <f t="shared" si="2"/>
        <v>#VALUE!</v>
      </c>
      <c r="M21" s="26" t="e">
        <f t="shared" si="0"/>
        <v>#VALUE!</v>
      </c>
      <c r="N21" t="e">
        <f t="shared" si="1"/>
        <v>#VALUE!</v>
      </c>
      <c r="O21" t="e">
        <f t="shared" si="3"/>
        <v>#VALUE!</v>
      </c>
      <c r="P21" t="e">
        <f t="shared" si="4"/>
        <v>#VALUE!</v>
      </c>
    </row>
    <row r="22" spans="2:16" x14ac:dyDescent="0.2">
      <c r="B22" s="15" t="s">
        <v>19</v>
      </c>
      <c r="C22" s="42">
        <v>6</v>
      </c>
      <c r="D22" s="16"/>
      <c r="F22" s="32"/>
      <c r="G22" s="16"/>
      <c r="I22" t="e">
        <v>#VALUE!</v>
      </c>
      <c r="J22" s="31" t="e">
        <v>#VALUE!</v>
      </c>
      <c r="K22" s="31" t="e">
        <v>#VALUE!</v>
      </c>
      <c r="L22" t="e">
        <f t="shared" si="2"/>
        <v>#VALUE!</v>
      </c>
      <c r="M22" s="26" t="e">
        <f t="shared" si="0"/>
        <v>#VALUE!</v>
      </c>
      <c r="N22" t="e">
        <f t="shared" si="1"/>
        <v>#VALUE!</v>
      </c>
      <c r="O22" t="e">
        <f t="shared" si="3"/>
        <v>#VALUE!</v>
      </c>
      <c r="P22" t="e">
        <f t="shared" si="4"/>
        <v>#VALUE!</v>
      </c>
    </row>
    <row r="23" spans="2:16" x14ac:dyDescent="0.2">
      <c r="B23" s="15" t="s">
        <v>55</v>
      </c>
      <c r="C23" s="42">
        <v>0</v>
      </c>
      <c r="D23" s="16"/>
      <c r="F23" s="32"/>
      <c r="G23" s="30"/>
      <c r="I23" t="e">
        <v>#VALUE!</v>
      </c>
      <c r="J23" s="31" t="e">
        <v>#VALUE!</v>
      </c>
      <c r="K23" s="31" t="e">
        <v>#VALUE!</v>
      </c>
      <c r="L23" t="e">
        <f t="shared" si="2"/>
        <v>#VALUE!</v>
      </c>
      <c r="M23" s="26" t="e">
        <f t="shared" si="0"/>
        <v>#VALUE!</v>
      </c>
      <c r="N23" t="e">
        <f t="shared" si="1"/>
        <v>#VALUE!</v>
      </c>
      <c r="O23" t="e">
        <f t="shared" si="3"/>
        <v>#VALUE!</v>
      </c>
      <c r="P23" t="e">
        <f t="shared" si="4"/>
        <v>#VALUE!</v>
      </c>
    </row>
    <row r="24" spans="2:16" x14ac:dyDescent="0.2">
      <c r="B24" s="15" t="s">
        <v>39</v>
      </c>
      <c r="C24" s="42">
        <v>3</v>
      </c>
      <c r="I24" t="e">
        <v>#VALUE!</v>
      </c>
      <c r="J24" s="31" t="e">
        <v>#VALUE!</v>
      </c>
      <c r="K24" s="31" t="e">
        <v>#VALUE!</v>
      </c>
      <c r="L24" t="e">
        <f t="shared" si="2"/>
        <v>#VALUE!</v>
      </c>
      <c r="M24" s="26" t="e">
        <f t="shared" si="0"/>
        <v>#VALUE!</v>
      </c>
      <c r="N24" t="e">
        <f t="shared" si="1"/>
        <v>#VALUE!</v>
      </c>
      <c r="O24" t="e">
        <f t="shared" si="3"/>
        <v>#VALUE!</v>
      </c>
      <c r="P24" t="e">
        <f t="shared" si="4"/>
        <v>#VALUE!</v>
      </c>
    </row>
    <row r="25" spans="2:16" x14ac:dyDescent="0.2">
      <c r="B25" s="15" t="s">
        <v>40</v>
      </c>
      <c r="C25" s="42">
        <v>0.25</v>
      </c>
      <c r="D25" s="16" t="s">
        <v>36</v>
      </c>
      <c r="G25" s="30"/>
      <c r="I25" t="e">
        <v>#VALUE!</v>
      </c>
      <c r="J25" s="31" t="e">
        <v>#VALUE!</v>
      </c>
      <c r="K25" s="31" t="e">
        <v>#VALUE!</v>
      </c>
      <c r="L25" t="e">
        <f t="shared" si="2"/>
        <v>#VALUE!</v>
      </c>
      <c r="M25" s="26" t="e">
        <f t="shared" si="0"/>
        <v>#VALUE!</v>
      </c>
      <c r="N25" t="e">
        <f t="shared" si="1"/>
        <v>#VALUE!</v>
      </c>
      <c r="O25" t="e">
        <f t="shared" si="3"/>
        <v>#VALUE!</v>
      </c>
      <c r="P25" t="e">
        <f t="shared" si="4"/>
        <v>#VALUE!</v>
      </c>
    </row>
    <row r="26" spans="2:16" x14ac:dyDescent="0.2">
      <c r="B26" s="15" t="s">
        <v>62</v>
      </c>
      <c r="C26" s="44">
        <v>41648</v>
      </c>
      <c r="D26" s="16"/>
      <c r="G26" s="30"/>
      <c r="I26" t="e">
        <v>#VALUE!</v>
      </c>
      <c r="J26" s="31" t="e">
        <v>#VALUE!</v>
      </c>
      <c r="K26" s="31" t="e">
        <v>#VALUE!</v>
      </c>
      <c r="L26" t="e">
        <f t="shared" si="2"/>
        <v>#VALUE!</v>
      </c>
      <c r="M26" s="26" t="e">
        <f t="shared" si="0"/>
        <v>#VALUE!</v>
      </c>
      <c r="N26" t="e">
        <f t="shared" si="1"/>
        <v>#VALUE!</v>
      </c>
      <c r="O26" t="e">
        <f t="shared" si="3"/>
        <v>#VALUE!</v>
      </c>
      <c r="P26" t="e">
        <f t="shared" si="4"/>
        <v>#VALUE!</v>
      </c>
    </row>
    <row r="27" spans="2:16" x14ac:dyDescent="0.2">
      <c r="B27" s="15" t="s">
        <v>20</v>
      </c>
      <c r="C27" s="43">
        <v>1.4999999999999999E-2</v>
      </c>
      <c r="D27" s="16"/>
      <c r="G27" s="30"/>
      <c r="I27" t="e">
        <v>#VALUE!</v>
      </c>
      <c r="J27" s="31" t="e">
        <v>#VALUE!</v>
      </c>
      <c r="K27" s="31" t="e">
        <v>#VALUE!</v>
      </c>
      <c r="L27" t="e">
        <f t="shared" si="2"/>
        <v>#VALUE!</v>
      </c>
      <c r="M27" s="26" t="e">
        <f t="shared" si="0"/>
        <v>#VALUE!</v>
      </c>
      <c r="N27" t="e">
        <f t="shared" si="1"/>
        <v>#VALUE!</v>
      </c>
      <c r="O27" t="e">
        <f t="shared" si="3"/>
        <v>#VALUE!</v>
      </c>
      <c r="P27" t="e">
        <f t="shared" si="4"/>
        <v>#VALUE!</v>
      </c>
    </row>
    <row r="28" spans="2:16" x14ac:dyDescent="0.2">
      <c r="B28" s="15" t="s">
        <v>38</v>
      </c>
      <c r="C28" s="16" t="s">
        <v>36</v>
      </c>
      <c r="D28" s="16"/>
      <c r="E28" s="16"/>
      <c r="F28" s="30"/>
      <c r="G28" s="30"/>
      <c r="I28" t="e">
        <v>#VALUE!</v>
      </c>
      <c r="J28" s="31" t="e">
        <v>#VALUE!</v>
      </c>
      <c r="K28" s="31" t="e">
        <v>#VALUE!</v>
      </c>
      <c r="L28" t="e">
        <f t="shared" si="2"/>
        <v>#VALUE!</v>
      </c>
      <c r="M28" s="26" t="e">
        <f t="shared" si="0"/>
        <v>#VALUE!</v>
      </c>
      <c r="N28" t="e">
        <f t="shared" si="1"/>
        <v>#VALUE!</v>
      </c>
      <c r="O28" t="e">
        <f t="shared" si="3"/>
        <v>#VALUE!</v>
      </c>
      <c r="P28" t="e">
        <f t="shared" si="4"/>
        <v>#VALUE!</v>
      </c>
    </row>
    <row r="29" spans="2:16" x14ac:dyDescent="0.2">
      <c r="B29" s="15" t="s">
        <v>16</v>
      </c>
      <c r="C29" s="18"/>
      <c r="F29" s="31"/>
      <c r="G29" s="31"/>
      <c r="I29" t="e">
        <v>#VALUE!</v>
      </c>
      <c r="J29" s="31" t="e">
        <v>#VALUE!</v>
      </c>
      <c r="K29" s="31" t="e">
        <v>#VALUE!</v>
      </c>
      <c r="L29" t="e">
        <f t="shared" si="2"/>
        <v>#VALUE!</v>
      </c>
      <c r="M29" s="26" t="e">
        <f t="shared" si="0"/>
        <v>#VALUE!</v>
      </c>
      <c r="N29" t="e">
        <f t="shared" si="1"/>
        <v>#VALUE!</v>
      </c>
      <c r="O29" t="e">
        <f t="shared" si="3"/>
        <v>#VALUE!</v>
      </c>
      <c r="P29" t="e">
        <f t="shared" si="4"/>
        <v>#VALUE!</v>
      </c>
    </row>
    <row r="30" spans="2:16" x14ac:dyDescent="0.2">
      <c r="B30" s="15" t="s">
        <v>37</v>
      </c>
      <c r="C30" s="16">
        <v>1</v>
      </c>
      <c r="F30" s="31"/>
      <c r="G30" s="31"/>
      <c r="I30" t="e">
        <v>#VALUE!</v>
      </c>
      <c r="J30" s="31" t="e">
        <v>#VALUE!</v>
      </c>
      <c r="K30" s="31" t="e">
        <v>#VALUE!</v>
      </c>
      <c r="L30" t="e">
        <f t="shared" si="2"/>
        <v>#VALUE!</v>
      </c>
      <c r="M30" s="26" t="e">
        <f t="shared" si="0"/>
        <v>#VALUE!</v>
      </c>
      <c r="N30" t="e">
        <f t="shared" si="1"/>
        <v>#VALUE!</v>
      </c>
      <c r="O30" t="e">
        <f t="shared" si="3"/>
        <v>#VALUE!</v>
      </c>
      <c r="P30" t="e">
        <f t="shared" si="4"/>
        <v>#VALUE!</v>
      </c>
    </row>
    <row r="31" spans="2:16" x14ac:dyDescent="0.2">
      <c r="B31" s="15" t="s">
        <v>49</v>
      </c>
      <c r="C31" s="16">
        <v>-1</v>
      </c>
      <c r="F31" s="31"/>
      <c r="G31" s="31"/>
      <c r="I31" t="e">
        <v>#VALUE!</v>
      </c>
      <c r="J31" s="31" t="e">
        <v>#VALUE!</v>
      </c>
      <c r="K31" s="31" t="e">
        <v>#VALUE!</v>
      </c>
      <c r="L31" t="e">
        <f t="shared" si="2"/>
        <v>#VALUE!</v>
      </c>
      <c r="M31" s="26" t="e">
        <f t="shared" si="0"/>
        <v>#VALUE!</v>
      </c>
      <c r="N31" t="e">
        <f t="shared" si="1"/>
        <v>#VALUE!</v>
      </c>
      <c r="O31" t="e">
        <f t="shared" si="3"/>
        <v>#VALUE!</v>
      </c>
      <c r="P31" t="e">
        <f t="shared" si="4"/>
        <v>#VALUE!</v>
      </c>
    </row>
    <row r="32" spans="2:16" x14ac:dyDescent="0.2">
      <c r="B32" s="15" t="s">
        <v>21</v>
      </c>
      <c r="C32" s="16">
        <v>1.5</v>
      </c>
      <c r="F32" s="31"/>
      <c r="G32" s="31"/>
      <c r="I32" t="e">
        <v>#VALUE!</v>
      </c>
      <c r="J32" s="31" t="e">
        <v>#VALUE!</v>
      </c>
      <c r="K32" s="31" t="e">
        <v>#VALUE!</v>
      </c>
      <c r="L32" t="e">
        <f t="shared" si="2"/>
        <v>#VALUE!</v>
      </c>
      <c r="M32" s="26" t="e">
        <f t="shared" si="0"/>
        <v>#VALUE!</v>
      </c>
      <c r="N32" t="e">
        <f t="shared" si="1"/>
        <v>#VALUE!</v>
      </c>
      <c r="O32" t="e">
        <f t="shared" si="3"/>
        <v>#VALUE!</v>
      </c>
      <c r="P32" t="e">
        <f t="shared" si="4"/>
        <v>#VALUE!</v>
      </c>
    </row>
    <row r="33" spans="2:16" x14ac:dyDescent="0.2">
      <c r="B33" s="15" t="s">
        <v>22</v>
      </c>
      <c r="C33" s="37">
        <v>20000101</v>
      </c>
      <c r="F33" s="31"/>
      <c r="G33" s="31"/>
      <c r="I33" t="e">
        <v>#VALUE!</v>
      </c>
      <c r="J33" s="31" t="e">
        <v>#VALUE!</v>
      </c>
      <c r="K33" s="31" t="e">
        <v>#VALUE!</v>
      </c>
      <c r="L33" t="e">
        <f t="shared" si="2"/>
        <v>#VALUE!</v>
      </c>
      <c r="M33" s="26" t="e">
        <f t="shared" si="0"/>
        <v>#VALUE!</v>
      </c>
      <c r="N33" t="e">
        <f t="shared" si="1"/>
        <v>#VALUE!</v>
      </c>
      <c r="O33" t="e">
        <f t="shared" si="3"/>
        <v>#VALUE!</v>
      </c>
      <c r="P33" t="e">
        <f t="shared" si="4"/>
        <v>#VALUE!</v>
      </c>
    </row>
    <row r="34" spans="2:16" x14ac:dyDescent="0.2">
      <c r="F34" s="31"/>
      <c r="G34" s="31"/>
      <c r="I34" t="e">
        <v>#VALUE!</v>
      </c>
      <c r="J34" s="31" t="e">
        <v>#VALUE!</v>
      </c>
      <c r="K34" s="31" t="e">
        <v>#VALUE!</v>
      </c>
      <c r="L34" t="e">
        <f t="shared" si="2"/>
        <v>#VALUE!</v>
      </c>
      <c r="M34" s="26" t="e">
        <f t="shared" si="0"/>
        <v>#VALUE!</v>
      </c>
      <c r="N34" t="e">
        <f t="shared" si="1"/>
        <v>#VALUE!</v>
      </c>
      <c r="O34" t="e">
        <f t="shared" si="3"/>
        <v>#VALUE!</v>
      </c>
      <c r="P34" t="e">
        <f t="shared" si="4"/>
        <v>#VALUE!</v>
      </c>
    </row>
    <row r="35" spans="2:16" x14ac:dyDescent="0.2">
      <c r="F35" s="31"/>
      <c r="G35" s="31"/>
      <c r="I35" t="e">
        <v>#VALUE!</v>
      </c>
      <c r="J35" s="31" t="e">
        <v>#VALUE!</v>
      </c>
      <c r="K35" s="31" t="e">
        <v>#VALUE!</v>
      </c>
      <c r="L35" t="e">
        <f t="shared" si="2"/>
        <v>#VALUE!</v>
      </c>
      <c r="M35" s="26" t="e">
        <f t="shared" ref="M35:M63" si="5">DF("COF",CurveDate,L35, CrvGenState)</f>
        <v>#VALUE!</v>
      </c>
      <c r="N35" t="e">
        <f t="shared" ref="N35:N63" si="6">DF("SWP",CurveDate,L35, CrvGenState)</f>
        <v>#VALUE!</v>
      </c>
      <c r="O35" t="e">
        <f t="shared" si="3"/>
        <v>#VALUE!</v>
      </c>
      <c r="P35" t="e">
        <f t="shared" si="4"/>
        <v>#VALUE!</v>
      </c>
    </row>
    <row r="36" spans="2:16" x14ac:dyDescent="0.2">
      <c r="F36" s="31"/>
      <c r="G36" s="31"/>
      <c r="I36" t="e">
        <v>#VALUE!</v>
      </c>
      <c r="J36" s="31" t="e">
        <v>#VALUE!</v>
      </c>
      <c r="K36" s="31" t="e">
        <v>#VALUE!</v>
      </c>
      <c r="L36" t="e">
        <f t="shared" si="2"/>
        <v>#VALUE!</v>
      </c>
      <c r="M36" s="26" t="e">
        <f t="shared" si="5"/>
        <v>#VALUE!</v>
      </c>
      <c r="N36" t="e">
        <f t="shared" si="6"/>
        <v>#VALUE!</v>
      </c>
      <c r="O36" t="e">
        <f t="shared" si="3"/>
        <v>#VALUE!</v>
      </c>
      <c r="P36" t="e">
        <f t="shared" si="4"/>
        <v>#VALUE!</v>
      </c>
    </row>
    <row r="37" spans="2:16" x14ac:dyDescent="0.2">
      <c r="F37" s="31"/>
      <c r="G37" s="31"/>
      <c r="I37" t="e">
        <v>#VALUE!</v>
      </c>
      <c r="J37" s="31" t="e">
        <v>#VALUE!</v>
      </c>
      <c r="K37" s="31" t="e">
        <v>#VALUE!</v>
      </c>
      <c r="L37" t="e">
        <f t="shared" si="2"/>
        <v>#VALUE!</v>
      </c>
      <c r="M37" s="26" t="e">
        <f t="shared" si="5"/>
        <v>#VALUE!</v>
      </c>
      <c r="N37" t="e">
        <f t="shared" si="6"/>
        <v>#VALUE!</v>
      </c>
      <c r="O37" t="e">
        <f t="shared" si="3"/>
        <v>#VALUE!</v>
      </c>
      <c r="P37" t="e">
        <f t="shared" si="4"/>
        <v>#VALUE!</v>
      </c>
    </row>
    <row r="38" spans="2:16" x14ac:dyDescent="0.2">
      <c r="F38" s="31"/>
      <c r="G38" s="31"/>
      <c r="I38" t="e">
        <v>#VALUE!</v>
      </c>
      <c r="J38" s="31" t="e">
        <v>#VALUE!</v>
      </c>
      <c r="K38" s="31" t="e">
        <v>#VALUE!</v>
      </c>
      <c r="L38" t="e">
        <f t="shared" si="2"/>
        <v>#VALUE!</v>
      </c>
      <c r="M38" s="26" t="e">
        <f t="shared" si="5"/>
        <v>#VALUE!</v>
      </c>
      <c r="N38" t="e">
        <f t="shared" si="6"/>
        <v>#VALUE!</v>
      </c>
      <c r="O38" t="e">
        <f t="shared" si="3"/>
        <v>#VALUE!</v>
      </c>
      <c r="P38" t="e">
        <f t="shared" si="4"/>
        <v>#VALUE!</v>
      </c>
    </row>
    <row r="39" spans="2:16" x14ac:dyDescent="0.2">
      <c r="F39" s="31"/>
      <c r="G39" s="31"/>
      <c r="I39" t="e">
        <v>#VALUE!</v>
      </c>
      <c r="J39" s="31" t="e">
        <v>#VALUE!</v>
      </c>
      <c r="K39" s="31" t="e">
        <v>#VALUE!</v>
      </c>
      <c r="L39" t="e">
        <f t="shared" si="2"/>
        <v>#VALUE!</v>
      </c>
      <c r="M39" s="26" t="e">
        <f t="shared" si="5"/>
        <v>#VALUE!</v>
      </c>
      <c r="N39" t="e">
        <f t="shared" si="6"/>
        <v>#VALUE!</v>
      </c>
      <c r="O39" t="e">
        <f t="shared" si="3"/>
        <v>#VALUE!</v>
      </c>
      <c r="P39" t="e">
        <f t="shared" si="4"/>
        <v>#VALUE!</v>
      </c>
    </row>
    <row r="40" spans="2:16" x14ac:dyDescent="0.2">
      <c r="F40" s="31"/>
      <c r="G40" s="31"/>
      <c r="I40" t="e">
        <v>#VALUE!</v>
      </c>
      <c r="J40" s="31" t="e">
        <v>#VALUE!</v>
      </c>
      <c r="K40" s="31" t="e">
        <v>#VALUE!</v>
      </c>
      <c r="L40" t="e">
        <f t="shared" si="2"/>
        <v>#VALUE!</v>
      </c>
      <c r="M40" s="26" t="e">
        <f t="shared" si="5"/>
        <v>#VALUE!</v>
      </c>
      <c r="N40" t="e">
        <f t="shared" si="6"/>
        <v>#VALUE!</v>
      </c>
      <c r="O40" t="e">
        <f t="shared" si="3"/>
        <v>#VALUE!</v>
      </c>
      <c r="P40" t="e">
        <f t="shared" si="4"/>
        <v>#VALUE!</v>
      </c>
    </row>
    <row r="41" spans="2:16" x14ac:dyDescent="0.2">
      <c r="F41" s="31"/>
      <c r="G41" s="31"/>
      <c r="I41" t="e">
        <v>#VALUE!</v>
      </c>
      <c r="J41" s="31" t="e">
        <v>#VALUE!</v>
      </c>
      <c r="K41" s="31" t="e">
        <v>#VALUE!</v>
      </c>
      <c r="L41" t="e">
        <f t="shared" si="2"/>
        <v>#VALUE!</v>
      </c>
      <c r="M41" s="26" t="e">
        <f t="shared" si="5"/>
        <v>#VALUE!</v>
      </c>
      <c r="N41" t="e">
        <f t="shared" si="6"/>
        <v>#VALUE!</v>
      </c>
      <c r="O41" t="e">
        <f t="shared" si="3"/>
        <v>#VALUE!</v>
      </c>
      <c r="P41" t="e">
        <f t="shared" si="4"/>
        <v>#VALUE!</v>
      </c>
    </row>
    <row r="42" spans="2:16" x14ac:dyDescent="0.2">
      <c r="F42" s="31"/>
      <c r="G42" s="31"/>
      <c r="I42" t="e">
        <v>#VALUE!</v>
      </c>
      <c r="J42" s="31" t="e">
        <v>#VALUE!</v>
      </c>
      <c r="K42" s="31" t="e">
        <v>#VALUE!</v>
      </c>
      <c r="L42" t="e">
        <f t="shared" si="2"/>
        <v>#VALUE!</v>
      </c>
      <c r="M42" s="26" t="e">
        <f t="shared" si="5"/>
        <v>#VALUE!</v>
      </c>
      <c r="N42" t="e">
        <f t="shared" si="6"/>
        <v>#VALUE!</v>
      </c>
      <c r="O42" t="e">
        <f t="shared" si="3"/>
        <v>#VALUE!</v>
      </c>
      <c r="P42" t="e">
        <f t="shared" si="4"/>
        <v>#VALUE!</v>
      </c>
    </row>
    <row r="43" spans="2:16" x14ac:dyDescent="0.2">
      <c r="F43" s="31"/>
      <c r="G43" s="31"/>
      <c r="I43" t="e">
        <v>#VALUE!</v>
      </c>
      <c r="J43" s="31" t="e">
        <v>#VALUE!</v>
      </c>
      <c r="K43" s="31" t="e">
        <v>#VALUE!</v>
      </c>
      <c r="L43" t="e">
        <f t="shared" si="2"/>
        <v>#VALUE!</v>
      </c>
      <c r="M43" s="26" t="e">
        <f t="shared" si="5"/>
        <v>#VALUE!</v>
      </c>
      <c r="N43" t="e">
        <f t="shared" si="6"/>
        <v>#VALUE!</v>
      </c>
      <c r="O43" t="e">
        <f t="shared" si="3"/>
        <v>#VALUE!</v>
      </c>
      <c r="P43" t="e">
        <f t="shared" si="4"/>
        <v>#VALUE!</v>
      </c>
    </row>
    <row r="44" spans="2:16" x14ac:dyDescent="0.2">
      <c r="F44" s="31"/>
      <c r="G44" s="31"/>
      <c r="I44" t="e">
        <v>#VALUE!</v>
      </c>
      <c r="J44" s="31" t="e">
        <v>#VALUE!</v>
      </c>
      <c r="K44" s="31" t="e">
        <v>#VALUE!</v>
      </c>
      <c r="L44" t="e">
        <f t="shared" si="2"/>
        <v>#VALUE!</v>
      </c>
      <c r="M44" s="26" t="e">
        <f t="shared" si="5"/>
        <v>#VALUE!</v>
      </c>
      <c r="N44" t="e">
        <f t="shared" si="6"/>
        <v>#VALUE!</v>
      </c>
      <c r="O44" t="e">
        <f t="shared" si="3"/>
        <v>#VALUE!</v>
      </c>
      <c r="P44" t="e">
        <f t="shared" si="4"/>
        <v>#VALUE!</v>
      </c>
    </row>
    <row r="45" spans="2:16" x14ac:dyDescent="0.2">
      <c r="F45" s="31"/>
      <c r="G45" s="31"/>
      <c r="I45" t="e">
        <v>#VALUE!</v>
      </c>
      <c r="J45" s="31" t="e">
        <v>#VALUE!</v>
      </c>
      <c r="K45" s="31" t="e">
        <v>#VALUE!</v>
      </c>
      <c r="L45" t="e">
        <f t="shared" si="2"/>
        <v>#VALUE!</v>
      </c>
      <c r="M45" s="26" t="e">
        <f t="shared" si="5"/>
        <v>#VALUE!</v>
      </c>
      <c r="N45" t="e">
        <f t="shared" si="6"/>
        <v>#VALUE!</v>
      </c>
      <c r="O45" t="e">
        <f t="shared" si="3"/>
        <v>#VALUE!</v>
      </c>
      <c r="P45" t="e">
        <f t="shared" si="4"/>
        <v>#VALUE!</v>
      </c>
    </row>
    <row r="46" spans="2:16" x14ac:dyDescent="0.2">
      <c r="F46" s="31"/>
      <c r="G46" s="31"/>
      <c r="I46" t="e">
        <v>#VALUE!</v>
      </c>
      <c r="J46" s="31" t="e">
        <v>#VALUE!</v>
      </c>
      <c r="K46" s="31" t="e">
        <v>#VALUE!</v>
      </c>
      <c r="L46" t="e">
        <f t="shared" si="2"/>
        <v>#VALUE!</v>
      </c>
      <c r="M46" s="26" t="e">
        <f t="shared" si="5"/>
        <v>#VALUE!</v>
      </c>
      <c r="N46" t="e">
        <f t="shared" si="6"/>
        <v>#VALUE!</v>
      </c>
      <c r="O46" t="e">
        <f t="shared" si="3"/>
        <v>#VALUE!</v>
      </c>
      <c r="P46" t="e">
        <f t="shared" si="4"/>
        <v>#VALUE!</v>
      </c>
    </row>
    <row r="47" spans="2:16" x14ac:dyDescent="0.2">
      <c r="F47" s="31"/>
      <c r="G47" s="31"/>
      <c r="I47" t="e">
        <v>#VALUE!</v>
      </c>
      <c r="J47" s="31" t="e">
        <v>#VALUE!</v>
      </c>
      <c r="K47" s="31" t="e">
        <v>#VALUE!</v>
      </c>
      <c r="L47" t="e">
        <f t="shared" si="2"/>
        <v>#VALUE!</v>
      </c>
      <c r="M47" s="26" t="e">
        <f t="shared" si="5"/>
        <v>#VALUE!</v>
      </c>
      <c r="N47" t="e">
        <f t="shared" si="6"/>
        <v>#VALUE!</v>
      </c>
      <c r="O47" t="e">
        <f t="shared" si="3"/>
        <v>#VALUE!</v>
      </c>
      <c r="P47" t="e">
        <f t="shared" si="4"/>
        <v>#VALUE!</v>
      </c>
    </row>
    <row r="48" spans="2:16" x14ac:dyDescent="0.2">
      <c r="F48" s="31"/>
      <c r="G48" s="31"/>
      <c r="I48" t="e">
        <v>#VALUE!</v>
      </c>
      <c r="J48" s="31" t="e">
        <v>#VALUE!</v>
      </c>
      <c r="K48" s="31" t="e">
        <v>#VALUE!</v>
      </c>
      <c r="L48" t="e">
        <f t="shared" si="2"/>
        <v>#VALUE!</v>
      </c>
      <c r="M48" s="26" t="e">
        <f t="shared" si="5"/>
        <v>#VALUE!</v>
      </c>
      <c r="N48" t="e">
        <f t="shared" si="6"/>
        <v>#VALUE!</v>
      </c>
      <c r="O48" t="e">
        <f t="shared" si="3"/>
        <v>#VALUE!</v>
      </c>
      <c r="P48" t="e">
        <f t="shared" si="4"/>
        <v>#VALUE!</v>
      </c>
    </row>
    <row r="49" spans="6:16" x14ac:dyDescent="0.2">
      <c r="F49" s="31"/>
      <c r="G49" s="31"/>
      <c r="I49" t="e">
        <v>#VALUE!</v>
      </c>
      <c r="J49" s="31" t="e">
        <v>#VALUE!</v>
      </c>
      <c r="K49" s="31" t="e">
        <v>#VALUE!</v>
      </c>
      <c r="L49" t="e">
        <f t="shared" si="2"/>
        <v>#VALUE!</v>
      </c>
      <c r="M49" s="26" t="e">
        <f t="shared" si="5"/>
        <v>#VALUE!</v>
      </c>
      <c r="N49" t="e">
        <f t="shared" si="6"/>
        <v>#VALUE!</v>
      </c>
      <c r="O49" t="e">
        <f t="shared" si="3"/>
        <v>#VALUE!</v>
      </c>
      <c r="P49" t="e">
        <f t="shared" si="4"/>
        <v>#VALUE!</v>
      </c>
    </row>
    <row r="50" spans="6:16" x14ac:dyDescent="0.2">
      <c r="F50" s="31"/>
      <c r="G50" s="31"/>
      <c r="I50" t="e">
        <v>#VALUE!</v>
      </c>
      <c r="J50" s="31" t="e">
        <v>#VALUE!</v>
      </c>
      <c r="K50" s="31" t="e">
        <v>#VALUE!</v>
      </c>
      <c r="L50" t="e">
        <f t="shared" si="2"/>
        <v>#VALUE!</v>
      </c>
      <c r="M50" s="26" t="e">
        <f t="shared" si="5"/>
        <v>#VALUE!</v>
      </c>
      <c r="N50" t="e">
        <f t="shared" si="6"/>
        <v>#VALUE!</v>
      </c>
      <c r="O50" t="e">
        <f t="shared" si="3"/>
        <v>#VALUE!</v>
      </c>
      <c r="P50" t="e">
        <f t="shared" si="4"/>
        <v>#VALUE!</v>
      </c>
    </row>
    <row r="51" spans="6:16" x14ac:dyDescent="0.2">
      <c r="F51" s="31"/>
      <c r="G51" s="31"/>
      <c r="I51" t="e">
        <v>#VALUE!</v>
      </c>
      <c r="J51" s="31" t="e">
        <v>#VALUE!</v>
      </c>
      <c r="K51" s="31" t="e">
        <v>#VALUE!</v>
      </c>
      <c r="L51" t="e">
        <f t="shared" si="2"/>
        <v>#VALUE!</v>
      </c>
      <c r="M51" s="26" t="e">
        <f t="shared" si="5"/>
        <v>#VALUE!</v>
      </c>
      <c r="N51" t="e">
        <f t="shared" si="6"/>
        <v>#VALUE!</v>
      </c>
      <c r="O51" t="e">
        <f t="shared" si="3"/>
        <v>#VALUE!</v>
      </c>
      <c r="P51" t="e">
        <f t="shared" si="4"/>
        <v>#VALUE!</v>
      </c>
    </row>
    <row r="52" spans="6:16" x14ac:dyDescent="0.2">
      <c r="F52" s="31"/>
      <c r="G52" s="31"/>
      <c r="I52" t="e">
        <v>#VALUE!</v>
      </c>
      <c r="J52" s="31" t="e">
        <v>#VALUE!</v>
      </c>
      <c r="K52" s="31" t="e">
        <v>#VALUE!</v>
      </c>
      <c r="L52" t="e">
        <f t="shared" si="2"/>
        <v>#VALUE!</v>
      </c>
      <c r="M52" s="26" t="e">
        <f t="shared" si="5"/>
        <v>#VALUE!</v>
      </c>
      <c r="N52" t="e">
        <f t="shared" si="6"/>
        <v>#VALUE!</v>
      </c>
      <c r="O52" t="e">
        <f t="shared" si="3"/>
        <v>#VALUE!</v>
      </c>
      <c r="P52" t="e">
        <f t="shared" si="4"/>
        <v>#VALUE!</v>
      </c>
    </row>
    <row r="53" spans="6:16" x14ac:dyDescent="0.2">
      <c r="F53" s="31"/>
      <c r="G53" s="31"/>
      <c r="I53" t="e">
        <v>#VALUE!</v>
      </c>
      <c r="J53" s="31" t="e">
        <v>#VALUE!</v>
      </c>
      <c r="K53" s="31" t="e">
        <v>#VALUE!</v>
      </c>
      <c r="L53" t="e">
        <f t="shared" si="2"/>
        <v>#VALUE!</v>
      </c>
      <c r="M53" s="26" t="e">
        <f t="shared" si="5"/>
        <v>#VALUE!</v>
      </c>
      <c r="N53" t="e">
        <f t="shared" si="6"/>
        <v>#VALUE!</v>
      </c>
      <c r="O53" t="e">
        <f t="shared" si="3"/>
        <v>#VALUE!</v>
      </c>
      <c r="P53" t="e">
        <f t="shared" si="4"/>
        <v>#VALUE!</v>
      </c>
    </row>
    <row r="54" spans="6:16" x14ac:dyDescent="0.2">
      <c r="F54" s="31"/>
      <c r="G54" s="31"/>
      <c r="I54" t="e">
        <v>#VALUE!</v>
      </c>
      <c r="J54" s="31" t="e">
        <v>#VALUE!</v>
      </c>
      <c r="K54" s="31" t="e">
        <v>#VALUE!</v>
      </c>
      <c r="L54" t="e">
        <f t="shared" si="2"/>
        <v>#VALUE!</v>
      </c>
      <c r="M54" s="26" t="e">
        <f t="shared" si="5"/>
        <v>#VALUE!</v>
      </c>
      <c r="N54" t="e">
        <f t="shared" si="6"/>
        <v>#VALUE!</v>
      </c>
      <c r="O54" t="e">
        <f t="shared" si="3"/>
        <v>#VALUE!</v>
      </c>
      <c r="P54" t="e">
        <f t="shared" si="4"/>
        <v>#VALUE!</v>
      </c>
    </row>
    <row r="55" spans="6:16" x14ac:dyDescent="0.2">
      <c r="F55" s="31"/>
      <c r="G55" s="31"/>
      <c r="I55" t="e">
        <v>#VALUE!</v>
      </c>
      <c r="J55" s="31" t="e">
        <v>#VALUE!</v>
      </c>
      <c r="K55" s="31" t="e">
        <v>#VALUE!</v>
      </c>
      <c r="L55" t="e">
        <f t="shared" si="2"/>
        <v>#VALUE!</v>
      </c>
      <c r="M55" s="26" t="e">
        <f t="shared" si="5"/>
        <v>#VALUE!</v>
      </c>
      <c r="N55" t="e">
        <f t="shared" si="6"/>
        <v>#VALUE!</v>
      </c>
      <c r="O55" t="e">
        <f t="shared" si="3"/>
        <v>#VALUE!</v>
      </c>
      <c r="P55" t="e">
        <f t="shared" si="4"/>
        <v>#VALUE!</v>
      </c>
    </row>
    <row r="56" spans="6:16" x14ac:dyDescent="0.2">
      <c r="F56" s="31"/>
      <c r="G56" s="31"/>
      <c r="I56" t="e">
        <v>#VALUE!</v>
      </c>
      <c r="J56" s="31" t="e">
        <v>#VALUE!</v>
      </c>
      <c r="K56" s="31" t="e">
        <v>#VALUE!</v>
      </c>
      <c r="L56" t="e">
        <f t="shared" si="2"/>
        <v>#VALUE!</v>
      </c>
      <c r="M56" s="26" t="e">
        <f t="shared" si="5"/>
        <v>#VALUE!</v>
      </c>
      <c r="N56" t="e">
        <f t="shared" si="6"/>
        <v>#VALUE!</v>
      </c>
      <c r="O56" t="e">
        <f t="shared" si="3"/>
        <v>#VALUE!</v>
      </c>
      <c r="P56" t="e">
        <f t="shared" si="4"/>
        <v>#VALUE!</v>
      </c>
    </row>
    <row r="57" spans="6:16" x14ac:dyDescent="0.2">
      <c r="F57" s="31"/>
      <c r="G57" s="31"/>
      <c r="I57" t="e">
        <v>#VALUE!</v>
      </c>
      <c r="J57" s="31" t="e">
        <v>#VALUE!</v>
      </c>
      <c r="K57" s="31" t="e">
        <v>#VALUE!</v>
      </c>
      <c r="L57" t="e">
        <f t="shared" si="2"/>
        <v>#VALUE!</v>
      </c>
      <c r="M57" s="26" t="e">
        <f t="shared" si="5"/>
        <v>#VALUE!</v>
      </c>
      <c r="N57" t="e">
        <f t="shared" si="6"/>
        <v>#VALUE!</v>
      </c>
      <c r="O57" t="e">
        <f t="shared" si="3"/>
        <v>#VALUE!</v>
      </c>
      <c r="P57" t="e">
        <f t="shared" si="4"/>
        <v>#VALUE!</v>
      </c>
    </row>
    <row r="58" spans="6:16" x14ac:dyDescent="0.2">
      <c r="F58" s="31"/>
      <c r="G58" s="31"/>
      <c r="I58" t="e">
        <v>#VALUE!</v>
      </c>
      <c r="J58" s="31" t="e">
        <v>#VALUE!</v>
      </c>
      <c r="K58" s="31" t="e">
        <v>#VALUE!</v>
      </c>
      <c r="L58" t="e">
        <f t="shared" si="2"/>
        <v>#VALUE!</v>
      </c>
      <c r="M58" s="26" t="e">
        <f t="shared" si="5"/>
        <v>#VALUE!</v>
      </c>
      <c r="N58" t="e">
        <f t="shared" si="6"/>
        <v>#VALUE!</v>
      </c>
      <c r="O58" t="e">
        <f t="shared" si="3"/>
        <v>#VALUE!</v>
      </c>
      <c r="P58" t="e">
        <f t="shared" si="4"/>
        <v>#VALUE!</v>
      </c>
    </row>
    <row r="59" spans="6:16" x14ac:dyDescent="0.2">
      <c r="F59" s="31"/>
      <c r="G59" s="31"/>
      <c r="I59" t="e">
        <v>#VALUE!</v>
      </c>
      <c r="J59" s="31" t="e">
        <v>#VALUE!</v>
      </c>
      <c r="K59" s="31" t="e">
        <v>#VALUE!</v>
      </c>
      <c r="L59" t="e">
        <f t="shared" si="2"/>
        <v>#VALUE!</v>
      </c>
      <c r="M59" s="26" t="e">
        <f t="shared" si="5"/>
        <v>#VALUE!</v>
      </c>
      <c r="N59" t="e">
        <f t="shared" si="6"/>
        <v>#VALUE!</v>
      </c>
      <c r="O59" t="e">
        <f t="shared" si="3"/>
        <v>#VALUE!</v>
      </c>
      <c r="P59" t="e">
        <f t="shared" si="4"/>
        <v>#VALUE!</v>
      </c>
    </row>
    <row r="60" spans="6:16" x14ac:dyDescent="0.2">
      <c r="F60" s="31"/>
      <c r="G60" s="31"/>
      <c r="I60" t="e">
        <v>#VALUE!</v>
      </c>
      <c r="J60" s="31" t="e">
        <v>#VALUE!</v>
      </c>
      <c r="K60" s="31" t="e">
        <v>#VALUE!</v>
      </c>
      <c r="L60" t="e">
        <f t="shared" si="2"/>
        <v>#VALUE!</v>
      </c>
      <c r="M60" s="26" t="e">
        <f t="shared" si="5"/>
        <v>#VALUE!</v>
      </c>
      <c r="N60" t="e">
        <f t="shared" si="6"/>
        <v>#VALUE!</v>
      </c>
      <c r="O60" t="e">
        <f t="shared" si="3"/>
        <v>#VALUE!</v>
      </c>
      <c r="P60" t="e">
        <f t="shared" si="4"/>
        <v>#VALUE!</v>
      </c>
    </row>
    <row r="61" spans="6:16" x14ac:dyDescent="0.2">
      <c r="F61" s="31"/>
      <c r="G61" s="31"/>
      <c r="I61" t="e">
        <v>#VALUE!</v>
      </c>
      <c r="J61" s="31" t="e">
        <v>#VALUE!</v>
      </c>
      <c r="K61" s="31" t="e">
        <v>#VALUE!</v>
      </c>
      <c r="L61" t="e">
        <f t="shared" si="2"/>
        <v>#VALUE!</v>
      </c>
      <c r="M61" s="26" t="e">
        <f t="shared" si="5"/>
        <v>#VALUE!</v>
      </c>
      <c r="N61" t="e">
        <f t="shared" si="6"/>
        <v>#VALUE!</v>
      </c>
      <c r="O61" t="e">
        <f t="shared" si="3"/>
        <v>#VALUE!</v>
      </c>
      <c r="P61" t="e">
        <f t="shared" si="4"/>
        <v>#VALUE!</v>
      </c>
    </row>
    <row r="62" spans="6:16" x14ac:dyDescent="0.2">
      <c r="F62" s="31"/>
      <c r="G62" s="31"/>
      <c r="I62" t="e">
        <v>#VALUE!</v>
      </c>
      <c r="J62" s="31" t="e">
        <v>#VALUE!</v>
      </c>
      <c r="K62" s="31" t="e">
        <v>#VALUE!</v>
      </c>
      <c r="L62" t="e">
        <f t="shared" si="2"/>
        <v>#VALUE!</v>
      </c>
      <c r="M62" s="26" t="e">
        <f t="shared" si="5"/>
        <v>#VALUE!</v>
      </c>
      <c r="N62" t="e">
        <f t="shared" si="6"/>
        <v>#VALUE!</v>
      </c>
      <c r="O62" t="e">
        <f t="shared" si="3"/>
        <v>#VALUE!</v>
      </c>
      <c r="P62" t="e">
        <f t="shared" si="4"/>
        <v>#VALUE!</v>
      </c>
    </row>
    <row r="63" spans="6:16" x14ac:dyDescent="0.2">
      <c r="F63" s="31"/>
      <c r="G63" s="31"/>
      <c r="I63" t="e">
        <v>#VALUE!</v>
      </c>
      <c r="J63" s="31" t="e">
        <v>#VALUE!</v>
      </c>
      <c r="K63" s="31" t="e">
        <v>#VALUE!</v>
      </c>
      <c r="L63" t="e">
        <f t="shared" si="2"/>
        <v>#VALUE!</v>
      </c>
      <c r="M63" s="26" t="e">
        <f t="shared" si="5"/>
        <v>#VALUE!</v>
      </c>
      <c r="N63" t="e">
        <f t="shared" si="6"/>
        <v>#VALUE!</v>
      </c>
      <c r="O63" t="e">
        <f t="shared" si="3"/>
        <v>#VALUE!</v>
      </c>
      <c r="P63" t="e">
        <f t="shared" si="4"/>
        <v>#VALUE!</v>
      </c>
    </row>
    <row r="64" spans="6:16" x14ac:dyDescent="0.2">
      <c r="F64" s="31"/>
      <c r="G64" s="31"/>
      <c r="I64" t="e">
        <v>#VALUE!</v>
      </c>
      <c r="J64" s="31" t="e">
        <v>#VALUE!</v>
      </c>
      <c r="K64" s="31" t="e">
        <v>#VALUE!</v>
      </c>
    </row>
    <row r="65" spans="6:11" x14ac:dyDescent="0.2">
      <c r="F65" s="31"/>
      <c r="G65" s="31"/>
      <c r="I65" t="e">
        <v>#VALUE!</v>
      </c>
      <c r="J65" s="31" t="e">
        <v>#VALUE!</v>
      </c>
      <c r="K65" s="31" t="e">
        <v>#VALUE!</v>
      </c>
    </row>
    <row r="66" spans="6:11" x14ac:dyDescent="0.2">
      <c r="F66" s="31"/>
      <c r="G66" s="31"/>
      <c r="I66" t="e">
        <v>#VALUE!</v>
      </c>
      <c r="J66" s="31" t="e">
        <v>#VALUE!</v>
      </c>
      <c r="K66" s="31" t="e">
        <v>#VALUE!</v>
      </c>
    </row>
    <row r="67" spans="6:11" x14ac:dyDescent="0.2">
      <c r="F67" s="31"/>
      <c r="G67" s="31"/>
      <c r="I67" t="e">
        <v>#VALUE!</v>
      </c>
      <c r="J67" s="31" t="e">
        <v>#VALUE!</v>
      </c>
      <c r="K67" s="31" t="e">
        <v>#VALUE!</v>
      </c>
    </row>
    <row r="68" spans="6:11" x14ac:dyDescent="0.2">
      <c r="F68" s="31"/>
      <c r="G68" s="31"/>
      <c r="I68" t="e">
        <v>#VALUE!</v>
      </c>
      <c r="J68" t="e">
        <v>#VALUE!</v>
      </c>
      <c r="K68" t="e">
        <v>#VALUE!</v>
      </c>
    </row>
    <row r="69" spans="6:11" x14ac:dyDescent="0.2">
      <c r="F69" s="31"/>
      <c r="G69" s="31"/>
    </row>
    <row r="70" spans="6:11" x14ac:dyDescent="0.2">
      <c r="F70" s="31"/>
      <c r="G70" s="31"/>
    </row>
    <row r="71" spans="6:11" x14ac:dyDescent="0.2">
      <c r="F71" s="31"/>
      <c r="G71" s="31"/>
    </row>
    <row r="72" spans="6:11" x14ac:dyDescent="0.2">
      <c r="F72" s="31"/>
      <c r="G72" s="31"/>
    </row>
    <row r="73" spans="6:11" x14ac:dyDescent="0.2">
      <c r="F73" s="31"/>
      <c r="G73" s="31"/>
    </row>
    <row r="74" spans="6:11" x14ac:dyDescent="0.2">
      <c r="F74" s="31"/>
      <c r="G74" s="31"/>
    </row>
    <row r="75" spans="6:11" x14ac:dyDescent="0.2">
      <c r="F75" s="31"/>
      <c r="G75" s="31"/>
    </row>
    <row r="76" spans="6:11" x14ac:dyDescent="0.2">
      <c r="F76" s="31"/>
      <c r="G76" s="31"/>
    </row>
    <row r="77" spans="6:11" x14ac:dyDescent="0.2">
      <c r="F77" s="31"/>
      <c r="G77" s="31"/>
    </row>
    <row r="78" spans="6:11" x14ac:dyDescent="0.2">
      <c r="F78" s="31"/>
      <c r="G78" s="31"/>
    </row>
    <row r="79" spans="6:11" x14ac:dyDescent="0.2">
      <c r="F79" s="31"/>
      <c r="G79" s="31"/>
    </row>
    <row r="80" spans="6:11" x14ac:dyDescent="0.2">
      <c r="F80" s="31"/>
      <c r="G80" s="31"/>
    </row>
    <row r="81" spans="6:7" x14ac:dyDescent="0.2">
      <c r="F81" s="31"/>
      <c r="G81" s="31"/>
    </row>
    <row r="82" spans="6:7" x14ac:dyDescent="0.2">
      <c r="F82" s="31"/>
      <c r="G82" s="31"/>
    </row>
    <row r="83" spans="6:7" x14ac:dyDescent="0.2">
      <c r="F83" s="31"/>
      <c r="G83" s="31"/>
    </row>
  </sheetData>
  <customSheetViews>
    <customSheetView guid="{47E19336-FB32-4056-9A7A-24D0E9146423}" showRuler="0">
      <selection activeCell="D38" sqref="D38"/>
      <pageMargins left="0.75" right="0.75" top="1" bottom="1" header="0.5" footer="0.5"/>
      <pageSetup orientation="portrait" r:id="rId1"/>
      <headerFooter alignWithMargins="0"/>
    </customSheetView>
    <customSheetView guid="{36817408-ACC6-4F80-81B5-FAD6B11C714D}" showRuler="0">
      <selection activeCell="D38" sqref="D38"/>
      <pageMargins left="0.75" right="0.75" top="1" bottom="1" header="0.5" footer="0.5"/>
      <pageSetup orientation="portrait" r:id="rId2"/>
      <headerFooter alignWithMargins="0"/>
    </customSheetView>
  </customSheetViews>
  <mergeCells count="2">
    <mergeCell ref="B1:C1"/>
    <mergeCell ref="I1:K1"/>
  </mergeCells>
  <phoneticPr fontId="0" type="noConversion"/>
  <conditionalFormatting sqref="F11 F17">
    <cfRule type="cellIs" dxfId="0" priority="1" stopIfTrue="1" operator="notEqual">
      <formula>""""""</formula>
    </cfRule>
  </conditionalFormatting>
  <dataValidations count="2">
    <dataValidation type="list" allowBlank="1" showInputMessage="1" showErrorMessage="1" sqref="C15" xr:uid="{00000000-0002-0000-0100-000000000000}">
      <formula1>"VRM,ARM"</formula1>
    </dataValidation>
    <dataValidation type="list" allowBlank="1" showInputMessage="1" showErrorMessage="1" sqref="C4" xr:uid="{00000000-0002-0000-0100-000001000000}">
      <formula1>"MTG_FIX,MTG_VAR,ARM_TGT"</formula1>
    </dataValidation>
  </dataValidations>
  <pageMargins left="0.75" right="0.75" top="1" bottom="1" header="0.5" footer="0.5"/>
  <pageSetup orientation="portrait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D9"/>
  <sheetViews>
    <sheetView topLeftCell="AG1" workbookViewId="0">
      <selection activeCell="AO8" sqref="AO8"/>
    </sheetView>
  </sheetViews>
  <sheetFormatPr defaultRowHeight="12.75" x14ac:dyDescent="0.2"/>
  <cols>
    <col min="1" max="1" width="9.42578125" bestFit="1" customWidth="1"/>
    <col min="2" max="2" width="9.140625" bestFit="1" customWidth="1"/>
    <col min="3" max="3" width="12.28515625" customWidth="1"/>
    <col min="4" max="4" width="13.5703125" bestFit="1" customWidth="1"/>
    <col min="23" max="23" width="11.5703125" customWidth="1"/>
    <col min="27" max="27" width="11.140625" customWidth="1"/>
    <col min="36" max="36" width="9.28515625" bestFit="1" customWidth="1"/>
    <col min="37" max="37" width="11" bestFit="1" customWidth="1"/>
    <col min="38" max="39" width="11" customWidth="1"/>
    <col min="40" max="41" width="11" bestFit="1" customWidth="1"/>
    <col min="42" max="42" width="13.7109375" bestFit="1" customWidth="1"/>
  </cols>
  <sheetData>
    <row r="1" spans="1:56" x14ac:dyDescent="0.2">
      <c r="AO1" s="74" t="s">
        <v>86</v>
      </c>
      <c r="AP1" s="70" t="s">
        <v>65</v>
      </c>
      <c r="AQ1" s="70" t="s">
        <v>66</v>
      </c>
      <c r="AR1" s="70" t="s">
        <v>73</v>
      </c>
      <c r="AS1" s="70" t="s">
        <v>74</v>
      </c>
      <c r="AT1" s="70" t="s">
        <v>75</v>
      </c>
      <c r="AU1" s="70" t="s">
        <v>76</v>
      </c>
      <c r="AV1" s="70" t="s">
        <v>77</v>
      </c>
      <c r="AW1" s="70" t="s">
        <v>78</v>
      </c>
      <c r="AX1" s="70" t="s">
        <v>79</v>
      </c>
      <c r="AY1" s="70" t="s">
        <v>80</v>
      </c>
      <c r="AZ1" s="70" t="s">
        <v>81</v>
      </c>
      <c r="BA1" s="70" t="s">
        <v>82</v>
      </c>
      <c r="BB1" s="70" t="s">
        <v>83</v>
      </c>
      <c r="BC1" s="70" t="s">
        <v>84</v>
      </c>
      <c r="BD1" s="70" t="s">
        <v>71</v>
      </c>
    </row>
    <row r="2" spans="1:56" x14ac:dyDescent="0.2">
      <c r="A2" s="66" t="s">
        <v>7</v>
      </c>
      <c r="B2" s="66" t="s">
        <v>22</v>
      </c>
      <c r="C2" s="66" t="s">
        <v>38</v>
      </c>
      <c r="D2" s="65" t="s">
        <v>72</v>
      </c>
      <c r="E2" s="69" t="s">
        <v>8</v>
      </c>
      <c r="F2" s="69" t="s">
        <v>9</v>
      </c>
      <c r="G2" s="69" t="s">
        <v>10</v>
      </c>
      <c r="H2" s="69" t="s">
        <v>11</v>
      </c>
      <c r="I2" s="69" t="s">
        <v>52</v>
      </c>
      <c r="J2" s="69" t="s">
        <v>12</v>
      </c>
      <c r="K2" s="69" t="s">
        <v>13</v>
      </c>
      <c r="L2" s="69" t="s">
        <v>14</v>
      </c>
      <c r="M2" s="69" t="s">
        <v>53</v>
      </c>
      <c r="N2" s="69" t="s">
        <v>15</v>
      </c>
      <c r="O2" s="69" t="s">
        <v>50</v>
      </c>
      <c r="P2" s="69" t="s">
        <v>51</v>
      </c>
      <c r="Q2" s="69" t="s">
        <v>17</v>
      </c>
      <c r="R2" s="69" t="s">
        <v>60</v>
      </c>
      <c r="S2" s="69" t="s">
        <v>58</v>
      </c>
      <c r="T2" s="69" t="s">
        <v>59</v>
      </c>
      <c r="U2" s="69" t="s">
        <v>54</v>
      </c>
      <c r="V2" s="69" t="s">
        <v>56</v>
      </c>
      <c r="W2" s="69" t="s">
        <v>57</v>
      </c>
      <c r="X2" s="69" t="s">
        <v>18</v>
      </c>
      <c r="Y2" s="69" t="s">
        <v>19</v>
      </c>
      <c r="Z2" s="69" t="s">
        <v>55</v>
      </c>
      <c r="AA2" s="69" t="s">
        <v>39</v>
      </c>
      <c r="AB2" s="69" t="s">
        <v>40</v>
      </c>
      <c r="AC2" s="69" t="s">
        <v>62</v>
      </c>
      <c r="AD2" s="69" t="s">
        <v>20</v>
      </c>
      <c r="AE2" s="69" t="s">
        <v>16</v>
      </c>
      <c r="AF2" s="69"/>
      <c r="AG2" s="69"/>
      <c r="AH2" s="69"/>
      <c r="AI2" s="69" t="s">
        <v>37</v>
      </c>
      <c r="AJ2" s="69" t="s">
        <v>49</v>
      </c>
      <c r="AK2" s="69" t="s">
        <v>21</v>
      </c>
      <c r="AL2" s="69"/>
      <c r="AM2" s="69"/>
      <c r="AO2" s="74" t="s">
        <v>85</v>
      </c>
      <c r="AP2" s="20" t="s">
        <v>65</v>
      </c>
      <c r="AQ2" s="20" t="s">
        <v>66</v>
      </c>
      <c r="AR2" s="21" t="s">
        <v>14</v>
      </c>
      <c r="AS2" s="21" t="s">
        <v>67</v>
      </c>
      <c r="AT2" s="21" t="s">
        <v>68</v>
      </c>
      <c r="AU2" s="22" t="s">
        <v>69</v>
      </c>
      <c r="AV2" s="22" t="s">
        <v>70</v>
      </c>
      <c r="AW2" s="21" t="s">
        <v>40</v>
      </c>
      <c r="AX2" s="22" t="s">
        <v>71</v>
      </c>
    </row>
    <row r="3" spans="1:56" x14ac:dyDescent="0.2">
      <c r="A3" s="67">
        <f>ValDate</f>
        <v>39881</v>
      </c>
      <c r="B3" s="68">
        <v>20000101</v>
      </c>
      <c r="C3" s="67" t="s">
        <v>36</v>
      </c>
      <c r="D3" s="64"/>
      <c r="E3" s="16" t="s">
        <v>63</v>
      </c>
      <c r="F3" s="17">
        <v>39881</v>
      </c>
      <c r="G3" s="17">
        <v>41707</v>
      </c>
      <c r="H3" s="16">
        <v>120</v>
      </c>
      <c r="I3" s="33">
        <v>5000</v>
      </c>
      <c r="J3" s="16">
        <v>12</v>
      </c>
      <c r="K3" s="16">
        <v>2</v>
      </c>
      <c r="L3" s="16">
        <v>1000000</v>
      </c>
      <c r="M3" s="16">
        <v>2.5</v>
      </c>
      <c r="N3" s="16">
        <v>3</v>
      </c>
      <c r="O3" s="16" t="s">
        <v>4</v>
      </c>
      <c r="P3" s="16" t="s">
        <v>4</v>
      </c>
      <c r="Q3" s="16">
        <v>300</v>
      </c>
      <c r="R3" s="39" t="s">
        <v>61</v>
      </c>
      <c r="S3" s="40">
        <v>39892</v>
      </c>
      <c r="T3" s="39">
        <v>0.5</v>
      </c>
      <c r="U3" s="41">
        <v>0.25</v>
      </c>
      <c r="V3" s="41">
        <v>1</v>
      </c>
      <c r="W3" s="41">
        <v>2</v>
      </c>
      <c r="X3" s="42">
        <v>10</v>
      </c>
      <c r="Y3" s="42">
        <v>6</v>
      </c>
      <c r="Z3" s="42">
        <v>0</v>
      </c>
      <c r="AA3" s="42">
        <v>3</v>
      </c>
      <c r="AB3" s="42">
        <v>0.25</v>
      </c>
      <c r="AC3" s="44">
        <v>41648</v>
      </c>
      <c r="AD3" s="43">
        <v>1.4999999999999999E-2</v>
      </c>
      <c r="AE3" s="18"/>
      <c r="AF3" s="18"/>
      <c r="AG3" s="18"/>
      <c r="AH3" s="18"/>
      <c r="AI3" s="16">
        <v>0</v>
      </c>
      <c r="AJ3" s="16">
        <v>0</v>
      </c>
      <c r="AK3" s="16">
        <v>10</v>
      </c>
      <c r="AL3" s="16"/>
      <c r="AM3" s="16"/>
      <c r="AP3" t="e">
        <f t="array" ref="AP3:BD3">MtgPriceRow(HeaderRow,A3:AK3,CrvGenState, ResetState)</f>
        <v>#VALUE!</v>
      </c>
      <c r="AQ3" t="e">
        <v>#VALUE!</v>
      </c>
      <c r="AR3" t="e">
        <v>#VALUE!</v>
      </c>
      <c r="AS3" t="e">
        <v>#VALUE!</v>
      </c>
      <c r="AT3" t="e">
        <v>#VALUE!</v>
      </c>
      <c r="AU3" t="e">
        <v>#VALUE!</v>
      </c>
      <c r="AV3" t="e">
        <v>#VALUE!</v>
      </c>
      <c r="AW3" t="e">
        <v>#VALUE!</v>
      </c>
      <c r="AX3" t="e">
        <v>#VALUE!</v>
      </c>
      <c r="AY3" t="e">
        <v>#VALUE!</v>
      </c>
      <c r="AZ3" t="e">
        <v>#VALUE!</v>
      </c>
      <c r="BA3" t="e">
        <v>#VALUE!</v>
      </c>
      <c r="BB3" t="e">
        <v>#VALUE!</v>
      </c>
      <c r="BC3" t="e">
        <v>#VALUE!</v>
      </c>
      <c r="BD3" t="e">
        <v>#VALUE!</v>
      </c>
    </row>
    <row r="6" spans="1:56" x14ac:dyDescent="0.2">
      <c r="W6" s="62"/>
      <c r="X6" s="63"/>
    </row>
    <row r="7" spans="1:56" x14ac:dyDescent="0.2">
      <c r="W7" s="62"/>
      <c r="X7" s="63"/>
    </row>
    <row r="8" spans="1:56" x14ac:dyDescent="0.2">
      <c r="W8" s="62"/>
      <c r="X8" s="63"/>
    </row>
    <row r="9" spans="1:56" x14ac:dyDescent="0.2">
      <c r="W9" s="62"/>
      <c r="X9" s="63"/>
    </row>
  </sheetData>
  <phoneticPr fontId="2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Curve</vt:lpstr>
      <vt:lpstr>ValCol</vt:lpstr>
      <vt:lpstr>ValRow</vt:lpstr>
      <vt:lpstr>CrvGenState</vt:lpstr>
      <vt:lpstr>CrvInputState</vt:lpstr>
      <vt:lpstr>CurveDate</vt:lpstr>
      <vt:lpstr>CurveInput</vt:lpstr>
      <vt:lpstr>HeaderRow</vt:lpstr>
      <vt:lpstr>MtgInput</vt:lpstr>
      <vt:lpstr>Curve!Print_Area</vt:lpstr>
      <vt:lpstr>ValCol!Print_Area</vt:lpstr>
      <vt:lpstr>ResetState</vt:lpstr>
      <vt:lpstr>UseHoliday</vt:lpstr>
      <vt:lpstr>ValDate</vt:lpstr>
      <vt:lpstr>Zeros</vt:lpstr>
    </vt:vector>
  </TitlesOfParts>
  <Company>CIBC World Markets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cp:lastPrinted>2005-09-30T19:13:57Z</cp:lastPrinted>
  <dcterms:created xsi:type="dcterms:W3CDTF">2004-08-19T11:51:04Z</dcterms:created>
  <dcterms:modified xsi:type="dcterms:W3CDTF">2019-10-03T21:00:31Z</dcterms:modified>
</cp:coreProperties>
</file>