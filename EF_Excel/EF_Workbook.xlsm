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PortfolioAnalyzer\Excel\"/>
    </mc:Choice>
  </mc:AlternateContent>
  <bookViews>
    <workbookView xWindow="0" yWindow="390" windowWidth="15300" windowHeight="7650" tabRatio="781" firstSheet="1" activeTab="1"/>
  </bookViews>
  <sheets>
    <sheet name="Design" sheetId="28" r:id="rId1"/>
    <sheet name="Graphs" sheetId="35" r:id="rId2"/>
    <sheet name="Calculations" sheetId="13" r:id="rId3"/>
    <sheet name="MATLAB_Data" sheetId="33" r:id="rId4"/>
    <sheet name="Historical_Data" sheetId="39" r:id="rId5"/>
    <sheet name="License_Info" sheetId="27" r:id="rId6"/>
  </sheets>
  <functionGroups builtInGroupCount="18"/>
  <definedNames>
    <definedName name="_num_AL">Calculations!$G$15</definedName>
    <definedName name="_num_assets">Historical_Data!$F$1</definedName>
    <definedName name="_num_groups">Calculations!$Y$38</definedName>
    <definedName name="_num_liab">Historical_Data!$F$2</definedName>
    <definedName name="AL_list_start">Calculations!$C$41</definedName>
    <definedName name="asset_min_start">Calculations!$P$41</definedName>
    <definedName name="curr_wts_start">Calculations!$L$41</definedName>
    <definedName name="date_end_row">Calculations!$G$8</definedName>
    <definedName name="date_rows">Calculations!$G$6</definedName>
    <definedName name="date_start_row">Calculations!$G$7</definedName>
    <definedName name="fpathDataSource">Calculations!$C$18</definedName>
    <definedName name="graph_area">Calculations!$I$1</definedName>
    <definedName name="graph1_ef_return">OFFSET(model_output_asset_return_start,0,1,1,inp_num_ef)</definedName>
    <definedName name="graph1_ef_risk">OFFSET(model_output_asset_vol_start,0,1,1,inp_num_ef)</definedName>
    <definedName name="graph1_xaxis">OFFSET(model_output_ef_risk_start,0,1,inp_num_ef,1)</definedName>
    <definedName name="group_combinations">OFFSET(group_combo_start,1,0,_num_AL,group_combination_count)</definedName>
    <definedName name="group_combo_start">Calculations!$T$41</definedName>
    <definedName name="group_max_start">Calculations!$T$40</definedName>
    <definedName name="group_min_start">Calculations!$T$39</definedName>
    <definedName name="grph_aggregate_matrix">Graphs!$T$4</definedName>
    <definedName name="grph_CorpData1">Graphs!$AM$69</definedName>
    <definedName name="grph_CorpData2">Graphs!$AM$121</definedName>
    <definedName name="grph_scale">Graphs!$D$2:$F$3</definedName>
    <definedName name="grph_seriesList">Graphs!$A$2:$B$3</definedName>
    <definedName name="grph_targetScen1">Graphs!$I$9</definedName>
    <definedName name="grph_targetScen2">Graphs!$J$9</definedName>
    <definedName name="Historical_Data_Columns">Historical_Data!$C$1</definedName>
    <definedName name="Historical_Data_Dates">OFFSET(Historical_Data_Start, 1,0,Historical_Data_Rows,1)</definedName>
    <definedName name="Historical_Data_Names">OFFSET(Historical_Data_Start,-2,1,3,Historical_Data_Columns)</definedName>
    <definedName name="Historical_Data_Returns">OFFSET(Historical_Data_Start,1,1,Historical_Data_Rows,Historical_Data_Columns)</definedName>
    <definedName name="Historical_Data_Rows">Historical_Data!$C$2</definedName>
    <definedName name="Historical_Data_Start">Historical_Data!$A$7</definedName>
    <definedName name="Historical_Data_Used">OFFSET(Historical_Data_Start,date_start_row,1,date_rows,Historical_Data_Columns)</definedName>
    <definedName name="inp_AL_list">OFFSET(AL_list_start,1,0,inp_num_AL,1)</definedName>
    <definedName name="inp_AL_maxs">Calculations!$Q$42:$Q$91</definedName>
    <definedName name="inp_AL_mins">Calculations!$P$42:$P$91</definedName>
    <definedName name="inp_correl_AL">OFFSET(inp_correl_start,1,0,inp_num_AL,inp_num_AL)</definedName>
    <definedName name="inp_correl_start">Calculations!$BK$41</definedName>
    <definedName name="inp_covar_AL">OFFSET(inp_covar_start,1,0,inp_num_AL,inp_num_AL)</definedName>
    <definedName name="inp_covar_assets">OFFSET(inp_covar_start,1,0,_num_assets,_num_assets)</definedName>
    <definedName name="inp_covar_LAsubset">OFFSET(inp_covar_start,1+_num_assets,0,_num_liab,_num_assets)</definedName>
    <definedName name="inp_covar_liab">OFFSET(inp_covar_start,1+_num_assets,_num_assets,_num_liab,_num_liab)</definedName>
    <definedName name="inp_covar_start">Calculations!$DJ$41</definedName>
    <definedName name="inp_curr_wts">Calculations!$L$42:$L$91</definedName>
    <definedName name="inp_hist_end">Calculations!$G$5</definedName>
    <definedName name="inp_hist_start">Calculations!$G$4</definedName>
    <definedName name="inp_ML_dir">Calculations!$C$17</definedName>
    <definedName name="inp_num_AL">Calculations!$G$15</definedName>
    <definedName name="inp_num_assts">Calculations!$G$13</definedName>
    <definedName name="inp_num_cv">Calculations!$C$12</definedName>
    <definedName name="inp_num_ef">Calculations!$C$8</definedName>
    <definedName name="inp_num_grps">Calculations!$Y$38</definedName>
    <definedName name="inp_num_obs">Calculations!$G$6</definedName>
    <definedName name="inp_num_relative_grps">Calculations!$AP$38</definedName>
    <definedName name="inp_num_rs">Calculations!$C$11</definedName>
    <definedName name="inp_prob_cv">Calculations!$G$11</definedName>
    <definedName name="inp_random_seed">Calculations!$C$13</definedName>
    <definedName name="inp_relwt_rs">Calculations!$G$10</definedName>
    <definedName name="inp_return_source">Calculations!$B$5</definedName>
    <definedName name="inp_run_name">Calculations!$B$4</definedName>
    <definedName name="inp_type_opt">Calculations!$B$6</definedName>
    <definedName name="inp_type_rs">Calculations!$C$10</definedName>
    <definedName name="inp_type_tr">Calculations!$B$5</definedName>
    <definedName name="model_group_combinations">OFFSET(group_combo_start,1,0,inp_num_AL,group_combination_count)</definedName>
    <definedName name="model_group_max_start">Calculations!$T$40</definedName>
    <definedName name="model_group_maxs">OFFSET(model_group_max_start,0,0,1,group_combination_count)</definedName>
    <definedName name="model_group_min_start">Calculations!$T$39</definedName>
    <definedName name="model_group_mins">OFFSET(model_group_min_start,0,0,1,group_combination_count)</definedName>
    <definedName name="model_group_names">OFFSET(Calculations!#REF!,0,0,1,group_combination_count)</definedName>
    <definedName name="model_output_asset_return_start">Calculations!$B$181</definedName>
    <definedName name="model_output_asset_vol_start">Calculations!$B$182</definedName>
    <definedName name="model_output_curr_return">Calculations!$DC$105</definedName>
    <definedName name="model_output_curr_risk">Calculations!$DC$104</definedName>
    <definedName name="model_output_curr_wts">OFFSET(model_output_curr_wts_start,1,0,inp_num_AL,1)</definedName>
    <definedName name="model_output_curr_wts_start">Calculations!$DC$106</definedName>
    <definedName name="model_output_datetime">Calculations!$C$100</definedName>
    <definedName name="model_output_ef_labels">OFFSET(model_output_ef_labels_start,1,0,inp_num_AL,1)</definedName>
    <definedName name="model_output_ef_labels_start">Calculations!$B$106</definedName>
    <definedName name="model_output_ef_return">OFFSET(model_output_ef_return_start,0,1,1,inp_num_ef)</definedName>
    <definedName name="model_output_ef_return_start">Calculations!$B$105</definedName>
    <definedName name="model_output_ef_risk">OFFSET(model_output_ef_risk_start,0,1,1,inp_num_ef)</definedName>
    <definedName name="model_output_ef_risk_start">Calculations!$B$104</definedName>
    <definedName name="model_output_ef_wts">OFFSET(model_output_ef_wts_start,1,0,inp_num_AL,inp_num_ef)</definedName>
    <definedName name="model_output_ef_wts_start">Calculations!$C$106</definedName>
    <definedName name="model_output_return_start">Calculations!$B$105</definedName>
    <definedName name="model_output_risk_start">Calculations!$B$104</definedName>
    <definedName name="model_output_sr_return">Calculations!$CZ$105</definedName>
    <definedName name="model_output_sr_risk">Calculations!$CZ$104</definedName>
    <definedName name="model_output_sr_wts">OFFSET(model_output_sr_wts_start,1,0,inp_num_AL,1)</definedName>
    <definedName name="model_output_sr_wts_start">Calculations!$CZ$106</definedName>
    <definedName name="model_relative_comboA">OFFSET(relative_comboA_start,1,0,inp_num_AL,relative_combination_count)</definedName>
    <definedName name="model_relative_comboB">OFFSET(relative_comboB_start,1,0,inp_num_AL,relative_combination_count)</definedName>
    <definedName name="model_relative_max_start">Calculations!$AI$40</definedName>
    <definedName name="model_relative_maxs">OFFSET(model_relative_max_start,0,0,1,relative_combination_count)</definedName>
    <definedName name="model_relative_min_start">Calculations!$AI$39</definedName>
    <definedName name="model_relative_mins">OFFSET(model_relative_min_start,0,0,1,relative_combination_count)</definedName>
    <definedName name="model_relative_names">OFFSET(Calculations!#REF!,0,0,1,relative_combination_count)</definedName>
    <definedName name="model_TR_AL">OFFSET(model_TR_start,1,0,inp_num_AL,1)</definedName>
    <definedName name="model_TR_assets">OFFSET(model_TR_start,1,0,_num_assets,1)</definedName>
    <definedName name="model_TR_start">Calculations!$BH$41</definedName>
    <definedName name="model_vol_AL">OFFSET(model_Vol_start,1,0,inp_num_AL,1)</definedName>
    <definedName name="model_Vol_start">Calculations!$BI$41</definedName>
    <definedName name="relative_combination_count">Calculations!$AP$38</definedName>
    <definedName name="relative_comboA_start">Calculations!$AI$41</definedName>
    <definedName name="relative_comboB_start">Calculations!$AU$41</definedName>
    <definedName name="RunMode">Calculations!$A$1</definedName>
    <definedName name="Series1Anchor">Graphs!$AK$4</definedName>
    <definedName name="Series2Anchor">Graphs!$AK$33</definedName>
    <definedName name="Start_Calc">Calculations!$A$2</definedName>
    <definedName name="Start_Output">Calculations!$A$100:$A$124</definedName>
  </definedNames>
  <calcPr calcId="171027"/>
</workbook>
</file>

<file path=xl/calcChain.xml><?xml version="1.0" encoding="utf-8"?>
<calcChain xmlns="http://schemas.openxmlformats.org/spreadsheetml/2006/main">
  <c r="AG6" i="33" l="1"/>
  <c r="AH6" i="33"/>
  <c r="AI6" i="33"/>
  <c r="AF6" i="33"/>
  <c r="AG8" i="33"/>
  <c r="AH8" i="33"/>
  <c r="AI8" i="33"/>
  <c r="AF8" i="33"/>
  <c r="AC2" i="33"/>
  <c r="AC9" i="33"/>
  <c r="AC8" i="33"/>
  <c r="AC7" i="33"/>
  <c r="N8" i="33" l="1"/>
  <c r="N7" i="33"/>
  <c r="L37" i="13" l="1"/>
  <c r="C19" i="13" l="1"/>
  <c r="U36" i="13"/>
  <c r="V36" i="13"/>
  <c r="W36" i="13"/>
  <c r="X36" i="13"/>
  <c r="Y36" i="13"/>
  <c r="T36" i="13"/>
  <c r="AK56" i="35" l="1"/>
  <c r="AK55" i="35"/>
  <c r="AK54" i="35"/>
  <c r="AK53" i="35"/>
  <c r="AK52" i="35"/>
  <c r="AK51" i="35"/>
  <c r="AK50" i="35"/>
  <c r="AK49" i="35"/>
  <c r="AK48" i="35"/>
  <c r="AK47" i="35"/>
  <c r="AK46" i="35"/>
  <c r="AK45" i="35"/>
  <c r="AK44" i="35"/>
  <c r="AK43" i="35"/>
  <c r="AK42" i="35"/>
  <c r="AK41" i="35"/>
  <c r="AM41" i="35" l="1"/>
  <c r="AM12" i="35"/>
  <c r="AM59" i="35"/>
  <c r="AL59" i="35"/>
  <c r="AM30" i="35"/>
  <c r="AL30" i="35"/>
  <c r="EI36" i="35" l="1"/>
  <c r="EH36" i="35"/>
  <c r="EG36" i="35"/>
  <c r="EF36" i="35"/>
  <c r="EE36" i="35"/>
  <c r="ED36" i="35"/>
  <c r="EC36" i="35"/>
  <c r="EB36" i="35"/>
  <c r="EA36" i="35"/>
  <c r="DZ36" i="35"/>
  <c r="DY36" i="35"/>
  <c r="DX36" i="35"/>
  <c r="DW36" i="35"/>
  <c r="DV36" i="35"/>
  <c r="DU36" i="35"/>
  <c r="DT36" i="35"/>
  <c r="DS36" i="35"/>
  <c r="DR36" i="35"/>
  <c r="DQ36" i="35"/>
  <c r="DP36" i="35"/>
  <c r="DO36" i="35"/>
  <c r="DN36" i="35"/>
  <c r="DM36" i="35"/>
  <c r="DL36" i="35"/>
  <c r="DK36" i="35"/>
  <c r="DJ36" i="35"/>
  <c r="DI36" i="35"/>
  <c r="DH36" i="35"/>
  <c r="DG36" i="35"/>
  <c r="DF36" i="35"/>
  <c r="DE36" i="35"/>
  <c r="DD36" i="35"/>
  <c r="DC36" i="35"/>
  <c r="DB36" i="35"/>
  <c r="DA36" i="35"/>
  <c r="CZ36" i="35"/>
  <c r="CY36" i="35"/>
  <c r="CX36" i="35"/>
  <c r="CW36" i="35"/>
  <c r="CV36" i="35"/>
  <c r="CU36" i="35"/>
  <c r="CT36" i="35"/>
  <c r="CS36" i="35"/>
  <c r="CR36" i="35"/>
  <c r="CQ36" i="35"/>
  <c r="CP36" i="35"/>
  <c r="CO36" i="35"/>
  <c r="CN36" i="35"/>
  <c r="CM36" i="35"/>
  <c r="CL36" i="35"/>
  <c r="CK36" i="35"/>
  <c r="CJ36" i="35"/>
  <c r="CI36" i="35"/>
  <c r="CH36" i="35"/>
  <c r="CG36" i="35"/>
  <c r="CF36" i="35"/>
  <c r="CE36" i="35"/>
  <c r="CD36" i="35"/>
  <c r="CC36" i="35"/>
  <c r="CB36" i="35"/>
  <c r="CA36" i="35"/>
  <c r="BZ36" i="35"/>
  <c r="BY36" i="35"/>
  <c r="BX36" i="35"/>
  <c r="BW36" i="35"/>
  <c r="BV36" i="35"/>
  <c r="BU36" i="35"/>
  <c r="BT36" i="35"/>
  <c r="BS36" i="35"/>
  <c r="BR36" i="35"/>
  <c r="BQ36" i="35"/>
  <c r="BP36" i="35"/>
  <c r="BO36" i="35"/>
  <c r="BN36" i="35"/>
  <c r="BM36" i="35"/>
  <c r="BL36" i="35"/>
  <c r="BK36" i="35"/>
  <c r="BJ36" i="35"/>
  <c r="BI36" i="35"/>
  <c r="BH36" i="35"/>
  <c r="BG36" i="35"/>
  <c r="BF36" i="35"/>
  <c r="BE36" i="35"/>
  <c r="BD36" i="35"/>
  <c r="BC36" i="35"/>
  <c r="BB36" i="35"/>
  <c r="BA36" i="35"/>
  <c r="AZ36" i="35"/>
  <c r="AY36" i="35"/>
  <c r="AX36" i="35"/>
  <c r="AW36" i="35"/>
  <c r="AV36" i="35"/>
  <c r="AU36" i="35"/>
  <c r="AT36" i="35"/>
  <c r="AS36" i="35"/>
  <c r="AR36" i="35"/>
  <c r="AQ36" i="35"/>
  <c r="AP36" i="35"/>
  <c r="AO36" i="35"/>
  <c r="AN36" i="35"/>
  <c r="EI35" i="35"/>
  <c r="EH35" i="35"/>
  <c r="EG35" i="35"/>
  <c r="EF35" i="35"/>
  <c r="EE35" i="35"/>
  <c r="ED35" i="35"/>
  <c r="EC35" i="35"/>
  <c r="EB35" i="35"/>
  <c r="EA35" i="35"/>
  <c r="DZ35" i="35"/>
  <c r="DY35" i="35"/>
  <c r="DX35" i="35"/>
  <c r="DW35" i="35"/>
  <c r="DV35" i="35"/>
  <c r="DU35" i="35"/>
  <c r="DT35" i="35"/>
  <c r="DS35" i="35"/>
  <c r="DR35" i="35"/>
  <c r="DQ35" i="35"/>
  <c r="DP35" i="35"/>
  <c r="DO35" i="35"/>
  <c r="DN35" i="35"/>
  <c r="DM35" i="35"/>
  <c r="DL35" i="35"/>
  <c r="DK35" i="35"/>
  <c r="DJ35" i="35"/>
  <c r="DI35" i="35"/>
  <c r="DH35" i="35"/>
  <c r="DG35" i="35"/>
  <c r="DF35" i="35"/>
  <c r="DE35" i="35"/>
  <c r="DD35" i="35"/>
  <c r="DC35" i="35"/>
  <c r="DB35" i="35"/>
  <c r="DA35" i="35"/>
  <c r="CZ35" i="35"/>
  <c r="CY35" i="35"/>
  <c r="CX35" i="35"/>
  <c r="CW35" i="35"/>
  <c r="CV35" i="35"/>
  <c r="CU35" i="35"/>
  <c r="CT35" i="35"/>
  <c r="CS35" i="35"/>
  <c r="CR35" i="35"/>
  <c r="CQ35" i="35"/>
  <c r="CP35" i="35"/>
  <c r="CO35" i="35"/>
  <c r="CN35" i="35"/>
  <c r="CM35" i="35"/>
  <c r="CL35" i="35"/>
  <c r="CK35" i="35"/>
  <c r="CJ35" i="35"/>
  <c r="CI35" i="35"/>
  <c r="CH35" i="35"/>
  <c r="CG35" i="35"/>
  <c r="CF35" i="35"/>
  <c r="CE35" i="35"/>
  <c r="CD35" i="35"/>
  <c r="CC35" i="35"/>
  <c r="CB35" i="35"/>
  <c r="CA35" i="35"/>
  <c r="BZ35" i="35"/>
  <c r="BY35" i="35"/>
  <c r="BX35" i="35"/>
  <c r="BW35" i="35"/>
  <c r="BV35" i="35"/>
  <c r="BU35" i="35"/>
  <c r="BT35" i="35"/>
  <c r="BS35" i="35"/>
  <c r="BR35" i="35"/>
  <c r="BQ35" i="35"/>
  <c r="BP35" i="35"/>
  <c r="BO35" i="35"/>
  <c r="BN35" i="35"/>
  <c r="BM35" i="35"/>
  <c r="BL35" i="35"/>
  <c r="BK35" i="35"/>
  <c r="BJ35" i="35"/>
  <c r="BI35" i="35"/>
  <c r="BH35" i="35"/>
  <c r="BG35" i="35"/>
  <c r="BF35" i="35"/>
  <c r="BE35" i="35"/>
  <c r="BD35" i="35"/>
  <c r="BC35" i="35"/>
  <c r="BB35" i="35"/>
  <c r="BA35" i="35"/>
  <c r="AZ35" i="35"/>
  <c r="AY35" i="35"/>
  <c r="AX35" i="35"/>
  <c r="AW35" i="35"/>
  <c r="AV35" i="35"/>
  <c r="AU35" i="35"/>
  <c r="AT35" i="35"/>
  <c r="AS35" i="35"/>
  <c r="AR35" i="35"/>
  <c r="AQ35" i="35"/>
  <c r="AP35" i="35"/>
  <c r="AO35" i="35"/>
  <c r="AN35" i="35"/>
  <c r="EI7" i="35"/>
  <c r="EH7" i="35"/>
  <c r="EG7" i="35"/>
  <c r="EF7" i="35"/>
  <c r="EE7" i="35"/>
  <c r="ED7" i="35"/>
  <c r="EC7" i="35"/>
  <c r="EB7" i="35"/>
  <c r="EA7" i="35"/>
  <c r="DZ7" i="35"/>
  <c r="DY7" i="35"/>
  <c r="DX7" i="35"/>
  <c r="DW7" i="35"/>
  <c r="DV7" i="35"/>
  <c r="DU7" i="35"/>
  <c r="DT7" i="35"/>
  <c r="DS7" i="35"/>
  <c r="DR7" i="35"/>
  <c r="DQ7" i="35"/>
  <c r="DP7" i="35"/>
  <c r="DO7" i="35"/>
  <c r="DN7" i="35"/>
  <c r="DM7" i="35"/>
  <c r="DL7" i="35"/>
  <c r="DK7" i="35"/>
  <c r="DJ7" i="35"/>
  <c r="DI7" i="35"/>
  <c r="DH7" i="35"/>
  <c r="DG7" i="35"/>
  <c r="DF7" i="35"/>
  <c r="DE7" i="35"/>
  <c r="DD7" i="35"/>
  <c r="DC7" i="35"/>
  <c r="DB7" i="35"/>
  <c r="DA7" i="35"/>
  <c r="CZ7" i="35"/>
  <c r="CY7" i="35"/>
  <c r="CX7" i="35"/>
  <c r="CW7" i="35"/>
  <c r="CV7" i="35"/>
  <c r="CU7" i="35"/>
  <c r="CT7" i="35"/>
  <c r="CS7" i="35"/>
  <c r="CR7" i="35"/>
  <c r="CQ7" i="35"/>
  <c r="CP7" i="35"/>
  <c r="CO7" i="35"/>
  <c r="CN7" i="35"/>
  <c r="CM7" i="35"/>
  <c r="CL7" i="35"/>
  <c r="CK7" i="35"/>
  <c r="CJ7" i="35"/>
  <c r="CI7" i="35"/>
  <c r="CH7" i="35"/>
  <c r="CG7" i="35"/>
  <c r="CF7" i="35"/>
  <c r="CE7" i="35"/>
  <c r="CD7" i="35"/>
  <c r="CC7" i="35"/>
  <c r="CB7" i="35"/>
  <c r="CA7" i="35"/>
  <c r="BZ7" i="35"/>
  <c r="BY7" i="35"/>
  <c r="BX7" i="35"/>
  <c r="BW7" i="35"/>
  <c r="BV7" i="35"/>
  <c r="BU7" i="35"/>
  <c r="BT7" i="35"/>
  <c r="BS7" i="35"/>
  <c r="BR7" i="35"/>
  <c r="BQ7" i="35"/>
  <c r="BP7" i="35"/>
  <c r="BO7" i="35"/>
  <c r="BN7" i="35"/>
  <c r="BM7" i="35"/>
  <c r="BL7" i="35"/>
  <c r="BK7" i="35"/>
  <c r="BJ7" i="35"/>
  <c r="BI7" i="35"/>
  <c r="BH7" i="35"/>
  <c r="BG7" i="35"/>
  <c r="BF7" i="35"/>
  <c r="BE7" i="35"/>
  <c r="BD7" i="35"/>
  <c r="BC7" i="35"/>
  <c r="BB7" i="35"/>
  <c r="BA7" i="35"/>
  <c r="AZ7" i="35"/>
  <c r="AY7" i="35"/>
  <c r="AX7" i="35"/>
  <c r="AW7" i="35"/>
  <c r="AV7" i="35"/>
  <c r="AU7" i="35"/>
  <c r="AT7" i="35"/>
  <c r="AS7" i="35"/>
  <c r="AR7" i="35"/>
  <c r="AQ7" i="35"/>
  <c r="AP7" i="35"/>
  <c r="AO7" i="35"/>
  <c r="AN7" i="35"/>
  <c r="EI6" i="35"/>
  <c r="EH6" i="35"/>
  <c r="EG6" i="35"/>
  <c r="EF6" i="35"/>
  <c r="EE6" i="35"/>
  <c r="ED6" i="35"/>
  <c r="EC6" i="35"/>
  <c r="EB6" i="35"/>
  <c r="EA6" i="35"/>
  <c r="DZ6" i="35"/>
  <c r="DY6" i="35"/>
  <c r="DX6" i="35"/>
  <c r="DW6" i="35"/>
  <c r="DV6" i="35"/>
  <c r="DU6" i="35"/>
  <c r="DT6" i="35"/>
  <c r="DS6" i="35"/>
  <c r="DR6" i="35"/>
  <c r="DQ6" i="35"/>
  <c r="DP6" i="35"/>
  <c r="DO6" i="35"/>
  <c r="DN6" i="35"/>
  <c r="DM6" i="35"/>
  <c r="DL6" i="35"/>
  <c r="DK6" i="35"/>
  <c r="DJ6" i="35"/>
  <c r="DI6" i="35"/>
  <c r="DH6" i="35"/>
  <c r="DG6" i="35"/>
  <c r="DF6" i="35"/>
  <c r="DE6" i="35"/>
  <c r="DD6" i="35"/>
  <c r="DC6" i="35"/>
  <c r="DB6" i="35"/>
  <c r="DA6" i="35"/>
  <c r="CZ6" i="35"/>
  <c r="CY6" i="35"/>
  <c r="CX6" i="35"/>
  <c r="CW6" i="35"/>
  <c r="CV6" i="35"/>
  <c r="CU6" i="35"/>
  <c r="CT6" i="35"/>
  <c r="CS6" i="35"/>
  <c r="CR6" i="35"/>
  <c r="CQ6" i="35"/>
  <c r="CP6" i="35"/>
  <c r="CO6" i="35"/>
  <c r="CN6" i="35"/>
  <c r="CM6" i="35"/>
  <c r="CL6" i="35"/>
  <c r="CK6" i="35"/>
  <c r="CJ6" i="35"/>
  <c r="CI6" i="35"/>
  <c r="CH6" i="35"/>
  <c r="CG6" i="35"/>
  <c r="CF6" i="35"/>
  <c r="CE6" i="35"/>
  <c r="CD6" i="35"/>
  <c r="CC6" i="35"/>
  <c r="CB6" i="35"/>
  <c r="CA6" i="35"/>
  <c r="BZ6" i="35"/>
  <c r="BY6" i="35"/>
  <c r="BX6" i="35"/>
  <c r="BW6" i="35"/>
  <c r="BV6" i="35"/>
  <c r="BU6" i="35"/>
  <c r="BT6" i="35"/>
  <c r="BS6" i="35"/>
  <c r="BR6" i="35"/>
  <c r="BQ6" i="35"/>
  <c r="BP6" i="35"/>
  <c r="BO6" i="35"/>
  <c r="BN6" i="35"/>
  <c r="BM6" i="35"/>
  <c r="BL6" i="35"/>
  <c r="BK6" i="35"/>
  <c r="BJ6" i="35"/>
  <c r="BI6" i="35"/>
  <c r="BH6" i="35"/>
  <c r="BG6" i="35"/>
  <c r="BF6" i="35"/>
  <c r="BE6" i="35"/>
  <c r="BD6" i="35"/>
  <c r="BC6" i="35"/>
  <c r="BB6" i="35"/>
  <c r="BA6" i="35"/>
  <c r="AZ6" i="35"/>
  <c r="AY6" i="35"/>
  <c r="AX6" i="35"/>
  <c r="AW6" i="35"/>
  <c r="AV6" i="35"/>
  <c r="AU6" i="35"/>
  <c r="AT6" i="35"/>
  <c r="AS6" i="35"/>
  <c r="AR6" i="35"/>
  <c r="AQ6" i="35"/>
  <c r="AP6" i="35"/>
  <c r="AO6" i="35"/>
  <c r="AN6" i="35"/>
  <c r="AK33" i="35"/>
  <c r="AK4" i="35"/>
  <c r="AM56" i="35" l="1"/>
  <c r="AL56" i="35"/>
  <c r="AM55" i="35"/>
  <c r="AL55" i="35"/>
  <c r="AM54" i="35"/>
  <c r="AL54" i="35"/>
  <c r="AM53" i="35"/>
  <c r="AL53" i="35"/>
  <c r="AM52" i="35"/>
  <c r="AL52" i="35"/>
  <c r="AM51" i="35"/>
  <c r="AL51" i="35"/>
  <c r="AM50" i="35"/>
  <c r="AL50" i="35"/>
  <c r="AM49" i="35"/>
  <c r="AL49" i="35"/>
  <c r="AM48" i="35"/>
  <c r="AL48" i="35"/>
  <c r="AM47" i="35"/>
  <c r="AL47" i="35"/>
  <c r="AM46" i="35"/>
  <c r="AL46" i="35"/>
  <c r="AM45" i="35"/>
  <c r="AL45" i="35"/>
  <c r="AM44" i="35"/>
  <c r="AL44" i="35"/>
  <c r="AM43" i="35"/>
  <c r="AL43" i="35"/>
  <c r="AM42" i="35"/>
  <c r="AL42" i="35"/>
  <c r="AM27" i="35"/>
  <c r="AM26" i="35"/>
  <c r="AM25" i="35"/>
  <c r="AM24" i="35"/>
  <c r="AM23" i="35"/>
  <c r="AM22" i="35"/>
  <c r="AM21" i="35"/>
  <c r="AM20" i="35"/>
  <c r="AM19" i="35"/>
  <c r="AM18" i="35"/>
  <c r="AM17" i="35"/>
  <c r="AM16" i="35"/>
  <c r="AM15" i="35"/>
  <c r="AM14" i="35"/>
  <c r="AM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13" i="35"/>
  <c r="AJ15" i="35"/>
  <c r="AJ6" i="35"/>
  <c r="AJ7" i="35"/>
  <c r="AJ8" i="35"/>
  <c r="AJ9" i="35"/>
  <c r="AJ10" i="35"/>
  <c r="AJ11" i="35"/>
  <c r="AJ12" i="35"/>
  <c r="AJ13" i="35"/>
  <c r="AJ14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5" i="35"/>
  <c r="EI59" i="35" l="1"/>
  <c r="CZ59" i="35"/>
  <c r="EF59" i="35"/>
  <c r="BH59" i="35"/>
  <c r="BL59" i="35"/>
  <c r="DX59" i="35"/>
  <c r="CV59" i="35"/>
  <c r="AT59" i="35"/>
  <c r="BJ59" i="35"/>
  <c r="BZ59" i="35"/>
  <c r="CP59" i="35"/>
  <c r="DF59" i="35"/>
  <c r="DV59" i="35"/>
  <c r="AO59" i="35"/>
  <c r="BE59" i="35"/>
  <c r="BU59" i="35"/>
  <c r="CK59" i="35"/>
  <c r="DA59" i="35"/>
  <c r="DQ59" i="35"/>
  <c r="EG59" i="35"/>
  <c r="BC59" i="35"/>
  <c r="BS59" i="35"/>
  <c r="CI59" i="35"/>
  <c r="CY59" i="35"/>
  <c r="DO59" i="35"/>
  <c r="EE59" i="35"/>
  <c r="CD30" i="35"/>
  <c r="DJ30" i="35"/>
  <c r="AN30" i="35"/>
  <c r="BD30" i="35"/>
  <c r="BT30" i="35"/>
  <c r="CJ30" i="35"/>
  <c r="CZ30" i="35"/>
  <c r="DP30" i="35"/>
  <c r="EF30" i="35"/>
  <c r="BR30" i="35"/>
  <c r="CX30" i="35"/>
  <c r="ED30" i="35"/>
  <c r="BA30" i="35"/>
  <c r="BQ30" i="35"/>
  <c r="CG30" i="35"/>
  <c r="CW30" i="35"/>
  <c r="DM30" i="35"/>
  <c r="EC30" i="35"/>
  <c r="AQ30" i="35"/>
  <c r="BG30" i="35"/>
  <c r="BW30" i="35"/>
  <c r="CM30" i="35"/>
  <c r="DC30" i="35"/>
  <c r="DS30" i="35"/>
  <c r="EB59" i="35"/>
  <c r="BR59" i="35"/>
  <c r="CX59" i="35"/>
  <c r="ED59" i="35"/>
  <c r="BM59" i="35"/>
  <c r="CS59" i="35"/>
  <c r="DY59" i="35"/>
  <c r="BK59" i="35"/>
  <c r="CQ59" i="35"/>
  <c r="DW59" i="35"/>
  <c r="CT30" i="35"/>
  <c r="AV30" i="35"/>
  <c r="CB30" i="35"/>
  <c r="DH30" i="35"/>
  <c r="BB30" i="35"/>
  <c r="DN30" i="35"/>
  <c r="BI30" i="35"/>
  <c r="CO30" i="35"/>
  <c r="DU30" i="35"/>
  <c r="AY30" i="35"/>
  <c r="CE30" i="35"/>
  <c r="DK30" i="35"/>
  <c r="AN59" i="35"/>
  <c r="DP59" i="35"/>
  <c r="DH59" i="35"/>
  <c r="AP59" i="35"/>
  <c r="BV59" i="35"/>
  <c r="DB59" i="35"/>
  <c r="EH59" i="35"/>
  <c r="BQ59" i="35"/>
  <c r="EI30" i="35"/>
  <c r="AR59" i="35"/>
  <c r="BD59" i="35"/>
  <c r="CN59" i="35"/>
  <c r="CB59" i="35"/>
  <c r="AZ59" i="35"/>
  <c r="DL59" i="35"/>
  <c r="AX59" i="35"/>
  <c r="BN59" i="35"/>
  <c r="CD59" i="35"/>
  <c r="CT59" i="35"/>
  <c r="DJ59" i="35"/>
  <c r="DZ59" i="35"/>
  <c r="AS59" i="35"/>
  <c r="BI59" i="35"/>
  <c r="BY59" i="35"/>
  <c r="CO59" i="35"/>
  <c r="DE59" i="35"/>
  <c r="DU59" i="35"/>
  <c r="AQ59" i="35"/>
  <c r="BG59" i="35"/>
  <c r="BW59" i="35"/>
  <c r="CM59" i="35"/>
  <c r="DC59" i="35"/>
  <c r="DS59" i="35"/>
  <c r="AX30" i="35"/>
  <c r="CL30" i="35"/>
  <c r="DR30" i="35"/>
  <c r="AR30" i="35"/>
  <c r="BH30" i="35"/>
  <c r="BX30" i="35"/>
  <c r="CN30" i="35"/>
  <c r="DD30" i="35"/>
  <c r="DT30" i="35"/>
  <c r="AP30" i="35"/>
  <c r="BZ30" i="35"/>
  <c r="DF30" i="35"/>
  <c r="AO30" i="35"/>
  <c r="BE30" i="35"/>
  <c r="BU30" i="35"/>
  <c r="CK30" i="35"/>
  <c r="DA30" i="35"/>
  <c r="DQ30" i="35"/>
  <c r="EG30" i="35"/>
  <c r="AU30" i="35"/>
  <c r="BK30" i="35"/>
  <c r="CA30" i="35"/>
  <c r="CQ30" i="35"/>
  <c r="DG30" i="35"/>
  <c r="DW30" i="35"/>
  <c r="BX59" i="35"/>
  <c r="DD59" i="35"/>
  <c r="CJ59" i="35"/>
  <c r="DT59" i="35"/>
  <c r="CR59" i="35"/>
  <c r="BP59" i="35"/>
  <c r="BB59" i="35"/>
  <c r="CH59" i="35"/>
  <c r="DN59" i="35"/>
  <c r="AW59" i="35"/>
  <c r="CC59" i="35"/>
  <c r="DI59" i="35"/>
  <c r="AU59" i="35"/>
  <c r="CA59" i="35"/>
  <c r="DG59" i="35"/>
  <c r="BF30" i="35"/>
  <c r="DZ30" i="35"/>
  <c r="BL30" i="35"/>
  <c r="CR30" i="35"/>
  <c r="DX30" i="35"/>
  <c r="CH30" i="35"/>
  <c r="AS30" i="35"/>
  <c r="BY30" i="35"/>
  <c r="DE30" i="35"/>
  <c r="AT30" i="35"/>
  <c r="BO30" i="35"/>
  <c r="CU30" i="35"/>
  <c r="EA30" i="35"/>
  <c r="BT59" i="35"/>
  <c r="AV59" i="35"/>
  <c r="CF59" i="35"/>
  <c r="BF59" i="35"/>
  <c r="CL59" i="35"/>
  <c r="DR59" i="35"/>
  <c r="BA59" i="35"/>
  <c r="CG59" i="35"/>
  <c r="AY59" i="35"/>
  <c r="DK59" i="35"/>
  <c r="CW59" i="35"/>
  <c r="BO59" i="35"/>
  <c r="EA59" i="35"/>
  <c r="AZ30" i="35"/>
  <c r="DL30" i="35"/>
  <c r="DV30" i="35"/>
  <c r="CS30" i="35"/>
  <c r="BC30" i="35"/>
  <c r="DO30" i="35"/>
  <c r="DM59" i="35"/>
  <c r="CE59" i="35"/>
  <c r="BV30" i="35"/>
  <c r="BP30" i="35"/>
  <c r="EB30" i="35"/>
  <c r="AW30" i="35"/>
  <c r="DI30" i="35"/>
  <c r="BS30" i="35"/>
  <c r="EE30" i="35"/>
  <c r="EC59" i="35"/>
  <c r="CU59" i="35"/>
  <c r="DB30" i="35"/>
  <c r="CF30" i="35"/>
  <c r="BJ30" i="35"/>
  <c r="BM30" i="35"/>
  <c r="DY30" i="35"/>
  <c r="CI30" i="35"/>
  <c r="EH30" i="35"/>
  <c r="CV30" i="35"/>
  <c r="CP30" i="35"/>
  <c r="CC30" i="35"/>
  <c r="BN30" i="35"/>
  <c r="CY30" i="35"/>
  <c r="EI43" i="35"/>
  <c r="EE43" i="35"/>
  <c r="EA43" i="35"/>
  <c r="DW43" i="35"/>
  <c r="DS43" i="35"/>
  <c r="DO43" i="35"/>
  <c r="DK43" i="35"/>
  <c r="DG43" i="35"/>
  <c r="DC43" i="35"/>
  <c r="CY43" i="35"/>
  <c r="CU43" i="35"/>
  <c r="CQ43" i="35"/>
  <c r="CM43" i="35"/>
  <c r="CI43" i="35"/>
  <c r="CE43" i="35"/>
  <c r="CA43" i="35"/>
  <c r="BW43" i="35"/>
  <c r="BS43" i="35"/>
  <c r="BO43" i="35"/>
  <c r="BK43" i="35"/>
  <c r="BG43" i="35"/>
  <c r="BC43" i="35"/>
  <c r="AY43" i="35"/>
  <c r="AU43" i="35"/>
  <c r="AQ43" i="35"/>
  <c r="EF43" i="35"/>
  <c r="DZ43" i="35"/>
  <c r="DU43" i="35"/>
  <c r="DP43" i="35"/>
  <c r="DJ43" i="35"/>
  <c r="DE43" i="35"/>
  <c r="CZ43" i="35"/>
  <c r="CT43" i="35"/>
  <c r="CO43" i="35"/>
  <c r="CJ43" i="35"/>
  <c r="CD43" i="35"/>
  <c r="ED43" i="35"/>
  <c r="DX43" i="35"/>
  <c r="DQ43" i="35"/>
  <c r="DI43" i="35"/>
  <c r="DB43" i="35"/>
  <c r="CV43" i="35"/>
  <c r="CN43" i="35"/>
  <c r="CG43" i="35"/>
  <c r="BZ43" i="35"/>
  <c r="BU43" i="35"/>
  <c r="BP43" i="35"/>
  <c r="BJ43" i="35"/>
  <c r="BE43" i="35"/>
  <c r="AZ43" i="35"/>
  <c r="AT43" i="35"/>
  <c r="AO43" i="35"/>
  <c r="DY43" i="35"/>
  <c r="CW43" i="35"/>
  <c r="CB43" i="35"/>
  <c r="BL43" i="35"/>
  <c r="BA43" i="35"/>
  <c r="EC43" i="35"/>
  <c r="DV43" i="35"/>
  <c r="DN43" i="35"/>
  <c r="DH43" i="35"/>
  <c r="DA43" i="35"/>
  <c r="CS43" i="35"/>
  <c r="CL43" i="35"/>
  <c r="CF43" i="35"/>
  <c r="BY43" i="35"/>
  <c r="BT43" i="35"/>
  <c r="BN43" i="35"/>
  <c r="BI43" i="35"/>
  <c r="BD43" i="35"/>
  <c r="AX43" i="35"/>
  <c r="AS43" i="35"/>
  <c r="AN43" i="35"/>
  <c r="EH43" i="35"/>
  <c r="EB43" i="35"/>
  <c r="DT43" i="35"/>
  <c r="DM43" i="35"/>
  <c r="DF43" i="35"/>
  <c r="CX43" i="35"/>
  <c r="CR43" i="35"/>
  <c r="CK43" i="35"/>
  <c r="CC43" i="35"/>
  <c r="BX43" i="35"/>
  <c r="BR43" i="35"/>
  <c r="BM43" i="35"/>
  <c r="BH43" i="35"/>
  <c r="BB43" i="35"/>
  <c r="AW43" i="35"/>
  <c r="AR43" i="35"/>
  <c r="EG43" i="35"/>
  <c r="DR43" i="35"/>
  <c r="DL43" i="35"/>
  <c r="DD43" i="35"/>
  <c r="CP43" i="35"/>
  <c r="CH43" i="35"/>
  <c r="BV43" i="35"/>
  <c r="BQ43" i="35"/>
  <c r="BF43" i="35"/>
  <c r="AV43" i="35"/>
  <c r="AP43" i="35"/>
  <c r="EI45" i="35"/>
  <c r="EE45" i="35"/>
  <c r="EA45" i="35"/>
  <c r="DW45" i="35"/>
  <c r="DS45" i="35"/>
  <c r="DO45" i="35"/>
  <c r="DK45" i="35"/>
  <c r="DG45" i="35"/>
  <c r="DC45" i="35"/>
  <c r="CY45" i="35"/>
  <c r="CU45" i="35"/>
  <c r="CQ45" i="35"/>
  <c r="CM45" i="35"/>
  <c r="CI45" i="35"/>
  <c r="CE45" i="35"/>
  <c r="CA45" i="35"/>
  <c r="BW45" i="35"/>
  <c r="BS45" i="35"/>
  <c r="BO45" i="35"/>
  <c r="BK45" i="35"/>
  <c r="BG45" i="35"/>
  <c r="BC45" i="35"/>
  <c r="AY45" i="35"/>
  <c r="AU45" i="35"/>
  <c r="AQ45" i="35"/>
  <c r="EH45" i="35"/>
  <c r="EC45" i="35"/>
  <c r="DX45" i="35"/>
  <c r="DR45" i="35"/>
  <c r="DM45" i="35"/>
  <c r="DH45" i="35"/>
  <c r="DB45" i="35"/>
  <c r="CW45" i="35"/>
  <c r="CR45" i="35"/>
  <c r="CL45" i="35"/>
  <c r="CG45" i="35"/>
  <c r="CB45" i="35"/>
  <c r="BV45" i="35"/>
  <c r="BQ45" i="35"/>
  <c r="BL45" i="35"/>
  <c r="BF45" i="35"/>
  <c r="BA45" i="35"/>
  <c r="AV45" i="35"/>
  <c r="AP45" i="35"/>
  <c r="ED45" i="35"/>
  <c r="DV45" i="35"/>
  <c r="DP45" i="35"/>
  <c r="DI45" i="35"/>
  <c r="DA45" i="35"/>
  <c r="CT45" i="35"/>
  <c r="CN45" i="35"/>
  <c r="CF45" i="35"/>
  <c r="BY45" i="35"/>
  <c r="BR45" i="35"/>
  <c r="BJ45" i="35"/>
  <c r="BD45" i="35"/>
  <c r="AW45" i="35"/>
  <c r="AO45" i="35"/>
  <c r="DQ45" i="35"/>
  <c r="CV45" i="35"/>
  <c r="BZ45" i="35"/>
  <c r="BM45" i="35"/>
  <c r="AR45" i="35"/>
  <c r="EB45" i="35"/>
  <c r="DU45" i="35"/>
  <c r="DN45" i="35"/>
  <c r="DF45" i="35"/>
  <c r="CZ45" i="35"/>
  <c r="CS45" i="35"/>
  <c r="CK45" i="35"/>
  <c r="CD45" i="35"/>
  <c r="BX45" i="35"/>
  <c r="BP45" i="35"/>
  <c r="BI45" i="35"/>
  <c r="BB45" i="35"/>
  <c r="AT45" i="35"/>
  <c r="AN45" i="35"/>
  <c r="EG45" i="35"/>
  <c r="DZ45" i="35"/>
  <c r="DT45" i="35"/>
  <c r="DL45" i="35"/>
  <c r="DE45" i="35"/>
  <c r="CX45" i="35"/>
  <c r="CP45" i="35"/>
  <c r="CJ45" i="35"/>
  <c r="CC45" i="35"/>
  <c r="BU45" i="35"/>
  <c r="BN45" i="35"/>
  <c r="BH45" i="35"/>
  <c r="AZ45" i="35"/>
  <c r="AS45" i="35"/>
  <c r="EF45" i="35"/>
  <c r="DY45" i="35"/>
  <c r="DJ45" i="35"/>
  <c r="DD45" i="35"/>
  <c r="CO45" i="35"/>
  <c r="CH45" i="35"/>
  <c r="BT45" i="35"/>
  <c r="BE45" i="35"/>
  <c r="AX45" i="35"/>
  <c r="EG49" i="35"/>
  <c r="EC49" i="35"/>
  <c r="DY49" i="35"/>
  <c r="DU49" i="35"/>
  <c r="DQ49" i="35"/>
  <c r="DM49" i="35"/>
  <c r="DI49" i="35"/>
  <c r="DE49" i="35"/>
  <c r="DA49" i="35"/>
  <c r="CW49" i="35"/>
  <c r="CS49" i="35"/>
  <c r="CO49" i="35"/>
  <c r="CK49" i="35"/>
  <c r="CG49" i="35"/>
  <c r="CC49" i="35"/>
  <c r="BY49" i="35"/>
  <c r="BU49" i="35"/>
  <c r="BQ49" i="35"/>
  <c r="BM49" i="35"/>
  <c r="BI49" i="35"/>
  <c r="BE49" i="35"/>
  <c r="BA49" i="35"/>
  <c r="AW49" i="35"/>
  <c r="AS49" i="35"/>
  <c r="AO49" i="35"/>
  <c r="EE49" i="35"/>
  <c r="DZ49" i="35"/>
  <c r="DT49" i="35"/>
  <c r="DO49" i="35"/>
  <c r="DJ49" i="35"/>
  <c r="DD49" i="35"/>
  <c r="CY49" i="35"/>
  <c r="CT49" i="35"/>
  <c r="CN49" i="35"/>
  <c r="CI49" i="35"/>
  <c r="CD49" i="35"/>
  <c r="BX49" i="35"/>
  <c r="BS49" i="35"/>
  <c r="BN49" i="35"/>
  <c r="BH49" i="35"/>
  <c r="BC49" i="35"/>
  <c r="AX49" i="35"/>
  <c r="AR49" i="35"/>
  <c r="EI49" i="35"/>
  <c r="EB49" i="35"/>
  <c r="DV49" i="35"/>
  <c r="DN49" i="35"/>
  <c r="DG49" i="35"/>
  <c r="CZ49" i="35"/>
  <c r="CR49" i="35"/>
  <c r="CL49" i="35"/>
  <c r="CE49" i="35"/>
  <c r="BW49" i="35"/>
  <c r="BP49" i="35"/>
  <c r="BJ49" i="35"/>
  <c r="BB49" i="35"/>
  <c r="AU49" i="35"/>
  <c r="AN49" i="35"/>
  <c r="EH49" i="35"/>
  <c r="EA49" i="35"/>
  <c r="DS49" i="35"/>
  <c r="DL49" i="35"/>
  <c r="DF49" i="35"/>
  <c r="CX49" i="35"/>
  <c r="CQ49" i="35"/>
  <c r="CJ49" i="35"/>
  <c r="CB49" i="35"/>
  <c r="BV49" i="35"/>
  <c r="BO49" i="35"/>
  <c r="BG49" i="35"/>
  <c r="AZ49" i="35"/>
  <c r="AT49" i="35"/>
  <c r="DX49" i="35"/>
  <c r="DK49" i="35"/>
  <c r="CV49" i="35"/>
  <c r="CH49" i="35"/>
  <c r="BT49" i="35"/>
  <c r="BF49" i="35"/>
  <c r="AQ49" i="35"/>
  <c r="DB49" i="35"/>
  <c r="BZ49" i="35"/>
  <c r="DW49" i="35"/>
  <c r="DH49" i="35"/>
  <c r="CU49" i="35"/>
  <c r="CF49" i="35"/>
  <c r="BR49" i="35"/>
  <c r="BD49" i="35"/>
  <c r="AP49" i="35"/>
  <c r="EF49" i="35"/>
  <c r="DR49" i="35"/>
  <c r="DC49" i="35"/>
  <c r="CP49" i="35"/>
  <c r="CA49" i="35"/>
  <c r="BL49" i="35"/>
  <c r="AY49" i="35"/>
  <c r="ED49" i="35"/>
  <c r="DP49" i="35"/>
  <c r="CM49" i="35"/>
  <c r="BK49" i="35"/>
  <c r="AV49" i="35"/>
  <c r="EG51" i="35"/>
  <c r="EC51" i="35"/>
  <c r="DY51" i="35"/>
  <c r="DU51" i="35"/>
  <c r="DQ51" i="35"/>
  <c r="DM51" i="35"/>
  <c r="DI51" i="35"/>
  <c r="DE51" i="35"/>
  <c r="DA51" i="35"/>
  <c r="CW51" i="35"/>
  <c r="CS51" i="35"/>
  <c r="CO51" i="35"/>
  <c r="CK51" i="35"/>
  <c r="CG51" i="35"/>
  <c r="CC51" i="35"/>
  <c r="BY51" i="35"/>
  <c r="BU51" i="35"/>
  <c r="BQ51" i="35"/>
  <c r="BM51" i="35"/>
  <c r="BI51" i="35"/>
  <c r="BE51" i="35"/>
  <c r="BA51" i="35"/>
  <c r="AW51" i="35"/>
  <c r="AS51" i="35"/>
  <c r="AO51" i="35"/>
  <c r="EH51" i="35"/>
  <c r="EB51" i="35"/>
  <c r="DW51" i="35"/>
  <c r="DR51" i="35"/>
  <c r="DL51" i="35"/>
  <c r="DG51" i="35"/>
  <c r="DB51" i="35"/>
  <c r="CV51" i="35"/>
  <c r="CQ51" i="35"/>
  <c r="CL51" i="35"/>
  <c r="CF51" i="35"/>
  <c r="CA51" i="35"/>
  <c r="BV51" i="35"/>
  <c r="BP51" i="35"/>
  <c r="BK51" i="35"/>
  <c r="BF51" i="35"/>
  <c r="AZ51" i="35"/>
  <c r="AU51" i="35"/>
  <c r="AP51" i="35"/>
  <c r="EE51" i="35"/>
  <c r="DZ51" i="35"/>
  <c r="DT51" i="35"/>
  <c r="DO51" i="35"/>
  <c r="DJ51" i="35"/>
  <c r="DD51" i="35"/>
  <c r="CY51" i="35"/>
  <c r="CT51" i="35"/>
  <c r="CN51" i="35"/>
  <c r="CI51" i="35"/>
  <c r="CD51" i="35"/>
  <c r="BX51" i="35"/>
  <c r="BS51" i="35"/>
  <c r="BN51" i="35"/>
  <c r="BH51" i="35"/>
  <c r="BC51" i="35"/>
  <c r="AX51" i="35"/>
  <c r="AR51" i="35"/>
  <c r="EF51" i="35"/>
  <c r="DV51" i="35"/>
  <c r="DK51" i="35"/>
  <c r="CZ51" i="35"/>
  <c r="CP51" i="35"/>
  <c r="CE51" i="35"/>
  <c r="BT51" i="35"/>
  <c r="BJ51" i="35"/>
  <c r="AY51" i="35"/>
  <c r="AN51" i="35"/>
  <c r="ED51" i="35"/>
  <c r="DS51" i="35"/>
  <c r="DH51" i="35"/>
  <c r="CX51" i="35"/>
  <c r="CM51" i="35"/>
  <c r="CB51" i="35"/>
  <c r="BR51" i="35"/>
  <c r="BG51" i="35"/>
  <c r="AV51" i="35"/>
  <c r="DP51" i="35"/>
  <c r="CU51" i="35"/>
  <c r="BZ51" i="35"/>
  <c r="BD51" i="35"/>
  <c r="DC51" i="35"/>
  <c r="AQ51" i="35"/>
  <c r="EI51" i="35"/>
  <c r="DN51" i="35"/>
  <c r="CR51" i="35"/>
  <c r="BW51" i="35"/>
  <c r="BB51" i="35"/>
  <c r="EA51" i="35"/>
  <c r="DF51" i="35"/>
  <c r="CJ51" i="35"/>
  <c r="BO51" i="35"/>
  <c r="AT51" i="35"/>
  <c r="DX51" i="35"/>
  <c r="CH51" i="35"/>
  <c r="BL51" i="35"/>
  <c r="EH55" i="35"/>
  <c r="ED55" i="35"/>
  <c r="DZ55" i="35"/>
  <c r="DV55" i="35"/>
  <c r="DR55" i="35"/>
  <c r="DN55" i="35"/>
  <c r="DJ55" i="35"/>
  <c r="DF55" i="35"/>
  <c r="DB55" i="35"/>
  <c r="CX55" i="35"/>
  <c r="CT55" i="35"/>
  <c r="CP55" i="35"/>
  <c r="CL55" i="35"/>
  <c r="CH55" i="35"/>
  <c r="CD55" i="35"/>
  <c r="BZ55" i="35"/>
  <c r="BV55" i="35"/>
  <c r="BR55" i="35"/>
  <c r="BN55" i="35"/>
  <c r="BJ55" i="35"/>
  <c r="BF55" i="35"/>
  <c r="BB55" i="35"/>
  <c r="AX55" i="35"/>
  <c r="AT55" i="35"/>
  <c r="AP55" i="35"/>
  <c r="EG55" i="35"/>
  <c r="EB55" i="35"/>
  <c r="DW55" i="35"/>
  <c r="DQ55" i="35"/>
  <c r="DL55" i="35"/>
  <c r="DG55" i="35"/>
  <c r="DA55" i="35"/>
  <c r="CV55" i="35"/>
  <c r="CQ55" i="35"/>
  <c r="CK55" i="35"/>
  <c r="CF55" i="35"/>
  <c r="CA55" i="35"/>
  <c r="BU55" i="35"/>
  <c r="BP55" i="35"/>
  <c r="BK55" i="35"/>
  <c r="BE55" i="35"/>
  <c r="AZ55" i="35"/>
  <c r="AU55" i="35"/>
  <c r="AO55" i="35"/>
  <c r="EI55" i="35"/>
  <c r="EA55" i="35"/>
  <c r="DT55" i="35"/>
  <c r="DM55" i="35"/>
  <c r="DE55" i="35"/>
  <c r="CY55" i="35"/>
  <c r="CR55" i="35"/>
  <c r="CJ55" i="35"/>
  <c r="CC55" i="35"/>
  <c r="BW55" i="35"/>
  <c r="BO55" i="35"/>
  <c r="BH55" i="35"/>
  <c r="BA55" i="35"/>
  <c r="AS55" i="35"/>
  <c r="EC55" i="35"/>
  <c r="DS55" i="35"/>
  <c r="DI55" i="35"/>
  <c r="CZ55" i="35"/>
  <c r="CO55" i="35"/>
  <c r="CG55" i="35"/>
  <c r="BX55" i="35"/>
  <c r="BM55" i="35"/>
  <c r="BD55" i="35"/>
  <c r="AV55" i="35"/>
  <c r="EF55" i="35"/>
  <c r="DX55" i="35"/>
  <c r="DO55" i="35"/>
  <c r="DD55" i="35"/>
  <c r="CU55" i="35"/>
  <c r="CM55" i="35"/>
  <c r="CB55" i="35"/>
  <c r="BS55" i="35"/>
  <c r="BI55" i="35"/>
  <c r="AY55" i="35"/>
  <c r="AQ55" i="35"/>
  <c r="DP55" i="35"/>
  <c r="CW55" i="35"/>
  <c r="CE55" i="35"/>
  <c r="BL55" i="35"/>
  <c r="AR55" i="35"/>
  <c r="EE55" i="35"/>
  <c r="DK55" i="35"/>
  <c r="CS55" i="35"/>
  <c r="BY55" i="35"/>
  <c r="BG55" i="35"/>
  <c r="AN55" i="35"/>
  <c r="DH55" i="35"/>
  <c r="BT55" i="35"/>
  <c r="DU55" i="35"/>
  <c r="DC55" i="35"/>
  <c r="BQ55" i="35"/>
  <c r="DY55" i="35"/>
  <c r="CN55" i="35"/>
  <c r="BC55" i="35"/>
  <c r="CI55" i="35"/>
  <c r="AW55" i="35"/>
  <c r="AN42" i="35"/>
  <c r="EI42" i="35"/>
  <c r="EE42" i="35"/>
  <c r="EA42" i="35"/>
  <c r="DW42" i="35"/>
  <c r="DS42" i="35"/>
  <c r="DO42" i="35"/>
  <c r="DK42" i="35"/>
  <c r="DG42" i="35"/>
  <c r="DC42" i="35"/>
  <c r="CY42" i="35"/>
  <c r="CU42" i="35"/>
  <c r="CQ42" i="35"/>
  <c r="CM42" i="35"/>
  <c r="CI42" i="35"/>
  <c r="CE42" i="35"/>
  <c r="CA42" i="35"/>
  <c r="BW42" i="35"/>
  <c r="BS42" i="35"/>
  <c r="BO42" i="35"/>
  <c r="BK42" i="35"/>
  <c r="BG42" i="35"/>
  <c r="BC42" i="35"/>
  <c r="AY42" i="35"/>
  <c r="AU42" i="35"/>
  <c r="AQ42" i="35"/>
  <c r="EF42" i="35"/>
  <c r="DZ42" i="35"/>
  <c r="DU42" i="35"/>
  <c r="DP42" i="35"/>
  <c r="DJ42" i="35"/>
  <c r="DE42" i="35"/>
  <c r="CZ42" i="35"/>
  <c r="CT42" i="35"/>
  <c r="CO42" i="35"/>
  <c r="CJ42" i="35"/>
  <c r="CD42" i="35"/>
  <c r="BY42" i="35"/>
  <c r="BT42" i="35"/>
  <c r="BN42" i="35"/>
  <c r="BI42" i="35"/>
  <c r="BD42" i="35"/>
  <c r="AX42" i="35"/>
  <c r="AS42" i="35"/>
  <c r="EG42" i="35"/>
  <c r="DV42" i="35"/>
  <c r="DF42" i="35"/>
  <c r="CP42" i="35"/>
  <c r="CF42" i="35"/>
  <c r="BP42" i="35"/>
  <c r="BE42" i="35"/>
  <c r="AO42" i="35"/>
  <c r="ED42" i="35"/>
  <c r="DY42" i="35"/>
  <c r="DT42" i="35"/>
  <c r="DN42" i="35"/>
  <c r="DI42" i="35"/>
  <c r="DD42" i="35"/>
  <c r="CX42" i="35"/>
  <c r="CS42" i="35"/>
  <c r="CN42" i="35"/>
  <c r="CH42" i="35"/>
  <c r="CC42" i="35"/>
  <c r="BX42" i="35"/>
  <c r="BR42" i="35"/>
  <c r="BM42" i="35"/>
  <c r="BH42" i="35"/>
  <c r="BB42" i="35"/>
  <c r="AW42" i="35"/>
  <c r="AR42" i="35"/>
  <c r="EH42" i="35"/>
  <c r="EC42" i="35"/>
  <c r="DX42" i="35"/>
  <c r="DR42" i="35"/>
  <c r="DM42" i="35"/>
  <c r="DH42" i="35"/>
  <c r="DB42" i="35"/>
  <c r="CW42" i="35"/>
  <c r="CR42" i="35"/>
  <c r="CL42" i="35"/>
  <c r="CG42" i="35"/>
  <c r="CB42" i="35"/>
  <c r="BV42" i="35"/>
  <c r="BQ42" i="35"/>
  <c r="BL42" i="35"/>
  <c r="BF42" i="35"/>
  <c r="BA42" i="35"/>
  <c r="AV42" i="35"/>
  <c r="AP42" i="35"/>
  <c r="EB42" i="35"/>
  <c r="DQ42" i="35"/>
  <c r="DL42" i="35"/>
  <c r="DA42" i="35"/>
  <c r="CV42" i="35"/>
  <c r="CK42" i="35"/>
  <c r="BZ42" i="35"/>
  <c r="BU42" i="35"/>
  <c r="BJ42" i="35"/>
  <c r="AZ42" i="35"/>
  <c r="AT42" i="35"/>
  <c r="EI44" i="35"/>
  <c r="EE44" i="35"/>
  <c r="EA44" i="35"/>
  <c r="DW44" i="35"/>
  <c r="DS44" i="35"/>
  <c r="DO44" i="35"/>
  <c r="DK44" i="35"/>
  <c r="DG44" i="35"/>
  <c r="DC44" i="35"/>
  <c r="CY44" i="35"/>
  <c r="CU44" i="35"/>
  <c r="CQ44" i="35"/>
  <c r="CM44" i="35"/>
  <c r="CI44" i="35"/>
  <c r="CE44" i="35"/>
  <c r="CA44" i="35"/>
  <c r="BW44" i="35"/>
  <c r="BS44" i="35"/>
  <c r="BO44" i="35"/>
  <c r="BK44" i="35"/>
  <c r="BG44" i="35"/>
  <c r="BC44" i="35"/>
  <c r="AY44" i="35"/>
  <c r="AU44" i="35"/>
  <c r="AQ44" i="35"/>
  <c r="EG44" i="35"/>
  <c r="EB44" i="35"/>
  <c r="DV44" i="35"/>
  <c r="DQ44" i="35"/>
  <c r="DL44" i="35"/>
  <c r="DF44" i="35"/>
  <c r="DA44" i="35"/>
  <c r="CV44" i="35"/>
  <c r="CP44" i="35"/>
  <c r="CK44" i="35"/>
  <c r="CF44" i="35"/>
  <c r="BZ44" i="35"/>
  <c r="BU44" i="35"/>
  <c r="BP44" i="35"/>
  <c r="BJ44" i="35"/>
  <c r="BE44" i="35"/>
  <c r="AZ44" i="35"/>
  <c r="AT44" i="35"/>
  <c r="AO44" i="35"/>
  <c r="ED44" i="35"/>
  <c r="DX44" i="35"/>
  <c r="DP44" i="35"/>
  <c r="DI44" i="35"/>
  <c r="DB44" i="35"/>
  <c r="CT44" i="35"/>
  <c r="CN44" i="35"/>
  <c r="CG44" i="35"/>
  <c r="BY44" i="35"/>
  <c r="BR44" i="35"/>
  <c r="BL44" i="35"/>
  <c r="BD44" i="35"/>
  <c r="AW44" i="35"/>
  <c r="AP44" i="35"/>
  <c r="DR44" i="35"/>
  <c r="CW44" i="35"/>
  <c r="CH44" i="35"/>
  <c r="BM44" i="35"/>
  <c r="AR44" i="35"/>
  <c r="EC44" i="35"/>
  <c r="DU44" i="35"/>
  <c r="DN44" i="35"/>
  <c r="DH44" i="35"/>
  <c r="CZ44" i="35"/>
  <c r="CS44" i="35"/>
  <c r="CL44" i="35"/>
  <c r="CD44" i="35"/>
  <c r="BX44" i="35"/>
  <c r="BQ44" i="35"/>
  <c r="BI44" i="35"/>
  <c r="BB44" i="35"/>
  <c r="AV44" i="35"/>
  <c r="AN44" i="35"/>
  <c r="EH44" i="35"/>
  <c r="DZ44" i="35"/>
  <c r="DT44" i="35"/>
  <c r="DM44" i="35"/>
  <c r="DE44" i="35"/>
  <c r="CX44" i="35"/>
  <c r="CR44" i="35"/>
  <c r="CJ44" i="35"/>
  <c r="CC44" i="35"/>
  <c r="BV44" i="35"/>
  <c r="BN44" i="35"/>
  <c r="BH44" i="35"/>
  <c r="BA44" i="35"/>
  <c r="AS44" i="35"/>
  <c r="EF44" i="35"/>
  <c r="DY44" i="35"/>
  <c r="DJ44" i="35"/>
  <c r="DD44" i="35"/>
  <c r="CO44" i="35"/>
  <c r="CB44" i="35"/>
  <c r="BT44" i="35"/>
  <c r="BF44" i="35"/>
  <c r="AX44" i="35"/>
  <c r="EG48" i="35"/>
  <c r="EC48" i="35"/>
  <c r="DY48" i="35"/>
  <c r="DU48" i="35"/>
  <c r="DQ48" i="35"/>
  <c r="DM48" i="35"/>
  <c r="DI48" i="35"/>
  <c r="DE48" i="35"/>
  <c r="DA48" i="35"/>
  <c r="CW48" i="35"/>
  <c r="CS48" i="35"/>
  <c r="CO48" i="35"/>
  <c r="EI48" i="35"/>
  <c r="ED48" i="35"/>
  <c r="DX48" i="35"/>
  <c r="DS48" i="35"/>
  <c r="DN48" i="35"/>
  <c r="DH48" i="35"/>
  <c r="DC48" i="35"/>
  <c r="CX48" i="35"/>
  <c r="CR48" i="35"/>
  <c r="CM48" i="35"/>
  <c r="CI48" i="35"/>
  <c r="CE48" i="35"/>
  <c r="CA48" i="35"/>
  <c r="BW48" i="35"/>
  <c r="BS48" i="35"/>
  <c r="BO48" i="35"/>
  <c r="BK48" i="35"/>
  <c r="BG48" i="35"/>
  <c r="BC48" i="35"/>
  <c r="AY48" i="35"/>
  <c r="AU48" i="35"/>
  <c r="AQ48" i="35"/>
  <c r="EB48" i="35"/>
  <c r="DV48" i="35"/>
  <c r="DO48" i="35"/>
  <c r="DG48" i="35"/>
  <c r="CZ48" i="35"/>
  <c r="CT48" i="35"/>
  <c r="CL48" i="35"/>
  <c r="CG48" i="35"/>
  <c r="CB48" i="35"/>
  <c r="BV48" i="35"/>
  <c r="BQ48" i="35"/>
  <c r="BL48" i="35"/>
  <c r="BF48" i="35"/>
  <c r="BA48" i="35"/>
  <c r="AV48" i="35"/>
  <c r="AP48" i="35"/>
  <c r="EH48" i="35"/>
  <c r="EA48" i="35"/>
  <c r="DT48" i="35"/>
  <c r="DL48" i="35"/>
  <c r="DF48" i="35"/>
  <c r="CY48" i="35"/>
  <c r="CQ48" i="35"/>
  <c r="CK48" i="35"/>
  <c r="CF48" i="35"/>
  <c r="BZ48" i="35"/>
  <c r="BU48" i="35"/>
  <c r="BP48" i="35"/>
  <c r="BJ48" i="35"/>
  <c r="BE48" i="35"/>
  <c r="AZ48" i="35"/>
  <c r="AT48" i="35"/>
  <c r="AO48" i="35"/>
  <c r="DZ48" i="35"/>
  <c r="DK48" i="35"/>
  <c r="CV48" i="35"/>
  <c r="CJ48" i="35"/>
  <c r="BY48" i="35"/>
  <c r="BN48" i="35"/>
  <c r="BD48" i="35"/>
  <c r="AS48" i="35"/>
  <c r="EE48" i="35"/>
  <c r="CN48" i="35"/>
  <c r="BH48" i="35"/>
  <c r="DW48" i="35"/>
  <c r="DJ48" i="35"/>
  <c r="CU48" i="35"/>
  <c r="CH48" i="35"/>
  <c r="BX48" i="35"/>
  <c r="BM48" i="35"/>
  <c r="BB48" i="35"/>
  <c r="AR48" i="35"/>
  <c r="EF48" i="35"/>
  <c r="DR48" i="35"/>
  <c r="DD48" i="35"/>
  <c r="CP48" i="35"/>
  <c r="CD48" i="35"/>
  <c r="BT48" i="35"/>
  <c r="BI48" i="35"/>
  <c r="AX48" i="35"/>
  <c r="AN48" i="35"/>
  <c r="DP48" i="35"/>
  <c r="DB48" i="35"/>
  <c r="CC48" i="35"/>
  <c r="BR48" i="35"/>
  <c r="AW48" i="35"/>
  <c r="EG50" i="35"/>
  <c r="EC50" i="35"/>
  <c r="DY50" i="35"/>
  <c r="DU50" i="35"/>
  <c r="DQ50" i="35"/>
  <c r="DM50" i="35"/>
  <c r="DI50" i="35"/>
  <c r="DE50" i="35"/>
  <c r="DA50" i="35"/>
  <c r="CW50" i="35"/>
  <c r="CS50" i="35"/>
  <c r="CO50" i="35"/>
  <c r="CK50" i="35"/>
  <c r="CG50" i="35"/>
  <c r="CC50" i="35"/>
  <c r="BY50" i="35"/>
  <c r="BU50" i="35"/>
  <c r="BQ50" i="35"/>
  <c r="BM50" i="35"/>
  <c r="BI50" i="35"/>
  <c r="BE50" i="35"/>
  <c r="BA50" i="35"/>
  <c r="AW50" i="35"/>
  <c r="AS50" i="35"/>
  <c r="AO50" i="35"/>
  <c r="EF50" i="35"/>
  <c r="EA50" i="35"/>
  <c r="DV50" i="35"/>
  <c r="DP50" i="35"/>
  <c r="DK50" i="35"/>
  <c r="DF50" i="35"/>
  <c r="CZ50" i="35"/>
  <c r="CU50" i="35"/>
  <c r="CP50" i="35"/>
  <c r="CJ50" i="35"/>
  <c r="CE50" i="35"/>
  <c r="BZ50" i="35"/>
  <c r="BT50" i="35"/>
  <c r="BO50" i="35"/>
  <c r="BJ50" i="35"/>
  <c r="BD50" i="35"/>
  <c r="AY50" i="35"/>
  <c r="AT50" i="35"/>
  <c r="AN50" i="35"/>
  <c r="EI50" i="35"/>
  <c r="ED50" i="35"/>
  <c r="DX50" i="35"/>
  <c r="DS50" i="35"/>
  <c r="DN50" i="35"/>
  <c r="DZ50" i="35"/>
  <c r="DO50" i="35"/>
  <c r="DG50" i="35"/>
  <c r="CY50" i="35"/>
  <c r="CR50" i="35"/>
  <c r="CL50" i="35"/>
  <c r="CD50" i="35"/>
  <c r="BW50" i="35"/>
  <c r="BP50" i="35"/>
  <c r="BH50" i="35"/>
  <c r="BB50" i="35"/>
  <c r="AU50" i="35"/>
  <c r="EH50" i="35"/>
  <c r="DW50" i="35"/>
  <c r="DL50" i="35"/>
  <c r="DD50" i="35"/>
  <c r="CX50" i="35"/>
  <c r="CQ50" i="35"/>
  <c r="CI50" i="35"/>
  <c r="CB50" i="35"/>
  <c r="BV50" i="35"/>
  <c r="BN50" i="35"/>
  <c r="BG50" i="35"/>
  <c r="AZ50" i="35"/>
  <c r="AR50" i="35"/>
  <c r="EE50" i="35"/>
  <c r="DJ50" i="35"/>
  <c r="CV50" i="35"/>
  <c r="CH50" i="35"/>
  <c r="BS50" i="35"/>
  <c r="BF50" i="35"/>
  <c r="AQ50" i="35"/>
  <c r="CM50" i="35"/>
  <c r="AV50" i="35"/>
  <c r="EB50" i="35"/>
  <c r="DH50" i="35"/>
  <c r="CT50" i="35"/>
  <c r="CF50" i="35"/>
  <c r="BR50" i="35"/>
  <c r="BC50" i="35"/>
  <c r="AP50" i="35"/>
  <c r="DT50" i="35"/>
  <c r="DC50" i="35"/>
  <c r="CN50" i="35"/>
  <c r="CA50" i="35"/>
  <c r="BL50" i="35"/>
  <c r="AX50" i="35"/>
  <c r="DR50" i="35"/>
  <c r="DB50" i="35"/>
  <c r="BX50" i="35"/>
  <c r="BK50" i="35"/>
  <c r="EH52" i="35"/>
  <c r="ED52" i="35"/>
  <c r="DZ52" i="35"/>
  <c r="DV52" i="35"/>
  <c r="DR52" i="35"/>
  <c r="DN52" i="35"/>
  <c r="EI52" i="35"/>
  <c r="EC52" i="35"/>
  <c r="DX52" i="35"/>
  <c r="DS52" i="35"/>
  <c r="DM52" i="35"/>
  <c r="DI52" i="35"/>
  <c r="DE52" i="35"/>
  <c r="DA52" i="35"/>
  <c r="CW52" i="35"/>
  <c r="CS52" i="35"/>
  <c r="CO52" i="35"/>
  <c r="CK52" i="35"/>
  <c r="CG52" i="35"/>
  <c r="CC52" i="35"/>
  <c r="BY52" i="35"/>
  <c r="BU52" i="35"/>
  <c r="BQ52" i="35"/>
  <c r="BM52" i="35"/>
  <c r="BI52" i="35"/>
  <c r="BE52" i="35"/>
  <c r="BA52" i="35"/>
  <c r="AW52" i="35"/>
  <c r="AS52" i="35"/>
  <c r="AO52" i="35"/>
  <c r="EB52" i="35"/>
  <c r="DU52" i="35"/>
  <c r="DO52" i="35"/>
  <c r="DH52" i="35"/>
  <c r="DC52" i="35"/>
  <c r="CX52" i="35"/>
  <c r="CR52" i="35"/>
  <c r="CM52" i="35"/>
  <c r="CH52" i="35"/>
  <c r="CB52" i="35"/>
  <c r="BW52" i="35"/>
  <c r="BR52" i="35"/>
  <c r="BL52" i="35"/>
  <c r="BG52" i="35"/>
  <c r="BB52" i="35"/>
  <c r="AV52" i="35"/>
  <c r="AQ52" i="35"/>
  <c r="EF52" i="35"/>
  <c r="DY52" i="35"/>
  <c r="DQ52" i="35"/>
  <c r="DK52" i="35"/>
  <c r="DF52" i="35"/>
  <c r="CZ52" i="35"/>
  <c r="CU52" i="35"/>
  <c r="CP52" i="35"/>
  <c r="CJ52" i="35"/>
  <c r="CE52" i="35"/>
  <c r="BZ52" i="35"/>
  <c r="BT52" i="35"/>
  <c r="BO52" i="35"/>
  <c r="BJ52" i="35"/>
  <c r="BD52" i="35"/>
  <c r="AY52" i="35"/>
  <c r="AT52" i="35"/>
  <c r="AN52" i="35"/>
  <c r="EG52" i="35"/>
  <c r="DT52" i="35"/>
  <c r="DG52" i="35"/>
  <c r="CV52" i="35"/>
  <c r="CL52" i="35"/>
  <c r="CA52" i="35"/>
  <c r="BP52" i="35"/>
  <c r="BF52" i="35"/>
  <c r="AU52" i="35"/>
  <c r="EE52" i="35"/>
  <c r="DP52" i="35"/>
  <c r="DD52" i="35"/>
  <c r="CT52" i="35"/>
  <c r="CI52" i="35"/>
  <c r="BX52" i="35"/>
  <c r="BN52" i="35"/>
  <c r="BC52" i="35"/>
  <c r="AR52" i="35"/>
  <c r="EA52" i="35"/>
  <c r="DB52" i="35"/>
  <c r="CF52" i="35"/>
  <c r="BK52" i="35"/>
  <c r="AP52" i="35"/>
  <c r="BS52" i="35"/>
  <c r="DW52" i="35"/>
  <c r="CY52" i="35"/>
  <c r="CD52" i="35"/>
  <c r="BH52" i="35"/>
  <c r="DL52" i="35"/>
  <c r="CQ52" i="35"/>
  <c r="BV52" i="35"/>
  <c r="AZ52" i="35"/>
  <c r="DJ52" i="35"/>
  <c r="CN52" i="35"/>
  <c r="AX52" i="35"/>
  <c r="EH54" i="35"/>
  <c r="ED54" i="35"/>
  <c r="DZ54" i="35"/>
  <c r="DV54" i="35"/>
  <c r="DR54" i="35"/>
  <c r="DN54" i="35"/>
  <c r="DJ54" i="35"/>
  <c r="DF54" i="35"/>
  <c r="DB54" i="35"/>
  <c r="CX54" i="35"/>
  <c r="CT54" i="35"/>
  <c r="CP54" i="35"/>
  <c r="CL54" i="35"/>
  <c r="CH54" i="35"/>
  <c r="CD54" i="35"/>
  <c r="BZ54" i="35"/>
  <c r="BV54" i="35"/>
  <c r="BR54" i="35"/>
  <c r="BN54" i="35"/>
  <c r="BJ54" i="35"/>
  <c r="BF54" i="35"/>
  <c r="BB54" i="35"/>
  <c r="AX54" i="35"/>
  <c r="AT54" i="35"/>
  <c r="AP54" i="35"/>
  <c r="EF54" i="35"/>
  <c r="EA54" i="35"/>
  <c r="DU54" i="35"/>
  <c r="DP54" i="35"/>
  <c r="DK54" i="35"/>
  <c r="DE54" i="35"/>
  <c r="CZ54" i="35"/>
  <c r="CU54" i="35"/>
  <c r="CO54" i="35"/>
  <c r="CJ54" i="35"/>
  <c r="CE54" i="35"/>
  <c r="BY54" i="35"/>
  <c r="BT54" i="35"/>
  <c r="BO54" i="35"/>
  <c r="BI54" i="35"/>
  <c r="BD54" i="35"/>
  <c r="AY54" i="35"/>
  <c r="AS54" i="35"/>
  <c r="AN54" i="35"/>
  <c r="EI54" i="35"/>
  <c r="EB54" i="35"/>
  <c r="DT54" i="35"/>
  <c r="DM54" i="35"/>
  <c r="DG54" i="35"/>
  <c r="CY54" i="35"/>
  <c r="CR54" i="35"/>
  <c r="CK54" i="35"/>
  <c r="CC54" i="35"/>
  <c r="BW54" i="35"/>
  <c r="BP54" i="35"/>
  <c r="BH54" i="35"/>
  <c r="BA54" i="35"/>
  <c r="AU54" i="35"/>
  <c r="EG54" i="35"/>
  <c r="DX54" i="35"/>
  <c r="DO54" i="35"/>
  <c r="DD54" i="35"/>
  <c r="CV54" i="35"/>
  <c r="CM54" i="35"/>
  <c r="CB54" i="35"/>
  <c r="BS54" i="35"/>
  <c r="BK54" i="35"/>
  <c r="AZ54" i="35"/>
  <c r="AQ54" i="35"/>
  <c r="EC54" i="35"/>
  <c r="DS54" i="35"/>
  <c r="DI54" i="35"/>
  <c r="DA54" i="35"/>
  <c r="CQ54" i="35"/>
  <c r="CG54" i="35"/>
  <c r="BX54" i="35"/>
  <c r="BM54" i="35"/>
  <c r="BE54" i="35"/>
  <c r="AV54" i="35"/>
  <c r="DW54" i="35"/>
  <c r="DC54" i="35"/>
  <c r="CI54" i="35"/>
  <c r="BQ54" i="35"/>
  <c r="AW54" i="35"/>
  <c r="DQ54" i="35"/>
  <c r="CW54" i="35"/>
  <c r="CF54" i="35"/>
  <c r="BL54" i="35"/>
  <c r="AR54" i="35"/>
  <c r="EE54" i="35"/>
  <c r="CS54" i="35"/>
  <c r="BG54" i="35"/>
  <c r="DH54" i="35"/>
  <c r="DY54" i="35"/>
  <c r="CN54" i="35"/>
  <c r="BC54" i="35"/>
  <c r="DL54" i="35"/>
  <c r="CA54" i="35"/>
  <c r="AO54" i="35"/>
  <c r="BU54" i="35"/>
  <c r="EH56" i="35"/>
  <c r="ED56" i="35"/>
  <c r="DZ56" i="35"/>
  <c r="DV56" i="35"/>
  <c r="DR56" i="35"/>
  <c r="DN56" i="35"/>
  <c r="DJ56" i="35"/>
  <c r="DF56" i="35"/>
  <c r="DB56" i="35"/>
  <c r="CX56" i="35"/>
  <c r="CT56" i="35"/>
  <c r="CP56" i="35"/>
  <c r="CL56" i="35"/>
  <c r="CH56" i="35"/>
  <c r="CD56" i="35"/>
  <c r="BZ56" i="35"/>
  <c r="BV56" i="35"/>
  <c r="BR56" i="35"/>
  <c r="BN56" i="35"/>
  <c r="BJ56" i="35"/>
  <c r="BF56" i="35"/>
  <c r="BB56" i="35"/>
  <c r="AX56" i="35"/>
  <c r="AT56" i="35"/>
  <c r="AP56" i="35"/>
  <c r="EI56" i="35"/>
  <c r="EC56" i="35"/>
  <c r="DX56" i="35"/>
  <c r="DS56" i="35"/>
  <c r="DM56" i="35"/>
  <c r="DH56" i="35"/>
  <c r="DC56" i="35"/>
  <c r="CW56" i="35"/>
  <c r="CR56" i="35"/>
  <c r="CM56" i="35"/>
  <c r="CG56" i="35"/>
  <c r="CB56" i="35"/>
  <c r="BW56" i="35"/>
  <c r="BQ56" i="35"/>
  <c r="BL56" i="35"/>
  <c r="BG56" i="35"/>
  <c r="BA56" i="35"/>
  <c r="AV56" i="35"/>
  <c r="AQ56" i="35"/>
  <c r="EG56" i="35"/>
  <c r="EA56" i="35"/>
  <c r="DT56" i="35"/>
  <c r="DL56" i="35"/>
  <c r="DE56" i="35"/>
  <c r="CY56" i="35"/>
  <c r="CQ56" i="35"/>
  <c r="CJ56" i="35"/>
  <c r="CC56" i="35"/>
  <c r="BU56" i="35"/>
  <c r="BO56" i="35"/>
  <c r="BH56" i="35"/>
  <c r="AZ56" i="35"/>
  <c r="AS56" i="35"/>
  <c r="EF56" i="35"/>
  <c r="DW56" i="35"/>
  <c r="DO56" i="35"/>
  <c r="DD56" i="35"/>
  <c r="CU56" i="35"/>
  <c r="CK56" i="35"/>
  <c r="CA56" i="35"/>
  <c r="BS56" i="35"/>
  <c r="BI56" i="35"/>
  <c r="AY56" i="35"/>
  <c r="AO56" i="35"/>
  <c r="EB56" i="35"/>
  <c r="DQ56" i="35"/>
  <c r="DI56" i="35"/>
  <c r="CZ56" i="35"/>
  <c r="CO56" i="35"/>
  <c r="CF56" i="35"/>
  <c r="BX56" i="35"/>
  <c r="BM56" i="35"/>
  <c r="BD56" i="35"/>
  <c r="AU56" i="35"/>
  <c r="EE56" i="35"/>
  <c r="DK56" i="35"/>
  <c r="CS56" i="35"/>
  <c r="BY56" i="35"/>
  <c r="BE56" i="35"/>
  <c r="AN56" i="35"/>
  <c r="DY56" i="35"/>
  <c r="DG56" i="35"/>
  <c r="CN56" i="35"/>
  <c r="BT56" i="35"/>
  <c r="BC56" i="35"/>
  <c r="DU56" i="35"/>
  <c r="CI56" i="35"/>
  <c r="AW56" i="35"/>
  <c r="CV56" i="35"/>
  <c r="DP56" i="35"/>
  <c r="CE56" i="35"/>
  <c r="AR56" i="35"/>
  <c r="DA56" i="35"/>
  <c r="BP56" i="35"/>
  <c r="BK56" i="35"/>
  <c r="EI47" i="35"/>
  <c r="EE47" i="35"/>
  <c r="EA47" i="35"/>
  <c r="DW47" i="35"/>
  <c r="DS47" i="35"/>
  <c r="DO47" i="35"/>
  <c r="DK47" i="35"/>
  <c r="DG47" i="35"/>
  <c r="DC47" i="35"/>
  <c r="CY47" i="35"/>
  <c r="CU47" i="35"/>
  <c r="CQ47" i="35"/>
  <c r="CM47" i="35"/>
  <c r="CI47" i="35"/>
  <c r="CE47" i="35"/>
  <c r="CA47" i="35"/>
  <c r="BW47" i="35"/>
  <c r="BS47" i="35"/>
  <c r="BO47" i="35"/>
  <c r="BK47" i="35"/>
  <c r="BG47" i="35"/>
  <c r="BC47" i="35"/>
  <c r="AY47" i="35"/>
  <c r="AU47" i="35"/>
  <c r="AQ47" i="35"/>
  <c r="EG47" i="35"/>
  <c r="EB47" i="35"/>
  <c r="DV47" i="35"/>
  <c r="DQ47" i="35"/>
  <c r="DL47" i="35"/>
  <c r="DF47" i="35"/>
  <c r="DA47" i="35"/>
  <c r="CV47" i="35"/>
  <c r="CP47" i="35"/>
  <c r="CK47" i="35"/>
  <c r="CF47" i="35"/>
  <c r="BZ47" i="35"/>
  <c r="BU47" i="35"/>
  <c r="BP47" i="35"/>
  <c r="BJ47" i="35"/>
  <c r="BE47" i="35"/>
  <c r="AZ47" i="35"/>
  <c r="AT47" i="35"/>
  <c r="AO47" i="35"/>
  <c r="EF47" i="35"/>
  <c r="DZ47" i="35"/>
  <c r="DU47" i="35"/>
  <c r="DP47" i="35"/>
  <c r="DJ47" i="35"/>
  <c r="DE47" i="35"/>
  <c r="CZ47" i="35"/>
  <c r="CT47" i="35"/>
  <c r="CO47" i="35"/>
  <c r="CJ47" i="35"/>
  <c r="CD47" i="35"/>
  <c r="BY47" i="35"/>
  <c r="BT47" i="35"/>
  <c r="BN47" i="35"/>
  <c r="BI47" i="35"/>
  <c r="BD47" i="35"/>
  <c r="AX47" i="35"/>
  <c r="AS47" i="35"/>
  <c r="AN47" i="35"/>
  <c r="ED47" i="35"/>
  <c r="DT47" i="35"/>
  <c r="DI47" i="35"/>
  <c r="CX47" i="35"/>
  <c r="CN47" i="35"/>
  <c r="CC47" i="35"/>
  <c r="BR47" i="35"/>
  <c r="BH47" i="35"/>
  <c r="AW47" i="35"/>
  <c r="DX47" i="35"/>
  <c r="CR47" i="35"/>
  <c r="BL47" i="35"/>
  <c r="AP47" i="35"/>
  <c r="EC47" i="35"/>
  <c r="DR47" i="35"/>
  <c r="DH47" i="35"/>
  <c r="CW47" i="35"/>
  <c r="CL47" i="35"/>
  <c r="CB47" i="35"/>
  <c r="BQ47" i="35"/>
  <c r="BF47" i="35"/>
  <c r="AV47" i="35"/>
  <c r="DY47" i="35"/>
  <c r="DN47" i="35"/>
  <c r="DD47" i="35"/>
  <c r="CS47" i="35"/>
  <c r="CH47" i="35"/>
  <c r="BX47" i="35"/>
  <c r="BM47" i="35"/>
  <c r="BB47" i="35"/>
  <c r="AR47" i="35"/>
  <c r="EH47" i="35"/>
  <c r="DM47" i="35"/>
  <c r="DB47" i="35"/>
  <c r="CG47" i="35"/>
  <c r="BV47" i="35"/>
  <c r="BA47" i="35"/>
  <c r="EH53" i="35"/>
  <c r="ED53" i="35"/>
  <c r="DZ53" i="35"/>
  <c r="DV53" i="35"/>
  <c r="DR53" i="35"/>
  <c r="DN53" i="35"/>
  <c r="DJ53" i="35"/>
  <c r="DF53" i="35"/>
  <c r="DB53" i="35"/>
  <c r="CX53" i="35"/>
  <c r="EE53" i="35"/>
  <c r="DY53" i="35"/>
  <c r="DT53" i="35"/>
  <c r="DO53" i="35"/>
  <c r="DI53" i="35"/>
  <c r="DD53" i="35"/>
  <c r="CY53" i="35"/>
  <c r="CT53" i="35"/>
  <c r="CP53" i="35"/>
  <c r="CL53" i="35"/>
  <c r="CH53" i="35"/>
  <c r="CD53" i="35"/>
  <c r="BZ53" i="35"/>
  <c r="BV53" i="35"/>
  <c r="BR53" i="35"/>
  <c r="BN53" i="35"/>
  <c r="BJ53" i="35"/>
  <c r="BF53" i="35"/>
  <c r="BB53" i="35"/>
  <c r="AX53" i="35"/>
  <c r="AT53" i="35"/>
  <c r="AP53" i="35"/>
  <c r="EI53" i="35"/>
  <c r="EB53" i="35"/>
  <c r="DU53" i="35"/>
  <c r="DM53" i="35"/>
  <c r="DG53" i="35"/>
  <c r="CZ53" i="35"/>
  <c r="CS53" i="35"/>
  <c r="CN53" i="35"/>
  <c r="CI53" i="35"/>
  <c r="CC53" i="35"/>
  <c r="BX53" i="35"/>
  <c r="BS53" i="35"/>
  <c r="BM53" i="35"/>
  <c r="BH53" i="35"/>
  <c r="BC53" i="35"/>
  <c r="AW53" i="35"/>
  <c r="AR53" i="35"/>
  <c r="EC53" i="35"/>
  <c r="DS53" i="35"/>
  <c r="DK53" i="35"/>
  <c r="DA53" i="35"/>
  <c r="CR53" i="35"/>
  <c r="CK53" i="35"/>
  <c r="CE53" i="35"/>
  <c r="BW53" i="35"/>
  <c r="BP53" i="35"/>
  <c r="BI53" i="35"/>
  <c r="BA53" i="35"/>
  <c r="AU53" i="35"/>
  <c r="AN53" i="35"/>
  <c r="EG53" i="35"/>
  <c r="DX53" i="35"/>
  <c r="DP53" i="35"/>
  <c r="DE53" i="35"/>
  <c r="CV53" i="35"/>
  <c r="CO53" i="35"/>
  <c r="CG53" i="35"/>
  <c r="CA53" i="35"/>
  <c r="BT53" i="35"/>
  <c r="BL53" i="35"/>
  <c r="BE53" i="35"/>
  <c r="AY53" i="35"/>
  <c r="AQ53" i="35"/>
  <c r="EA53" i="35"/>
  <c r="DH53" i="35"/>
  <c r="CQ53" i="35"/>
  <c r="CB53" i="35"/>
  <c r="BO53" i="35"/>
  <c r="AZ53" i="35"/>
  <c r="DW53" i="35"/>
  <c r="DC53" i="35"/>
  <c r="CM53" i="35"/>
  <c r="BY53" i="35"/>
  <c r="BK53" i="35"/>
  <c r="AV53" i="35"/>
  <c r="DQ53" i="35"/>
  <c r="CJ53" i="35"/>
  <c r="BG53" i="35"/>
  <c r="EF53" i="35"/>
  <c r="AO53" i="35"/>
  <c r="DL53" i="35"/>
  <c r="CF53" i="35"/>
  <c r="BD53" i="35"/>
  <c r="CW53" i="35"/>
  <c r="BU53" i="35"/>
  <c r="AS53" i="35"/>
  <c r="CU53" i="35"/>
  <c r="BQ53" i="35"/>
  <c r="EI46" i="35"/>
  <c r="EE46" i="35"/>
  <c r="EA46" i="35"/>
  <c r="DW46" i="35"/>
  <c r="DS46" i="35"/>
  <c r="DO46" i="35"/>
  <c r="DK46" i="35"/>
  <c r="DG46" i="35"/>
  <c r="DC46" i="35"/>
  <c r="CY46" i="35"/>
  <c r="CU46" i="35"/>
  <c r="CQ46" i="35"/>
  <c r="CM46" i="35"/>
  <c r="CI46" i="35"/>
  <c r="CE46" i="35"/>
  <c r="CA46" i="35"/>
  <c r="BW46" i="35"/>
  <c r="BS46" i="35"/>
  <c r="BO46" i="35"/>
  <c r="BK46" i="35"/>
  <c r="BG46" i="35"/>
  <c r="BC46" i="35"/>
  <c r="AY46" i="35"/>
  <c r="AU46" i="35"/>
  <c r="AQ46" i="35"/>
  <c r="EF46" i="35"/>
  <c r="DZ46" i="35"/>
  <c r="DU46" i="35"/>
  <c r="ED46" i="35"/>
  <c r="DY46" i="35"/>
  <c r="DT46" i="35"/>
  <c r="DN46" i="35"/>
  <c r="DI46" i="35"/>
  <c r="DD46" i="35"/>
  <c r="CX46" i="35"/>
  <c r="CS46" i="35"/>
  <c r="CN46" i="35"/>
  <c r="CH46" i="35"/>
  <c r="CC46" i="35"/>
  <c r="BX46" i="35"/>
  <c r="BR46" i="35"/>
  <c r="BM46" i="35"/>
  <c r="BH46" i="35"/>
  <c r="BB46" i="35"/>
  <c r="AW46" i="35"/>
  <c r="AR46" i="35"/>
  <c r="EH46" i="35"/>
  <c r="DX46" i="35"/>
  <c r="DP46" i="35"/>
  <c r="DH46" i="35"/>
  <c r="DA46" i="35"/>
  <c r="CT46" i="35"/>
  <c r="CL46" i="35"/>
  <c r="CF46" i="35"/>
  <c r="BY46" i="35"/>
  <c r="BQ46" i="35"/>
  <c r="BJ46" i="35"/>
  <c r="BD46" i="35"/>
  <c r="AV46" i="35"/>
  <c r="AO46" i="35"/>
  <c r="DJ46" i="35"/>
  <c r="CO46" i="35"/>
  <c r="BZ46" i="35"/>
  <c r="BE46" i="35"/>
  <c r="AP46" i="35"/>
  <c r="EG46" i="35"/>
  <c r="DV46" i="35"/>
  <c r="DM46" i="35"/>
  <c r="DF46" i="35"/>
  <c r="CZ46" i="35"/>
  <c r="CR46" i="35"/>
  <c r="CK46" i="35"/>
  <c r="CD46" i="35"/>
  <c r="BV46" i="35"/>
  <c r="BP46" i="35"/>
  <c r="BI46" i="35"/>
  <c r="BA46" i="35"/>
  <c r="AT46" i="35"/>
  <c r="AN46" i="35"/>
  <c r="EC46" i="35"/>
  <c r="DR46" i="35"/>
  <c r="DL46" i="35"/>
  <c r="DE46" i="35"/>
  <c r="CW46" i="35"/>
  <c r="CP46" i="35"/>
  <c r="CJ46" i="35"/>
  <c r="CB46" i="35"/>
  <c r="BU46" i="35"/>
  <c r="BN46" i="35"/>
  <c r="BF46" i="35"/>
  <c r="AZ46" i="35"/>
  <c r="AS46" i="35"/>
  <c r="EB46" i="35"/>
  <c r="DQ46" i="35"/>
  <c r="DB46" i="35"/>
  <c r="CV46" i="35"/>
  <c r="CG46" i="35"/>
  <c r="BT46" i="35"/>
  <c r="BL46" i="35"/>
  <c r="AX46" i="35"/>
  <c r="AN13" i="35"/>
  <c r="EG13" i="35"/>
  <c r="EC13" i="35"/>
  <c r="DY13" i="35"/>
  <c r="DU13" i="35"/>
  <c r="EF13" i="35"/>
  <c r="EB13" i="35"/>
  <c r="DX13" i="35"/>
  <c r="EH13" i="35"/>
  <c r="ED13" i="35"/>
  <c r="DZ13" i="35"/>
  <c r="DV13" i="35"/>
  <c r="DR13" i="35"/>
  <c r="DN13" i="35"/>
  <c r="DJ13" i="35"/>
  <c r="DW13" i="35"/>
  <c r="DP13" i="35"/>
  <c r="DK13" i="35"/>
  <c r="DF13" i="35"/>
  <c r="DB13" i="35"/>
  <c r="CX13" i="35"/>
  <c r="CT13" i="35"/>
  <c r="CP13" i="35"/>
  <c r="CL13" i="35"/>
  <c r="CH13" i="35"/>
  <c r="CD13" i="35"/>
  <c r="BV13" i="35"/>
  <c r="BN13" i="35"/>
  <c r="BF13" i="35"/>
  <c r="AX13" i="35"/>
  <c r="AP13" i="35"/>
  <c r="EE13" i="35"/>
  <c r="DH13" i="35"/>
  <c r="CR13" i="35"/>
  <c r="CF13" i="35"/>
  <c r="BT13" i="35"/>
  <c r="BH13" i="35"/>
  <c r="AV13" i="35"/>
  <c r="EI13" i="35"/>
  <c r="DT13" i="35"/>
  <c r="DO13" i="35"/>
  <c r="DI13" i="35"/>
  <c r="DE13" i="35"/>
  <c r="DA13" i="35"/>
  <c r="CW13" i="35"/>
  <c r="CS13" i="35"/>
  <c r="CO13" i="35"/>
  <c r="CK13" i="35"/>
  <c r="CG13" i="35"/>
  <c r="CC13" i="35"/>
  <c r="BY13" i="35"/>
  <c r="BU13" i="35"/>
  <c r="BQ13" i="35"/>
  <c r="BM13" i="35"/>
  <c r="BI13" i="35"/>
  <c r="BE13" i="35"/>
  <c r="BA13" i="35"/>
  <c r="AW13" i="35"/>
  <c r="AS13" i="35"/>
  <c r="AO13" i="35"/>
  <c r="DM13" i="35"/>
  <c r="CZ13" i="35"/>
  <c r="CN13" i="35"/>
  <c r="CB13" i="35"/>
  <c r="BL13" i="35"/>
  <c r="AZ13" i="35"/>
  <c r="EA13" i="35"/>
  <c r="DQ13" i="35"/>
  <c r="DL13" i="35"/>
  <c r="DG13" i="35"/>
  <c r="DC13" i="35"/>
  <c r="CY13" i="35"/>
  <c r="CU13" i="35"/>
  <c r="CQ13" i="35"/>
  <c r="CM13" i="35"/>
  <c r="CI13" i="35"/>
  <c r="CE13" i="35"/>
  <c r="CA13" i="35"/>
  <c r="BW13" i="35"/>
  <c r="BS13" i="35"/>
  <c r="BO13" i="35"/>
  <c r="BK13" i="35"/>
  <c r="BG13" i="35"/>
  <c r="BC13" i="35"/>
  <c r="AY13" i="35"/>
  <c r="AU13" i="35"/>
  <c r="AQ13" i="35"/>
  <c r="BZ13" i="35"/>
  <c r="BR13" i="35"/>
  <c r="BJ13" i="35"/>
  <c r="BB13" i="35"/>
  <c r="AT13" i="35"/>
  <c r="DS13" i="35"/>
  <c r="DD13" i="35"/>
  <c r="CV13" i="35"/>
  <c r="CJ13" i="35"/>
  <c r="BX13" i="35"/>
  <c r="BP13" i="35"/>
  <c r="BD13" i="35"/>
  <c r="AR13" i="35"/>
  <c r="AN24" i="35"/>
  <c r="EF24" i="35"/>
  <c r="EB24" i="35"/>
  <c r="DX24" i="35"/>
  <c r="DT24" i="35"/>
  <c r="DP24" i="35"/>
  <c r="DL24" i="35"/>
  <c r="DH24" i="35"/>
  <c r="DD24" i="35"/>
  <c r="CZ24" i="35"/>
  <c r="CV24" i="35"/>
  <c r="EI24" i="35"/>
  <c r="ED24" i="35"/>
  <c r="DY24" i="35"/>
  <c r="DS24" i="35"/>
  <c r="DN24" i="35"/>
  <c r="DI24" i="35"/>
  <c r="DC24" i="35"/>
  <c r="CX24" i="35"/>
  <c r="CS24" i="35"/>
  <c r="CO24" i="35"/>
  <c r="CK24" i="35"/>
  <c r="CG24" i="35"/>
  <c r="CC24" i="35"/>
  <c r="BY24" i="35"/>
  <c r="BU24" i="35"/>
  <c r="BQ24" i="35"/>
  <c r="BM24" i="35"/>
  <c r="BI24" i="35"/>
  <c r="BE24" i="35"/>
  <c r="BA24" i="35"/>
  <c r="AW24" i="35"/>
  <c r="AS24" i="35"/>
  <c r="AO24" i="35"/>
  <c r="EH24" i="35"/>
  <c r="EC24" i="35"/>
  <c r="DW24" i="35"/>
  <c r="DR24" i="35"/>
  <c r="DM24" i="35"/>
  <c r="DG24" i="35"/>
  <c r="DB24" i="35"/>
  <c r="CW24" i="35"/>
  <c r="CR24" i="35"/>
  <c r="CN24" i="35"/>
  <c r="CJ24" i="35"/>
  <c r="CF24" i="35"/>
  <c r="CB24" i="35"/>
  <c r="BX24" i="35"/>
  <c r="BT24" i="35"/>
  <c r="BP24" i="35"/>
  <c r="BL24" i="35"/>
  <c r="BH24" i="35"/>
  <c r="BD24" i="35"/>
  <c r="AZ24" i="35"/>
  <c r="AV24" i="35"/>
  <c r="AR24" i="35"/>
  <c r="EE24" i="35"/>
  <c r="DZ24" i="35"/>
  <c r="DU24" i="35"/>
  <c r="DO24" i="35"/>
  <c r="DJ24" i="35"/>
  <c r="DE24" i="35"/>
  <c r="CY24" i="35"/>
  <c r="CT24" i="35"/>
  <c r="CP24" i="35"/>
  <c r="CL24" i="35"/>
  <c r="CH24" i="35"/>
  <c r="CD24" i="35"/>
  <c r="BZ24" i="35"/>
  <c r="BV24" i="35"/>
  <c r="BR24" i="35"/>
  <c r="BN24" i="35"/>
  <c r="BJ24" i="35"/>
  <c r="BF24" i="35"/>
  <c r="BB24" i="35"/>
  <c r="AX24" i="35"/>
  <c r="AT24" i="35"/>
  <c r="AP24" i="35"/>
  <c r="DQ24" i="35"/>
  <c r="CU24" i="35"/>
  <c r="CE24" i="35"/>
  <c r="BO24" i="35"/>
  <c r="AY24" i="35"/>
  <c r="EG24" i="35"/>
  <c r="DK24" i="35"/>
  <c r="CQ24" i="35"/>
  <c r="CA24" i="35"/>
  <c r="BK24" i="35"/>
  <c r="AU24" i="35"/>
  <c r="DV24" i="35"/>
  <c r="DA24" i="35"/>
  <c r="CI24" i="35"/>
  <c r="BS24" i="35"/>
  <c r="BC24" i="35"/>
  <c r="EA24" i="35"/>
  <c r="BG24" i="35"/>
  <c r="DF24" i="35"/>
  <c r="AQ24" i="35"/>
  <c r="BW24" i="35"/>
  <c r="CM24" i="35"/>
  <c r="AN20" i="35"/>
  <c r="EF20" i="35"/>
  <c r="EB20" i="35"/>
  <c r="DX20" i="35"/>
  <c r="DT20" i="35"/>
  <c r="DP20" i="35"/>
  <c r="DL20" i="35"/>
  <c r="DH20" i="35"/>
  <c r="DD20" i="35"/>
  <c r="CZ20" i="35"/>
  <c r="CV20" i="35"/>
  <c r="CR20" i="35"/>
  <c r="CN20" i="35"/>
  <c r="CJ20" i="35"/>
  <c r="CF20" i="35"/>
  <c r="CB20" i="35"/>
  <c r="BX20" i="35"/>
  <c r="BT20" i="35"/>
  <c r="BP20" i="35"/>
  <c r="BL20" i="35"/>
  <c r="BH20" i="35"/>
  <c r="BD20" i="35"/>
  <c r="AZ20" i="35"/>
  <c r="AV20" i="35"/>
  <c r="AR20" i="35"/>
  <c r="EI20" i="35"/>
  <c r="EE20" i="35"/>
  <c r="EA20" i="35"/>
  <c r="DW20" i="35"/>
  <c r="DS20" i="35"/>
  <c r="DO20" i="35"/>
  <c r="DK20" i="35"/>
  <c r="DG20" i="35"/>
  <c r="DC20" i="35"/>
  <c r="CY20" i="35"/>
  <c r="CU20" i="35"/>
  <c r="CQ20" i="35"/>
  <c r="CM20" i="35"/>
  <c r="CI20" i="35"/>
  <c r="CE20" i="35"/>
  <c r="CA20" i="35"/>
  <c r="BW20" i="35"/>
  <c r="BS20" i="35"/>
  <c r="BO20" i="35"/>
  <c r="BK20" i="35"/>
  <c r="BG20" i="35"/>
  <c r="BC20" i="35"/>
  <c r="AY20" i="35"/>
  <c r="AU20" i="35"/>
  <c r="AQ20" i="35"/>
  <c r="EG20" i="35"/>
  <c r="EC20" i="35"/>
  <c r="DY20" i="35"/>
  <c r="DU20" i="35"/>
  <c r="DQ20" i="35"/>
  <c r="DM20" i="35"/>
  <c r="DI20" i="35"/>
  <c r="DE20" i="35"/>
  <c r="DA20" i="35"/>
  <c r="CW20" i="35"/>
  <c r="CS20" i="35"/>
  <c r="CO20" i="35"/>
  <c r="CK20" i="35"/>
  <c r="CG20" i="35"/>
  <c r="CC20" i="35"/>
  <c r="BY20" i="35"/>
  <c r="BU20" i="35"/>
  <c r="BQ20" i="35"/>
  <c r="BM20" i="35"/>
  <c r="BI20" i="35"/>
  <c r="BE20" i="35"/>
  <c r="BA20" i="35"/>
  <c r="AW20" i="35"/>
  <c r="AS20" i="35"/>
  <c r="AO20" i="35"/>
  <c r="DZ20" i="35"/>
  <c r="DJ20" i="35"/>
  <c r="CT20" i="35"/>
  <c r="CD20" i="35"/>
  <c r="BN20" i="35"/>
  <c r="AX20" i="35"/>
  <c r="DV20" i="35"/>
  <c r="DF20" i="35"/>
  <c r="CP20" i="35"/>
  <c r="BZ20" i="35"/>
  <c r="BJ20" i="35"/>
  <c r="AT20" i="35"/>
  <c r="ED20" i="35"/>
  <c r="DN20" i="35"/>
  <c r="CX20" i="35"/>
  <c r="CH20" i="35"/>
  <c r="BR20" i="35"/>
  <c r="BB20" i="35"/>
  <c r="EH20" i="35"/>
  <c r="BV20" i="35"/>
  <c r="DR20" i="35"/>
  <c r="BF20" i="35"/>
  <c r="DB20" i="35"/>
  <c r="AP20" i="35"/>
  <c r="CL20" i="35"/>
  <c r="AN16" i="35"/>
  <c r="EF16" i="35"/>
  <c r="EB16" i="35"/>
  <c r="DX16" i="35"/>
  <c r="DT16" i="35"/>
  <c r="DP16" i="35"/>
  <c r="DL16" i="35"/>
  <c r="DH16" i="35"/>
  <c r="DD16" i="35"/>
  <c r="CZ16" i="35"/>
  <c r="CV16" i="35"/>
  <c r="CR16" i="35"/>
  <c r="CN16" i="35"/>
  <c r="CJ16" i="35"/>
  <c r="CF16" i="35"/>
  <c r="CB16" i="35"/>
  <c r="BX16" i="35"/>
  <c r="BT16" i="35"/>
  <c r="BP16" i="35"/>
  <c r="BL16" i="35"/>
  <c r="BH16" i="35"/>
  <c r="BD16" i="35"/>
  <c r="AZ16" i="35"/>
  <c r="AV16" i="35"/>
  <c r="AR16" i="35"/>
  <c r="EI16" i="35"/>
  <c r="EE16" i="35"/>
  <c r="EA16" i="35"/>
  <c r="DW16" i="35"/>
  <c r="DS16" i="35"/>
  <c r="DO16" i="35"/>
  <c r="DK16" i="35"/>
  <c r="DG16" i="35"/>
  <c r="DC16" i="35"/>
  <c r="CY16" i="35"/>
  <c r="CU16" i="35"/>
  <c r="CQ16" i="35"/>
  <c r="CM16" i="35"/>
  <c r="CI16" i="35"/>
  <c r="CE16" i="35"/>
  <c r="CA16" i="35"/>
  <c r="BW16" i="35"/>
  <c r="BS16" i="35"/>
  <c r="BO16" i="35"/>
  <c r="BK16" i="35"/>
  <c r="BG16" i="35"/>
  <c r="BC16" i="35"/>
  <c r="AY16" i="35"/>
  <c r="AU16" i="35"/>
  <c r="AQ16" i="35"/>
  <c r="EG16" i="35"/>
  <c r="EC16" i="35"/>
  <c r="DY16" i="35"/>
  <c r="DU16" i="35"/>
  <c r="DQ16" i="35"/>
  <c r="DM16" i="35"/>
  <c r="DI16" i="35"/>
  <c r="DE16" i="35"/>
  <c r="DA16" i="35"/>
  <c r="CW16" i="35"/>
  <c r="CS16" i="35"/>
  <c r="CO16" i="35"/>
  <c r="CK16" i="35"/>
  <c r="CG16" i="35"/>
  <c r="CC16" i="35"/>
  <c r="BY16" i="35"/>
  <c r="BU16" i="35"/>
  <c r="BQ16" i="35"/>
  <c r="BM16" i="35"/>
  <c r="BI16" i="35"/>
  <c r="BE16" i="35"/>
  <c r="BA16" i="35"/>
  <c r="AW16" i="35"/>
  <c r="AS16" i="35"/>
  <c r="AO16" i="35"/>
  <c r="ED16" i="35"/>
  <c r="DN16" i="35"/>
  <c r="CX16" i="35"/>
  <c r="CH16" i="35"/>
  <c r="BR16" i="35"/>
  <c r="BB16" i="35"/>
  <c r="DF16" i="35"/>
  <c r="BJ16" i="35"/>
  <c r="DZ16" i="35"/>
  <c r="DJ16" i="35"/>
  <c r="CT16" i="35"/>
  <c r="CD16" i="35"/>
  <c r="BN16" i="35"/>
  <c r="AX16" i="35"/>
  <c r="CP16" i="35"/>
  <c r="AT16" i="35"/>
  <c r="EH16" i="35"/>
  <c r="DR16" i="35"/>
  <c r="DB16" i="35"/>
  <c r="CL16" i="35"/>
  <c r="BV16" i="35"/>
  <c r="BF16" i="35"/>
  <c r="AP16" i="35"/>
  <c r="DV16" i="35"/>
  <c r="BZ16" i="35"/>
  <c r="AN27" i="35"/>
  <c r="EH27" i="35"/>
  <c r="ED27" i="35"/>
  <c r="DZ27" i="35"/>
  <c r="DV27" i="35"/>
  <c r="DR27" i="35"/>
  <c r="DN27" i="35"/>
  <c r="DJ27" i="35"/>
  <c r="DF27" i="35"/>
  <c r="DB27" i="35"/>
  <c r="CX27" i="35"/>
  <c r="CT27" i="35"/>
  <c r="CP27" i="35"/>
  <c r="CL27" i="35"/>
  <c r="CH27" i="35"/>
  <c r="CD27" i="35"/>
  <c r="BZ27" i="35"/>
  <c r="BV27" i="35"/>
  <c r="BR27" i="35"/>
  <c r="BN27" i="35"/>
  <c r="BJ27" i="35"/>
  <c r="BF27" i="35"/>
  <c r="BB27" i="35"/>
  <c r="AX27" i="35"/>
  <c r="AT27" i="35"/>
  <c r="AP27" i="35"/>
  <c r="EG27" i="35"/>
  <c r="EC27" i="35"/>
  <c r="DY27" i="35"/>
  <c r="DU27" i="35"/>
  <c r="DQ27" i="35"/>
  <c r="DM27" i="35"/>
  <c r="DI27" i="35"/>
  <c r="DE27" i="35"/>
  <c r="DA27" i="35"/>
  <c r="CW27" i="35"/>
  <c r="CS27" i="35"/>
  <c r="CO27" i="35"/>
  <c r="CK27" i="35"/>
  <c r="CG27" i="35"/>
  <c r="CC27" i="35"/>
  <c r="BY27" i="35"/>
  <c r="BU27" i="35"/>
  <c r="BQ27" i="35"/>
  <c r="BM27" i="35"/>
  <c r="BI27" i="35"/>
  <c r="BE27" i="35"/>
  <c r="BA27" i="35"/>
  <c r="AW27" i="35"/>
  <c r="AS27" i="35"/>
  <c r="AO27" i="35"/>
  <c r="EI27" i="35"/>
  <c r="EE27" i="35"/>
  <c r="EA27" i="35"/>
  <c r="DW27" i="35"/>
  <c r="DS27" i="35"/>
  <c r="DO27" i="35"/>
  <c r="DK27" i="35"/>
  <c r="DG27" i="35"/>
  <c r="DC27" i="35"/>
  <c r="CY27" i="35"/>
  <c r="CU27" i="35"/>
  <c r="CQ27" i="35"/>
  <c r="CM27" i="35"/>
  <c r="CI27" i="35"/>
  <c r="CE27" i="35"/>
  <c r="CA27" i="35"/>
  <c r="BW27" i="35"/>
  <c r="BS27" i="35"/>
  <c r="BO27" i="35"/>
  <c r="BK27" i="35"/>
  <c r="BG27" i="35"/>
  <c r="BC27" i="35"/>
  <c r="AY27" i="35"/>
  <c r="AU27" i="35"/>
  <c r="AQ27" i="35"/>
  <c r="EB27" i="35"/>
  <c r="DL27" i="35"/>
  <c r="CV27" i="35"/>
  <c r="CF27" i="35"/>
  <c r="BP27" i="35"/>
  <c r="AZ27" i="35"/>
  <c r="DX27" i="35"/>
  <c r="DH27" i="35"/>
  <c r="CR27" i="35"/>
  <c r="CB27" i="35"/>
  <c r="BL27" i="35"/>
  <c r="AV27" i="35"/>
  <c r="EF27" i="35"/>
  <c r="DP27" i="35"/>
  <c r="CZ27" i="35"/>
  <c r="CJ27" i="35"/>
  <c r="BT27" i="35"/>
  <c r="BD27" i="35"/>
  <c r="DD27" i="35"/>
  <c r="AR27" i="35"/>
  <c r="CN27" i="35"/>
  <c r="DT27" i="35"/>
  <c r="BH27" i="35"/>
  <c r="BX27" i="35"/>
  <c r="AN19" i="35"/>
  <c r="EI19" i="35"/>
  <c r="EE19" i="35"/>
  <c r="EA19" i="35"/>
  <c r="DW19" i="35"/>
  <c r="DS19" i="35"/>
  <c r="DO19" i="35"/>
  <c r="DK19" i="35"/>
  <c r="DG19" i="35"/>
  <c r="EH19" i="35"/>
  <c r="ED19" i="35"/>
  <c r="DZ19" i="35"/>
  <c r="DV19" i="35"/>
  <c r="DR19" i="35"/>
  <c r="EF19" i="35"/>
  <c r="EB19" i="35"/>
  <c r="DX19" i="35"/>
  <c r="DT19" i="35"/>
  <c r="DP19" i="35"/>
  <c r="DL19" i="35"/>
  <c r="DH19" i="35"/>
  <c r="DD19" i="35"/>
  <c r="CZ19" i="35"/>
  <c r="CV19" i="35"/>
  <c r="EC19" i="35"/>
  <c r="DN19" i="35"/>
  <c r="DF19" i="35"/>
  <c r="DA19" i="35"/>
  <c r="CU19" i="35"/>
  <c r="CQ19" i="35"/>
  <c r="CM19" i="35"/>
  <c r="CI19" i="35"/>
  <c r="CE19" i="35"/>
  <c r="CA19" i="35"/>
  <c r="BW19" i="35"/>
  <c r="BS19" i="35"/>
  <c r="BO19" i="35"/>
  <c r="BK19" i="35"/>
  <c r="BG19" i="35"/>
  <c r="BC19" i="35"/>
  <c r="AY19" i="35"/>
  <c r="AU19" i="35"/>
  <c r="AQ19" i="35"/>
  <c r="DY19" i="35"/>
  <c r="DM19" i="35"/>
  <c r="DE19" i="35"/>
  <c r="CY19" i="35"/>
  <c r="CT19" i="35"/>
  <c r="CP19" i="35"/>
  <c r="CL19" i="35"/>
  <c r="CH19" i="35"/>
  <c r="CD19" i="35"/>
  <c r="BZ19" i="35"/>
  <c r="BV19" i="35"/>
  <c r="BR19" i="35"/>
  <c r="BN19" i="35"/>
  <c r="BJ19" i="35"/>
  <c r="BF19" i="35"/>
  <c r="BB19" i="35"/>
  <c r="AX19" i="35"/>
  <c r="AT19" i="35"/>
  <c r="AP19" i="35"/>
  <c r="EG19" i="35"/>
  <c r="DQ19" i="35"/>
  <c r="DI19" i="35"/>
  <c r="DB19" i="35"/>
  <c r="CW19" i="35"/>
  <c r="CR19" i="35"/>
  <c r="CN19" i="35"/>
  <c r="CJ19" i="35"/>
  <c r="CF19" i="35"/>
  <c r="CB19" i="35"/>
  <c r="BX19" i="35"/>
  <c r="BT19" i="35"/>
  <c r="BP19" i="35"/>
  <c r="BL19" i="35"/>
  <c r="BH19" i="35"/>
  <c r="BD19" i="35"/>
  <c r="AZ19" i="35"/>
  <c r="AV19" i="35"/>
  <c r="AR19" i="35"/>
  <c r="DJ19" i="35"/>
  <c r="CO19" i="35"/>
  <c r="BY19" i="35"/>
  <c r="BI19" i="35"/>
  <c r="AS19" i="35"/>
  <c r="DC19" i="35"/>
  <c r="CK19" i="35"/>
  <c r="BU19" i="35"/>
  <c r="BE19" i="35"/>
  <c r="AO19" i="35"/>
  <c r="CX19" i="35"/>
  <c r="CG19" i="35"/>
  <c r="BQ19" i="35"/>
  <c r="BA19" i="35"/>
  <c r="DU19" i="35"/>
  <c r="CS19" i="35"/>
  <c r="CC19" i="35"/>
  <c r="BM19" i="35"/>
  <c r="AW19" i="35"/>
  <c r="AN26" i="35"/>
  <c r="EG26" i="35"/>
  <c r="EC26" i="35"/>
  <c r="DY26" i="35"/>
  <c r="DU26" i="35"/>
  <c r="DQ26" i="35"/>
  <c r="DM26" i="35"/>
  <c r="DI26" i="35"/>
  <c r="DE26" i="35"/>
  <c r="DA26" i="35"/>
  <c r="CW26" i="35"/>
  <c r="CS26" i="35"/>
  <c r="CO26" i="35"/>
  <c r="CK26" i="35"/>
  <c r="CG26" i="35"/>
  <c r="CC26" i="35"/>
  <c r="BY26" i="35"/>
  <c r="BU26" i="35"/>
  <c r="BQ26" i="35"/>
  <c r="BM26" i="35"/>
  <c r="BI26" i="35"/>
  <c r="BE26" i="35"/>
  <c r="BA26" i="35"/>
  <c r="AW26" i="35"/>
  <c r="AS26" i="35"/>
  <c r="AO26" i="35"/>
  <c r="EF26" i="35"/>
  <c r="EB26" i="35"/>
  <c r="DX26" i="35"/>
  <c r="DT26" i="35"/>
  <c r="DP26" i="35"/>
  <c r="DL26" i="35"/>
  <c r="DH26" i="35"/>
  <c r="DD26" i="35"/>
  <c r="CZ26" i="35"/>
  <c r="CV26" i="35"/>
  <c r="CR26" i="35"/>
  <c r="CN26" i="35"/>
  <c r="CJ26" i="35"/>
  <c r="CF26" i="35"/>
  <c r="CB26" i="35"/>
  <c r="BX26" i="35"/>
  <c r="BT26" i="35"/>
  <c r="BP26" i="35"/>
  <c r="BL26" i="35"/>
  <c r="BH26" i="35"/>
  <c r="BD26" i="35"/>
  <c r="AZ26" i="35"/>
  <c r="AV26" i="35"/>
  <c r="AR26" i="35"/>
  <c r="EH26" i="35"/>
  <c r="ED26" i="35"/>
  <c r="DZ26" i="35"/>
  <c r="DV26" i="35"/>
  <c r="DR26" i="35"/>
  <c r="DN26" i="35"/>
  <c r="DJ26" i="35"/>
  <c r="DF26" i="35"/>
  <c r="DB26" i="35"/>
  <c r="CX26" i="35"/>
  <c r="CT26" i="35"/>
  <c r="CP26" i="35"/>
  <c r="CL26" i="35"/>
  <c r="CH26" i="35"/>
  <c r="CD26" i="35"/>
  <c r="BZ26" i="35"/>
  <c r="BV26" i="35"/>
  <c r="BR26" i="35"/>
  <c r="BN26" i="35"/>
  <c r="BJ26" i="35"/>
  <c r="BF26" i="35"/>
  <c r="BB26" i="35"/>
  <c r="AX26" i="35"/>
  <c r="AT26" i="35"/>
  <c r="AP26" i="35"/>
  <c r="EE26" i="35"/>
  <c r="DO26" i="35"/>
  <c r="CY26" i="35"/>
  <c r="CI26" i="35"/>
  <c r="BS26" i="35"/>
  <c r="BC26" i="35"/>
  <c r="EA26" i="35"/>
  <c r="DK26" i="35"/>
  <c r="CU26" i="35"/>
  <c r="CE26" i="35"/>
  <c r="BO26" i="35"/>
  <c r="AY26" i="35"/>
  <c r="EI26" i="35"/>
  <c r="DS26" i="35"/>
  <c r="DC26" i="35"/>
  <c r="CM26" i="35"/>
  <c r="BW26" i="35"/>
  <c r="BG26" i="35"/>
  <c r="AQ26" i="35"/>
  <c r="CA26" i="35"/>
  <c r="DW26" i="35"/>
  <c r="BK26" i="35"/>
  <c r="CQ26" i="35"/>
  <c r="DG26" i="35"/>
  <c r="AU26" i="35"/>
  <c r="AN18" i="35"/>
  <c r="EH18" i="35"/>
  <c r="ED18" i="35"/>
  <c r="DZ18" i="35"/>
  <c r="DV18" i="35"/>
  <c r="DR18" i="35"/>
  <c r="DN18" i="35"/>
  <c r="DJ18" i="35"/>
  <c r="DF18" i="35"/>
  <c r="DB18" i="35"/>
  <c r="CX18" i="35"/>
  <c r="CT18" i="35"/>
  <c r="CP18" i="35"/>
  <c r="CL18" i="35"/>
  <c r="CH18" i="35"/>
  <c r="CD18" i="35"/>
  <c r="BZ18" i="35"/>
  <c r="BV18" i="35"/>
  <c r="BR18" i="35"/>
  <c r="BN18" i="35"/>
  <c r="BJ18" i="35"/>
  <c r="BF18" i="35"/>
  <c r="BB18" i="35"/>
  <c r="AX18" i="35"/>
  <c r="AT18" i="35"/>
  <c r="AP18" i="35"/>
  <c r="EG18" i="35"/>
  <c r="EC18" i="35"/>
  <c r="DY18" i="35"/>
  <c r="DU18" i="35"/>
  <c r="DQ18" i="35"/>
  <c r="DM18" i="35"/>
  <c r="DI18" i="35"/>
  <c r="DE18" i="35"/>
  <c r="DA18" i="35"/>
  <c r="CW18" i="35"/>
  <c r="CS18" i="35"/>
  <c r="CO18" i="35"/>
  <c r="CK18" i="35"/>
  <c r="CG18" i="35"/>
  <c r="CC18" i="35"/>
  <c r="BY18" i="35"/>
  <c r="BU18" i="35"/>
  <c r="BQ18" i="35"/>
  <c r="BM18" i="35"/>
  <c r="BI18" i="35"/>
  <c r="BE18" i="35"/>
  <c r="BA18" i="35"/>
  <c r="AW18" i="35"/>
  <c r="AS18" i="35"/>
  <c r="AO18" i="35"/>
  <c r="EI18" i="35"/>
  <c r="EE18" i="35"/>
  <c r="EA18" i="35"/>
  <c r="DW18" i="35"/>
  <c r="DS18" i="35"/>
  <c r="DO18" i="35"/>
  <c r="DK18" i="35"/>
  <c r="DG18" i="35"/>
  <c r="DC18" i="35"/>
  <c r="CY18" i="35"/>
  <c r="CU18" i="35"/>
  <c r="CQ18" i="35"/>
  <c r="CM18" i="35"/>
  <c r="CI18" i="35"/>
  <c r="CE18" i="35"/>
  <c r="CA18" i="35"/>
  <c r="BW18" i="35"/>
  <c r="BS18" i="35"/>
  <c r="BO18" i="35"/>
  <c r="BK18" i="35"/>
  <c r="BG18" i="35"/>
  <c r="BC18" i="35"/>
  <c r="AY18" i="35"/>
  <c r="AU18" i="35"/>
  <c r="AQ18" i="35"/>
  <c r="DX18" i="35"/>
  <c r="DH18" i="35"/>
  <c r="CR18" i="35"/>
  <c r="CB18" i="35"/>
  <c r="BL18" i="35"/>
  <c r="AV18" i="35"/>
  <c r="CZ18" i="35"/>
  <c r="BD18" i="35"/>
  <c r="DT18" i="35"/>
  <c r="DD18" i="35"/>
  <c r="CN18" i="35"/>
  <c r="BX18" i="35"/>
  <c r="BH18" i="35"/>
  <c r="AR18" i="35"/>
  <c r="EF18" i="35"/>
  <c r="DP18" i="35"/>
  <c r="CJ18" i="35"/>
  <c r="BT18" i="35"/>
  <c r="EB18" i="35"/>
  <c r="DL18" i="35"/>
  <c r="CV18" i="35"/>
  <c r="CF18" i="35"/>
  <c r="BP18" i="35"/>
  <c r="AZ18" i="35"/>
  <c r="AN23" i="35"/>
  <c r="EF23" i="35"/>
  <c r="EB23" i="35"/>
  <c r="DX23" i="35"/>
  <c r="DT23" i="35"/>
  <c r="DP23" i="35"/>
  <c r="DL23" i="35"/>
  <c r="DH23" i="35"/>
  <c r="DD23" i="35"/>
  <c r="CZ23" i="35"/>
  <c r="CV23" i="35"/>
  <c r="CR23" i="35"/>
  <c r="CN23" i="35"/>
  <c r="CJ23" i="35"/>
  <c r="CF23" i="35"/>
  <c r="CB23" i="35"/>
  <c r="BX23" i="35"/>
  <c r="BT23" i="35"/>
  <c r="BP23" i="35"/>
  <c r="BL23" i="35"/>
  <c r="BH23" i="35"/>
  <c r="BD23" i="35"/>
  <c r="AZ23" i="35"/>
  <c r="AV23" i="35"/>
  <c r="AR23" i="35"/>
  <c r="EI23" i="35"/>
  <c r="EE23" i="35"/>
  <c r="EA23" i="35"/>
  <c r="DW23" i="35"/>
  <c r="DS23" i="35"/>
  <c r="DO23" i="35"/>
  <c r="DK23" i="35"/>
  <c r="DG23" i="35"/>
  <c r="DC23" i="35"/>
  <c r="CY23" i="35"/>
  <c r="CU23" i="35"/>
  <c r="CQ23" i="35"/>
  <c r="CM23" i="35"/>
  <c r="CI23" i="35"/>
  <c r="CE23" i="35"/>
  <c r="CA23" i="35"/>
  <c r="BW23" i="35"/>
  <c r="BS23" i="35"/>
  <c r="BO23" i="35"/>
  <c r="BK23" i="35"/>
  <c r="BG23" i="35"/>
  <c r="BC23" i="35"/>
  <c r="AY23" i="35"/>
  <c r="AU23" i="35"/>
  <c r="AQ23" i="35"/>
  <c r="EG23" i="35"/>
  <c r="EC23" i="35"/>
  <c r="DY23" i="35"/>
  <c r="DU23" i="35"/>
  <c r="DQ23" i="35"/>
  <c r="DM23" i="35"/>
  <c r="DI23" i="35"/>
  <c r="DE23" i="35"/>
  <c r="DA23" i="35"/>
  <c r="CW23" i="35"/>
  <c r="CS23" i="35"/>
  <c r="CO23" i="35"/>
  <c r="CK23" i="35"/>
  <c r="CG23" i="35"/>
  <c r="CC23" i="35"/>
  <c r="BY23" i="35"/>
  <c r="BU23" i="35"/>
  <c r="BQ23" i="35"/>
  <c r="BM23" i="35"/>
  <c r="BI23" i="35"/>
  <c r="BE23" i="35"/>
  <c r="BA23" i="35"/>
  <c r="AW23" i="35"/>
  <c r="AS23" i="35"/>
  <c r="AO23" i="35"/>
  <c r="ED23" i="35"/>
  <c r="DN23" i="35"/>
  <c r="CX23" i="35"/>
  <c r="CH23" i="35"/>
  <c r="BR23" i="35"/>
  <c r="BB23" i="35"/>
  <c r="DZ23" i="35"/>
  <c r="DJ23" i="35"/>
  <c r="CT23" i="35"/>
  <c r="CD23" i="35"/>
  <c r="BN23" i="35"/>
  <c r="AX23" i="35"/>
  <c r="EH23" i="35"/>
  <c r="DR23" i="35"/>
  <c r="DB23" i="35"/>
  <c r="CL23" i="35"/>
  <c r="BV23" i="35"/>
  <c r="BF23" i="35"/>
  <c r="AP23" i="35"/>
  <c r="CP23" i="35"/>
  <c r="BZ23" i="35"/>
  <c r="DF23" i="35"/>
  <c r="AT23" i="35"/>
  <c r="DV23" i="35"/>
  <c r="BJ23" i="35"/>
  <c r="AN15" i="35"/>
  <c r="EI15" i="35"/>
  <c r="EE15" i="35"/>
  <c r="EA15" i="35"/>
  <c r="DW15" i="35"/>
  <c r="DS15" i="35"/>
  <c r="DO15" i="35"/>
  <c r="DK15" i="35"/>
  <c r="DG15" i="35"/>
  <c r="DC15" i="35"/>
  <c r="CY15" i="35"/>
  <c r="CU15" i="35"/>
  <c r="CQ15" i="35"/>
  <c r="CM15" i="35"/>
  <c r="CI15" i="35"/>
  <c r="CE15" i="35"/>
  <c r="CA15" i="35"/>
  <c r="BW15" i="35"/>
  <c r="BS15" i="35"/>
  <c r="BO15" i="35"/>
  <c r="BK15" i="35"/>
  <c r="BG15" i="35"/>
  <c r="BC15" i="35"/>
  <c r="AY15" i="35"/>
  <c r="AU15" i="35"/>
  <c r="AQ15" i="35"/>
  <c r="EH15" i="35"/>
  <c r="ED15" i="35"/>
  <c r="DZ15" i="35"/>
  <c r="DV15" i="35"/>
  <c r="DR15" i="35"/>
  <c r="DN15" i="35"/>
  <c r="DJ15" i="35"/>
  <c r="DF15" i="35"/>
  <c r="DB15" i="35"/>
  <c r="CX15" i="35"/>
  <c r="CT15" i="35"/>
  <c r="CP15" i="35"/>
  <c r="CL15" i="35"/>
  <c r="CH15" i="35"/>
  <c r="CD15" i="35"/>
  <c r="BZ15" i="35"/>
  <c r="BV15" i="35"/>
  <c r="BR15" i="35"/>
  <c r="BN15" i="35"/>
  <c r="BJ15" i="35"/>
  <c r="BF15" i="35"/>
  <c r="BB15" i="35"/>
  <c r="AX15" i="35"/>
  <c r="AT15" i="35"/>
  <c r="AP15" i="35"/>
  <c r="EF15" i="35"/>
  <c r="EB15" i="35"/>
  <c r="DX15" i="35"/>
  <c r="DT15" i="35"/>
  <c r="DP15" i="35"/>
  <c r="DL15" i="35"/>
  <c r="DH15" i="35"/>
  <c r="DD15" i="35"/>
  <c r="CZ15" i="35"/>
  <c r="CV15" i="35"/>
  <c r="CR15" i="35"/>
  <c r="CN15" i="35"/>
  <c r="CJ15" i="35"/>
  <c r="CF15" i="35"/>
  <c r="CB15" i="35"/>
  <c r="BX15" i="35"/>
  <c r="BT15" i="35"/>
  <c r="BP15" i="35"/>
  <c r="BL15" i="35"/>
  <c r="BH15" i="35"/>
  <c r="BD15" i="35"/>
  <c r="AZ15" i="35"/>
  <c r="AV15" i="35"/>
  <c r="AR15" i="35"/>
  <c r="EG15" i="35"/>
  <c r="DQ15" i="35"/>
  <c r="DA15" i="35"/>
  <c r="CK15" i="35"/>
  <c r="BU15" i="35"/>
  <c r="BE15" i="35"/>
  <c r="AO15" i="35"/>
  <c r="CS15" i="35"/>
  <c r="EC15" i="35"/>
  <c r="DM15" i="35"/>
  <c r="CW15" i="35"/>
  <c r="CG15" i="35"/>
  <c r="BQ15" i="35"/>
  <c r="BA15" i="35"/>
  <c r="DI15" i="35"/>
  <c r="BM15" i="35"/>
  <c r="DU15" i="35"/>
  <c r="DE15" i="35"/>
  <c r="CO15" i="35"/>
  <c r="BY15" i="35"/>
  <c r="BI15" i="35"/>
  <c r="AS15" i="35"/>
  <c r="DY15" i="35"/>
  <c r="CC15" i="35"/>
  <c r="AW15" i="35"/>
  <c r="AN22" i="35"/>
  <c r="EI22" i="35"/>
  <c r="EE22" i="35"/>
  <c r="EA22" i="35"/>
  <c r="DW22" i="35"/>
  <c r="DS22" i="35"/>
  <c r="DO22" i="35"/>
  <c r="DK22" i="35"/>
  <c r="DG22" i="35"/>
  <c r="DC22" i="35"/>
  <c r="CY22" i="35"/>
  <c r="CU22" i="35"/>
  <c r="CQ22" i="35"/>
  <c r="CM22" i="35"/>
  <c r="CI22" i="35"/>
  <c r="CE22" i="35"/>
  <c r="CA22" i="35"/>
  <c r="EH22" i="35"/>
  <c r="ED22" i="35"/>
  <c r="DZ22" i="35"/>
  <c r="DV22" i="35"/>
  <c r="DR22" i="35"/>
  <c r="DN22" i="35"/>
  <c r="DJ22" i="35"/>
  <c r="DF22" i="35"/>
  <c r="DB22" i="35"/>
  <c r="CX22" i="35"/>
  <c r="CT22" i="35"/>
  <c r="CP22" i="35"/>
  <c r="CL22" i="35"/>
  <c r="EF22" i="35"/>
  <c r="EB22" i="35"/>
  <c r="DX22" i="35"/>
  <c r="DT22" i="35"/>
  <c r="DP22" i="35"/>
  <c r="DL22" i="35"/>
  <c r="DH22" i="35"/>
  <c r="DD22" i="35"/>
  <c r="CZ22" i="35"/>
  <c r="CV22" i="35"/>
  <c r="CR22" i="35"/>
  <c r="CN22" i="35"/>
  <c r="CJ22" i="35"/>
  <c r="CF22" i="35"/>
  <c r="CB22" i="35"/>
  <c r="BX22" i="35"/>
  <c r="EG22" i="35"/>
  <c r="DQ22" i="35"/>
  <c r="DA22" i="35"/>
  <c r="CK22" i="35"/>
  <c r="CC22" i="35"/>
  <c r="BV22" i="35"/>
  <c r="BR22" i="35"/>
  <c r="BN22" i="35"/>
  <c r="BJ22" i="35"/>
  <c r="BF22" i="35"/>
  <c r="BB22" i="35"/>
  <c r="AX22" i="35"/>
  <c r="AT22" i="35"/>
  <c r="AP22" i="35"/>
  <c r="EC22" i="35"/>
  <c r="DM22" i="35"/>
  <c r="CW22" i="35"/>
  <c r="CH22" i="35"/>
  <c r="BZ22" i="35"/>
  <c r="BU22" i="35"/>
  <c r="BQ22" i="35"/>
  <c r="BM22" i="35"/>
  <c r="BI22" i="35"/>
  <c r="BE22" i="35"/>
  <c r="BA22" i="35"/>
  <c r="AW22" i="35"/>
  <c r="AS22" i="35"/>
  <c r="AO22" i="35"/>
  <c r="DU22" i="35"/>
  <c r="DE22" i="35"/>
  <c r="CO22" i="35"/>
  <c r="CD22" i="35"/>
  <c r="BW22" i="35"/>
  <c r="BS22" i="35"/>
  <c r="BO22" i="35"/>
  <c r="BK22" i="35"/>
  <c r="BG22" i="35"/>
  <c r="BC22" i="35"/>
  <c r="AY22" i="35"/>
  <c r="AU22" i="35"/>
  <c r="AQ22" i="35"/>
  <c r="DY22" i="35"/>
  <c r="BY22" i="35"/>
  <c r="BH22" i="35"/>
  <c r="AR22" i="35"/>
  <c r="DI22" i="35"/>
  <c r="BT22" i="35"/>
  <c r="BD22" i="35"/>
  <c r="CG22" i="35"/>
  <c r="BL22" i="35"/>
  <c r="AV22" i="35"/>
  <c r="BP22" i="35"/>
  <c r="AZ22" i="35"/>
  <c r="CS22" i="35"/>
  <c r="AN14" i="35"/>
  <c r="EH14" i="35"/>
  <c r="ED14" i="35"/>
  <c r="DZ14" i="35"/>
  <c r="DV14" i="35"/>
  <c r="DR14" i="35"/>
  <c r="DN14" i="35"/>
  <c r="DJ14" i="35"/>
  <c r="DF14" i="35"/>
  <c r="DB14" i="35"/>
  <c r="CX14" i="35"/>
  <c r="CT14" i="35"/>
  <c r="CP14" i="35"/>
  <c r="CL14" i="35"/>
  <c r="CH14" i="35"/>
  <c r="CD14" i="35"/>
  <c r="BZ14" i="35"/>
  <c r="BV14" i="35"/>
  <c r="BR14" i="35"/>
  <c r="BN14" i="35"/>
  <c r="BJ14" i="35"/>
  <c r="BF14" i="35"/>
  <c r="BB14" i="35"/>
  <c r="AX14" i="35"/>
  <c r="AT14" i="35"/>
  <c r="AP14" i="35"/>
  <c r="EG14" i="35"/>
  <c r="EC14" i="35"/>
  <c r="DY14" i="35"/>
  <c r="DU14" i="35"/>
  <c r="DQ14" i="35"/>
  <c r="DM14" i="35"/>
  <c r="DI14" i="35"/>
  <c r="DE14" i="35"/>
  <c r="DA14" i="35"/>
  <c r="CW14" i="35"/>
  <c r="CS14" i="35"/>
  <c r="CO14" i="35"/>
  <c r="CK14" i="35"/>
  <c r="CG14" i="35"/>
  <c r="CC14" i="35"/>
  <c r="BY14" i="35"/>
  <c r="BU14" i="35"/>
  <c r="BQ14" i="35"/>
  <c r="BM14" i="35"/>
  <c r="BI14" i="35"/>
  <c r="BE14" i="35"/>
  <c r="BA14" i="35"/>
  <c r="AW14" i="35"/>
  <c r="AS14" i="35"/>
  <c r="AO14" i="35"/>
  <c r="EI14" i="35"/>
  <c r="EE14" i="35"/>
  <c r="EA14" i="35"/>
  <c r="DW14" i="35"/>
  <c r="DS14" i="35"/>
  <c r="DO14" i="35"/>
  <c r="DK14" i="35"/>
  <c r="DG14" i="35"/>
  <c r="DC14" i="35"/>
  <c r="CY14" i="35"/>
  <c r="CU14" i="35"/>
  <c r="CQ14" i="35"/>
  <c r="CM14" i="35"/>
  <c r="CI14" i="35"/>
  <c r="CE14" i="35"/>
  <c r="CA14" i="35"/>
  <c r="BW14" i="35"/>
  <c r="BS14" i="35"/>
  <c r="BO14" i="35"/>
  <c r="BK14" i="35"/>
  <c r="BG14" i="35"/>
  <c r="BC14" i="35"/>
  <c r="AY14" i="35"/>
  <c r="AU14" i="35"/>
  <c r="AQ14" i="35"/>
  <c r="DT14" i="35"/>
  <c r="DD14" i="35"/>
  <c r="CN14" i="35"/>
  <c r="BX14" i="35"/>
  <c r="BH14" i="35"/>
  <c r="AR14" i="35"/>
  <c r="EB14" i="35"/>
  <c r="CF14" i="35"/>
  <c r="EF14" i="35"/>
  <c r="DP14" i="35"/>
  <c r="CZ14" i="35"/>
  <c r="CJ14" i="35"/>
  <c r="BT14" i="35"/>
  <c r="BD14" i="35"/>
  <c r="DL14" i="35"/>
  <c r="AZ14" i="35"/>
  <c r="DX14" i="35"/>
  <c r="DH14" i="35"/>
  <c r="CR14" i="35"/>
  <c r="CB14" i="35"/>
  <c r="BL14" i="35"/>
  <c r="AV14" i="35"/>
  <c r="CV14" i="35"/>
  <c r="BP14" i="35"/>
  <c r="AN25" i="35"/>
  <c r="EF25" i="35"/>
  <c r="EB25" i="35"/>
  <c r="DX25" i="35"/>
  <c r="DT25" i="35"/>
  <c r="DP25" i="35"/>
  <c r="DL25" i="35"/>
  <c r="DH25" i="35"/>
  <c r="DD25" i="35"/>
  <c r="CZ25" i="35"/>
  <c r="CV25" i="35"/>
  <c r="CR25" i="35"/>
  <c r="CN25" i="35"/>
  <c r="CJ25" i="35"/>
  <c r="CF25" i="35"/>
  <c r="CB25" i="35"/>
  <c r="BX25" i="35"/>
  <c r="BT25" i="35"/>
  <c r="EI25" i="35"/>
  <c r="EE25" i="35"/>
  <c r="EA25" i="35"/>
  <c r="DW25" i="35"/>
  <c r="DS25" i="35"/>
  <c r="DO25" i="35"/>
  <c r="DK25" i="35"/>
  <c r="DG25" i="35"/>
  <c r="DC25" i="35"/>
  <c r="CY25" i="35"/>
  <c r="CU25" i="35"/>
  <c r="CQ25" i="35"/>
  <c r="CM25" i="35"/>
  <c r="CI25" i="35"/>
  <c r="CE25" i="35"/>
  <c r="CA25" i="35"/>
  <c r="BW25" i="35"/>
  <c r="EG25" i="35"/>
  <c r="EC25" i="35"/>
  <c r="DY25" i="35"/>
  <c r="DU25" i="35"/>
  <c r="DQ25" i="35"/>
  <c r="DM25" i="35"/>
  <c r="DI25" i="35"/>
  <c r="DE25" i="35"/>
  <c r="DA25" i="35"/>
  <c r="CW25" i="35"/>
  <c r="CS25" i="35"/>
  <c r="CO25" i="35"/>
  <c r="CK25" i="35"/>
  <c r="CG25" i="35"/>
  <c r="CC25" i="35"/>
  <c r="BY25" i="35"/>
  <c r="BU25" i="35"/>
  <c r="BQ25" i="35"/>
  <c r="BM25" i="35"/>
  <c r="BI25" i="35"/>
  <c r="BE25" i="35"/>
  <c r="BA25" i="35"/>
  <c r="AW25" i="35"/>
  <c r="AS25" i="35"/>
  <c r="AO25" i="35"/>
  <c r="EH25" i="35"/>
  <c r="DR25" i="35"/>
  <c r="DB25" i="35"/>
  <c r="CL25" i="35"/>
  <c r="BV25" i="35"/>
  <c r="BO25" i="35"/>
  <c r="BJ25" i="35"/>
  <c r="BD25" i="35"/>
  <c r="AY25" i="35"/>
  <c r="AT25" i="35"/>
  <c r="ED25" i="35"/>
  <c r="DN25" i="35"/>
  <c r="CX25" i="35"/>
  <c r="CH25" i="35"/>
  <c r="BS25" i="35"/>
  <c r="BN25" i="35"/>
  <c r="BH25" i="35"/>
  <c r="BC25" i="35"/>
  <c r="AX25" i="35"/>
  <c r="AR25" i="35"/>
  <c r="DV25" i="35"/>
  <c r="DF25" i="35"/>
  <c r="CP25" i="35"/>
  <c r="BZ25" i="35"/>
  <c r="BP25" i="35"/>
  <c r="BK25" i="35"/>
  <c r="BF25" i="35"/>
  <c r="AZ25" i="35"/>
  <c r="AU25" i="35"/>
  <c r="AP25" i="35"/>
  <c r="DJ25" i="35"/>
  <c r="BL25" i="35"/>
  <c r="AQ25" i="35"/>
  <c r="CT25" i="35"/>
  <c r="BG25" i="35"/>
  <c r="DZ25" i="35"/>
  <c r="BR25" i="35"/>
  <c r="AV25" i="35"/>
  <c r="BB25" i="35"/>
  <c r="CD25" i="35"/>
  <c r="AN21" i="35"/>
  <c r="EG21" i="35"/>
  <c r="EC21" i="35"/>
  <c r="DY21" i="35"/>
  <c r="DU21" i="35"/>
  <c r="DQ21" i="35"/>
  <c r="DM21" i="35"/>
  <c r="DI21" i="35"/>
  <c r="DE21" i="35"/>
  <c r="DA21" i="35"/>
  <c r="CW21" i="35"/>
  <c r="CS21" i="35"/>
  <c r="CO21" i="35"/>
  <c r="CK21" i="35"/>
  <c r="CG21" i="35"/>
  <c r="CC21" i="35"/>
  <c r="BY21" i="35"/>
  <c r="BU21" i="35"/>
  <c r="BQ21" i="35"/>
  <c r="BM21" i="35"/>
  <c r="BI21" i="35"/>
  <c r="BE21" i="35"/>
  <c r="BA21" i="35"/>
  <c r="AW21" i="35"/>
  <c r="AS21" i="35"/>
  <c r="AO21" i="35"/>
  <c r="EF21" i="35"/>
  <c r="EB21" i="35"/>
  <c r="DX21" i="35"/>
  <c r="DT21" i="35"/>
  <c r="DP21" i="35"/>
  <c r="DL21" i="35"/>
  <c r="DH21" i="35"/>
  <c r="DD21" i="35"/>
  <c r="CZ21" i="35"/>
  <c r="CV21" i="35"/>
  <c r="CR21" i="35"/>
  <c r="CN21" i="35"/>
  <c r="CJ21" i="35"/>
  <c r="CF21" i="35"/>
  <c r="CB21" i="35"/>
  <c r="BX21" i="35"/>
  <c r="BT21" i="35"/>
  <c r="BP21" i="35"/>
  <c r="BL21" i="35"/>
  <c r="BH21" i="35"/>
  <c r="BD21" i="35"/>
  <c r="AZ21" i="35"/>
  <c r="AV21" i="35"/>
  <c r="AR21" i="35"/>
  <c r="EH21" i="35"/>
  <c r="ED21" i="35"/>
  <c r="DZ21" i="35"/>
  <c r="DV21" i="35"/>
  <c r="DR21" i="35"/>
  <c r="DN21" i="35"/>
  <c r="DJ21" i="35"/>
  <c r="DF21" i="35"/>
  <c r="DB21" i="35"/>
  <c r="CX21" i="35"/>
  <c r="CT21" i="35"/>
  <c r="CP21" i="35"/>
  <c r="CL21" i="35"/>
  <c r="CH21" i="35"/>
  <c r="CD21" i="35"/>
  <c r="BZ21" i="35"/>
  <c r="BV21" i="35"/>
  <c r="BR21" i="35"/>
  <c r="BN21" i="35"/>
  <c r="BJ21" i="35"/>
  <c r="BF21" i="35"/>
  <c r="BB21" i="35"/>
  <c r="AX21" i="35"/>
  <c r="AT21" i="35"/>
  <c r="AP21" i="35"/>
  <c r="DW21" i="35"/>
  <c r="DG21" i="35"/>
  <c r="CQ21" i="35"/>
  <c r="CA21" i="35"/>
  <c r="BK21" i="35"/>
  <c r="AU21" i="35"/>
  <c r="EI21" i="35"/>
  <c r="DS21" i="35"/>
  <c r="DC21" i="35"/>
  <c r="CM21" i="35"/>
  <c r="BW21" i="35"/>
  <c r="BG21" i="35"/>
  <c r="AQ21" i="35"/>
  <c r="EA21" i="35"/>
  <c r="DK21" i="35"/>
  <c r="CU21" i="35"/>
  <c r="CE21" i="35"/>
  <c r="BO21" i="35"/>
  <c r="AY21" i="35"/>
  <c r="CY21" i="35"/>
  <c r="CI21" i="35"/>
  <c r="EE21" i="35"/>
  <c r="BS21" i="35"/>
  <c r="DO21" i="35"/>
  <c r="BC21" i="35"/>
  <c r="AN17" i="35"/>
  <c r="EG17" i="35"/>
  <c r="EC17" i="35"/>
  <c r="DY17" i="35"/>
  <c r="DU17" i="35"/>
  <c r="DQ17" i="35"/>
  <c r="DM17" i="35"/>
  <c r="DI17" i="35"/>
  <c r="DE17" i="35"/>
  <c r="DA17" i="35"/>
  <c r="CW17" i="35"/>
  <c r="CS17" i="35"/>
  <c r="CO17" i="35"/>
  <c r="CK17" i="35"/>
  <c r="CG17" i="35"/>
  <c r="CC17" i="35"/>
  <c r="BY17" i="35"/>
  <c r="BU17" i="35"/>
  <c r="BQ17" i="35"/>
  <c r="BM17" i="35"/>
  <c r="BI17" i="35"/>
  <c r="BE17" i="35"/>
  <c r="BA17" i="35"/>
  <c r="AW17" i="35"/>
  <c r="AS17" i="35"/>
  <c r="AO17" i="35"/>
  <c r="EF17" i="35"/>
  <c r="EB17" i="35"/>
  <c r="DX17" i="35"/>
  <c r="DT17" i="35"/>
  <c r="DP17" i="35"/>
  <c r="DL17" i="35"/>
  <c r="DH17" i="35"/>
  <c r="DD17" i="35"/>
  <c r="CZ17" i="35"/>
  <c r="CV17" i="35"/>
  <c r="CR17" i="35"/>
  <c r="CN17" i="35"/>
  <c r="CJ17" i="35"/>
  <c r="CF17" i="35"/>
  <c r="CB17" i="35"/>
  <c r="BX17" i="35"/>
  <c r="BT17" i="35"/>
  <c r="BP17" i="35"/>
  <c r="BL17" i="35"/>
  <c r="BH17" i="35"/>
  <c r="BD17" i="35"/>
  <c r="AZ17" i="35"/>
  <c r="AV17" i="35"/>
  <c r="AR17" i="35"/>
  <c r="EH17" i="35"/>
  <c r="ED17" i="35"/>
  <c r="DZ17" i="35"/>
  <c r="DV17" i="35"/>
  <c r="DR17" i="35"/>
  <c r="DN17" i="35"/>
  <c r="DJ17" i="35"/>
  <c r="DF17" i="35"/>
  <c r="DB17" i="35"/>
  <c r="CX17" i="35"/>
  <c r="CT17" i="35"/>
  <c r="CP17" i="35"/>
  <c r="CL17" i="35"/>
  <c r="CH17" i="35"/>
  <c r="CD17" i="35"/>
  <c r="BZ17" i="35"/>
  <c r="BV17" i="35"/>
  <c r="BR17" i="35"/>
  <c r="BN17" i="35"/>
  <c r="BJ17" i="35"/>
  <c r="BF17" i="35"/>
  <c r="BB17" i="35"/>
  <c r="AX17" i="35"/>
  <c r="AT17" i="35"/>
  <c r="AP17" i="35"/>
  <c r="EA17" i="35"/>
  <c r="DK17" i="35"/>
  <c r="CU17" i="35"/>
  <c r="CE17" i="35"/>
  <c r="BO17" i="35"/>
  <c r="AY17" i="35"/>
  <c r="DC17" i="35"/>
  <c r="BG17" i="35"/>
  <c r="DW17" i="35"/>
  <c r="DG17" i="35"/>
  <c r="CQ17" i="35"/>
  <c r="CA17" i="35"/>
  <c r="BK17" i="35"/>
  <c r="AU17" i="35"/>
  <c r="EI17" i="35"/>
  <c r="CM17" i="35"/>
  <c r="AQ17" i="35"/>
  <c r="EE17" i="35"/>
  <c r="DO17" i="35"/>
  <c r="CY17" i="35"/>
  <c r="CI17" i="35"/>
  <c r="BS17" i="35"/>
  <c r="BC17" i="35"/>
  <c r="DS17" i="35"/>
  <c r="BW17" i="35"/>
  <c r="G7" i="13" l="1"/>
  <c r="B43" i="13"/>
  <c r="C43" i="13" s="1"/>
  <c r="C42" i="13"/>
  <c r="A42" i="13"/>
  <c r="B44" i="13" l="1"/>
  <c r="B45" i="13" s="1"/>
  <c r="A43" i="13"/>
  <c r="A44" i="13"/>
  <c r="C44" i="13"/>
  <c r="B46" i="13" l="1"/>
  <c r="C45" i="13"/>
  <c r="A45" i="13"/>
  <c r="C46" i="13" l="1"/>
  <c r="A46" i="13"/>
  <c r="B47" i="13"/>
  <c r="A47" i="13" l="1"/>
  <c r="C47" i="13"/>
  <c r="B48" i="13"/>
  <c r="B49" i="13" l="1"/>
  <c r="A48" i="13"/>
  <c r="C48" i="13"/>
  <c r="C49" i="13" l="1"/>
  <c r="A49" i="13"/>
  <c r="B50" i="13"/>
  <c r="C50" i="13" l="1"/>
  <c r="A50" i="13"/>
  <c r="B51" i="13"/>
  <c r="B52" i="13" l="1"/>
  <c r="C51" i="13"/>
  <c r="A51" i="13"/>
  <c r="B53" i="13" l="1"/>
  <c r="A52" i="13"/>
  <c r="C52" i="13"/>
  <c r="AI41" i="13" s="1"/>
  <c r="A53" i="13" l="1"/>
  <c r="B54" i="13"/>
  <c r="C53" i="13"/>
  <c r="AJ41" i="13" s="1"/>
  <c r="C54" i="13" l="1"/>
  <c r="AK41" i="13" s="1"/>
  <c r="B55" i="13"/>
  <c r="A54" i="13"/>
  <c r="B56" i="13" l="1"/>
  <c r="C55" i="13"/>
  <c r="AL41" i="13" s="1"/>
  <c r="A55" i="13"/>
  <c r="B57" i="13" l="1"/>
  <c r="A56" i="13"/>
  <c r="C56" i="13"/>
  <c r="AM41" i="13" s="1"/>
  <c r="B58" i="13" l="1"/>
  <c r="C57" i="13"/>
  <c r="AN41" i="13" s="1"/>
  <c r="A57" i="13"/>
  <c r="C58" i="13" l="1"/>
  <c r="AO41" i="13" s="1"/>
  <c r="B59" i="13"/>
  <c r="A58" i="13"/>
  <c r="A59" i="13" l="1"/>
  <c r="C59" i="13"/>
  <c r="AP41" i="13" s="1"/>
  <c r="B60" i="13"/>
  <c r="B61" i="13" l="1"/>
  <c r="A60" i="13"/>
  <c r="C60" i="13"/>
  <c r="AQ41" i="13" s="1"/>
  <c r="B62" i="13" l="1"/>
  <c r="C61" i="13"/>
  <c r="AR41" i="13" s="1"/>
  <c r="A61" i="13"/>
  <c r="C62" i="13" l="1"/>
  <c r="AS41" i="13" s="1"/>
  <c r="A62" i="13"/>
  <c r="B63" i="13"/>
  <c r="A63" i="13" l="1"/>
  <c r="C63" i="13"/>
  <c r="B64" i="13"/>
  <c r="B65" i="13" l="1"/>
  <c r="A64" i="13"/>
  <c r="C64" i="13"/>
  <c r="C65" i="13" l="1"/>
  <c r="A65" i="13"/>
  <c r="B66" i="13"/>
  <c r="C66" i="13" l="1"/>
  <c r="A66" i="13"/>
  <c r="B67" i="13"/>
  <c r="B68" i="13" l="1"/>
  <c r="C67" i="13"/>
  <c r="A67" i="13"/>
  <c r="B69" i="13" l="1"/>
  <c r="A68" i="13"/>
  <c r="C68" i="13"/>
  <c r="A69" i="13" l="1"/>
  <c r="B70" i="13"/>
  <c r="C69" i="13"/>
  <c r="C70" i="13" l="1"/>
  <c r="B71" i="13"/>
  <c r="A70" i="13"/>
  <c r="B72" i="13" l="1"/>
  <c r="C71" i="13"/>
  <c r="A71" i="13"/>
  <c r="B73" i="13" l="1"/>
  <c r="A72" i="13"/>
  <c r="C72" i="13"/>
  <c r="C73" i="13" l="1"/>
  <c r="B74" i="13"/>
  <c r="A73" i="13"/>
  <c r="C74" i="13" l="1"/>
  <c r="B75" i="13"/>
  <c r="A74" i="13"/>
  <c r="A75" i="13" l="1"/>
  <c r="B76" i="13"/>
  <c r="C75" i="13"/>
  <c r="B77" i="13" l="1"/>
  <c r="A76" i="13"/>
  <c r="C76" i="13"/>
  <c r="B78" i="13" l="1"/>
  <c r="C77" i="13"/>
  <c r="A77" i="13"/>
  <c r="C78" i="13" l="1"/>
  <c r="A78" i="13"/>
  <c r="B79" i="13"/>
  <c r="A79" i="13" l="1"/>
  <c r="B80" i="13"/>
  <c r="C79" i="13"/>
  <c r="B81" i="13" l="1"/>
  <c r="A80" i="13"/>
  <c r="C80" i="13"/>
  <c r="C81" i="13" l="1"/>
  <c r="A81" i="13"/>
  <c r="B82" i="13"/>
  <c r="C82" i="13" l="1"/>
  <c r="A82" i="13"/>
  <c r="B83" i="13"/>
  <c r="B84" i="13" l="1"/>
  <c r="C83" i="13"/>
  <c r="A83" i="13"/>
  <c r="B85" i="13" l="1"/>
  <c r="A84" i="13"/>
  <c r="C84" i="13"/>
  <c r="A85" i="13" l="1"/>
  <c r="B86" i="13"/>
  <c r="C85" i="13"/>
  <c r="C86" i="13" l="1"/>
  <c r="B87" i="13"/>
  <c r="A86" i="13"/>
  <c r="B88" i="13" l="1"/>
  <c r="C87" i="13"/>
  <c r="A87" i="13"/>
  <c r="B89" i="13" l="1"/>
  <c r="A88" i="13"/>
  <c r="C88" i="13"/>
  <c r="B90" i="13" l="1"/>
  <c r="C89" i="13"/>
  <c r="A89" i="13"/>
  <c r="C90" i="13" l="1"/>
  <c r="B91" i="13"/>
  <c r="A90" i="13"/>
  <c r="A91" i="13" l="1"/>
  <c r="C91" i="13"/>
  <c r="N9" i="33" l="1"/>
  <c r="N6" i="33"/>
  <c r="N4" i="33"/>
  <c r="N5" i="33" s="1"/>
  <c r="N2" i="33"/>
  <c r="N3" i="33" s="1"/>
  <c r="N11" i="33"/>
  <c r="DL38" i="13"/>
  <c r="M2" i="33"/>
  <c r="G14" i="13"/>
  <c r="G13" i="13"/>
  <c r="AF4" i="33"/>
  <c r="M3" i="33" l="1"/>
  <c r="M4" i="33" s="1"/>
  <c r="M5" i="33" s="1"/>
  <c r="M6" i="33" s="1"/>
  <c r="M7" i="35"/>
  <c r="M8" i="35"/>
  <c r="M9" i="35"/>
  <c r="M10" i="35"/>
  <c r="M11" i="35"/>
  <c r="M12" i="35"/>
  <c r="M13" i="35"/>
  <c r="M14" i="35"/>
  <c r="M15" i="35"/>
  <c r="M16" i="35"/>
  <c r="M17" i="35"/>
  <c r="M18" i="35"/>
  <c r="M19" i="35"/>
  <c r="M20" i="35"/>
  <c r="M21" i="35"/>
  <c r="M22" i="35"/>
  <c r="M6" i="35"/>
  <c r="O4" i="35"/>
  <c r="N4" i="35"/>
  <c r="F4" i="35"/>
  <c r="I5" i="35" s="1"/>
  <c r="M7" i="33" l="1"/>
  <c r="M8" i="33" s="1"/>
  <c r="M9" i="33" s="1"/>
  <c r="M10" i="33" s="1"/>
  <c r="AC4" i="33" s="1"/>
  <c r="AC3" i="33"/>
  <c r="I6" i="35"/>
  <c r="J5" i="35"/>
  <c r="I7" i="35"/>
  <c r="AH2" i="33"/>
  <c r="AF3" i="33"/>
  <c r="AF2" i="33"/>
  <c r="AI2" i="33"/>
  <c r="AG2" i="33"/>
  <c r="AE2" i="33"/>
  <c r="AE3" i="33"/>
  <c r="AE4" i="33"/>
  <c r="AE5" i="33"/>
  <c r="AE1" i="33"/>
  <c r="M11" i="33" l="1"/>
  <c r="AC5" i="33" s="1"/>
  <c r="J6" i="35"/>
  <c r="I8" i="35"/>
  <c r="N7" i="35" s="1"/>
  <c r="J7" i="35"/>
  <c r="N11" i="35" l="1"/>
  <c r="N22" i="35"/>
  <c r="I9" i="35"/>
  <c r="N9" i="35"/>
  <c r="N21" i="35"/>
  <c r="N10" i="35"/>
  <c r="N20" i="35"/>
  <c r="N8" i="35"/>
  <c r="N14" i="35"/>
  <c r="N15" i="35"/>
  <c r="N12" i="35"/>
  <c r="N13" i="35"/>
  <c r="N17" i="35"/>
  <c r="N19" i="35"/>
  <c r="N18" i="35"/>
  <c r="N6" i="35"/>
  <c r="N5" i="35"/>
  <c r="N16" i="35"/>
  <c r="J8" i="35"/>
  <c r="J9" i="35" s="1"/>
  <c r="AN41" i="35" l="1"/>
  <c r="EI41" i="35"/>
  <c r="EE41" i="35"/>
  <c r="EA41" i="35"/>
  <c r="DW41" i="35"/>
  <c r="DS41" i="35"/>
  <c r="DO41" i="35"/>
  <c r="DK41" i="35"/>
  <c r="DG41" i="35"/>
  <c r="DC41" i="35"/>
  <c r="CY41" i="35"/>
  <c r="CU41" i="35"/>
  <c r="CQ41" i="35"/>
  <c r="CM41" i="35"/>
  <c r="CI41" i="35"/>
  <c r="CE41" i="35"/>
  <c r="CA41" i="35"/>
  <c r="BW41" i="35"/>
  <c r="BS41" i="35"/>
  <c r="BO41" i="35"/>
  <c r="BK41" i="35"/>
  <c r="BG41" i="35"/>
  <c r="BC41" i="35"/>
  <c r="AY41" i="35"/>
  <c r="AU41" i="35"/>
  <c r="AQ41" i="35"/>
  <c r="EH41" i="35"/>
  <c r="ED41" i="35"/>
  <c r="DZ41" i="35"/>
  <c r="DV41" i="35"/>
  <c r="DR41" i="35"/>
  <c r="DN41" i="35"/>
  <c r="DJ41" i="35"/>
  <c r="DF41" i="35"/>
  <c r="DB41" i="35"/>
  <c r="CX41" i="35"/>
  <c r="CT41" i="35"/>
  <c r="CP41" i="35"/>
  <c r="CL41" i="35"/>
  <c r="CH41" i="35"/>
  <c r="CD41" i="35"/>
  <c r="BZ41" i="35"/>
  <c r="BV41" i="35"/>
  <c r="BR41" i="35"/>
  <c r="BN41" i="35"/>
  <c r="BJ41" i="35"/>
  <c r="BF41" i="35"/>
  <c r="BB41" i="35"/>
  <c r="AX41" i="35"/>
  <c r="AT41" i="35"/>
  <c r="AP41" i="35"/>
  <c r="EG41" i="35"/>
  <c r="DY41" i="35"/>
  <c r="DQ41" i="35"/>
  <c r="DI41" i="35"/>
  <c r="DA41" i="35"/>
  <c r="CS41" i="35"/>
  <c r="CK41" i="35"/>
  <c r="CC41" i="35"/>
  <c r="BU41" i="35"/>
  <c r="BM41" i="35"/>
  <c r="BE41" i="35"/>
  <c r="AW41" i="35"/>
  <c r="AO41" i="35"/>
  <c r="EF41" i="35"/>
  <c r="EB41" i="35"/>
  <c r="DX41" i="35"/>
  <c r="DT41" i="35"/>
  <c r="DP41" i="35"/>
  <c r="DL41" i="35"/>
  <c r="DH41" i="35"/>
  <c r="DD41" i="35"/>
  <c r="CZ41" i="35"/>
  <c r="CV41" i="35"/>
  <c r="CR41" i="35"/>
  <c r="CN41" i="35"/>
  <c r="CJ41" i="35"/>
  <c r="CF41" i="35"/>
  <c r="CB41" i="35"/>
  <c r="BX41" i="35"/>
  <c r="BT41" i="35"/>
  <c r="BP41" i="35"/>
  <c r="BL41" i="35"/>
  <c r="BH41" i="35"/>
  <c r="BD41" i="35"/>
  <c r="AZ41" i="35"/>
  <c r="AV41" i="35"/>
  <c r="AR41" i="35"/>
  <c r="EC41" i="35"/>
  <c r="DU41" i="35"/>
  <c r="DM41" i="35"/>
  <c r="DE41" i="35"/>
  <c r="CW41" i="35"/>
  <c r="CO41" i="35"/>
  <c r="CG41" i="35"/>
  <c r="BY41" i="35"/>
  <c r="BQ41" i="35"/>
  <c r="BI41" i="35"/>
  <c r="BA41" i="35"/>
  <c r="AS41" i="35"/>
  <c r="AN12" i="35"/>
  <c r="EH12" i="35"/>
  <c r="ED12" i="35"/>
  <c r="DZ12" i="35"/>
  <c r="DV12" i="35"/>
  <c r="DR12" i="35"/>
  <c r="DN12" i="35"/>
  <c r="DJ12" i="35"/>
  <c r="DF12" i="35"/>
  <c r="DB12" i="35"/>
  <c r="CX12" i="35"/>
  <c r="CT12" i="35"/>
  <c r="CP12" i="35"/>
  <c r="CL12" i="35"/>
  <c r="CH12" i="35"/>
  <c r="CD12" i="35"/>
  <c r="BZ12" i="35"/>
  <c r="BV12" i="35"/>
  <c r="BR12" i="35"/>
  <c r="BN12" i="35"/>
  <c r="BJ12" i="35"/>
  <c r="BF12" i="35"/>
  <c r="BB12" i="35"/>
  <c r="AX12" i="35"/>
  <c r="AT12" i="35"/>
  <c r="AP12" i="35"/>
  <c r="EI12" i="35"/>
  <c r="EE12" i="35"/>
  <c r="EA12" i="35"/>
  <c r="DW12" i="35"/>
  <c r="DS12" i="35"/>
  <c r="DO12" i="35"/>
  <c r="DK12" i="35"/>
  <c r="DG12" i="35"/>
  <c r="DC12" i="35"/>
  <c r="CY12" i="35"/>
  <c r="CU12" i="35"/>
  <c r="CQ12" i="35"/>
  <c r="CM12" i="35"/>
  <c r="CI12" i="35"/>
  <c r="CE12" i="35"/>
  <c r="CA12" i="35"/>
  <c r="BW12" i="35"/>
  <c r="BS12" i="35"/>
  <c r="BO12" i="35"/>
  <c r="BK12" i="35"/>
  <c r="BG12" i="35"/>
  <c r="BC12" i="35"/>
  <c r="AY12" i="35"/>
  <c r="AU12" i="35"/>
  <c r="AQ12" i="35"/>
  <c r="EG12" i="35"/>
  <c r="EC12" i="35"/>
  <c r="DY12" i="35"/>
  <c r="DU12" i="35"/>
  <c r="DQ12" i="35"/>
  <c r="DM12" i="35"/>
  <c r="DI12" i="35"/>
  <c r="DE12" i="35"/>
  <c r="DA12" i="35"/>
  <c r="CW12" i="35"/>
  <c r="CS12" i="35"/>
  <c r="CO12" i="35"/>
  <c r="CK12" i="35"/>
  <c r="CG12" i="35"/>
  <c r="CC12" i="35"/>
  <c r="BY12" i="35"/>
  <c r="BU12" i="35"/>
  <c r="BQ12" i="35"/>
  <c r="BM12" i="35"/>
  <c r="BI12" i="35"/>
  <c r="BE12" i="35"/>
  <c r="BA12" i="35"/>
  <c r="AW12" i="35"/>
  <c r="AS12" i="35"/>
  <c r="AO12" i="35"/>
  <c r="EF12" i="35"/>
  <c r="EB12" i="35"/>
  <c r="DX12" i="35"/>
  <c r="DT12" i="35"/>
  <c r="DP12" i="35"/>
  <c r="DL12" i="35"/>
  <c r="DH12" i="35"/>
  <c r="DD12" i="35"/>
  <c r="CZ12" i="35"/>
  <c r="CV12" i="35"/>
  <c r="CR12" i="35"/>
  <c r="CN12" i="35"/>
  <c r="CJ12" i="35"/>
  <c r="CF12" i="35"/>
  <c r="CB12" i="35"/>
  <c r="BX12" i="35"/>
  <c r="BT12" i="35"/>
  <c r="BP12" i="35"/>
  <c r="BL12" i="35"/>
  <c r="BH12" i="35"/>
  <c r="BD12" i="35"/>
  <c r="AZ12" i="35"/>
  <c r="AV12" i="35"/>
  <c r="AR12" i="35"/>
  <c r="N26" i="35"/>
  <c r="N25" i="35"/>
  <c r="O5" i="35"/>
  <c r="O11" i="35"/>
  <c r="P11" i="35" s="1"/>
  <c r="O13" i="35"/>
  <c r="P13" i="35" s="1"/>
  <c r="N27" i="35"/>
  <c r="O8" i="35"/>
  <c r="P8" i="35" s="1"/>
  <c r="O12" i="35"/>
  <c r="P12" i="35" s="1"/>
  <c r="O15" i="35"/>
  <c r="P15" i="35" s="1"/>
  <c r="O20" i="35"/>
  <c r="P20" i="35" s="1"/>
  <c r="O22" i="35"/>
  <c r="P22" i="35" s="1"/>
  <c r="O9" i="35"/>
  <c r="P9" i="35" s="1"/>
  <c r="O21" i="35"/>
  <c r="P21" i="35" s="1"/>
  <c r="O16" i="35"/>
  <c r="P16" i="35" s="1"/>
  <c r="O18" i="35"/>
  <c r="P18" i="35" s="1"/>
  <c r="O7" i="35"/>
  <c r="P7" i="35" s="1"/>
  <c r="O10" i="35"/>
  <c r="P10" i="35" s="1"/>
  <c r="O14" i="35"/>
  <c r="P14" i="35" s="1"/>
  <c r="O17" i="35"/>
  <c r="P17" i="35" s="1"/>
  <c r="O19" i="35"/>
  <c r="P19" i="35" s="1"/>
  <c r="O6" i="35"/>
  <c r="P6" i="35" s="1"/>
  <c r="O26" i="35" l="1"/>
  <c r="P26" i="35" s="1"/>
  <c r="O25" i="35"/>
  <c r="P25" i="35" s="1"/>
  <c r="O27" i="35"/>
  <c r="P27" i="35" s="1"/>
  <c r="C16" i="13"/>
  <c r="C17" i="13" s="1"/>
  <c r="C18" i="13" l="1"/>
  <c r="H12" i="13" l="1"/>
  <c r="C15" i="13" l="1"/>
  <c r="DI43" i="13" l="1"/>
  <c r="DI44" i="13" s="1"/>
  <c r="DI45" i="13" s="1"/>
  <c r="DI46" i="13" s="1"/>
  <c r="DI47" i="13" s="1"/>
  <c r="DI48" i="13" s="1"/>
  <c r="DI49" i="13" s="1"/>
  <c r="DI50" i="13" s="1"/>
  <c r="DI51" i="13" s="1"/>
  <c r="DI52" i="13" s="1"/>
  <c r="DI53" i="13" s="1"/>
  <c r="DI54" i="13" s="1"/>
  <c r="DI55" i="13" s="1"/>
  <c r="DI56" i="13" s="1"/>
  <c r="DI57" i="13" s="1"/>
  <c r="DI58" i="13" s="1"/>
  <c r="DI59" i="13" s="1"/>
  <c r="DI60" i="13" s="1"/>
  <c r="DI61" i="13" s="1"/>
  <c r="DI62" i="13" s="1"/>
  <c r="DI63" i="13" s="1"/>
  <c r="DI64" i="13" s="1"/>
  <c r="DI65" i="13" s="1"/>
  <c r="DI66" i="13" s="1"/>
  <c r="DI67" i="13" s="1"/>
  <c r="DI68" i="13" s="1"/>
  <c r="DI69" i="13" s="1"/>
  <c r="DI70" i="13" s="1"/>
  <c r="DI71" i="13" s="1"/>
  <c r="DI72" i="13" s="1"/>
  <c r="DI73" i="13" s="1"/>
  <c r="DI74" i="13" s="1"/>
  <c r="DI75" i="13" s="1"/>
  <c r="DI76" i="13" s="1"/>
  <c r="DI77" i="13" s="1"/>
  <c r="DI78" i="13" s="1"/>
  <c r="DI79" i="13" s="1"/>
  <c r="DI80" i="13" s="1"/>
  <c r="DI81" i="13" s="1"/>
  <c r="DI82" i="13" s="1"/>
  <c r="DI83" i="13" s="1"/>
  <c r="DI84" i="13" s="1"/>
  <c r="DI85" i="13" s="1"/>
  <c r="DI86" i="13" s="1"/>
  <c r="DI87" i="13" s="1"/>
  <c r="DI88" i="13" s="1"/>
  <c r="DI89" i="13" s="1"/>
  <c r="DI90" i="13" s="1"/>
  <c r="DI91" i="13" s="1"/>
  <c r="BI40" i="13" l="1"/>
  <c r="BH40" i="13"/>
  <c r="CX189" i="13" l="1"/>
  <c r="CW189" i="13"/>
  <c r="CV189" i="13"/>
  <c r="CU189" i="13"/>
  <c r="CT189" i="13"/>
  <c r="CS189" i="13"/>
  <c r="CR189" i="13"/>
  <c r="CQ189" i="13"/>
  <c r="CP189" i="13"/>
  <c r="CO189" i="13"/>
  <c r="CN189" i="13"/>
  <c r="CM189" i="13"/>
  <c r="CL189" i="13"/>
  <c r="CK189" i="13"/>
  <c r="CJ189" i="13"/>
  <c r="CI189" i="13"/>
  <c r="CH189" i="13"/>
  <c r="CG189" i="13"/>
  <c r="CF189" i="13"/>
  <c r="CE189" i="13"/>
  <c r="CD189" i="13"/>
  <c r="CC189" i="13"/>
  <c r="CB189" i="13"/>
  <c r="CA189" i="13"/>
  <c r="BZ189" i="13"/>
  <c r="BY189" i="13"/>
  <c r="BX189" i="13"/>
  <c r="BW189" i="13"/>
  <c r="BV189" i="13"/>
  <c r="BU189" i="13"/>
  <c r="BT189" i="13"/>
  <c r="BS189" i="13"/>
  <c r="BR189" i="13"/>
  <c r="BQ189" i="13"/>
  <c r="BP189" i="13"/>
  <c r="BO189" i="13"/>
  <c r="BN189" i="13"/>
  <c r="BM189" i="13"/>
  <c r="BL189" i="13"/>
  <c r="BK189" i="13"/>
  <c r="BJ189" i="13"/>
  <c r="BI189" i="13"/>
  <c r="BH189" i="13"/>
  <c r="BG189" i="13"/>
  <c r="BF189" i="13"/>
  <c r="BE189" i="13"/>
  <c r="BD189" i="13"/>
  <c r="BC189" i="13"/>
  <c r="BB189" i="13"/>
  <c r="BA189" i="13"/>
  <c r="AZ189" i="13"/>
  <c r="AY189" i="13"/>
  <c r="AX189" i="13"/>
  <c r="AW189" i="13"/>
  <c r="AV189" i="13"/>
  <c r="AU189" i="13"/>
  <c r="AT189" i="13"/>
  <c r="AS189" i="13"/>
  <c r="AR189" i="13"/>
  <c r="AQ189" i="13"/>
  <c r="AP189" i="13"/>
  <c r="AO189" i="13"/>
  <c r="AN189" i="13"/>
  <c r="AM189" i="13"/>
  <c r="AL189" i="13"/>
  <c r="AK189" i="13"/>
  <c r="AJ189" i="13"/>
  <c r="AI189" i="13"/>
  <c r="AH189" i="13"/>
  <c r="AG189" i="13"/>
  <c r="AF189" i="13"/>
  <c r="AE189" i="13"/>
  <c r="AD189" i="13"/>
  <c r="AC189" i="13"/>
  <c r="AB189" i="13"/>
  <c r="AA189" i="13"/>
  <c r="Z189" i="13"/>
  <c r="Y189" i="13"/>
  <c r="X189" i="13"/>
  <c r="W189" i="13"/>
  <c r="V189" i="13"/>
  <c r="U189" i="13"/>
  <c r="T189" i="13"/>
  <c r="S189" i="13"/>
  <c r="R189" i="13"/>
  <c r="Q189" i="13"/>
  <c r="P189" i="13"/>
  <c r="O189" i="13"/>
  <c r="N189" i="13"/>
  <c r="M189" i="13"/>
  <c r="L189" i="13"/>
  <c r="K189" i="13"/>
  <c r="J189" i="13"/>
  <c r="I189" i="13"/>
  <c r="H189" i="13"/>
  <c r="G189" i="13"/>
  <c r="F189" i="13"/>
  <c r="E189" i="13"/>
  <c r="D189" i="13"/>
  <c r="CX188" i="13"/>
  <c r="CW188" i="13"/>
  <c r="CV188" i="13"/>
  <c r="CU188" i="13"/>
  <c r="CT188" i="13"/>
  <c r="CS188" i="13"/>
  <c r="CR188" i="13"/>
  <c r="CQ188" i="13"/>
  <c r="CP188" i="13"/>
  <c r="CO188" i="13"/>
  <c r="CN188" i="13"/>
  <c r="CM188" i="13"/>
  <c r="CL188" i="13"/>
  <c r="CK188" i="13"/>
  <c r="CJ188" i="13"/>
  <c r="CI188" i="13"/>
  <c r="CH188" i="13"/>
  <c r="CG188" i="13"/>
  <c r="CF188" i="13"/>
  <c r="CE188" i="13"/>
  <c r="CD188" i="13"/>
  <c r="CC188" i="13"/>
  <c r="CB188" i="13"/>
  <c r="CA188" i="13"/>
  <c r="BZ188" i="13"/>
  <c r="BY188" i="13"/>
  <c r="BX188" i="13"/>
  <c r="BW188" i="13"/>
  <c r="BV188" i="13"/>
  <c r="BU188" i="13"/>
  <c r="BT188" i="13"/>
  <c r="BS188" i="13"/>
  <c r="BR188" i="13"/>
  <c r="BQ188" i="13"/>
  <c r="BP188" i="13"/>
  <c r="BO188" i="13"/>
  <c r="BN188" i="13"/>
  <c r="BM188" i="13"/>
  <c r="BL188" i="13"/>
  <c r="BK188" i="13"/>
  <c r="BJ188" i="13"/>
  <c r="BI188" i="13"/>
  <c r="BH188" i="13"/>
  <c r="BG188" i="13"/>
  <c r="BF188" i="13"/>
  <c r="BE188" i="13"/>
  <c r="BD188" i="13"/>
  <c r="BC188" i="13"/>
  <c r="BB188" i="13"/>
  <c r="BA188" i="13"/>
  <c r="AZ188" i="13"/>
  <c r="AY188" i="13"/>
  <c r="AX188" i="13"/>
  <c r="AW188" i="13"/>
  <c r="AV188" i="13"/>
  <c r="AU188" i="13"/>
  <c r="AT188" i="13"/>
  <c r="AS188" i="13"/>
  <c r="AR188" i="13"/>
  <c r="AQ188" i="13"/>
  <c r="AP188" i="13"/>
  <c r="AO188" i="13"/>
  <c r="AN188" i="13"/>
  <c r="AM188" i="13"/>
  <c r="AL188" i="13"/>
  <c r="AK188" i="13"/>
  <c r="AJ188" i="13"/>
  <c r="AI188" i="13"/>
  <c r="AH188" i="13"/>
  <c r="AG188" i="13"/>
  <c r="AF188" i="13"/>
  <c r="AE188" i="13"/>
  <c r="AD188" i="13"/>
  <c r="AC188" i="13"/>
  <c r="AB188" i="13"/>
  <c r="AA188" i="13"/>
  <c r="Z188" i="13"/>
  <c r="Y188" i="13"/>
  <c r="X188" i="13"/>
  <c r="W188" i="13"/>
  <c r="V188" i="13"/>
  <c r="U188" i="13"/>
  <c r="T188" i="13"/>
  <c r="S188" i="13"/>
  <c r="R188" i="13"/>
  <c r="Q188" i="13"/>
  <c r="P188" i="13"/>
  <c r="O188" i="13"/>
  <c r="N188" i="13"/>
  <c r="M188" i="13"/>
  <c r="L188" i="13"/>
  <c r="K188" i="13"/>
  <c r="J188" i="13"/>
  <c r="I188" i="13"/>
  <c r="H188" i="13"/>
  <c r="G188" i="13"/>
  <c r="F188" i="13"/>
  <c r="E188" i="13"/>
  <c r="D188" i="13"/>
  <c r="C189" i="13"/>
  <c r="C188" i="13"/>
  <c r="DG166" i="13" l="1"/>
  <c r="DF166" i="13"/>
  <c r="DE167" i="13"/>
  <c r="DE168" i="13" s="1"/>
  <c r="DE169" i="13" s="1"/>
  <c r="DE170" i="13" s="1"/>
  <c r="DE171" i="13" s="1"/>
  <c r="DE172" i="13" s="1"/>
  <c r="DE173" i="13" s="1"/>
  <c r="DE174" i="13" s="1"/>
  <c r="DE175" i="13" s="1"/>
  <c r="DG175" i="13" s="1"/>
  <c r="CX176" i="13"/>
  <c r="CW176" i="13"/>
  <c r="CV176" i="13"/>
  <c r="CU176" i="13"/>
  <c r="CT176" i="13"/>
  <c r="CS176" i="13"/>
  <c r="CR176" i="13"/>
  <c r="CQ176" i="13"/>
  <c r="CP176" i="13"/>
  <c r="CO176" i="13"/>
  <c r="CN176" i="13"/>
  <c r="CM176" i="13"/>
  <c r="CL176" i="13"/>
  <c r="CK176" i="13"/>
  <c r="CJ176" i="13"/>
  <c r="CI176" i="13"/>
  <c r="CH176" i="13"/>
  <c r="CG176" i="13"/>
  <c r="CF176" i="13"/>
  <c r="CE176" i="13"/>
  <c r="CD176" i="13"/>
  <c r="CC176" i="13"/>
  <c r="CB176" i="13"/>
  <c r="CA176" i="13"/>
  <c r="BZ176" i="13"/>
  <c r="BY176" i="13"/>
  <c r="BX176" i="13"/>
  <c r="BW176" i="13"/>
  <c r="BV176" i="13"/>
  <c r="BU176" i="13"/>
  <c r="BT176" i="13"/>
  <c r="BS176" i="13"/>
  <c r="BR176" i="13"/>
  <c r="BQ176" i="13"/>
  <c r="BP176" i="13"/>
  <c r="BO176" i="13"/>
  <c r="BN176" i="13"/>
  <c r="BM176" i="13"/>
  <c r="BL176" i="13"/>
  <c r="BK176" i="13"/>
  <c r="BJ176" i="13"/>
  <c r="BI176" i="13"/>
  <c r="BH176" i="13"/>
  <c r="BG176" i="13"/>
  <c r="BF176" i="13"/>
  <c r="BE176" i="13"/>
  <c r="BD176" i="13"/>
  <c r="BC176" i="13"/>
  <c r="BB176" i="13"/>
  <c r="BA176" i="13"/>
  <c r="AZ176" i="13"/>
  <c r="AY176" i="13"/>
  <c r="AX176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C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F176" i="13"/>
  <c r="E176" i="13"/>
  <c r="D176" i="13"/>
  <c r="CX175" i="13"/>
  <c r="CW175" i="13"/>
  <c r="CV175" i="13"/>
  <c r="CU175" i="13"/>
  <c r="CT175" i="13"/>
  <c r="CS175" i="13"/>
  <c r="CR175" i="13"/>
  <c r="CQ175" i="13"/>
  <c r="CP175" i="13"/>
  <c r="CO175" i="13"/>
  <c r="CN175" i="13"/>
  <c r="CM175" i="13"/>
  <c r="CL175" i="13"/>
  <c r="CK175" i="13"/>
  <c r="CJ175" i="13"/>
  <c r="CI175" i="13"/>
  <c r="CH175" i="13"/>
  <c r="CG175" i="13"/>
  <c r="CF175" i="13"/>
  <c r="CE175" i="13"/>
  <c r="CD175" i="13"/>
  <c r="CC175" i="13"/>
  <c r="CB175" i="13"/>
  <c r="CA175" i="13"/>
  <c r="BZ175" i="13"/>
  <c r="BY175" i="13"/>
  <c r="BX175" i="13"/>
  <c r="BW175" i="13"/>
  <c r="BV175" i="13"/>
  <c r="BU175" i="13"/>
  <c r="BT175" i="13"/>
  <c r="BS175" i="13"/>
  <c r="BR175" i="13"/>
  <c r="BQ175" i="13"/>
  <c r="BP175" i="13"/>
  <c r="BO175" i="13"/>
  <c r="BN175" i="13"/>
  <c r="BM175" i="13"/>
  <c r="BL175" i="13"/>
  <c r="BK175" i="13"/>
  <c r="BJ175" i="13"/>
  <c r="BI175" i="13"/>
  <c r="BH175" i="13"/>
  <c r="BG175" i="13"/>
  <c r="BF175" i="13"/>
  <c r="BE175" i="13"/>
  <c r="BD175" i="13"/>
  <c r="BC175" i="13"/>
  <c r="BB175" i="13"/>
  <c r="BA175" i="13"/>
  <c r="AZ175" i="13"/>
  <c r="AY175" i="13"/>
  <c r="AX175" i="13"/>
  <c r="AW175" i="13"/>
  <c r="AV175" i="13"/>
  <c r="AU175" i="13"/>
  <c r="AT175" i="13"/>
  <c r="AS175" i="13"/>
  <c r="AR175" i="13"/>
  <c r="AQ175" i="13"/>
  <c r="AP175" i="13"/>
  <c r="AO175" i="13"/>
  <c r="AN175" i="13"/>
  <c r="AM175" i="13"/>
  <c r="AL175" i="13"/>
  <c r="AK175" i="13"/>
  <c r="AJ175" i="13"/>
  <c r="AI175" i="13"/>
  <c r="AH175" i="13"/>
  <c r="AG175" i="13"/>
  <c r="AF175" i="13"/>
  <c r="AE175" i="13"/>
  <c r="AD175" i="13"/>
  <c r="AC175" i="13"/>
  <c r="AB175" i="13"/>
  <c r="AA175" i="13"/>
  <c r="Z175" i="13"/>
  <c r="Y175" i="13"/>
  <c r="X175" i="13"/>
  <c r="W175" i="13"/>
  <c r="V175" i="13"/>
  <c r="U175" i="13"/>
  <c r="T175" i="13"/>
  <c r="S175" i="13"/>
  <c r="R175" i="13"/>
  <c r="Q175" i="13"/>
  <c r="P175" i="13"/>
  <c r="O175" i="13"/>
  <c r="N175" i="13"/>
  <c r="M175" i="13"/>
  <c r="L175" i="13"/>
  <c r="K175" i="13"/>
  <c r="J175" i="13"/>
  <c r="I175" i="13"/>
  <c r="H175" i="13"/>
  <c r="G175" i="13"/>
  <c r="F175" i="13"/>
  <c r="E175" i="13"/>
  <c r="D175" i="13"/>
  <c r="CX174" i="13"/>
  <c r="CW174" i="13"/>
  <c r="CV174" i="13"/>
  <c r="CU174" i="13"/>
  <c r="CT174" i="13"/>
  <c r="CS174" i="13"/>
  <c r="CR174" i="13"/>
  <c r="CQ174" i="13"/>
  <c r="CP174" i="13"/>
  <c r="CO174" i="13"/>
  <c r="CN174" i="13"/>
  <c r="CM174" i="13"/>
  <c r="CL174" i="13"/>
  <c r="CK174" i="13"/>
  <c r="CJ174" i="13"/>
  <c r="CI174" i="13"/>
  <c r="CH174" i="13"/>
  <c r="CG174" i="13"/>
  <c r="CF174" i="13"/>
  <c r="CE174" i="13"/>
  <c r="CD174" i="13"/>
  <c r="CC174" i="13"/>
  <c r="CB174" i="13"/>
  <c r="CA174" i="13"/>
  <c r="BZ174" i="13"/>
  <c r="BY174" i="13"/>
  <c r="BX174" i="13"/>
  <c r="BW174" i="13"/>
  <c r="BV174" i="13"/>
  <c r="BU174" i="13"/>
  <c r="BT174" i="13"/>
  <c r="BS174" i="13"/>
  <c r="BR174" i="13"/>
  <c r="BQ174" i="13"/>
  <c r="BP174" i="13"/>
  <c r="BO174" i="13"/>
  <c r="BN174" i="13"/>
  <c r="BM174" i="13"/>
  <c r="BL174" i="13"/>
  <c r="BK174" i="13"/>
  <c r="BJ174" i="13"/>
  <c r="BI174" i="13"/>
  <c r="BH174" i="13"/>
  <c r="BG174" i="13"/>
  <c r="BF174" i="13"/>
  <c r="BE174" i="13"/>
  <c r="BD174" i="13"/>
  <c r="BC174" i="13"/>
  <c r="BB174" i="13"/>
  <c r="BA174" i="13"/>
  <c r="AZ174" i="13"/>
  <c r="AY174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K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L174" i="13"/>
  <c r="K174" i="13"/>
  <c r="J174" i="13"/>
  <c r="I174" i="13"/>
  <c r="H174" i="13"/>
  <c r="G174" i="13"/>
  <c r="F174" i="13"/>
  <c r="E174" i="13"/>
  <c r="D174" i="13"/>
  <c r="CX173" i="13"/>
  <c r="CW173" i="13"/>
  <c r="CV173" i="13"/>
  <c r="CU173" i="13"/>
  <c r="CT173" i="13"/>
  <c r="CS173" i="13"/>
  <c r="CR173" i="13"/>
  <c r="CQ173" i="13"/>
  <c r="CP173" i="13"/>
  <c r="CO173" i="13"/>
  <c r="CN173" i="13"/>
  <c r="CM173" i="13"/>
  <c r="CL173" i="13"/>
  <c r="CK173" i="13"/>
  <c r="CJ173" i="13"/>
  <c r="CI173" i="13"/>
  <c r="CH173" i="13"/>
  <c r="CG173" i="13"/>
  <c r="CF173" i="13"/>
  <c r="CE173" i="13"/>
  <c r="CD173" i="13"/>
  <c r="CC173" i="13"/>
  <c r="CB173" i="13"/>
  <c r="CA173" i="13"/>
  <c r="BZ173" i="13"/>
  <c r="BY173" i="13"/>
  <c r="BX173" i="13"/>
  <c r="BW173" i="13"/>
  <c r="BV173" i="13"/>
  <c r="BU173" i="13"/>
  <c r="BT173" i="13"/>
  <c r="BS173" i="13"/>
  <c r="BR173" i="13"/>
  <c r="BQ173" i="13"/>
  <c r="BP173" i="13"/>
  <c r="BO173" i="13"/>
  <c r="BN173" i="13"/>
  <c r="BM173" i="13"/>
  <c r="BL173" i="13"/>
  <c r="BK173" i="13"/>
  <c r="BJ173" i="13"/>
  <c r="BI173" i="13"/>
  <c r="BH173" i="13"/>
  <c r="BG173" i="13"/>
  <c r="BF173" i="13"/>
  <c r="BE173" i="13"/>
  <c r="BD173" i="13"/>
  <c r="BC173" i="13"/>
  <c r="BB173" i="13"/>
  <c r="BA173" i="13"/>
  <c r="AZ173" i="13"/>
  <c r="AY173" i="13"/>
  <c r="AX173" i="13"/>
  <c r="AW173" i="13"/>
  <c r="AV173" i="13"/>
  <c r="AU173" i="13"/>
  <c r="AT173" i="13"/>
  <c r="AS173" i="13"/>
  <c r="AR173" i="13"/>
  <c r="AQ173" i="13"/>
  <c r="AP173" i="13"/>
  <c r="AO173" i="13"/>
  <c r="AN173" i="13"/>
  <c r="AM173" i="13"/>
  <c r="AL173" i="13"/>
  <c r="AK173" i="13"/>
  <c r="AJ173" i="13"/>
  <c r="AI173" i="13"/>
  <c r="AH173" i="13"/>
  <c r="AG173" i="13"/>
  <c r="AF173" i="13"/>
  <c r="AE173" i="13"/>
  <c r="AD173" i="13"/>
  <c r="AC173" i="13"/>
  <c r="AB173" i="13"/>
  <c r="AA173" i="13"/>
  <c r="Z173" i="13"/>
  <c r="Y173" i="13"/>
  <c r="X173" i="13"/>
  <c r="W173" i="13"/>
  <c r="V173" i="13"/>
  <c r="U173" i="13"/>
  <c r="T173" i="13"/>
  <c r="S173" i="13"/>
  <c r="R173" i="13"/>
  <c r="Q173" i="13"/>
  <c r="P173" i="13"/>
  <c r="O173" i="13"/>
  <c r="N173" i="13"/>
  <c r="M173" i="13"/>
  <c r="L173" i="13"/>
  <c r="K173" i="13"/>
  <c r="J173" i="13"/>
  <c r="I173" i="13"/>
  <c r="H173" i="13"/>
  <c r="G173" i="13"/>
  <c r="F173" i="13"/>
  <c r="E173" i="13"/>
  <c r="D173" i="13"/>
  <c r="CX172" i="13"/>
  <c r="CW172" i="13"/>
  <c r="CV172" i="13"/>
  <c r="CU172" i="13"/>
  <c r="CT172" i="13"/>
  <c r="CS172" i="13"/>
  <c r="CR172" i="13"/>
  <c r="CQ172" i="13"/>
  <c r="CP172" i="13"/>
  <c r="CO172" i="13"/>
  <c r="CN172" i="13"/>
  <c r="CM172" i="13"/>
  <c r="CL172" i="13"/>
  <c r="CK172" i="13"/>
  <c r="CJ172" i="13"/>
  <c r="CI172" i="13"/>
  <c r="CH172" i="13"/>
  <c r="CG172" i="13"/>
  <c r="CF172" i="13"/>
  <c r="CE172" i="13"/>
  <c r="CD172" i="13"/>
  <c r="CC172" i="13"/>
  <c r="CB172" i="13"/>
  <c r="CA172" i="13"/>
  <c r="BZ172" i="13"/>
  <c r="BY172" i="13"/>
  <c r="BX172" i="13"/>
  <c r="BW172" i="13"/>
  <c r="BV172" i="13"/>
  <c r="BU172" i="13"/>
  <c r="BT172" i="13"/>
  <c r="BS172" i="13"/>
  <c r="BR172" i="13"/>
  <c r="BQ172" i="13"/>
  <c r="BP172" i="13"/>
  <c r="BO172" i="13"/>
  <c r="BN172" i="13"/>
  <c r="BM172" i="13"/>
  <c r="BL172" i="13"/>
  <c r="BK172" i="13"/>
  <c r="BJ172" i="13"/>
  <c r="BI172" i="13"/>
  <c r="BH172" i="13"/>
  <c r="BG172" i="13"/>
  <c r="BF172" i="13"/>
  <c r="BE172" i="13"/>
  <c r="BD172" i="13"/>
  <c r="BC172" i="13"/>
  <c r="BB172" i="13"/>
  <c r="BA172" i="13"/>
  <c r="AZ172" i="13"/>
  <c r="AY172" i="13"/>
  <c r="AX172" i="13"/>
  <c r="AW172" i="13"/>
  <c r="AV172" i="13"/>
  <c r="AU172" i="13"/>
  <c r="AT172" i="13"/>
  <c r="AS172" i="13"/>
  <c r="AR172" i="13"/>
  <c r="AQ172" i="13"/>
  <c r="AP172" i="13"/>
  <c r="AO172" i="13"/>
  <c r="AN172" i="13"/>
  <c r="AM172" i="13"/>
  <c r="AL172" i="13"/>
  <c r="AK172" i="13"/>
  <c r="AJ172" i="13"/>
  <c r="AI172" i="13"/>
  <c r="AH172" i="13"/>
  <c r="AG172" i="13"/>
  <c r="AF172" i="13"/>
  <c r="AE172" i="13"/>
  <c r="AD172" i="13"/>
  <c r="AC172" i="13"/>
  <c r="AB172" i="13"/>
  <c r="AA172" i="13"/>
  <c r="Z172" i="13"/>
  <c r="Y172" i="13"/>
  <c r="X172" i="13"/>
  <c r="W172" i="13"/>
  <c r="V172" i="13"/>
  <c r="U172" i="13"/>
  <c r="T172" i="13"/>
  <c r="S172" i="13"/>
  <c r="R172" i="13"/>
  <c r="Q172" i="13"/>
  <c r="P172" i="13"/>
  <c r="O172" i="13"/>
  <c r="N172" i="13"/>
  <c r="M172" i="13"/>
  <c r="L172" i="13"/>
  <c r="K172" i="13"/>
  <c r="J172" i="13"/>
  <c r="I172" i="13"/>
  <c r="H172" i="13"/>
  <c r="G172" i="13"/>
  <c r="F172" i="13"/>
  <c r="E172" i="13"/>
  <c r="D172" i="13"/>
  <c r="CX171" i="13"/>
  <c r="CW171" i="13"/>
  <c r="CV171" i="13"/>
  <c r="CU171" i="13"/>
  <c r="CT171" i="13"/>
  <c r="CS171" i="13"/>
  <c r="CR171" i="13"/>
  <c r="CQ171" i="13"/>
  <c r="CP171" i="13"/>
  <c r="CO171" i="13"/>
  <c r="CN171" i="13"/>
  <c r="CM171" i="13"/>
  <c r="CL171" i="13"/>
  <c r="CK171" i="13"/>
  <c r="CJ171" i="13"/>
  <c r="CI171" i="13"/>
  <c r="CH171" i="13"/>
  <c r="CG171" i="13"/>
  <c r="CF171" i="13"/>
  <c r="CE171" i="13"/>
  <c r="CD171" i="13"/>
  <c r="CC171" i="13"/>
  <c r="CB171" i="13"/>
  <c r="CA171" i="13"/>
  <c r="BZ171" i="13"/>
  <c r="BY171" i="13"/>
  <c r="BX171" i="13"/>
  <c r="BW171" i="13"/>
  <c r="BV171" i="13"/>
  <c r="BU171" i="13"/>
  <c r="BT171" i="13"/>
  <c r="BS171" i="13"/>
  <c r="BR171" i="13"/>
  <c r="BQ171" i="13"/>
  <c r="BP171" i="13"/>
  <c r="BO171" i="13"/>
  <c r="BN171" i="13"/>
  <c r="BM171" i="13"/>
  <c r="BL171" i="13"/>
  <c r="BK171" i="13"/>
  <c r="BJ171" i="13"/>
  <c r="BI171" i="13"/>
  <c r="BH171" i="13"/>
  <c r="BG171" i="13"/>
  <c r="BF171" i="13"/>
  <c r="BE171" i="13"/>
  <c r="BD171" i="13"/>
  <c r="BC171" i="13"/>
  <c r="BB171" i="13"/>
  <c r="BA171" i="13"/>
  <c r="AZ171" i="13"/>
  <c r="AY171" i="13"/>
  <c r="AX171" i="13"/>
  <c r="AW171" i="13"/>
  <c r="AV171" i="13"/>
  <c r="AU171" i="13"/>
  <c r="AT171" i="13"/>
  <c r="AS171" i="13"/>
  <c r="AR171" i="13"/>
  <c r="AQ171" i="13"/>
  <c r="AP171" i="13"/>
  <c r="AO171" i="13"/>
  <c r="AN171" i="13"/>
  <c r="AM171" i="13"/>
  <c r="AL171" i="13"/>
  <c r="AK171" i="13"/>
  <c r="AJ171" i="13"/>
  <c r="AI171" i="13"/>
  <c r="AH171" i="13"/>
  <c r="AG171" i="13"/>
  <c r="AF171" i="13"/>
  <c r="AE171" i="13"/>
  <c r="AD171" i="13"/>
  <c r="AC171" i="13"/>
  <c r="AB171" i="13"/>
  <c r="AA171" i="13"/>
  <c r="Z171" i="13"/>
  <c r="Y171" i="13"/>
  <c r="X171" i="13"/>
  <c r="W171" i="13"/>
  <c r="V171" i="13"/>
  <c r="U171" i="13"/>
  <c r="T171" i="13"/>
  <c r="S171" i="13"/>
  <c r="R171" i="13"/>
  <c r="Q171" i="13"/>
  <c r="P171" i="13"/>
  <c r="O171" i="13"/>
  <c r="N171" i="13"/>
  <c r="M171" i="13"/>
  <c r="L171" i="13"/>
  <c r="K171" i="13"/>
  <c r="J171" i="13"/>
  <c r="I171" i="13"/>
  <c r="H171" i="13"/>
  <c r="G171" i="13"/>
  <c r="F171" i="13"/>
  <c r="E171" i="13"/>
  <c r="D171" i="13"/>
  <c r="CX170" i="13"/>
  <c r="CW170" i="13"/>
  <c r="CV170" i="13"/>
  <c r="CU170" i="13"/>
  <c r="CT170" i="13"/>
  <c r="CS170" i="13"/>
  <c r="CR170" i="13"/>
  <c r="CQ170" i="13"/>
  <c r="CP170" i="13"/>
  <c r="CO170" i="13"/>
  <c r="CN170" i="13"/>
  <c r="CM170" i="13"/>
  <c r="CL170" i="13"/>
  <c r="CK170" i="13"/>
  <c r="CJ170" i="13"/>
  <c r="CI170" i="13"/>
  <c r="CH170" i="13"/>
  <c r="CG170" i="13"/>
  <c r="CF170" i="13"/>
  <c r="CE170" i="13"/>
  <c r="CD170" i="13"/>
  <c r="CC170" i="13"/>
  <c r="CB170" i="13"/>
  <c r="CA170" i="13"/>
  <c r="BZ170" i="13"/>
  <c r="BY170" i="13"/>
  <c r="BX170" i="13"/>
  <c r="BW170" i="13"/>
  <c r="BV170" i="13"/>
  <c r="BU170" i="13"/>
  <c r="BT170" i="13"/>
  <c r="BS170" i="13"/>
  <c r="BR170" i="13"/>
  <c r="BQ170" i="13"/>
  <c r="BP170" i="13"/>
  <c r="BO170" i="13"/>
  <c r="BN170" i="13"/>
  <c r="BM170" i="13"/>
  <c r="BL170" i="13"/>
  <c r="BK170" i="13"/>
  <c r="BJ170" i="13"/>
  <c r="BI170" i="13"/>
  <c r="BH170" i="13"/>
  <c r="BG170" i="13"/>
  <c r="BF170" i="13"/>
  <c r="BE170" i="13"/>
  <c r="BD170" i="13"/>
  <c r="BC170" i="13"/>
  <c r="BB170" i="13"/>
  <c r="BA170" i="13"/>
  <c r="AZ170" i="13"/>
  <c r="AY170" i="13"/>
  <c r="AX170" i="13"/>
  <c r="AW170" i="13"/>
  <c r="AV170" i="13"/>
  <c r="AU170" i="13"/>
  <c r="AT170" i="13"/>
  <c r="AS170" i="13"/>
  <c r="AR170" i="13"/>
  <c r="AQ170" i="13"/>
  <c r="AP170" i="13"/>
  <c r="AO170" i="13"/>
  <c r="AN170" i="13"/>
  <c r="AM170" i="13"/>
  <c r="AL170" i="13"/>
  <c r="AK170" i="13"/>
  <c r="AJ170" i="13"/>
  <c r="AI170" i="13"/>
  <c r="AH170" i="13"/>
  <c r="AG170" i="13"/>
  <c r="AF170" i="13"/>
  <c r="AE170" i="13"/>
  <c r="AD170" i="13"/>
  <c r="AC170" i="13"/>
  <c r="AB170" i="13"/>
  <c r="AA170" i="13"/>
  <c r="Z170" i="13"/>
  <c r="Y170" i="13"/>
  <c r="X170" i="13"/>
  <c r="W170" i="13"/>
  <c r="V170" i="13"/>
  <c r="U170" i="13"/>
  <c r="T170" i="13"/>
  <c r="S170" i="13"/>
  <c r="R170" i="13"/>
  <c r="Q170" i="13"/>
  <c r="P170" i="13"/>
  <c r="O170" i="13"/>
  <c r="N170" i="13"/>
  <c r="M170" i="13"/>
  <c r="L170" i="13"/>
  <c r="K170" i="13"/>
  <c r="J170" i="13"/>
  <c r="I170" i="13"/>
  <c r="H170" i="13"/>
  <c r="G170" i="13"/>
  <c r="F170" i="13"/>
  <c r="E170" i="13"/>
  <c r="D170" i="13"/>
  <c r="CX169" i="13"/>
  <c r="CW169" i="13"/>
  <c r="CV169" i="13"/>
  <c r="CU169" i="13"/>
  <c r="CT169" i="13"/>
  <c r="CS169" i="13"/>
  <c r="CR169" i="13"/>
  <c r="CQ169" i="13"/>
  <c r="CP169" i="13"/>
  <c r="CO169" i="13"/>
  <c r="CN169" i="13"/>
  <c r="CM169" i="13"/>
  <c r="CL169" i="13"/>
  <c r="CK169" i="13"/>
  <c r="CJ169" i="13"/>
  <c r="CI169" i="13"/>
  <c r="CH169" i="13"/>
  <c r="CG169" i="13"/>
  <c r="CF169" i="13"/>
  <c r="CE169" i="13"/>
  <c r="CD169" i="13"/>
  <c r="CC169" i="13"/>
  <c r="CB169" i="13"/>
  <c r="CA169" i="13"/>
  <c r="BZ169" i="13"/>
  <c r="BY169" i="13"/>
  <c r="BX169" i="13"/>
  <c r="BW169" i="13"/>
  <c r="BV169" i="13"/>
  <c r="BU169" i="13"/>
  <c r="BT169" i="13"/>
  <c r="BS169" i="13"/>
  <c r="BR169" i="13"/>
  <c r="BQ169" i="13"/>
  <c r="BP169" i="13"/>
  <c r="BO169" i="13"/>
  <c r="BN169" i="13"/>
  <c r="BM169" i="13"/>
  <c r="BL169" i="13"/>
  <c r="BK169" i="13"/>
  <c r="BJ169" i="13"/>
  <c r="BI169" i="13"/>
  <c r="BH169" i="13"/>
  <c r="BG169" i="13"/>
  <c r="BF169" i="13"/>
  <c r="BE169" i="13"/>
  <c r="BD169" i="13"/>
  <c r="BC169" i="13"/>
  <c r="BB169" i="13"/>
  <c r="BA169" i="13"/>
  <c r="AZ169" i="13"/>
  <c r="AY169" i="13"/>
  <c r="AX169" i="13"/>
  <c r="AW169" i="13"/>
  <c r="AV169" i="13"/>
  <c r="AU169" i="13"/>
  <c r="AT169" i="13"/>
  <c r="AS169" i="13"/>
  <c r="AR169" i="13"/>
  <c r="AQ169" i="13"/>
  <c r="AP169" i="13"/>
  <c r="AO169" i="13"/>
  <c r="AN169" i="13"/>
  <c r="AM169" i="13"/>
  <c r="AL169" i="13"/>
  <c r="AK169" i="13"/>
  <c r="AJ169" i="13"/>
  <c r="AI169" i="13"/>
  <c r="AH169" i="13"/>
  <c r="AG169" i="13"/>
  <c r="AF169" i="13"/>
  <c r="AE169" i="13"/>
  <c r="AD169" i="13"/>
  <c r="AC169" i="13"/>
  <c r="AB169" i="13"/>
  <c r="AA169" i="13"/>
  <c r="Z169" i="13"/>
  <c r="Y169" i="13"/>
  <c r="X169" i="13"/>
  <c r="W169" i="13"/>
  <c r="V169" i="13"/>
  <c r="U169" i="13"/>
  <c r="T169" i="13"/>
  <c r="S169" i="13"/>
  <c r="R169" i="13"/>
  <c r="Q169" i="13"/>
  <c r="P169" i="13"/>
  <c r="O169" i="13"/>
  <c r="N169" i="13"/>
  <c r="M169" i="13"/>
  <c r="L169" i="13"/>
  <c r="K169" i="13"/>
  <c r="J169" i="13"/>
  <c r="I169" i="13"/>
  <c r="H169" i="13"/>
  <c r="G169" i="13"/>
  <c r="F169" i="13"/>
  <c r="E169" i="13"/>
  <c r="D169" i="13"/>
  <c r="CX168" i="13"/>
  <c r="CW168" i="13"/>
  <c r="CV168" i="13"/>
  <c r="CU168" i="13"/>
  <c r="CT168" i="13"/>
  <c r="CS168" i="13"/>
  <c r="CR168" i="13"/>
  <c r="CQ168" i="13"/>
  <c r="CP168" i="13"/>
  <c r="CO168" i="13"/>
  <c r="CN168" i="13"/>
  <c r="CM168" i="13"/>
  <c r="CL168" i="13"/>
  <c r="CK168" i="13"/>
  <c r="CJ168" i="13"/>
  <c r="CI168" i="13"/>
  <c r="CH168" i="13"/>
  <c r="CG168" i="13"/>
  <c r="CF168" i="13"/>
  <c r="CE168" i="13"/>
  <c r="CD168" i="13"/>
  <c r="CC168" i="13"/>
  <c r="CB168" i="13"/>
  <c r="CA168" i="13"/>
  <c r="BZ168" i="13"/>
  <c r="BY168" i="13"/>
  <c r="BX168" i="13"/>
  <c r="BW168" i="13"/>
  <c r="BV168" i="13"/>
  <c r="BU168" i="13"/>
  <c r="BT168" i="13"/>
  <c r="BS168" i="13"/>
  <c r="BR168" i="13"/>
  <c r="BQ168" i="13"/>
  <c r="BP168" i="13"/>
  <c r="BO168" i="13"/>
  <c r="BN168" i="13"/>
  <c r="BM168" i="13"/>
  <c r="BL168" i="13"/>
  <c r="BK168" i="13"/>
  <c r="BJ168" i="13"/>
  <c r="BI168" i="13"/>
  <c r="BH168" i="13"/>
  <c r="BG168" i="13"/>
  <c r="BF168" i="13"/>
  <c r="BE168" i="13"/>
  <c r="BD168" i="13"/>
  <c r="BC168" i="13"/>
  <c r="BB168" i="13"/>
  <c r="BA168" i="13"/>
  <c r="AZ168" i="13"/>
  <c r="AY168" i="13"/>
  <c r="AX168" i="13"/>
  <c r="AW168" i="13"/>
  <c r="AV168" i="13"/>
  <c r="AU168" i="13"/>
  <c r="AT168" i="13"/>
  <c r="AS168" i="13"/>
  <c r="AR168" i="13"/>
  <c r="AQ168" i="13"/>
  <c r="AP168" i="13"/>
  <c r="AO168" i="13"/>
  <c r="AN168" i="13"/>
  <c r="AM168" i="13"/>
  <c r="AL168" i="13"/>
  <c r="AK168" i="13"/>
  <c r="AJ168" i="13"/>
  <c r="AI168" i="13"/>
  <c r="AH168" i="13"/>
  <c r="AG168" i="13"/>
  <c r="AF168" i="13"/>
  <c r="AE168" i="13"/>
  <c r="AD168" i="13"/>
  <c r="AC168" i="13"/>
  <c r="AB168" i="13"/>
  <c r="AA168" i="13"/>
  <c r="Z168" i="13"/>
  <c r="Y168" i="13"/>
  <c r="X168" i="13"/>
  <c r="W168" i="13"/>
  <c r="V168" i="13"/>
  <c r="U168" i="13"/>
  <c r="T168" i="13"/>
  <c r="S168" i="13"/>
  <c r="R168" i="13"/>
  <c r="Q168" i="13"/>
  <c r="P168" i="13"/>
  <c r="O168" i="13"/>
  <c r="N168" i="13"/>
  <c r="M168" i="13"/>
  <c r="L168" i="13"/>
  <c r="K168" i="13"/>
  <c r="J168" i="13"/>
  <c r="I168" i="13"/>
  <c r="H168" i="13"/>
  <c r="G168" i="13"/>
  <c r="F168" i="13"/>
  <c r="E168" i="13"/>
  <c r="D168" i="13"/>
  <c r="CX167" i="13"/>
  <c r="CW167" i="13"/>
  <c r="CV167" i="13"/>
  <c r="CU167" i="13"/>
  <c r="CT167" i="13"/>
  <c r="CS167" i="13"/>
  <c r="CR167" i="13"/>
  <c r="CQ167" i="13"/>
  <c r="CP167" i="13"/>
  <c r="CO167" i="13"/>
  <c r="CN167" i="13"/>
  <c r="CM167" i="13"/>
  <c r="CL167" i="13"/>
  <c r="CK167" i="13"/>
  <c r="CJ167" i="13"/>
  <c r="CI167" i="13"/>
  <c r="CH167" i="13"/>
  <c r="CG167" i="13"/>
  <c r="CF167" i="13"/>
  <c r="CE167" i="13"/>
  <c r="CD167" i="13"/>
  <c r="CC167" i="13"/>
  <c r="CB167" i="13"/>
  <c r="CA167" i="13"/>
  <c r="BZ167" i="13"/>
  <c r="BY167" i="13"/>
  <c r="BX167" i="13"/>
  <c r="BW167" i="13"/>
  <c r="BV167" i="13"/>
  <c r="BU167" i="13"/>
  <c r="BT167" i="13"/>
  <c r="BS167" i="13"/>
  <c r="BR167" i="13"/>
  <c r="BQ167" i="13"/>
  <c r="BP167" i="13"/>
  <c r="BO167" i="13"/>
  <c r="BN167" i="13"/>
  <c r="BM167" i="13"/>
  <c r="BL167" i="13"/>
  <c r="BK167" i="13"/>
  <c r="BJ167" i="13"/>
  <c r="BI167" i="13"/>
  <c r="BH167" i="13"/>
  <c r="BG167" i="13"/>
  <c r="BF167" i="13"/>
  <c r="BE167" i="13"/>
  <c r="BD167" i="13"/>
  <c r="BC167" i="13"/>
  <c r="BB167" i="13"/>
  <c r="BA167" i="13"/>
  <c r="AZ167" i="13"/>
  <c r="AY167" i="13"/>
  <c r="AX167" i="13"/>
  <c r="AW167" i="13"/>
  <c r="AV167" i="13"/>
  <c r="AU167" i="13"/>
  <c r="AT167" i="13"/>
  <c r="AS167" i="13"/>
  <c r="AR167" i="13"/>
  <c r="AQ167" i="13"/>
  <c r="AP167" i="13"/>
  <c r="AO167" i="13"/>
  <c r="AN167" i="13"/>
  <c r="AM167" i="13"/>
  <c r="AL167" i="13"/>
  <c r="AK167" i="13"/>
  <c r="AJ167" i="13"/>
  <c r="AI167" i="13"/>
  <c r="AH167" i="13"/>
  <c r="AG167" i="13"/>
  <c r="AF167" i="13"/>
  <c r="AE167" i="13"/>
  <c r="AD167" i="13"/>
  <c r="AC167" i="13"/>
  <c r="AB167" i="13"/>
  <c r="AA167" i="13"/>
  <c r="Z167" i="13"/>
  <c r="Y167" i="13"/>
  <c r="X167" i="13"/>
  <c r="W167" i="13"/>
  <c r="V167" i="13"/>
  <c r="U167" i="13"/>
  <c r="T167" i="13"/>
  <c r="S167" i="13"/>
  <c r="R167" i="13"/>
  <c r="Q167" i="13"/>
  <c r="P167" i="13"/>
  <c r="O167" i="13"/>
  <c r="N167" i="13"/>
  <c r="M167" i="13"/>
  <c r="L167" i="13"/>
  <c r="K167" i="13"/>
  <c r="J167" i="13"/>
  <c r="I167" i="13"/>
  <c r="H167" i="13"/>
  <c r="G167" i="13"/>
  <c r="F167" i="13"/>
  <c r="E167" i="13"/>
  <c r="D167" i="13"/>
  <c r="CX166" i="13"/>
  <c r="CW166" i="13"/>
  <c r="CV166" i="13"/>
  <c r="CU166" i="13"/>
  <c r="CT166" i="13"/>
  <c r="CS166" i="13"/>
  <c r="CR166" i="13"/>
  <c r="CQ166" i="13"/>
  <c r="CP166" i="13"/>
  <c r="CO166" i="13"/>
  <c r="CN166" i="13"/>
  <c r="CM166" i="13"/>
  <c r="CL166" i="13"/>
  <c r="CK166" i="13"/>
  <c r="CJ166" i="13"/>
  <c r="CI166" i="13"/>
  <c r="CH166" i="13"/>
  <c r="CG166" i="13"/>
  <c r="CF166" i="13"/>
  <c r="CE166" i="13"/>
  <c r="CD166" i="13"/>
  <c r="CC166" i="13"/>
  <c r="CB166" i="13"/>
  <c r="CA166" i="13"/>
  <c r="BZ166" i="13"/>
  <c r="BY166" i="13"/>
  <c r="BX166" i="13"/>
  <c r="BW166" i="13"/>
  <c r="BV166" i="13"/>
  <c r="BU166" i="13"/>
  <c r="BT166" i="13"/>
  <c r="BS166" i="13"/>
  <c r="BR166" i="13"/>
  <c r="BQ166" i="13"/>
  <c r="BP166" i="13"/>
  <c r="BO166" i="13"/>
  <c r="BN166" i="13"/>
  <c r="BM166" i="13"/>
  <c r="BL166" i="13"/>
  <c r="BK166" i="13"/>
  <c r="BJ166" i="13"/>
  <c r="BI166" i="13"/>
  <c r="BH166" i="13"/>
  <c r="BG166" i="13"/>
  <c r="BF166" i="13"/>
  <c r="BE166" i="13"/>
  <c r="BD166" i="13"/>
  <c r="BC166" i="13"/>
  <c r="BB166" i="13"/>
  <c r="BA166" i="13"/>
  <c r="AZ166" i="13"/>
  <c r="AY166" i="13"/>
  <c r="AX166" i="13"/>
  <c r="AW166" i="13"/>
  <c r="AV166" i="13"/>
  <c r="AU166" i="13"/>
  <c r="AT166" i="13"/>
  <c r="AS166" i="13"/>
  <c r="AR166" i="13"/>
  <c r="AQ166" i="13"/>
  <c r="AP166" i="13"/>
  <c r="AO166" i="13"/>
  <c r="AN166" i="13"/>
  <c r="AM166" i="13"/>
  <c r="AL166" i="13"/>
  <c r="AK166" i="13"/>
  <c r="AJ166" i="13"/>
  <c r="AI166" i="13"/>
  <c r="AH166" i="13"/>
  <c r="AG166" i="13"/>
  <c r="AF166" i="13"/>
  <c r="AE166" i="13"/>
  <c r="AD166" i="13"/>
  <c r="AC166" i="13"/>
  <c r="AB166" i="13"/>
  <c r="AA166" i="13"/>
  <c r="Z166" i="13"/>
  <c r="Y166" i="13"/>
  <c r="X166" i="13"/>
  <c r="W166" i="13"/>
  <c r="V166" i="13"/>
  <c r="U166" i="13"/>
  <c r="T166" i="13"/>
  <c r="S166" i="13"/>
  <c r="R166" i="13"/>
  <c r="Q166" i="13"/>
  <c r="P166" i="13"/>
  <c r="O166" i="13"/>
  <c r="N166" i="13"/>
  <c r="M166" i="13"/>
  <c r="L166" i="13"/>
  <c r="K166" i="13"/>
  <c r="J166" i="13"/>
  <c r="I166" i="13"/>
  <c r="H166" i="13"/>
  <c r="G166" i="13"/>
  <c r="F166" i="13"/>
  <c r="E166" i="13"/>
  <c r="D166" i="13"/>
  <c r="C176" i="13"/>
  <c r="C175" i="13"/>
  <c r="C174" i="13"/>
  <c r="C173" i="13"/>
  <c r="C172" i="13"/>
  <c r="C171" i="13"/>
  <c r="C170" i="13"/>
  <c r="C169" i="13"/>
  <c r="C168" i="13"/>
  <c r="C167" i="13"/>
  <c r="C166" i="13"/>
  <c r="B167" i="13"/>
  <c r="B168" i="13" s="1"/>
  <c r="B169" i="13" s="1"/>
  <c r="B170" i="13" s="1"/>
  <c r="B171" i="13" s="1"/>
  <c r="B172" i="13" s="1"/>
  <c r="B173" i="13" s="1"/>
  <c r="B174" i="13" s="1"/>
  <c r="B175" i="13" s="1"/>
  <c r="B176" i="13" s="1"/>
  <c r="DG160" i="13"/>
  <c r="DF160" i="13"/>
  <c r="DE159" i="13"/>
  <c r="DG159" i="13" s="1"/>
  <c r="B160" i="13"/>
  <c r="DI156" i="13"/>
  <c r="DI155" i="13"/>
  <c r="DI154" i="13"/>
  <c r="DI153" i="13"/>
  <c r="DI152" i="13"/>
  <c r="DI151" i="13"/>
  <c r="DI150" i="13"/>
  <c r="DI149" i="13"/>
  <c r="DI148" i="13"/>
  <c r="DI147" i="13"/>
  <c r="DI146" i="13"/>
  <c r="DI145" i="13"/>
  <c r="DI144" i="13"/>
  <c r="DI143" i="13"/>
  <c r="DI142" i="13"/>
  <c r="DI141" i="13"/>
  <c r="DI140" i="13"/>
  <c r="DI139" i="13"/>
  <c r="DI138" i="13"/>
  <c r="DI137" i="13"/>
  <c r="DI136" i="13"/>
  <c r="DI135" i="13"/>
  <c r="DI134" i="13"/>
  <c r="DI133" i="13"/>
  <c r="DI132" i="13"/>
  <c r="DI131" i="13"/>
  <c r="DI130" i="13"/>
  <c r="DI129" i="13"/>
  <c r="DI128" i="13"/>
  <c r="DI127" i="13"/>
  <c r="DI126" i="13"/>
  <c r="DI125" i="13"/>
  <c r="DI124" i="13"/>
  <c r="DI123" i="13"/>
  <c r="DI122" i="13"/>
  <c r="DI121" i="13"/>
  <c r="DI120" i="13"/>
  <c r="DI119" i="13"/>
  <c r="DI118" i="13"/>
  <c r="DI117" i="13"/>
  <c r="DI116" i="13"/>
  <c r="DI115" i="13"/>
  <c r="DI114" i="13"/>
  <c r="DI113" i="13"/>
  <c r="DI112" i="13"/>
  <c r="DI111" i="13"/>
  <c r="DI110" i="13"/>
  <c r="DI109" i="13"/>
  <c r="DI108" i="13"/>
  <c r="DI107" i="13"/>
  <c r="DH156" i="13"/>
  <c r="DH155" i="13"/>
  <c r="DH154" i="13"/>
  <c r="DH153" i="13"/>
  <c r="DH152" i="13"/>
  <c r="DH151" i="13"/>
  <c r="DH150" i="13"/>
  <c r="DH149" i="13"/>
  <c r="DH148" i="13"/>
  <c r="DH147" i="13"/>
  <c r="DH146" i="13"/>
  <c r="DH145" i="13"/>
  <c r="DH144" i="13"/>
  <c r="DH143" i="13"/>
  <c r="DH142" i="13"/>
  <c r="DH141" i="13"/>
  <c r="DH140" i="13"/>
  <c r="DH139" i="13"/>
  <c r="DH138" i="13"/>
  <c r="DH137" i="13"/>
  <c r="DH136" i="13"/>
  <c r="DH135" i="13"/>
  <c r="DH134" i="13"/>
  <c r="DH133" i="13"/>
  <c r="DH132" i="13"/>
  <c r="DH131" i="13"/>
  <c r="DH130" i="13"/>
  <c r="DH129" i="13"/>
  <c r="DH128" i="13"/>
  <c r="DH127" i="13"/>
  <c r="DH126" i="13"/>
  <c r="DH125" i="13"/>
  <c r="DH124" i="13"/>
  <c r="DH123" i="13"/>
  <c r="DH122" i="13"/>
  <c r="DH121" i="13"/>
  <c r="DH120" i="13"/>
  <c r="DH119" i="13"/>
  <c r="DH118" i="13"/>
  <c r="DH117" i="13"/>
  <c r="DH116" i="13"/>
  <c r="DH115" i="13"/>
  <c r="DH114" i="13"/>
  <c r="DH113" i="13"/>
  <c r="DH112" i="13"/>
  <c r="DH111" i="13"/>
  <c r="DH110" i="13"/>
  <c r="DH109" i="13"/>
  <c r="DH108" i="13"/>
  <c r="DH107" i="13"/>
  <c r="DG168" i="13" l="1"/>
  <c r="DI172" i="13"/>
  <c r="DI176" i="13"/>
  <c r="B161" i="13"/>
  <c r="DI169" i="13"/>
  <c r="DH169" i="13"/>
  <c r="DI173" i="13"/>
  <c r="DH173" i="13"/>
  <c r="DI166" i="13"/>
  <c r="DK166" i="13" s="1"/>
  <c r="DH166" i="13"/>
  <c r="DJ166" i="13" s="1"/>
  <c r="DI170" i="13"/>
  <c r="DH170" i="13"/>
  <c r="DI174" i="13"/>
  <c r="DH174" i="13"/>
  <c r="DI167" i="13"/>
  <c r="DH167" i="13"/>
  <c r="DI171" i="13"/>
  <c r="DH171" i="13"/>
  <c r="DI175" i="13"/>
  <c r="DK175" i="13" s="1"/>
  <c r="DH175" i="13"/>
  <c r="DI168" i="13"/>
  <c r="DH168" i="13"/>
  <c r="DH172" i="13"/>
  <c r="DH176" i="13"/>
  <c r="DF168" i="13"/>
  <c r="DF170" i="13"/>
  <c r="DF172" i="13"/>
  <c r="DF174" i="13"/>
  <c r="DG170" i="13"/>
  <c r="DG172" i="13"/>
  <c r="DK172" i="13" s="1"/>
  <c r="DG174" i="13"/>
  <c r="DF159" i="13"/>
  <c r="DF167" i="13"/>
  <c r="DF169" i="13"/>
  <c r="DJ169" i="13" s="1"/>
  <c r="DF171" i="13"/>
  <c r="DF173" i="13"/>
  <c r="DJ173" i="13" s="1"/>
  <c r="DF175" i="13"/>
  <c r="DE176" i="13"/>
  <c r="DG167" i="13"/>
  <c r="DG169" i="13"/>
  <c r="DG171" i="13"/>
  <c r="DK171" i="13" s="1"/>
  <c r="DG173" i="13"/>
  <c r="DE161" i="13"/>
  <c r="DK168" i="13" l="1"/>
  <c r="B162" i="13"/>
  <c r="B163" i="13" s="1"/>
  <c r="DK169" i="13"/>
  <c r="DJ175" i="13"/>
  <c r="DJ167" i="13"/>
  <c r="DJ174" i="13"/>
  <c r="DK167" i="13"/>
  <c r="DJ171" i="13"/>
  <c r="DK174" i="13"/>
  <c r="DJ172" i="13"/>
  <c r="DK170" i="13"/>
  <c r="DJ168" i="13"/>
  <c r="DK173" i="13"/>
  <c r="DJ170" i="13"/>
  <c r="DG161" i="13"/>
  <c r="DF161" i="13"/>
  <c r="DG176" i="13"/>
  <c r="DK176" i="13" s="1"/>
  <c r="DF176" i="13"/>
  <c r="DJ176" i="13" s="1"/>
  <c r="DE162" i="13"/>
  <c r="DE108" i="13"/>
  <c r="DE109" i="13" s="1"/>
  <c r="DE110" i="13" s="1"/>
  <c r="DE111" i="13" s="1"/>
  <c r="DE112" i="13" s="1"/>
  <c r="DE113" i="13" s="1"/>
  <c r="DE114" i="13" s="1"/>
  <c r="DE115" i="13" s="1"/>
  <c r="DE116" i="13" s="1"/>
  <c r="DE117" i="13" s="1"/>
  <c r="DE118" i="13" s="1"/>
  <c r="DE119" i="13" s="1"/>
  <c r="DE120" i="13" s="1"/>
  <c r="DE121" i="13" s="1"/>
  <c r="DE122" i="13" s="1"/>
  <c r="DE123" i="13" s="1"/>
  <c r="DE124" i="13" s="1"/>
  <c r="DE125" i="13" s="1"/>
  <c r="DE126" i="13" s="1"/>
  <c r="DE127" i="13" s="1"/>
  <c r="DE128" i="13" s="1"/>
  <c r="DE129" i="13" s="1"/>
  <c r="DE130" i="13" s="1"/>
  <c r="DE131" i="13" s="1"/>
  <c r="DE132" i="13" s="1"/>
  <c r="DE133" i="13" s="1"/>
  <c r="DE134" i="13" s="1"/>
  <c r="DE135" i="13" s="1"/>
  <c r="DE136" i="13" s="1"/>
  <c r="DE137" i="13" s="1"/>
  <c r="DE138" i="13" s="1"/>
  <c r="DE139" i="13" s="1"/>
  <c r="DE140" i="13" s="1"/>
  <c r="DE141" i="13" s="1"/>
  <c r="DE142" i="13" s="1"/>
  <c r="DE143" i="13" s="1"/>
  <c r="DE144" i="13" s="1"/>
  <c r="DE145" i="13" s="1"/>
  <c r="DE146" i="13" s="1"/>
  <c r="DE147" i="13" s="1"/>
  <c r="DE148" i="13" s="1"/>
  <c r="DE149" i="13" s="1"/>
  <c r="DE150" i="13" s="1"/>
  <c r="DE151" i="13" s="1"/>
  <c r="DE152" i="13" s="1"/>
  <c r="DE153" i="13" s="1"/>
  <c r="DE154" i="13" s="1"/>
  <c r="DE155" i="13" s="1"/>
  <c r="DE156" i="13" s="1"/>
  <c r="B164" i="13" l="1"/>
  <c r="DG162" i="13"/>
  <c r="DF162" i="13"/>
  <c r="DE163" i="13"/>
  <c r="D102" i="13"/>
  <c r="E102" i="13" s="1"/>
  <c r="F102" i="13" s="1"/>
  <c r="G102" i="13" s="1"/>
  <c r="H102" i="13" s="1"/>
  <c r="I102" i="13" s="1"/>
  <c r="J102" i="13" s="1"/>
  <c r="K102" i="13" s="1"/>
  <c r="L102" i="13" s="1"/>
  <c r="M102" i="13" s="1"/>
  <c r="N102" i="13" s="1"/>
  <c r="O102" i="13" s="1"/>
  <c r="P102" i="13" s="1"/>
  <c r="Q102" i="13" s="1"/>
  <c r="R102" i="13" s="1"/>
  <c r="S102" i="13" s="1"/>
  <c r="T102" i="13" s="1"/>
  <c r="U102" i="13" s="1"/>
  <c r="V102" i="13" s="1"/>
  <c r="W102" i="13" s="1"/>
  <c r="X102" i="13" s="1"/>
  <c r="Y102" i="13" s="1"/>
  <c r="Z102" i="13" s="1"/>
  <c r="AA102" i="13" s="1"/>
  <c r="AB102" i="13" s="1"/>
  <c r="AC102" i="13" s="1"/>
  <c r="AD102" i="13" s="1"/>
  <c r="AE102" i="13" s="1"/>
  <c r="AF102" i="13" s="1"/>
  <c r="AG102" i="13" s="1"/>
  <c r="AH102" i="13" s="1"/>
  <c r="AI102" i="13" s="1"/>
  <c r="AJ102" i="13" s="1"/>
  <c r="AK102" i="13" s="1"/>
  <c r="AL102" i="13" s="1"/>
  <c r="AM102" i="13" s="1"/>
  <c r="AN102" i="13" s="1"/>
  <c r="AO102" i="13" s="1"/>
  <c r="AP102" i="13" s="1"/>
  <c r="AQ102" i="13" s="1"/>
  <c r="AR102" i="13" s="1"/>
  <c r="AS102" i="13" s="1"/>
  <c r="AT102" i="13" s="1"/>
  <c r="AU102" i="13" s="1"/>
  <c r="AV102" i="13" s="1"/>
  <c r="AW102" i="13" s="1"/>
  <c r="AX102" i="13" s="1"/>
  <c r="AY102" i="13" s="1"/>
  <c r="AZ102" i="13" s="1"/>
  <c r="BA102" i="13" s="1"/>
  <c r="BB102" i="13" s="1"/>
  <c r="BC102" i="13" s="1"/>
  <c r="BD102" i="13" s="1"/>
  <c r="BE102" i="13" s="1"/>
  <c r="BF102" i="13" s="1"/>
  <c r="BG102" i="13" s="1"/>
  <c r="BH102" i="13" s="1"/>
  <c r="BI102" i="13" s="1"/>
  <c r="BJ102" i="13" s="1"/>
  <c r="BK102" i="13" s="1"/>
  <c r="BL102" i="13" s="1"/>
  <c r="BM102" i="13" s="1"/>
  <c r="BN102" i="13" s="1"/>
  <c r="BO102" i="13" s="1"/>
  <c r="BP102" i="13" s="1"/>
  <c r="BQ102" i="13" s="1"/>
  <c r="BR102" i="13" s="1"/>
  <c r="BS102" i="13" s="1"/>
  <c r="BT102" i="13" s="1"/>
  <c r="BU102" i="13" s="1"/>
  <c r="BV102" i="13" s="1"/>
  <c r="BW102" i="13" s="1"/>
  <c r="BX102" i="13" s="1"/>
  <c r="BY102" i="13" s="1"/>
  <c r="BZ102" i="13" s="1"/>
  <c r="CA102" i="13" s="1"/>
  <c r="CB102" i="13" s="1"/>
  <c r="CC102" i="13" s="1"/>
  <c r="CD102" i="13" s="1"/>
  <c r="CE102" i="13" s="1"/>
  <c r="CF102" i="13" s="1"/>
  <c r="CG102" i="13" s="1"/>
  <c r="CH102" i="13" s="1"/>
  <c r="CI102" i="13" s="1"/>
  <c r="CJ102" i="13" s="1"/>
  <c r="CK102" i="13" s="1"/>
  <c r="CL102" i="13" s="1"/>
  <c r="CM102" i="13" s="1"/>
  <c r="CN102" i="13" s="1"/>
  <c r="CO102" i="13" s="1"/>
  <c r="CP102" i="13" s="1"/>
  <c r="CQ102" i="13" s="1"/>
  <c r="CR102" i="13" s="1"/>
  <c r="CS102" i="13" s="1"/>
  <c r="CT102" i="13" s="1"/>
  <c r="CU102" i="13" s="1"/>
  <c r="CV102" i="13" s="1"/>
  <c r="CW102" i="13" s="1"/>
  <c r="CX102" i="13" s="1"/>
  <c r="DG163" i="13" l="1"/>
  <c r="DF163" i="13"/>
  <c r="DE164" i="13"/>
  <c r="DG164" i="13" l="1"/>
  <c r="DF164" i="13"/>
  <c r="Q91" i="13"/>
  <c r="P91" i="13"/>
  <c r="Q90" i="13"/>
  <c r="P90" i="13"/>
  <c r="Q89" i="13"/>
  <c r="P89" i="13"/>
  <c r="Q88" i="13"/>
  <c r="P88" i="13"/>
  <c r="Q87" i="13"/>
  <c r="P87" i="13"/>
  <c r="Q86" i="13"/>
  <c r="P86" i="13"/>
  <c r="Q85" i="13"/>
  <c r="P85" i="13"/>
  <c r="Q84" i="13"/>
  <c r="P84" i="13"/>
  <c r="Q83" i="13"/>
  <c r="P83" i="13"/>
  <c r="Q82" i="13"/>
  <c r="P82" i="13"/>
  <c r="Q81" i="13"/>
  <c r="P81" i="13"/>
  <c r="Q80" i="13"/>
  <c r="P80" i="13"/>
  <c r="Q79" i="13"/>
  <c r="P79" i="13"/>
  <c r="Q78" i="13"/>
  <c r="P78" i="13"/>
  <c r="Q77" i="13"/>
  <c r="P77" i="13"/>
  <c r="Q76" i="13"/>
  <c r="P76" i="13"/>
  <c r="Q75" i="13"/>
  <c r="P75" i="13"/>
  <c r="Q74" i="13"/>
  <c r="P74" i="13"/>
  <c r="Q73" i="13"/>
  <c r="P73" i="13"/>
  <c r="Q72" i="13"/>
  <c r="P72" i="13"/>
  <c r="Q71" i="13"/>
  <c r="P71" i="13"/>
  <c r="Q70" i="13"/>
  <c r="P70" i="13"/>
  <c r="Q69" i="13"/>
  <c r="P69" i="13"/>
  <c r="N91" i="13"/>
  <c r="N90" i="13"/>
  <c r="N89" i="13"/>
  <c r="N88" i="13"/>
  <c r="N87" i="13"/>
  <c r="N86" i="13"/>
  <c r="N85" i="13"/>
  <c r="N84" i="13"/>
  <c r="N83" i="13"/>
  <c r="N82" i="13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AF69" i="13" l="1"/>
  <c r="AB61" i="13"/>
  <c r="AE62" i="13" l="1"/>
  <c r="AE61" i="13"/>
  <c r="AE60" i="13"/>
  <c r="AE59" i="13"/>
  <c r="AE58" i="13"/>
  <c r="AE57" i="13"/>
  <c r="AE56" i="13"/>
  <c r="AE55" i="13"/>
  <c r="AE54" i="13"/>
  <c r="AE53" i="13"/>
  <c r="AE52" i="13"/>
  <c r="AD62" i="13"/>
  <c r="AF62" i="13" s="1"/>
  <c r="AD61" i="13"/>
  <c r="AF61" i="13" s="1"/>
  <c r="AD60" i="13"/>
  <c r="AF60" i="13" s="1"/>
  <c r="AD59" i="13"/>
  <c r="AF59" i="13" s="1"/>
  <c r="AD58" i="13"/>
  <c r="AF58" i="13" s="1"/>
  <c r="AD57" i="13"/>
  <c r="AF57" i="13" s="1"/>
  <c r="AD56" i="13"/>
  <c r="AF56" i="13" s="1"/>
  <c r="AD55" i="13"/>
  <c r="AF55" i="13" s="1"/>
  <c r="AD54" i="13"/>
  <c r="AF54" i="13" s="1"/>
  <c r="AD52" i="13"/>
  <c r="AF52" i="13" s="1"/>
  <c r="AD53" i="13"/>
  <c r="AF66" i="13" l="1"/>
  <c r="AF67" i="13"/>
  <c r="AF68" i="13"/>
  <c r="AF53" i="13"/>
  <c r="AF65" i="13"/>
  <c r="DK40" i="13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BL40" i="13"/>
  <c r="BM40" i="13" l="1"/>
  <c r="BN40" i="13" l="1"/>
  <c r="BO40" i="13" l="1"/>
  <c r="BP40" i="13" l="1"/>
  <c r="BQ40" i="13" l="1"/>
  <c r="BR40" i="13" l="1"/>
  <c r="BS40" i="13" l="1"/>
  <c r="BT40" i="13" l="1"/>
  <c r="BU40" i="13" l="1"/>
  <c r="BV40" i="13" l="1"/>
  <c r="BW40" i="13" l="1"/>
  <c r="BX40" i="13" l="1"/>
  <c r="BY40" i="13" l="1"/>
  <c r="BZ40" i="13" l="1"/>
  <c r="CA40" i="13" l="1"/>
  <c r="CB40" i="13" l="1"/>
  <c r="CC40" i="13" l="1"/>
  <c r="CD40" i="13" l="1"/>
  <c r="CE40" i="13" l="1"/>
  <c r="CF40" i="13" l="1"/>
  <c r="CG40" i="13" l="1"/>
  <c r="CH40" i="13" l="1"/>
  <c r="CI40" i="13" l="1"/>
  <c r="CJ40" i="13" l="1"/>
  <c r="CK40" i="13" l="1"/>
  <c r="CL40" i="13" l="1"/>
  <c r="CM40" i="13" l="1"/>
  <c r="CN40" i="13" l="1"/>
  <c r="CO40" i="13" l="1"/>
  <c r="CP40" i="13" l="1"/>
  <c r="CQ40" i="13" l="1"/>
  <c r="CR40" i="13" l="1"/>
  <c r="CS40" i="13" l="1"/>
  <c r="CT40" i="13" l="1"/>
  <c r="CU40" i="13" l="1"/>
  <c r="CV40" i="13" l="1"/>
  <c r="CW40" i="13" l="1"/>
  <c r="CX40" i="13" l="1"/>
  <c r="CY40" i="13" l="1"/>
  <c r="CZ40" i="13" l="1"/>
  <c r="DA40" i="13" l="1"/>
  <c r="DB40" i="13" l="1"/>
  <c r="DC40" i="13" l="1"/>
  <c r="DD40" i="13" l="1"/>
  <c r="DE40" i="13" l="1"/>
  <c r="DF40" i="13" l="1"/>
  <c r="DG40" i="13" l="1"/>
  <c r="DH40" i="13" l="1"/>
  <c r="G8" i="13" l="1"/>
  <c r="G6" i="13" l="1"/>
  <c r="E63" i="13" s="1"/>
  <c r="AX180" i="13"/>
  <c r="CG180" i="13"/>
  <c r="U180" i="13"/>
  <c r="BX180" i="13"/>
  <c r="BG180" i="13"/>
  <c r="CJ180" i="13"/>
  <c r="DG112" i="13"/>
  <c r="DK112" i="13" s="1"/>
  <c r="DF132" i="13"/>
  <c r="DJ132" i="13" s="1"/>
  <c r="DF155" i="13"/>
  <c r="DJ155" i="13" s="1"/>
  <c r="DF123" i="13"/>
  <c r="DJ123" i="13" s="1"/>
  <c r="DG134" i="13"/>
  <c r="DK134" i="13" s="1"/>
  <c r="DG123" i="13"/>
  <c r="DK123" i="13" s="1"/>
  <c r="BR180" i="13"/>
  <c r="F180" i="13"/>
  <c r="Y180" i="13"/>
  <c r="AE180" i="13"/>
  <c r="DF134" i="13"/>
  <c r="DJ134" i="13" s="1"/>
  <c r="DG138" i="13"/>
  <c r="DK138" i="13" s="1"/>
  <c r="BJ180" i="13"/>
  <c r="CS180" i="13"/>
  <c r="AG180" i="13"/>
  <c r="P180" i="13"/>
  <c r="BS180" i="13"/>
  <c r="G180" i="13"/>
  <c r="DG124" i="13"/>
  <c r="DK124" i="13" s="1"/>
  <c r="DF138" i="13"/>
  <c r="DJ138" i="13" s="1"/>
  <c r="DG143" i="13"/>
  <c r="DK143" i="13" s="1"/>
  <c r="DF129" i="13"/>
  <c r="DJ129" i="13" s="1"/>
  <c r="DG146" i="13"/>
  <c r="DK146" i="13" s="1"/>
  <c r="DG111" i="13"/>
  <c r="DK111" i="13" s="1"/>
  <c r="BE180" i="13"/>
  <c r="BK180" i="13"/>
  <c r="DG155" i="13"/>
  <c r="DK155" i="13" s="1"/>
  <c r="DF124" i="13"/>
  <c r="DJ124" i="13" s="1"/>
  <c r="AP180" i="13"/>
  <c r="BY180" i="13"/>
  <c r="M180" i="13"/>
  <c r="AV180" i="13"/>
  <c r="AY180" i="13"/>
  <c r="BL180" i="13"/>
  <c r="DF122" i="13"/>
  <c r="DJ122" i="13" s="1"/>
  <c r="DF128" i="13"/>
  <c r="DJ128" i="13" s="1"/>
  <c r="DF151" i="13"/>
  <c r="DJ151" i="13" s="1"/>
  <c r="DF119" i="13"/>
  <c r="DJ119" i="13" s="1"/>
  <c r="DG126" i="13"/>
  <c r="DK126" i="13" s="1"/>
  <c r="DF108" i="13"/>
  <c r="DJ108" i="13" s="1"/>
  <c r="CB180" i="13"/>
  <c r="DF142" i="13"/>
  <c r="DJ142" i="13" s="1"/>
  <c r="DF109" i="13"/>
  <c r="DJ109" i="13" s="1"/>
  <c r="CT180" i="13"/>
  <c r="AH180" i="13"/>
  <c r="BQ180" i="13"/>
  <c r="E180" i="13"/>
  <c r="T180" i="13"/>
  <c r="AQ180" i="13"/>
  <c r="AJ180" i="13"/>
  <c r="DF156" i="13"/>
  <c r="DJ156" i="13" s="1"/>
  <c r="DF120" i="13"/>
  <c r="DJ120" i="13" s="1"/>
  <c r="DF147" i="13"/>
  <c r="DJ147" i="13" s="1"/>
  <c r="DF115" i="13"/>
  <c r="DJ115" i="13" s="1"/>
  <c r="DG118" i="13"/>
  <c r="DK118" i="13" s="1"/>
  <c r="DG129" i="13"/>
  <c r="DK129" i="13" s="1"/>
  <c r="N39" i="13"/>
  <c r="BB180" i="13"/>
  <c r="CK180" i="13"/>
  <c r="AN180" i="13"/>
  <c r="CV180" i="13"/>
  <c r="DG147" i="13"/>
  <c r="DK147" i="13" s="1"/>
  <c r="DG127" i="13"/>
  <c r="DK127" i="13" s="1"/>
  <c r="AT180" i="13"/>
  <c r="CC180" i="13"/>
  <c r="Q180" i="13"/>
  <c r="BH180" i="13"/>
  <c r="BC180" i="13"/>
  <c r="BT180" i="13"/>
  <c r="CD180" i="13"/>
  <c r="R180" i="13"/>
  <c r="BA180" i="13"/>
  <c r="BP180" i="13"/>
  <c r="CM180" i="13"/>
  <c r="AA180" i="13"/>
  <c r="DG144" i="13"/>
  <c r="DK144" i="13" s="1"/>
  <c r="DF148" i="13"/>
  <c r="DJ148" i="13" s="1"/>
  <c r="DG153" i="13"/>
  <c r="DK153" i="13" s="1"/>
  <c r="DF139" i="13"/>
  <c r="DJ139" i="13" s="1"/>
  <c r="DF107" i="13"/>
  <c r="DJ107" i="13" s="1"/>
  <c r="DF118" i="13"/>
  <c r="DJ118" i="13" s="1"/>
  <c r="DG125" i="13"/>
  <c r="DK125" i="13" s="1"/>
  <c r="CX180" i="13"/>
  <c r="AL180" i="13"/>
  <c r="BU180" i="13"/>
  <c r="AF180" i="13"/>
  <c r="DG132" i="13"/>
  <c r="DK132" i="13" s="1"/>
  <c r="DF133" i="13"/>
  <c r="DJ133" i="13" s="1"/>
  <c r="DG137" i="13"/>
  <c r="DK137" i="13" s="1"/>
  <c r="CP180" i="13"/>
  <c r="AD180" i="13"/>
  <c r="BM180" i="13"/>
  <c r="CR180" i="13"/>
  <c r="H180" i="13"/>
  <c r="AM180" i="13"/>
  <c r="X180" i="13"/>
  <c r="DF154" i="13"/>
  <c r="DJ154" i="13" s="1"/>
  <c r="DF116" i="13"/>
  <c r="DJ116" i="13" s="1"/>
  <c r="DF145" i="13"/>
  <c r="DJ145" i="13" s="1"/>
  <c r="DF113" i="13"/>
  <c r="DJ113" i="13" s="1"/>
  <c r="DG114" i="13"/>
  <c r="DK114" i="13" s="1"/>
  <c r="DG121" i="13"/>
  <c r="DK121" i="13" s="1"/>
  <c r="CN180" i="13"/>
  <c r="DG152" i="13"/>
  <c r="DK152" i="13" s="1"/>
  <c r="DF125" i="13"/>
  <c r="DJ125" i="13" s="1"/>
  <c r="BV180" i="13"/>
  <c r="J180" i="13"/>
  <c r="AS180" i="13"/>
  <c r="AZ180" i="13"/>
  <c r="CE180" i="13"/>
  <c r="S180" i="13"/>
  <c r="DG136" i="13"/>
  <c r="DK136" i="13" s="1"/>
  <c r="DF144" i="13"/>
  <c r="DJ144" i="13" s="1"/>
  <c r="DG149" i="13"/>
  <c r="DK149" i="13" s="1"/>
  <c r="DF135" i="13"/>
  <c r="DJ135" i="13" s="1"/>
  <c r="DG154" i="13"/>
  <c r="DK154" i="13" s="1"/>
  <c r="DG135" i="13"/>
  <c r="DK135" i="13" s="1"/>
  <c r="DG109" i="13"/>
  <c r="DK109" i="13" s="1"/>
  <c r="AR180" i="13"/>
  <c r="DG139" i="13"/>
  <c r="DK139" i="13" s="1"/>
  <c r="DG131" i="13"/>
  <c r="DK131" i="13" s="1"/>
  <c r="BN180" i="13"/>
  <c r="CW180" i="13"/>
  <c r="AK180" i="13"/>
  <c r="AB180" i="13"/>
  <c r="BW180" i="13"/>
  <c r="K180" i="13"/>
  <c r="DG128" i="13"/>
  <c r="DK128" i="13" s="1"/>
  <c r="DF140" i="13"/>
  <c r="DJ140" i="13" s="1"/>
  <c r="DG145" i="13"/>
  <c r="DK145" i="13" s="1"/>
  <c r="DF131" i="13"/>
  <c r="DJ131" i="13" s="1"/>
  <c r="DG148" i="13"/>
  <c r="DK148" i="13" s="1"/>
  <c r="DG119" i="13"/>
  <c r="DK119" i="13" s="1"/>
  <c r="CH180" i="13"/>
  <c r="V180" i="13"/>
  <c r="AO180" i="13"/>
  <c r="CA180" i="13"/>
  <c r="DF114" i="13"/>
  <c r="DJ114" i="13" s="1"/>
  <c r="DF117" i="13"/>
  <c r="DJ117" i="13" s="1"/>
  <c r="BZ180" i="13"/>
  <c r="N180" i="13"/>
  <c r="AW180" i="13"/>
  <c r="BD180" i="13"/>
  <c r="CI180" i="13"/>
  <c r="W180" i="13"/>
  <c r="DG140" i="13"/>
  <c r="DK140" i="13" s="1"/>
  <c r="DF146" i="13"/>
  <c r="DJ146" i="13" s="1"/>
  <c r="DG151" i="13"/>
  <c r="DK151" i="13" s="1"/>
  <c r="DG108" i="13"/>
  <c r="DK108" i="13" s="1"/>
  <c r="DF121" i="13"/>
  <c r="DJ121" i="13" s="1"/>
  <c r="DG115" i="13"/>
  <c r="DK115" i="13" s="1"/>
  <c r="I180" i="13"/>
  <c r="DF149" i="13"/>
  <c r="DJ149" i="13" s="1"/>
  <c r="CL180" i="13"/>
  <c r="BI180" i="13"/>
  <c r="CU180" i="13"/>
  <c r="L180" i="13"/>
  <c r="DF110" i="13"/>
  <c r="DJ110" i="13" s="1"/>
  <c r="DF111" i="13"/>
  <c r="DJ111" i="13" s="1"/>
  <c r="DG113" i="13"/>
  <c r="DK113" i="13" s="1"/>
  <c r="AU180" i="13"/>
  <c r="DG122" i="13"/>
  <c r="DK122" i="13" s="1"/>
  <c r="DF130" i="13"/>
  <c r="DJ130" i="13" s="1"/>
  <c r="DG156" i="13"/>
  <c r="DK156" i="13" s="1"/>
  <c r="DG117" i="13"/>
  <c r="DK117" i="13" s="1"/>
  <c r="CQ180" i="13"/>
  <c r="DG150" i="13"/>
  <c r="DK150" i="13" s="1"/>
  <c r="BF180" i="13"/>
  <c r="AC180" i="13"/>
  <c r="BO180" i="13"/>
  <c r="DG120" i="13"/>
  <c r="DK120" i="13" s="1"/>
  <c r="DG141" i="13"/>
  <c r="DK141" i="13" s="1"/>
  <c r="DG142" i="13"/>
  <c r="DK142" i="13" s="1"/>
  <c r="DG116" i="13"/>
  <c r="DK116" i="13" s="1"/>
  <c r="DG107" i="13"/>
  <c r="DK107" i="13" s="1"/>
  <c r="DF137" i="13"/>
  <c r="DJ137" i="13" s="1"/>
  <c r="DF112" i="13"/>
  <c r="DJ112" i="13" s="1"/>
  <c r="DF150" i="13"/>
  <c r="DJ150" i="13" s="1"/>
  <c r="CO180" i="13"/>
  <c r="D180" i="13"/>
  <c r="C180" i="13"/>
  <c r="DF136" i="13"/>
  <c r="DJ136" i="13" s="1"/>
  <c r="DF127" i="13"/>
  <c r="DJ127" i="13" s="1"/>
  <c r="DG133" i="13"/>
  <c r="DK133" i="13" s="1"/>
  <c r="DF141" i="13"/>
  <c r="DJ141" i="13" s="1"/>
  <c r="DF153" i="13"/>
  <c r="DJ153" i="13" s="1"/>
  <c r="DG130" i="13"/>
  <c r="DK130" i="13" s="1"/>
  <c r="O180" i="13"/>
  <c r="Z180" i="13"/>
  <c r="CF180" i="13"/>
  <c r="AI180" i="13"/>
  <c r="DF152" i="13"/>
  <c r="DJ152" i="13" s="1"/>
  <c r="DF143" i="13"/>
  <c r="DJ143" i="13" s="1"/>
  <c r="DG110" i="13"/>
  <c r="DK110" i="13" s="1"/>
  <c r="DF126" i="13"/>
  <c r="DJ126" i="13" s="1"/>
  <c r="F45" i="13" l="1" a="1"/>
  <c r="F45" i="13" s="1"/>
  <c r="F49" i="13" a="1"/>
  <c r="F49" i="13" s="1"/>
  <c r="F66" i="13" a="1"/>
  <c r="F66" i="13" s="1"/>
  <c r="E62" i="13"/>
  <c r="E48" i="13"/>
  <c r="E61" i="13"/>
  <c r="F88" i="13" a="1"/>
  <c r="F88" i="13" s="1"/>
  <c r="G52" i="13"/>
  <c r="F52" i="13" a="1"/>
  <c r="F52" i="13" s="1"/>
  <c r="E46" i="13"/>
  <c r="E69" i="13"/>
  <c r="G81" i="13"/>
  <c r="G75" i="13"/>
  <c r="G79" i="13"/>
  <c r="E85" i="13"/>
  <c r="G51" i="13"/>
  <c r="E90" i="13"/>
  <c r="G74" i="13"/>
  <c r="F84" i="13" a="1"/>
  <c r="F84" i="13" s="1"/>
  <c r="E81" i="13"/>
  <c r="E49" i="13"/>
  <c r="G47" i="13"/>
  <c r="E65" i="13"/>
  <c r="E50" i="13"/>
  <c r="E72" i="13"/>
  <c r="E88" i="13"/>
  <c r="F53" i="13" a="1"/>
  <c r="F53" i="13" s="1"/>
  <c r="G68" i="13"/>
  <c r="BI68" i="13" s="1"/>
  <c r="F82" i="13" a="1"/>
  <c r="F82" i="13" s="1"/>
  <c r="G61" i="13"/>
  <c r="BI61" i="13" s="1"/>
  <c r="F51" i="13" a="1"/>
  <c r="F51" i="13" s="1"/>
  <c r="E64" i="13"/>
  <c r="E77" i="13"/>
  <c r="G91" i="13"/>
  <c r="G54" i="13"/>
  <c r="BI54" i="13" s="1"/>
  <c r="F64" i="13" a="1"/>
  <c r="F64" i="13" s="1"/>
  <c r="E75" i="13"/>
  <c r="G86" i="13"/>
  <c r="BI86" i="13" s="1"/>
  <c r="G63" i="13"/>
  <c r="BI63" i="13" s="1"/>
  <c r="F58" i="13" a="1"/>
  <c r="F58" i="13" s="1"/>
  <c r="F87" i="13" a="1"/>
  <c r="F87" i="13" s="1"/>
  <c r="F74" i="13" a="1"/>
  <c r="F74" i="13" s="1"/>
  <c r="F59" i="13" a="1"/>
  <c r="F59" i="13" s="1"/>
  <c r="F78" i="13" a="1"/>
  <c r="F78" i="13" s="1"/>
  <c r="E44" i="13"/>
  <c r="E57" i="13"/>
  <c r="G71" i="13"/>
  <c r="E86" i="13"/>
  <c r="F81" i="13" a="1"/>
  <c r="F81" i="13" s="1"/>
  <c r="G56" i="13"/>
  <c r="BI56" i="13" s="1"/>
  <c r="F70" i="13" a="1"/>
  <c r="F70" i="13" s="1"/>
  <c r="G85" i="13"/>
  <c r="E47" i="13"/>
  <c r="G58" i="13"/>
  <c r="BI58" i="13" s="1"/>
  <c r="F68" i="13" a="1"/>
  <c r="F68" i="13" s="1"/>
  <c r="E79" i="13"/>
  <c r="G90" i="13"/>
  <c r="E42" i="13"/>
  <c r="F61" i="13" a="1"/>
  <c r="F61" i="13" s="1"/>
  <c r="F90" i="13" a="1"/>
  <c r="F90" i="13" s="1"/>
  <c r="F77" i="13" a="1"/>
  <c r="F77" i="13" s="1"/>
  <c r="F62" i="13" a="1"/>
  <c r="F62" i="13" s="1"/>
  <c r="G80" i="13"/>
  <c r="F47" i="13" a="1"/>
  <c r="F47" i="13" s="1"/>
  <c r="E60" i="13"/>
  <c r="E73" i="13"/>
  <c r="G87" i="13"/>
  <c r="G42" i="13"/>
  <c r="F57" i="13" a="1"/>
  <c r="F57" i="13" s="1"/>
  <c r="G72" i="13"/>
  <c r="F86" i="13" a="1"/>
  <c r="F86" i="13" s="1"/>
  <c r="F48" i="13" a="1"/>
  <c r="F48" i="13" s="1"/>
  <c r="E59" i="13"/>
  <c r="G70" i="13"/>
  <c r="F80" i="13" a="1"/>
  <c r="F80" i="13" s="1"/>
  <c r="E91" i="13"/>
  <c r="G45" i="13"/>
  <c r="F43" i="13" a="1"/>
  <c r="F43" i="13" s="1"/>
  <c r="E52" i="13"/>
  <c r="G73" i="13"/>
  <c r="E78" i="13"/>
  <c r="G60" i="13"/>
  <c r="BI60" i="13" s="1"/>
  <c r="E68" i="13"/>
  <c r="BH68" i="13" s="1"/>
  <c r="G89" i="13"/>
  <c r="E53" i="13"/>
  <c r="G64" i="13"/>
  <c r="BI64" i="13" s="1"/>
  <c r="F75" i="13" a="1"/>
  <c r="F75" i="13" s="1"/>
  <c r="E82" i="13"/>
  <c r="F91" i="13" a="1"/>
  <c r="F91" i="13" s="1"/>
  <c r="G49" i="13"/>
  <c r="E54" i="13"/>
  <c r="F63" i="13" a="1"/>
  <c r="F63" i="13" s="1"/>
  <c r="F69" i="13" a="1"/>
  <c r="F69" i="13" s="1"/>
  <c r="E76" i="13"/>
  <c r="G84" i="13"/>
  <c r="E89" i="13"/>
  <c r="F65" i="13" a="1"/>
  <c r="F65" i="13" s="1"/>
  <c r="E43" i="13"/>
  <c r="G53" i="13"/>
  <c r="E58" i="13"/>
  <c r="F67" i="13" a="1"/>
  <c r="F67" i="13" s="1"/>
  <c r="F73" i="13" a="1"/>
  <c r="F73" i="13" s="1"/>
  <c r="E80" i="13"/>
  <c r="G88" i="13"/>
  <c r="F44" i="13" a="1"/>
  <c r="F44" i="13" s="1"/>
  <c r="G50" i="13"/>
  <c r="E55" i="13"/>
  <c r="F60" i="13" a="1"/>
  <c r="F60" i="13" s="1"/>
  <c r="G66" i="13"/>
  <c r="BI66" i="13" s="1"/>
  <c r="E71" i="13"/>
  <c r="F76" i="13" a="1"/>
  <c r="F76" i="13" s="1"/>
  <c r="G82" i="13"/>
  <c r="E87" i="13"/>
  <c r="G57" i="13"/>
  <c r="BI57" i="13" s="1"/>
  <c r="G44" i="13"/>
  <c r="F55" i="13" a="1"/>
  <c r="F55" i="13" s="1"/>
  <c r="G76" i="13"/>
  <c r="E84" i="13"/>
  <c r="F42" i="13" a="1"/>
  <c r="F42" i="13" s="1"/>
  <c r="F71" i="13" a="1"/>
  <c r="F71" i="13" s="1"/>
  <c r="F46" i="13" a="1"/>
  <c r="F46" i="13" s="1"/>
  <c r="E56" i="13"/>
  <c r="E66" i="13"/>
  <c r="G77" i="13"/>
  <c r="G83" i="13"/>
  <c r="G43" i="13"/>
  <c r="F50" i="13" a="1"/>
  <c r="F50" i="13" s="1"/>
  <c r="G55" i="13"/>
  <c r="BI55" i="13" s="1"/>
  <c r="G65" i="13"/>
  <c r="BI65" i="13" s="1"/>
  <c r="E70" i="13"/>
  <c r="F79" i="13" a="1"/>
  <c r="F79" i="13" s="1"/>
  <c r="F85" i="13" a="1"/>
  <c r="F85" i="13" s="1"/>
  <c r="G48" i="13"/>
  <c r="G67" i="13"/>
  <c r="BI67" i="13" s="1"/>
  <c r="E45" i="13"/>
  <c r="F54" i="13" a="1"/>
  <c r="F54" i="13" s="1"/>
  <c r="G59" i="13"/>
  <c r="BI59" i="13" s="1"/>
  <c r="G69" i="13"/>
  <c r="E74" i="13"/>
  <c r="F83" i="13" a="1"/>
  <c r="F83" i="13" s="1"/>
  <c r="F89" i="13" a="1"/>
  <c r="F89" i="13" s="1"/>
  <c r="G46" i="13"/>
  <c r="E51" i="13"/>
  <c r="F56" i="13" a="1"/>
  <c r="F56" i="13" s="1"/>
  <c r="G62" i="13"/>
  <c r="BI62" i="13" s="1"/>
  <c r="E67" i="13"/>
  <c r="F72" i="13" a="1"/>
  <c r="F72" i="13" s="1"/>
  <c r="G78" i="13"/>
  <c r="E83" i="13"/>
  <c r="BG43" i="13" l="1"/>
  <c r="BG71" i="13"/>
  <c r="BG79" i="13"/>
  <c r="BG91" i="13"/>
  <c r="BG78" i="13"/>
  <c r="BG49" i="13"/>
  <c r="BG84" i="13"/>
  <c r="BG66" i="13"/>
  <c r="BG67" i="13"/>
  <c r="BG82" i="13"/>
  <c r="BG83" i="13"/>
  <c r="BG85" i="13"/>
  <c r="BG73" i="13"/>
  <c r="BG75" i="13"/>
  <c r="BG74" i="13"/>
  <c r="BG68" i="13"/>
  <c r="BG45" i="13"/>
  <c r="BG80" i="13"/>
  <c r="BG51" i="13"/>
  <c r="BG44" i="13"/>
  <c r="BG90" i="13"/>
  <c r="BG50" i="13"/>
  <c r="BG72" i="13"/>
  <c r="BG65" i="13"/>
  <c r="BG77" i="13"/>
  <c r="BG48" i="13"/>
  <c r="BG76" i="13"/>
  <c r="BG63" i="13"/>
  <c r="BG86" i="13"/>
  <c r="BG46" i="13"/>
  <c r="BG69" i="13"/>
  <c r="BG47" i="13"/>
  <c r="BG89" i="13"/>
  <c r="BG88" i="13"/>
  <c r="BG70" i="13"/>
  <c r="BG81" i="13"/>
  <c r="BG87" i="13"/>
  <c r="BG64" i="13"/>
  <c r="BG42" i="13"/>
  <c r="BG59" i="13"/>
  <c r="BG52" i="13"/>
  <c r="BG58" i="13"/>
  <c r="BG57" i="13"/>
  <c r="BG54" i="13"/>
  <c r="BG56" i="13"/>
  <c r="BG55" i="13"/>
  <c r="BG61" i="13"/>
  <c r="BG53" i="13"/>
  <c r="BG60" i="13"/>
  <c r="BG62" i="13"/>
  <c r="CQ55" i="13"/>
  <c r="CR55" i="13"/>
  <c r="BM55" i="13"/>
  <c r="CM55" i="13"/>
  <c r="CW55" i="13"/>
  <c r="BZ55" i="13"/>
  <c r="DY55" i="13" s="1"/>
  <c r="BL55" i="13"/>
  <c r="BV55" i="13"/>
  <c r="BR55" i="13"/>
  <c r="CH55" i="13"/>
  <c r="EG55" i="13" s="1"/>
  <c r="BW55" i="13"/>
  <c r="DV55" i="13" s="1"/>
  <c r="CF55" i="13"/>
  <c r="EE55" i="13" s="1"/>
  <c r="BU55" i="13"/>
  <c r="BH55" i="13"/>
  <c r="CY55" i="13"/>
  <c r="DF55" i="13"/>
  <c r="BY55" i="13"/>
  <c r="DX55" i="13" s="1"/>
  <c r="CP55" i="13"/>
  <c r="DB55" i="13"/>
  <c r="DG55" i="13"/>
  <c r="DD55" i="13"/>
  <c r="CV55" i="13"/>
  <c r="BT55" i="13"/>
  <c r="CL55" i="13"/>
  <c r="CG55" i="13"/>
  <c r="EF55" i="13" s="1"/>
  <c r="CI55" i="13"/>
  <c r="EH55" i="13" s="1"/>
  <c r="BP55" i="13"/>
  <c r="CX55" i="13"/>
  <c r="CO55" i="13"/>
  <c r="BS55" i="13"/>
  <c r="DE55" i="13"/>
  <c r="CJ55" i="13"/>
  <c r="EI55" i="13" s="1"/>
  <c r="CZ55" i="13"/>
  <c r="CE55" i="13"/>
  <c r="ED55" i="13" s="1"/>
  <c r="DA55" i="13"/>
  <c r="CN55" i="13"/>
  <c r="CB55" i="13"/>
  <c r="EA55" i="13" s="1"/>
  <c r="BN55" i="13"/>
  <c r="BX55" i="13"/>
  <c r="DW55" i="13" s="1"/>
  <c r="BQ55" i="13"/>
  <c r="CD55" i="13"/>
  <c r="EC55" i="13" s="1"/>
  <c r="CT55" i="13"/>
  <c r="CU55" i="13"/>
  <c r="CC55" i="13"/>
  <c r="EB55" i="13" s="1"/>
  <c r="BO55" i="13"/>
  <c r="CS55" i="13"/>
  <c r="CA55" i="13"/>
  <c r="DZ55" i="13" s="1"/>
  <c r="CK55" i="13"/>
  <c r="EJ55" i="13" s="1"/>
  <c r="BK55" i="13"/>
  <c r="DH55" i="13"/>
  <c r="DC55" i="13"/>
  <c r="FB55" i="13" s="1"/>
  <c r="BY86" i="13"/>
  <c r="DX86" i="13" s="1"/>
  <c r="BR86" i="13"/>
  <c r="CZ86" i="13"/>
  <c r="CG86" i="13"/>
  <c r="EF86" i="13" s="1"/>
  <c r="BT86" i="13"/>
  <c r="CY86" i="13"/>
  <c r="BS86" i="13"/>
  <c r="DE86" i="13"/>
  <c r="CV86" i="13"/>
  <c r="DG86" i="13"/>
  <c r="CF86" i="13"/>
  <c r="EE86" i="13" s="1"/>
  <c r="BX86" i="13"/>
  <c r="DW86" i="13" s="1"/>
  <c r="BQ86" i="13"/>
  <c r="BK86" i="13"/>
  <c r="BL86" i="13"/>
  <c r="DF86" i="13"/>
  <c r="CN86" i="13"/>
  <c r="BM86" i="13"/>
  <c r="DD86" i="13"/>
  <c r="BH86" i="13"/>
  <c r="CC86" i="13"/>
  <c r="EB86" i="13" s="1"/>
  <c r="CE86" i="13"/>
  <c r="ED86" i="13" s="1"/>
  <c r="DB86" i="13"/>
  <c r="BU86" i="13"/>
  <c r="CT86" i="13"/>
  <c r="CL86" i="13"/>
  <c r="BZ86" i="13"/>
  <c r="DY86" i="13" s="1"/>
  <c r="CD86" i="13"/>
  <c r="EC86" i="13" s="1"/>
  <c r="BO86" i="13"/>
  <c r="DH86" i="13"/>
  <c r="CR86" i="13"/>
  <c r="CA86" i="13"/>
  <c r="DZ86" i="13" s="1"/>
  <c r="DC86" i="13"/>
  <c r="FB86" i="13" s="1"/>
  <c r="CK86" i="13"/>
  <c r="EJ86" i="13" s="1"/>
  <c r="CW86" i="13"/>
  <c r="CH86" i="13"/>
  <c r="EG86" i="13" s="1"/>
  <c r="CX86" i="13"/>
  <c r="BP86" i="13"/>
  <c r="CJ86" i="13"/>
  <c r="EI86" i="13" s="1"/>
  <c r="CQ86" i="13"/>
  <c r="CU86" i="13"/>
  <c r="CS86" i="13"/>
  <c r="CI86" i="13"/>
  <c r="EH86" i="13" s="1"/>
  <c r="CO86" i="13"/>
  <c r="BW86" i="13"/>
  <c r="DV86" i="13" s="1"/>
  <c r="BN86" i="13"/>
  <c r="CP86" i="13"/>
  <c r="CM86" i="13"/>
  <c r="DA86" i="13"/>
  <c r="BV86" i="13"/>
  <c r="CB86" i="13"/>
  <c r="EA86" i="13" s="1"/>
  <c r="BP56" i="13"/>
  <c r="CJ56" i="13"/>
  <c r="EI56" i="13" s="1"/>
  <c r="BO56" i="13"/>
  <c r="DH56" i="13"/>
  <c r="DB56" i="13"/>
  <c r="CD56" i="13"/>
  <c r="EC56" i="13" s="1"/>
  <c r="CV56" i="13"/>
  <c r="BH56" i="13"/>
  <c r="CP56" i="13"/>
  <c r="BZ56" i="13"/>
  <c r="DY56" i="13" s="1"/>
  <c r="CY56" i="13"/>
  <c r="BW56" i="13"/>
  <c r="DV56" i="13" s="1"/>
  <c r="BL56" i="13"/>
  <c r="CE56" i="13"/>
  <c r="ED56" i="13" s="1"/>
  <c r="BR56" i="13"/>
  <c r="DF56" i="13"/>
  <c r="CL56" i="13"/>
  <c r="CH56" i="13"/>
  <c r="EG56" i="13" s="1"/>
  <c r="BN56" i="13"/>
  <c r="BV56" i="13"/>
  <c r="CI56" i="13"/>
  <c r="EH56" i="13" s="1"/>
  <c r="BU56" i="13"/>
  <c r="CG56" i="13"/>
  <c r="EF56" i="13" s="1"/>
  <c r="BK56" i="13"/>
  <c r="CB56" i="13"/>
  <c r="EA56" i="13" s="1"/>
  <c r="DG56" i="13"/>
  <c r="DC56" i="13"/>
  <c r="FB56" i="13" s="1"/>
  <c r="CS56" i="13"/>
  <c r="CA56" i="13"/>
  <c r="DZ56" i="13" s="1"/>
  <c r="BY56" i="13"/>
  <c r="DX56" i="13" s="1"/>
  <c r="CQ56" i="13"/>
  <c r="CN56" i="13"/>
  <c r="BT56" i="13"/>
  <c r="CZ56" i="13"/>
  <c r="CO56" i="13"/>
  <c r="CW56" i="13"/>
  <c r="BX56" i="13"/>
  <c r="DW56" i="13" s="1"/>
  <c r="CT56" i="13"/>
  <c r="BS56" i="13"/>
  <c r="CK56" i="13"/>
  <c r="EJ56" i="13" s="1"/>
  <c r="BM56" i="13"/>
  <c r="DA56" i="13"/>
  <c r="BQ56" i="13"/>
  <c r="CX56" i="13"/>
  <c r="CR56" i="13"/>
  <c r="CC56" i="13"/>
  <c r="EB56" i="13" s="1"/>
  <c r="DD56" i="13"/>
  <c r="DE56" i="13"/>
  <c r="CM56" i="13"/>
  <c r="CU56" i="13"/>
  <c r="CF56" i="13"/>
  <c r="EE56" i="13" s="1"/>
  <c r="BN60" i="13"/>
  <c r="CS60" i="13"/>
  <c r="CD60" i="13"/>
  <c r="EC60" i="13" s="1"/>
  <c r="CK60" i="13"/>
  <c r="EJ60" i="13" s="1"/>
  <c r="BT60" i="13"/>
  <c r="DC60" i="13"/>
  <c r="FB60" i="13" s="1"/>
  <c r="DF60" i="13"/>
  <c r="CO60" i="13"/>
  <c r="CU60" i="13"/>
  <c r="CA60" i="13"/>
  <c r="DZ60" i="13" s="1"/>
  <c r="BR60" i="13"/>
  <c r="CB60" i="13"/>
  <c r="EA60" i="13" s="1"/>
  <c r="CR60" i="13"/>
  <c r="CW60" i="13"/>
  <c r="BH60" i="13"/>
  <c r="CL60" i="13"/>
  <c r="BK60" i="13"/>
  <c r="CG60" i="13"/>
  <c r="EF60" i="13" s="1"/>
  <c r="CJ60" i="13"/>
  <c r="EI60" i="13" s="1"/>
  <c r="DB60" i="13"/>
  <c r="CN60" i="13"/>
  <c r="CY60" i="13"/>
  <c r="BP60" i="13"/>
  <c r="BZ60" i="13"/>
  <c r="DY60" i="13" s="1"/>
  <c r="BO60" i="13"/>
  <c r="BL60" i="13"/>
  <c r="BX60" i="13"/>
  <c r="DW60" i="13" s="1"/>
  <c r="BS60" i="13"/>
  <c r="DA60" i="13"/>
  <c r="CP60" i="13"/>
  <c r="CZ60" i="13"/>
  <c r="BM60" i="13"/>
  <c r="BU60" i="13"/>
  <c r="DH60" i="13"/>
  <c r="CQ60" i="13"/>
  <c r="CE60" i="13"/>
  <c r="ED60" i="13" s="1"/>
  <c r="BW60" i="13"/>
  <c r="DV60" i="13" s="1"/>
  <c r="CI60" i="13"/>
  <c r="EH60" i="13" s="1"/>
  <c r="BV60" i="13"/>
  <c r="DG60" i="13"/>
  <c r="BY60" i="13"/>
  <c r="DX60" i="13" s="1"/>
  <c r="CT60" i="13"/>
  <c r="BQ60" i="13"/>
  <c r="CF60" i="13"/>
  <c r="EE60" i="13" s="1"/>
  <c r="CV60" i="13"/>
  <c r="CC60" i="13"/>
  <c r="EB60" i="13" s="1"/>
  <c r="CH60" i="13"/>
  <c r="EG60" i="13" s="1"/>
  <c r="DD60" i="13"/>
  <c r="CX60" i="13"/>
  <c r="CM60" i="13"/>
  <c r="DE60" i="13"/>
  <c r="CB59" i="13"/>
  <c r="EA59" i="13" s="1"/>
  <c r="BK59" i="13"/>
  <c r="BZ59" i="13"/>
  <c r="DY59" i="13" s="1"/>
  <c r="BQ59" i="13"/>
  <c r="CN59" i="13"/>
  <c r="DC59" i="13"/>
  <c r="FB59" i="13" s="1"/>
  <c r="DD59" i="13"/>
  <c r="BS59" i="13"/>
  <c r="CP59" i="13"/>
  <c r="DE59" i="13"/>
  <c r="CA59" i="13"/>
  <c r="DZ59" i="13" s="1"/>
  <c r="CR59" i="13"/>
  <c r="BY59" i="13"/>
  <c r="DX59" i="13" s="1"/>
  <c r="CE59" i="13"/>
  <c r="ED59" i="13" s="1"/>
  <c r="BT59" i="13"/>
  <c r="CC59" i="13"/>
  <c r="EB59" i="13" s="1"/>
  <c r="CF59" i="13"/>
  <c r="EE59" i="13" s="1"/>
  <c r="CQ59" i="13"/>
  <c r="CD59" i="13"/>
  <c r="EC59" i="13" s="1"/>
  <c r="BO59" i="13"/>
  <c r="CU59" i="13"/>
  <c r="CT59" i="13"/>
  <c r="CG59" i="13"/>
  <c r="EF59" i="13" s="1"/>
  <c r="BL59" i="13"/>
  <c r="BV59" i="13"/>
  <c r="DA59" i="13"/>
  <c r="CO59" i="13"/>
  <c r="BU59" i="13"/>
  <c r="CL59" i="13"/>
  <c r="CY59" i="13"/>
  <c r="BR59" i="13"/>
  <c r="CX59" i="13"/>
  <c r="BM59" i="13"/>
  <c r="BX59" i="13"/>
  <c r="DW59" i="13" s="1"/>
  <c r="CM59" i="13"/>
  <c r="DB59" i="13"/>
  <c r="CS59" i="13"/>
  <c r="CI59" i="13"/>
  <c r="EH59" i="13" s="1"/>
  <c r="CH59" i="13"/>
  <c r="EG59" i="13" s="1"/>
  <c r="CW59" i="13"/>
  <c r="DH59" i="13"/>
  <c r="BN59" i="13"/>
  <c r="DF59" i="13"/>
  <c r="BP59" i="13"/>
  <c r="DG59" i="13"/>
  <c r="CJ59" i="13"/>
  <c r="EI59" i="13" s="1"/>
  <c r="BH59" i="13"/>
  <c r="BW59" i="13"/>
  <c r="DV59" i="13" s="1"/>
  <c r="CV59" i="13"/>
  <c r="CK59" i="13"/>
  <c r="EJ59" i="13" s="1"/>
  <c r="CZ59" i="13"/>
  <c r="BW89" i="13"/>
  <c r="CH89" i="13"/>
  <c r="DD89" i="13"/>
  <c r="BR89" i="13"/>
  <c r="CM89" i="13"/>
  <c r="CK89" i="13"/>
  <c r="CO89" i="13"/>
  <c r="CU89" i="13"/>
  <c r="CT89" i="13"/>
  <c r="BX89" i="13"/>
  <c r="CR89" i="13"/>
  <c r="BU89" i="13"/>
  <c r="CS89" i="13"/>
  <c r="CN89" i="13"/>
  <c r="DG89" i="13"/>
  <c r="DF89" i="13"/>
  <c r="BT89" i="13"/>
  <c r="BY89" i="13"/>
  <c r="CJ89" i="13"/>
  <c r="CL89" i="13"/>
  <c r="CP89" i="13"/>
  <c r="CW89" i="13"/>
  <c r="CG89" i="13"/>
  <c r="CB89" i="13"/>
  <c r="CA89" i="13"/>
  <c r="CC89" i="13"/>
  <c r="DH89" i="13"/>
  <c r="BM89" i="13"/>
  <c r="DA89" i="13"/>
  <c r="BI89" i="13"/>
  <c r="BV89" i="13"/>
  <c r="BH89" i="13"/>
  <c r="DB89" i="13"/>
  <c r="DC89" i="13"/>
  <c r="BN89" i="13"/>
  <c r="BL89" i="13"/>
  <c r="BO89" i="13"/>
  <c r="CF89" i="13"/>
  <c r="BK89" i="13"/>
  <c r="DE89" i="13"/>
  <c r="BP89" i="13"/>
  <c r="BS89" i="13"/>
  <c r="CZ89" i="13"/>
  <c r="BZ89" i="13"/>
  <c r="CE89" i="13"/>
  <c r="CY89" i="13"/>
  <c r="CX89" i="13"/>
  <c r="CI89" i="13"/>
  <c r="CQ89" i="13"/>
  <c r="CV89" i="13"/>
  <c r="BQ89" i="13"/>
  <c r="CD89" i="13"/>
  <c r="DD49" i="13"/>
  <c r="CR49" i="13"/>
  <c r="CD49" i="13"/>
  <c r="CQ49" i="13"/>
  <c r="BV49" i="13"/>
  <c r="DE49" i="13"/>
  <c r="DA49" i="13"/>
  <c r="BS49" i="13"/>
  <c r="DF49" i="13"/>
  <c r="CG49" i="13"/>
  <c r="BX49" i="13"/>
  <c r="CN49" i="13"/>
  <c r="CB49" i="13"/>
  <c r="BI49" i="13"/>
  <c r="BO49" i="13"/>
  <c r="BZ49" i="13"/>
  <c r="BN49" i="13"/>
  <c r="CZ49" i="13"/>
  <c r="BQ49" i="13"/>
  <c r="DG49" i="13"/>
  <c r="CS49" i="13"/>
  <c r="CP49" i="13"/>
  <c r="CH49" i="13"/>
  <c r="BT49" i="13"/>
  <c r="CY49" i="13"/>
  <c r="BW49" i="13"/>
  <c r="DV49" i="13" s="1"/>
  <c r="CM49" i="13"/>
  <c r="BK49" i="13"/>
  <c r="CT49" i="13"/>
  <c r="BH49" i="13"/>
  <c r="CE49" i="13"/>
  <c r="CK49" i="13"/>
  <c r="DC49" i="13"/>
  <c r="BU49" i="13"/>
  <c r="DB49" i="13"/>
  <c r="CC49" i="13"/>
  <c r="CO49" i="13"/>
  <c r="BP49" i="13"/>
  <c r="CL49" i="13"/>
  <c r="BM49" i="13"/>
  <c r="DH49" i="13"/>
  <c r="BR49" i="13"/>
  <c r="DQ49" i="13" s="1"/>
  <c r="CW49" i="13"/>
  <c r="CI49" i="13"/>
  <c r="CV49" i="13"/>
  <c r="CF49" i="13"/>
  <c r="EE49" i="13" s="1"/>
  <c r="BY49" i="13"/>
  <c r="BL49" i="13"/>
  <c r="CU49" i="13"/>
  <c r="CA49" i="13"/>
  <c r="DZ49" i="13" s="1"/>
  <c r="CX49" i="13"/>
  <c r="CJ49" i="13"/>
  <c r="BY51" i="13"/>
  <c r="CU51" i="13"/>
  <c r="CE51" i="13"/>
  <c r="BQ51" i="13"/>
  <c r="CV51" i="13"/>
  <c r="CY51" i="13"/>
  <c r="CW51" i="13"/>
  <c r="BP51" i="13"/>
  <c r="DC51" i="13"/>
  <c r="BX51" i="13"/>
  <c r="BI51" i="13"/>
  <c r="DH51" i="13"/>
  <c r="CI51" i="13"/>
  <c r="BV51" i="13"/>
  <c r="DD51" i="13"/>
  <c r="CN51" i="13"/>
  <c r="CL51" i="13"/>
  <c r="CA51" i="13"/>
  <c r="BN51" i="13"/>
  <c r="CM51" i="13"/>
  <c r="BM51" i="13"/>
  <c r="CO51" i="13"/>
  <c r="BS51" i="13"/>
  <c r="CC51" i="13"/>
  <c r="BT51" i="13"/>
  <c r="DA51" i="13"/>
  <c r="CS51" i="13"/>
  <c r="CB51" i="13"/>
  <c r="CH51" i="13"/>
  <c r="BW51" i="13"/>
  <c r="CX51" i="13"/>
  <c r="CQ51" i="13"/>
  <c r="BK51" i="13"/>
  <c r="BR51" i="13"/>
  <c r="DF51" i="13"/>
  <c r="BZ51" i="13"/>
  <c r="BO51" i="13"/>
  <c r="BH51" i="13"/>
  <c r="CJ51" i="13"/>
  <c r="EI51" i="13" s="1"/>
  <c r="CT51" i="13"/>
  <c r="BL51" i="13"/>
  <c r="CZ51" i="13"/>
  <c r="CF51" i="13"/>
  <c r="EE51" i="13" s="1"/>
  <c r="CD51" i="13"/>
  <c r="DB51" i="13"/>
  <c r="BU51" i="13"/>
  <c r="DG51" i="13"/>
  <c r="CG51" i="13"/>
  <c r="DE51" i="13"/>
  <c r="CP51" i="13"/>
  <c r="CR51" i="13"/>
  <c r="CK51" i="13"/>
  <c r="BK65" i="13"/>
  <c r="BH65" i="13"/>
  <c r="CY65" i="13"/>
  <c r="CT65" i="13"/>
  <c r="CQ65" i="13"/>
  <c r="BX65" i="13"/>
  <c r="DW65" i="13" s="1"/>
  <c r="CA65" i="13"/>
  <c r="DZ65" i="13" s="1"/>
  <c r="CJ65" i="13"/>
  <c r="EI65" i="13" s="1"/>
  <c r="CR65" i="13"/>
  <c r="BL65" i="13"/>
  <c r="CM65" i="13"/>
  <c r="BN65" i="13"/>
  <c r="CK65" i="13"/>
  <c r="EJ65" i="13" s="1"/>
  <c r="CO65" i="13"/>
  <c r="CC65" i="13"/>
  <c r="EB65" i="13" s="1"/>
  <c r="CN65" i="13"/>
  <c r="CF65" i="13"/>
  <c r="EE65" i="13" s="1"/>
  <c r="BO65" i="13"/>
  <c r="BU65" i="13"/>
  <c r="BP65" i="13"/>
  <c r="CH65" i="13"/>
  <c r="EG65" i="13" s="1"/>
  <c r="DH65" i="13"/>
  <c r="DF65" i="13"/>
  <c r="DG65" i="13"/>
  <c r="CP65" i="13"/>
  <c r="CD65" i="13"/>
  <c r="EC65" i="13" s="1"/>
  <c r="BT65" i="13"/>
  <c r="DE65" i="13"/>
  <c r="CE65" i="13"/>
  <c r="ED65" i="13" s="1"/>
  <c r="DD65" i="13"/>
  <c r="CG65" i="13"/>
  <c r="EF65" i="13" s="1"/>
  <c r="CV65" i="13"/>
  <c r="CW65" i="13"/>
  <c r="CX65" i="13"/>
  <c r="BV65" i="13"/>
  <c r="BR65" i="13"/>
  <c r="CI65" i="13"/>
  <c r="EH65" i="13" s="1"/>
  <c r="CL65" i="13"/>
  <c r="BW65" i="13"/>
  <c r="DV65" i="13" s="1"/>
  <c r="BM65" i="13"/>
  <c r="BY65" i="13"/>
  <c r="DX65" i="13" s="1"/>
  <c r="BS65" i="13"/>
  <c r="DB65" i="13"/>
  <c r="DA65" i="13"/>
  <c r="BZ65" i="13"/>
  <c r="DY65" i="13" s="1"/>
  <c r="CS65" i="13"/>
  <c r="CB65" i="13"/>
  <c r="EA65" i="13" s="1"/>
  <c r="CU65" i="13"/>
  <c r="BQ65" i="13"/>
  <c r="DC65" i="13"/>
  <c r="FB65" i="13" s="1"/>
  <c r="CZ65" i="13"/>
  <c r="CR66" i="13"/>
  <c r="CJ66" i="13"/>
  <c r="EI66" i="13" s="1"/>
  <c r="BP66" i="13"/>
  <c r="CA66" i="13"/>
  <c r="DZ66" i="13" s="1"/>
  <c r="CE66" i="13"/>
  <c r="ED66" i="13" s="1"/>
  <c r="DC66" i="13"/>
  <c r="FB66" i="13" s="1"/>
  <c r="DG66" i="13"/>
  <c r="BW66" i="13"/>
  <c r="DV66" i="13" s="1"/>
  <c r="BQ66" i="13"/>
  <c r="BT66" i="13"/>
  <c r="CI66" i="13"/>
  <c r="EH66" i="13" s="1"/>
  <c r="DE66" i="13"/>
  <c r="BV66" i="13"/>
  <c r="BX66" i="13"/>
  <c r="DW66" i="13" s="1"/>
  <c r="BR66" i="13"/>
  <c r="DQ66" i="13" s="1"/>
  <c r="CV66" i="13"/>
  <c r="BZ66" i="13"/>
  <c r="DY66" i="13" s="1"/>
  <c r="DD66" i="13"/>
  <c r="BH66" i="13"/>
  <c r="CZ66" i="13"/>
  <c r="CQ66" i="13"/>
  <c r="CW66" i="13"/>
  <c r="CB66" i="13"/>
  <c r="EA66" i="13" s="1"/>
  <c r="CU66" i="13"/>
  <c r="CM66" i="13"/>
  <c r="CT66" i="13"/>
  <c r="BU66" i="13"/>
  <c r="BY66" i="13"/>
  <c r="DX66" i="13" s="1"/>
  <c r="DF66" i="13"/>
  <c r="CN66" i="13"/>
  <c r="CH66" i="13"/>
  <c r="EG66" i="13" s="1"/>
  <c r="CL66" i="13"/>
  <c r="CG66" i="13"/>
  <c r="EF66" i="13" s="1"/>
  <c r="CC66" i="13"/>
  <c r="EB66" i="13" s="1"/>
  <c r="CD66" i="13"/>
  <c r="EC66" i="13" s="1"/>
  <c r="CK66" i="13"/>
  <c r="EJ66" i="13" s="1"/>
  <c r="CY66" i="13"/>
  <c r="BL66" i="13"/>
  <c r="BO66" i="13"/>
  <c r="DA66" i="13"/>
  <c r="DH66" i="13"/>
  <c r="DB66" i="13"/>
  <c r="BS66" i="13"/>
  <c r="CF66" i="13"/>
  <c r="EE66" i="13" s="1"/>
  <c r="CP66" i="13"/>
  <c r="BN66" i="13"/>
  <c r="CS66" i="13"/>
  <c r="BM66" i="13"/>
  <c r="CO66" i="13"/>
  <c r="BK66" i="13"/>
  <c r="CX66" i="13"/>
  <c r="CH62" i="13"/>
  <c r="EG62" i="13" s="1"/>
  <c r="CO62" i="13"/>
  <c r="DH62" i="13"/>
  <c r="BM62" i="13"/>
  <c r="CM62" i="13"/>
  <c r="CR62" i="13"/>
  <c r="BN62" i="13"/>
  <c r="CS62" i="13"/>
  <c r="BH62" i="13"/>
  <c r="DC62" i="13"/>
  <c r="FB62" i="13" s="1"/>
  <c r="CD62" i="13"/>
  <c r="EC62" i="13" s="1"/>
  <c r="DB62" i="13"/>
  <c r="BS62" i="13"/>
  <c r="CB62" i="13"/>
  <c r="EA62" i="13" s="1"/>
  <c r="BZ62" i="13"/>
  <c r="DY62" i="13" s="1"/>
  <c r="CV62" i="13"/>
  <c r="BV62" i="13"/>
  <c r="CY62" i="13"/>
  <c r="DD62" i="13"/>
  <c r="BK62" i="13"/>
  <c r="BR62" i="13"/>
  <c r="BO62" i="13"/>
  <c r="CI62" i="13"/>
  <c r="EH62" i="13" s="1"/>
  <c r="CW62" i="13"/>
  <c r="DE62" i="13"/>
  <c r="BT62" i="13"/>
  <c r="CQ62" i="13"/>
  <c r="BL62" i="13"/>
  <c r="BW62" i="13"/>
  <c r="DV62" i="13" s="1"/>
  <c r="BQ62" i="13"/>
  <c r="BP62" i="13"/>
  <c r="CG62" i="13"/>
  <c r="EF62" i="13" s="1"/>
  <c r="CZ62" i="13"/>
  <c r="CF62" i="13"/>
  <c r="EE62" i="13" s="1"/>
  <c r="DF62" i="13"/>
  <c r="BU62" i="13"/>
  <c r="BY62" i="13"/>
  <c r="DX62" i="13" s="1"/>
  <c r="CJ62" i="13"/>
  <c r="EI62" i="13" s="1"/>
  <c r="CA62" i="13"/>
  <c r="DZ62" i="13" s="1"/>
  <c r="CP62" i="13"/>
  <c r="CK62" i="13"/>
  <c r="EJ62" i="13" s="1"/>
  <c r="CE62" i="13"/>
  <c r="ED62" i="13" s="1"/>
  <c r="CT62" i="13"/>
  <c r="CN62" i="13"/>
  <c r="BX62" i="13"/>
  <c r="DW62" i="13" s="1"/>
  <c r="DA62" i="13"/>
  <c r="CC62" i="13"/>
  <c r="EB62" i="13" s="1"/>
  <c r="CU62" i="13"/>
  <c r="CL62" i="13"/>
  <c r="DG62" i="13"/>
  <c r="CX62" i="13"/>
  <c r="CA79" i="13"/>
  <c r="CR79" i="13"/>
  <c r="BT79" i="13"/>
  <c r="CT79" i="13"/>
  <c r="CU79" i="13"/>
  <c r="DH79" i="13"/>
  <c r="DA79" i="13"/>
  <c r="BQ79" i="13"/>
  <c r="BU79" i="13"/>
  <c r="DD79" i="13"/>
  <c r="BK79" i="13"/>
  <c r="BM79" i="13"/>
  <c r="BV79" i="13"/>
  <c r="CL79" i="13"/>
  <c r="CX79" i="13"/>
  <c r="BW79" i="13"/>
  <c r="BS79" i="13"/>
  <c r="BP79" i="13"/>
  <c r="DE79" i="13"/>
  <c r="CK79" i="13"/>
  <c r="CJ79" i="13"/>
  <c r="CS79" i="13"/>
  <c r="CF79" i="13"/>
  <c r="CI79" i="13"/>
  <c r="BY79" i="13"/>
  <c r="CH79" i="13"/>
  <c r="CB79" i="13"/>
  <c r="BR79" i="13"/>
  <c r="DF79" i="13"/>
  <c r="BX79" i="13"/>
  <c r="CW79" i="13"/>
  <c r="CG79" i="13"/>
  <c r="BI79" i="13"/>
  <c r="CE79" i="13"/>
  <c r="CP79" i="13"/>
  <c r="BO79" i="13"/>
  <c r="DC79" i="13"/>
  <c r="FB79" i="13" s="1"/>
  <c r="DG79" i="13"/>
  <c r="BZ79" i="13"/>
  <c r="CQ79" i="13"/>
  <c r="CD79" i="13"/>
  <c r="EC79" i="13" s="1"/>
  <c r="CM79" i="13"/>
  <c r="DB79" i="13"/>
  <c r="CV79" i="13"/>
  <c r="CZ79" i="13"/>
  <c r="CN79" i="13"/>
  <c r="CY79" i="13"/>
  <c r="BN79" i="13"/>
  <c r="BL79" i="13"/>
  <c r="CO79" i="13"/>
  <c r="BH79" i="13"/>
  <c r="CC79" i="13"/>
  <c r="CS53" i="13"/>
  <c r="BI53" i="13"/>
  <c r="CK53" i="13"/>
  <c r="BR53" i="13"/>
  <c r="CE53" i="13"/>
  <c r="CT53" i="13"/>
  <c r="CR53" i="13"/>
  <c r="CF53" i="13"/>
  <c r="CH53" i="13"/>
  <c r="BT53" i="13"/>
  <c r="BN53" i="13"/>
  <c r="BS53" i="13"/>
  <c r="DF53" i="13"/>
  <c r="DA53" i="13"/>
  <c r="CJ53" i="13"/>
  <c r="BK53" i="13"/>
  <c r="BX53" i="13"/>
  <c r="BY53" i="13"/>
  <c r="BL53" i="13"/>
  <c r="BU53" i="13"/>
  <c r="BO53" i="13"/>
  <c r="CU53" i="13"/>
  <c r="CY53" i="13"/>
  <c r="CL53" i="13"/>
  <c r="CQ53" i="13"/>
  <c r="BQ53" i="13"/>
  <c r="BW53" i="13"/>
  <c r="CC53" i="13"/>
  <c r="CW53" i="13"/>
  <c r="BM53" i="13"/>
  <c r="DD53" i="13"/>
  <c r="CM53" i="13"/>
  <c r="CZ53" i="13"/>
  <c r="CV53" i="13"/>
  <c r="CP53" i="13"/>
  <c r="DE53" i="13"/>
  <c r="BP53" i="13"/>
  <c r="CD53" i="13"/>
  <c r="DG53" i="13"/>
  <c r="DB53" i="13"/>
  <c r="CX53" i="13"/>
  <c r="CA53" i="13"/>
  <c r="CN53" i="13"/>
  <c r="CG53" i="13"/>
  <c r="CB53" i="13"/>
  <c r="BV53" i="13"/>
  <c r="CI53" i="13"/>
  <c r="CO53" i="13"/>
  <c r="BZ53" i="13"/>
  <c r="BH53" i="13"/>
  <c r="DC53" i="13"/>
  <c r="DH53" i="13"/>
  <c r="CI46" i="13"/>
  <c r="BN46" i="13"/>
  <c r="BU46" i="13"/>
  <c r="BH46" i="13"/>
  <c r="CH46" i="13"/>
  <c r="CS46" i="13"/>
  <c r="DE46" i="13"/>
  <c r="CX46" i="13"/>
  <c r="BL46" i="13"/>
  <c r="CY46" i="13"/>
  <c r="CN46" i="13"/>
  <c r="DD46" i="13"/>
  <c r="CD46" i="13"/>
  <c r="BS46" i="13"/>
  <c r="CK46" i="13"/>
  <c r="DB46" i="13"/>
  <c r="CP46" i="13"/>
  <c r="DG46" i="13"/>
  <c r="BX46" i="13"/>
  <c r="CG46" i="13"/>
  <c r="BP46" i="13"/>
  <c r="BW46" i="13"/>
  <c r="CF46" i="13"/>
  <c r="CZ46" i="13"/>
  <c r="CB46" i="13"/>
  <c r="BZ46" i="13"/>
  <c r="BK46" i="13"/>
  <c r="CQ46" i="13"/>
  <c r="BI46" i="13"/>
  <c r="DH46" i="13"/>
  <c r="BV46" i="13"/>
  <c r="CO46" i="13"/>
  <c r="BQ46" i="13"/>
  <c r="BR46" i="13"/>
  <c r="BM46" i="13"/>
  <c r="CV46" i="13"/>
  <c r="BT46" i="13"/>
  <c r="CW46" i="13"/>
  <c r="CU46" i="13"/>
  <c r="CA46" i="13"/>
  <c r="CC46" i="13"/>
  <c r="EB46" i="13" s="1"/>
  <c r="CM46" i="13"/>
  <c r="DF46" i="13"/>
  <c r="CL46" i="13"/>
  <c r="BY46" i="13"/>
  <c r="DX46" i="13" s="1"/>
  <c r="BO46" i="13"/>
  <c r="CJ46" i="13"/>
  <c r="DA46" i="13"/>
  <c r="DC46" i="13"/>
  <c r="CR46" i="13"/>
  <c r="CE46" i="13"/>
  <c r="CT46" i="13"/>
  <c r="CI69" i="13"/>
  <c r="BO69" i="13"/>
  <c r="DH69" i="13"/>
  <c r="CT69" i="13"/>
  <c r="BK69" i="13"/>
  <c r="BT69" i="13"/>
  <c r="BZ69" i="13"/>
  <c r="BX69" i="13"/>
  <c r="BW69" i="13"/>
  <c r="CB69" i="13"/>
  <c r="CN69" i="13"/>
  <c r="CH69" i="13"/>
  <c r="DB69" i="13"/>
  <c r="DG69" i="13"/>
  <c r="CS69" i="13"/>
  <c r="CA69" i="13"/>
  <c r="CV69" i="13"/>
  <c r="CE69" i="13"/>
  <c r="CM69" i="13"/>
  <c r="CJ69" i="13"/>
  <c r="BL69" i="13"/>
  <c r="CL69" i="13"/>
  <c r="BR69" i="13"/>
  <c r="DC69" i="13"/>
  <c r="CZ69" i="13"/>
  <c r="CU69" i="13"/>
  <c r="DD69" i="13"/>
  <c r="CD69" i="13"/>
  <c r="CY69" i="13"/>
  <c r="BP69" i="13"/>
  <c r="CR69" i="13"/>
  <c r="CQ69" i="13"/>
  <c r="BN69" i="13"/>
  <c r="CO69" i="13"/>
  <c r="BH69" i="13"/>
  <c r="CX69" i="13"/>
  <c r="CP69" i="13"/>
  <c r="CW69" i="13"/>
  <c r="BV69" i="13"/>
  <c r="CG69" i="13"/>
  <c r="CF69" i="13"/>
  <c r="BU69" i="13"/>
  <c r="DA69" i="13"/>
  <c r="DF69" i="13"/>
  <c r="BS69" i="13"/>
  <c r="CC69" i="13"/>
  <c r="BI69" i="13"/>
  <c r="CK69" i="13"/>
  <c r="DE69" i="13"/>
  <c r="BQ69" i="13"/>
  <c r="BY69" i="13"/>
  <c r="BM69" i="13"/>
  <c r="BL83" i="13"/>
  <c r="CL83" i="13"/>
  <c r="CT83" i="13"/>
  <c r="CB83" i="13"/>
  <c r="CZ83" i="13"/>
  <c r="CF83" i="13"/>
  <c r="BR83" i="13"/>
  <c r="BP83" i="13"/>
  <c r="CH83" i="13"/>
  <c r="CD83" i="13"/>
  <c r="BK83" i="13"/>
  <c r="CA83" i="13"/>
  <c r="CM83" i="13"/>
  <c r="CX83" i="13"/>
  <c r="CY83" i="13"/>
  <c r="BV83" i="13"/>
  <c r="DF83" i="13"/>
  <c r="CI83" i="13"/>
  <c r="BZ83" i="13"/>
  <c r="DH83" i="13"/>
  <c r="BN83" i="13"/>
  <c r="BW83" i="13"/>
  <c r="CN83" i="13"/>
  <c r="CJ83" i="13"/>
  <c r="CG83" i="13"/>
  <c r="BY83" i="13"/>
  <c r="DG83" i="13"/>
  <c r="CS83" i="13"/>
  <c r="BH83" i="13"/>
  <c r="CO83" i="13"/>
  <c r="DA83" i="13"/>
  <c r="CU83" i="13"/>
  <c r="BS83" i="13"/>
  <c r="BU83" i="13"/>
  <c r="CQ83" i="13"/>
  <c r="CP83" i="13"/>
  <c r="BT83" i="13"/>
  <c r="CW83" i="13"/>
  <c r="DD83" i="13"/>
  <c r="BM83" i="13"/>
  <c r="CR83" i="13"/>
  <c r="CV83" i="13"/>
  <c r="DB83" i="13"/>
  <c r="CE83" i="13"/>
  <c r="BI83" i="13"/>
  <c r="BO83" i="13"/>
  <c r="CK83" i="13"/>
  <c r="BX83" i="13"/>
  <c r="CC83" i="13"/>
  <c r="EB83" i="13" s="1"/>
  <c r="DE83" i="13"/>
  <c r="DC83" i="13"/>
  <c r="BQ83" i="13"/>
  <c r="DB44" i="13"/>
  <c r="BX44" i="13"/>
  <c r="BU44" i="13"/>
  <c r="BT44" i="13"/>
  <c r="CK44" i="13"/>
  <c r="DF44" i="13"/>
  <c r="DE44" i="13"/>
  <c r="BV44" i="13"/>
  <c r="CZ44" i="13"/>
  <c r="CR44" i="13"/>
  <c r="CY44" i="13"/>
  <c r="CP44" i="13"/>
  <c r="BW44" i="13"/>
  <c r="CX44" i="13"/>
  <c r="CW44" i="13"/>
  <c r="DH44" i="13"/>
  <c r="BP44" i="13"/>
  <c r="DA44" i="13"/>
  <c r="BH44" i="13"/>
  <c r="BR44" i="13"/>
  <c r="BN44" i="13"/>
  <c r="CG44" i="13"/>
  <c r="CM44" i="13"/>
  <c r="CI44" i="13"/>
  <c r="BI44" i="13"/>
  <c r="BK44" i="13"/>
  <c r="CA44" i="13"/>
  <c r="DG44" i="13"/>
  <c r="CD44" i="13"/>
  <c r="EC44" i="13" s="1"/>
  <c r="CF44" i="13"/>
  <c r="BZ44" i="13"/>
  <c r="CS44" i="13"/>
  <c r="BQ44" i="13"/>
  <c r="CE44" i="13"/>
  <c r="BY44" i="13"/>
  <c r="CQ44" i="13"/>
  <c r="BO44" i="13"/>
  <c r="CN44" i="13"/>
  <c r="BS44" i="13"/>
  <c r="CH44" i="13"/>
  <c r="CU44" i="13"/>
  <c r="DD44" i="13"/>
  <c r="DC44" i="13"/>
  <c r="BM44" i="13"/>
  <c r="CB44" i="13"/>
  <c r="EA44" i="13" s="1"/>
  <c r="CT44" i="13"/>
  <c r="CO44" i="13"/>
  <c r="CV44" i="13"/>
  <c r="CC44" i="13"/>
  <c r="EB44" i="13" s="1"/>
  <c r="BL44" i="13"/>
  <c r="CL44" i="13"/>
  <c r="CJ44" i="13"/>
  <c r="BR76" i="13"/>
  <c r="CL76" i="13"/>
  <c r="BZ76" i="13"/>
  <c r="DA76" i="13"/>
  <c r="BH76" i="13"/>
  <c r="CV76" i="13"/>
  <c r="CX76" i="13"/>
  <c r="BK76" i="13"/>
  <c r="CR76" i="13"/>
  <c r="CZ76" i="13"/>
  <c r="DE76" i="13"/>
  <c r="CS76" i="13"/>
  <c r="DF76" i="13"/>
  <c r="CG76" i="13"/>
  <c r="BN76" i="13"/>
  <c r="DG76" i="13"/>
  <c r="CN76" i="13"/>
  <c r="BQ76" i="13"/>
  <c r="BW76" i="13"/>
  <c r="BM76" i="13"/>
  <c r="BX76" i="13"/>
  <c r="CM76" i="13"/>
  <c r="CQ76" i="13"/>
  <c r="BL76" i="13"/>
  <c r="BI76" i="13"/>
  <c r="CY76" i="13"/>
  <c r="CB76" i="13"/>
  <c r="BV76" i="13"/>
  <c r="BP76" i="13"/>
  <c r="BT76" i="13"/>
  <c r="CA76" i="13"/>
  <c r="BU76" i="13"/>
  <c r="CF76" i="13"/>
  <c r="EE76" i="13" s="1"/>
  <c r="BO76" i="13"/>
  <c r="DC76" i="13"/>
  <c r="CC76" i="13"/>
  <c r="BS76" i="13"/>
  <c r="DB76" i="13"/>
  <c r="CI76" i="13"/>
  <c r="CU76" i="13"/>
  <c r="CE76" i="13"/>
  <c r="CO76" i="13"/>
  <c r="CP76" i="13"/>
  <c r="DH76" i="13"/>
  <c r="CJ76" i="13"/>
  <c r="CW76" i="13"/>
  <c r="CT76" i="13"/>
  <c r="DD76" i="13"/>
  <c r="CD76" i="13"/>
  <c r="CH76" i="13"/>
  <c r="BY76" i="13"/>
  <c r="CK76" i="13"/>
  <c r="BW58" i="13"/>
  <c r="DV58" i="13" s="1"/>
  <c r="CG58" i="13"/>
  <c r="EF58" i="13" s="1"/>
  <c r="DF58" i="13"/>
  <c r="CP58" i="13"/>
  <c r="BT58" i="13"/>
  <c r="CA58" i="13"/>
  <c r="DZ58" i="13" s="1"/>
  <c r="BL58" i="13"/>
  <c r="CU58" i="13"/>
  <c r="BX58" i="13"/>
  <c r="DW58" i="13" s="1"/>
  <c r="BV58" i="13"/>
  <c r="DU58" i="13" s="1"/>
  <c r="CD58" i="13"/>
  <c r="EC58" i="13" s="1"/>
  <c r="CW58" i="13"/>
  <c r="BO58" i="13"/>
  <c r="CO58" i="13"/>
  <c r="CH58" i="13"/>
  <c r="EG58" i="13" s="1"/>
  <c r="CS58" i="13"/>
  <c r="BR58" i="13"/>
  <c r="DQ58" i="13" s="1"/>
  <c r="CN58" i="13"/>
  <c r="CY58" i="13"/>
  <c r="DG58" i="13"/>
  <c r="DE58" i="13"/>
  <c r="BH58" i="13"/>
  <c r="CI58" i="13"/>
  <c r="EH58" i="13" s="1"/>
  <c r="BN58" i="13"/>
  <c r="BM58" i="13"/>
  <c r="DL58" i="13" s="1"/>
  <c r="CM58" i="13"/>
  <c r="CK58" i="13"/>
  <c r="EJ58" i="13" s="1"/>
  <c r="CT58" i="13"/>
  <c r="CC58" i="13"/>
  <c r="EB58" i="13" s="1"/>
  <c r="CX58" i="13"/>
  <c r="DC58" i="13"/>
  <c r="FB58" i="13" s="1"/>
  <c r="BP58" i="13"/>
  <c r="DA58" i="13"/>
  <c r="CB58" i="13"/>
  <c r="EA58" i="13" s="1"/>
  <c r="DB58" i="13"/>
  <c r="CJ58" i="13"/>
  <c r="EI58" i="13" s="1"/>
  <c r="BU58" i="13"/>
  <c r="BY58" i="13"/>
  <c r="DX58" i="13" s="1"/>
  <c r="CE58" i="13"/>
  <c r="ED58" i="13" s="1"/>
  <c r="CL58" i="13"/>
  <c r="CZ58" i="13"/>
  <c r="EY58" i="13" s="1"/>
  <c r="CQ58" i="13"/>
  <c r="BK58" i="13"/>
  <c r="BZ58" i="13"/>
  <c r="DY58" i="13" s="1"/>
  <c r="BQ58" i="13"/>
  <c r="CR58" i="13"/>
  <c r="BS58" i="13"/>
  <c r="DH58" i="13"/>
  <c r="CF58" i="13"/>
  <c r="EE58" i="13" s="1"/>
  <c r="DD58" i="13"/>
  <c r="CV58" i="13"/>
  <c r="CS63" i="13"/>
  <c r="CB63" i="13"/>
  <c r="EA63" i="13" s="1"/>
  <c r="CK63" i="13"/>
  <c r="EJ63" i="13" s="1"/>
  <c r="BW63" i="13"/>
  <c r="DV63" i="13" s="1"/>
  <c r="CN63" i="13"/>
  <c r="BL63" i="13"/>
  <c r="DC63" i="13"/>
  <c r="FB63" i="13" s="1"/>
  <c r="DG63" i="13"/>
  <c r="BQ63" i="13"/>
  <c r="BP63" i="13"/>
  <c r="CW63" i="13"/>
  <c r="DD63" i="13"/>
  <c r="CH63" i="13"/>
  <c r="EG63" i="13" s="1"/>
  <c r="CI63" i="13"/>
  <c r="EH63" i="13" s="1"/>
  <c r="BM63" i="13"/>
  <c r="BO63" i="13"/>
  <c r="CA63" i="13"/>
  <c r="DZ63" i="13" s="1"/>
  <c r="CX63" i="13"/>
  <c r="DH63" i="13"/>
  <c r="CM63" i="13"/>
  <c r="BN63" i="13"/>
  <c r="CZ63" i="13"/>
  <c r="EY63" i="13" s="1"/>
  <c r="CQ63" i="13"/>
  <c r="CG63" i="13"/>
  <c r="EF63" i="13" s="1"/>
  <c r="CE63" i="13"/>
  <c r="ED63" i="13" s="1"/>
  <c r="CC63" i="13"/>
  <c r="EB63" i="13" s="1"/>
  <c r="DB63" i="13"/>
  <c r="CV63" i="13"/>
  <c r="CO63" i="13"/>
  <c r="BU63" i="13"/>
  <c r="CY63" i="13"/>
  <c r="CJ63" i="13"/>
  <c r="EI63" i="13" s="1"/>
  <c r="BR63" i="13"/>
  <c r="CD63" i="13"/>
  <c r="EC63" i="13" s="1"/>
  <c r="DF63" i="13"/>
  <c r="BX63" i="13"/>
  <c r="DW63" i="13" s="1"/>
  <c r="BZ63" i="13"/>
  <c r="DY63" i="13" s="1"/>
  <c r="CP63" i="13"/>
  <c r="BV63" i="13"/>
  <c r="BS63" i="13"/>
  <c r="DE63" i="13"/>
  <c r="CT63" i="13"/>
  <c r="BK63" i="13"/>
  <c r="CL63" i="13"/>
  <c r="EK63" i="13" s="1"/>
  <c r="CF63" i="13"/>
  <c r="EE63" i="13" s="1"/>
  <c r="CR63" i="13"/>
  <c r="DA63" i="13"/>
  <c r="BT63" i="13"/>
  <c r="BH63" i="13"/>
  <c r="BY63" i="13"/>
  <c r="DX63" i="13" s="1"/>
  <c r="CU63" i="13"/>
  <c r="BS85" i="13"/>
  <c r="DF85" i="13"/>
  <c r="CQ85" i="13"/>
  <c r="BY85" i="13"/>
  <c r="CV85" i="13"/>
  <c r="BO85" i="13"/>
  <c r="BR85" i="13"/>
  <c r="CS85" i="13"/>
  <c r="BZ85" i="13"/>
  <c r="CL85" i="13"/>
  <c r="BU85" i="13"/>
  <c r="CJ85" i="13"/>
  <c r="CW85" i="13"/>
  <c r="BP85" i="13"/>
  <c r="CK85" i="13"/>
  <c r="BH85" i="13"/>
  <c r="BN85" i="13"/>
  <c r="CN85" i="13"/>
  <c r="BM85" i="13"/>
  <c r="BV85" i="13"/>
  <c r="CH85" i="13"/>
  <c r="BL85" i="13"/>
  <c r="CU85" i="13"/>
  <c r="CG85" i="13"/>
  <c r="CA85" i="13"/>
  <c r="CP85" i="13"/>
  <c r="CC85" i="13"/>
  <c r="CE85" i="13"/>
  <c r="BT85" i="13"/>
  <c r="DE85" i="13"/>
  <c r="BI85" i="13"/>
  <c r="BQ85" i="13"/>
  <c r="CO85" i="13"/>
  <c r="DA85" i="13"/>
  <c r="CF85" i="13"/>
  <c r="CX85" i="13"/>
  <c r="BX85" i="13"/>
  <c r="CZ85" i="13"/>
  <c r="CI85" i="13"/>
  <c r="CB85" i="13"/>
  <c r="CM85" i="13"/>
  <c r="CY85" i="13"/>
  <c r="CD85" i="13"/>
  <c r="DD85" i="13"/>
  <c r="BW85" i="13"/>
  <c r="CT85" i="13"/>
  <c r="DH85" i="13"/>
  <c r="DG85" i="13"/>
  <c r="CR85" i="13"/>
  <c r="DB85" i="13"/>
  <c r="DC85" i="13"/>
  <c r="BK85" i="13"/>
  <c r="CO42" i="13"/>
  <c r="DF42" i="13"/>
  <c r="CZ42" i="13"/>
  <c r="BM42" i="13"/>
  <c r="CS42" i="13"/>
  <c r="CE42" i="13"/>
  <c r="DC42" i="13"/>
  <c r="CF42" i="13"/>
  <c r="CX42" i="13"/>
  <c r="CD42" i="13"/>
  <c r="CR42" i="13"/>
  <c r="CI42" i="13"/>
  <c r="BR42" i="13"/>
  <c r="BP42" i="13"/>
  <c r="BK42" i="13"/>
  <c r="CY42" i="13"/>
  <c r="CQ42" i="13"/>
  <c r="DH42" i="13"/>
  <c r="BL42" i="13"/>
  <c r="CN42" i="13"/>
  <c r="BS42" i="13"/>
  <c r="BT42" i="13"/>
  <c r="BX42" i="13"/>
  <c r="CA42" i="13"/>
  <c r="DA42" i="13"/>
  <c r="CP42" i="13"/>
  <c r="BV42" i="13"/>
  <c r="CH42" i="13"/>
  <c r="CV42" i="13"/>
  <c r="CC42" i="13"/>
  <c r="BO42" i="13"/>
  <c r="CM42" i="13"/>
  <c r="CB42" i="13"/>
  <c r="CT42" i="13"/>
  <c r="CU42" i="13"/>
  <c r="BI42" i="13"/>
  <c r="CK42" i="13"/>
  <c r="BH42" i="13"/>
  <c r="BZ42" i="13"/>
  <c r="BQ42" i="13"/>
  <c r="DE42" i="13"/>
  <c r="DG42" i="13"/>
  <c r="CL42" i="13"/>
  <c r="CW42" i="13"/>
  <c r="BY42" i="13"/>
  <c r="CJ42" i="13"/>
  <c r="BN42" i="13"/>
  <c r="DB42" i="13"/>
  <c r="BW42" i="13"/>
  <c r="DD42" i="13"/>
  <c r="CG42" i="13"/>
  <c r="BU42" i="13"/>
  <c r="CK71" i="13"/>
  <c r="CF71" i="13"/>
  <c r="DF71" i="13"/>
  <c r="DC71" i="13"/>
  <c r="BP71" i="13"/>
  <c r="CP71" i="13"/>
  <c r="CM71" i="13"/>
  <c r="BQ71" i="13"/>
  <c r="CQ71" i="13"/>
  <c r="BL71" i="13"/>
  <c r="BX71" i="13"/>
  <c r="CL71" i="13"/>
  <c r="DH71" i="13"/>
  <c r="BT71" i="13"/>
  <c r="CG71" i="13"/>
  <c r="BY71" i="13"/>
  <c r="CS71" i="13"/>
  <c r="CR71" i="13"/>
  <c r="CD71" i="13"/>
  <c r="BU71" i="13"/>
  <c r="CO71" i="13"/>
  <c r="CC71" i="13"/>
  <c r="BR71" i="13"/>
  <c r="BV71" i="13"/>
  <c r="DD71" i="13"/>
  <c r="CT71" i="13"/>
  <c r="DB71" i="13"/>
  <c r="BN71" i="13"/>
  <c r="CY71" i="13"/>
  <c r="BI71" i="13"/>
  <c r="CX71" i="13"/>
  <c r="BH71" i="13"/>
  <c r="BO71" i="13"/>
  <c r="CZ71" i="13"/>
  <c r="CH71" i="13"/>
  <c r="CN71" i="13"/>
  <c r="CI71" i="13"/>
  <c r="CV71" i="13"/>
  <c r="CJ71" i="13"/>
  <c r="BW71" i="13"/>
  <c r="CA71" i="13"/>
  <c r="BM71" i="13"/>
  <c r="DG71" i="13"/>
  <c r="DE71" i="13"/>
  <c r="BZ71" i="13"/>
  <c r="BK71" i="13"/>
  <c r="CW71" i="13"/>
  <c r="CE71" i="13"/>
  <c r="DA71" i="13"/>
  <c r="BS71" i="13"/>
  <c r="CU71" i="13"/>
  <c r="CB71" i="13"/>
  <c r="CE72" i="13"/>
  <c r="CH72" i="13"/>
  <c r="CY72" i="13"/>
  <c r="CC72" i="13"/>
  <c r="CL72" i="13"/>
  <c r="CB72" i="13"/>
  <c r="BZ72" i="13"/>
  <c r="BL72" i="13"/>
  <c r="CR72" i="13"/>
  <c r="BY72" i="13"/>
  <c r="BW72" i="13"/>
  <c r="CM72" i="13"/>
  <c r="CT72" i="13"/>
  <c r="BR72" i="13"/>
  <c r="BV72" i="13"/>
  <c r="DE72" i="13"/>
  <c r="CX72" i="13"/>
  <c r="BK72" i="13"/>
  <c r="BS72" i="13"/>
  <c r="CA72" i="13"/>
  <c r="BO72" i="13"/>
  <c r="DG72" i="13"/>
  <c r="DF72" i="13"/>
  <c r="CU72" i="13"/>
  <c r="BU72" i="13"/>
  <c r="CS72" i="13"/>
  <c r="BM72" i="13"/>
  <c r="CO72" i="13"/>
  <c r="DA72" i="13"/>
  <c r="CJ72" i="13"/>
  <c r="DD72" i="13"/>
  <c r="BQ72" i="13"/>
  <c r="CW72" i="13"/>
  <c r="CF72" i="13"/>
  <c r="CN72" i="13"/>
  <c r="CG72" i="13"/>
  <c r="BT72" i="13"/>
  <c r="DH72" i="13"/>
  <c r="CK72" i="13"/>
  <c r="BI72" i="13"/>
  <c r="CI72" i="13"/>
  <c r="BN72" i="13"/>
  <c r="CD72" i="13"/>
  <c r="CQ72" i="13"/>
  <c r="CZ72" i="13"/>
  <c r="CP72" i="13"/>
  <c r="BH72" i="13"/>
  <c r="BP72" i="13"/>
  <c r="BX72" i="13"/>
  <c r="CV72" i="13"/>
  <c r="DC72" i="13"/>
  <c r="DB72" i="13"/>
  <c r="CD73" i="13"/>
  <c r="BK73" i="13"/>
  <c r="BW73" i="13"/>
  <c r="CQ73" i="13"/>
  <c r="DA73" i="13"/>
  <c r="CX73" i="13"/>
  <c r="CC73" i="13"/>
  <c r="CM73" i="13"/>
  <c r="DD73" i="13"/>
  <c r="CG73" i="13"/>
  <c r="DF73" i="13"/>
  <c r="BH73" i="13"/>
  <c r="CU73" i="13"/>
  <c r="DE73" i="13"/>
  <c r="BX73" i="13"/>
  <c r="CL73" i="13"/>
  <c r="CO73" i="13"/>
  <c r="BM73" i="13"/>
  <c r="BI73" i="13"/>
  <c r="BN73" i="13"/>
  <c r="CA73" i="13"/>
  <c r="CK73" i="13"/>
  <c r="BY73" i="13"/>
  <c r="DX73" i="13" s="1"/>
  <c r="CH73" i="13"/>
  <c r="BQ73" i="13"/>
  <c r="CS73" i="13"/>
  <c r="BZ73" i="13"/>
  <c r="DY73" i="13" s="1"/>
  <c r="CW73" i="13"/>
  <c r="BV73" i="13"/>
  <c r="BU73" i="13"/>
  <c r="CE73" i="13"/>
  <c r="ED73" i="13" s="1"/>
  <c r="CP73" i="13"/>
  <c r="CJ73" i="13"/>
  <c r="DH73" i="13"/>
  <c r="BS73" i="13"/>
  <c r="BO73" i="13"/>
  <c r="CY73" i="13"/>
  <c r="BL73" i="13"/>
  <c r="CN73" i="13"/>
  <c r="CZ73" i="13"/>
  <c r="DC73" i="13"/>
  <c r="CV73" i="13"/>
  <c r="CB73" i="13"/>
  <c r="EA73" i="13" s="1"/>
  <c r="CF73" i="13"/>
  <c r="CI73" i="13"/>
  <c r="BP73" i="13"/>
  <c r="DB73" i="13"/>
  <c r="BT73" i="13"/>
  <c r="DG73" i="13"/>
  <c r="CT73" i="13"/>
  <c r="CR73" i="13"/>
  <c r="BR73" i="13"/>
  <c r="BV52" i="13"/>
  <c r="CG52" i="13"/>
  <c r="BR52" i="13"/>
  <c r="CU52" i="13"/>
  <c r="BT52" i="13"/>
  <c r="CN52" i="13"/>
  <c r="CW52" i="13"/>
  <c r="CX52" i="13"/>
  <c r="BK52" i="13"/>
  <c r="CY52" i="13"/>
  <c r="CV52" i="13"/>
  <c r="BH52" i="13"/>
  <c r="DF52" i="13"/>
  <c r="CB52" i="13"/>
  <c r="BX52" i="13"/>
  <c r="DG52" i="13"/>
  <c r="CI52" i="13"/>
  <c r="CT52" i="13"/>
  <c r="BZ52" i="13"/>
  <c r="CQ52" i="13"/>
  <c r="CH52" i="13"/>
  <c r="BO52" i="13"/>
  <c r="CF52" i="13"/>
  <c r="BP52" i="13"/>
  <c r="BL52" i="13"/>
  <c r="DH52" i="13"/>
  <c r="DA52" i="13"/>
  <c r="CP52" i="13"/>
  <c r="CD52" i="13"/>
  <c r="CE52" i="13"/>
  <c r="BM52" i="13"/>
  <c r="DC52" i="13"/>
  <c r="DD52" i="13"/>
  <c r="BU52" i="13"/>
  <c r="CZ52" i="13"/>
  <c r="CK52" i="13"/>
  <c r="BS52" i="13"/>
  <c r="CC52" i="13"/>
  <c r="DB52" i="13"/>
  <c r="BN52" i="13"/>
  <c r="CJ52" i="13"/>
  <c r="CR52" i="13"/>
  <c r="BI52" i="13"/>
  <c r="CO52" i="13"/>
  <c r="BY52" i="13"/>
  <c r="CS52" i="13"/>
  <c r="BW52" i="13"/>
  <c r="DV52" i="13" s="1"/>
  <c r="DE52" i="13"/>
  <c r="CM52" i="13"/>
  <c r="CL52" i="13"/>
  <c r="BQ52" i="13"/>
  <c r="CA52" i="13"/>
  <c r="BP70" i="13"/>
  <c r="CO70" i="13"/>
  <c r="DC70" i="13"/>
  <c r="CR70" i="13"/>
  <c r="CI70" i="13"/>
  <c r="BT70" i="13"/>
  <c r="DA70" i="13"/>
  <c r="BV70" i="13"/>
  <c r="CT70" i="13"/>
  <c r="BU70" i="13"/>
  <c r="BX70" i="13"/>
  <c r="CC70" i="13"/>
  <c r="CU70" i="13"/>
  <c r="CG70" i="13"/>
  <c r="BR70" i="13"/>
  <c r="BW70" i="13"/>
  <c r="CD70" i="13"/>
  <c r="BO70" i="13"/>
  <c r="DD70" i="13"/>
  <c r="DF70" i="13"/>
  <c r="CW70" i="13"/>
  <c r="CF70" i="13"/>
  <c r="CV70" i="13"/>
  <c r="BL70" i="13"/>
  <c r="CA70" i="13"/>
  <c r="CQ70" i="13"/>
  <c r="CH70" i="13"/>
  <c r="CY70" i="13"/>
  <c r="CX70" i="13"/>
  <c r="BI70" i="13"/>
  <c r="BH70" i="13"/>
  <c r="CK70" i="13"/>
  <c r="BM70" i="13"/>
  <c r="DG70" i="13"/>
  <c r="DH70" i="13"/>
  <c r="BN70" i="13"/>
  <c r="BZ70" i="13"/>
  <c r="BY70" i="13"/>
  <c r="DX70" i="13" s="1"/>
  <c r="BS70" i="13"/>
  <c r="CN70" i="13"/>
  <c r="BK70" i="13"/>
  <c r="CE70" i="13"/>
  <c r="ED70" i="13" s="1"/>
  <c r="CP70" i="13"/>
  <c r="DE70" i="13"/>
  <c r="CZ70" i="13"/>
  <c r="CM70" i="13"/>
  <c r="EL70" i="13" s="1"/>
  <c r="CS70" i="13"/>
  <c r="CJ70" i="13"/>
  <c r="CL70" i="13"/>
  <c r="BQ70" i="13"/>
  <c r="CB70" i="13"/>
  <c r="DB70" i="13"/>
  <c r="DB80" i="13"/>
  <c r="CA80" i="13"/>
  <c r="BP80" i="13"/>
  <c r="BO80" i="13"/>
  <c r="CO80" i="13"/>
  <c r="CM80" i="13"/>
  <c r="DF80" i="13"/>
  <c r="CN80" i="13"/>
  <c r="BX80" i="13"/>
  <c r="BY80" i="13"/>
  <c r="BK80" i="13"/>
  <c r="CG80" i="13"/>
  <c r="CW80" i="13"/>
  <c r="BT80" i="13"/>
  <c r="CS80" i="13"/>
  <c r="CJ80" i="13"/>
  <c r="BW80" i="13"/>
  <c r="CX80" i="13"/>
  <c r="BR80" i="13"/>
  <c r="BN80" i="13"/>
  <c r="CZ80" i="13"/>
  <c r="DE80" i="13"/>
  <c r="BQ80" i="13"/>
  <c r="CT80" i="13"/>
  <c r="CF80" i="13"/>
  <c r="BM80" i="13"/>
  <c r="CB80" i="13"/>
  <c r="CK80" i="13"/>
  <c r="CU80" i="13"/>
  <c r="CV80" i="13"/>
  <c r="CY80" i="13"/>
  <c r="BI80" i="13"/>
  <c r="CD80" i="13"/>
  <c r="DG80" i="13"/>
  <c r="CI80" i="13"/>
  <c r="BU80" i="13"/>
  <c r="CR80" i="13"/>
  <c r="BV80" i="13"/>
  <c r="BZ80" i="13"/>
  <c r="DC80" i="13"/>
  <c r="CP80" i="13"/>
  <c r="CQ80" i="13"/>
  <c r="CE80" i="13"/>
  <c r="BL80" i="13"/>
  <c r="BS80" i="13"/>
  <c r="BH80" i="13"/>
  <c r="DD80" i="13"/>
  <c r="CL80" i="13"/>
  <c r="CC80" i="13"/>
  <c r="DA80" i="13"/>
  <c r="DH80" i="13"/>
  <c r="CH80" i="13"/>
  <c r="EG80" i="13" s="1"/>
  <c r="CA87" i="13"/>
  <c r="CL87" i="13"/>
  <c r="CK87" i="13"/>
  <c r="BI87" i="13"/>
  <c r="BK87" i="13"/>
  <c r="DH87" i="13"/>
  <c r="CX87" i="13"/>
  <c r="DA87" i="13"/>
  <c r="CG87" i="13"/>
  <c r="CM87" i="13"/>
  <c r="CV87" i="13"/>
  <c r="BT87" i="13"/>
  <c r="DG87" i="13"/>
  <c r="CH87" i="13"/>
  <c r="CN87" i="13"/>
  <c r="BR87" i="13"/>
  <c r="BO87" i="13"/>
  <c r="CF87" i="13"/>
  <c r="CQ87" i="13"/>
  <c r="CZ87" i="13"/>
  <c r="DF87" i="13"/>
  <c r="CC87" i="13"/>
  <c r="BQ87" i="13"/>
  <c r="CO87" i="13"/>
  <c r="CT87" i="13"/>
  <c r="CJ87" i="13"/>
  <c r="CP87" i="13"/>
  <c r="CS87" i="13"/>
  <c r="DB87" i="13"/>
  <c r="BP87" i="13"/>
  <c r="BZ87" i="13"/>
  <c r="BX87" i="13"/>
  <c r="DW87" i="13" s="1"/>
  <c r="BS87" i="13"/>
  <c r="CE87" i="13"/>
  <c r="CB87" i="13"/>
  <c r="DE87" i="13"/>
  <c r="BV87" i="13"/>
  <c r="BL87" i="13"/>
  <c r="CY87" i="13"/>
  <c r="BY87" i="13"/>
  <c r="DX87" i="13" s="1"/>
  <c r="CD87" i="13"/>
  <c r="DC87" i="13"/>
  <c r="BU87" i="13"/>
  <c r="CW87" i="13"/>
  <c r="CI87" i="13"/>
  <c r="BH87" i="13"/>
  <c r="BW87" i="13"/>
  <c r="BM87" i="13"/>
  <c r="DD87" i="13"/>
  <c r="CR87" i="13"/>
  <c r="CU87" i="13"/>
  <c r="BN87" i="13"/>
  <c r="BN54" i="13"/>
  <c r="BT54" i="13"/>
  <c r="CM54" i="13"/>
  <c r="DC54" i="13"/>
  <c r="FB54" i="13" s="1"/>
  <c r="CK54" i="13"/>
  <c r="EJ54" i="13" s="1"/>
  <c r="BP54" i="13"/>
  <c r="CJ54" i="13"/>
  <c r="EI54" i="13" s="1"/>
  <c r="CD54" i="13"/>
  <c r="EC54" i="13" s="1"/>
  <c r="BW54" i="13"/>
  <c r="DV54" i="13" s="1"/>
  <c r="CP54" i="13"/>
  <c r="CE54" i="13"/>
  <c r="ED54" i="13" s="1"/>
  <c r="CZ54" i="13"/>
  <c r="CL54" i="13"/>
  <c r="CX54" i="13"/>
  <c r="CG54" i="13"/>
  <c r="EF54" i="13" s="1"/>
  <c r="CA54" i="13"/>
  <c r="DZ54" i="13" s="1"/>
  <c r="BM54" i="13"/>
  <c r="BV54" i="13"/>
  <c r="BK54" i="13"/>
  <c r="BS54" i="13"/>
  <c r="BH54" i="13"/>
  <c r="BZ54" i="13"/>
  <c r="DY54" i="13" s="1"/>
  <c r="CY54" i="13"/>
  <c r="DB54" i="13"/>
  <c r="DD54" i="13"/>
  <c r="CU54" i="13"/>
  <c r="CH54" i="13"/>
  <c r="EG54" i="13" s="1"/>
  <c r="CQ54" i="13"/>
  <c r="BL54" i="13"/>
  <c r="BU54" i="13"/>
  <c r="CS54" i="13"/>
  <c r="CI54" i="13"/>
  <c r="EH54" i="13" s="1"/>
  <c r="DF54" i="13"/>
  <c r="CW54" i="13"/>
  <c r="CT54" i="13"/>
  <c r="CO54" i="13"/>
  <c r="DE54" i="13"/>
  <c r="CV54" i="13"/>
  <c r="CF54" i="13"/>
  <c r="EE54" i="13" s="1"/>
  <c r="BY54" i="13"/>
  <c r="DX54" i="13" s="1"/>
  <c r="BQ54" i="13"/>
  <c r="BR54" i="13"/>
  <c r="CR54" i="13"/>
  <c r="DH54" i="13"/>
  <c r="DA54" i="13"/>
  <c r="CN54" i="13"/>
  <c r="EM54" i="13" s="1"/>
  <c r="CB54" i="13"/>
  <c r="EA54" i="13" s="1"/>
  <c r="BO54" i="13"/>
  <c r="CC54" i="13"/>
  <c r="EB54" i="13" s="1"/>
  <c r="BX54" i="13"/>
  <c r="DW54" i="13" s="1"/>
  <c r="DG54" i="13"/>
  <c r="CW67" i="13"/>
  <c r="CG67" i="13"/>
  <c r="EF67" i="13" s="1"/>
  <c r="CV67" i="13"/>
  <c r="CK67" i="13"/>
  <c r="EJ67" i="13" s="1"/>
  <c r="CL67" i="13"/>
  <c r="BR67" i="13"/>
  <c r="DC67" i="13"/>
  <c r="FB67" i="13" s="1"/>
  <c r="DH67" i="13"/>
  <c r="BK67" i="13"/>
  <c r="BM67" i="13"/>
  <c r="CH67" i="13"/>
  <c r="EG67" i="13" s="1"/>
  <c r="CE67" i="13"/>
  <c r="ED67" i="13" s="1"/>
  <c r="DG67" i="13"/>
  <c r="CR67" i="13"/>
  <c r="CT67" i="13"/>
  <c r="BL67" i="13"/>
  <c r="CJ67" i="13"/>
  <c r="EI67" i="13" s="1"/>
  <c r="BW67" i="13"/>
  <c r="DV67" i="13" s="1"/>
  <c r="DF67" i="13"/>
  <c r="BQ67" i="13"/>
  <c r="BZ67" i="13"/>
  <c r="DY67" i="13" s="1"/>
  <c r="CS67" i="13"/>
  <c r="CU67" i="13"/>
  <c r="BY67" i="13"/>
  <c r="DX67" i="13" s="1"/>
  <c r="CD67" i="13"/>
  <c r="EC67" i="13" s="1"/>
  <c r="BU67" i="13"/>
  <c r="BN67" i="13"/>
  <c r="BS67" i="13"/>
  <c r="DA67" i="13"/>
  <c r="CQ67" i="13"/>
  <c r="BX67" i="13"/>
  <c r="DW67" i="13" s="1"/>
  <c r="CX67" i="13"/>
  <c r="CP67" i="13"/>
  <c r="CO67" i="13"/>
  <c r="CF67" i="13"/>
  <c r="EE67" i="13" s="1"/>
  <c r="BV67" i="13"/>
  <c r="CC67" i="13"/>
  <c r="EB67" i="13" s="1"/>
  <c r="CI67" i="13"/>
  <c r="EH67" i="13" s="1"/>
  <c r="DE67" i="13"/>
  <c r="CZ67" i="13"/>
  <c r="CN67" i="13"/>
  <c r="DB67" i="13"/>
  <c r="BT67" i="13"/>
  <c r="DD67" i="13"/>
  <c r="BO67" i="13"/>
  <c r="CB67" i="13"/>
  <c r="EA67" i="13" s="1"/>
  <c r="BH67" i="13"/>
  <c r="CM67" i="13"/>
  <c r="BP67" i="13"/>
  <c r="CY67" i="13"/>
  <c r="CA67" i="13"/>
  <c r="DZ67" i="13" s="1"/>
  <c r="CM48" i="13"/>
  <c r="CH48" i="13"/>
  <c r="BY48" i="13"/>
  <c r="BW48" i="13"/>
  <c r="CO48" i="13"/>
  <c r="CX48" i="13"/>
  <c r="BH48" i="13"/>
  <c r="BT48" i="13"/>
  <c r="CZ48" i="13"/>
  <c r="BR48" i="13"/>
  <c r="DF48" i="13"/>
  <c r="BN48" i="13"/>
  <c r="CA48" i="13"/>
  <c r="CW48" i="13"/>
  <c r="CS48" i="13"/>
  <c r="BQ48" i="13"/>
  <c r="DB48" i="13"/>
  <c r="BO48" i="13"/>
  <c r="CN48" i="13"/>
  <c r="BZ48" i="13"/>
  <c r="CD48" i="13"/>
  <c r="BX48" i="13"/>
  <c r="DA48" i="13"/>
  <c r="CU48" i="13"/>
  <c r="CK48" i="13"/>
  <c r="CT48" i="13"/>
  <c r="CJ48" i="13"/>
  <c r="CB48" i="13"/>
  <c r="CQ48" i="13"/>
  <c r="CL48" i="13"/>
  <c r="CG48" i="13"/>
  <c r="BM48" i="13"/>
  <c r="DH48" i="13"/>
  <c r="DE48" i="13"/>
  <c r="BV48" i="13"/>
  <c r="CY48" i="13"/>
  <c r="BP48" i="13"/>
  <c r="BK48" i="13"/>
  <c r="CE48" i="13"/>
  <c r="CV48" i="13"/>
  <c r="CR48" i="13"/>
  <c r="CI48" i="13"/>
  <c r="BU48" i="13"/>
  <c r="BL48" i="13"/>
  <c r="DD48" i="13"/>
  <c r="BI48" i="13"/>
  <c r="DC48" i="13"/>
  <c r="CF48" i="13"/>
  <c r="DG48" i="13"/>
  <c r="CP48" i="13"/>
  <c r="BS48" i="13"/>
  <c r="CC48" i="13"/>
  <c r="BW43" i="13"/>
  <c r="CQ43" i="13"/>
  <c r="DD43" i="13"/>
  <c r="CW43" i="13"/>
  <c r="CY43" i="13"/>
  <c r="BZ43" i="13"/>
  <c r="CA43" i="13"/>
  <c r="BQ43" i="13"/>
  <c r="CF43" i="13"/>
  <c r="BM43" i="13"/>
  <c r="CH43" i="13"/>
  <c r="CB43" i="13"/>
  <c r="BH43" i="13"/>
  <c r="CM43" i="13"/>
  <c r="CZ43" i="13"/>
  <c r="BO43" i="13"/>
  <c r="CO43" i="13"/>
  <c r="CG43" i="13"/>
  <c r="CC43" i="13"/>
  <c r="CU43" i="13"/>
  <c r="CV43" i="13"/>
  <c r="CE43" i="13"/>
  <c r="BK43" i="13"/>
  <c r="DH43" i="13"/>
  <c r="BY43" i="13"/>
  <c r="CK43" i="13"/>
  <c r="CP43" i="13"/>
  <c r="BR43" i="13"/>
  <c r="DG43" i="13"/>
  <c r="BT43" i="13"/>
  <c r="CS43" i="13"/>
  <c r="BU43" i="13"/>
  <c r="CJ43" i="13"/>
  <c r="BL43" i="13"/>
  <c r="BN43" i="13"/>
  <c r="CL43" i="13"/>
  <c r="CX43" i="13"/>
  <c r="BP43" i="13"/>
  <c r="BI43" i="13"/>
  <c r="BX43" i="13"/>
  <c r="CR43" i="13"/>
  <c r="DE43" i="13"/>
  <c r="DC43" i="13"/>
  <c r="CT43" i="13"/>
  <c r="CN43" i="13"/>
  <c r="DF43" i="13"/>
  <c r="CD43" i="13"/>
  <c r="EC43" i="13" s="1"/>
  <c r="CI43" i="13"/>
  <c r="BV43" i="13"/>
  <c r="BS43" i="13"/>
  <c r="DB43" i="13"/>
  <c r="DA43" i="13"/>
  <c r="CA75" i="13"/>
  <c r="CY75" i="13"/>
  <c r="CW75" i="13"/>
  <c r="CF75" i="13"/>
  <c r="CS75" i="13"/>
  <c r="BL75" i="13"/>
  <c r="BV75" i="13"/>
  <c r="BT75" i="13"/>
  <c r="CN75" i="13"/>
  <c r="DF75" i="13"/>
  <c r="BK75" i="13"/>
  <c r="BU75" i="13"/>
  <c r="BW75" i="13"/>
  <c r="CU75" i="13"/>
  <c r="DE75" i="13"/>
  <c r="DH75" i="13"/>
  <c r="CG75" i="13"/>
  <c r="BQ75" i="13"/>
  <c r="CP75" i="13"/>
  <c r="BS75" i="13"/>
  <c r="DB75" i="13"/>
  <c r="CH75" i="13"/>
  <c r="CK75" i="13"/>
  <c r="BZ75" i="13"/>
  <c r="CT75" i="13"/>
  <c r="CD75" i="13"/>
  <c r="BM75" i="13"/>
  <c r="DG75" i="13"/>
  <c r="CQ75" i="13"/>
  <c r="CR75" i="13"/>
  <c r="BO75" i="13"/>
  <c r="BP75" i="13"/>
  <c r="CC75" i="13"/>
  <c r="CO75" i="13"/>
  <c r="BI75" i="13"/>
  <c r="DD75" i="13"/>
  <c r="BH75" i="13"/>
  <c r="BN75" i="13"/>
  <c r="CE75" i="13"/>
  <c r="ED75" i="13" s="1"/>
  <c r="CB75" i="13"/>
  <c r="CZ75" i="13"/>
  <c r="CJ75" i="13"/>
  <c r="DA75" i="13"/>
  <c r="DC75" i="13"/>
  <c r="CL75" i="13"/>
  <c r="CX75" i="13"/>
  <c r="BX75" i="13"/>
  <c r="DW75" i="13" s="1"/>
  <c r="BR75" i="13"/>
  <c r="BY75" i="13"/>
  <c r="CI75" i="13"/>
  <c r="CV75" i="13"/>
  <c r="CM75" i="13"/>
  <c r="CH47" i="13"/>
  <c r="CJ47" i="13"/>
  <c r="CW47" i="13"/>
  <c r="BI47" i="13"/>
  <c r="BP47" i="13"/>
  <c r="CI47" i="13"/>
  <c r="CQ47" i="13"/>
  <c r="BT47" i="13"/>
  <c r="CE47" i="13"/>
  <c r="BS47" i="13"/>
  <c r="CT47" i="13"/>
  <c r="BH47" i="13"/>
  <c r="CU47" i="13"/>
  <c r="BZ47" i="13"/>
  <c r="DA47" i="13"/>
  <c r="CA47" i="13"/>
  <c r="DZ47" i="13" s="1"/>
  <c r="CN47" i="13"/>
  <c r="BL47" i="13"/>
  <c r="DH47" i="13"/>
  <c r="CY47" i="13"/>
  <c r="CG47" i="13"/>
  <c r="CZ47" i="13"/>
  <c r="CX47" i="13"/>
  <c r="BK47" i="13"/>
  <c r="CF47" i="13"/>
  <c r="BY47" i="13"/>
  <c r="BN47" i="13"/>
  <c r="DD47" i="13"/>
  <c r="DE47" i="13"/>
  <c r="DF47" i="13"/>
  <c r="CB47" i="13"/>
  <c r="BR47" i="13"/>
  <c r="CS47" i="13"/>
  <c r="BU47" i="13"/>
  <c r="CL47" i="13"/>
  <c r="DB47" i="13"/>
  <c r="CR47" i="13"/>
  <c r="CD47" i="13"/>
  <c r="DC47" i="13"/>
  <c r="CC47" i="13"/>
  <c r="CP47" i="13"/>
  <c r="CO47" i="13"/>
  <c r="CM47" i="13"/>
  <c r="BO47" i="13"/>
  <c r="DG47" i="13"/>
  <c r="BX47" i="13"/>
  <c r="CK47" i="13"/>
  <c r="BM47" i="13"/>
  <c r="CV47" i="13"/>
  <c r="BW47" i="13"/>
  <c r="BQ47" i="13"/>
  <c r="BV47" i="13"/>
  <c r="BZ74" i="13"/>
  <c r="CD74" i="13"/>
  <c r="DC74" i="13"/>
  <c r="DA74" i="13"/>
  <c r="CZ74" i="13"/>
  <c r="BL74" i="13"/>
  <c r="CJ74" i="13"/>
  <c r="BV74" i="13"/>
  <c r="BM74" i="13"/>
  <c r="CH74" i="13"/>
  <c r="DH74" i="13"/>
  <c r="BW74" i="13"/>
  <c r="BT74" i="13"/>
  <c r="CK74" i="13"/>
  <c r="BP74" i="13"/>
  <c r="CO74" i="13"/>
  <c r="BK74" i="13"/>
  <c r="CB74" i="13"/>
  <c r="BS74" i="13"/>
  <c r="BO74" i="13"/>
  <c r="BY74" i="13"/>
  <c r="CG74" i="13"/>
  <c r="CI74" i="13"/>
  <c r="CF74" i="13"/>
  <c r="CW74" i="13"/>
  <c r="CT74" i="13"/>
  <c r="BN74" i="13"/>
  <c r="DD74" i="13"/>
  <c r="CE74" i="13"/>
  <c r="CL74" i="13"/>
  <c r="CM74" i="13"/>
  <c r="CS74" i="13"/>
  <c r="BU74" i="13"/>
  <c r="DB74" i="13"/>
  <c r="CA74" i="13"/>
  <c r="CV74" i="13"/>
  <c r="CY74" i="13"/>
  <c r="CN74" i="13"/>
  <c r="CR74" i="13"/>
  <c r="CP74" i="13"/>
  <c r="BR74" i="13"/>
  <c r="DE74" i="13"/>
  <c r="DF74" i="13"/>
  <c r="BI74" i="13"/>
  <c r="CX74" i="13"/>
  <c r="DG74" i="13"/>
  <c r="BQ74" i="13"/>
  <c r="BX74" i="13"/>
  <c r="CU74" i="13"/>
  <c r="CQ74" i="13"/>
  <c r="CC74" i="13"/>
  <c r="BH74" i="13"/>
  <c r="DE84" i="13"/>
  <c r="CY84" i="13"/>
  <c r="DD84" i="13"/>
  <c r="CE84" i="13"/>
  <c r="BX84" i="13"/>
  <c r="CM84" i="13"/>
  <c r="BN84" i="13"/>
  <c r="CI84" i="13"/>
  <c r="CU84" i="13"/>
  <c r="BW84" i="13"/>
  <c r="CT84" i="13"/>
  <c r="BL84" i="13"/>
  <c r="CF84" i="13"/>
  <c r="CJ84" i="13"/>
  <c r="BK84" i="13"/>
  <c r="CS84" i="13"/>
  <c r="BP84" i="13"/>
  <c r="BT84" i="13"/>
  <c r="DF84" i="13"/>
  <c r="CR84" i="13"/>
  <c r="BV84" i="13"/>
  <c r="CN84" i="13"/>
  <c r="DH84" i="13"/>
  <c r="CZ84" i="13"/>
  <c r="CV84" i="13"/>
  <c r="BY84" i="13"/>
  <c r="CX84" i="13"/>
  <c r="BS84" i="13"/>
  <c r="CH84" i="13"/>
  <c r="BZ84" i="13"/>
  <c r="CP84" i="13"/>
  <c r="CG84" i="13"/>
  <c r="BI84" i="13"/>
  <c r="BO84" i="13"/>
  <c r="CL84" i="13"/>
  <c r="DC84" i="13"/>
  <c r="CC84" i="13"/>
  <c r="EB84" i="13" s="1"/>
  <c r="DA84" i="13"/>
  <c r="BM84" i="13"/>
  <c r="DG84" i="13"/>
  <c r="CK84" i="13"/>
  <c r="EJ84" i="13" s="1"/>
  <c r="BR84" i="13"/>
  <c r="BU84" i="13"/>
  <c r="CQ84" i="13"/>
  <c r="CD84" i="13"/>
  <c r="EC84" i="13" s="1"/>
  <c r="CB84" i="13"/>
  <c r="DB84" i="13"/>
  <c r="CA84" i="13"/>
  <c r="CW84" i="13"/>
  <c r="BQ84" i="13"/>
  <c r="BH84" i="13"/>
  <c r="CO84" i="13"/>
  <c r="CL82" i="13"/>
  <c r="BI82" i="13"/>
  <c r="DB82" i="13"/>
  <c r="BK82" i="13"/>
  <c r="CR82" i="13"/>
  <c r="CE82" i="13"/>
  <c r="ED82" i="13" s="1"/>
  <c r="CN82" i="13"/>
  <c r="CP82" i="13"/>
  <c r="CS82" i="13"/>
  <c r="CG82" i="13"/>
  <c r="EF82" i="13" s="1"/>
  <c r="CA82" i="13"/>
  <c r="CC82" i="13"/>
  <c r="BV82" i="13"/>
  <c r="CI82" i="13"/>
  <c r="EH82" i="13" s="1"/>
  <c r="DH82" i="13"/>
  <c r="DC82" i="13"/>
  <c r="BN82" i="13"/>
  <c r="CV82" i="13"/>
  <c r="DE82" i="13"/>
  <c r="CQ82" i="13"/>
  <c r="CY82" i="13"/>
  <c r="BT82" i="13"/>
  <c r="BH82" i="13"/>
  <c r="CT82" i="13"/>
  <c r="CF82" i="13"/>
  <c r="CM82" i="13"/>
  <c r="DG82" i="13"/>
  <c r="CH82" i="13"/>
  <c r="BZ82" i="13"/>
  <c r="BR82" i="13"/>
  <c r="CX82" i="13"/>
  <c r="BM82" i="13"/>
  <c r="DA82" i="13"/>
  <c r="BL82" i="13"/>
  <c r="BS82" i="13"/>
  <c r="BY82" i="13"/>
  <c r="CD82" i="13"/>
  <c r="CB82" i="13"/>
  <c r="BQ82" i="13"/>
  <c r="BO82" i="13"/>
  <c r="CK82" i="13"/>
  <c r="CJ82" i="13"/>
  <c r="DD82" i="13"/>
  <c r="BX82" i="13"/>
  <c r="CO82" i="13"/>
  <c r="CU82" i="13"/>
  <c r="DF82" i="13"/>
  <c r="CW82" i="13"/>
  <c r="BW82" i="13"/>
  <c r="CZ82" i="13"/>
  <c r="BU82" i="13"/>
  <c r="BP82" i="13"/>
  <c r="BM90" i="13"/>
  <c r="CM90" i="13"/>
  <c r="BQ90" i="13"/>
  <c r="CW90" i="13"/>
  <c r="DF90" i="13"/>
  <c r="CL90" i="13"/>
  <c r="BL90" i="13"/>
  <c r="CX90" i="13"/>
  <c r="CU90" i="13"/>
  <c r="BT90" i="13"/>
  <c r="CK90" i="13"/>
  <c r="BO90" i="13"/>
  <c r="DB90" i="13"/>
  <c r="CV90" i="13"/>
  <c r="DE90" i="13"/>
  <c r="CB90" i="13"/>
  <c r="CR90" i="13"/>
  <c r="BH90" i="13"/>
  <c r="CZ90" i="13"/>
  <c r="CY90" i="13"/>
  <c r="CO90" i="13"/>
  <c r="BU90" i="13"/>
  <c r="CQ90" i="13"/>
  <c r="CA90" i="13"/>
  <c r="BN90" i="13"/>
  <c r="DH90" i="13"/>
  <c r="BS90" i="13"/>
  <c r="CE90" i="13"/>
  <c r="CS90" i="13"/>
  <c r="BZ90" i="13"/>
  <c r="CF90" i="13"/>
  <c r="BR90" i="13"/>
  <c r="BV90" i="13"/>
  <c r="DA90" i="13"/>
  <c r="CI90" i="13"/>
  <c r="CJ90" i="13"/>
  <c r="CD90" i="13"/>
  <c r="DD90" i="13"/>
  <c r="BP90" i="13"/>
  <c r="CT90" i="13"/>
  <c r="DG90" i="13"/>
  <c r="DC90" i="13"/>
  <c r="BI90" i="13"/>
  <c r="CP90" i="13"/>
  <c r="BY90" i="13"/>
  <c r="CN90" i="13"/>
  <c r="BK90" i="13"/>
  <c r="BX90" i="13"/>
  <c r="BW90" i="13"/>
  <c r="CH90" i="13"/>
  <c r="CC90" i="13"/>
  <c r="CG90" i="13"/>
  <c r="BU57" i="13"/>
  <c r="BR57" i="13"/>
  <c r="CY57" i="13"/>
  <c r="CI57" i="13"/>
  <c r="EH57" i="13" s="1"/>
  <c r="CM57" i="13"/>
  <c r="CA57" i="13"/>
  <c r="DZ57" i="13" s="1"/>
  <c r="BH57" i="13"/>
  <c r="CR57" i="13"/>
  <c r="BV57" i="13"/>
  <c r="CO57" i="13"/>
  <c r="BZ57" i="13"/>
  <c r="DY57" i="13" s="1"/>
  <c r="BO57" i="13"/>
  <c r="BY57" i="13"/>
  <c r="DX57" i="13" s="1"/>
  <c r="CV57" i="13"/>
  <c r="CX57" i="13"/>
  <c r="CG57" i="13"/>
  <c r="EF57" i="13" s="1"/>
  <c r="CT57" i="13"/>
  <c r="BW57" i="13"/>
  <c r="DV57" i="13" s="1"/>
  <c r="BK57" i="13"/>
  <c r="CE57" i="13"/>
  <c r="ED57" i="13" s="1"/>
  <c r="DA57" i="13"/>
  <c r="CZ57" i="13"/>
  <c r="DE57" i="13"/>
  <c r="BS57" i="13"/>
  <c r="CF57" i="13"/>
  <c r="EE57" i="13" s="1"/>
  <c r="CH57" i="13"/>
  <c r="EG57" i="13" s="1"/>
  <c r="BM57" i="13"/>
  <c r="BQ57" i="13"/>
  <c r="DD57" i="13"/>
  <c r="BL57" i="13"/>
  <c r="CS57" i="13"/>
  <c r="DG57" i="13"/>
  <c r="CC57" i="13"/>
  <c r="EB57" i="13" s="1"/>
  <c r="DC57" i="13"/>
  <c r="FB57" i="13" s="1"/>
  <c r="DF57" i="13"/>
  <c r="DH57" i="13"/>
  <c r="CD57" i="13"/>
  <c r="EC57" i="13" s="1"/>
  <c r="CK57" i="13"/>
  <c r="EJ57" i="13" s="1"/>
  <c r="BT57" i="13"/>
  <c r="BN57" i="13"/>
  <c r="CL57" i="13"/>
  <c r="DB57" i="13"/>
  <c r="BP57" i="13"/>
  <c r="CJ57" i="13"/>
  <c r="EI57" i="13" s="1"/>
  <c r="CN57" i="13"/>
  <c r="CU57" i="13"/>
  <c r="CB57" i="13"/>
  <c r="EA57" i="13" s="1"/>
  <c r="CW57" i="13"/>
  <c r="BX57" i="13"/>
  <c r="DW57" i="13" s="1"/>
  <c r="CQ57" i="13"/>
  <c r="CP57" i="13"/>
  <c r="BV64" i="13"/>
  <c r="CJ64" i="13"/>
  <c r="EI64" i="13" s="1"/>
  <c r="CH64" i="13"/>
  <c r="EG64" i="13" s="1"/>
  <c r="BT64" i="13"/>
  <c r="CE64" i="13"/>
  <c r="ED64" i="13" s="1"/>
  <c r="DC64" i="13"/>
  <c r="FB64" i="13" s="1"/>
  <c r="DF64" i="13"/>
  <c r="CY64" i="13"/>
  <c r="BR64" i="13"/>
  <c r="BM64" i="13"/>
  <c r="DG64" i="13"/>
  <c r="CN64" i="13"/>
  <c r="BH64" i="13"/>
  <c r="BP64" i="13"/>
  <c r="CZ64" i="13"/>
  <c r="CD64" i="13"/>
  <c r="EC64" i="13" s="1"/>
  <c r="CL64" i="13"/>
  <c r="BN64" i="13"/>
  <c r="CW64" i="13"/>
  <c r="EV64" i="13" s="1"/>
  <c r="BU64" i="13"/>
  <c r="CT64" i="13"/>
  <c r="CK64" i="13"/>
  <c r="EJ64" i="13" s="1"/>
  <c r="CX64" i="13"/>
  <c r="BY64" i="13"/>
  <c r="DX64" i="13" s="1"/>
  <c r="BO64" i="13"/>
  <c r="BZ64" i="13"/>
  <c r="DY64" i="13" s="1"/>
  <c r="CQ64" i="13"/>
  <c r="BX64" i="13"/>
  <c r="DW64" i="13" s="1"/>
  <c r="CA64" i="13"/>
  <c r="DZ64" i="13" s="1"/>
  <c r="CS64" i="13"/>
  <c r="CU64" i="13"/>
  <c r="CV64" i="13"/>
  <c r="CC64" i="13"/>
  <c r="EB64" i="13" s="1"/>
  <c r="DA64" i="13"/>
  <c r="BS64" i="13"/>
  <c r="BK64" i="13"/>
  <c r="DB64" i="13"/>
  <c r="DH64" i="13"/>
  <c r="BW64" i="13"/>
  <c r="DV64" i="13" s="1"/>
  <c r="CM64" i="13"/>
  <c r="BL64" i="13"/>
  <c r="CI64" i="13"/>
  <c r="EH64" i="13" s="1"/>
  <c r="BQ64" i="13"/>
  <c r="DD64" i="13"/>
  <c r="CB64" i="13"/>
  <c r="EA64" i="13" s="1"/>
  <c r="DE64" i="13"/>
  <c r="CG64" i="13"/>
  <c r="EF64" i="13" s="1"/>
  <c r="CO64" i="13"/>
  <c r="CP64" i="13"/>
  <c r="CF64" i="13"/>
  <c r="EE64" i="13" s="1"/>
  <c r="CR64" i="13"/>
  <c r="BV61" i="13"/>
  <c r="CK61" i="13"/>
  <c r="EJ61" i="13" s="1"/>
  <c r="BW61" i="13"/>
  <c r="DV61" i="13" s="1"/>
  <c r="DB61" i="13"/>
  <c r="DG61" i="13"/>
  <c r="CJ61" i="13"/>
  <c r="EI61" i="13" s="1"/>
  <c r="CP61" i="13"/>
  <c r="EO61" i="13" s="1"/>
  <c r="DH61" i="13"/>
  <c r="CE61" i="13"/>
  <c r="ED61" i="13" s="1"/>
  <c r="CN61" i="13"/>
  <c r="BO61" i="13"/>
  <c r="CX61" i="13"/>
  <c r="CU61" i="13"/>
  <c r="CM61" i="13"/>
  <c r="DC61" i="13"/>
  <c r="FB61" i="13" s="1"/>
  <c r="BQ61" i="13"/>
  <c r="CL61" i="13"/>
  <c r="CQ61" i="13"/>
  <c r="BX61" i="13"/>
  <c r="DW61" i="13" s="1"/>
  <c r="BR61" i="13"/>
  <c r="CA61" i="13"/>
  <c r="DZ61" i="13" s="1"/>
  <c r="BK61" i="13"/>
  <c r="DF61" i="13"/>
  <c r="DE61" i="13"/>
  <c r="CG61" i="13"/>
  <c r="EF61" i="13" s="1"/>
  <c r="BZ61" i="13"/>
  <c r="DY61" i="13" s="1"/>
  <c r="CH61" i="13"/>
  <c r="EG61" i="13" s="1"/>
  <c r="CV61" i="13"/>
  <c r="BL61" i="13"/>
  <c r="DK61" i="13" s="1"/>
  <c r="DA61" i="13"/>
  <c r="CC61" i="13"/>
  <c r="EB61" i="13" s="1"/>
  <c r="BM61" i="13"/>
  <c r="DD61" i="13"/>
  <c r="CB61" i="13"/>
  <c r="EA61" i="13" s="1"/>
  <c r="BH61" i="13"/>
  <c r="CF61" i="13"/>
  <c r="EE61" i="13" s="1"/>
  <c r="CY61" i="13"/>
  <c r="CI61" i="13"/>
  <c r="EH61" i="13" s="1"/>
  <c r="CO61" i="13"/>
  <c r="BY61" i="13"/>
  <c r="DX61" i="13" s="1"/>
  <c r="BS61" i="13"/>
  <c r="BU61" i="13"/>
  <c r="BP61" i="13"/>
  <c r="CD61" i="13"/>
  <c r="EC61" i="13" s="1"/>
  <c r="CS61" i="13"/>
  <c r="CW61" i="13"/>
  <c r="CZ61" i="13"/>
  <c r="CT61" i="13"/>
  <c r="BT61" i="13"/>
  <c r="CR61" i="13"/>
  <c r="BN61" i="13"/>
  <c r="BX81" i="13"/>
  <c r="CR81" i="13"/>
  <c r="BN81" i="13"/>
  <c r="CK81" i="13"/>
  <c r="CN81" i="13"/>
  <c r="CT81" i="13"/>
  <c r="CZ81" i="13"/>
  <c r="BP81" i="13"/>
  <c r="BY81" i="13"/>
  <c r="BS81" i="13"/>
  <c r="CW81" i="13"/>
  <c r="BO81" i="13"/>
  <c r="DH81" i="13"/>
  <c r="BH81" i="13"/>
  <c r="CO81" i="13"/>
  <c r="DG81" i="13"/>
  <c r="BU81" i="13"/>
  <c r="CB81" i="13"/>
  <c r="BV81" i="13"/>
  <c r="BZ81" i="13"/>
  <c r="CL81" i="13"/>
  <c r="BR81" i="13"/>
  <c r="CE81" i="13"/>
  <c r="DB81" i="13"/>
  <c r="CA81" i="13"/>
  <c r="DE81" i="13"/>
  <c r="BW81" i="13"/>
  <c r="CM81" i="13"/>
  <c r="CV81" i="13"/>
  <c r="BK81" i="13"/>
  <c r="CI81" i="13"/>
  <c r="BT81" i="13"/>
  <c r="DA81" i="13"/>
  <c r="BI81" i="13"/>
  <c r="CU81" i="13"/>
  <c r="BQ81" i="13"/>
  <c r="DF81" i="13"/>
  <c r="CJ81" i="13"/>
  <c r="EI81" i="13" s="1"/>
  <c r="CF81" i="13"/>
  <c r="CD81" i="13"/>
  <c r="BM81" i="13"/>
  <c r="CQ81" i="13"/>
  <c r="DD81" i="13"/>
  <c r="CY81" i="13"/>
  <c r="BL81" i="13"/>
  <c r="CC81" i="13"/>
  <c r="CP81" i="13"/>
  <c r="CS81" i="13"/>
  <c r="CG81" i="13"/>
  <c r="DC81" i="13"/>
  <c r="CX81" i="13"/>
  <c r="CH81" i="13"/>
  <c r="BT78" i="13"/>
  <c r="CS78" i="13"/>
  <c r="BV78" i="13"/>
  <c r="CO78" i="13"/>
  <c r="CL78" i="13"/>
  <c r="CY78" i="13"/>
  <c r="CR78" i="13"/>
  <c r="BI78" i="13"/>
  <c r="DA78" i="13"/>
  <c r="BH78" i="13"/>
  <c r="CP78" i="13"/>
  <c r="BW78" i="13"/>
  <c r="CD78" i="13"/>
  <c r="CE78" i="13"/>
  <c r="CK78" i="13"/>
  <c r="CI78" i="13"/>
  <c r="CJ78" i="13"/>
  <c r="DE78" i="13"/>
  <c r="BM78" i="13"/>
  <c r="DC78" i="13"/>
  <c r="DF78" i="13"/>
  <c r="CC78" i="13"/>
  <c r="BQ78" i="13"/>
  <c r="BO78" i="13"/>
  <c r="BS78" i="13"/>
  <c r="BP78" i="13"/>
  <c r="CX78" i="13"/>
  <c r="BX78" i="13"/>
  <c r="DW78" i="13" s="1"/>
  <c r="DB78" i="13"/>
  <c r="CN78" i="13"/>
  <c r="CU78" i="13"/>
  <c r="DH78" i="13"/>
  <c r="CM78" i="13"/>
  <c r="CH78" i="13"/>
  <c r="CQ78" i="13"/>
  <c r="CZ78" i="13"/>
  <c r="CV78" i="13"/>
  <c r="BU78" i="13"/>
  <c r="CT78" i="13"/>
  <c r="BK78" i="13"/>
  <c r="CA78" i="13"/>
  <c r="CG78" i="13"/>
  <c r="BL78" i="13"/>
  <c r="CW78" i="13"/>
  <c r="CF78" i="13"/>
  <c r="CB78" i="13"/>
  <c r="BN78" i="13"/>
  <c r="BZ78" i="13"/>
  <c r="DY78" i="13" s="1"/>
  <c r="BR78" i="13"/>
  <c r="DG78" i="13"/>
  <c r="BY78" i="13"/>
  <c r="DD78" i="13"/>
  <c r="BO68" i="13"/>
  <c r="CH68" i="13"/>
  <c r="EG68" i="13" s="1"/>
  <c r="BL68" i="13"/>
  <c r="BV68" i="13"/>
  <c r="DA68" i="13"/>
  <c r="DE68" i="13"/>
  <c r="BU68" i="13"/>
  <c r="CG68" i="13"/>
  <c r="EF68" i="13" s="1"/>
  <c r="DF68" i="13"/>
  <c r="CP68" i="13"/>
  <c r="DD68" i="13"/>
  <c r="CK68" i="13"/>
  <c r="EJ68" i="13" s="1"/>
  <c r="BR68" i="13"/>
  <c r="BX68" i="13"/>
  <c r="DW68" i="13" s="1"/>
  <c r="CW68" i="13"/>
  <c r="CF68" i="13"/>
  <c r="EE68" i="13" s="1"/>
  <c r="DH68" i="13"/>
  <c r="BT68" i="13"/>
  <c r="CJ68" i="13"/>
  <c r="EI68" i="13" s="1"/>
  <c r="CS68" i="13"/>
  <c r="CA68" i="13"/>
  <c r="DZ68" i="13" s="1"/>
  <c r="CR68" i="13"/>
  <c r="BS68" i="13"/>
  <c r="CZ68" i="13"/>
  <c r="CI68" i="13"/>
  <c r="EH68" i="13" s="1"/>
  <c r="DB68" i="13"/>
  <c r="CV68" i="13"/>
  <c r="CL68" i="13"/>
  <c r="CC68" i="13"/>
  <c r="EB68" i="13" s="1"/>
  <c r="BQ68" i="13"/>
  <c r="CQ68" i="13"/>
  <c r="CT68" i="13"/>
  <c r="BY68" i="13"/>
  <c r="DX68" i="13" s="1"/>
  <c r="CX68" i="13"/>
  <c r="EW68" i="13" s="1"/>
  <c r="CY68" i="13"/>
  <c r="CN68" i="13"/>
  <c r="CD68" i="13"/>
  <c r="EC68" i="13" s="1"/>
  <c r="CE68" i="13"/>
  <c r="ED68" i="13" s="1"/>
  <c r="BM68" i="13"/>
  <c r="BW68" i="13"/>
  <c r="DV68" i="13" s="1"/>
  <c r="DG68" i="13"/>
  <c r="BP68" i="13"/>
  <c r="BK68" i="13"/>
  <c r="DC68" i="13"/>
  <c r="FB68" i="13" s="1"/>
  <c r="CB68" i="13"/>
  <c r="EA68" i="13" s="1"/>
  <c r="BZ68" i="13"/>
  <c r="DY68" i="13" s="1"/>
  <c r="CU68" i="13"/>
  <c r="CO68" i="13"/>
  <c r="BN68" i="13"/>
  <c r="CM68" i="13"/>
  <c r="BQ50" i="13"/>
  <c r="BX50" i="13"/>
  <c r="CE50" i="13"/>
  <c r="DF50" i="13"/>
  <c r="CW50" i="13"/>
  <c r="CR50" i="13"/>
  <c r="BR50" i="13"/>
  <c r="CI50" i="13"/>
  <c r="DD50" i="13"/>
  <c r="DA50" i="13"/>
  <c r="BL50" i="13"/>
  <c r="BW50" i="13"/>
  <c r="CA50" i="13"/>
  <c r="CJ50" i="13"/>
  <c r="BN50" i="13"/>
  <c r="CL50" i="13"/>
  <c r="CD50" i="13"/>
  <c r="CH50" i="13"/>
  <c r="CU50" i="13"/>
  <c r="DG50" i="13"/>
  <c r="BV50" i="13"/>
  <c r="BY50" i="13"/>
  <c r="CS50" i="13"/>
  <c r="CO50" i="13"/>
  <c r="CB50" i="13"/>
  <c r="DE50" i="13"/>
  <c r="BT50" i="13"/>
  <c r="CT50" i="13"/>
  <c r="DB50" i="13"/>
  <c r="DH50" i="13"/>
  <c r="BI50" i="13"/>
  <c r="BP50" i="13"/>
  <c r="CV50" i="13"/>
  <c r="CP50" i="13"/>
  <c r="BH50" i="13"/>
  <c r="CM50" i="13"/>
  <c r="CF50" i="13"/>
  <c r="CN50" i="13"/>
  <c r="CQ50" i="13"/>
  <c r="BO50" i="13"/>
  <c r="BU50" i="13"/>
  <c r="BM50" i="13"/>
  <c r="CK50" i="13"/>
  <c r="EJ50" i="13" s="1"/>
  <c r="CX50" i="13"/>
  <c r="CY50" i="13"/>
  <c r="BS50" i="13"/>
  <c r="BK50" i="13"/>
  <c r="DC50" i="13"/>
  <c r="BZ50" i="13"/>
  <c r="CC50" i="13"/>
  <c r="CG50" i="13"/>
  <c r="EF50" i="13" s="1"/>
  <c r="CZ50" i="13"/>
  <c r="DE45" i="13"/>
  <c r="BY45" i="13"/>
  <c r="BN45" i="13"/>
  <c r="CB45" i="13"/>
  <c r="CG45" i="13"/>
  <c r="DG45" i="13"/>
  <c r="DC45" i="13"/>
  <c r="CT45" i="13"/>
  <c r="CH45" i="13"/>
  <c r="CP45" i="13"/>
  <c r="BW45" i="13"/>
  <c r="CN45" i="13"/>
  <c r="CX45" i="13"/>
  <c r="CZ45" i="13"/>
  <c r="CQ45" i="13"/>
  <c r="BZ45" i="13"/>
  <c r="BV45" i="13"/>
  <c r="CD45" i="13"/>
  <c r="CE45" i="13"/>
  <c r="BT45" i="13"/>
  <c r="CO45" i="13"/>
  <c r="CU45" i="13"/>
  <c r="CS45" i="13"/>
  <c r="CL45" i="13"/>
  <c r="BO45" i="13"/>
  <c r="DF45" i="13"/>
  <c r="CW45" i="13"/>
  <c r="BU45" i="13"/>
  <c r="BQ45" i="13"/>
  <c r="CK45" i="13"/>
  <c r="BP45" i="13"/>
  <c r="BL45" i="13"/>
  <c r="CJ45" i="13"/>
  <c r="DA45" i="13"/>
  <c r="CC45" i="13"/>
  <c r="CA45" i="13"/>
  <c r="CF45" i="13"/>
  <c r="DD45" i="13"/>
  <c r="DB45" i="13"/>
  <c r="CY45" i="13"/>
  <c r="BM45" i="13"/>
  <c r="BH45" i="13"/>
  <c r="BK45" i="13"/>
  <c r="CM45" i="13"/>
  <c r="DH45" i="13"/>
  <c r="CI45" i="13"/>
  <c r="CV45" i="13"/>
  <c r="BX45" i="13"/>
  <c r="BI45" i="13"/>
  <c r="CR45" i="13"/>
  <c r="BS45" i="13"/>
  <c r="BR45" i="13"/>
  <c r="BH77" i="13"/>
  <c r="BV77" i="13"/>
  <c r="CV77" i="13"/>
  <c r="CM77" i="13"/>
  <c r="DH77" i="13"/>
  <c r="CW77" i="13"/>
  <c r="CH77" i="13"/>
  <c r="CL77" i="13"/>
  <c r="BU77" i="13"/>
  <c r="DB77" i="13"/>
  <c r="BZ77" i="13"/>
  <c r="CN77" i="13"/>
  <c r="CU77" i="13"/>
  <c r="CO77" i="13"/>
  <c r="DA77" i="13"/>
  <c r="DF77" i="13"/>
  <c r="CJ77" i="13"/>
  <c r="BX77" i="13"/>
  <c r="CK77" i="13"/>
  <c r="CG77" i="13"/>
  <c r="CX77" i="13"/>
  <c r="CA77" i="13"/>
  <c r="BN77" i="13"/>
  <c r="CF77" i="13"/>
  <c r="BO77" i="13"/>
  <c r="CP77" i="13"/>
  <c r="DG77" i="13"/>
  <c r="BL77" i="13"/>
  <c r="CI77" i="13"/>
  <c r="BP77" i="13"/>
  <c r="BM77" i="13"/>
  <c r="DD77" i="13"/>
  <c r="BW77" i="13"/>
  <c r="BS77" i="13"/>
  <c r="CR77" i="13"/>
  <c r="BQ77" i="13"/>
  <c r="BI77" i="13"/>
  <c r="CB77" i="13"/>
  <c r="DC77" i="13"/>
  <c r="CE77" i="13"/>
  <c r="BK77" i="13"/>
  <c r="CD77" i="13"/>
  <c r="CT77" i="13"/>
  <c r="BR77" i="13"/>
  <c r="CZ77" i="13"/>
  <c r="CS77" i="13"/>
  <c r="CY77" i="13"/>
  <c r="BY77" i="13"/>
  <c r="DE77" i="13"/>
  <c r="BT77" i="13"/>
  <c r="CC77" i="13"/>
  <c r="CQ77" i="13"/>
  <c r="BU91" i="13"/>
  <c r="BX91" i="13"/>
  <c r="CD91" i="13"/>
  <c r="DF91" i="13"/>
  <c r="CW91" i="13"/>
  <c r="BS91" i="13"/>
  <c r="CQ91" i="13"/>
  <c r="CR91" i="13"/>
  <c r="CC91" i="13"/>
  <c r="CG91" i="13"/>
  <c r="CL91" i="13"/>
  <c r="BN91" i="13"/>
  <c r="DC91" i="13"/>
  <c r="CV91" i="13"/>
  <c r="CZ91" i="13"/>
  <c r="BQ91" i="13"/>
  <c r="BV91" i="13"/>
  <c r="BP91" i="13"/>
  <c r="CY91" i="13"/>
  <c r="CT91" i="13"/>
  <c r="CU91" i="13"/>
  <c r="CS91" i="13"/>
  <c r="CH91" i="13"/>
  <c r="BL91" i="13"/>
  <c r="CB91" i="13"/>
  <c r="DH91" i="13"/>
  <c r="BH91" i="13"/>
  <c r="CO91" i="13"/>
  <c r="CM91" i="13"/>
  <c r="CA91" i="13"/>
  <c r="CN91" i="13"/>
  <c r="DB91" i="13"/>
  <c r="CP91" i="13"/>
  <c r="CK91" i="13"/>
  <c r="BZ91" i="13"/>
  <c r="BI91" i="13"/>
  <c r="BW91" i="13"/>
  <c r="CF91" i="13"/>
  <c r="DD91" i="13"/>
  <c r="BT91" i="13"/>
  <c r="BY91" i="13"/>
  <c r="BO91" i="13"/>
  <c r="DE91" i="13"/>
  <c r="CJ91" i="13"/>
  <c r="BK91" i="13"/>
  <c r="DG91" i="13"/>
  <c r="BM91" i="13"/>
  <c r="CX91" i="13"/>
  <c r="CE91" i="13"/>
  <c r="CI91" i="13"/>
  <c r="BR91" i="13"/>
  <c r="DA91" i="13"/>
  <c r="CP88" i="13"/>
  <c r="BH88" i="13"/>
  <c r="BM88" i="13"/>
  <c r="CM88" i="13"/>
  <c r="DH88" i="13"/>
  <c r="CU88" i="13"/>
  <c r="CR88" i="13"/>
  <c r="CA88" i="13"/>
  <c r="CD88" i="13"/>
  <c r="BZ88" i="13"/>
  <c r="DB88" i="13"/>
  <c r="CS88" i="13"/>
  <c r="CY88" i="13"/>
  <c r="CC88" i="13"/>
  <c r="CW88" i="13"/>
  <c r="CQ88" i="13"/>
  <c r="CV88" i="13"/>
  <c r="BR88" i="13"/>
  <c r="CT88" i="13"/>
  <c r="CL88" i="13"/>
  <c r="BY88" i="13"/>
  <c r="CG88" i="13"/>
  <c r="BP88" i="13"/>
  <c r="DE88" i="13"/>
  <c r="BL88" i="13"/>
  <c r="BS88" i="13"/>
  <c r="BK88" i="13"/>
  <c r="DA88" i="13"/>
  <c r="CN88" i="13"/>
  <c r="CZ88" i="13"/>
  <c r="CH88" i="13"/>
  <c r="CJ88" i="13"/>
  <c r="CE88" i="13"/>
  <c r="DD88" i="13"/>
  <c r="CK88" i="13"/>
  <c r="DF88" i="13"/>
  <c r="BN88" i="13"/>
  <c r="CF88" i="13"/>
  <c r="CO88" i="13"/>
  <c r="BT88" i="13"/>
  <c r="BU88" i="13"/>
  <c r="DG88" i="13"/>
  <c r="BQ88" i="13"/>
  <c r="BI88" i="13"/>
  <c r="CB88" i="13"/>
  <c r="DC88" i="13"/>
  <c r="BX88" i="13"/>
  <c r="CX88" i="13"/>
  <c r="BV88" i="13"/>
  <c r="BO88" i="13"/>
  <c r="BW88" i="13"/>
  <c r="CI88" i="13"/>
  <c r="FB80" i="13" l="1"/>
  <c r="EE89" i="13"/>
  <c r="FB89" i="13"/>
  <c r="EK80" i="13"/>
  <c r="EU54" i="13"/>
  <c r="DQ54" i="13"/>
  <c r="DS53" i="13"/>
  <c r="DX53" i="13"/>
  <c r="EY78" i="13"/>
  <c r="EM57" i="13"/>
  <c r="EY67" i="13"/>
  <c r="G17" i="13"/>
  <c r="FE57" i="13"/>
  <c r="DQ67" i="13"/>
  <c r="FE54" i="13"/>
  <c r="DN68" i="13"/>
  <c r="FE64" i="13"/>
  <c r="FA57" i="13"/>
  <c r="DN67" i="13"/>
  <c r="ER87" i="13"/>
  <c r="EQ64" i="13"/>
  <c r="EM67" i="13"/>
  <c r="FA54" i="13"/>
  <c r="FA42" i="13"/>
  <c r="DQ91" i="13"/>
  <c r="DL91" i="13"/>
  <c r="DS87" i="13"/>
  <c r="DT61" i="13"/>
  <c r="DU64" i="13"/>
  <c r="DS46" i="13"/>
  <c r="DO61" i="13"/>
  <c r="DO64" i="13"/>
  <c r="ER54" i="13"/>
  <c r="EF81" i="13"/>
  <c r="DK81" i="13"/>
  <c r="DL81" i="13"/>
  <c r="EG90" i="13"/>
  <c r="EH78" i="13"/>
  <c r="FB78" i="13"/>
  <c r="DV78" i="13"/>
  <c r="EL68" i="13"/>
  <c r="DT64" i="13"/>
  <c r="EO57" i="13"/>
  <c r="EJ47" i="13"/>
  <c r="FB47" i="13"/>
  <c r="FA67" i="13"/>
  <c r="DT67" i="13"/>
  <c r="ER67" i="13"/>
  <c r="DL67" i="13"/>
  <c r="FA85" i="13"/>
  <c r="DQ63" i="13"/>
  <c r="EJ76" i="13"/>
  <c r="EI44" i="13"/>
  <c r="EN68" i="13"/>
  <c r="EV78" i="13"/>
  <c r="FC57" i="13"/>
  <c r="DV82" i="13"/>
  <c r="EN82" i="13"/>
  <c r="EJ82" i="13"/>
  <c r="EC82" i="13"/>
  <c r="DY82" i="13"/>
  <c r="DJ68" i="13"/>
  <c r="EQ61" i="13"/>
  <c r="EV57" i="13"/>
  <c r="DJ47" i="13"/>
  <c r="EV54" i="13"/>
  <c r="EO54" i="13"/>
  <c r="DY53" i="13"/>
  <c r="EA53" i="13"/>
  <c r="DJ64" i="13"/>
  <c r="DJ57" i="13"/>
  <c r="DP47" i="13"/>
  <c r="EH88" i="13"/>
  <c r="EE85" i="13"/>
  <c r="DW74" i="13"/>
  <c r="FB43" i="13"/>
  <c r="EM68" i="13"/>
  <c r="ER68" i="13"/>
  <c r="DU61" i="13"/>
  <c r="FC64" i="13"/>
  <c r="EL64" i="13"/>
  <c r="DN64" i="13"/>
  <c r="DS47" i="13"/>
  <c r="DN63" i="13"/>
  <c r="ER64" i="13"/>
  <c r="DS64" i="13"/>
  <c r="DU67" i="13"/>
  <c r="DS63" i="13"/>
  <c r="DS91" i="13"/>
  <c r="DU68" i="13"/>
  <c r="DN78" i="13"/>
  <c r="DS61" i="13"/>
  <c r="ER61" i="13"/>
  <c r="DN61" i="13"/>
  <c r="EM64" i="13"/>
  <c r="DU57" i="13"/>
  <c r="DU54" i="13"/>
  <c r="DS68" i="13"/>
  <c r="DS57" i="13"/>
  <c r="ER57" i="13"/>
  <c r="DN57" i="13"/>
  <c r="DS82" i="13"/>
  <c r="DS67" i="13"/>
  <c r="DS54" i="13"/>
  <c r="EU58" i="13"/>
  <c r="DL68" i="13"/>
  <c r="EK68" i="13"/>
  <c r="EY68" i="13"/>
  <c r="EO68" i="13"/>
  <c r="EY61" i="13"/>
  <c r="EK61" i="13"/>
  <c r="EU64" i="13"/>
  <c r="EK64" i="13"/>
  <c r="DL64" i="13"/>
  <c r="EY57" i="13"/>
  <c r="DQ47" i="13"/>
  <c r="EU63" i="13"/>
  <c r="EV84" i="13"/>
  <c r="EO48" i="13"/>
  <c r="EY54" i="13"/>
  <c r="DU80" i="13"/>
  <c r="EU80" i="13"/>
  <c r="EH73" i="13"/>
  <c r="FB73" i="13"/>
  <c r="EI73" i="13"/>
  <c r="DU73" i="13"/>
  <c r="FB44" i="13"/>
  <c r="DX44" i="13"/>
  <c r="DY44" i="13"/>
  <c r="DZ44" i="13"/>
  <c r="FB83" i="13"/>
  <c r="EJ83" i="13"/>
  <c r="DY79" i="13"/>
  <c r="DQ62" i="13"/>
  <c r="EI49" i="13"/>
  <c r="EH49" i="13"/>
  <c r="EB49" i="13"/>
  <c r="EJ49" i="13"/>
  <c r="DY49" i="13"/>
  <c r="EY77" i="13"/>
  <c r="EU68" i="13"/>
  <c r="DQ68" i="13"/>
  <c r="DQ61" i="13"/>
  <c r="DQ64" i="13"/>
  <c r="EK57" i="13"/>
  <c r="EU57" i="13"/>
  <c r="DQ57" i="13"/>
  <c r="EU75" i="13"/>
  <c r="EU67" i="13"/>
  <c r="DQ87" i="13"/>
  <c r="FA68" i="13"/>
  <c r="DJ78" i="13"/>
  <c r="DU88" i="13"/>
  <c r="EA88" i="13"/>
  <c r="DT88" i="13"/>
  <c r="ED88" i="13"/>
  <c r="EM88" i="13"/>
  <c r="DX88" i="13"/>
  <c r="EU88" i="13"/>
  <c r="EX88" i="13"/>
  <c r="EC88" i="13"/>
  <c r="EV68" i="13"/>
  <c r="FC68" i="13"/>
  <c r="DT68" i="13"/>
  <c r="DL61" i="13"/>
  <c r="EU61" i="13"/>
  <c r="DJ61" i="13"/>
  <c r="EL61" i="13"/>
  <c r="EM61" i="13"/>
  <c r="EO64" i="13"/>
  <c r="FA64" i="13"/>
  <c r="EY64" i="13"/>
  <c r="DO57" i="13"/>
  <c r="DL57" i="13"/>
  <c r="EQ57" i="13"/>
  <c r="EZ82" i="13"/>
  <c r="EL82" i="13"/>
  <c r="EU82" i="13"/>
  <c r="DP84" i="13"/>
  <c r="EA84" i="13"/>
  <c r="DQ84" i="13"/>
  <c r="EZ84" i="13"/>
  <c r="DN84" i="13"/>
  <c r="DY84" i="13"/>
  <c r="DX84" i="13"/>
  <c r="FE84" i="13"/>
  <c r="DJ84" i="13"/>
  <c r="FC84" i="13"/>
  <c r="DU47" i="13"/>
  <c r="DL47" i="13"/>
  <c r="DN47" i="13"/>
  <c r="EB47" i="13"/>
  <c r="FA47" i="13"/>
  <c r="ER47" i="13"/>
  <c r="EE47" i="13"/>
  <c r="EF47" i="13"/>
  <c r="EM47" i="13"/>
  <c r="ED47" i="13"/>
  <c r="DO47" i="13"/>
  <c r="EG47" i="13"/>
  <c r="DJ67" i="13"/>
  <c r="EK67" i="13"/>
  <c r="EV67" i="13"/>
  <c r="DN54" i="13"/>
  <c r="DL54" i="13"/>
  <c r="EK54" i="13"/>
  <c r="ED80" i="13"/>
  <c r="DY80" i="13"/>
  <c r="EH80" i="13"/>
  <c r="EA80" i="13"/>
  <c r="DQ80" i="13"/>
  <c r="ER80" i="13"/>
  <c r="DN80" i="13"/>
  <c r="EU73" i="13"/>
  <c r="ER73" i="13"/>
  <c r="EJ73" i="13"/>
  <c r="DL73" i="13"/>
  <c r="EF73" i="13"/>
  <c r="DU63" i="13"/>
  <c r="DS58" i="13"/>
  <c r="DS62" i="13"/>
  <c r="EH91" i="13"/>
  <c r="FC91" i="13"/>
  <c r="EK91" i="13"/>
  <c r="EL45" i="13"/>
  <c r="DP45" i="13"/>
  <c r="EW45" i="13"/>
  <c r="DX78" i="13"/>
  <c r="DP78" i="13"/>
  <c r="EQ78" i="13"/>
  <c r="ER81" i="13"/>
  <c r="EZ81" i="13"/>
  <c r="DT81" i="13"/>
  <c r="DW81" i="13"/>
  <c r="EB74" i="13"/>
  <c r="DP74" i="13"/>
  <c r="FE74" i="13"/>
  <c r="DZ74" i="13"/>
  <c r="EL74" i="13"/>
  <c r="EE74" i="13"/>
  <c r="DN74" i="13"/>
  <c r="EN74" i="13"/>
  <c r="DV74" i="13"/>
  <c r="DU74" i="13"/>
  <c r="FE43" i="13"/>
  <c r="DK43" i="13"/>
  <c r="ER43" i="13"/>
  <c r="EO43" i="13"/>
  <c r="DJ43" i="13"/>
  <c r="EB43" i="13"/>
  <c r="EY43" i="13"/>
  <c r="EG43" i="13"/>
  <c r="DZ43" i="13"/>
  <c r="FB48" i="13"/>
  <c r="ED48" i="13"/>
  <c r="DU48" i="13"/>
  <c r="EF48" i="13"/>
  <c r="EI48" i="13"/>
  <c r="DY48" i="13"/>
  <c r="DP48" i="13"/>
  <c r="DJ80" i="13"/>
  <c r="DV42" i="13"/>
  <c r="DX42" i="13"/>
  <c r="EJ42" i="13"/>
  <c r="EA42" i="13"/>
  <c r="EU42" i="13"/>
  <c r="DQ42" i="13"/>
  <c r="FB85" i="13"/>
  <c r="EC85" i="13"/>
  <c r="EH85" i="13"/>
  <c r="ED85" i="13"/>
  <c r="EF85" i="13"/>
  <c r="DU85" i="13"/>
  <c r="EI85" i="13"/>
  <c r="DK88" i="13"/>
  <c r="FF91" i="13"/>
  <c r="EM91" i="13"/>
  <c r="EY91" i="13"/>
  <c r="EC91" i="13"/>
  <c r="DW45" i="13"/>
  <c r="EI45" i="13"/>
  <c r="DU45" i="13"/>
  <c r="EF45" i="13"/>
  <c r="ET78" i="13"/>
  <c r="EJ78" i="13"/>
  <c r="EN78" i="13"/>
  <c r="EC81" i="13"/>
  <c r="DZ81" i="13"/>
  <c r="DX81" i="13"/>
  <c r="EP61" i="13"/>
  <c r="DK64" i="13"/>
  <c r="ED91" i="13"/>
  <c r="EE91" i="13"/>
  <c r="FG91" i="13"/>
  <c r="DJ45" i="13"/>
  <c r="ET68" i="13"/>
  <c r="DT78" i="13"/>
  <c r="DO78" i="13"/>
  <c r="DU78" i="13"/>
  <c r="FC81" i="13"/>
  <c r="DS81" i="13"/>
  <c r="EP57" i="13"/>
  <c r="DK57" i="13"/>
  <c r="DU43" i="13"/>
  <c r="DM88" i="13"/>
  <c r="ET88" i="13"/>
  <c r="DN91" i="13"/>
  <c r="DY91" i="13"/>
  <c r="EG91" i="13"/>
  <c r="EX91" i="13"/>
  <c r="EP91" i="13"/>
  <c r="DQ45" i="13"/>
  <c r="EX45" i="13"/>
  <c r="DZ45" i="13"/>
  <c r="DN45" i="13"/>
  <c r="EN45" i="13"/>
  <c r="EG45" i="13"/>
  <c r="DK68" i="13"/>
  <c r="DK78" i="13"/>
  <c r="EP78" i="13"/>
  <c r="EW78" i="13"/>
  <c r="DL78" i="13"/>
  <c r="EO78" i="13"/>
  <c r="EG81" i="13"/>
  <c r="EX81" i="13"/>
  <c r="FE81" i="13"/>
  <c r="EU81" i="13"/>
  <c r="EK81" i="13"/>
  <c r="EM81" i="13"/>
  <c r="EW88" i="13"/>
  <c r="DJ91" i="13"/>
  <c r="EJ91" i="13"/>
  <c r="DZ91" i="13"/>
  <c r="ER91" i="13"/>
  <c r="EU45" i="13"/>
  <c r="FA45" i="13"/>
  <c r="EA78" i="13"/>
  <c r="EF78" i="13"/>
  <c r="EG78" i="13"/>
  <c r="EM78" i="13"/>
  <c r="EB78" i="13"/>
  <c r="ED78" i="13"/>
  <c r="EW81" i="13"/>
  <c r="EO81" i="13"/>
  <c r="EE81" i="13"/>
  <c r="DP81" i="13"/>
  <c r="EL81" i="13"/>
  <c r="FA81" i="13"/>
  <c r="EM43" i="13"/>
  <c r="EW91" i="13"/>
  <c r="EI91" i="13"/>
  <c r="DX91" i="13"/>
  <c r="DV91" i="13"/>
  <c r="EO91" i="13"/>
  <c r="EL91" i="13"/>
  <c r="EA91" i="13"/>
  <c r="ET91" i="13"/>
  <c r="DU91" i="13"/>
  <c r="FB91" i="13"/>
  <c r="EB91" i="13"/>
  <c r="DJ77" i="13"/>
  <c r="EK58" i="13"/>
  <c r="EK44" i="13"/>
  <c r="EU44" i="13"/>
  <c r="DL44" i="13"/>
  <c r="EG44" i="13"/>
  <c r="EH44" i="13"/>
  <c r="DQ44" i="13"/>
  <c r="DS44" i="13"/>
  <c r="DW83" i="13"/>
  <c r="ED83" i="13"/>
  <c r="EI83" i="13"/>
  <c r="EB69" i="13"/>
  <c r="EB79" i="13"/>
  <c r="EU79" i="13"/>
  <c r="FB49" i="13"/>
  <c r="EQ45" i="13"/>
  <c r="EH45" i="13"/>
  <c r="FC45" i="13"/>
  <c r="DO45" i="13"/>
  <c r="EV45" i="13"/>
  <c r="ER45" i="13"/>
  <c r="ED45" i="13"/>
  <c r="DJ50" i="13"/>
  <c r="EP50" i="13"/>
  <c r="DO68" i="13"/>
  <c r="EP68" i="13"/>
  <c r="DQ78" i="13"/>
  <c r="EE78" i="13"/>
  <c r="DZ78" i="13"/>
  <c r="EU78" i="13"/>
  <c r="EL78" i="13"/>
  <c r="FA78" i="13"/>
  <c r="EI78" i="13"/>
  <c r="EC78" i="13"/>
  <c r="ER78" i="13"/>
  <c r="FB81" i="13"/>
  <c r="EB81" i="13"/>
  <c r="EP81" i="13"/>
  <c r="ET81" i="13"/>
  <c r="EH81" i="13"/>
  <c r="DV81" i="13"/>
  <c r="ED81" i="13"/>
  <c r="DU81" i="13"/>
  <c r="EV81" i="13"/>
  <c r="EY81" i="13"/>
  <c r="EV61" i="13"/>
  <c r="DP61" i="13"/>
  <c r="FA61" i="13"/>
  <c r="DP64" i="13"/>
  <c r="EP64" i="13"/>
  <c r="DQ74" i="13"/>
  <c r="DT74" i="13"/>
  <c r="EK74" i="13"/>
  <c r="EF74" i="13"/>
  <c r="EH43" i="13"/>
  <c r="DW43" i="13"/>
  <c r="EK43" i="13"/>
  <c r="EI43" i="13"/>
  <c r="DX43" i="13"/>
  <c r="EU43" i="13"/>
  <c r="EO67" i="13"/>
  <c r="DL87" i="13"/>
  <c r="EV87" i="13"/>
  <c r="EY87" i="13"/>
  <c r="EB80" i="13"/>
  <c r="EO80" i="13"/>
  <c r="EC80" i="13"/>
  <c r="EE80" i="13"/>
  <c r="EY80" i="13"/>
  <c r="DV80" i="13"/>
  <c r="EV80" i="13"/>
  <c r="DQ73" i="13"/>
  <c r="DS73" i="13"/>
  <c r="EE73" i="13"/>
  <c r="EY73" i="13"/>
  <c r="DN73" i="13"/>
  <c r="EO73" i="13"/>
  <c r="EG73" i="13"/>
  <c r="EK73" i="13"/>
  <c r="EC73" i="13"/>
  <c r="DL71" i="13"/>
  <c r="EU71" i="13"/>
  <c r="EY71" i="13"/>
  <c r="DL63" i="13"/>
  <c r="ED44" i="13"/>
  <c r="EE44" i="13"/>
  <c r="EF44" i="13"/>
  <c r="DW44" i="13"/>
  <c r="DN83" i="13"/>
  <c r="EU83" i="13"/>
  <c r="DX83" i="13"/>
  <c r="DX69" i="13"/>
  <c r="EJ69" i="13"/>
  <c r="EF69" i="13"/>
  <c r="ED79" i="13"/>
  <c r="DQ65" i="13"/>
  <c r="DX49" i="13"/>
  <c r="ED49" i="13"/>
  <c r="EG49" i="13"/>
  <c r="DW49" i="13"/>
  <c r="EZ91" i="13"/>
  <c r="EN64" i="13"/>
  <c r="EN67" i="13"/>
  <c r="FE67" i="13"/>
  <c r="FE63" i="13"/>
  <c r="EN81" i="13"/>
  <c r="EN57" i="13"/>
  <c r="FE44" i="13"/>
  <c r="FE69" i="13"/>
  <c r="EN61" i="13"/>
  <c r="FE68" i="13"/>
  <c r="FE78" i="13"/>
  <c r="DP68" i="13"/>
  <c r="EQ68" i="13"/>
  <c r="FC78" i="13"/>
  <c r="FC61" i="13"/>
  <c r="FE61" i="13"/>
  <c r="EL57" i="13"/>
  <c r="DT57" i="13"/>
  <c r="FA43" i="13"/>
  <c r="FE58" i="13"/>
  <c r="G15" i="13"/>
  <c r="EL77" i="13"/>
  <c r="DU50" i="13"/>
  <c r="DZ50" i="13"/>
  <c r="EZ50" i="13"/>
  <c r="DW50" i="13"/>
  <c r="FF64" i="13"/>
  <c r="EF90" i="13"/>
  <c r="DW90" i="13"/>
  <c r="DX90" i="13"/>
  <c r="FF90" i="13"/>
  <c r="EC90" i="13"/>
  <c r="DU90" i="13"/>
  <c r="ER90" i="13"/>
  <c r="EN90" i="13"/>
  <c r="EQ90" i="13"/>
  <c r="FA90" i="13"/>
  <c r="FE90" i="13"/>
  <c r="DL90" i="13"/>
  <c r="EQ74" i="13"/>
  <c r="FC74" i="13"/>
  <c r="DX75" i="13"/>
  <c r="EK75" i="13"/>
  <c r="EY75" i="13"/>
  <c r="EB75" i="13"/>
  <c r="EB77" i="13"/>
  <c r="EX77" i="13"/>
  <c r="ES77" i="13"/>
  <c r="FB77" i="13"/>
  <c r="EQ77" i="13"/>
  <c r="DL77" i="13"/>
  <c r="FF77" i="13"/>
  <c r="DM77" i="13"/>
  <c r="EJ77" i="13"/>
  <c r="EZ77" i="13"/>
  <c r="EM77" i="13"/>
  <c r="EK77" i="13"/>
  <c r="DY50" i="13"/>
  <c r="EX50" i="13"/>
  <c r="DT50" i="13"/>
  <c r="EE50" i="13"/>
  <c r="EU50" i="13"/>
  <c r="FA50" i="13"/>
  <c r="EA50" i="13"/>
  <c r="EC50" i="13"/>
  <c r="EQ50" i="13"/>
  <c r="DS88" i="13"/>
  <c r="DO91" i="13"/>
  <c r="EU91" i="13"/>
  <c r="EF91" i="13"/>
  <c r="DR91" i="13"/>
  <c r="DW91" i="13"/>
  <c r="DS77" i="13"/>
  <c r="ER77" i="13"/>
  <c r="EC77" i="13"/>
  <c r="EA77" i="13"/>
  <c r="DR77" i="13"/>
  <c r="DO77" i="13"/>
  <c r="EO77" i="13"/>
  <c r="DZ77" i="13"/>
  <c r="DW77" i="13"/>
  <c r="EN77" i="13"/>
  <c r="DY77" i="13"/>
  <c r="EG77" i="13"/>
  <c r="DR45" i="13"/>
  <c r="EB45" i="13"/>
  <c r="DK45" i="13"/>
  <c r="DT45" i="13"/>
  <c r="EK45" i="13"/>
  <c r="DS45" i="13"/>
  <c r="DY45" i="13"/>
  <c r="EM45" i="13"/>
  <c r="EA45" i="13"/>
  <c r="EY50" i="13"/>
  <c r="FB50" i="13"/>
  <c r="EW50" i="13"/>
  <c r="DN50" i="13"/>
  <c r="EL50" i="13"/>
  <c r="DO50" i="13"/>
  <c r="EN50" i="13"/>
  <c r="FF50" i="13"/>
  <c r="EK50" i="13"/>
  <c r="DV50" i="13"/>
  <c r="FF78" i="13"/>
  <c r="DY81" i="13"/>
  <c r="FF81" i="13"/>
  <c r="DN81" i="13"/>
  <c r="DO81" i="13"/>
  <c r="EJ81" i="13"/>
  <c r="FF61" i="13"/>
  <c r="EB90" i="13"/>
  <c r="DJ90" i="13"/>
  <c r="EO90" i="13"/>
  <c r="EI90" i="13"/>
  <c r="DQ90" i="13"/>
  <c r="ED90" i="13"/>
  <c r="DZ90" i="13"/>
  <c r="EL47" i="13"/>
  <c r="FC47" i="13"/>
  <c r="FF68" i="13"/>
  <c r="EP75" i="13"/>
  <c r="FA75" i="13"/>
  <c r="EF75" i="13"/>
  <c r="DV75" i="13"/>
  <c r="EM75" i="13"/>
  <c r="DK75" i="13"/>
  <c r="FC43" i="13"/>
  <c r="DT48" i="13"/>
  <c r="DS48" i="13"/>
  <c r="DV48" i="13"/>
  <c r="DK67" i="13"/>
  <c r="FC54" i="13"/>
  <c r="FB87" i="13"/>
  <c r="ED87" i="13"/>
  <c r="EI87" i="13"/>
  <c r="EB87" i="13"/>
  <c r="EE87" i="13"/>
  <c r="EG87" i="13"/>
  <c r="EL87" i="13"/>
  <c r="EK87" i="13"/>
  <c r="FC80" i="13"/>
  <c r="EM80" i="13"/>
  <c r="FA70" i="13"/>
  <c r="EI70" i="13"/>
  <c r="EM70" i="13"/>
  <c r="EJ70" i="13"/>
  <c r="FE70" i="13"/>
  <c r="DV70" i="13"/>
  <c r="EH70" i="13"/>
  <c r="EL52" i="13"/>
  <c r="DX52" i="13"/>
  <c r="EI52" i="13"/>
  <c r="EC52" i="13"/>
  <c r="DN52" i="13"/>
  <c r="EA52" i="13"/>
  <c r="EM52" i="13"/>
  <c r="EF52" i="13"/>
  <c r="DT73" i="13"/>
  <c r="EA71" i="13"/>
  <c r="ED71" i="13"/>
  <c r="DV71" i="13"/>
  <c r="EM71" i="13"/>
  <c r="ER71" i="13"/>
  <c r="EJ71" i="13"/>
  <c r="ED42" i="13"/>
  <c r="FE42" i="13"/>
  <c r="ER85" i="13"/>
  <c r="DX85" i="13"/>
  <c r="ER63" i="13"/>
  <c r="ER58" i="13"/>
  <c r="EG76" i="13"/>
  <c r="EH76" i="13"/>
  <c r="FB76" i="13"/>
  <c r="DZ76" i="13"/>
  <c r="EA76" i="13"/>
  <c r="DV76" i="13"/>
  <c r="DY76" i="13"/>
  <c r="ER44" i="13"/>
  <c r="DU44" i="13"/>
  <c r="DL83" i="13"/>
  <c r="ER83" i="13"/>
  <c r="FE83" i="13"/>
  <c r="EG83" i="13"/>
  <c r="EY83" i="13"/>
  <c r="EK69" i="13"/>
  <c r="ED69" i="13"/>
  <c r="EA69" i="13"/>
  <c r="DS69" i="13"/>
  <c r="DN69" i="13"/>
  <c r="EI46" i="13"/>
  <c r="FE46" i="13"/>
  <c r="DU46" i="13"/>
  <c r="EE46" i="13"/>
  <c r="DW46" i="13"/>
  <c r="EJ46" i="13"/>
  <c r="FB53" i="13"/>
  <c r="EH53" i="13"/>
  <c r="EB53" i="13"/>
  <c r="EE53" i="13"/>
  <c r="DQ53" i="13"/>
  <c r="DS65" i="13"/>
  <c r="EJ51" i="13"/>
  <c r="EF51" i="13"/>
  <c r="EG51" i="13"/>
  <c r="DS51" i="13"/>
  <c r="FC87" i="13"/>
  <c r="EH87" i="13"/>
  <c r="EC87" i="13"/>
  <c r="DU87" i="13"/>
  <c r="EC76" i="13"/>
  <c r="EI76" i="13"/>
  <c r="ED76" i="13"/>
  <c r="FB46" i="13"/>
  <c r="DN46" i="13"/>
  <c r="DU53" i="13"/>
  <c r="DZ53" i="13"/>
  <c r="EC53" i="13"/>
  <c r="EU53" i="13"/>
  <c r="DV53" i="13"/>
  <c r="EI53" i="13"/>
  <c r="DS66" i="13"/>
  <c r="EL67" i="13"/>
  <c r="FC67" i="13"/>
  <c r="DT54" i="13"/>
  <c r="EL54" i="13"/>
  <c r="DT80" i="13"/>
  <c r="EM73" i="13"/>
  <c r="DN58" i="13"/>
  <c r="DN44" i="13"/>
  <c r="EX78" i="13"/>
  <c r="EX57" i="13"/>
  <c r="EN54" i="13"/>
  <c r="FE66" i="13"/>
  <c r="FE65" i="13"/>
  <c r="EC51" i="13"/>
  <c r="DY51" i="13"/>
  <c r="EA51" i="13"/>
  <c r="EB51" i="13"/>
  <c r="ED89" i="13"/>
  <c r="FE51" i="13"/>
  <c r="EC89" i="13"/>
  <c r="EH89" i="13"/>
  <c r="DY89" i="13"/>
  <c r="FF57" i="13"/>
  <c r="DV87" i="13"/>
  <c r="DT87" i="13"/>
  <c r="EA87" i="13"/>
  <c r="DY87" i="13"/>
  <c r="ED46" i="13"/>
  <c r="EF53" i="13"/>
  <c r="DW53" i="13"/>
  <c r="FE62" i="13"/>
  <c r="DQ51" i="13"/>
  <c r="DV51" i="13"/>
  <c r="FD45" i="13"/>
  <c r="DM78" i="13"/>
  <c r="ES78" i="13"/>
  <c r="FG81" i="13"/>
  <c r="ES61" i="13"/>
  <c r="DM64" i="13"/>
  <c r="DM90" i="13"/>
  <c r="ET90" i="13"/>
  <c r="EU77" i="13"/>
  <c r="ES45" i="13"/>
  <c r="ES50" i="13"/>
  <c r="FC50" i="13"/>
  <c r="EV50" i="13"/>
  <c r="DP50" i="13"/>
  <c r="ES68" i="13"/>
  <c r="DM61" i="13"/>
  <c r="ET61" i="13"/>
  <c r="ES64" i="13"/>
  <c r="ET57" i="13"/>
  <c r="EW57" i="13"/>
  <c r="EX90" i="13"/>
  <c r="EA90" i="13"/>
  <c r="ET47" i="13"/>
  <c r="FF67" i="13"/>
  <c r="DK54" i="13"/>
  <c r="EQ87" i="13"/>
  <c r="DK87" i="13"/>
  <c r="DK70" i="13"/>
  <c r="FC52" i="13"/>
  <c r="DK73" i="13"/>
  <c r="EM63" i="13"/>
  <c r="EO44" i="13"/>
  <c r="EO83" i="13"/>
  <c r="DL46" i="13"/>
  <c r="EK53" i="13"/>
  <c r="DN79" i="13"/>
  <c r="EF79" i="13"/>
  <c r="FE79" i="13"/>
  <c r="DX79" i="13"/>
  <c r="EI79" i="13"/>
  <c r="DU79" i="13"/>
  <c r="DZ79" i="13"/>
  <c r="DN62" i="13"/>
  <c r="EH51" i="13"/>
  <c r="EA49" i="13"/>
  <c r="FE49" i="13"/>
  <c r="DN90" i="13"/>
  <c r="EW90" i="13"/>
  <c r="EV90" i="13"/>
  <c r="EP74" i="13"/>
  <c r="FF74" i="13"/>
  <c r="EM74" i="13"/>
  <c r="FA74" i="13"/>
  <c r="EH74" i="13"/>
  <c r="DO74" i="13"/>
  <c r="EI74" i="13"/>
  <c r="FB74" i="13"/>
  <c r="EL75" i="13"/>
  <c r="DQ75" i="13"/>
  <c r="FB75" i="13"/>
  <c r="EA75" i="13"/>
  <c r="FC75" i="13"/>
  <c r="FF75" i="13"/>
  <c r="DY75" i="13"/>
  <c r="DT75" i="13"/>
  <c r="DS75" i="13"/>
  <c r="ER75" i="13"/>
  <c r="DZ75" i="13"/>
  <c r="EQ43" i="13"/>
  <c r="DS43" i="13"/>
  <c r="EJ43" i="13"/>
  <c r="ED43" i="13"/>
  <c r="EF43" i="13"/>
  <c r="EL43" i="13"/>
  <c r="DL43" i="13"/>
  <c r="DY43" i="13"/>
  <c r="EP43" i="13"/>
  <c r="EP67" i="13"/>
  <c r="EQ54" i="13"/>
  <c r="EP54" i="13"/>
  <c r="FA87" i="13"/>
  <c r="FE87" i="13"/>
  <c r="DN87" i="13"/>
  <c r="EF87" i="13"/>
  <c r="DJ87" i="13"/>
  <c r="EP80" i="13"/>
  <c r="DL80" i="13"/>
  <c r="DS80" i="13"/>
  <c r="DX80" i="13"/>
  <c r="FE80" i="13"/>
  <c r="EA70" i="13"/>
  <c r="ER70" i="13"/>
  <c r="EO70" i="13"/>
  <c r="EG70" i="13"/>
  <c r="EU70" i="13"/>
  <c r="FC70" i="13"/>
  <c r="DQ70" i="13"/>
  <c r="EB70" i="13"/>
  <c r="DU70" i="13"/>
  <c r="EQ70" i="13"/>
  <c r="DZ52" i="13"/>
  <c r="EN52" i="13"/>
  <c r="EJ52" i="13"/>
  <c r="FB52" i="13"/>
  <c r="EO52" i="13"/>
  <c r="DK52" i="13"/>
  <c r="EG52" i="13"/>
  <c r="EH52" i="13"/>
  <c r="FE52" i="13"/>
  <c r="DJ52" i="13"/>
  <c r="DS52" i="13"/>
  <c r="DU52" i="13"/>
  <c r="DZ73" i="13"/>
  <c r="FC73" i="13"/>
  <c r="DJ73" i="13"/>
  <c r="EV71" i="13"/>
  <c r="EI71" i="13"/>
  <c r="EG71" i="13"/>
  <c r="FA71" i="13"/>
  <c r="DU71" i="13"/>
  <c r="DT71" i="13"/>
  <c r="DX71" i="13"/>
  <c r="EK71" i="13"/>
  <c r="FB71" i="13"/>
  <c r="DT42" i="13"/>
  <c r="EV42" i="13"/>
  <c r="EL63" i="13"/>
  <c r="EE69" i="13"/>
  <c r="DQ79" i="13"/>
  <c r="EH79" i="13"/>
  <c r="EJ79" i="13"/>
  <c r="DY83" i="13"/>
  <c r="EC69" i="13"/>
  <c r="EA79" i="13"/>
  <c r="EE79" i="13"/>
  <c r="EO87" i="13"/>
  <c r="EK70" i="13"/>
  <c r="FD57" i="13"/>
  <c r="FG84" i="13"/>
  <c r="ES84" i="13"/>
  <c r="DM84" i="13"/>
  <c r="EZ74" i="13"/>
  <c r="FD47" i="13"/>
  <c r="ES75" i="13"/>
  <c r="EX75" i="13"/>
  <c r="DR43" i="13"/>
  <c r="FD43" i="13"/>
  <c r="DO43" i="13"/>
  <c r="DR48" i="13"/>
  <c r="DM48" i="13"/>
  <c r="FD67" i="13"/>
  <c r="DR67" i="13"/>
  <c r="DP67" i="13"/>
  <c r="FG54" i="13"/>
  <c r="DP54" i="13"/>
  <c r="FD54" i="13"/>
  <c r="DO54" i="13"/>
  <c r="DO87" i="13"/>
  <c r="FG87" i="13"/>
  <c r="FG80" i="13"/>
  <c r="EX80" i="13"/>
  <c r="DP80" i="13"/>
  <c r="FD70" i="13"/>
  <c r="DM70" i="13"/>
  <c r="EX70" i="13"/>
  <c r="ET70" i="13"/>
  <c r="ES70" i="13"/>
  <c r="DO70" i="13"/>
  <c r="DR52" i="13"/>
  <c r="FG52" i="13"/>
  <c r="ES52" i="13"/>
  <c r="EX52" i="13"/>
  <c r="ES73" i="13"/>
  <c r="DO73" i="13"/>
  <c r="FG73" i="13"/>
  <c r="FD73" i="13"/>
  <c r="EW73" i="13"/>
  <c r="DO72" i="13"/>
  <c r="EP72" i="13"/>
  <c r="EF72" i="13"/>
  <c r="DP72" i="13"/>
  <c r="EN72" i="13"/>
  <c r="ET72" i="13"/>
  <c r="DZ72" i="13"/>
  <c r="FD72" i="13"/>
  <c r="EZ88" i="13"/>
  <c r="EP88" i="13"/>
  <c r="FG88" i="13"/>
  <c r="FD78" i="13"/>
  <c r="ES90" i="13"/>
  <c r="DO82" i="13"/>
  <c r="EV82" i="13"/>
  <c r="DW82" i="13"/>
  <c r="DN82" i="13"/>
  <c r="DX82" i="13"/>
  <c r="DL82" i="13"/>
  <c r="EE82" i="13"/>
  <c r="EX82" i="13"/>
  <c r="DM82" i="13"/>
  <c r="DU82" i="13"/>
  <c r="ER82" i="13"/>
  <c r="EQ82" i="13"/>
  <c r="EK82" i="13"/>
  <c r="EG84" i="13"/>
  <c r="EU84" i="13"/>
  <c r="EM84" i="13"/>
  <c r="DS84" i="13"/>
  <c r="EI84" i="13"/>
  <c r="DV84" i="13"/>
  <c r="EL84" i="13"/>
  <c r="EX84" i="13"/>
  <c r="FD74" i="13"/>
  <c r="DM74" i="13"/>
  <c r="DR74" i="13"/>
  <c r="FG74" i="13"/>
  <c r="EX47" i="13"/>
  <c r="DO75" i="13"/>
  <c r="DR75" i="13"/>
  <c r="FG75" i="13"/>
  <c r="EW43" i="13"/>
  <c r="EH48" i="13"/>
  <c r="DJ48" i="13"/>
  <c r="FD48" i="13"/>
  <c r="EK48" i="13"/>
  <c r="ES48" i="13"/>
  <c r="EZ48" i="13"/>
  <c r="EM48" i="13"/>
  <c r="ER48" i="13"/>
  <c r="FE48" i="13"/>
  <c r="DX48" i="13"/>
  <c r="EX67" i="13"/>
  <c r="DM67" i="13"/>
  <c r="ET67" i="13"/>
  <c r="FG67" i="13"/>
  <c r="FF54" i="13"/>
  <c r="DR54" i="13"/>
  <c r="DM54" i="13"/>
  <c r="DR87" i="13"/>
  <c r="ES87" i="13"/>
  <c r="FF87" i="13"/>
  <c r="EZ80" i="13"/>
  <c r="FF80" i="13"/>
  <c r="FD80" i="13"/>
  <c r="EW80" i="13"/>
  <c r="DO80" i="13"/>
  <c r="DR70" i="13"/>
  <c r="FG70" i="13"/>
  <c r="FD52" i="13"/>
  <c r="DM52" i="13"/>
  <c r="FF73" i="13"/>
  <c r="EX73" i="13"/>
  <c r="DP73" i="13"/>
  <c r="EN73" i="13"/>
  <c r="ET73" i="13"/>
  <c r="EZ73" i="13"/>
  <c r="EI88" i="13"/>
  <c r="EK88" i="13"/>
  <c r="DZ88" i="13"/>
  <c r="FD68" i="13"/>
  <c r="DW88" i="13"/>
  <c r="EN88" i="13"/>
  <c r="EG88" i="13"/>
  <c r="DO88" i="13"/>
  <c r="ES88" i="13"/>
  <c r="EV88" i="13"/>
  <c r="FA88" i="13"/>
  <c r="EL88" i="13"/>
  <c r="EV91" i="13"/>
  <c r="DT91" i="13"/>
  <c r="FD77" i="13"/>
  <c r="DV77" i="13"/>
  <c r="EH77" i="13"/>
  <c r="DN77" i="13"/>
  <c r="EW77" i="13"/>
  <c r="EI77" i="13"/>
  <c r="FA77" i="13"/>
  <c r="EV77" i="13"/>
  <c r="DU77" i="13"/>
  <c r="EP45" i="13"/>
  <c r="DV45" i="13"/>
  <c r="FB45" i="13"/>
  <c r="DM45" i="13"/>
  <c r="DS50" i="13"/>
  <c r="ER50" i="13"/>
  <c r="ET50" i="13"/>
  <c r="DM50" i="13"/>
  <c r="DK50" i="13"/>
  <c r="EH50" i="13"/>
  <c r="FE50" i="13"/>
  <c r="EX68" i="13"/>
  <c r="DR68" i="13"/>
  <c r="FG68" i="13"/>
  <c r="EZ68" i="13"/>
  <c r="DR78" i="13"/>
  <c r="EZ78" i="13"/>
  <c r="DM81" i="13"/>
  <c r="EZ61" i="13"/>
  <c r="FD61" i="13"/>
  <c r="EW61" i="13"/>
  <c r="FG61" i="13"/>
  <c r="DR64" i="13"/>
  <c r="ET64" i="13"/>
  <c r="EZ57" i="13"/>
  <c r="DO90" i="13"/>
  <c r="EH90" i="13"/>
  <c r="EE90" i="13"/>
  <c r="DR90" i="13"/>
  <c r="EP90" i="13"/>
  <c r="EY90" i="13"/>
  <c r="FD90" i="13"/>
  <c r="EJ90" i="13"/>
  <c r="DK90" i="13"/>
  <c r="DP90" i="13"/>
  <c r="DT82" i="13"/>
  <c r="FE82" i="13"/>
  <c r="FC82" i="13"/>
  <c r="DP82" i="13"/>
  <c r="DR82" i="13"/>
  <c r="EW82" i="13"/>
  <c r="EG82" i="13"/>
  <c r="ES82" i="13"/>
  <c r="EP82" i="13"/>
  <c r="FB82" i="13"/>
  <c r="EB82" i="13"/>
  <c r="EO82" i="13"/>
  <c r="DJ82" i="13"/>
  <c r="EN84" i="13"/>
  <c r="DZ84" i="13"/>
  <c r="EP84" i="13"/>
  <c r="FF84" i="13"/>
  <c r="FB84" i="13"/>
  <c r="EF84" i="13"/>
  <c r="DR84" i="13"/>
  <c r="DU84" i="13"/>
  <c r="DO84" i="13"/>
  <c r="EE84" i="13"/>
  <c r="ET84" i="13"/>
  <c r="DW84" i="13"/>
  <c r="FD84" i="13"/>
  <c r="ET74" i="13"/>
  <c r="EW74" i="13"/>
  <c r="EX74" i="13"/>
  <c r="ES74" i="13"/>
  <c r="EA74" i="13"/>
  <c r="EJ74" i="13"/>
  <c r="EG74" i="13"/>
  <c r="DK74" i="13"/>
  <c r="EC74" i="13"/>
  <c r="DV47" i="13"/>
  <c r="DW47" i="13"/>
  <c r="EN47" i="13"/>
  <c r="EC47" i="13"/>
  <c r="EK47" i="13"/>
  <c r="EA47" i="13"/>
  <c r="DM47" i="13"/>
  <c r="EW47" i="13"/>
  <c r="FG47" i="13"/>
  <c r="EZ47" i="13"/>
  <c r="ES47" i="13"/>
  <c r="EP47" i="13"/>
  <c r="EV47" i="13"/>
  <c r="EZ75" i="13"/>
  <c r="DN75" i="13"/>
  <c r="DL75" i="13"/>
  <c r="EJ75" i="13"/>
  <c r="EO75" i="13"/>
  <c r="FD75" i="13"/>
  <c r="DJ75" i="13"/>
  <c r="EE75" i="13"/>
  <c r="EZ43" i="13"/>
  <c r="ES43" i="13"/>
  <c r="FF43" i="13"/>
  <c r="EN43" i="13"/>
  <c r="EE43" i="13"/>
  <c r="EX43" i="13"/>
  <c r="DV43" i="13"/>
  <c r="FF48" i="13"/>
  <c r="FE88" i="13"/>
  <c r="FD88" i="13"/>
  <c r="ER88" i="13"/>
  <c r="EO88" i="13"/>
  <c r="DV88" i="13"/>
  <c r="DP88" i="13"/>
  <c r="EJ88" i="13"/>
  <c r="DJ88" i="13"/>
  <c r="DN88" i="13"/>
  <c r="FB88" i="13"/>
  <c r="FF88" i="13"/>
  <c r="EE88" i="13"/>
  <c r="FC88" i="13"/>
  <c r="EY88" i="13"/>
  <c r="DR88" i="13"/>
  <c r="EF88" i="13"/>
  <c r="DQ88" i="13"/>
  <c r="EB88" i="13"/>
  <c r="DY88" i="13"/>
  <c r="EQ88" i="13"/>
  <c r="DL88" i="13"/>
  <c r="FD91" i="13"/>
  <c r="FA91" i="13"/>
  <c r="EN91" i="13"/>
  <c r="DK91" i="13"/>
  <c r="ES91" i="13"/>
  <c r="DP91" i="13"/>
  <c r="DM91" i="13"/>
  <c r="EQ91" i="13"/>
  <c r="FE91" i="13"/>
  <c r="EP77" i="13"/>
  <c r="DX77" i="13"/>
  <c r="DQ77" i="13"/>
  <c r="ED77" i="13"/>
  <c r="DP77" i="13"/>
  <c r="FC77" i="13"/>
  <c r="DK77" i="13"/>
  <c r="EE77" i="13"/>
  <c r="EF77" i="13"/>
  <c r="FE77" i="13"/>
  <c r="ET77" i="13"/>
  <c r="DT77" i="13"/>
  <c r="FG77" i="13"/>
  <c r="FG45" i="13"/>
  <c r="DL45" i="13"/>
  <c r="EE45" i="13"/>
  <c r="EZ45" i="13"/>
  <c r="EJ45" i="13"/>
  <c r="FE45" i="13"/>
  <c r="ET45" i="13"/>
  <c r="EC45" i="13"/>
  <c r="EY45" i="13"/>
  <c r="EO45" i="13"/>
  <c r="FF45" i="13"/>
  <c r="DX45" i="13"/>
  <c r="EB50" i="13"/>
  <c r="DR50" i="13"/>
  <c r="DL50" i="13"/>
  <c r="EM50" i="13"/>
  <c r="EO50" i="13"/>
  <c r="FG50" i="13"/>
  <c r="FD50" i="13"/>
  <c r="DX50" i="13"/>
  <c r="EG50" i="13"/>
  <c r="EI50" i="13"/>
  <c r="DQ50" i="13"/>
  <c r="ED50" i="13"/>
  <c r="DM68" i="13"/>
  <c r="FG78" i="13"/>
  <c r="EK78" i="13"/>
  <c r="DS78" i="13"/>
  <c r="DJ81" i="13"/>
  <c r="FD81" i="13"/>
  <c r="DQ81" i="13"/>
  <c r="EA81" i="13"/>
  <c r="DR81" i="13"/>
  <c r="ES81" i="13"/>
  <c r="EQ81" i="13"/>
  <c r="DR61" i="13"/>
  <c r="EX61" i="13"/>
  <c r="FD64" i="13"/>
  <c r="FG64" i="13"/>
  <c r="EZ64" i="13"/>
  <c r="EW64" i="13"/>
  <c r="EX64" i="13"/>
  <c r="DM57" i="13"/>
  <c r="FG57" i="13"/>
  <c r="DP57" i="13"/>
  <c r="DR57" i="13"/>
  <c r="ES57" i="13"/>
  <c r="DV90" i="13"/>
  <c r="EM90" i="13"/>
  <c r="FB90" i="13"/>
  <c r="FC90" i="13"/>
  <c r="EZ90" i="13"/>
  <c r="DY90" i="13"/>
  <c r="FG90" i="13"/>
  <c r="DT90" i="13"/>
  <c r="EU90" i="13"/>
  <c r="DS90" i="13"/>
  <c r="EK90" i="13"/>
  <c r="EL90" i="13"/>
  <c r="EY82" i="13"/>
  <c r="ET82" i="13"/>
  <c r="EI82" i="13"/>
  <c r="EA82" i="13"/>
  <c r="DK82" i="13"/>
  <c r="DQ82" i="13"/>
  <c r="FF82" i="13"/>
  <c r="FD82" i="13"/>
  <c r="FG82" i="13"/>
  <c r="DZ82" i="13"/>
  <c r="EM82" i="13"/>
  <c r="FA82" i="13"/>
  <c r="FA84" i="13"/>
  <c r="DT84" i="13"/>
  <c r="DL84" i="13"/>
  <c r="EK84" i="13"/>
  <c r="EO84" i="13"/>
  <c r="EW84" i="13"/>
  <c r="EY84" i="13"/>
  <c r="EQ84" i="13"/>
  <c r="ER84" i="13"/>
  <c r="DK84" i="13"/>
  <c r="EH84" i="13"/>
  <c r="ED84" i="13"/>
  <c r="EO74" i="13"/>
  <c r="EU74" i="13"/>
  <c r="ER74" i="13"/>
  <c r="ED74" i="13"/>
  <c r="EV74" i="13"/>
  <c r="DX74" i="13"/>
  <c r="DJ74" i="13"/>
  <c r="DS74" i="13"/>
  <c r="DL74" i="13"/>
  <c r="EY74" i="13"/>
  <c r="DY74" i="13"/>
  <c r="EU47" i="13"/>
  <c r="FF47" i="13"/>
  <c r="EO47" i="13"/>
  <c r="EQ47" i="13"/>
  <c r="DT47" i="13"/>
  <c r="FE47" i="13"/>
  <c r="DX47" i="13"/>
  <c r="EY47" i="13"/>
  <c r="DK47" i="13"/>
  <c r="DY47" i="13"/>
  <c r="DR47" i="13"/>
  <c r="EH47" i="13"/>
  <c r="EI47" i="13"/>
  <c r="EH75" i="13"/>
  <c r="EW75" i="13"/>
  <c r="EI75" i="13"/>
  <c r="DM75" i="13"/>
  <c r="EN75" i="13"/>
  <c r="EQ75" i="13"/>
  <c r="EC75" i="13"/>
  <c r="EG75" i="13"/>
  <c r="DP75" i="13"/>
  <c r="ET75" i="13"/>
  <c r="FE75" i="13"/>
  <c r="DU75" i="13"/>
  <c r="EV75" i="13"/>
  <c r="DM43" i="13"/>
  <c r="DT43" i="13"/>
  <c r="DQ43" i="13"/>
  <c r="FG43" i="13"/>
  <c r="ET43" i="13"/>
  <c r="EL72" i="13"/>
  <c r="DK72" i="13"/>
  <c r="EB72" i="13"/>
  <c r="FD71" i="13"/>
  <c r="DM71" i="13"/>
  <c r="EN71" i="13"/>
  <c r="FG71" i="13"/>
  <c r="EP71" i="13"/>
  <c r="DO71" i="13"/>
  <c r="FD42" i="13"/>
  <c r="EZ42" i="13"/>
  <c r="DR42" i="13"/>
  <c r="EP42" i="13"/>
  <c r="EW42" i="13"/>
  <c r="FG85" i="13"/>
  <c r="EW85" i="13"/>
  <c r="DP85" i="13"/>
  <c r="ET63" i="13"/>
  <c r="EZ63" i="13"/>
  <c r="DJ63" i="13"/>
  <c r="EN63" i="13"/>
  <c r="DM63" i="13"/>
  <c r="DP63" i="13"/>
  <c r="FG58" i="13"/>
  <c r="DO58" i="13"/>
  <c r="ES58" i="13"/>
  <c r="DM58" i="13"/>
  <c r="FF58" i="13"/>
  <c r="EV58" i="13"/>
  <c r="EV76" i="13"/>
  <c r="EN76" i="13"/>
  <c r="EP76" i="13"/>
  <c r="DM76" i="13"/>
  <c r="FD76" i="13"/>
  <c r="EW76" i="13"/>
  <c r="EP44" i="13"/>
  <c r="FF44" i="13"/>
  <c r="FG44" i="13"/>
  <c r="DP83" i="13"/>
  <c r="ET83" i="13"/>
  <c r="DM83" i="13"/>
  <c r="EL83" i="13"/>
  <c r="DK83" i="13"/>
  <c r="FD69" i="13"/>
  <c r="DT69" i="13"/>
  <c r="EV69" i="13"/>
  <c r="EN69" i="13"/>
  <c r="DO69" i="13"/>
  <c r="ET69" i="13"/>
  <c r="FF69" i="13"/>
  <c r="EQ46" i="13"/>
  <c r="ET46" i="13"/>
  <c r="DJ46" i="13"/>
  <c r="EM46" i="13"/>
  <c r="FD46" i="13"/>
  <c r="DT46" i="13"/>
  <c r="EM53" i="13"/>
  <c r="FF53" i="13"/>
  <c r="EO53" i="13"/>
  <c r="FC53" i="13"/>
  <c r="DT53" i="13"/>
  <c r="DJ53" i="13"/>
  <c r="DR53" i="13"/>
  <c r="DM79" i="13"/>
  <c r="EP79" i="13"/>
  <c r="DR79" i="13"/>
  <c r="DT79" i="13"/>
  <c r="ET79" i="13"/>
  <c r="ET62" i="13"/>
  <c r="EM62" i="13"/>
  <c r="EO62" i="13"/>
  <c r="DP62" i="13"/>
  <c r="EX62" i="13"/>
  <c r="EQ62" i="13"/>
  <c r="EN62" i="13"/>
  <c r="DJ66" i="13"/>
  <c r="DM66" i="13"/>
  <c r="FA66" i="13"/>
  <c r="DK66" i="13"/>
  <c r="EM66" i="13"/>
  <c r="ES66" i="13"/>
  <c r="EV66" i="13"/>
  <c r="FC66" i="13"/>
  <c r="FF66" i="13"/>
  <c r="DO66" i="13"/>
  <c r="FB72" i="13"/>
  <c r="EC72" i="13"/>
  <c r="EJ72" i="13"/>
  <c r="EM72" i="13"/>
  <c r="FC72" i="13"/>
  <c r="DL72" i="13"/>
  <c r="FE72" i="13"/>
  <c r="DR72" i="13"/>
  <c r="DU72" i="13"/>
  <c r="DV72" i="13"/>
  <c r="DY72" i="13"/>
  <c r="EX72" i="13"/>
  <c r="ET71" i="13"/>
  <c r="FF71" i="13"/>
  <c r="EW71" i="13"/>
  <c r="DP71" i="13"/>
  <c r="DP42" i="13"/>
  <c r="EL42" i="13"/>
  <c r="EG42" i="13"/>
  <c r="DZ42" i="13"/>
  <c r="EM42" i="13"/>
  <c r="EX42" i="13"/>
  <c r="EH42" i="13"/>
  <c r="EE42" i="13"/>
  <c r="ER42" i="13"/>
  <c r="EN42" i="13"/>
  <c r="ES85" i="13"/>
  <c r="EX85" i="13"/>
  <c r="EB85" i="13"/>
  <c r="ET85" i="13"/>
  <c r="DL85" i="13"/>
  <c r="EJ85" i="13"/>
  <c r="DT85" i="13"/>
  <c r="DQ85" i="13"/>
  <c r="EP85" i="13"/>
  <c r="EQ63" i="13"/>
  <c r="ES63" i="13"/>
  <c r="EX63" i="13"/>
  <c r="FC63" i="13"/>
  <c r="FF63" i="13"/>
  <c r="DR58" i="13"/>
  <c r="DJ58" i="13"/>
  <c r="FA58" i="13"/>
  <c r="EX58" i="13"/>
  <c r="ET58" i="13"/>
  <c r="FA76" i="13"/>
  <c r="FC48" i="13"/>
  <c r="EQ48" i="13"/>
  <c r="DO48" i="13"/>
  <c r="FG48" i="13"/>
  <c r="EP48" i="13"/>
  <c r="EJ48" i="13"/>
  <c r="DW48" i="13"/>
  <c r="DN48" i="13"/>
  <c r="EV48" i="13"/>
  <c r="DQ48" i="13"/>
  <c r="EW48" i="13"/>
  <c r="EG48" i="13"/>
  <c r="DO67" i="13"/>
  <c r="EZ67" i="13"/>
  <c r="ES67" i="13"/>
  <c r="ES54" i="13"/>
  <c r="EX54" i="13"/>
  <c r="DJ54" i="13"/>
  <c r="DM87" i="13"/>
  <c r="FD87" i="13"/>
  <c r="EN87" i="13"/>
  <c r="EZ87" i="13"/>
  <c r="DZ87" i="13"/>
  <c r="DR80" i="13"/>
  <c r="EQ80" i="13"/>
  <c r="ET80" i="13"/>
  <c r="DW80" i="13"/>
  <c r="EL80" i="13"/>
  <c r="DZ80" i="13"/>
  <c r="DP70" i="13"/>
  <c r="FF70" i="13"/>
  <c r="EP70" i="13"/>
  <c r="EE70" i="13"/>
  <c r="DN70" i="13"/>
  <c r="EF70" i="13"/>
  <c r="DW70" i="13"/>
  <c r="EZ70" i="13"/>
  <c r="FB70" i="13"/>
  <c r="DP52" i="13"/>
  <c r="FA52" i="13"/>
  <c r="EY52" i="13"/>
  <c r="DL52" i="13"/>
  <c r="DO52" i="13"/>
  <c r="EP52" i="13"/>
  <c r="FF52" i="13"/>
  <c r="EW52" i="13"/>
  <c r="ET52" i="13"/>
  <c r="EV73" i="13"/>
  <c r="DM73" i="13"/>
  <c r="EL73" i="13"/>
  <c r="EP73" i="13"/>
  <c r="EU72" i="13"/>
  <c r="EO72" i="13"/>
  <c r="DM72" i="13"/>
  <c r="FG72" i="13"/>
  <c r="EE72" i="13"/>
  <c r="EI72" i="13"/>
  <c r="ER72" i="13"/>
  <c r="FF72" i="13"/>
  <c r="DJ72" i="13"/>
  <c r="DQ72" i="13"/>
  <c r="DX72" i="13"/>
  <c r="EA72" i="13"/>
  <c r="EG72" i="13"/>
  <c r="DR71" i="13"/>
  <c r="DJ71" i="13"/>
  <c r="ES71" i="13"/>
  <c r="DQ71" i="13"/>
  <c r="EC71" i="13"/>
  <c r="EF71" i="13"/>
  <c r="DW71" i="13"/>
  <c r="EL71" i="13"/>
  <c r="FE71" i="13"/>
  <c r="EF42" i="13"/>
  <c r="DM42" i="13"/>
  <c r="EK42" i="13"/>
  <c r="DY42" i="13"/>
  <c r="ET42" i="13"/>
  <c r="DN42" i="13"/>
  <c r="DU42" i="13"/>
  <c r="DW42" i="13"/>
  <c r="DK42" i="13"/>
  <c r="DJ42" i="13"/>
  <c r="EQ42" i="13"/>
  <c r="DL42" i="13"/>
  <c r="EQ85" i="13"/>
  <c r="DV85" i="13"/>
  <c r="EL85" i="13"/>
  <c r="EY85" i="13"/>
  <c r="EZ85" i="13"/>
  <c r="FD85" i="13"/>
  <c r="EO85" i="13"/>
  <c r="DK85" i="13"/>
  <c r="EM85" i="13"/>
  <c r="DO85" i="13"/>
  <c r="EK85" i="13"/>
  <c r="DN85" i="13"/>
  <c r="FE85" i="13"/>
  <c r="FD63" i="13"/>
  <c r="EO63" i="13"/>
  <c r="DT63" i="13"/>
  <c r="FA63" i="13"/>
  <c r="EP63" i="13"/>
  <c r="FG63" i="13"/>
  <c r="EV63" i="13"/>
  <c r="FC58" i="13"/>
  <c r="EQ58" i="13"/>
  <c r="EP58" i="13"/>
  <c r="EW58" i="13"/>
  <c r="EL58" i="13"/>
  <c r="EM58" i="13"/>
  <c r="EN58" i="13"/>
  <c r="DK58" i="13"/>
  <c r="EO58" i="13"/>
  <c r="FC76" i="13"/>
  <c r="FG76" i="13"/>
  <c r="DR76" i="13"/>
  <c r="DO76" i="13"/>
  <c r="DN43" i="13"/>
  <c r="EA43" i="13"/>
  <c r="DP43" i="13"/>
  <c r="EV43" i="13"/>
  <c r="EB48" i="13"/>
  <c r="EE48" i="13"/>
  <c r="DK48" i="13"/>
  <c r="EU48" i="13"/>
  <c r="EX48" i="13"/>
  <c r="DL48" i="13"/>
  <c r="EA48" i="13"/>
  <c r="ET48" i="13"/>
  <c r="EC48" i="13"/>
  <c r="FA48" i="13"/>
  <c r="DZ48" i="13"/>
  <c r="EY48" i="13"/>
  <c r="EN48" i="13"/>
  <c r="EL48" i="13"/>
  <c r="EW67" i="13"/>
  <c r="EQ67" i="13"/>
  <c r="EZ54" i="13"/>
  <c r="ET54" i="13"/>
  <c r="EW54" i="13"/>
  <c r="ET87" i="13"/>
  <c r="EX87" i="13"/>
  <c r="DP87" i="13"/>
  <c r="EP87" i="13"/>
  <c r="EM87" i="13"/>
  <c r="EU87" i="13"/>
  <c r="EW87" i="13"/>
  <c r="EJ87" i="13"/>
  <c r="DK80" i="13"/>
  <c r="EJ80" i="13"/>
  <c r="ES80" i="13"/>
  <c r="DM80" i="13"/>
  <c r="EI80" i="13"/>
  <c r="EF80" i="13"/>
  <c r="EN80" i="13"/>
  <c r="FA80" i="13"/>
  <c r="EY70" i="13"/>
  <c r="DJ70" i="13"/>
  <c r="DY70" i="13"/>
  <c r="DL70" i="13"/>
  <c r="EW70" i="13"/>
  <c r="DZ70" i="13"/>
  <c r="EV70" i="13"/>
  <c r="EC70" i="13"/>
  <c r="DT70" i="13"/>
  <c r="DS70" i="13"/>
  <c r="EN70" i="13"/>
  <c r="EK52" i="13"/>
  <c r="ER52" i="13"/>
  <c r="EQ52" i="13"/>
  <c r="EB52" i="13"/>
  <c r="DT52" i="13"/>
  <c r="ED52" i="13"/>
  <c r="EZ52" i="13"/>
  <c r="EE52" i="13"/>
  <c r="DY52" i="13"/>
  <c r="DW52" i="13"/>
  <c r="EU52" i="13"/>
  <c r="EV52" i="13"/>
  <c r="DQ52" i="13"/>
  <c r="EQ73" i="13"/>
  <c r="FA73" i="13"/>
  <c r="DR73" i="13"/>
  <c r="DW73" i="13"/>
  <c r="FE73" i="13"/>
  <c r="EB73" i="13"/>
  <c r="DV73" i="13"/>
  <c r="FA72" i="13"/>
  <c r="DW72" i="13"/>
  <c r="EY72" i="13"/>
  <c r="EH72" i="13"/>
  <c r="DS72" i="13"/>
  <c r="EV72" i="13"/>
  <c r="EZ72" i="13"/>
  <c r="DT72" i="13"/>
  <c r="DN72" i="13"/>
  <c r="EW72" i="13"/>
  <c r="ES72" i="13"/>
  <c r="EQ72" i="13"/>
  <c r="EK72" i="13"/>
  <c r="ED72" i="13"/>
  <c r="EZ71" i="13"/>
  <c r="DY71" i="13"/>
  <c r="DZ71" i="13"/>
  <c r="EH71" i="13"/>
  <c r="DN71" i="13"/>
  <c r="EX71" i="13"/>
  <c r="FC71" i="13"/>
  <c r="EB71" i="13"/>
  <c r="EQ71" i="13"/>
  <c r="DS71" i="13"/>
  <c r="DK71" i="13"/>
  <c r="EO71" i="13"/>
  <c r="EE71" i="13"/>
  <c r="FC42" i="13"/>
  <c r="EI42" i="13"/>
  <c r="FF42" i="13"/>
  <c r="AC181" i="13"/>
  <c r="AK181" i="13"/>
  <c r="CB181" i="13"/>
  <c r="CR181" i="13"/>
  <c r="CA181" i="13"/>
  <c r="E181" i="13"/>
  <c r="CX181" i="13"/>
  <c r="CQ181" i="13"/>
  <c r="CN181" i="13"/>
  <c r="AJ181" i="13"/>
  <c r="CI181" i="13"/>
  <c r="J181" i="13"/>
  <c r="AU181" i="13"/>
  <c r="AX181" i="13"/>
  <c r="AV181" i="13"/>
  <c r="AS181" i="13"/>
  <c r="R181" i="13"/>
  <c r="BM181" i="13"/>
  <c r="T181" i="13"/>
  <c r="V181" i="13"/>
  <c r="D181" i="13"/>
  <c r="BC181" i="13"/>
  <c r="BK181" i="13"/>
  <c r="AB181" i="13"/>
  <c r="BB181" i="13"/>
  <c r="CP181" i="13"/>
  <c r="BN181" i="13"/>
  <c r="S181" i="13"/>
  <c r="BV181" i="13"/>
  <c r="BJ181" i="13"/>
  <c r="BH181" i="13"/>
  <c r="AI181" i="13"/>
  <c r="X181" i="13"/>
  <c r="Z181" i="13"/>
  <c r="CL181" i="13"/>
  <c r="CS181" i="13"/>
  <c r="L181" i="13"/>
  <c r="AH181" i="13"/>
  <c r="H181" i="13"/>
  <c r="F181" i="13"/>
  <c r="AY181" i="13"/>
  <c r="BW181" i="13"/>
  <c r="AZ181" i="13"/>
  <c r="C181" i="13"/>
  <c r="CT181" i="13"/>
  <c r="AL181" i="13"/>
  <c r="BZ181" i="13"/>
  <c r="CC181" i="13"/>
  <c r="BF181" i="13"/>
  <c r="BO181" i="13"/>
  <c r="BE181" i="13"/>
  <c r="Y181" i="13"/>
  <c r="Q181" i="13"/>
  <c r="CG181" i="13"/>
  <c r="AD181" i="13"/>
  <c r="CH181" i="13"/>
  <c r="BR181" i="13"/>
  <c r="BX181" i="13"/>
  <c r="CU181" i="13"/>
  <c r="CM181" i="13"/>
  <c r="U181" i="13"/>
  <c r="AA181" i="13"/>
  <c r="CV181" i="13"/>
  <c r="BU181" i="13"/>
  <c r="AF181" i="13"/>
  <c r="CW181" i="13"/>
  <c r="K181" i="13"/>
  <c r="BI181" i="13"/>
  <c r="BG181" i="13"/>
  <c r="W181" i="13"/>
  <c r="M181" i="13"/>
  <c r="BY181" i="13"/>
  <c r="CO181" i="13"/>
  <c r="O181" i="13"/>
  <c r="AW181" i="13"/>
  <c r="BQ181" i="13"/>
  <c r="AE181" i="13"/>
  <c r="P181" i="13"/>
  <c r="CF181" i="13"/>
  <c r="AG181" i="13"/>
  <c r="AM181" i="13"/>
  <c r="AN181" i="13"/>
  <c r="AP181" i="13"/>
  <c r="BA181" i="13"/>
  <c r="AT181" i="13"/>
  <c r="CK181" i="13"/>
  <c r="N181" i="13"/>
  <c r="AO181" i="13"/>
  <c r="CD181" i="13"/>
  <c r="BL181" i="13"/>
  <c r="AR181" i="13"/>
  <c r="BT181" i="13"/>
  <c r="CJ181" i="13"/>
  <c r="BP181" i="13"/>
  <c r="N93" i="13"/>
  <c r="G181" i="13"/>
  <c r="I181" i="13"/>
  <c r="CE181" i="13"/>
  <c r="BD181" i="13"/>
  <c r="BS181" i="13"/>
  <c r="AQ181" i="13"/>
  <c r="ES42" i="13"/>
  <c r="EB42" i="13"/>
  <c r="EO42" i="13"/>
  <c r="DS42" i="13"/>
  <c r="FG42" i="13"/>
  <c r="DO42" i="13"/>
  <c r="EC42" i="13"/>
  <c r="FB42" i="13"/>
  <c r="EY42" i="13"/>
  <c r="DJ85" i="13"/>
  <c r="FF85" i="13"/>
  <c r="FC85" i="13"/>
  <c r="EA85" i="13"/>
  <c r="DW85" i="13"/>
  <c r="EN85" i="13"/>
  <c r="DS85" i="13"/>
  <c r="DZ85" i="13"/>
  <c r="EG85" i="13"/>
  <c r="DM85" i="13"/>
  <c r="EV85" i="13"/>
  <c r="DY85" i="13"/>
  <c r="EU85" i="13"/>
  <c r="DR85" i="13"/>
  <c r="DR63" i="13"/>
  <c r="EW63" i="13"/>
  <c r="DO63" i="13"/>
  <c r="DK63" i="13"/>
  <c r="DP58" i="13"/>
  <c r="DT58" i="13"/>
  <c r="EZ58" i="13"/>
  <c r="FD58" i="13"/>
  <c r="DN76" i="13"/>
  <c r="DS76" i="13"/>
  <c r="EX76" i="13"/>
  <c r="EL76" i="13"/>
  <c r="DP76" i="13"/>
  <c r="EF76" i="13"/>
  <c r="EY76" i="13"/>
  <c r="EU76" i="13"/>
  <c r="EK76" i="13"/>
  <c r="DK44" i="13"/>
  <c r="EN44" i="13"/>
  <c r="DR44" i="13"/>
  <c r="EL44" i="13"/>
  <c r="EV44" i="13"/>
  <c r="EX44" i="13"/>
  <c r="FD44" i="13"/>
  <c r="DT44" i="13"/>
  <c r="FA83" i="13"/>
  <c r="FC83" i="13"/>
  <c r="EP83" i="13"/>
  <c r="EZ83" i="13"/>
  <c r="FF83" i="13"/>
  <c r="EM83" i="13"/>
  <c r="FG83" i="13"/>
  <c r="DU83" i="13"/>
  <c r="DZ83" i="13"/>
  <c r="DO83" i="13"/>
  <c r="EA83" i="13"/>
  <c r="DL69" i="13"/>
  <c r="DR69" i="13"/>
  <c r="EO69" i="13"/>
  <c r="DM69" i="13"/>
  <c r="EX69" i="13"/>
  <c r="EY69" i="13"/>
  <c r="DK69" i="13"/>
  <c r="EU69" i="13"/>
  <c r="FA69" i="13"/>
  <c r="DV69" i="13"/>
  <c r="DJ69" i="13"/>
  <c r="EH69" i="13"/>
  <c r="EL46" i="13"/>
  <c r="EV46" i="13"/>
  <c r="DQ46" i="13"/>
  <c r="FG46" i="13"/>
  <c r="DY46" i="13"/>
  <c r="DV46" i="13"/>
  <c r="FF46" i="13"/>
  <c r="DR46" i="13"/>
  <c r="EX46" i="13"/>
  <c r="ER46" i="13"/>
  <c r="DM46" i="13"/>
  <c r="DL53" i="13"/>
  <c r="EX53" i="13"/>
  <c r="DK53" i="13"/>
  <c r="DM53" i="13"/>
  <c r="EQ53" i="13"/>
  <c r="EJ53" i="13"/>
  <c r="EX79" i="13"/>
  <c r="FA79" i="13"/>
  <c r="EO79" i="13"/>
  <c r="EV79" i="13"/>
  <c r="DV79" i="13"/>
  <c r="DL79" i="13"/>
  <c r="DP79" i="13"/>
  <c r="ES79" i="13"/>
  <c r="EW62" i="13"/>
  <c r="ES62" i="13"/>
  <c r="EY62" i="13"/>
  <c r="FD62" i="13"/>
  <c r="DU62" i="13"/>
  <c r="DR62" i="13"/>
  <c r="EL62" i="13"/>
  <c r="EN66" i="13"/>
  <c r="EO66" i="13"/>
  <c r="FG66" i="13"/>
  <c r="EX66" i="13"/>
  <c r="EL66" i="13"/>
  <c r="EP66" i="13"/>
  <c r="DU66" i="13"/>
  <c r="DP65" i="13"/>
  <c r="DW76" i="13"/>
  <c r="EM76" i="13"/>
  <c r="FE76" i="13"/>
  <c r="EQ76" i="13"/>
  <c r="DQ76" i="13"/>
  <c r="ES44" i="13"/>
  <c r="FC44" i="13"/>
  <c r="EM44" i="13"/>
  <c r="DJ44" i="13"/>
  <c r="EZ44" i="13"/>
  <c r="EW44" i="13"/>
  <c r="EQ44" i="13"/>
  <c r="FD83" i="13"/>
  <c r="EV83" i="13"/>
  <c r="DT83" i="13"/>
  <c r="EN83" i="13"/>
  <c r="EX83" i="13"/>
  <c r="DJ83" i="13"/>
  <c r="DQ83" i="13"/>
  <c r="ES83" i="13"/>
  <c r="EW69" i="13"/>
  <c r="EP69" i="13"/>
  <c r="FB69" i="13"/>
  <c r="EI69" i="13"/>
  <c r="DZ69" i="13"/>
  <c r="EG69" i="13"/>
  <c r="DW69" i="13"/>
  <c r="ES69" i="13"/>
  <c r="ES46" i="13"/>
  <c r="DP46" i="13"/>
  <c r="EA46" i="13"/>
  <c r="DO46" i="13"/>
  <c r="EO46" i="13"/>
  <c r="EC46" i="13"/>
  <c r="DK46" i="13"/>
  <c r="EG46" i="13"/>
  <c r="EH46" i="13"/>
  <c r="EW53" i="13"/>
  <c r="DO53" i="13"/>
  <c r="EY53" i="13"/>
  <c r="EV53" i="13"/>
  <c r="DP53" i="13"/>
  <c r="ET53" i="13"/>
  <c r="EZ53" i="13"/>
  <c r="ES53" i="13"/>
  <c r="EN79" i="13"/>
  <c r="EM79" i="13"/>
  <c r="EL79" i="13"/>
  <c r="FF79" i="13"/>
  <c r="FD79" i="13"/>
  <c r="EW79" i="13"/>
  <c r="DJ79" i="13"/>
  <c r="EZ79" i="13"/>
  <c r="DS79" i="13"/>
  <c r="FF62" i="13"/>
  <c r="EZ62" i="13"/>
  <c r="DT62" i="13"/>
  <c r="DK62" i="13"/>
  <c r="EV62" i="13"/>
  <c r="DJ62" i="13"/>
  <c r="EU62" i="13"/>
  <c r="FA62" i="13"/>
  <c r="ER62" i="13"/>
  <c r="DL62" i="13"/>
  <c r="DL66" i="13"/>
  <c r="EZ66" i="13"/>
  <c r="EK66" i="13"/>
  <c r="ET66" i="13"/>
  <c r="EY66" i="13"/>
  <c r="EU66" i="13"/>
  <c r="FD66" i="13"/>
  <c r="DP66" i="13"/>
  <c r="EQ66" i="13"/>
  <c r="DX76" i="13"/>
  <c r="ES76" i="13"/>
  <c r="EO76" i="13"/>
  <c r="ET76" i="13"/>
  <c r="EB76" i="13"/>
  <c r="DT76" i="13"/>
  <c r="DU76" i="13"/>
  <c r="DK76" i="13"/>
  <c r="DL76" i="13"/>
  <c r="FF76" i="13"/>
  <c r="ER76" i="13"/>
  <c r="DJ76" i="13"/>
  <c r="EZ76" i="13"/>
  <c r="ET44" i="13"/>
  <c r="DP44" i="13"/>
  <c r="DM44" i="13"/>
  <c r="DO44" i="13"/>
  <c r="DV44" i="13"/>
  <c r="EY44" i="13"/>
  <c r="EJ44" i="13"/>
  <c r="FA44" i="13"/>
  <c r="EQ83" i="13"/>
  <c r="DS83" i="13"/>
  <c r="DR83" i="13"/>
  <c r="EF83" i="13"/>
  <c r="DV83" i="13"/>
  <c r="EH83" i="13"/>
  <c r="EW83" i="13"/>
  <c r="EC83" i="13"/>
  <c r="EE83" i="13"/>
  <c r="EK83" i="13"/>
  <c r="DP69" i="13"/>
  <c r="EZ69" i="13"/>
  <c r="DU69" i="13"/>
  <c r="EQ69" i="13"/>
  <c r="FC69" i="13"/>
  <c r="DQ69" i="13"/>
  <c r="EL69" i="13"/>
  <c r="ER69" i="13"/>
  <c r="EM69" i="13"/>
  <c r="DY69" i="13"/>
  <c r="FG69" i="13"/>
  <c r="EZ46" i="13"/>
  <c r="EK46" i="13"/>
  <c r="DZ46" i="13"/>
  <c r="EU46" i="13"/>
  <c r="EN46" i="13"/>
  <c r="EP46" i="13"/>
  <c r="EY46" i="13"/>
  <c r="EF46" i="13"/>
  <c r="FA46" i="13"/>
  <c r="FC46" i="13"/>
  <c r="EW46" i="13"/>
  <c r="FG53" i="13"/>
  <c r="EN53" i="13"/>
  <c r="FA53" i="13"/>
  <c r="FD53" i="13"/>
  <c r="EL53" i="13"/>
  <c r="EP53" i="13"/>
  <c r="DN53" i="13"/>
  <c r="FE53" i="13"/>
  <c r="EG53" i="13"/>
  <c r="ED53" i="13"/>
  <c r="ER53" i="13"/>
  <c r="DK79" i="13"/>
  <c r="EY79" i="13"/>
  <c r="DW79" i="13"/>
  <c r="EG79" i="13"/>
  <c r="ER79" i="13"/>
  <c r="DO79" i="13"/>
  <c r="EK79" i="13"/>
  <c r="FC79" i="13"/>
  <c r="FG79" i="13"/>
  <c r="EQ79" i="13"/>
  <c r="EK62" i="13"/>
  <c r="DO62" i="13"/>
  <c r="EP62" i="13"/>
  <c r="FC62" i="13"/>
  <c r="DM62" i="13"/>
  <c r="FG62" i="13"/>
  <c r="EW66" i="13"/>
  <c r="ER66" i="13"/>
  <c r="DR66" i="13"/>
  <c r="DN66" i="13"/>
  <c r="DT66" i="13"/>
  <c r="ER65" i="13"/>
  <c r="DR65" i="13"/>
  <c r="EK65" i="13"/>
  <c r="EW65" i="13"/>
  <c r="FF65" i="13"/>
  <c r="DO65" i="13"/>
  <c r="EM65" i="13"/>
  <c r="DM65" i="13"/>
  <c r="ES65" i="13"/>
  <c r="DK51" i="13"/>
  <c r="DN51" i="13"/>
  <c r="DJ51" i="13"/>
  <c r="DL51" i="13"/>
  <c r="EK51" i="13"/>
  <c r="FB51" i="13"/>
  <c r="EU51" i="13"/>
  <c r="DX51" i="13"/>
  <c r="ET49" i="13"/>
  <c r="EU49" i="13"/>
  <c r="FG49" i="13"/>
  <c r="EN49" i="13"/>
  <c r="ES49" i="13"/>
  <c r="EX49" i="13"/>
  <c r="ER49" i="13"/>
  <c r="DM49" i="13"/>
  <c r="DU49" i="13"/>
  <c r="EQ49" i="13"/>
  <c r="EU89" i="13"/>
  <c r="EX89" i="13"/>
  <c r="DR89" i="13"/>
  <c r="EB89" i="13"/>
  <c r="EV89" i="13"/>
  <c r="DX89" i="13"/>
  <c r="EQ89" i="13"/>
  <c r="EN89" i="13"/>
  <c r="FC89" i="13"/>
  <c r="DM59" i="13"/>
  <c r="EL59" i="13"/>
  <c r="DQ59" i="13"/>
  <c r="DT59" i="13"/>
  <c r="DK59" i="13"/>
  <c r="DN59" i="13"/>
  <c r="EQ59" i="13"/>
  <c r="DR59" i="13"/>
  <c r="DP59" i="13"/>
  <c r="FD60" i="13"/>
  <c r="FF60" i="13"/>
  <c r="DL60" i="13"/>
  <c r="DR60" i="13"/>
  <c r="FA60" i="13"/>
  <c r="DJ60" i="13"/>
  <c r="EQ60" i="13"/>
  <c r="ET60" i="13"/>
  <c r="DS60" i="13"/>
  <c r="DM60" i="13"/>
  <c r="EQ56" i="13"/>
  <c r="DL56" i="13"/>
  <c r="DS56" i="13"/>
  <c r="FF56" i="13"/>
  <c r="DT56" i="13"/>
  <c r="DU86" i="13"/>
  <c r="DM86" i="13"/>
  <c r="EV86" i="13"/>
  <c r="EQ86" i="13"/>
  <c r="FA86" i="13"/>
  <c r="FC86" i="13"/>
  <c r="DK86" i="13"/>
  <c r="DR86" i="13"/>
  <c r="EY86" i="13"/>
  <c r="FG55" i="13"/>
  <c r="ER55" i="13"/>
  <c r="ES55" i="13"/>
  <c r="DM55" i="13"/>
  <c r="DR55" i="13"/>
  <c r="EU55" i="13"/>
  <c r="EO55" i="13"/>
  <c r="DK55" i="13"/>
  <c r="DL55" i="13"/>
  <c r="FC65" i="13"/>
  <c r="DT65" i="13"/>
  <c r="EL65" i="13"/>
  <c r="EX65" i="13"/>
  <c r="EQ51" i="13"/>
  <c r="FF51" i="13"/>
  <c r="ES51" i="13"/>
  <c r="EP51" i="13"/>
  <c r="EL51" i="13"/>
  <c r="EM51" i="13"/>
  <c r="FG51" i="13"/>
  <c r="DO51" i="13"/>
  <c r="DP51" i="13"/>
  <c r="DK49" i="13"/>
  <c r="DL49" i="13"/>
  <c r="DJ49" i="13"/>
  <c r="DS49" i="13"/>
  <c r="FF49" i="13"/>
  <c r="EM49" i="13"/>
  <c r="DR49" i="13"/>
  <c r="EP49" i="13"/>
  <c r="FC49" i="13"/>
  <c r="EP89" i="13"/>
  <c r="DO89" i="13"/>
  <c r="DN89" i="13"/>
  <c r="FA89" i="13"/>
  <c r="EZ89" i="13"/>
  <c r="DZ89" i="13"/>
  <c r="EO89" i="13"/>
  <c r="DS89" i="13"/>
  <c r="EM89" i="13"/>
  <c r="DW89" i="13"/>
  <c r="EJ89" i="13"/>
  <c r="EG89" i="13"/>
  <c r="EU59" i="13"/>
  <c r="FF59" i="13"/>
  <c r="FG59" i="13"/>
  <c r="EN59" i="13"/>
  <c r="DS59" i="13"/>
  <c r="FC59" i="13"/>
  <c r="EL60" i="13"/>
  <c r="DP60" i="13"/>
  <c r="DU60" i="13"/>
  <c r="EP60" i="13"/>
  <c r="EY60" i="13"/>
  <c r="DO60" i="13"/>
  <c r="EK60" i="13"/>
  <c r="EN60" i="13"/>
  <c r="FD56" i="13"/>
  <c r="EW56" i="13"/>
  <c r="EV56" i="13"/>
  <c r="EM56" i="13"/>
  <c r="EK56" i="13"/>
  <c r="DK56" i="13"/>
  <c r="EO56" i="13"/>
  <c r="FA56" i="13"/>
  <c r="DO56" i="13"/>
  <c r="EZ86" i="13"/>
  <c r="ER86" i="13"/>
  <c r="DO86" i="13"/>
  <c r="FG86" i="13"/>
  <c r="EK86" i="13"/>
  <c r="DL86" i="13"/>
  <c r="DJ86" i="13"/>
  <c r="FF86" i="13"/>
  <c r="EX86" i="13"/>
  <c r="DQ86" i="13"/>
  <c r="DJ55" i="13"/>
  <c r="DN55" i="13"/>
  <c r="EY55" i="13"/>
  <c r="EN55" i="13"/>
  <c r="FC55" i="13"/>
  <c r="EQ55" i="13"/>
  <c r="ET65" i="13"/>
  <c r="EZ65" i="13"/>
  <c r="DL65" i="13"/>
  <c r="EV65" i="13"/>
  <c r="FG65" i="13"/>
  <c r="DN65" i="13"/>
  <c r="EN65" i="13"/>
  <c r="DK65" i="13"/>
  <c r="EO51" i="13"/>
  <c r="DT51" i="13"/>
  <c r="EW51" i="13"/>
  <c r="ER51" i="13"/>
  <c r="DR51" i="13"/>
  <c r="DM51" i="13"/>
  <c r="FC51" i="13"/>
  <c r="EV51" i="13"/>
  <c r="ED51" i="13"/>
  <c r="EW49" i="13"/>
  <c r="EV49" i="13"/>
  <c r="EK49" i="13"/>
  <c r="FA49" i="13"/>
  <c r="EL49" i="13"/>
  <c r="DP49" i="13"/>
  <c r="DN49" i="13"/>
  <c r="EZ49" i="13"/>
  <c r="FD89" i="13"/>
  <c r="DK89" i="13"/>
  <c r="DL89" i="13"/>
  <c r="EA89" i="13"/>
  <c r="EK89" i="13"/>
  <c r="FE89" i="13"/>
  <c r="ER89" i="13"/>
  <c r="ES89" i="13"/>
  <c r="EL89" i="13"/>
  <c r="DV89" i="13"/>
  <c r="DO59" i="13"/>
  <c r="EV59" i="13"/>
  <c r="ER59" i="13"/>
  <c r="DL59" i="13"/>
  <c r="EX59" i="13"/>
  <c r="EZ59" i="13"/>
  <c r="ES59" i="13"/>
  <c r="EP59" i="13"/>
  <c r="FD59" i="13"/>
  <c r="DJ59" i="13"/>
  <c r="EW60" i="13"/>
  <c r="EU60" i="13"/>
  <c r="ES60" i="13"/>
  <c r="FG60" i="13"/>
  <c r="EO60" i="13"/>
  <c r="DK60" i="13"/>
  <c r="EX60" i="13"/>
  <c r="DQ60" i="13"/>
  <c r="FE60" i="13"/>
  <c r="ET56" i="13"/>
  <c r="FC56" i="13"/>
  <c r="DP56" i="13"/>
  <c r="DR56" i="13"/>
  <c r="EN56" i="13"/>
  <c r="EP56" i="13"/>
  <c r="ER56" i="13"/>
  <c r="DJ56" i="13"/>
  <c r="DU56" i="13"/>
  <c r="FE56" i="13"/>
  <c r="FG56" i="13"/>
  <c r="EL86" i="13"/>
  <c r="EN86" i="13"/>
  <c r="ET86" i="13"/>
  <c r="EW86" i="13"/>
  <c r="DN86" i="13"/>
  <c r="ES86" i="13"/>
  <c r="EM86" i="13"/>
  <c r="DP86" i="13"/>
  <c r="EU86" i="13"/>
  <c r="DS86" i="13"/>
  <c r="DP55" i="13"/>
  <c r="EM55" i="13"/>
  <c r="EW55" i="13"/>
  <c r="EK55" i="13"/>
  <c r="FF55" i="13"/>
  <c r="FE55" i="13"/>
  <c r="DT55" i="13"/>
  <c r="DQ55" i="13"/>
  <c r="EV55" i="13"/>
  <c r="EP55" i="13"/>
  <c r="EY65" i="13"/>
  <c r="FA65" i="13"/>
  <c r="DU65" i="13"/>
  <c r="EU65" i="13"/>
  <c r="FD65" i="13"/>
  <c r="EO65" i="13"/>
  <c r="EQ65" i="13"/>
  <c r="EP65" i="13"/>
  <c r="DJ65" i="13"/>
  <c r="FD51" i="13"/>
  <c r="FA51" i="13"/>
  <c r="EY51" i="13"/>
  <c r="EZ51" i="13"/>
  <c r="EN51" i="13"/>
  <c r="DZ51" i="13"/>
  <c r="DU51" i="13"/>
  <c r="DW51" i="13"/>
  <c r="EX51" i="13"/>
  <c r="ET51" i="13"/>
  <c r="DO49" i="13"/>
  <c r="DT49" i="13"/>
  <c r="EO49" i="13"/>
  <c r="EY49" i="13"/>
  <c r="EF49" i="13"/>
  <c r="FD49" i="13"/>
  <c r="EC49" i="13"/>
  <c r="DP89" i="13"/>
  <c r="EW89" i="13"/>
  <c r="EY89" i="13"/>
  <c r="DJ89" i="13"/>
  <c r="DM89" i="13"/>
  <c r="DU89" i="13"/>
  <c r="FG89" i="13"/>
  <c r="EF89" i="13"/>
  <c r="EI89" i="13"/>
  <c r="FF89" i="13"/>
  <c r="DT89" i="13"/>
  <c r="ET89" i="13"/>
  <c r="DQ89" i="13"/>
  <c r="EY59" i="13"/>
  <c r="FE59" i="13"/>
  <c r="FA59" i="13"/>
  <c r="EW59" i="13"/>
  <c r="EK59" i="13"/>
  <c r="DU59" i="13"/>
  <c r="ET59" i="13"/>
  <c r="EO59" i="13"/>
  <c r="EM59" i="13"/>
  <c r="FC60" i="13"/>
  <c r="DT60" i="13"/>
  <c r="EZ60" i="13"/>
  <c r="DN60" i="13"/>
  <c r="EM60" i="13"/>
  <c r="EV60" i="13"/>
  <c r="ER60" i="13"/>
  <c r="EL56" i="13"/>
  <c r="EZ56" i="13"/>
  <c r="ES56" i="13"/>
  <c r="EY56" i="13"/>
  <c r="DM56" i="13"/>
  <c r="DQ56" i="13"/>
  <c r="EX56" i="13"/>
  <c r="EU56" i="13"/>
  <c r="DN56" i="13"/>
  <c r="EO86" i="13"/>
  <c r="EP86" i="13"/>
  <c r="DT86" i="13"/>
  <c r="FE86" i="13"/>
  <c r="FD86" i="13"/>
  <c r="ET55" i="13"/>
  <c r="EZ55" i="13"/>
  <c r="FD55" i="13"/>
  <c r="DO55" i="13"/>
  <c r="DS55" i="13"/>
  <c r="FA55" i="13"/>
  <c r="EX55" i="13"/>
  <c r="DU55" i="13"/>
  <c r="EL55" i="13"/>
  <c r="G19" i="13" l="1"/>
  <c r="L40" i="13"/>
  <c r="L39" i="13" a="1"/>
  <c r="L39" i="13" s="1"/>
  <c r="G20" i="13" a="1"/>
  <c r="G20" i="13" s="1"/>
  <c r="G18" i="13" a="1"/>
  <c r="G18" i="13" s="1"/>
  <c r="CW159" i="13"/>
  <c r="AB159" i="13"/>
  <c r="J159" i="13"/>
  <c r="BV159" i="13"/>
  <c r="BQ159" i="13"/>
  <c r="BK159" i="13"/>
  <c r="CG159" i="13"/>
  <c r="BF159" i="13"/>
  <c r="CL159" i="13"/>
  <c r="CN159" i="13"/>
  <c r="E159" i="13"/>
  <c r="O159" i="13"/>
  <c r="CA159" i="13"/>
  <c r="AR159" i="13"/>
  <c r="Q159" i="13"/>
  <c r="Z159" i="13"/>
  <c r="AK159" i="13"/>
  <c r="AE159" i="13"/>
  <c r="CQ159" i="13"/>
  <c r="BH159" i="13"/>
  <c r="AW159" i="13"/>
  <c r="AP159" i="13"/>
  <c r="CX159" i="13"/>
  <c r="AU159" i="13"/>
  <c r="L159" i="13"/>
  <c r="BX159" i="13"/>
  <c r="M159" i="13"/>
  <c r="AS159" i="13"/>
  <c r="BU159" i="13"/>
  <c r="C159" i="13"/>
  <c r="S159" i="13"/>
  <c r="AI159" i="13"/>
  <c r="AY159" i="13"/>
  <c r="BO159" i="13"/>
  <c r="CE159" i="13"/>
  <c r="CU159" i="13"/>
  <c r="P159" i="13"/>
  <c r="AF159" i="13"/>
  <c r="AV159" i="13"/>
  <c r="BL159" i="13"/>
  <c r="CB159" i="13"/>
  <c r="CR159" i="13"/>
  <c r="Y159" i="13"/>
  <c r="BE159" i="13"/>
  <c r="CO159" i="13"/>
  <c r="N159" i="13"/>
  <c r="AD159" i="13"/>
  <c r="AT159" i="13"/>
  <c r="BJ159" i="13"/>
  <c r="BZ159" i="13"/>
  <c r="CP159" i="13"/>
  <c r="T34" i="13"/>
  <c r="U159" i="13"/>
  <c r="BA159" i="13"/>
  <c r="CC159" i="13"/>
  <c r="G159" i="13"/>
  <c r="W159" i="13"/>
  <c r="AM159" i="13"/>
  <c r="BC159" i="13"/>
  <c r="BS159" i="13"/>
  <c r="CI159" i="13"/>
  <c r="D159" i="13"/>
  <c r="T159" i="13"/>
  <c r="AJ159" i="13"/>
  <c r="AZ159" i="13"/>
  <c r="BP159" i="13"/>
  <c r="CF159" i="13"/>
  <c r="CV159" i="13"/>
  <c r="AG159" i="13"/>
  <c r="BM159" i="13"/>
  <c r="CS159" i="13"/>
  <c r="R159" i="13"/>
  <c r="AH159" i="13"/>
  <c r="AX159" i="13"/>
  <c r="BN159" i="13"/>
  <c r="CD159" i="13"/>
  <c r="CT159" i="13"/>
  <c r="AC159" i="13"/>
  <c r="BI159" i="13"/>
  <c r="CK159" i="13"/>
  <c r="K159" i="13"/>
  <c r="AA159" i="13"/>
  <c r="AQ159" i="13"/>
  <c r="BG159" i="13"/>
  <c r="BW159" i="13"/>
  <c r="CM159" i="13"/>
  <c r="H159" i="13"/>
  <c r="X159" i="13"/>
  <c r="AN159" i="13"/>
  <c r="BD159" i="13"/>
  <c r="BT159" i="13"/>
  <c r="CJ159" i="13"/>
  <c r="I159" i="13"/>
  <c r="AO159" i="13"/>
  <c r="BY159" i="13"/>
  <c r="F159" i="13"/>
  <c r="V159" i="13"/>
  <c r="AL159" i="13"/>
  <c r="BB159" i="13"/>
  <c r="BR159" i="13"/>
  <c r="CH159" i="13"/>
  <c r="CV160" i="13"/>
  <c r="I160" i="13"/>
  <c r="AO160" i="13"/>
  <c r="CK160" i="13"/>
  <c r="AT160" i="13"/>
  <c r="CP160" i="13"/>
  <c r="C160" i="13"/>
  <c r="Q160" i="13"/>
  <c r="AG160" i="13"/>
  <c r="AW160" i="13"/>
  <c r="BM160" i="13"/>
  <c r="CC160" i="13"/>
  <c r="CS160" i="13"/>
  <c r="F160" i="13"/>
  <c r="V160" i="13"/>
  <c r="AL160" i="13"/>
  <c r="BB160" i="13"/>
  <c r="BR160" i="13"/>
  <c r="CH160" i="13"/>
  <c r="CX160" i="13"/>
  <c r="G160" i="13"/>
  <c r="W160" i="13"/>
  <c r="AM160" i="13"/>
  <c r="BC160" i="13"/>
  <c r="BS160" i="13"/>
  <c r="CI160" i="13"/>
  <c r="D160" i="13"/>
  <c r="T160" i="13"/>
  <c r="AJ160" i="13"/>
  <c r="AZ160" i="13"/>
  <c r="BP160" i="13"/>
  <c r="CF160" i="13"/>
  <c r="E160" i="13"/>
  <c r="U160" i="13"/>
  <c r="AK160" i="13"/>
  <c r="BA160" i="13"/>
  <c r="BQ160" i="13"/>
  <c r="CG160" i="13"/>
  <c r="CW160" i="13"/>
  <c r="J160" i="13"/>
  <c r="Z160" i="13"/>
  <c r="AP160" i="13"/>
  <c r="BF160" i="13"/>
  <c r="BV160" i="13"/>
  <c r="CL160" i="13"/>
  <c r="K160" i="13"/>
  <c r="AA160" i="13"/>
  <c r="AQ160" i="13"/>
  <c r="BG160" i="13"/>
  <c r="BW160" i="13"/>
  <c r="CM160" i="13"/>
  <c r="H160" i="13"/>
  <c r="X160" i="13"/>
  <c r="AN160" i="13"/>
  <c r="BD160" i="13"/>
  <c r="BT160" i="13"/>
  <c r="CJ160" i="13"/>
  <c r="Y160" i="13"/>
  <c r="BE160" i="13"/>
  <c r="BU160" i="13"/>
  <c r="N160" i="13"/>
  <c r="AD160" i="13"/>
  <c r="BJ160" i="13"/>
  <c r="BZ160" i="13"/>
  <c r="AS160" i="13"/>
  <c r="R160" i="13"/>
  <c r="CD160" i="13"/>
  <c r="AE160" i="13"/>
  <c r="BK160" i="13"/>
  <c r="CQ160" i="13"/>
  <c r="L160" i="13"/>
  <c r="AR160" i="13"/>
  <c r="BX160" i="13"/>
  <c r="BI160" i="13"/>
  <c r="AH160" i="13"/>
  <c r="CT160" i="13"/>
  <c r="AI160" i="13"/>
  <c r="BO160" i="13"/>
  <c r="CU160" i="13"/>
  <c r="P160" i="13"/>
  <c r="AV160" i="13"/>
  <c r="CB160" i="13"/>
  <c r="M160" i="13"/>
  <c r="BY160" i="13"/>
  <c r="AX160" i="13"/>
  <c r="O160" i="13"/>
  <c r="AU160" i="13"/>
  <c r="CA160" i="13"/>
  <c r="AB160" i="13"/>
  <c r="BH160" i="13"/>
  <c r="CN160" i="13"/>
  <c r="AC160" i="13"/>
  <c r="CO160" i="13"/>
  <c r="BN160" i="13"/>
  <c r="S160" i="13"/>
  <c r="AY160" i="13"/>
  <c r="CE160" i="13"/>
  <c r="AF160" i="13"/>
  <c r="BL160" i="13"/>
  <c r="CR160" i="13"/>
  <c r="U34" i="13"/>
  <c r="CB161" i="13"/>
  <c r="AS161" i="13"/>
  <c r="BK161" i="13"/>
  <c r="BR161" i="13"/>
  <c r="J161" i="13"/>
  <c r="AC161" i="13"/>
  <c r="BM161" i="13"/>
  <c r="I161" i="13"/>
  <c r="AJ161" i="13"/>
  <c r="BO161" i="13"/>
  <c r="K161" i="13"/>
  <c r="AK161" i="13"/>
  <c r="BQ161" i="13"/>
  <c r="BS161" i="13"/>
  <c r="BF161" i="13"/>
  <c r="F161" i="13"/>
  <c r="H161" i="13"/>
  <c r="AN161" i="13"/>
  <c r="BU161" i="13"/>
  <c r="O161" i="13"/>
  <c r="AO161" i="13"/>
  <c r="CE161" i="13"/>
  <c r="P161" i="13"/>
  <c r="AQ161" i="13"/>
  <c r="CG161" i="13"/>
  <c r="Q161" i="13"/>
  <c r="CP161" i="13"/>
  <c r="AL161" i="13"/>
  <c r="S161" i="13"/>
  <c r="AG161" i="13"/>
  <c r="CC161" i="13"/>
  <c r="AZ161" i="13"/>
  <c r="U161" i="13"/>
  <c r="CO161" i="13"/>
  <c r="CL161" i="13"/>
  <c r="CS161" i="13"/>
  <c r="BG161" i="13"/>
  <c r="AF161" i="13"/>
  <c r="CX161" i="13"/>
  <c r="AD161" i="13"/>
  <c r="X161" i="13"/>
  <c r="T161" i="13"/>
  <c r="CM161" i="13"/>
  <c r="BA161" i="13"/>
  <c r="BT161" i="13"/>
  <c r="AY161" i="13"/>
  <c r="AE161" i="13"/>
  <c r="CU161" i="13"/>
  <c r="BI161" i="13"/>
  <c r="CQ161" i="13"/>
  <c r="AT161" i="13"/>
  <c r="BY161" i="13"/>
  <c r="BW161" i="13"/>
  <c r="CK161" i="13"/>
  <c r="BL161" i="13"/>
  <c r="BZ161" i="13"/>
  <c r="L161" i="13"/>
  <c r="V161" i="13"/>
  <c r="CF161" i="13"/>
  <c r="AX161" i="13"/>
  <c r="CA161" i="13"/>
  <c r="C161" i="13"/>
  <c r="CJ161" i="13"/>
  <c r="CW161" i="13"/>
  <c r="AA161" i="13"/>
  <c r="Y161" i="13"/>
  <c r="AI161" i="13"/>
  <c r="Z161" i="13"/>
  <c r="AM161" i="13"/>
  <c r="BX161" i="13"/>
  <c r="BJ161" i="13"/>
  <c r="W161" i="13"/>
  <c r="R161" i="13"/>
  <c r="CD161" i="13"/>
  <c r="AB161" i="13"/>
  <c r="N161" i="13"/>
  <c r="AR161" i="13"/>
  <c r="E161" i="13"/>
  <c r="D161" i="13"/>
  <c r="M161" i="13"/>
  <c r="BB161" i="13"/>
  <c r="CR161" i="13"/>
  <c r="CH161" i="13"/>
  <c r="BP161" i="13"/>
  <c r="AH161" i="13"/>
  <c r="CT161" i="13"/>
  <c r="G161" i="13"/>
  <c r="BH161" i="13"/>
  <c r="BV161" i="13"/>
  <c r="AV161" i="13"/>
  <c r="AU161" i="13"/>
  <c r="BE161" i="13"/>
  <c r="CN161" i="13"/>
  <c r="CI161" i="13"/>
  <c r="BD161" i="13"/>
  <c r="AP161" i="13"/>
  <c r="BC161" i="13"/>
  <c r="CV161" i="13"/>
  <c r="BN161" i="13"/>
  <c r="AW161" i="13"/>
  <c r="V34" i="13"/>
  <c r="CX162" i="13"/>
  <c r="CH162" i="13"/>
  <c r="BR162" i="13"/>
  <c r="CP162" i="13"/>
  <c r="BZ162" i="13"/>
  <c r="BJ162" i="13"/>
  <c r="AT162" i="13"/>
  <c r="AD162" i="13"/>
  <c r="N162" i="13"/>
  <c r="CQ162" i="13"/>
  <c r="BU162" i="13"/>
  <c r="AZ162" i="13"/>
  <c r="AE162" i="13"/>
  <c r="I162" i="13"/>
  <c r="CI162" i="13"/>
  <c r="BM162" i="13"/>
  <c r="AR162" i="13"/>
  <c r="W162" i="13"/>
  <c r="CU162" i="13"/>
  <c r="BD162" i="13"/>
  <c r="M162" i="13"/>
  <c r="BL162" i="13"/>
  <c r="U162" i="13"/>
  <c r="BT162" i="13"/>
  <c r="AC162" i="13"/>
  <c r="CW162" i="13"/>
  <c r="BG162" i="13"/>
  <c r="P162" i="13"/>
  <c r="CL162" i="13"/>
  <c r="BV162" i="13"/>
  <c r="BF162" i="13"/>
  <c r="AP162" i="13"/>
  <c r="Z162" i="13"/>
  <c r="J162" i="13"/>
  <c r="CK162" i="13"/>
  <c r="BP162" i="13"/>
  <c r="AU162" i="13"/>
  <c r="Y162" i="13"/>
  <c r="D162" i="13"/>
  <c r="CC162" i="13"/>
  <c r="BH162" i="13"/>
  <c r="AM162" i="13"/>
  <c r="Q162" i="13"/>
  <c r="CJ162" i="13"/>
  <c r="AS162" i="13"/>
  <c r="CR162" i="13"/>
  <c r="BA162" i="13"/>
  <c r="K162" i="13"/>
  <c r="BI162" i="13"/>
  <c r="S162" i="13"/>
  <c r="CM162" i="13"/>
  <c r="AV162" i="13"/>
  <c r="E162" i="13"/>
  <c r="BB162" i="13"/>
  <c r="AL162" i="13"/>
  <c r="V162" i="13"/>
  <c r="F162" i="13"/>
  <c r="CF162" i="13"/>
  <c r="BK162" i="13"/>
  <c r="AO162" i="13"/>
  <c r="T162" i="13"/>
  <c r="CS162" i="13"/>
  <c r="BX162" i="13"/>
  <c r="BC162" i="13"/>
  <c r="AG162" i="13"/>
  <c r="L162" i="13"/>
  <c r="BY162" i="13"/>
  <c r="AI162" i="13"/>
  <c r="CG162" i="13"/>
  <c r="AQ162" i="13"/>
  <c r="CO162" i="13"/>
  <c r="AY162" i="13"/>
  <c r="H162" i="13"/>
  <c r="CB162" i="13"/>
  <c r="AK162" i="13"/>
  <c r="CT162" i="13"/>
  <c r="CD162" i="13"/>
  <c r="BN162" i="13"/>
  <c r="AX162" i="13"/>
  <c r="AH162" i="13"/>
  <c r="R162" i="13"/>
  <c r="CV162" i="13"/>
  <c r="CA162" i="13"/>
  <c r="BE162" i="13"/>
  <c r="AJ162" i="13"/>
  <c r="O162" i="13"/>
  <c r="CN162" i="13"/>
  <c r="BS162" i="13"/>
  <c r="AW162" i="13"/>
  <c r="AB162" i="13"/>
  <c r="G162" i="13"/>
  <c r="BO162" i="13"/>
  <c r="X162" i="13"/>
  <c r="BW162" i="13"/>
  <c r="AF162" i="13"/>
  <c r="CE162" i="13"/>
  <c r="AN162" i="13"/>
  <c r="C162" i="13"/>
  <c r="BQ162" i="13"/>
  <c r="AA162" i="13"/>
  <c r="W34" i="13"/>
  <c r="CQ163" i="13"/>
  <c r="CA163" i="13"/>
  <c r="BK163" i="13"/>
  <c r="AU163" i="13"/>
  <c r="AE163" i="13"/>
  <c r="O163" i="13"/>
  <c r="CS163" i="13"/>
  <c r="BX163" i="13"/>
  <c r="BB163" i="13"/>
  <c r="AG163" i="13"/>
  <c r="L163" i="13"/>
  <c r="CK163" i="13"/>
  <c r="BP163" i="13"/>
  <c r="AT163" i="13"/>
  <c r="Y163" i="13"/>
  <c r="D163" i="13"/>
  <c r="BL163" i="13"/>
  <c r="U163" i="13"/>
  <c r="BT163" i="13"/>
  <c r="AC163" i="13"/>
  <c r="CW163" i="13"/>
  <c r="BF163" i="13"/>
  <c r="P163" i="13"/>
  <c r="BY163" i="13"/>
  <c r="AH163" i="13"/>
  <c r="CM163" i="13"/>
  <c r="BW163" i="13"/>
  <c r="BG163" i="13"/>
  <c r="AQ163" i="13"/>
  <c r="AA163" i="13"/>
  <c r="K163" i="13"/>
  <c r="CN163" i="13"/>
  <c r="BR163" i="13"/>
  <c r="AW163" i="13"/>
  <c r="AB163" i="13"/>
  <c r="F163" i="13"/>
  <c r="CF163" i="13"/>
  <c r="BJ163" i="13"/>
  <c r="AO163" i="13"/>
  <c r="T163" i="13"/>
  <c r="CR163" i="13"/>
  <c r="BA163" i="13"/>
  <c r="J163" i="13"/>
  <c r="BI163" i="13"/>
  <c r="R163" i="13"/>
  <c r="CL163" i="13"/>
  <c r="AV163" i="13"/>
  <c r="E163" i="13"/>
  <c r="BN163" i="13"/>
  <c r="X163" i="13"/>
  <c r="CI163" i="13"/>
  <c r="BS163" i="13"/>
  <c r="BC163" i="13"/>
  <c r="AM163" i="13"/>
  <c r="W163" i="13"/>
  <c r="G163" i="13"/>
  <c r="CH163" i="13"/>
  <c r="BM163" i="13"/>
  <c r="AR163" i="13"/>
  <c r="V163" i="13"/>
  <c r="CV163" i="13"/>
  <c r="BZ163" i="13"/>
  <c r="BE163" i="13"/>
  <c r="AJ163" i="13"/>
  <c r="N163" i="13"/>
  <c r="CG163" i="13"/>
  <c r="AP163" i="13"/>
  <c r="CO163" i="13"/>
  <c r="AX163" i="13"/>
  <c r="H163" i="13"/>
  <c r="CB163" i="13"/>
  <c r="AK163" i="13"/>
  <c r="CT163" i="13"/>
  <c r="BD163" i="13"/>
  <c r="M163" i="13"/>
  <c r="CU163" i="13"/>
  <c r="CE163" i="13"/>
  <c r="BO163" i="13"/>
  <c r="AY163" i="13"/>
  <c r="AI163" i="13"/>
  <c r="S163" i="13"/>
  <c r="CX163" i="13"/>
  <c r="CC163" i="13"/>
  <c r="CP163" i="13"/>
  <c r="I163" i="13"/>
  <c r="AN163" i="13"/>
  <c r="CJ163" i="13"/>
  <c r="BH163" i="13"/>
  <c r="BU163" i="13"/>
  <c r="BV163" i="13"/>
  <c r="C163" i="13"/>
  <c r="AS163" i="13"/>
  <c r="AL163" i="13"/>
  <c r="AZ163" i="13"/>
  <c r="AF163" i="13"/>
  <c r="BQ163" i="13"/>
  <c r="Q163" i="13"/>
  <c r="AD163" i="13"/>
  <c r="CD163" i="13"/>
  <c r="Z163" i="13"/>
  <c r="X34" i="13"/>
  <c r="CR164" i="13"/>
  <c r="CB164" i="13"/>
  <c r="BL164" i="13"/>
  <c r="AV164" i="13"/>
  <c r="AF164" i="13"/>
  <c r="P164" i="13"/>
  <c r="CU164" i="13"/>
  <c r="BZ164" i="13"/>
  <c r="BE164" i="13"/>
  <c r="AI164" i="13"/>
  <c r="N164" i="13"/>
  <c r="CM164" i="13"/>
  <c r="BR164" i="13"/>
  <c r="AW164" i="13"/>
  <c r="AA164" i="13"/>
  <c r="F164" i="13"/>
  <c r="BI164" i="13"/>
  <c r="R164" i="13"/>
  <c r="CL164" i="13"/>
  <c r="AU164" i="13"/>
  <c r="E164" i="13"/>
  <c r="BN164" i="13"/>
  <c r="W164" i="13"/>
  <c r="BV164" i="13"/>
  <c r="AE164" i="13"/>
  <c r="CN164" i="13"/>
  <c r="BX164" i="13"/>
  <c r="BH164" i="13"/>
  <c r="AR164" i="13"/>
  <c r="AB164" i="13"/>
  <c r="L164" i="13"/>
  <c r="CP164" i="13"/>
  <c r="BU164" i="13"/>
  <c r="AY164" i="13"/>
  <c r="AD164" i="13"/>
  <c r="I164" i="13"/>
  <c r="CH164" i="13"/>
  <c r="BM164" i="13"/>
  <c r="AQ164" i="13"/>
  <c r="V164" i="13"/>
  <c r="CO164" i="13"/>
  <c r="AX164" i="13"/>
  <c r="G164" i="13"/>
  <c r="CA164" i="13"/>
  <c r="AK164" i="13"/>
  <c r="CT164" i="13"/>
  <c r="BC164" i="13"/>
  <c r="M164" i="13"/>
  <c r="BK164" i="13"/>
  <c r="U164" i="13"/>
  <c r="CJ164" i="13"/>
  <c r="BT164" i="13"/>
  <c r="BD164" i="13"/>
  <c r="AN164" i="13"/>
  <c r="X164" i="13"/>
  <c r="H164" i="13"/>
  <c r="CK164" i="13"/>
  <c r="BO164" i="13"/>
  <c r="AT164" i="13"/>
  <c r="Y164" i="13"/>
  <c r="CX164" i="13"/>
  <c r="CC164" i="13"/>
  <c r="BG164" i="13"/>
  <c r="AL164" i="13"/>
  <c r="Q164" i="13"/>
  <c r="CD164" i="13"/>
  <c r="AM164" i="13"/>
  <c r="C164" i="13"/>
  <c r="BQ164" i="13"/>
  <c r="Z164" i="13"/>
  <c r="CI164" i="13"/>
  <c r="AS164" i="13"/>
  <c r="CQ164" i="13"/>
  <c r="BA164" i="13"/>
  <c r="J164" i="13"/>
  <c r="CV164" i="13"/>
  <c r="CF164" i="13"/>
  <c r="BP164" i="13"/>
  <c r="AZ164" i="13"/>
  <c r="AJ164" i="13"/>
  <c r="T164" i="13"/>
  <c r="D164" i="13"/>
  <c r="S164" i="13"/>
  <c r="AG164" i="13"/>
  <c r="CW164" i="13"/>
  <c r="AH164" i="13"/>
  <c r="CE164" i="13"/>
  <c r="CS164" i="13"/>
  <c r="K164" i="13"/>
  <c r="BF164" i="13"/>
  <c r="CG164" i="13"/>
  <c r="BJ164" i="13"/>
  <c r="BW164" i="13"/>
  <c r="BS164" i="13"/>
  <c r="O164" i="13"/>
  <c r="AP164" i="13"/>
  <c r="AO164" i="13"/>
  <c r="BB164" i="13"/>
  <c r="AC164" i="13"/>
  <c r="BY164" i="13"/>
  <c r="Y34" i="13"/>
  <c r="CP184" i="13"/>
  <c r="BZ184" i="13"/>
  <c r="BJ184" i="13"/>
  <c r="AT184" i="13"/>
  <c r="AD184" i="13"/>
  <c r="N184" i="13"/>
  <c r="CS184" i="13"/>
  <c r="CC184" i="13"/>
  <c r="BM184" i="13"/>
  <c r="AW184" i="13"/>
  <c r="AG184" i="13"/>
  <c r="Q184" i="13"/>
  <c r="BT184" i="13"/>
  <c r="AN184" i="13"/>
  <c r="CV184" i="13"/>
  <c r="CF184" i="13"/>
  <c r="BL184" i="13"/>
  <c r="X184" i="13"/>
  <c r="CQ184" i="13"/>
  <c r="CA184" i="13"/>
  <c r="BK184" i="13"/>
  <c r="AU184" i="13"/>
  <c r="AE184" i="13"/>
  <c r="O184" i="13"/>
  <c r="AB184" i="13"/>
  <c r="BR184" i="13"/>
  <c r="AL184" i="13"/>
  <c r="F184" i="13"/>
  <c r="BU184" i="13"/>
  <c r="AO184" i="13"/>
  <c r="I184" i="13"/>
  <c r="T184" i="13"/>
  <c r="BX184" i="13"/>
  <c r="D184" i="13"/>
  <c r="BS184" i="13"/>
  <c r="AM184" i="13"/>
  <c r="G184" i="13"/>
  <c r="CT184" i="13"/>
  <c r="BN184" i="13"/>
  <c r="AH184" i="13"/>
  <c r="CW184" i="13"/>
  <c r="BQ184" i="13"/>
  <c r="AK184" i="13"/>
  <c r="E184" i="13"/>
  <c r="H184" i="13"/>
  <c r="BP184" i="13"/>
  <c r="CU184" i="13"/>
  <c r="BO184" i="13"/>
  <c r="AI184" i="13"/>
  <c r="C184" i="13"/>
  <c r="CL184" i="13"/>
  <c r="BV184" i="13"/>
  <c r="BF184" i="13"/>
  <c r="AP184" i="13"/>
  <c r="Z184" i="13"/>
  <c r="J184" i="13"/>
  <c r="CO184" i="13"/>
  <c r="BY184" i="13"/>
  <c r="BI184" i="13"/>
  <c r="AS184" i="13"/>
  <c r="AC184" i="13"/>
  <c r="M184" i="13"/>
  <c r="BH184" i="13"/>
  <c r="AF184" i="13"/>
  <c r="CR184" i="13"/>
  <c r="CB184" i="13"/>
  <c r="BD184" i="13"/>
  <c r="P184" i="13"/>
  <c r="CM184" i="13"/>
  <c r="BW184" i="13"/>
  <c r="BG184" i="13"/>
  <c r="AQ184" i="13"/>
  <c r="AA184" i="13"/>
  <c r="K184" i="13"/>
  <c r="L184" i="13"/>
  <c r="CX184" i="13"/>
  <c r="CH184" i="13"/>
  <c r="BB184" i="13"/>
  <c r="V184" i="13"/>
  <c r="CK184" i="13"/>
  <c r="BE184" i="13"/>
  <c r="Y184" i="13"/>
  <c r="AZ184" i="13"/>
  <c r="CN184" i="13"/>
  <c r="AR184" i="13"/>
  <c r="CI184" i="13"/>
  <c r="BC184" i="13"/>
  <c r="W184" i="13"/>
  <c r="CD184" i="13"/>
  <c r="AX184" i="13"/>
  <c r="R184" i="13"/>
  <c r="CG184" i="13"/>
  <c r="BA184" i="13"/>
  <c r="U184" i="13"/>
  <c r="AV184" i="13"/>
  <c r="CJ184" i="13"/>
  <c r="AJ184" i="13"/>
  <c r="CE184" i="13"/>
  <c r="AY184" i="13"/>
  <c r="S184" i="13"/>
  <c r="C185" i="13"/>
  <c r="C191" i="13" s="1"/>
  <c r="Y185" i="13"/>
  <c r="Y191" i="13" s="1"/>
  <c r="CS185" i="13"/>
  <c r="CS191" i="13" s="1"/>
  <c r="CJ185" i="13"/>
  <c r="CJ191" i="13" s="1"/>
  <c r="CT185" i="13"/>
  <c r="CT191" i="13" s="1"/>
  <c r="AQ185" i="13"/>
  <c r="AQ191" i="13" s="1"/>
  <c r="AT185" i="13"/>
  <c r="AT191" i="13" s="1"/>
  <c r="AL185" i="13"/>
  <c r="AL191" i="13" s="1"/>
  <c r="D185" i="13"/>
  <c r="D191" i="13" s="1"/>
  <c r="BM185" i="13"/>
  <c r="BM191" i="13" s="1"/>
  <c r="CQ185" i="13"/>
  <c r="CQ191" i="13" s="1"/>
  <c r="CK185" i="13"/>
  <c r="CK191" i="13" s="1"/>
  <c r="BC185" i="13"/>
  <c r="BC191" i="13" s="1"/>
  <c r="CB185" i="13"/>
  <c r="CB191" i="13" s="1"/>
  <c r="AC185" i="13"/>
  <c r="AC191" i="13" s="1"/>
  <c r="CX185" i="13"/>
  <c r="CX191" i="13" s="1"/>
  <c r="BI185" i="13"/>
  <c r="BI191" i="13" s="1"/>
  <c r="AY185" i="13"/>
  <c r="AY191" i="13" s="1"/>
  <c r="AO185" i="13"/>
  <c r="AO191" i="13" s="1"/>
  <c r="CC185" i="13"/>
  <c r="CC191" i="13" s="1"/>
  <c r="AM185" i="13"/>
  <c r="AM191" i="13" s="1"/>
  <c r="BU185" i="13"/>
  <c r="BU191" i="13" s="1"/>
  <c r="BL185" i="13"/>
  <c r="BL191" i="13" s="1"/>
  <c r="AH185" i="13"/>
  <c r="AH191" i="13" s="1"/>
  <c r="AE185" i="13"/>
  <c r="AE191" i="13" s="1"/>
  <c r="BO185" i="13"/>
  <c r="BO191" i="13" s="1"/>
  <c r="AF185" i="13"/>
  <c r="AF191" i="13" s="1"/>
  <c r="CG185" i="13"/>
  <c r="CG191" i="13" s="1"/>
  <c r="BT185" i="13"/>
  <c r="BT191" i="13" s="1"/>
  <c r="AX185" i="13"/>
  <c r="AX191" i="13" s="1"/>
  <c r="CF185" i="13"/>
  <c r="CF191" i="13" s="1"/>
  <c r="P185" i="13"/>
  <c r="P191" i="13" s="1"/>
  <c r="S185" i="13"/>
  <c r="S191" i="13" s="1"/>
  <c r="CO185" i="13"/>
  <c r="CO191" i="13" s="1"/>
  <c r="L185" i="13"/>
  <c r="L191" i="13" s="1"/>
  <c r="AR185" i="13"/>
  <c r="AR191" i="13" s="1"/>
  <c r="BN185" i="13"/>
  <c r="BN191" i="13" s="1"/>
  <c r="BY185" i="13"/>
  <c r="BY191" i="13" s="1"/>
  <c r="CP185" i="13"/>
  <c r="CP191" i="13" s="1"/>
  <c r="F185" i="13"/>
  <c r="F191" i="13" s="1"/>
  <c r="BE185" i="13"/>
  <c r="BE191" i="13" s="1"/>
  <c r="BF185" i="13"/>
  <c r="BF191" i="13" s="1"/>
  <c r="R185" i="13"/>
  <c r="R191" i="13" s="1"/>
  <c r="CL185" i="13"/>
  <c r="CL191" i="13" s="1"/>
  <c r="BB185" i="13"/>
  <c r="BB191" i="13" s="1"/>
  <c r="CI185" i="13"/>
  <c r="CI191" i="13" s="1"/>
  <c r="AD185" i="13"/>
  <c r="AD191" i="13" s="1"/>
  <c r="AB185" i="13"/>
  <c r="AB191" i="13" s="1"/>
  <c r="I185" i="13"/>
  <c r="I191" i="13" s="1"/>
  <c r="CW185" i="13"/>
  <c r="CW191" i="13" s="1"/>
  <c r="CA185" i="13"/>
  <c r="CA191" i="13" s="1"/>
  <c r="BD185" i="13"/>
  <c r="BD191" i="13" s="1"/>
  <c r="BQ185" i="13"/>
  <c r="BQ191" i="13" s="1"/>
  <c r="BG185" i="13"/>
  <c r="BG191" i="13" s="1"/>
  <c r="BZ185" i="13"/>
  <c r="BZ191" i="13" s="1"/>
  <c r="V185" i="13"/>
  <c r="V191" i="13" s="1"/>
  <c r="X185" i="13"/>
  <c r="X191" i="13" s="1"/>
  <c r="AG185" i="13"/>
  <c r="AG191" i="13" s="1"/>
  <c r="T185" i="13"/>
  <c r="T191" i="13" s="1"/>
  <c r="AA185" i="13"/>
  <c r="AA191" i="13" s="1"/>
  <c r="BX185" i="13"/>
  <c r="BX191" i="13" s="1"/>
  <c r="CV185" i="13"/>
  <c r="CV191" i="13" s="1"/>
  <c r="U185" i="13"/>
  <c r="U191" i="13" s="1"/>
  <c r="Z185" i="13"/>
  <c r="Z191" i="13" s="1"/>
  <c r="AW185" i="13"/>
  <c r="AW191" i="13" s="1"/>
  <c r="AZ185" i="13"/>
  <c r="AZ191" i="13" s="1"/>
  <c r="CR185" i="13"/>
  <c r="CR191" i="13" s="1"/>
  <c r="G185" i="13"/>
  <c r="G191" i="13" s="1"/>
  <c r="AV185" i="13"/>
  <c r="AV191" i="13" s="1"/>
  <c r="CE185" i="13"/>
  <c r="CE191" i="13" s="1"/>
  <c r="H185" i="13"/>
  <c r="H191" i="13" s="1"/>
  <c r="BJ185" i="13"/>
  <c r="BJ191" i="13" s="1"/>
  <c r="AU185" i="13"/>
  <c r="AU191" i="13" s="1"/>
  <c r="CD185" i="13"/>
  <c r="CD191" i="13" s="1"/>
  <c r="E185" i="13"/>
  <c r="E191" i="13" s="1"/>
  <c r="BP185" i="13"/>
  <c r="BP191" i="13" s="1"/>
  <c r="AI185" i="13"/>
  <c r="AI191" i="13" s="1"/>
  <c r="O185" i="13"/>
  <c r="O191" i="13" s="1"/>
  <c r="CH185" i="13"/>
  <c r="CH191" i="13" s="1"/>
  <c r="J185" i="13"/>
  <c r="J191" i="13" s="1"/>
  <c r="K185" i="13"/>
  <c r="K191" i="13" s="1"/>
  <c r="BV185" i="13"/>
  <c r="BV191" i="13" s="1"/>
  <c r="AS185" i="13"/>
  <c r="AS191" i="13" s="1"/>
  <c r="CM185" i="13"/>
  <c r="CM191" i="13" s="1"/>
  <c r="BK185" i="13"/>
  <c r="BK191" i="13" s="1"/>
  <c r="BR185" i="13"/>
  <c r="BR191" i="13" s="1"/>
  <c r="BA185" i="13"/>
  <c r="BA191" i="13" s="1"/>
  <c r="CN185" i="13"/>
  <c r="CN191" i="13" s="1"/>
  <c r="BH185" i="13"/>
  <c r="BH191" i="13" s="1"/>
  <c r="N95" i="13"/>
  <c r="W185" i="13"/>
  <c r="W191" i="13" s="1"/>
  <c r="M185" i="13"/>
  <c r="M191" i="13" s="1"/>
  <c r="N185" i="13"/>
  <c r="N191" i="13" s="1"/>
  <c r="Q185" i="13"/>
  <c r="Q191" i="13" s="1"/>
  <c r="AK185" i="13"/>
  <c r="AK191" i="13" s="1"/>
  <c r="BW185" i="13"/>
  <c r="BW191" i="13" s="1"/>
  <c r="BS185" i="13"/>
  <c r="BS191" i="13" s="1"/>
  <c r="AP185" i="13"/>
  <c r="AP191" i="13" s="1"/>
  <c r="AJ185" i="13"/>
  <c r="AJ191" i="13" s="1"/>
  <c r="AN185" i="13"/>
  <c r="AN191" i="13" s="1"/>
  <c r="CU185" i="13"/>
  <c r="CU191" i="13" s="1"/>
  <c r="AJ186" i="13" a="1"/>
  <c r="AJ186" i="13" s="1"/>
  <c r="AJ192" i="13" s="1"/>
  <c r="BI186" i="13" a="1"/>
  <c r="BI186" i="13" s="1"/>
  <c r="BI192" i="13" s="1"/>
  <c r="T186" i="13" a="1"/>
  <c r="T186" i="13" s="1"/>
  <c r="T192" i="13" s="1"/>
  <c r="BU186" i="13" a="1"/>
  <c r="BU186" i="13" s="1"/>
  <c r="BU192" i="13" s="1"/>
  <c r="CO186" i="13" a="1"/>
  <c r="CO186" i="13" s="1"/>
  <c r="CO192" i="13" s="1"/>
  <c r="AP186" i="13" a="1"/>
  <c r="AP186" i="13" s="1"/>
  <c r="AP192" i="13" s="1"/>
  <c r="AN186" i="13" a="1"/>
  <c r="AN186" i="13" s="1"/>
  <c r="AN192" i="13" s="1"/>
  <c r="BM186" i="13" a="1"/>
  <c r="BM186" i="13" s="1"/>
  <c r="BM192" i="13" s="1"/>
  <c r="AS186" i="13" a="1"/>
  <c r="AS186" i="13" s="1"/>
  <c r="AS192" i="13" s="1"/>
  <c r="BL186" i="13" a="1"/>
  <c r="BL186" i="13" s="1"/>
  <c r="BL192" i="13" s="1"/>
  <c r="AI186" i="13" a="1"/>
  <c r="AI186" i="13" s="1"/>
  <c r="AI192" i="13" s="1"/>
  <c r="CL186" i="13" a="1"/>
  <c r="CL186" i="13" s="1"/>
  <c r="CL192" i="13" s="1"/>
  <c r="CW186" i="13" a="1"/>
  <c r="CW186" i="13" s="1"/>
  <c r="CW192" i="13" s="1"/>
  <c r="CG186" i="13" a="1"/>
  <c r="CG186" i="13" s="1"/>
  <c r="CG192" i="13" s="1"/>
  <c r="BB186" i="13" a="1"/>
  <c r="BB186" i="13" s="1"/>
  <c r="BB192" i="13" s="1"/>
  <c r="BK186" i="13" a="1"/>
  <c r="BK186" i="13" s="1"/>
  <c r="BK192" i="13" s="1"/>
  <c r="CX186" i="13" a="1"/>
  <c r="CX186" i="13" s="1"/>
  <c r="CX192" i="13" s="1"/>
  <c r="AB186" i="13" a="1"/>
  <c r="AB186" i="13" s="1"/>
  <c r="AB192" i="13" s="1"/>
  <c r="CT186" i="13" a="1"/>
  <c r="CT186" i="13" s="1"/>
  <c r="CT192" i="13" s="1"/>
  <c r="BV186" i="13" a="1"/>
  <c r="BV186" i="13" s="1"/>
  <c r="BV192" i="13" s="1"/>
  <c r="I186" i="13" a="1"/>
  <c r="I186" i="13" s="1"/>
  <c r="I192" i="13" s="1"/>
  <c r="X186" i="13" a="1"/>
  <c r="X186" i="13" s="1"/>
  <c r="X192" i="13" s="1"/>
  <c r="CC186" i="13" a="1"/>
  <c r="CC186" i="13" s="1"/>
  <c r="CC192" i="13" s="1"/>
  <c r="AC186" i="13" a="1"/>
  <c r="AC186" i="13" s="1"/>
  <c r="AC192" i="13" s="1"/>
  <c r="CP186" i="13" a="1"/>
  <c r="CP186" i="13" s="1"/>
  <c r="CP192" i="13" s="1"/>
  <c r="CA186" i="13" a="1"/>
  <c r="CA186" i="13" s="1"/>
  <c r="CA192" i="13" s="1"/>
  <c r="CR186" i="13" a="1"/>
  <c r="CR186" i="13" s="1"/>
  <c r="CR192" i="13" s="1"/>
  <c r="BX186" i="13" a="1"/>
  <c r="BX186" i="13" s="1"/>
  <c r="BX192" i="13" s="1"/>
  <c r="BO186" i="13" a="1"/>
  <c r="BO186" i="13" s="1"/>
  <c r="BO192" i="13" s="1"/>
  <c r="AH186" i="13" a="1"/>
  <c r="AH186" i="13" s="1"/>
  <c r="AH192" i="13" s="1"/>
  <c r="W186" i="13" a="1"/>
  <c r="W186" i="13" s="1"/>
  <c r="W192" i="13" s="1"/>
  <c r="AQ186" i="13" a="1"/>
  <c r="AQ186" i="13" s="1"/>
  <c r="AQ192" i="13" s="1"/>
  <c r="N96" i="13" a="1"/>
  <c r="N96" i="13" s="1"/>
  <c r="O186" i="13" a="1"/>
  <c r="O186" i="13" s="1"/>
  <c r="O192" i="13" s="1"/>
  <c r="Q186" i="13" a="1"/>
  <c r="Q186" i="13" s="1"/>
  <c r="Q192" i="13" s="1"/>
  <c r="L186" i="13" a="1"/>
  <c r="L186" i="13" s="1"/>
  <c r="L192" i="13" s="1"/>
  <c r="AL186" i="13" a="1"/>
  <c r="AL186" i="13" s="1"/>
  <c r="AL192" i="13" s="1"/>
  <c r="CE186" i="13" a="1"/>
  <c r="CE186" i="13" s="1"/>
  <c r="CE192" i="13" s="1"/>
  <c r="D186" i="13" a="1"/>
  <c r="D186" i="13" s="1"/>
  <c r="D192" i="13" s="1"/>
  <c r="BS186" i="13" a="1"/>
  <c r="BS186" i="13" s="1"/>
  <c r="BS192" i="13" s="1"/>
  <c r="AW186" i="13" a="1"/>
  <c r="AW186" i="13" s="1"/>
  <c r="AW192" i="13" s="1"/>
  <c r="AZ186" i="13" a="1"/>
  <c r="AZ186" i="13" s="1"/>
  <c r="AZ192" i="13" s="1"/>
  <c r="CD186" i="13" a="1"/>
  <c r="CD186" i="13" s="1"/>
  <c r="CD192" i="13" s="1"/>
  <c r="BJ186" i="13" a="1"/>
  <c r="BJ186" i="13" s="1"/>
  <c r="BJ192" i="13" s="1"/>
  <c r="CH186" i="13" a="1"/>
  <c r="CH186" i="13" s="1"/>
  <c r="CH192" i="13" s="1"/>
  <c r="AA186" i="13" a="1"/>
  <c r="AA186" i="13" s="1"/>
  <c r="AA192" i="13" s="1"/>
  <c r="BF186" i="13" a="1"/>
  <c r="BF186" i="13" s="1"/>
  <c r="BF192" i="13" s="1"/>
  <c r="CQ186" i="13" a="1"/>
  <c r="CQ186" i="13" s="1"/>
  <c r="CQ192" i="13" s="1"/>
  <c r="U186" i="13" a="1"/>
  <c r="U186" i="13" s="1"/>
  <c r="U192" i="13" s="1"/>
  <c r="AK186" i="13" a="1"/>
  <c r="AK186" i="13" s="1"/>
  <c r="AK192" i="13" s="1"/>
  <c r="AM186" i="13" a="1"/>
  <c r="AM186" i="13" s="1"/>
  <c r="AM192" i="13" s="1"/>
  <c r="G186" i="13" a="1"/>
  <c r="G186" i="13" s="1"/>
  <c r="G192" i="13" s="1"/>
  <c r="BC186" i="13" a="1"/>
  <c r="BC186" i="13" s="1"/>
  <c r="BC192" i="13" s="1"/>
  <c r="BN186" i="13" a="1"/>
  <c r="BN186" i="13" s="1"/>
  <c r="BN192" i="13" s="1"/>
  <c r="AD186" i="13" a="1"/>
  <c r="AD186" i="13" s="1"/>
  <c r="AD192" i="13" s="1"/>
  <c r="J186" i="13" a="1"/>
  <c r="J186" i="13" s="1"/>
  <c r="J192" i="13" s="1"/>
  <c r="BD186" i="13" a="1"/>
  <c r="BD186" i="13" s="1"/>
  <c r="BD192" i="13" s="1"/>
  <c r="AY186" i="13" a="1"/>
  <c r="AY186" i="13" s="1"/>
  <c r="AY192" i="13" s="1"/>
  <c r="BE186" i="13" a="1"/>
  <c r="BE186" i="13" s="1"/>
  <c r="BE192" i="13" s="1"/>
  <c r="BT186" i="13" a="1"/>
  <c r="BT186" i="13" s="1"/>
  <c r="BT192" i="13" s="1"/>
  <c r="AR186" i="13" a="1"/>
  <c r="AR186" i="13" s="1"/>
  <c r="AR192" i="13" s="1"/>
  <c r="AO186" i="13" a="1"/>
  <c r="AO186" i="13" s="1"/>
  <c r="AO192" i="13" s="1"/>
  <c r="K186" i="13" a="1"/>
  <c r="K186" i="13" s="1"/>
  <c r="K192" i="13" s="1"/>
  <c r="BW186" i="13" a="1"/>
  <c r="BW186" i="13" s="1"/>
  <c r="BW192" i="13" s="1"/>
  <c r="AT186" i="13" a="1"/>
  <c r="AT186" i="13" s="1"/>
  <c r="AT192" i="13" s="1"/>
  <c r="H186" i="13" a="1"/>
  <c r="H186" i="13" s="1"/>
  <c r="H192" i="13" s="1"/>
  <c r="AF186" i="13" a="1"/>
  <c r="AF186" i="13" s="1"/>
  <c r="AF192" i="13" s="1"/>
  <c r="N186" i="13" a="1"/>
  <c r="N186" i="13" s="1"/>
  <c r="N192" i="13" s="1"/>
  <c r="AG186" i="13" a="1"/>
  <c r="AG186" i="13" s="1"/>
  <c r="AG192" i="13" s="1"/>
  <c r="P186" i="13" a="1"/>
  <c r="P186" i="13" s="1"/>
  <c r="P192" i="13" s="1"/>
  <c r="CI186" i="13" a="1"/>
  <c r="CI186" i="13" s="1"/>
  <c r="CI192" i="13" s="1"/>
  <c r="BH186" i="13" a="1"/>
  <c r="BH186" i="13" s="1"/>
  <c r="BH192" i="13" s="1"/>
  <c r="CB186" i="13" a="1"/>
  <c r="CB186" i="13" s="1"/>
  <c r="CB192" i="13" s="1"/>
  <c r="M186" i="13" a="1"/>
  <c r="M186" i="13" s="1"/>
  <c r="M192" i="13" s="1"/>
  <c r="AV186" i="13" a="1"/>
  <c r="AV186" i="13" s="1"/>
  <c r="AV192" i="13" s="1"/>
  <c r="R186" i="13" a="1"/>
  <c r="R186" i="13" s="1"/>
  <c r="R192" i="13" s="1"/>
  <c r="CS186" i="13" a="1"/>
  <c r="CS186" i="13" s="1"/>
  <c r="CS192" i="13" s="1"/>
  <c r="S186" i="13" a="1"/>
  <c r="S186" i="13" s="1"/>
  <c r="S192" i="13" s="1"/>
  <c r="BR186" i="13" a="1"/>
  <c r="BR186" i="13" s="1"/>
  <c r="BR192" i="13" s="1"/>
  <c r="BQ186" i="13" a="1"/>
  <c r="BQ186" i="13" s="1"/>
  <c r="BQ192" i="13" s="1"/>
  <c r="V186" i="13" a="1"/>
  <c r="V186" i="13" s="1"/>
  <c r="V192" i="13" s="1"/>
  <c r="E186" i="13" a="1"/>
  <c r="E186" i="13" s="1"/>
  <c r="E192" i="13" s="1"/>
  <c r="C186" i="13" a="1"/>
  <c r="C186" i="13" s="1"/>
  <c r="C192" i="13" s="1"/>
  <c r="BZ186" i="13" a="1"/>
  <c r="BZ186" i="13" s="1"/>
  <c r="BZ192" i="13" s="1"/>
  <c r="AX186" i="13" a="1"/>
  <c r="AX186" i="13" s="1"/>
  <c r="AX192" i="13" s="1"/>
  <c r="CF186" i="13" a="1"/>
  <c r="CF186" i="13" s="1"/>
  <c r="CF192" i="13" s="1"/>
  <c r="CJ186" i="13" a="1"/>
  <c r="CJ186" i="13" s="1"/>
  <c r="CJ192" i="13" s="1"/>
  <c r="CV186" i="13" a="1"/>
  <c r="CV186" i="13" s="1"/>
  <c r="CV192" i="13" s="1"/>
  <c r="Z186" i="13" a="1"/>
  <c r="Z186" i="13" s="1"/>
  <c r="Z192" i="13" s="1"/>
  <c r="BA186" i="13" a="1"/>
  <c r="BA186" i="13" s="1"/>
  <c r="BA192" i="13" s="1"/>
  <c r="CM186" i="13" a="1"/>
  <c r="CM186" i="13" s="1"/>
  <c r="CM192" i="13" s="1"/>
  <c r="AE186" i="13" a="1"/>
  <c r="AE186" i="13" s="1"/>
  <c r="AE192" i="13" s="1"/>
  <c r="BG186" i="13" a="1"/>
  <c r="BG186" i="13" s="1"/>
  <c r="BG192" i="13" s="1"/>
  <c r="CN186" i="13" a="1"/>
  <c r="CN186" i="13" s="1"/>
  <c r="CN192" i="13" s="1"/>
  <c r="Y186" i="13" a="1"/>
  <c r="Y186" i="13" s="1"/>
  <c r="Y192" i="13" s="1"/>
  <c r="BP186" i="13" a="1"/>
  <c r="BP186" i="13" s="1"/>
  <c r="BP192" i="13" s="1"/>
  <c r="CK186" i="13" a="1"/>
  <c r="CK186" i="13" s="1"/>
  <c r="CK192" i="13" s="1"/>
  <c r="CU186" i="13" a="1"/>
  <c r="CU186" i="13" s="1"/>
  <c r="CU192" i="13" s="1"/>
  <c r="F186" i="13" a="1"/>
  <c r="F186" i="13" s="1"/>
  <c r="F192" i="13" s="1"/>
  <c r="AU186" i="13" a="1"/>
  <c r="AU186" i="13" s="1"/>
  <c r="AU192" i="13" s="1"/>
  <c r="BY186" i="13" a="1"/>
  <c r="BY186" i="13" s="1"/>
  <c r="BY192" i="13" s="1"/>
  <c r="M182" i="13" a="1"/>
  <c r="M182" i="13" s="1"/>
  <c r="P182" i="13" a="1"/>
  <c r="P182" i="13" s="1"/>
  <c r="BN182" i="13" a="1"/>
  <c r="BN182" i="13" s="1"/>
  <c r="CV182" i="13" a="1"/>
  <c r="CV182" i="13" s="1"/>
  <c r="N94" i="13" a="1"/>
  <c r="N94" i="13" s="1"/>
  <c r="BU182" i="13" a="1"/>
  <c r="BU182" i="13" s="1"/>
  <c r="BY182" i="13" a="1"/>
  <c r="BY182" i="13" s="1"/>
  <c r="O182" i="13" a="1"/>
  <c r="O182" i="13" s="1"/>
  <c r="X182" i="13" a="1"/>
  <c r="X182" i="13" s="1"/>
  <c r="CN182" i="13" a="1"/>
  <c r="CN182" i="13" s="1"/>
  <c r="AD182" i="13" a="1"/>
  <c r="AD182" i="13" s="1"/>
  <c r="BE182" i="13" a="1"/>
  <c r="BE182" i="13" s="1"/>
  <c r="CE182" i="13" a="1"/>
  <c r="CE182" i="13" s="1"/>
  <c r="Z182" i="13" a="1"/>
  <c r="Z182" i="13" s="1"/>
  <c r="CS182" i="13" a="1"/>
  <c r="CS182" i="13" s="1"/>
  <c r="AG182" i="13" a="1"/>
  <c r="AG182" i="13" s="1"/>
  <c r="AB182" i="13" a="1"/>
  <c r="AB182" i="13" s="1"/>
  <c r="CW182" i="13" a="1"/>
  <c r="CW182" i="13" s="1"/>
  <c r="CK182" i="13" a="1"/>
  <c r="CK182" i="13" s="1"/>
  <c r="BP182" i="13" a="1"/>
  <c r="BP182" i="13" s="1"/>
  <c r="AJ182" i="13" a="1"/>
  <c r="AJ182" i="13" s="1"/>
  <c r="N182" i="13" a="1"/>
  <c r="N182" i="13" s="1"/>
  <c r="AR182" i="13" a="1"/>
  <c r="AR182" i="13" s="1"/>
  <c r="CP182" i="13" a="1"/>
  <c r="CP182" i="13" s="1"/>
  <c r="CI182" i="13" a="1"/>
  <c r="CI182" i="13" s="1"/>
  <c r="CR182" i="13" a="1"/>
  <c r="CR182" i="13" s="1"/>
  <c r="D182" i="13" a="1"/>
  <c r="D182" i="13" s="1"/>
  <c r="K182" i="13" a="1"/>
  <c r="K182" i="13" s="1"/>
  <c r="G182" i="13" a="1"/>
  <c r="G182" i="13" s="1"/>
  <c r="S182" i="13" a="1"/>
  <c r="S182" i="13" s="1"/>
  <c r="R182" i="13" a="1"/>
  <c r="R182" i="13" s="1"/>
  <c r="AL182" i="13" a="1"/>
  <c r="AL182" i="13" s="1"/>
  <c r="Q182" i="13" a="1"/>
  <c r="Q182" i="13" s="1"/>
  <c r="BI182" i="13" a="1"/>
  <c r="BI182" i="13" s="1"/>
  <c r="BO182" i="13" a="1"/>
  <c r="BO182" i="13" s="1"/>
  <c r="CD182" i="13" a="1"/>
  <c r="CD182" i="13" s="1"/>
  <c r="BS182" i="13" a="1"/>
  <c r="BS182" i="13" s="1"/>
  <c r="T182" i="13" a="1"/>
  <c r="T182" i="13" s="1"/>
  <c r="BQ182" i="13" a="1"/>
  <c r="BQ182" i="13" s="1"/>
  <c r="BM182" i="13" a="1"/>
  <c r="BM182" i="13" s="1"/>
  <c r="E182" i="13" a="1"/>
  <c r="E182" i="13" s="1"/>
  <c r="AK182" i="13" a="1"/>
  <c r="AK182" i="13" s="1"/>
  <c r="AP182" i="13" a="1"/>
  <c r="AP182" i="13" s="1"/>
  <c r="AZ182" i="13" a="1"/>
  <c r="AZ182" i="13" s="1"/>
  <c r="CL182" i="13" a="1"/>
  <c r="CL182" i="13" s="1"/>
  <c r="CX182" i="13" a="1"/>
  <c r="CX182" i="13" s="1"/>
  <c r="BH182" i="13" a="1"/>
  <c r="BH182" i="13" s="1"/>
  <c r="BA182" i="13" a="1"/>
  <c r="BA182" i="13" s="1"/>
  <c r="BG182" i="13" a="1"/>
  <c r="BG182" i="13" s="1"/>
  <c r="BV182" i="13" a="1"/>
  <c r="BV182" i="13" s="1"/>
  <c r="CT182" i="13" a="1"/>
  <c r="CT182" i="13" s="1"/>
  <c r="AQ182" i="13" a="1"/>
  <c r="AQ182" i="13" s="1"/>
  <c r="AH182" i="13" a="1"/>
  <c r="AH182" i="13" s="1"/>
  <c r="BD182" i="13" a="1"/>
  <c r="BD182" i="13" s="1"/>
  <c r="AW182" i="13" a="1"/>
  <c r="AW182" i="13" s="1"/>
  <c r="BK182" i="13" a="1"/>
  <c r="BK182" i="13" s="1"/>
  <c r="BJ182" i="13" a="1"/>
  <c r="BJ182" i="13" s="1"/>
  <c r="CF182" i="13" a="1"/>
  <c r="CF182" i="13" s="1"/>
  <c r="AN182" i="13" a="1"/>
  <c r="AN182" i="13" s="1"/>
  <c r="BX182" i="13" a="1"/>
  <c r="BX182" i="13" s="1"/>
  <c r="AM182" i="13" a="1"/>
  <c r="AM182" i="13" s="1"/>
  <c r="AU182" i="13" a="1"/>
  <c r="AU182" i="13" s="1"/>
  <c r="AX182" i="13" a="1"/>
  <c r="AX182" i="13" s="1"/>
  <c r="CA182" i="13" a="1"/>
  <c r="CA182" i="13" s="1"/>
  <c r="CJ182" i="13" a="1"/>
  <c r="CJ182" i="13" s="1"/>
  <c r="Y182" i="13" a="1"/>
  <c r="Y182" i="13" s="1"/>
  <c r="CQ182" i="13" a="1"/>
  <c r="CQ182" i="13" s="1"/>
  <c r="AT182" i="13" a="1"/>
  <c r="AT182" i="13" s="1"/>
  <c r="AS182" i="13" a="1"/>
  <c r="AS182" i="13" s="1"/>
  <c r="CG182" i="13" a="1"/>
  <c r="CG182" i="13" s="1"/>
  <c r="AV182" i="13" a="1"/>
  <c r="AV182" i="13" s="1"/>
  <c r="H182" i="13" a="1"/>
  <c r="H182" i="13" s="1"/>
  <c r="BF182" i="13" a="1"/>
  <c r="BF182" i="13" s="1"/>
  <c r="CM182" i="13" a="1"/>
  <c r="CM182" i="13" s="1"/>
  <c r="AO182" i="13" a="1"/>
  <c r="AO182" i="13" s="1"/>
  <c r="AC182" i="13" a="1"/>
  <c r="AC182" i="13" s="1"/>
  <c r="CB182" i="13" a="1"/>
  <c r="CB182" i="13" s="1"/>
  <c r="AI182" i="13" a="1"/>
  <c r="AI182" i="13" s="1"/>
  <c r="AE182" i="13" a="1"/>
  <c r="AE182" i="13" s="1"/>
  <c r="BB182" i="13" a="1"/>
  <c r="BB182" i="13" s="1"/>
  <c r="BZ182" i="13" a="1"/>
  <c r="BZ182" i="13" s="1"/>
  <c r="AF182" i="13" a="1"/>
  <c r="AF182" i="13" s="1"/>
  <c r="AA182" i="13" a="1"/>
  <c r="AA182" i="13" s="1"/>
  <c r="W182" i="13" a="1"/>
  <c r="W182" i="13" s="1"/>
  <c r="BR182" i="13" a="1"/>
  <c r="BR182" i="13" s="1"/>
  <c r="BW182" i="13" a="1"/>
  <c r="BW182" i="13" s="1"/>
  <c r="BL182" i="13" a="1"/>
  <c r="BL182" i="13" s="1"/>
  <c r="V182" i="13" a="1"/>
  <c r="V182" i="13" s="1"/>
  <c r="BT182" i="13" a="1"/>
  <c r="BT182" i="13" s="1"/>
  <c r="CH182" i="13" a="1"/>
  <c r="CH182" i="13" s="1"/>
  <c r="AY182" i="13" a="1"/>
  <c r="AY182" i="13" s="1"/>
  <c r="CU182" i="13" a="1"/>
  <c r="CU182" i="13" s="1"/>
  <c r="I182" i="13" a="1"/>
  <c r="I182" i="13" s="1"/>
  <c r="C182" i="13" a="1"/>
  <c r="C182" i="13" s="1"/>
  <c r="BC182" i="13" a="1"/>
  <c r="BC182" i="13" s="1"/>
  <c r="F182" i="13" a="1"/>
  <c r="F182" i="13" s="1"/>
  <c r="U182" i="13" a="1"/>
  <c r="U182" i="13" s="1"/>
  <c r="J182" i="13" a="1"/>
  <c r="J182" i="13" s="1"/>
  <c r="CO182" i="13" a="1"/>
  <c r="CO182" i="13" s="1"/>
  <c r="L182" i="13" a="1"/>
  <c r="L182" i="13" s="1"/>
  <c r="CC182" i="13" a="1"/>
  <c r="CC182" i="13" s="1"/>
  <c r="DH159" i="13" l="1"/>
  <c r="DJ159" i="13" s="1"/>
  <c r="DI159" i="13"/>
  <c r="DK159" i="13" s="1"/>
  <c r="DI160" i="13"/>
  <c r="DK160" i="13" s="1"/>
  <c r="DH160" i="13"/>
  <c r="DJ160" i="13" s="1"/>
  <c r="DI162" i="13"/>
  <c r="DK162" i="13" s="1"/>
  <c r="DH162" i="13"/>
  <c r="DJ162" i="13" s="1"/>
  <c r="DH164" i="13"/>
  <c r="DJ164" i="13" s="1"/>
  <c r="DI164" i="13"/>
  <c r="DK164" i="13" s="1"/>
  <c r="DH161" i="13"/>
  <c r="DJ161" i="13" s="1"/>
  <c r="DI161" i="13"/>
  <c r="DK161" i="13" s="1"/>
  <c r="DH163" i="13"/>
  <c r="DJ163" i="13" s="1"/>
  <c r="DI163" i="13"/>
  <c r="DK163" i="13" s="1"/>
  <c r="A191" i="13"/>
  <c r="A192" i="13"/>
  <c r="DJ105" i="13" l="1"/>
  <c r="DK105" i="13"/>
</calcChain>
</file>

<file path=xl/comments1.xml><?xml version="1.0" encoding="utf-8"?>
<comments xmlns="http://schemas.openxmlformats.org/spreadsheetml/2006/main">
  <authors>
    <author>Michael Wang</author>
  </authors>
  <commentList>
    <comment ref="T3" authorId="0" shapeId="0">
      <text>
        <r>
          <rPr>
            <b/>
            <sz val="9"/>
            <color indexed="81"/>
            <rFont val="Tahoma"/>
            <family val="2"/>
          </rPr>
          <t>Michael Wang:</t>
        </r>
        <r>
          <rPr>
            <sz val="9"/>
            <color indexed="81"/>
            <rFont val="Tahoma"/>
            <family val="2"/>
          </rPr>
          <t xml:space="preserve">
Ungroup this (from above) to define the aggregation matrix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</rPr>
          <t>Michael Wang:</t>
        </r>
        <r>
          <rPr>
            <sz val="9"/>
            <color indexed="81"/>
            <rFont val="Tahoma"/>
            <family val="2"/>
          </rPr>
          <t xml:space="preserve">
first copy and paste values of asset names, then rearrange them in this list for summary below</t>
        </r>
      </text>
    </comment>
    <comment ref="AK12" authorId="0" shapeId="0">
      <text>
        <r>
          <rPr>
            <b/>
            <sz val="9"/>
            <color indexed="81"/>
            <rFont val="Tahoma"/>
            <family val="2"/>
          </rPr>
          <t>Michael Wang:</t>
        </r>
        <r>
          <rPr>
            <sz val="9"/>
            <color indexed="81"/>
            <rFont val="Tahoma"/>
            <family val="2"/>
          </rPr>
          <t xml:space="preserve">
Type in the asset names below to have them plotted</t>
        </r>
      </text>
    </comment>
  </commentList>
</comments>
</file>

<file path=xl/comments2.xml><?xml version="1.0" encoding="utf-8"?>
<comments xmlns="http://schemas.openxmlformats.org/spreadsheetml/2006/main">
  <authors>
    <author>Michael Wang</author>
    <author>Mike Murray</author>
  </authors>
  <commentList>
    <comment ref="AP38" authorId="0" shapeId="0">
      <text>
        <r>
          <rPr>
            <b/>
            <sz val="9"/>
            <color indexed="81"/>
            <rFont val="Tahoma"/>
            <family val="2"/>
          </rPr>
          <t>Michael Wang:
enter a number that is no greater than the one to the right.  Then only the first n columns will be passed into Matlab as the relative group comparison matrix</t>
        </r>
      </text>
    </comment>
    <comment ref="F41" authorId="1" shapeId="0">
      <text>
        <r>
          <rPr>
            <b/>
            <sz val="8"/>
            <color indexed="10"/>
            <rFont val="Tahoma"/>
            <family val="2"/>
          </rPr>
          <t>Matrix Calc - Need to Control-Shift-Enter when editing</t>
        </r>
      </text>
    </comment>
    <comment ref="R52" authorId="0" shapeId="0">
      <text>
        <r>
          <rPr>
            <b/>
            <sz val="9"/>
            <color indexed="81"/>
            <rFont val="Tahoma"/>
            <family val="2"/>
          </rPr>
          <t>Michael Wang:</t>
        </r>
        <r>
          <rPr>
            <sz val="9"/>
            <color indexed="81"/>
            <rFont val="Tahoma"/>
            <family val="2"/>
          </rPr>
          <t xml:space="preserve">
this was expressed as group_relative constraints,
and need to test if at asset level it is the same</t>
        </r>
      </text>
    </comment>
  </commentList>
</comments>
</file>

<file path=xl/comments3.xml><?xml version="1.0" encoding="utf-8"?>
<comments xmlns="http://schemas.openxmlformats.org/spreadsheetml/2006/main">
  <authors>
    <author>Michael Wang</author>
  </authors>
  <commentList>
    <comment ref="AC2" authorId="0" shapeId="0">
      <text>
        <r>
          <rPr>
            <b/>
            <sz val="9"/>
            <color indexed="81"/>
            <rFont val="Tahoma"/>
            <family val="2"/>
          </rPr>
          <t>Michael Wang:</t>
        </r>
        <r>
          <rPr>
            <sz val="9"/>
            <color indexed="81"/>
            <rFont val="Tahoma"/>
            <family val="2"/>
          </rPr>
          <t xml:space="preserve">
Double check these addresses as upper-left corner of the matrices</t>
        </r>
      </text>
    </comment>
  </commentList>
</comments>
</file>

<file path=xl/sharedStrings.xml><?xml version="1.0" encoding="utf-8"?>
<sst xmlns="http://schemas.openxmlformats.org/spreadsheetml/2006/main" count="635" uniqueCount="302">
  <si>
    <t>Cash</t>
  </si>
  <si>
    <t>US Treas</t>
  </si>
  <si>
    <t>US L-Treas</t>
  </si>
  <si>
    <t>US Credit</t>
  </si>
  <si>
    <t>US L-Cred</t>
  </si>
  <si>
    <t>Can GOC</t>
  </si>
  <si>
    <t>Can L-GOC</t>
  </si>
  <si>
    <t>Can Credit</t>
  </si>
  <si>
    <t>Can L-Cred</t>
  </si>
  <si>
    <t>Jpn Bond</t>
  </si>
  <si>
    <t>US LC Equ</t>
  </si>
  <si>
    <t>US S/M Equ</t>
  </si>
  <si>
    <t>Can Equ</t>
  </si>
  <si>
    <t>Jpn Equ</t>
  </si>
  <si>
    <t>EMU Equ</t>
  </si>
  <si>
    <t>UK Equ</t>
  </si>
  <si>
    <t>Swiss Equ</t>
  </si>
  <si>
    <t>Austr Equ</t>
  </si>
  <si>
    <t>EmgAsia Equ</t>
  </si>
  <si>
    <t>EmgWorld Equ</t>
  </si>
  <si>
    <t>US RE</t>
  </si>
  <si>
    <t>Can RE</t>
  </si>
  <si>
    <t>Priv Equ</t>
  </si>
  <si>
    <t>Oil/Gas</t>
  </si>
  <si>
    <t>Timber</t>
  </si>
  <si>
    <t>Farms</t>
  </si>
  <si>
    <t>Min</t>
  </si>
  <si>
    <t>Max</t>
  </si>
  <si>
    <t>ALDA</t>
  </si>
  <si>
    <t>Float Debt</t>
  </si>
  <si>
    <t>US Int. Debt</t>
  </si>
  <si>
    <t>US Long Debt</t>
  </si>
  <si>
    <t>CAN Int. Debt</t>
  </si>
  <si>
    <t>CAN Long Debt</t>
  </si>
  <si>
    <t>US Long Liab</t>
  </si>
  <si>
    <t>CAN Long Liab</t>
  </si>
  <si>
    <t>JPN Long Liab</t>
  </si>
  <si>
    <t>US Bond Off B/S</t>
  </si>
  <si>
    <t>CAD Bond Off B/S</t>
  </si>
  <si>
    <t>Jpn Bond Off B/S</t>
  </si>
  <si>
    <t>USLC Eq Off B/S</t>
  </si>
  <si>
    <t>USSM Eq Off B/S</t>
  </si>
  <si>
    <t>CAD Eq Off B/S</t>
  </si>
  <si>
    <t>Jpn Eq Off B/S</t>
  </si>
  <si>
    <t>Eur Eq Off B/S</t>
  </si>
  <si>
    <t>UK Eq Off B/S</t>
  </si>
  <si>
    <t>Swi Eq Off B/S</t>
  </si>
  <si>
    <t>Aus Eq Off B/S</t>
  </si>
  <si>
    <t>DevAz Eq Off B/S</t>
  </si>
  <si>
    <t>EMAz Eq Off B/S</t>
  </si>
  <si>
    <t>EMLA Eq Off B/S</t>
  </si>
  <si>
    <t>Credit Exposure</t>
  </si>
  <si>
    <t>Multiple</t>
  </si>
  <si>
    <t>Asset Vol</t>
  </si>
  <si>
    <t>AL Vol</t>
  </si>
  <si>
    <t>MSCI Wt</t>
  </si>
  <si>
    <t>na</t>
  </si>
  <si>
    <t>Optimization</t>
  </si>
  <si>
    <t>Vol</t>
  </si>
  <si>
    <t>A/L</t>
  </si>
  <si>
    <t>Matlab Efficient Frontier Processing</t>
  </si>
  <si>
    <t>_num_assets</t>
  </si>
  <si>
    <t>_num_AL</t>
  </si>
  <si>
    <t>Arith TR</t>
  </si>
  <si>
    <t>Geo TR</t>
  </si>
  <si>
    <t>Historical Annualized Data</t>
  </si>
  <si>
    <t>Col #</t>
  </si>
  <si>
    <t>Long Term Expectations</t>
  </si>
  <si>
    <t>TR</t>
  </si>
  <si>
    <t>Volatility</t>
  </si>
  <si>
    <t>Max Wt</t>
  </si>
  <si>
    <t>Historical Correlations</t>
  </si>
  <si>
    <t>Covariances</t>
  </si>
  <si>
    <t>US Collat.</t>
  </si>
  <si>
    <t>US Pub</t>
  </si>
  <si>
    <t>Can Pub</t>
  </si>
  <si>
    <t>Jpn Pub</t>
  </si>
  <si>
    <t>Pub Equ</t>
  </si>
  <si>
    <t>Current Wt</t>
  </si>
  <si>
    <t>Public Equity Concentrations</t>
  </si>
  <si>
    <t>Asset TR</t>
  </si>
  <si>
    <t>AL TR</t>
  </si>
  <si>
    <t>model_TR_start</t>
  </si>
  <si>
    <t>model_correl_start</t>
  </si>
  <si>
    <t>model_covar_start</t>
  </si>
  <si>
    <t>Calc Wt</t>
  </si>
  <si>
    <t>Test</t>
  </si>
  <si>
    <t>asset_min_start</t>
  </si>
  <si>
    <t>asset_max_start</t>
  </si>
  <si>
    <t>model_Vol_start</t>
  </si>
  <si>
    <t>Model Return &amp; Vol</t>
  </si>
  <si>
    <t>Includes ranges:  model_covar_AL;  model_covar_assets;  model_covar_liab;  model_covar_LAsubset</t>
  </si>
  <si>
    <t>Act Wt</t>
  </si>
  <si>
    <t>Contraint</t>
  </si>
  <si>
    <t>Must be &gt;= Zero</t>
  </si>
  <si>
    <t>if   a &lt;= x% (a + b + c + d)</t>
  </si>
  <si>
    <t xml:space="preserve">     x% (a + b + c + d) &gt;= a</t>
  </si>
  <si>
    <t xml:space="preserve">     x% (a + b + c + d) - a &gt;= 0</t>
  </si>
  <si>
    <t xml:space="preserve">     x% a - a + x% ( b + c + d) &gt;= 0</t>
  </si>
  <si>
    <t xml:space="preserve">     (1 - x%) a + x % (b + c + d) &gt;= 0</t>
  </si>
  <si>
    <t>Matlab Code</t>
  </si>
  <si>
    <t>group_combination_count =&gt;</t>
  </si>
  <si>
    <t>Desired Asset Group Multiples</t>
  </si>
  <si>
    <t>Returns Used</t>
  </si>
  <si>
    <t>Group Combinations</t>
  </si>
  <si>
    <t>Array A</t>
  </si>
  <si>
    <t>Group Relative Concentrations</t>
  </si>
  <si>
    <t>relative_combination_count =&gt;</t>
  </si>
  <si>
    <t>relative_comboA_start</t>
  </si>
  <si>
    <t>model_relative_min_start &gt;</t>
  </si>
  <si>
    <t>model_relative_max_start &gt;</t>
  </si>
  <si>
    <t>AL_Classes</t>
  </si>
  <si>
    <t>AL_list_start</t>
  </si>
  <si>
    <t>model_output_ef_risk &gt;</t>
  </si>
  <si>
    <t>model_output_ef_return &gt;</t>
  </si>
  <si>
    <t>model_output_ef_weights &gt;</t>
  </si>
  <si>
    <t>model_output_sr</t>
  </si>
  <si>
    <t>calc_weights_start</t>
  </si>
  <si>
    <t>Target</t>
  </si>
  <si>
    <t>Actual</t>
  </si>
  <si>
    <t>Group#</t>
  </si>
  <si>
    <t>Group #</t>
  </si>
  <si>
    <t>Min Error?</t>
  </si>
  <si>
    <t>Max Error</t>
  </si>
  <si>
    <t>Relative</t>
  </si>
  <si>
    <t>Array B (Unnecessary?)</t>
  </si>
  <si>
    <t>Max Sharpe</t>
  </si>
  <si>
    <t>ISSUES.</t>
  </si>
  <si>
    <t xml:space="preserve">  SOLVING FOR SLIGHTLY NEGATIVE WEIGHTS (e-8) - Can we round to 4 decimal places and normalize assets?</t>
  </si>
  <si>
    <t xml:space="preserve">  STILL seems to only 1-0 integers for group and group comparison, rather than a weight.</t>
  </si>
  <si>
    <t>Asset Return</t>
  </si>
  <si>
    <t>Asset Weighs</t>
  </si>
  <si>
    <t>AL Weighs</t>
  </si>
  <si>
    <t>AL Return</t>
  </si>
  <si>
    <t>Check Vol</t>
  </si>
  <si>
    <t>Check Return</t>
  </si>
  <si>
    <t>My Calc</t>
  </si>
  <si>
    <t>Matlab Calc</t>
  </si>
  <si>
    <t xml:space="preserve">  Calculating sharpe ratio is similar to running the efficient frontier, except that it requires a risk free rate.</t>
  </si>
  <si>
    <t xml:space="preserve">     If we set risk free rate as non-zero, the AL return increased by the amount of liabilities (negative weights) * that risk free rate, for both sharpe and the efficient frontier.</t>
  </si>
  <si>
    <t xml:space="preserve">     So need to keep risk free rate at zero for running efficient frontier, but can't really set it for running max sharpe ratio, because it changes the expected return.</t>
  </si>
  <si>
    <t xml:space="preserve">      The asset-liability return is simply the product of the assets and liabiilty weights * the assets and liabilitiy returns.</t>
  </si>
  <si>
    <t>_num_liab</t>
  </si>
  <si>
    <t>Current</t>
  </si>
  <si>
    <t>Asset Min &amp; Max curr_wts</t>
  </si>
  <si>
    <t>curr_wts_start</t>
  </si>
  <si>
    <t>DevAsia Equ</t>
  </si>
  <si>
    <t>Risk</t>
  </si>
  <si>
    <t>Return</t>
  </si>
  <si>
    <t>O&amp;G</t>
  </si>
  <si>
    <t>US Bond</t>
  </si>
  <si>
    <t>CAN Bond</t>
  </si>
  <si>
    <t>US Equ</t>
  </si>
  <si>
    <t>CAN Equ</t>
  </si>
  <si>
    <t>EUR Equ</t>
  </si>
  <si>
    <t>Oth Equ</t>
  </si>
  <si>
    <t>JPN Equ</t>
  </si>
  <si>
    <t>CAN RE</t>
  </si>
  <si>
    <t>Fixed Inc</t>
  </si>
  <si>
    <t>Scenario</t>
  </si>
  <si>
    <t xml:space="preserve">MVO Resampling Scenarios  </t>
  </si>
  <si>
    <t xml:space="preserve">CVAR Scenarios  </t>
  </si>
  <si>
    <t>MVO - Resampled</t>
  </si>
  <si>
    <t>----------------------------------------------------------------------------------------------------</t>
  </si>
  <si>
    <t>MATLAB Version: 8.6.0.267246 (R2015b)</t>
  </si>
  <si>
    <t>MATLAB License Number: 467657</t>
  </si>
  <si>
    <t>Operating System: Microsoft Windows 7 Enterprise  Version 6.1 (Build 7601: Service Pack 1)</t>
  </si>
  <si>
    <t>Java Version: Java 1.7.0_60-b19 with Oracle Corporation Java HotSpot(TM) 64-Bit Server VM mixed mode</t>
  </si>
  <si>
    <t>MATLAB                                                Version 8.6         (R2015b)</t>
  </si>
  <si>
    <t>Financial Instruments Toolbox                         Version 2.2         (R2015b)</t>
  </si>
  <si>
    <t>Financial Toolbox                                     Version 5.6         (R2015b)</t>
  </si>
  <si>
    <t>Optimization Toolbox                                  Version 7.3         (R2015b)</t>
  </si>
  <si>
    <t>Spreadsheet Link EX                                   Version 3.2.4       (R2015b)</t>
  </si>
  <si>
    <t>Statistics and Machine Learning Toolbox               Version 10.1        (R2015b)</t>
  </si>
  <si>
    <t xml:space="preserve">&gt;&gt; </t>
  </si>
  <si>
    <t>MVNormal</t>
  </si>
  <si>
    <t xml:space="preserve">Frontier Points  </t>
  </si>
  <si>
    <t>Curent Directory</t>
  </si>
  <si>
    <t>MVO Resample Type</t>
  </si>
  <si>
    <t>Curent File</t>
  </si>
  <si>
    <t>Date</t>
  </si>
  <si>
    <t xml:space="preserve">    # Obs</t>
  </si>
  <si>
    <t>Run Name</t>
  </si>
  <si>
    <t>Run Date Time</t>
  </si>
  <si>
    <t>Portfolio</t>
  </si>
  <si>
    <t>Portfolio Risk</t>
  </si>
  <si>
    <t>Portfolio Return</t>
  </si>
  <si>
    <t>Bootstrap Weighting</t>
  </si>
  <si>
    <t>CVAR Tail</t>
  </si>
  <si>
    <t>Historical Start</t>
  </si>
  <si>
    <t>Historical End</t>
  </si>
  <si>
    <t>mins</t>
  </si>
  <si>
    <t>Elapsed time</t>
  </si>
  <si>
    <t>Data Source Filepath</t>
  </si>
  <si>
    <t>Random Seed</t>
  </si>
  <si>
    <t>Separation of static and historical data from this run book</t>
  </si>
  <si>
    <t>user first set static and historical data in DataSource</t>
  </si>
  <si>
    <t>user then update historical data in this run book that copy/paste from dataSource</t>
  </si>
  <si>
    <t>after selecting control variables, user runs MatLab and saves the input/output to a named tab</t>
  </si>
  <si>
    <t>after running a few cases, user goes to Graphs tab to view charts</t>
  </si>
  <si>
    <t xml:space="preserve">    the only knowledge from this run book about the data source book is the file name</t>
  </si>
  <si>
    <t>EF input/output is stored in a unique tab with a name (user can overwrite)</t>
  </si>
  <si>
    <t>its layout are pre specified with dimensions stored in tab MATLAB_Data, values and formats are copied to the destination tab</t>
  </si>
  <si>
    <t>pre-defined, named charts are collected in tab Graphs, with a control block at the top</t>
  </si>
  <si>
    <t>Data Series</t>
  </si>
  <si>
    <t>Data Scale: min/max</t>
  </si>
  <si>
    <t>Returns</t>
  </si>
  <si>
    <t>Risks</t>
  </si>
  <si>
    <t>MLF_INV</t>
  </si>
  <si>
    <t>number of runs</t>
  </si>
  <si>
    <t>Risk Target</t>
  </si>
  <si>
    <t>Lower bound</t>
  </si>
  <si>
    <t>Upper bound</t>
  </si>
  <si>
    <t>Percentile</t>
  </si>
  <si>
    <t>Public Equ</t>
  </si>
  <si>
    <t>Resample Type</t>
  </si>
  <si>
    <t xml:space="preserve">#Resample Scenarios  </t>
  </si>
  <si>
    <t xml:space="preserve">#CVAR Scenarios  </t>
  </si>
  <si>
    <t>Random seed</t>
  </si>
  <si>
    <t>Number of EF portfolios</t>
  </si>
  <si>
    <t>Data Layout</t>
  </si>
  <si>
    <t>TR_offset</t>
  </si>
  <si>
    <t>Vol_offset</t>
  </si>
  <si>
    <t>Grp_offset</t>
  </si>
  <si>
    <t>EF_offset</t>
  </si>
  <si>
    <t>Cov_offset</t>
  </si>
  <si>
    <t>#groups</t>
  </si>
  <si>
    <t>dest</t>
  </si>
  <si>
    <t>source</t>
  </si>
  <si>
    <t>Min_offset</t>
  </si>
  <si>
    <t>Max_offset</t>
  </si>
  <si>
    <t>Curr_offset</t>
  </si>
  <si>
    <t>group_min &gt;</t>
  </si>
  <si>
    <t>group_max &gt;</t>
  </si>
  <si>
    <t>L</t>
  </si>
  <si>
    <t>A</t>
  </si>
  <si>
    <t>Names</t>
  </si>
  <si>
    <t>IDs</t>
  </si>
  <si>
    <t>Historical_Data_Names</t>
  </si>
  <si>
    <t># Columns</t>
  </si>
  <si>
    <t>NumLiability</t>
  </si>
  <si>
    <t># Rows</t>
  </si>
  <si>
    <t>NumAssets</t>
  </si>
  <si>
    <t xml:space="preserve">CVAR Tail  </t>
  </si>
  <si>
    <t>grp_curr_wts &gt;</t>
  </si>
  <si>
    <t>Aggregation Matrix (Group by clause)</t>
  </si>
  <si>
    <t>Check</t>
  </si>
  <si>
    <t>#assets</t>
  </si>
  <si>
    <t>#AL_Total</t>
  </si>
  <si>
    <t>Scenario#</t>
  </si>
  <si>
    <t>Optimization outputs below</t>
  </si>
  <si>
    <t>MATLAB OUTPUT (Legacy: obsolete)</t>
  </si>
  <si>
    <t>user enters or chooses from a form 2 Batlab Data Sheets in the control block and then click Regenerate Graph</t>
  </si>
  <si>
    <t>The graphs can be modified by the user with data (optimization outputs) populated to the right of the graphs</t>
  </si>
  <si>
    <t>the assets (EF) can be aggregated into serieses to be displayed, and the aggregation is defined in the aggregation matrix</t>
  </si>
  <si>
    <t>Calculations: the main control tab</t>
  </si>
  <si>
    <t>HistoricalData: the historical returns for the selected assets/liabilities</t>
  </si>
  <si>
    <t>MATLAB_Data: the input/output data template used for storing the Matlab related data per run</t>
  </si>
  <si>
    <t>Graphs: predefined graphs with optimization output refreshed dynamically</t>
  </si>
  <si>
    <t>Output Design</t>
  </si>
  <si>
    <t>Workbook Design and Work Flow</t>
  </si>
  <si>
    <t>The Four Main Tabs (that are relatively independent, decoupled)</t>
  </si>
  <si>
    <t>The output data sheets (named with time stamp) can be deleted and reproduced on demand</t>
  </si>
  <si>
    <t>RelativeA_offset</t>
  </si>
  <si>
    <t>#relative</t>
  </si>
  <si>
    <t>RelativeB_offset</t>
  </si>
  <si>
    <t>base_TR</t>
  </si>
  <si>
    <t>base_Vol</t>
  </si>
  <si>
    <t>AL_mins</t>
  </si>
  <si>
    <t>AL_maxs</t>
  </si>
  <si>
    <t>curr_wts</t>
  </si>
  <si>
    <t>group_combinations</t>
  </si>
  <si>
    <t>relative_comboA</t>
  </si>
  <si>
    <t>relative_comboB</t>
  </si>
  <si>
    <t>base_covar</t>
  </si>
  <si>
    <t>RelGrp1</t>
  </si>
  <si>
    <t>RelGrp2</t>
  </si>
  <si>
    <t>RelGrp3</t>
  </si>
  <si>
    <t>RelGrp4</t>
  </si>
  <si>
    <t>RelGrp5</t>
  </si>
  <si>
    <t>RelGrp6</t>
  </si>
  <si>
    <t>RelGrp7</t>
  </si>
  <si>
    <t>RelGrp8</t>
  </si>
  <si>
    <t>RelGrp9</t>
  </si>
  <si>
    <t>RelGrp10</t>
  </si>
  <si>
    <t>RelGrp11</t>
  </si>
  <si>
    <t>&lt;=</t>
  </si>
  <si>
    <t>AL_list</t>
  </si>
  <si>
    <t>Efficient Frontiers</t>
  </si>
  <si>
    <t>(this whole section can be deleted)</t>
  </si>
  <si>
    <t>#A</t>
  </si>
  <si>
    <t>#AL</t>
  </si>
  <si>
    <t>#EF</t>
  </si>
  <si>
    <t>@EF</t>
  </si>
  <si>
    <t>@COV</t>
  </si>
  <si>
    <t>@GRP</t>
  </si>
  <si>
    <t>@AL</t>
  </si>
  <si>
    <t>Row1</t>
  </si>
  <si>
    <t>MLF_INV_E</t>
  </si>
  <si>
    <t>Expected</t>
  </si>
  <si>
    <t>MLF_INV_E(Oct-19-12.18.23)</t>
  </si>
  <si>
    <t>MLF_INV(Oct-19-12.17.44)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</si>
</sst>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0.0%;[Red]\-0.0%;."/>
    <numFmt numFmtId="165" formatCode="0.0%"/>
    <numFmt numFmtId="166" formatCode="0.0000"/>
    <numFmt numFmtId="167" formatCode="0.000000%"/>
    <numFmt numFmtId="168" formatCode="0.000"/>
    <numFmt numFmtId="169" formatCode="mmm\-yyyy"/>
    <numFmt numFmtId="170" formatCode="0.0%;[Red]\-0.0%"/>
    <numFmt numFmtId="171" formatCode="0.0000000000000000%"/>
    <numFmt numFmtId="172" formatCode="0.000000%;[Red]\-0.000000%"/>
    <numFmt numFmtId="173" formatCode="0.00%;[Red]\-0.00%"/>
    <numFmt numFmtId="174" formatCode="0%;[Red]\-0%"/>
    <numFmt numFmtId="175" formatCode="0;[Red]\-0;."/>
    <numFmt numFmtId="176" formatCode="0;\-0;."/>
    <numFmt numFmtId="177" formatCode="\+0.0%;[Red]\-0.0%;."/>
    <numFmt numFmtId="178" formatCode="0.0"/>
    <numFmt numFmtId="179" formatCode="0%;[Red]\-0%;."/>
    <numFmt numFmtId="180" formatCode="mmm\-dd"/>
    <numFmt numFmtId="181" formatCode="mm\-dd\-yy"/>
    <numFmt numFmtId="182" formatCode="0.0000000"/>
    <numFmt numFmtId="183" formatCode="0.00%;[Red]\-0.00%;."/>
    <numFmt numFmtId="184" formatCode="0.0000%"/>
    <numFmt numFmtId="185" formatCode="0.00000000"/>
  </numFmts>
  <fonts count="6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b/>
      <sz val="8"/>
      <color rgb="FF0000CC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sz val="9"/>
      <color rgb="FF0000CC"/>
      <name val="Arial"/>
      <family val="2"/>
    </font>
    <font>
      <i/>
      <sz val="9"/>
      <color theme="0" tint="-0.34998626667073579"/>
      <name val="Arial"/>
      <family val="2"/>
    </font>
    <font>
      <b/>
      <sz val="8"/>
      <color theme="1"/>
      <name val="Arial"/>
      <family val="2"/>
    </font>
    <font>
      <i/>
      <sz val="9"/>
      <color theme="1"/>
      <name val="Arial"/>
      <family val="2"/>
    </font>
    <font>
      <sz val="9"/>
      <color theme="6" tint="-0.249977111117893"/>
      <name val="Arial"/>
      <family val="2"/>
    </font>
    <font>
      <sz val="9"/>
      <color rgb="FF003399"/>
      <name val="Arial"/>
      <family val="2"/>
    </font>
    <font>
      <b/>
      <u/>
      <sz val="9"/>
      <color theme="1"/>
      <name val="Arial"/>
      <family val="2"/>
    </font>
    <font>
      <sz val="8"/>
      <color theme="7" tint="-0.249977111117893"/>
      <name val="Arial"/>
      <family val="2"/>
    </font>
    <font>
      <sz val="9"/>
      <color theme="7" tint="-0.249977111117893"/>
      <name val="Arial"/>
      <family val="2"/>
    </font>
    <font>
      <b/>
      <sz val="9"/>
      <color rgb="FF003399"/>
      <name val="Arial"/>
      <family val="2"/>
    </font>
    <font>
      <sz val="8"/>
      <color rgb="FF003399"/>
      <name val="Arial"/>
      <family val="2"/>
    </font>
    <font>
      <b/>
      <sz val="9"/>
      <color rgb="FF008000"/>
      <name val="Arial"/>
      <family val="2"/>
    </font>
    <font>
      <b/>
      <sz val="8"/>
      <color indexed="10"/>
      <name val="Tahoma"/>
      <family val="2"/>
    </font>
    <font>
      <u/>
      <sz val="9"/>
      <color theme="1"/>
      <name val="Arial"/>
      <family val="2"/>
    </font>
    <font>
      <sz val="9"/>
      <color theme="0" tint="-0.24994659260841701"/>
      <name val="Arial"/>
      <family val="2"/>
    </font>
    <font>
      <b/>
      <sz val="9"/>
      <name val="Arial"/>
      <family val="2"/>
    </font>
    <font>
      <i/>
      <sz val="8"/>
      <color theme="0" tint="-0.34998626667073579"/>
      <name val="Arial"/>
      <family val="2"/>
    </font>
    <font>
      <sz val="9"/>
      <color theme="3" tint="-0.249977111117893"/>
      <name val="Arial"/>
      <family val="2"/>
    </font>
    <font>
      <i/>
      <sz val="9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i/>
      <sz val="8"/>
      <color theme="1"/>
      <name val="Arial"/>
      <family val="2"/>
    </font>
    <font>
      <sz val="9"/>
      <color theme="3"/>
      <name val="Arial"/>
      <family val="2"/>
    </font>
    <font>
      <b/>
      <sz val="8"/>
      <color rgb="FFFF0000"/>
      <name val="Arial"/>
      <family val="2"/>
    </font>
    <font>
      <sz val="10"/>
      <color rgb="FF000080"/>
      <name val="Arial"/>
      <family val="2"/>
    </font>
    <font>
      <b/>
      <u/>
      <sz val="10"/>
      <color theme="1"/>
      <name val="Arial"/>
      <family val="2"/>
    </font>
    <font>
      <b/>
      <sz val="9"/>
      <color rgb="FF0000CC"/>
      <name val="Arial"/>
      <family val="2"/>
    </font>
    <font>
      <sz val="9"/>
      <color rgb="FFFF0000"/>
      <name val="Arial"/>
      <family val="2"/>
    </font>
    <font>
      <sz val="8"/>
      <color rgb="FF0000CC"/>
      <name val="Arial"/>
      <family val="2"/>
    </font>
    <font>
      <sz val="6"/>
      <color theme="1"/>
      <name val="Arial"/>
      <family val="2"/>
    </font>
    <font>
      <b/>
      <sz val="12"/>
      <color rgb="FF000000"/>
      <name val="Arial"/>
      <family val="2"/>
    </font>
    <font>
      <sz val="9"/>
      <color theme="1" tint="0.49998474074526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0"/>
      <color theme="4"/>
      <name val="Arial"/>
      <family val="2"/>
    </font>
    <font>
      <b/>
      <sz val="9"/>
      <color rgb="FF0070C0"/>
      <name val="Arial"/>
      <family val="2"/>
    </font>
    <font>
      <sz val="9"/>
      <color theme="1" tint="0.34998626667073579"/>
      <name val="Arial"/>
      <family val="2"/>
    </font>
    <font>
      <sz val="9"/>
      <color theme="2" tint="-0.249977111117893"/>
      <name val="Arial"/>
      <family val="2"/>
    </font>
    <font>
      <sz val="9"/>
      <color theme="2" tint="-0.499984740745262"/>
      <name val="Arial"/>
      <family val="2"/>
    </font>
    <font>
      <sz val="9"/>
      <color theme="2"/>
      <name val="Arial"/>
      <family val="2"/>
    </font>
    <font>
      <b/>
      <i/>
      <sz val="9"/>
      <color theme="1"/>
      <name val="Arial"/>
      <family val="2"/>
    </font>
    <font>
      <b/>
      <sz val="9"/>
      <color theme="2" tint="-0.499984740745262"/>
      <name val="Arial"/>
      <family val="2"/>
    </font>
    <font>
      <b/>
      <sz val="11"/>
      <color theme="2" tint="-0.499984740745262"/>
      <name val="Arial"/>
      <family val="2"/>
    </font>
    <font>
      <b/>
      <sz val="8"/>
      <color theme="2" tint="-9.9978637043366805E-2"/>
      <name val="Arial"/>
      <family val="2"/>
    </font>
    <font>
      <sz val="8"/>
      <color theme="2" tint="-0.249977111117893"/>
      <name val="Arial"/>
      <family val="2"/>
    </font>
    <font>
      <sz val="10"/>
      <color theme="2" tint="-0.249977111117893"/>
      <name val="Arial"/>
      <family val="2"/>
    </font>
    <font>
      <sz val="10"/>
      <color rgb="FF003399"/>
      <name val="Arial"/>
      <family val="2"/>
    </font>
    <font>
      <b/>
      <sz val="11"/>
      <color theme="3"/>
      <name val="Arial"/>
      <family val="2"/>
    </font>
    <font>
      <b/>
      <sz val="9"/>
      <color theme="3"/>
      <name val="Arial"/>
      <family val="2"/>
    </font>
    <font>
      <b/>
      <sz val="9"/>
      <color theme="1" tint="0.499984740745262"/>
      <name val="Arial"/>
      <family val="2"/>
    </font>
    <font>
      <b/>
      <sz val="18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EFE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ck">
        <color rgb="FF008000"/>
      </left>
      <right style="thick">
        <color rgb="FF008000"/>
      </right>
      <top style="thick">
        <color rgb="FF008000"/>
      </top>
      <bottom/>
      <diagonal/>
    </border>
    <border>
      <left style="thick">
        <color rgb="FF008000"/>
      </left>
      <right style="thick">
        <color rgb="FF008000"/>
      </right>
      <top/>
      <bottom/>
      <diagonal/>
    </border>
    <border>
      <left style="thick">
        <color rgb="FF008000"/>
      </left>
      <right style="thick">
        <color rgb="FF008000"/>
      </right>
      <top/>
      <bottom style="thick">
        <color rgb="FF008000"/>
      </bottom>
      <diagonal/>
    </border>
    <border>
      <left/>
      <right/>
      <top/>
      <bottom style="dotted">
        <color auto="1"/>
      </bottom>
      <diagonal/>
    </border>
    <border>
      <left style="dotted">
        <color theme="3" tint="-0.24994659260841701"/>
      </left>
      <right style="dotted">
        <color theme="3" tint="-0.24994659260841701"/>
      </right>
      <top style="dotted">
        <color theme="3" tint="-0.24994659260841701"/>
      </top>
      <bottom style="dotted">
        <color theme="3" tint="-0.24994659260841701"/>
      </bottom>
      <diagonal/>
    </border>
    <border>
      <left style="dotted">
        <color theme="3" tint="-0.24994659260841701"/>
      </left>
      <right/>
      <top style="dotted">
        <color theme="3" tint="-0.24994659260841701"/>
      </top>
      <bottom style="dotted">
        <color theme="3" tint="-0.24994659260841701"/>
      </bottom>
      <diagonal/>
    </border>
    <border>
      <left/>
      <right/>
      <top style="dotted">
        <color theme="3" tint="-0.24994659260841701"/>
      </top>
      <bottom style="dotted">
        <color theme="3" tint="-0.24994659260841701"/>
      </bottom>
      <diagonal/>
    </border>
    <border>
      <left/>
      <right style="dotted">
        <color theme="3" tint="-0.24994659260841701"/>
      </right>
      <top style="dotted">
        <color theme="3" tint="-0.24994659260841701"/>
      </top>
      <bottom style="dotted">
        <color theme="3" tint="-0.24994659260841701"/>
      </bottom>
      <diagonal/>
    </border>
    <border>
      <left style="dotted">
        <color theme="3" tint="-0.24994659260841701"/>
      </left>
      <right style="dotted">
        <color theme="3" tint="-0.24994659260841701"/>
      </right>
      <top style="dotted">
        <color theme="3" tint="-0.24994659260841701"/>
      </top>
      <bottom/>
      <diagonal/>
    </border>
    <border>
      <left style="dotted">
        <color theme="3" tint="-0.24994659260841701"/>
      </left>
      <right style="dotted">
        <color theme="3" tint="-0.24994659260841701"/>
      </right>
      <top/>
      <bottom/>
      <diagonal/>
    </border>
    <border>
      <left style="dotted">
        <color theme="3" tint="-0.24994659260841701"/>
      </left>
      <right style="dotted">
        <color theme="3" tint="-0.24994659260841701"/>
      </right>
      <top/>
      <bottom style="dotted">
        <color theme="3" tint="-0.24994659260841701"/>
      </bottom>
      <diagonal/>
    </border>
    <border>
      <left style="dotted">
        <color theme="3" tint="-0.24994659260841701"/>
      </left>
      <right/>
      <top style="dotted">
        <color theme="3" tint="-0.24994659260841701"/>
      </top>
      <bottom/>
      <diagonal/>
    </border>
    <border>
      <left/>
      <right/>
      <top style="dotted">
        <color theme="3" tint="-0.24994659260841701"/>
      </top>
      <bottom/>
      <diagonal/>
    </border>
    <border>
      <left/>
      <right style="dotted">
        <color theme="3" tint="-0.24994659260841701"/>
      </right>
      <top style="dotted">
        <color theme="3" tint="-0.24994659260841701"/>
      </top>
      <bottom/>
      <diagonal/>
    </border>
    <border>
      <left style="dotted">
        <color theme="3" tint="-0.24994659260841701"/>
      </left>
      <right/>
      <top/>
      <bottom/>
      <diagonal/>
    </border>
    <border>
      <left/>
      <right style="dotted">
        <color theme="3" tint="-0.24994659260841701"/>
      </right>
      <top/>
      <bottom/>
      <diagonal/>
    </border>
    <border>
      <left style="dotted">
        <color theme="3" tint="-0.24994659260841701"/>
      </left>
      <right/>
      <top/>
      <bottom style="dotted">
        <color theme="3" tint="-0.24994659260841701"/>
      </bottom>
      <diagonal/>
    </border>
    <border>
      <left/>
      <right/>
      <top/>
      <bottom style="dotted">
        <color theme="3" tint="-0.24994659260841701"/>
      </bottom>
      <diagonal/>
    </border>
    <border>
      <left/>
      <right style="dotted">
        <color theme="3" tint="-0.24994659260841701"/>
      </right>
      <top/>
      <bottom style="dotted">
        <color theme="3" tint="-0.24994659260841701"/>
      </bottom>
      <diagonal/>
    </border>
    <border>
      <left style="thin">
        <color indexed="64"/>
      </left>
      <right/>
      <top/>
      <bottom style="dotted">
        <color theme="3" tint="-0.24994659260841701"/>
      </bottom>
      <diagonal/>
    </border>
    <border>
      <left/>
      <right style="thin">
        <color indexed="64"/>
      </right>
      <top/>
      <bottom style="dotted">
        <color theme="3" tint="-0.2499465926084170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3" tint="-0.24994659260841701"/>
      </left>
      <right/>
      <top style="thin">
        <color theme="3" tint="-0.24994659260841701"/>
      </top>
      <bottom style="dotted">
        <color theme="3" tint="-0.24994659260841701"/>
      </bottom>
      <diagonal/>
    </border>
    <border>
      <left/>
      <right/>
      <top style="thin">
        <color theme="3" tint="-0.24994659260841701"/>
      </top>
      <bottom style="dotted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dotted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 style="dotted">
        <color theme="3" tint="-0.24994659260841701"/>
      </left>
      <right/>
      <top style="dotted">
        <color theme="3" tint="-0.24994659260841701"/>
      </top>
      <bottom style="thin">
        <color theme="3" tint="-0.24994659260841701"/>
      </bottom>
      <diagonal/>
    </border>
    <border>
      <left/>
      <right/>
      <top style="dotted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dotted">
        <color theme="3" tint="-0.24994659260841701"/>
      </top>
      <bottom style="thin">
        <color theme="3" tint="-0.24994659260841701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theme="3" tint="-0.24994659260841701"/>
      </right>
      <top style="thin">
        <color indexed="64"/>
      </top>
      <bottom/>
      <diagonal/>
    </border>
    <border>
      <left style="dotted">
        <color theme="3" tint="-0.24994659260841701"/>
      </left>
      <right/>
      <top style="thin">
        <color indexed="64"/>
      </top>
      <bottom/>
      <diagonal/>
    </border>
    <border>
      <left style="thin">
        <color indexed="64"/>
      </left>
      <right style="dotted">
        <color theme="3" tint="-0.24994659260841701"/>
      </right>
      <top/>
      <bottom/>
      <diagonal/>
    </border>
    <border>
      <left style="thin">
        <color indexed="64"/>
      </left>
      <right style="dotted">
        <color theme="3" tint="-0.24994659260841701"/>
      </right>
      <top/>
      <bottom style="thin">
        <color indexed="64"/>
      </bottom>
      <diagonal/>
    </border>
    <border>
      <left style="dotted">
        <color theme="3" tint="-0.24994659260841701"/>
      </left>
      <right/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10" fontId="3" fillId="2" borderId="0" xfId="1" applyNumberFormat="1" applyFont="1" applyFill="1" applyAlignment="1">
      <alignment horizontal="center"/>
    </xf>
    <xf numFmtId="0" fontId="6" fillId="2" borderId="0" xfId="0" applyFont="1" applyFill="1"/>
    <xf numFmtId="0" fontId="3" fillId="2" borderId="0" xfId="0" applyFont="1" applyFill="1" applyBorder="1"/>
    <xf numFmtId="0" fontId="8" fillId="2" borderId="0" xfId="0" applyFont="1" applyFill="1"/>
    <xf numFmtId="9" fontId="3" fillId="2" borderId="0" xfId="1" applyFont="1" applyFill="1" applyAlignment="1">
      <alignment horizontal="center"/>
    </xf>
    <xf numFmtId="169" fontId="4" fillId="3" borderId="17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1" xfId="0" applyFont="1" applyFill="1" applyBorder="1"/>
    <xf numFmtId="164" fontId="3" fillId="2" borderId="0" xfId="1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0" fontId="3" fillId="2" borderId="12" xfId="0" applyFont="1" applyFill="1" applyBorder="1" applyAlignment="1">
      <alignment horizontal="left"/>
    </xf>
    <xf numFmtId="0" fontId="3" fillId="2" borderId="12" xfId="0" applyFont="1" applyFill="1" applyBorder="1"/>
    <xf numFmtId="164" fontId="3" fillId="2" borderId="12" xfId="1" applyNumberFormat="1" applyFont="1" applyFill="1" applyBorder="1" applyAlignment="1">
      <alignment horizontal="center"/>
    </xf>
    <xf numFmtId="165" fontId="3" fillId="2" borderId="0" xfId="1" applyNumberFormat="1" applyFont="1" applyFill="1" applyAlignment="1">
      <alignment horizontal="center"/>
    </xf>
    <xf numFmtId="164" fontId="12" fillId="2" borderId="0" xfId="1" applyNumberFormat="1" applyFont="1" applyFill="1" applyAlignment="1">
      <alignment horizontal="center"/>
    </xf>
    <xf numFmtId="164" fontId="12" fillId="2" borderId="12" xfId="1" applyNumberFormat="1" applyFont="1" applyFill="1" applyBorder="1" applyAlignment="1">
      <alignment horizontal="center"/>
    </xf>
    <xf numFmtId="164" fontId="12" fillId="2" borderId="0" xfId="0" applyNumberFormat="1" applyFont="1" applyFill="1" applyAlignment="1">
      <alignment horizontal="center"/>
    </xf>
    <xf numFmtId="164" fontId="12" fillId="2" borderId="12" xfId="0" applyNumberFormat="1" applyFont="1" applyFill="1" applyBorder="1" applyAlignment="1">
      <alignment horizontal="center"/>
    </xf>
    <xf numFmtId="1" fontId="4" fillId="3" borderId="17" xfId="0" applyNumberFormat="1" applyFont="1" applyFill="1" applyBorder="1" applyAlignment="1">
      <alignment horizontal="center"/>
    </xf>
    <xf numFmtId="0" fontId="13" fillId="2" borderId="0" xfId="0" applyFont="1" applyFill="1"/>
    <xf numFmtId="0" fontId="11" fillId="2" borderId="12" xfId="0" applyFont="1" applyFill="1" applyBorder="1" applyAlignment="1">
      <alignment horizontal="center"/>
    </xf>
    <xf numFmtId="0" fontId="8" fillId="2" borderId="12" xfId="0" applyFont="1" applyFill="1" applyBorder="1"/>
    <xf numFmtId="166" fontId="3" fillId="2" borderId="0" xfId="0" applyNumberFormat="1" applyFont="1" applyFill="1"/>
    <xf numFmtId="9" fontId="14" fillId="6" borderId="2" xfId="1" applyFont="1" applyFill="1" applyBorder="1" applyAlignment="1">
      <alignment horizontal="center"/>
    </xf>
    <xf numFmtId="9" fontId="14" fillId="6" borderId="3" xfId="1" applyFont="1" applyFill="1" applyBorder="1" applyAlignment="1">
      <alignment horizontal="center"/>
    </xf>
    <xf numFmtId="9" fontId="14" fillId="6" borderId="4" xfId="1" applyFont="1" applyFill="1" applyBorder="1" applyAlignment="1">
      <alignment horizontal="center"/>
    </xf>
    <xf numFmtId="9" fontId="14" fillId="6" borderId="5" xfId="1" applyFont="1" applyFill="1" applyBorder="1" applyAlignment="1">
      <alignment horizontal="center"/>
    </xf>
    <xf numFmtId="9" fontId="14" fillId="6" borderId="0" xfId="1" applyFont="1" applyFill="1" applyBorder="1" applyAlignment="1">
      <alignment horizontal="center"/>
    </xf>
    <xf numFmtId="9" fontId="14" fillId="6" borderId="6" xfId="1" applyFont="1" applyFill="1" applyBorder="1" applyAlignment="1">
      <alignment horizontal="center"/>
    </xf>
    <xf numFmtId="9" fontId="14" fillId="6" borderId="10" xfId="1" applyFont="1" applyFill="1" applyBorder="1" applyAlignment="1">
      <alignment horizontal="center"/>
    </xf>
    <xf numFmtId="9" fontId="14" fillId="6" borderId="1" xfId="1" applyFont="1" applyFill="1" applyBorder="1" applyAlignment="1">
      <alignment horizontal="center"/>
    </xf>
    <xf numFmtId="9" fontId="14" fillId="6" borderId="11" xfId="1" applyFont="1" applyFill="1" applyBorder="1" applyAlignment="1">
      <alignment horizontal="center"/>
    </xf>
    <xf numFmtId="165" fontId="15" fillId="6" borderId="7" xfId="1" applyNumberFormat="1" applyFont="1" applyFill="1" applyBorder="1" applyAlignment="1">
      <alignment horizontal="center"/>
    </xf>
    <xf numFmtId="165" fontId="15" fillId="6" borderId="8" xfId="1" applyNumberFormat="1" applyFont="1" applyFill="1" applyBorder="1" applyAlignment="1">
      <alignment horizontal="center"/>
    </xf>
    <xf numFmtId="165" fontId="15" fillId="6" borderId="9" xfId="1" applyNumberFormat="1" applyFont="1" applyFill="1" applyBorder="1" applyAlignment="1">
      <alignment horizontal="center"/>
    </xf>
    <xf numFmtId="166" fontId="14" fillId="6" borderId="2" xfId="0" applyNumberFormat="1" applyFont="1" applyFill="1" applyBorder="1" applyAlignment="1">
      <alignment horizontal="center"/>
    </xf>
    <xf numFmtId="166" fontId="14" fillId="6" borderId="3" xfId="0" applyNumberFormat="1" applyFont="1" applyFill="1" applyBorder="1" applyAlignment="1">
      <alignment horizontal="center"/>
    </xf>
    <xf numFmtId="166" fontId="14" fillId="6" borderId="4" xfId="0" applyNumberFormat="1" applyFont="1" applyFill="1" applyBorder="1" applyAlignment="1">
      <alignment horizontal="center"/>
    </xf>
    <xf numFmtId="166" fontId="14" fillId="6" borderId="5" xfId="0" applyNumberFormat="1" applyFont="1" applyFill="1" applyBorder="1" applyAlignment="1">
      <alignment horizontal="center"/>
    </xf>
    <xf numFmtId="166" fontId="14" fillId="6" borderId="0" xfId="0" applyNumberFormat="1" applyFont="1" applyFill="1" applyBorder="1" applyAlignment="1">
      <alignment horizontal="center"/>
    </xf>
    <xf numFmtId="166" fontId="14" fillId="6" borderId="6" xfId="0" applyNumberFormat="1" applyFont="1" applyFill="1" applyBorder="1" applyAlignment="1">
      <alignment horizontal="center"/>
    </xf>
    <xf numFmtId="166" fontId="14" fillId="6" borderId="10" xfId="0" applyNumberFormat="1" applyFont="1" applyFill="1" applyBorder="1" applyAlignment="1">
      <alignment horizontal="center"/>
    </xf>
    <xf numFmtId="166" fontId="14" fillId="6" borderId="1" xfId="0" applyNumberFormat="1" applyFont="1" applyFill="1" applyBorder="1" applyAlignment="1">
      <alignment horizontal="center"/>
    </xf>
    <xf numFmtId="166" fontId="14" fillId="6" borderId="11" xfId="0" applyNumberFormat="1" applyFont="1" applyFill="1" applyBorder="1" applyAlignment="1">
      <alignment horizontal="center"/>
    </xf>
    <xf numFmtId="164" fontId="16" fillId="2" borderId="0" xfId="1" applyNumberFormat="1" applyFont="1" applyFill="1" applyAlignment="1">
      <alignment horizontal="center"/>
    </xf>
    <xf numFmtId="164" fontId="16" fillId="2" borderId="12" xfId="1" applyNumberFormat="1" applyFont="1" applyFill="1" applyBorder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Border="1" applyAlignment="1">
      <alignment horizontal="center"/>
    </xf>
    <xf numFmtId="164" fontId="16" fillId="2" borderId="0" xfId="1" applyNumberFormat="1" applyFont="1" applyFill="1" applyBorder="1" applyAlignment="1">
      <alignment horizontal="center"/>
    </xf>
    <xf numFmtId="0" fontId="6" fillId="2" borderId="0" xfId="0" applyFont="1" applyFill="1" applyAlignment="1">
      <alignment horizontal="left"/>
    </xf>
    <xf numFmtId="0" fontId="17" fillId="2" borderId="0" xfId="0" applyFont="1" applyFill="1" applyAlignment="1">
      <alignment horizontal="center"/>
    </xf>
    <xf numFmtId="0" fontId="17" fillId="2" borderId="12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164" fontId="3" fillId="2" borderId="0" xfId="1" applyNumberFormat="1" applyFont="1" applyFill="1" applyBorder="1" applyAlignment="1">
      <alignment horizontal="center"/>
    </xf>
    <xf numFmtId="164" fontId="12" fillId="2" borderId="0" xfId="1" applyNumberFormat="1" applyFon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9" fontId="2" fillId="2" borderId="8" xfId="1" applyFont="1" applyFill="1" applyBorder="1" applyAlignment="1">
      <alignment horizontal="center"/>
    </xf>
    <xf numFmtId="9" fontId="2" fillId="2" borderId="9" xfId="1" applyFont="1" applyFill="1" applyBorder="1" applyAlignment="1">
      <alignment horizontal="center"/>
    </xf>
    <xf numFmtId="9" fontId="6" fillId="2" borderId="0" xfId="1" applyFont="1" applyFill="1" applyBorder="1" applyAlignment="1">
      <alignment horizontal="center"/>
    </xf>
    <xf numFmtId="165" fontId="17" fillId="2" borderId="7" xfId="1" applyNumberFormat="1" applyFont="1" applyFill="1" applyBorder="1" applyAlignment="1">
      <alignment horizontal="center"/>
    </xf>
    <xf numFmtId="165" fontId="17" fillId="2" borderId="8" xfId="1" applyNumberFormat="1" applyFont="1" applyFill="1" applyBorder="1" applyAlignment="1">
      <alignment horizontal="center"/>
    </xf>
    <xf numFmtId="165" fontId="17" fillId="2" borderId="9" xfId="1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68" fontId="3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right"/>
    </xf>
    <xf numFmtId="10" fontId="3" fillId="2" borderId="0" xfId="1" quotePrefix="1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8" fillId="2" borderId="1" xfId="0" applyFont="1" applyFill="1" applyBorder="1"/>
    <xf numFmtId="0" fontId="8" fillId="2" borderId="1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1" fontId="14" fillId="6" borderId="13" xfId="1" applyNumberFormat="1" applyFont="1" applyFill="1" applyBorder="1" applyAlignment="1">
      <alignment horizontal="center"/>
    </xf>
    <xf numFmtId="1" fontId="14" fillId="6" borderId="15" xfId="1" applyNumberFormat="1" applyFont="1" applyFill="1" applyBorder="1" applyAlignment="1">
      <alignment horizontal="center"/>
    </xf>
    <xf numFmtId="1" fontId="14" fillId="6" borderId="14" xfId="1" applyNumberFormat="1" applyFont="1" applyFill="1" applyBorder="1" applyAlignment="1">
      <alignment horizontal="center"/>
    </xf>
    <xf numFmtId="0" fontId="18" fillId="2" borderId="0" xfId="0" applyFont="1" applyFill="1"/>
    <xf numFmtId="164" fontId="12" fillId="7" borderId="20" xfId="1" applyNumberFormat="1" applyFont="1" applyFill="1" applyBorder="1" applyAlignment="1">
      <alignment horizontal="center"/>
    </xf>
    <xf numFmtId="164" fontId="12" fillId="7" borderId="21" xfId="1" applyNumberFormat="1" applyFont="1" applyFill="1" applyBorder="1" applyAlignment="1">
      <alignment horizontal="center"/>
    </xf>
    <xf numFmtId="164" fontId="12" fillId="7" borderId="22" xfId="1" applyNumberFormat="1" applyFont="1" applyFill="1" applyBorder="1" applyAlignment="1">
      <alignment horizontal="center"/>
    </xf>
    <xf numFmtId="170" fontId="16" fillId="2" borderId="0" xfId="1" applyNumberFormat="1" applyFont="1" applyFill="1" applyAlignment="1">
      <alignment horizontal="center"/>
    </xf>
    <xf numFmtId="170" fontId="16" fillId="2" borderId="0" xfId="1" applyNumberFormat="1" applyFont="1" applyFill="1" applyBorder="1" applyAlignment="1">
      <alignment horizontal="center"/>
    </xf>
    <xf numFmtId="170" fontId="16" fillId="2" borderId="12" xfId="1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9" fillId="2" borderId="4" xfId="1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9" fontId="9" fillId="2" borderId="6" xfId="1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9" fillId="2" borderId="11" xfId="1" applyFont="1" applyFill="1" applyBorder="1" applyAlignment="1">
      <alignment horizontal="center"/>
    </xf>
    <xf numFmtId="9" fontId="2" fillId="2" borderId="7" xfId="1" applyFont="1" applyFill="1" applyBorder="1" applyAlignment="1">
      <alignment horizontal="center"/>
    </xf>
    <xf numFmtId="171" fontId="3" fillId="2" borderId="0" xfId="0" applyNumberFormat="1" applyFont="1" applyFill="1"/>
    <xf numFmtId="172" fontId="3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64" fontId="5" fillId="2" borderId="0" xfId="1" applyNumberFormat="1" applyFont="1" applyFill="1" applyAlignment="1">
      <alignment horizontal="center"/>
    </xf>
    <xf numFmtId="0" fontId="5" fillId="2" borderId="0" xfId="0" applyFont="1" applyFill="1"/>
    <xf numFmtId="167" fontId="3" fillId="2" borderId="0" xfId="1" applyNumberFormat="1" applyFont="1" applyFill="1"/>
    <xf numFmtId="167" fontId="3" fillId="2" borderId="0" xfId="0" applyNumberFormat="1" applyFont="1" applyFill="1"/>
    <xf numFmtId="173" fontId="3" fillId="2" borderId="0" xfId="0" applyNumberFormat="1" applyFont="1" applyFill="1" applyAlignment="1">
      <alignment horizontal="center"/>
    </xf>
    <xf numFmtId="0" fontId="10" fillId="2" borderId="0" xfId="0" applyFont="1" applyFill="1"/>
    <xf numFmtId="9" fontId="3" fillId="2" borderId="2" xfId="1" applyFont="1" applyFill="1" applyBorder="1" applyAlignment="1">
      <alignment horizontal="center"/>
    </xf>
    <xf numFmtId="9" fontId="3" fillId="2" borderId="3" xfId="1" applyFont="1" applyFill="1" applyBorder="1" applyAlignment="1">
      <alignment horizontal="center"/>
    </xf>
    <xf numFmtId="9" fontId="3" fillId="2" borderId="4" xfId="1" applyFont="1" applyFill="1" applyBorder="1" applyAlignment="1">
      <alignment horizontal="center"/>
    </xf>
    <xf numFmtId="9" fontId="3" fillId="2" borderId="10" xfId="1" applyFont="1" applyFill="1" applyBorder="1" applyAlignment="1">
      <alignment horizontal="center"/>
    </xf>
    <xf numFmtId="9" fontId="3" fillId="2" borderId="1" xfId="1" applyFont="1" applyFill="1" applyBorder="1" applyAlignment="1">
      <alignment horizontal="center"/>
    </xf>
    <xf numFmtId="9" fontId="3" fillId="2" borderId="11" xfId="1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3" fillId="2" borderId="0" xfId="0" applyFont="1" applyFill="1" applyAlignment="1"/>
    <xf numFmtId="174" fontId="16" fillId="5" borderId="0" xfId="1" applyNumberFormat="1" applyFont="1" applyFill="1" applyAlignment="1">
      <alignment horizontal="center"/>
    </xf>
    <xf numFmtId="174" fontId="16" fillId="5" borderId="12" xfId="1" applyNumberFormat="1" applyFont="1" applyFill="1" applyBorder="1" applyAlignment="1">
      <alignment horizontal="center"/>
    </xf>
    <xf numFmtId="0" fontId="10" fillId="2" borderId="0" xfId="0" quotePrefix="1" applyFont="1" applyFill="1"/>
    <xf numFmtId="165" fontId="21" fillId="2" borderId="0" xfId="0" applyNumberFormat="1" applyFont="1" applyFill="1" applyAlignment="1">
      <alignment horizontal="center"/>
    </xf>
    <xf numFmtId="165" fontId="21" fillId="2" borderId="0" xfId="0" applyNumberFormat="1" applyFont="1" applyFill="1" applyBorder="1" applyAlignment="1">
      <alignment horizontal="center"/>
    </xf>
    <xf numFmtId="165" fontId="21" fillId="2" borderId="12" xfId="0" applyNumberFormat="1" applyFont="1" applyFill="1" applyBorder="1" applyAlignment="1">
      <alignment horizontal="center"/>
    </xf>
    <xf numFmtId="175" fontId="3" fillId="2" borderId="0" xfId="0" applyNumberFormat="1" applyFont="1" applyFill="1" applyAlignment="1">
      <alignment horizontal="center"/>
    </xf>
    <xf numFmtId="175" fontId="3" fillId="2" borderId="12" xfId="0" applyNumberFormat="1" applyFont="1" applyFill="1" applyBorder="1" applyAlignment="1">
      <alignment horizontal="center"/>
    </xf>
    <xf numFmtId="175" fontId="3" fillId="2" borderId="23" xfId="0" applyNumberFormat="1" applyFont="1" applyFill="1" applyBorder="1" applyAlignment="1">
      <alignment horizontal="center"/>
    </xf>
    <xf numFmtId="175" fontId="3" fillId="2" borderId="1" xfId="0" applyNumberFormat="1" applyFont="1" applyFill="1" applyBorder="1" applyAlignment="1">
      <alignment horizontal="center"/>
    </xf>
    <xf numFmtId="9" fontId="3" fillId="2" borderId="10" xfId="1" applyFont="1" applyFill="1" applyBorder="1"/>
    <xf numFmtId="9" fontId="3" fillId="2" borderId="1" xfId="1" applyFont="1" applyFill="1" applyBorder="1"/>
    <xf numFmtId="9" fontId="3" fillId="2" borderId="11" xfId="1" applyFont="1" applyFill="1" applyBorder="1"/>
    <xf numFmtId="9" fontId="3" fillId="2" borderId="2" xfId="1" applyFont="1" applyFill="1" applyBorder="1"/>
    <xf numFmtId="9" fontId="3" fillId="2" borderId="3" xfId="1" applyFont="1" applyFill="1" applyBorder="1"/>
    <xf numFmtId="9" fontId="3" fillId="2" borderId="4" xfId="1" applyFont="1" applyFill="1" applyBorder="1"/>
    <xf numFmtId="0" fontId="8" fillId="2" borderId="1" xfId="0" applyFont="1" applyFill="1" applyBorder="1" applyAlignment="1">
      <alignment horizontal="left"/>
    </xf>
    <xf numFmtId="0" fontId="23" fillId="2" borderId="0" xfId="0" applyFont="1" applyFill="1"/>
    <xf numFmtId="0" fontId="23" fillId="2" borderId="0" xfId="0" applyFont="1" applyFill="1" applyAlignment="1">
      <alignment horizontal="right"/>
    </xf>
    <xf numFmtId="164" fontId="24" fillId="2" borderId="31" xfId="1" applyNumberFormat="1" applyFont="1" applyFill="1" applyBorder="1" applyAlignment="1">
      <alignment horizontal="center"/>
    </xf>
    <xf numFmtId="164" fontId="24" fillId="2" borderId="32" xfId="1" applyNumberFormat="1" applyFont="1" applyFill="1" applyBorder="1" applyAlignment="1">
      <alignment horizontal="center"/>
    </xf>
    <xf numFmtId="164" fontId="24" fillId="2" borderId="33" xfId="1" applyNumberFormat="1" applyFont="1" applyFill="1" applyBorder="1" applyAlignment="1">
      <alignment horizontal="center"/>
    </xf>
    <xf numFmtId="164" fontId="24" fillId="2" borderId="34" xfId="1" applyNumberFormat="1" applyFont="1" applyFill="1" applyBorder="1" applyAlignment="1">
      <alignment horizontal="center"/>
    </xf>
    <xf numFmtId="164" fontId="24" fillId="2" borderId="0" xfId="1" applyNumberFormat="1" applyFont="1" applyFill="1" applyBorder="1" applyAlignment="1">
      <alignment horizontal="center"/>
    </xf>
    <xf numFmtId="164" fontId="24" fillId="2" borderId="35" xfId="1" applyNumberFormat="1" applyFont="1" applyFill="1" applyBorder="1" applyAlignment="1">
      <alignment horizontal="center"/>
    </xf>
    <xf numFmtId="164" fontId="24" fillId="2" borderId="36" xfId="1" applyNumberFormat="1" applyFont="1" applyFill="1" applyBorder="1" applyAlignment="1">
      <alignment horizontal="center"/>
    </xf>
    <xf numFmtId="164" fontId="24" fillId="2" borderId="37" xfId="1" applyNumberFormat="1" applyFont="1" applyFill="1" applyBorder="1" applyAlignment="1">
      <alignment horizontal="center"/>
    </xf>
    <xf numFmtId="164" fontId="24" fillId="2" borderId="38" xfId="1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64" fontId="3" fillId="2" borderId="4" xfId="0" applyNumberFormat="1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164" fontId="3" fillId="2" borderId="10" xfId="0" applyNumberFormat="1" applyFont="1" applyFill="1" applyBorder="1" applyAlignment="1">
      <alignment horizontal="center"/>
    </xf>
    <xf numFmtId="164" fontId="3" fillId="2" borderId="11" xfId="0" applyNumberFormat="1" applyFont="1" applyFill="1" applyBorder="1" applyAlignment="1">
      <alignment horizontal="center"/>
    </xf>
    <xf numFmtId="176" fontId="3" fillId="2" borderId="0" xfId="0" applyNumberFormat="1" applyFont="1" applyFill="1" applyAlignment="1">
      <alignment horizontal="center"/>
    </xf>
    <xf numFmtId="176" fontId="3" fillId="2" borderId="2" xfId="0" applyNumberFormat="1" applyFont="1" applyFill="1" applyBorder="1" applyAlignment="1">
      <alignment horizontal="center"/>
    </xf>
    <xf numFmtId="176" fontId="3" fillId="2" borderId="4" xfId="0" applyNumberFormat="1" applyFont="1" applyFill="1" applyBorder="1" applyAlignment="1">
      <alignment horizontal="center"/>
    </xf>
    <xf numFmtId="176" fontId="3" fillId="2" borderId="5" xfId="0" applyNumberFormat="1" applyFont="1" applyFill="1" applyBorder="1" applyAlignment="1">
      <alignment horizontal="center"/>
    </xf>
    <xf numFmtId="176" fontId="3" fillId="2" borderId="6" xfId="0" applyNumberFormat="1" applyFont="1" applyFill="1" applyBorder="1" applyAlignment="1">
      <alignment horizontal="center"/>
    </xf>
    <xf numFmtId="176" fontId="3" fillId="2" borderId="10" xfId="0" applyNumberFormat="1" applyFont="1" applyFill="1" applyBorder="1" applyAlignment="1">
      <alignment horizontal="center"/>
    </xf>
    <xf numFmtId="176" fontId="3" fillId="2" borderId="11" xfId="0" applyNumberFormat="1" applyFont="1" applyFill="1" applyBorder="1" applyAlignment="1">
      <alignment horizontal="center"/>
    </xf>
    <xf numFmtId="176" fontId="6" fillId="2" borderId="13" xfId="0" applyNumberFormat="1" applyFont="1" applyFill="1" applyBorder="1" applyAlignment="1">
      <alignment horizontal="center"/>
    </xf>
    <xf numFmtId="176" fontId="6" fillId="2" borderId="14" xfId="0" applyNumberFormat="1" applyFont="1" applyFill="1" applyBorder="1" applyAlignment="1">
      <alignment horizontal="center"/>
    </xf>
    <xf numFmtId="0" fontId="3" fillId="2" borderId="37" xfId="0" applyFont="1" applyFill="1" applyBorder="1"/>
    <xf numFmtId="0" fontId="3" fillId="2" borderId="37" xfId="0" applyFont="1" applyFill="1" applyBorder="1" applyAlignment="1">
      <alignment horizontal="center"/>
    </xf>
    <xf numFmtId="164" fontId="3" fillId="2" borderId="39" xfId="0" applyNumberFormat="1" applyFont="1" applyFill="1" applyBorder="1" applyAlignment="1">
      <alignment horizontal="center"/>
    </xf>
    <xf numFmtId="164" fontId="3" fillId="2" borderId="40" xfId="0" applyNumberFormat="1" applyFont="1" applyFill="1" applyBorder="1" applyAlignment="1">
      <alignment horizontal="center"/>
    </xf>
    <xf numFmtId="176" fontId="3" fillId="2" borderId="39" xfId="0" applyNumberFormat="1" applyFont="1" applyFill="1" applyBorder="1" applyAlignment="1">
      <alignment horizontal="center"/>
    </xf>
    <xf numFmtId="176" fontId="3" fillId="2" borderId="40" xfId="0" applyNumberFormat="1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10" fontId="24" fillId="5" borderId="25" xfId="1" applyNumberFormat="1" applyFont="1" applyFill="1" applyBorder="1" applyAlignment="1">
      <alignment horizontal="center"/>
    </xf>
    <xf numFmtId="10" fontId="24" fillId="5" borderId="26" xfId="1" applyNumberFormat="1" applyFont="1" applyFill="1" applyBorder="1" applyAlignment="1">
      <alignment horizontal="center"/>
    </xf>
    <xf numFmtId="10" fontId="24" fillId="5" borderId="27" xfId="1" applyNumberFormat="1" applyFont="1" applyFill="1" applyBorder="1" applyAlignment="1">
      <alignment horizontal="center"/>
    </xf>
    <xf numFmtId="0" fontId="24" fillId="5" borderId="28" xfId="0" applyFont="1" applyFill="1" applyBorder="1" applyAlignment="1">
      <alignment horizontal="right"/>
    </xf>
    <xf numFmtId="0" fontId="24" fillId="5" borderId="29" xfId="0" applyFont="1" applyFill="1" applyBorder="1" applyAlignment="1">
      <alignment horizontal="right"/>
    </xf>
    <xf numFmtId="0" fontId="24" fillId="5" borderId="30" xfId="0" applyFont="1" applyFill="1" applyBorder="1" applyAlignment="1">
      <alignment horizontal="right"/>
    </xf>
    <xf numFmtId="164" fontId="24" fillId="5" borderId="31" xfId="1" applyNumberFormat="1" applyFont="1" applyFill="1" applyBorder="1" applyAlignment="1">
      <alignment horizontal="center"/>
    </xf>
    <xf numFmtId="164" fontId="24" fillId="5" borderId="32" xfId="1" applyNumberFormat="1" applyFont="1" applyFill="1" applyBorder="1" applyAlignment="1">
      <alignment horizontal="center"/>
    </xf>
    <xf numFmtId="164" fontId="24" fillId="5" borderId="33" xfId="1" applyNumberFormat="1" applyFont="1" applyFill="1" applyBorder="1" applyAlignment="1">
      <alignment horizontal="center"/>
    </xf>
    <xf numFmtId="164" fontId="24" fillId="5" borderId="34" xfId="1" applyNumberFormat="1" applyFont="1" applyFill="1" applyBorder="1" applyAlignment="1">
      <alignment horizontal="center"/>
    </xf>
    <xf numFmtId="164" fontId="24" fillId="5" borderId="0" xfId="1" applyNumberFormat="1" applyFont="1" applyFill="1" applyBorder="1" applyAlignment="1">
      <alignment horizontal="center"/>
    </xf>
    <xf numFmtId="164" fontId="24" fillId="5" borderId="35" xfId="1" applyNumberFormat="1" applyFont="1" applyFill="1" applyBorder="1" applyAlignment="1">
      <alignment horizontal="center"/>
    </xf>
    <xf numFmtId="164" fontId="24" fillId="5" borderId="36" xfId="1" applyNumberFormat="1" applyFont="1" applyFill="1" applyBorder="1" applyAlignment="1">
      <alignment horizontal="center"/>
    </xf>
    <xf numFmtId="164" fontId="24" fillId="5" borderId="37" xfId="1" applyNumberFormat="1" applyFont="1" applyFill="1" applyBorder="1" applyAlignment="1">
      <alignment horizontal="center"/>
    </xf>
    <xf numFmtId="164" fontId="24" fillId="5" borderId="38" xfId="1" applyNumberFormat="1" applyFont="1" applyFill="1" applyBorder="1" applyAlignment="1">
      <alignment horizontal="center"/>
    </xf>
    <xf numFmtId="10" fontId="24" fillId="5" borderId="24" xfId="1" applyNumberFormat="1" applyFont="1" applyFill="1" applyBorder="1" applyAlignment="1">
      <alignment horizontal="center"/>
    </xf>
    <xf numFmtId="164" fontId="24" fillId="5" borderId="28" xfId="1" applyNumberFormat="1" applyFont="1" applyFill="1" applyBorder="1" applyAlignment="1">
      <alignment horizontal="center"/>
    </xf>
    <xf numFmtId="164" fontId="24" fillId="5" borderId="29" xfId="1" applyNumberFormat="1" applyFont="1" applyFill="1" applyBorder="1" applyAlignment="1">
      <alignment horizontal="center"/>
    </xf>
    <xf numFmtId="164" fontId="24" fillId="5" borderId="30" xfId="1" applyNumberFormat="1" applyFont="1" applyFill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0" fontId="3" fillId="8" borderId="0" xfId="0" applyFont="1" applyFill="1" applyBorder="1"/>
    <xf numFmtId="0" fontId="3" fillId="8" borderId="0" xfId="0" applyFont="1" applyFill="1" applyBorder="1" applyAlignment="1">
      <alignment horizontal="left"/>
    </xf>
    <xf numFmtId="0" fontId="3" fillId="8" borderId="0" xfId="0" applyFont="1" applyFill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8" borderId="0" xfId="0" applyFont="1" applyFill="1"/>
    <xf numFmtId="0" fontId="3" fillId="8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164" fontId="28" fillId="9" borderId="34" xfId="1" applyNumberFormat="1" applyFont="1" applyFill="1" applyBorder="1" applyAlignment="1">
      <alignment horizontal="center"/>
    </xf>
    <xf numFmtId="164" fontId="28" fillId="9" borderId="0" xfId="1" applyNumberFormat="1" applyFont="1" applyFill="1" applyBorder="1" applyAlignment="1">
      <alignment horizontal="center"/>
    </xf>
    <xf numFmtId="0" fontId="0" fillId="2" borderId="12" xfId="0" applyFill="1" applyBorder="1"/>
    <xf numFmtId="0" fontId="25" fillId="2" borderId="0" xfId="0" applyFont="1" applyFill="1" applyAlignment="1">
      <alignment horizontal="left"/>
    </xf>
    <xf numFmtId="10" fontId="3" fillId="2" borderId="0" xfId="1" applyNumberFormat="1" applyFont="1" applyFill="1" applyBorder="1"/>
    <xf numFmtId="166" fontId="12" fillId="2" borderId="0" xfId="1" applyNumberFormat="1" applyFont="1" applyFill="1" applyAlignment="1">
      <alignment horizontal="center"/>
    </xf>
    <xf numFmtId="0" fontId="2" fillId="2" borderId="0" xfId="0" applyFont="1" applyFill="1"/>
    <xf numFmtId="14" fontId="2" fillId="2" borderId="0" xfId="0" applyNumberFormat="1" applyFont="1" applyFill="1" applyAlignment="1">
      <alignment horizontal="left"/>
    </xf>
    <xf numFmtId="0" fontId="30" fillId="2" borderId="0" xfId="0" applyFont="1" applyFill="1" applyAlignment="1">
      <alignment horizontal="left"/>
    </xf>
    <xf numFmtId="165" fontId="30" fillId="2" borderId="0" xfId="1" applyNumberFormat="1" applyFont="1" applyFill="1" applyAlignment="1">
      <alignment horizontal="center"/>
    </xf>
    <xf numFmtId="0" fontId="3" fillId="4" borderId="0" xfId="0" applyFont="1" applyFill="1"/>
    <xf numFmtId="179" fontId="30" fillId="2" borderId="0" xfId="1" applyNumberFormat="1" applyFont="1" applyFill="1" applyBorder="1" applyAlignment="1">
      <alignment horizontal="center"/>
    </xf>
    <xf numFmtId="0" fontId="27" fillId="9" borderId="47" xfId="0" applyFont="1" applyFill="1" applyBorder="1" applyAlignment="1">
      <alignment horizontal="left"/>
    </xf>
    <xf numFmtId="10" fontId="28" fillId="9" borderId="44" xfId="1" applyNumberFormat="1" applyFont="1" applyFill="1" applyBorder="1" applyAlignment="1">
      <alignment horizontal="center"/>
    </xf>
    <xf numFmtId="10" fontId="28" fillId="9" borderId="45" xfId="1" applyNumberFormat="1" applyFont="1" applyFill="1" applyBorder="1" applyAlignment="1">
      <alignment horizontal="center"/>
    </xf>
    <xf numFmtId="10" fontId="28" fillId="9" borderId="46" xfId="1" applyNumberFormat="1" applyFont="1" applyFill="1" applyBorder="1" applyAlignment="1">
      <alignment horizontal="center"/>
    </xf>
    <xf numFmtId="0" fontId="27" fillId="9" borderId="48" xfId="0" applyFont="1" applyFill="1" applyBorder="1" applyAlignment="1">
      <alignment horizontal="left"/>
    </xf>
    <xf numFmtId="10" fontId="28" fillId="9" borderId="49" xfId="1" applyNumberFormat="1" applyFont="1" applyFill="1" applyBorder="1" applyAlignment="1">
      <alignment horizontal="center"/>
    </xf>
    <xf numFmtId="10" fontId="28" fillId="9" borderId="50" xfId="1" applyNumberFormat="1" applyFont="1" applyFill="1" applyBorder="1" applyAlignment="1">
      <alignment horizontal="center"/>
    </xf>
    <xf numFmtId="10" fontId="28" fillId="9" borderId="51" xfId="1" applyNumberFormat="1" applyFont="1" applyFill="1" applyBorder="1" applyAlignment="1">
      <alignment horizontal="center"/>
    </xf>
    <xf numFmtId="0" fontId="28" fillId="2" borderId="0" xfId="0" applyFont="1" applyFill="1" applyBorder="1" applyAlignment="1">
      <alignment horizontal="left"/>
    </xf>
    <xf numFmtId="164" fontId="28" fillId="2" borderId="0" xfId="1" applyNumberFormat="1" applyFont="1" applyFill="1" applyBorder="1" applyAlignment="1">
      <alignment horizontal="center"/>
    </xf>
    <xf numFmtId="164" fontId="28" fillId="2" borderId="12" xfId="1" applyNumberFormat="1" applyFont="1" applyFill="1" applyBorder="1" applyAlignment="1">
      <alignment horizontal="center"/>
    </xf>
    <xf numFmtId="180" fontId="30" fillId="2" borderId="0" xfId="0" applyNumberFormat="1" applyFont="1" applyFill="1" applyAlignment="1">
      <alignment horizontal="left"/>
    </xf>
    <xf numFmtId="168" fontId="5" fillId="5" borderId="24" xfId="1" applyNumberFormat="1" applyFont="1" applyFill="1" applyBorder="1" applyAlignment="1">
      <alignment horizontal="center"/>
    </xf>
    <xf numFmtId="181" fontId="5" fillId="5" borderId="24" xfId="1" applyNumberFormat="1" applyFont="1" applyFill="1" applyBorder="1" applyAlignment="1">
      <alignment horizontal="center"/>
    </xf>
    <xf numFmtId="0" fontId="35" fillId="8" borderId="0" xfId="0" applyFont="1" applyFill="1" applyBorder="1"/>
    <xf numFmtId="1" fontId="31" fillId="3" borderId="17" xfId="0" applyNumberFormat="1" applyFont="1" applyFill="1" applyBorder="1" applyAlignment="1">
      <alignment horizontal="center"/>
    </xf>
    <xf numFmtId="165" fontId="31" fillId="3" borderId="17" xfId="1" applyNumberFormat="1" applyFont="1" applyFill="1" applyBorder="1" applyAlignment="1">
      <alignment horizontal="center"/>
    </xf>
    <xf numFmtId="0" fontId="36" fillId="2" borderId="0" xfId="0" applyFont="1" applyFill="1"/>
    <xf numFmtId="3" fontId="31" fillId="3" borderId="17" xfId="0" applyNumberFormat="1" applyFont="1" applyFill="1" applyBorder="1" applyAlignment="1">
      <alignment horizontal="center"/>
    </xf>
    <xf numFmtId="0" fontId="37" fillId="2" borderId="0" xfId="0" applyFont="1" applyFill="1" applyAlignment="1">
      <alignment horizontal="center"/>
    </xf>
    <xf numFmtId="0" fontId="7" fillId="2" borderId="0" xfId="0" applyFont="1" applyFill="1"/>
    <xf numFmtId="0" fontId="39" fillId="2" borderId="0" xfId="0" applyFont="1" applyFill="1"/>
    <xf numFmtId="0" fontId="43" fillId="2" borderId="0" xfId="0" applyFont="1" applyFill="1"/>
    <xf numFmtId="0" fontId="26" fillId="11" borderId="0" xfId="0" applyFont="1" applyFill="1"/>
    <xf numFmtId="0" fontId="0" fillId="11" borderId="0" xfId="0" applyFill="1"/>
    <xf numFmtId="0" fontId="0" fillId="10" borderId="2" xfId="0" applyFill="1" applyBorder="1"/>
    <xf numFmtId="0" fontId="0" fillId="10" borderId="10" xfId="0" applyFill="1" applyBorder="1"/>
    <xf numFmtId="0" fontId="0" fillId="10" borderId="2" xfId="0" applyFill="1" applyBorder="1" applyAlignment="1">
      <alignment horizontal="right"/>
    </xf>
    <xf numFmtId="0" fontId="0" fillId="10" borderId="10" xfId="0" applyFill="1" applyBorder="1" applyAlignment="1">
      <alignment horizontal="right"/>
    </xf>
    <xf numFmtId="0" fontId="28" fillId="9" borderId="54" xfId="0" applyFont="1" applyFill="1" applyBorder="1" applyAlignment="1">
      <alignment horizontal="left"/>
    </xf>
    <xf numFmtId="164" fontId="28" fillId="9" borderId="55" xfId="1" applyNumberFormat="1" applyFont="1" applyFill="1" applyBorder="1" applyAlignment="1">
      <alignment horizontal="center"/>
    </xf>
    <xf numFmtId="164" fontId="28" fillId="9" borderId="3" xfId="1" applyNumberFormat="1" applyFont="1" applyFill="1" applyBorder="1" applyAlignment="1">
      <alignment horizontal="center"/>
    </xf>
    <xf numFmtId="164" fontId="28" fillId="9" borderId="4" xfId="1" applyNumberFormat="1" applyFont="1" applyFill="1" applyBorder="1" applyAlignment="1">
      <alignment horizontal="center"/>
    </xf>
    <xf numFmtId="0" fontId="28" fillId="9" borderId="56" xfId="0" applyFont="1" applyFill="1" applyBorder="1" applyAlignment="1">
      <alignment horizontal="left"/>
    </xf>
    <xf numFmtId="164" fontId="28" fillId="9" borderId="6" xfId="1" applyNumberFormat="1" applyFont="1" applyFill="1" applyBorder="1" applyAlignment="1">
      <alignment horizontal="center"/>
    </xf>
    <xf numFmtId="0" fontId="28" fillId="9" borderId="57" xfId="0" applyFont="1" applyFill="1" applyBorder="1" applyAlignment="1">
      <alignment horizontal="left"/>
    </xf>
    <xf numFmtId="164" fontId="28" fillId="9" borderId="58" xfId="1" applyNumberFormat="1" applyFont="1" applyFill="1" applyBorder="1" applyAlignment="1">
      <alignment horizontal="center"/>
    </xf>
    <xf numFmtId="164" fontId="28" fillId="9" borderId="1" xfId="1" applyNumberFormat="1" applyFont="1" applyFill="1" applyBorder="1" applyAlignment="1">
      <alignment horizontal="center"/>
    </xf>
    <xf numFmtId="164" fontId="28" fillId="9" borderId="11" xfId="1" applyNumberFormat="1" applyFont="1" applyFill="1" applyBorder="1" applyAlignment="1">
      <alignment horizontal="center"/>
    </xf>
    <xf numFmtId="0" fontId="0" fillId="10" borderId="13" xfId="0" applyFill="1" applyBorder="1" applyAlignment="1">
      <alignment horizontal="right"/>
    </xf>
    <xf numFmtId="0" fontId="0" fillId="10" borderId="43" xfId="0" applyFill="1" applyBorder="1" applyAlignment="1">
      <alignment horizontal="right"/>
    </xf>
    <xf numFmtId="0" fontId="3" fillId="12" borderId="1" xfId="0" applyFont="1" applyFill="1" applyBorder="1"/>
    <xf numFmtId="0" fontId="34" fillId="12" borderId="1" xfId="0" applyFont="1" applyFill="1" applyBorder="1" applyAlignment="1">
      <alignment horizontal="right"/>
    </xf>
    <xf numFmtId="0" fontId="18" fillId="12" borderId="1" xfId="0" applyFont="1" applyFill="1" applyBorder="1"/>
    <xf numFmtId="0" fontId="0" fillId="12" borderId="0" xfId="0" applyFill="1"/>
    <xf numFmtId="178" fontId="3" fillId="12" borderId="0" xfId="0" applyNumberFormat="1" applyFont="1" applyFill="1"/>
    <xf numFmtId="178" fontId="2" fillId="12" borderId="0" xfId="0" applyNumberFormat="1" applyFont="1" applyFill="1" applyAlignment="1">
      <alignment horizontal="center"/>
    </xf>
    <xf numFmtId="178" fontId="29" fillId="12" borderId="0" xfId="0" applyNumberFormat="1" applyFont="1" applyFill="1" applyAlignment="1">
      <alignment horizontal="right"/>
    </xf>
    <xf numFmtId="0" fontId="6" fillId="12" borderId="0" xfId="0" applyFont="1" applyFill="1"/>
    <xf numFmtId="0" fontId="3" fillId="12" borderId="0" xfId="0" applyFont="1" applyFill="1"/>
    <xf numFmtId="10" fontId="6" fillId="12" borderId="52" xfId="0" applyNumberFormat="1" applyFont="1" applyFill="1" applyBorder="1" applyAlignment="1">
      <alignment horizontal="center"/>
    </xf>
    <xf numFmtId="10" fontId="6" fillId="12" borderId="53" xfId="0" applyNumberFormat="1" applyFont="1" applyFill="1" applyBorder="1" applyAlignment="1">
      <alignment horizontal="center"/>
    </xf>
    <xf numFmtId="177" fontId="29" fillId="12" borderId="0" xfId="0" applyNumberFormat="1" applyFont="1" applyFill="1" applyAlignment="1">
      <alignment horizontal="right"/>
    </xf>
    <xf numFmtId="10" fontId="3" fillId="12" borderId="1" xfId="0" applyNumberFormat="1" applyFont="1" applyFill="1" applyBorder="1" applyAlignment="1">
      <alignment horizontal="center"/>
    </xf>
    <xf numFmtId="177" fontId="29" fillId="12" borderId="1" xfId="0" applyNumberFormat="1" applyFont="1" applyFill="1" applyBorder="1" applyAlignment="1">
      <alignment horizontal="right"/>
    </xf>
    <xf numFmtId="0" fontId="3" fillId="12" borderId="23" xfId="0" applyFont="1" applyFill="1" applyBorder="1"/>
    <xf numFmtId="177" fontId="29" fillId="12" borderId="23" xfId="0" applyNumberFormat="1" applyFont="1" applyFill="1" applyBorder="1" applyAlignment="1">
      <alignment horizontal="right"/>
    </xf>
    <xf numFmtId="0" fontId="3" fillId="12" borderId="0" xfId="0" applyFont="1" applyFill="1" applyBorder="1"/>
    <xf numFmtId="165" fontId="3" fillId="12" borderId="0" xfId="1" applyNumberFormat="1" applyFont="1" applyFill="1" applyBorder="1" applyAlignment="1">
      <alignment horizontal="center"/>
    </xf>
    <xf numFmtId="177" fontId="29" fillId="12" borderId="0" xfId="0" applyNumberFormat="1" applyFont="1" applyFill="1" applyBorder="1" applyAlignment="1">
      <alignment horizontal="right"/>
    </xf>
    <xf numFmtId="0" fontId="2" fillId="2" borderId="0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0" borderId="16" xfId="0" applyBorder="1"/>
    <xf numFmtId="0" fontId="6" fillId="12" borderId="0" xfId="0" applyFont="1" applyFill="1" applyAlignment="1">
      <alignment horizontal="right"/>
    </xf>
    <xf numFmtId="0" fontId="6" fillId="12" borderId="6" xfId="0" applyFont="1" applyFill="1" applyBorder="1" applyAlignment="1">
      <alignment horizontal="right"/>
    </xf>
    <xf numFmtId="0" fontId="46" fillId="12" borderId="60" xfId="0" applyFont="1" applyFill="1" applyBorder="1"/>
    <xf numFmtId="0" fontId="46" fillId="12" borderId="59" xfId="0" applyFont="1" applyFill="1" applyBorder="1"/>
    <xf numFmtId="10" fontId="46" fillId="12" borderId="60" xfId="1" applyNumberFormat="1" applyFont="1" applyFill="1" applyBorder="1"/>
    <xf numFmtId="10" fontId="46" fillId="12" borderId="42" xfId="1" applyNumberFormat="1" applyFont="1" applyFill="1" applyBorder="1"/>
    <xf numFmtId="10" fontId="46" fillId="12" borderId="61" xfId="1" applyNumberFormat="1" applyFont="1" applyFill="1" applyBorder="1"/>
    <xf numFmtId="10" fontId="46" fillId="12" borderId="62" xfId="1" applyNumberFormat="1" applyFont="1" applyFill="1" applyBorder="1"/>
    <xf numFmtId="9" fontId="46" fillId="12" borderId="61" xfId="1" applyNumberFormat="1" applyFont="1" applyFill="1" applyBorder="1"/>
    <xf numFmtId="9" fontId="46" fillId="12" borderId="62" xfId="1" applyNumberFormat="1" applyFont="1" applyFill="1" applyBorder="1"/>
    <xf numFmtId="0" fontId="47" fillId="12" borderId="0" xfId="0" applyFont="1" applyFill="1"/>
    <xf numFmtId="10" fontId="3" fillId="12" borderId="0" xfId="1" applyNumberFormat="1" applyFont="1" applyFill="1" applyAlignment="1">
      <alignment horizontal="center"/>
    </xf>
    <xf numFmtId="10" fontId="3" fillId="12" borderId="23" xfId="1" applyNumberFormat="1" applyFont="1" applyFill="1" applyBorder="1" applyAlignment="1">
      <alignment horizontal="center"/>
    </xf>
    <xf numFmtId="10" fontId="3" fillId="12" borderId="1" xfId="1" applyNumberFormat="1" applyFont="1" applyFill="1" applyBorder="1" applyAlignment="1">
      <alignment horizontal="center"/>
    </xf>
    <xf numFmtId="178" fontId="47" fillId="12" borderId="0" xfId="0" applyNumberFormat="1" applyFont="1" applyFill="1"/>
    <xf numFmtId="0" fontId="47" fillId="12" borderId="1" xfId="0" applyFont="1" applyFill="1" applyBorder="1"/>
    <xf numFmtId="0" fontId="47" fillId="12" borderId="23" xfId="0" applyFont="1" applyFill="1" applyBorder="1"/>
    <xf numFmtId="0" fontId="3" fillId="12" borderId="63" xfId="0" applyFont="1" applyFill="1" applyBorder="1"/>
    <xf numFmtId="0" fontId="47" fillId="12" borderId="63" xfId="0" applyFont="1" applyFill="1" applyBorder="1"/>
    <xf numFmtId="10" fontId="3" fillId="12" borderId="63" xfId="1" applyNumberFormat="1" applyFont="1" applyFill="1" applyBorder="1" applyAlignment="1">
      <alignment horizontal="center"/>
    </xf>
    <xf numFmtId="177" fontId="29" fillId="12" borderId="63" xfId="0" applyNumberFormat="1" applyFont="1" applyFill="1" applyBorder="1" applyAlignment="1">
      <alignment horizontal="right"/>
    </xf>
    <xf numFmtId="0" fontId="6" fillId="12" borderId="1" xfId="0" applyFont="1" applyFill="1" applyBorder="1"/>
    <xf numFmtId="0" fontId="7" fillId="2" borderId="0" xfId="0" applyFont="1" applyFill="1" applyAlignment="1">
      <alignment horizontal="left"/>
    </xf>
    <xf numFmtId="169" fontId="30" fillId="2" borderId="0" xfId="0" applyNumberFormat="1" applyFont="1" applyFill="1" applyAlignment="1">
      <alignment horizontal="left"/>
    </xf>
    <xf numFmtId="165" fontId="30" fillId="2" borderId="0" xfId="1" applyNumberFormat="1" applyFont="1" applyFill="1" applyAlignment="1">
      <alignment horizontal="left"/>
    </xf>
    <xf numFmtId="182" fontId="14" fillId="6" borderId="2" xfId="0" applyNumberFormat="1" applyFont="1" applyFill="1" applyBorder="1" applyAlignment="1">
      <alignment horizontal="center"/>
    </xf>
    <xf numFmtId="182" fontId="14" fillId="6" borderId="3" xfId="0" applyNumberFormat="1" applyFont="1" applyFill="1" applyBorder="1" applyAlignment="1">
      <alignment horizontal="center"/>
    </xf>
    <xf numFmtId="182" fontId="14" fillId="6" borderId="5" xfId="0" applyNumberFormat="1" applyFont="1" applyFill="1" applyBorder="1" applyAlignment="1">
      <alignment horizontal="center"/>
    </xf>
    <xf numFmtId="182" fontId="14" fillId="6" borderId="0" xfId="0" applyNumberFormat="1" applyFont="1" applyFill="1" applyBorder="1" applyAlignment="1">
      <alignment horizontal="center"/>
    </xf>
    <xf numFmtId="0" fontId="48" fillId="11" borderId="0" xfId="0" applyFont="1" applyFill="1"/>
    <xf numFmtId="0" fontId="49" fillId="11" borderId="0" xfId="0" applyFont="1" applyFill="1" applyAlignment="1">
      <alignment horizontal="center"/>
    </xf>
    <xf numFmtId="0" fontId="49" fillId="11" borderId="1" xfId="0" applyFont="1" applyFill="1" applyBorder="1" applyAlignment="1">
      <alignment horizontal="center"/>
    </xf>
    <xf numFmtId="0" fontId="22" fillId="2" borderId="41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83" fontId="3" fillId="2" borderId="0" xfId="1" applyNumberFormat="1" applyFont="1" applyFill="1" applyAlignment="1">
      <alignment horizontal="center"/>
    </xf>
    <xf numFmtId="17" fontId="3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 wrapText="1"/>
    </xf>
    <xf numFmtId="0" fontId="10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wrapText="1"/>
    </xf>
    <xf numFmtId="0" fontId="3" fillId="6" borderId="0" xfId="0" applyFont="1" applyFill="1" applyBorder="1" applyAlignment="1">
      <alignment horizontal="center"/>
    </xf>
    <xf numFmtId="0" fontId="10" fillId="6" borderId="0" xfId="0" applyFont="1" applyFill="1" applyAlignment="1">
      <alignment horizontal="left"/>
    </xf>
    <xf numFmtId="0" fontId="3" fillId="6" borderId="16" xfId="0" applyFont="1" applyFill="1" applyBorder="1" applyAlignment="1">
      <alignment horizontal="center"/>
    </xf>
    <xf numFmtId="0" fontId="50" fillId="6" borderId="0" xfId="0" applyFont="1" applyFill="1" applyAlignment="1">
      <alignment horizontal="left"/>
    </xf>
    <xf numFmtId="0" fontId="51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right"/>
    </xf>
    <xf numFmtId="0" fontId="52" fillId="6" borderId="0" xfId="0" applyFont="1" applyFill="1" applyAlignment="1">
      <alignment horizontal="center"/>
    </xf>
    <xf numFmtId="0" fontId="3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8" fillId="2" borderId="0" xfId="0" applyFont="1" applyFill="1" applyBorder="1"/>
    <xf numFmtId="0" fontId="0" fillId="0" borderId="0" xfId="0" applyBorder="1"/>
    <xf numFmtId="0" fontId="26" fillId="2" borderId="0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4" xfId="0" applyFont="1" applyFill="1" applyBorder="1" applyAlignment="1">
      <alignment horizontal="center"/>
    </xf>
    <xf numFmtId="0" fontId="2" fillId="2" borderId="65" xfId="0" applyFont="1" applyFill="1" applyBorder="1" applyAlignment="1">
      <alignment horizontal="center"/>
    </xf>
    <xf numFmtId="0" fontId="2" fillId="2" borderId="66" xfId="0" applyFont="1" applyFill="1" applyBorder="1" applyAlignment="1">
      <alignment horizontal="center"/>
    </xf>
    <xf numFmtId="0" fontId="2" fillId="2" borderId="67" xfId="0" applyFont="1" applyFill="1" applyBorder="1" applyAlignment="1">
      <alignment horizontal="center"/>
    </xf>
    <xf numFmtId="0" fontId="2" fillId="2" borderId="68" xfId="0" applyFont="1" applyFill="1" applyBorder="1" applyAlignment="1">
      <alignment horizontal="center"/>
    </xf>
    <xf numFmtId="0" fontId="2" fillId="2" borderId="69" xfId="0" applyFont="1" applyFill="1" applyBorder="1" applyAlignment="1">
      <alignment horizontal="center"/>
    </xf>
    <xf numFmtId="0" fontId="2" fillId="2" borderId="70" xfId="0" applyFont="1" applyFill="1" applyBorder="1" applyAlignment="1">
      <alignment horizontal="center"/>
    </xf>
    <xf numFmtId="0" fontId="2" fillId="2" borderId="71" xfId="0" applyFont="1" applyFill="1" applyBorder="1" applyAlignment="1">
      <alignment horizontal="center"/>
    </xf>
    <xf numFmtId="0" fontId="2" fillId="2" borderId="72" xfId="0" applyFont="1" applyFill="1" applyBorder="1" applyAlignment="1">
      <alignment horizontal="center"/>
    </xf>
    <xf numFmtId="0" fontId="54" fillId="2" borderId="0" xfId="0" applyFont="1" applyFill="1" applyAlignment="1">
      <alignment horizontal="center"/>
    </xf>
    <xf numFmtId="184" fontId="28" fillId="9" borderId="55" xfId="1" applyNumberFormat="1" applyFont="1" applyFill="1" applyBorder="1" applyAlignment="1">
      <alignment horizontal="center"/>
    </xf>
    <xf numFmtId="184" fontId="28" fillId="9" borderId="34" xfId="1" applyNumberFormat="1" applyFont="1" applyFill="1" applyBorder="1" applyAlignment="1">
      <alignment horizontal="center"/>
    </xf>
    <xf numFmtId="184" fontId="28" fillId="9" borderId="58" xfId="1" applyNumberFormat="1" applyFont="1" applyFill="1" applyBorder="1" applyAlignment="1">
      <alignment horizontal="center"/>
    </xf>
    <xf numFmtId="184" fontId="28" fillId="9" borderId="4" xfId="1" applyNumberFormat="1" applyFont="1" applyFill="1" applyBorder="1" applyAlignment="1">
      <alignment horizontal="center"/>
    </xf>
    <xf numFmtId="184" fontId="28" fillId="9" borderId="6" xfId="1" applyNumberFormat="1" applyFont="1" applyFill="1" applyBorder="1" applyAlignment="1">
      <alignment horizontal="center"/>
    </xf>
    <xf numFmtId="184" fontId="28" fillId="9" borderId="11" xfId="1" applyNumberFormat="1" applyFont="1" applyFill="1" applyBorder="1" applyAlignment="1">
      <alignment horizontal="center"/>
    </xf>
    <xf numFmtId="167" fontId="28" fillId="9" borderId="0" xfId="1" applyNumberFormat="1" applyFont="1" applyFill="1" applyBorder="1" applyAlignment="1">
      <alignment horizontal="center"/>
    </xf>
    <xf numFmtId="0" fontId="26" fillId="2" borderId="0" xfId="0" applyFont="1" applyFill="1"/>
    <xf numFmtId="9" fontId="0" fillId="2" borderId="36" xfId="1" applyFont="1" applyFill="1" applyBorder="1" applyAlignment="1">
      <alignment horizontal="center"/>
    </xf>
    <xf numFmtId="9" fontId="0" fillId="2" borderId="37" xfId="1" applyFont="1" applyFill="1" applyBorder="1" applyAlignment="1">
      <alignment horizontal="center"/>
    </xf>
    <xf numFmtId="9" fontId="0" fillId="2" borderId="38" xfId="1" applyFont="1" applyFill="1" applyBorder="1" applyAlignment="1">
      <alignment horizontal="center"/>
    </xf>
    <xf numFmtId="165" fontId="28" fillId="2" borderId="12" xfId="1" applyNumberFormat="1" applyFont="1" applyFill="1" applyBorder="1" applyAlignment="1">
      <alignment horizontal="left"/>
    </xf>
    <xf numFmtId="0" fontId="3" fillId="12" borderId="0" xfId="0" applyNumberFormat="1" applyFont="1" applyFill="1"/>
    <xf numFmtId="0" fontId="44" fillId="10" borderId="3" xfId="0" applyFont="1" applyFill="1" applyBorder="1" applyProtection="1">
      <protection locked="0"/>
    </xf>
    <xf numFmtId="0" fontId="44" fillId="10" borderId="4" xfId="0" applyFont="1" applyFill="1" applyBorder="1" applyProtection="1">
      <protection locked="0"/>
    </xf>
    <xf numFmtId="0" fontId="44" fillId="10" borderId="1" xfId="0" applyFont="1" applyFill="1" applyBorder="1" applyProtection="1">
      <protection locked="0"/>
    </xf>
    <xf numFmtId="0" fontId="44" fillId="10" borderId="11" xfId="0" applyFont="1" applyFill="1" applyBorder="1" applyProtection="1">
      <protection locked="0"/>
    </xf>
    <xf numFmtId="0" fontId="55" fillId="10" borderId="3" xfId="0" applyFont="1" applyFill="1" applyBorder="1"/>
    <xf numFmtId="0" fontId="55" fillId="10" borderId="4" xfId="0" applyFont="1" applyFill="1" applyBorder="1"/>
    <xf numFmtId="0" fontId="55" fillId="10" borderId="1" xfId="0" applyFont="1" applyFill="1" applyBorder="1"/>
    <xf numFmtId="0" fontId="55" fillId="10" borderId="11" xfId="0" applyFont="1" applyFill="1" applyBorder="1"/>
    <xf numFmtId="10" fontId="45" fillId="12" borderId="43" xfId="1" applyNumberFormat="1" applyFont="1" applyFill="1" applyBorder="1" applyProtection="1">
      <protection locked="0"/>
    </xf>
    <xf numFmtId="0" fontId="33" fillId="9" borderId="73" xfId="0" applyFont="1" applyFill="1" applyBorder="1" applyAlignment="1">
      <alignment horizontal="left"/>
    </xf>
    <xf numFmtId="0" fontId="2" fillId="2" borderId="73" xfId="0" applyFont="1" applyFill="1" applyBorder="1" applyAlignment="1">
      <alignment horizontal="center"/>
    </xf>
    <xf numFmtId="0" fontId="0" fillId="2" borderId="73" xfId="0" applyFill="1" applyBorder="1"/>
    <xf numFmtId="0" fontId="0" fillId="2" borderId="74" xfId="0" applyFill="1" applyBorder="1"/>
    <xf numFmtId="0" fontId="0" fillId="2" borderId="73" xfId="0" applyFill="1" applyBorder="1" applyAlignment="1">
      <alignment horizontal="center"/>
    </xf>
    <xf numFmtId="0" fontId="26" fillId="2" borderId="0" xfId="0" applyFont="1" applyFill="1" applyBorder="1" applyAlignment="1">
      <alignment horizontal="center"/>
    </xf>
    <xf numFmtId="0" fontId="56" fillId="11" borderId="73" xfId="0" applyFont="1" applyFill="1" applyBorder="1"/>
    <xf numFmtId="178" fontId="56" fillId="11" borderId="73" xfId="0" applyNumberFormat="1" applyFont="1" applyFill="1" applyBorder="1"/>
    <xf numFmtId="0" fontId="17" fillId="11" borderId="73" xfId="0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65" fontId="28" fillId="2" borderId="12" xfId="1" applyNumberFormat="1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9" fillId="2" borderId="73" xfId="0" applyFont="1" applyFill="1" applyBorder="1" applyAlignment="1" applyProtection="1">
      <alignment horizontal="left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2" borderId="73" xfId="0" applyFont="1" applyFill="1" applyBorder="1" applyAlignment="1" applyProtection="1">
      <alignment horizontal="center"/>
      <protection locked="0"/>
    </xf>
    <xf numFmtId="0" fontId="0" fillId="2" borderId="73" xfId="0" applyFill="1" applyBorder="1" applyProtection="1"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53" fillId="13" borderId="0" xfId="0" applyFont="1" applyFill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39" fillId="2" borderId="15" xfId="0" applyFont="1" applyFill="1" applyBorder="1"/>
    <xf numFmtId="10" fontId="3" fillId="6" borderId="0" xfId="1" applyNumberFormat="1" applyFont="1" applyFill="1" applyAlignment="1">
      <alignment horizontal="center"/>
    </xf>
    <xf numFmtId="10" fontId="3" fillId="6" borderId="0" xfId="1" quotePrefix="1" applyNumberFormat="1" applyFont="1" applyFill="1" applyAlignment="1">
      <alignment horizontal="center"/>
    </xf>
    <xf numFmtId="10" fontId="3" fillId="6" borderId="1" xfId="1" quotePrefix="1" applyNumberFormat="1" applyFont="1" applyFill="1" applyBorder="1" applyAlignment="1">
      <alignment horizontal="center"/>
    </xf>
    <xf numFmtId="9" fontId="3" fillId="6" borderId="0" xfId="1" applyFont="1" applyFill="1" applyAlignment="1">
      <alignment horizontal="center"/>
    </xf>
    <xf numFmtId="10" fontId="3" fillId="6" borderId="7" xfId="1" quotePrefix="1" applyNumberFormat="1" applyFont="1" applyFill="1" applyBorder="1" applyAlignment="1">
      <alignment horizontal="center"/>
    </xf>
    <xf numFmtId="10" fontId="3" fillId="6" borderId="9" xfId="1" applyNumberFormat="1" applyFont="1" applyFill="1" applyBorder="1" applyAlignment="1">
      <alignment horizontal="center"/>
    </xf>
    <xf numFmtId="0" fontId="30" fillId="2" borderId="0" xfId="0" applyFont="1" applyFill="1" applyBorder="1"/>
    <xf numFmtId="0" fontId="3" fillId="2" borderId="0" xfId="0" applyFont="1" applyFill="1" applyBorder="1" applyAlignment="1"/>
    <xf numFmtId="179" fontId="30" fillId="2" borderId="0" xfId="1" applyNumberFormat="1" applyFont="1" applyFill="1" applyBorder="1" applyAlignment="1"/>
    <xf numFmtId="179" fontId="30" fillId="2" borderId="1" xfId="1" applyNumberFormat="1" applyFont="1" applyFill="1" applyBorder="1" applyAlignment="1"/>
    <xf numFmtId="0" fontId="3" fillId="2" borderId="1" xfId="0" applyFont="1" applyFill="1" applyBorder="1" applyAlignment="1"/>
    <xf numFmtId="0" fontId="30" fillId="2" borderId="0" xfId="0" applyFont="1" applyFill="1" applyAlignment="1"/>
    <xf numFmtId="179" fontId="30" fillId="2" borderId="0" xfId="1" applyNumberFormat="1" applyFont="1" applyFill="1" applyAlignment="1"/>
    <xf numFmtId="0" fontId="30" fillId="2" borderId="0" xfId="1" applyNumberFormat="1" applyFont="1" applyFill="1" applyBorder="1" applyAlignment="1"/>
    <xf numFmtId="0" fontId="30" fillId="2" borderId="23" xfId="0" applyFont="1" applyFill="1" applyBorder="1" applyAlignment="1"/>
    <xf numFmtId="0" fontId="3" fillId="2" borderId="23" xfId="0" applyFont="1" applyFill="1" applyBorder="1" applyAlignment="1"/>
    <xf numFmtId="179" fontId="30" fillId="2" borderId="23" xfId="1" applyNumberFormat="1" applyFont="1" applyFill="1" applyBorder="1" applyAlignment="1"/>
    <xf numFmtId="0" fontId="30" fillId="2" borderId="1" xfId="0" applyFont="1" applyFill="1" applyBorder="1" applyAlignment="1"/>
    <xf numFmtId="0" fontId="6" fillId="0" borderId="0" xfId="0" applyFont="1" applyAlignment="1"/>
    <xf numFmtId="0" fontId="6" fillId="2" borderId="0" xfId="0" applyFont="1" applyFill="1" applyAlignment="1"/>
    <xf numFmtId="179" fontId="58" fillId="2" borderId="2" xfId="1" applyNumberFormat="1" applyFont="1" applyFill="1" applyBorder="1" applyAlignment="1"/>
    <xf numFmtId="179" fontId="58" fillId="2" borderId="3" xfId="1" applyNumberFormat="1" applyFont="1" applyFill="1" applyBorder="1" applyAlignment="1"/>
    <xf numFmtId="9" fontId="58" fillId="2" borderId="3" xfId="1" applyNumberFormat="1" applyFont="1" applyFill="1" applyBorder="1" applyAlignment="1"/>
    <xf numFmtId="0" fontId="6" fillId="2" borderId="0" xfId="0" applyFont="1" applyFill="1" applyBorder="1" applyAlignment="1"/>
    <xf numFmtId="179" fontId="58" fillId="2" borderId="0" xfId="1" applyNumberFormat="1" applyFont="1" applyFill="1" applyBorder="1" applyAlignment="1"/>
    <xf numFmtId="179" fontId="58" fillId="2" borderId="10" xfId="1" applyNumberFormat="1" applyFont="1" applyFill="1" applyBorder="1" applyAlignment="1"/>
    <xf numFmtId="179" fontId="58" fillId="2" borderId="1" xfId="1" applyNumberFormat="1" applyFont="1" applyFill="1" applyBorder="1" applyAlignment="1"/>
    <xf numFmtId="0" fontId="6" fillId="2" borderId="1" xfId="0" applyFont="1" applyFill="1" applyBorder="1" applyAlignment="1"/>
    <xf numFmtId="0" fontId="59" fillId="2" borderId="0" xfId="0" applyFont="1" applyFill="1" applyAlignment="1"/>
    <xf numFmtId="165" fontId="6" fillId="2" borderId="0" xfId="1" applyNumberFormat="1" applyFont="1" applyFill="1" applyBorder="1" applyAlignment="1"/>
    <xf numFmtId="175" fontId="12" fillId="2" borderId="0" xfId="1" applyNumberFormat="1" applyFont="1" applyFill="1" applyAlignment="1"/>
    <xf numFmtId="0" fontId="3" fillId="0" borderId="0" xfId="0" applyFont="1" applyAlignment="1"/>
    <xf numFmtId="0" fontId="3" fillId="0" borderId="0" xfId="0" applyFont="1" applyBorder="1" applyAlignment="1"/>
    <xf numFmtId="165" fontId="58" fillId="2" borderId="0" xfId="1" applyNumberFormat="1" applyFont="1" applyFill="1" applyBorder="1" applyAlignment="1"/>
    <xf numFmtId="179" fontId="58" fillId="2" borderId="0" xfId="0" applyNumberFormat="1" applyFont="1" applyFill="1" applyBorder="1" applyAlignment="1"/>
    <xf numFmtId="0" fontId="6" fillId="0" borderId="0" xfId="0" applyFont="1" applyBorder="1" applyAlignment="1"/>
    <xf numFmtId="0" fontId="3" fillId="2" borderId="7" xfId="0" applyFont="1" applyFill="1" applyBorder="1" applyAlignment="1" applyProtection="1">
      <protection locked="0"/>
    </xf>
    <xf numFmtId="0" fontId="3" fillId="2" borderId="2" xfId="0" applyFont="1" applyFill="1" applyBorder="1" applyAlignment="1" applyProtection="1">
      <protection locked="0"/>
    </xf>
    <xf numFmtId="0" fontId="3" fillId="2" borderId="3" xfId="0" applyFont="1" applyFill="1" applyBorder="1" applyAlignment="1" applyProtection="1">
      <protection locked="0"/>
    </xf>
    <xf numFmtId="0" fontId="3" fillId="2" borderId="4" xfId="0" applyFont="1" applyFill="1" applyBorder="1" applyAlignment="1" applyProtection="1">
      <protection locked="0"/>
    </xf>
    <xf numFmtId="0" fontId="3" fillId="2" borderId="8" xfId="0" applyFont="1" applyFill="1" applyBorder="1" applyAlignment="1" applyProtection="1">
      <protection locked="0"/>
    </xf>
    <xf numFmtId="0" fontId="3" fillId="2" borderId="5" xfId="0" applyFont="1" applyFill="1" applyBorder="1" applyAlignment="1" applyProtection="1">
      <protection locked="0"/>
    </xf>
    <xf numFmtId="0" fontId="3" fillId="2" borderId="0" xfId="0" applyFont="1" applyFill="1" applyBorder="1" applyAlignment="1" applyProtection="1">
      <protection locked="0"/>
    </xf>
    <xf numFmtId="0" fontId="3" fillId="2" borderId="6" xfId="0" applyFont="1" applyFill="1" applyBorder="1" applyAlignment="1" applyProtection="1">
      <protection locked="0"/>
    </xf>
    <xf numFmtId="0" fontId="3" fillId="2" borderId="0" xfId="0" applyFont="1" applyFill="1"/>
    <xf numFmtId="0" fontId="39" fillId="2" borderId="15" xfId="0" applyFont="1" applyFill="1" applyBorder="1" applyAlignment="1"/>
    <xf numFmtId="0" fontId="3" fillId="11" borderId="0" xfId="0" quotePrefix="1" applyFont="1" applyFill="1"/>
    <xf numFmtId="0" fontId="0" fillId="11" borderId="0" xfId="0" quotePrefix="1" applyFill="1" applyBorder="1"/>
    <xf numFmtId="0" fontId="3" fillId="11" borderId="0" xfId="0" applyFont="1" applyFill="1"/>
    <xf numFmtId="0" fontId="3" fillId="14" borderId="0" xfId="0" applyFont="1" applyFill="1"/>
    <xf numFmtId="0" fontId="6" fillId="14" borderId="0" xfId="0" applyFont="1" applyFill="1"/>
    <xf numFmtId="185" fontId="3" fillId="2" borderId="0" xfId="0" applyNumberFormat="1" applyFont="1" applyFill="1"/>
    <xf numFmtId="169" fontId="4" fillId="3" borderId="18" xfId="0" applyNumberFormat="1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179" fontId="57" fillId="2" borderId="0" xfId="1" applyNumberFormat="1" applyFont="1" applyFill="1" applyBorder="1" applyAlignment="1">
      <alignment horizontal="center" vertical="center" textRotation="90"/>
    </xf>
    <xf numFmtId="0" fontId="42" fillId="0" borderId="0" xfId="0" applyFont="1" applyAlignment="1">
      <alignment horizontal="center" vertical="center" textRotation="90"/>
    </xf>
    <xf numFmtId="0" fontId="3" fillId="2" borderId="0" xfId="0" applyFont="1" applyFill="1"/>
    <xf numFmtId="0" fontId="3" fillId="2" borderId="0" xfId="0" applyFont="1" applyFill="1" applyAlignment="1">
      <alignment horizontal="left"/>
    </xf>
    <xf numFmtId="0" fontId="57" fillId="2" borderId="0" xfId="1" applyNumberFormat="1" applyFont="1" applyFill="1" applyBorder="1" applyAlignment="1">
      <alignment horizontal="center" vertical="center" textRotation="90"/>
    </xf>
    <xf numFmtId="0" fontId="42" fillId="2" borderId="0" xfId="0" applyFont="1" applyFill="1" applyAlignment="1">
      <alignment horizontal="center" vertical="center" textRotation="90"/>
    </xf>
    <xf numFmtId="0" fontId="42" fillId="2" borderId="0" xfId="0" applyFont="1" applyFill="1" applyBorder="1" applyAlignment="1">
      <alignment horizontal="center" vertical="center" textRotation="90"/>
    </xf>
    <xf numFmtId="0" fontId="42" fillId="2" borderId="0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60" fillId="2" borderId="0" xfId="0" applyFont="1" applyFill="1"/>
    <xf numFmtId="0" fontId="3" fillId="2" borderId="0" xfId="0" applyFont="1" applyFill="1" applyAlignment="1" applyProtection="1">
      <protection locked="0"/>
    </xf>
  </cellXfs>
  <cellStyles count="2">
    <cellStyle name="Normal" xfId="0" builtinId="0"/>
    <cellStyle name="Percent" xfId="1" builtinId="5"/>
  </cellStyles>
  <dxfs count="16"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34998626667073579"/>
      </font>
    </dxf>
    <dxf>
      <font>
        <b val="0"/>
        <i val="0"/>
        <color theme="0" tint="-0.24994659260841701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99"/>
      <color rgb="FF0000CC"/>
      <color rgb="FF008000"/>
      <color rgb="FFFFFFCC"/>
      <color rgb="FFCCFF66"/>
      <color rgb="FFE3FF9F"/>
      <color rgb="FFEEFE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77801017060369"/>
          <c:y val="0.1562533228122604"/>
          <c:w val="0.82405347769028858"/>
          <c:h val="0.756942745395337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[0]!Series1Anchor</c:f>
              <c:strCache>
                <c:ptCount val="1"/>
                <c:pt idx="0">
                  <c:v>MLF_INV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xVal>
          <c:yVal>
            <c:numRef>
              <c:f>Graphs!$AN$7:$EI$7</c:f>
              <c:numCache>
                <c:formatCode>0.00%</c:formatCode>
                <c:ptCount val="100"/>
                <c:pt idx="0">
                  <c:v>1.2859380180842938E-2</c:v>
                </c:pt>
                <c:pt idx="1">
                  <c:v>1.3117760835201036E-2</c:v>
                </c:pt>
                <c:pt idx="2">
                  <c:v>1.3387942423145952E-2</c:v>
                </c:pt>
                <c:pt idx="3">
                  <c:v>1.3649504944628198E-2</c:v>
                </c:pt>
                <c:pt idx="4">
                  <c:v>1.3919486726837692E-2</c:v>
                </c:pt>
                <c:pt idx="5">
                  <c:v>1.4183240866157926E-2</c:v>
                </c:pt>
                <c:pt idx="6">
                  <c:v>1.4437127989470996E-2</c:v>
                </c:pt>
                <c:pt idx="7">
                  <c:v>1.4694554397604403E-2</c:v>
                </c:pt>
                <c:pt idx="8">
                  <c:v>1.4952562541048691E-2</c:v>
                </c:pt>
                <c:pt idx="9">
                  <c:v>1.5209049532054719E-2</c:v>
                </c:pt>
                <c:pt idx="10">
                  <c:v>1.5468112335729065E-2</c:v>
                </c:pt>
                <c:pt idx="11">
                  <c:v>1.5723320859829869E-2</c:v>
                </c:pt>
                <c:pt idx="12">
                  <c:v>1.5982410303612204E-2</c:v>
                </c:pt>
                <c:pt idx="13">
                  <c:v>1.6240007283601299E-2</c:v>
                </c:pt>
                <c:pt idx="14">
                  <c:v>1.6494234149768482E-2</c:v>
                </c:pt>
                <c:pt idx="15">
                  <c:v>1.6755734259694132E-2</c:v>
                </c:pt>
                <c:pt idx="16">
                  <c:v>1.7019656224193946E-2</c:v>
                </c:pt>
                <c:pt idx="17">
                  <c:v>1.7282267442903395E-2</c:v>
                </c:pt>
                <c:pt idx="18">
                  <c:v>1.7545702555196715E-2</c:v>
                </c:pt>
                <c:pt idx="19">
                  <c:v>1.7805980533814447E-2</c:v>
                </c:pt>
                <c:pt idx="20">
                  <c:v>1.809570566086276E-2</c:v>
                </c:pt>
                <c:pt idx="21">
                  <c:v>1.8442486347051434E-2</c:v>
                </c:pt>
                <c:pt idx="22">
                  <c:v>1.875671987401838E-2</c:v>
                </c:pt>
                <c:pt idx="23">
                  <c:v>1.9039737196677165E-2</c:v>
                </c:pt>
                <c:pt idx="24">
                  <c:v>1.9323682196195912E-2</c:v>
                </c:pt>
                <c:pt idx="25">
                  <c:v>1.95990581680817E-2</c:v>
                </c:pt>
                <c:pt idx="26">
                  <c:v>1.9876880977487962E-2</c:v>
                </c:pt>
                <c:pt idx="27">
                  <c:v>2.0139629056664148E-2</c:v>
                </c:pt>
                <c:pt idx="28">
                  <c:v>2.0412613863927415E-2</c:v>
                </c:pt>
                <c:pt idx="29">
                  <c:v>2.0695949460005286E-2</c:v>
                </c:pt>
                <c:pt idx="30">
                  <c:v>2.0977891786637521E-2</c:v>
                </c:pt>
                <c:pt idx="31">
                  <c:v>2.126178987762509E-2</c:v>
                </c:pt>
                <c:pt idx="32">
                  <c:v>2.1548248859080642E-2</c:v>
                </c:pt>
                <c:pt idx="33">
                  <c:v>2.1841780264964795E-2</c:v>
                </c:pt>
                <c:pt idx="34">
                  <c:v>2.2106309403439103E-2</c:v>
                </c:pt>
                <c:pt idx="35">
                  <c:v>2.2363583915269724E-2</c:v>
                </c:pt>
                <c:pt idx="36">
                  <c:v>2.2639471040300434E-2</c:v>
                </c:pt>
                <c:pt idx="37">
                  <c:v>2.2933745388358098E-2</c:v>
                </c:pt>
                <c:pt idx="38">
                  <c:v>2.3195858698199758E-2</c:v>
                </c:pt>
                <c:pt idx="39">
                  <c:v>2.3502170130099937E-2</c:v>
                </c:pt>
                <c:pt idx="40">
                  <c:v>2.3812515439647072E-2</c:v>
                </c:pt>
                <c:pt idx="41">
                  <c:v>2.4117149761342164E-2</c:v>
                </c:pt>
                <c:pt idx="42">
                  <c:v>2.4434638458448132E-2</c:v>
                </c:pt>
                <c:pt idx="43">
                  <c:v>2.4763711651581168E-2</c:v>
                </c:pt>
                <c:pt idx="44">
                  <c:v>2.5082946909919312E-2</c:v>
                </c:pt>
                <c:pt idx="45">
                  <c:v>2.5423917521744267E-2</c:v>
                </c:pt>
                <c:pt idx="46">
                  <c:v>2.5761675489020388E-2</c:v>
                </c:pt>
                <c:pt idx="47">
                  <c:v>2.6102525341762977E-2</c:v>
                </c:pt>
                <c:pt idx="48">
                  <c:v>2.6444252133273036E-2</c:v>
                </c:pt>
                <c:pt idx="49">
                  <c:v>2.6773056025885988E-2</c:v>
                </c:pt>
                <c:pt idx="50">
                  <c:v>2.7122085612618547E-2</c:v>
                </c:pt>
                <c:pt idx="51">
                  <c:v>2.7469755764897501E-2</c:v>
                </c:pt>
                <c:pt idx="52">
                  <c:v>2.7817070442858912E-2</c:v>
                </c:pt>
                <c:pt idx="53">
                  <c:v>2.8163711795348569E-2</c:v>
                </c:pt>
                <c:pt idx="54">
                  <c:v>2.8502327969457612E-2</c:v>
                </c:pt>
                <c:pt idx="55">
                  <c:v>2.8843756739542103E-2</c:v>
                </c:pt>
                <c:pt idx="56">
                  <c:v>2.9181782176085396E-2</c:v>
                </c:pt>
                <c:pt idx="57">
                  <c:v>2.9530550766824811E-2</c:v>
                </c:pt>
                <c:pt idx="58">
                  <c:v>2.9878704470469284E-2</c:v>
                </c:pt>
                <c:pt idx="59">
                  <c:v>3.0232212339086548E-2</c:v>
                </c:pt>
                <c:pt idx="60">
                  <c:v>3.0571176532984853E-2</c:v>
                </c:pt>
                <c:pt idx="61">
                  <c:v>3.0913013916415811E-2</c:v>
                </c:pt>
                <c:pt idx="62">
                  <c:v>3.1261262120577074E-2</c:v>
                </c:pt>
                <c:pt idx="63">
                  <c:v>3.1614166990651379E-2</c:v>
                </c:pt>
                <c:pt idx="64">
                  <c:v>3.1957561120050687E-2</c:v>
                </c:pt>
                <c:pt idx="65">
                  <c:v>3.2304811745668752E-2</c:v>
                </c:pt>
                <c:pt idx="66">
                  <c:v>3.2646540990036541E-2</c:v>
                </c:pt>
                <c:pt idx="67">
                  <c:v>3.2988772128005078E-2</c:v>
                </c:pt>
                <c:pt idx="68">
                  <c:v>3.3333785761720275E-2</c:v>
                </c:pt>
                <c:pt idx="69">
                  <c:v>3.3670862074876615E-2</c:v>
                </c:pt>
                <c:pt idx="70">
                  <c:v>3.4009635442485989E-2</c:v>
                </c:pt>
                <c:pt idx="71">
                  <c:v>3.4352353656960821E-2</c:v>
                </c:pt>
                <c:pt idx="72">
                  <c:v>3.4698159291505437E-2</c:v>
                </c:pt>
                <c:pt idx="73">
                  <c:v>3.5039778082528117E-2</c:v>
                </c:pt>
                <c:pt idx="74">
                  <c:v>3.5379571103959756E-2</c:v>
                </c:pt>
                <c:pt idx="75">
                  <c:v>3.5720135104250289E-2</c:v>
                </c:pt>
                <c:pt idx="76">
                  <c:v>3.6062353853796567E-2</c:v>
                </c:pt>
                <c:pt idx="77">
                  <c:v>3.6408102111872634E-2</c:v>
                </c:pt>
                <c:pt idx="78">
                  <c:v>3.6759323623249032E-2</c:v>
                </c:pt>
                <c:pt idx="79">
                  <c:v>3.7105862227428357E-2</c:v>
                </c:pt>
                <c:pt idx="80">
                  <c:v>3.7447620377328336E-2</c:v>
                </c:pt>
                <c:pt idx="81">
                  <c:v>3.7794752655304034E-2</c:v>
                </c:pt>
                <c:pt idx="82">
                  <c:v>3.8074614635254259E-2</c:v>
                </c:pt>
                <c:pt idx="83">
                  <c:v>3.8360333234115113E-2</c:v>
                </c:pt>
                <c:pt idx="84">
                  <c:v>3.8667193597917003E-2</c:v>
                </c:pt>
                <c:pt idx="85">
                  <c:v>3.8934903043529867E-2</c:v>
                </c:pt>
                <c:pt idx="86">
                  <c:v>3.9191880994540379E-2</c:v>
                </c:pt>
                <c:pt idx="87">
                  <c:v>3.9503482611013011E-2</c:v>
                </c:pt>
                <c:pt idx="88">
                  <c:v>3.973859795410048E-2</c:v>
                </c:pt>
                <c:pt idx="89">
                  <c:v>4.0042126088962557E-2</c:v>
                </c:pt>
                <c:pt idx="90">
                  <c:v>4.0404685688930908E-2</c:v>
                </c:pt>
                <c:pt idx="91">
                  <c:v>4.0743347339290498E-2</c:v>
                </c:pt>
                <c:pt idx="92">
                  <c:v>4.1091039163700487E-2</c:v>
                </c:pt>
                <c:pt idx="93">
                  <c:v>4.132615450678806E-2</c:v>
                </c:pt>
                <c:pt idx="94">
                  <c:v>4.1561269849875418E-2</c:v>
                </c:pt>
                <c:pt idx="95">
                  <c:v>4.1796385192962873E-2</c:v>
                </c:pt>
                <c:pt idx="96">
                  <c:v>4.2031500536050329E-2</c:v>
                </c:pt>
                <c:pt idx="97">
                  <c:v>4.2266615879137742E-2</c:v>
                </c:pt>
                <c:pt idx="98">
                  <c:v>4.2648552314586946E-2</c:v>
                </c:pt>
                <c:pt idx="99">
                  <c:v>4.2648552314586946E-2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3-4B59-9942-4988005C353A}"/>
            </c:ext>
          </c:extLst>
        </c:ser>
        <c:ser>
          <c:idx val="1"/>
          <c:order val="1"/>
          <c:tx>
            <c:strRef>
              <c:f>[0]!Series2Anchor</c:f>
              <c:strCache>
                <c:ptCount val="1"/>
                <c:pt idx="0">
                  <c:v>MLF_INV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xVal>
          <c:yVal>
            <c:numRef>
              <c:f>Graphs!$AN$36:$EI$36</c:f>
              <c:numCache>
                <c:formatCode>0.00%</c:formatCode>
                <c:ptCount val="100"/>
                <c:pt idx="0">
                  <c:v>1.2859380180842938E-2</c:v>
                </c:pt>
                <c:pt idx="1">
                  <c:v>1.3117760835201036E-2</c:v>
                </c:pt>
                <c:pt idx="2">
                  <c:v>1.3387942423145952E-2</c:v>
                </c:pt>
                <c:pt idx="3">
                  <c:v>1.3649504944628198E-2</c:v>
                </c:pt>
                <c:pt idx="4">
                  <c:v>1.3919486726837692E-2</c:v>
                </c:pt>
                <c:pt idx="5">
                  <c:v>1.4183240866157926E-2</c:v>
                </c:pt>
                <c:pt idx="6">
                  <c:v>1.4437127989470996E-2</c:v>
                </c:pt>
                <c:pt idx="7">
                  <c:v>1.4694554397604403E-2</c:v>
                </c:pt>
                <c:pt idx="8">
                  <c:v>1.4952562541048691E-2</c:v>
                </c:pt>
                <c:pt idx="9">
                  <c:v>1.5209049532054719E-2</c:v>
                </c:pt>
                <c:pt idx="10">
                  <c:v>1.5468112335729065E-2</c:v>
                </c:pt>
                <c:pt idx="11">
                  <c:v>1.5723320859829869E-2</c:v>
                </c:pt>
                <c:pt idx="12">
                  <c:v>1.5982410303612204E-2</c:v>
                </c:pt>
                <c:pt idx="13">
                  <c:v>1.6240007283601299E-2</c:v>
                </c:pt>
                <c:pt idx="14">
                  <c:v>1.6494234149768482E-2</c:v>
                </c:pt>
                <c:pt idx="15">
                  <c:v>1.6755734259694132E-2</c:v>
                </c:pt>
                <c:pt idx="16">
                  <c:v>1.7019656224193946E-2</c:v>
                </c:pt>
                <c:pt idx="17">
                  <c:v>1.7282267442903395E-2</c:v>
                </c:pt>
                <c:pt idx="18">
                  <c:v>1.7545702555196715E-2</c:v>
                </c:pt>
                <c:pt idx="19">
                  <c:v>1.7805980533814447E-2</c:v>
                </c:pt>
                <c:pt idx="20">
                  <c:v>1.809570566086276E-2</c:v>
                </c:pt>
                <c:pt idx="21">
                  <c:v>1.8442486347051434E-2</c:v>
                </c:pt>
                <c:pt idx="22">
                  <c:v>1.875671987401838E-2</c:v>
                </c:pt>
                <c:pt idx="23">
                  <c:v>1.9039737196677165E-2</c:v>
                </c:pt>
                <c:pt idx="24">
                  <c:v>1.9323682196195912E-2</c:v>
                </c:pt>
                <c:pt idx="25">
                  <c:v>1.95990581680817E-2</c:v>
                </c:pt>
                <c:pt idx="26">
                  <c:v>1.9876880977487962E-2</c:v>
                </c:pt>
                <c:pt idx="27">
                  <c:v>2.0139629056664148E-2</c:v>
                </c:pt>
                <c:pt idx="28">
                  <c:v>2.0412613863927415E-2</c:v>
                </c:pt>
                <c:pt idx="29">
                  <c:v>2.0695949460005286E-2</c:v>
                </c:pt>
                <c:pt idx="30">
                  <c:v>2.0977891786637521E-2</c:v>
                </c:pt>
                <c:pt idx="31">
                  <c:v>2.126178987762509E-2</c:v>
                </c:pt>
                <c:pt idx="32">
                  <c:v>2.1548248859080642E-2</c:v>
                </c:pt>
                <c:pt idx="33">
                  <c:v>2.1841780264964795E-2</c:v>
                </c:pt>
                <c:pt idx="34">
                  <c:v>2.2106309403439103E-2</c:v>
                </c:pt>
                <c:pt idx="35">
                  <c:v>2.2363583915269724E-2</c:v>
                </c:pt>
                <c:pt idx="36">
                  <c:v>2.2639471040300434E-2</c:v>
                </c:pt>
                <c:pt idx="37">
                  <c:v>2.2933745388358098E-2</c:v>
                </c:pt>
                <c:pt idx="38">
                  <c:v>2.3195858698199758E-2</c:v>
                </c:pt>
                <c:pt idx="39">
                  <c:v>2.3502170130099937E-2</c:v>
                </c:pt>
                <c:pt idx="40">
                  <c:v>2.3812515439647072E-2</c:v>
                </c:pt>
                <c:pt idx="41">
                  <c:v>2.4117149761342164E-2</c:v>
                </c:pt>
                <c:pt idx="42">
                  <c:v>2.4434638458448132E-2</c:v>
                </c:pt>
                <c:pt idx="43">
                  <c:v>2.4763711651581168E-2</c:v>
                </c:pt>
                <c:pt idx="44">
                  <c:v>2.5082946909919312E-2</c:v>
                </c:pt>
                <c:pt idx="45">
                  <c:v>2.5423917521744267E-2</c:v>
                </c:pt>
                <c:pt idx="46">
                  <c:v>2.5761675489020388E-2</c:v>
                </c:pt>
                <c:pt idx="47">
                  <c:v>2.6102525341762977E-2</c:v>
                </c:pt>
                <c:pt idx="48">
                  <c:v>2.6444252133273036E-2</c:v>
                </c:pt>
                <c:pt idx="49">
                  <c:v>2.6773056025885988E-2</c:v>
                </c:pt>
                <c:pt idx="50">
                  <c:v>2.7122085612618547E-2</c:v>
                </c:pt>
                <c:pt idx="51">
                  <c:v>2.7469755764897501E-2</c:v>
                </c:pt>
                <c:pt idx="52">
                  <c:v>2.7817070442858912E-2</c:v>
                </c:pt>
                <c:pt idx="53">
                  <c:v>2.8163711795348569E-2</c:v>
                </c:pt>
                <c:pt idx="54">
                  <c:v>2.8502327969457612E-2</c:v>
                </c:pt>
                <c:pt idx="55">
                  <c:v>2.8843756739542103E-2</c:v>
                </c:pt>
                <c:pt idx="56">
                  <c:v>2.9181782176085396E-2</c:v>
                </c:pt>
                <c:pt idx="57">
                  <c:v>2.9530550766824811E-2</c:v>
                </c:pt>
                <c:pt idx="58">
                  <c:v>2.9878704470469284E-2</c:v>
                </c:pt>
                <c:pt idx="59">
                  <c:v>3.0232212339086548E-2</c:v>
                </c:pt>
                <c:pt idx="60">
                  <c:v>3.0571176532984853E-2</c:v>
                </c:pt>
                <c:pt idx="61">
                  <c:v>3.0913013916415811E-2</c:v>
                </c:pt>
                <c:pt idx="62">
                  <c:v>3.1261262120577074E-2</c:v>
                </c:pt>
                <c:pt idx="63">
                  <c:v>3.1614166990651379E-2</c:v>
                </c:pt>
                <c:pt idx="64">
                  <c:v>3.1957561120050687E-2</c:v>
                </c:pt>
                <c:pt idx="65">
                  <c:v>3.2304811745668752E-2</c:v>
                </c:pt>
                <c:pt idx="66">
                  <c:v>3.2646540990036541E-2</c:v>
                </c:pt>
                <c:pt idx="67">
                  <c:v>3.2988772128005078E-2</c:v>
                </c:pt>
                <c:pt idx="68">
                  <c:v>3.3333785761720275E-2</c:v>
                </c:pt>
                <c:pt idx="69">
                  <c:v>3.3670862074876615E-2</c:v>
                </c:pt>
                <c:pt idx="70">
                  <c:v>3.4009635442485989E-2</c:v>
                </c:pt>
                <c:pt idx="71">
                  <c:v>3.4352353656960821E-2</c:v>
                </c:pt>
                <c:pt idx="72">
                  <c:v>3.4698159291505437E-2</c:v>
                </c:pt>
                <c:pt idx="73">
                  <c:v>3.5039778082528117E-2</c:v>
                </c:pt>
                <c:pt idx="74">
                  <c:v>3.5379571103959756E-2</c:v>
                </c:pt>
                <c:pt idx="75">
                  <c:v>3.5720135104250289E-2</c:v>
                </c:pt>
                <c:pt idx="76">
                  <c:v>3.6062353853796567E-2</c:v>
                </c:pt>
                <c:pt idx="77">
                  <c:v>3.6408102111872634E-2</c:v>
                </c:pt>
                <c:pt idx="78">
                  <c:v>3.6759323623249032E-2</c:v>
                </c:pt>
                <c:pt idx="79">
                  <c:v>3.7105862227428357E-2</c:v>
                </c:pt>
                <c:pt idx="80">
                  <c:v>3.7447620377328336E-2</c:v>
                </c:pt>
                <c:pt idx="81">
                  <c:v>3.7794752655304034E-2</c:v>
                </c:pt>
                <c:pt idx="82">
                  <c:v>3.8074614635254259E-2</c:v>
                </c:pt>
                <c:pt idx="83">
                  <c:v>3.8360333234115113E-2</c:v>
                </c:pt>
                <c:pt idx="84">
                  <c:v>3.8667193597917003E-2</c:v>
                </c:pt>
                <c:pt idx="85">
                  <c:v>3.8934903043529867E-2</c:v>
                </c:pt>
                <c:pt idx="86">
                  <c:v>3.9191880994540379E-2</c:v>
                </c:pt>
                <c:pt idx="87">
                  <c:v>3.9503482611013011E-2</c:v>
                </c:pt>
                <c:pt idx="88">
                  <c:v>3.973859795410048E-2</c:v>
                </c:pt>
                <c:pt idx="89">
                  <c:v>4.0042126088962557E-2</c:v>
                </c:pt>
                <c:pt idx="90">
                  <c:v>4.0404685688930908E-2</c:v>
                </c:pt>
                <c:pt idx="91">
                  <c:v>4.0743347339290498E-2</c:v>
                </c:pt>
                <c:pt idx="92">
                  <c:v>4.1091039163700487E-2</c:v>
                </c:pt>
                <c:pt idx="93">
                  <c:v>4.132615450678806E-2</c:v>
                </c:pt>
                <c:pt idx="94">
                  <c:v>4.1561269849875418E-2</c:v>
                </c:pt>
                <c:pt idx="95">
                  <c:v>4.1796385192962873E-2</c:v>
                </c:pt>
                <c:pt idx="96">
                  <c:v>4.2031500536050329E-2</c:v>
                </c:pt>
                <c:pt idx="97">
                  <c:v>4.2266615879137742E-2</c:v>
                </c:pt>
                <c:pt idx="98">
                  <c:v>4.2648552314586946E-2</c:v>
                </c:pt>
                <c:pt idx="99">
                  <c:v>4.2648552314586946E-2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83-4B59-9942-4988005C3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71616"/>
        <c:axId val="203313920"/>
      </c:scatterChart>
      <c:valAx>
        <c:axId val="201071616"/>
        <c:scaling>
          <c:orientation val="minMax"/>
          <c:max val="0.16"/>
          <c:min val="0.0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13920"/>
        <c:crosses val="autoZero"/>
        <c:crossBetween val="midCat"/>
      </c:valAx>
      <c:valAx>
        <c:axId val="203313920"/>
        <c:scaling>
          <c:orientation val="minMax"/>
          <c:max val="0.05"/>
          <c:min val="0.0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7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[0]!Series1Anchor</c:f>
          <c:strCache>
            <c:ptCount val="1"/>
            <c:pt idx="0">
              <c:v>MLF_INV</c:v>
            </c:pt>
          </c:strCache>
        </c:strRef>
      </c:tx>
      <c:layout>
        <c:manualLayout>
          <c:xMode val="edge"/>
          <c:yMode val="edge"/>
          <c:x val="3.3218881872353542E-2"/>
          <c:y val="1.8260554240891506E-2"/>
        </c:manualLayout>
      </c:layout>
      <c:overlay val="0"/>
      <c:spPr>
        <a:noFill/>
      </c:spPr>
      <c:txPr>
        <a:bodyPr/>
        <a:lstStyle/>
        <a:p>
          <a:pPr>
            <a:defRPr sz="1200" b="1" u="sng">
              <a:solidFill>
                <a:srgbClr val="0000CC"/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349898876118771E-2"/>
          <c:y val="8.2925279909631555E-2"/>
          <c:w val="0.80863310359586249"/>
          <c:h val="0.82610717964051961"/>
        </c:manualLayout>
      </c:layout>
      <c:areaChart>
        <c:grouping val="stacked"/>
        <c:varyColors val="0"/>
        <c:ser>
          <c:idx val="0"/>
          <c:order val="0"/>
          <c:tx>
            <c:strRef>
              <c:f>Graphs!$AM$13</c:f>
              <c:strCache>
                <c:ptCount val="1"/>
                <c:pt idx="0">
                  <c:v>Cash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Graphs!$AN$13:$EI$13</c:f>
              <c:numCache>
                <c:formatCode>0.0%;[Red]\-0.0%;.</c:formatCode>
                <c:ptCount val="100"/>
                <c:pt idx="0" formatCode="0.0000%">
                  <c:v>0.14179799082621383</c:v>
                </c:pt>
                <c:pt idx="1">
                  <c:v>0.13233091861973695</c:v>
                </c:pt>
                <c:pt idx="2">
                  <c:v>0.1243942655455476</c:v>
                </c:pt>
                <c:pt idx="3">
                  <c:v>0.11520116989470815</c:v>
                </c:pt>
                <c:pt idx="4">
                  <c:v>0.10916922641255304</c:v>
                </c:pt>
                <c:pt idx="5">
                  <c:v>0.10360047909410217</c:v>
                </c:pt>
                <c:pt idx="6">
                  <c:v>9.6075954155486074E-2</c:v>
                </c:pt>
                <c:pt idx="7">
                  <c:v>8.9845004617069596E-2</c:v>
                </c:pt>
                <c:pt idx="8">
                  <c:v>8.1880626480782523E-2</c:v>
                </c:pt>
                <c:pt idx="9">
                  <c:v>7.4763169275450445E-2</c:v>
                </c:pt>
                <c:pt idx="10">
                  <c:v>6.9245757013342041E-2</c:v>
                </c:pt>
                <c:pt idx="11">
                  <c:v>6.2578770300411937E-2</c:v>
                </c:pt>
                <c:pt idx="12">
                  <c:v>5.6082941838110772E-2</c:v>
                </c:pt>
                <c:pt idx="13">
                  <c:v>5.0575807917931599E-2</c:v>
                </c:pt>
                <c:pt idx="14">
                  <c:v>4.4966573648398643E-2</c:v>
                </c:pt>
                <c:pt idx="15">
                  <c:v>3.9620894965772896E-2</c:v>
                </c:pt>
                <c:pt idx="16">
                  <c:v>3.4756315073657965E-2</c:v>
                </c:pt>
                <c:pt idx="17">
                  <c:v>2.820966588995916E-2</c:v>
                </c:pt>
                <c:pt idx="18">
                  <c:v>2.1498020140681542E-2</c:v>
                </c:pt>
                <c:pt idx="19">
                  <c:v>1.4429740286368013E-2</c:v>
                </c:pt>
                <c:pt idx="20">
                  <c:v>1.0600000000692944E-2</c:v>
                </c:pt>
                <c:pt idx="21">
                  <c:v>1.0600000000692944E-2</c:v>
                </c:pt>
                <c:pt idx="22">
                  <c:v>1.0600000000692944E-2</c:v>
                </c:pt>
                <c:pt idx="23">
                  <c:v>1.0600000000692944E-2</c:v>
                </c:pt>
                <c:pt idx="24">
                  <c:v>1.0600000000692944E-2</c:v>
                </c:pt>
                <c:pt idx="25">
                  <c:v>1.0600000000692944E-2</c:v>
                </c:pt>
                <c:pt idx="26">
                  <c:v>1.0600000000692944E-2</c:v>
                </c:pt>
                <c:pt idx="27">
                  <c:v>1.0600000000692944E-2</c:v>
                </c:pt>
                <c:pt idx="28">
                  <c:v>1.0600000000692944E-2</c:v>
                </c:pt>
                <c:pt idx="29">
                  <c:v>1.0600000000692944E-2</c:v>
                </c:pt>
                <c:pt idx="30">
                  <c:v>1.0600000000692944E-2</c:v>
                </c:pt>
                <c:pt idx="31">
                  <c:v>1.0600000000692944E-2</c:v>
                </c:pt>
                <c:pt idx="32">
                  <c:v>1.0600000000692944E-2</c:v>
                </c:pt>
                <c:pt idx="33">
                  <c:v>1.0600000000692944E-2</c:v>
                </c:pt>
                <c:pt idx="34">
                  <c:v>1.0600000000692944E-2</c:v>
                </c:pt>
                <c:pt idx="35">
                  <c:v>1.0600000000692944E-2</c:v>
                </c:pt>
                <c:pt idx="36">
                  <c:v>1.0600000000692944E-2</c:v>
                </c:pt>
                <c:pt idx="37">
                  <c:v>1.0600000000692944E-2</c:v>
                </c:pt>
                <c:pt idx="38">
                  <c:v>1.0600000000692944E-2</c:v>
                </c:pt>
                <c:pt idx="39">
                  <c:v>1.0600000000692944E-2</c:v>
                </c:pt>
                <c:pt idx="40">
                  <c:v>1.0600000000692944E-2</c:v>
                </c:pt>
                <c:pt idx="41">
                  <c:v>1.0600000000692944E-2</c:v>
                </c:pt>
                <c:pt idx="42">
                  <c:v>1.0600000000692944E-2</c:v>
                </c:pt>
                <c:pt idx="43">
                  <c:v>1.0600000000692944E-2</c:v>
                </c:pt>
                <c:pt idx="44">
                  <c:v>1.0600000000692944E-2</c:v>
                </c:pt>
                <c:pt idx="45">
                  <c:v>1.0600000000692944E-2</c:v>
                </c:pt>
                <c:pt idx="46">
                  <c:v>1.0600000000692944E-2</c:v>
                </c:pt>
                <c:pt idx="47">
                  <c:v>1.0600000000692944E-2</c:v>
                </c:pt>
                <c:pt idx="48">
                  <c:v>1.0600000000692944E-2</c:v>
                </c:pt>
                <c:pt idx="49">
                  <c:v>1.0600000000692944E-2</c:v>
                </c:pt>
                <c:pt idx="50">
                  <c:v>1.0600000000692944E-2</c:v>
                </c:pt>
                <c:pt idx="51">
                  <c:v>1.0600000000692944E-2</c:v>
                </c:pt>
                <c:pt idx="52">
                  <c:v>1.0600000000692944E-2</c:v>
                </c:pt>
                <c:pt idx="53">
                  <c:v>1.0600000000692944E-2</c:v>
                </c:pt>
                <c:pt idx="54">
                  <c:v>1.0600000000692944E-2</c:v>
                </c:pt>
                <c:pt idx="55">
                  <c:v>1.0600000000692944E-2</c:v>
                </c:pt>
                <c:pt idx="56">
                  <c:v>1.0600000000692944E-2</c:v>
                </c:pt>
                <c:pt idx="57">
                  <c:v>1.0600000000692944E-2</c:v>
                </c:pt>
                <c:pt idx="58">
                  <c:v>1.0600000000692944E-2</c:v>
                </c:pt>
                <c:pt idx="59">
                  <c:v>1.0600000000692944E-2</c:v>
                </c:pt>
                <c:pt idx="60">
                  <c:v>1.0600000000692944E-2</c:v>
                </c:pt>
                <c:pt idx="61">
                  <c:v>1.0600000000692944E-2</c:v>
                </c:pt>
                <c:pt idx="62">
                  <c:v>1.0600000000692944E-2</c:v>
                </c:pt>
                <c:pt idx="63">
                  <c:v>1.0600000000692944E-2</c:v>
                </c:pt>
                <c:pt idx="64">
                  <c:v>1.0600000000692944E-2</c:v>
                </c:pt>
                <c:pt idx="65">
                  <c:v>1.0600000000692944E-2</c:v>
                </c:pt>
                <c:pt idx="66">
                  <c:v>1.0600000000692944E-2</c:v>
                </c:pt>
                <c:pt idx="67">
                  <c:v>1.0600000000692944E-2</c:v>
                </c:pt>
                <c:pt idx="68">
                  <c:v>1.0600000000692944E-2</c:v>
                </c:pt>
                <c:pt idx="69">
                  <c:v>1.0600000000692944E-2</c:v>
                </c:pt>
                <c:pt idx="70">
                  <c:v>1.0600000000692944E-2</c:v>
                </c:pt>
                <c:pt idx="71">
                  <c:v>1.0600000000692944E-2</c:v>
                </c:pt>
                <c:pt idx="72">
                  <c:v>1.0600000000692944E-2</c:v>
                </c:pt>
                <c:pt idx="73">
                  <c:v>1.0600000000692944E-2</c:v>
                </c:pt>
                <c:pt idx="74">
                  <c:v>1.0600000000692944E-2</c:v>
                </c:pt>
                <c:pt idx="75">
                  <c:v>1.0600000000692944E-2</c:v>
                </c:pt>
                <c:pt idx="76">
                  <c:v>1.0600000000692944E-2</c:v>
                </c:pt>
                <c:pt idx="77">
                  <c:v>1.0600000000692944E-2</c:v>
                </c:pt>
                <c:pt idx="78">
                  <c:v>1.0600000000692944E-2</c:v>
                </c:pt>
                <c:pt idx="79">
                  <c:v>1.0600000000692944E-2</c:v>
                </c:pt>
                <c:pt idx="80">
                  <c:v>1.0600000000692944E-2</c:v>
                </c:pt>
                <c:pt idx="81">
                  <c:v>1.0600000000692944E-2</c:v>
                </c:pt>
                <c:pt idx="82">
                  <c:v>1.0600000000692944E-2</c:v>
                </c:pt>
                <c:pt idx="83">
                  <c:v>1.0600000000692944E-2</c:v>
                </c:pt>
                <c:pt idx="84">
                  <c:v>1.0600000000692944E-2</c:v>
                </c:pt>
                <c:pt idx="85">
                  <c:v>1.0600000000692946E-2</c:v>
                </c:pt>
                <c:pt idx="86">
                  <c:v>1.0600000000692944E-2</c:v>
                </c:pt>
                <c:pt idx="87">
                  <c:v>1.0600000000692944E-2</c:v>
                </c:pt>
                <c:pt idx="88">
                  <c:v>1.0600000000692944E-2</c:v>
                </c:pt>
                <c:pt idx="89">
                  <c:v>2.0342527715441542E-2</c:v>
                </c:pt>
                <c:pt idx="90">
                  <c:v>3.8491607332567526E-2</c:v>
                </c:pt>
                <c:pt idx="91">
                  <c:v>5.3237428138748433E-2</c:v>
                </c:pt>
                <c:pt idx="92">
                  <c:v>6.9269217821103096E-2</c:v>
                </c:pt>
                <c:pt idx="93">
                  <c:v>6.9269217821103624E-2</c:v>
                </c:pt>
                <c:pt idx="94">
                  <c:v>6.9269217821102375E-2</c:v>
                </c:pt>
                <c:pt idx="95">
                  <c:v>6.9269217821102388E-2</c:v>
                </c:pt>
                <c:pt idx="96">
                  <c:v>6.9269217821102388E-2</c:v>
                </c:pt>
                <c:pt idx="97">
                  <c:v>6.9269217821102388E-2</c:v>
                </c:pt>
                <c:pt idx="98">
                  <c:v>8.8119859034992601E-2</c:v>
                </c:pt>
                <c:pt idx="99" formatCode="0.0000%">
                  <c:v>8.8119859034992601E-2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A5-4B93-830D-9B28825C04AE}"/>
            </c:ext>
          </c:extLst>
        </c:ser>
        <c:ser>
          <c:idx val="1"/>
          <c:order val="1"/>
          <c:tx>
            <c:strRef>
              <c:f>Graphs!$AM$14</c:f>
              <c:strCache>
                <c:ptCount val="1"/>
                <c:pt idx="0">
                  <c:v>US Bond</c:v>
                </c:pt>
              </c:strCache>
            </c:strRef>
          </c:tx>
          <c:spPr>
            <a:solidFill>
              <a:srgbClr val="0000CC"/>
            </a:solid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Graphs!$AN$14:$EI$14</c:f>
              <c:numCache>
                <c:formatCode>0.0%;[Red]\-0.0%;.</c:formatCode>
                <c:ptCount val="100"/>
                <c:pt idx="0" formatCode="0.0000%">
                  <c:v>0.17360199869735138</c:v>
                </c:pt>
                <c:pt idx="1">
                  <c:v>0.18306907090382826</c:v>
                </c:pt>
                <c:pt idx="2">
                  <c:v>0.19100573416402442</c:v>
                </c:pt>
                <c:pt idx="3">
                  <c:v>0.20019882667131103</c:v>
                </c:pt>
                <c:pt idx="4">
                  <c:v>0.20623076310961955</c:v>
                </c:pt>
                <c:pt idx="5">
                  <c:v>0.21179951720063175</c:v>
                </c:pt>
                <c:pt idx="6">
                  <c:v>0.21932403446546048</c:v>
                </c:pt>
                <c:pt idx="7">
                  <c:v>0.22555498436639779</c:v>
                </c:pt>
                <c:pt idx="8">
                  <c:v>0.23351936981395138</c:v>
                </c:pt>
                <c:pt idx="9">
                  <c:v>0.24063681450574737</c:v>
                </c:pt>
                <c:pt idx="10">
                  <c:v>0.24615423928139191</c:v>
                </c:pt>
                <c:pt idx="11">
                  <c:v>0.25282122969958809</c:v>
                </c:pt>
                <c:pt idx="12">
                  <c:v>0.25931705816188921</c:v>
                </c:pt>
                <c:pt idx="13">
                  <c:v>0.26482419208206842</c:v>
                </c:pt>
                <c:pt idx="14">
                  <c:v>0.27043342635160139</c:v>
                </c:pt>
                <c:pt idx="15">
                  <c:v>0.27577910503422709</c:v>
                </c:pt>
                <c:pt idx="16">
                  <c:v>0.28064368492634206</c:v>
                </c:pt>
                <c:pt idx="17">
                  <c:v>0.28719032273098738</c:v>
                </c:pt>
                <c:pt idx="18">
                  <c:v>0.29390197985931849</c:v>
                </c:pt>
                <c:pt idx="19">
                  <c:v>0.300970259713632</c:v>
                </c:pt>
                <c:pt idx="20">
                  <c:v>0.30479999999930707</c:v>
                </c:pt>
                <c:pt idx="21">
                  <c:v>0.30479998862164626</c:v>
                </c:pt>
                <c:pt idx="22">
                  <c:v>0.30314076578792504</c:v>
                </c:pt>
                <c:pt idx="23">
                  <c:v>0.30076345560916595</c:v>
                </c:pt>
                <c:pt idx="24">
                  <c:v>0.29768880402918485</c:v>
                </c:pt>
                <c:pt idx="25">
                  <c:v>0.29426716515189677</c:v>
                </c:pt>
                <c:pt idx="26">
                  <c:v>0.29105720221668446</c:v>
                </c:pt>
                <c:pt idx="27">
                  <c:v>0.28705857745117935</c:v>
                </c:pt>
                <c:pt idx="28">
                  <c:v>0.28511126478761439</c:v>
                </c:pt>
                <c:pt idx="29">
                  <c:v>0.28282181633007319</c:v>
                </c:pt>
                <c:pt idx="30">
                  <c:v>0.28046361831669092</c:v>
                </c:pt>
                <c:pt idx="31">
                  <c:v>0.27703225152961908</c:v>
                </c:pt>
                <c:pt idx="32">
                  <c:v>0.27518365056006472</c:v>
                </c:pt>
                <c:pt idx="33">
                  <c:v>0.2737601662734378</c:v>
                </c:pt>
                <c:pt idx="34">
                  <c:v>0.27393750117402904</c:v>
                </c:pt>
                <c:pt idx="35">
                  <c:v>0.27386325659028676</c:v>
                </c:pt>
                <c:pt idx="36">
                  <c:v>0.27406359925391621</c:v>
                </c:pt>
                <c:pt idx="37">
                  <c:v>0.27440241796157921</c:v>
                </c:pt>
                <c:pt idx="38">
                  <c:v>0.2751342363443936</c:v>
                </c:pt>
                <c:pt idx="39">
                  <c:v>0.27351312044025738</c:v>
                </c:pt>
                <c:pt idx="40">
                  <c:v>0.27072877945345197</c:v>
                </c:pt>
                <c:pt idx="41">
                  <c:v>0.26822774824551932</c:v>
                </c:pt>
                <c:pt idx="42">
                  <c:v>0.26686854160777923</c:v>
                </c:pt>
                <c:pt idx="43">
                  <c:v>0.2656325977769679</c:v>
                </c:pt>
                <c:pt idx="44">
                  <c:v>0.26336921782040945</c:v>
                </c:pt>
                <c:pt idx="45">
                  <c:v>0.26336921782040945</c:v>
                </c:pt>
                <c:pt idx="46">
                  <c:v>0.26336921782040945</c:v>
                </c:pt>
                <c:pt idx="47">
                  <c:v>0.26336921782040945</c:v>
                </c:pt>
                <c:pt idx="48">
                  <c:v>0.26336921782040945</c:v>
                </c:pt>
                <c:pt idx="49">
                  <c:v>0.26336921782040945</c:v>
                </c:pt>
                <c:pt idx="50">
                  <c:v>0.26336921782040945</c:v>
                </c:pt>
                <c:pt idx="51">
                  <c:v>0.26336921782040945</c:v>
                </c:pt>
                <c:pt idx="52">
                  <c:v>0.26336921782040945</c:v>
                </c:pt>
                <c:pt idx="53">
                  <c:v>0.26336921782041006</c:v>
                </c:pt>
                <c:pt idx="54">
                  <c:v>0.26336921782040945</c:v>
                </c:pt>
                <c:pt idx="55">
                  <c:v>0.26336921782040951</c:v>
                </c:pt>
                <c:pt idx="56">
                  <c:v>0.26336921203824004</c:v>
                </c:pt>
                <c:pt idx="57">
                  <c:v>0.26336921782040978</c:v>
                </c:pt>
                <c:pt idx="58">
                  <c:v>0.26336921203824004</c:v>
                </c:pt>
                <c:pt idx="59">
                  <c:v>0.26336921203824004</c:v>
                </c:pt>
                <c:pt idx="60">
                  <c:v>0.26336921203824004</c:v>
                </c:pt>
                <c:pt idx="61">
                  <c:v>0.26336921203824004</c:v>
                </c:pt>
                <c:pt idx="62">
                  <c:v>0.26336921203824004</c:v>
                </c:pt>
                <c:pt idx="63">
                  <c:v>0.26336921782040945</c:v>
                </c:pt>
                <c:pt idx="64">
                  <c:v>0.26336921203824004</c:v>
                </c:pt>
                <c:pt idx="65">
                  <c:v>0.26336921203824004</c:v>
                </c:pt>
                <c:pt idx="66">
                  <c:v>0.26336921203824004</c:v>
                </c:pt>
                <c:pt idx="67">
                  <c:v>0.26336921203824004</c:v>
                </c:pt>
                <c:pt idx="68">
                  <c:v>0.26336921203824004</c:v>
                </c:pt>
                <c:pt idx="69">
                  <c:v>0.26336921203824004</c:v>
                </c:pt>
                <c:pt idx="70">
                  <c:v>0.26336921203824004</c:v>
                </c:pt>
                <c:pt idx="71">
                  <c:v>0.26336921203824004</c:v>
                </c:pt>
                <c:pt idx="72">
                  <c:v>0.26336921203824004</c:v>
                </c:pt>
                <c:pt idx="73">
                  <c:v>0.26336921203824004</c:v>
                </c:pt>
                <c:pt idx="74">
                  <c:v>0.26336921782040956</c:v>
                </c:pt>
                <c:pt idx="75">
                  <c:v>0.26336921782040945</c:v>
                </c:pt>
                <c:pt idx="76">
                  <c:v>0.26336921203824037</c:v>
                </c:pt>
                <c:pt idx="77">
                  <c:v>0.26336921782040945</c:v>
                </c:pt>
                <c:pt idx="78">
                  <c:v>0.26336921782040945</c:v>
                </c:pt>
                <c:pt idx="79">
                  <c:v>0.26336921782040945</c:v>
                </c:pt>
                <c:pt idx="80">
                  <c:v>0.26336921203824032</c:v>
                </c:pt>
                <c:pt idx="81">
                  <c:v>0.26336921782040951</c:v>
                </c:pt>
                <c:pt idx="82">
                  <c:v>0.26336921782040945</c:v>
                </c:pt>
                <c:pt idx="83">
                  <c:v>0.26336921782040945</c:v>
                </c:pt>
                <c:pt idx="84">
                  <c:v>0.26336921203824049</c:v>
                </c:pt>
                <c:pt idx="85">
                  <c:v>0.26336921782040945</c:v>
                </c:pt>
                <c:pt idx="86">
                  <c:v>0.26336921782040945</c:v>
                </c:pt>
                <c:pt idx="87">
                  <c:v>0.26336921782040945</c:v>
                </c:pt>
                <c:pt idx="88">
                  <c:v>0.2633692178204094</c:v>
                </c:pt>
                <c:pt idx="89">
                  <c:v>0.25362669010566086</c:v>
                </c:pt>
                <c:pt idx="90">
                  <c:v>0.23547761048853505</c:v>
                </c:pt>
                <c:pt idx="91">
                  <c:v>0.22073178968235496</c:v>
                </c:pt>
                <c:pt idx="92">
                  <c:v>0.20470000000000049</c:v>
                </c:pt>
                <c:pt idx="93">
                  <c:v>0.20470000000000022</c:v>
                </c:pt>
                <c:pt idx="94">
                  <c:v>0.20469999999999999</c:v>
                </c:pt>
                <c:pt idx="95">
                  <c:v>0.20469999999999999</c:v>
                </c:pt>
                <c:pt idx="96">
                  <c:v>0.20469999999999999</c:v>
                </c:pt>
                <c:pt idx="97">
                  <c:v>0.20469999999999999</c:v>
                </c:pt>
                <c:pt idx="98">
                  <c:v>0.18604626238165897</c:v>
                </c:pt>
                <c:pt idx="99" formatCode="0.0000%">
                  <c:v>0.18604626238165897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A5-4B93-830D-9B28825C04AE}"/>
            </c:ext>
          </c:extLst>
        </c:ser>
        <c:ser>
          <c:idx val="2"/>
          <c:order val="2"/>
          <c:tx>
            <c:strRef>
              <c:f>Graphs!$AM$15</c:f>
              <c:strCache>
                <c:ptCount val="1"/>
                <c:pt idx="0">
                  <c:v>CAN Bond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Graphs!$AN$15:$EI$15</c:f>
              <c:numCache>
                <c:formatCode>0.0%;[Red]\-0.0%;.</c:formatCode>
                <c:ptCount val="100"/>
                <c:pt idx="0" formatCode="0.0000%">
                  <c:v>0.12565999781753426</c:v>
                </c:pt>
                <c:pt idx="1">
                  <c:v>0.12565999781753404</c:v>
                </c:pt>
                <c:pt idx="2">
                  <c:v>0.12566000019566817</c:v>
                </c:pt>
                <c:pt idx="3">
                  <c:v>0.1256600013782368</c:v>
                </c:pt>
                <c:pt idx="4">
                  <c:v>0.12565999773126829</c:v>
                </c:pt>
                <c:pt idx="5">
                  <c:v>0.12566000135487185</c:v>
                </c:pt>
                <c:pt idx="6">
                  <c:v>0.12565999863249383</c:v>
                </c:pt>
                <c:pt idx="7">
                  <c:v>0.12565999826997326</c:v>
                </c:pt>
                <c:pt idx="8">
                  <c:v>0.12566000135487171</c:v>
                </c:pt>
                <c:pt idx="9">
                  <c:v>0.12566000347224263</c:v>
                </c:pt>
                <c:pt idx="10">
                  <c:v>0.12566000117967721</c:v>
                </c:pt>
                <c:pt idx="11">
                  <c:v>0.12565999988897605</c:v>
                </c:pt>
                <c:pt idx="12">
                  <c:v>0.12565999988897578</c:v>
                </c:pt>
                <c:pt idx="13">
                  <c:v>0.12565999988897572</c:v>
                </c:pt>
                <c:pt idx="14">
                  <c:v>0.12565999988897594</c:v>
                </c:pt>
                <c:pt idx="15">
                  <c:v>0.12565999988897575</c:v>
                </c:pt>
                <c:pt idx="16">
                  <c:v>0.1256599998889758</c:v>
                </c:pt>
                <c:pt idx="17">
                  <c:v>0.12565999863249416</c:v>
                </c:pt>
                <c:pt idx="18">
                  <c:v>0.1256599998889755</c:v>
                </c:pt>
                <c:pt idx="19">
                  <c:v>0.12565999988897583</c:v>
                </c:pt>
                <c:pt idx="20">
                  <c:v>0.12565999988894483</c:v>
                </c:pt>
                <c:pt idx="21">
                  <c:v>0.12565999863107052</c:v>
                </c:pt>
                <c:pt idx="22">
                  <c:v>0.12549578535132128</c:v>
                </c:pt>
                <c:pt idx="23">
                  <c:v>0.12434632069191798</c:v>
                </c:pt>
                <c:pt idx="24">
                  <c:v>0.12366406065600032</c:v>
                </c:pt>
                <c:pt idx="25">
                  <c:v>0.12307353726924031</c:v>
                </c:pt>
                <c:pt idx="26">
                  <c:v>0.12246253579926988</c:v>
                </c:pt>
                <c:pt idx="27">
                  <c:v>0.12219623310463948</c:v>
                </c:pt>
                <c:pt idx="28">
                  <c:v>0.11998567801014191</c:v>
                </c:pt>
                <c:pt idx="29">
                  <c:v>0.11902585504880191</c:v>
                </c:pt>
                <c:pt idx="30">
                  <c:v>0.11755758914442828</c:v>
                </c:pt>
                <c:pt idx="31">
                  <c:v>0.11797901561722159</c:v>
                </c:pt>
                <c:pt idx="32">
                  <c:v>0.11617498750936099</c:v>
                </c:pt>
                <c:pt idx="33">
                  <c:v>0.11441907222827888</c:v>
                </c:pt>
                <c:pt idx="34">
                  <c:v>0.10717291417596563</c:v>
                </c:pt>
                <c:pt idx="35">
                  <c:v>9.9639780279497089E-2</c:v>
                </c:pt>
                <c:pt idx="36">
                  <c:v>9.2909778972260465E-2</c:v>
                </c:pt>
                <c:pt idx="37">
                  <c:v>8.7346228400995832E-2</c:v>
                </c:pt>
                <c:pt idx="38">
                  <c:v>7.9246066200681392E-2</c:v>
                </c:pt>
                <c:pt idx="39">
                  <c:v>7.774999999791439E-2</c:v>
                </c:pt>
                <c:pt idx="40">
                  <c:v>7.774999999791439E-2</c:v>
                </c:pt>
                <c:pt idx="41">
                  <c:v>7.774999999791439E-2</c:v>
                </c:pt>
                <c:pt idx="42">
                  <c:v>7.774999999791439E-2</c:v>
                </c:pt>
                <c:pt idx="43">
                  <c:v>7.774999999791439E-2</c:v>
                </c:pt>
                <c:pt idx="44">
                  <c:v>7.774999999791439E-2</c:v>
                </c:pt>
                <c:pt idx="45">
                  <c:v>7.774999999791439E-2</c:v>
                </c:pt>
                <c:pt idx="46">
                  <c:v>7.774999999791439E-2</c:v>
                </c:pt>
                <c:pt idx="47">
                  <c:v>7.774999999791439E-2</c:v>
                </c:pt>
                <c:pt idx="48">
                  <c:v>7.774999999791439E-2</c:v>
                </c:pt>
                <c:pt idx="49">
                  <c:v>7.774999999791439E-2</c:v>
                </c:pt>
                <c:pt idx="50">
                  <c:v>7.774999999791439E-2</c:v>
                </c:pt>
                <c:pt idx="51">
                  <c:v>7.774999999791439E-2</c:v>
                </c:pt>
                <c:pt idx="52">
                  <c:v>7.774999999791439E-2</c:v>
                </c:pt>
                <c:pt idx="53">
                  <c:v>7.7749999997914376E-2</c:v>
                </c:pt>
                <c:pt idx="54">
                  <c:v>7.7749999997914307E-2</c:v>
                </c:pt>
                <c:pt idx="55">
                  <c:v>7.7749999997914376E-2</c:v>
                </c:pt>
                <c:pt idx="56">
                  <c:v>7.774999999791439E-2</c:v>
                </c:pt>
                <c:pt idx="57">
                  <c:v>7.7749999997914293E-2</c:v>
                </c:pt>
                <c:pt idx="58">
                  <c:v>7.774999999791439E-2</c:v>
                </c:pt>
                <c:pt idx="59">
                  <c:v>7.774999999791439E-2</c:v>
                </c:pt>
                <c:pt idx="60">
                  <c:v>7.774999999791439E-2</c:v>
                </c:pt>
                <c:pt idx="61">
                  <c:v>7.774999999791439E-2</c:v>
                </c:pt>
                <c:pt idx="62">
                  <c:v>7.774999999791439E-2</c:v>
                </c:pt>
                <c:pt idx="63">
                  <c:v>7.774999999791439E-2</c:v>
                </c:pt>
                <c:pt idx="64">
                  <c:v>7.774999999791439E-2</c:v>
                </c:pt>
                <c:pt idx="65">
                  <c:v>7.774999999791439E-2</c:v>
                </c:pt>
                <c:pt idx="66">
                  <c:v>7.774999999791439E-2</c:v>
                </c:pt>
                <c:pt idx="67">
                  <c:v>7.774999999791439E-2</c:v>
                </c:pt>
                <c:pt idx="68">
                  <c:v>7.774999999791439E-2</c:v>
                </c:pt>
                <c:pt idx="69">
                  <c:v>7.774999999791439E-2</c:v>
                </c:pt>
                <c:pt idx="70">
                  <c:v>7.774999999791439E-2</c:v>
                </c:pt>
                <c:pt idx="71">
                  <c:v>7.774999999791439E-2</c:v>
                </c:pt>
                <c:pt idx="72">
                  <c:v>7.774999999791439E-2</c:v>
                </c:pt>
                <c:pt idx="73">
                  <c:v>7.774999999791439E-2</c:v>
                </c:pt>
                <c:pt idx="74">
                  <c:v>7.7749999997914362E-2</c:v>
                </c:pt>
                <c:pt idx="75">
                  <c:v>7.774999999791439E-2</c:v>
                </c:pt>
                <c:pt idx="76">
                  <c:v>7.7749999997914432E-2</c:v>
                </c:pt>
                <c:pt idx="77">
                  <c:v>7.774999999791439E-2</c:v>
                </c:pt>
                <c:pt idx="78">
                  <c:v>7.774999999791439E-2</c:v>
                </c:pt>
                <c:pt idx="79">
                  <c:v>7.7749999997914404E-2</c:v>
                </c:pt>
                <c:pt idx="80">
                  <c:v>7.7749999997914376E-2</c:v>
                </c:pt>
                <c:pt idx="81">
                  <c:v>7.7749999997914376E-2</c:v>
                </c:pt>
                <c:pt idx="82">
                  <c:v>7.774999999791439E-2</c:v>
                </c:pt>
                <c:pt idx="83">
                  <c:v>7.774999999791439E-2</c:v>
                </c:pt>
                <c:pt idx="84">
                  <c:v>7.7749999997914557E-2</c:v>
                </c:pt>
                <c:pt idx="85">
                  <c:v>7.7749999997914376E-2</c:v>
                </c:pt>
                <c:pt idx="86">
                  <c:v>7.774999999791439E-2</c:v>
                </c:pt>
                <c:pt idx="87">
                  <c:v>7.774999999791439E-2</c:v>
                </c:pt>
                <c:pt idx="88">
                  <c:v>7.774999999791439E-2</c:v>
                </c:pt>
                <c:pt idx="89">
                  <c:v>6.8007472283165782E-2</c:v>
                </c:pt>
                <c:pt idx="90">
                  <c:v>4.9858392666039655E-2</c:v>
                </c:pt>
                <c:pt idx="91">
                  <c:v>3.5112571859859235E-2</c:v>
                </c:pt>
                <c:pt idx="92">
                  <c:v>1.908078217750403E-2</c:v>
                </c:pt>
                <c:pt idx="93">
                  <c:v>1.908078217750421E-2</c:v>
                </c:pt>
                <c:pt idx="94">
                  <c:v>1.9080782177504956E-2</c:v>
                </c:pt>
                <c:pt idx="95">
                  <c:v>1.9080782177504939E-2</c:v>
                </c:pt>
                <c:pt idx="96">
                  <c:v>1.9080782177504946E-2</c:v>
                </c:pt>
                <c:pt idx="97">
                  <c:v>1.9080782177504956E-2</c:v>
                </c:pt>
                <c:pt idx="98">
                  <c:v>1.5444355210365924E-4</c:v>
                </c:pt>
                <c:pt idx="99" formatCode="0.0000%">
                  <c:v>1.5444355210365924E-4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A5-4B93-830D-9B28825C04AE}"/>
            </c:ext>
          </c:extLst>
        </c:ser>
        <c:ser>
          <c:idx val="3"/>
          <c:order val="3"/>
          <c:tx>
            <c:strRef>
              <c:f>Graphs!$AM$16</c:f>
              <c:strCache>
                <c:ptCount val="1"/>
                <c:pt idx="0">
                  <c:v>Jpn Bond</c:v>
                </c:pt>
              </c:strCache>
            </c:strRef>
          </c:tx>
          <c:spPr>
            <a:solidFill>
              <a:srgbClr val="00B050"/>
            </a:solid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Graphs!$AN$16:$EI$16</c:f>
              <c:numCache>
                <c:formatCode>0.0%;[Red]\-0.0%;.</c:formatCode>
                <c:ptCount val="100"/>
                <c:pt idx="0" formatCode="0.0000%">
                  <c:v>4.9569996416732987E-2</c:v>
                </c:pt>
                <c:pt idx="1">
                  <c:v>4.9569996416732987E-2</c:v>
                </c:pt>
                <c:pt idx="2">
                  <c:v>4.9569999896194664E-2</c:v>
                </c:pt>
                <c:pt idx="3">
                  <c:v>4.9569999315262035E-2</c:v>
                </c:pt>
                <c:pt idx="4">
                  <c:v>4.9569996416732987E-2</c:v>
                </c:pt>
                <c:pt idx="5">
                  <c:v>4.9569999315262035E-2</c:v>
                </c:pt>
                <c:pt idx="6">
                  <c:v>4.9569996416732987E-2</c:v>
                </c:pt>
                <c:pt idx="7">
                  <c:v>4.9569996416732987E-2</c:v>
                </c:pt>
                <c:pt idx="8">
                  <c:v>4.9569999315262035E-2</c:v>
                </c:pt>
                <c:pt idx="9">
                  <c:v>4.9569996416732987E-2</c:v>
                </c:pt>
                <c:pt idx="10">
                  <c:v>4.9569999315262035E-2</c:v>
                </c:pt>
                <c:pt idx="11">
                  <c:v>4.9570000000000003E-2</c:v>
                </c:pt>
                <c:pt idx="12">
                  <c:v>4.9570000000000003E-2</c:v>
                </c:pt>
                <c:pt idx="13">
                  <c:v>4.9570000000000003E-2</c:v>
                </c:pt>
                <c:pt idx="14">
                  <c:v>4.9570000000000003E-2</c:v>
                </c:pt>
                <c:pt idx="15">
                  <c:v>4.9570000000000003E-2</c:v>
                </c:pt>
                <c:pt idx="16">
                  <c:v>4.9570000000000003E-2</c:v>
                </c:pt>
                <c:pt idx="17">
                  <c:v>4.9569996416732987E-2</c:v>
                </c:pt>
                <c:pt idx="18">
                  <c:v>4.9570000000000003E-2</c:v>
                </c:pt>
                <c:pt idx="19">
                  <c:v>4.9570000000000003E-2</c:v>
                </c:pt>
                <c:pt idx="20">
                  <c:v>4.9570000000000003E-2</c:v>
                </c:pt>
                <c:pt idx="21">
                  <c:v>4.9569996416732987E-2</c:v>
                </c:pt>
                <c:pt idx="22">
                  <c:v>4.9052894576362298E-2</c:v>
                </c:pt>
                <c:pt idx="23">
                  <c:v>4.8052748892116942E-2</c:v>
                </c:pt>
                <c:pt idx="24">
                  <c:v>4.6987339527710295E-2</c:v>
                </c:pt>
                <c:pt idx="25">
                  <c:v>4.5849544528874936E-2</c:v>
                </c:pt>
                <c:pt idx="26">
                  <c:v>4.4765970659019015E-2</c:v>
                </c:pt>
                <c:pt idx="27">
                  <c:v>4.3556494866372093E-2</c:v>
                </c:pt>
                <c:pt idx="28">
                  <c:v>4.2377379758457921E-2</c:v>
                </c:pt>
                <c:pt idx="29">
                  <c:v>4.1455930293816494E-2</c:v>
                </c:pt>
                <c:pt idx="30">
                  <c:v>4.0370796836513637E-2</c:v>
                </c:pt>
                <c:pt idx="31">
                  <c:v>3.9517218438883353E-2</c:v>
                </c:pt>
                <c:pt idx="32">
                  <c:v>3.8481382193145362E-2</c:v>
                </c:pt>
                <c:pt idx="33">
                  <c:v>3.7820788151719853E-2</c:v>
                </c:pt>
                <c:pt idx="34">
                  <c:v>3.7820788151719853E-2</c:v>
                </c:pt>
                <c:pt idx="35">
                  <c:v>3.7820788151719853E-2</c:v>
                </c:pt>
                <c:pt idx="36">
                  <c:v>3.7820788151719853E-2</c:v>
                </c:pt>
                <c:pt idx="37">
                  <c:v>3.7820788151719853E-2</c:v>
                </c:pt>
                <c:pt idx="38">
                  <c:v>3.7820788151719853E-2</c:v>
                </c:pt>
                <c:pt idx="39">
                  <c:v>3.7820788151719853E-2</c:v>
                </c:pt>
                <c:pt idx="40">
                  <c:v>3.7820788151719853E-2</c:v>
                </c:pt>
                <c:pt idx="41">
                  <c:v>3.7820788151719853E-2</c:v>
                </c:pt>
                <c:pt idx="42">
                  <c:v>3.7820788151719853E-2</c:v>
                </c:pt>
                <c:pt idx="43">
                  <c:v>3.7820788151719853E-2</c:v>
                </c:pt>
                <c:pt idx="44">
                  <c:v>3.7820788151719853E-2</c:v>
                </c:pt>
                <c:pt idx="45">
                  <c:v>3.7820788151719853E-2</c:v>
                </c:pt>
                <c:pt idx="46">
                  <c:v>3.7820788151719853E-2</c:v>
                </c:pt>
                <c:pt idx="47">
                  <c:v>3.7820788151719853E-2</c:v>
                </c:pt>
                <c:pt idx="48">
                  <c:v>3.7820788151719853E-2</c:v>
                </c:pt>
                <c:pt idx="49">
                  <c:v>3.7820788151719853E-2</c:v>
                </c:pt>
                <c:pt idx="50">
                  <c:v>3.7820788151719853E-2</c:v>
                </c:pt>
                <c:pt idx="51">
                  <c:v>3.7820788151719853E-2</c:v>
                </c:pt>
                <c:pt idx="52">
                  <c:v>3.7820788151719853E-2</c:v>
                </c:pt>
                <c:pt idx="53">
                  <c:v>3.7820788151719853E-2</c:v>
                </c:pt>
                <c:pt idx="54">
                  <c:v>3.782078815171986E-2</c:v>
                </c:pt>
                <c:pt idx="55">
                  <c:v>3.782078815171986E-2</c:v>
                </c:pt>
                <c:pt idx="56">
                  <c:v>3.7820788151719853E-2</c:v>
                </c:pt>
                <c:pt idx="57">
                  <c:v>3.7820788151719867E-2</c:v>
                </c:pt>
                <c:pt idx="58">
                  <c:v>3.7820788151719853E-2</c:v>
                </c:pt>
                <c:pt idx="59">
                  <c:v>3.7820788151719853E-2</c:v>
                </c:pt>
                <c:pt idx="60">
                  <c:v>3.7820788151719853E-2</c:v>
                </c:pt>
                <c:pt idx="61">
                  <c:v>3.7820788151719853E-2</c:v>
                </c:pt>
                <c:pt idx="62">
                  <c:v>3.7820788151719853E-2</c:v>
                </c:pt>
                <c:pt idx="63">
                  <c:v>3.7820788151719853E-2</c:v>
                </c:pt>
                <c:pt idx="64">
                  <c:v>3.7820788151719853E-2</c:v>
                </c:pt>
                <c:pt idx="65">
                  <c:v>3.7820788151719853E-2</c:v>
                </c:pt>
                <c:pt idx="66">
                  <c:v>3.7820788151719853E-2</c:v>
                </c:pt>
                <c:pt idx="67">
                  <c:v>3.7820788151719853E-2</c:v>
                </c:pt>
                <c:pt idx="68">
                  <c:v>3.7820788151719853E-2</c:v>
                </c:pt>
                <c:pt idx="69">
                  <c:v>3.7820788151719853E-2</c:v>
                </c:pt>
                <c:pt idx="70">
                  <c:v>3.7820788151719853E-2</c:v>
                </c:pt>
                <c:pt idx="71">
                  <c:v>3.7820788151719853E-2</c:v>
                </c:pt>
                <c:pt idx="72">
                  <c:v>3.7820788151719853E-2</c:v>
                </c:pt>
                <c:pt idx="73">
                  <c:v>3.7820788151719853E-2</c:v>
                </c:pt>
                <c:pt idx="74">
                  <c:v>3.7820788151719853E-2</c:v>
                </c:pt>
                <c:pt idx="75">
                  <c:v>3.7820788151719853E-2</c:v>
                </c:pt>
                <c:pt idx="76">
                  <c:v>3.7820788151719853E-2</c:v>
                </c:pt>
                <c:pt idx="77">
                  <c:v>3.7820788151719853E-2</c:v>
                </c:pt>
                <c:pt idx="78">
                  <c:v>3.7820788151719853E-2</c:v>
                </c:pt>
                <c:pt idx="79">
                  <c:v>3.7820788151719853E-2</c:v>
                </c:pt>
                <c:pt idx="80">
                  <c:v>3.7820788151719853E-2</c:v>
                </c:pt>
                <c:pt idx="81">
                  <c:v>3.782078815171986E-2</c:v>
                </c:pt>
                <c:pt idx="82">
                  <c:v>3.7820788151719853E-2</c:v>
                </c:pt>
                <c:pt idx="83">
                  <c:v>3.7820788151719853E-2</c:v>
                </c:pt>
                <c:pt idx="84">
                  <c:v>3.7820788151719853E-2</c:v>
                </c:pt>
                <c:pt idx="85">
                  <c:v>3.7820788151719853E-2</c:v>
                </c:pt>
                <c:pt idx="86">
                  <c:v>3.7820788151719853E-2</c:v>
                </c:pt>
                <c:pt idx="87">
                  <c:v>3.7820788151719853E-2</c:v>
                </c:pt>
                <c:pt idx="88">
                  <c:v>3.7820788151719853E-2</c:v>
                </c:pt>
                <c:pt idx="89">
                  <c:v>3.7820788151719853E-2</c:v>
                </c:pt>
                <c:pt idx="90">
                  <c:v>3.7820788151719853E-2</c:v>
                </c:pt>
                <c:pt idx="91">
                  <c:v>3.7820788151719853E-2</c:v>
                </c:pt>
                <c:pt idx="92">
                  <c:v>3.7820788151719902E-2</c:v>
                </c:pt>
                <c:pt idx="93">
                  <c:v>3.7820788151719853E-2</c:v>
                </c:pt>
                <c:pt idx="94">
                  <c:v>3.7820788151719853E-2</c:v>
                </c:pt>
                <c:pt idx="95">
                  <c:v>3.7820788151719853E-2</c:v>
                </c:pt>
                <c:pt idx="96">
                  <c:v>3.7820788151719853E-2</c:v>
                </c:pt>
                <c:pt idx="97">
                  <c:v>3.7820788151719853E-2</c:v>
                </c:pt>
                <c:pt idx="98">
                  <c:v>3.7844871872194076E-2</c:v>
                </c:pt>
                <c:pt idx="99" formatCode="0.0000%">
                  <c:v>3.7844871872194076E-2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A5-4B93-830D-9B28825C04AE}"/>
            </c:ext>
          </c:extLst>
        </c:ser>
        <c:ser>
          <c:idx val="4"/>
          <c:order val="4"/>
          <c:tx>
            <c:strRef>
              <c:f>Graphs!$AM$17</c:f>
              <c:strCache>
                <c:ptCount val="1"/>
                <c:pt idx="0">
                  <c:v>US Equ</c:v>
                </c:pt>
              </c:strCache>
            </c:strRef>
          </c:tx>
          <c:spPr>
            <a:pattFill prst="pct50">
              <a:fgClr>
                <a:srgbClr val="003399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Graphs!$AN$17:$EI$17</c:f>
              <c:numCache>
                <c:formatCode>0.0%;[Red]\-0.0%;.</c:formatCode>
                <c:ptCount val="100"/>
                <c:pt idx="0" formatCode="0.0000%">
                  <c:v>1.0476434817458315E-8</c:v>
                </c:pt>
                <c:pt idx="1">
                  <c:v>1.0476434817459305E-8</c:v>
                </c:pt>
                <c:pt idx="2">
                  <c:v>5.6171325000046334E-10</c:v>
                </c:pt>
                <c:pt idx="3">
                  <c:v>3.7052660653161717E-9</c:v>
                </c:pt>
                <c:pt idx="4">
                  <c:v>1.6209906174922128E-8</c:v>
                </c:pt>
                <c:pt idx="5">
                  <c:v>3.7052660653294409E-9</c:v>
                </c:pt>
                <c:pt idx="6">
                  <c:v>1.1379053474060595E-8</c:v>
                </c:pt>
                <c:pt idx="7">
                  <c:v>1.6209906175078799E-8</c:v>
                </c:pt>
                <c:pt idx="8">
                  <c:v>3.7052660653110436E-9</c:v>
                </c:pt>
                <c:pt idx="9">
                  <c:v>1.6218802170038894E-8</c:v>
                </c:pt>
                <c:pt idx="10">
                  <c:v>3.7052660655278108E-9</c:v>
                </c:pt>
                <c:pt idx="11">
                  <c:v>6.4303795583483727E-23</c:v>
                </c:pt>
                <c:pt idx="12">
                  <c:v>-1.5823949861796387E-20</c:v>
                </c:pt>
                <c:pt idx="13">
                  <c:v>-5.6974578571882733E-21</c:v>
                </c:pt>
                <c:pt idx="14">
                  <c:v>4.2449158008903267E-22</c:v>
                </c:pt>
                <c:pt idx="15">
                  <c:v>1.3128412438418852E-19</c:v>
                </c:pt>
                <c:pt idx="16">
                  <c:v>1.4120362848793486E-21</c:v>
                </c:pt>
                <c:pt idx="17">
                  <c:v>1.1379053474202355E-8</c:v>
                </c:pt>
                <c:pt idx="18">
                  <c:v>-2.6375970670395079E-21</c:v>
                </c:pt>
                <c:pt idx="19">
                  <c:v>-3.1960663099092758E-23</c:v>
                </c:pt>
                <c:pt idx="20">
                  <c:v>3.12288092638616E-20</c:v>
                </c:pt>
                <c:pt idx="21">
                  <c:v>1.1377660810435615E-8</c:v>
                </c:pt>
                <c:pt idx="22">
                  <c:v>1.6592342113819656E-3</c:v>
                </c:pt>
                <c:pt idx="23">
                  <c:v>4.0365443901411091E-3</c:v>
                </c:pt>
                <c:pt idx="24">
                  <c:v>7.1111959701222523E-3</c:v>
                </c:pt>
                <c:pt idx="25">
                  <c:v>1.0532834847410279E-2</c:v>
                </c:pt>
                <c:pt idx="26">
                  <c:v>1.3742797782622605E-2</c:v>
                </c:pt>
                <c:pt idx="27">
                  <c:v>1.774142254812772E-2</c:v>
                </c:pt>
                <c:pt idx="28">
                  <c:v>1.9688735211692707E-2</c:v>
                </c:pt>
                <c:pt idx="29">
                  <c:v>2.1978183669233889E-2</c:v>
                </c:pt>
                <c:pt idx="30">
                  <c:v>2.4336381682616131E-2</c:v>
                </c:pt>
                <c:pt idx="31">
                  <c:v>2.7767748469688013E-2</c:v>
                </c:pt>
                <c:pt idx="32">
                  <c:v>2.9616349439242358E-2</c:v>
                </c:pt>
                <c:pt idx="33">
                  <c:v>3.1039833725869274E-2</c:v>
                </c:pt>
                <c:pt idx="34">
                  <c:v>3.0862498825278039E-2</c:v>
                </c:pt>
                <c:pt idx="35">
                  <c:v>3.0936743409020317E-2</c:v>
                </c:pt>
                <c:pt idx="36">
                  <c:v>3.0736400745390854E-2</c:v>
                </c:pt>
                <c:pt idx="37">
                  <c:v>3.0397582037727879E-2</c:v>
                </c:pt>
                <c:pt idx="38">
                  <c:v>2.9665763654913472E-2</c:v>
                </c:pt>
                <c:pt idx="39">
                  <c:v>3.128687955904972E-2</c:v>
                </c:pt>
                <c:pt idx="40">
                  <c:v>3.4071220545855062E-2</c:v>
                </c:pt>
                <c:pt idx="41">
                  <c:v>3.6572251753787699E-2</c:v>
                </c:pt>
                <c:pt idx="42">
                  <c:v>3.7931458391527839E-2</c:v>
                </c:pt>
                <c:pt idx="43">
                  <c:v>3.9167402222339207E-2</c:v>
                </c:pt>
                <c:pt idx="44">
                  <c:v>4.1430782178897611E-2</c:v>
                </c:pt>
                <c:pt idx="45">
                  <c:v>4.1430782178897611E-2</c:v>
                </c:pt>
                <c:pt idx="46">
                  <c:v>4.1430782178897611E-2</c:v>
                </c:pt>
                <c:pt idx="47">
                  <c:v>4.1430782178897604E-2</c:v>
                </c:pt>
                <c:pt idx="48">
                  <c:v>4.1430782178897611E-2</c:v>
                </c:pt>
                <c:pt idx="49">
                  <c:v>4.1430782178897611E-2</c:v>
                </c:pt>
                <c:pt idx="50">
                  <c:v>4.1430782178897611E-2</c:v>
                </c:pt>
                <c:pt idx="51">
                  <c:v>4.1430782178897611E-2</c:v>
                </c:pt>
                <c:pt idx="52">
                  <c:v>4.1430782178897611E-2</c:v>
                </c:pt>
                <c:pt idx="53">
                  <c:v>4.1430782178897348E-2</c:v>
                </c:pt>
                <c:pt idx="54">
                  <c:v>4.1430782178897785E-2</c:v>
                </c:pt>
                <c:pt idx="55">
                  <c:v>4.1430782178897625E-2</c:v>
                </c:pt>
                <c:pt idx="56">
                  <c:v>4.1430787961067021E-2</c:v>
                </c:pt>
                <c:pt idx="57">
                  <c:v>4.1430782178897486E-2</c:v>
                </c:pt>
                <c:pt idx="58">
                  <c:v>4.1430787961067021E-2</c:v>
                </c:pt>
                <c:pt idx="59">
                  <c:v>4.1430787961067021E-2</c:v>
                </c:pt>
                <c:pt idx="60">
                  <c:v>4.1430787961067021E-2</c:v>
                </c:pt>
                <c:pt idx="61">
                  <c:v>4.1430787961067021E-2</c:v>
                </c:pt>
                <c:pt idx="62">
                  <c:v>4.1430787961067014E-2</c:v>
                </c:pt>
                <c:pt idx="63">
                  <c:v>4.1430782178897611E-2</c:v>
                </c:pt>
                <c:pt idx="64">
                  <c:v>4.1430787961067021E-2</c:v>
                </c:pt>
                <c:pt idx="65">
                  <c:v>4.1430787961067021E-2</c:v>
                </c:pt>
                <c:pt idx="66">
                  <c:v>4.1430787961067021E-2</c:v>
                </c:pt>
                <c:pt idx="67">
                  <c:v>4.1430787961067021E-2</c:v>
                </c:pt>
                <c:pt idx="68">
                  <c:v>4.1430787961067021E-2</c:v>
                </c:pt>
                <c:pt idx="69">
                  <c:v>4.1430787961067021E-2</c:v>
                </c:pt>
                <c:pt idx="70">
                  <c:v>4.1430787961067014E-2</c:v>
                </c:pt>
                <c:pt idx="71">
                  <c:v>4.1430787961067021E-2</c:v>
                </c:pt>
                <c:pt idx="72">
                  <c:v>4.1430787961067021E-2</c:v>
                </c:pt>
                <c:pt idx="73">
                  <c:v>4.1430787961067014E-2</c:v>
                </c:pt>
                <c:pt idx="74">
                  <c:v>4.1430782178897563E-2</c:v>
                </c:pt>
                <c:pt idx="75">
                  <c:v>4.1430782178897611E-2</c:v>
                </c:pt>
                <c:pt idx="76">
                  <c:v>4.143078796106698E-2</c:v>
                </c:pt>
                <c:pt idx="77">
                  <c:v>4.1430782178897611E-2</c:v>
                </c:pt>
                <c:pt idx="78">
                  <c:v>4.1430782178897611E-2</c:v>
                </c:pt>
                <c:pt idx="79">
                  <c:v>4.1430782178897618E-2</c:v>
                </c:pt>
                <c:pt idx="80">
                  <c:v>4.1430787961066938E-2</c:v>
                </c:pt>
                <c:pt idx="81">
                  <c:v>4.1430782178897604E-2</c:v>
                </c:pt>
                <c:pt idx="82">
                  <c:v>4.1430782178897611E-2</c:v>
                </c:pt>
                <c:pt idx="83">
                  <c:v>4.1430782178897611E-2</c:v>
                </c:pt>
                <c:pt idx="84">
                  <c:v>4.1430787961066744E-2</c:v>
                </c:pt>
                <c:pt idx="85">
                  <c:v>4.1430782178897611E-2</c:v>
                </c:pt>
                <c:pt idx="86">
                  <c:v>4.1430782178897611E-2</c:v>
                </c:pt>
                <c:pt idx="87">
                  <c:v>4.1430782178897611E-2</c:v>
                </c:pt>
                <c:pt idx="88">
                  <c:v>4.1430782178897618E-2</c:v>
                </c:pt>
                <c:pt idx="89">
                  <c:v>4.1430782178897611E-2</c:v>
                </c:pt>
                <c:pt idx="90">
                  <c:v>4.1430782178897521E-2</c:v>
                </c:pt>
                <c:pt idx="91">
                  <c:v>4.1430782178897098E-2</c:v>
                </c:pt>
                <c:pt idx="92">
                  <c:v>4.1430782178896716E-2</c:v>
                </c:pt>
                <c:pt idx="93">
                  <c:v>4.1430782178897015E-2</c:v>
                </c:pt>
                <c:pt idx="94">
                  <c:v>4.1430782178897611E-2</c:v>
                </c:pt>
                <c:pt idx="95">
                  <c:v>4.1430782178897611E-2</c:v>
                </c:pt>
                <c:pt idx="96">
                  <c:v>4.1430782178897618E-2</c:v>
                </c:pt>
                <c:pt idx="97">
                  <c:v>4.1430782178897611E-2</c:v>
                </c:pt>
                <c:pt idx="98">
                  <c:v>4.1244303786698439E-2</c:v>
                </c:pt>
                <c:pt idx="99" formatCode="0.0000%">
                  <c:v>4.1244303786698439E-2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A5-4B93-830D-9B28825C04AE}"/>
            </c:ext>
          </c:extLst>
        </c:ser>
        <c:ser>
          <c:idx val="5"/>
          <c:order val="5"/>
          <c:tx>
            <c:strRef>
              <c:f>Graphs!$AM$18</c:f>
              <c:strCache>
                <c:ptCount val="1"/>
                <c:pt idx="0">
                  <c:v>CAN Equ</c:v>
                </c:pt>
              </c:strCache>
            </c:strRef>
          </c:tx>
          <c:spPr>
            <a:pattFill prst="pct50">
              <a:fgClr>
                <a:srgbClr val="FF000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Graphs!$AN$18:$EI$18</c:f>
              <c:numCache>
                <c:formatCode>0.0%;[Red]\-0.0%;.</c:formatCode>
                <c:ptCount val="100"/>
                <c:pt idx="0" formatCode="0.0000%">
                  <c:v>1.3926637621002399E-12</c:v>
                </c:pt>
                <c:pt idx="1">
                  <c:v>1.3926637623162635E-12</c:v>
                </c:pt>
                <c:pt idx="2">
                  <c:v>1.392663762117619E-12</c:v>
                </c:pt>
                <c:pt idx="3">
                  <c:v>1.3926637628272424E-12</c:v>
                </c:pt>
                <c:pt idx="4">
                  <c:v>1.3926637620897964E-12</c:v>
                </c:pt>
                <c:pt idx="5">
                  <c:v>1.3926637621103785E-12</c:v>
                </c:pt>
                <c:pt idx="6">
                  <c:v>1.3926637620897964E-12</c:v>
                </c:pt>
                <c:pt idx="7">
                  <c:v>1.3926637620897964E-12</c:v>
                </c:pt>
                <c:pt idx="8">
                  <c:v>1.3926637621426218E-12</c:v>
                </c:pt>
                <c:pt idx="9">
                  <c:v>1.3926637620897964E-12</c:v>
                </c:pt>
                <c:pt idx="10">
                  <c:v>1.3926637620897964E-12</c:v>
                </c:pt>
                <c:pt idx="11">
                  <c:v>1.3926637620897964E-12</c:v>
                </c:pt>
                <c:pt idx="12">
                  <c:v>1.3926637620897964E-12</c:v>
                </c:pt>
                <c:pt idx="13">
                  <c:v>1.3926637620897964E-12</c:v>
                </c:pt>
                <c:pt idx="14">
                  <c:v>1.3926637620897964E-12</c:v>
                </c:pt>
                <c:pt idx="15">
                  <c:v>1.3926637620897964E-12</c:v>
                </c:pt>
                <c:pt idx="16">
                  <c:v>1.3926637620897964E-12</c:v>
                </c:pt>
                <c:pt idx="17">
                  <c:v>1.3926637620897964E-12</c:v>
                </c:pt>
                <c:pt idx="18">
                  <c:v>1.3926637620897964E-12</c:v>
                </c:pt>
                <c:pt idx="19">
                  <c:v>1.3926637620897964E-12</c:v>
                </c:pt>
                <c:pt idx="20">
                  <c:v>1.3926637620897964E-12</c:v>
                </c:pt>
                <c:pt idx="21">
                  <c:v>1.3926637628352483E-12</c:v>
                </c:pt>
                <c:pt idx="22">
                  <c:v>1.3926637626004715E-12</c:v>
                </c:pt>
                <c:pt idx="23">
                  <c:v>1.3926637621749263E-12</c:v>
                </c:pt>
                <c:pt idx="24">
                  <c:v>1.3926637620897964E-12</c:v>
                </c:pt>
                <c:pt idx="25">
                  <c:v>1.3926637651780423E-12</c:v>
                </c:pt>
                <c:pt idx="26">
                  <c:v>1.3926637620897964E-12</c:v>
                </c:pt>
                <c:pt idx="27">
                  <c:v>1.3926637623735629E-12</c:v>
                </c:pt>
                <c:pt idx="28">
                  <c:v>1.3926637622590863E-12</c:v>
                </c:pt>
                <c:pt idx="29">
                  <c:v>1.3926637620897964E-12</c:v>
                </c:pt>
                <c:pt idx="30">
                  <c:v>1.3926637621886537E-12</c:v>
                </c:pt>
                <c:pt idx="31">
                  <c:v>1.3926637622374134E-12</c:v>
                </c:pt>
                <c:pt idx="32">
                  <c:v>1.3926637621416882E-12</c:v>
                </c:pt>
                <c:pt idx="33">
                  <c:v>1.3926637621077752E-12</c:v>
                </c:pt>
                <c:pt idx="34">
                  <c:v>1.3926637623580289E-12</c:v>
                </c:pt>
                <c:pt idx="35">
                  <c:v>1.3926637621697374E-12</c:v>
                </c:pt>
                <c:pt idx="36">
                  <c:v>1.3926637645350341E-12</c:v>
                </c:pt>
                <c:pt idx="37">
                  <c:v>1.3926637999002706E-12</c:v>
                </c:pt>
                <c:pt idx="38">
                  <c:v>1.3926637623498112E-12</c:v>
                </c:pt>
                <c:pt idx="39">
                  <c:v>1.3926637622036351E-12</c:v>
                </c:pt>
                <c:pt idx="40">
                  <c:v>1.3926637621870062E-12</c:v>
                </c:pt>
                <c:pt idx="41">
                  <c:v>1.3926637621313577E-12</c:v>
                </c:pt>
                <c:pt idx="42">
                  <c:v>1.3926637621110587E-12</c:v>
                </c:pt>
                <c:pt idx="43">
                  <c:v>1.3926637620897964E-12</c:v>
                </c:pt>
                <c:pt idx="44">
                  <c:v>1.3926637620897964E-12</c:v>
                </c:pt>
                <c:pt idx="45">
                  <c:v>1.392663766244871E-12</c:v>
                </c:pt>
                <c:pt idx="46">
                  <c:v>1.3926638254967105E-12</c:v>
                </c:pt>
                <c:pt idx="47">
                  <c:v>1.3926637620897964E-12</c:v>
                </c:pt>
                <c:pt idx="48">
                  <c:v>1.3926637622846447E-12</c:v>
                </c:pt>
                <c:pt idx="49">
                  <c:v>1.3926637621717418E-12</c:v>
                </c:pt>
                <c:pt idx="50">
                  <c:v>1.3926637693106752E-12</c:v>
                </c:pt>
                <c:pt idx="51">
                  <c:v>1.3926637623942319E-12</c:v>
                </c:pt>
                <c:pt idx="52">
                  <c:v>1.3926637634838409E-12</c:v>
                </c:pt>
                <c:pt idx="53">
                  <c:v>1.3927010840913344E-12</c:v>
                </c:pt>
                <c:pt idx="54">
                  <c:v>1.3926808843826301E-12</c:v>
                </c:pt>
                <c:pt idx="55">
                  <c:v>1.392677286054374E-12</c:v>
                </c:pt>
                <c:pt idx="56">
                  <c:v>1.3926637625816752E-12</c:v>
                </c:pt>
                <c:pt idx="57">
                  <c:v>1.3927234329461937E-12</c:v>
                </c:pt>
                <c:pt idx="58">
                  <c:v>1.3926637639714505E-12</c:v>
                </c:pt>
                <c:pt idx="59">
                  <c:v>1.3926637620901015E-12</c:v>
                </c:pt>
                <c:pt idx="60">
                  <c:v>1.3926637621445634E-12</c:v>
                </c:pt>
                <c:pt idx="61">
                  <c:v>1.3926637620897964E-12</c:v>
                </c:pt>
                <c:pt idx="62">
                  <c:v>1.3926637620897964E-12</c:v>
                </c:pt>
                <c:pt idx="63">
                  <c:v>1.3926637822916373E-12</c:v>
                </c:pt>
                <c:pt idx="64">
                  <c:v>1.3926637624830713E-12</c:v>
                </c:pt>
                <c:pt idx="65">
                  <c:v>1.3926637621875798E-12</c:v>
                </c:pt>
                <c:pt idx="66">
                  <c:v>1.3926637656734087E-12</c:v>
                </c:pt>
                <c:pt idx="67">
                  <c:v>1.3926637620991078E-12</c:v>
                </c:pt>
                <c:pt idx="68">
                  <c:v>1.3926637635645814E-12</c:v>
                </c:pt>
                <c:pt idx="69">
                  <c:v>1.3926638048284182E-12</c:v>
                </c:pt>
                <c:pt idx="70">
                  <c:v>1.3926637631499941E-12</c:v>
                </c:pt>
                <c:pt idx="71">
                  <c:v>1.3926637666074047E-12</c:v>
                </c:pt>
                <c:pt idx="72">
                  <c:v>1.3926637620897964E-12</c:v>
                </c:pt>
                <c:pt idx="73">
                  <c:v>1.392663762090613E-12</c:v>
                </c:pt>
                <c:pt idx="74">
                  <c:v>1.3926637620897964E-12</c:v>
                </c:pt>
                <c:pt idx="75">
                  <c:v>1.3926637620897964E-12</c:v>
                </c:pt>
                <c:pt idx="76">
                  <c:v>1.3926796321867688E-12</c:v>
                </c:pt>
                <c:pt idx="77">
                  <c:v>1.3926637639316503E-12</c:v>
                </c:pt>
                <c:pt idx="78">
                  <c:v>1.3926637622811364E-12</c:v>
                </c:pt>
                <c:pt idx="79">
                  <c:v>1.3926637620897964E-12</c:v>
                </c:pt>
                <c:pt idx="80">
                  <c:v>1.3926768637886409E-12</c:v>
                </c:pt>
                <c:pt idx="81">
                  <c:v>1.3926637620947096E-12</c:v>
                </c:pt>
                <c:pt idx="82">
                  <c:v>1.3926643257763758E-12</c:v>
                </c:pt>
                <c:pt idx="83">
                  <c:v>1.3926637620897964E-12</c:v>
                </c:pt>
                <c:pt idx="84">
                  <c:v>1.3926817367433027E-12</c:v>
                </c:pt>
                <c:pt idx="85">
                  <c:v>1.3926637620897964E-12</c:v>
                </c:pt>
                <c:pt idx="86">
                  <c:v>1.3926638341631664E-12</c:v>
                </c:pt>
                <c:pt idx="87">
                  <c:v>1.3926637887541306E-12</c:v>
                </c:pt>
                <c:pt idx="88">
                  <c:v>1.3926644178756804E-12</c:v>
                </c:pt>
                <c:pt idx="89">
                  <c:v>1.3926637657616846E-12</c:v>
                </c:pt>
                <c:pt idx="90">
                  <c:v>1.3926871879949359E-12</c:v>
                </c:pt>
                <c:pt idx="91">
                  <c:v>1.3926637620897964E-12</c:v>
                </c:pt>
                <c:pt idx="92">
                  <c:v>1.3926875353299785E-12</c:v>
                </c:pt>
                <c:pt idx="93">
                  <c:v>1.3926784179315114E-12</c:v>
                </c:pt>
                <c:pt idx="94">
                  <c:v>1.3926637620897964E-12</c:v>
                </c:pt>
                <c:pt idx="95">
                  <c:v>1.3926638168299109E-12</c:v>
                </c:pt>
                <c:pt idx="96">
                  <c:v>1.39266383716975E-12</c:v>
                </c:pt>
                <c:pt idx="97">
                  <c:v>1.3926637620897964E-12</c:v>
                </c:pt>
                <c:pt idx="98">
                  <c:v>8.3687090572564789E-5</c:v>
                </c:pt>
                <c:pt idx="99" formatCode="0.0000%">
                  <c:v>8.3687090572564789E-5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A5-4B93-830D-9B28825C04AE}"/>
            </c:ext>
          </c:extLst>
        </c:ser>
        <c:ser>
          <c:idx val="6"/>
          <c:order val="6"/>
          <c:tx>
            <c:strRef>
              <c:f>Graphs!$AM$19</c:f>
              <c:strCache>
                <c:ptCount val="1"/>
                <c:pt idx="0">
                  <c:v>JPN Equ</c:v>
                </c:pt>
              </c:strCache>
            </c:strRef>
          </c:tx>
          <c:spPr>
            <a:pattFill prst="pct50">
              <a:fgClr>
                <a:srgbClr val="00B05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Graphs!$AN$19:$EI$19</c:f>
              <c:numCache>
                <c:formatCode>0.0%;[Red]\-0.0%;.</c:formatCode>
                <c:ptCount val="100"/>
                <c:pt idx="0" formatCode="0.0000%">
                  <c:v>3.5832670164382998E-9</c:v>
                </c:pt>
                <c:pt idx="1">
                  <c:v>3.5832670164387907E-9</c:v>
                </c:pt>
                <c:pt idx="2">
                  <c:v>3.5832670164381852E-9</c:v>
                </c:pt>
                <c:pt idx="3">
                  <c:v>3.5832670164381852E-9</c:v>
                </c:pt>
                <c:pt idx="4">
                  <c:v>3.5832670164434796E-9</c:v>
                </c:pt>
                <c:pt idx="5">
                  <c:v>3.5832670164381852E-9</c:v>
                </c:pt>
                <c:pt idx="6">
                  <c:v>3.5832670164418083E-9</c:v>
                </c:pt>
                <c:pt idx="7">
                  <c:v>3.5832670164381852E-9</c:v>
                </c:pt>
                <c:pt idx="8">
                  <c:v>3.5832670164381852E-9</c:v>
                </c:pt>
                <c:pt idx="9">
                  <c:v>3.5832670164384673E-9</c:v>
                </c:pt>
                <c:pt idx="10">
                  <c:v>3.5832670164381852E-9</c:v>
                </c:pt>
                <c:pt idx="11">
                  <c:v>3.5832670164381852E-9</c:v>
                </c:pt>
                <c:pt idx="12">
                  <c:v>3.5832670164381852E-9</c:v>
                </c:pt>
                <c:pt idx="13">
                  <c:v>3.5832670164381852E-9</c:v>
                </c:pt>
                <c:pt idx="14">
                  <c:v>3.5832670164381852E-9</c:v>
                </c:pt>
                <c:pt idx="15">
                  <c:v>3.5832670164381852E-9</c:v>
                </c:pt>
                <c:pt idx="16">
                  <c:v>3.5832670164381852E-9</c:v>
                </c:pt>
                <c:pt idx="17">
                  <c:v>3.5832670164381852E-9</c:v>
                </c:pt>
                <c:pt idx="18">
                  <c:v>3.5832670164381852E-9</c:v>
                </c:pt>
                <c:pt idx="19">
                  <c:v>3.5832670164381852E-9</c:v>
                </c:pt>
                <c:pt idx="20">
                  <c:v>3.5832670164381852E-9</c:v>
                </c:pt>
                <c:pt idx="21">
                  <c:v>3.5832670164381852E-9</c:v>
                </c:pt>
                <c:pt idx="22">
                  <c:v>5.171054236377087E-4</c:v>
                </c:pt>
                <c:pt idx="23">
                  <c:v>1.5172511078830602E-3</c:v>
                </c:pt>
                <c:pt idx="24">
                  <c:v>2.5826604722897096E-3</c:v>
                </c:pt>
                <c:pt idx="25">
                  <c:v>3.7204554711250679E-3</c:v>
                </c:pt>
                <c:pt idx="26">
                  <c:v>4.8040293409809896E-3</c:v>
                </c:pt>
                <c:pt idx="27">
                  <c:v>6.013505133627914E-3</c:v>
                </c:pt>
                <c:pt idx="28">
                  <c:v>7.1926202415420817E-3</c:v>
                </c:pt>
                <c:pt idx="29">
                  <c:v>8.1140697061835073E-3</c:v>
                </c:pt>
                <c:pt idx="30">
                  <c:v>9.1992031634863681E-3</c:v>
                </c:pt>
                <c:pt idx="31">
                  <c:v>1.0052781561116653E-2</c:v>
                </c:pt>
                <c:pt idx="32">
                  <c:v>1.1088617806854641E-2</c:v>
                </c:pt>
                <c:pt idx="33">
                  <c:v>1.1749211848280147E-2</c:v>
                </c:pt>
                <c:pt idx="34">
                  <c:v>1.1749211848280148E-2</c:v>
                </c:pt>
                <c:pt idx="35">
                  <c:v>1.1749211848280153E-2</c:v>
                </c:pt>
                <c:pt idx="36">
                  <c:v>1.1749211848280148E-2</c:v>
                </c:pt>
                <c:pt idx="37">
                  <c:v>1.1749211848280148E-2</c:v>
                </c:pt>
                <c:pt idx="38">
                  <c:v>1.1749211848280147E-2</c:v>
                </c:pt>
                <c:pt idx="39">
                  <c:v>1.174921184828015E-2</c:v>
                </c:pt>
                <c:pt idx="40">
                  <c:v>1.1749211848280153E-2</c:v>
                </c:pt>
                <c:pt idx="41">
                  <c:v>1.1749211848280148E-2</c:v>
                </c:pt>
                <c:pt idx="42">
                  <c:v>1.1749211848280152E-2</c:v>
                </c:pt>
                <c:pt idx="43">
                  <c:v>1.1749211848280148E-2</c:v>
                </c:pt>
                <c:pt idx="44">
                  <c:v>1.1749211848280148E-2</c:v>
                </c:pt>
                <c:pt idx="45">
                  <c:v>1.174921184828015E-2</c:v>
                </c:pt>
                <c:pt idx="46">
                  <c:v>1.174921184828015E-2</c:v>
                </c:pt>
                <c:pt idx="47">
                  <c:v>1.1749211848280153E-2</c:v>
                </c:pt>
                <c:pt idx="48">
                  <c:v>1.1749211848280152E-2</c:v>
                </c:pt>
                <c:pt idx="49">
                  <c:v>1.1749211848280152E-2</c:v>
                </c:pt>
                <c:pt idx="50">
                  <c:v>1.174921184828015E-2</c:v>
                </c:pt>
                <c:pt idx="51">
                  <c:v>1.1749211848280153E-2</c:v>
                </c:pt>
                <c:pt idx="52">
                  <c:v>1.1749211848280152E-2</c:v>
                </c:pt>
                <c:pt idx="53">
                  <c:v>1.1749211848280138E-2</c:v>
                </c:pt>
                <c:pt idx="54">
                  <c:v>1.1749211848280147E-2</c:v>
                </c:pt>
                <c:pt idx="55">
                  <c:v>1.174921184828015E-2</c:v>
                </c:pt>
                <c:pt idx="56">
                  <c:v>1.1749211848280152E-2</c:v>
                </c:pt>
                <c:pt idx="57">
                  <c:v>1.1749211848280133E-2</c:v>
                </c:pt>
                <c:pt idx="58">
                  <c:v>1.1749211848280148E-2</c:v>
                </c:pt>
                <c:pt idx="59">
                  <c:v>1.1749211848280147E-2</c:v>
                </c:pt>
                <c:pt idx="60">
                  <c:v>1.1749211848280152E-2</c:v>
                </c:pt>
                <c:pt idx="61">
                  <c:v>1.1749211848280152E-2</c:v>
                </c:pt>
                <c:pt idx="62">
                  <c:v>1.1749211848280153E-2</c:v>
                </c:pt>
                <c:pt idx="63">
                  <c:v>1.174921184828015E-2</c:v>
                </c:pt>
                <c:pt idx="64">
                  <c:v>1.1749211848280152E-2</c:v>
                </c:pt>
                <c:pt idx="65">
                  <c:v>1.1749211848280152E-2</c:v>
                </c:pt>
                <c:pt idx="66">
                  <c:v>1.1749211848280148E-2</c:v>
                </c:pt>
                <c:pt idx="67">
                  <c:v>1.174921184828015E-2</c:v>
                </c:pt>
                <c:pt idx="68">
                  <c:v>1.1749211848280148E-2</c:v>
                </c:pt>
                <c:pt idx="69">
                  <c:v>1.1749211848280153E-2</c:v>
                </c:pt>
                <c:pt idx="70">
                  <c:v>1.1749211848280153E-2</c:v>
                </c:pt>
                <c:pt idx="71">
                  <c:v>1.174921184828015E-2</c:v>
                </c:pt>
                <c:pt idx="72">
                  <c:v>1.174921184828015E-2</c:v>
                </c:pt>
                <c:pt idx="73">
                  <c:v>1.1749211848280153E-2</c:v>
                </c:pt>
                <c:pt idx="74">
                  <c:v>1.1749211848280138E-2</c:v>
                </c:pt>
                <c:pt idx="75">
                  <c:v>1.1749211848280153E-2</c:v>
                </c:pt>
                <c:pt idx="76">
                  <c:v>1.1749211848280205E-2</c:v>
                </c:pt>
                <c:pt idx="77">
                  <c:v>1.174921184828015E-2</c:v>
                </c:pt>
                <c:pt idx="78">
                  <c:v>1.1749211848280148E-2</c:v>
                </c:pt>
                <c:pt idx="79">
                  <c:v>1.174921184828015E-2</c:v>
                </c:pt>
                <c:pt idx="80">
                  <c:v>1.1749211848280134E-2</c:v>
                </c:pt>
                <c:pt idx="81">
                  <c:v>1.1749211848280148E-2</c:v>
                </c:pt>
                <c:pt idx="82">
                  <c:v>1.1749211848280148E-2</c:v>
                </c:pt>
                <c:pt idx="83">
                  <c:v>1.174921184828015E-2</c:v>
                </c:pt>
                <c:pt idx="84">
                  <c:v>1.1749211848280131E-2</c:v>
                </c:pt>
                <c:pt idx="85">
                  <c:v>1.174921184828015E-2</c:v>
                </c:pt>
                <c:pt idx="86">
                  <c:v>1.1749211848280148E-2</c:v>
                </c:pt>
                <c:pt idx="87">
                  <c:v>1.1749211848280148E-2</c:v>
                </c:pt>
                <c:pt idx="88">
                  <c:v>1.1749211848280148E-2</c:v>
                </c:pt>
                <c:pt idx="89">
                  <c:v>1.1749211848280152E-2</c:v>
                </c:pt>
                <c:pt idx="90">
                  <c:v>1.1749211848280176E-2</c:v>
                </c:pt>
                <c:pt idx="91">
                  <c:v>1.1749211848280195E-2</c:v>
                </c:pt>
                <c:pt idx="92">
                  <c:v>1.1749211848280114E-2</c:v>
                </c:pt>
                <c:pt idx="93">
                  <c:v>1.1749211848280219E-2</c:v>
                </c:pt>
                <c:pt idx="94">
                  <c:v>1.1749211848280147E-2</c:v>
                </c:pt>
                <c:pt idx="95">
                  <c:v>1.1749211848280147E-2</c:v>
                </c:pt>
                <c:pt idx="96">
                  <c:v>1.1749211848280147E-2</c:v>
                </c:pt>
                <c:pt idx="97">
                  <c:v>1.174921184828015E-2</c:v>
                </c:pt>
                <c:pt idx="98">
                  <c:v>1.1729354421311494E-2</c:v>
                </c:pt>
                <c:pt idx="99" formatCode="0.0000%">
                  <c:v>1.1729354421311494E-2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A5-4B93-830D-9B28825C04AE}"/>
            </c:ext>
          </c:extLst>
        </c:ser>
        <c:ser>
          <c:idx val="7"/>
          <c:order val="7"/>
          <c:tx>
            <c:strRef>
              <c:f>Graphs!$AM$20</c:f>
              <c:strCache>
                <c:ptCount val="1"/>
                <c:pt idx="0">
                  <c:v>EUR Equ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Graphs!$AN$20:$EI$20</c:f>
              <c:numCache>
                <c:formatCode>0.0%;[Red]\-0.0%;.</c:formatCode>
                <c:ptCount val="100"/>
                <c:pt idx="0" formatCode="0.0000%">
                  <c:v>1.1334156775520185E-9</c:v>
                </c:pt>
                <c:pt idx="1">
                  <c:v>1.1334156775528904E-9</c:v>
                </c:pt>
                <c:pt idx="2">
                  <c:v>-2.7461745962178664E-10</c:v>
                </c:pt>
                <c:pt idx="3">
                  <c:v>9.7372007278021517E-10</c:v>
                </c:pt>
                <c:pt idx="4">
                  <c:v>1.1334156775437283E-9</c:v>
                </c:pt>
                <c:pt idx="5">
                  <c:v>9.7372007278359483E-10</c:v>
                </c:pt>
                <c:pt idx="6">
                  <c:v>1.1334156775603724E-9</c:v>
                </c:pt>
                <c:pt idx="7">
                  <c:v>7.570838229796E-10</c:v>
                </c:pt>
                <c:pt idx="8">
                  <c:v>9.7372007277865097E-10</c:v>
                </c:pt>
                <c:pt idx="9">
                  <c:v>1.1334156775514134E-9</c:v>
                </c:pt>
                <c:pt idx="10">
                  <c:v>9.7372007286748293E-10</c:v>
                </c:pt>
                <c:pt idx="11">
                  <c:v>6.6194161263384166E-11</c:v>
                </c:pt>
                <c:pt idx="12">
                  <c:v>6.61941612648802E-11</c:v>
                </c:pt>
                <c:pt idx="13">
                  <c:v>6.6194161264606442E-11</c:v>
                </c:pt>
                <c:pt idx="14">
                  <c:v>6.6194161263715594E-11</c:v>
                </c:pt>
                <c:pt idx="15">
                  <c:v>7.2103068450540099E-20</c:v>
                </c:pt>
                <c:pt idx="16">
                  <c:v>1.6798783361275895E-22</c:v>
                </c:pt>
                <c:pt idx="17">
                  <c:v>1.1334156775522363E-9</c:v>
                </c:pt>
                <c:pt idx="18">
                  <c:v>6.6194161237193289E-11</c:v>
                </c:pt>
                <c:pt idx="19">
                  <c:v>-9.6179064711645944E-11</c:v>
                </c:pt>
                <c:pt idx="20">
                  <c:v>-1.3061575305424655E-20</c:v>
                </c:pt>
                <c:pt idx="21">
                  <c:v>1.1334156775551978E-9</c:v>
                </c:pt>
                <c:pt idx="22">
                  <c:v>1.540120423499839E-4</c:v>
                </c:pt>
                <c:pt idx="23">
                  <c:v>4.5189020458380854E-4</c:v>
                </c:pt>
                <c:pt idx="24">
                  <c:v>7.6920616014444462E-4</c:v>
                </c:pt>
                <c:pt idx="25">
                  <c:v>1.1080810746601679E-3</c:v>
                </c:pt>
                <c:pt idx="26">
                  <c:v>1.4308070515670422E-3</c:v>
                </c:pt>
                <c:pt idx="27">
                  <c:v>1.7910309989930681E-3</c:v>
                </c:pt>
                <c:pt idx="28">
                  <c:v>2.1422124787918123E-3</c:v>
                </c:pt>
                <c:pt idx="29">
                  <c:v>2.4166521703711794E-3</c:v>
                </c:pt>
                <c:pt idx="30">
                  <c:v>2.739842646650351E-3</c:v>
                </c:pt>
                <c:pt idx="31">
                  <c:v>2.9940679744339255E-3</c:v>
                </c:pt>
                <c:pt idx="32">
                  <c:v>3.3025760269267297E-3</c:v>
                </c:pt>
                <c:pt idx="33">
                  <c:v>3.4993239029033375E-3</c:v>
                </c:pt>
                <c:pt idx="34">
                  <c:v>3.4993239029033388E-3</c:v>
                </c:pt>
                <c:pt idx="35">
                  <c:v>3.4993239029033397E-3</c:v>
                </c:pt>
                <c:pt idx="36">
                  <c:v>3.4993239029033384E-3</c:v>
                </c:pt>
                <c:pt idx="37">
                  <c:v>3.4993239029033384E-3</c:v>
                </c:pt>
                <c:pt idx="38">
                  <c:v>3.499323902903338E-3</c:v>
                </c:pt>
                <c:pt idx="39">
                  <c:v>3.4993238535639365E-3</c:v>
                </c:pt>
                <c:pt idx="40">
                  <c:v>3.499323853563936E-3</c:v>
                </c:pt>
                <c:pt idx="41">
                  <c:v>3.499323853563936E-3</c:v>
                </c:pt>
                <c:pt idx="42">
                  <c:v>3.499323853563936E-3</c:v>
                </c:pt>
                <c:pt idx="43">
                  <c:v>2.2633800227525622E-3</c:v>
                </c:pt>
                <c:pt idx="44">
                  <c:v>6.6194161265387391E-11</c:v>
                </c:pt>
                <c:pt idx="45">
                  <c:v>6.6194161245948724E-11</c:v>
                </c:pt>
                <c:pt idx="46">
                  <c:v>6.6194161295074438E-11</c:v>
                </c:pt>
                <c:pt idx="47">
                  <c:v>6.6194161180118214E-11</c:v>
                </c:pt>
                <c:pt idx="48">
                  <c:v>6.6194161269623512E-11</c:v>
                </c:pt>
                <c:pt idx="49">
                  <c:v>6.6194161263346801E-11</c:v>
                </c:pt>
                <c:pt idx="50">
                  <c:v>6.6194161316057464E-11</c:v>
                </c:pt>
                <c:pt idx="51">
                  <c:v>6.6194161265518874E-11</c:v>
                </c:pt>
                <c:pt idx="52">
                  <c:v>6.6194161264266186E-11</c:v>
                </c:pt>
                <c:pt idx="53">
                  <c:v>6.6194455037536383E-11</c:v>
                </c:pt>
                <c:pt idx="54">
                  <c:v>6.619424837650925E-11</c:v>
                </c:pt>
                <c:pt idx="55">
                  <c:v>6.6194232233995482E-11</c:v>
                </c:pt>
                <c:pt idx="56">
                  <c:v>6.6194161261688769E-11</c:v>
                </c:pt>
                <c:pt idx="57">
                  <c:v>6.6194222854581074E-11</c:v>
                </c:pt>
                <c:pt idx="58">
                  <c:v>6.619416128074997E-11</c:v>
                </c:pt>
                <c:pt idx="59">
                  <c:v>6.6194161260835416E-11</c:v>
                </c:pt>
                <c:pt idx="60">
                  <c:v>6.6194161245800633E-11</c:v>
                </c:pt>
                <c:pt idx="61">
                  <c:v>6.6194161263790751E-11</c:v>
                </c:pt>
                <c:pt idx="62">
                  <c:v>6.6194161264010329E-11</c:v>
                </c:pt>
                <c:pt idx="63">
                  <c:v>6.6194161452960314E-11</c:v>
                </c:pt>
                <c:pt idx="64">
                  <c:v>6.6194161263529789E-11</c:v>
                </c:pt>
                <c:pt idx="65">
                  <c:v>6.619416115237393E-11</c:v>
                </c:pt>
                <c:pt idx="66">
                  <c:v>6.6194161475839923E-11</c:v>
                </c:pt>
                <c:pt idx="67">
                  <c:v>6.619416127456399E-11</c:v>
                </c:pt>
                <c:pt idx="68">
                  <c:v>6.6194161264108518E-11</c:v>
                </c:pt>
                <c:pt idx="69">
                  <c:v>6.6194161254553613E-11</c:v>
                </c:pt>
                <c:pt idx="70">
                  <c:v>6.619416132803089E-11</c:v>
                </c:pt>
                <c:pt idx="71">
                  <c:v>6.6194161266369396E-11</c:v>
                </c:pt>
                <c:pt idx="72">
                  <c:v>6.6194160970752998E-11</c:v>
                </c:pt>
                <c:pt idx="73">
                  <c:v>6.6194161261600468E-11</c:v>
                </c:pt>
                <c:pt idx="74">
                  <c:v>6.6194169535703958E-11</c:v>
                </c:pt>
                <c:pt idx="75">
                  <c:v>6.6194161409670773E-11</c:v>
                </c:pt>
                <c:pt idx="76">
                  <c:v>6.6194201344586352E-11</c:v>
                </c:pt>
                <c:pt idx="77">
                  <c:v>6.6194161263767461E-11</c:v>
                </c:pt>
                <c:pt idx="78">
                  <c:v>6.6194161263449617E-11</c:v>
                </c:pt>
                <c:pt idx="79">
                  <c:v>6.6194162496948158E-11</c:v>
                </c:pt>
                <c:pt idx="80">
                  <c:v>6.6194213602079075E-11</c:v>
                </c:pt>
                <c:pt idx="81">
                  <c:v>6.6194160889505354E-11</c:v>
                </c:pt>
                <c:pt idx="82">
                  <c:v>6.619416367455594E-11</c:v>
                </c:pt>
                <c:pt idx="83">
                  <c:v>6.6194161263782299E-11</c:v>
                </c:pt>
                <c:pt idx="84">
                  <c:v>6.6194246124418499E-11</c:v>
                </c:pt>
                <c:pt idx="85">
                  <c:v>6.6194161226082043E-11</c:v>
                </c:pt>
                <c:pt idx="86">
                  <c:v>6.619416125655221E-11</c:v>
                </c:pt>
                <c:pt idx="87">
                  <c:v>6.6194161436869351E-11</c:v>
                </c:pt>
                <c:pt idx="88">
                  <c:v>6.6194164610480792E-11</c:v>
                </c:pt>
                <c:pt idx="89">
                  <c:v>6.619416127716316E-11</c:v>
                </c:pt>
                <c:pt idx="90">
                  <c:v>6.6194164613254613E-11</c:v>
                </c:pt>
                <c:pt idx="91">
                  <c:v>6.6194343748435034E-11</c:v>
                </c:pt>
                <c:pt idx="92">
                  <c:v>6.619457389850902E-11</c:v>
                </c:pt>
                <c:pt idx="93">
                  <c:v>6.6194738082876674E-11</c:v>
                </c:pt>
                <c:pt idx="94">
                  <c:v>6.6194161190624468E-11</c:v>
                </c:pt>
                <c:pt idx="95">
                  <c:v>6.6194161124133273E-11</c:v>
                </c:pt>
                <c:pt idx="96">
                  <c:v>6.6194161072381778E-11</c:v>
                </c:pt>
                <c:pt idx="97">
                  <c:v>6.6194161355084388E-11</c:v>
                </c:pt>
                <c:pt idx="98">
                  <c:v>5.7815467275815604E-5</c:v>
                </c:pt>
                <c:pt idx="99" formatCode="0.0000%">
                  <c:v>5.7815467275815604E-5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A5-4B93-830D-9B28825C04AE}"/>
            </c:ext>
          </c:extLst>
        </c:ser>
        <c:ser>
          <c:idx val="8"/>
          <c:order val="8"/>
          <c:tx>
            <c:strRef>
              <c:f>Graphs!$AM$21</c:f>
              <c:strCache>
                <c:ptCount val="1"/>
                <c:pt idx="0">
                  <c:v>Oth Equ</c:v>
                </c:pt>
              </c:strCache>
            </c:strRef>
          </c:tx>
          <c:spPr>
            <a:pattFill prst="pct50">
              <a:fgClr>
                <a:schemeClr val="accent6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Graphs!$AN$21:$EI$21</c:f>
              <c:numCache>
                <c:formatCode>0.0%;[Red]\-0.0%;.</c:formatCode>
                <c:ptCount val="100"/>
                <c:pt idx="0" formatCode="0.0000%">
                  <c:v>6.8064614047587516E-9</c:v>
                </c:pt>
                <c:pt idx="1">
                  <c:v>6.8064614047572502E-9</c:v>
                </c:pt>
                <c:pt idx="2">
                  <c:v>6.0075182892265104E-9</c:v>
                </c:pt>
                <c:pt idx="3">
                  <c:v>6.7303998204340749E-9</c:v>
                </c:pt>
                <c:pt idx="4">
                  <c:v>6.8064614047579988E-9</c:v>
                </c:pt>
                <c:pt idx="5">
                  <c:v>6.7303998204387873E-9</c:v>
                </c:pt>
                <c:pt idx="6">
                  <c:v>5.9052354117775642E-9</c:v>
                </c:pt>
                <c:pt idx="7">
                  <c:v>6.8064614047667595E-9</c:v>
                </c:pt>
                <c:pt idx="8">
                  <c:v>6.730399820432782E-9</c:v>
                </c:pt>
                <c:pt idx="9">
                  <c:v>5.905235411774301E-9</c:v>
                </c:pt>
                <c:pt idx="10">
                  <c:v>6.7303998205178675E-9</c:v>
                </c:pt>
                <c:pt idx="11">
                  <c:v>5.9052354117739577E-9</c:v>
                </c:pt>
                <c:pt idx="12">
                  <c:v>5.9052354117739544E-9</c:v>
                </c:pt>
                <c:pt idx="13">
                  <c:v>5.9052354117743324E-9</c:v>
                </c:pt>
                <c:pt idx="14">
                  <c:v>5.905235411775277E-9</c:v>
                </c:pt>
                <c:pt idx="15">
                  <c:v>5.9052354118290661E-9</c:v>
                </c:pt>
                <c:pt idx="16">
                  <c:v>5.9052354117745011E-9</c:v>
                </c:pt>
                <c:pt idx="17">
                  <c:v>5.9052354117741057E-9</c:v>
                </c:pt>
                <c:pt idx="18">
                  <c:v>5.9052354117739684E-9</c:v>
                </c:pt>
                <c:pt idx="19">
                  <c:v>5.9052354117741686E-9</c:v>
                </c:pt>
                <c:pt idx="20">
                  <c:v>5.9052354117876103E-9</c:v>
                </c:pt>
                <c:pt idx="21">
                  <c:v>5.9052354117741744E-9</c:v>
                </c:pt>
                <c:pt idx="22">
                  <c:v>1.0208276052778368E-5</c:v>
                </c:pt>
                <c:pt idx="23">
                  <c:v>8.6179477322248033E-4</c:v>
                </c:pt>
                <c:pt idx="24">
                  <c:v>1.2267388535793394E-3</c:v>
                </c:pt>
                <c:pt idx="25">
                  <c:v>1.478387325823789E-3</c:v>
                </c:pt>
                <c:pt idx="26">
                  <c:v>1.7666628188871202E-3</c:v>
                </c:pt>
                <c:pt idx="27">
                  <c:v>1.6727415660914872E-3</c:v>
                </c:pt>
                <c:pt idx="28">
                  <c:v>3.5321151807903017E-3</c:v>
                </c:pt>
                <c:pt idx="29">
                  <c:v>4.2174984505509959E-3</c:v>
                </c:pt>
                <c:pt idx="30">
                  <c:v>5.3625738786455546E-3</c:v>
                </c:pt>
                <c:pt idx="31">
                  <c:v>4.6869220780685564E-3</c:v>
                </c:pt>
                <c:pt idx="32">
                  <c:v>6.1824421334363382E-3</c:v>
                </c:pt>
                <c:pt idx="33">
                  <c:v>6.8916370535458257E-3</c:v>
                </c:pt>
                <c:pt idx="34">
                  <c:v>7.0689719541370648E-3</c:v>
                </c:pt>
                <c:pt idx="35">
                  <c:v>6.9947273703948043E-3</c:v>
                </c:pt>
                <c:pt idx="36">
                  <c:v>7.1950700340242535E-3</c:v>
                </c:pt>
                <c:pt idx="37">
                  <c:v>7.5338887416872263E-3</c:v>
                </c:pt>
                <c:pt idx="38">
                  <c:v>8.2657071245016266E-3</c:v>
                </c:pt>
                <c:pt idx="39">
                  <c:v>6.6445905198829515E-3</c:v>
                </c:pt>
                <c:pt idx="40">
                  <c:v>3.8602495330775973E-3</c:v>
                </c:pt>
                <c:pt idx="41">
                  <c:v>1.3592125429755498E-3</c:v>
                </c:pt>
                <c:pt idx="42">
                  <c:v>5.9052354117747609E-9</c:v>
                </c:pt>
                <c:pt idx="43">
                  <c:v>5.9052354117742257E-9</c:v>
                </c:pt>
                <c:pt idx="44">
                  <c:v>5.9052354117763565E-9</c:v>
                </c:pt>
                <c:pt idx="45">
                  <c:v>5.9052354117835067E-9</c:v>
                </c:pt>
                <c:pt idx="46">
                  <c:v>5.9052354118504868E-9</c:v>
                </c:pt>
                <c:pt idx="47">
                  <c:v>5.9052354117739014E-9</c:v>
                </c:pt>
                <c:pt idx="48">
                  <c:v>5.905235411774526E-9</c:v>
                </c:pt>
                <c:pt idx="49">
                  <c:v>5.9052354117743431E-9</c:v>
                </c:pt>
                <c:pt idx="50">
                  <c:v>5.9052354118108681E-9</c:v>
                </c:pt>
                <c:pt idx="51">
                  <c:v>5.9052354117765459E-9</c:v>
                </c:pt>
                <c:pt idx="52">
                  <c:v>5.9052354117834653E-9</c:v>
                </c:pt>
                <c:pt idx="53">
                  <c:v>5.9052355111129502E-9</c:v>
                </c:pt>
                <c:pt idx="54">
                  <c:v>5.9052354127639928E-9</c:v>
                </c:pt>
                <c:pt idx="55">
                  <c:v>5.9052354389320467E-9</c:v>
                </c:pt>
                <c:pt idx="56">
                  <c:v>5.9052354117764401E-9</c:v>
                </c:pt>
                <c:pt idx="57">
                  <c:v>5.9052354820069692E-9</c:v>
                </c:pt>
                <c:pt idx="58">
                  <c:v>5.905235411783644E-9</c:v>
                </c:pt>
                <c:pt idx="59">
                  <c:v>5.9052354117743853E-9</c:v>
                </c:pt>
                <c:pt idx="60">
                  <c:v>5.9052354117783376E-9</c:v>
                </c:pt>
                <c:pt idx="61">
                  <c:v>5.9052354117744623E-9</c:v>
                </c:pt>
                <c:pt idx="62">
                  <c:v>5.9052354117747882E-9</c:v>
                </c:pt>
                <c:pt idx="63">
                  <c:v>5.9052354121243572E-9</c:v>
                </c:pt>
                <c:pt idx="64">
                  <c:v>5.9052354117749114E-9</c:v>
                </c:pt>
                <c:pt idx="65">
                  <c:v>5.9052354117965505E-9</c:v>
                </c:pt>
                <c:pt idx="66">
                  <c:v>5.9052354118115936E-9</c:v>
                </c:pt>
                <c:pt idx="67">
                  <c:v>5.905235411790402E-9</c:v>
                </c:pt>
                <c:pt idx="68">
                  <c:v>5.9052354117759289E-9</c:v>
                </c:pt>
                <c:pt idx="69">
                  <c:v>5.9052354117896725E-9</c:v>
                </c:pt>
                <c:pt idx="70">
                  <c:v>5.9052354117847243E-9</c:v>
                </c:pt>
                <c:pt idx="71">
                  <c:v>5.9052354117813279E-9</c:v>
                </c:pt>
                <c:pt idx="72">
                  <c:v>5.9052354118280652E-9</c:v>
                </c:pt>
                <c:pt idx="73">
                  <c:v>5.9052354117742546E-9</c:v>
                </c:pt>
                <c:pt idx="74">
                  <c:v>5.9052354768528175E-9</c:v>
                </c:pt>
                <c:pt idx="75">
                  <c:v>5.9052354119858334E-9</c:v>
                </c:pt>
                <c:pt idx="76">
                  <c:v>5.905235559157913E-9</c:v>
                </c:pt>
                <c:pt idx="77">
                  <c:v>5.9052354117809283E-9</c:v>
                </c:pt>
                <c:pt idx="78">
                  <c:v>5.9052354117742861E-9</c:v>
                </c:pt>
                <c:pt idx="79">
                  <c:v>5.9052354134709137E-9</c:v>
                </c:pt>
                <c:pt idx="80">
                  <c:v>5.9052354562603746E-9</c:v>
                </c:pt>
                <c:pt idx="81">
                  <c:v>5.905235413385461E-9</c:v>
                </c:pt>
                <c:pt idx="82">
                  <c:v>5.9052354154471839E-9</c:v>
                </c:pt>
                <c:pt idx="83">
                  <c:v>5.9052354117768644E-9</c:v>
                </c:pt>
                <c:pt idx="84">
                  <c:v>5.905235503220782E-9</c:v>
                </c:pt>
                <c:pt idx="85">
                  <c:v>5.9052354126246195E-9</c:v>
                </c:pt>
                <c:pt idx="86">
                  <c:v>5.9052354118560876E-9</c:v>
                </c:pt>
                <c:pt idx="87">
                  <c:v>5.9052354120656447E-9</c:v>
                </c:pt>
                <c:pt idx="88">
                  <c:v>5.9052354142883402E-9</c:v>
                </c:pt>
                <c:pt idx="89">
                  <c:v>5.9052354118139957E-9</c:v>
                </c:pt>
                <c:pt idx="90">
                  <c:v>5.9052355034134249E-9</c:v>
                </c:pt>
                <c:pt idx="91">
                  <c:v>5.9052356184220331E-9</c:v>
                </c:pt>
                <c:pt idx="92">
                  <c:v>5.9052355685527359E-9</c:v>
                </c:pt>
                <c:pt idx="93">
                  <c:v>5.9052355498320505E-9</c:v>
                </c:pt>
                <c:pt idx="94">
                  <c:v>5.9052354118004663E-9</c:v>
                </c:pt>
                <c:pt idx="95">
                  <c:v>5.9052354117739014E-9</c:v>
                </c:pt>
                <c:pt idx="96">
                  <c:v>5.9052354117739014E-9</c:v>
                </c:pt>
                <c:pt idx="97">
                  <c:v>5.9052354121220038E-9</c:v>
                </c:pt>
                <c:pt idx="98">
                  <c:v>5.6830224931762882E-5</c:v>
                </c:pt>
                <c:pt idx="99" formatCode="0.0000%">
                  <c:v>5.6830224931762882E-5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A5-4B93-830D-9B28825C04AE}"/>
            </c:ext>
          </c:extLst>
        </c:ser>
        <c:ser>
          <c:idx val="9"/>
          <c:order val="9"/>
          <c:tx>
            <c:strRef>
              <c:f>Graphs!$AM$22</c:f>
              <c:strCache>
                <c:ptCount val="1"/>
                <c:pt idx="0">
                  <c:v>US RE</c:v>
                </c:pt>
              </c:strCache>
            </c:strRef>
          </c:tx>
          <c:spPr>
            <a:pattFill prst="dkVert">
              <a:fgClr>
                <a:srgbClr val="0000CC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Graphs!$AN$22:$EI$22</c:f>
              <c:numCache>
                <c:formatCode>0.0%;[Red]\-0.0%;.</c:formatCode>
                <c:ptCount val="100"/>
                <c:pt idx="0" formatCode="0.0000%">
                  <c:v>0.11621152898984703</c:v>
                </c:pt>
                <c:pt idx="1">
                  <c:v>0.1157306769496719</c:v>
                </c:pt>
                <c:pt idx="2">
                  <c:v>0.11556092457250711</c:v>
                </c:pt>
                <c:pt idx="3">
                  <c:v>0.11382345775698804</c:v>
                </c:pt>
                <c:pt idx="4">
                  <c:v>0.11351707629888545</c:v>
                </c:pt>
                <c:pt idx="5">
                  <c:v>0.11587370633951399</c:v>
                </c:pt>
                <c:pt idx="6">
                  <c:v>0.11633654876621695</c:v>
                </c:pt>
                <c:pt idx="7">
                  <c:v>0.11535365495421221</c:v>
                </c:pt>
                <c:pt idx="8">
                  <c:v>0.11580328073189486</c:v>
                </c:pt>
                <c:pt idx="9">
                  <c:v>0.11642722937696551</c:v>
                </c:pt>
                <c:pt idx="10">
                  <c:v>0.11749152845323538</c:v>
                </c:pt>
                <c:pt idx="11">
                  <c:v>0.11823312672783291</c:v>
                </c:pt>
                <c:pt idx="12">
                  <c:v>0.11961043846248325</c:v>
                </c:pt>
                <c:pt idx="13">
                  <c:v>0.12270586026415754</c:v>
                </c:pt>
                <c:pt idx="14">
                  <c:v>0.12359731783862002</c:v>
                </c:pt>
                <c:pt idx="15">
                  <c:v>0.12503524133178096</c:v>
                </c:pt>
                <c:pt idx="16">
                  <c:v>0.12532760276379792</c:v>
                </c:pt>
                <c:pt idx="17">
                  <c:v>0.12576179851092659</c:v>
                </c:pt>
                <c:pt idx="18">
                  <c:v>0.12680616066633077</c:v>
                </c:pt>
                <c:pt idx="19">
                  <c:v>0.12840300323829695</c:v>
                </c:pt>
                <c:pt idx="20">
                  <c:v>0.12095727414717315</c:v>
                </c:pt>
                <c:pt idx="21">
                  <c:v>0.10691413948945176</c:v>
                </c:pt>
                <c:pt idx="22">
                  <c:v>0.10497270158481532</c:v>
                </c:pt>
                <c:pt idx="23">
                  <c:v>0.10231539095711269</c:v>
                </c:pt>
                <c:pt idx="24">
                  <c:v>9.9795582873023647E-2</c:v>
                </c:pt>
                <c:pt idx="25">
                  <c:v>9.8795622995288684E-2</c:v>
                </c:pt>
                <c:pt idx="26">
                  <c:v>9.5188184199918549E-2</c:v>
                </c:pt>
                <c:pt idx="27">
                  <c:v>9.3397684601732575E-2</c:v>
                </c:pt>
                <c:pt idx="28">
                  <c:v>9.2734379196197703E-2</c:v>
                </c:pt>
                <c:pt idx="29">
                  <c:v>8.7532428052635738E-2</c:v>
                </c:pt>
                <c:pt idx="30">
                  <c:v>8.4986223605041933E-2</c:v>
                </c:pt>
                <c:pt idx="31">
                  <c:v>8.0314567053399691E-2</c:v>
                </c:pt>
                <c:pt idx="32">
                  <c:v>7.2533631985725766E-2</c:v>
                </c:pt>
                <c:pt idx="33">
                  <c:v>7.0712068909300999E-2</c:v>
                </c:pt>
                <c:pt idx="34">
                  <c:v>7.4785618241470467E-2</c:v>
                </c:pt>
                <c:pt idx="35">
                  <c:v>7.6500014318526849E-2</c:v>
                </c:pt>
                <c:pt idx="36">
                  <c:v>7.4676561258262802E-2</c:v>
                </c:pt>
                <c:pt idx="37">
                  <c:v>7.0423537363398986E-2</c:v>
                </c:pt>
                <c:pt idx="38">
                  <c:v>7.446559978864746E-2</c:v>
                </c:pt>
                <c:pt idx="39">
                  <c:v>6.8759082665423923E-2</c:v>
                </c:pt>
                <c:pt idx="40">
                  <c:v>5.4622266735787878E-2</c:v>
                </c:pt>
                <c:pt idx="41">
                  <c:v>4.4778698621372029E-2</c:v>
                </c:pt>
                <c:pt idx="42">
                  <c:v>3.5390178105431637E-2</c:v>
                </c:pt>
                <c:pt idx="43">
                  <c:v>2.3451519324426892E-2</c:v>
                </c:pt>
                <c:pt idx="44">
                  <c:v>1.2657836345524542E-2</c:v>
                </c:pt>
                <c:pt idx="45">
                  <c:v>2.9297139154991106E-3</c:v>
                </c:pt>
                <c:pt idx="46">
                  <c:v>-7.491621785158629E-21</c:v>
                </c:pt>
                <c:pt idx="47">
                  <c:v>-2.487643877421313E-20</c:v>
                </c:pt>
                <c:pt idx="48">
                  <c:v>5.7869650756077863E-21</c:v>
                </c:pt>
                <c:pt idx="49">
                  <c:v>-9.8818452098067857E-23</c:v>
                </c:pt>
                <c:pt idx="50">
                  <c:v>1.699632171293515E-23</c:v>
                </c:pt>
                <c:pt idx="51">
                  <c:v>-9.1044916591585676E-24</c:v>
                </c:pt>
                <c:pt idx="52">
                  <c:v>2.6101992415596027E-25</c:v>
                </c:pt>
                <c:pt idx="53">
                  <c:v>7.2936030610986572E-18</c:v>
                </c:pt>
                <c:pt idx="54">
                  <c:v>1.0265867178900515E-17</c:v>
                </c:pt>
                <c:pt idx="55">
                  <c:v>-1.0256366456757522E-18</c:v>
                </c:pt>
                <c:pt idx="56">
                  <c:v>-3.5889071761759261E-25</c:v>
                </c:pt>
                <c:pt idx="57">
                  <c:v>1.3736492945299656E-17</c:v>
                </c:pt>
                <c:pt idx="58">
                  <c:v>-3.1051016605739184E-22</c:v>
                </c:pt>
                <c:pt idx="59">
                  <c:v>1.6377589204005524E-24</c:v>
                </c:pt>
                <c:pt idx="60">
                  <c:v>9.8689793310976298E-24</c:v>
                </c:pt>
                <c:pt idx="61">
                  <c:v>8.8859288983448067E-24</c:v>
                </c:pt>
                <c:pt idx="62">
                  <c:v>1.395545054447894E-23</c:v>
                </c:pt>
                <c:pt idx="63">
                  <c:v>8.2348902928583233E-20</c:v>
                </c:pt>
                <c:pt idx="64">
                  <c:v>-2.5434293984218258E-25</c:v>
                </c:pt>
                <c:pt idx="65">
                  <c:v>6.1068703011447271E-23</c:v>
                </c:pt>
                <c:pt idx="66">
                  <c:v>-1.1295060043272418E-22</c:v>
                </c:pt>
                <c:pt idx="67">
                  <c:v>2.5668649848184007E-22</c:v>
                </c:pt>
                <c:pt idx="68">
                  <c:v>5.2569734358346943E-24</c:v>
                </c:pt>
                <c:pt idx="69">
                  <c:v>-5.2132764972086346E-22</c:v>
                </c:pt>
                <c:pt idx="70">
                  <c:v>-3.4238235719868692E-23</c:v>
                </c:pt>
                <c:pt idx="71">
                  <c:v>3.4675089597896919E-23</c:v>
                </c:pt>
                <c:pt idx="72">
                  <c:v>1.6047319837611717E-22</c:v>
                </c:pt>
                <c:pt idx="73">
                  <c:v>1.1775457002938385E-24</c:v>
                </c:pt>
                <c:pt idx="74">
                  <c:v>3.3482923752680881E-18</c:v>
                </c:pt>
                <c:pt idx="75">
                  <c:v>-2.1679161590562818E-22</c:v>
                </c:pt>
                <c:pt idx="76">
                  <c:v>-7.4062034609580202E-18</c:v>
                </c:pt>
                <c:pt idx="77">
                  <c:v>2.2609530722966536E-23</c:v>
                </c:pt>
                <c:pt idx="78">
                  <c:v>1.8546150721711763E-25</c:v>
                </c:pt>
                <c:pt idx="79">
                  <c:v>-6.4510526143645616E-21</c:v>
                </c:pt>
                <c:pt idx="80">
                  <c:v>2.2370107141040775E-20</c:v>
                </c:pt>
                <c:pt idx="81">
                  <c:v>7.4380737098750513E-19</c:v>
                </c:pt>
                <c:pt idx="82">
                  <c:v>-7.5168297169583361E-20</c:v>
                </c:pt>
                <c:pt idx="83">
                  <c:v>2.2630177448783664E-23</c:v>
                </c:pt>
                <c:pt idx="84">
                  <c:v>-2.647321540369391E-18</c:v>
                </c:pt>
                <c:pt idx="85">
                  <c:v>8.2786057653694293E-21</c:v>
                </c:pt>
                <c:pt idx="86">
                  <c:v>-1.5222276395533389E-21</c:v>
                </c:pt>
                <c:pt idx="87">
                  <c:v>1.2585017528211955E-19</c:v>
                </c:pt>
                <c:pt idx="88">
                  <c:v>1.3170870228084991E-18</c:v>
                </c:pt>
                <c:pt idx="89">
                  <c:v>1.4125847516331064E-20</c:v>
                </c:pt>
                <c:pt idx="90">
                  <c:v>5.0537463079051273E-18</c:v>
                </c:pt>
                <c:pt idx="91">
                  <c:v>-6.8004734745393978E-17</c:v>
                </c:pt>
                <c:pt idx="92">
                  <c:v>7.9095240192306305E-17</c:v>
                </c:pt>
                <c:pt idx="93">
                  <c:v>8.9756942244264174E-17</c:v>
                </c:pt>
                <c:pt idx="94">
                  <c:v>-2.173494389086431E-20</c:v>
                </c:pt>
                <c:pt idx="95">
                  <c:v>-1.6272457227133072E-19</c:v>
                </c:pt>
                <c:pt idx="96">
                  <c:v>-2.231882913757996E-19</c:v>
                </c:pt>
                <c:pt idx="97">
                  <c:v>-2.6107616856372424E-19</c:v>
                </c:pt>
                <c:pt idx="98">
                  <c:v>2.0846444404607559E-5</c:v>
                </c:pt>
                <c:pt idx="99" formatCode="0.0000%">
                  <c:v>2.0846444404607559E-5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A5-4B93-830D-9B28825C04AE}"/>
            </c:ext>
          </c:extLst>
        </c:ser>
        <c:ser>
          <c:idx val="10"/>
          <c:order val="10"/>
          <c:tx>
            <c:strRef>
              <c:f>Graphs!$AM$23</c:f>
              <c:strCache>
                <c:ptCount val="1"/>
                <c:pt idx="0">
                  <c:v>CAN RE</c:v>
                </c:pt>
              </c:strCache>
            </c:strRef>
          </c:tx>
          <c:spPr>
            <a:pattFill prst="dkVert">
              <a:fgClr>
                <a:srgbClr val="FF000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Graphs!$AN$23:$EI$23</c:f>
              <c:numCache>
                <c:formatCode>0.0%;[Red]\-0.0%;.</c:formatCode>
                <c:ptCount val="100"/>
                <c:pt idx="0" formatCode="0.0000%">
                  <c:v>0.26838104991559103</c:v>
                </c:pt>
                <c:pt idx="1">
                  <c:v>0.26896621906761498</c:v>
                </c:pt>
                <c:pt idx="2">
                  <c:v>0.26799072865868528</c:v>
                </c:pt>
                <c:pt idx="3">
                  <c:v>0.26944500337199778</c:v>
                </c:pt>
                <c:pt idx="4">
                  <c:v>0.26865193206606297</c:v>
                </c:pt>
                <c:pt idx="5">
                  <c:v>0.26617946890591987</c:v>
                </c:pt>
                <c:pt idx="6">
                  <c:v>0.26667584931821875</c:v>
                </c:pt>
                <c:pt idx="7">
                  <c:v>0.26811794499815628</c:v>
                </c:pt>
                <c:pt idx="8">
                  <c:v>0.26798430208510354</c:v>
                </c:pt>
                <c:pt idx="9">
                  <c:v>0.26809760272870403</c:v>
                </c:pt>
                <c:pt idx="10">
                  <c:v>0.26750163601612931</c:v>
                </c:pt>
                <c:pt idx="11">
                  <c:v>0.26768160812671649</c:v>
                </c:pt>
                <c:pt idx="12">
                  <c:v>0.26674302912353676</c:v>
                </c:pt>
                <c:pt idx="13">
                  <c:v>0.26443083389973965</c:v>
                </c:pt>
                <c:pt idx="14">
                  <c:v>0.26454317683508305</c:v>
                </c:pt>
                <c:pt idx="15">
                  <c:v>0.26341745945034756</c:v>
                </c:pt>
                <c:pt idx="16">
                  <c:v>0.26308334516572068</c:v>
                </c:pt>
                <c:pt idx="17">
                  <c:v>0.26269287732303553</c:v>
                </c:pt>
                <c:pt idx="18">
                  <c:v>0.26160648211219717</c:v>
                </c:pt>
                <c:pt idx="19">
                  <c:v>0.26039426252681014</c:v>
                </c:pt>
                <c:pt idx="20">
                  <c:v>0.26415397924638889</c:v>
                </c:pt>
                <c:pt idx="21">
                  <c:v>0.26785595844634236</c:v>
                </c:pt>
                <c:pt idx="22">
                  <c:v>0.26455178339098229</c:v>
                </c:pt>
                <c:pt idx="23">
                  <c:v>0.26671687363006225</c:v>
                </c:pt>
                <c:pt idx="24">
                  <c:v>0.26815258654897095</c:v>
                </c:pt>
                <c:pt idx="25">
                  <c:v>0.2692936505088247</c:v>
                </c:pt>
                <c:pt idx="26">
                  <c:v>0.27238257219541423</c:v>
                </c:pt>
                <c:pt idx="27">
                  <c:v>0.27487322618780635</c:v>
                </c:pt>
                <c:pt idx="28">
                  <c:v>0.276763813864421</c:v>
                </c:pt>
                <c:pt idx="29">
                  <c:v>0.28063377566533065</c:v>
                </c:pt>
                <c:pt idx="30">
                  <c:v>0.28315640485806337</c:v>
                </c:pt>
                <c:pt idx="31">
                  <c:v>0.28553631588050565</c:v>
                </c:pt>
                <c:pt idx="32">
                  <c:v>0.29270722216311035</c:v>
                </c:pt>
                <c:pt idx="33">
                  <c:v>0.29276796668252131</c:v>
                </c:pt>
                <c:pt idx="34">
                  <c:v>0.29368977804727181</c:v>
                </c:pt>
                <c:pt idx="35">
                  <c:v>0.29765246492354369</c:v>
                </c:pt>
                <c:pt idx="36">
                  <c:v>0.3026682663066167</c:v>
                </c:pt>
                <c:pt idx="37">
                  <c:v>0.30727253469836718</c:v>
                </c:pt>
                <c:pt idx="38">
                  <c:v>0.30921645518120688</c:v>
                </c:pt>
                <c:pt idx="39">
                  <c:v>0.3108822516456658</c:v>
                </c:pt>
                <c:pt idx="40">
                  <c:v>0.32033318108660469</c:v>
                </c:pt>
                <c:pt idx="41">
                  <c:v>0.32552641404338573</c:v>
                </c:pt>
                <c:pt idx="42">
                  <c:v>0.32842012673795629</c:v>
                </c:pt>
                <c:pt idx="43">
                  <c:v>0.33312512729403548</c:v>
                </c:pt>
                <c:pt idx="44">
                  <c:v>0.33938437608990968</c:v>
                </c:pt>
                <c:pt idx="45">
                  <c:v>0.33992345489787756</c:v>
                </c:pt>
                <c:pt idx="46">
                  <c:v>0.33508533780300515</c:v>
                </c:pt>
                <c:pt idx="47">
                  <c:v>0.32783785760941919</c:v>
                </c:pt>
                <c:pt idx="48">
                  <c:v>0.32048788505629683</c:v>
                </c:pt>
                <c:pt idx="49">
                  <c:v>0.31381180540373665</c:v>
                </c:pt>
                <c:pt idx="50">
                  <c:v>0.30392644980018518</c:v>
                </c:pt>
                <c:pt idx="51">
                  <c:v>0.29394978040738834</c:v>
                </c:pt>
                <c:pt idx="52">
                  <c:v>0.28400461966152762</c:v>
                </c:pt>
                <c:pt idx="53">
                  <c:v>0.27411914135548365</c:v>
                </c:pt>
                <c:pt idx="54">
                  <c:v>0.26494500139292293</c:v>
                </c:pt>
                <c:pt idx="55">
                  <c:v>0.25552155764330886</c:v>
                </c:pt>
                <c:pt idx="56">
                  <c:v>0.24639983795140996</c:v>
                </c:pt>
                <c:pt idx="57">
                  <c:v>0.23632574653269187</c:v>
                </c:pt>
                <c:pt idx="58">
                  <c:v>0.226306274242601</c:v>
                </c:pt>
                <c:pt idx="59">
                  <c:v>0.21581215947066246</c:v>
                </c:pt>
                <c:pt idx="60">
                  <c:v>0.20660717161804451</c:v>
                </c:pt>
                <c:pt idx="61">
                  <c:v>0.19714750906715064</c:v>
                </c:pt>
                <c:pt idx="62">
                  <c:v>0.18711960212561415</c:v>
                </c:pt>
                <c:pt idx="63">
                  <c:v>0.17667887784831693</c:v>
                </c:pt>
                <c:pt idx="64">
                  <c:v>0.16708128623161281</c:v>
                </c:pt>
                <c:pt idx="65">
                  <c:v>0.15714180297797209</c:v>
                </c:pt>
                <c:pt idx="66">
                  <c:v>0.14769172569215519</c:v>
                </c:pt>
                <c:pt idx="67">
                  <c:v>0.13819716139986454</c:v>
                </c:pt>
                <c:pt idx="68">
                  <c:v>0.12845596135428547</c:v>
                </c:pt>
                <c:pt idx="69">
                  <c:v>0.119418312082316</c:v>
                </c:pt>
                <c:pt idx="70">
                  <c:v>0.11023023875169599</c:v>
                </c:pt>
                <c:pt idx="71">
                  <c:v>0.10069250081531914</c:v>
                </c:pt>
                <c:pt idx="72">
                  <c:v>9.0881099145386293E-2</c:v>
                </c:pt>
                <c:pt idx="73">
                  <c:v>8.1440812258712802E-2</c:v>
                </c:pt>
                <c:pt idx="74">
                  <c:v>7.2162300240278046E-2</c:v>
                </c:pt>
                <c:pt idx="75">
                  <c:v>6.2815508233907566E-2</c:v>
                </c:pt>
                <c:pt idx="76">
                  <c:v>5.3322100314809537E-2</c:v>
                </c:pt>
                <c:pt idx="77">
                  <c:v>4.351572611452454E-2</c:v>
                </c:pt>
                <c:pt idx="78">
                  <c:v>3.3224270211362199E-2</c:v>
                </c:pt>
                <c:pt idx="79">
                  <c:v>2.3347899343105636E-2</c:v>
                </c:pt>
                <c:pt idx="80">
                  <c:v>1.3895318203662063E-2</c:v>
                </c:pt>
                <c:pt idx="81">
                  <c:v>3.9662668021905991E-3</c:v>
                </c:pt>
                <c:pt idx="82">
                  <c:v>6.2527760746888816E-12</c:v>
                </c:pt>
                <c:pt idx="83">
                  <c:v>6.25277607611115E-12</c:v>
                </c:pt>
                <c:pt idx="84">
                  <c:v>6.2527760746888816E-12</c:v>
                </c:pt>
                <c:pt idx="85">
                  <c:v>6.2527764338085029E-12</c:v>
                </c:pt>
                <c:pt idx="86">
                  <c:v>6.2527760932851345E-12</c:v>
                </c:pt>
                <c:pt idx="87">
                  <c:v>6.2527760746888816E-12</c:v>
                </c:pt>
                <c:pt idx="88">
                  <c:v>6.2527760746888816E-12</c:v>
                </c:pt>
                <c:pt idx="89">
                  <c:v>6.2527760804978415E-12</c:v>
                </c:pt>
                <c:pt idx="90">
                  <c:v>6.2528720547087577E-12</c:v>
                </c:pt>
                <c:pt idx="91">
                  <c:v>6.2528442802498656E-12</c:v>
                </c:pt>
                <c:pt idx="92">
                  <c:v>6.2527930225889383E-12</c:v>
                </c:pt>
                <c:pt idx="93">
                  <c:v>6.2528294828418962E-12</c:v>
                </c:pt>
                <c:pt idx="94">
                  <c:v>6.2527760915938482E-12</c:v>
                </c:pt>
                <c:pt idx="95">
                  <c:v>6.2527760746888816E-12</c:v>
                </c:pt>
                <c:pt idx="96">
                  <c:v>6.2527760746888816E-12</c:v>
                </c:pt>
                <c:pt idx="97">
                  <c:v>6.2527760746888816E-12</c:v>
                </c:pt>
                <c:pt idx="98">
                  <c:v>2.1084105069392172E-5</c:v>
                </c:pt>
                <c:pt idx="99" formatCode="0.0000%">
                  <c:v>2.1084105069392172E-5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A5-4B93-830D-9B28825C04AE}"/>
            </c:ext>
          </c:extLst>
        </c:ser>
        <c:ser>
          <c:idx val="11"/>
          <c:order val="11"/>
          <c:tx>
            <c:strRef>
              <c:f>Graphs!$AM$24</c:f>
              <c:strCache>
                <c:ptCount val="1"/>
                <c:pt idx="0">
                  <c:v>Priv Equ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Graphs!$AN$24:$EI$24</c:f>
              <c:numCache>
                <c:formatCode>0.0%;[Red]\-0.0%;.</c:formatCode>
                <c:ptCount val="100"/>
                <c:pt idx="0" formatCode="0.0000%">
                  <c:v>1.7462969717836761E-3</c:v>
                </c:pt>
                <c:pt idx="1">
                  <c:v>2.2367094492223294E-3</c:v>
                </c:pt>
                <c:pt idx="2">
                  <c:v>2.8173378319908595E-3</c:v>
                </c:pt>
                <c:pt idx="3">
                  <c:v>3.7541076702366002E-3</c:v>
                </c:pt>
                <c:pt idx="4">
                  <c:v>4.2640425534281367E-3</c:v>
                </c:pt>
                <c:pt idx="5">
                  <c:v>4.3281942346490325E-3</c:v>
                </c:pt>
                <c:pt idx="6">
                  <c:v>3.8832591777365282E-3</c:v>
                </c:pt>
                <c:pt idx="7">
                  <c:v>3.0804671173001552E-3</c:v>
                </c:pt>
                <c:pt idx="8">
                  <c:v>3.1564062785176491E-3</c:v>
                </c:pt>
                <c:pt idx="9">
                  <c:v>3.1935621938543692E-3</c:v>
                </c:pt>
                <c:pt idx="10">
                  <c:v>2.9249378541980381E-3</c:v>
                </c:pt>
                <c:pt idx="11">
                  <c:v>2.4694675775761617E-3</c:v>
                </c:pt>
                <c:pt idx="12">
                  <c:v>2.0456568473641249E-3</c:v>
                </c:pt>
                <c:pt idx="13">
                  <c:v>1.3207479357115681E-3</c:v>
                </c:pt>
                <c:pt idx="14">
                  <c:v>1.4068746168215245E-11</c:v>
                </c:pt>
                <c:pt idx="15">
                  <c:v>1.406874616805606E-11</c:v>
                </c:pt>
                <c:pt idx="16">
                  <c:v>1.406874616822663E-11</c:v>
                </c:pt>
                <c:pt idx="17">
                  <c:v>1.4068746168606434E-11</c:v>
                </c:pt>
                <c:pt idx="18">
                  <c:v>1.4068746168049984E-11</c:v>
                </c:pt>
                <c:pt idx="19">
                  <c:v>1.4068746168139072E-11</c:v>
                </c:pt>
                <c:pt idx="20">
                  <c:v>7.0752487116482882E-4</c:v>
                </c:pt>
                <c:pt idx="21">
                  <c:v>7.394118146251182E-3</c:v>
                </c:pt>
                <c:pt idx="22">
                  <c:v>9.8451922314623293E-3</c:v>
                </c:pt>
                <c:pt idx="23">
                  <c:v>8.4315147311849557E-3</c:v>
                </c:pt>
                <c:pt idx="24">
                  <c:v>8.4984133006887966E-3</c:v>
                </c:pt>
                <c:pt idx="25">
                  <c:v>7.1973210929849266E-3</c:v>
                </c:pt>
                <c:pt idx="26">
                  <c:v>6.5224163079985725E-3</c:v>
                </c:pt>
                <c:pt idx="27">
                  <c:v>3.7242659008597939E-3</c:v>
                </c:pt>
                <c:pt idx="28">
                  <c:v>1.2920346851672234E-3</c:v>
                </c:pt>
                <c:pt idx="29">
                  <c:v>8.2255432287756721E-4</c:v>
                </c:pt>
                <c:pt idx="30">
                  <c:v>7.2836224165256146E-5</c:v>
                </c:pt>
                <c:pt idx="31">
                  <c:v>1.4068746168716556E-11</c:v>
                </c:pt>
                <c:pt idx="32">
                  <c:v>1.4068746168287861E-11</c:v>
                </c:pt>
                <c:pt idx="33">
                  <c:v>1.4068746168211998E-11</c:v>
                </c:pt>
                <c:pt idx="34">
                  <c:v>1.4068746168125356E-11</c:v>
                </c:pt>
                <c:pt idx="35">
                  <c:v>1.4068746168209906E-11</c:v>
                </c:pt>
                <c:pt idx="36">
                  <c:v>2.3060773899004181E-3</c:v>
                </c:pt>
                <c:pt idx="37">
                  <c:v>6.346168537130395E-3</c:v>
                </c:pt>
                <c:pt idx="38">
                  <c:v>5.7070535726981633E-3</c:v>
                </c:pt>
                <c:pt idx="39">
                  <c:v>1.0759123557557529E-2</c:v>
                </c:pt>
                <c:pt idx="40">
                  <c:v>1.5089255871619524E-2</c:v>
                </c:pt>
                <c:pt idx="41">
                  <c:v>1.8972231971135688E-2</c:v>
                </c:pt>
                <c:pt idx="42">
                  <c:v>2.2883871143914471E-2</c:v>
                </c:pt>
                <c:pt idx="43">
                  <c:v>2.7097200821608585E-2</c:v>
                </c:pt>
                <c:pt idx="44">
                  <c:v>3.0730951099377502E-2</c:v>
                </c:pt>
                <c:pt idx="45">
                  <c:v>3.5532259444095007E-2</c:v>
                </c:pt>
                <c:pt idx="46">
                  <c:v>3.9189516267395856E-2</c:v>
                </c:pt>
                <c:pt idx="47">
                  <c:v>4.3594862506944748E-2</c:v>
                </c:pt>
                <c:pt idx="48">
                  <c:v>4.8211763344427304E-2</c:v>
                </c:pt>
                <c:pt idx="49">
                  <c:v>4.9316740081822921E-2</c:v>
                </c:pt>
                <c:pt idx="50">
                  <c:v>5.4902324316230065E-2</c:v>
                </c:pt>
                <c:pt idx="51">
                  <c:v>6.0041986659519576E-2</c:v>
                </c:pt>
                <c:pt idx="52">
                  <c:v>6.5091161846819082E-2</c:v>
                </c:pt>
                <c:pt idx="53">
                  <c:v>6.9968939822032117E-2</c:v>
                </c:pt>
                <c:pt idx="54">
                  <c:v>7.2803882261365485E-2</c:v>
                </c:pt>
                <c:pt idx="55">
                  <c:v>7.635478025137804E-2</c:v>
                </c:pt>
                <c:pt idx="56">
                  <c:v>7.9039208457572313E-2</c:v>
                </c:pt>
                <c:pt idx="57">
                  <c:v>8.4458621965578226E-2</c:v>
                </c:pt>
                <c:pt idx="58">
                  <c:v>8.9721233854415786E-2</c:v>
                </c:pt>
                <c:pt idx="59">
                  <c:v>9.6346906080445216E-2</c:v>
                </c:pt>
                <c:pt idx="60">
                  <c:v>9.9270438101090083E-2</c:v>
                </c:pt>
                <c:pt idx="61">
                  <c:v>0.10292534996157139</c:v>
                </c:pt>
                <c:pt idx="62">
                  <c:v>0.10821215731158251</c:v>
                </c:pt>
                <c:pt idx="63">
                  <c:v>0.11468447432042048</c:v>
                </c:pt>
                <c:pt idx="64">
                  <c:v>0.11873552094022791</c:v>
                </c:pt>
                <c:pt idx="65">
                  <c:v>0.12376839139298637</c:v>
                </c:pt>
                <c:pt idx="66">
                  <c:v>0.12739577609947972</c:v>
                </c:pt>
                <c:pt idx="67">
                  <c:v>0.1311509194717867</c:v>
                </c:pt>
                <c:pt idx="68">
                  <c:v>0.13561435628258339</c:v>
                </c:pt>
                <c:pt idx="69">
                  <c:v>0.13805732205482393</c:v>
                </c:pt>
                <c:pt idx="70">
                  <c:v>0.14093227861636995</c:v>
                </c:pt>
                <c:pt idx="71">
                  <c:v>0.14481140891439051</c:v>
                </c:pt>
                <c:pt idx="72">
                  <c:v>0.14947645213966135</c:v>
                </c:pt>
                <c:pt idx="73">
                  <c:v>0.15307572058408833</c:v>
                </c:pt>
                <c:pt idx="74">
                  <c:v>0.15621037342173624</c:v>
                </c:pt>
                <c:pt idx="75">
                  <c:v>0.15954114141816381</c:v>
                </c:pt>
                <c:pt idx="76">
                  <c:v>0.16329299123285307</c:v>
                </c:pt>
                <c:pt idx="77">
                  <c:v>0.16794356913346056</c:v>
                </c:pt>
                <c:pt idx="78">
                  <c:v>0.17398724160847392</c:v>
                </c:pt>
                <c:pt idx="79">
                  <c:v>0.17883886466356871</c:v>
                </c:pt>
                <c:pt idx="80">
                  <c:v>0.18247346732426731</c:v>
                </c:pt>
                <c:pt idx="81">
                  <c:v>0.18747635203965859</c:v>
                </c:pt>
                <c:pt idx="82">
                  <c:v>0.17535522122838509</c:v>
                </c:pt>
                <c:pt idx="83">
                  <c:v>0.17020015319782922</c:v>
                </c:pt>
                <c:pt idx="84">
                  <c:v>0.17271410571418377</c:v>
                </c:pt>
                <c:pt idx="85">
                  <c:v>0.16102638040082845</c:v>
                </c:pt>
                <c:pt idx="86">
                  <c:v>0.14246430158850421</c:v>
                </c:pt>
                <c:pt idx="87">
                  <c:v>0.1362684236524899</c:v>
                </c:pt>
                <c:pt idx="88">
                  <c:v>0.11275688934374818</c:v>
                </c:pt>
                <c:pt idx="89">
                  <c:v>0.10578614237293345</c:v>
                </c:pt>
                <c:pt idx="90">
                  <c:v>0.11308797345719926</c:v>
                </c:pt>
                <c:pt idx="91">
                  <c:v>0.1146117783560696</c:v>
                </c:pt>
                <c:pt idx="92">
                  <c:v>0.11831889115272085</c:v>
                </c:pt>
                <c:pt idx="93">
                  <c:v>9.4807356843974858E-2</c:v>
                </c:pt>
                <c:pt idx="94">
                  <c:v>7.1295822535236614E-2</c:v>
                </c:pt>
                <c:pt idx="95">
                  <c:v>4.7784288226486338E-2</c:v>
                </c:pt>
                <c:pt idx="96">
                  <c:v>2.4272753917744822E-2</c:v>
                </c:pt>
                <c:pt idx="97">
                  <c:v>7.6121960899645574E-4</c:v>
                </c:pt>
                <c:pt idx="98">
                  <c:v>5.6299328007361375E-5</c:v>
                </c:pt>
                <c:pt idx="99" formatCode="0.0000%">
                  <c:v>5.6299328007361375E-5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A5-4B93-830D-9B28825C04AE}"/>
            </c:ext>
          </c:extLst>
        </c:ser>
        <c:ser>
          <c:idx val="12"/>
          <c:order val="12"/>
          <c:tx>
            <c:strRef>
              <c:f>Graphs!$AM$25</c:f>
              <c:strCache>
                <c:ptCount val="1"/>
                <c:pt idx="0">
                  <c:v>O&amp;G</c:v>
                </c:pt>
              </c:strCache>
            </c:strRef>
          </c:tx>
          <c:spPr>
            <a:pattFill prst="lgCheck">
              <a:fgClr>
                <a:schemeClr val="tx1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Graphs!$AN$25:$EI$25</c:f>
              <c:numCache>
                <c:formatCode>0.0%;[Red]\-0.0%;.</c:formatCode>
                <c:ptCount val="100"/>
                <c:pt idx="0" formatCode="0.0000%">
                  <c:v>2.2231124122778261E-2</c:v>
                </c:pt>
                <c:pt idx="1">
                  <c:v>2.1636394533490769E-2</c:v>
                </c:pt>
                <c:pt idx="2">
                  <c:v>2.220100893681675E-2</c:v>
                </c:pt>
                <c:pt idx="3">
                  <c:v>2.1547431200777529E-2</c:v>
                </c:pt>
                <c:pt idx="4">
                  <c:v>2.2136949081623381E-2</c:v>
                </c:pt>
                <c:pt idx="5">
                  <c:v>2.2188630519917037E-2</c:v>
                </c:pt>
                <c:pt idx="6">
                  <c:v>2.1674342737827708E-2</c:v>
                </c:pt>
                <c:pt idx="7">
                  <c:v>2.2017932930331312E-2</c:v>
                </c:pt>
                <c:pt idx="8">
                  <c:v>2.162601090448385E-2</c:v>
                </c:pt>
                <c:pt idx="9">
                  <c:v>2.0851605700476093E-2</c:v>
                </c:pt>
                <c:pt idx="10">
                  <c:v>2.0651897676437256E-2</c:v>
                </c:pt>
                <c:pt idx="11">
                  <c:v>2.0185797567874385E-2</c:v>
                </c:pt>
                <c:pt idx="12">
                  <c:v>2.0170875566615815E-2</c:v>
                </c:pt>
                <c:pt idx="13">
                  <c:v>2.0112557900391195E-2</c:v>
                </c:pt>
                <c:pt idx="14">
                  <c:v>2.0429505312228122E-2</c:v>
                </c:pt>
                <c:pt idx="15">
                  <c:v>2.0117299203802754E-2</c:v>
                </c:pt>
                <c:pt idx="16">
                  <c:v>2.0159052056412729E-2</c:v>
                </c:pt>
                <c:pt idx="17">
                  <c:v>2.0115324151969066E-2</c:v>
                </c:pt>
                <c:pt idx="18">
                  <c:v>2.0157357207403345E-2</c:v>
                </c:pt>
                <c:pt idx="19">
                  <c:v>1.9772734220824088E-2</c:v>
                </c:pt>
                <c:pt idx="20">
                  <c:v>2.2751221735273087E-2</c:v>
                </c:pt>
                <c:pt idx="21">
                  <c:v>2.6405783917954641E-2</c:v>
                </c:pt>
                <c:pt idx="22">
                  <c:v>2.9200322792739982E-2</c:v>
                </c:pt>
                <c:pt idx="23">
                  <c:v>3.1106220681640113E-2</c:v>
                </c:pt>
                <c:pt idx="24">
                  <c:v>3.2123417277316539E-2</c:v>
                </c:pt>
                <c:pt idx="25">
                  <c:v>3.3283405402901631E-2</c:v>
                </c:pt>
                <c:pt idx="26">
                  <c:v>3.4476827296668608E-2</c:v>
                </c:pt>
                <c:pt idx="27">
                  <c:v>3.6574823309601281E-2</c:v>
                </c:pt>
                <c:pt idx="28">
                  <c:v>3.777977225421407E-2</c:v>
                </c:pt>
                <c:pt idx="29">
                  <c:v>3.9581241959156008E-2</c:v>
                </c:pt>
                <c:pt idx="30">
                  <c:v>4.0354535312729381E-2</c:v>
                </c:pt>
                <c:pt idx="31">
                  <c:v>4.2719117052025864E-2</c:v>
                </c:pt>
                <c:pt idx="32">
                  <c:v>4.3329145837095122E-2</c:v>
                </c:pt>
                <c:pt idx="33">
                  <c:v>4.5939936879104804E-2</c:v>
                </c:pt>
                <c:pt idx="34">
                  <c:v>4.8013399333907004E-2</c:v>
                </c:pt>
                <c:pt idx="35">
                  <c:v>4.9943694860789749E-2</c:v>
                </c:pt>
                <c:pt idx="36">
                  <c:v>5.097492780575625E-2</c:v>
                </c:pt>
                <c:pt idx="37">
                  <c:v>5.1808324025241138E-2</c:v>
                </c:pt>
                <c:pt idx="38">
                  <c:v>5.3829799899085172E-2</c:v>
                </c:pt>
                <c:pt idx="39">
                  <c:v>5.5935633429715484E-2</c:v>
                </c:pt>
                <c:pt idx="40">
                  <c:v>5.9075728591156104E-2</c:v>
                </c:pt>
                <c:pt idx="41">
                  <c:v>6.2344118857204797E-2</c:v>
                </c:pt>
                <c:pt idx="42">
                  <c:v>6.6286494143536212E-2</c:v>
                </c:pt>
                <c:pt idx="43">
                  <c:v>7.0542766521578981E-2</c:v>
                </c:pt>
                <c:pt idx="44">
                  <c:v>7.3706830383396607E-2</c:v>
                </c:pt>
                <c:pt idx="45">
                  <c:v>7.8094565660736651E-2</c:v>
                </c:pt>
                <c:pt idx="46">
                  <c:v>8.2205139847807099E-2</c:v>
                </c:pt>
                <c:pt idx="47">
                  <c:v>8.5047273801843973E-2</c:v>
                </c:pt>
                <c:pt idx="48">
                  <c:v>8.7780345356614817E-2</c:v>
                </c:pt>
                <c:pt idx="49">
                  <c:v>9.3351448271779061E-2</c:v>
                </c:pt>
                <c:pt idx="50">
                  <c:v>9.7651219640923687E-2</c:v>
                </c:pt>
                <c:pt idx="51">
                  <c:v>0.10248822669043084</c:v>
                </c:pt>
                <c:pt idx="52">
                  <c:v>0.1073842122489919</c:v>
                </c:pt>
                <c:pt idx="53">
                  <c:v>0.1123919125798224</c:v>
                </c:pt>
                <c:pt idx="54">
                  <c:v>0.1187311101030494</c:v>
                </c:pt>
                <c:pt idx="55">
                  <c:v>0.12460365586265169</c:v>
                </c:pt>
                <c:pt idx="56">
                  <c:v>0.13104095313052597</c:v>
                </c:pt>
                <c:pt idx="57">
                  <c:v>0.13569562525906864</c:v>
                </c:pt>
                <c:pt idx="58">
                  <c:v>0.14045249144249117</c:v>
                </c:pt>
                <c:pt idx="59">
                  <c:v>0.1443209339884004</c:v>
                </c:pt>
                <c:pt idx="60">
                  <c:v>0.15060238982037374</c:v>
                </c:pt>
                <c:pt idx="61">
                  <c:v>0.15640714051078647</c:v>
                </c:pt>
                <c:pt idx="62">
                  <c:v>0.16114824010231119</c:v>
                </c:pt>
                <c:pt idx="63">
                  <c:v>0.16511664158860159</c:v>
                </c:pt>
                <c:pt idx="64">
                  <c:v>0.17066319236766728</c:v>
                </c:pt>
                <c:pt idx="65">
                  <c:v>0.17556980516854959</c:v>
                </c:pt>
                <c:pt idx="66">
                  <c:v>0.18139249774787355</c:v>
                </c:pt>
                <c:pt idx="67">
                  <c:v>0.18713191866785703</c:v>
                </c:pt>
                <c:pt idx="68">
                  <c:v>0.19240968190263943</c:v>
                </c:pt>
                <c:pt idx="69">
                  <c:v>0.19900436540236816</c:v>
                </c:pt>
                <c:pt idx="70">
                  <c:v>0.20531748217144236</c:v>
                </c:pt>
                <c:pt idx="71">
                  <c:v>0.2109760898097984</c:v>
                </c:pt>
                <c:pt idx="72">
                  <c:v>0.21612244825446045</c:v>
                </c:pt>
                <c:pt idx="73">
                  <c:v>0.22196346669670705</c:v>
                </c:pt>
                <c:pt idx="74">
                  <c:v>0.22810732009532431</c:v>
                </c:pt>
                <c:pt idx="75">
                  <c:v>0.23412334410526736</c:v>
                </c:pt>
                <c:pt idx="76">
                  <c:v>0.23986490799184498</c:v>
                </c:pt>
                <c:pt idx="77">
                  <c:v>0.24502069850935351</c:v>
                </c:pt>
                <c:pt idx="78">
                  <c:v>0.24926848193750281</c:v>
                </c:pt>
                <c:pt idx="79">
                  <c:v>0.25429322975066476</c:v>
                </c:pt>
                <c:pt idx="80">
                  <c:v>0.26011121401157838</c:v>
                </c:pt>
                <c:pt idx="81">
                  <c:v>0.26503737491548973</c:v>
                </c:pt>
                <c:pt idx="82">
                  <c:v>0.28112477252270074</c:v>
                </c:pt>
                <c:pt idx="83">
                  <c:v>0.29408543783843216</c:v>
                </c:pt>
                <c:pt idx="84">
                  <c:v>0.3026381230387874</c:v>
                </c:pt>
                <c:pt idx="85">
                  <c:v>0.31935361335025775</c:v>
                </c:pt>
                <c:pt idx="86">
                  <c:v>0.34029426425882425</c:v>
                </c:pt>
                <c:pt idx="87">
                  <c:v>0.35481157009858943</c:v>
                </c:pt>
                <c:pt idx="88">
                  <c:v>0.37832310440733152</c:v>
                </c:pt>
                <c:pt idx="89">
                  <c:v>0.39503637909289452</c:v>
                </c:pt>
                <c:pt idx="90">
                  <c:v>0.40588362762575414</c:v>
                </c:pt>
                <c:pt idx="91">
                  <c:v>0.41910564353306412</c:v>
                </c:pt>
                <c:pt idx="92">
                  <c:v>0.43143032041876778</c:v>
                </c:pt>
                <c:pt idx="93">
                  <c:v>0.45494185472751447</c:v>
                </c:pt>
                <c:pt idx="94">
                  <c:v>0.47845338903625251</c:v>
                </c:pt>
                <c:pt idx="95">
                  <c:v>0.50196492334500242</c:v>
                </c:pt>
                <c:pt idx="96">
                  <c:v>0.52547645765374429</c:v>
                </c:pt>
                <c:pt idx="97">
                  <c:v>0.54898799196249226</c:v>
                </c:pt>
                <c:pt idx="98">
                  <c:v>0.56831515524715859</c:v>
                </c:pt>
                <c:pt idx="99" formatCode="0.0000%">
                  <c:v>0.56831515524715859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A5-4B93-830D-9B28825C04AE}"/>
            </c:ext>
          </c:extLst>
        </c:ser>
        <c:ser>
          <c:idx val="13"/>
          <c:order val="13"/>
          <c:tx>
            <c:strRef>
              <c:f>Graphs!$AM$26</c:f>
              <c:strCache>
                <c:ptCount val="1"/>
                <c:pt idx="0">
                  <c:v>Timber</c:v>
                </c:pt>
              </c:strCache>
            </c:strRef>
          </c:tx>
          <c:spPr>
            <a:pattFill prst="smGrid">
              <a:fgClr>
                <a:schemeClr val="accent6">
                  <a:lumMod val="50000"/>
                </a:schemeClr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Graphs!$AN$26:$EI$26</c:f>
              <c:numCache>
                <c:formatCode>0.0%;[Red]\-0.0%;.</c:formatCode>
                <c:ptCount val="100"/>
                <c:pt idx="0" formatCode="0.0000%">
                  <c:v>6.8499999999999991E-2</c:v>
                </c:pt>
                <c:pt idx="1">
                  <c:v>6.8499999999999991E-2</c:v>
                </c:pt>
                <c:pt idx="2">
                  <c:v>6.8499999999999991E-2</c:v>
                </c:pt>
                <c:pt idx="3">
                  <c:v>6.8499999999999991E-2</c:v>
                </c:pt>
                <c:pt idx="4">
                  <c:v>6.8499999999999991E-2</c:v>
                </c:pt>
                <c:pt idx="5">
                  <c:v>6.8499999999999991E-2</c:v>
                </c:pt>
                <c:pt idx="6">
                  <c:v>6.8499999999999991E-2</c:v>
                </c:pt>
                <c:pt idx="7">
                  <c:v>6.8499999999999991E-2</c:v>
                </c:pt>
                <c:pt idx="8">
                  <c:v>6.8499999999999991E-2</c:v>
                </c:pt>
                <c:pt idx="9">
                  <c:v>6.8499999999999991E-2</c:v>
                </c:pt>
                <c:pt idx="10">
                  <c:v>6.8499999999999991E-2</c:v>
                </c:pt>
                <c:pt idx="11">
                  <c:v>6.8499999999999991E-2</c:v>
                </c:pt>
                <c:pt idx="12">
                  <c:v>6.8499999999999991E-2</c:v>
                </c:pt>
                <c:pt idx="13">
                  <c:v>6.8499999999999991E-2</c:v>
                </c:pt>
                <c:pt idx="14">
                  <c:v>6.8499999999999991E-2</c:v>
                </c:pt>
                <c:pt idx="15">
                  <c:v>6.8499999999999991E-2</c:v>
                </c:pt>
                <c:pt idx="16">
                  <c:v>6.8499999999999991E-2</c:v>
                </c:pt>
                <c:pt idx="17">
                  <c:v>6.8499999999999991E-2</c:v>
                </c:pt>
                <c:pt idx="18">
                  <c:v>6.8499999999999991E-2</c:v>
                </c:pt>
                <c:pt idx="19">
                  <c:v>6.8499999999999991E-2</c:v>
                </c:pt>
                <c:pt idx="20">
                  <c:v>6.8499999999999991E-2</c:v>
                </c:pt>
                <c:pt idx="21">
                  <c:v>6.8499999999999991E-2</c:v>
                </c:pt>
                <c:pt idx="22">
                  <c:v>6.8499999999999991E-2</c:v>
                </c:pt>
                <c:pt idx="23">
                  <c:v>6.8499999999999991E-2</c:v>
                </c:pt>
                <c:pt idx="24">
                  <c:v>6.8499999999999991E-2</c:v>
                </c:pt>
                <c:pt idx="25">
                  <c:v>6.8499999999999991E-2</c:v>
                </c:pt>
                <c:pt idx="26">
                  <c:v>6.8499999999999991E-2</c:v>
                </c:pt>
                <c:pt idx="27">
                  <c:v>6.8499999999999991E-2</c:v>
                </c:pt>
                <c:pt idx="28">
                  <c:v>6.8499999999999991E-2</c:v>
                </c:pt>
                <c:pt idx="29">
                  <c:v>6.8499999999999991E-2</c:v>
                </c:pt>
                <c:pt idx="30">
                  <c:v>6.8499999999999991E-2</c:v>
                </c:pt>
                <c:pt idx="31">
                  <c:v>6.8499999999999991E-2</c:v>
                </c:pt>
                <c:pt idx="32">
                  <c:v>6.8499999999999991E-2</c:v>
                </c:pt>
                <c:pt idx="33">
                  <c:v>6.8499999999999991E-2</c:v>
                </c:pt>
                <c:pt idx="34">
                  <c:v>6.8499999999999991E-2</c:v>
                </c:pt>
                <c:pt idx="35">
                  <c:v>6.8499999999999991E-2</c:v>
                </c:pt>
                <c:pt idx="36">
                  <c:v>6.8499999999999991E-2</c:v>
                </c:pt>
                <c:pt idx="37">
                  <c:v>6.8499999999999991E-2</c:v>
                </c:pt>
                <c:pt idx="38">
                  <c:v>6.8499999999999991E-2</c:v>
                </c:pt>
                <c:pt idx="39">
                  <c:v>6.8499999999999991E-2</c:v>
                </c:pt>
                <c:pt idx="40">
                  <c:v>6.8499999999999991E-2</c:v>
                </c:pt>
                <c:pt idx="41">
                  <c:v>6.8499999999999991E-2</c:v>
                </c:pt>
                <c:pt idx="42">
                  <c:v>6.8499999999999991E-2</c:v>
                </c:pt>
                <c:pt idx="43">
                  <c:v>6.8499999999999991E-2</c:v>
                </c:pt>
                <c:pt idx="44">
                  <c:v>6.8499999999999991E-2</c:v>
                </c:pt>
                <c:pt idx="45">
                  <c:v>6.8499999999999991E-2</c:v>
                </c:pt>
                <c:pt idx="46">
                  <c:v>6.8499999999999991E-2</c:v>
                </c:pt>
                <c:pt idx="47">
                  <c:v>6.8499999999999991E-2</c:v>
                </c:pt>
                <c:pt idx="48">
                  <c:v>6.8499999999999991E-2</c:v>
                </c:pt>
                <c:pt idx="49">
                  <c:v>6.8499999999999991E-2</c:v>
                </c:pt>
                <c:pt idx="50">
                  <c:v>6.8499999999999991E-2</c:v>
                </c:pt>
                <c:pt idx="51">
                  <c:v>6.8499999999999991E-2</c:v>
                </c:pt>
                <c:pt idx="52">
                  <c:v>6.8499999999999991E-2</c:v>
                </c:pt>
                <c:pt idx="53">
                  <c:v>6.8499999999999797E-2</c:v>
                </c:pt>
                <c:pt idx="54">
                  <c:v>6.8499999999999936E-2</c:v>
                </c:pt>
                <c:pt idx="55">
                  <c:v>6.8499999999999936E-2</c:v>
                </c:pt>
                <c:pt idx="56">
                  <c:v>6.8499999999999991E-2</c:v>
                </c:pt>
                <c:pt idx="57">
                  <c:v>6.8499999999999908E-2</c:v>
                </c:pt>
                <c:pt idx="58">
                  <c:v>6.8499999999999991E-2</c:v>
                </c:pt>
                <c:pt idx="59">
                  <c:v>6.8499999999999991E-2</c:v>
                </c:pt>
                <c:pt idx="60">
                  <c:v>6.8499999999999991E-2</c:v>
                </c:pt>
                <c:pt idx="61">
                  <c:v>6.8499999999999991E-2</c:v>
                </c:pt>
                <c:pt idx="62">
                  <c:v>6.8499999999999991E-2</c:v>
                </c:pt>
                <c:pt idx="63">
                  <c:v>6.8499999999999991E-2</c:v>
                </c:pt>
                <c:pt idx="64">
                  <c:v>6.8499999999999991E-2</c:v>
                </c:pt>
                <c:pt idx="65">
                  <c:v>6.8499999999999991E-2</c:v>
                </c:pt>
                <c:pt idx="66">
                  <c:v>6.8499999999999991E-2</c:v>
                </c:pt>
                <c:pt idx="67">
                  <c:v>6.8499999999999991E-2</c:v>
                </c:pt>
                <c:pt idx="68">
                  <c:v>6.8499999999999991E-2</c:v>
                </c:pt>
                <c:pt idx="69">
                  <c:v>6.8499999999999991E-2</c:v>
                </c:pt>
                <c:pt idx="70">
                  <c:v>6.8499999999999991E-2</c:v>
                </c:pt>
                <c:pt idx="71">
                  <c:v>6.8499999999999991E-2</c:v>
                </c:pt>
                <c:pt idx="72">
                  <c:v>6.8499999999999991E-2</c:v>
                </c:pt>
                <c:pt idx="73">
                  <c:v>6.8499999999999991E-2</c:v>
                </c:pt>
                <c:pt idx="74">
                  <c:v>6.8499999999999964E-2</c:v>
                </c:pt>
                <c:pt idx="75">
                  <c:v>6.8499999999999991E-2</c:v>
                </c:pt>
                <c:pt idx="76">
                  <c:v>6.8499999999999839E-2</c:v>
                </c:pt>
                <c:pt idx="77">
                  <c:v>6.8499999999999991E-2</c:v>
                </c:pt>
                <c:pt idx="78">
                  <c:v>6.8499999999999991E-2</c:v>
                </c:pt>
                <c:pt idx="79">
                  <c:v>6.8499999999999991E-2</c:v>
                </c:pt>
                <c:pt idx="80">
                  <c:v>6.8499999999999894E-2</c:v>
                </c:pt>
                <c:pt idx="81">
                  <c:v>6.8499999999999991E-2</c:v>
                </c:pt>
                <c:pt idx="82">
                  <c:v>6.8499999999999991E-2</c:v>
                </c:pt>
                <c:pt idx="83">
                  <c:v>6.0694402714824805E-2</c:v>
                </c:pt>
                <c:pt idx="84">
                  <c:v>4.9627770780282777E-2</c:v>
                </c:pt>
                <c:pt idx="85">
                  <c:v>4.4600000000000001E-2</c:v>
                </c:pt>
                <c:pt idx="86">
                  <c:v>4.4600000000000001E-2</c:v>
                </c:pt>
                <c:pt idx="87">
                  <c:v>4.4600000000000001E-2</c:v>
                </c:pt>
                <c:pt idx="88">
                  <c:v>4.4600000000000001E-2</c:v>
                </c:pt>
                <c:pt idx="89">
                  <c:v>4.4600000000000001E-2</c:v>
                </c:pt>
                <c:pt idx="90">
                  <c:v>4.4599999999999904E-2</c:v>
                </c:pt>
                <c:pt idx="91">
                  <c:v>4.4600000000000022E-2</c:v>
                </c:pt>
                <c:pt idx="92">
                  <c:v>4.4600000000000015E-2</c:v>
                </c:pt>
                <c:pt idx="93">
                  <c:v>4.4600000000000029E-2</c:v>
                </c:pt>
                <c:pt idx="94">
                  <c:v>4.4600000000000001E-2</c:v>
                </c:pt>
                <c:pt idx="95">
                  <c:v>4.4600000000000001E-2</c:v>
                </c:pt>
                <c:pt idx="96">
                  <c:v>4.4600000000000001E-2</c:v>
                </c:pt>
                <c:pt idx="97">
                  <c:v>4.4600000000000001E-2</c:v>
                </c:pt>
                <c:pt idx="98">
                  <c:v>4.4623154912533672E-2</c:v>
                </c:pt>
                <c:pt idx="99" formatCode="0.0000%">
                  <c:v>4.4623154912533672E-2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A5-4B93-830D-9B28825C04AE}"/>
            </c:ext>
          </c:extLst>
        </c:ser>
        <c:ser>
          <c:idx val="14"/>
          <c:order val="14"/>
          <c:tx>
            <c:strRef>
              <c:f>Graphs!$AM$27</c:f>
              <c:strCache>
                <c:ptCount val="1"/>
                <c:pt idx="0">
                  <c:v>Farms</c:v>
                </c:pt>
              </c:strCache>
            </c:strRef>
          </c:tx>
          <c:spPr>
            <a:pattFill prst="trellis">
              <a:fgClr>
                <a:schemeClr val="accent3">
                  <a:lumMod val="75000"/>
                </a:schemeClr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Graphs!$AN$6:$EI$6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Graphs!$AN$27:$EI$27</c:f>
              <c:numCache>
                <c:formatCode>0.0%;[Red]\-0.0%;.</c:formatCode>
                <c:ptCount val="100"/>
                <c:pt idx="0" formatCode="0.0000%">
                  <c:v>3.2300000000000002E-2</c:v>
                </c:pt>
                <c:pt idx="1">
                  <c:v>3.2300000000000002E-2</c:v>
                </c:pt>
                <c:pt idx="2">
                  <c:v>3.2300000000000002E-2</c:v>
                </c:pt>
                <c:pt idx="3">
                  <c:v>3.2300000000000002E-2</c:v>
                </c:pt>
                <c:pt idx="4">
                  <c:v>3.2300000000000002E-2</c:v>
                </c:pt>
                <c:pt idx="5">
                  <c:v>3.2300000000000002E-2</c:v>
                </c:pt>
                <c:pt idx="6">
                  <c:v>3.2300000000000002E-2</c:v>
                </c:pt>
                <c:pt idx="7">
                  <c:v>3.2300000000000002E-2</c:v>
                </c:pt>
                <c:pt idx="8">
                  <c:v>3.2300000000000002E-2</c:v>
                </c:pt>
                <c:pt idx="9">
                  <c:v>3.2300000000000002E-2</c:v>
                </c:pt>
                <c:pt idx="10">
                  <c:v>3.2300000000000002E-2</c:v>
                </c:pt>
                <c:pt idx="11">
                  <c:v>3.2300000000000002E-2</c:v>
                </c:pt>
                <c:pt idx="12">
                  <c:v>3.2300000000000002E-2</c:v>
                </c:pt>
                <c:pt idx="13">
                  <c:v>3.2300000000000002E-2</c:v>
                </c:pt>
                <c:pt idx="14">
                  <c:v>3.2300000000000002E-2</c:v>
                </c:pt>
                <c:pt idx="15">
                  <c:v>3.2300000000000002E-2</c:v>
                </c:pt>
                <c:pt idx="16">
                  <c:v>3.2300000000000002E-2</c:v>
                </c:pt>
                <c:pt idx="17">
                  <c:v>3.2300000000000002E-2</c:v>
                </c:pt>
                <c:pt idx="18">
                  <c:v>3.2300000000000002E-2</c:v>
                </c:pt>
                <c:pt idx="19">
                  <c:v>3.2300000000000002E-2</c:v>
                </c:pt>
                <c:pt idx="20">
                  <c:v>3.2300000000000002E-2</c:v>
                </c:pt>
                <c:pt idx="21">
                  <c:v>3.2300000000000002E-2</c:v>
                </c:pt>
                <c:pt idx="22">
                  <c:v>3.2300000000000002E-2</c:v>
                </c:pt>
                <c:pt idx="23">
                  <c:v>3.2300000000000002E-2</c:v>
                </c:pt>
                <c:pt idx="24">
                  <c:v>3.2300000000000002E-2</c:v>
                </c:pt>
                <c:pt idx="25">
                  <c:v>3.2300000000000002E-2</c:v>
                </c:pt>
                <c:pt idx="26">
                  <c:v>3.2300000000000002E-2</c:v>
                </c:pt>
                <c:pt idx="27">
                  <c:v>3.2300000000000002E-2</c:v>
                </c:pt>
                <c:pt idx="28">
                  <c:v>3.2300000000000002E-2</c:v>
                </c:pt>
                <c:pt idx="29">
                  <c:v>3.2300000000000002E-2</c:v>
                </c:pt>
                <c:pt idx="30">
                  <c:v>3.2300000000000002E-2</c:v>
                </c:pt>
                <c:pt idx="31">
                  <c:v>3.2300000000000002E-2</c:v>
                </c:pt>
                <c:pt idx="32">
                  <c:v>3.2300000000000002E-2</c:v>
                </c:pt>
                <c:pt idx="33">
                  <c:v>3.2300000000000002E-2</c:v>
                </c:pt>
                <c:pt idx="34">
                  <c:v>3.2300000000000002E-2</c:v>
                </c:pt>
                <c:pt idx="35">
                  <c:v>3.2300000000000002E-2</c:v>
                </c:pt>
                <c:pt idx="36">
                  <c:v>3.2300000000000002E-2</c:v>
                </c:pt>
                <c:pt idx="37">
                  <c:v>3.2300000000000002E-2</c:v>
                </c:pt>
                <c:pt idx="38">
                  <c:v>3.2300000000000002E-2</c:v>
                </c:pt>
                <c:pt idx="39">
                  <c:v>3.2300000000000002E-2</c:v>
                </c:pt>
                <c:pt idx="40">
                  <c:v>3.2300000000000002E-2</c:v>
                </c:pt>
                <c:pt idx="41">
                  <c:v>3.2300000000000002E-2</c:v>
                </c:pt>
                <c:pt idx="42">
                  <c:v>3.2300000000000002E-2</c:v>
                </c:pt>
                <c:pt idx="43">
                  <c:v>3.2300000000000002E-2</c:v>
                </c:pt>
                <c:pt idx="44">
                  <c:v>3.2300000000000002E-2</c:v>
                </c:pt>
                <c:pt idx="45">
                  <c:v>3.2300000000000002E-2</c:v>
                </c:pt>
                <c:pt idx="46">
                  <c:v>3.2300000000000002E-2</c:v>
                </c:pt>
                <c:pt idx="47">
                  <c:v>3.2300000000000002E-2</c:v>
                </c:pt>
                <c:pt idx="48">
                  <c:v>3.2300000000000002E-2</c:v>
                </c:pt>
                <c:pt idx="49">
                  <c:v>3.2300000000000002E-2</c:v>
                </c:pt>
                <c:pt idx="50">
                  <c:v>3.2300000000000002E-2</c:v>
                </c:pt>
                <c:pt idx="51">
                  <c:v>3.2300000000000002E-2</c:v>
                </c:pt>
                <c:pt idx="52">
                  <c:v>3.2300000000000002E-2</c:v>
                </c:pt>
                <c:pt idx="53">
                  <c:v>3.2300000000000044E-2</c:v>
                </c:pt>
                <c:pt idx="54">
                  <c:v>3.2299999999999982E-2</c:v>
                </c:pt>
                <c:pt idx="55">
                  <c:v>3.2300000000000016E-2</c:v>
                </c:pt>
                <c:pt idx="56">
                  <c:v>3.2300000000000002E-2</c:v>
                </c:pt>
                <c:pt idx="57">
                  <c:v>3.2299999999999975E-2</c:v>
                </c:pt>
                <c:pt idx="58">
                  <c:v>3.2300000000000002E-2</c:v>
                </c:pt>
                <c:pt idx="59">
                  <c:v>3.2300000000000002E-2</c:v>
                </c:pt>
                <c:pt idx="60">
                  <c:v>3.2300000000000002E-2</c:v>
                </c:pt>
                <c:pt idx="61">
                  <c:v>3.2300000000000002E-2</c:v>
                </c:pt>
                <c:pt idx="62">
                  <c:v>3.2300000000000002E-2</c:v>
                </c:pt>
                <c:pt idx="63">
                  <c:v>3.2300000000000002E-2</c:v>
                </c:pt>
                <c:pt idx="64">
                  <c:v>3.2300000000000002E-2</c:v>
                </c:pt>
                <c:pt idx="65">
                  <c:v>3.2300000000000002E-2</c:v>
                </c:pt>
                <c:pt idx="66">
                  <c:v>3.2300000000000002E-2</c:v>
                </c:pt>
                <c:pt idx="67">
                  <c:v>3.2300000000000002E-2</c:v>
                </c:pt>
                <c:pt idx="68">
                  <c:v>3.2300000000000002E-2</c:v>
                </c:pt>
                <c:pt idx="69">
                  <c:v>3.2300000000000002E-2</c:v>
                </c:pt>
                <c:pt idx="70">
                  <c:v>3.2300000000000002E-2</c:v>
                </c:pt>
                <c:pt idx="71">
                  <c:v>3.2300000000000002E-2</c:v>
                </c:pt>
                <c:pt idx="72">
                  <c:v>3.2300000000000002E-2</c:v>
                </c:pt>
                <c:pt idx="73">
                  <c:v>3.2300000000000002E-2</c:v>
                </c:pt>
                <c:pt idx="74">
                  <c:v>3.2300000000000016E-2</c:v>
                </c:pt>
                <c:pt idx="75">
                  <c:v>3.2300000000000002E-2</c:v>
                </c:pt>
                <c:pt idx="76">
                  <c:v>3.2300000000000023E-2</c:v>
                </c:pt>
                <c:pt idx="77">
                  <c:v>3.2300000000000002E-2</c:v>
                </c:pt>
                <c:pt idx="78">
                  <c:v>3.2300000000000002E-2</c:v>
                </c:pt>
                <c:pt idx="79">
                  <c:v>3.2300000000000002E-2</c:v>
                </c:pt>
                <c:pt idx="80">
                  <c:v>3.2300000000000009E-2</c:v>
                </c:pt>
                <c:pt idx="81">
                  <c:v>3.2300000000000002E-2</c:v>
                </c:pt>
                <c:pt idx="82">
                  <c:v>3.2300000000000002E-2</c:v>
                </c:pt>
                <c:pt idx="83">
                  <c:v>3.2300000000000002E-2</c:v>
                </c:pt>
                <c:pt idx="84">
                  <c:v>3.2300000000000113E-2</c:v>
                </c:pt>
                <c:pt idx="85">
                  <c:v>3.2300000000000002E-2</c:v>
                </c:pt>
                <c:pt idx="86">
                  <c:v>2.9921427903757805E-2</c:v>
                </c:pt>
                <c:pt idx="87">
                  <c:v>2.1600000000006503E-2</c:v>
                </c:pt>
                <c:pt idx="88">
                  <c:v>2.1600000000006503E-2</c:v>
                </c:pt>
                <c:pt idx="89">
                  <c:v>2.1600000000006503E-2</c:v>
                </c:pt>
                <c:pt idx="90">
                  <c:v>2.1600000000006538E-2</c:v>
                </c:pt>
                <c:pt idx="91">
                  <c:v>2.1600000000006503E-2</c:v>
                </c:pt>
                <c:pt idx="92">
                  <c:v>2.1600000000006503E-2</c:v>
                </c:pt>
                <c:pt idx="93">
                  <c:v>2.1600000000006541E-2</c:v>
                </c:pt>
                <c:pt idx="94">
                  <c:v>2.1600000000006503E-2</c:v>
                </c:pt>
                <c:pt idx="95">
                  <c:v>2.1600000000006503E-2</c:v>
                </c:pt>
                <c:pt idx="96">
                  <c:v>2.1600000000006503E-2</c:v>
                </c:pt>
                <c:pt idx="97">
                  <c:v>2.1600000000006503E-2</c:v>
                </c:pt>
                <c:pt idx="98">
                  <c:v>2.1626032029574201E-2</c:v>
                </c:pt>
                <c:pt idx="99" formatCode="0.0000%">
                  <c:v>2.1626032029574201E-2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A5-4B93-830D-9B28825C0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77792"/>
        <c:axId val="171379712"/>
      </c:areaChart>
      <c:barChart>
        <c:barDir val="col"/>
        <c:grouping val="percentStacked"/>
        <c:varyColors val="0"/>
        <c:ser>
          <c:idx val="15"/>
          <c:order val="15"/>
          <c:tx>
            <c:strRef>
              <c:f>Graphs!$AM$12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ysClr val="windowText" lastClr="000000"/>
            </a:solidFill>
            <a:ln w="25400">
              <a:solidFill>
                <a:sysClr val="windowText" lastClr="000000"/>
              </a:solidFill>
            </a:ln>
          </c:spPr>
          <c:invertIfNegative val="0"/>
          <c:val>
            <c:numRef>
              <c:f>Graphs!$AN$12:$EI$12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1.05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0C-8F58-4A4C-821F-B2A1D9D7C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377792"/>
        <c:axId val="171379712"/>
      </c:barChart>
      <c:catAx>
        <c:axId val="171377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Risk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71379712"/>
        <c:crosses val="autoZero"/>
        <c:auto val="1"/>
        <c:lblAlgn val="ctr"/>
        <c:lblOffset val="100"/>
        <c:tickLblSkip val="9"/>
        <c:tickMarkSkip val="3"/>
        <c:noMultiLvlLbl val="0"/>
      </c:catAx>
      <c:valAx>
        <c:axId val="171379712"/>
        <c:scaling>
          <c:orientation val="minMax"/>
          <c:max val="1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71377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3468656770224301"/>
          <c:y val="4.8759626565666625E-2"/>
          <c:w val="5.8007496925179168E-2"/>
          <c:h val="0.88779693677530813"/>
        </c:manualLayout>
      </c:layout>
      <c:overlay val="0"/>
    </c:legend>
    <c:plotVisOnly val="1"/>
    <c:dispBlanksAs val="zero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[0]!Series2Anchor</c:f>
          <c:strCache>
            <c:ptCount val="1"/>
            <c:pt idx="0">
              <c:v>MLF_INV</c:v>
            </c:pt>
          </c:strCache>
        </c:strRef>
      </c:tx>
      <c:layout>
        <c:manualLayout>
          <c:xMode val="edge"/>
          <c:yMode val="edge"/>
          <c:x val="3.3218881872353542E-2"/>
          <c:y val="1.8260554240891506E-2"/>
        </c:manualLayout>
      </c:layout>
      <c:overlay val="0"/>
      <c:spPr>
        <a:noFill/>
      </c:spPr>
      <c:txPr>
        <a:bodyPr/>
        <a:lstStyle/>
        <a:p>
          <a:pPr>
            <a:defRPr sz="1100" b="1" u="sng">
              <a:solidFill>
                <a:srgbClr val="008000"/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349898876118771E-2"/>
          <c:y val="9.5065870389389726E-2"/>
          <c:w val="0.81600032628462571"/>
          <c:h val="0.81396680487402839"/>
        </c:manualLayout>
      </c:layout>
      <c:areaChart>
        <c:grouping val="percentStacked"/>
        <c:varyColors val="0"/>
        <c:ser>
          <c:idx val="1"/>
          <c:order val="1"/>
          <c:tx>
            <c:strRef>
              <c:f>Graphs!$AM$42</c:f>
              <c:strCache>
                <c:ptCount val="1"/>
                <c:pt idx="0">
                  <c:v>Cash</c:v>
                </c:pt>
              </c:strCache>
            </c:strRef>
          </c:tx>
          <c:spPr>
            <a:solidFill>
              <a:srgbClr val="0000CC"/>
            </a:solid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Graphs!$AN$42:$EI$42</c:f>
              <c:numCache>
                <c:formatCode>0.0%;[Red]\-0.0%;.</c:formatCode>
                <c:ptCount val="100"/>
                <c:pt idx="0">
                  <c:v>0.14179799082621383</c:v>
                </c:pt>
                <c:pt idx="1">
                  <c:v>0.13233091861973695</c:v>
                </c:pt>
                <c:pt idx="2">
                  <c:v>0.1243942655455476</c:v>
                </c:pt>
                <c:pt idx="3">
                  <c:v>0.11520116989470815</c:v>
                </c:pt>
                <c:pt idx="4">
                  <c:v>0.10916922641255304</c:v>
                </c:pt>
                <c:pt idx="5">
                  <c:v>0.10360047909410217</c:v>
                </c:pt>
                <c:pt idx="6">
                  <c:v>9.6075954155486074E-2</c:v>
                </c:pt>
                <c:pt idx="7">
                  <c:v>8.9845004617069596E-2</c:v>
                </c:pt>
                <c:pt idx="8">
                  <c:v>8.1880626480782523E-2</c:v>
                </c:pt>
                <c:pt idx="9">
                  <c:v>7.4763169275450445E-2</c:v>
                </c:pt>
                <c:pt idx="10">
                  <c:v>6.9245757013342041E-2</c:v>
                </c:pt>
                <c:pt idx="11">
                  <c:v>6.2578770300411937E-2</c:v>
                </c:pt>
                <c:pt idx="12">
                  <c:v>5.6082941838110772E-2</c:v>
                </c:pt>
                <c:pt idx="13">
                  <c:v>5.0575807917931599E-2</c:v>
                </c:pt>
                <c:pt idx="14">
                  <c:v>4.4966573648398643E-2</c:v>
                </c:pt>
                <c:pt idx="15">
                  <c:v>3.9620894965772896E-2</c:v>
                </c:pt>
                <c:pt idx="16">
                  <c:v>3.4756315073657965E-2</c:v>
                </c:pt>
                <c:pt idx="17">
                  <c:v>2.820966588995916E-2</c:v>
                </c:pt>
                <c:pt idx="18">
                  <c:v>2.1498020140681542E-2</c:v>
                </c:pt>
                <c:pt idx="19">
                  <c:v>1.4429740286368013E-2</c:v>
                </c:pt>
                <c:pt idx="20">
                  <c:v>1.0600000000692944E-2</c:v>
                </c:pt>
                <c:pt idx="21">
                  <c:v>1.0600000000692944E-2</c:v>
                </c:pt>
                <c:pt idx="22">
                  <c:v>1.0600000000692944E-2</c:v>
                </c:pt>
                <c:pt idx="23">
                  <c:v>1.0600000000692944E-2</c:v>
                </c:pt>
                <c:pt idx="24">
                  <c:v>1.0600000000692944E-2</c:v>
                </c:pt>
                <c:pt idx="25">
                  <c:v>1.0600000000692944E-2</c:v>
                </c:pt>
                <c:pt idx="26">
                  <c:v>1.0600000000692944E-2</c:v>
                </c:pt>
                <c:pt idx="27">
                  <c:v>1.0600000000692944E-2</c:v>
                </c:pt>
                <c:pt idx="28">
                  <c:v>1.0600000000692944E-2</c:v>
                </c:pt>
                <c:pt idx="29">
                  <c:v>1.0600000000692944E-2</c:v>
                </c:pt>
                <c:pt idx="30">
                  <c:v>1.0600000000692944E-2</c:v>
                </c:pt>
                <c:pt idx="31">
                  <c:v>1.0600000000692944E-2</c:v>
                </c:pt>
                <c:pt idx="32">
                  <c:v>1.0600000000692944E-2</c:v>
                </c:pt>
                <c:pt idx="33">
                  <c:v>1.0600000000692944E-2</c:v>
                </c:pt>
                <c:pt idx="34">
                  <c:v>1.0600000000692944E-2</c:v>
                </c:pt>
                <c:pt idx="35">
                  <c:v>1.0600000000692944E-2</c:v>
                </c:pt>
                <c:pt idx="36">
                  <c:v>1.0600000000692944E-2</c:v>
                </c:pt>
                <c:pt idx="37">
                  <c:v>1.0600000000692944E-2</c:v>
                </c:pt>
                <c:pt idx="38">
                  <c:v>1.0600000000692944E-2</c:v>
                </c:pt>
                <c:pt idx="39">
                  <c:v>1.0600000000692944E-2</c:v>
                </c:pt>
                <c:pt idx="40">
                  <c:v>1.0600000000692944E-2</c:v>
                </c:pt>
                <c:pt idx="41">
                  <c:v>1.0600000000692944E-2</c:v>
                </c:pt>
                <c:pt idx="42">
                  <c:v>1.0600000000692944E-2</c:v>
                </c:pt>
                <c:pt idx="43">
                  <c:v>1.0600000000692944E-2</c:v>
                </c:pt>
                <c:pt idx="44">
                  <c:v>1.0600000000692944E-2</c:v>
                </c:pt>
                <c:pt idx="45">
                  <c:v>1.0600000000692944E-2</c:v>
                </c:pt>
                <c:pt idx="46">
                  <c:v>1.0600000000692944E-2</c:v>
                </c:pt>
                <c:pt idx="47">
                  <c:v>1.0600000000692944E-2</c:v>
                </c:pt>
                <c:pt idx="48">
                  <c:v>1.0600000000692944E-2</c:v>
                </c:pt>
                <c:pt idx="49">
                  <c:v>1.0600000000692944E-2</c:v>
                </c:pt>
                <c:pt idx="50">
                  <c:v>1.0600000000692944E-2</c:v>
                </c:pt>
                <c:pt idx="51">
                  <c:v>1.0600000000692944E-2</c:v>
                </c:pt>
                <c:pt idx="52">
                  <c:v>1.0600000000692944E-2</c:v>
                </c:pt>
                <c:pt idx="53">
                  <c:v>1.0600000000692944E-2</c:v>
                </c:pt>
                <c:pt idx="54">
                  <c:v>1.0600000000692944E-2</c:v>
                </c:pt>
                <c:pt idx="55">
                  <c:v>1.0600000000692944E-2</c:v>
                </c:pt>
                <c:pt idx="56">
                  <c:v>1.0600000000692944E-2</c:v>
                </c:pt>
                <c:pt idx="57">
                  <c:v>1.0600000000692944E-2</c:v>
                </c:pt>
                <c:pt idx="58">
                  <c:v>1.0600000000692944E-2</c:v>
                </c:pt>
                <c:pt idx="59">
                  <c:v>1.0600000000692944E-2</c:v>
                </c:pt>
                <c:pt idx="60">
                  <c:v>1.0600000000692944E-2</c:v>
                </c:pt>
                <c:pt idx="61">
                  <c:v>1.0600000000692944E-2</c:v>
                </c:pt>
                <c:pt idx="62">
                  <c:v>1.0600000000692944E-2</c:v>
                </c:pt>
                <c:pt idx="63">
                  <c:v>1.0600000000692944E-2</c:v>
                </c:pt>
                <c:pt idx="64">
                  <c:v>1.0600000000692944E-2</c:v>
                </c:pt>
                <c:pt idx="65">
                  <c:v>1.0600000000692944E-2</c:v>
                </c:pt>
                <c:pt idx="66">
                  <c:v>1.0600000000692944E-2</c:v>
                </c:pt>
                <c:pt idx="67">
                  <c:v>1.0600000000692944E-2</c:v>
                </c:pt>
                <c:pt idx="68">
                  <c:v>1.0600000000692944E-2</c:v>
                </c:pt>
                <c:pt idx="69">
                  <c:v>1.0600000000692944E-2</c:v>
                </c:pt>
                <c:pt idx="70">
                  <c:v>1.0600000000692944E-2</c:v>
                </c:pt>
                <c:pt idx="71">
                  <c:v>1.0600000000692944E-2</c:v>
                </c:pt>
                <c:pt idx="72">
                  <c:v>1.0600000000692944E-2</c:v>
                </c:pt>
                <c:pt idx="73">
                  <c:v>1.0600000000692944E-2</c:v>
                </c:pt>
                <c:pt idx="74">
                  <c:v>1.0600000000692944E-2</c:v>
                </c:pt>
                <c:pt idx="75">
                  <c:v>1.0600000000692944E-2</c:v>
                </c:pt>
                <c:pt idx="76">
                  <c:v>1.0600000000692944E-2</c:v>
                </c:pt>
                <c:pt idx="77">
                  <c:v>1.0600000000692944E-2</c:v>
                </c:pt>
                <c:pt idx="78">
                  <c:v>1.0600000000692944E-2</c:v>
                </c:pt>
                <c:pt idx="79">
                  <c:v>1.0600000000692944E-2</c:v>
                </c:pt>
                <c:pt idx="80">
                  <c:v>1.0600000000692944E-2</c:v>
                </c:pt>
                <c:pt idx="81">
                  <c:v>1.0600000000692944E-2</c:v>
                </c:pt>
                <c:pt idx="82">
                  <c:v>1.0600000000692944E-2</c:v>
                </c:pt>
                <c:pt idx="83">
                  <c:v>1.0600000000692944E-2</c:v>
                </c:pt>
                <c:pt idx="84">
                  <c:v>1.0600000000692944E-2</c:v>
                </c:pt>
                <c:pt idx="85">
                  <c:v>1.0600000000692946E-2</c:v>
                </c:pt>
                <c:pt idx="86">
                  <c:v>1.0600000000692944E-2</c:v>
                </c:pt>
                <c:pt idx="87">
                  <c:v>1.0600000000692944E-2</c:v>
                </c:pt>
                <c:pt idx="88">
                  <c:v>1.0600000000692944E-2</c:v>
                </c:pt>
                <c:pt idx="89">
                  <c:v>2.0342527715441542E-2</c:v>
                </c:pt>
                <c:pt idx="90">
                  <c:v>3.8491607332567526E-2</c:v>
                </c:pt>
                <c:pt idx="91">
                  <c:v>5.3237428138748433E-2</c:v>
                </c:pt>
                <c:pt idx="92">
                  <c:v>6.9269217821103096E-2</c:v>
                </c:pt>
                <c:pt idx="93">
                  <c:v>6.9269217821103624E-2</c:v>
                </c:pt>
                <c:pt idx="94">
                  <c:v>6.9269217821102375E-2</c:v>
                </c:pt>
                <c:pt idx="95">
                  <c:v>6.9269217821102388E-2</c:v>
                </c:pt>
                <c:pt idx="96">
                  <c:v>6.9269217821102388E-2</c:v>
                </c:pt>
                <c:pt idx="97">
                  <c:v>6.9269217821102388E-2</c:v>
                </c:pt>
                <c:pt idx="98">
                  <c:v>8.8119859034992601E-2</c:v>
                </c:pt>
                <c:pt idx="99">
                  <c:v>8.8119859034992601E-2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27-4C81-8696-7B458EFF47FF}"/>
            </c:ext>
          </c:extLst>
        </c:ser>
        <c:ser>
          <c:idx val="2"/>
          <c:order val="2"/>
          <c:tx>
            <c:strRef>
              <c:f>Graphs!$AM$43</c:f>
              <c:strCache>
                <c:ptCount val="1"/>
                <c:pt idx="0">
                  <c:v>US Bond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Graphs!$AN$43:$EI$43</c:f>
              <c:numCache>
                <c:formatCode>0.0%;[Red]\-0.0%;.</c:formatCode>
                <c:ptCount val="100"/>
                <c:pt idx="0">
                  <c:v>0.17360199869735138</c:v>
                </c:pt>
                <c:pt idx="1">
                  <c:v>0.18306907090382826</c:v>
                </c:pt>
                <c:pt idx="2">
                  <c:v>0.19100573416402442</c:v>
                </c:pt>
                <c:pt idx="3">
                  <c:v>0.20019882667131103</c:v>
                </c:pt>
                <c:pt idx="4">
                  <c:v>0.20623076310961955</c:v>
                </c:pt>
                <c:pt idx="5">
                  <c:v>0.21179951720063175</c:v>
                </c:pt>
                <c:pt idx="6">
                  <c:v>0.21932403446546048</c:v>
                </c:pt>
                <c:pt idx="7">
                  <c:v>0.22555498436639779</c:v>
                </c:pt>
                <c:pt idx="8">
                  <c:v>0.23351936981395138</c:v>
                </c:pt>
                <c:pt idx="9">
                  <c:v>0.24063681450574737</c:v>
                </c:pt>
                <c:pt idx="10">
                  <c:v>0.24615423928139191</c:v>
                </c:pt>
                <c:pt idx="11">
                  <c:v>0.25282122969958809</c:v>
                </c:pt>
                <c:pt idx="12">
                  <c:v>0.25931705816188921</c:v>
                </c:pt>
                <c:pt idx="13">
                  <c:v>0.26482419208206842</c:v>
                </c:pt>
                <c:pt idx="14">
                  <c:v>0.27043342635160139</c:v>
                </c:pt>
                <c:pt idx="15">
                  <c:v>0.27577910503422709</c:v>
                </c:pt>
                <c:pt idx="16">
                  <c:v>0.28064368492634206</c:v>
                </c:pt>
                <c:pt idx="17">
                  <c:v>0.28719032273098738</c:v>
                </c:pt>
                <c:pt idx="18">
                  <c:v>0.29390197985931849</c:v>
                </c:pt>
                <c:pt idx="19">
                  <c:v>0.300970259713632</c:v>
                </c:pt>
                <c:pt idx="20">
                  <c:v>0.30479999999930707</c:v>
                </c:pt>
                <c:pt idx="21">
                  <c:v>0.30479998862164626</c:v>
                </c:pt>
                <c:pt idx="22">
                  <c:v>0.30314076578792504</c:v>
                </c:pt>
                <c:pt idx="23">
                  <c:v>0.30076345560916595</c:v>
                </c:pt>
                <c:pt idx="24">
                  <c:v>0.29768880402918485</c:v>
                </c:pt>
                <c:pt idx="25">
                  <c:v>0.29426716515189677</c:v>
                </c:pt>
                <c:pt idx="26">
                  <c:v>0.29105720221668446</c:v>
                </c:pt>
                <c:pt idx="27">
                  <c:v>0.28705857745117935</c:v>
                </c:pt>
                <c:pt idx="28">
                  <c:v>0.28511126478761439</c:v>
                </c:pt>
                <c:pt idx="29">
                  <c:v>0.28282181633007319</c:v>
                </c:pt>
                <c:pt idx="30">
                  <c:v>0.28046361831669092</c:v>
                </c:pt>
                <c:pt idx="31">
                  <c:v>0.27703225152961908</c:v>
                </c:pt>
                <c:pt idx="32">
                  <c:v>0.27518365056006472</c:v>
                </c:pt>
                <c:pt idx="33">
                  <c:v>0.2737601662734378</c:v>
                </c:pt>
                <c:pt idx="34">
                  <c:v>0.27393750117402904</c:v>
                </c:pt>
                <c:pt idx="35">
                  <c:v>0.27386325659028676</c:v>
                </c:pt>
                <c:pt idx="36">
                  <c:v>0.27406359925391621</c:v>
                </c:pt>
                <c:pt idx="37">
                  <c:v>0.27440241796157921</c:v>
                </c:pt>
                <c:pt idx="38">
                  <c:v>0.2751342363443936</c:v>
                </c:pt>
                <c:pt idx="39">
                  <c:v>0.27351312044025738</c:v>
                </c:pt>
                <c:pt idx="40">
                  <c:v>0.27072877945345197</c:v>
                </c:pt>
                <c:pt idx="41">
                  <c:v>0.26822774824551932</c:v>
                </c:pt>
                <c:pt idx="42">
                  <c:v>0.26686854160777923</c:v>
                </c:pt>
                <c:pt idx="43">
                  <c:v>0.2656325977769679</c:v>
                </c:pt>
                <c:pt idx="44">
                  <c:v>0.26336921782040945</c:v>
                </c:pt>
                <c:pt idx="45">
                  <c:v>0.26336921782040945</c:v>
                </c:pt>
                <c:pt idx="46">
                  <c:v>0.26336921782040945</c:v>
                </c:pt>
                <c:pt idx="47">
                  <c:v>0.26336921782040945</c:v>
                </c:pt>
                <c:pt idx="48">
                  <c:v>0.26336921782040945</c:v>
                </c:pt>
                <c:pt idx="49">
                  <c:v>0.26336921782040945</c:v>
                </c:pt>
                <c:pt idx="50">
                  <c:v>0.26336921782040945</c:v>
                </c:pt>
                <c:pt idx="51">
                  <c:v>0.26336921782040945</c:v>
                </c:pt>
                <c:pt idx="52">
                  <c:v>0.26336921782040945</c:v>
                </c:pt>
                <c:pt idx="53">
                  <c:v>0.26336921782041006</c:v>
                </c:pt>
                <c:pt idx="54">
                  <c:v>0.26336921782040945</c:v>
                </c:pt>
                <c:pt idx="55">
                  <c:v>0.26336921782040951</c:v>
                </c:pt>
                <c:pt idx="56">
                  <c:v>0.26336921203824004</c:v>
                </c:pt>
                <c:pt idx="57">
                  <c:v>0.26336921782040978</c:v>
                </c:pt>
                <c:pt idx="58">
                  <c:v>0.26336921203824004</c:v>
                </c:pt>
                <c:pt idx="59">
                  <c:v>0.26336921203824004</c:v>
                </c:pt>
                <c:pt idx="60">
                  <c:v>0.26336921203824004</c:v>
                </c:pt>
                <c:pt idx="61">
                  <c:v>0.26336921203824004</c:v>
                </c:pt>
                <c:pt idx="62">
                  <c:v>0.26336921203824004</c:v>
                </c:pt>
                <c:pt idx="63">
                  <c:v>0.26336921782040945</c:v>
                </c:pt>
                <c:pt idx="64">
                  <c:v>0.26336921203824004</c:v>
                </c:pt>
                <c:pt idx="65">
                  <c:v>0.26336921203824004</c:v>
                </c:pt>
                <c:pt idx="66">
                  <c:v>0.26336921203824004</c:v>
                </c:pt>
                <c:pt idx="67">
                  <c:v>0.26336921203824004</c:v>
                </c:pt>
                <c:pt idx="68">
                  <c:v>0.26336921203824004</c:v>
                </c:pt>
                <c:pt idx="69">
                  <c:v>0.26336921203824004</c:v>
                </c:pt>
                <c:pt idx="70">
                  <c:v>0.26336921203824004</c:v>
                </c:pt>
                <c:pt idx="71">
                  <c:v>0.26336921203824004</c:v>
                </c:pt>
                <c:pt idx="72">
                  <c:v>0.26336921203824004</c:v>
                </c:pt>
                <c:pt idx="73">
                  <c:v>0.26336921203824004</c:v>
                </c:pt>
                <c:pt idx="74">
                  <c:v>0.26336921782040956</c:v>
                </c:pt>
                <c:pt idx="75">
                  <c:v>0.26336921782040945</c:v>
                </c:pt>
                <c:pt idx="76">
                  <c:v>0.26336921203824037</c:v>
                </c:pt>
                <c:pt idx="77">
                  <c:v>0.26336921782040945</c:v>
                </c:pt>
                <c:pt idx="78">
                  <c:v>0.26336921782040945</c:v>
                </c:pt>
                <c:pt idx="79">
                  <c:v>0.26336921782040945</c:v>
                </c:pt>
                <c:pt idx="80">
                  <c:v>0.26336921203824032</c:v>
                </c:pt>
                <c:pt idx="81">
                  <c:v>0.26336921782040951</c:v>
                </c:pt>
                <c:pt idx="82">
                  <c:v>0.26336921782040945</c:v>
                </c:pt>
                <c:pt idx="83">
                  <c:v>0.26336921782040945</c:v>
                </c:pt>
                <c:pt idx="84">
                  <c:v>0.26336921203824049</c:v>
                </c:pt>
                <c:pt idx="85">
                  <c:v>0.26336921782040945</c:v>
                </c:pt>
                <c:pt idx="86">
                  <c:v>0.26336921782040945</c:v>
                </c:pt>
                <c:pt idx="87">
                  <c:v>0.26336921782040945</c:v>
                </c:pt>
                <c:pt idx="88">
                  <c:v>0.2633692178204094</c:v>
                </c:pt>
                <c:pt idx="89">
                  <c:v>0.25362669010566086</c:v>
                </c:pt>
                <c:pt idx="90">
                  <c:v>0.23547761048853505</c:v>
                </c:pt>
                <c:pt idx="91">
                  <c:v>0.22073178968235496</c:v>
                </c:pt>
                <c:pt idx="92">
                  <c:v>0.20470000000000049</c:v>
                </c:pt>
                <c:pt idx="93">
                  <c:v>0.20470000000000022</c:v>
                </c:pt>
                <c:pt idx="94">
                  <c:v>0.20469999999999999</c:v>
                </c:pt>
                <c:pt idx="95">
                  <c:v>0.20469999999999999</c:v>
                </c:pt>
                <c:pt idx="96">
                  <c:v>0.20469999999999999</c:v>
                </c:pt>
                <c:pt idx="97">
                  <c:v>0.20469999999999999</c:v>
                </c:pt>
                <c:pt idx="98">
                  <c:v>0.18604626238165897</c:v>
                </c:pt>
                <c:pt idx="99">
                  <c:v>0.18604626238165897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27-4C81-8696-7B458EFF47FF}"/>
            </c:ext>
          </c:extLst>
        </c:ser>
        <c:ser>
          <c:idx val="3"/>
          <c:order val="3"/>
          <c:tx>
            <c:strRef>
              <c:f>Graphs!$AM$44</c:f>
              <c:strCache>
                <c:ptCount val="1"/>
                <c:pt idx="0">
                  <c:v>CAN Bond</c:v>
                </c:pt>
              </c:strCache>
            </c:strRef>
          </c:tx>
          <c:spPr>
            <a:solidFill>
              <a:srgbClr val="00B050"/>
            </a:solid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Graphs!$AN$44:$EI$44</c:f>
              <c:numCache>
                <c:formatCode>0.0%;[Red]\-0.0%;.</c:formatCode>
                <c:ptCount val="100"/>
                <c:pt idx="0">
                  <c:v>0.12565999781753426</c:v>
                </c:pt>
                <c:pt idx="1">
                  <c:v>0.12565999781753404</c:v>
                </c:pt>
                <c:pt idx="2">
                  <c:v>0.12566000019566817</c:v>
                </c:pt>
                <c:pt idx="3">
                  <c:v>0.1256600013782368</c:v>
                </c:pt>
                <c:pt idx="4">
                  <c:v>0.12565999773126829</c:v>
                </c:pt>
                <c:pt idx="5">
                  <c:v>0.12566000135487185</c:v>
                </c:pt>
                <c:pt idx="6">
                  <c:v>0.12565999863249383</c:v>
                </c:pt>
                <c:pt idx="7">
                  <c:v>0.12565999826997326</c:v>
                </c:pt>
                <c:pt idx="8">
                  <c:v>0.12566000135487171</c:v>
                </c:pt>
                <c:pt idx="9">
                  <c:v>0.12566000347224263</c:v>
                </c:pt>
                <c:pt idx="10">
                  <c:v>0.12566000117967721</c:v>
                </c:pt>
                <c:pt idx="11">
                  <c:v>0.12565999988897605</c:v>
                </c:pt>
                <c:pt idx="12">
                  <c:v>0.12565999988897578</c:v>
                </c:pt>
                <c:pt idx="13">
                  <c:v>0.12565999988897572</c:v>
                </c:pt>
                <c:pt idx="14">
                  <c:v>0.12565999988897594</c:v>
                </c:pt>
                <c:pt idx="15">
                  <c:v>0.12565999988897575</c:v>
                </c:pt>
                <c:pt idx="16">
                  <c:v>0.1256599998889758</c:v>
                </c:pt>
                <c:pt idx="17">
                  <c:v>0.12565999863249416</c:v>
                </c:pt>
                <c:pt idx="18">
                  <c:v>0.1256599998889755</c:v>
                </c:pt>
                <c:pt idx="19">
                  <c:v>0.12565999988897583</c:v>
                </c:pt>
                <c:pt idx="20">
                  <c:v>0.12565999988894483</c:v>
                </c:pt>
                <c:pt idx="21">
                  <c:v>0.12565999863107052</c:v>
                </c:pt>
                <c:pt idx="22">
                  <c:v>0.12549578535132128</c:v>
                </c:pt>
                <c:pt idx="23">
                  <c:v>0.12434632069191798</c:v>
                </c:pt>
                <c:pt idx="24">
                  <c:v>0.12366406065600032</c:v>
                </c:pt>
                <c:pt idx="25">
                  <c:v>0.12307353726924031</c:v>
                </c:pt>
                <c:pt idx="26">
                  <c:v>0.12246253579926988</c:v>
                </c:pt>
                <c:pt idx="27">
                  <c:v>0.12219623310463948</c:v>
                </c:pt>
                <c:pt idx="28">
                  <c:v>0.11998567801014191</c:v>
                </c:pt>
                <c:pt idx="29">
                  <c:v>0.11902585504880191</c:v>
                </c:pt>
                <c:pt idx="30">
                  <c:v>0.11755758914442828</c:v>
                </c:pt>
                <c:pt idx="31">
                  <c:v>0.11797901561722159</c:v>
                </c:pt>
                <c:pt idx="32">
                  <c:v>0.11617498750936099</c:v>
                </c:pt>
                <c:pt idx="33">
                  <c:v>0.11441907222827888</c:v>
                </c:pt>
                <c:pt idx="34">
                  <c:v>0.10717291417596563</c:v>
                </c:pt>
                <c:pt idx="35">
                  <c:v>9.9639780279497089E-2</c:v>
                </c:pt>
                <c:pt idx="36">
                  <c:v>9.2909778972260465E-2</c:v>
                </c:pt>
                <c:pt idx="37">
                  <c:v>8.7346228400995832E-2</c:v>
                </c:pt>
                <c:pt idx="38">
                  <c:v>7.9246066200681392E-2</c:v>
                </c:pt>
                <c:pt idx="39">
                  <c:v>7.774999999791439E-2</c:v>
                </c:pt>
                <c:pt idx="40">
                  <c:v>7.774999999791439E-2</c:v>
                </c:pt>
                <c:pt idx="41">
                  <c:v>7.774999999791439E-2</c:v>
                </c:pt>
                <c:pt idx="42">
                  <c:v>7.774999999791439E-2</c:v>
                </c:pt>
                <c:pt idx="43">
                  <c:v>7.774999999791439E-2</c:v>
                </c:pt>
                <c:pt idx="44">
                  <c:v>7.774999999791439E-2</c:v>
                </c:pt>
                <c:pt idx="45">
                  <c:v>7.774999999791439E-2</c:v>
                </c:pt>
                <c:pt idx="46">
                  <c:v>7.774999999791439E-2</c:v>
                </c:pt>
                <c:pt idx="47">
                  <c:v>7.774999999791439E-2</c:v>
                </c:pt>
                <c:pt idx="48">
                  <c:v>7.774999999791439E-2</c:v>
                </c:pt>
                <c:pt idx="49">
                  <c:v>7.774999999791439E-2</c:v>
                </c:pt>
                <c:pt idx="50">
                  <c:v>7.774999999791439E-2</c:v>
                </c:pt>
                <c:pt idx="51">
                  <c:v>7.774999999791439E-2</c:v>
                </c:pt>
                <c:pt idx="52">
                  <c:v>7.774999999791439E-2</c:v>
                </c:pt>
                <c:pt idx="53">
                  <c:v>7.7749999997914376E-2</c:v>
                </c:pt>
                <c:pt idx="54">
                  <c:v>7.7749999997914307E-2</c:v>
                </c:pt>
                <c:pt idx="55">
                  <c:v>7.7749999997914376E-2</c:v>
                </c:pt>
                <c:pt idx="56">
                  <c:v>7.774999999791439E-2</c:v>
                </c:pt>
                <c:pt idx="57">
                  <c:v>7.7749999997914293E-2</c:v>
                </c:pt>
                <c:pt idx="58">
                  <c:v>7.774999999791439E-2</c:v>
                </c:pt>
                <c:pt idx="59">
                  <c:v>7.774999999791439E-2</c:v>
                </c:pt>
                <c:pt idx="60">
                  <c:v>7.774999999791439E-2</c:v>
                </c:pt>
                <c:pt idx="61">
                  <c:v>7.774999999791439E-2</c:v>
                </c:pt>
                <c:pt idx="62">
                  <c:v>7.774999999791439E-2</c:v>
                </c:pt>
                <c:pt idx="63">
                  <c:v>7.774999999791439E-2</c:v>
                </c:pt>
                <c:pt idx="64">
                  <c:v>7.774999999791439E-2</c:v>
                </c:pt>
                <c:pt idx="65">
                  <c:v>7.774999999791439E-2</c:v>
                </c:pt>
                <c:pt idx="66">
                  <c:v>7.774999999791439E-2</c:v>
                </c:pt>
                <c:pt idx="67">
                  <c:v>7.774999999791439E-2</c:v>
                </c:pt>
                <c:pt idx="68">
                  <c:v>7.774999999791439E-2</c:v>
                </c:pt>
                <c:pt idx="69">
                  <c:v>7.774999999791439E-2</c:v>
                </c:pt>
                <c:pt idx="70">
                  <c:v>7.774999999791439E-2</c:v>
                </c:pt>
                <c:pt idx="71">
                  <c:v>7.774999999791439E-2</c:v>
                </c:pt>
                <c:pt idx="72">
                  <c:v>7.774999999791439E-2</c:v>
                </c:pt>
                <c:pt idx="73">
                  <c:v>7.774999999791439E-2</c:v>
                </c:pt>
                <c:pt idx="74">
                  <c:v>7.7749999997914362E-2</c:v>
                </c:pt>
                <c:pt idx="75">
                  <c:v>7.774999999791439E-2</c:v>
                </c:pt>
                <c:pt idx="76">
                  <c:v>7.7749999997914432E-2</c:v>
                </c:pt>
                <c:pt idx="77">
                  <c:v>7.774999999791439E-2</c:v>
                </c:pt>
                <c:pt idx="78">
                  <c:v>7.774999999791439E-2</c:v>
                </c:pt>
                <c:pt idx="79">
                  <c:v>7.7749999997914404E-2</c:v>
                </c:pt>
                <c:pt idx="80">
                  <c:v>7.7749999997914376E-2</c:v>
                </c:pt>
                <c:pt idx="81">
                  <c:v>7.7749999997914376E-2</c:v>
                </c:pt>
                <c:pt idx="82">
                  <c:v>7.774999999791439E-2</c:v>
                </c:pt>
                <c:pt idx="83">
                  <c:v>7.774999999791439E-2</c:v>
                </c:pt>
                <c:pt idx="84">
                  <c:v>7.7749999997914557E-2</c:v>
                </c:pt>
                <c:pt idx="85">
                  <c:v>7.7749999997914376E-2</c:v>
                </c:pt>
                <c:pt idx="86">
                  <c:v>7.774999999791439E-2</c:v>
                </c:pt>
                <c:pt idx="87">
                  <c:v>7.774999999791439E-2</c:v>
                </c:pt>
                <c:pt idx="88">
                  <c:v>7.774999999791439E-2</c:v>
                </c:pt>
                <c:pt idx="89">
                  <c:v>6.8007472283165782E-2</c:v>
                </c:pt>
                <c:pt idx="90">
                  <c:v>4.9858392666039655E-2</c:v>
                </c:pt>
                <c:pt idx="91">
                  <c:v>3.5112571859859235E-2</c:v>
                </c:pt>
                <c:pt idx="92">
                  <c:v>1.908078217750403E-2</c:v>
                </c:pt>
                <c:pt idx="93">
                  <c:v>1.908078217750421E-2</c:v>
                </c:pt>
                <c:pt idx="94">
                  <c:v>1.9080782177504956E-2</c:v>
                </c:pt>
                <c:pt idx="95">
                  <c:v>1.9080782177504939E-2</c:v>
                </c:pt>
                <c:pt idx="96">
                  <c:v>1.9080782177504946E-2</c:v>
                </c:pt>
                <c:pt idx="97">
                  <c:v>1.9080782177504956E-2</c:v>
                </c:pt>
                <c:pt idx="98">
                  <c:v>1.5444355210365924E-4</c:v>
                </c:pt>
                <c:pt idx="99">
                  <c:v>1.5444355210365924E-4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27-4C81-8696-7B458EFF47FF}"/>
            </c:ext>
          </c:extLst>
        </c:ser>
        <c:ser>
          <c:idx val="4"/>
          <c:order val="4"/>
          <c:tx>
            <c:strRef>
              <c:f>Graphs!$AM$45</c:f>
              <c:strCache>
                <c:ptCount val="1"/>
                <c:pt idx="0">
                  <c:v>Jpn Bond</c:v>
                </c:pt>
              </c:strCache>
            </c:strRef>
          </c:tx>
          <c:spPr>
            <a:pattFill prst="pct50">
              <a:fgClr>
                <a:srgbClr val="003399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Graphs!$AN$45:$EI$45</c:f>
              <c:numCache>
                <c:formatCode>0.0%;[Red]\-0.0%;.</c:formatCode>
                <c:ptCount val="100"/>
                <c:pt idx="0">
                  <c:v>4.9569996416732987E-2</c:v>
                </c:pt>
                <c:pt idx="1">
                  <c:v>4.9569996416732987E-2</c:v>
                </c:pt>
                <c:pt idx="2">
                  <c:v>4.9569999896194664E-2</c:v>
                </c:pt>
                <c:pt idx="3">
                  <c:v>4.9569999315262035E-2</c:v>
                </c:pt>
                <c:pt idx="4">
                  <c:v>4.9569996416732987E-2</c:v>
                </c:pt>
                <c:pt idx="5">
                  <c:v>4.9569999315262035E-2</c:v>
                </c:pt>
                <c:pt idx="6">
                  <c:v>4.9569996416732987E-2</c:v>
                </c:pt>
                <c:pt idx="7">
                  <c:v>4.9569996416732987E-2</c:v>
                </c:pt>
                <c:pt idx="8">
                  <c:v>4.9569999315262035E-2</c:v>
                </c:pt>
                <c:pt idx="9">
                  <c:v>4.9569996416732987E-2</c:v>
                </c:pt>
                <c:pt idx="10">
                  <c:v>4.9569999315262035E-2</c:v>
                </c:pt>
                <c:pt idx="11">
                  <c:v>4.9570000000000003E-2</c:v>
                </c:pt>
                <c:pt idx="12">
                  <c:v>4.9570000000000003E-2</c:v>
                </c:pt>
                <c:pt idx="13">
                  <c:v>4.9570000000000003E-2</c:v>
                </c:pt>
                <c:pt idx="14">
                  <c:v>4.9570000000000003E-2</c:v>
                </c:pt>
                <c:pt idx="15">
                  <c:v>4.9570000000000003E-2</c:v>
                </c:pt>
                <c:pt idx="16">
                  <c:v>4.9570000000000003E-2</c:v>
                </c:pt>
                <c:pt idx="17">
                  <c:v>4.9569996416732987E-2</c:v>
                </c:pt>
                <c:pt idx="18">
                  <c:v>4.9570000000000003E-2</c:v>
                </c:pt>
                <c:pt idx="19">
                  <c:v>4.9570000000000003E-2</c:v>
                </c:pt>
                <c:pt idx="20">
                  <c:v>4.9570000000000003E-2</c:v>
                </c:pt>
                <c:pt idx="21">
                  <c:v>4.9569996416732987E-2</c:v>
                </c:pt>
                <c:pt idx="22">
                  <c:v>4.9052894576362298E-2</c:v>
                </c:pt>
                <c:pt idx="23">
                  <c:v>4.8052748892116942E-2</c:v>
                </c:pt>
                <c:pt idx="24">
                  <c:v>4.6987339527710295E-2</c:v>
                </c:pt>
                <c:pt idx="25">
                  <c:v>4.5849544528874936E-2</c:v>
                </c:pt>
                <c:pt idx="26">
                  <c:v>4.4765970659019015E-2</c:v>
                </c:pt>
                <c:pt idx="27">
                  <c:v>4.3556494866372093E-2</c:v>
                </c:pt>
                <c:pt idx="28">
                  <c:v>4.2377379758457921E-2</c:v>
                </c:pt>
                <c:pt idx="29">
                  <c:v>4.1455930293816494E-2</c:v>
                </c:pt>
                <c:pt idx="30">
                  <c:v>4.0370796836513637E-2</c:v>
                </c:pt>
                <c:pt idx="31">
                  <c:v>3.9517218438883353E-2</c:v>
                </c:pt>
                <c:pt idx="32">
                  <c:v>3.8481382193145362E-2</c:v>
                </c:pt>
                <c:pt idx="33">
                  <c:v>3.7820788151719853E-2</c:v>
                </c:pt>
                <c:pt idx="34">
                  <c:v>3.7820788151719853E-2</c:v>
                </c:pt>
                <c:pt idx="35">
                  <c:v>3.7820788151719853E-2</c:v>
                </c:pt>
                <c:pt idx="36">
                  <c:v>3.7820788151719853E-2</c:v>
                </c:pt>
                <c:pt idx="37">
                  <c:v>3.7820788151719853E-2</c:v>
                </c:pt>
                <c:pt idx="38">
                  <c:v>3.7820788151719853E-2</c:v>
                </c:pt>
                <c:pt idx="39">
                  <c:v>3.7820788151719853E-2</c:v>
                </c:pt>
                <c:pt idx="40">
                  <c:v>3.7820788151719853E-2</c:v>
                </c:pt>
                <c:pt idx="41">
                  <c:v>3.7820788151719853E-2</c:v>
                </c:pt>
                <c:pt idx="42">
                  <c:v>3.7820788151719853E-2</c:v>
                </c:pt>
                <c:pt idx="43">
                  <c:v>3.7820788151719853E-2</c:v>
                </c:pt>
                <c:pt idx="44">
                  <c:v>3.7820788151719853E-2</c:v>
                </c:pt>
                <c:pt idx="45">
                  <c:v>3.7820788151719853E-2</c:v>
                </c:pt>
                <c:pt idx="46">
                  <c:v>3.7820788151719853E-2</c:v>
                </c:pt>
                <c:pt idx="47">
                  <c:v>3.7820788151719853E-2</c:v>
                </c:pt>
                <c:pt idx="48">
                  <c:v>3.7820788151719853E-2</c:v>
                </c:pt>
                <c:pt idx="49">
                  <c:v>3.7820788151719853E-2</c:v>
                </c:pt>
                <c:pt idx="50">
                  <c:v>3.7820788151719853E-2</c:v>
                </c:pt>
                <c:pt idx="51">
                  <c:v>3.7820788151719853E-2</c:v>
                </c:pt>
                <c:pt idx="52">
                  <c:v>3.7820788151719853E-2</c:v>
                </c:pt>
                <c:pt idx="53">
                  <c:v>3.7820788151719853E-2</c:v>
                </c:pt>
                <c:pt idx="54">
                  <c:v>3.782078815171986E-2</c:v>
                </c:pt>
                <c:pt idx="55">
                  <c:v>3.782078815171986E-2</c:v>
                </c:pt>
                <c:pt idx="56">
                  <c:v>3.7820788151719853E-2</c:v>
                </c:pt>
                <c:pt idx="57">
                  <c:v>3.7820788151719867E-2</c:v>
                </c:pt>
                <c:pt idx="58">
                  <c:v>3.7820788151719853E-2</c:v>
                </c:pt>
                <c:pt idx="59">
                  <c:v>3.7820788151719853E-2</c:v>
                </c:pt>
                <c:pt idx="60">
                  <c:v>3.7820788151719853E-2</c:v>
                </c:pt>
                <c:pt idx="61">
                  <c:v>3.7820788151719853E-2</c:v>
                </c:pt>
                <c:pt idx="62">
                  <c:v>3.7820788151719853E-2</c:v>
                </c:pt>
                <c:pt idx="63">
                  <c:v>3.7820788151719853E-2</c:v>
                </c:pt>
                <c:pt idx="64">
                  <c:v>3.7820788151719853E-2</c:v>
                </c:pt>
                <c:pt idx="65">
                  <c:v>3.7820788151719853E-2</c:v>
                </c:pt>
                <c:pt idx="66">
                  <c:v>3.7820788151719853E-2</c:v>
                </c:pt>
                <c:pt idx="67">
                  <c:v>3.7820788151719853E-2</c:v>
                </c:pt>
                <c:pt idx="68">
                  <c:v>3.7820788151719853E-2</c:v>
                </c:pt>
                <c:pt idx="69">
                  <c:v>3.7820788151719853E-2</c:v>
                </c:pt>
                <c:pt idx="70">
                  <c:v>3.7820788151719853E-2</c:v>
                </c:pt>
                <c:pt idx="71">
                  <c:v>3.7820788151719853E-2</c:v>
                </c:pt>
                <c:pt idx="72">
                  <c:v>3.7820788151719853E-2</c:v>
                </c:pt>
                <c:pt idx="73">
                  <c:v>3.7820788151719853E-2</c:v>
                </c:pt>
                <c:pt idx="74">
                  <c:v>3.7820788151719853E-2</c:v>
                </c:pt>
                <c:pt idx="75">
                  <c:v>3.7820788151719853E-2</c:v>
                </c:pt>
                <c:pt idx="76">
                  <c:v>3.7820788151719853E-2</c:v>
                </c:pt>
                <c:pt idx="77">
                  <c:v>3.7820788151719853E-2</c:v>
                </c:pt>
                <c:pt idx="78">
                  <c:v>3.7820788151719853E-2</c:v>
                </c:pt>
                <c:pt idx="79">
                  <c:v>3.7820788151719853E-2</c:v>
                </c:pt>
                <c:pt idx="80">
                  <c:v>3.7820788151719853E-2</c:v>
                </c:pt>
                <c:pt idx="81">
                  <c:v>3.782078815171986E-2</c:v>
                </c:pt>
                <c:pt idx="82">
                  <c:v>3.7820788151719853E-2</c:v>
                </c:pt>
                <c:pt idx="83">
                  <c:v>3.7820788151719853E-2</c:v>
                </c:pt>
                <c:pt idx="84">
                  <c:v>3.7820788151719853E-2</c:v>
                </c:pt>
                <c:pt idx="85">
                  <c:v>3.7820788151719853E-2</c:v>
                </c:pt>
                <c:pt idx="86">
                  <c:v>3.7820788151719853E-2</c:v>
                </c:pt>
                <c:pt idx="87">
                  <c:v>3.7820788151719853E-2</c:v>
                </c:pt>
                <c:pt idx="88">
                  <c:v>3.7820788151719853E-2</c:v>
                </c:pt>
                <c:pt idx="89">
                  <c:v>3.7820788151719853E-2</c:v>
                </c:pt>
                <c:pt idx="90">
                  <c:v>3.7820788151719853E-2</c:v>
                </c:pt>
                <c:pt idx="91">
                  <c:v>3.7820788151719853E-2</c:v>
                </c:pt>
                <c:pt idx="92">
                  <c:v>3.7820788151719902E-2</c:v>
                </c:pt>
                <c:pt idx="93">
                  <c:v>3.7820788151719853E-2</c:v>
                </c:pt>
                <c:pt idx="94">
                  <c:v>3.7820788151719853E-2</c:v>
                </c:pt>
                <c:pt idx="95">
                  <c:v>3.7820788151719853E-2</c:v>
                </c:pt>
                <c:pt idx="96">
                  <c:v>3.7820788151719853E-2</c:v>
                </c:pt>
                <c:pt idx="97">
                  <c:v>3.7820788151719853E-2</c:v>
                </c:pt>
                <c:pt idx="98">
                  <c:v>3.7844871872194076E-2</c:v>
                </c:pt>
                <c:pt idx="99">
                  <c:v>3.7844871872194076E-2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27-4C81-8696-7B458EFF47FF}"/>
            </c:ext>
          </c:extLst>
        </c:ser>
        <c:ser>
          <c:idx val="5"/>
          <c:order val="5"/>
          <c:tx>
            <c:strRef>
              <c:f>Graphs!$AM$46</c:f>
              <c:strCache>
                <c:ptCount val="1"/>
                <c:pt idx="0">
                  <c:v>US Equ</c:v>
                </c:pt>
              </c:strCache>
            </c:strRef>
          </c:tx>
          <c:spPr>
            <a:pattFill prst="pct50">
              <a:fgClr>
                <a:srgbClr val="FF000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Graphs!$AN$46:$EI$46</c:f>
              <c:numCache>
                <c:formatCode>0.0%;[Red]\-0.0%;.</c:formatCode>
                <c:ptCount val="100"/>
                <c:pt idx="0">
                  <c:v>1.0476434817458315E-8</c:v>
                </c:pt>
                <c:pt idx="1">
                  <c:v>1.0476434817459305E-8</c:v>
                </c:pt>
                <c:pt idx="2">
                  <c:v>5.6171325000046334E-10</c:v>
                </c:pt>
                <c:pt idx="3">
                  <c:v>3.7052660653161717E-9</c:v>
                </c:pt>
                <c:pt idx="4">
                  <c:v>1.6209906174922128E-8</c:v>
                </c:pt>
                <c:pt idx="5">
                  <c:v>3.7052660653294409E-9</c:v>
                </c:pt>
                <c:pt idx="6">
                  <c:v>1.1379053474060595E-8</c:v>
                </c:pt>
                <c:pt idx="7">
                  <c:v>1.6209906175078799E-8</c:v>
                </c:pt>
                <c:pt idx="8">
                  <c:v>3.7052660653110436E-9</c:v>
                </c:pt>
                <c:pt idx="9">
                  <c:v>1.6218802170038894E-8</c:v>
                </c:pt>
                <c:pt idx="10">
                  <c:v>3.7052660655278108E-9</c:v>
                </c:pt>
                <c:pt idx="11">
                  <c:v>6.4303795583483727E-23</c:v>
                </c:pt>
                <c:pt idx="12">
                  <c:v>-1.5823949861796387E-20</c:v>
                </c:pt>
                <c:pt idx="13">
                  <c:v>-5.6974578571882733E-21</c:v>
                </c:pt>
                <c:pt idx="14">
                  <c:v>4.2449158008903267E-22</c:v>
                </c:pt>
                <c:pt idx="15">
                  <c:v>1.3128412438418852E-19</c:v>
                </c:pt>
                <c:pt idx="16">
                  <c:v>1.4120362848793486E-21</c:v>
                </c:pt>
                <c:pt idx="17">
                  <c:v>1.1379053474202355E-8</c:v>
                </c:pt>
                <c:pt idx="18">
                  <c:v>-2.6375970670395079E-21</c:v>
                </c:pt>
                <c:pt idx="19">
                  <c:v>-3.1960663099092758E-23</c:v>
                </c:pt>
                <c:pt idx="20">
                  <c:v>3.12288092638616E-20</c:v>
                </c:pt>
                <c:pt idx="21">
                  <c:v>1.1377660810435615E-8</c:v>
                </c:pt>
                <c:pt idx="22">
                  <c:v>1.6592342113819656E-3</c:v>
                </c:pt>
                <c:pt idx="23">
                  <c:v>4.0365443901411091E-3</c:v>
                </c:pt>
                <c:pt idx="24">
                  <c:v>7.1111959701222523E-3</c:v>
                </c:pt>
                <c:pt idx="25">
                  <c:v>1.0532834847410279E-2</c:v>
                </c:pt>
                <c:pt idx="26">
                  <c:v>1.3742797782622605E-2</c:v>
                </c:pt>
                <c:pt idx="27">
                  <c:v>1.774142254812772E-2</c:v>
                </c:pt>
                <c:pt idx="28">
                  <c:v>1.9688735211692707E-2</c:v>
                </c:pt>
                <c:pt idx="29">
                  <c:v>2.1978183669233889E-2</c:v>
                </c:pt>
                <c:pt idx="30">
                  <c:v>2.4336381682616131E-2</c:v>
                </c:pt>
                <c:pt idx="31">
                  <c:v>2.7767748469688013E-2</c:v>
                </c:pt>
                <c:pt idx="32">
                  <c:v>2.9616349439242358E-2</c:v>
                </c:pt>
                <c:pt idx="33">
                  <c:v>3.1039833725869274E-2</c:v>
                </c:pt>
                <c:pt idx="34">
                  <c:v>3.0862498825278039E-2</c:v>
                </c:pt>
                <c:pt idx="35">
                  <c:v>3.0936743409020317E-2</c:v>
                </c:pt>
                <c:pt idx="36">
                  <c:v>3.0736400745390854E-2</c:v>
                </c:pt>
                <c:pt idx="37">
                  <c:v>3.0397582037727879E-2</c:v>
                </c:pt>
                <c:pt idx="38">
                  <c:v>2.9665763654913472E-2</c:v>
                </c:pt>
                <c:pt idx="39">
                  <c:v>3.128687955904972E-2</c:v>
                </c:pt>
                <c:pt idx="40">
                  <c:v>3.4071220545855062E-2</c:v>
                </c:pt>
                <c:pt idx="41">
                  <c:v>3.6572251753787699E-2</c:v>
                </c:pt>
                <c:pt idx="42">
                  <c:v>3.7931458391527839E-2</c:v>
                </c:pt>
                <c:pt idx="43">
                  <c:v>3.9167402222339207E-2</c:v>
                </c:pt>
                <c:pt idx="44">
                  <c:v>4.1430782178897611E-2</c:v>
                </c:pt>
                <c:pt idx="45">
                  <c:v>4.1430782178897611E-2</c:v>
                </c:pt>
                <c:pt idx="46">
                  <c:v>4.1430782178897611E-2</c:v>
                </c:pt>
                <c:pt idx="47">
                  <c:v>4.1430782178897604E-2</c:v>
                </c:pt>
                <c:pt idx="48">
                  <c:v>4.1430782178897611E-2</c:v>
                </c:pt>
                <c:pt idx="49">
                  <c:v>4.1430782178897611E-2</c:v>
                </c:pt>
                <c:pt idx="50">
                  <c:v>4.1430782178897611E-2</c:v>
                </c:pt>
                <c:pt idx="51">
                  <c:v>4.1430782178897611E-2</c:v>
                </c:pt>
                <c:pt idx="52">
                  <c:v>4.1430782178897611E-2</c:v>
                </c:pt>
                <c:pt idx="53">
                  <c:v>4.1430782178897348E-2</c:v>
                </c:pt>
                <c:pt idx="54">
                  <c:v>4.1430782178897785E-2</c:v>
                </c:pt>
                <c:pt idx="55">
                  <c:v>4.1430782178897625E-2</c:v>
                </c:pt>
                <c:pt idx="56">
                  <c:v>4.1430787961067021E-2</c:v>
                </c:pt>
                <c:pt idx="57">
                  <c:v>4.1430782178897486E-2</c:v>
                </c:pt>
                <c:pt idx="58">
                  <c:v>4.1430787961067021E-2</c:v>
                </c:pt>
                <c:pt idx="59">
                  <c:v>4.1430787961067021E-2</c:v>
                </c:pt>
                <c:pt idx="60">
                  <c:v>4.1430787961067021E-2</c:v>
                </c:pt>
                <c:pt idx="61">
                  <c:v>4.1430787961067021E-2</c:v>
                </c:pt>
                <c:pt idx="62">
                  <c:v>4.1430787961067014E-2</c:v>
                </c:pt>
                <c:pt idx="63">
                  <c:v>4.1430782178897611E-2</c:v>
                </c:pt>
                <c:pt idx="64">
                  <c:v>4.1430787961067021E-2</c:v>
                </c:pt>
                <c:pt idx="65">
                  <c:v>4.1430787961067021E-2</c:v>
                </c:pt>
                <c:pt idx="66">
                  <c:v>4.1430787961067021E-2</c:v>
                </c:pt>
                <c:pt idx="67">
                  <c:v>4.1430787961067021E-2</c:v>
                </c:pt>
                <c:pt idx="68">
                  <c:v>4.1430787961067021E-2</c:v>
                </c:pt>
                <c:pt idx="69">
                  <c:v>4.1430787961067021E-2</c:v>
                </c:pt>
                <c:pt idx="70">
                  <c:v>4.1430787961067014E-2</c:v>
                </c:pt>
                <c:pt idx="71">
                  <c:v>4.1430787961067021E-2</c:v>
                </c:pt>
                <c:pt idx="72">
                  <c:v>4.1430787961067021E-2</c:v>
                </c:pt>
                <c:pt idx="73">
                  <c:v>4.1430787961067014E-2</c:v>
                </c:pt>
                <c:pt idx="74">
                  <c:v>4.1430782178897563E-2</c:v>
                </c:pt>
                <c:pt idx="75">
                  <c:v>4.1430782178897611E-2</c:v>
                </c:pt>
                <c:pt idx="76">
                  <c:v>4.143078796106698E-2</c:v>
                </c:pt>
                <c:pt idx="77">
                  <c:v>4.1430782178897611E-2</c:v>
                </c:pt>
                <c:pt idx="78">
                  <c:v>4.1430782178897611E-2</c:v>
                </c:pt>
                <c:pt idx="79">
                  <c:v>4.1430782178897618E-2</c:v>
                </c:pt>
                <c:pt idx="80">
                  <c:v>4.1430787961066938E-2</c:v>
                </c:pt>
                <c:pt idx="81">
                  <c:v>4.1430782178897604E-2</c:v>
                </c:pt>
                <c:pt idx="82">
                  <c:v>4.1430782178897611E-2</c:v>
                </c:pt>
                <c:pt idx="83">
                  <c:v>4.1430782178897611E-2</c:v>
                </c:pt>
                <c:pt idx="84">
                  <c:v>4.1430787961066744E-2</c:v>
                </c:pt>
                <c:pt idx="85">
                  <c:v>4.1430782178897611E-2</c:v>
                </c:pt>
                <c:pt idx="86">
                  <c:v>4.1430782178897611E-2</c:v>
                </c:pt>
                <c:pt idx="87">
                  <c:v>4.1430782178897611E-2</c:v>
                </c:pt>
                <c:pt idx="88">
                  <c:v>4.1430782178897618E-2</c:v>
                </c:pt>
                <c:pt idx="89">
                  <c:v>4.1430782178897611E-2</c:v>
                </c:pt>
                <c:pt idx="90">
                  <c:v>4.1430782178897521E-2</c:v>
                </c:pt>
                <c:pt idx="91">
                  <c:v>4.1430782178897098E-2</c:v>
                </c:pt>
                <c:pt idx="92">
                  <c:v>4.1430782178896716E-2</c:v>
                </c:pt>
                <c:pt idx="93">
                  <c:v>4.1430782178897015E-2</c:v>
                </c:pt>
                <c:pt idx="94">
                  <c:v>4.1430782178897611E-2</c:v>
                </c:pt>
                <c:pt idx="95">
                  <c:v>4.1430782178897611E-2</c:v>
                </c:pt>
                <c:pt idx="96">
                  <c:v>4.1430782178897618E-2</c:v>
                </c:pt>
                <c:pt idx="97">
                  <c:v>4.1430782178897611E-2</c:v>
                </c:pt>
                <c:pt idx="98">
                  <c:v>4.1244303786698439E-2</c:v>
                </c:pt>
                <c:pt idx="99">
                  <c:v>4.1244303786698439E-2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27-4C81-8696-7B458EFF47FF}"/>
            </c:ext>
          </c:extLst>
        </c:ser>
        <c:ser>
          <c:idx val="6"/>
          <c:order val="6"/>
          <c:tx>
            <c:strRef>
              <c:f>Graphs!$AM$47</c:f>
              <c:strCache>
                <c:ptCount val="1"/>
                <c:pt idx="0">
                  <c:v>CAN Equ</c:v>
                </c:pt>
              </c:strCache>
            </c:strRef>
          </c:tx>
          <c:spPr>
            <a:pattFill prst="pct50">
              <a:fgClr>
                <a:srgbClr val="00B05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Graphs!$AN$47:$EI$47</c:f>
              <c:numCache>
                <c:formatCode>0.0%;[Red]\-0.0%;.</c:formatCode>
                <c:ptCount val="100"/>
                <c:pt idx="0">
                  <c:v>1.3926637621002399E-12</c:v>
                </c:pt>
                <c:pt idx="1">
                  <c:v>1.3926637623162635E-12</c:v>
                </c:pt>
                <c:pt idx="2">
                  <c:v>1.392663762117619E-12</c:v>
                </c:pt>
                <c:pt idx="3">
                  <c:v>1.3926637628272424E-12</c:v>
                </c:pt>
                <c:pt idx="4">
                  <c:v>1.3926637620897964E-12</c:v>
                </c:pt>
                <c:pt idx="5">
                  <c:v>1.3926637621103785E-12</c:v>
                </c:pt>
                <c:pt idx="6">
                  <c:v>1.3926637620897964E-12</c:v>
                </c:pt>
                <c:pt idx="7">
                  <c:v>1.3926637620897964E-12</c:v>
                </c:pt>
                <c:pt idx="8">
                  <c:v>1.3926637621426218E-12</c:v>
                </c:pt>
                <c:pt idx="9">
                  <c:v>1.3926637620897964E-12</c:v>
                </c:pt>
                <c:pt idx="10">
                  <c:v>1.3926637620897964E-12</c:v>
                </c:pt>
                <c:pt idx="11">
                  <c:v>1.3926637620897964E-12</c:v>
                </c:pt>
                <c:pt idx="12">
                  <c:v>1.3926637620897964E-12</c:v>
                </c:pt>
                <c:pt idx="13">
                  <c:v>1.3926637620897964E-12</c:v>
                </c:pt>
                <c:pt idx="14">
                  <c:v>1.3926637620897964E-12</c:v>
                </c:pt>
                <c:pt idx="15">
                  <c:v>1.3926637620897964E-12</c:v>
                </c:pt>
                <c:pt idx="16">
                  <c:v>1.3926637620897964E-12</c:v>
                </c:pt>
                <c:pt idx="17">
                  <c:v>1.3926637620897964E-12</c:v>
                </c:pt>
                <c:pt idx="18">
                  <c:v>1.3926637620897964E-12</c:v>
                </c:pt>
                <c:pt idx="19">
                  <c:v>1.3926637620897964E-12</c:v>
                </c:pt>
                <c:pt idx="20">
                  <c:v>1.3926637620897964E-12</c:v>
                </c:pt>
                <c:pt idx="21">
                  <c:v>1.3926637628352483E-12</c:v>
                </c:pt>
                <c:pt idx="22">
                  <c:v>1.3926637626004715E-12</c:v>
                </c:pt>
                <c:pt idx="23">
                  <c:v>1.3926637621749263E-12</c:v>
                </c:pt>
                <c:pt idx="24">
                  <c:v>1.3926637620897964E-12</c:v>
                </c:pt>
                <c:pt idx="25">
                  <c:v>1.3926637651780423E-12</c:v>
                </c:pt>
                <c:pt idx="26">
                  <c:v>1.3926637620897964E-12</c:v>
                </c:pt>
                <c:pt idx="27">
                  <c:v>1.3926637623735629E-12</c:v>
                </c:pt>
                <c:pt idx="28">
                  <c:v>1.3926637622590863E-12</c:v>
                </c:pt>
                <c:pt idx="29">
                  <c:v>1.3926637620897964E-12</c:v>
                </c:pt>
                <c:pt idx="30">
                  <c:v>1.3926637621886537E-12</c:v>
                </c:pt>
                <c:pt idx="31">
                  <c:v>1.3926637622374134E-12</c:v>
                </c:pt>
                <c:pt idx="32">
                  <c:v>1.3926637621416882E-12</c:v>
                </c:pt>
                <c:pt idx="33">
                  <c:v>1.3926637621077752E-12</c:v>
                </c:pt>
                <c:pt idx="34">
                  <c:v>1.3926637623580289E-12</c:v>
                </c:pt>
                <c:pt idx="35">
                  <c:v>1.3926637621697374E-12</c:v>
                </c:pt>
                <c:pt idx="36">
                  <c:v>1.3926637645350341E-12</c:v>
                </c:pt>
                <c:pt idx="37">
                  <c:v>1.3926637999002706E-12</c:v>
                </c:pt>
                <c:pt idx="38">
                  <c:v>1.3926637623498112E-12</c:v>
                </c:pt>
                <c:pt idx="39">
                  <c:v>1.3926637622036351E-12</c:v>
                </c:pt>
                <c:pt idx="40">
                  <c:v>1.3926637621870062E-12</c:v>
                </c:pt>
                <c:pt idx="41">
                  <c:v>1.3926637621313577E-12</c:v>
                </c:pt>
                <c:pt idx="42">
                  <c:v>1.3926637621110587E-12</c:v>
                </c:pt>
                <c:pt idx="43">
                  <c:v>1.3926637620897964E-12</c:v>
                </c:pt>
                <c:pt idx="44">
                  <c:v>1.3926637620897964E-12</c:v>
                </c:pt>
                <c:pt idx="45">
                  <c:v>1.392663766244871E-12</c:v>
                </c:pt>
                <c:pt idx="46">
                  <c:v>1.3926638254967105E-12</c:v>
                </c:pt>
                <c:pt idx="47">
                  <c:v>1.3926637620897964E-12</c:v>
                </c:pt>
                <c:pt idx="48">
                  <c:v>1.3926637622846447E-12</c:v>
                </c:pt>
                <c:pt idx="49">
                  <c:v>1.3926637621717418E-12</c:v>
                </c:pt>
                <c:pt idx="50">
                  <c:v>1.3926637693106752E-12</c:v>
                </c:pt>
                <c:pt idx="51">
                  <c:v>1.3926637623942319E-12</c:v>
                </c:pt>
                <c:pt idx="52">
                  <c:v>1.3926637634838409E-12</c:v>
                </c:pt>
                <c:pt idx="53">
                  <c:v>1.3927010840913344E-12</c:v>
                </c:pt>
                <c:pt idx="54">
                  <c:v>1.3926808843826301E-12</c:v>
                </c:pt>
                <c:pt idx="55">
                  <c:v>1.392677286054374E-12</c:v>
                </c:pt>
                <c:pt idx="56">
                  <c:v>1.3926637625816752E-12</c:v>
                </c:pt>
                <c:pt idx="57">
                  <c:v>1.3927234329461937E-12</c:v>
                </c:pt>
                <c:pt idx="58">
                  <c:v>1.3926637639714505E-12</c:v>
                </c:pt>
                <c:pt idx="59">
                  <c:v>1.3926637620901015E-12</c:v>
                </c:pt>
                <c:pt idx="60">
                  <c:v>1.3926637621445634E-12</c:v>
                </c:pt>
                <c:pt idx="61">
                  <c:v>1.3926637620897964E-12</c:v>
                </c:pt>
                <c:pt idx="62">
                  <c:v>1.3926637620897964E-12</c:v>
                </c:pt>
                <c:pt idx="63">
                  <c:v>1.3926637822916373E-12</c:v>
                </c:pt>
                <c:pt idx="64">
                  <c:v>1.3926637624830713E-12</c:v>
                </c:pt>
                <c:pt idx="65">
                  <c:v>1.3926637621875798E-12</c:v>
                </c:pt>
                <c:pt idx="66">
                  <c:v>1.3926637656734087E-12</c:v>
                </c:pt>
                <c:pt idx="67">
                  <c:v>1.3926637620991078E-12</c:v>
                </c:pt>
                <c:pt idx="68">
                  <c:v>1.3926637635645814E-12</c:v>
                </c:pt>
                <c:pt idx="69">
                  <c:v>1.3926638048284182E-12</c:v>
                </c:pt>
                <c:pt idx="70">
                  <c:v>1.3926637631499941E-12</c:v>
                </c:pt>
                <c:pt idx="71">
                  <c:v>1.3926637666074047E-12</c:v>
                </c:pt>
                <c:pt idx="72">
                  <c:v>1.3926637620897964E-12</c:v>
                </c:pt>
                <c:pt idx="73">
                  <c:v>1.392663762090613E-12</c:v>
                </c:pt>
                <c:pt idx="74">
                  <c:v>1.3926637620897964E-12</c:v>
                </c:pt>
                <c:pt idx="75">
                  <c:v>1.3926637620897964E-12</c:v>
                </c:pt>
                <c:pt idx="76">
                  <c:v>1.3926796321867688E-12</c:v>
                </c:pt>
                <c:pt idx="77">
                  <c:v>1.3926637639316503E-12</c:v>
                </c:pt>
                <c:pt idx="78">
                  <c:v>1.3926637622811364E-12</c:v>
                </c:pt>
                <c:pt idx="79">
                  <c:v>1.3926637620897964E-12</c:v>
                </c:pt>
                <c:pt idx="80">
                  <c:v>1.3926768637886409E-12</c:v>
                </c:pt>
                <c:pt idx="81">
                  <c:v>1.3926637620947096E-12</c:v>
                </c:pt>
                <c:pt idx="82">
                  <c:v>1.3926643257763758E-12</c:v>
                </c:pt>
                <c:pt idx="83">
                  <c:v>1.3926637620897964E-12</c:v>
                </c:pt>
                <c:pt idx="84">
                  <c:v>1.3926817367433027E-12</c:v>
                </c:pt>
                <c:pt idx="85">
                  <c:v>1.3926637620897964E-12</c:v>
                </c:pt>
                <c:pt idx="86">
                  <c:v>1.3926638341631664E-12</c:v>
                </c:pt>
                <c:pt idx="87">
                  <c:v>1.3926637887541306E-12</c:v>
                </c:pt>
                <c:pt idx="88">
                  <c:v>1.3926644178756804E-12</c:v>
                </c:pt>
                <c:pt idx="89">
                  <c:v>1.3926637657616846E-12</c:v>
                </c:pt>
                <c:pt idx="90">
                  <c:v>1.3926871879949359E-12</c:v>
                </c:pt>
                <c:pt idx="91">
                  <c:v>1.3926637620897964E-12</c:v>
                </c:pt>
                <c:pt idx="92">
                  <c:v>1.3926875353299785E-12</c:v>
                </c:pt>
                <c:pt idx="93">
                  <c:v>1.3926784179315114E-12</c:v>
                </c:pt>
                <c:pt idx="94">
                  <c:v>1.3926637620897964E-12</c:v>
                </c:pt>
                <c:pt idx="95">
                  <c:v>1.3926638168299109E-12</c:v>
                </c:pt>
                <c:pt idx="96">
                  <c:v>1.39266383716975E-12</c:v>
                </c:pt>
                <c:pt idx="97">
                  <c:v>1.3926637620897964E-12</c:v>
                </c:pt>
                <c:pt idx="98">
                  <c:v>8.3687090572564789E-5</c:v>
                </c:pt>
                <c:pt idx="99">
                  <c:v>8.3687090572564789E-5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27-4C81-8696-7B458EFF47FF}"/>
            </c:ext>
          </c:extLst>
        </c:ser>
        <c:ser>
          <c:idx val="7"/>
          <c:order val="7"/>
          <c:tx>
            <c:strRef>
              <c:f>Graphs!$AM$48</c:f>
              <c:strCache>
                <c:ptCount val="1"/>
                <c:pt idx="0">
                  <c:v>JPN Equ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Graphs!$AN$48:$EI$48</c:f>
              <c:numCache>
                <c:formatCode>0.0%;[Red]\-0.0%;.</c:formatCode>
                <c:ptCount val="100"/>
                <c:pt idx="0">
                  <c:v>3.5832670164382998E-9</c:v>
                </c:pt>
                <c:pt idx="1">
                  <c:v>3.5832670164387907E-9</c:v>
                </c:pt>
                <c:pt idx="2">
                  <c:v>3.5832670164381852E-9</c:v>
                </c:pt>
                <c:pt idx="3">
                  <c:v>3.5832670164381852E-9</c:v>
                </c:pt>
                <c:pt idx="4">
                  <c:v>3.5832670164434796E-9</c:v>
                </c:pt>
                <c:pt idx="5">
                  <c:v>3.5832670164381852E-9</c:v>
                </c:pt>
                <c:pt idx="6">
                  <c:v>3.5832670164418083E-9</c:v>
                </c:pt>
                <c:pt idx="7">
                  <c:v>3.5832670164381852E-9</c:v>
                </c:pt>
                <c:pt idx="8">
                  <c:v>3.5832670164381852E-9</c:v>
                </c:pt>
                <c:pt idx="9">
                  <c:v>3.5832670164384673E-9</c:v>
                </c:pt>
                <c:pt idx="10">
                  <c:v>3.5832670164381852E-9</c:v>
                </c:pt>
                <c:pt idx="11">
                  <c:v>3.5832670164381852E-9</c:v>
                </c:pt>
                <c:pt idx="12">
                  <c:v>3.5832670164381852E-9</c:v>
                </c:pt>
                <c:pt idx="13">
                  <c:v>3.5832670164381852E-9</c:v>
                </c:pt>
                <c:pt idx="14">
                  <c:v>3.5832670164381852E-9</c:v>
                </c:pt>
                <c:pt idx="15">
                  <c:v>3.5832670164381852E-9</c:v>
                </c:pt>
                <c:pt idx="16">
                  <c:v>3.5832670164381852E-9</c:v>
                </c:pt>
                <c:pt idx="17">
                  <c:v>3.5832670164381852E-9</c:v>
                </c:pt>
                <c:pt idx="18">
                  <c:v>3.5832670164381852E-9</c:v>
                </c:pt>
                <c:pt idx="19">
                  <c:v>3.5832670164381852E-9</c:v>
                </c:pt>
                <c:pt idx="20">
                  <c:v>3.5832670164381852E-9</c:v>
                </c:pt>
                <c:pt idx="21">
                  <c:v>3.5832670164381852E-9</c:v>
                </c:pt>
                <c:pt idx="22">
                  <c:v>5.171054236377087E-4</c:v>
                </c:pt>
                <c:pt idx="23">
                  <c:v>1.5172511078830602E-3</c:v>
                </c:pt>
                <c:pt idx="24">
                  <c:v>2.5826604722897096E-3</c:v>
                </c:pt>
                <c:pt idx="25">
                  <c:v>3.7204554711250679E-3</c:v>
                </c:pt>
                <c:pt idx="26">
                  <c:v>4.8040293409809896E-3</c:v>
                </c:pt>
                <c:pt idx="27">
                  <c:v>6.013505133627914E-3</c:v>
                </c:pt>
                <c:pt idx="28">
                  <c:v>7.1926202415420817E-3</c:v>
                </c:pt>
                <c:pt idx="29">
                  <c:v>8.1140697061835073E-3</c:v>
                </c:pt>
                <c:pt idx="30">
                  <c:v>9.1992031634863681E-3</c:v>
                </c:pt>
                <c:pt idx="31">
                  <c:v>1.0052781561116653E-2</c:v>
                </c:pt>
                <c:pt idx="32">
                  <c:v>1.1088617806854641E-2</c:v>
                </c:pt>
                <c:pt idx="33">
                  <c:v>1.1749211848280147E-2</c:v>
                </c:pt>
                <c:pt idx="34">
                  <c:v>1.1749211848280148E-2</c:v>
                </c:pt>
                <c:pt idx="35">
                  <c:v>1.1749211848280153E-2</c:v>
                </c:pt>
                <c:pt idx="36">
                  <c:v>1.1749211848280148E-2</c:v>
                </c:pt>
                <c:pt idx="37">
                  <c:v>1.1749211848280148E-2</c:v>
                </c:pt>
                <c:pt idx="38">
                  <c:v>1.1749211848280147E-2</c:v>
                </c:pt>
                <c:pt idx="39">
                  <c:v>1.174921184828015E-2</c:v>
                </c:pt>
                <c:pt idx="40">
                  <c:v>1.1749211848280153E-2</c:v>
                </c:pt>
                <c:pt idx="41">
                  <c:v>1.1749211848280148E-2</c:v>
                </c:pt>
                <c:pt idx="42">
                  <c:v>1.1749211848280152E-2</c:v>
                </c:pt>
                <c:pt idx="43">
                  <c:v>1.1749211848280148E-2</c:v>
                </c:pt>
                <c:pt idx="44">
                  <c:v>1.1749211848280148E-2</c:v>
                </c:pt>
                <c:pt idx="45">
                  <c:v>1.174921184828015E-2</c:v>
                </c:pt>
                <c:pt idx="46">
                  <c:v>1.174921184828015E-2</c:v>
                </c:pt>
                <c:pt idx="47">
                  <c:v>1.1749211848280153E-2</c:v>
                </c:pt>
                <c:pt idx="48">
                  <c:v>1.1749211848280152E-2</c:v>
                </c:pt>
                <c:pt idx="49">
                  <c:v>1.1749211848280152E-2</c:v>
                </c:pt>
                <c:pt idx="50">
                  <c:v>1.174921184828015E-2</c:v>
                </c:pt>
                <c:pt idx="51">
                  <c:v>1.1749211848280153E-2</c:v>
                </c:pt>
                <c:pt idx="52">
                  <c:v>1.1749211848280152E-2</c:v>
                </c:pt>
                <c:pt idx="53">
                  <c:v>1.1749211848280138E-2</c:v>
                </c:pt>
                <c:pt idx="54">
                  <c:v>1.1749211848280147E-2</c:v>
                </c:pt>
                <c:pt idx="55">
                  <c:v>1.174921184828015E-2</c:v>
                </c:pt>
                <c:pt idx="56">
                  <c:v>1.1749211848280152E-2</c:v>
                </c:pt>
                <c:pt idx="57">
                  <c:v>1.1749211848280133E-2</c:v>
                </c:pt>
                <c:pt idx="58">
                  <c:v>1.1749211848280148E-2</c:v>
                </c:pt>
                <c:pt idx="59">
                  <c:v>1.1749211848280147E-2</c:v>
                </c:pt>
                <c:pt idx="60">
                  <c:v>1.1749211848280152E-2</c:v>
                </c:pt>
                <c:pt idx="61">
                  <c:v>1.1749211848280152E-2</c:v>
                </c:pt>
                <c:pt idx="62">
                  <c:v>1.1749211848280153E-2</c:v>
                </c:pt>
                <c:pt idx="63">
                  <c:v>1.174921184828015E-2</c:v>
                </c:pt>
                <c:pt idx="64">
                  <c:v>1.1749211848280152E-2</c:v>
                </c:pt>
                <c:pt idx="65">
                  <c:v>1.1749211848280152E-2</c:v>
                </c:pt>
                <c:pt idx="66">
                  <c:v>1.1749211848280148E-2</c:v>
                </c:pt>
                <c:pt idx="67">
                  <c:v>1.174921184828015E-2</c:v>
                </c:pt>
                <c:pt idx="68">
                  <c:v>1.1749211848280148E-2</c:v>
                </c:pt>
                <c:pt idx="69">
                  <c:v>1.1749211848280153E-2</c:v>
                </c:pt>
                <c:pt idx="70">
                  <c:v>1.1749211848280153E-2</c:v>
                </c:pt>
                <c:pt idx="71">
                  <c:v>1.174921184828015E-2</c:v>
                </c:pt>
                <c:pt idx="72">
                  <c:v>1.174921184828015E-2</c:v>
                </c:pt>
                <c:pt idx="73">
                  <c:v>1.1749211848280153E-2</c:v>
                </c:pt>
                <c:pt idx="74">
                  <c:v>1.1749211848280138E-2</c:v>
                </c:pt>
                <c:pt idx="75">
                  <c:v>1.1749211848280153E-2</c:v>
                </c:pt>
                <c:pt idx="76">
                  <c:v>1.1749211848280205E-2</c:v>
                </c:pt>
                <c:pt idx="77">
                  <c:v>1.174921184828015E-2</c:v>
                </c:pt>
                <c:pt idx="78">
                  <c:v>1.1749211848280148E-2</c:v>
                </c:pt>
                <c:pt idx="79">
                  <c:v>1.174921184828015E-2</c:v>
                </c:pt>
                <c:pt idx="80">
                  <c:v>1.1749211848280134E-2</c:v>
                </c:pt>
                <c:pt idx="81">
                  <c:v>1.1749211848280148E-2</c:v>
                </c:pt>
                <c:pt idx="82">
                  <c:v>1.1749211848280148E-2</c:v>
                </c:pt>
                <c:pt idx="83">
                  <c:v>1.174921184828015E-2</c:v>
                </c:pt>
                <c:pt idx="84">
                  <c:v>1.1749211848280131E-2</c:v>
                </c:pt>
                <c:pt idx="85">
                  <c:v>1.174921184828015E-2</c:v>
                </c:pt>
                <c:pt idx="86">
                  <c:v>1.1749211848280148E-2</c:v>
                </c:pt>
                <c:pt idx="87">
                  <c:v>1.1749211848280148E-2</c:v>
                </c:pt>
                <c:pt idx="88">
                  <c:v>1.1749211848280148E-2</c:v>
                </c:pt>
                <c:pt idx="89">
                  <c:v>1.1749211848280152E-2</c:v>
                </c:pt>
                <c:pt idx="90">
                  <c:v>1.1749211848280176E-2</c:v>
                </c:pt>
                <c:pt idx="91">
                  <c:v>1.1749211848280195E-2</c:v>
                </c:pt>
                <c:pt idx="92">
                  <c:v>1.1749211848280114E-2</c:v>
                </c:pt>
                <c:pt idx="93">
                  <c:v>1.1749211848280219E-2</c:v>
                </c:pt>
                <c:pt idx="94">
                  <c:v>1.1749211848280147E-2</c:v>
                </c:pt>
                <c:pt idx="95">
                  <c:v>1.1749211848280147E-2</c:v>
                </c:pt>
                <c:pt idx="96">
                  <c:v>1.1749211848280147E-2</c:v>
                </c:pt>
                <c:pt idx="97">
                  <c:v>1.174921184828015E-2</c:v>
                </c:pt>
                <c:pt idx="98">
                  <c:v>1.1729354421311494E-2</c:v>
                </c:pt>
                <c:pt idx="99">
                  <c:v>1.1729354421311494E-2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27-4C81-8696-7B458EFF47FF}"/>
            </c:ext>
          </c:extLst>
        </c:ser>
        <c:ser>
          <c:idx val="8"/>
          <c:order val="8"/>
          <c:tx>
            <c:strRef>
              <c:f>Graphs!$AM$49</c:f>
              <c:strCache>
                <c:ptCount val="1"/>
                <c:pt idx="0">
                  <c:v>EUR Equ</c:v>
                </c:pt>
              </c:strCache>
            </c:strRef>
          </c:tx>
          <c:spPr>
            <a:pattFill prst="pct50">
              <a:fgClr>
                <a:schemeClr val="accent6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Graphs!$AN$49:$EI$49</c:f>
              <c:numCache>
                <c:formatCode>0.0%;[Red]\-0.0%;.</c:formatCode>
                <c:ptCount val="100"/>
                <c:pt idx="0">
                  <c:v>1.1334156775520185E-9</c:v>
                </c:pt>
                <c:pt idx="1">
                  <c:v>1.1334156775528904E-9</c:v>
                </c:pt>
                <c:pt idx="2">
                  <c:v>-2.7461745962178664E-10</c:v>
                </c:pt>
                <c:pt idx="3">
                  <c:v>9.7372007278021517E-10</c:v>
                </c:pt>
                <c:pt idx="4">
                  <c:v>1.1334156775437283E-9</c:v>
                </c:pt>
                <c:pt idx="5">
                  <c:v>9.7372007278359483E-10</c:v>
                </c:pt>
                <c:pt idx="6">
                  <c:v>1.1334156775603724E-9</c:v>
                </c:pt>
                <c:pt idx="7">
                  <c:v>7.570838229796E-10</c:v>
                </c:pt>
                <c:pt idx="8">
                  <c:v>9.7372007277865097E-10</c:v>
                </c:pt>
                <c:pt idx="9">
                  <c:v>1.1334156775514134E-9</c:v>
                </c:pt>
                <c:pt idx="10">
                  <c:v>9.7372007286748293E-10</c:v>
                </c:pt>
                <c:pt idx="11">
                  <c:v>6.6194161263384166E-11</c:v>
                </c:pt>
                <c:pt idx="12">
                  <c:v>6.61941612648802E-11</c:v>
                </c:pt>
                <c:pt idx="13">
                  <c:v>6.6194161264606442E-11</c:v>
                </c:pt>
                <c:pt idx="14">
                  <c:v>6.6194161263715594E-11</c:v>
                </c:pt>
                <c:pt idx="15">
                  <c:v>7.2103068450540099E-20</c:v>
                </c:pt>
                <c:pt idx="16">
                  <c:v>1.6798783361275895E-22</c:v>
                </c:pt>
                <c:pt idx="17">
                  <c:v>1.1334156775522363E-9</c:v>
                </c:pt>
                <c:pt idx="18">
                  <c:v>6.6194161237193289E-11</c:v>
                </c:pt>
                <c:pt idx="19">
                  <c:v>-9.6179064711645944E-11</c:v>
                </c:pt>
                <c:pt idx="20">
                  <c:v>-1.3061575305424655E-20</c:v>
                </c:pt>
                <c:pt idx="21">
                  <c:v>1.1334156775551978E-9</c:v>
                </c:pt>
                <c:pt idx="22">
                  <c:v>1.540120423499839E-4</c:v>
                </c:pt>
                <c:pt idx="23">
                  <c:v>4.5189020458380854E-4</c:v>
                </c:pt>
                <c:pt idx="24">
                  <c:v>7.6920616014444462E-4</c:v>
                </c:pt>
                <c:pt idx="25">
                  <c:v>1.1080810746601679E-3</c:v>
                </c:pt>
                <c:pt idx="26">
                  <c:v>1.4308070515670422E-3</c:v>
                </c:pt>
                <c:pt idx="27">
                  <c:v>1.7910309989930681E-3</c:v>
                </c:pt>
                <c:pt idx="28">
                  <c:v>2.1422124787918123E-3</c:v>
                </c:pt>
                <c:pt idx="29">
                  <c:v>2.4166521703711794E-3</c:v>
                </c:pt>
                <c:pt idx="30">
                  <c:v>2.739842646650351E-3</c:v>
                </c:pt>
                <c:pt idx="31">
                  <c:v>2.9940679744339255E-3</c:v>
                </c:pt>
                <c:pt idx="32">
                  <c:v>3.3025760269267297E-3</c:v>
                </c:pt>
                <c:pt idx="33">
                  <c:v>3.4993239029033375E-3</c:v>
                </c:pt>
                <c:pt idx="34">
                  <c:v>3.4993239029033388E-3</c:v>
                </c:pt>
                <c:pt idx="35">
                  <c:v>3.4993239029033397E-3</c:v>
                </c:pt>
                <c:pt idx="36">
                  <c:v>3.4993239029033384E-3</c:v>
                </c:pt>
                <c:pt idx="37">
                  <c:v>3.4993239029033384E-3</c:v>
                </c:pt>
                <c:pt idx="38">
                  <c:v>3.499323902903338E-3</c:v>
                </c:pt>
                <c:pt idx="39">
                  <c:v>3.4993238535639365E-3</c:v>
                </c:pt>
                <c:pt idx="40">
                  <c:v>3.499323853563936E-3</c:v>
                </c:pt>
                <c:pt idx="41">
                  <c:v>3.499323853563936E-3</c:v>
                </c:pt>
                <c:pt idx="42">
                  <c:v>3.499323853563936E-3</c:v>
                </c:pt>
                <c:pt idx="43">
                  <c:v>2.2633800227525622E-3</c:v>
                </c:pt>
                <c:pt idx="44">
                  <c:v>6.6194161265387391E-11</c:v>
                </c:pt>
                <c:pt idx="45">
                  <c:v>6.6194161245948724E-11</c:v>
                </c:pt>
                <c:pt idx="46">
                  <c:v>6.6194161295074438E-11</c:v>
                </c:pt>
                <c:pt idx="47">
                  <c:v>6.6194161180118214E-11</c:v>
                </c:pt>
                <c:pt idx="48">
                  <c:v>6.6194161269623512E-11</c:v>
                </c:pt>
                <c:pt idx="49">
                  <c:v>6.6194161263346801E-11</c:v>
                </c:pt>
                <c:pt idx="50">
                  <c:v>6.6194161316057464E-11</c:v>
                </c:pt>
                <c:pt idx="51">
                  <c:v>6.6194161265518874E-11</c:v>
                </c:pt>
                <c:pt idx="52">
                  <c:v>6.6194161264266186E-11</c:v>
                </c:pt>
                <c:pt idx="53">
                  <c:v>6.6194455037536383E-11</c:v>
                </c:pt>
                <c:pt idx="54">
                  <c:v>6.619424837650925E-11</c:v>
                </c:pt>
                <c:pt idx="55">
                  <c:v>6.6194232233995482E-11</c:v>
                </c:pt>
                <c:pt idx="56">
                  <c:v>6.6194161261688769E-11</c:v>
                </c:pt>
                <c:pt idx="57">
                  <c:v>6.6194222854581074E-11</c:v>
                </c:pt>
                <c:pt idx="58">
                  <c:v>6.619416128074997E-11</c:v>
                </c:pt>
                <c:pt idx="59">
                  <c:v>6.6194161260835416E-11</c:v>
                </c:pt>
                <c:pt idx="60">
                  <c:v>6.6194161245800633E-11</c:v>
                </c:pt>
                <c:pt idx="61">
                  <c:v>6.6194161263790751E-11</c:v>
                </c:pt>
                <c:pt idx="62">
                  <c:v>6.6194161264010329E-11</c:v>
                </c:pt>
                <c:pt idx="63">
                  <c:v>6.6194161452960314E-11</c:v>
                </c:pt>
                <c:pt idx="64">
                  <c:v>6.6194161263529789E-11</c:v>
                </c:pt>
                <c:pt idx="65">
                  <c:v>6.619416115237393E-11</c:v>
                </c:pt>
                <c:pt idx="66">
                  <c:v>6.6194161475839923E-11</c:v>
                </c:pt>
                <c:pt idx="67">
                  <c:v>6.619416127456399E-11</c:v>
                </c:pt>
                <c:pt idx="68">
                  <c:v>6.6194161264108518E-11</c:v>
                </c:pt>
                <c:pt idx="69">
                  <c:v>6.6194161254553613E-11</c:v>
                </c:pt>
                <c:pt idx="70">
                  <c:v>6.619416132803089E-11</c:v>
                </c:pt>
                <c:pt idx="71">
                  <c:v>6.6194161266369396E-11</c:v>
                </c:pt>
                <c:pt idx="72">
                  <c:v>6.6194160970752998E-11</c:v>
                </c:pt>
                <c:pt idx="73">
                  <c:v>6.6194161261600468E-11</c:v>
                </c:pt>
                <c:pt idx="74">
                  <c:v>6.6194169535703958E-11</c:v>
                </c:pt>
                <c:pt idx="75">
                  <c:v>6.6194161409670773E-11</c:v>
                </c:pt>
                <c:pt idx="76">
                  <c:v>6.6194201344586352E-11</c:v>
                </c:pt>
                <c:pt idx="77">
                  <c:v>6.6194161263767461E-11</c:v>
                </c:pt>
                <c:pt idx="78">
                  <c:v>6.6194161263449617E-11</c:v>
                </c:pt>
                <c:pt idx="79">
                  <c:v>6.6194162496948158E-11</c:v>
                </c:pt>
                <c:pt idx="80">
                  <c:v>6.6194213602079075E-11</c:v>
                </c:pt>
                <c:pt idx="81">
                  <c:v>6.6194160889505354E-11</c:v>
                </c:pt>
                <c:pt idx="82">
                  <c:v>6.619416367455594E-11</c:v>
                </c:pt>
                <c:pt idx="83">
                  <c:v>6.6194161263782299E-11</c:v>
                </c:pt>
                <c:pt idx="84">
                  <c:v>6.6194246124418499E-11</c:v>
                </c:pt>
                <c:pt idx="85">
                  <c:v>6.6194161226082043E-11</c:v>
                </c:pt>
                <c:pt idx="86">
                  <c:v>6.619416125655221E-11</c:v>
                </c:pt>
                <c:pt idx="87">
                  <c:v>6.6194161436869351E-11</c:v>
                </c:pt>
                <c:pt idx="88">
                  <c:v>6.6194164610480792E-11</c:v>
                </c:pt>
                <c:pt idx="89">
                  <c:v>6.619416127716316E-11</c:v>
                </c:pt>
                <c:pt idx="90">
                  <c:v>6.6194164613254613E-11</c:v>
                </c:pt>
                <c:pt idx="91">
                  <c:v>6.6194343748435034E-11</c:v>
                </c:pt>
                <c:pt idx="92">
                  <c:v>6.619457389850902E-11</c:v>
                </c:pt>
                <c:pt idx="93">
                  <c:v>6.6194738082876674E-11</c:v>
                </c:pt>
                <c:pt idx="94">
                  <c:v>6.6194161190624468E-11</c:v>
                </c:pt>
                <c:pt idx="95">
                  <c:v>6.6194161124133273E-11</c:v>
                </c:pt>
                <c:pt idx="96">
                  <c:v>6.6194161072381778E-11</c:v>
                </c:pt>
                <c:pt idx="97">
                  <c:v>6.6194161355084388E-11</c:v>
                </c:pt>
                <c:pt idx="98">
                  <c:v>5.7815467275815604E-5</c:v>
                </c:pt>
                <c:pt idx="99">
                  <c:v>5.7815467275815604E-5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27-4C81-8696-7B458EFF47FF}"/>
            </c:ext>
          </c:extLst>
        </c:ser>
        <c:ser>
          <c:idx val="9"/>
          <c:order val="9"/>
          <c:tx>
            <c:strRef>
              <c:f>Graphs!$AM$50</c:f>
              <c:strCache>
                <c:ptCount val="1"/>
                <c:pt idx="0">
                  <c:v>Oth Equ</c:v>
                </c:pt>
              </c:strCache>
            </c:strRef>
          </c:tx>
          <c:spPr>
            <a:pattFill prst="dkVert">
              <a:fgClr>
                <a:srgbClr val="0000CC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Graphs!$AN$50:$EI$50</c:f>
              <c:numCache>
                <c:formatCode>0.0%;[Red]\-0.0%;.</c:formatCode>
                <c:ptCount val="100"/>
                <c:pt idx="0">
                  <c:v>6.8064614047587516E-9</c:v>
                </c:pt>
                <c:pt idx="1">
                  <c:v>6.8064614047572502E-9</c:v>
                </c:pt>
                <c:pt idx="2">
                  <c:v>6.0075182892265104E-9</c:v>
                </c:pt>
                <c:pt idx="3">
                  <c:v>6.7303998204340749E-9</c:v>
                </c:pt>
                <c:pt idx="4">
                  <c:v>6.8064614047579988E-9</c:v>
                </c:pt>
                <c:pt idx="5">
                  <c:v>6.7303998204387873E-9</c:v>
                </c:pt>
                <c:pt idx="6">
                  <c:v>5.9052354117775642E-9</c:v>
                </c:pt>
                <c:pt idx="7">
                  <c:v>6.8064614047667595E-9</c:v>
                </c:pt>
                <c:pt idx="8">
                  <c:v>6.730399820432782E-9</c:v>
                </c:pt>
                <c:pt idx="9">
                  <c:v>5.905235411774301E-9</c:v>
                </c:pt>
                <c:pt idx="10">
                  <c:v>6.7303998205178675E-9</c:v>
                </c:pt>
                <c:pt idx="11">
                  <c:v>5.9052354117739577E-9</c:v>
                </c:pt>
                <c:pt idx="12">
                  <c:v>5.9052354117739544E-9</c:v>
                </c:pt>
                <c:pt idx="13">
                  <c:v>5.9052354117743324E-9</c:v>
                </c:pt>
                <c:pt idx="14">
                  <c:v>5.905235411775277E-9</c:v>
                </c:pt>
                <c:pt idx="15">
                  <c:v>5.9052354118290661E-9</c:v>
                </c:pt>
                <c:pt idx="16">
                  <c:v>5.9052354117745011E-9</c:v>
                </c:pt>
                <c:pt idx="17">
                  <c:v>5.9052354117741057E-9</c:v>
                </c:pt>
                <c:pt idx="18">
                  <c:v>5.9052354117739684E-9</c:v>
                </c:pt>
                <c:pt idx="19">
                  <c:v>5.9052354117741686E-9</c:v>
                </c:pt>
                <c:pt idx="20">
                  <c:v>5.9052354117876103E-9</c:v>
                </c:pt>
                <c:pt idx="21">
                  <c:v>5.9052354117741744E-9</c:v>
                </c:pt>
                <c:pt idx="22">
                  <c:v>1.0208276052778368E-5</c:v>
                </c:pt>
                <c:pt idx="23">
                  <c:v>8.6179477322248033E-4</c:v>
                </c:pt>
                <c:pt idx="24">
                  <c:v>1.2267388535793394E-3</c:v>
                </c:pt>
                <c:pt idx="25">
                  <c:v>1.478387325823789E-3</c:v>
                </c:pt>
                <c:pt idx="26">
                  <c:v>1.7666628188871202E-3</c:v>
                </c:pt>
                <c:pt idx="27">
                  <c:v>1.6727415660914872E-3</c:v>
                </c:pt>
                <c:pt idx="28">
                  <c:v>3.5321151807903017E-3</c:v>
                </c:pt>
                <c:pt idx="29">
                  <c:v>4.2174984505509959E-3</c:v>
                </c:pt>
                <c:pt idx="30">
                  <c:v>5.3625738786455546E-3</c:v>
                </c:pt>
                <c:pt idx="31">
                  <c:v>4.6869220780685564E-3</c:v>
                </c:pt>
                <c:pt idx="32">
                  <c:v>6.1824421334363382E-3</c:v>
                </c:pt>
                <c:pt idx="33">
                  <c:v>6.8916370535458257E-3</c:v>
                </c:pt>
                <c:pt idx="34">
                  <c:v>7.0689719541370648E-3</c:v>
                </c:pt>
                <c:pt idx="35">
                  <c:v>6.9947273703948043E-3</c:v>
                </c:pt>
                <c:pt idx="36">
                  <c:v>7.1950700340242535E-3</c:v>
                </c:pt>
                <c:pt idx="37">
                  <c:v>7.5338887416872263E-3</c:v>
                </c:pt>
                <c:pt idx="38">
                  <c:v>8.2657071245016266E-3</c:v>
                </c:pt>
                <c:pt idx="39">
                  <c:v>6.6445905198829515E-3</c:v>
                </c:pt>
                <c:pt idx="40">
                  <c:v>3.8602495330775973E-3</c:v>
                </c:pt>
                <c:pt idx="41">
                  <c:v>1.3592125429755498E-3</c:v>
                </c:pt>
                <c:pt idx="42">
                  <c:v>5.9052354117747609E-9</c:v>
                </c:pt>
                <c:pt idx="43">
                  <c:v>5.9052354117742257E-9</c:v>
                </c:pt>
                <c:pt idx="44">
                  <c:v>5.9052354117763565E-9</c:v>
                </c:pt>
                <c:pt idx="45">
                  <c:v>5.9052354117835067E-9</c:v>
                </c:pt>
                <c:pt idx="46">
                  <c:v>5.9052354118504868E-9</c:v>
                </c:pt>
                <c:pt idx="47">
                  <c:v>5.9052354117739014E-9</c:v>
                </c:pt>
                <c:pt idx="48">
                  <c:v>5.905235411774526E-9</c:v>
                </c:pt>
                <c:pt idx="49">
                  <c:v>5.9052354117743431E-9</c:v>
                </c:pt>
                <c:pt idx="50">
                  <c:v>5.9052354118108681E-9</c:v>
                </c:pt>
                <c:pt idx="51">
                  <c:v>5.9052354117765459E-9</c:v>
                </c:pt>
                <c:pt idx="52">
                  <c:v>5.9052354117834653E-9</c:v>
                </c:pt>
                <c:pt idx="53">
                  <c:v>5.9052355111129502E-9</c:v>
                </c:pt>
                <c:pt idx="54">
                  <c:v>5.9052354127639928E-9</c:v>
                </c:pt>
                <c:pt idx="55">
                  <c:v>5.9052354389320467E-9</c:v>
                </c:pt>
                <c:pt idx="56">
                  <c:v>5.9052354117764401E-9</c:v>
                </c:pt>
                <c:pt idx="57">
                  <c:v>5.9052354820069692E-9</c:v>
                </c:pt>
                <c:pt idx="58">
                  <c:v>5.905235411783644E-9</c:v>
                </c:pt>
                <c:pt idx="59">
                  <c:v>5.9052354117743853E-9</c:v>
                </c:pt>
                <c:pt idx="60">
                  <c:v>5.9052354117783376E-9</c:v>
                </c:pt>
                <c:pt idx="61">
                  <c:v>5.9052354117744623E-9</c:v>
                </c:pt>
                <c:pt idx="62">
                  <c:v>5.9052354117747882E-9</c:v>
                </c:pt>
                <c:pt idx="63">
                  <c:v>5.9052354121243572E-9</c:v>
                </c:pt>
                <c:pt idx="64">
                  <c:v>5.9052354117749114E-9</c:v>
                </c:pt>
                <c:pt idx="65">
                  <c:v>5.9052354117965505E-9</c:v>
                </c:pt>
                <c:pt idx="66">
                  <c:v>5.9052354118115936E-9</c:v>
                </c:pt>
                <c:pt idx="67">
                  <c:v>5.905235411790402E-9</c:v>
                </c:pt>
                <c:pt idx="68">
                  <c:v>5.9052354117759289E-9</c:v>
                </c:pt>
                <c:pt idx="69">
                  <c:v>5.9052354117896725E-9</c:v>
                </c:pt>
                <c:pt idx="70">
                  <c:v>5.9052354117847243E-9</c:v>
                </c:pt>
                <c:pt idx="71">
                  <c:v>5.9052354117813279E-9</c:v>
                </c:pt>
                <c:pt idx="72">
                  <c:v>5.9052354118280652E-9</c:v>
                </c:pt>
                <c:pt idx="73">
                  <c:v>5.9052354117742546E-9</c:v>
                </c:pt>
                <c:pt idx="74">
                  <c:v>5.9052354768528175E-9</c:v>
                </c:pt>
                <c:pt idx="75">
                  <c:v>5.9052354119858334E-9</c:v>
                </c:pt>
                <c:pt idx="76">
                  <c:v>5.905235559157913E-9</c:v>
                </c:pt>
                <c:pt idx="77">
                  <c:v>5.9052354117809283E-9</c:v>
                </c:pt>
                <c:pt idx="78">
                  <c:v>5.9052354117742861E-9</c:v>
                </c:pt>
                <c:pt idx="79">
                  <c:v>5.9052354134709137E-9</c:v>
                </c:pt>
                <c:pt idx="80">
                  <c:v>5.9052354562603746E-9</c:v>
                </c:pt>
                <c:pt idx="81">
                  <c:v>5.905235413385461E-9</c:v>
                </c:pt>
                <c:pt idx="82">
                  <c:v>5.9052354154471839E-9</c:v>
                </c:pt>
                <c:pt idx="83">
                  <c:v>5.9052354117768644E-9</c:v>
                </c:pt>
                <c:pt idx="84">
                  <c:v>5.905235503220782E-9</c:v>
                </c:pt>
                <c:pt idx="85">
                  <c:v>5.9052354126246195E-9</c:v>
                </c:pt>
                <c:pt idx="86">
                  <c:v>5.9052354118560876E-9</c:v>
                </c:pt>
                <c:pt idx="87">
                  <c:v>5.9052354120656447E-9</c:v>
                </c:pt>
                <c:pt idx="88">
                  <c:v>5.9052354142883402E-9</c:v>
                </c:pt>
                <c:pt idx="89">
                  <c:v>5.9052354118139957E-9</c:v>
                </c:pt>
                <c:pt idx="90">
                  <c:v>5.9052355034134249E-9</c:v>
                </c:pt>
                <c:pt idx="91">
                  <c:v>5.9052356184220331E-9</c:v>
                </c:pt>
                <c:pt idx="92">
                  <c:v>5.9052355685527359E-9</c:v>
                </c:pt>
                <c:pt idx="93">
                  <c:v>5.9052355498320505E-9</c:v>
                </c:pt>
                <c:pt idx="94">
                  <c:v>5.9052354118004663E-9</c:v>
                </c:pt>
                <c:pt idx="95">
                  <c:v>5.9052354117739014E-9</c:v>
                </c:pt>
                <c:pt idx="96">
                  <c:v>5.9052354117739014E-9</c:v>
                </c:pt>
                <c:pt idx="97">
                  <c:v>5.9052354121220038E-9</c:v>
                </c:pt>
                <c:pt idx="98">
                  <c:v>5.6830224931762882E-5</c:v>
                </c:pt>
                <c:pt idx="99">
                  <c:v>5.6830224931762882E-5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B27-4C81-8696-7B458EFF47FF}"/>
            </c:ext>
          </c:extLst>
        </c:ser>
        <c:ser>
          <c:idx val="10"/>
          <c:order val="10"/>
          <c:tx>
            <c:strRef>
              <c:f>Graphs!$AM$51</c:f>
              <c:strCache>
                <c:ptCount val="1"/>
                <c:pt idx="0">
                  <c:v>US RE</c:v>
                </c:pt>
              </c:strCache>
            </c:strRef>
          </c:tx>
          <c:spPr>
            <a:pattFill prst="dkVert">
              <a:fgClr>
                <a:srgbClr val="FF0000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Graphs!$AN$51:$EI$51</c:f>
              <c:numCache>
                <c:formatCode>0.0%;[Red]\-0.0%;.</c:formatCode>
                <c:ptCount val="100"/>
                <c:pt idx="0">
                  <c:v>0.11621152898984703</c:v>
                </c:pt>
                <c:pt idx="1">
                  <c:v>0.1157306769496719</c:v>
                </c:pt>
                <c:pt idx="2">
                  <c:v>0.11556092457250711</c:v>
                </c:pt>
                <c:pt idx="3">
                  <c:v>0.11382345775698804</c:v>
                </c:pt>
                <c:pt idx="4">
                  <c:v>0.11351707629888545</c:v>
                </c:pt>
                <c:pt idx="5">
                  <c:v>0.11587370633951399</c:v>
                </c:pt>
                <c:pt idx="6">
                  <c:v>0.11633654876621695</c:v>
                </c:pt>
                <c:pt idx="7">
                  <c:v>0.11535365495421221</c:v>
                </c:pt>
                <c:pt idx="8">
                  <c:v>0.11580328073189486</c:v>
                </c:pt>
                <c:pt idx="9">
                  <c:v>0.11642722937696551</c:v>
                </c:pt>
                <c:pt idx="10">
                  <c:v>0.11749152845323538</c:v>
                </c:pt>
                <c:pt idx="11">
                  <c:v>0.11823312672783291</c:v>
                </c:pt>
                <c:pt idx="12">
                  <c:v>0.11961043846248325</c:v>
                </c:pt>
                <c:pt idx="13">
                  <c:v>0.12270586026415754</c:v>
                </c:pt>
                <c:pt idx="14">
                  <c:v>0.12359731783862002</c:v>
                </c:pt>
                <c:pt idx="15">
                  <c:v>0.12503524133178096</c:v>
                </c:pt>
                <c:pt idx="16">
                  <c:v>0.12532760276379792</c:v>
                </c:pt>
                <c:pt idx="17">
                  <c:v>0.12576179851092659</c:v>
                </c:pt>
                <c:pt idx="18">
                  <c:v>0.12680616066633077</c:v>
                </c:pt>
                <c:pt idx="19">
                  <c:v>0.12840300323829695</c:v>
                </c:pt>
                <c:pt idx="20">
                  <c:v>0.12095727414717315</c:v>
                </c:pt>
                <c:pt idx="21">
                  <c:v>0.10691413948945176</c:v>
                </c:pt>
                <c:pt idx="22">
                  <c:v>0.10497270158481532</c:v>
                </c:pt>
                <c:pt idx="23">
                  <c:v>0.10231539095711269</c:v>
                </c:pt>
                <c:pt idx="24">
                  <c:v>9.9795582873023647E-2</c:v>
                </c:pt>
                <c:pt idx="25">
                  <c:v>9.8795622995288684E-2</c:v>
                </c:pt>
                <c:pt idx="26">
                  <c:v>9.5188184199918549E-2</c:v>
                </c:pt>
                <c:pt idx="27">
                  <c:v>9.3397684601732575E-2</c:v>
                </c:pt>
                <c:pt idx="28">
                  <c:v>9.2734379196197703E-2</c:v>
                </c:pt>
                <c:pt idx="29">
                  <c:v>8.7532428052635738E-2</c:v>
                </c:pt>
                <c:pt idx="30">
                  <c:v>8.4986223605041933E-2</c:v>
                </c:pt>
                <c:pt idx="31">
                  <c:v>8.0314567053399691E-2</c:v>
                </c:pt>
                <c:pt idx="32">
                  <c:v>7.2533631985725766E-2</c:v>
                </c:pt>
                <c:pt idx="33">
                  <c:v>7.0712068909300999E-2</c:v>
                </c:pt>
                <c:pt idx="34">
                  <c:v>7.4785618241470467E-2</c:v>
                </c:pt>
                <c:pt idx="35">
                  <c:v>7.6500014318526849E-2</c:v>
                </c:pt>
                <c:pt idx="36">
                  <c:v>7.4676561258262802E-2</c:v>
                </c:pt>
                <c:pt idx="37">
                  <c:v>7.0423537363398986E-2</c:v>
                </c:pt>
                <c:pt idx="38">
                  <c:v>7.446559978864746E-2</c:v>
                </c:pt>
                <c:pt idx="39">
                  <c:v>6.8759082665423923E-2</c:v>
                </c:pt>
                <c:pt idx="40">
                  <c:v>5.4622266735787878E-2</c:v>
                </c:pt>
                <c:pt idx="41">
                  <c:v>4.4778698621372029E-2</c:v>
                </c:pt>
                <c:pt idx="42">
                  <c:v>3.5390178105431637E-2</c:v>
                </c:pt>
                <c:pt idx="43">
                  <c:v>2.3451519324426892E-2</c:v>
                </c:pt>
                <c:pt idx="44">
                  <c:v>1.2657836345524542E-2</c:v>
                </c:pt>
                <c:pt idx="45">
                  <c:v>2.9297139154991106E-3</c:v>
                </c:pt>
                <c:pt idx="46">
                  <c:v>-7.491621785158629E-21</c:v>
                </c:pt>
                <c:pt idx="47">
                  <c:v>-2.487643877421313E-20</c:v>
                </c:pt>
                <c:pt idx="48">
                  <c:v>5.7869650756077863E-21</c:v>
                </c:pt>
                <c:pt idx="49">
                  <c:v>-9.8818452098067857E-23</c:v>
                </c:pt>
                <c:pt idx="50">
                  <c:v>1.699632171293515E-23</c:v>
                </c:pt>
                <c:pt idx="51">
                  <c:v>-9.1044916591585676E-24</c:v>
                </c:pt>
                <c:pt idx="52">
                  <c:v>2.6101992415596027E-25</c:v>
                </c:pt>
                <c:pt idx="53">
                  <c:v>7.2936030610986572E-18</c:v>
                </c:pt>
                <c:pt idx="54">
                  <c:v>1.0265867178900515E-17</c:v>
                </c:pt>
                <c:pt idx="55">
                  <c:v>-1.0256366456757522E-18</c:v>
                </c:pt>
                <c:pt idx="56">
                  <c:v>-3.5889071761759261E-25</c:v>
                </c:pt>
                <c:pt idx="57">
                  <c:v>1.3736492945299656E-17</c:v>
                </c:pt>
                <c:pt idx="58">
                  <c:v>-3.1051016605739184E-22</c:v>
                </c:pt>
                <c:pt idx="59">
                  <c:v>1.6377589204005524E-24</c:v>
                </c:pt>
                <c:pt idx="60">
                  <c:v>9.8689793310976298E-24</c:v>
                </c:pt>
                <c:pt idx="61">
                  <c:v>8.8859288983448067E-24</c:v>
                </c:pt>
                <c:pt idx="62">
                  <c:v>1.395545054447894E-23</c:v>
                </c:pt>
                <c:pt idx="63">
                  <c:v>8.2348902928583233E-20</c:v>
                </c:pt>
                <c:pt idx="64">
                  <c:v>-2.5434293984218258E-25</c:v>
                </c:pt>
                <c:pt idx="65">
                  <c:v>6.1068703011447271E-23</c:v>
                </c:pt>
                <c:pt idx="66">
                  <c:v>-1.1295060043272418E-22</c:v>
                </c:pt>
                <c:pt idx="67">
                  <c:v>2.5668649848184007E-22</c:v>
                </c:pt>
                <c:pt idx="68">
                  <c:v>5.2569734358346943E-24</c:v>
                </c:pt>
                <c:pt idx="69">
                  <c:v>-5.2132764972086346E-22</c:v>
                </c:pt>
                <c:pt idx="70">
                  <c:v>-3.4238235719868692E-23</c:v>
                </c:pt>
                <c:pt idx="71">
                  <c:v>3.4675089597896919E-23</c:v>
                </c:pt>
                <c:pt idx="72">
                  <c:v>1.6047319837611717E-22</c:v>
                </c:pt>
                <c:pt idx="73">
                  <c:v>1.1775457002938385E-24</c:v>
                </c:pt>
                <c:pt idx="74">
                  <c:v>3.3482923752680881E-18</c:v>
                </c:pt>
                <c:pt idx="75">
                  <c:v>-2.1679161590562818E-22</c:v>
                </c:pt>
                <c:pt idx="76">
                  <c:v>-7.4062034609580202E-18</c:v>
                </c:pt>
                <c:pt idx="77">
                  <c:v>2.2609530722966536E-23</c:v>
                </c:pt>
                <c:pt idx="78">
                  <c:v>1.8546150721711763E-25</c:v>
                </c:pt>
                <c:pt idx="79">
                  <c:v>-6.4510526143645616E-21</c:v>
                </c:pt>
                <c:pt idx="80">
                  <c:v>2.2370107141040775E-20</c:v>
                </c:pt>
                <c:pt idx="81">
                  <c:v>7.4380737098750513E-19</c:v>
                </c:pt>
                <c:pt idx="82">
                  <c:v>-7.5168297169583361E-20</c:v>
                </c:pt>
                <c:pt idx="83">
                  <c:v>2.2630177448783664E-23</c:v>
                </c:pt>
                <c:pt idx="84">
                  <c:v>-2.647321540369391E-18</c:v>
                </c:pt>
                <c:pt idx="85">
                  <c:v>8.2786057653694293E-21</c:v>
                </c:pt>
                <c:pt idx="86">
                  <c:v>-1.5222276395533389E-21</c:v>
                </c:pt>
                <c:pt idx="87">
                  <c:v>1.2585017528211955E-19</c:v>
                </c:pt>
                <c:pt idx="88">
                  <c:v>1.3170870228084991E-18</c:v>
                </c:pt>
                <c:pt idx="89">
                  <c:v>1.4125847516331064E-20</c:v>
                </c:pt>
                <c:pt idx="90">
                  <c:v>5.0537463079051273E-18</c:v>
                </c:pt>
                <c:pt idx="91">
                  <c:v>-6.8004734745393978E-17</c:v>
                </c:pt>
                <c:pt idx="92">
                  <c:v>7.9095240192306305E-17</c:v>
                </c:pt>
                <c:pt idx="93">
                  <c:v>8.9756942244264174E-17</c:v>
                </c:pt>
                <c:pt idx="94">
                  <c:v>-2.173494389086431E-20</c:v>
                </c:pt>
                <c:pt idx="95">
                  <c:v>-1.6272457227133072E-19</c:v>
                </c:pt>
                <c:pt idx="96">
                  <c:v>-2.231882913757996E-19</c:v>
                </c:pt>
                <c:pt idx="97">
                  <c:v>-2.6107616856372424E-19</c:v>
                </c:pt>
                <c:pt idx="98">
                  <c:v>2.0846444404607559E-5</c:v>
                </c:pt>
                <c:pt idx="99">
                  <c:v>2.0846444404607559E-5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27-4C81-8696-7B458EFF47FF}"/>
            </c:ext>
          </c:extLst>
        </c:ser>
        <c:ser>
          <c:idx val="11"/>
          <c:order val="11"/>
          <c:tx>
            <c:strRef>
              <c:f>Graphs!$AM$52</c:f>
              <c:strCache>
                <c:ptCount val="1"/>
                <c:pt idx="0">
                  <c:v>CAN RE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Graphs!$AN$52:$EI$52</c:f>
              <c:numCache>
                <c:formatCode>0.0%;[Red]\-0.0%;.</c:formatCode>
                <c:ptCount val="100"/>
                <c:pt idx="0">
                  <c:v>0.26838104991559103</c:v>
                </c:pt>
                <c:pt idx="1">
                  <c:v>0.26896621906761498</c:v>
                </c:pt>
                <c:pt idx="2">
                  <c:v>0.26799072865868528</c:v>
                </c:pt>
                <c:pt idx="3">
                  <c:v>0.26944500337199778</c:v>
                </c:pt>
                <c:pt idx="4">
                  <c:v>0.26865193206606297</c:v>
                </c:pt>
                <c:pt idx="5">
                  <c:v>0.26617946890591987</c:v>
                </c:pt>
                <c:pt idx="6">
                  <c:v>0.26667584931821875</c:v>
                </c:pt>
                <c:pt idx="7">
                  <c:v>0.26811794499815628</c:v>
                </c:pt>
                <c:pt idx="8">
                  <c:v>0.26798430208510354</c:v>
                </c:pt>
                <c:pt idx="9">
                  <c:v>0.26809760272870403</c:v>
                </c:pt>
                <c:pt idx="10">
                  <c:v>0.26750163601612931</c:v>
                </c:pt>
                <c:pt idx="11">
                  <c:v>0.26768160812671649</c:v>
                </c:pt>
                <c:pt idx="12">
                  <c:v>0.26674302912353676</c:v>
                </c:pt>
                <c:pt idx="13">
                  <c:v>0.26443083389973965</c:v>
                </c:pt>
                <c:pt idx="14">
                  <c:v>0.26454317683508305</c:v>
                </c:pt>
                <c:pt idx="15">
                  <c:v>0.26341745945034756</c:v>
                </c:pt>
                <c:pt idx="16">
                  <c:v>0.26308334516572068</c:v>
                </c:pt>
                <c:pt idx="17">
                  <c:v>0.26269287732303553</c:v>
                </c:pt>
                <c:pt idx="18">
                  <c:v>0.26160648211219717</c:v>
                </c:pt>
                <c:pt idx="19">
                  <c:v>0.26039426252681014</c:v>
                </c:pt>
                <c:pt idx="20">
                  <c:v>0.26415397924638889</c:v>
                </c:pt>
                <c:pt idx="21">
                  <c:v>0.26785595844634236</c:v>
                </c:pt>
                <c:pt idx="22">
                  <c:v>0.26455178339098229</c:v>
                </c:pt>
                <c:pt idx="23">
                  <c:v>0.26671687363006225</c:v>
                </c:pt>
                <c:pt idx="24">
                  <c:v>0.26815258654897095</c:v>
                </c:pt>
                <c:pt idx="25">
                  <c:v>0.2692936505088247</c:v>
                </c:pt>
                <c:pt idx="26">
                  <c:v>0.27238257219541423</c:v>
                </c:pt>
                <c:pt idx="27">
                  <c:v>0.27487322618780635</c:v>
                </c:pt>
                <c:pt idx="28">
                  <c:v>0.276763813864421</c:v>
                </c:pt>
                <c:pt idx="29">
                  <c:v>0.28063377566533065</c:v>
                </c:pt>
                <c:pt idx="30">
                  <c:v>0.28315640485806337</c:v>
                </c:pt>
                <c:pt idx="31">
                  <c:v>0.28553631588050565</c:v>
                </c:pt>
                <c:pt idx="32">
                  <c:v>0.29270722216311035</c:v>
                </c:pt>
                <c:pt idx="33">
                  <c:v>0.29276796668252131</c:v>
                </c:pt>
                <c:pt idx="34">
                  <c:v>0.29368977804727181</c:v>
                </c:pt>
                <c:pt idx="35">
                  <c:v>0.29765246492354369</c:v>
                </c:pt>
                <c:pt idx="36">
                  <c:v>0.3026682663066167</c:v>
                </c:pt>
                <c:pt idx="37">
                  <c:v>0.30727253469836718</c:v>
                </c:pt>
                <c:pt idx="38">
                  <c:v>0.30921645518120688</c:v>
                </c:pt>
                <c:pt idx="39">
                  <c:v>0.3108822516456658</c:v>
                </c:pt>
                <c:pt idx="40">
                  <c:v>0.32033318108660469</c:v>
                </c:pt>
                <c:pt idx="41">
                  <c:v>0.32552641404338573</c:v>
                </c:pt>
                <c:pt idx="42">
                  <c:v>0.32842012673795629</c:v>
                </c:pt>
                <c:pt idx="43">
                  <c:v>0.33312512729403548</c:v>
                </c:pt>
                <c:pt idx="44">
                  <c:v>0.33938437608990968</c:v>
                </c:pt>
                <c:pt idx="45">
                  <c:v>0.33992345489787756</c:v>
                </c:pt>
                <c:pt idx="46">
                  <c:v>0.33508533780300515</c:v>
                </c:pt>
                <c:pt idx="47">
                  <c:v>0.32783785760941919</c:v>
                </c:pt>
                <c:pt idx="48">
                  <c:v>0.32048788505629683</c:v>
                </c:pt>
                <c:pt idx="49">
                  <c:v>0.31381180540373665</c:v>
                </c:pt>
                <c:pt idx="50">
                  <c:v>0.30392644980018518</c:v>
                </c:pt>
                <c:pt idx="51">
                  <c:v>0.29394978040738834</c:v>
                </c:pt>
                <c:pt idx="52">
                  <c:v>0.28400461966152762</c:v>
                </c:pt>
                <c:pt idx="53">
                  <c:v>0.27411914135548365</c:v>
                </c:pt>
                <c:pt idx="54">
                  <c:v>0.26494500139292293</c:v>
                </c:pt>
                <c:pt idx="55">
                  <c:v>0.25552155764330886</c:v>
                </c:pt>
                <c:pt idx="56">
                  <c:v>0.24639983795140996</c:v>
                </c:pt>
                <c:pt idx="57">
                  <c:v>0.23632574653269187</c:v>
                </c:pt>
                <c:pt idx="58">
                  <c:v>0.226306274242601</c:v>
                </c:pt>
                <c:pt idx="59">
                  <c:v>0.21581215947066246</c:v>
                </c:pt>
                <c:pt idx="60">
                  <c:v>0.20660717161804451</c:v>
                </c:pt>
                <c:pt idx="61">
                  <c:v>0.19714750906715064</c:v>
                </c:pt>
                <c:pt idx="62">
                  <c:v>0.18711960212561415</c:v>
                </c:pt>
                <c:pt idx="63">
                  <c:v>0.17667887784831693</c:v>
                </c:pt>
                <c:pt idx="64">
                  <c:v>0.16708128623161281</c:v>
                </c:pt>
                <c:pt idx="65">
                  <c:v>0.15714180297797209</c:v>
                </c:pt>
                <c:pt idx="66">
                  <c:v>0.14769172569215519</c:v>
                </c:pt>
                <c:pt idx="67">
                  <c:v>0.13819716139986454</c:v>
                </c:pt>
                <c:pt idx="68">
                  <c:v>0.12845596135428547</c:v>
                </c:pt>
                <c:pt idx="69">
                  <c:v>0.119418312082316</c:v>
                </c:pt>
                <c:pt idx="70">
                  <c:v>0.11023023875169599</c:v>
                </c:pt>
                <c:pt idx="71">
                  <c:v>0.10069250081531914</c:v>
                </c:pt>
                <c:pt idx="72">
                  <c:v>9.0881099145386293E-2</c:v>
                </c:pt>
                <c:pt idx="73">
                  <c:v>8.1440812258712802E-2</c:v>
                </c:pt>
                <c:pt idx="74">
                  <c:v>7.2162300240278046E-2</c:v>
                </c:pt>
                <c:pt idx="75">
                  <c:v>6.2815508233907566E-2</c:v>
                </c:pt>
                <c:pt idx="76">
                  <c:v>5.3322100314809537E-2</c:v>
                </c:pt>
                <c:pt idx="77">
                  <c:v>4.351572611452454E-2</c:v>
                </c:pt>
                <c:pt idx="78">
                  <c:v>3.3224270211362199E-2</c:v>
                </c:pt>
                <c:pt idx="79">
                  <c:v>2.3347899343105636E-2</c:v>
                </c:pt>
                <c:pt idx="80">
                  <c:v>1.3895318203662063E-2</c:v>
                </c:pt>
                <c:pt idx="81">
                  <c:v>3.9662668021905991E-3</c:v>
                </c:pt>
                <c:pt idx="82">
                  <c:v>6.2527760746888816E-12</c:v>
                </c:pt>
                <c:pt idx="83">
                  <c:v>6.25277607611115E-12</c:v>
                </c:pt>
                <c:pt idx="84">
                  <c:v>6.2527760746888816E-12</c:v>
                </c:pt>
                <c:pt idx="85">
                  <c:v>6.2527764338085029E-12</c:v>
                </c:pt>
                <c:pt idx="86">
                  <c:v>6.2527760932851345E-12</c:v>
                </c:pt>
                <c:pt idx="87">
                  <c:v>6.2527760746888816E-12</c:v>
                </c:pt>
                <c:pt idx="88">
                  <c:v>6.2527760746888816E-12</c:v>
                </c:pt>
                <c:pt idx="89">
                  <c:v>6.2527760804978415E-12</c:v>
                </c:pt>
                <c:pt idx="90">
                  <c:v>6.2528720547087577E-12</c:v>
                </c:pt>
                <c:pt idx="91">
                  <c:v>6.2528442802498656E-12</c:v>
                </c:pt>
                <c:pt idx="92">
                  <c:v>6.2527930225889383E-12</c:v>
                </c:pt>
                <c:pt idx="93">
                  <c:v>6.2528294828418962E-12</c:v>
                </c:pt>
                <c:pt idx="94">
                  <c:v>6.2527760915938482E-12</c:v>
                </c:pt>
                <c:pt idx="95">
                  <c:v>6.2527760746888816E-12</c:v>
                </c:pt>
                <c:pt idx="96">
                  <c:v>6.2527760746888816E-12</c:v>
                </c:pt>
                <c:pt idx="97">
                  <c:v>6.2527760746888816E-12</c:v>
                </c:pt>
                <c:pt idx="98">
                  <c:v>2.1084105069392172E-5</c:v>
                </c:pt>
                <c:pt idx="99">
                  <c:v>2.1084105069392172E-5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27-4C81-8696-7B458EFF47FF}"/>
            </c:ext>
          </c:extLst>
        </c:ser>
        <c:ser>
          <c:idx val="12"/>
          <c:order val="12"/>
          <c:tx>
            <c:strRef>
              <c:f>Graphs!$AM$53</c:f>
              <c:strCache>
                <c:ptCount val="1"/>
                <c:pt idx="0">
                  <c:v>Priv Equ</c:v>
                </c:pt>
              </c:strCache>
            </c:strRef>
          </c:tx>
          <c:spPr>
            <a:pattFill prst="lgCheck">
              <a:fgClr>
                <a:schemeClr val="tx1"/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Graphs!$AN$53:$EI$53</c:f>
              <c:numCache>
                <c:formatCode>0.0%;[Red]\-0.0%;.</c:formatCode>
                <c:ptCount val="100"/>
                <c:pt idx="0">
                  <c:v>1.7462969717836761E-3</c:v>
                </c:pt>
                <c:pt idx="1">
                  <c:v>2.2367094492223294E-3</c:v>
                </c:pt>
                <c:pt idx="2">
                  <c:v>2.8173378319908595E-3</c:v>
                </c:pt>
                <c:pt idx="3">
                  <c:v>3.7541076702366002E-3</c:v>
                </c:pt>
                <c:pt idx="4">
                  <c:v>4.2640425534281367E-3</c:v>
                </c:pt>
                <c:pt idx="5">
                  <c:v>4.3281942346490325E-3</c:v>
                </c:pt>
                <c:pt idx="6">
                  <c:v>3.8832591777365282E-3</c:v>
                </c:pt>
                <c:pt idx="7">
                  <c:v>3.0804671173001552E-3</c:v>
                </c:pt>
                <c:pt idx="8">
                  <c:v>3.1564062785176491E-3</c:v>
                </c:pt>
                <c:pt idx="9">
                  <c:v>3.1935621938543692E-3</c:v>
                </c:pt>
                <c:pt idx="10">
                  <c:v>2.9249378541980381E-3</c:v>
                </c:pt>
                <c:pt idx="11">
                  <c:v>2.4694675775761617E-3</c:v>
                </c:pt>
                <c:pt idx="12">
                  <c:v>2.0456568473641249E-3</c:v>
                </c:pt>
                <c:pt idx="13">
                  <c:v>1.3207479357115681E-3</c:v>
                </c:pt>
                <c:pt idx="14">
                  <c:v>1.4068746168215245E-11</c:v>
                </c:pt>
                <c:pt idx="15">
                  <c:v>1.406874616805606E-11</c:v>
                </c:pt>
                <c:pt idx="16">
                  <c:v>1.406874616822663E-11</c:v>
                </c:pt>
                <c:pt idx="17">
                  <c:v>1.4068746168606434E-11</c:v>
                </c:pt>
                <c:pt idx="18">
                  <c:v>1.4068746168049984E-11</c:v>
                </c:pt>
                <c:pt idx="19">
                  <c:v>1.4068746168139072E-11</c:v>
                </c:pt>
                <c:pt idx="20">
                  <c:v>7.0752487116482882E-4</c:v>
                </c:pt>
                <c:pt idx="21">
                  <c:v>7.394118146251182E-3</c:v>
                </c:pt>
                <c:pt idx="22">
                  <c:v>9.8451922314623293E-3</c:v>
                </c:pt>
                <c:pt idx="23">
                  <c:v>8.4315147311849557E-3</c:v>
                </c:pt>
                <c:pt idx="24">
                  <c:v>8.4984133006887966E-3</c:v>
                </c:pt>
                <c:pt idx="25">
                  <c:v>7.1973210929849266E-3</c:v>
                </c:pt>
                <c:pt idx="26">
                  <c:v>6.5224163079985725E-3</c:v>
                </c:pt>
                <c:pt idx="27">
                  <c:v>3.7242659008597939E-3</c:v>
                </c:pt>
                <c:pt idx="28">
                  <c:v>1.2920346851672234E-3</c:v>
                </c:pt>
                <c:pt idx="29">
                  <c:v>8.2255432287756721E-4</c:v>
                </c:pt>
                <c:pt idx="30">
                  <c:v>7.2836224165256146E-5</c:v>
                </c:pt>
                <c:pt idx="31">
                  <c:v>1.4068746168716556E-11</c:v>
                </c:pt>
                <c:pt idx="32">
                  <c:v>1.4068746168287861E-11</c:v>
                </c:pt>
                <c:pt idx="33">
                  <c:v>1.4068746168211998E-11</c:v>
                </c:pt>
                <c:pt idx="34">
                  <c:v>1.4068746168125356E-11</c:v>
                </c:pt>
                <c:pt idx="35">
                  <c:v>1.4068746168209906E-11</c:v>
                </c:pt>
                <c:pt idx="36">
                  <c:v>2.3060773899004181E-3</c:v>
                </c:pt>
                <c:pt idx="37">
                  <c:v>6.346168537130395E-3</c:v>
                </c:pt>
                <c:pt idx="38">
                  <c:v>5.7070535726981633E-3</c:v>
                </c:pt>
                <c:pt idx="39">
                  <c:v>1.0759123557557529E-2</c:v>
                </c:pt>
                <c:pt idx="40">
                  <c:v>1.5089255871619524E-2</c:v>
                </c:pt>
                <c:pt idx="41">
                  <c:v>1.8972231971135688E-2</c:v>
                </c:pt>
                <c:pt idx="42">
                  <c:v>2.2883871143914471E-2</c:v>
                </c:pt>
                <c:pt idx="43">
                  <c:v>2.7097200821608585E-2</c:v>
                </c:pt>
                <c:pt idx="44">
                  <c:v>3.0730951099377502E-2</c:v>
                </c:pt>
                <c:pt idx="45">
                  <c:v>3.5532259444095007E-2</c:v>
                </c:pt>
                <c:pt idx="46">
                  <c:v>3.9189516267395856E-2</c:v>
                </c:pt>
                <c:pt idx="47">
                  <c:v>4.3594862506944748E-2</c:v>
                </c:pt>
                <c:pt idx="48">
                  <c:v>4.8211763344427304E-2</c:v>
                </c:pt>
                <c:pt idx="49">
                  <c:v>4.9316740081822921E-2</c:v>
                </c:pt>
                <c:pt idx="50">
                  <c:v>5.4902324316230065E-2</c:v>
                </c:pt>
                <c:pt idx="51">
                  <c:v>6.0041986659519576E-2</c:v>
                </c:pt>
                <c:pt idx="52">
                  <c:v>6.5091161846819082E-2</c:v>
                </c:pt>
                <c:pt idx="53">
                  <c:v>6.9968939822032117E-2</c:v>
                </c:pt>
                <c:pt idx="54">
                  <c:v>7.2803882261365485E-2</c:v>
                </c:pt>
                <c:pt idx="55">
                  <c:v>7.635478025137804E-2</c:v>
                </c:pt>
                <c:pt idx="56">
                  <c:v>7.9039208457572313E-2</c:v>
                </c:pt>
                <c:pt idx="57">
                  <c:v>8.4458621965578226E-2</c:v>
                </c:pt>
                <c:pt idx="58">
                  <c:v>8.9721233854415786E-2</c:v>
                </c:pt>
                <c:pt idx="59">
                  <c:v>9.6346906080445216E-2</c:v>
                </c:pt>
                <c:pt idx="60">
                  <c:v>9.9270438101090083E-2</c:v>
                </c:pt>
                <c:pt idx="61">
                  <c:v>0.10292534996157139</c:v>
                </c:pt>
                <c:pt idx="62">
                  <c:v>0.10821215731158251</c:v>
                </c:pt>
                <c:pt idx="63">
                  <c:v>0.11468447432042048</c:v>
                </c:pt>
                <c:pt idx="64">
                  <c:v>0.11873552094022791</c:v>
                </c:pt>
                <c:pt idx="65">
                  <c:v>0.12376839139298637</c:v>
                </c:pt>
                <c:pt idx="66">
                  <c:v>0.12739577609947972</c:v>
                </c:pt>
                <c:pt idx="67">
                  <c:v>0.1311509194717867</c:v>
                </c:pt>
                <c:pt idx="68">
                  <c:v>0.13561435628258339</c:v>
                </c:pt>
                <c:pt idx="69">
                  <c:v>0.13805732205482393</c:v>
                </c:pt>
                <c:pt idx="70">
                  <c:v>0.14093227861636995</c:v>
                </c:pt>
                <c:pt idx="71">
                  <c:v>0.14481140891439051</c:v>
                </c:pt>
                <c:pt idx="72">
                  <c:v>0.14947645213966135</c:v>
                </c:pt>
                <c:pt idx="73">
                  <c:v>0.15307572058408833</c:v>
                </c:pt>
                <c:pt idx="74">
                  <c:v>0.15621037342173624</c:v>
                </c:pt>
                <c:pt idx="75">
                  <c:v>0.15954114141816381</c:v>
                </c:pt>
                <c:pt idx="76">
                  <c:v>0.16329299123285307</c:v>
                </c:pt>
                <c:pt idx="77">
                  <c:v>0.16794356913346056</c:v>
                </c:pt>
                <c:pt idx="78">
                  <c:v>0.17398724160847392</c:v>
                </c:pt>
                <c:pt idx="79">
                  <c:v>0.17883886466356871</c:v>
                </c:pt>
                <c:pt idx="80">
                  <c:v>0.18247346732426731</c:v>
                </c:pt>
                <c:pt idx="81">
                  <c:v>0.18747635203965859</c:v>
                </c:pt>
                <c:pt idx="82">
                  <c:v>0.17535522122838509</c:v>
                </c:pt>
                <c:pt idx="83">
                  <c:v>0.17020015319782922</c:v>
                </c:pt>
                <c:pt idx="84">
                  <c:v>0.17271410571418377</c:v>
                </c:pt>
                <c:pt idx="85">
                  <c:v>0.16102638040082845</c:v>
                </c:pt>
                <c:pt idx="86">
                  <c:v>0.14246430158850421</c:v>
                </c:pt>
                <c:pt idx="87">
                  <c:v>0.1362684236524899</c:v>
                </c:pt>
                <c:pt idx="88">
                  <c:v>0.11275688934374818</c:v>
                </c:pt>
                <c:pt idx="89">
                  <c:v>0.10578614237293345</c:v>
                </c:pt>
                <c:pt idx="90">
                  <c:v>0.11308797345719926</c:v>
                </c:pt>
                <c:pt idx="91">
                  <c:v>0.1146117783560696</c:v>
                </c:pt>
                <c:pt idx="92">
                  <c:v>0.11831889115272085</c:v>
                </c:pt>
                <c:pt idx="93">
                  <c:v>9.4807356843974858E-2</c:v>
                </c:pt>
                <c:pt idx="94">
                  <c:v>7.1295822535236614E-2</c:v>
                </c:pt>
                <c:pt idx="95">
                  <c:v>4.7784288226486338E-2</c:v>
                </c:pt>
                <c:pt idx="96">
                  <c:v>2.4272753917744822E-2</c:v>
                </c:pt>
                <c:pt idx="97">
                  <c:v>7.6121960899645574E-4</c:v>
                </c:pt>
                <c:pt idx="98">
                  <c:v>5.6299328007361375E-5</c:v>
                </c:pt>
                <c:pt idx="99">
                  <c:v>5.6299328007361375E-5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B27-4C81-8696-7B458EFF47FF}"/>
            </c:ext>
          </c:extLst>
        </c:ser>
        <c:ser>
          <c:idx val="13"/>
          <c:order val="13"/>
          <c:tx>
            <c:strRef>
              <c:f>Graphs!$AM$54</c:f>
              <c:strCache>
                <c:ptCount val="1"/>
                <c:pt idx="0">
                  <c:v>O&amp;G</c:v>
                </c:pt>
              </c:strCache>
            </c:strRef>
          </c:tx>
          <c:spPr>
            <a:pattFill prst="smGrid">
              <a:fgClr>
                <a:schemeClr val="accent6">
                  <a:lumMod val="50000"/>
                </a:schemeClr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Graphs!$AN$54:$EI$54</c:f>
              <c:numCache>
                <c:formatCode>0.0%;[Red]\-0.0%;.</c:formatCode>
                <c:ptCount val="100"/>
                <c:pt idx="0">
                  <c:v>2.2231124122778261E-2</c:v>
                </c:pt>
                <c:pt idx="1">
                  <c:v>2.1636394533490769E-2</c:v>
                </c:pt>
                <c:pt idx="2">
                  <c:v>2.220100893681675E-2</c:v>
                </c:pt>
                <c:pt idx="3">
                  <c:v>2.1547431200777529E-2</c:v>
                </c:pt>
                <c:pt idx="4">
                  <c:v>2.2136949081623381E-2</c:v>
                </c:pt>
                <c:pt idx="5">
                  <c:v>2.2188630519917037E-2</c:v>
                </c:pt>
                <c:pt idx="6">
                  <c:v>2.1674342737827708E-2</c:v>
                </c:pt>
                <c:pt idx="7">
                  <c:v>2.2017932930331312E-2</c:v>
                </c:pt>
                <c:pt idx="8">
                  <c:v>2.162601090448385E-2</c:v>
                </c:pt>
                <c:pt idx="9">
                  <c:v>2.0851605700476093E-2</c:v>
                </c:pt>
                <c:pt idx="10">
                  <c:v>2.0651897676437256E-2</c:v>
                </c:pt>
                <c:pt idx="11">
                  <c:v>2.0185797567874385E-2</c:v>
                </c:pt>
                <c:pt idx="12">
                  <c:v>2.0170875566615815E-2</c:v>
                </c:pt>
                <c:pt idx="13">
                  <c:v>2.0112557900391195E-2</c:v>
                </c:pt>
                <c:pt idx="14">
                  <c:v>2.0429505312228122E-2</c:v>
                </c:pt>
                <c:pt idx="15">
                  <c:v>2.0117299203802754E-2</c:v>
                </c:pt>
                <c:pt idx="16">
                  <c:v>2.0159052056412729E-2</c:v>
                </c:pt>
                <c:pt idx="17">
                  <c:v>2.0115324151969066E-2</c:v>
                </c:pt>
                <c:pt idx="18">
                  <c:v>2.0157357207403345E-2</c:v>
                </c:pt>
                <c:pt idx="19">
                  <c:v>1.9772734220824088E-2</c:v>
                </c:pt>
                <c:pt idx="20">
                  <c:v>2.2751221735273087E-2</c:v>
                </c:pt>
                <c:pt idx="21">
                  <c:v>2.6405783917954641E-2</c:v>
                </c:pt>
                <c:pt idx="22">
                  <c:v>2.9200322792739982E-2</c:v>
                </c:pt>
                <c:pt idx="23">
                  <c:v>3.1106220681640113E-2</c:v>
                </c:pt>
                <c:pt idx="24">
                  <c:v>3.2123417277316539E-2</c:v>
                </c:pt>
                <c:pt idx="25">
                  <c:v>3.3283405402901631E-2</c:v>
                </c:pt>
                <c:pt idx="26">
                  <c:v>3.4476827296668608E-2</c:v>
                </c:pt>
                <c:pt idx="27">
                  <c:v>3.6574823309601281E-2</c:v>
                </c:pt>
                <c:pt idx="28">
                  <c:v>3.777977225421407E-2</c:v>
                </c:pt>
                <c:pt idx="29">
                  <c:v>3.9581241959156008E-2</c:v>
                </c:pt>
                <c:pt idx="30">
                  <c:v>4.0354535312729381E-2</c:v>
                </c:pt>
                <c:pt idx="31">
                  <c:v>4.2719117052025864E-2</c:v>
                </c:pt>
                <c:pt idx="32">
                  <c:v>4.3329145837095122E-2</c:v>
                </c:pt>
                <c:pt idx="33">
                  <c:v>4.5939936879104804E-2</c:v>
                </c:pt>
                <c:pt idx="34">
                  <c:v>4.8013399333907004E-2</c:v>
                </c:pt>
                <c:pt idx="35">
                  <c:v>4.9943694860789749E-2</c:v>
                </c:pt>
                <c:pt idx="36">
                  <c:v>5.097492780575625E-2</c:v>
                </c:pt>
                <c:pt idx="37">
                  <c:v>5.1808324025241138E-2</c:v>
                </c:pt>
                <c:pt idx="38">
                  <c:v>5.3829799899085172E-2</c:v>
                </c:pt>
                <c:pt idx="39">
                  <c:v>5.5935633429715484E-2</c:v>
                </c:pt>
                <c:pt idx="40">
                  <c:v>5.9075728591156104E-2</c:v>
                </c:pt>
                <c:pt idx="41">
                  <c:v>6.2344118857204797E-2</c:v>
                </c:pt>
                <c:pt idx="42">
                  <c:v>6.6286494143536212E-2</c:v>
                </c:pt>
                <c:pt idx="43">
                  <c:v>7.0542766521578981E-2</c:v>
                </c:pt>
                <c:pt idx="44">
                  <c:v>7.3706830383396607E-2</c:v>
                </c:pt>
                <c:pt idx="45">
                  <c:v>7.8094565660736651E-2</c:v>
                </c:pt>
                <c:pt idx="46">
                  <c:v>8.2205139847807099E-2</c:v>
                </c:pt>
                <c:pt idx="47">
                  <c:v>8.5047273801843973E-2</c:v>
                </c:pt>
                <c:pt idx="48">
                  <c:v>8.7780345356614817E-2</c:v>
                </c:pt>
                <c:pt idx="49">
                  <c:v>9.3351448271779061E-2</c:v>
                </c:pt>
                <c:pt idx="50">
                  <c:v>9.7651219640923687E-2</c:v>
                </c:pt>
                <c:pt idx="51">
                  <c:v>0.10248822669043084</c:v>
                </c:pt>
                <c:pt idx="52">
                  <c:v>0.1073842122489919</c:v>
                </c:pt>
                <c:pt idx="53">
                  <c:v>0.1123919125798224</c:v>
                </c:pt>
                <c:pt idx="54">
                  <c:v>0.1187311101030494</c:v>
                </c:pt>
                <c:pt idx="55">
                  <c:v>0.12460365586265169</c:v>
                </c:pt>
                <c:pt idx="56">
                  <c:v>0.13104095313052597</c:v>
                </c:pt>
                <c:pt idx="57">
                  <c:v>0.13569562525906864</c:v>
                </c:pt>
                <c:pt idx="58">
                  <c:v>0.14045249144249117</c:v>
                </c:pt>
                <c:pt idx="59">
                  <c:v>0.1443209339884004</c:v>
                </c:pt>
                <c:pt idx="60">
                  <c:v>0.15060238982037374</c:v>
                </c:pt>
                <c:pt idx="61">
                  <c:v>0.15640714051078647</c:v>
                </c:pt>
                <c:pt idx="62">
                  <c:v>0.16114824010231119</c:v>
                </c:pt>
                <c:pt idx="63">
                  <c:v>0.16511664158860159</c:v>
                </c:pt>
                <c:pt idx="64">
                  <c:v>0.17066319236766728</c:v>
                </c:pt>
                <c:pt idx="65">
                  <c:v>0.17556980516854959</c:v>
                </c:pt>
                <c:pt idx="66">
                  <c:v>0.18139249774787355</c:v>
                </c:pt>
                <c:pt idx="67">
                  <c:v>0.18713191866785703</c:v>
                </c:pt>
                <c:pt idx="68">
                  <c:v>0.19240968190263943</c:v>
                </c:pt>
                <c:pt idx="69">
                  <c:v>0.19900436540236816</c:v>
                </c:pt>
                <c:pt idx="70">
                  <c:v>0.20531748217144236</c:v>
                </c:pt>
                <c:pt idx="71">
                  <c:v>0.2109760898097984</c:v>
                </c:pt>
                <c:pt idx="72">
                  <c:v>0.21612244825446045</c:v>
                </c:pt>
                <c:pt idx="73">
                  <c:v>0.22196346669670705</c:v>
                </c:pt>
                <c:pt idx="74">
                  <c:v>0.22810732009532431</c:v>
                </c:pt>
                <c:pt idx="75">
                  <c:v>0.23412334410526736</c:v>
                </c:pt>
                <c:pt idx="76">
                  <c:v>0.23986490799184498</c:v>
                </c:pt>
                <c:pt idx="77">
                  <c:v>0.24502069850935351</c:v>
                </c:pt>
                <c:pt idx="78">
                  <c:v>0.24926848193750281</c:v>
                </c:pt>
                <c:pt idx="79">
                  <c:v>0.25429322975066476</c:v>
                </c:pt>
                <c:pt idx="80">
                  <c:v>0.26011121401157838</c:v>
                </c:pt>
                <c:pt idx="81">
                  <c:v>0.26503737491548973</c:v>
                </c:pt>
                <c:pt idx="82">
                  <c:v>0.28112477252270074</c:v>
                </c:pt>
                <c:pt idx="83">
                  <c:v>0.29408543783843216</c:v>
                </c:pt>
                <c:pt idx="84">
                  <c:v>0.3026381230387874</c:v>
                </c:pt>
                <c:pt idx="85">
                  <c:v>0.31935361335025775</c:v>
                </c:pt>
                <c:pt idx="86">
                  <c:v>0.34029426425882425</c:v>
                </c:pt>
                <c:pt idx="87">
                  <c:v>0.35481157009858943</c:v>
                </c:pt>
                <c:pt idx="88">
                  <c:v>0.37832310440733152</c:v>
                </c:pt>
                <c:pt idx="89">
                  <c:v>0.39503637909289452</c:v>
                </c:pt>
                <c:pt idx="90">
                  <c:v>0.40588362762575414</c:v>
                </c:pt>
                <c:pt idx="91">
                  <c:v>0.41910564353306412</c:v>
                </c:pt>
                <c:pt idx="92">
                  <c:v>0.43143032041876778</c:v>
                </c:pt>
                <c:pt idx="93">
                  <c:v>0.45494185472751447</c:v>
                </c:pt>
                <c:pt idx="94">
                  <c:v>0.47845338903625251</c:v>
                </c:pt>
                <c:pt idx="95">
                  <c:v>0.50196492334500242</c:v>
                </c:pt>
                <c:pt idx="96">
                  <c:v>0.52547645765374429</c:v>
                </c:pt>
                <c:pt idx="97">
                  <c:v>0.54898799196249226</c:v>
                </c:pt>
                <c:pt idx="98">
                  <c:v>0.56831515524715859</c:v>
                </c:pt>
                <c:pt idx="99">
                  <c:v>0.56831515524715859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B27-4C81-8696-7B458EFF47FF}"/>
            </c:ext>
          </c:extLst>
        </c:ser>
        <c:ser>
          <c:idx val="14"/>
          <c:order val="14"/>
          <c:tx>
            <c:strRef>
              <c:f>Graphs!$AM$55</c:f>
              <c:strCache>
                <c:ptCount val="1"/>
                <c:pt idx="0">
                  <c:v>Timber</c:v>
                </c:pt>
              </c:strCache>
            </c:strRef>
          </c:tx>
          <c:spPr>
            <a:pattFill prst="trellis">
              <a:fgClr>
                <a:schemeClr val="accent3">
                  <a:lumMod val="75000"/>
                </a:schemeClr>
              </a:fgClr>
              <a:bgClr>
                <a:schemeClr val="bg1"/>
              </a:bgClr>
            </a:pattFill>
            <a:ln w="25400">
              <a:noFill/>
            </a:ln>
          </c:spPr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Graphs!$AN$55:$EI$55</c:f>
              <c:numCache>
                <c:formatCode>0.0%;[Red]\-0.0%;.</c:formatCode>
                <c:ptCount val="100"/>
                <c:pt idx="0">
                  <c:v>6.8499999999999991E-2</c:v>
                </c:pt>
                <c:pt idx="1">
                  <c:v>6.8499999999999991E-2</c:v>
                </c:pt>
                <c:pt idx="2">
                  <c:v>6.8499999999999991E-2</c:v>
                </c:pt>
                <c:pt idx="3">
                  <c:v>6.8499999999999991E-2</c:v>
                </c:pt>
                <c:pt idx="4">
                  <c:v>6.8499999999999991E-2</c:v>
                </c:pt>
                <c:pt idx="5">
                  <c:v>6.8499999999999991E-2</c:v>
                </c:pt>
                <c:pt idx="6">
                  <c:v>6.8499999999999991E-2</c:v>
                </c:pt>
                <c:pt idx="7">
                  <c:v>6.8499999999999991E-2</c:v>
                </c:pt>
                <c:pt idx="8">
                  <c:v>6.8499999999999991E-2</c:v>
                </c:pt>
                <c:pt idx="9">
                  <c:v>6.8499999999999991E-2</c:v>
                </c:pt>
                <c:pt idx="10">
                  <c:v>6.8499999999999991E-2</c:v>
                </c:pt>
                <c:pt idx="11">
                  <c:v>6.8499999999999991E-2</c:v>
                </c:pt>
                <c:pt idx="12">
                  <c:v>6.8499999999999991E-2</c:v>
                </c:pt>
                <c:pt idx="13">
                  <c:v>6.8499999999999991E-2</c:v>
                </c:pt>
                <c:pt idx="14">
                  <c:v>6.8499999999999991E-2</c:v>
                </c:pt>
                <c:pt idx="15">
                  <c:v>6.8499999999999991E-2</c:v>
                </c:pt>
                <c:pt idx="16">
                  <c:v>6.8499999999999991E-2</c:v>
                </c:pt>
                <c:pt idx="17">
                  <c:v>6.8499999999999991E-2</c:v>
                </c:pt>
                <c:pt idx="18">
                  <c:v>6.8499999999999991E-2</c:v>
                </c:pt>
                <c:pt idx="19">
                  <c:v>6.8499999999999991E-2</c:v>
                </c:pt>
                <c:pt idx="20">
                  <c:v>6.8499999999999991E-2</c:v>
                </c:pt>
                <c:pt idx="21">
                  <c:v>6.8499999999999991E-2</c:v>
                </c:pt>
                <c:pt idx="22">
                  <c:v>6.8499999999999991E-2</c:v>
                </c:pt>
                <c:pt idx="23">
                  <c:v>6.8499999999999991E-2</c:v>
                </c:pt>
                <c:pt idx="24">
                  <c:v>6.8499999999999991E-2</c:v>
                </c:pt>
                <c:pt idx="25">
                  <c:v>6.8499999999999991E-2</c:v>
                </c:pt>
                <c:pt idx="26">
                  <c:v>6.8499999999999991E-2</c:v>
                </c:pt>
                <c:pt idx="27">
                  <c:v>6.8499999999999991E-2</c:v>
                </c:pt>
                <c:pt idx="28">
                  <c:v>6.8499999999999991E-2</c:v>
                </c:pt>
                <c:pt idx="29">
                  <c:v>6.8499999999999991E-2</c:v>
                </c:pt>
                <c:pt idx="30">
                  <c:v>6.8499999999999991E-2</c:v>
                </c:pt>
                <c:pt idx="31">
                  <c:v>6.8499999999999991E-2</c:v>
                </c:pt>
                <c:pt idx="32">
                  <c:v>6.8499999999999991E-2</c:v>
                </c:pt>
                <c:pt idx="33">
                  <c:v>6.8499999999999991E-2</c:v>
                </c:pt>
                <c:pt idx="34">
                  <c:v>6.8499999999999991E-2</c:v>
                </c:pt>
                <c:pt idx="35">
                  <c:v>6.8499999999999991E-2</c:v>
                </c:pt>
                <c:pt idx="36">
                  <c:v>6.8499999999999991E-2</c:v>
                </c:pt>
                <c:pt idx="37">
                  <c:v>6.8499999999999991E-2</c:v>
                </c:pt>
                <c:pt idx="38">
                  <c:v>6.8499999999999991E-2</c:v>
                </c:pt>
                <c:pt idx="39">
                  <c:v>6.8499999999999991E-2</c:v>
                </c:pt>
                <c:pt idx="40">
                  <c:v>6.8499999999999991E-2</c:v>
                </c:pt>
                <c:pt idx="41">
                  <c:v>6.8499999999999991E-2</c:v>
                </c:pt>
                <c:pt idx="42">
                  <c:v>6.8499999999999991E-2</c:v>
                </c:pt>
                <c:pt idx="43">
                  <c:v>6.8499999999999991E-2</c:v>
                </c:pt>
                <c:pt idx="44">
                  <c:v>6.8499999999999991E-2</c:v>
                </c:pt>
                <c:pt idx="45">
                  <c:v>6.8499999999999991E-2</c:v>
                </c:pt>
                <c:pt idx="46">
                  <c:v>6.8499999999999991E-2</c:v>
                </c:pt>
                <c:pt idx="47">
                  <c:v>6.8499999999999991E-2</c:v>
                </c:pt>
                <c:pt idx="48">
                  <c:v>6.8499999999999991E-2</c:v>
                </c:pt>
                <c:pt idx="49">
                  <c:v>6.8499999999999991E-2</c:v>
                </c:pt>
                <c:pt idx="50">
                  <c:v>6.8499999999999991E-2</c:v>
                </c:pt>
                <c:pt idx="51">
                  <c:v>6.8499999999999991E-2</c:v>
                </c:pt>
                <c:pt idx="52">
                  <c:v>6.8499999999999991E-2</c:v>
                </c:pt>
                <c:pt idx="53">
                  <c:v>6.8499999999999797E-2</c:v>
                </c:pt>
                <c:pt idx="54">
                  <c:v>6.8499999999999936E-2</c:v>
                </c:pt>
                <c:pt idx="55">
                  <c:v>6.8499999999999936E-2</c:v>
                </c:pt>
                <c:pt idx="56">
                  <c:v>6.8499999999999991E-2</c:v>
                </c:pt>
                <c:pt idx="57">
                  <c:v>6.8499999999999908E-2</c:v>
                </c:pt>
                <c:pt idx="58">
                  <c:v>6.8499999999999991E-2</c:v>
                </c:pt>
                <c:pt idx="59">
                  <c:v>6.8499999999999991E-2</c:v>
                </c:pt>
                <c:pt idx="60">
                  <c:v>6.8499999999999991E-2</c:v>
                </c:pt>
                <c:pt idx="61">
                  <c:v>6.8499999999999991E-2</c:v>
                </c:pt>
                <c:pt idx="62">
                  <c:v>6.8499999999999991E-2</c:v>
                </c:pt>
                <c:pt idx="63">
                  <c:v>6.8499999999999991E-2</c:v>
                </c:pt>
                <c:pt idx="64">
                  <c:v>6.8499999999999991E-2</c:v>
                </c:pt>
                <c:pt idx="65">
                  <c:v>6.8499999999999991E-2</c:v>
                </c:pt>
                <c:pt idx="66">
                  <c:v>6.8499999999999991E-2</c:v>
                </c:pt>
                <c:pt idx="67">
                  <c:v>6.8499999999999991E-2</c:v>
                </c:pt>
                <c:pt idx="68">
                  <c:v>6.8499999999999991E-2</c:v>
                </c:pt>
                <c:pt idx="69">
                  <c:v>6.8499999999999991E-2</c:v>
                </c:pt>
                <c:pt idx="70">
                  <c:v>6.8499999999999991E-2</c:v>
                </c:pt>
                <c:pt idx="71">
                  <c:v>6.8499999999999991E-2</c:v>
                </c:pt>
                <c:pt idx="72">
                  <c:v>6.8499999999999991E-2</c:v>
                </c:pt>
                <c:pt idx="73">
                  <c:v>6.8499999999999991E-2</c:v>
                </c:pt>
                <c:pt idx="74">
                  <c:v>6.8499999999999964E-2</c:v>
                </c:pt>
                <c:pt idx="75">
                  <c:v>6.8499999999999991E-2</c:v>
                </c:pt>
                <c:pt idx="76">
                  <c:v>6.8499999999999839E-2</c:v>
                </c:pt>
                <c:pt idx="77">
                  <c:v>6.8499999999999991E-2</c:v>
                </c:pt>
                <c:pt idx="78">
                  <c:v>6.8499999999999991E-2</c:v>
                </c:pt>
                <c:pt idx="79">
                  <c:v>6.8499999999999991E-2</c:v>
                </c:pt>
                <c:pt idx="80">
                  <c:v>6.8499999999999894E-2</c:v>
                </c:pt>
                <c:pt idx="81">
                  <c:v>6.8499999999999991E-2</c:v>
                </c:pt>
                <c:pt idx="82">
                  <c:v>6.8499999999999991E-2</c:v>
                </c:pt>
                <c:pt idx="83">
                  <c:v>6.0694402714824805E-2</c:v>
                </c:pt>
                <c:pt idx="84">
                  <c:v>4.9627770780282777E-2</c:v>
                </c:pt>
                <c:pt idx="85">
                  <c:v>4.4600000000000001E-2</c:v>
                </c:pt>
                <c:pt idx="86">
                  <c:v>4.4600000000000001E-2</c:v>
                </c:pt>
                <c:pt idx="87">
                  <c:v>4.4600000000000001E-2</c:v>
                </c:pt>
                <c:pt idx="88">
                  <c:v>4.4600000000000001E-2</c:v>
                </c:pt>
                <c:pt idx="89">
                  <c:v>4.4600000000000001E-2</c:v>
                </c:pt>
                <c:pt idx="90">
                  <c:v>4.4599999999999904E-2</c:v>
                </c:pt>
                <c:pt idx="91">
                  <c:v>4.4600000000000022E-2</c:v>
                </c:pt>
                <c:pt idx="92">
                  <c:v>4.4600000000000015E-2</c:v>
                </c:pt>
                <c:pt idx="93">
                  <c:v>4.4600000000000029E-2</c:v>
                </c:pt>
                <c:pt idx="94">
                  <c:v>4.4600000000000001E-2</c:v>
                </c:pt>
                <c:pt idx="95">
                  <c:v>4.4600000000000001E-2</c:v>
                </c:pt>
                <c:pt idx="96">
                  <c:v>4.4600000000000001E-2</c:v>
                </c:pt>
                <c:pt idx="97">
                  <c:v>4.4600000000000001E-2</c:v>
                </c:pt>
                <c:pt idx="98">
                  <c:v>4.4623154912533672E-2</c:v>
                </c:pt>
                <c:pt idx="99">
                  <c:v>4.4623154912533672E-2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B27-4C81-8696-7B458EFF47FF}"/>
            </c:ext>
          </c:extLst>
        </c:ser>
        <c:ser>
          <c:idx val="15"/>
          <c:order val="15"/>
          <c:tx>
            <c:strRef>
              <c:f>Graphs!$AM$56</c:f>
              <c:strCache>
                <c:ptCount val="1"/>
                <c:pt idx="0">
                  <c:v>Farms</c:v>
                </c:pt>
              </c:strCache>
            </c:strRef>
          </c:tx>
          <c:spPr>
            <a:solidFill>
              <a:schemeClr val="tx1"/>
            </a:solidFill>
            <a:ln w="2540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Graphs!$AN$56:$EI$56</c:f>
              <c:numCache>
                <c:formatCode>0.0%;[Red]\-0.0%;.</c:formatCode>
                <c:ptCount val="100"/>
                <c:pt idx="0">
                  <c:v>3.2300000000000002E-2</c:v>
                </c:pt>
                <c:pt idx="1">
                  <c:v>3.2300000000000002E-2</c:v>
                </c:pt>
                <c:pt idx="2">
                  <c:v>3.2300000000000002E-2</c:v>
                </c:pt>
                <c:pt idx="3">
                  <c:v>3.2300000000000002E-2</c:v>
                </c:pt>
                <c:pt idx="4">
                  <c:v>3.2300000000000002E-2</c:v>
                </c:pt>
                <c:pt idx="5">
                  <c:v>3.2300000000000002E-2</c:v>
                </c:pt>
                <c:pt idx="6">
                  <c:v>3.2300000000000002E-2</c:v>
                </c:pt>
                <c:pt idx="7">
                  <c:v>3.2300000000000002E-2</c:v>
                </c:pt>
                <c:pt idx="8">
                  <c:v>3.2300000000000002E-2</c:v>
                </c:pt>
                <c:pt idx="9">
                  <c:v>3.2300000000000002E-2</c:v>
                </c:pt>
                <c:pt idx="10">
                  <c:v>3.2300000000000002E-2</c:v>
                </c:pt>
                <c:pt idx="11">
                  <c:v>3.2300000000000002E-2</c:v>
                </c:pt>
                <c:pt idx="12">
                  <c:v>3.2300000000000002E-2</c:v>
                </c:pt>
                <c:pt idx="13">
                  <c:v>3.2300000000000002E-2</c:v>
                </c:pt>
                <c:pt idx="14">
                  <c:v>3.2300000000000002E-2</c:v>
                </c:pt>
                <c:pt idx="15">
                  <c:v>3.2300000000000002E-2</c:v>
                </c:pt>
                <c:pt idx="16">
                  <c:v>3.2300000000000002E-2</c:v>
                </c:pt>
                <c:pt idx="17">
                  <c:v>3.2300000000000002E-2</c:v>
                </c:pt>
                <c:pt idx="18">
                  <c:v>3.2300000000000002E-2</c:v>
                </c:pt>
                <c:pt idx="19">
                  <c:v>3.2300000000000002E-2</c:v>
                </c:pt>
                <c:pt idx="20">
                  <c:v>3.2300000000000002E-2</c:v>
                </c:pt>
                <c:pt idx="21">
                  <c:v>3.2300000000000002E-2</c:v>
                </c:pt>
                <c:pt idx="22">
                  <c:v>3.2300000000000002E-2</c:v>
                </c:pt>
                <c:pt idx="23">
                  <c:v>3.2300000000000002E-2</c:v>
                </c:pt>
                <c:pt idx="24">
                  <c:v>3.2300000000000002E-2</c:v>
                </c:pt>
                <c:pt idx="25">
                  <c:v>3.2300000000000002E-2</c:v>
                </c:pt>
                <c:pt idx="26">
                  <c:v>3.2300000000000002E-2</c:v>
                </c:pt>
                <c:pt idx="27">
                  <c:v>3.2300000000000002E-2</c:v>
                </c:pt>
                <c:pt idx="28">
                  <c:v>3.2300000000000002E-2</c:v>
                </c:pt>
                <c:pt idx="29">
                  <c:v>3.2300000000000002E-2</c:v>
                </c:pt>
                <c:pt idx="30">
                  <c:v>3.2300000000000002E-2</c:v>
                </c:pt>
                <c:pt idx="31">
                  <c:v>3.2300000000000002E-2</c:v>
                </c:pt>
                <c:pt idx="32">
                  <c:v>3.2300000000000002E-2</c:v>
                </c:pt>
                <c:pt idx="33">
                  <c:v>3.2300000000000002E-2</c:v>
                </c:pt>
                <c:pt idx="34">
                  <c:v>3.2300000000000002E-2</c:v>
                </c:pt>
                <c:pt idx="35">
                  <c:v>3.2300000000000002E-2</c:v>
                </c:pt>
                <c:pt idx="36">
                  <c:v>3.2300000000000002E-2</c:v>
                </c:pt>
                <c:pt idx="37">
                  <c:v>3.2300000000000002E-2</c:v>
                </c:pt>
                <c:pt idx="38">
                  <c:v>3.2300000000000002E-2</c:v>
                </c:pt>
                <c:pt idx="39">
                  <c:v>3.2300000000000002E-2</c:v>
                </c:pt>
                <c:pt idx="40">
                  <c:v>3.2300000000000002E-2</c:v>
                </c:pt>
                <c:pt idx="41">
                  <c:v>3.2300000000000002E-2</c:v>
                </c:pt>
                <c:pt idx="42">
                  <c:v>3.2300000000000002E-2</c:v>
                </c:pt>
                <c:pt idx="43">
                  <c:v>3.2300000000000002E-2</c:v>
                </c:pt>
                <c:pt idx="44">
                  <c:v>3.2300000000000002E-2</c:v>
                </c:pt>
                <c:pt idx="45">
                  <c:v>3.2300000000000002E-2</c:v>
                </c:pt>
                <c:pt idx="46">
                  <c:v>3.2300000000000002E-2</c:v>
                </c:pt>
                <c:pt idx="47">
                  <c:v>3.2300000000000002E-2</c:v>
                </c:pt>
                <c:pt idx="48">
                  <c:v>3.2300000000000002E-2</c:v>
                </c:pt>
                <c:pt idx="49">
                  <c:v>3.2300000000000002E-2</c:v>
                </c:pt>
                <c:pt idx="50">
                  <c:v>3.2300000000000002E-2</c:v>
                </c:pt>
                <c:pt idx="51">
                  <c:v>3.2300000000000002E-2</c:v>
                </c:pt>
                <c:pt idx="52">
                  <c:v>3.2300000000000002E-2</c:v>
                </c:pt>
                <c:pt idx="53">
                  <c:v>3.2300000000000044E-2</c:v>
                </c:pt>
                <c:pt idx="54">
                  <c:v>3.2299999999999982E-2</c:v>
                </c:pt>
                <c:pt idx="55">
                  <c:v>3.2300000000000016E-2</c:v>
                </c:pt>
                <c:pt idx="56">
                  <c:v>3.2300000000000002E-2</c:v>
                </c:pt>
                <c:pt idx="57">
                  <c:v>3.2299999999999975E-2</c:v>
                </c:pt>
                <c:pt idx="58">
                  <c:v>3.2300000000000002E-2</c:v>
                </c:pt>
                <c:pt idx="59">
                  <c:v>3.2300000000000002E-2</c:v>
                </c:pt>
                <c:pt idx="60">
                  <c:v>3.2300000000000002E-2</c:v>
                </c:pt>
                <c:pt idx="61">
                  <c:v>3.2300000000000002E-2</c:v>
                </c:pt>
                <c:pt idx="62">
                  <c:v>3.2300000000000002E-2</c:v>
                </c:pt>
                <c:pt idx="63">
                  <c:v>3.2300000000000002E-2</c:v>
                </c:pt>
                <c:pt idx="64">
                  <c:v>3.2300000000000002E-2</c:v>
                </c:pt>
                <c:pt idx="65">
                  <c:v>3.2300000000000002E-2</c:v>
                </c:pt>
                <c:pt idx="66">
                  <c:v>3.2300000000000002E-2</c:v>
                </c:pt>
                <c:pt idx="67">
                  <c:v>3.2300000000000002E-2</c:v>
                </c:pt>
                <c:pt idx="68">
                  <c:v>3.2300000000000002E-2</c:v>
                </c:pt>
                <c:pt idx="69">
                  <c:v>3.2300000000000002E-2</c:v>
                </c:pt>
                <c:pt idx="70">
                  <c:v>3.2300000000000002E-2</c:v>
                </c:pt>
                <c:pt idx="71">
                  <c:v>3.2300000000000002E-2</c:v>
                </c:pt>
                <c:pt idx="72">
                  <c:v>3.2300000000000002E-2</c:v>
                </c:pt>
                <c:pt idx="73">
                  <c:v>3.2300000000000002E-2</c:v>
                </c:pt>
                <c:pt idx="74">
                  <c:v>3.2300000000000016E-2</c:v>
                </c:pt>
                <c:pt idx="75">
                  <c:v>3.2300000000000002E-2</c:v>
                </c:pt>
                <c:pt idx="76">
                  <c:v>3.2300000000000023E-2</c:v>
                </c:pt>
                <c:pt idx="77">
                  <c:v>3.2300000000000002E-2</c:v>
                </c:pt>
                <c:pt idx="78">
                  <c:v>3.2300000000000002E-2</c:v>
                </c:pt>
                <c:pt idx="79">
                  <c:v>3.2300000000000002E-2</c:v>
                </c:pt>
                <c:pt idx="80">
                  <c:v>3.2300000000000009E-2</c:v>
                </c:pt>
                <c:pt idx="81">
                  <c:v>3.2300000000000002E-2</c:v>
                </c:pt>
                <c:pt idx="82">
                  <c:v>3.2300000000000002E-2</c:v>
                </c:pt>
                <c:pt idx="83">
                  <c:v>3.2300000000000002E-2</c:v>
                </c:pt>
                <c:pt idx="84">
                  <c:v>3.2300000000000113E-2</c:v>
                </c:pt>
                <c:pt idx="85">
                  <c:v>3.2300000000000002E-2</c:v>
                </c:pt>
                <c:pt idx="86">
                  <c:v>2.9921427903757805E-2</c:v>
                </c:pt>
                <c:pt idx="87">
                  <c:v>2.1600000000006503E-2</c:v>
                </c:pt>
                <c:pt idx="88">
                  <c:v>2.1600000000006503E-2</c:v>
                </c:pt>
                <c:pt idx="89">
                  <c:v>2.1600000000006503E-2</c:v>
                </c:pt>
                <c:pt idx="90">
                  <c:v>2.1600000000006538E-2</c:v>
                </c:pt>
                <c:pt idx="91">
                  <c:v>2.1600000000006503E-2</c:v>
                </c:pt>
                <c:pt idx="92">
                  <c:v>2.1600000000006503E-2</c:v>
                </c:pt>
                <c:pt idx="93">
                  <c:v>2.1600000000006541E-2</c:v>
                </c:pt>
                <c:pt idx="94">
                  <c:v>2.1600000000006503E-2</c:v>
                </c:pt>
                <c:pt idx="95">
                  <c:v>2.1600000000006503E-2</c:v>
                </c:pt>
                <c:pt idx="96">
                  <c:v>2.1600000000006503E-2</c:v>
                </c:pt>
                <c:pt idx="97">
                  <c:v>2.1600000000006503E-2</c:v>
                </c:pt>
                <c:pt idx="98">
                  <c:v>2.1626032029574201E-2</c:v>
                </c:pt>
                <c:pt idx="99">
                  <c:v>2.1626032029574201E-2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B27-4C81-8696-7B458EFF4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91488"/>
        <c:axId val="204593408"/>
      </c:areaChart>
      <c:barChart>
        <c:barDir val="col"/>
        <c:grouping val="clustered"/>
        <c:varyColors val="0"/>
        <c:ser>
          <c:idx val="0"/>
          <c:order val="0"/>
          <c:tx>
            <c:strRef>
              <c:f>Graphs!$AM$41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ysClr val="windowText" lastClr="000000"/>
            </a:solidFill>
            <a:ln w="3175">
              <a:solidFill>
                <a:sysClr val="windowText" lastClr="000000"/>
              </a:solidFill>
            </a:ln>
          </c:spPr>
          <c:invertIfNegative val="0"/>
          <c:cat>
            <c:numRef>
              <c:f>Graphs!$AN$35:$EI$35</c:f>
              <c:numCache>
                <c:formatCode>0.00%</c:formatCode>
                <c:ptCount val="100"/>
                <c:pt idx="0">
                  <c:v>4.4059924070272712E-2</c:v>
                </c:pt>
                <c:pt idx="1">
                  <c:v>4.4107107294600413E-2</c:v>
                </c:pt>
                <c:pt idx="2">
                  <c:v>4.4155522046627808E-2</c:v>
                </c:pt>
                <c:pt idx="3">
                  <c:v>4.4213734387415465E-2</c:v>
                </c:pt>
                <c:pt idx="4">
                  <c:v>4.4273368188437578E-2</c:v>
                </c:pt>
                <c:pt idx="5">
                  <c:v>4.4331410274506676E-2</c:v>
                </c:pt>
                <c:pt idx="6">
                  <c:v>4.4390905276413956E-2</c:v>
                </c:pt>
                <c:pt idx="7">
                  <c:v>4.445670522649562E-2</c:v>
                </c:pt>
                <c:pt idx="8">
                  <c:v>4.4524787352485537E-2</c:v>
                </c:pt>
                <c:pt idx="9">
                  <c:v>4.459206490685573E-2</c:v>
                </c:pt>
                <c:pt idx="10">
                  <c:v>4.4661539348436398E-2</c:v>
                </c:pt>
                <c:pt idx="11">
                  <c:v>4.4732658923192906E-2</c:v>
                </c:pt>
                <c:pt idx="12">
                  <c:v>4.4805383767162164E-2</c:v>
                </c:pt>
                <c:pt idx="13">
                  <c:v>4.4877159483399293E-2</c:v>
                </c:pt>
                <c:pt idx="14">
                  <c:v>4.4955797886803282E-2</c:v>
                </c:pt>
                <c:pt idx="15">
                  <c:v>4.5035992299613165E-2</c:v>
                </c:pt>
                <c:pt idx="16">
                  <c:v>4.5121712754527747E-2</c:v>
                </c:pt>
                <c:pt idx="17">
                  <c:v>4.5207825257056543E-2</c:v>
                </c:pt>
                <c:pt idx="18">
                  <c:v>4.5295785534769574E-2</c:v>
                </c:pt>
                <c:pt idx="19">
                  <c:v>4.538523981129633E-2</c:v>
                </c:pt>
                <c:pt idx="20">
                  <c:v>4.5504603682205824E-2</c:v>
                </c:pt>
                <c:pt idx="21">
                  <c:v>4.5702290065559974E-2</c:v>
                </c:pt>
                <c:pt idx="22">
                  <c:v>4.5944902592063151E-2</c:v>
                </c:pt>
                <c:pt idx="23">
                  <c:v>4.6216325767918773E-2</c:v>
                </c:pt>
                <c:pt idx="24">
                  <c:v>4.6509512483711199E-2</c:v>
                </c:pt>
                <c:pt idx="25">
                  <c:v>4.6806420225782137E-2</c:v>
                </c:pt>
                <c:pt idx="26">
                  <c:v>4.7119246883828993E-2</c:v>
                </c:pt>
                <c:pt idx="27">
                  <c:v>4.7443538212094627E-2</c:v>
                </c:pt>
                <c:pt idx="28">
                  <c:v>4.7767326830766857E-2</c:v>
                </c:pt>
                <c:pt idx="29">
                  <c:v>4.8107116643463906E-2</c:v>
                </c:pt>
                <c:pt idx="30">
                  <c:v>4.8456257516112988E-2</c:v>
                </c:pt>
                <c:pt idx="31">
                  <c:v>4.8819767425493758E-2</c:v>
                </c:pt>
                <c:pt idx="32">
                  <c:v>4.9201550036850547E-2</c:v>
                </c:pt>
                <c:pt idx="33">
                  <c:v>4.9584749476628852E-2</c:v>
                </c:pt>
                <c:pt idx="34">
                  <c:v>4.9982672425640189E-2</c:v>
                </c:pt>
                <c:pt idx="35">
                  <c:v>5.0392355483864122E-2</c:v>
                </c:pt>
                <c:pt idx="36">
                  <c:v>5.0806850632391286E-2</c:v>
                </c:pt>
                <c:pt idx="37">
                  <c:v>5.122573163412384E-2</c:v>
                </c:pt>
                <c:pt idx="38">
                  <c:v>5.1641202045107075E-2</c:v>
                </c:pt>
                <c:pt idx="39">
                  <c:v>5.2072324760543028E-2</c:v>
                </c:pt>
                <c:pt idx="40">
                  <c:v>5.254843064291409E-2</c:v>
                </c:pt>
                <c:pt idx="41">
                  <c:v>5.3042030105901743E-2</c:v>
                </c:pt>
                <c:pt idx="42">
                  <c:v>5.3570265229792476E-2</c:v>
                </c:pt>
                <c:pt idx="43">
                  <c:v>5.4151124050103479E-2</c:v>
                </c:pt>
                <c:pt idx="44">
                  <c:v>5.4758799654648492E-2</c:v>
                </c:pt>
                <c:pt idx="45">
                  <c:v>5.5408465655392848E-2</c:v>
                </c:pt>
                <c:pt idx="46">
                  <c:v>5.6097543273296607E-2</c:v>
                </c:pt>
                <c:pt idx="47">
                  <c:v>5.68275027495019E-2</c:v>
                </c:pt>
                <c:pt idx="48">
                  <c:v>5.7598420717797576E-2</c:v>
                </c:pt>
                <c:pt idx="49">
                  <c:v>5.8395728734416563E-2</c:v>
                </c:pt>
                <c:pt idx="50">
                  <c:v>5.9245231479980849E-2</c:v>
                </c:pt>
                <c:pt idx="51">
                  <c:v>6.0147941897379806E-2</c:v>
                </c:pt>
                <c:pt idx="52">
                  <c:v>6.1102747724775919E-2</c:v>
                </c:pt>
                <c:pt idx="53">
                  <c:v>6.2106816215923885E-2</c:v>
                </c:pt>
                <c:pt idx="54">
                  <c:v>6.3150900148740627E-2</c:v>
                </c:pt>
                <c:pt idx="55">
                  <c:v>6.4242987015853098E-2</c:v>
                </c:pt>
                <c:pt idx="56">
                  <c:v>6.5376309123214779E-2</c:v>
                </c:pt>
                <c:pt idx="57">
                  <c:v>6.6556348947474545E-2</c:v>
                </c:pt>
                <c:pt idx="58">
                  <c:v>6.7774940875103162E-2</c:v>
                </c:pt>
                <c:pt idx="59">
                  <c:v>6.9035244559670902E-2</c:v>
                </c:pt>
                <c:pt idx="60">
                  <c:v>7.0317165224853623E-2</c:v>
                </c:pt>
                <c:pt idx="61">
                  <c:v>7.163467924256206E-2</c:v>
                </c:pt>
                <c:pt idx="62">
                  <c:v>7.2988092605603558E-2</c:v>
                </c:pt>
                <c:pt idx="63">
                  <c:v>7.4375713911097124E-2</c:v>
                </c:pt>
                <c:pt idx="64">
                  <c:v>7.5781633441905388E-2</c:v>
                </c:pt>
                <c:pt idx="65">
                  <c:v>7.7217696025394814E-2</c:v>
                </c:pt>
                <c:pt idx="66">
                  <c:v>7.8672549096830455E-2</c:v>
                </c:pt>
                <c:pt idx="67">
                  <c:v>8.0151423610871048E-2</c:v>
                </c:pt>
                <c:pt idx="68">
                  <c:v>8.1655029327129064E-2</c:v>
                </c:pt>
                <c:pt idx="69">
                  <c:v>8.3172718472731971E-2</c:v>
                </c:pt>
                <c:pt idx="70">
                  <c:v>8.471256878798239E-2</c:v>
                </c:pt>
                <c:pt idx="71">
                  <c:v>8.6273920336738905E-2</c:v>
                </c:pt>
                <c:pt idx="72">
                  <c:v>8.7854705638477651E-2</c:v>
                </c:pt>
                <c:pt idx="73">
                  <c:v>8.9449877155839283E-2</c:v>
                </c:pt>
                <c:pt idx="74">
                  <c:v>9.1060310863250213E-2</c:v>
                </c:pt>
                <c:pt idx="75">
                  <c:v>9.2686499937027197E-2</c:v>
                </c:pt>
                <c:pt idx="76">
                  <c:v>9.4327673928871314E-2</c:v>
                </c:pt>
                <c:pt idx="77">
                  <c:v>9.5983375718270994E-2</c:v>
                </c:pt>
                <c:pt idx="78">
                  <c:v>9.7654042012971107E-2</c:v>
                </c:pt>
                <c:pt idx="79">
                  <c:v>9.9335329654231058E-2</c:v>
                </c:pt>
                <c:pt idx="80">
                  <c:v>0.10102598162443387</c:v>
                </c:pt>
                <c:pt idx="81">
                  <c:v>0.10273007526475945</c:v>
                </c:pt>
                <c:pt idx="82">
                  <c:v>0.10445415933544043</c:v>
                </c:pt>
                <c:pt idx="83">
                  <c:v>0.10635509495333026</c:v>
                </c:pt>
                <c:pt idx="84">
                  <c:v>0.10830596904600072</c:v>
                </c:pt>
                <c:pt idx="85">
                  <c:v>0.1103088060373397</c:v>
                </c:pt>
                <c:pt idx="86">
                  <c:v>0.11251546329065847</c:v>
                </c:pt>
                <c:pt idx="87">
                  <c:v>0.11485199584552885</c:v>
                </c:pt>
                <c:pt idx="88">
                  <c:v>0.1173179998379319</c:v>
                </c:pt>
                <c:pt idx="89">
                  <c:v>0.11995799863320243</c:v>
                </c:pt>
                <c:pt idx="90">
                  <c:v>0.1226558132483883</c:v>
                </c:pt>
                <c:pt idx="91">
                  <c:v>0.12537877282731519</c:v>
                </c:pt>
                <c:pt idx="92">
                  <c:v>0.12813483039604998</c:v>
                </c:pt>
                <c:pt idx="93">
                  <c:v>0.13095254420936689</c:v>
                </c:pt>
                <c:pt idx="94">
                  <c:v>0.13392603851874008</c:v>
                </c:pt>
                <c:pt idx="95">
                  <c:v>0.13704517370515393</c:v>
                </c:pt>
                <c:pt idx="96">
                  <c:v>0.14030023650216633</c:v>
                </c:pt>
                <c:pt idx="97">
                  <c:v>0.14368198903616106</c:v>
                </c:pt>
                <c:pt idx="98">
                  <c:v>0.1479602712632723</c:v>
                </c:pt>
                <c:pt idx="99">
                  <c:v>0.1479602712632723</c:v>
                </c:pt>
              </c:numCache>
            </c:numRef>
          </c:cat>
          <c:val>
            <c:numRef>
              <c:f>Graphs!$AN$41:$EI$41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1.05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7-4C81-8696-7B458EFF4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591488"/>
        <c:axId val="204593408"/>
      </c:barChart>
      <c:catAx>
        <c:axId val="20459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Risk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204593408"/>
        <c:crosses val="autoZero"/>
        <c:auto val="1"/>
        <c:lblAlgn val="ctr"/>
        <c:lblOffset val="100"/>
        <c:tickLblSkip val="9"/>
        <c:tickMarkSkip val="3"/>
        <c:noMultiLvlLbl val="0"/>
      </c:catAx>
      <c:valAx>
        <c:axId val="204593408"/>
        <c:scaling>
          <c:orientation val="minMax"/>
          <c:max val="1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204591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3462685994232442"/>
          <c:y val="5.5157416917088246E-2"/>
          <c:w val="5.80605257980778E-2"/>
          <c:h val="0.88462855186579925"/>
        </c:manualLayout>
      </c:layout>
      <c:overlay val="0"/>
    </c:legend>
    <c:plotVisOnly val="1"/>
    <c:dispBlanksAs val="zero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344467112917096"/>
          <c:y val="0.1562533228122604"/>
          <c:w val="0.78238687776447646"/>
          <c:h val="0.75694274539533757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01071616"/>
        <c:axId val="203313920"/>
      </c:scatterChart>
      <c:valAx>
        <c:axId val="201071616"/>
        <c:scaling>
          <c:orientation val="minMax"/>
        </c:scaling>
        <c:delete val="0"/>
        <c:axPos val="b"/>
        <c:numFmt formatCode="0.0%" sourceLinked="0"/>
        <c:majorTickMark val="out"/>
        <c:minorTickMark val="none"/>
        <c:tickLblPos val="nextTo"/>
        <c:crossAx val="203313920"/>
        <c:crosses val="autoZero"/>
        <c:crossBetween val="midCat"/>
      </c:valAx>
      <c:valAx>
        <c:axId val="20331392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numFmt formatCode="0.0%" sourceLinked="0"/>
        <c:majorTickMark val="out"/>
        <c:minorTickMark val="none"/>
        <c:tickLblPos val="nextTo"/>
        <c:crossAx val="201071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4.0860296638509049E-2"/>
          <c:y val="3.279334608721355E-2"/>
          <c:w val="0.94247309711286087"/>
          <c:h val="8.9498396033829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6560131776093"/>
          <c:y val="0.11154483843844658"/>
          <c:w val="0.84282631854446843"/>
          <c:h val="0.77747231410520179"/>
        </c:manualLayout>
      </c:layout>
      <c:scatterChart>
        <c:scatterStyle val="lineMarker"/>
        <c:varyColors val="0"/>
        <c:ser>
          <c:idx val="27"/>
          <c:order val="0"/>
          <c:tx>
            <c:v>Effic Frontier</c:v>
          </c:tx>
          <c:spPr>
            <a:ln w="19050">
              <a:solidFill>
                <a:srgbClr val="0000CC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[0]!graph1_ef_risk</c:f>
              <c:numCache>
                <c:formatCode>0.00%</c:formatCode>
                <c:ptCount val="98"/>
                <c:pt idx="0">
                  <c:v>3.9849229162447361E-2</c:v>
                </c:pt>
                <c:pt idx="1">
                  <c:v>4.0053496700644016E-2</c:v>
                </c:pt>
                <c:pt idx="2">
                  <c:v>4.0256435962284391E-2</c:v>
                </c:pt>
                <c:pt idx="3">
                  <c:v>4.039757258855451E-2</c:v>
                </c:pt>
                <c:pt idx="4">
                  <c:v>4.0608904912413216E-2</c:v>
                </c:pt>
                <c:pt idx="5">
                  <c:v>4.0639760383033685E-2</c:v>
                </c:pt>
                <c:pt idx="6">
                  <c:v>4.0635534978020797E-2</c:v>
                </c:pt>
                <c:pt idx="7">
                  <c:v>4.0819075760776966E-2</c:v>
                </c:pt>
                <c:pt idx="8">
                  <c:v>4.0966447227215465E-2</c:v>
                </c:pt>
                <c:pt idx="9">
                  <c:v>4.1122747906183026E-2</c:v>
                </c:pt>
                <c:pt idx="10">
                  <c:v>4.1280574681505498E-2</c:v>
                </c:pt>
                <c:pt idx="11">
                  <c:v>4.1634502741875842E-2</c:v>
                </c:pt>
                <c:pt idx="12">
                  <c:v>4.169964280287116E-2</c:v>
                </c:pt>
                <c:pt idx="13">
                  <c:v>4.1826080609143119E-2</c:v>
                </c:pt>
                <c:pt idx="14">
                  <c:v>4.1904855460300157E-2</c:v>
                </c:pt>
                <c:pt idx="15">
                  <c:v>4.1977378097012075E-2</c:v>
                </c:pt>
                <c:pt idx="16">
                  <c:v>4.2140505595617973E-2</c:v>
                </c:pt>
                <c:pt idx="17">
                  <c:v>4.2302083666258393E-2</c:v>
                </c:pt>
                <c:pt idx="18">
                  <c:v>4.2481516327285321E-2</c:v>
                </c:pt>
                <c:pt idx="19">
                  <c:v>4.2599757189428697E-2</c:v>
                </c:pt>
                <c:pt idx="20">
                  <c:v>4.2540249942694196E-2</c:v>
                </c:pt>
                <c:pt idx="21">
                  <c:v>4.2522680004781772E-2</c:v>
                </c:pt>
                <c:pt idx="22">
                  <c:v>4.2650848008896174E-2</c:v>
                </c:pt>
                <c:pt idx="23">
                  <c:v>4.2696817451819497E-2</c:v>
                </c:pt>
                <c:pt idx="24">
                  <c:v>4.2829070782403382E-2</c:v>
                </c:pt>
                <c:pt idx="25">
                  <c:v>4.2984187659658321E-2</c:v>
                </c:pt>
                <c:pt idx="26">
                  <c:v>4.311761908106946E-2</c:v>
                </c:pt>
                <c:pt idx="27">
                  <c:v>4.330657802462725E-2</c:v>
                </c:pt>
                <c:pt idx="28">
                  <c:v>4.3561593303009537E-2</c:v>
                </c:pt>
                <c:pt idx="29">
                  <c:v>4.3802383762579229E-2</c:v>
                </c:pt>
                <c:pt idx="30">
                  <c:v>4.4062023721837526E-2</c:v>
                </c:pt>
                <c:pt idx="31">
                  <c:v>4.4375602370784063E-2</c:v>
                </c:pt>
                <c:pt idx="32">
                  <c:v>4.4601478315928846E-2</c:v>
                </c:pt>
                <c:pt idx="33">
                  <c:v>4.4888850080550803E-2</c:v>
                </c:pt>
                <c:pt idx="34">
                  <c:v>4.5188569541208014E-2</c:v>
                </c:pt>
                <c:pt idx="35">
                  <c:v>4.5520302884230847E-2</c:v>
                </c:pt>
                <c:pt idx="36">
                  <c:v>4.5846245908532021E-2</c:v>
                </c:pt>
                <c:pt idx="37">
                  <c:v>4.619320358870839E-2</c:v>
                </c:pt>
                <c:pt idx="38">
                  <c:v>4.6554826975485221E-2</c:v>
                </c:pt>
                <c:pt idx="39">
                  <c:v>4.7051914507347671E-2</c:v>
                </c:pt>
                <c:pt idx="40">
                  <c:v>4.7604689541006023E-2</c:v>
                </c:pt>
                <c:pt idx="41">
                  <c:v>4.8147539429512422E-2</c:v>
                </c:pt>
                <c:pt idx="42">
                  <c:v>4.8602648467950656E-2</c:v>
                </c:pt>
                <c:pt idx="43">
                  <c:v>4.92464456493098E-2</c:v>
                </c:pt>
                <c:pt idx="44">
                  <c:v>4.9816038441825229E-2</c:v>
                </c:pt>
                <c:pt idx="45">
                  <c:v>5.038519224348581E-2</c:v>
                </c:pt>
                <c:pt idx="46">
                  <c:v>5.1023630326874687E-2</c:v>
                </c:pt>
                <c:pt idx="47">
                  <c:v>5.170456433425781E-2</c:v>
                </c:pt>
                <c:pt idx="48">
                  <c:v>5.2415803254452484E-2</c:v>
                </c:pt>
                <c:pt idx="49">
                  <c:v>5.2981838170318964E-2</c:v>
                </c:pt>
                <c:pt idx="50">
                  <c:v>5.3599233130703049E-2</c:v>
                </c:pt>
                <c:pt idx="51">
                  <c:v>5.4284310414182087E-2</c:v>
                </c:pt>
                <c:pt idx="52">
                  <c:v>5.5035096214279218E-2</c:v>
                </c:pt>
                <c:pt idx="53">
                  <c:v>5.5864855235051143E-2</c:v>
                </c:pt>
                <c:pt idx="54">
                  <c:v>5.674693103336903E-2</c:v>
                </c:pt>
                <c:pt idx="55">
                  <c:v>5.769338702182996E-2</c:v>
                </c:pt>
                <c:pt idx="56">
                  <c:v>5.8666356349790748E-2</c:v>
                </c:pt>
                <c:pt idx="57">
                  <c:v>5.9692303734042877E-2</c:v>
                </c:pt>
                <c:pt idx="58">
                  <c:v>6.0756812577036613E-2</c:v>
                </c:pt>
                <c:pt idx="59">
                  <c:v>6.1895320067417527E-2</c:v>
                </c:pt>
                <c:pt idx="60">
                  <c:v>6.3071429890513883E-2</c:v>
                </c:pt>
                <c:pt idx="61">
                  <c:v>6.4275778406843856E-2</c:v>
                </c:pt>
                <c:pt idx="62">
                  <c:v>6.5511941187285677E-2</c:v>
                </c:pt>
                <c:pt idx="63">
                  <c:v>6.6800196393917863E-2</c:v>
                </c:pt>
                <c:pt idx="64">
                  <c:v>6.8117023934781029E-2</c:v>
                </c:pt>
                <c:pt idx="65">
                  <c:v>6.9473939605916871E-2</c:v>
                </c:pt>
                <c:pt idx="66">
                  <c:v>7.086051647864744E-2</c:v>
                </c:pt>
                <c:pt idx="67">
                  <c:v>7.2271701810283376E-2</c:v>
                </c:pt>
                <c:pt idx="68">
                  <c:v>7.3721499674961444E-2</c:v>
                </c:pt>
                <c:pt idx="69">
                  <c:v>7.5194781343173228E-2</c:v>
                </c:pt>
                <c:pt idx="70">
                  <c:v>7.6685585034309278E-2</c:v>
                </c:pt>
                <c:pt idx="71">
                  <c:v>7.8193843777465993E-2</c:v>
                </c:pt>
                <c:pt idx="72">
                  <c:v>7.9730273300081311E-2</c:v>
                </c:pt>
                <c:pt idx="73">
                  <c:v>8.128992907380081E-2</c:v>
                </c:pt>
                <c:pt idx="74">
                  <c:v>8.286738028282116E-2</c:v>
                </c:pt>
                <c:pt idx="75">
                  <c:v>8.4459830915468159E-2</c:v>
                </c:pt>
                <c:pt idx="76">
                  <c:v>8.6062947182519028E-2</c:v>
                </c:pt>
                <c:pt idx="77">
                  <c:v>8.7673553144912431E-2</c:v>
                </c:pt>
                <c:pt idx="78">
                  <c:v>8.930736830101417E-2</c:v>
                </c:pt>
                <c:pt idx="79">
                  <c:v>9.096250473936289E-2</c:v>
                </c:pt>
                <c:pt idx="80">
                  <c:v>9.2623492529702853E-2</c:v>
                </c:pt>
                <c:pt idx="81">
                  <c:v>9.4433645537399996E-2</c:v>
                </c:pt>
                <c:pt idx="82">
                  <c:v>9.6344717098169913E-2</c:v>
                </c:pt>
                <c:pt idx="83">
                  <c:v>9.8239112219447644E-2</c:v>
                </c:pt>
                <c:pt idx="84">
                  <c:v>0.10031977465736762</c:v>
                </c:pt>
                <c:pt idx="85">
                  <c:v>0.10269077469371406</c:v>
                </c:pt>
                <c:pt idx="86">
                  <c:v>0.10511534221106032</c:v>
                </c:pt>
                <c:pt idx="87">
                  <c:v>0.10778683159163055</c:v>
                </c:pt>
                <c:pt idx="88">
                  <c:v>0.1103723073391264</c:v>
                </c:pt>
                <c:pt idx="89">
                  <c:v>0.11279924984782282</c:v>
                </c:pt>
                <c:pt idx="90">
                  <c:v>0.11535351998292667</c:v>
                </c:pt>
                <c:pt idx="91">
                  <c:v>0.11791812273730547</c:v>
                </c:pt>
                <c:pt idx="92">
                  <c:v>0.12095485057918554</c:v>
                </c:pt>
                <c:pt idx="93">
                  <c:v>0.12414866556904601</c:v>
                </c:pt>
                <c:pt idx="94">
                  <c:v>0.12748776224295477</c:v>
                </c:pt>
                <c:pt idx="95">
                  <c:v>0.13096102838652576</c:v>
                </c:pt>
                <c:pt idx="96">
                  <c:v>0.13455807469489175</c:v>
                </c:pt>
                <c:pt idx="97">
                  <c:v>0.13859931064729358</c:v>
                </c:pt>
              </c:numCache>
            </c:numRef>
          </c:xVal>
          <c:yVal>
            <c:numRef>
              <c:f>[0]!graph1_ef_return</c:f>
              <c:numCache>
                <c:formatCode>0.00%</c:formatCode>
                <c:ptCount val="98"/>
                <c:pt idx="0">
                  <c:v>6.269120825881444E-2</c:v>
                </c:pt>
                <c:pt idx="1">
                  <c:v>6.2957370136984048E-2</c:v>
                </c:pt>
                <c:pt idx="2">
                  <c:v>6.3215750791342146E-2</c:v>
                </c:pt>
                <c:pt idx="3">
                  <c:v>6.3485932379287055E-2</c:v>
                </c:pt>
                <c:pt idx="4">
                  <c:v>6.3747494903395388E-2</c:v>
                </c:pt>
                <c:pt idx="5">
                  <c:v>6.4017476682978802E-2</c:v>
                </c:pt>
                <c:pt idx="6">
                  <c:v>6.4281230824925123E-2</c:v>
                </c:pt>
                <c:pt idx="7">
                  <c:v>6.4535117945612105E-2</c:v>
                </c:pt>
                <c:pt idx="8">
                  <c:v>6.4792544353745513E-2</c:v>
                </c:pt>
                <c:pt idx="9">
                  <c:v>6.5050552499815881E-2</c:v>
                </c:pt>
                <c:pt idx="10">
                  <c:v>6.5307039488195814E-2</c:v>
                </c:pt>
                <c:pt idx="11">
                  <c:v>6.6080400259753314E-2</c:v>
                </c:pt>
                <c:pt idx="12">
                  <c:v>6.6337997239742402E-2</c:v>
                </c:pt>
                <c:pt idx="13">
                  <c:v>6.6592224105909592E-2</c:v>
                </c:pt>
                <c:pt idx="14">
                  <c:v>6.6853724215835256E-2</c:v>
                </c:pt>
                <c:pt idx="15">
                  <c:v>6.7117646180335069E-2</c:v>
                </c:pt>
                <c:pt idx="16">
                  <c:v>6.7380257399044505E-2</c:v>
                </c:pt>
                <c:pt idx="17">
                  <c:v>6.7643692511337825E-2</c:v>
                </c:pt>
                <c:pt idx="18">
                  <c:v>6.790397048995557E-2</c:v>
                </c:pt>
                <c:pt idx="19">
                  <c:v>6.8193695617003877E-2</c:v>
                </c:pt>
                <c:pt idx="20">
                  <c:v>6.8540476303192543E-2</c:v>
                </c:pt>
                <c:pt idx="21">
                  <c:v>6.8854709830159483E-2</c:v>
                </c:pt>
                <c:pt idx="22">
                  <c:v>6.9137727152818282E-2</c:v>
                </c:pt>
                <c:pt idx="23">
                  <c:v>6.9421672152337036E-2</c:v>
                </c:pt>
                <c:pt idx="24">
                  <c:v>6.969704812422281E-2</c:v>
                </c:pt>
                <c:pt idx="25">
                  <c:v>6.9974870933629071E-2</c:v>
                </c:pt>
                <c:pt idx="26">
                  <c:v>7.0237619012805272E-2</c:v>
                </c:pt>
                <c:pt idx="27">
                  <c:v>7.0510603820068518E-2</c:v>
                </c:pt>
                <c:pt idx="28">
                  <c:v>7.0793939416146395E-2</c:v>
                </c:pt>
                <c:pt idx="29">
                  <c:v>7.1075881742778624E-2</c:v>
                </c:pt>
                <c:pt idx="30">
                  <c:v>7.1359779833766193E-2</c:v>
                </c:pt>
                <c:pt idx="31">
                  <c:v>7.1646238815221766E-2</c:v>
                </c:pt>
                <c:pt idx="32">
                  <c:v>7.1939770221105911E-2</c:v>
                </c:pt>
                <c:pt idx="33">
                  <c:v>7.2204299359580212E-2</c:v>
                </c:pt>
                <c:pt idx="34">
                  <c:v>7.2461573871410861E-2</c:v>
                </c:pt>
                <c:pt idx="35">
                  <c:v>7.2737460996441558E-2</c:v>
                </c:pt>
                <c:pt idx="36">
                  <c:v>7.3031735344499207E-2</c:v>
                </c:pt>
                <c:pt idx="37">
                  <c:v>7.3293848654340868E-2</c:v>
                </c:pt>
                <c:pt idx="38">
                  <c:v>7.3600160086241054E-2</c:v>
                </c:pt>
                <c:pt idx="39">
                  <c:v>7.3910505395788195E-2</c:v>
                </c:pt>
                <c:pt idx="40">
                  <c:v>7.4215139717483267E-2</c:v>
                </c:pt>
                <c:pt idx="41">
                  <c:v>7.4532628414589241E-2</c:v>
                </c:pt>
                <c:pt idx="42">
                  <c:v>7.4861701607722264E-2</c:v>
                </c:pt>
                <c:pt idx="43">
                  <c:v>7.5180936866060422E-2</c:v>
                </c:pt>
                <c:pt idx="44">
                  <c:v>7.5521907477885383E-2</c:v>
                </c:pt>
                <c:pt idx="45">
                  <c:v>7.5859665445161498E-2</c:v>
                </c:pt>
                <c:pt idx="46">
                  <c:v>7.6200515297904087E-2</c:v>
                </c:pt>
                <c:pt idx="47">
                  <c:v>7.6542242089414167E-2</c:v>
                </c:pt>
                <c:pt idx="48">
                  <c:v>7.6871045982027111E-2</c:v>
                </c:pt>
                <c:pt idx="49">
                  <c:v>7.7220075568759663E-2</c:v>
                </c:pt>
                <c:pt idx="50">
                  <c:v>7.7567745721038625E-2</c:v>
                </c:pt>
                <c:pt idx="51">
                  <c:v>7.7915060399000036E-2</c:v>
                </c:pt>
                <c:pt idx="52">
                  <c:v>7.8261701751489623E-2</c:v>
                </c:pt>
                <c:pt idx="53">
                  <c:v>7.8600317925598642E-2</c:v>
                </c:pt>
                <c:pt idx="54">
                  <c:v>7.8941746695683199E-2</c:v>
                </c:pt>
                <c:pt idx="55">
                  <c:v>7.9279772132226506E-2</c:v>
                </c:pt>
                <c:pt idx="56">
                  <c:v>7.9628540722965865E-2</c:v>
                </c:pt>
                <c:pt idx="57">
                  <c:v>7.9976694426610401E-2</c:v>
                </c:pt>
                <c:pt idx="58">
                  <c:v>8.0330202295227651E-2</c:v>
                </c:pt>
                <c:pt idx="59">
                  <c:v>8.0669166489125962E-2</c:v>
                </c:pt>
                <c:pt idx="60">
                  <c:v>8.1011003872556928E-2</c:v>
                </c:pt>
                <c:pt idx="61">
                  <c:v>8.1359252076718194E-2</c:v>
                </c:pt>
                <c:pt idx="62">
                  <c:v>8.1712156946792486E-2</c:v>
                </c:pt>
                <c:pt idx="63">
                  <c:v>8.2055551076191807E-2</c:v>
                </c:pt>
                <c:pt idx="64">
                  <c:v>8.2402801701809858E-2</c:v>
                </c:pt>
                <c:pt idx="65">
                  <c:v>8.2744530946177647E-2</c:v>
                </c:pt>
                <c:pt idx="66">
                  <c:v>8.3086762084146185E-2</c:v>
                </c:pt>
                <c:pt idx="67">
                  <c:v>8.3431775717861381E-2</c:v>
                </c:pt>
                <c:pt idx="68">
                  <c:v>8.3768852031017721E-2</c:v>
                </c:pt>
                <c:pt idx="69">
                  <c:v>8.4107625398627095E-2</c:v>
                </c:pt>
                <c:pt idx="70">
                  <c:v>8.4450343613101927E-2</c:v>
                </c:pt>
                <c:pt idx="71">
                  <c:v>8.4796149247646543E-2</c:v>
                </c:pt>
                <c:pt idx="72">
                  <c:v>8.5137768038669223E-2</c:v>
                </c:pt>
                <c:pt idx="73">
                  <c:v>8.5477561060100835E-2</c:v>
                </c:pt>
                <c:pt idx="74">
                  <c:v>8.5818125060391395E-2</c:v>
                </c:pt>
                <c:pt idx="75">
                  <c:v>8.6160343809937659E-2</c:v>
                </c:pt>
                <c:pt idx="76">
                  <c:v>8.6506092068013754E-2</c:v>
                </c:pt>
                <c:pt idx="77">
                  <c:v>8.6857313579390139E-2</c:v>
                </c:pt>
                <c:pt idx="78">
                  <c:v>8.7203852183569477E-2</c:v>
                </c:pt>
                <c:pt idx="79">
                  <c:v>8.7545610333469415E-2</c:v>
                </c:pt>
                <c:pt idx="80">
                  <c:v>8.7892742611445154E-2</c:v>
                </c:pt>
                <c:pt idx="81">
                  <c:v>8.8172604591395365E-2</c:v>
                </c:pt>
                <c:pt idx="82">
                  <c:v>8.8458323190256205E-2</c:v>
                </c:pt>
                <c:pt idx="83">
                  <c:v>8.8765183554058033E-2</c:v>
                </c:pt>
                <c:pt idx="84">
                  <c:v>8.9032892999670973E-2</c:v>
                </c:pt>
                <c:pt idx="85">
                  <c:v>8.9289870950681485E-2</c:v>
                </c:pt>
                <c:pt idx="86">
                  <c:v>8.9601472567154103E-2</c:v>
                </c:pt>
                <c:pt idx="87">
                  <c:v>8.9836587910241572E-2</c:v>
                </c:pt>
                <c:pt idx="88">
                  <c:v>9.0140116045103649E-2</c:v>
                </c:pt>
                <c:pt idx="89">
                  <c:v>9.0502675645071945E-2</c:v>
                </c:pt>
                <c:pt idx="90">
                  <c:v>9.0841337295431576E-2</c:v>
                </c:pt>
                <c:pt idx="91">
                  <c:v>9.1189029119841572E-2</c:v>
                </c:pt>
                <c:pt idx="92">
                  <c:v>9.142414446292918E-2</c:v>
                </c:pt>
                <c:pt idx="93">
                  <c:v>9.165925980601651E-2</c:v>
                </c:pt>
                <c:pt idx="94">
                  <c:v>9.1894375149103966E-2</c:v>
                </c:pt>
                <c:pt idx="95">
                  <c:v>9.2129490492191421E-2</c:v>
                </c:pt>
                <c:pt idx="96">
                  <c:v>9.2364605835278862E-2</c:v>
                </c:pt>
                <c:pt idx="97">
                  <c:v>9.2746542256596731E-2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120-B855-AC3B03A8798A}"/>
            </c:ext>
          </c:extLst>
        </c:ser>
        <c:ser>
          <c:idx val="0"/>
          <c:order val="1"/>
          <c:tx>
            <c:strRef>
              <c:f>Calculations!$BG$42</c:f>
              <c:strCache>
                <c:ptCount val="1"/>
                <c:pt idx="0">
                  <c:v>Cash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chemeClr val="tx1"/>
              </a:solidFill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23B0-4120-B855-AC3B03A8798A}"/>
              </c:ext>
            </c:extLst>
          </c:dPt>
          <c:dLbls>
            <c:dLbl>
              <c:idx val="0"/>
              <c:layout>
                <c:manualLayout>
                  <c:x val="-5.0425682951779925E-2"/>
                  <c:y val="-5.61745569065953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Calculations!$BI$42</c:f>
              <c:numCache>
                <c:formatCode>0.0%</c:formatCode>
                <c:ptCount val="1"/>
                <c:pt idx="0">
                  <c:v>0.01</c:v>
                </c:pt>
              </c:numCache>
            </c:numRef>
          </c:xVal>
          <c:yVal>
            <c:numRef>
              <c:f>Calculations!$BH$42</c:f>
              <c:numCache>
                <c:formatCode>0.0%</c:formatCode>
                <c:ptCount val="1"/>
                <c:pt idx="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B0-4120-B855-AC3B03A8798A}"/>
            </c:ext>
          </c:extLst>
        </c:ser>
        <c:ser>
          <c:idx val="1"/>
          <c:order val="2"/>
          <c:tx>
            <c:strRef>
              <c:f>Calculations!$BG$43</c:f>
              <c:strCache>
                <c:ptCount val="1"/>
                <c:pt idx="0">
                  <c:v>US Treas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circle"/>
              <c:size val="4"/>
            </c:marker>
            <c:bubble3D val="0"/>
            <c:extLst>
              <c:ext xmlns:c16="http://schemas.microsoft.com/office/drawing/2014/chart" uri="{C3380CC4-5D6E-409C-BE32-E72D297353CC}">
                <c16:uniqueId val="{00000003-23B0-4120-B855-AC3B03A8798A}"/>
              </c:ext>
            </c:extLst>
          </c:dPt>
          <c:dLbls>
            <c:dLbl>
              <c:idx val="0"/>
              <c:layout>
                <c:manualLayout>
                  <c:x val="7.2036689931114202E-3"/>
                  <c:y val="2.042711160239833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Calculations!$BI$43</c:f>
              <c:numCache>
                <c:formatCode>0.0%</c:formatCode>
                <c:ptCount val="1"/>
                <c:pt idx="0">
                  <c:v>6.3E-2</c:v>
                </c:pt>
              </c:numCache>
            </c:numRef>
          </c:xVal>
          <c:yVal>
            <c:numRef>
              <c:f>Calculations!$BH$43</c:f>
              <c:numCache>
                <c:formatCode>0.0%</c:formatCode>
                <c:ptCount val="1"/>
                <c:pt idx="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B0-4120-B855-AC3B03A8798A}"/>
            </c:ext>
          </c:extLst>
        </c:ser>
        <c:ser>
          <c:idx val="2"/>
          <c:order val="3"/>
          <c:tx>
            <c:strRef>
              <c:f>Calculations!$BG$44</c:f>
              <c:strCache>
                <c:ptCount val="1"/>
                <c:pt idx="0">
                  <c:v>US L-Treas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elete val="1"/>
          </c:dLbls>
          <c:xVal>
            <c:numRef>
              <c:f>Calculations!$BI$44</c:f>
              <c:numCache>
                <c:formatCode>0.0%</c:formatCode>
                <c:ptCount val="1"/>
                <c:pt idx="0">
                  <c:v>0.10800000000000001</c:v>
                </c:pt>
              </c:numCache>
            </c:numRef>
          </c:xVal>
          <c:yVal>
            <c:numRef>
              <c:f>Calculations!$BH$44</c:f>
              <c:numCache>
                <c:formatCode>0.0%</c:formatCode>
                <c:ptCount val="1"/>
                <c:pt idx="0">
                  <c:v>5.2999999999999999E-2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B0-4120-B855-AC3B03A8798A}"/>
            </c:ext>
          </c:extLst>
        </c:ser>
        <c:ser>
          <c:idx val="3"/>
          <c:order val="4"/>
          <c:tx>
            <c:strRef>
              <c:f>Calculations!$BG$45</c:f>
              <c:strCache>
                <c:ptCount val="1"/>
                <c:pt idx="0">
                  <c:v>US Credit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Lbl>
              <c:idx val="0"/>
              <c:layout>
                <c:manualLayout>
                  <c:x val="-1.4407337986222873E-2"/>
                  <c:y val="-2.042711160239833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Calculations!$BI$45</c:f>
              <c:numCache>
                <c:formatCode>0.0%</c:formatCode>
                <c:ptCount val="1"/>
                <c:pt idx="0">
                  <c:v>5.7999999999999996E-2</c:v>
                </c:pt>
              </c:numCache>
            </c:numRef>
          </c:xVal>
          <c:yVal>
            <c:numRef>
              <c:f>Calculations!$BH$45</c:f>
              <c:numCache>
                <c:formatCode>0.0%</c:formatCode>
                <c:ptCount val="1"/>
                <c:pt idx="0">
                  <c:v>5.9000000000000004E-2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B0-4120-B855-AC3B03A8798A}"/>
            </c:ext>
          </c:extLst>
        </c:ser>
        <c:ser>
          <c:idx val="4"/>
          <c:order val="5"/>
          <c:tx>
            <c:strRef>
              <c:f>Calculations!$BG$46</c:f>
              <c:strCache>
                <c:ptCount val="1"/>
                <c:pt idx="0">
                  <c:v>US L-Cred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elete val="1"/>
          </c:dLbls>
          <c:xVal>
            <c:numRef>
              <c:f>Calculations!$BI$46</c:f>
              <c:numCache>
                <c:formatCode>0.0%</c:formatCode>
                <c:ptCount val="1"/>
                <c:pt idx="0">
                  <c:v>9.8000000000000004E-2</c:v>
                </c:pt>
              </c:numCache>
            </c:numRef>
          </c:xVal>
          <c:yVal>
            <c:numRef>
              <c:f>Calculations!$BH$46</c:f>
              <c:numCache>
                <c:formatCode>0.0%</c:formatCode>
                <c:ptCount val="1"/>
                <c:pt idx="0">
                  <c:v>6.5000000000000002E-2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3B0-4120-B855-AC3B03A8798A}"/>
            </c:ext>
          </c:extLst>
        </c:ser>
        <c:ser>
          <c:idx val="6"/>
          <c:order val="6"/>
          <c:tx>
            <c:strRef>
              <c:f>Calculations!$BG$47</c:f>
              <c:strCache>
                <c:ptCount val="1"/>
                <c:pt idx="0">
                  <c:v>Can GOC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elete val="1"/>
          </c:dLbls>
          <c:xVal>
            <c:numRef>
              <c:f>Calculations!$BI$47</c:f>
              <c:numCache>
                <c:formatCode>0.0%</c:formatCode>
                <c:ptCount val="1"/>
                <c:pt idx="0">
                  <c:v>5.2999999999999999E-2</c:v>
                </c:pt>
              </c:numCache>
            </c:numRef>
          </c:xVal>
          <c:yVal>
            <c:numRef>
              <c:f>Calculations!$BH$47</c:f>
              <c:numCache>
                <c:formatCode>0.0%</c:formatCode>
                <c:ptCount val="1"/>
                <c:pt idx="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3B0-4120-B855-AC3B03A8798A}"/>
            </c:ext>
          </c:extLst>
        </c:ser>
        <c:ser>
          <c:idx val="5"/>
          <c:order val="7"/>
          <c:tx>
            <c:strRef>
              <c:f>Calculations!$BG$48</c:f>
              <c:strCache>
                <c:ptCount val="1"/>
                <c:pt idx="0">
                  <c:v>Can L-GOC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elete val="1"/>
          </c:dLbls>
          <c:xVal>
            <c:numRef>
              <c:f>Calculations!$BI$48</c:f>
              <c:numCache>
                <c:formatCode>0.0%</c:formatCode>
                <c:ptCount val="1"/>
                <c:pt idx="0">
                  <c:v>9.1999999999999998E-2</c:v>
                </c:pt>
              </c:numCache>
            </c:numRef>
          </c:xVal>
          <c:yVal>
            <c:numRef>
              <c:f>Calculations!$BH$48</c:f>
              <c:numCache>
                <c:formatCode>0.0%</c:formatCode>
                <c:ptCount val="1"/>
                <c:pt idx="0">
                  <c:v>5.2999999999999999E-2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3B0-4120-B855-AC3B03A8798A}"/>
            </c:ext>
          </c:extLst>
        </c:ser>
        <c:ser>
          <c:idx val="7"/>
          <c:order val="8"/>
          <c:tx>
            <c:strRef>
              <c:f>Calculations!$BG$49</c:f>
              <c:strCache>
                <c:ptCount val="1"/>
                <c:pt idx="0">
                  <c:v>Can Credit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elete val="1"/>
          </c:dLbls>
          <c:xVal>
            <c:numRef>
              <c:f>Calculations!$BI$49</c:f>
              <c:numCache>
                <c:formatCode>0.0%</c:formatCode>
                <c:ptCount val="1"/>
                <c:pt idx="0">
                  <c:v>4.9000000000000002E-2</c:v>
                </c:pt>
              </c:numCache>
            </c:numRef>
          </c:xVal>
          <c:yVal>
            <c:numRef>
              <c:f>Calculations!$BH$49</c:f>
              <c:numCache>
                <c:formatCode>0.0%</c:formatCode>
                <c:ptCount val="1"/>
                <c:pt idx="0">
                  <c:v>5.7000000000000002E-2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3B0-4120-B855-AC3B03A8798A}"/>
            </c:ext>
          </c:extLst>
        </c:ser>
        <c:ser>
          <c:idx val="8"/>
          <c:order val="9"/>
          <c:tx>
            <c:strRef>
              <c:f>Calculations!$BG$50</c:f>
              <c:strCache>
                <c:ptCount val="1"/>
                <c:pt idx="0">
                  <c:v>Can L-Cred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elete val="1"/>
          </c:dLbls>
          <c:xVal>
            <c:numRef>
              <c:f>Calculations!$BI$50</c:f>
              <c:numCache>
                <c:formatCode>0.0%</c:formatCode>
                <c:ptCount val="1"/>
                <c:pt idx="0">
                  <c:v>8.3000000000000004E-2</c:v>
                </c:pt>
              </c:numCache>
            </c:numRef>
          </c:xVal>
          <c:yVal>
            <c:numRef>
              <c:f>Calculations!$BH$50</c:f>
              <c:numCache>
                <c:formatCode>0.0%</c:formatCode>
                <c:ptCount val="1"/>
                <c:pt idx="0">
                  <c:v>5.9000000000000004E-2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3B0-4120-B855-AC3B03A8798A}"/>
            </c:ext>
          </c:extLst>
        </c:ser>
        <c:ser>
          <c:idx val="9"/>
          <c:order val="10"/>
          <c:tx>
            <c:strRef>
              <c:f>Calculations!$BG$51</c:f>
              <c:strCache>
                <c:ptCount val="1"/>
                <c:pt idx="0">
                  <c:v>Jpn Bond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dLbls>
            <c:delete val="1"/>
          </c:dLbls>
          <c:xVal>
            <c:numRef>
              <c:f>Calculations!$BI$51</c:f>
              <c:numCache>
                <c:formatCode>0.0%</c:formatCode>
                <c:ptCount val="1"/>
                <c:pt idx="0">
                  <c:v>7.0000000000000007E-2</c:v>
                </c:pt>
              </c:numCache>
            </c:numRef>
          </c:xVal>
          <c:yVal>
            <c:numRef>
              <c:f>Calculations!$BH$51</c:f>
              <c:numCache>
                <c:formatCode>0.0%</c:formatCode>
                <c:ptCount val="1"/>
                <c:pt idx="0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3B0-4120-B855-AC3B03A8798A}"/>
            </c:ext>
          </c:extLst>
        </c:ser>
        <c:ser>
          <c:idx val="10"/>
          <c:order val="11"/>
          <c:tx>
            <c:strRef>
              <c:f>Calculations!$BG$52</c:f>
              <c:strCache>
                <c:ptCount val="1"/>
                <c:pt idx="0">
                  <c:v>US LC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dLbls>
            <c:dLbl>
              <c:idx val="0"/>
              <c:layout>
                <c:manualLayout>
                  <c:x val="-0.17288805583467409"/>
                  <c:y val="9.702878011139209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Calculations!$BI$52</c:f>
              <c:numCache>
                <c:formatCode>0.0%</c:formatCode>
                <c:ptCount val="1"/>
                <c:pt idx="0">
                  <c:v>0.16</c:v>
                </c:pt>
              </c:numCache>
            </c:numRef>
          </c:xVal>
          <c:yVal>
            <c:numRef>
              <c:f>Calculations!$BH$52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3B0-4120-B855-AC3B03A8798A}"/>
            </c:ext>
          </c:extLst>
        </c:ser>
        <c:ser>
          <c:idx val="11"/>
          <c:order val="12"/>
          <c:tx>
            <c:strRef>
              <c:f>Calculations!$BG$53</c:f>
              <c:strCache>
                <c:ptCount val="1"/>
                <c:pt idx="0">
                  <c:v>US S/M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Calculations!$BI$53</c:f>
              <c:numCache>
                <c:formatCode>0.0%</c:formatCode>
                <c:ptCount val="1"/>
                <c:pt idx="0">
                  <c:v>0.2</c:v>
                </c:pt>
              </c:numCache>
            </c:numRef>
          </c:xVal>
          <c:yVal>
            <c:numRef>
              <c:f>Calculations!$BH$53</c:f>
              <c:numCache>
                <c:formatCode>0.0%</c:formatCode>
                <c:ptCount val="1"/>
                <c:pt idx="0">
                  <c:v>0.105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3B0-4120-B855-AC3B03A8798A}"/>
            </c:ext>
          </c:extLst>
        </c:ser>
        <c:ser>
          <c:idx val="12"/>
          <c:order val="13"/>
          <c:tx>
            <c:strRef>
              <c:f>Calculations!$BG$54</c:f>
              <c:strCache>
                <c:ptCount val="1"/>
                <c:pt idx="0">
                  <c:v>Can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Calculations!$BI$54</c:f>
              <c:numCache>
                <c:formatCode>0.0%</c:formatCode>
                <c:ptCount val="1"/>
                <c:pt idx="0">
                  <c:v>0.18</c:v>
                </c:pt>
              </c:numCache>
            </c:numRef>
          </c:xVal>
          <c:yVal>
            <c:numRef>
              <c:f>Calculations!$BH$54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3B0-4120-B855-AC3B03A8798A}"/>
            </c:ext>
          </c:extLst>
        </c:ser>
        <c:ser>
          <c:idx val="13"/>
          <c:order val="14"/>
          <c:tx>
            <c:strRef>
              <c:f>Calculations!$BG$55</c:f>
              <c:strCache>
                <c:ptCount val="1"/>
                <c:pt idx="0">
                  <c:v>Jpn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Calculations!$BI$55</c:f>
              <c:numCache>
                <c:formatCode>0.0%</c:formatCode>
                <c:ptCount val="1"/>
                <c:pt idx="0">
                  <c:v>0.24</c:v>
                </c:pt>
              </c:numCache>
            </c:numRef>
          </c:xVal>
          <c:yVal>
            <c:numRef>
              <c:f>Calculations!$BH$55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3B0-4120-B855-AC3B03A8798A}"/>
            </c:ext>
          </c:extLst>
        </c:ser>
        <c:ser>
          <c:idx val="14"/>
          <c:order val="15"/>
          <c:tx>
            <c:strRef>
              <c:f>Calculations!$BG$56</c:f>
              <c:strCache>
                <c:ptCount val="1"/>
                <c:pt idx="0">
                  <c:v>EMU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Calculations!$BI$56</c:f>
              <c:numCache>
                <c:formatCode>0.0%</c:formatCode>
                <c:ptCount val="1"/>
                <c:pt idx="0">
                  <c:v>0.21</c:v>
                </c:pt>
              </c:numCache>
            </c:numRef>
          </c:xVal>
          <c:yVal>
            <c:numRef>
              <c:f>Calculations!$BH$56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3B0-4120-B855-AC3B03A8798A}"/>
            </c:ext>
          </c:extLst>
        </c:ser>
        <c:ser>
          <c:idx val="15"/>
          <c:order val="16"/>
          <c:tx>
            <c:strRef>
              <c:f>Calculations!$BG$57</c:f>
              <c:strCache>
                <c:ptCount val="1"/>
                <c:pt idx="0">
                  <c:v>UK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Calculations!$BI$57</c:f>
              <c:numCache>
                <c:formatCode>0.0%</c:formatCode>
                <c:ptCount val="1"/>
                <c:pt idx="0">
                  <c:v>0.2</c:v>
                </c:pt>
              </c:numCache>
            </c:numRef>
          </c:xVal>
          <c:yVal>
            <c:numRef>
              <c:f>Calculations!$BH$57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3B0-4120-B855-AC3B03A8798A}"/>
            </c:ext>
          </c:extLst>
        </c:ser>
        <c:ser>
          <c:idx val="16"/>
          <c:order val="17"/>
          <c:tx>
            <c:strRef>
              <c:f>Calculations!$BG$58</c:f>
              <c:strCache>
                <c:ptCount val="1"/>
                <c:pt idx="0">
                  <c:v>Swiss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Calculations!$BI$58</c:f>
              <c:numCache>
                <c:formatCode>0.0%</c:formatCode>
                <c:ptCount val="1"/>
                <c:pt idx="0">
                  <c:v>0.2</c:v>
                </c:pt>
              </c:numCache>
            </c:numRef>
          </c:xVal>
          <c:yVal>
            <c:numRef>
              <c:f>Calculations!$BH$58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3B0-4120-B855-AC3B03A8798A}"/>
            </c:ext>
          </c:extLst>
        </c:ser>
        <c:ser>
          <c:idx val="17"/>
          <c:order val="18"/>
          <c:tx>
            <c:strRef>
              <c:f>Calculations!$BG$59</c:f>
              <c:strCache>
                <c:ptCount val="1"/>
                <c:pt idx="0">
                  <c:v>Austr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Calculations!$BI$59</c:f>
              <c:numCache>
                <c:formatCode>0.0%</c:formatCode>
                <c:ptCount val="1"/>
                <c:pt idx="0">
                  <c:v>0.22</c:v>
                </c:pt>
              </c:numCache>
            </c:numRef>
          </c:xVal>
          <c:yVal>
            <c:numRef>
              <c:f>Calculations!$BH$59</c:f>
              <c:numCache>
                <c:formatCode>0.0%</c:formatCode>
                <c:ptCount val="1"/>
                <c:pt idx="0">
                  <c:v>0.105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3B0-4120-B855-AC3B03A8798A}"/>
            </c:ext>
          </c:extLst>
        </c:ser>
        <c:ser>
          <c:idx val="18"/>
          <c:order val="19"/>
          <c:tx>
            <c:strRef>
              <c:f>Calculations!$BG$60</c:f>
              <c:strCache>
                <c:ptCount val="1"/>
                <c:pt idx="0">
                  <c:v>DevAsia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Calculations!$BI$60</c:f>
              <c:numCache>
                <c:formatCode>0.0%</c:formatCode>
                <c:ptCount val="1"/>
                <c:pt idx="0">
                  <c:v>0.26</c:v>
                </c:pt>
              </c:numCache>
            </c:numRef>
          </c:xVal>
          <c:yVal>
            <c:numRef>
              <c:f>Calculations!$BH$60</c:f>
              <c:numCache>
                <c:formatCode>0.0%</c:formatCode>
                <c:ptCount val="1"/>
                <c:pt idx="0">
                  <c:v>0.105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3B0-4120-B855-AC3B03A8798A}"/>
            </c:ext>
          </c:extLst>
        </c:ser>
        <c:ser>
          <c:idx val="19"/>
          <c:order val="20"/>
          <c:tx>
            <c:strRef>
              <c:f>Calculations!$BG$61</c:f>
              <c:strCache>
                <c:ptCount val="1"/>
                <c:pt idx="0">
                  <c:v>EmgAsia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Calculations!$BI$61</c:f>
              <c:numCache>
                <c:formatCode>0.0%</c:formatCode>
                <c:ptCount val="1"/>
                <c:pt idx="0">
                  <c:v>0.3</c:v>
                </c:pt>
              </c:numCache>
            </c:numRef>
          </c:xVal>
          <c:yVal>
            <c:numRef>
              <c:f>Calculations!$BH$61</c:f>
              <c:numCache>
                <c:formatCode>0.0%</c:formatCode>
                <c:ptCount val="1"/>
                <c:pt idx="0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3B0-4120-B855-AC3B03A8798A}"/>
            </c:ext>
          </c:extLst>
        </c:ser>
        <c:ser>
          <c:idx val="20"/>
          <c:order val="21"/>
          <c:tx>
            <c:strRef>
              <c:f>Calculations!$BG$62</c:f>
              <c:strCache>
                <c:ptCount val="1"/>
                <c:pt idx="0">
                  <c:v>EmgWorld Equ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elete val="1"/>
          </c:dLbls>
          <c:xVal>
            <c:numRef>
              <c:f>Calculations!$BI$62</c:f>
              <c:numCache>
                <c:formatCode>0.0%</c:formatCode>
                <c:ptCount val="1"/>
                <c:pt idx="0">
                  <c:v>0.28000000000000003</c:v>
                </c:pt>
              </c:numCache>
            </c:numRef>
          </c:xVal>
          <c:yVal>
            <c:numRef>
              <c:f>Calculations!$BH$62</c:f>
              <c:numCache>
                <c:formatCode>0.0%</c:formatCode>
                <c:ptCount val="1"/>
                <c:pt idx="0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3B0-4120-B855-AC3B03A8798A}"/>
            </c:ext>
          </c:extLst>
        </c:ser>
        <c:ser>
          <c:idx val="21"/>
          <c:order val="22"/>
          <c:tx>
            <c:strRef>
              <c:f>Calculations!$BG$63</c:f>
              <c:strCache>
                <c:ptCount val="1"/>
                <c:pt idx="0">
                  <c:v>US RE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6"/>
          </c:marker>
          <c:dLbls>
            <c:dLbl>
              <c:idx val="0"/>
              <c:layout>
                <c:manualLayout>
                  <c:x val="-0.10002719810458423"/>
                  <c:y val="1.295633785316686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Calculations!$BI$63</c:f>
              <c:numCache>
                <c:formatCode>0.0%</c:formatCode>
                <c:ptCount val="1"/>
                <c:pt idx="0">
                  <c:v>0.09</c:v>
                </c:pt>
              </c:numCache>
            </c:numRef>
          </c:xVal>
          <c:yVal>
            <c:numRef>
              <c:f>Calculations!$BH$63</c:f>
              <c:numCache>
                <c:formatCode>0.0%</c:formatCode>
                <c:ptCount val="1"/>
                <c:pt idx="0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3B0-4120-B855-AC3B03A8798A}"/>
            </c:ext>
          </c:extLst>
        </c:ser>
        <c:ser>
          <c:idx val="22"/>
          <c:order val="23"/>
          <c:tx>
            <c:strRef>
              <c:f>Calculations!$BG$64</c:f>
              <c:strCache>
                <c:ptCount val="1"/>
                <c:pt idx="0">
                  <c:v>Can RE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Calculations!$BI$64</c:f>
              <c:numCache>
                <c:formatCode>0.0%</c:formatCode>
                <c:ptCount val="1"/>
                <c:pt idx="0">
                  <c:v>0.09</c:v>
                </c:pt>
              </c:numCache>
            </c:numRef>
          </c:xVal>
          <c:yVal>
            <c:numRef>
              <c:f>Calculations!$BH$64</c:f>
              <c:numCache>
                <c:formatCode>0.0%</c:formatCode>
                <c:ptCount val="1"/>
                <c:pt idx="0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23B0-4120-B855-AC3B03A8798A}"/>
            </c:ext>
          </c:extLst>
        </c:ser>
        <c:ser>
          <c:idx val="23"/>
          <c:order val="24"/>
          <c:tx>
            <c:strRef>
              <c:f>Calculations!$BG$65</c:f>
              <c:strCache>
                <c:ptCount val="1"/>
                <c:pt idx="0">
                  <c:v>Priv Equ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</c:marker>
          <c:dLbls>
            <c:dLbl>
              <c:idx val="0"/>
              <c:layout>
                <c:manualLayout>
                  <c:x val="-6.8434855434558489E-2"/>
                  <c:y val="-5.617455690659542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Calculations!$BI$65</c:f>
              <c:numCache>
                <c:formatCode>0.0%</c:formatCode>
                <c:ptCount val="1"/>
                <c:pt idx="0">
                  <c:v>0.17</c:v>
                </c:pt>
              </c:numCache>
            </c:numRef>
          </c:xVal>
          <c:yVal>
            <c:numRef>
              <c:f>Calculations!$BH$65</c:f>
              <c:numCache>
                <c:formatCode>0.0%</c:formatCode>
                <c:ptCount val="1"/>
                <c:pt idx="0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23B0-4120-B855-AC3B03A8798A}"/>
            </c:ext>
          </c:extLst>
        </c:ser>
        <c:ser>
          <c:idx val="24"/>
          <c:order val="25"/>
          <c:tx>
            <c:strRef>
              <c:f>Calculations!$BG$66</c:f>
              <c:strCache>
                <c:ptCount val="1"/>
                <c:pt idx="0">
                  <c:v>Oil/Gas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</c:marker>
          <c:dLbls>
            <c:dLbl>
              <c:idx val="0"/>
              <c:layout>
                <c:manualLayout>
                  <c:x val="-5.7629351944891362E-2"/>
                  <c:y val="-4.596100110539625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Calculations!$BI$66</c:f>
              <c:numCache>
                <c:formatCode>0.0%</c:formatCode>
                <c:ptCount val="1"/>
                <c:pt idx="0">
                  <c:v>0.24</c:v>
                </c:pt>
              </c:numCache>
            </c:numRef>
          </c:xVal>
          <c:yVal>
            <c:numRef>
              <c:f>Calculations!$BH$66</c:f>
              <c:numCache>
                <c:formatCode>0.0%</c:formatCode>
                <c:ptCount val="1"/>
                <c:pt idx="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23B0-4120-B855-AC3B03A8798A}"/>
            </c:ext>
          </c:extLst>
        </c:ser>
        <c:ser>
          <c:idx val="25"/>
          <c:order val="26"/>
          <c:tx>
            <c:strRef>
              <c:f>Calculations!$BG$67</c:f>
              <c:strCache>
                <c:ptCount val="1"/>
                <c:pt idx="0">
                  <c:v>Timber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</c:marker>
          <c:dLbls>
            <c:dLbl>
              <c:idx val="0"/>
              <c:layout>
                <c:manualLayout>
                  <c:x val="-6.8434855434558489E-2"/>
                  <c:y val="-6.638811270779458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Calculations!$BI$67</c:f>
              <c:numCache>
                <c:formatCode>0.0%</c:formatCode>
                <c:ptCount val="1"/>
                <c:pt idx="0">
                  <c:v>0.12</c:v>
                </c:pt>
              </c:numCache>
            </c:numRef>
          </c:xVal>
          <c:yVal>
            <c:numRef>
              <c:f>Calculations!$BH$67</c:f>
              <c:numCache>
                <c:formatCode>0.0%</c:formatCode>
                <c:ptCount val="1"/>
                <c:pt idx="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23B0-4120-B855-AC3B03A8798A}"/>
            </c:ext>
          </c:extLst>
        </c:ser>
        <c:ser>
          <c:idx val="26"/>
          <c:order val="27"/>
          <c:tx>
            <c:strRef>
              <c:f>Calculations!$BG$68</c:f>
              <c:strCache>
                <c:ptCount val="1"/>
                <c:pt idx="0">
                  <c:v>Farms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</c:marker>
          <c:dLbls>
            <c:dLbl>
              <c:idx val="0"/>
              <c:layout>
                <c:manualLayout>
                  <c:x val="-6.1231186441447073E-2"/>
                  <c:y val="-5.106777900599583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3B0-4120-B855-AC3B03A879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Calculations!$BI$68</c:f>
              <c:numCache>
                <c:formatCode>0.0%</c:formatCode>
                <c:ptCount val="1"/>
                <c:pt idx="0">
                  <c:v>0.09</c:v>
                </c:pt>
              </c:numCache>
            </c:numRef>
          </c:xVal>
          <c:yVal>
            <c:numRef>
              <c:f>Calculations!$BH$68</c:f>
              <c:numCache>
                <c:formatCode>0.0%</c:formatCode>
                <c:ptCount val="1"/>
                <c:pt idx="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3B0-4120-B855-AC3B03A879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2590464"/>
        <c:axId val="202608640"/>
      </c:scatterChart>
      <c:valAx>
        <c:axId val="202590464"/>
        <c:scaling>
          <c:orientation val="minMax"/>
          <c:max val="0.30000000000000004"/>
          <c:min val="0"/>
        </c:scaling>
        <c:delete val="0"/>
        <c:axPos val="b"/>
        <c:numFmt formatCode="0%" sourceLinked="0"/>
        <c:majorTickMark val="out"/>
        <c:minorTickMark val="none"/>
        <c:tickLblPos val="nextTo"/>
        <c:crossAx val="202608640"/>
        <c:crosses val="autoZero"/>
        <c:crossBetween val="midCat"/>
        <c:majorUnit val="5.000000000000001E-2"/>
      </c:valAx>
      <c:valAx>
        <c:axId val="2026086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crossAx val="202590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10</xdr:row>
      <xdr:rowOff>142876</xdr:rowOff>
    </xdr:from>
    <xdr:to>
      <xdr:col>10</xdr:col>
      <xdr:colOff>38100</xdr:colOff>
      <xdr:row>33</xdr:row>
      <xdr:rowOff>28576</xdr:rowOff>
    </xdr:to>
    <xdr:graphicFrame macro="">
      <xdr:nvGraphicFramePr>
        <xdr:cNvPr id="2" name="chartComparis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609599</xdr:colOff>
      <xdr:row>51</xdr:row>
      <xdr:rowOff>0</xdr:rowOff>
    </xdr:from>
    <xdr:to>
      <xdr:col>18</xdr:col>
      <xdr:colOff>0</xdr:colOff>
      <xdr:row>74</xdr:row>
      <xdr:rowOff>28575</xdr:rowOff>
    </xdr:to>
    <xdr:graphicFrame macro="">
      <xdr:nvGraphicFramePr>
        <xdr:cNvPr id="3" name="corp1Overvie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609599</xdr:colOff>
      <xdr:row>76</xdr:row>
      <xdr:rowOff>19050</xdr:rowOff>
    </xdr:from>
    <xdr:to>
      <xdr:col>17</xdr:col>
      <xdr:colOff>600074</xdr:colOff>
      <xdr:row>100</xdr:row>
      <xdr:rowOff>76200</xdr:rowOff>
    </xdr:to>
    <xdr:graphicFrame macro="">
      <xdr:nvGraphicFramePr>
        <xdr:cNvPr id="4" name="corp2Overvie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29</xdr:row>
      <xdr:rowOff>0</xdr:rowOff>
    </xdr:from>
    <xdr:to>
      <xdr:col>18</xdr:col>
      <xdr:colOff>38100</xdr:colOff>
      <xdr:row>49</xdr:row>
      <xdr:rowOff>148590</xdr:rowOff>
    </xdr:to>
    <xdr:graphicFrame macro="">
      <xdr:nvGraphicFramePr>
        <xdr:cNvPr id="5" name="marginalReturn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0</xdr:row>
          <xdr:rowOff>57150</xdr:rowOff>
        </xdr:from>
        <xdr:to>
          <xdr:col>11</xdr:col>
          <xdr:colOff>66675</xdr:colOff>
          <xdr:row>2</xdr:row>
          <xdr:rowOff>85725</xdr:rowOff>
        </xdr:to>
        <xdr:sp macro="" textlink="">
          <xdr:nvSpPr>
            <xdr:cNvPr id="23553" name="btnPickDataSeries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Pick Optimization Data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66675</xdr:rowOff>
        </xdr:from>
        <xdr:to>
          <xdr:col>15</xdr:col>
          <xdr:colOff>85725</xdr:colOff>
          <xdr:row>2</xdr:row>
          <xdr:rowOff>76200</xdr:rowOff>
        </xdr:to>
        <xdr:sp macro="" textlink="">
          <xdr:nvSpPr>
            <xdr:cNvPr id="23554" name="btnRegenerat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Regenerate 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0.28711</cdr:x>
      <cdr:y>0.16592</cdr:y>
    </cdr:from>
    <cdr:to>
      <cdr:x>0.7168</cdr:x>
      <cdr:y>0.49213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62A1D1E-C78F-42AA-A892-7D5595B58BF6}"/>
            </a:ext>
          </a:extLst>
        </cdr:cNvPr>
        <cdr:cNvSpPr txBox="1"/>
      </cdr:nvSpPr>
      <cdr:spPr>
        <a:xfrm xmlns:a="http://schemas.openxmlformats.org/drawingml/2006/main">
          <a:off x="1400175" y="561975"/>
          <a:ext cx="2095500" cy="1104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0.08008</cdr:x>
      <cdr:y>0.26153</cdr:y>
    </cdr:from>
    <cdr:to>
      <cdr:x>0.90039</cdr:x>
      <cdr:y>0.5315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9A83F82-7AC8-4AC7-B1B1-EBBC5CFD04CB}"/>
            </a:ext>
          </a:extLst>
        </cdr:cNvPr>
        <cdr:cNvSpPr txBox="1"/>
      </cdr:nvSpPr>
      <cdr:spPr>
        <a:xfrm xmlns:a="http://schemas.openxmlformats.org/drawingml/2006/main">
          <a:off x="390525" y="885825"/>
          <a:ext cx="40005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</a:t>
          </a:r>
          <a:r>
            <a:rPr lang="en-US" sz="1100" baseline="0"/>
            <a:t> area will show plots of Marginal Returns on Capital series</a:t>
          </a:r>
        </a:p>
        <a:p xmlns:a="http://schemas.openxmlformats.org/drawingml/2006/main">
          <a:endParaRPr lang="en-US" sz="1100" baseline="0"/>
        </a:p>
        <a:p xmlns:a="http://schemas.openxmlformats.org/drawingml/2006/main">
          <a:r>
            <a:rPr lang="en-US" sz="1100" baseline="0"/>
            <a:t>The calculations and plots are simple but rely on optimization output</a:t>
          </a:r>
        </a:p>
        <a:p xmlns:a="http://schemas.openxmlformats.org/drawingml/2006/main">
          <a:r>
            <a:rPr lang="en-US" sz="1100" baseline="0"/>
            <a:t>and have to be done after the optimization work and related charts </a:t>
          </a:r>
        </a:p>
        <a:p xmlns:a="http://schemas.openxmlformats.org/drawingml/2006/main">
          <a:r>
            <a:rPr lang="en-US" sz="1100" baseline="0"/>
            <a:t>are done.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76200</xdr:rowOff>
        </xdr:from>
        <xdr:to>
          <xdr:col>5</xdr:col>
          <xdr:colOff>9525</xdr:colOff>
          <xdr:row>2</xdr:row>
          <xdr:rowOff>57150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Run Matlab EF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6928</xdr:colOff>
      <xdr:row>4</xdr:row>
      <xdr:rowOff>155862</xdr:rowOff>
    </xdr:from>
    <xdr:to>
      <xdr:col>13</xdr:col>
      <xdr:colOff>0</xdr:colOff>
      <xdr:row>18</xdr:row>
      <xdr:rowOff>20781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95250</xdr:rowOff>
        </xdr:from>
        <xdr:to>
          <xdr:col>13</xdr:col>
          <xdr:colOff>152400</xdr:colOff>
          <xdr:row>2</xdr:row>
          <xdr:rowOff>57150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Market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2:B24"/>
  <sheetViews>
    <sheetView workbookViewId="0">
      <selection activeCell="B26" sqref="B26"/>
    </sheetView>
  </sheetViews>
  <sheetFormatPr defaultColWidth="8.85546875" defaultRowHeight="12.75" x14ac:dyDescent="0.2"/>
  <cols>
    <col min="1" max="1" width="8.85546875" style="190"/>
    <col min="2" max="2" width="69" style="190" customWidth="1"/>
    <col min="3" max="16384" width="8.85546875" style="190"/>
  </cols>
  <sheetData>
    <row r="2" spans="1:2" ht="15.75" x14ac:dyDescent="0.25">
      <c r="A2" s="227" t="s">
        <v>260</v>
      </c>
    </row>
    <row r="3" spans="1:2" x14ac:dyDescent="0.2">
      <c r="A3" s="190">
        <v>1</v>
      </c>
      <c r="B3" s="190" t="s">
        <v>195</v>
      </c>
    </row>
    <row r="4" spans="1:2" x14ac:dyDescent="0.2">
      <c r="B4" s="190" t="s">
        <v>200</v>
      </c>
    </row>
    <row r="5" spans="1:2" x14ac:dyDescent="0.2">
      <c r="A5" s="190">
        <v>2</v>
      </c>
      <c r="B5" s="190" t="s">
        <v>196</v>
      </c>
    </row>
    <row r="6" spans="1:2" x14ac:dyDescent="0.2">
      <c r="A6" s="190">
        <v>3</v>
      </c>
      <c r="B6" s="190" t="s">
        <v>197</v>
      </c>
    </row>
    <row r="7" spans="1:2" x14ac:dyDescent="0.2">
      <c r="A7" s="190">
        <v>4</v>
      </c>
      <c r="B7" s="190" t="s">
        <v>198</v>
      </c>
    </row>
    <row r="8" spans="1:2" x14ac:dyDescent="0.2">
      <c r="A8" s="190">
        <v>5</v>
      </c>
      <c r="B8" s="190" t="s">
        <v>199</v>
      </c>
    </row>
    <row r="10" spans="1:2" x14ac:dyDescent="0.2">
      <c r="A10" s="339" t="s">
        <v>261</v>
      </c>
    </row>
    <row r="11" spans="1:2" x14ac:dyDescent="0.2">
      <c r="A11" s="190">
        <v>1</v>
      </c>
      <c r="B11" s="190" t="s">
        <v>255</v>
      </c>
    </row>
    <row r="12" spans="1:2" x14ac:dyDescent="0.2">
      <c r="A12" s="190">
        <v>2</v>
      </c>
      <c r="B12" s="190" t="s">
        <v>256</v>
      </c>
    </row>
    <row r="13" spans="1:2" x14ac:dyDescent="0.2">
      <c r="A13" s="190">
        <v>3</v>
      </c>
      <c r="B13" s="190" t="s">
        <v>257</v>
      </c>
    </row>
    <row r="14" spans="1:2" x14ac:dyDescent="0.2">
      <c r="A14" s="190">
        <v>4</v>
      </c>
      <c r="B14" s="190" t="s">
        <v>258</v>
      </c>
    </row>
    <row r="16" spans="1:2" x14ac:dyDescent="0.2">
      <c r="A16" s="339" t="s">
        <v>259</v>
      </c>
    </row>
    <row r="18" spans="1:2" x14ac:dyDescent="0.2">
      <c r="A18" s="190">
        <v>1</v>
      </c>
      <c r="B18" s="190" t="s">
        <v>201</v>
      </c>
    </row>
    <row r="19" spans="1:2" x14ac:dyDescent="0.2">
      <c r="A19" s="190">
        <v>2</v>
      </c>
      <c r="B19" s="190" t="s">
        <v>202</v>
      </c>
    </row>
    <row r="20" spans="1:2" x14ac:dyDescent="0.2">
      <c r="A20" s="190">
        <v>3</v>
      </c>
      <c r="B20" s="190" t="s">
        <v>203</v>
      </c>
    </row>
    <row r="21" spans="1:2" x14ac:dyDescent="0.2">
      <c r="A21" s="190">
        <v>4</v>
      </c>
      <c r="B21" s="190" t="s">
        <v>252</v>
      </c>
    </row>
    <row r="22" spans="1:2" x14ac:dyDescent="0.2">
      <c r="A22" s="190">
        <v>5</v>
      </c>
      <c r="B22" s="190" t="s">
        <v>254</v>
      </c>
    </row>
    <row r="23" spans="1:2" x14ac:dyDescent="0.2">
      <c r="A23" s="190">
        <v>6</v>
      </c>
      <c r="B23" s="190" t="s">
        <v>253</v>
      </c>
    </row>
    <row r="24" spans="1:2" x14ac:dyDescent="0.2">
      <c r="A24" s="190">
        <v>7</v>
      </c>
      <c r="B24" s="190" t="s">
        <v>262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Graphs">
    <tabColor rgb="FFFF0000"/>
  </sheetPr>
  <dimension ref="A1:GH409"/>
  <sheetViews>
    <sheetView tabSelected="1" workbookViewId="0">
      <selection activeCell="A36" sqref="A36"/>
    </sheetView>
  </sheetViews>
  <sheetFormatPr defaultRowHeight="12.75" outlineLevelCol="1" x14ac:dyDescent="0.2"/>
  <cols>
    <col min="2" max="2" width="10.140625" bestFit="1" customWidth="1"/>
    <col min="19" max="19" width="9.140625" style="267"/>
    <col min="20" max="20" width="9.140625" style="318" customWidth="1"/>
    <col min="21" max="34" width="9.140625" style="318" customWidth="1" outlineLevel="1"/>
    <col min="35" max="36" width="9.140625" customWidth="1" outlineLevel="1"/>
  </cols>
  <sheetData>
    <row r="1" spans="1:190" x14ac:dyDescent="0.2">
      <c r="A1" s="228" t="s">
        <v>204</v>
      </c>
      <c r="B1" s="229"/>
      <c r="C1" s="229"/>
      <c r="D1" s="228" t="s">
        <v>205</v>
      </c>
      <c r="E1" s="229"/>
      <c r="F1" s="229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266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  <c r="BI1" s="192"/>
      <c r="BJ1" s="192"/>
      <c r="BK1" s="192"/>
      <c r="BL1" s="192"/>
      <c r="BM1" s="192"/>
      <c r="BN1" s="192"/>
      <c r="BO1" s="192"/>
      <c r="BP1" s="192"/>
      <c r="BQ1" s="192"/>
      <c r="BR1" s="192"/>
      <c r="BS1" s="192"/>
      <c r="BT1" s="192"/>
      <c r="BU1" s="192"/>
      <c r="BV1" s="192"/>
      <c r="BW1" s="192"/>
      <c r="BX1" s="192"/>
      <c r="BY1" s="192"/>
      <c r="BZ1" s="192"/>
      <c r="CA1" s="192"/>
      <c r="CB1" s="192"/>
      <c r="CC1" s="192"/>
      <c r="CD1" s="192"/>
      <c r="CE1" s="192"/>
      <c r="CF1" s="192"/>
      <c r="CG1" s="192"/>
      <c r="CH1" s="192"/>
      <c r="CI1" s="192"/>
      <c r="CJ1" s="192"/>
      <c r="CK1" s="192"/>
      <c r="CL1" s="192"/>
      <c r="CM1" s="192"/>
      <c r="CN1" s="192"/>
      <c r="CO1" s="192"/>
      <c r="CP1" s="192"/>
      <c r="CQ1" s="192"/>
      <c r="CR1" s="192"/>
      <c r="CS1" s="192"/>
      <c r="CT1" s="192"/>
      <c r="CU1" s="192"/>
      <c r="CV1" s="192"/>
      <c r="CW1" s="192"/>
      <c r="CX1" s="192"/>
      <c r="CY1" s="192"/>
      <c r="CZ1" s="192"/>
      <c r="DA1" s="192"/>
      <c r="DB1" s="192"/>
      <c r="DC1" s="192"/>
      <c r="DD1" s="192"/>
      <c r="DE1" s="192"/>
      <c r="DF1" s="192"/>
      <c r="DG1" s="192"/>
      <c r="DH1" s="192"/>
      <c r="DI1" s="192"/>
      <c r="DJ1" s="192"/>
      <c r="DK1" s="192"/>
      <c r="DL1" s="192"/>
      <c r="DM1" s="192"/>
      <c r="DN1" s="192"/>
      <c r="DO1" s="192"/>
      <c r="DP1" s="192"/>
      <c r="DQ1" s="192"/>
      <c r="DR1" s="192"/>
      <c r="DS1" s="192"/>
      <c r="DT1" s="192"/>
      <c r="DU1" s="192"/>
      <c r="DV1" s="192"/>
      <c r="DW1" s="192"/>
      <c r="DX1" s="192"/>
      <c r="DY1" s="192"/>
      <c r="DZ1" s="192"/>
      <c r="EA1" s="192"/>
      <c r="EB1" s="192"/>
      <c r="EC1" s="192"/>
      <c r="ED1" s="192"/>
      <c r="EE1" s="192"/>
      <c r="EF1" s="192"/>
      <c r="EG1" s="192"/>
      <c r="EH1" s="192"/>
      <c r="EI1" s="192"/>
      <c r="EJ1" s="192"/>
      <c r="EK1" s="192"/>
      <c r="EL1" s="192"/>
      <c r="EM1" s="192"/>
      <c r="EN1" s="192"/>
      <c r="EO1" s="192"/>
      <c r="EP1" s="192"/>
      <c r="EQ1" s="192"/>
      <c r="ER1" s="192"/>
      <c r="ES1" s="192"/>
      <c r="ET1" s="192"/>
      <c r="EU1" s="192"/>
      <c r="EV1" s="192"/>
      <c r="EW1" s="192"/>
      <c r="EX1" s="192"/>
      <c r="EY1" s="192"/>
      <c r="EZ1" s="192"/>
      <c r="FA1" s="192"/>
      <c r="FB1" s="192"/>
      <c r="FC1" s="192"/>
      <c r="FD1" s="192"/>
      <c r="FE1" s="192"/>
      <c r="FF1" s="192"/>
      <c r="FG1" s="192"/>
      <c r="FH1" s="192"/>
      <c r="FI1" s="192"/>
      <c r="FJ1" s="192"/>
      <c r="FK1" s="192"/>
      <c r="FL1" s="192"/>
      <c r="FM1" s="192"/>
      <c r="FN1" s="192"/>
      <c r="FO1" s="192"/>
      <c r="FP1" s="192"/>
      <c r="FQ1" s="192"/>
      <c r="FR1" s="192"/>
      <c r="FS1" s="192"/>
      <c r="FT1" s="192"/>
      <c r="FU1" s="192"/>
      <c r="FV1" s="192"/>
      <c r="FW1" s="192"/>
      <c r="FX1" s="192"/>
      <c r="FY1" s="192"/>
      <c r="FZ1" s="192"/>
      <c r="GA1" s="192"/>
      <c r="GB1" s="192"/>
      <c r="GC1" s="192"/>
      <c r="GD1" s="192"/>
      <c r="GE1" s="192"/>
      <c r="GF1" s="192"/>
      <c r="GG1" s="192"/>
      <c r="GH1" s="192"/>
    </row>
    <row r="2" spans="1:190" x14ac:dyDescent="0.2">
      <c r="A2" s="230">
        <v>1</v>
      </c>
      <c r="B2" s="349" t="s">
        <v>300</v>
      </c>
      <c r="C2" s="350"/>
      <c r="D2" s="232" t="s">
        <v>207</v>
      </c>
      <c r="E2" s="345">
        <v>0.04</v>
      </c>
      <c r="F2" s="346">
        <v>0.16</v>
      </c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266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2"/>
      <c r="BF2" s="192"/>
      <c r="BG2" s="192"/>
      <c r="BH2" s="192"/>
      <c r="BI2" s="192"/>
      <c r="BJ2" s="192"/>
      <c r="BK2" s="192"/>
      <c r="BL2" s="192"/>
      <c r="BM2" s="192"/>
      <c r="BN2" s="192"/>
      <c r="BO2" s="192"/>
      <c r="BP2" s="192"/>
      <c r="BQ2" s="192"/>
      <c r="BR2" s="192"/>
      <c r="BS2" s="192"/>
      <c r="BT2" s="192"/>
      <c r="BU2" s="192"/>
      <c r="BV2" s="192"/>
      <c r="BW2" s="192"/>
      <c r="BX2" s="192"/>
      <c r="BY2" s="192"/>
      <c r="BZ2" s="192"/>
      <c r="CA2" s="192"/>
      <c r="CB2" s="192"/>
      <c r="CC2" s="192"/>
      <c r="CD2" s="192"/>
      <c r="CE2" s="192"/>
      <c r="CF2" s="192"/>
      <c r="CG2" s="192"/>
      <c r="CH2" s="192"/>
      <c r="CI2" s="192"/>
      <c r="CJ2" s="192"/>
      <c r="CK2" s="192"/>
      <c r="CL2" s="192"/>
      <c r="CM2" s="192"/>
      <c r="CN2" s="192"/>
      <c r="CO2" s="192"/>
      <c r="CP2" s="192"/>
      <c r="CQ2" s="192"/>
      <c r="CR2" s="192"/>
      <c r="CS2" s="192"/>
      <c r="CT2" s="192"/>
      <c r="CU2" s="192"/>
      <c r="CV2" s="192"/>
      <c r="CW2" s="192"/>
      <c r="CX2" s="192"/>
      <c r="CY2" s="192"/>
      <c r="CZ2" s="192"/>
      <c r="DA2" s="192"/>
      <c r="DB2" s="192"/>
      <c r="DC2" s="192"/>
      <c r="DD2" s="192"/>
      <c r="DE2" s="192"/>
      <c r="DF2" s="192"/>
      <c r="DG2" s="192"/>
      <c r="DH2" s="192"/>
      <c r="DI2" s="192"/>
      <c r="DJ2" s="192"/>
      <c r="DK2" s="192"/>
      <c r="DL2" s="192"/>
      <c r="DM2" s="192"/>
      <c r="DN2" s="192"/>
      <c r="DO2" s="192"/>
      <c r="DP2" s="192"/>
      <c r="DQ2" s="192"/>
      <c r="DR2" s="192"/>
      <c r="DS2" s="192"/>
      <c r="DT2" s="192"/>
      <c r="DU2" s="192"/>
      <c r="DV2" s="192"/>
      <c r="DW2" s="192"/>
      <c r="DX2" s="192"/>
      <c r="DY2" s="192"/>
      <c r="DZ2" s="192"/>
      <c r="EA2" s="192"/>
      <c r="EB2" s="192"/>
      <c r="EC2" s="192"/>
      <c r="ED2" s="192"/>
      <c r="EE2" s="192"/>
      <c r="EF2" s="192"/>
      <c r="EG2" s="192"/>
      <c r="EH2" s="192"/>
      <c r="EI2" s="192"/>
      <c r="EJ2" s="192"/>
      <c r="EK2" s="192"/>
      <c r="EL2" s="192"/>
      <c r="EM2" s="192"/>
      <c r="EN2" s="192"/>
      <c r="EO2" s="192"/>
      <c r="EP2" s="192"/>
      <c r="EQ2" s="192"/>
      <c r="ER2" s="192"/>
      <c r="ES2" s="192"/>
      <c r="ET2" s="192"/>
      <c r="EU2" s="192"/>
      <c r="EV2" s="192"/>
      <c r="EW2" s="192"/>
      <c r="EX2" s="192"/>
      <c r="EY2" s="192"/>
      <c r="EZ2" s="192"/>
      <c r="FA2" s="192"/>
      <c r="FB2" s="192"/>
      <c r="FC2" s="192"/>
      <c r="FD2" s="192"/>
      <c r="FE2" s="192"/>
      <c r="FF2" s="192"/>
      <c r="FG2" s="192"/>
      <c r="FH2" s="192"/>
      <c r="FI2" s="192"/>
      <c r="FJ2" s="192"/>
      <c r="FK2" s="192"/>
      <c r="FL2" s="192"/>
      <c r="FM2" s="192"/>
      <c r="FN2" s="192"/>
      <c r="FO2" s="192"/>
      <c r="FP2" s="192"/>
      <c r="FQ2" s="192"/>
      <c r="FR2" s="192"/>
      <c r="FS2" s="192"/>
      <c r="FT2" s="192"/>
      <c r="FU2" s="192"/>
      <c r="FV2" s="192"/>
      <c r="FW2" s="192"/>
      <c r="FX2" s="192"/>
      <c r="FY2" s="192"/>
      <c r="FZ2" s="192"/>
      <c r="GA2" s="192"/>
      <c r="GB2" s="192"/>
      <c r="GC2" s="192"/>
      <c r="GD2" s="192"/>
      <c r="GE2" s="192"/>
      <c r="GF2" s="192"/>
      <c r="GG2" s="192"/>
      <c r="GH2" s="192"/>
    </row>
    <row r="3" spans="1:190" x14ac:dyDescent="0.2">
      <c r="A3" s="231">
        <v>2</v>
      </c>
      <c r="B3" s="351" t="s">
        <v>301</v>
      </c>
      <c r="C3" s="352"/>
      <c r="D3" s="233" t="s">
        <v>206</v>
      </c>
      <c r="E3" s="347">
        <v>0.01</v>
      </c>
      <c r="F3" s="348">
        <v>0.05</v>
      </c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266"/>
      <c r="T3" s="359" t="s">
        <v>245</v>
      </c>
      <c r="U3" s="319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  <c r="BD3" s="192"/>
      <c r="BE3" s="192"/>
      <c r="BF3" s="192"/>
      <c r="BG3" s="192"/>
      <c r="BH3" s="192"/>
      <c r="BI3" s="192"/>
      <c r="BJ3" s="192"/>
      <c r="BK3" s="192"/>
      <c r="BL3" s="192"/>
      <c r="BM3" s="192"/>
      <c r="BN3" s="192"/>
      <c r="BO3" s="192"/>
      <c r="BP3" s="192"/>
      <c r="BQ3" s="192"/>
      <c r="BR3" s="192"/>
      <c r="BS3" s="192"/>
      <c r="BT3" s="192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192"/>
      <c r="CO3" s="192"/>
      <c r="CP3" s="192"/>
      <c r="CQ3" s="192"/>
      <c r="CR3" s="192"/>
      <c r="CS3" s="192"/>
      <c r="CT3" s="192"/>
      <c r="CU3" s="192"/>
      <c r="CV3" s="192"/>
      <c r="CW3" s="192"/>
      <c r="CX3" s="192"/>
      <c r="CY3" s="192"/>
      <c r="CZ3" s="192"/>
      <c r="DA3" s="192"/>
      <c r="DB3" s="192"/>
      <c r="DC3" s="192"/>
      <c r="DD3" s="192"/>
      <c r="DE3" s="192"/>
      <c r="DF3" s="192"/>
      <c r="DG3" s="192"/>
      <c r="DH3" s="192"/>
      <c r="DI3" s="192"/>
      <c r="DJ3" s="192"/>
      <c r="DK3" s="192"/>
      <c r="DL3" s="192"/>
      <c r="DM3" s="192"/>
      <c r="DN3" s="192"/>
      <c r="DO3" s="192"/>
      <c r="DP3" s="192"/>
      <c r="DQ3" s="192"/>
      <c r="DR3" s="192"/>
      <c r="DS3" s="192"/>
      <c r="DT3" s="192"/>
      <c r="DU3" s="192"/>
      <c r="DV3" s="192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192"/>
      <c r="EK3" s="192"/>
      <c r="EL3" s="192"/>
      <c r="EM3" s="192"/>
      <c r="EN3" s="192"/>
      <c r="EO3" s="192"/>
      <c r="EP3" s="192"/>
      <c r="EQ3" s="192"/>
      <c r="ER3" s="192"/>
      <c r="ES3" s="192"/>
      <c r="ET3" s="192"/>
      <c r="EU3" s="192"/>
      <c r="EV3" s="192"/>
      <c r="EW3" s="192"/>
      <c r="EX3" s="192"/>
      <c r="EY3" s="192"/>
      <c r="EZ3" s="192"/>
      <c r="FA3" s="192"/>
      <c r="FB3" s="192"/>
      <c r="FC3" s="192"/>
      <c r="FD3" s="192"/>
      <c r="FE3" s="192"/>
      <c r="FF3" s="192"/>
      <c r="FG3" s="192"/>
      <c r="FH3" s="192"/>
      <c r="FI3" s="192"/>
      <c r="FJ3" s="192"/>
      <c r="FK3" s="192"/>
      <c r="FL3" s="192"/>
      <c r="FM3" s="192"/>
      <c r="FN3" s="192"/>
      <c r="FO3" s="192"/>
      <c r="FP3" s="192"/>
      <c r="FQ3" s="192"/>
      <c r="FR3" s="192"/>
      <c r="FS3" s="192"/>
      <c r="FT3" s="192"/>
      <c r="FU3" s="192"/>
      <c r="FV3" s="192"/>
      <c r="FW3" s="192"/>
      <c r="FX3" s="192"/>
      <c r="FY3" s="192"/>
      <c r="FZ3" s="192"/>
      <c r="GA3" s="192"/>
      <c r="GB3" s="192"/>
      <c r="GC3" s="192"/>
      <c r="GD3" s="192"/>
      <c r="GE3" s="192"/>
      <c r="GF3" s="192"/>
      <c r="GG3" s="192"/>
      <c r="GH3" s="192"/>
    </row>
    <row r="4" spans="1:190" x14ac:dyDescent="0.2">
      <c r="A4" s="192"/>
      <c r="B4" s="192"/>
      <c r="C4" s="192"/>
      <c r="D4" s="244"/>
      <c r="E4" s="244" t="s">
        <v>209</v>
      </c>
      <c r="F4" s="245">
        <f>inp_num_ef</f>
        <v>100</v>
      </c>
      <c r="G4" s="254"/>
      <c r="H4" s="269" t="s">
        <v>210</v>
      </c>
      <c r="I4" s="353">
        <v>0.08</v>
      </c>
      <c r="J4" s="254"/>
      <c r="K4" s="254"/>
      <c r="L4" s="246"/>
      <c r="M4" s="246"/>
      <c r="N4" s="247" t="str">
        <f>Series1Anchor</f>
        <v>MLF_INV</v>
      </c>
      <c r="O4" s="248" t="str">
        <f>Series2Anchor</f>
        <v>MLF_INV</v>
      </c>
      <c r="P4" s="246"/>
      <c r="Q4" s="249"/>
      <c r="R4" s="192"/>
      <c r="S4" s="265"/>
      <c r="T4" s="87"/>
      <c r="U4" s="87" t="s">
        <v>0</v>
      </c>
      <c r="V4" s="320" t="s">
        <v>150</v>
      </c>
      <c r="W4" s="320" t="s">
        <v>151</v>
      </c>
      <c r="X4" s="320" t="s">
        <v>9</v>
      </c>
      <c r="Y4" s="320" t="s">
        <v>152</v>
      </c>
      <c r="Z4" s="320" t="s">
        <v>153</v>
      </c>
      <c r="AA4" s="320" t="s">
        <v>156</v>
      </c>
      <c r="AB4" s="320" t="s">
        <v>154</v>
      </c>
      <c r="AC4" s="320" t="s">
        <v>155</v>
      </c>
      <c r="AD4" s="320" t="s">
        <v>20</v>
      </c>
      <c r="AE4" s="320" t="s">
        <v>157</v>
      </c>
      <c r="AF4" s="320" t="s">
        <v>22</v>
      </c>
      <c r="AG4" s="320" t="s">
        <v>149</v>
      </c>
      <c r="AH4" s="320" t="s">
        <v>24</v>
      </c>
      <c r="AI4" s="321" t="s">
        <v>25</v>
      </c>
      <c r="AJ4" s="191" t="s">
        <v>246</v>
      </c>
      <c r="AK4" s="354" t="str">
        <f>grph_CorpData1</f>
        <v>MLF_INV</v>
      </c>
      <c r="AL4" s="190"/>
      <c r="AM4" s="190"/>
      <c r="AN4" s="191">
        <v>1</v>
      </c>
      <c r="AO4" s="192">
        <v>2</v>
      </c>
      <c r="AP4" s="192">
        <v>3</v>
      </c>
      <c r="AQ4" s="192">
        <v>4</v>
      </c>
      <c r="AR4" s="192">
        <v>5</v>
      </c>
      <c r="AS4" s="192">
        <v>6</v>
      </c>
      <c r="AT4" s="192">
        <v>7</v>
      </c>
      <c r="AU4" s="192">
        <v>8</v>
      </c>
      <c r="AV4" s="192">
        <v>9</v>
      </c>
      <c r="AW4" s="192">
        <v>10</v>
      </c>
      <c r="AX4" s="192">
        <v>11</v>
      </c>
      <c r="AY4" s="192">
        <v>12</v>
      </c>
      <c r="AZ4" s="192">
        <v>13</v>
      </c>
      <c r="BA4" s="192">
        <v>14</v>
      </c>
      <c r="BB4" s="192">
        <v>15</v>
      </c>
      <c r="BC4" s="192">
        <v>16</v>
      </c>
      <c r="BD4" s="192">
        <v>17</v>
      </c>
      <c r="BE4" s="192">
        <v>18</v>
      </c>
      <c r="BF4" s="192">
        <v>19</v>
      </c>
      <c r="BG4" s="192">
        <v>20</v>
      </c>
      <c r="BH4" s="192">
        <v>21</v>
      </c>
      <c r="BI4" s="192">
        <v>22</v>
      </c>
      <c r="BJ4" s="192">
        <v>23</v>
      </c>
      <c r="BK4" s="192">
        <v>24</v>
      </c>
      <c r="BL4" s="192">
        <v>25</v>
      </c>
      <c r="BM4" s="192">
        <v>26</v>
      </c>
      <c r="BN4" s="192">
        <v>27</v>
      </c>
      <c r="BO4" s="192">
        <v>28</v>
      </c>
      <c r="BP4" s="192">
        <v>29</v>
      </c>
      <c r="BQ4" s="192">
        <v>30</v>
      </c>
      <c r="BR4" s="192">
        <v>31</v>
      </c>
      <c r="BS4" s="192">
        <v>32</v>
      </c>
      <c r="BT4" s="192">
        <v>33</v>
      </c>
      <c r="BU4" s="192">
        <v>34</v>
      </c>
      <c r="BV4" s="192">
        <v>35</v>
      </c>
      <c r="BW4" s="192">
        <v>36</v>
      </c>
      <c r="BX4" s="192">
        <v>37</v>
      </c>
      <c r="BY4" s="192">
        <v>38</v>
      </c>
      <c r="BZ4" s="192">
        <v>39</v>
      </c>
      <c r="CA4" s="192">
        <v>40</v>
      </c>
      <c r="CB4" s="192">
        <v>41</v>
      </c>
      <c r="CC4" s="192">
        <v>42</v>
      </c>
      <c r="CD4" s="192">
        <v>43</v>
      </c>
      <c r="CE4" s="192">
        <v>44</v>
      </c>
      <c r="CF4" s="192">
        <v>45</v>
      </c>
      <c r="CG4" s="192">
        <v>46</v>
      </c>
      <c r="CH4" s="192">
        <v>47</v>
      </c>
      <c r="CI4" s="192">
        <v>48</v>
      </c>
      <c r="CJ4" s="192">
        <v>49</v>
      </c>
      <c r="CK4" s="192">
        <v>50</v>
      </c>
      <c r="CL4" s="192">
        <v>51</v>
      </c>
      <c r="CM4" s="192">
        <v>52</v>
      </c>
      <c r="CN4" s="192">
        <v>53</v>
      </c>
      <c r="CO4" s="192">
        <v>54</v>
      </c>
      <c r="CP4" s="192">
        <v>55</v>
      </c>
      <c r="CQ4" s="192">
        <v>56</v>
      </c>
      <c r="CR4" s="192">
        <v>57</v>
      </c>
      <c r="CS4" s="192">
        <v>58</v>
      </c>
      <c r="CT4" s="192">
        <v>59</v>
      </c>
      <c r="CU4" s="192">
        <v>60</v>
      </c>
      <c r="CV4" s="192">
        <v>61</v>
      </c>
      <c r="CW4" s="192">
        <v>62</v>
      </c>
      <c r="CX4" s="192">
        <v>63</v>
      </c>
      <c r="CY4" s="192">
        <v>64</v>
      </c>
      <c r="CZ4" s="192">
        <v>65</v>
      </c>
      <c r="DA4" s="192">
        <v>66</v>
      </c>
      <c r="DB4" s="192">
        <v>67</v>
      </c>
      <c r="DC4" s="192">
        <v>68</v>
      </c>
      <c r="DD4" s="192">
        <v>69</v>
      </c>
      <c r="DE4" s="192">
        <v>70</v>
      </c>
      <c r="DF4" s="192">
        <v>71</v>
      </c>
      <c r="DG4" s="192">
        <v>72</v>
      </c>
      <c r="DH4" s="192">
        <v>73</v>
      </c>
      <c r="DI4" s="192">
        <v>74</v>
      </c>
      <c r="DJ4" s="192">
        <v>75</v>
      </c>
      <c r="DK4" s="192">
        <v>76</v>
      </c>
      <c r="DL4" s="192">
        <v>77</v>
      </c>
      <c r="DM4" s="192">
        <v>78</v>
      </c>
      <c r="DN4" s="192">
        <v>79</v>
      </c>
      <c r="DO4" s="192">
        <v>80</v>
      </c>
      <c r="DP4" s="192">
        <v>81</v>
      </c>
      <c r="DQ4" s="192">
        <v>82</v>
      </c>
      <c r="DR4" s="192">
        <v>83</v>
      </c>
      <c r="DS4" s="192">
        <v>84</v>
      </c>
      <c r="DT4" s="192">
        <v>85</v>
      </c>
      <c r="DU4" s="192">
        <v>86</v>
      </c>
      <c r="DV4" s="192">
        <v>87</v>
      </c>
      <c r="DW4" s="192">
        <v>88</v>
      </c>
      <c r="DX4" s="192">
        <v>89</v>
      </c>
      <c r="DY4" s="192">
        <v>90</v>
      </c>
      <c r="DZ4" s="192">
        <v>91</v>
      </c>
      <c r="EA4" s="192">
        <v>92</v>
      </c>
      <c r="EB4" s="192">
        <v>93</v>
      </c>
      <c r="EC4" s="192">
        <v>94</v>
      </c>
      <c r="ED4" s="192">
        <v>95</v>
      </c>
      <c r="EE4" s="192">
        <v>96</v>
      </c>
      <c r="EF4" s="192">
        <v>97</v>
      </c>
      <c r="EG4" s="192">
        <v>98</v>
      </c>
      <c r="EH4" s="192">
        <v>99</v>
      </c>
      <c r="EI4" s="192">
        <v>100</v>
      </c>
    </row>
    <row r="5" spans="1:190" x14ac:dyDescent="0.2">
      <c r="A5" s="192"/>
      <c r="B5" s="192"/>
      <c r="C5" s="192"/>
      <c r="D5" s="192"/>
      <c r="E5" s="192"/>
      <c r="F5" s="192"/>
      <c r="G5" s="254"/>
      <c r="H5" s="268" t="s">
        <v>184</v>
      </c>
      <c r="I5" s="270">
        <f ca="1">MATCH($I$4,OFFSET(Series1Anchor,2,3,1,$F$4),1)</f>
        <v>67</v>
      </c>
      <c r="J5" s="271">
        <f ca="1">MATCH($I$4,OFFSET(Series2Anchor,2,3,1,$F$4),1)</f>
        <v>67</v>
      </c>
      <c r="K5" s="254"/>
      <c r="L5" s="250" t="s">
        <v>159</v>
      </c>
      <c r="M5" s="282"/>
      <c r="N5" s="251">
        <f ca="1">I5+1-I8</f>
        <v>67.897608884706969</v>
      </c>
      <c r="O5" s="251">
        <f ca="1">J5+1-J8</f>
        <v>67.897608884706969</v>
      </c>
      <c r="P5" s="252"/>
      <c r="Q5" s="249"/>
      <c r="R5" s="192"/>
      <c r="S5" s="265"/>
      <c r="T5" s="87" t="s">
        <v>0</v>
      </c>
      <c r="U5" s="323">
        <v>1</v>
      </c>
      <c r="V5" s="324"/>
      <c r="W5" s="324"/>
      <c r="X5" s="324"/>
      <c r="Y5" s="324"/>
      <c r="Z5" s="324"/>
      <c r="AA5" s="324"/>
      <c r="AB5" s="324"/>
      <c r="AC5" s="324"/>
      <c r="AD5" s="324"/>
      <c r="AE5" s="324"/>
      <c r="AF5" s="324"/>
      <c r="AG5" s="324"/>
      <c r="AH5" s="324"/>
      <c r="AI5" s="325"/>
      <c r="AJ5" s="192">
        <f>SUM(U5:AI5)</f>
        <v>1</v>
      </c>
      <c r="AK5" s="355"/>
      <c r="AL5" s="192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I5" s="190"/>
      <c r="BJ5" s="190"/>
      <c r="BK5" s="190"/>
      <c r="BL5" s="190"/>
      <c r="BM5" s="190"/>
      <c r="BN5" s="190"/>
      <c r="BO5" s="190"/>
      <c r="BP5" s="190"/>
      <c r="BQ5" s="190"/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W5" s="190"/>
      <c r="CX5" s="190"/>
      <c r="CY5" s="190"/>
      <c r="CZ5" s="190"/>
      <c r="DA5" s="190"/>
      <c r="DB5" s="190"/>
      <c r="DC5" s="190"/>
      <c r="DD5" s="190"/>
      <c r="DE5" s="190"/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Q5" s="190"/>
      <c r="DR5" s="190"/>
      <c r="DS5" s="190"/>
      <c r="DT5" s="190"/>
      <c r="DU5" s="190"/>
      <c r="DV5" s="190"/>
      <c r="DW5" s="190"/>
      <c r="DX5" s="190"/>
      <c r="DY5" s="190"/>
      <c r="DZ5" s="190"/>
      <c r="EA5" s="190"/>
      <c r="EB5" s="190"/>
      <c r="EC5" s="190"/>
      <c r="ED5" s="190"/>
      <c r="EE5" s="190"/>
      <c r="EF5" s="190"/>
      <c r="EG5" s="190"/>
      <c r="EH5" s="190"/>
      <c r="EI5" s="190"/>
    </row>
    <row r="6" spans="1:190" x14ac:dyDescent="0.2">
      <c r="A6" s="192"/>
      <c r="B6" s="192"/>
      <c r="C6" s="192"/>
      <c r="D6" s="192"/>
      <c r="E6" s="192"/>
      <c r="F6" s="192"/>
      <c r="G6" s="254"/>
      <c r="H6" s="268" t="s">
        <v>211</v>
      </c>
      <c r="I6" s="272">
        <f ca="1">INDEX(OFFSET(Series1Anchor,2,3,1,$F$4),1,I5)</f>
        <v>7.8672549096830455E-2</v>
      </c>
      <c r="J6" s="273">
        <f ca="1">INDEX(OFFSET(Series2Anchor,2,3,1,$F$4),1,J5)</f>
        <v>7.8672549096830455E-2</v>
      </c>
      <c r="K6" s="254"/>
      <c r="L6" s="253" t="s">
        <v>147</v>
      </c>
      <c r="M6" s="278">
        <f t="shared" ref="M6:M22" ca="1" si="0">MATCH(L6,OFFSET(Series1Anchor,2,2,50,1),0)</f>
        <v>1</v>
      </c>
      <c r="N6" s="255">
        <f ca="1">INDEX(OFFSET(Series1Anchor,M6+1,3,1,$F$4),1,$I$5)*($I$8)+INDEX(OFFSET(Series1Anchor,M6+1,3,1,$F$4),1,$I$5+1)*(1-$I$8)</f>
        <v>0.08</v>
      </c>
      <c r="O6" s="256">
        <f ca="1">INDEX(OFFSET(Series2Anchor,M6+1,3,1,$F$4),1,$J$5)*($J$8)+INDEX(OFFSET(Series2Anchor,M6+1,3,1,$F$4),1,$J$5+1)*(1-$J$8)</f>
        <v>0.08</v>
      </c>
      <c r="P6" s="257">
        <f t="shared" ref="P6:P22" ca="1" si="1">ROUND(O6-N6,4)</f>
        <v>0</v>
      </c>
      <c r="Q6" s="249"/>
      <c r="R6" s="192"/>
      <c r="S6" s="265"/>
      <c r="T6" s="89" t="s">
        <v>1</v>
      </c>
      <c r="U6" s="326"/>
      <c r="V6" s="322">
        <v>1</v>
      </c>
      <c r="W6" s="322"/>
      <c r="X6" s="322"/>
      <c r="Y6" s="322"/>
      <c r="Z6" s="322"/>
      <c r="AA6" s="322"/>
      <c r="AB6" s="322"/>
      <c r="AC6" s="322"/>
      <c r="AD6" s="322"/>
      <c r="AE6" s="322"/>
      <c r="AF6" s="322"/>
      <c r="AG6" s="322"/>
      <c r="AH6" s="322"/>
      <c r="AI6" s="327"/>
      <c r="AJ6" s="192">
        <f t="shared" ref="AJ6:AJ31" si="2">SUM(U6:AI6)</f>
        <v>1</v>
      </c>
      <c r="AK6" s="356" t="s">
        <v>185</v>
      </c>
      <c r="AL6" s="192"/>
      <c r="AM6" s="205" t="s">
        <v>147</v>
      </c>
      <c r="AN6" s="206">
        <f>AN67</f>
        <v>4.4059924070272712E-2</v>
      </c>
      <c r="AO6" s="207">
        <f t="shared" ref="AO6:CZ6" si="3">AO67</f>
        <v>4.4107107294600413E-2</v>
      </c>
      <c r="AP6" s="207">
        <f t="shared" si="3"/>
        <v>4.4155522046627808E-2</v>
      </c>
      <c r="AQ6" s="207">
        <f t="shared" si="3"/>
        <v>4.4213734387415465E-2</v>
      </c>
      <c r="AR6" s="207">
        <f t="shared" si="3"/>
        <v>4.4273368188437578E-2</v>
      </c>
      <c r="AS6" s="207">
        <f t="shared" si="3"/>
        <v>4.4331410274506676E-2</v>
      </c>
      <c r="AT6" s="207">
        <f t="shared" si="3"/>
        <v>4.4390905276413956E-2</v>
      </c>
      <c r="AU6" s="207">
        <f t="shared" si="3"/>
        <v>4.445670522649562E-2</v>
      </c>
      <c r="AV6" s="207">
        <f t="shared" si="3"/>
        <v>4.4524787352485537E-2</v>
      </c>
      <c r="AW6" s="207">
        <f t="shared" si="3"/>
        <v>4.459206490685573E-2</v>
      </c>
      <c r="AX6" s="207">
        <f t="shared" si="3"/>
        <v>4.4661539348436398E-2</v>
      </c>
      <c r="AY6" s="207">
        <f t="shared" si="3"/>
        <v>4.4732658923192906E-2</v>
      </c>
      <c r="AZ6" s="207">
        <f t="shared" si="3"/>
        <v>4.4805383767162164E-2</v>
      </c>
      <c r="BA6" s="207">
        <f t="shared" si="3"/>
        <v>4.4877159483399293E-2</v>
      </c>
      <c r="BB6" s="207">
        <f t="shared" si="3"/>
        <v>4.4955797886803282E-2</v>
      </c>
      <c r="BC6" s="207">
        <f t="shared" si="3"/>
        <v>4.5035992299613165E-2</v>
      </c>
      <c r="BD6" s="207">
        <f t="shared" si="3"/>
        <v>4.5121712754527747E-2</v>
      </c>
      <c r="BE6" s="207">
        <f t="shared" si="3"/>
        <v>4.5207825257056543E-2</v>
      </c>
      <c r="BF6" s="207">
        <f t="shared" si="3"/>
        <v>4.5295785534769574E-2</v>
      </c>
      <c r="BG6" s="207">
        <f t="shared" si="3"/>
        <v>4.538523981129633E-2</v>
      </c>
      <c r="BH6" s="207">
        <f t="shared" si="3"/>
        <v>4.5504603682205824E-2</v>
      </c>
      <c r="BI6" s="207">
        <f t="shared" si="3"/>
        <v>4.5702290065559974E-2</v>
      </c>
      <c r="BJ6" s="207">
        <f t="shared" si="3"/>
        <v>4.5944902592063151E-2</v>
      </c>
      <c r="BK6" s="207">
        <f t="shared" si="3"/>
        <v>4.6216325767918773E-2</v>
      </c>
      <c r="BL6" s="207">
        <f t="shared" si="3"/>
        <v>4.6509512483711199E-2</v>
      </c>
      <c r="BM6" s="207">
        <f t="shared" si="3"/>
        <v>4.6806420225782137E-2</v>
      </c>
      <c r="BN6" s="207">
        <f t="shared" si="3"/>
        <v>4.7119246883828993E-2</v>
      </c>
      <c r="BO6" s="207">
        <f t="shared" si="3"/>
        <v>4.7443538212094627E-2</v>
      </c>
      <c r="BP6" s="207">
        <f t="shared" si="3"/>
        <v>4.7767326830766857E-2</v>
      </c>
      <c r="BQ6" s="207">
        <f t="shared" si="3"/>
        <v>4.8107116643463906E-2</v>
      </c>
      <c r="BR6" s="207">
        <f t="shared" si="3"/>
        <v>4.8456257516112988E-2</v>
      </c>
      <c r="BS6" s="207">
        <f t="shared" si="3"/>
        <v>4.8819767425493758E-2</v>
      </c>
      <c r="BT6" s="207">
        <f t="shared" si="3"/>
        <v>4.9201550036850547E-2</v>
      </c>
      <c r="BU6" s="207">
        <f t="shared" si="3"/>
        <v>4.9584749476628852E-2</v>
      </c>
      <c r="BV6" s="207">
        <f t="shared" si="3"/>
        <v>4.9982672425640189E-2</v>
      </c>
      <c r="BW6" s="207">
        <f t="shared" si="3"/>
        <v>5.0392355483864122E-2</v>
      </c>
      <c r="BX6" s="207">
        <f t="shared" si="3"/>
        <v>5.0806850632391286E-2</v>
      </c>
      <c r="BY6" s="207">
        <f t="shared" si="3"/>
        <v>5.122573163412384E-2</v>
      </c>
      <c r="BZ6" s="207">
        <f t="shared" si="3"/>
        <v>5.1641202045107075E-2</v>
      </c>
      <c r="CA6" s="207">
        <f t="shared" si="3"/>
        <v>5.2072324760543028E-2</v>
      </c>
      <c r="CB6" s="207">
        <f t="shared" si="3"/>
        <v>5.254843064291409E-2</v>
      </c>
      <c r="CC6" s="207">
        <f t="shared" si="3"/>
        <v>5.3042030105901743E-2</v>
      </c>
      <c r="CD6" s="207">
        <f t="shared" si="3"/>
        <v>5.3570265229792476E-2</v>
      </c>
      <c r="CE6" s="207">
        <f t="shared" si="3"/>
        <v>5.4151124050103479E-2</v>
      </c>
      <c r="CF6" s="207">
        <f t="shared" si="3"/>
        <v>5.4758799654648492E-2</v>
      </c>
      <c r="CG6" s="207">
        <f t="shared" si="3"/>
        <v>5.5408465655392848E-2</v>
      </c>
      <c r="CH6" s="207">
        <f t="shared" si="3"/>
        <v>5.6097543273296607E-2</v>
      </c>
      <c r="CI6" s="207">
        <f t="shared" si="3"/>
        <v>5.68275027495019E-2</v>
      </c>
      <c r="CJ6" s="207">
        <f t="shared" si="3"/>
        <v>5.7598420717797576E-2</v>
      </c>
      <c r="CK6" s="207">
        <f t="shared" si="3"/>
        <v>5.8395728734416563E-2</v>
      </c>
      <c r="CL6" s="207">
        <f t="shared" si="3"/>
        <v>5.9245231479980849E-2</v>
      </c>
      <c r="CM6" s="207">
        <f t="shared" si="3"/>
        <v>6.0147941897379806E-2</v>
      </c>
      <c r="CN6" s="207">
        <f t="shared" si="3"/>
        <v>6.1102747724775919E-2</v>
      </c>
      <c r="CO6" s="207">
        <f t="shared" si="3"/>
        <v>6.2106816215923885E-2</v>
      </c>
      <c r="CP6" s="207">
        <f t="shared" si="3"/>
        <v>6.3150900148740627E-2</v>
      </c>
      <c r="CQ6" s="207">
        <f t="shared" si="3"/>
        <v>6.4242987015853098E-2</v>
      </c>
      <c r="CR6" s="207">
        <f t="shared" si="3"/>
        <v>6.5376309123214779E-2</v>
      </c>
      <c r="CS6" s="207">
        <f t="shared" si="3"/>
        <v>6.6556348947474545E-2</v>
      </c>
      <c r="CT6" s="207">
        <f t="shared" si="3"/>
        <v>6.7774940875103162E-2</v>
      </c>
      <c r="CU6" s="207">
        <f t="shared" si="3"/>
        <v>6.9035244559670902E-2</v>
      </c>
      <c r="CV6" s="207">
        <f t="shared" si="3"/>
        <v>7.0317165224853623E-2</v>
      </c>
      <c r="CW6" s="207">
        <f t="shared" si="3"/>
        <v>7.163467924256206E-2</v>
      </c>
      <c r="CX6" s="207">
        <f t="shared" si="3"/>
        <v>7.2988092605603558E-2</v>
      </c>
      <c r="CY6" s="207">
        <f t="shared" si="3"/>
        <v>7.4375713911097124E-2</v>
      </c>
      <c r="CZ6" s="207">
        <f t="shared" si="3"/>
        <v>7.5781633441905388E-2</v>
      </c>
      <c r="DA6" s="207">
        <f t="shared" ref="DA6:EI6" si="4">DA67</f>
        <v>7.7217696025394814E-2</v>
      </c>
      <c r="DB6" s="207">
        <f t="shared" si="4"/>
        <v>7.8672549096830455E-2</v>
      </c>
      <c r="DC6" s="207">
        <f t="shared" si="4"/>
        <v>8.0151423610871048E-2</v>
      </c>
      <c r="DD6" s="207">
        <f t="shared" si="4"/>
        <v>8.1655029327129064E-2</v>
      </c>
      <c r="DE6" s="207">
        <f t="shared" si="4"/>
        <v>8.3172718472731971E-2</v>
      </c>
      <c r="DF6" s="207">
        <f t="shared" si="4"/>
        <v>8.471256878798239E-2</v>
      </c>
      <c r="DG6" s="207">
        <f t="shared" si="4"/>
        <v>8.6273920336738905E-2</v>
      </c>
      <c r="DH6" s="207">
        <f t="shared" si="4"/>
        <v>8.7854705638477651E-2</v>
      </c>
      <c r="DI6" s="207">
        <f t="shared" si="4"/>
        <v>8.9449877155839283E-2</v>
      </c>
      <c r="DJ6" s="207">
        <f t="shared" si="4"/>
        <v>9.1060310863250213E-2</v>
      </c>
      <c r="DK6" s="207">
        <f t="shared" si="4"/>
        <v>9.2686499937027197E-2</v>
      </c>
      <c r="DL6" s="207">
        <f t="shared" si="4"/>
        <v>9.4327673928871314E-2</v>
      </c>
      <c r="DM6" s="207">
        <f t="shared" si="4"/>
        <v>9.5983375718270994E-2</v>
      </c>
      <c r="DN6" s="207">
        <f t="shared" si="4"/>
        <v>9.7654042012971107E-2</v>
      </c>
      <c r="DO6" s="207">
        <f t="shared" si="4"/>
        <v>9.9335329654231058E-2</v>
      </c>
      <c r="DP6" s="207">
        <f t="shared" si="4"/>
        <v>0.10102598162443387</v>
      </c>
      <c r="DQ6" s="207">
        <f t="shared" si="4"/>
        <v>0.10273007526475945</v>
      </c>
      <c r="DR6" s="207">
        <f t="shared" si="4"/>
        <v>0.10445415933544043</v>
      </c>
      <c r="DS6" s="207">
        <f t="shared" si="4"/>
        <v>0.10635509495333026</v>
      </c>
      <c r="DT6" s="207">
        <f t="shared" si="4"/>
        <v>0.10830596904600072</v>
      </c>
      <c r="DU6" s="207">
        <f t="shared" si="4"/>
        <v>0.1103088060373397</v>
      </c>
      <c r="DV6" s="207">
        <f t="shared" si="4"/>
        <v>0.11251546329065847</v>
      </c>
      <c r="DW6" s="207">
        <f t="shared" si="4"/>
        <v>0.11485199584552885</v>
      </c>
      <c r="DX6" s="207">
        <f t="shared" si="4"/>
        <v>0.1173179998379319</v>
      </c>
      <c r="DY6" s="207">
        <f t="shared" si="4"/>
        <v>0.11995799863320243</v>
      </c>
      <c r="DZ6" s="207">
        <f t="shared" si="4"/>
        <v>0.1226558132483883</v>
      </c>
      <c r="EA6" s="207">
        <f t="shared" si="4"/>
        <v>0.12537877282731519</v>
      </c>
      <c r="EB6" s="207">
        <f t="shared" si="4"/>
        <v>0.12813483039604998</v>
      </c>
      <c r="EC6" s="207">
        <f t="shared" si="4"/>
        <v>0.13095254420936689</v>
      </c>
      <c r="ED6" s="207">
        <f t="shared" si="4"/>
        <v>0.13392603851874008</v>
      </c>
      <c r="EE6" s="207">
        <f t="shared" si="4"/>
        <v>0.13704517370515393</v>
      </c>
      <c r="EF6" s="207">
        <f t="shared" si="4"/>
        <v>0.14030023650216633</v>
      </c>
      <c r="EG6" s="207">
        <f t="shared" si="4"/>
        <v>0.14368198903616106</v>
      </c>
      <c r="EH6" s="207">
        <f t="shared" si="4"/>
        <v>0.1479602712632723</v>
      </c>
      <c r="EI6" s="208">
        <f t="shared" si="4"/>
        <v>0.1479602712632723</v>
      </c>
    </row>
    <row r="7" spans="1:190" x14ac:dyDescent="0.2">
      <c r="A7" s="192"/>
      <c r="B7" s="192"/>
      <c r="C7" s="192"/>
      <c r="D7" s="192"/>
      <c r="E7" s="192"/>
      <c r="F7" s="192"/>
      <c r="G7" s="254"/>
      <c r="H7" s="268" t="s">
        <v>212</v>
      </c>
      <c r="I7" s="274">
        <f ca="1">INDEX(OFFSET(Series1Anchor,2,3,1,$F$4),1,I5+1)</f>
        <v>8.0151423610871048E-2</v>
      </c>
      <c r="J7" s="275">
        <f ca="1">INDEX(OFFSET(Series2Anchor,2,3,1,$F$4),1,J5+1)</f>
        <v>8.0151423610871048E-2</v>
      </c>
      <c r="K7" s="254"/>
      <c r="L7" s="289" t="s">
        <v>148</v>
      </c>
      <c r="M7" s="283">
        <f t="shared" ca="1" si="0"/>
        <v>2</v>
      </c>
      <c r="N7" s="258">
        <f t="shared" ref="N7:N22" ca="1" si="5">INDEX(OFFSET(Series1Anchor,M7+1,3,1,$F$4),1,$I$5)*(1-$I$8)+INDEX(OFFSET(Series1Anchor,M7+1,3,1,$F$4),1,$I$5+1)*$I$8</f>
        <v>3.2681582417941141E-2</v>
      </c>
      <c r="O7" s="258">
        <f t="shared" ref="O7:O22" ca="1" si="6">INDEX(OFFSET(Series2Anchor,M7+1,3,1,$F$4),1,$J$5)*(1-$J$8)+INDEX(OFFSET(Series2Anchor,M7+1,3,1,$F$4),1,$J$5+1)*$J$8</f>
        <v>3.2681582417941141E-2</v>
      </c>
      <c r="P7" s="259">
        <f t="shared" ca="1" si="1"/>
        <v>0</v>
      </c>
      <c r="Q7" s="249"/>
      <c r="R7" s="192"/>
      <c r="S7" s="265"/>
      <c r="T7" s="89" t="s">
        <v>2</v>
      </c>
      <c r="U7" s="326"/>
      <c r="V7" s="322">
        <v>1</v>
      </c>
      <c r="W7" s="322"/>
      <c r="X7" s="322"/>
      <c r="Y7" s="322"/>
      <c r="Z7" s="322"/>
      <c r="AA7" s="322"/>
      <c r="AB7" s="322"/>
      <c r="AC7" s="322"/>
      <c r="AD7" s="322"/>
      <c r="AE7" s="322"/>
      <c r="AF7" s="322"/>
      <c r="AG7" s="322"/>
      <c r="AH7" s="322"/>
      <c r="AI7" s="327"/>
      <c r="AJ7" s="192">
        <f t="shared" si="2"/>
        <v>1</v>
      </c>
      <c r="AK7" s="356" t="s">
        <v>186</v>
      </c>
      <c r="AL7" s="192"/>
      <c r="AM7" s="209" t="s">
        <v>148</v>
      </c>
      <c r="AN7" s="210">
        <f t="shared" ref="AN7:CY7" si="7">AN68</f>
        <v>1.2859380180842938E-2</v>
      </c>
      <c r="AO7" s="211">
        <f t="shared" si="7"/>
        <v>1.3117760835201036E-2</v>
      </c>
      <c r="AP7" s="211">
        <f t="shared" si="7"/>
        <v>1.3387942423145952E-2</v>
      </c>
      <c r="AQ7" s="211">
        <f t="shared" si="7"/>
        <v>1.3649504944628198E-2</v>
      </c>
      <c r="AR7" s="211">
        <f t="shared" si="7"/>
        <v>1.3919486726837692E-2</v>
      </c>
      <c r="AS7" s="211">
        <f t="shared" si="7"/>
        <v>1.4183240866157926E-2</v>
      </c>
      <c r="AT7" s="211">
        <f t="shared" si="7"/>
        <v>1.4437127989470996E-2</v>
      </c>
      <c r="AU7" s="211">
        <f t="shared" si="7"/>
        <v>1.4694554397604403E-2</v>
      </c>
      <c r="AV7" s="211">
        <f t="shared" si="7"/>
        <v>1.4952562541048691E-2</v>
      </c>
      <c r="AW7" s="211">
        <f t="shared" si="7"/>
        <v>1.5209049532054719E-2</v>
      </c>
      <c r="AX7" s="211">
        <f t="shared" si="7"/>
        <v>1.5468112335729065E-2</v>
      </c>
      <c r="AY7" s="211">
        <f t="shared" si="7"/>
        <v>1.5723320859829869E-2</v>
      </c>
      <c r="AZ7" s="211">
        <f t="shared" si="7"/>
        <v>1.5982410303612204E-2</v>
      </c>
      <c r="BA7" s="211">
        <f t="shared" si="7"/>
        <v>1.6240007283601299E-2</v>
      </c>
      <c r="BB7" s="211">
        <f t="shared" si="7"/>
        <v>1.6494234149768482E-2</v>
      </c>
      <c r="BC7" s="211">
        <f t="shared" si="7"/>
        <v>1.6755734259694132E-2</v>
      </c>
      <c r="BD7" s="211">
        <f t="shared" si="7"/>
        <v>1.7019656224193946E-2</v>
      </c>
      <c r="BE7" s="211">
        <f t="shared" si="7"/>
        <v>1.7282267442903395E-2</v>
      </c>
      <c r="BF7" s="211">
        <f t="shared" si="7"/>
        <v>1.7545702555196715E-2</v>
      </c>
      <c r="BG7" s="211">
        <f t="shared" si="7"/>
        <v>1.7805980533814447E-2</v>
      </c>
      <c r="BH7" s="211">
        <f t="shared" si="7"/>
        <v>1.809570566086276E-2</v>
      </c>
      <c r="BI7" s="211">
        <f t="shared" si="7"/>
        <v>1.8442486347051434E-2</v>
      </c>
      <c r="BJ7" s="211">
        <f t="shared" si="7"/>
        <v>1.875671987401838E-2</v>
      </c>
      <c r="BK7" s="211">
        <f t="shared" si="7"/>
        <v>1.9039737196677165E-2</v>
      </c>
      <c r="BL7" s="211">
        <f t="shared" si="7"/>
        <v>1.9323682196195912E-2</v>
      </c>
      <c r="BM7" s="211">
        <f t="shared" si="7"/>
        <v>1.95990581680817E-2</v>
      </c>
      <c r="BN7" s="211">
        <f t="shared" si="7"/>
        <v>1.9876880977487962E-2</v>
      </c>
      <c r="BO7" s="211">
        <f t="shared" si="7"/>
        <v>2.0139629056664148E-2</v>
      </c>
      <c r="BP7" s="211">
        <f t="shared" si="7"/>
        <v>2.0412613863927415E-2</v>
      </c>
      <c r="BQ7" s="211">
        <f t="shared" si="7"/>
        <v>2.0695949460005286E-2</v>
      </c>
      <c r="BR7" s="211">
        <f t="shared" si="7"/>
        <v>2.0977891786637521E-2</v>
      </c>
      <c r="BS7" s="211">
        <f t="shared" si="7"/>
        <v>2.126178987762509E-2</v>
      </c>
      <c r="BT7" s="211">
        <f t="shared" si="7"/>
        <v>2.1548248859080642E-2</v>
      </c>
      <c r="BU7" s="211">
        <f t="shared" si="7"/>
        <v>2.1841780264964795E-2</v>
      </c>
      <c r="BV7" s="211">
        <f t="shared" si="7"/>
        <v>2.2106309403439103E-2</v>
      </c>
      <c r="BW7" s="211">
        <f t="shared" si="7"/>
        <v>2.2363583915269724E-2</v>
      </c>
      <c r="BX7" s="211">
        <f t="shared" si="7"/>
        <v>2.2639471040300434E-2</v>
      </c>
      <c r="BY7" s="211">
        <f t="shared" si="7"/>
        <v>2.2933745388358098E-2</v>
      </c>
      <c r="BZ7" s="211">
        <f t="shared" si="7"/>
        <v>2.3195858698199758E-2</v>
      </c>
      <c r="CA7" s="211">
        <f t="shared" si="7"/>
        <v>2.3502170130099937E-2</v>
      </c>
      <c r="CB7" s="211">
        <f t="shared" si="7"/>
        <v>2.3812515439647072E-2</v>
      </c>
      <c r="CC7" s="211">
        <f t="shared" si="7"/>
        <v>2.4117149761342164E-2</v>
      </c>
      <c r="CD7" s="211">
        <f t="shared" si="7"/>
        <v>2.4434638458448132E-2</v>
      </c>
      <c r="CE7" s="211">
        <f t="shared" si="7"/>
        <v>2.4763711651581168E-2</v>
      </c>
      <c r="CF7" s="211">
        <f t="shared" si="7"/>
        <v>2.5082946909919312E-2</v>
      </c>
      <c r="CG7" s="211">
        <f t="shared" si="7"/>
        <v>2.5423917521744267E-2</v>
      </c>
      <c r="CH7" s="211">
        <f t="shared" si="7"/>
        <v>2.5761675489020388E-2</v>
      </c>
      <c r="CI7" s="211">
        <f t="shared" si="7"/>
        <v>2.6102525341762977E-2</v>
      </c>
      <c r="CJ7" s="211">
        <f t="shared" si="7"/>
        <v>2.6444252133273036E-2</v>
      </c>
      <c r="CK7" s="211">
        <f t="shared" si="7"/>
        <v>2.6773056025885988E-2</v>
      </c>
      <c r="CL7" s="211">
        <f t="shared" si="7"/>
        <v>2.7122085612618547E-2</v>
      </c>
      <c r="CM7" s="211">
        <f t="shared" si="7"/>
        <v>2.7469755764897501E-2</v>
      </c>
      <c r="CN7" s="211">
        <f t="shared" si="7"/>
        <v>2.7817070442858912E-2</v>
      </c>
      <c r="CO7" s="211">
        <f t="shared" si="7"/>
        <v>2.8163711795348569E-2</v>
      </c>
      <c r="CP7" s="211">
        <f t="shared" si="7"/>
        <v>2.8502327969457612E-2</v>
      </c>
      <c r="CQ7" s="211">
        <f t="shared" si="7"/>
        <v>2.8843756739542103E-2</v>
      </c>
      <c r="CR7" s="211">
        <f t="shared" si="7"/>
        <v>2.9181782176085396E-2</v>
      </c>
      <c r="CS7" s="211">
        <f t="shared" si="7"/>
        <v>2.9530550766824811E-2</v>
      </c>
      <c r="CT7" s="211">
        <f t="shared" si="7"/>
        <v>2.9878704470469284E-2</v>
      </c>
      <c r="CU7" s="211">
        <f t="shared" si="7"/>
        <v>3.0232212339086548E-2</v>
      </c>
      <c r="CV7" s="211">
        <f t="shared" si="7"/>
        <v>3.0571176532984853E-2</v>
      </c>
      <c r="CW7" s="211">
        <f t="shared" si="7"/>
        <v>3.0913013916415811E-2</v>
      </c>
      <c r="CX7" s="211">
        <f t="shared" si="7"/>
        <v>3.1261262120577074E-2</v>
      </c>
      <c r="CY7" s="211">
        <f t="shared" si="7"/>
        <v>3.1614166990651379E-2</v>
      </c>
      <c r="CZ7" s="211">
        <f t="shared" ref="CZ7:EI7" si="8">CZ68</f>
        <v>3.1957561120050687E-2</v>
      </c>
      <c r="DA7" s="211">
        <f t="shared" si="8"/>
        <v>3.2304811745668752E-2</v>
      </c>
      <c r="DB7" s="211">
        <f t="shared" si="8"/>
        <v>3.2646540990036541E-2</v>
      </c>
      <c r="DC7" s="211">
        <f t="shared" si="8"/>
        <v>3.2988772128005078E-2</v>
      </c>
      <c r="DD7" s="211">
        <f t="shared" si="8"/>
        <v>3.3333785761720275E-2</v>
      </c>
      <c r="DE7" s="211">
        <f t="shared" si="8"/>
        <v>3.3670862074876615E-2</v>
      </c>
      <c r="DF7" s="211">
        <f t="shared" si="8"/>
        <v>3.4009635442485989E-2</v>
      </c>
      <c r="DG7" s="211">
        <f t="shared" si="8"/>
        <v>3.4352353656960821E-2</v>
      </c>
      <c r="DH7" s="211">
        <f t="shared" si="8"/>
        <v>3.4698159291505437E-2</v>
      </c>
      <c r="DI7" s="211">
        <f t="shared" si="8"/>
        <v>3.5039778082528117E-2</v>
      </c>
      <c r="DJ7" s="211">
        <f t="shared" si="8"/>
        <v>3.5379571103959756E-2</v>
      </c>
      <c r="DK7" s="211">
        <f t="shared" si="8"/>
        <v>3.5720135104250289E-2</v>
      </c>
      <c r="DL7" s="211">
        <f t="shared" si="8"/>
        <v>3.6062353853796567E-2</v>
      </c>
      <c r="DM7" s="211">
        <f t="shared" si="8"/>
        <v>3.6408102111872634E-2</v>
      </c>
      <c r="DN7" s="211">
        <f t="shared" si="8"/>
        <v>3.6759323623249032E-2</v>
      </c>
      <c r="DO7" s="211">
        <f t="shared" si="8"/>
        <v>3.7105862227428357E-2</v>
      </c>
      <c r="DP7" s="211">
        <f t="shared" si="8"/>
        <v>3.7447620377328336E-2</v>
      </c>
      <c r="DQ7" s="211">
        <f t="shared" si="8"/>
        <v>3.7794752655304034E-2</v>
      </c>
      <c r="DR7" s="211">
        <f t="shared" si="8"/>
        <v>3.8074614635254259E-2</v>
      </c>
      <c r="DS7" s="211">
        <f t="shared" si="8"/>
        <v>3.8360333234115113E-2</v>
      </c>
      <c r="DT7" s="211">
        <f t="shared" si="8"/>
        <v>3.8667193597917003E-2</v>
      </c>
      <c r="DU7" s="211">
        <f t="shared" si="8"/>
        <v>3.8934903043529867E-2</v>
      </c>
      <c r="DV7" s="211">
        <f t="shared" si="8"/>
        <v>3.9191880994540379E-2</v>
      </c>
      <c r="DW7" s="211">
        <f t="shared" si="8"/>
        <v>3.9503482611013011E-2</v>
      </c>
      <c r="DX7" s="211">
        <f t="shared" si="8"/>
        <v>3.973859795410048E-2</v>
      </c>
      <c r="DY7" s="211">
        <f t="shared" si="8"/>
        <v>4.0042126088962557E-2</v>
      </c>
      <c r="DZ7" s="211">
        <f t="shared" si="8"/>
        <v>4.0404685688930908E-2</v>
      </c>
      <c r="EA7" s="211">
        <f t="shared" si="8"/>
        <v>4.0743347339290498E-2</v>
      </c>
      <c r="EB7" s="211">
        <f t="shared" si="8"/>
        <v>4.1091039163700487E-2</v>
      </c>
      <c r="EC7" s="211">
        <f t="shared" si="8"/>
        <v>4.132615450678806E-2</v>
      </c>
      <c r="ED7" s="211">
        <f t="shared" si="8"/>
        <v>4.1561269849875418E-2</v>
      </c>
      <c r="EE7" s="211">
        <f t="shared" si="8"/>
        <v>4.1796385192962873E-2</v>
      </c>
      <c r="EF7" s="211">
        <f t="shared" si="8"/>
        <v>4.2031500536050329E-2</v>
      </c>
      <c r="EG7" s="211">
        <f t="shared" si="8"/>
        <v>4.2266615879137742E-2</v>
      </c>
      <c r="EH7" s="211">
        <f t="shared" si="8"/>
        <v>4.2648552314586946E-2</v>
      </c>
      <c r="EI7" s="212">
        <f t="shared" si="8"/>
        <v>4.2648552314586946E-2</v>
      </c>
    </row>
    <row r="8" spans="1:190" x14ac:dyDescent="0.2">
      <c r="A8" s="192"/>
      <c r="B8" s="192"/>
      <c r="C8" s="192"/>
      <c r="D8" s="192"/>
      <c r="E8" s="192"/>
      <c r="F8" s="192"/>
      <c r="G8" s="254"/>
      <c r="H8" s="268" t="s">
        <v>213</v>
      </c>
      <c r="I8" s="276">
        <f ca="1">(I7-$I$4)/(I7-I6)</f>
        <v>0.10239111529302451</v>
      </c>
      <c r="J8" s="277">
        <f ca="1">(I7-$I$4)/(J7-J6)</f>
        <v>0.10239111529302451</v>
      </c>
      <c r="K8" s="254"/>
      <c r="L8" s="254" t="s">
        <v>0</v>
      </c>
      <c r="M8" s="278">
        <f t="shared" ca="1" si="0"/>
        <v>8</v>
      </c>
      <c r="N8" s="279">
        <f t="shared" ca="1" si="5"/>
        <v>1.0600000000692944E-2</v>
      </c>
      <c r="O8" s="279">
        <f t="shared" ca="1" si="6"/>
        <v>1.0600000000692944E-2</v>
      </c>
      <c r="P8" s="257">
        <f t="shared" ca="1" si="1"/>
        <v>0</v>
      </c>
      <c r="Q8" s="249"/>
      <c r="R8" s="192"/>
      <c r="S8" s="265"/>
      <c r="T8" s="89" t="s">
        <v>3</v>
      </c>
      <c r="U8" s="326"/>
      <c r="V8" s="322">
        <v>1</v>
      </c>
      <c r="W8" s="322"/>
      <c r="X8" s="322"/>
      <c r="Y8" s="322"/>
      <c r="Z8" s="322"/>
      <c r="AA8" s="322"/>
      <c r="AB8" s="322"/>
      <c r="AC8" s="322"/>
      <c r="AD8" s="322"/>
      <c r="AE8" s="322"/>
      <c r="AF8" s="322"/>
      <c r="AG8" s="322"/>
      <c r="AH8" s="322"/>
      <c r="AI8" s="327"/>
      <c r="AJ8" s="192">
        <f t="shared" si="2"/>
        <v>1</v>
      </c>
      <c r="AK8" s="356"/>
      <c r="AL8" s="192"/>
      <c r="AM8" s="192"/>
      <c r="AN8" s="192"/>
      <c r="AO8" s="192"/>
      <c r="AP8" s="192"/>
      <c r="AQ8" s="192"/>
      <c r="AR8" s="192"/>
      <c r="AS8" s="192"/>
      <c r="AT8" s="192"/>
      <c r="AU8" s="192"/>
      <c r="AV8" s="192"/>
      <c r="AW8" s="192"/>
      <c r="AX8" s="192"/>
      <c r="AY8" s="192"/>
      <c r="AZ8" s="192"/>
      <c r="BA8" s="192"/>
      <c r="BB8" s="192"/>
      <c r="BC8" s="192"/>
      <c r="BD8" s="192"/>
      <c r="BE8" s="192"/>
      <c r="BF8" s="192"/>
      <c r="BG8" s="192"/>
      <c r="BH8" s="192"/>
      <c r="BI8" s="192"/>
      <c r="BJ8" s="192"/>
      <c r="BK8" s="192"/>
      <c r="BL8" s="192"/>
      <c r="BM8" s="192"/>
      <c r="BN8" s="192"/>
      <c r="BO8" s="192"/>
      <c r="BP8" s="192"/>
      <c r="BQ8" s="192"/>
      <c r="BR8" s="192"/>
      <c r="BS8" s="192"/>
      <c r="BT8" s="192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192"/>
      <c r="CO8" s="192"/>
      <c r="CP8" s="192"/>
      <c r="CQ8" s="192"/>
      <c r="CR8" s="192"/>
      <c r="CS8" s="192"/>
      <c r="CT8" s="192"/>
      <c r="CU8" s="192"/>
      <c r="CV8" s="192"/>
      <c r="CW8" s="192"/>
      <c r="CX8" s="192"/>
      <c r="CY8" s="192"/>
      <c r="CZ8" s="192"/>
      <c r="DA8" s="192"/>
      <c r="DB8" s="192"/>
      <c r="DC8" s="192"/>
      <c r="DD8" s="192"/>
      <c r="DE8" s="192"/>
      <c r="DF8" s="192"/>
      <c r="DG8" s="192"/>
      <c r="DH8" s="192"/>
      <c r="DI8" s="192"/>
      <c r="DJ8" s="192"/>
      <c r="DK8" s="192"/>
      <c r="DL8" s="192"/>
      <c r="DM8" s="192"/>
      <c r="DN8" s="192"/>
      <c r="DO8" s="192"/>
      <c r="DP8" s="192"/>
      <c r="DQ8" s="192"/>
      <c r="DR8" s="192"/>
      <c r="DS8" s="192"/>
      <c r="DT8" s="192"/>
      <c r="DU8" s="192"/>
      <c r="DV8" s="192"/>
      <c r="DW8" s="192"/>
      <c r="DX8" s="192"/>
      <c r="DY8" s="192"/>
      <c r="DZ8" s="192"/>
      <c r="EA8" s="192"/>
      <c r="EB8" s="192"/>
      <c r="EC8" s="192"/>
      <c r="ED8" s="192"/>
      <c r="EE8" s="192"/>
      <c r="EF8" s="192"/>
      <c r="EG8" s="192"/>
      <c r="EH8" s="192"/>
      <c r="EI8" s="192"/>
    </row>
    <row r="9" spans="1:190" x14ac:dyDescent="0.2">
      <c r="A9" s="192"/>
      <c r="B9" s="192"/>
      <c r="C9" s="192"/>
      <c r="D9" s="265"/>
      <c r="E9" s="192"/>
      <c r="F9" s="192"/>
      <c r="G9" s="254"/>
      <c r="H9" s="253" t="s">
        <v>249</v>
      </c>
      <c r="I9" s="344">
        <f ca="1">ROUND(I5+1-I8,0)</f>
        <v>68</v>
      </c>
      <c r="J9" s="344">
        <f ca="1">ROUND(J5+1-J8,0)</f>
        <v>68</v>
      </c>
      <c r="K9" s="254"/>
      <c r="L9" s="254" t="s">
        <v>150</v>
      </c>
      <c r="M9" s="278">
        <f t="shared" ca="1" si="0"/>
        <v>9</v>
      </c>
      <c r="N9" s="279">
        <f t="shared" ca="1" si="5"/>
        <v>0.26336921203824004</v>
      </c>
      <c r="O9" s="279">
        <f t="shared" ca="1" si="6"/>
        <v>0.26336921203824004</v>
      </c>
      <c r="P9" s="257">
        <f t="shared" ca="1" si="1"/>
        <v>0</v>
      </c>
      <c r="Q9" s="249"/>
      <c r="R9" s="192"/>
      <c r="S9" s="265"/>
      <c r="T9" s="89" t="s">
        <v>4</v>
      </c>
      <c r="U9" s="326"/>
      <c r="V9" s="322">
        <v>1</v>
      </c>
      <c r="W9" s="322"/>
      <c r="X9" s="322"/>
      <c r="Y9" s="322"/>
      <c r="Z9" s="322"/>
      <c r="AA9" s="322"/>
      <c r="AB9" s="322"/>
      <c r="AC9" s="322"/>
      <c r="AD9" s="322"/>
      <c r="AE9" s="322"/>
      <c r="AF9" s="322"/>
      <c r="AG9" s="322"/>
      <c r="AH9" s="322"/>
      <c r="AI9" s="327"/>
      <c r="AJ9" s="192">
        <f t="shared" si="2"/>
        <v>1</v>
      </c>
      <c r="AK9" s="356"/>
      <c r="AL9" s="192"/>
      <c r="AM9" s="234"/>
      <c r="AN9" s="235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  <c r="BN9" s="236"/>
      <c r="BO9" s="236"/>
      <c r="BP9" s="236"/>
      <c r="BQ9" s="236"/>
      <c r="BR9" s="236"/>
      <c r="BS9" s="236"/>
      <c r="BT9" s="236"/>
      <c r="BU9" s="236"/>
      <c r="BV9" s="236"/>
      <c r="BW9" s="236"/>
      <c r="BX9" s="236"/>
      <c r="BY9" s="236"/>
      <c r="BZ9" s="236"/>
      <c r="CA9" s="236"/>
      <c r="CB9" s="236"/>
      <c r="CC9" s="236"/>
      <c r="CD9" s="236"/>
      <c r="CE9" s="236"/>
      <c r="CF9" s="236"/>
      <c r="CG9" s="236"/>
      <c r="CH9" s="236"/>
      <c r="CI9" s="236"/>
      <c r="CJ9" s="236"/>
      <c r="CK9" s="236"/>
      <c r="CL9" s="236"/>
      <c r="CM9" s="236"/>
      <c r="CN9" s="236"/>
      <c r="CO9" s="236"/>
      <c r="CP9" s="236"/>
      <c r="CQ9" s="236"/>
      <c r="CR9" s="236"/>
      <c r="CS9" s="236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  <c r="DN9" s="236"/>
      <c r="DO9" s="236"/>
      <c r="DP9" s="236"/>
      <c r="DQ9" s="236"/>
      <c r="DR9" s="236"/>
      <c r="DS9" s="236"/>
      <c r="DT9" s="236"/>
      <c r="DU9" s="236"/>
      <c r="DV9" s="236"/>
      <c r="DW9" s="236"/>
      <c r="DX9" s="236"/>
      <c r="DY9" s="236"/>
      <c r="DZ9" s="236"/>
      <c r="EA9" s="236"/>
      <c r="EB9" s="236"/>
      <c r="EC9" s="236"/>
      <c r="ED9" s="236"/>
      <c r="EE9" s="236"/>
      <c r="EF9" s="236"/>
      <c r="EG9" s="236"/>
      <c r="EH9" s="236"/>
      <c r="EI9" s="237"/>
    </row>
    <row r="10" spans="1:190" x14ac:dyDescent="0.2">
      <c r="A10" s="192"/>
      <c r="B10" s="192"/>
      <c r="C10" s="192"/>
      <c r="D10" s="265"/>
      <c r="E10" s="265"/>
      <c r="F10" s="265"/>
      <c r="G10" s="254"/>
      <c r="H10" s="254"/>
      <c r="I10" s="254"/>
      <c r="J10" s="254"/>
      <c r="K10" s="254"/>
      <c r="L10" s="254" t="s">
        <v>151</v>
      </c>
      <c r="M10" s="278">
        <f t="shared" ca="1" si="0"/>
        <v>10</v>
      </c>
      <c r="N10" s="279">
        <f t="shared" ca="1" si="5"/>
        <v>7.774999999791439E-2</v>
      </c>
      <c r="O10" s="279">
        <f t="shared" ca="1" si="6"/>
        <v>7.774999999791439E-2</v>
      </c>
      <c r="P10" s="257">
        <f t="shared" ca="1" si="1"/>
        <v>0</v>
      </c>
      <c r="Q10" s="249"/>
      <c r="R10" s="192"/>
      <c r="S10" s="265"/>
      <c r="T10" s="89" t="s">
        <v>5</v>
      </c>
      <c r="U10" s="326"/>
      <c r="V10" s="322"/>
      <c r="W10" s="322">
        <v>1</v>
      </c>
      <c r="X10" s="322"/>
      <c r="Y10" s="322"/>
      <c r="Z10" s="322"/>
      <c r="AA10" s="322"/>
      <c r="AB10" s="322"/>
      <c r="AC10" s="322"/>
      <c r="AD10" s="322"/>
      <c r="AE10" s="322"/>
      <c r="AF10" s="322"/>
      <c r="AG10" s="322"/>
      <c r="AH10" s="322"/>
      <c r="AI10" s="327"/>
      <c r="AJ10" s="192">
        <f t="shared" si="2"/>
        <v>1</v>
      </c>
      <c r="AK10" s="356"/>
      <c r="AL10" s="192"/>
      <c r="AM10" s="238"/>
      <c r="AN10" s="193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  <c r="DA10" s="194"/>
      <c r="DB10" s="194"/>
      <c r="DC10" s="194"/>
      <c r="DD10" s="194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4"/>
      <c r="DZ10" s="194"/>
      <c r="EA10" s="194"/>
      <c r="EB10" s="194"/>
      <c r="EC10" s="194"/>
      <c r="ED10" s="194"/>
      <c r="EE10" s="194"/>
      <c r="EF10" s="194"/>
      <c r="EG10" s="194"/>
      <c r="EH10" s="194"/>
      <c r="EI10" s="239"/>
    </row>
    <row r="11" spans="1:190" x14ac:dyDescent="0.2">
      <c r="A11" s="192"/>
      <c r="B11" s="192"/>
      <c r="C11" s="192"/>
      <c r="D11" s="265"/>
      <c r="E11" s="265"/>
      <c r="F11" s="265"/>
      <c r="G11" s="254"/>
      <c r="H11" s="254"/>
      <c r="I11" s="254"/>
      <c r="J11" s="254"/>
      <c r="K11" s="254"/>
      <c r="L11" s="260" t="s">
        <v>9</v>
      </c>
      <c r="M11" s="284">
        <f t="shared" ca="1" si="0"/>
        <v>11</v>
      </c>
      <c r="N11" s="280">
        <f t="shared" ca="1" si="5"/>
        <v>3.782078815171986E-2</v>
      </c>
      <c r="O11" s="280">
        <f t="shared" ca="1" si="6"/>
        <v>3.782078815171986E-2</v>
      </c>
      <c r="P11" s="261">
        <f t="shared" ca="1" si="1"/>
        <v>0</v>
      </c>
      <c r="Q11" s="249"/>
      <c r="R11" s="192"/>
      <c r="S11" s="265"/>
      <c r="T11" s="89" t="s">
        <v>6</v>
      </c>
      <c r="U11" s="326"/>
      <c r="V11" s="322"/>
      <c r="W11" s="322">
        <v>1</v>
      </c>
      <c r="X11" s="322"/>
      <c r="Y11" s="322"/>
      <c r="Z11" s="322"/>
      <c r="AA11" s="322"/>
      <c r="AB11" s="322"/>
      <c r="AC11" s="322"/>
      <c r="AD11" s="322"/>
      <c r="AE11" s="322"/>
      <c r="AF11" s="322"/>
      <c r="AG11" s="322"/>
      <c r="AH11" s="322"/>
      <c r="AI11" s="327"/>
      <c r="AJ11" s="192">
        <f t="shared" si="2"/>
        <v>1</v>
      </c>
      <c r="AK11" s="356"/>
      <c r="AL11" s="192"/>
      <c r="AM11" s="240"/>
      <c r="AN11" s="241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2"/>
      <c r="BE11" s="242"/>
      <c r="BF11" s="242"/>
      <c r="BG11" s="242"/>
      <c r="BH11" s="242"/>
      <c r="BI11" s="242"/>
      <c r="BJ11" s="242"/>
      <c r="BK11" s="242"/>
      <c r="BL11" s="242"/>
      <c r="BM11" s="242"/>
      <c r="BN11" s="242"/>
      <c r="BO11" s="242"/>
      <c r="BP11" s="242"/>
      <c r="BQ11" s="242"/>
      <c r="BR11" s="242"/>
      <c r="BS11" s="242"/>
      <c r="BT11" s="242"/>
      <c r="BU11" s="242"/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  <c r="CF11" s="242"/>
      <c r="CG11" s="242"/>
      <c r="CH11" s="242"/>
      <c r="CI11" s="242"/>
      <c r="CJ11" s="242"/>
      <c r="CK11" s="242"/>
      <c r="CL11" s="242"/>
      <c r="CM11" s="242"/>
      <c r="CN11" s="242"/>
      <c r="CO11" s="242"/>
      <c r="CP11" s="242"/>
      <c r="CQ11" s="242"/>
      <c r="CR11" s="242"/>
      <c r="CS11" s="242"/>
      <c r="CT11" s="242"/>
      <c r="CU11" s="242"/>
      <c r="CV11" s="242"/>
      <c r="CW11" s="242"/>
      <c r="CX11" s="242"/>
      <c r="CY11" s="242"/>
      <c r="CZ11" s="242"/>
      <c r="DA11" s="242"/>
      <c r="DB11" s="242"/>
      <c r="DC11" s="242"/>
      <c r="DD11" s="242"/>
      <c r="DE11" s="242"/>
      <c r="DF11" s="242"/>
      <c r="DG11" s="242"/>
      <c r="DH11" s="242"/>
      <c r="DI11" s="242"/>
      <c r="DJ11" s="242"/>
      <c r="DK11" s="242"/>
      <c r="DL11" s="242"/>
      <c r="DM11" s="242"/>
      <c r="DN11" s="242"/>
      <c r="DO11" s="242"/>
      <c r="DP11" s="242"/>
      <c r="DQ11" s="242"/>
      <c r="DR11" s="242"/>
      <c r="DS11" s="242"/>
      <c r="DT11" s="242"/>
      <c r="DU11" s="242"/>
      <c r="DV11" s="242"/>
      <c r="DW11" s="242"/>
      <c r="DX11" s="242"/>
      <c r="DY11" s="242"/>
      <c r="DZ11" s="242"/>
      <c r="EA11" s="242"/>
      <c r="EB11" s="242"/>
      <c r="EC11" s="242"/>
      <c r="ED11" s="242"/>
      <c r="EE11" s="242"/>
      <c r="EF11" s="242"/>
      <c r="EG11" s="242"/>
      <c r="EH11" s="242"/>
      <c r="EI11" s="243"/>
    </row>
    <row r="12" spans="1:190" x14ac:dyDescent="0.2">
      <c r="A12" s="192"/>
      <c r="B12" s="192"/>
      <c r="C12" s="192"/>
      <c r="D12" s="265"/>
      <c r="E12" s="265"/>
      <c r="F12" s="265"/>
      <c r="G12" s="254"/>
      <c r="H12" s="254"/>
      <c r="I12" s="254"/>
      <c r="J12" s="254"/>
      <c r="K12" s="254"/>
      <c r="L12" s="254" t="s">
        <v>152</v>
      </c>
      <c r="M12" s="278">
        <f t="shared" ca="1" si="0"/>
        <v>12</v>
      </c>
      <c r="N12" s="279">
        <f t="shared" ca="1" si="5"/>
        <v>4.1430787961067021E-2</v>
      </c>
      <c r="O12" s="279">
        <f t="shared" ca="1" si="6"/>
        <v>4.1430787961067021E-2</v>
      </c>
      <c r="P12" s="257">
        <f t="shared" ca="1" si="1"/>
        <v>0</v>
      </c>
      <c r="Q12" s="249"/>
      <c r="R12" s="192"/>
      <c r="S12" s="265"/>
      <c r="T12" s="89" t="s">
        <v>7</v>
      </c>
      <c r="U12" s="326"/>
      <c r="V12" s="322"/>
      <c r="W12" s="322">
        <v>1</v>
      </c>
      <c r="X12" s="322"/>
      <c r="Y12" s="322"/>
      <c r="Z12" s="322"/>
      <c r="AA12" s="322"/>
      <c r="AB12" s="322"/>
      <c r="AC12" s="322"/>
      <c r="AD12" s="322"/>
      <c r="AE12" s="322"/>
      <c r="AF12" s="322"/>
      <c r="AG12" s="322"/>
      <c r="AH12" s="322"/>
      <c r="AI12" s="327"/>
      <c r="AJ12" s="192">
        <f t="shared" si="2"/>
        <v>1</v>
      </c>
      <c r="AK12" s="360" t="s">
        <v>118</v>
      </c>
      <c r="AL12" s="192"/>
      <c r="AM12" s="190" t="str">
        <f>AK12</f>
        <v>Target</v>
      </c>
      <c r="AN12" s="190">
        <f t="shared" ref="AN12:BS12" ca="1" si="9">IF(grph_targetScen1=AN$4, 1.05,0)</f>
        <v>0</v>
      </c>
      <c r="AO12" s="190">
        <f t="shared" ca="1" si="9"/>
        <v>0</v>
      </c>
      <c r="AP12" s="190">
        <f t="shared" ca="1" si="9"/>
        <v>0</v>
      </c>
      <c r="AQ12" s="190">
        <f t="shared" ca="1" si="9"/>
        <v>0</v>
      </c>
      <c r="AR12" s="190">
        <f t="shared" ca="1" si="9"/>
        <v>0</v>
      </c>
      <c r="AS12" s="190">
        <f t="shared" ca="1" si="9"/>
        <v>0</v>
      </c>
      <c r="AT12" s="190">
        <f t="shared" ca="1" si="9"/>
        <v>0</v>
      </c>
      <c r="AU12" s="190">
        <f t="shared" ca="1" si="9"/>
        <v>0</v>
      </c>
      <c r="AV12" s="190">
        <f t="shared" ca="1" si="9"/>
        <v>0</v>
      </c>
      <c r="AW12" s="190">
        <f t="shared" ca="1" si="9"/>
        <v>0</v>
      </c>
      <c r="AX12" s="190">
        <f t="shared" ca="1" si="9"/>
        <v>0</v>
      </c>
      <c r="AY12" s="190">
        <f t="shared" ca="1" si="9"/>
        <v>0</v>
      </c>
      <c r="AZ12" s="190">
        <f t="shared" ca="1" si="9"/>
        <v>0</v>
      </c>
      <c r="BA12" s="190">
        <f t="shared" ca="1" si="9"/>
        <v>0</v>
      </c>
      <c r="BB12" s="190">
        <f t="shared" ca="1" si="9"/>
        <v>0</v>
      </c>
      <c r="BC12" s="190">
        <f t="shared" ca="1" si="9"/>
        <v>0</v>
      </c>
      <c r="BD12" s="190">
        <f t="shared" ca="1" si="9"/>
        <v>0</v>
      </c>
      <c r="BE12" s="190">
        <f t="shared" ca="1" si="9"/>
        <v>0</v>
      </c>
      <c r="BF12" s="190">
        <f t="shared" ca="1" si="9"/>
        <v>0</v>
      </c>
      <c r="BG12" s="190">
        <f t="shared" ca="1" si="9"/>
        <v>0</v>
      </c>
      <c r="BH12" s="190">
        <f t="shared" ca="1" si="9"/>
        <v>0</v>
      </c>
      <c r="BI12" s="190">
        <f t="shared" ca="1" si="9"/>
        <v>0</v>
      </c>
      <c r="BJ12" s="190">
        <f t="shared" ca="1" si="9"/>
        <v>0</v>
      </c>
      <c r="BK12" s="190">
        <f t="shared" ca="1" si="9"/>
        <v>0</v>
      </c>
      <c r="BL12" s="190">
        <f t="shared" ca="1" si="9"/>
        <v>0</v>
      </c>
      <c r="BM12" s="190">
        <f t="shared" ca="1" si="9"/>
        <v>0</v>
      </c>
      <c r="BN12" s="190">
        <f t="shared" ca="1" si="9"/>
        <v>0</v>
      </c>
      <c r="BO12" s="190">
        <f t="shared" ca="1" si="9"/>
        <v>0</v>
      </c>
      <c r="BP12" s="190">
        <f t="shared" ca="1" si="9"/>
        <v>0</v>
      </c>
      <c r="BQ12" s="190">
        <f t="shared" ca="1" si="9"/>
        <v>0</v>
      </c>
      <c r="BR12" s="190">
        <f t="shared" ca="1" si="9"/>
        <v>0</v>
      </c>
      <c r="BS12" s="190">
        <f t="shared" ca="1" si="9"/>
        <v>0</v>
      </c>
      <c r="BT12" s="190">
        <f t="shared" ref="BT12:CY12" ca="1" si="10">IF(grph_targetScen1=BT$4, 1.05,0)</f>
        <v>0</v>
      </c>
      <c r="BU12" s="190">
        <f t="shared" ca="1" si="10"/>
        <v>0</v>
      </c>
      <c r="BV12" s="190">
        <f t="shared" ca="1" si="10"/>
        <v>0</v>
      </c>
      <c r="BW12" s="190">
        <f t="shared" ca="1" si="10"/>
        <v>0</v>
      </c>
      <c r="BX12" s="190">
        <f t="shared" ca="1" si="10"/>
        <v>0</v>
      </c>
      <c r="BY12" s="190">
        <f t="shared" ca="1" si="10"/>
        <v>0</v>
      </c>
      <c r="BZ12" s="190">
        <f t="shared" ca="1" si="10"/>
        <v>0</v>
      </c>
      <c r="CA12" s="190">
        <f t="shared" ca="1" si="10"/>
        <v>0</v>
      </c>
      <c r="CB12" s="190">
        <f t="shared" ca="1" si="10"/>
        <v>0</v>
      </c>
      <c r="CC12" s="190">
        <f t="shared" ca="1" si="10"/>
        <v>0</v>
      </c>
      <c r="CD12" s="190">
        <f t="shared" ca="1" si="10"/>
        <v>0</v>
      </c>
      <c r="CE12" s="190">
        <f t="shared" ca="1" si="10"/>
        <v>0</v>
      </c>
      <c r="CF12" s="190">
        <f t="shared" ca="1" si="10"/>
        <v>0</v>
      </c>
      <c r="CG12" s="190">
        <f t="shared" ca="1" si="10"/>
        <v>0</v>
      </c>
      <c r="CH12" s="190">
        <f t="shared" ca="1" si="10"/>
        <v>0</v>
      </c>
      <c r="CI12" s="190">
        <f t="shared" ca="1" si="10"/>
        <v>0</v>
      </c>
      <c r="CJ12" s="190">
        <f t="shared" ca="1" si="10"/>
        <v>0</v>
      </c>
      <c r="CK12" s="190">
        <f t="shared" ca="1" si="10"/>
        <v>0</v>
      </c>
      <c r="CL12" s="190">
        <f t="shared" ca="1" si="10"/>
        <v>0</v>
      </c>
      <c r="CM12" s="190">
        <f t="shared" ca="1" si="10"/>
        <v>0</v>
      </c>
      <c r="CN12" s="190">
        <f t="shared" ca="1" si="10"/>
        <v>0</v>
      </c>
      <c r="CO12" s="190">
        <f t="shared" ca="1" si="10"/>
        <v>0</v>
      </c>
      <c r="CP12" s="190">
        <f t="shared" ca="1" si="10"/>
        <v>0</v>
      </c>
      <c r="CQ12" s="190">
        <f t="shared" ca="1" si="10"/>
        <v>0</v>
      </c>
      <c r="CR12" s="190">
        <f t="shared" ca="1" si="10"/>
        <v>0</v>
      </c>
      <c r="CS12" s="190">
        <f t="shared" ca="1" si="10"/>
        <v>0</v>
      </c>
      <c r="CT12" s="190">
        <f t="shared" ca="1" si="10"/>
        <v>0</v>
      </c>
      <c r="CU12" s="190">
        <f t="shared" ca="1" si="10"/>
        <v>0</v>
      </c>
      <c r="CV12" s="190">
        <f t="shared" ca="1" si="10"/>
        <v>0</v>
      </c>
      <c r="CW12" s="190">
        <f t="shared" ca="1" si="10"/>
        <v>0</v>
      </c>
      <c r="CX12" s="190">
        <f t="shared" ca="1" si="10"/>
        <v>0</v>
      </c>
      <c r="CY12" s="190">
        <f t="shared" ca="1" si="10"/>
        <v>0</v>
      </c>
      <c r="CZ12" s="190">
        <f t="shared" ref="CZ12:EI12" ca="1" si="11">IF(grph_targetScen1=CZ$4, 1.05,0)</f>
        <v>0</v>
      </c>
      <c r="DA12" s="190">
        <f t="shared" ca="1" si="11"/>
        <v>0</v>
      </c>
      <c r="DB12" s="190">
        <f t="shared" ca="1" si="11"/>
        <v>0</v>
      </c>
      <c r="DC12" s="190">
        <f t="shared" ca="1" si="11"/>
        <v>1.05</v>
      </c>
      <c r="DD12" s="190">
        <f t="shared" ca="1" si="11"/>
        <v>0</v>
      </c>
      <c r="DE12" s="190">
        <f t="shared" ca="1" si="11"/>
        <v>0</v>
      </c>
      <c r="DF12" s="190">
        <f t="shared" ca="1" si="11"/>
        <v>0</v>
      </c>
      <c r="DG12" s="190">
        <f t="shared" ca="1" si="11"/>
        <v>0</v>
      </c>
      <c r="DH12" s="190">
        <f t="shared" ca="1" si="11"/>
        <v>0</v>
      </c>
      <c r="DI12" s="190">
        <f t="shared" ca="1" si="11"/>
        <v>0</v>
      </c>
      <c r="DJ12" s="190">
        <f t="shared" ca="1" si="11"/>
        <v>0</v>
      </c>
      <c r="DK12" s="190">
        <f t="shared" ca="1" si="11"/>
        <v>0</v>
      </c>
      <c r="DL12" s="190">
        <f t="shared" ca="1" si="11"/>
        <v>0</v>
      </c>
      <c r="DM12" s="190">
        <f t="shared" ca="1" si="11"/>
        <v>0</v>
      </c>
      <c r="DN12" s="190">
        <f t="shared" ca="1" si="11"/>
        <v>0</v>
      </c>
      <c r="DO12" s="190">
        <f t="shared" ca="1" si="11"/>
        <v>0</v>
      </c>
      <c r="DP12" s="190">
        <f t="shared" ca="1" si="11"/>
        <v>0</v>
      </c>
      <c r="DQ12" s="190">
        <f t="shared" ca="1" si="11"/>
        <v>0</v>
      </c>
      <c r="DR12" s="190">
        <f t="shared" ca="1" si="11"/>
        <v>0</v>
      </c>
      <c r="DS12" s="190">
        <f t="shared" ca="1" si="11"/>
        <v>0</v>
      </c>
      <c r="DT12" s="190">
        <f t="shared" ca="1" si="11"/>
        <v>0</v>
      </c>
      <c r="DU12" s="190">
        <f t="shared" ca="1" si="11"/>
        <v>0</v>
      </c>
      <c r="DV12" s="190">
        <f t="shared" ca="1" si="11"/>
        <v>0</v>
      </c>
      <c r="DW12" s="190">
        <f t="shared" ca="1" si="11"/>
        <v>0</v>
      </c>
      <c r="DX12" s="190">
        <f t="shared" ca="1" si="11"/>
        <v>0</v>
      </c>
      <c r="DY12" s="190">
        <f t="shared" ca="1" si="11"/>
        <v>0</v>
      </c>
      <c r="DZ12" s="190">
        <f t="shared" ca="1" si="11"/>
        <v>0</v>
      </c>
      <c r="EA12" s="190">
        <f t="shared" ca="1" si="11"/>
        <v>0</v>
      </c>
      <c r="EB12" s="190">
        <f t="shared" ca="1" si="11"/>
        <v>0</v>
      </c>
      <c r="EC12" s="190">
        <f t="shared" ca="1" si="11"/>
        <v>0</v>
      </c>
      <c r="ED12" s="190">
        <f t="shared" ca="1" si="11"/>
        <v>0</v>
      </c>
      <c r="EE12" s="190">
        <f t="shared" ca="1" si="11"/>
        <v>0</v>
      </c>
      <c r="EF12" s="190">
        <f t="shared" ca="1" si="11"/>
        <v>0</v>
      </c>
      <c r="EG12" s="190">
        <f t="shared" ca="1" si="11"/>
        <v>0</v>
      </c>
      <c r="EH12" s="190">
        <f t="shared" ca="1" si="11"/>
        <v>0</v>
      </c>
      <c r="EI12" s="190">
        <f t="shared" ca="1" si="11"/>
        <v>0</v>
      </c>
    </row>
    <row r="13" spans="1:190" x14ac:dyDescent="0.2">
      <c r="A13" s="192"/>
      <c r="B13" s="192"/>
      <c r="C13" s="192"/>
      <c r="D13" s="192"/>
      <c r="E13" s="265"/>
      <c r="F13" s="265"/>
      <c r="G13" s="254"/>
      <c r="H13" s="254"/>
      <c r="I13" s="254"/>
      <c r="J13" s="254"/>
      <c r="K13" s="254"/>
      <c r="L13" s="254" t="s">
        <v>153</v>
      </c>
      <c r="M13" s="278">
        <f t="shared" ca="1" si="0"/>
        <v>13</v>
      </c>
      <c r="N13" s="279">
        <f t="shared" ca="1" si="5"/>
        <v>1.392663765307432E-12</v>
      </c>
      <c r="O13" s="279">
        <f t="shared" ca="1" si="6"/>
        <v>1.392663765307432E-12</v>
      </c>
      <c r="P13" s="257">
        <f t="shared" ca="1" si="1"/>
        <v>0</v>
      </c>
      <c r="Q13" s="249"/>
      <c r="R13" s="192"/>
      <c r="S13" s="265"/>
      <c r="T13" s="89" t="s">
        <v>8</v>
      </c>
      <c r="U13" s="326"/>
      <c r="V13" s="322"/>
      <c r="W13" s="322">
        <v>1</v>
      </c>
      <c r="X13" s="322"/>
      <c r="Y13" s="322"/>
      <c r="Z13" s="322"/>
      <c r="AA13" s="322"/>
      <c r="AB13" s="322"/>
      <c r="AC13" s="322"/>
      <c r="AD13" s="322"/>
      <c r="AE13" s="322"/>
      <c r="AF13" s="322"/>
      <c r="AG13" s="322"/>
      <c r="AH13" s="322"/>
      <c r="AI13" s="327"/>
      <c r="AJ13" s="192">
        <f t="shared" si="2"/>
        <v>1</v>
      </c>
      <c r="AK13" s="360" t="s">
        <v>0</v>
      </c>
      <c r="AL13" s="331">
        <f t="shared" ref="AL13:AL27" ca="1" si="12">MATCH(AK13,OFFSET(grph_aggregate_matrix,0,1,1,50),0)</f>
        <v>1</v>
      </c>
      <c r="AM13" s="234" t="str">
        <f>AK13</f>
        <v>Cash</v>
      </c>
      <c r="AN13" s="332">
        <f t="shared" ref="AN13:AW27" ca="1" si="13">SUMPRODUCT(OFFSET(grph_CorpData1,1,AN$4,_num_assets,1),OFFSET(grph_aggregate_matrix,1,$AL13,_num_assets,1))</f>
        <v>0.14179799082621383</v>
      </c>
      <c r="AO13" s="236">
        <f t="shared" ca="1" si="13"/>
        <v>0.13233091861973695</v>
      </c>
      <c r="AP13" s="236">
        <f t="shared" ca="1" si="13"/>
        <v>0.1243942655455476</v>
      </c>
      <c r="AQ13" s="236">
        <f t="shared" ca="1" si="13"/>
        <v>0.11520116989470815</v>
      </c>
      <c r="AR13" s="236">
        <f t="shared" ca="1" si="13"/>
        <v>0.10916922641255304</v>
      </c>
      <c r="AS13" s="236">
        <f t="shared" ca="1" si="13"/>
        <v>0.10360047909410217</v>
      </c>
      <c r="AT13" s="236">
        <f t="shared" ca="1" si="13"/>
        <v>9.6075954155486074E-2</v>
      </c>
      <c r="AU13" s="236">
        <f t="shared" ca="1" si="13"/>
        <v>8.9845004617069596E-2</v>
      </c>
      <c r="AV13" s="236">
        <f t="shared" ca="1" si="13"/>
        <v>8.1880626480782523E-2</v>
      </c>
      <c r="AW13" s="236">
        <f t="shared" ca="1" si="13"/>
        <v>7.4763169275450445E-2</v>
      </c>
      <c r="AX13" s="236">
        <f t="shared" ref="AX13:BG27" ca="1" si="14">SUMPRODUCT(OFFSET(grph_CorpData1,1,AX$4,_num_assets,1),OFFSET(grph_aggregate_matrix,1,$AL13,_num_assets,1))</f>
        <v>6.9245757013342041E-2</v>
      </c>
      <c r="AY13" s="236">
        <f t="shared" ca="1" si="14"/>
        <v>6.2578770300411937E-2</v>
      </c>
      <c r="AZ13" s="236">
        <f t="shared" ca="1" si="14"/>
        <v>5.6082941838110772E-2</v>
      </c>
      <c r="BA13" s="236">
        <f t="shared" ca="1" si="14"/>
        <v>5.0575807917931599E-2</v>
      </c>
      <c r="BB13" s="236">
        <f t="shared" ca="1" si="14"/>
        <v>4.4966573648398643E-2</v>
      </c>
      <c r="BC13" s="236">
        <f t="shared" ca="1" si="14"/>
        <v>3.9620894965772896E-2</v>
      </c>
      <c r="BD13" s="236">
        <f t="shared" ca="1" si="14"/>
        <v>3.4756315073657965E-2</v>
      </c>
      <c r="BE13" s="236">
        <f t="shared" ca="1" si="14"/>
        <v>2.820966588995916E-2</v>
      </c>
      <c r="BF13" s="236">
        <f t="shared" ca="1" si="14"/>
        <v>2.1498020140681542E-2</v>
      </c>
      <c r="BG13" s="236">
        <f t="shared" ca="1" si="14"/>
        <v>1.4429740286368013E-2</v>
      </c>
      <c r="BH13" s="236">
        <f t="shared" ref="BH13:BQ27" ca="1" si="15">SUMPRODUCT(OFFSET(grph_CorpData1,1,BH$4,_num_assets,1),OFFSET(grph_aggregate_matrix,1,$AL13,_num_assets,1))</f>
        <v>1.0600000000692944E-2</v>
      </c>
      <c r="BI13" s="236">
        <f t="shared" ca="1" si="15"/>
        <v>1.0600000000692944E-2</v>
      </c>
      <c r="BJ13" s="236">
        <f t="shared" ca="1" si="15"/>
        <v>1.0600000000692944E-2</v>
      </c>
      <c r="BK13" s="236">
        <f t="shared" ca="1" si="15"/>
        <v>1.0600000000692944E-2</v>
      </c>
      <c r="BL13" s="236">
        <f t="shared" ca="1" si="15"/>
        <v>1.0600000000692944E-2</v>
      </c>
      <c r="BM13" s="236">
        <f t="shared" ca="1" si="15"/>
        <v>1.0600000000692944E-2</v>
      </c>
      <c r="BN13" s="236">
        <f t="shared" ca="1" si="15"/>
        <v>1.0600000000692944E-2</v>
      </c>
      <c r="BO13" s="236">
        <f t="shared" ca="1" si="15"/>
        <v>1.0600000000692944E-2</v>
      </c>
      <c r="BP13" s="236">
        <f t="shared" ca="1" si="15"/>
        <v>1.0600000000692944E-2</v>
      </c>
      <c r="BQ13" s="236">
        <f t="shared" ca="1" si="15"/>
        <v>1.0600000000692944E-2</v>
      </c>
      <c r="BR13" s="236">
        <f t="shared" ref="BR13:CA27" ca="1" si="16">SUMPRODUCT(OFFSET(grph_CorpData1,1,BR$4,_num_assets,1),OFFSET(grph_aggregate_matrix,1,$AL13,_num_assets,1))</f>
        <v>1.0600000000692944E-2</v>
      </c>
      <c r="BS13" s="236">
        <f t="shared" ca="1" si="16"/>
        <v>1.0600000000692944E-2</v>
      </c>
      <c r="BT13" s="236">
        <f t="shared" ca="1" si="16"/>
        <v>1.0600000000692944E-2</v>
      </c>
      <c r="BU13" s="236">
        <f t="shared" ca="1" si="16"/>
        <v>1.0600000000692944E-2</v>
      </c>
      <c r="BV13" s="236">
        <f t="shared" ca="1" si="16"/>
        <v>1.0600000000692944E-2</v>
      </c>
      <c r="BW13" s="236">
        <f t="shared" ca="1" si="16"/>
        <v>1.0600000000692944E-2</v>
      </c>
      <c r="BX13" s="236">
        <f t="shared" ca="1" si="16"/>
        <v>1.0600000000692944E-2</v>
      </c>
      <c r="BY13" s="236">
        <f t="shared" ca="1" si="16"/>
        <v>1.0600000000692944E-2</v>
      </c>
      <c r="BZ13" s="236">
        <f t="shared" ca="1" si="16"/>
        <v>1.0600000000692944E-2</v>
      </c>
      <c r="CA13" s="236">
        <f t="shared" ca="1" si="16"/>
        <v>1.0600000000692944E-2</v>
      </c>
      <c r="CB13" s="236">
        <f t="shared" ref="CB13:CK27" ca="1" si="17">SUMPRODUCT(OFFSET(grph_CorpData1,1,CB$4,_num_assets,1),OFFSET(grph_aggregate_matrix,1,$AL13,_num_assets,1))</f>
        <v>1.0600000000692944E-2</v>
      </c>
      <c r="CC13" s="236">
        <f t="shared" ca="1" si="17"/>
        <v>1.0600000000692944E-2</v>
      </c>
      <c r="CD13" s="236">
        <f t="shared" ca="1" si="17"/>
        <v>1.0600000000692944E-2</v>
      </c>
      <c r="CE13" s="236">
        <f t="shared" ca="1" si="17"/>
        <v>1.0600000000692944E-2</v>
      </c>
      <c r="CF13" s="236">
        <f t="shared" ca="1" si="17"/>
        <v>1.0600000000692944E-2</v>
      </c>
      <c r="CG13" s="236">
        <f t="shared" ca="1" si="17"/>
        <v>1.0600000000692944E-2</v>
      </c>
      <c r="CH13" s="236">
        <f t="shared" ca="1" si="17"/>
        <v>1.0600000000692944E-2</v>
      </c>
      <c r="CI13" s="236">
        <f t="shared" ca="1" si="17"/>
        <v>1.0600000000692944E-2</v>
      </c>
      <c r="CJ13" s="236">
        <f t="shared" ca="1" si="17"/>
        <v>1.0600000000692944E-2</v>
      </c>
      <c r="CK13" s="236">
        <f t="shared" ca="1" si="17"/>
        <v>1.0600000000692944E-2</v>
      </c>
      <c r="CL13" s="236">
        <f t="shared" ref="CL13:CU27" ca="1" si="18">SUMPRODUCT(OFFSET(grph_CorpData1,1,CL$4,_num_assets,1),OFFSET(grph_aggregate_matrix,1,$AL13,_num_assets,1))</f>
        <v>1.0600000000692944E-2</v>
      </c>
      <c r="CM13" s="236">
        <f t="shared" ca="1" si="18"/>
        <v>1.0600000000692944E-2</v>
      </c>
      <c r="CN13" s="236">
        <f t="shared" ca="1" si="18"/>
        <v>1.0600000000692944E-2</v>
      </c>
      <c r="CO13" s="236">
        <f t="shared" ca="1" si="18"/>
        <v>1.0600000000692944E-2</v>
      </c>
      <c r="CP13" s="236">
        <f t="shared" ca="1" si="18"/>
        <v>1.0600000000692944E-2</v>
      </c>
      <c r="CQ13" s="236">
        <f t="shared" ca="1" si="18"/>
        <v>1.0600000000692944E-2</v>
      </c>
      <c r="CR13" s="236">
        <f t="shared" ca="1" si="18"/>
        <v>1.0600000000692944E-2</v>
      </c>
      <c r="CS13" s="236">
        <f t="shared" ca="1" si="18"/>
        <v>1.0600000000692944E-2</v>
      </c>
      <c r="CT13" s="236">
        <f t="shared" ca="1" si="18"/>
        <v>1.0600000000692944E-2</v>
      </c>
      <c r="CU13" s="236">
        <f t="shared" ca="1" si="18"/>
        <v>1.0600000000692944E-2</v>
      </c>
      <c r="CV13" s="236">
        <f t="shared" ref="CV13:DE27" ca="1" si="19">SUMPRODUCT(OFFSET(grph_CorpData1,1,CV$4,_num_assets,1),OFFSET(grph_aggregate_matrix,1,$AL13,_num_assets,1))</f>
        <v>1.0600000000692944E-2</v>
      </c>
      <c r="CW13" s="236">
        <f t="shared" ca="1" si="19"/>
        <v>1.0600000000692944E-2</v>
      </c>
      <c r="CX13" s="236">
        <f t="shared" ca="1" si="19"/>
        <v>1.0600000000692944E-2</v>
      </c>
      <c r="CY13" s="236">
        <f t="shared" ca="1" si="19"/>
        <v>1.0600000000692944E-2</v>
      </c>
      <c r="CZ13" s="236">
        <f t="shared" ca="1" si="19"/>
        <v>1.0600000000692944E-2</v>
      </c>
      <c r="DA13" s="236">
        <f t="shared" ca="1" si="19"/>
        <v>1.0600000000692944E-2</v>
      </c>
      <c r="DB13" s="236">
        <f t="shared" ca="1" si="19"/>
        <v>1.0600000000692944E-2</v>
      </c>
      <c r="DC13" s="236">
        <f t="shared" ca="1" si="19"/>
        <v>1.0600000000692944E-2</v>
      </c>
      <c r="DD13" s="236">
        <f t="shared" ca="1" si="19"/>
        <v>1.0600000000692944E-2</v>
      </c>
      <c r="DE13" s="236">
        <f t="shared" ca="1" si="19"/>
        <v>1.0600000000692944E-2</v>
      </c>
      <c r="DF13" s="236">
        <f t="shared" ref="DF13:DO27" ca="1" si="20">SUMPRODUCT(OFFSET(grph_CorpData1,1,DF$4,_num_assets,1),OFFSET(grph_aggregate_matrix,1,$AL13,_num_assets,1))</f>
        <v>1.0600000000692944E-2</v>
      </c>
      <c r="DG13" s="236">
        <f t="shared" ca="1" si="20"/>
        <v>1.0600000000692944E-2</v>
      </c>
      <c r="DH13" s="236">
        <f t="shared" ca="1" si="20"/>
        <v>1.0600000000692944E-2</v>
      </c>
      <c r="DI13" s="236">
        <f t="shared" ca="1" si="20"/>
        <v>1.0600000000692944E-2</v>
      </c>
      <c r="DJ13" s="236">
        <f t="shared" ca="1" si="20"/>
        <v>1.0600000000692944E-2</v>
      </c>
      <c r="DK13" s="236">
        <f t="shared" ca="1" si="20"/>
        <v>1.0600000000692944E-2</v>
      </c>
      <c r="DL13" s="236">
        <f t="shared" ca="1" si="20"/>
        <v>1.0600000000692944E-2</v>
      </c>
      <c r="DM13" s="236">
        <f t="shared" ca="1" si="20"/>
        <v>1.0600000000692944E-2</v>
      </c>
      <c r="DN13" s="236">
        <f t="shared" ca="1" si="20"/>
        <v>1.0600000000692944E-2</v>
      </c>
      <c r="DO13" s="236">
        <f t="shared" ca="1" si="20"/>
        <v>1.0600000000692944E-2</v>
      </c>
      <c r="DP13" s="236">
        <f t="shared" ref="DP13:DY27" ca="1" si="21">SUMPRODUCT(OFFSET(grph_CorpData1,1,DP$4,_num_assets,1),OFFSET(grph_aggregate_matrix,1,$AL13,_num_assets,1))</f>
        <v>1.0600000000692944E-2</v>
      </c>
      <c r="DQ13" s="236">
        <f t="shared" ca="1" si="21"/>
        <v>1.0600000000692944E-2</v>
      </c>
      <c r="DR13" s="236">
        <f t="shared" ca="1" si="21"/>
        <v>1.0600000000692944E-2</v>
      </c>
      <c r="DS13" s="236">
        <f t="shared" ca="1" si="21"/>
        <v>1.0600000000692944E-2</v>
      </c>
      <c r="DT13" s="236">
        <f t="shared" ca="1" si="21"/>
        <v>1.0600000000692944E-2</v>
      </c>
      <c r="DU13" s="236">
        <f t="shared" ca="1" si="21"/>
        <v>1.0600000000692946E-2</v>
      </c>
      <c r="DV13" s="236">
        <f t="shared" ca="1" si="21"/>
        <v>1.0600000000692944E-2</v>
      </c>
      <c r="DW13" s="236">
        <f t="shared" ca="1" si="21"/>
        <v>1.0600000000692944E-2</v>
      </c>
      <c r="DX13" s="236">
        <f t="shared" ca="1" si="21"/>
        <v>1.0600000000692944E-2</v>
      </c>
      <c r="DY13" s="236">
        <f t="shared" ca="1" si="21"/>
        <v>2.0342527715441542E-2</v>
      </c>
      <c r="DZ13" s="236">
        <f t="shared" ref="DZ13:EI27" ca="1" si="22">SUMPRODUCT(OFFSET(grph_CorpData1,1,DZ$4,_num_assets,1),OFFSET(grph_aggregate_matrix,1,$AL13,_num_assets,1))</f>
        <v>3.8491607332567526E-2</v>
      </c>
      <c r="EA13" s="236">
        <f t="shared" ca="1" si="22"/>
        <v>5.3237428138748433E-2</v>
      </c>
      <c r="EB13" s="236">
        <f t="shared" ca="1" si="22"/>
        <v>6.9269217821103096E-2</v>
      </c>
      <c r="EC13" s="236">
        <f t="shared" ca="1" si="22"/>
        <v>6.9269217821103624E-2</v>
      </c>
      <c r="ED13" s="236">
        <f t="shared" ca="1" si="22"/>
        <v>6.9269217821102375E-2</v>
      </c>
      <c r="EE13" s="236">
        <f t="shared" ca="1" si="22"/>
        <v>6.9269217821102388E-2</v>
      </c>
      <c r="EF13" s="236">
        <f t="shared" ca="1" si="22"/>
        <v>6.9269217821102388E-2</v>
      </c>
      <c r="EG13" s="236">
        <f t="shared" ca="1" si="22"/>
        <v>6.9269217821102388E-2</v>
      </c>
      <c r="EH13" s="236">
        <f t="shared" ca="1" si="22"/>
        <v>8.8119859034992601E-2</v>
      </c>
      <c r="EI13" s="335">
        <f t="shared" ca="1" si="22"/>
        <v>8.8119859034992601E-2</v>
      </c>
    </row>
    <row r="14" spans="1:190" x14ac:dyDescent="0.2">
      <c r="A14" s="192"/>
      <c r="B14" s="192"/>
      <c r="C14" s="192"/>
      <c r="D14" s="192"/>
      <c r="E14" s="265"/>
      <c r="F14" s="265"/>
      <c r="G14" s="254"/>
      <c r="H14" s="254"/>
      <c r="I14" s="254"/>
      <c r="J14" s="254"/>
      <c r="K14" s="254"/>
      <c r="L14" s="254" t="s">
        <v>156</v>
      </c>
      <c r="M14" s="278">
        <f t="shared" ca="1" si="0"/>
        <v>14</v>
      </c>
      <c r="N14" s="279">
        <f t="shared" ca="1" si="5"/>
        <v>1.1749211848280148E-2</v>
      </c>
      <c r="O14" s="279">
        <f t="shared" ca="1" si="6"/>
        <v>1.1749211848280148E-2</v>
      </c>
      <c r="P14" s="257">
        <f t="shared" ca="1" si="1"/>
        <v>0</v>
      </c>
      <c r="Q14" s="249"/>
      <c r="R14" s="192"/>
      <c r="S14" s="265"/>
      <c r="T14" s="89" t="s">
        <v>9</v>
      </c>
      <c r="U14" s="326"/>
      <c r="V14" s="322"/>
      <c r="W14" s="322"/>
      <c r="X14" s="322">
        <v>1</v>
      </c>
      <c r="Y14" s="322"/>
      <c r="Z14" s="322"/>
      <c r="AA14" s="322"/>
      <c r="AB14" s="322"/>
      <c r="AC14" s="322"/>
      <c r="AD14" s="322"/>
      <c r="AE14" s="322"/>
      <c r="AF14" s="322"/>
      <c r="AG14" s="322"/>
      <c r="AH14" s="322"/>
      <c r="AI14" s="327"/>
      <c r="AJ14" s="192">
        <f t="shared" si="2"/>
        <v>1</v>
      </c>
      <c r="AK14" s="360" t="s">
        <v>150</v>
      </c>
      <c r="AL14" s="331">
        <f t="shared" ca="1" si="12"/>
        <v>2</v>
      </c>
      <c r="AM14" s="238" t="str">
        <f t="shared" ref="AM14:AM27" si="23">AK14</f>
        <v>US Bond</v>
      </c>
      <c r="AN14" s="333">
        <f t="shared" ca="1" si="13"/>
        <v>0.17360199869735138</v>
      </c>
      <c r="AO14" s="194">
        <f t="shared" ca="1" si="13"/>
        <v>0.18306907090382826</v>
      </c>
      <c r="AP14" s="194">
        <f t="shared" ca="1" si="13"/>
        <v>0.19100573416402442</v>
      </c>
      <c r="AQ14" s="194">
        <f t="shared" ca="1" si="13"/>
        <v>0.20019882667131103</v>
      </c>
      <c r="AR14" s="194">
        <f t="shared" ca="1" si="13"/>
        <v>0.20623076310961955</v>
      </c>
      <c r="AS14" s="194">
        <f t="shared" ca="1" si="13"/>
        <v>0.21179951720063175</v>
      </c>
      <c r="AT14" s="194">
        <f t="shared" ca="1" si="13"/>
        <v>0.21932403446546048</v>
      </c>
      <c r="AU14" s="194">
        <f t="shared" ca="1" si="13"/>
        <v>0.22555498436639779</v>
      </c>
      <c r="AV14" s="194">
        <f t="shared" ca="1" si="13"/>
        <v>0.23351936981395138</v>
      </c>
      <c r="AW14" s="194">
        <f t="shared" ca="1" si="13"/>
        <v>0.24063681450574737</v>
      </c>
      <c r="AX14" s="194">
        <f t="shared" ca="1" si="14"/>
        <v>0.24615423928139191</v>
      </c>
      <c r="AY14" s="194">
        <f t="shared" ca="1" si="14"/>
        <v>0.25282122969958809</v>
      </c>
      <c r="AZ14" s="194">
        <f t="shared" ca="1" si="14"/>
        <v>0.25931705816188921</v>
      </c>
      <c r="BA14" s="194">
        <f t="shared" ca="1" si="14"/>
        <v>0.26482419208206842</v>
      </c>
      <c r="BB14" s="194">
        <f t="shared" ca="1" si="14"/>
        <v>0.27043342635160139</v>
      </c>
      <c r="BC14" s="194">
        <f t="shared" ca="1" si="14"/>
        <v>0.27577910503422709</v>
      </c>
      <c r="BD14" s="194">
        <f t="shared" ca="1" si="14"/>
        <v>0.28064368492634206</v>
      </c>
      <c r="BE14" s="194">
        <f t="shared" ca="1" si="14"/>
        <v>0.28719032273098738</v>
      </c>
      <c r="BF14" s="194">
        <f t="shared" ca="1" si="14"/>
        <v>0.29390197985931849</v>
      </c>
      <c r="BG14" s="194">
        <f t="shared" ca="1" si="14"/>
        <v>0.300970259713632</v>
      </c>
      <c r="BH14" s="194">
        <f t="shared" ca="1" si="15"/>
        <v>0.30479999999930707</v>
      </c>
      <c r="BI14" s="194">
        <f t="shared" ca="1" si="15"/>
        <v>0.30479998862164626</v>
      </c>
      <c r="BJ14" s="194">
        <f t="shared" ca="1" si="15"/>
        <v>0.30314076578792504</v>
      </c>
      <c r="BK14" s="194">
        <f t="shared" ca="1" si="15"/>
        <v>0.30076345560916595</v>
      </c>
      <c r="BL14" s="194">
        <f t="shared" ca="1" si="15"/>
        <v>0.29768880402918485</v>
      </c>
      <c r="BM14" s="194">
        <f t="shared" ca="1" si="15"/>
        <v>0.29426716515189677</v>
      </c>
      <c r="BN14" s="194">
        <f t="shared" ca="1" si="15"/>
        <v>0.29105720221668446</v>
      </c>
      <c r="BO14" s="194">
        <f t="shared" ca="1" si="15"/>
        <v>0.28705857745117935</v>
      </c>
      <c r="BP14" s="194">
        <f t="shared" ca="1" si="15"/>
        <v>0.28511126478761439</v>
      </c>
      <c r="BQ14" s="194">
        <f t="shared" ca="1" si="15"/>
        <v>0.28282181633007319</v>
      </c>
      <c r="BR14" s="194">
        <f t="shared" ca="1" si="16"/>
        <v>0.28046361831669092</v>
      </c>
      <c r="BS14" s="194">
        <f t="shared" ca="1" si="16"/>
        <v>0.27703225152961908</v>
      </c>
      <c r="BT14" s="194">
        <f t="shared" ca="1" si="16"/>
        <v>0.27518365056006472</v>
      </c>
      <c r="BU14" s="194">
        <f t="shared" ca="1" si="16"/>
        <v>0.2737601662734378</v>
      </c>
      <c r="BV14" s="194">
        <f t="shared" ca="1" si="16"/>
        <v>0.27393750117402904</v>
      </c>
      <c r="BW14" s="194">
        <f t="shared" ca="1" si="16"/>
        <v>0.27386325659028676</v>
      </c>
      <c r="BX14" s="194">
        <f t="shared" ca="1" si="16"/>
        <v>0.27406359925391621</v>
      </c>
      <c r="BY14" s="194">
        <f t="shared" ca="1" si="16"/>
        <v>0.27440241796157921</v>
      </c>
      <c r="BZ14" s="194">
        <f t="shared" ca="1" si="16"/>
        <v>0.2751342363443936</v>
      </c>
      <c r="CA14" s="194">
        <f t="shared" ca="1" si="16"/>
        <v>0.27351312044025738</v>
      </c>
      <c r="CB14" s="194">
        <f t="shared" ca="1" si="17"/>
        <v>0.27072877945345197</v>
      </c>
      <c r="CC14" s="194">
        <f t="shared" ca="1" si="17"/>
        <v>0.26822774824551932</v>
      </c>
      <c r="CD14" s="194">
        <f t="shared" ca="1" si="17"/>
        <v>0.26686854160777923</v>
      </c>
      <c r="CE14" s="194">
        <f t="shared" ca="1" si="17"/>
        <v>0.2656325977769679</v>
      </c>
      <c r="CF14" s="194">
        <f t="shared" ca="1" si="17"/>
        <v>0.26336921782040945</v>
      </c>
      <c r="CG14" s="194">
        <f t="shared" ca="1" si="17"/>
        <v>0.26336921782040945</v>
      </c>
      <c r="CH14" s="194">
        <f t="shared" ca="1" si="17"/>
        <v>0.26336921782040945</v>
      </c>
      <c r="CI14" s="194">
        <f t="shared" ca="1" si="17"/>
        <v>0.26336921782040945</v>
      </c>
      <c r="CJ14" s="194">
        <f t="shared" ca="1" si="17"/>
        <v>0.26336921782040945</v>
      </c>
      <c r="CK14" s="194">
        <f t="shared" ca="1" si="17"/>
        <v>0.26336921782040945</v>
      </c>
      <c r="CL14" s="194">
        <f t="shared" ca="1" si="18"/>
        <v>0.26336921782040945</v>
      </c>
      <c r="CM14" s="194">
        <f t="shared" ca="1" si="18"/>
        <v>0.26336921782040945</v>
      </c>
      <c r="CN14" s="194">
        <f t="shared" ca="1" si="18"/>
        <v>0.26336921782040945</v>
      </c>
      <c r="CO14" s="194">
        <f t="shared" ca="1" si="18"/>
        <v>0.26336921782041006</v>
      </c>
      <c r="CP14" s="194">
        <f t="shared" ca="1" si="18"/>
        <v>0.26336921782040945</v>
      </c>
      <c r="CQ14" s="194">
        <f t="shared" ca="1" si="18"/>
        <v>0.26336921782040951</v>
      </c>
      <c r="CR14" s="194">
        <f t="shared" ca="1" si="18"/>
        <v>0.26336921203824004</v>
      </c>
      <c r="CS14" s="194">
        <f t="shared" ca="1" si="18"/>
        <v>0.26336921782040978</v>
      </c>
      <c r="CT14" s="194">
        <f t="shared" ca="1" si="18"/>
        <v>0.26336921203824004</v>
      </c>
      <c r="CU14" s="194">
        <f t="shared" ca="1" si="18"/>
        <v>0.26336921203824004</v>
      </c>
      <c r="CV14" s="194">
        <f t="shared" ca="1" si="19"/>
        <v>0.26336921203824004</v>
      </c>
      <c r="CW14" s="194">
        <f t="shared" ca="1" si="19"/>
        <v>0.26336921203824004</v>
      </c>
      <c r="CX14" s="194">
        <f t="shared" ca="1" si="19"/>
        <v>0.26336921203824004</v>
      </c>
      <c r="CY14" s="194">
        <f t="shared" ca="1" si="19"/>
        <v>0.26336921782040945</v>
      </c>
      <c r="CZ14" s="194">
        <f t="shared" ca="1" si="19"/>
        <v>0.26336921203824004</v>
      </c>
      <c r="DA14" s="194">
        <f t="shared" ca="1" si="19"/>
        <v>0.26336921203824004</v>
      </c>
      <c r="DB14" s="194">
        <f t="shared" ca="1" si="19"/>
        <v>0.26336921203824004</v>
      </c>
      <c r="DC14" s="194">
        <f t="shared" ca="1" si="19"/>
        <v>0.26336921203824004</v>
      </c>
      <c r="DD14" s="194">
        <f t="shared" ca="1" si="19"/>
        <v>0.26336921203824004</v>
      </c>
      <c r="DE14" s="194">
        <f t="shared" ca="1" si="19"/>
        <v>0.26336921203824004</v>
      </c>
      <c r="DF14" s="194">
        <f t="shared" ca="1" si="20"/>
        <v>0.26336921203824004</v>
      </c>
      <c r="DG14" s="194">
        <f t="shared" ca="1" si="20"/>
        <v>0.26336921203824004</v>
      </c>
      <c r="DH14" s="194">
        <f t="shared" ca="1" si="20"/>
        <v>0.26336921203824004</v>
      </c>
      <c r="DI14" s="194">
        <f t="shared" ca="1" si="20"/>
        <v>0.26336921203824004</v>
      </c>
      <c r="DJ14" s="194">
        <f t="shared" ca="1" si="20"/>
        <v>0.26336921782040956</v>
      </c>
      <c r="DK14" s="194">
        <f t="shared" ca="1" si="20"/>
        <v>0.26336921782040945</v>
      </c>
      <c r="DL14" s="194">
        <f t="shared" ca="1" si="20"/>
        <v>0.26336921203824037</v>
      </c>
      <c r="DM14" s="194">
        <f t="shared" ca="1" si="20"/>
        <v>0.26336921782040945</v>
      </c>
      <c r="DN14" s="194">
        <f t="shared" ca="1" si="20"/>
        <v>0.26336921782040945</v>
      </c>
      <c r="DO14" s="194">
        <f t="shared" ca="1" si="20"/>
        <v>0.26336921782040945</v>
      </c>
      <c r="DP14" s="194">
        <f t="shared" ca="1" si="21"/>
        <v>0.26336921203824032</v>
      </c>
      <c r="DQ14" s="194">
        <f t="shared" ca="1" si="21"/>
        <v>0.26336921782040951</v>
      </c>
      <c r="DR14" s="194">
        <f t="shared" ca="1" si="21"/>
        <v>0.26336921782040945</v>
      </c>
      <c r="DS14" s="194">
        <f t="shared" ca="1" si="21"/>
        <v>0.26336921782040945</v>
      </c>
      <c r="DT14" s="194">
        <f t="shared" ca="1" si="21"/>
        <v>0.26336921203824049</v>
      </c>
      <c r="DU14" s="194">
        <f t="shared" ca="1" si="21"/>
        <v>0.26336921782040945</v>
      </c>
      <c r="DV14" s="194">
        <f t="shared" ca="1" si="21"/>
        <v>0.26336921782040945</v>
      </c>
      <c r="DW14" s="194">
        <f t="shared" ca="1" si="21"/>
        <v>0.26336921782040945</v>
      </c>
      <c r="DX14" s="194">
        <f t="shared" ca="1" si="21"/>
        <v>0.2633692178204094</v>
      </c>
      <c r="DY14" s="194">
        <f t="shared" ca="1" si="21"/>
        <v>0.25362669010566086</v>
      </c>
      <c r="DZ14" s="194">
        <f t="shared" ca="1" si="22"/>
        <v>0.23547761048853505</v>
      </c>
      <c r="EA14" s="194">
        <f t="shared" ca="1" si="22"/>
        <v>0.22073178968235496</v>
      </c>
      <c r="EB14" s="194">
        <f t="shared" ca="1" si="22"/>
        <v>0.20470000000000049</v>
      </c>
      <c r="EC14" s="194">
        <f t="shared" ca="1" si="22"/>
        <v>0.20470000000000022</v>
      </c>
      <c r="ED14" s="194">
        <f t="shared" ca="1" si="22"/>
        <v>0.20469999999999999</v>
      </c>
      <c r="EE14" s="194">
        <f t="shared" ca="1" si="22"/>
        <v>0.20469999999999999</v>
      </c>
      <c r="EF14" s="194">
        <f t="shared" ca="1" si="22"/>
        <v>0.20469999999999999</v>
      </c>
      <c r="EG14" s="194">
        <f t="shared" ca="1" si="22"/>
        <v>0.20469999999999999</v>
      </c>
      <c r="EH14" s="194">
        <f t="shared" ca="1" si="22"/>
        <v>0.18604626238165897</v>
      </c>
      <c r="EI14" s="336">
        <f t="shared" ca="1" si="22"/>
        <v>0.18604626238165897</v>
      </c>
    </row>
    <row r="15" spans="1:190" x14ac:dyDescent="0.2">
      <c r="A15" s="192"/>
      <c r="B15" s="192"/>
      <c r="C15" s="192"/>
      <c r="D15" s="192"/>
      <c r="E15" s="192"/>
      <c r="F15" s="192"/>
      <c r="G15" s="254"/>
      <c r="H15" s="254"/>
      <c r="I15" s="254"/>
      <c r="J15" s="254"/>
      <c r="K15" s="254"/>
      <c r="L15" s="260" t="s">
        <v>154</v>
      </c>
      <c r="M15" s="284">
        <f t="shared" ca="1" si="0"/>
        <v>15</v>
      </c>
      <c r="N15" s="280">
        <f t="shared" ca="1" si="5"/>
        <v>6.6194161455231067E-11</v>
      </c>
      <c r="O15" s="280">
        <f t="shared" ca="1" si="6"/>
        <v>6.6194161455231067E-11</v>
      </c>
      <c r="P15" s="261">
        <f t="shared" ca="1" si="1"/>
        <v>0</v>
      </c>
      <c r="Q15" s="249"/>
      <c r="R15" s="192"/>
      <c r="S15" s="265"/>
      <c r="T15" s="89" t="s">
        <v>10</v>
      </c>
      <c r="U15" s="326"/>
      <c r="V15" s="322"/>
      <c r="W15" s="322"/>
      <c r="X15" s="322"/>
      <c r="Y15" s="322">
        <v>1</v>
      </c>
      <c r="Z15" s="322"/>
      <c r="AA15" s="322"/>
      <c r="AB15" s="322"/>
      <c r="AC15" s="322"/>
      <c r="AD15" s="322"/>
      <c r="AE15" s="322"/>
      <c r="AF15" s="322"/>
      <c r="AG15" s="322"/>
      <c r="AH15" s="322"/>
      <c r="AI15" s="327"/>
      <c r="AJ15" s="192">
        <f>SUM(U15:AI15)</f>
        <v>1</v>
      </c>
      <c r="AK15" s="360" t="s">
        <v>151</v>
      </c>
      <c r="AL15" s="331">
        <f t="shared" ca="1" si="12"/>
        <v>3</v>
      </c>
      <c r="AM15" s="238" t="str">
        <f t="shared" si="23"/>
        <v>CAN Bond</v>
      </c>
      <c r="AN15" s="333">
        <f t="shared" ca="1" si="13"/>
        <v>0.12565999781753426</v>
      </c>
      <c r="AO15" s="194">
        <f t="shared" ca="1" si="13"/>
        <v>0.12565999781753404</v>
      </c>
      <c r="AP15" s="194">
        <f t="shared" ca="1" si="13"/>
        <v>0.12566000019566817</v>
      </c>
      <c r="AQ15" s="194">
        <f t="shared" ca="1" si="13"/>
        <v>0.1256600013782368</v>
      </c>
      <c r="AR15" s="194">
        <f t="shared" ca="1" si="13"/>
        <v>0.12565999773126829</v>
      </c>
      <c r="AS15" s="194">
        <f t="shared" ca="1" si="13"/>
        <v>0.12566000135487185</v>
      </c>
      <c r="AT15" s="194">
        <f t="shared" ca="1" si="13"/>
        <v>0.12565999863249383</v>
      </c>
      <c r="AU15" s="194">
        <f t="shared" ca="1" si="13"/>
        <v>0.12565999826997326</v>
      </c>
      <c r="AV15" s="194">
        <f t="shared" ca="1" si="13"/>
        <v>0.12566000135487171</v>
      </c>
      <c r="AW15" s="194">
        <f t="shared" ca="1" si="13"/>
        <v>0.12566000347224263</v>
      </c>
      <c r="AX15" s="194">
        <f t="shared" ca="1" si="14"/>
        <v>0.12566000117967721</v>
      </c>
      <c r="AY15" s="194">
        <f t="shared" ca="1" si="14"/>
        <v>0.12565999988897605</v>
      </c>
      <c r="AZ15" s="194">
        <f t="shared" ca="1" si="14"/>
        <v>0.12565999988897578</v>
      </c>
      <c r="BA15" s="194">
        <f t="shared" ca="1" si="14"/>
        <v>0.12565999988897572</v>
      </c>
      <c r="BB15" s="194">
        <f t="shared" ca="1" si="14"/>
        <v>0.12565999988897594</v>
      </c>
      <c r="BC15" s="194">
        <f t="shared" ca="1" si="14"/>
        <v>0.12565999988897575</v>
      </c>
      <c r="BD15" s="194">
        <f t="shared" ca="1" si="14"/>
        <v>0.1256599998889758</v>
      </c>
      <c r="BE15" s="194">
        <f t="shared" ca="1" si="14"/>
        <v>0.12565999863249416</v>
      </c>
      <c r="BF15" s="194">
        <f t="shared" ca="1" si="14"/>
        <v>0.1256599998889755</v>
      </c>
      <c r="BG15" s="194">
        <f t="shared" ca="1" si="14"/>
        <v>0.12565999988897583</v>
      </c>
      <c r="BH15" s="194">
        <f t="shared" ca="1" si="15"/>
        <v>0.12565999988894483</v>
      </c>
      <c r="BI15" s="194">
        <f t="shared" ca="1" si="15"/>
        <v>0.12565999863107052</v>
      </c>
      <c r="BJ15" s="194">
        <f t="shared" ca="1" si="15"/>
        <v>0.12549578535132128</v>
      </c>
      <c r="BK15" s="194">
        <f t="shared" ca="1" si="15"/>
        <v>0.12434632069191798</v>
      </c>
      <c r="BL15" s="194">
        <f t="shared" ca="1" si="15"/>
        <v>0.12366406065600032</v>
      </c>
      <c r="BM15" s="194">
        <f t="shared" ca="1" si="15"/>
        <v>0.12307353726924031</v>
      </c>
      <c r="BN15" s="194">
        <f t="shared" ca="1" si="15"/>
        <v>0.12246253579926988</v>
      </c>
      <c r="BO15" s="194">
        <f t="shared" ca="1" si="15"/>
        <v>0.12219623310463948</v>
      </c>
      <c r="BP15" s="194">
        <f t="shared" ca="1" si="15"/>
        <v>0.11998567801014191</v>
      </c>
      <c r="BQ15" s="194">
        <f t="shared" ca="1" si="15"/>
        <v>0.11902585504880191</v>
      </c>
      <c r="BR15" s="194">
        <f t="shared" ca="1" si="16"/>
        <v>0.11755758914442828</v>
      </c>
      <c r="BS15" s="194">
        <f t="shared" ca="1" si="16"/>
        <v>0.11797901561722159</v>
      </c>
      <c r="BT15" s="194">
        <f t="shared" ca="1" si="16"/>
        <v>0.11617498750936099</v>
      </c>
      <c r="BU15" s="194">
        <f t="shared" ca="1" si="16"/>
        <v>0.11441907222827888</v>
      </c>
      <c r="BV15" s="194">
        <f t="shared" ca="1" si="16"/>
        <v>0.10717291417596563</v>
      </c>
      <c r="BW15" s="194">
        <f t="shared" ca="1" si="16"/>
        <v>9.9639780279497089E-2</v>
      </c>
      <c r="BX15" s="194">
        <f t="shared" ca="1" si="16"/>
        <v>9.2909778972260465E-2</v>
      </c>
      <c r="BY15" s="194">
        <f t="shared" ca="1" si="16"/>
        <v>8.7346228400995832E-2</v>
      </c>
      <c r="BZ15" s="194">
        <f t="shared" ca="1" si="16"/>
        <v>7.9246066200681392E-2</v>
      </c>
      <c r="CA15" s="194">
        <f t="shared" ca="1" si="16"/>
        <v>7.774999999791439E-2</v>
      </c>
      <c r="CB15" s="194">
        <f t="shared" ca="1" si="17"/>
        <v>7.774999999791439E-2</v>
      </c>
      <c r="CC15" s="194">
        <f t="shared" ca="1" si="17"/>
        <v>7.774999999791439E-2</v>
      </c>
      <c r="CD15" s="194">
        <f t="shared" ca="1" si="17"/>
        <v>7.774999999791439E-2</v>
      </c>
      <c r="CE15" s="194">
        <f t="shared" ca="1" si="17"/>
        <v>7.774999999791439E-2</v>
      </c>
      <c r="CF15" s="194">
        <f t="shared" ca="1" si="17"/>
        <v>7.774999999791439E-2</v>
      </c>
      <c r="CG15" s="194">
        <f t="shared" ca="1" si="17"/>
        <v>7.774999999791439E-2</v>
      </c>
      <c r="CH15" s="194">
        <f t="shared" ca="1" si="17"/>
        <v>7.774999999791439E-2</v>
      </c>
      <c r="CI15" s="194">
        <f t="shared" ca="1" si="17"/>
        <v>7.774999999791439E-2</v>
      </c>
      <c r="CJ15" s="194">
        <f t="shared" ca="1" si="17"/>
        <v>7.774999999791439E-2</v>
      </c>
      <c r="CK15" s="194">
        <f t="shared" ca="1" si="17"/>
        <v>7.774999999791439E-2</v>
      </c>
      <c r="CL15" s="194">
        <f t="shared" ca="1" si="18"/>
        <v>7.774999999791439E-2</v>
      </c>
      <c r="CM15" s="194">
        <f t="shared" ca="1" si="18"/>
        <v>7.774999999791439E-2</v>
      </c>
      <c r="CN15" s="194">
        <f t="shared" ca="1" si="18"/>
        <v>7.774999999791439E-2</v>
      </c>
      <c r="CO15" s="194">
        <f t="shared" ca="1" si="18"/>
        <v>7.7749999997914376E-2</v>
      </c>
      <c r="CP15" s="194">
        <f t="shared" ca="1" si="18"/>
        <v>7.7749999997914307E-2</v>
      </c>
      <c r="CQ15" s="194">
        <f t="shared" ca="1" si="18"/>
        <v>7.7749999997914376E-2</v>
      </c>
      <c r="CR15" s="194">
        <f t="shared" ca="1" si="18"/>
        <v>7.774999999791439E-2</v>
      </c>
      <c r="CS15" s="194">
        <f t="shared" ca="1" si="18"/>
        <v>7.7749999997914293E-2</v>
      </c>
      <c r="CT15" s="194">
        <f t="shared" ca="1" si="18"/>
        <v>7.774999999791439E-2</v>
      </c>
      <c r="CU15" s="194">
        <f t="shared" ca="1" si="18"/>
        <v>7.774999999791439E-2</v>
      </c>
      <c r="CV15" s="194">
        <f t="shared" ca="1" si="19"/>
        <v>7.774999999791439E-2</v>
      </c>
      <c r="CW15" s="194">
        <f t="shared" ca="1" si="19"/>
        <v>7.774999999791439E-2</v>
      </c>
      <c r="CX15" s="194">
        <f t="shared" ca="1" si="19"/>
        <v>7.774999999791439E-2</v>
      </c>
      <c r="CY15" s="194">
        <f t="shared" ca="1" si="19"/>
        <v>7.774999999791439E-2</v>
      </c>
      <c r="CZ15" s="194">
        <f t="shared" ca="1" si="19"/>
        <v>7.774999999791439E-2</v>
      </c>
      <c r="DA15" s="194">
        <f t="shared" ca="1" si="19"/>
        <v>7.774999999791439E-2</v>
      </c>
      <c r="DB15" s="194">
        <f t="shared" ca="1" si="19"/>
        <v>7.774999999791439E-2</v>
      </c>
      <c r="DC15" s="194">
        <f t="shared" ca="1" si="19"/>
        <v>7.774999999791439E-2</v>
      </c>
      <c r="DD15" s="194">
        <f t="shared" ca="1" si="19"/>
        <v>7.774999999791439E-2</v>
      </c>
      <c r="DE15" s="194">
        <f t="shared" ca="1" si="19"/>
        <v>7.774999999791439E-2</v>
      </c>
      <c r="DF15" s="194">
        <f t="shared" ca="1" si="20"/>
        <v>7.774999999791439E-2</v>
      </c>
      <c r="DG15" s="194">
        <f t="shared" ca="1" si="20"/>
        <v>7.774999999791439E-2</v>
      </c>
      <c r="DH15" s="194">
        <f t="shared" ca="1" si="20"/>
        <v>7.774999999791439E-2</v>
      </c>
      <c r="DI15" s="194">
        <f t="shared" ca="1" si="20"/>
        <v>7.774999999791439E-2</v>
      </c>
      <c r="DJ15" s="194">
        <f t="shared" ca="1" si="20"/>
        <v>7.7749999997914362E-2</v>
      </c>
      <c r="DK15" s="194">
        <f t="shared" ca="1" si="20"/>
        <v>7.774999999791439E-2</v>
      </c>
      <c r="DL15" s="194">
        <f t="shared" ca="1" si="20"/>
        <v>7.7749999997914432E-2</v>
      </c>
      <c r="DM15" s="194">
        <f t="shared" ca="1" si="20"/>
        <v>7.774999999791439E-2</v>
      </c>
      <c r="DN15" s="194">
        <f t="shared" ca="1" si="20"/>
        <v>7.774999999791439E-2</v>
      </c>
      <c r="DO15" s="194">
        <f t="shared" ca="1" si="20"/>
        <v>7.7749999997914404E-2</v>
      </c>
      <c r="DP15" s="194">
        <f t="shared" ca="1" si="21"/>
        <v>7.7749999997914376E-2</v>
      </c>
      <c r="DQ15" s="194">
        <f t="shared" ca="1" si="21"/>
        <v>7.7749999997914376E-2</v>
      </c>
      <c r="DR15" s="194">
        <f t="shared" ca="1" si="21"/>
        <v>7.774999999791439E-2</v>
      </c>
      <c r="DS15" s="194">
        <f t="shared" ca="1" si="21"/>
        <v>7.774999999791439E-2</v>
      </c>
      <c r="DT15" s="194">
        <f t="shared" ca="1" si="21"/>
        <v>7.7749999997914557E-2</v>
      </c>
      <c r="DU15" s="194">
        <f t="shared" ca="1" si="21"/>
        <v>7.7749999997914376E-2</v>
      </c>
      <c r="DV15" s="194">
        <f t="shared" ca="1" si="21"/>
        <v>7.774999999791439E-2</v>
      </c>
      <c r="DW15" s="194">
        <f t="shared" ca="1" si="21"/>
        <v>7.774999999791439E-2</v>
      </c>
      <c r="DX15" s="194">
        <f t="shared" ca="1" si="21"/>
        <v>7.774999999791439E-2</v>
      </c>
      <c r="DY15" s="194">
        <f t="shared" ca="1" si="21"/>
        <v>6.8007472283165782E-2</v>
      </c>
      <c r="DZ15" s="194">
        <f t="shared" ca="1" si="22"/>
        <v>4.9858392666039655E-2</v>
      </c>
      <c r="EA15" s="194">
        <f t="shared" ca="1" si="22"/>
        <v>3.5112571859859235E-2</v>
      </c>
      <c r="EB15" s="194">
        <f t="shared" ca="1" si="22"/>
        <v>1.908078217750403E-2</v>
      </c>
      <c r="EC15" s="194">
        <f t="shared" ca="1" si="22"/>
        <v>1.908078217750421E-2</v>
      </c>
      <c r="ED15" s="194">
        <f t="shared" ca="1" si="22"/>
        <v>1.9080782177504956E-2</v>
      </c>
      <c r="EE15" s="194">
        <f t="shared" ca="1" si="22"/>
        <v>1.9080782177504939E-2</v>
      </c>
      <c r="EF15" s="194">
        <f t="shared" ca="1" si="22"/>
        <v>1.9080782177504946E-2</v>
      </c>
      <c r="EG15" s="194">
        <f t="shared" ca="1" si="22"/>
        <v>1.9080782177504956E-2</v>
      </c>
      <c r="EH15" s="194">
        <f t="shared" ca="1" si="22"/>
        <v>1.5444355210365924E-4</v>
      </c>
      <c r="EI15" s="336">
        <f t="shared" ca="1" si="22"/>
        <v>1.5444355210365924E-4</v>
      </c>
    </row>
    <row r="16" spans="1:190" x14ac:dyDescent="0.2">
      <c r="A16" s="192"/>
      <c r="B16" s="192"/>
      <c r="C16" s="192"/>
      <c r="D16" s="192"/>
      <c r="E16" s="192"/>
      <c r="F16" s="192"/>
      <c r="G16" s="254"/>
      <c r="H16" s="254"/>
      <c r="I16" s="254"/>
      <c r="J16" s="254"/>
      <c r="K16" s="254"/>
      <c r="L16" s="254" t="s">
        <v>155</v>
      </c>
      <c r="M16" s="278">
        <f t="shared" ca="1" si="0"/>
        <v>16</v>
      </c>
      <c r="N16" s="279">
        <f t="shared" ca="1" si="5"/>
        <v>5.9052354118094239E-9</v>
      </c>
      <c r="O16" s="279">
        <f t="shared" ca="1" si="6"/>
        <v>5.9052354118094239E-9</v>
      </c>
      <c r="P16" s="257">
        <f t="shared" ca="1" si="1"/>
        <v>0</v>
      </c>
      <c r="Q16" s="249"/>
      <c r="R16" s="192"/>
      <c r="S16" s="265"/>
      <c r="T16" s="89" t="s">
        <v>11</v>
      </c>
      <c r="U16" s="326"/>
      <c r="V16" s="322"/>
      <c r="W16" s="322"/>
      <c r="X16" s="322"/>
      <c r="Y16" s="322">
        <v>1</v>
      </c>
      <c r="Z16" s="322"/>
      <c r="AA16" s="322"/>
      <c r="AB16" s="322"/>
      <c r="AC16" s="322"/>
      <c r="AD16" s="322"/>
      <c r="AE16" s="322"/>
      <c r="AF16" s="322"/>
      <c r="AG16" s="322"/>
      <c r="AH16" s="322"/>
      <c r="AI16" s="327"/>
      <c r="AJ16" s="192">
        <f t="shared" si="2"/>
        <v>1</v>
      </c>
      <c r="AK16" s="360" t="s">
        <v>9</v>
      </c>
      <c r="AL16" s="331">
        <f t="shared" ca="1" si="12"/>
        <v>4</v>
      </c>
      <c r="AM16" s="238" t="str">
        <f t="shared" si="23"/>
        <v>Jpn Bond</v>
      </c>
      <c r="AN16" s="333">
        <f t="shared" ca="1" si="13"/>
        <v>4.9569996416732987E-2</v>
      </c>
      <c r="AO16" s="194">
        <f t="shared" ca="1" si="13"/>
        <v>4.9569996416732987E-2</v>
      </c>
      <c r="AP16" s="194">
        <f t="shared" ca="1" si="13"/>
        <v>4.9569999896194664E-2</v>
      </c>
      <c r="AQ16" s="194">
        <f t="shared" ca="1" si="13"/>
        <v>4.9569999315262035E-2</v>
      </c>
      <c r="AR16" s="194">
        <f t="shared" ca="1" si="13"/>
        <v>4.9569996416732987E-2</v>
      </c>
      <c r="AS16" s="194">
        <f t="shared" ca="1" si="13"/>
        <v>4.9569999315262035E-2</v>
      </c>
      <c r="AT16" s="194">
        <f t="shared" ca="1" si="13"/>
        <v>4.9569996416732987E-2</v>
      </c>
      <c r="AU16" s="194">
        <f t="shared" ca="1" si="13"/>
        <v>4.9569996416732987E-2</v>
      </c>
      <c r="AV16" s="194">
        <f t="shared" ca="1" si="13"/>
        <v>4.9569999315262035E-2</v>
      </c>
      <c r="AW16" s="194">
        <f t="shared" ca="1" si="13"/>
        <v>4.9569996416732987E-2</v>
      </c>
      <c r="AX16" s="194">
        <f t="shared" ca="1" si="14"/>
        <v>4.9569999315262035E-2</v>
      </c>
      <c r="AY16" s="194">
        <f t="shared" ca="1" si="14"/>
        <v>4.9570000000000003E-2</v>
      </c>
      <c r="AZ16" s="194">
        <f t="shared" ca="1" si="14"/>
        <v>4.9570000000000003E-2</v>
      </c>
      <c r="BA16" s="194">
        <f t="shared" ca="1" si="14"/>
        <v>4.9570000000000003E-2</v>
      </c>
      <c r="BB16" s="194">
        <f t="shared" ca="1" si="14"/>
        <v>4.9570000000000003E-2</v>
      </c>
      <c r="BC16" s="194">
        <f t="shared" ca="1" si="14"/>
        <v>4.9570000000000003E-2</v>
      </c>
      <c r="BD16" s="194">
        <f t="shared" ca="1" si="14"/>
        <v>4.9570000000000003E-2</v>
      </c>
      <c r="BE16" s="194">
        <f t="shared" ca="1" si="14"/>
        <v>4.9569996416732987E-2</v>
      </c>
      <c r="BF16" s="194">
        <f t="shared" ca="1" si="14"/>
        <v>4.9570000000000003E-2</v>
      </c>
      <c r="BG16" s="194">
        <f t="shared" ca="1" si="14"/>
        <v>4.9570000000000003E-2</v>
      </c>
      <c r="BH16" s="194">
        <f t="shared" ca="1" si="15"/>
        <v>4.9570000000000003E-2</v>
      </c>
      <c r="BI16" s="194">
        <f t="shared" ca="1" si="15"/>
        <v>4.9569996416732987E-2</v>
      </c>
      <c r="BJ16" s="194">
        <f t="shared" ca="1" si="15"/>
        <v>4.9052894576362298E-2</v>
      </c>
      <c r="BK16" s="194">
        <f t="shared" ca="1" si="15"/>
        <v>4.8052748892116942E-2</v>
      </c>
      <c r="BL16" s="194">
        <f t="shared" ca="1" si="15"/>
        <v>4.6987339527710295E-2</v>
      </c>
      <c r="BM16" s="194">
        <f t="shared" ca="1" si="15"/>
        <v>4.5849544528874936E-2</v>
      </c>
      <c r="BN16" s="194">
        <f t="shared" ca="1" si="15"/>
        <v>4.4765970659019015E-2</v>
      </c>
      <c r="BO16" s="194">
        <f t="shared" ca="1" si="15"/>
        <v>4.3556494866372093E-2</v>
      </c>
      <c r="BP16" s="194">
        <f t="shared" ca="1" si="15"/>
        <v>4.2377379758457921E-2</v>
      </c>
      <c r="BQ16" s="194">
        <f t="shared" ca="1" si="15"/>
        <v>4.1455930293816494E-2</v>
      </c>
      <c r="BR16" s="194">
        <f t="shared" ca="1" si="16"/>
        <v>4.0370796836513637E-2</v>
      </c>
      <c r="BS16" s="194">
        <f t="shared" ca="1" si="16"/>
        <v>3.9517218438883353E-2</v>
      </c>
      <c r="BT16" s="194">
        <f t="shared" ca="1" si="16"/>
        <v>3.8481382193145362E-2</v>
      </c>
      <c r="BU16" s="194">
        <f t="shared" ca="1" si="16"/>
        <v>3.7820788151719853E-2</v>
      </c>
      <c r="BV16" s="194">
        <f t="shared" ca="1" si="16"/>
        <v>3.7820788151719853E-2</v>
      </c>
      <c r="BW16" s="194">
        <f t="shared" ca="1" si="16"/>
        <v>3.7820788151719853E-2</v>
      </c>
      <c r="BX16" s="194">
        <f t="shared" ca="1" si="16"/>
        <v>3.7820788151719853E-2</v>
      </c>
      <c r="BY16" s="194">
        <f t="shared" ca="1" si="16"/>
        <v>3.7820788151719853E-2</v>
      </c>
      <c r="BZ16" s="194">
        <f t="shared" ca="1" si="16"/>
        <v>3.7820788151719853E-2</v>
      </c>
      <c r="CA16" s="194">
        <f t="shared" ca="1" si="16"/>
        <v>3.7820788151719853E-2</v>
      </c>
      <c r="CB16" s="194">
        <f t="shared" ca="1" si="17"/>
        <v>3.7820788151719853E-2</v>
      </c>
      <c r="CC16" s="194">
        <f t="shared" ca="1" si="17"/>
        <v>3.7820788151719853E-2</v>
      </c>
      <c r="CD16" s="194">
        <f t="shared" ca="1" si="17"/>
        <v>3.7820788151719853E-2</v>
      </c>
      <c r="CE16" s="194">
        <f t="shared" ca="1" si="17"/>
        <v>3.7820788151719853E-2</v>
      </c>
      <c r="CF16" s="194">
        <f t="shared" ca="1" si="17"/>
        <v>3.7820788151719853E-2</v>
      </c>
      <c r="CG16" s="194">
        <f t="shared" ca="1" si="17"/>
        <v>3.7820788151719853E-2</v>
      </c>
      <c r="CH16" s="194">
        <f t="shared" ca="1" si="17"/>
        <v>3.7820788151719853E-2</v>
      </c>
      <c r="CI16" s="194">
        <f t="shared" ca="1" si="17"/>
        <v>3.7820788151719853E-2</v>
      </c>
      <c r="CJ16" s="194">
        <f t="shared" ca="1" si="17"/>
        <v>3.7820788151719853E-2</v>
      </c>
      <c r="CK16" s="194">
        <f t="shared" ca="1" si="17"/>
        <v>3.7820788151719853E-2</v>
      </c>
      <c r="CL16" s="194">
        <f t="shared" ca="1" si="18"/>
        <v>3.7820788151719853E-2</v>
      </c>
      <c r="CM16" s="194">
        <f t="shared" ca="1" si="18"/>
        <v>3.7820788151719853E-2</v>
      </c>
      <c r="CN16" s="194">
        <f t="shared" ca="1" si="18"/>
        <v>3.7820788151719853E-2</v>
      </c>
      <c r="CO16" s="194">
        <f t="shared" ca="1" si="18"/>
        <v>3.7820788151719853E-2</v>
      </c>
      <c r="CP16" s="194">
        <f t="shared" ca="1" si="18"/>
        <v>3.782078815171986E-2</v>
      </c>
      <c r="CQ16" s="194">
        <f t="shared" ca="1" si="18"/>
        <v>3.782078815171986E-2</v>
      </c>
      <c r="CR16" s="194">
        <f t="shared" ca="1" si="18"/>
        <v>3.7820788151719853E-2</v>
      </c>
      <c r="CS16" s="194">
        <f t="shared" ca="1" si="18"/>
        <v>3.7820788151719867E-2</v>
      </c>
      <c r="CT16" s="194">
        <f t="shared" ca="1" si="18"/>
        <v>3.7820788151719853E-2</v>
      </c>
      <c r="CU16" s="194">
        <f t="shared" ca="1" si="18"/>
        <v>3.7820788151719853E-2</v>
      </c>
      <c r="CV16" s="194">
        <f t="shared" ca="1" si="19"/>
        <v>3.7820788151719853E-2</v>
      </c>
      <c r="CW16" s="194">
        <f t="shared" ca="1" si="19"/>
        <v>3.7820788151719853E-2</v>
      </c>
      <c r="CX16" s="194">
        <f t="shared" ca="1" si="19"/>
        <v>3.7820788151719853E-2</v>
      </c>
      <c r="CY16" s="194">
        <f t="shared" ca="1" si="19"/>
        <v>3.7820788151719853E-2</v>
      </c>
      <c r="CZ16" s="194">
        <f t="shared" ca="1" si="19"/>
        <v>3.7820788151719853E-2</v>
      </c>
      <c r="DA16" s="194">
        <f t="shared" ca="1" si="19"/>
        <v>3.7820788151719853E-2</v>
      </c>
      <c r="DB16" s="194">
        <f t="shared" ca="1" si="19"/>
        <v>3.7820788151719853E-2</v>
      </c>
      <c r="DC16" s="194">
        <f t="shared" ca="1" si="19"/>
        <v>3.7820788151719853E-2</v>
      </c>
      <c r="DD16" s="194">
        <f t="shared" ca="1" si="19"/>
        <v>3.7820788151719853E-2</v>
      </c>
      <c r="DE16" s="194">
        <f t="shared" ca="1" si="19"/>
        <v>3.7820788151719853E-2</v>
      </c>
      <c r="DF16" s="194">
        <f t="shared" ca="1" si="20"/>
        <v>3.7820788151719853E-2</v>
      </c>
      <c r="DG16" s="194">
        <f t="shared" ca="1" si="20"/>
        <v>3.7820788151719853E-2</v>
      </c>
      <c r="DH16" s="194">
        <f t="shared" ca="1" si="20"/>
        <v>3.7820788151719853E-2</v>
      </c>
      <c r="DI16" s="194">
        <f t="shared" ca="1" si="20"/>
        <v>3.7820788151719853E-2</v>
      </c>
      <c r="DJ16" s="194">
        <f t="shared" ca="1" si="20"/>
        <v>3.7820788151719853E-2</v>
      </c>
      <c r="DK16" s="194">
        <f t="shared" ca="1" si="20"/>
        <v>3.7820788151719853E-2</v>
      </c>
      <c r="DL16" s="194">
        <f t="shared" ca="1" si="20"/>
        <v>3.7820788151719853E-2</v>
      </c>
      <c r="DM16" s="194">
        <f t="shared" ca="1" si="20"/>
        <v>3.7820788151719853E-2</v>
      </c>
      <c r="DN16" s="194">
        <f t="shared" ca="1" si="20"/>
        <v>3.7820788151719853E-2</v>
      </c>
      <c r="DO16" s="194">
        <f t="shared" ca="1" si="20"/>
        <v>3.7820788151719853E-2</v>
      </c>
      <c r="DP16" s="194">
        <f t="shared" ca="1" si="21"/>
        <v>3.7820788151719853E-2</v>
      </c>
      <c r="DQ16" s="194">
        <f t="shared" ca="1" si="21"/>
        <v>3.782078815171986E-2</v>
      </c>
      <c r="DR16" s="194">
        <f t="shared" ca="1" si="21"/>
        <v>3.7820788151719853E-2</v>
      </c>
      <c r="DS16" s="194">
        <f t="shared" ca="1" si="21"/>
        <v>3.7820788151719853E-2</v>
      </c>
      <c r="DT16" s="194">
        <f t="shared" ca="1" si="21"/>
        <v>3.7820788151719853E-2</v>
      </c>
      <c r="DU16" s="194">
        <f t="shared" ca="1" si="21"/>
        <v>3.7820788151719853E-2</v>
      </c>
      <c r="DV16" s="194">
        <f t="shared" ca="1" si="21"/>
        <v>3.7820788151719853E-2</v>
      </c>
      <c r="DW16" s="194">
        <f t="shared" ca="1" si="21"/>
        <v>3.7820788151719853E-2</v>
      </c>
      <c r="DX16" s="194">
        <f t="shared" ca="1" si="21"/>
        <v>3.7820788151719853E-2</v>
      </c>
      <c r="DY16" s="194">
        <f t="shared" ca="1" si="21"/>
        <v>3.7820788151719853E-2</v>
      </c>
      <c r="DZ16" s="194">
        <f t="shared" ca="1" si="22"/>
        <v>3.7820788151719853E-2</v>
      </c>
      <c r="EA16" s="194">
        <f t="shared" ca="1" si="22"/>
        <v>3.7820788151719853E-2</v>
      </c>
      <c r="EB16" s="194">
        <f t="shared" ca="1" si="22"/>
        <v>3.7820788151719902E-2</v>
      </c>
      <c r="EC16" s="194">
        <f t="shared" ca="1" si="22"/>
        <v>3.7820788151719853E-2</v>
      </c>
      <c r="ED16" s="194">
        <f t="shared" ca="1" si="22"/>
        <v>3.7820788151719853E-2</v>
      </c>
      <c r="EE16" s="194">
        <f t="shared" ca="1" si="22"/>
        <v>3.7820788151719853E-2</v>
      </c>
      <c r="EF16" s="194">
        <f t="shared" ca="1" si="22"/>
        <v>3.7820788151719853E-2</v>
      </c>
      <c r="EG16" s="194">
        <f t="shared" ca="1" si="22"/>
        <v>3.7820788151719853E-2</v>
      </c>
      <c r="EH16" s="194">
        <f t="shared" ca="1" si="22"/>
        <v>3.7844871872194076E-2</v>
      </c>
      <c r="EI16" s="336">
        <f t="shared" ca="1" si="22"/>
        <v>3.7844871872194076E-2</v>
      </c>
    </row>
    <row r="17" spans="1:147" x14ac:dyDescent="0.2">
      <c r="A17" s="192"/>
      <c r="B17" s="192"/>
      <c r="C17" s="192"/>
      <c r="D17" s="192"/>
      <c r="E17" s="192"/>
      <c r="F17" s="192"/>
      <c r="G17" s="254"/>
      <c r="H17" s="254"/>
      <c r="I17" s="254"/>
      <c r="J17" s="254"/>
      <c r="K17" s="254"/>
      <c r="L17" s="254" t="s">
        <v>20</v>
      </c>
      <c r="M17" s="278">
        <f t="shared" ca="1" si="0"/>
        <v>17</v>
      </c>
      <c r="N17" s="279">
        <f t="shared" ca="1" si="5"/>
        <v>-7.5103045621183933E-23</v>
      </c>
      <c r="O17" s="279">
        <f t="shared" ca="1" si="6"/>
        <v>-7.5103045621183933E-23</v>
      </c>
      <c r="P17" s="257">
        <f t="shared" ca="1" si="1"/>
        <v>0</v>
      </c>
      <c r="Q17" s="249"/>
      <c r="R17" s="192"/>
      <c r="S17" s="265"/>
      <c r="T17" s="89" t="s">
        <v>12</v>
      </c>
      <c r="U17" s="326"/>
      <c r="V17" s="322"/>
      <c r="W17" s="322"/>
      <c r="X17" s="322"/>
      <c r="Y17" s="322"/>
      <c r="Z17" s="322">
        <v>1</v>
      </c>
      <c r="AA17" s="322"/>
      <c r="AB17" s="322"/>
      <c r="AC17" s="322"/>
      <c r="AD17" s="322"/>
      <c r="AE17" s="322"/>
      <c r="AF17" s="322"/>
      <c r="AG17" s="322"/>
      <c r="AH17" s="322"/>
      <c r="AI17" s="327"/>
      <c r="AJ17" s="192">
        <f t="shared" si="2"/>
        <v>1</v>
      </c>
      <c r="AK17" s="360" t="s">
        <v>152</v>
      </c>
      <c r="AL17" s="331">
        <f t="shared" ca="1" si="12"/>
        <v>5</v>
      </c>
      <c r="AM17" s="238" t="str">
        <f t="shared" si="23"/>
        <v>US Equ</v>
      </c>
      <c r="AN17" s="333">
        <f t="shared" ca="1" si="13"/>
        <v>1.0476434817458315E-8</v>
      </c>
      <c r="AO17" s="194">
        <f t="shared" ca="1" si="13"/>
        <v>1.0476434817459305E-8</v>
      </c>
      <c r="AP17" s="194">
        <f t="shared" ca="1" si="13"/>
        <v>5.6171325000046334E-10</v>
      </c>
      <c r="AQ17" s="194">
        <f t="shared" ca="1" si="13"/>
        <v>3.7052660653161717E-9</v>
      </c>
      <c r="AR17" s="194">
        <f t="shared" ca="1" si="13"/>
        <v>1.6209906174922128E-8</v>
      </c>
      <c r="AS17" s="194">
        <f t="shared" ca="1" si="13"/>
        <v>3.7052660653294409E-9</v>
      </c>
      <c r="AT17" s="194">
        <f t="shared" ca="1" si="13"/>
        <v>1.1379053474060595E-8</v>
      </c>
      <c r="AU17" s="194">
        <f t="shared" ca="1" si="13"/>
        <v>1.6209906175078799E-8</v>
      </c>
      <c r="AV17" s="194">
        <f t="shared" ca="1" si="13"/>
        <v>3.7052660653110436E-9</v>
      </c>
      <c r="AW17" s="194">
        <f t="shared" ca="1" si="13"/>
        <v>1.6218802170038894E-8</v>
      </c>
      <c r="AX17" s="194">
        <f t="shared" ca="1" si="14"/>
        <v>3.7052660655278108E-9</v>
      </c>
      <c r="AY17" s="194">
        <f t="shared" ca="1" si="14"/>
        <v>6.4303795583483727E-23</v>
      </c>
      <c r="AZ17" s="194">
        <f t="shared" ca="1" si="14"/>
        <v>-1.5823949861796387E-20</v>
      </c>
      <c r="BA17" s="194">
        <f t="shared" ca="1" si="14"/>
        <v>-5.6974578571882733E-21</v>
      </c>
      <c r="BB17" s="194">
        <f t="shared" ca="1" si="14"/>
        <v>4.2449158008903267E-22</v>
      </c>
      <c r="BC17" s="194">
        <f t="shared" ca="1" si="14"/>
        <v>1.3128412438418852E-19</v>
      </c>
      <c r="BD17" s="194">
        <f t="shared" ca="1" si="14"/>
        <v>1.4120362848793486E-21</v>
      </c>
      <c r="BE17" s="194">
        <f t="shared" ca="1" si="14"/>
        <v>1.1379053474202355E-8</v>
      </c>
      <c r="BF17" s="194">
        <f t="shared" ca="1" si="14"/>
        <v>-2.6375970670395079E-21</v>
      </c>
      <c r="BG17" s="194">
        <f t="shared" ca="1" si="14"/>
        <v>-3.1960663099092758E-23</v>
      </c>
      <c r="BH17" s="194">
        <f t="shared" ca="1" si="15"/>
        <v>3.12288092638616E-20</v>
      </c>
      <c r="BI17" s="194">
        <f t="shared" ca="1" si="15"/>
        <v>1.1377660810435615E-8</v>
      </c>
      <c r="BJ17" s="194">
        <f t="shared" ca="1" si="15"/>
        <v>1.6592342113819656E-3</v>
      </c>
      <c r="BK17" s="194">
        <f t="shared" ca="1" si="15"/>
        <v>4.0365443901411091E-3</v>
      </c>
      <c r="BL17" s="194">
        <f t="shared" ca="1" si="15"/>
        <v>7.1111959701222523E-3</v>
      </c>
      <c r="BM17" s="194">
        <f t="shared" ca="1" si="15"/>
        <v>1.0532834847410279E-2</v>
      </c>
      <c r="BN17" s="194">
        <f t="shared" ca="1" si="15"/>
        <v>1.3742797782622605E-2</v>
      </c>
      <c r="BO17" s="194">
        <f t="shared" ca="1" si="15"/>
        <v>1.774142254812772E-2</v>
      </c>
      <c r="BP17" s="194">
        <f t="shared" ca="1" si="15"/>
        <v>1.9688735211692707E-2</v>
      </c>
      <c r="BQ17" s="194">
        <f t="shared" ca="1" si="15"/>
        <v>2.1978183669233889E-2</v>
      </c>
      <c r="BR17" s="194">
        <f t="shared" ca="1" si="16"/>
        <v>2.4336381682616131E-2</v>
      </c>
      <c r="BS17" s="194">
        <f t="shared" ca="1" si="16"/>
        <v>2.7767748469688013E-2</v>
      </c>
      <c r="BT17" s="194">
        <f t="shared" ca="1" si="16"/>
        <v>2.9616349439242358E-2</v>
      </c>
      <c r="BU17" s="194">
        <f t="shared" ca="1" si="16"/>
        <v>3.1039833725869274E-2</v>
      </c>
      <c r="BV17" s="194">
        <f t="shared" ca="1" si="16"/>
        <v>3.0862498825278039E-2</v>
      </c>
      <c r="BW17" s="194">
        <f t="shared" ca="1" si="16"/>
        <v>3.0936743409020317E-2</v>
      </c>
      <c r="BX17" s="194">
        <f t="shared" ca="1" si="16"/>
        <v>3.0736400745390854E-2</v>
      </c>
      <c r="BY17" s="194">
        <f t="shared" ca="1" si="16"/>
        <v>3.0397582037727879E-2</v>
      </c>
      <c r="BZ17" s="194">
        <f t="shared" ca="1" si="16"/>
        <v>2.9665763654913472E-2</v>
      </c>
      <c r="CA17" s="194">
        <f t="shared" ca="1" si="16"/>
        <v>3.128687955904972E-2</v>
      </c>
      <c r="CB17" s="194">
        <f t="shared" ca="1" si="17"/>
        <v>3.4071220545855062E-2</v>
      </c>
      <c r="CC17" s="194">
        <f t="shared" ca="1" si="17"/>
        <v>3.6572251753787699E-2</v>
      </c>
      <c r="CD17" s="194">
        <f t="shared" ca="1" si="17"/>
        <v>3.7931458391527839E-2</v>
      </c>
      <c r="CE17" s="194">
        <f t="shared" ca="1" si="17"/>
        <v>3.9167402222339207E-2</v>
      </c>
      <c r="CF17" s="194">
        <f t="shared" ca="1" si="17"/>
        <v>4.1430782178897611E-2</v>
      </c>
      <c r="CG17" s="194">
        <f t="shared" ca="1" si="17"/>
        <v>4.1430782178897611E-2</v>
      </c>
      <c r="CH17" s="194">
        <f t="shared" ca="1" si="17"/>
        <v>4.1430782178897611E-2</v>
      </c>
      <c r="CI17" s="194">
        <f t="shared" ca="1" si="17"/>
        <v>4.1430782178897604E-2</v>
      </c>
      <c r="CJ17" s="194">
        <f t="shared" ca="1" si="17"/>
        <v>4.1430782178897611E-2</v>
      </c>
      <c r="CK17" s="194">
        <f t="shared" ca="1" si="17"/>
        <v>4.1430782178897611E-2</v>
      </c>
      <c r="CL17" s="194">
        <f t="shared" ca="1" si="18"/>
        <v>4.1430782178897611E-2</v>
      </c>
      <c r="CM17" s="194">
        <f t="shared" ca="1" si="18"/>
        <v>4.1430782178897611E-2</v>
      </c>
      <c r="CN17" s="194">
        <f t="shared" ca="1" si="18"/>
        <v>4.1430782178897611E-2</v>
      </c>
      <c r="CO17" s="194">
        <f t="shared" ca="1" si="18"/>
        <v>4.1430782178897348E-2</v>
      </c>
      <c r="CP17" s="194">
        <f t="shared" ca="1" si="18"/>
        <v>4.1430782178897785E-2</v>
      </c>
      <c r="CQ17" s="194">
        <f t="shared" ca="1" si="18"/>
        <v>4.1430782178897625E-2</v>
      </c>
      <c r="CR17" s="194">
        <f t="shared" ca="1" si="18"/>
        <v>4.1430787961067021E-2</v>
      </c>
      <c r="CS17" s="194">
        <f t="shared" ca="1" si="18"/>
        <v>4.1430782178897486E-2</v>
      </c>
      <c r="CT17" s="194">
        <f t="shared" ca="1" si="18"/>
        <v>4.1430787961067021E-2</v>
      </c>
      <c r="CU17" s="194">
        <f t="shared" ca="1" si="18"/>
        <v>4.1430787961067021E-2</v>
      </c>
      <c r="CV17" s="194">
        <f t="shared" ca="1" si="19"/>
        <v>4.1430787961067021E-2</v>
      </c>
      <c r="CW17" s="194">
        <f t="shared" ca="1" si="19"/>
        <v>4.1430787961067021E-2</v>
      </c>
      <c r="CX17" s="194">
        <f t="shared" ca="1" si="19"/>
        <v>4.1430787961067014E-2</v>
      </c>
      <c r="CY17" s="194">
        <f t="shared" ca="1" si="19"/>
        <v>4.1430782178897611E-2</v>
      </c>
      <c r="CZ17" s="194">
        <f t="shared" ca="1" si="19"/>
        <v>4.1430787961067021E-2</v>
      </c>
      <c r="DA17" s="194">
        <f t="shared" ca="1" si="19"/>
        <v>4.1430787961067021E-2</v>
      </c>
      <c r="DB17" s="194">
        <f t="shared" ca="1" si="19"/>
        <v>4.1430787961067021E-2</v>
      </c>
      <c r="DC17" s="194">
        <f t="shared" ca="1" si="19"/>
        <v>4.1430787961067021E-2</v>
      </c>
      <c r="DD17" s="194">
        <f t="shared" ca="1" si="19"/>
        <v>4.1430787961067021E-2</v>
      </c>
      <c r="DE17" s="194">
        <f t="shared" ca="1" si="19"/>
        <v>4.1430787961067021E-2</v>
      </c>
      <c r="DF17" s="194">
        <f t="shared" ca="1" si="20"/>
        <v>4.1430787961067014E-2</v>
      </c>
      <c r="DG17" s="194">
        <f t="shared" ca="1" si="20"/>
        <v>4.1430787961067021E-2</v>
      </c>
      <c r="DH17" s="194">
        <f t="shared" ca="1" si="20"/>
        <v>4.1430787961067021E-2</v>
      </c>
      <c r="DI17" s="194">
        <f t="shared" ca="1" si="20"/>
        <v>4.1430787961067014E-2</v>
      </c>
      <c r="DJ17" s="194">
        <f t="shared" ca="1" si="20"/>
        <v>4.1430782178897563E-2</v>
      </c>
      <c r="DK17" s="194">
        <f t="shared" ca="1" si="20"/>
        <v>4.1430782178897611E-2</v>
      </c>
      <c r="DL17" s="194">
        <f t="shared" ca="1" si="20"/>
        <v>4.143078796106698E-2</v>
      </c>
      <c r="DM17" s="194">
        <f t="shared" ca="1" si="20"/>
        <v>4.1430782178897611E-2</v>
      </c>
      <c r="DN17" s="194">
        <f t="shared" ca="1" si="20"/>
        <v>4.1430782178897611E-2</v>
      </c>
      <c r="DO17" s="194">
        <f t="shared" ca="1" si="20"/>
        <v>4.1430782178897618E-2</v>
      </c>
      <c r="DP17" s="194">
        <f t="shared" ca="1" si="21"/>
        <v>4.1430787961066938E-2</v>
      </c>
      <c r="DQ17" s="194">
        <f t="shared" ca="1" si="21"/>
        <v>4.1430782178897604E-2</v>
      </c>
      <c r="DR17" s="194">
        <f t="shared" ca="1" si="21"/>
        <v>4.1430782178897611E-2</v>
      </c>
      <c r="DS17" s="194">
        <f t="shared" ca="1" si="21"/>
        <v>4.1430782178897611E-2</v>
      </c>
      <c r="DT17" s="194">
        <f t="shared" ca="1" si="21"/>
        <v>4.1430787961066744E-2</v>
      </c>
      <c r="DU17" s="194">
        <f t="shared" ca="1" si="21"/>
        <v>4.1430782178897611E-2</v>
      </c>
      <c r="DV17" s="194">
        <f t="shared" ca="1" si="21"/>
        <v>4.1430782178897611E-2</v>
      </c>
      <c r="DW17" s="194">
        <f t="shared" ca="1" si="21"/>
        <v>4.1430782178897611E-2</v>
      </c>
      <c r="DX17" s="194">
        <f t="shared" ca="1" si="21"/>
        <v>4.1430782178897618E-2</v>
      </c>
      <c r="DY17" s="194">
        <f t="shared" ca="1" si="21"/>
        <v>4.1430782178897611E-2</v>
      </c>
      <c r="DZ17" s="194">
        <f t="shared" ca="1" si="22"/>
        <v>4.1430782178897521E-2</v>
      </c>
      <c r="EA17" s="194">
        <f t="shared" ca="1" si="22"/>
        <v>4.1430782178897098E-2</v>
      </c>
      <c r="EB17" s="194">
        <f t="shared" ca="1" si="22"/>
        <v>4.1430782178896716E-2</v>
      </c>
      <c r="EC17" s="194">
        <f t="shared" ca="1" si="22"/>
        <v>4.1430782178897015E-2</v>
      </c>
      <c r="ED17" s="194">
        <f t="shared" ca="1" si="22"/>
        <v>4.1430782178897611E-2</v>
      </c>
      <c r="EE17" s="194">
        <f t="shared" ca="1" si="22"/>
        <v>4.1430782178897611E-2</v>
      </c>
      <c r="EF17" s="194">
        <f t="shared" ca="1" si="22"/>
        <v>4.1430782178897618E-2</v>
      </c>
      <c r="EG17" s="194">
        <f t="shared" ca="1" si="22"/>
        <v>4.1430782178897611E-2</v>
      </c>
      <c r="EH17" s="194">
        <f t="shared" ca="1" si="22"/>
        <v>4.1244303786698439E-2</v>
      </c>
      <c r="EI17" s="336">
        <f t="shared" ca="1" si="22"/>
        <v>4.1244303786698439E-2</v>
      </c>
    </row>
    <row r="18" spans="1:147" x14ac:dyDescent="0.2">
      <c r="A18" s="192"/>
      <c r="B18" s="192"/>
      <c r="C18" s="192"/>
      <c r="D18" s="192"/>
      <c r="E18" s="192"/>
      <c r="F18" s="192"/>
      <c r="G18" s="254"/>
      <c r="H18" s="254"/>
      <c r="I18" s="254"/>
      <c r="J18" s="254"/>
      <c r="K18" s="254"/>
      <c r="L18" s="254" t="s">
        <v>157</v>
      </c>
      <c r="M18" s="278">
        <f t="shared" ca="1" si="0"/>
        <v>18</v>
      </c>
      <c r="N18" s="279">
        <f t="shared" ca="1" si="5"/>
        <v>0.14671956666504624</v>
      </c>
      <c r="O18" s="279">
        <f t="shared" ca="1" si="6"/>
        <v>0.14671956666504624</v>
      </c>
      <c r="P18" s="257">
        <f t="shared" ca="1" si="1"/>
        <v>0</v>
      </c>
      <c r="Q18" s="249"/>
      <c r="R18" s="192"/>
      <c r="S18" s="265"/>
      <c r="T18" s="89" t="s">
        <v>13</v>
      </c>
      <c r="U18" s="326"/>
      <c r="V18" s="322"/>
      <c r="W18" s="322"/>
      <c r="X18" s="322"/>
      <c r="Y18" s="322"/>
      <c r="Z18" s="322"/>
      <c r="AA18" s="322">
        <v>1</v>
      </c>
      <c r="AB18" s="322"/>
      <c r="AC18" s="322"/>
      <c r="AD18" s="322"/>
      <c r="AE18" s="322"/>
      <c r="AF18" s="322"/>
      <c r="AG18" s="322"/>
      <c r="AH18" s="322"/>
      <c r="AI18" s="327"/>
      <c r="AJ18" s="192">
        <f t="shared" si="2"/>
        <v>1</v>
      </c>
      <c r="AK18" s="360" t="s">
        <v>153</v>
      </c>
      <c r="AL18" s="331">
        <f t="shared" ca="1" si="12"/>
        <v>6</v>
      </c>
      <c r="AM18" s="238" t="str">
        <f t="shared" si="23"/>
        <v>CAN Equ</v>
      </c>
      <c r="AN18" s="333">
        <f t="shared" ca="1" si="13"/>
        <v>1.3926637621002399E-12</v>
      </c>
      <c r="AO18" s="194">
        <f t="shared" ca="1" si="13"/>
        <v>1.3926637623162635E-12</v>
      </c>
      <c r="AP18" s="194">
        <f t="shared" ca="1" si="13"/>
        <v>1.392663762117619E-12</v>
      </c>
      <c r="AQ18" s="194">
        <f t="shared" ca="1" si="13"/>
        <v>1.3926637628272424E-12</v>
      </c>
      <c r="AR18" s="194">
        <f t="shared" ca="1" si="13"/>
        <v>1.3926637620897964E-12</v>
      </c>
      <c r="AS18" s="194">
        <f t="shared" ca="1" si="13"/>
        <v>1.3926637621103785E-12</v>
      </c>
      <c r="AT18" s="194">
        <f t="shared" ca="1" si="13"/>
        <v>1.3926637620897964E-12</v>
      </c>
      <c r="AU18" s="194">
        <f t="shared" ca="1" si="13"/>
        <v>1.3926637620897964E-12</v>
      </c>
      <c r="AV18" s="194">
        <f t="shared" ca="1" si="13"/>
        <v>1.3926637621426218E-12</v>
      </c>
      <c r="AW18" s="194">
        <f t="shared" ca="1" si="13"/>
        <v>1.3926637620897964E-12</v>
      </c>
      <c r="AX18" s="194">
        <f t="shared" ca="1" si="14"/>
        <v>1.3926637620897964E-12</v>
      </c>
      <c r="AY18" s="194">
        <f t="shared" ca="1" si="14"/>
        <v>1.3926637620897964E-12</v>
      </c>
      <c r="AZ18" s="194">
        <f t="shared" ca="1" si="14"/>
        <v>1.3926637620897964E-12</v>
      </c>
      <c r="BA18" s="194">
        <f t="shared" ca="1" si="14"/>
        <v>1.3926637620897964E-12</v>
      </c>
      <c r="BB18" s="194">
        <f t="shared" ca="1" si="14"/>
        <v>1.3926637620897964E-12</v>
      </c>
      <c r="BC18" s="194">
        <f t="shared" ca="1" si="14"/>
        <v>1.3926637620897964E-12</v>
      </c>
      <c r="BD18" s="194">
        <f t="shared" ca="1" si="14"/>
        <v>1.3926637620897964E-12</v>
      </c>
      <c r="BE18" s="194">
        <f t="shared" ca="1" si="14"/>
        <v>1.3926637620897964E-12</v>
      </c>
      <c r="BF18" s="194">
        <f t="shared" ca="1" si="14"/>
        <v>1.3926637620897964E-12</v>
      </c>
      <c r="BG18" s="194">
        <f t="shared" ca="1" si="14"/>
        <v>1.3926637620897964E-12</v>
      </c>
      <c r="BH18" s="194">
        <f t="shared" ca="1" si="15"/>
        <v>1.3926637620897964E-12</v>
      </c>
      <c r="BI18" s="194">
        <f t="shared" ca="1" si="15"/>
        <v>1.3926637628352483E-12</v>
      </c>
      <c r="BJ18" s="194">
        <f t="shared" ca="1" si="15"/>
        <v>1.3926637626004715E-12</v>
      </c>
      <c r="BK18" s="194">
        <f t="shared" ca="1" si="15"/>
        <v>1.3926637621749263E-12</v>
      </c>
      <c r="BL18" s="194">
        <f t="shared" ca="1" si="15"/>
        <v>1.3926637620897964E-12</v>
      </c>
      <c r="BM18" s="194">
        <f t="shared" ca="1" si="15"/>
        <v>1.3926637651780423E-12</v>
      </c>
      <c r="BN18" s="194">
        <f t="shared" ca="1" si="15"/>
        <v>1.3926637620897964E-12</v>
      </c>
      <c r="BO18" s="194">
        <f t="shared" ca="1" si="15"/>
        <v>1.3926637623735629E-12</v>
      </c>
      <c r="BP18" s="194">
        <f t="shared" ca="1" si="15"/>
        <v>1.3926637622590863E-12</v>
      </c>
      <c r="BQ18" s="194">
        <f t="shared" ca="1" si="15"/>
        <v>1.3926637620897964E-12</v>
      </c>
      <c r="BR18" s="194">
        <f t="shared" ca="1" si="16"/>
        <v>1.3926637621886537E-12</v>
      </c>
      <c r="BS18" s="194">
        <f t="shared" ca="1" si="16"/>
        <v>1.3926637622374134E-12</v>
      </c>
      <c r="BT18" s="194">
        <f t="shared" ca="1" si="16"/>
        <v>1.3926637621416882E-12</v>
      </c>
      <c r="BU18" s="194">
        <f t="shared" ca="1" si="16"/>
        <v>1.3926637621077752E-12</v>
      </c>
      <c r="BV18" s="194">
        <f t="shared" ca="1" si="16"/>
        <v>1.3926637623580289E-12</v>
      </c>
      <c r="BW18" s="194">
        <f t="shared" ca="1" si="16"/>
        <v>1.3926637621697374E-12</v>
      </c>
      <c r="BX18" s="194">
        <f t="shared" ca="1" si="16"/>
        <v>1.3926637645350341E-12</v>
      </c>
      <c r="BY18" s="194">
        <f t="shared" ca="1" si="16"/>
        <v>1.3926637999002706E-12</v>
      </c>
      <c r="BZ18" s="194">
        <f t="shared" ca="1" si="16"/>
        <v>1.3926637623498112E-12</v>
      </c>
      <c r="CA18" s="194">
        <f t="shared" ca="1" si="16"/>
        <v>1.3926637622036351E-12</v>
      </c>
      <c r="CB18" s="194">
        <f t="shared" ca="1" si="17"/>
        <v>1.3926637621870062E-12</v>
      </c>
      <c r="CC18" s="194">
        <f t="shared" ca="1" si="17"/>
        <v>1.3926637621313577E-12</v>
      </c>
      <c r="CD18" s="194">
        <f t="shared" ca="1" si="17"/>
        <v>1.3926637621110587E-12</v>
      </c>
      <c r="CE18" s="194">
        <f t="shared" ca="1" si="17"/>
        <v>1.3926637620897964E-12</v>
      </c>
      <c r="CF18" s="194">
        <f t="shared" ca="1" si="17"/>
        <v>1.3926637620897964E-12</v>
      </c>
      <c r="CG18" s="194">
        <f t="shared" ca="1" si="17"/>
        <v>1.392663766244871E-12</v>
      </c>
      <c r="CH18" s="194">
        <f t="shared" ca="1" si="17"/>
        <v>1.3926638254967105E-12</v>
      </c>
      <c r="CI18" s="194">
        <f t="shared" ca="1" si="17"/>
        <v>1.3926637620897964E-12</v>
      </c>
      <c r="CJ18" s="194">
        <f t="shared" ca="1" si="17"/>
        <v>1.3926637622846447E-12</v>
      </c>
      <c r="CK18" s="194">
        <f t="shared" ca="1" si="17"/>
        <v>1.3926637621717418E-12</v>
      </c>
      <c r="CL18" s="194">
        <f t="shared" ca="1" si="18"/>
        <v>1.3926637693106752E-12</v>
      </c>
      <c r="CM18" s="194">
        <f t="shared" ca="1" si="18"/>
        <v>1.3926637623942319E-12</v>
      </c>
      <c r="CN18" s="194">
        <f t="shared" ca="1" si="18"/>
        <v>1.3926637634838409E-12</v>
      </c>
      <c r="CO18" s="194">
        <f t="shared" ca="1" si="18"/>
        <v>1.3927010840913344E-12</v>
      </c>
      <c r="CP18" s="194">
        <f t="shared" ca="1" si="18"/>
        <v>1.3926808843826301E-12</v>
      </c>
      <c r="CQ18" s="194">
        <f t="shared" ca="1" si="18"/>
        <v>1.392677286054374E-12</v>
      </c>
      <c r="CR18" s="194">
        <f t="shared" ca="1" si="18"/>
        <v>1.3926637625816752E-12</v>
      </c>
      <c r="CS18" s="194">
        <f t="shared" ca="1" si="18"/>
        <v>1.3927234329461937E-12</v>
      </c>
      <c r="CT18" s="194">
        <f t="shared" ca="1" si="18"/>
        <v>1.3926637639714505E-12</v>
      </c>
      <c r="CU18" s="194">
        <f t="shared" ca="1" si="18"/>
        <v>1.3926637620901015E-12</v>
      </c>
      <c r="CV18" s="194">
        <f t="shared" ca="1" si="19"/>
        <v>1.3926637621445634E-12</v>
      </c>
      <c r="CW18" s="194">
        <f t="shared" ca="1" si="19"/>
        <v>1.3926637620897964E-12</v>
      </c>
      <c r="CX18" s="194">
        <f t="shared" ca="1" si="19"/>
        <v>1.3926637620897964E-12</v>
      </c>
      <c r="CY18" s="194">
        <f t="shared" ca="1" si="19"/>
        <v>1.3926637822916373E-12</v>
      </c>
      <c r="CZ18" s="194">
        <f t="shared" ca="1" si="19"/>
        <v>1.3926637624830713E-12</v>
      </c>
      <c r="DA18" s="194">
        <f t="shared" ca="1" si="19"/>
        <v>1.3926637621875798E-12</v>
      </c>
      <c r="DB18" s="194">
        <f t="shared" ca="1" si="19"/>
        <v>1.3926637656734087E-12</v>
      </c>
      <c r="DC18" s="194">
        <f t="shared" ca="1" si="19"/>
        <v>1.3926637620991078E-12</v>
      </c>
      <c r="DD18" s="194">
        <f t="shared" ca="1" si="19"/>
        <v>1.3926637635645814E-12</v>
      </c>
      <c r="DE18" s="194">
        <f t="shared" ca="1" si="19"/>
        <v>1.3926638048284182E-12</v>
      </c>
      <c r="DF18" s="194">
        <f t="shared" ca="1" si="20"/>
        <v>1.3926637631499941E-12</v>
      </c>
      <c r="DG18" s="194">
        <f t="shared" ca="1" si="20"/>
        <v>1.3926637666074047E-12</v>
      </c>
      <c r="DH18" s="194">
        <f t="shared" ca="1" si="20"/>
        <v>1.3926637620897964E-12</v>
      </c>
      <c r="DI18" s="194">
        <f t="shared" ca="1" si="20"/>
        <v>1.392663762090613E-12</v>
      </c>
      <c r="DJ18" s="194">
        <f t="shared" ca="1" si="20"/>
        <v>1.3926637620897964E-12</v>
      </c>
      <c r="DK18" s="194">
        <f t="shared" ca="1" si="20"/>
        <v>1.3926637620897964E-12</v>
      </c>
      <c r="DL18" s="194">
        <f t="shared" ca="1" si="20"/>
        <v>1.3926796321867688E-12</v>
      </c>
      <c r="DM18" s="194">
        <f t="shared" ca="1" si="20"/>
        <v>1.3926637639316503E-12</v>
      </c>
      <c r="DN18" s="194">
        <f t="shared" ca="1" si="20"/>
        <v>1.3926637622811364E-12</v>
      </c>
      <c r="DO18" s="194">
        <f t="shared" ca="1" si="20"/>
        <v>1.3926637620897964E-12</v>
      </c>
      <c r="DP18" s="194">
        <f t="shared" ca="1" si="21"/>
        <v>1.3926768637886409E-12</v>
      </c>
      <c r="DQ18" s="194">
        <f t="shared" ca="1" si="21"/>
        <v>1.3926637620947096E-12</v>
      </c>
      <c r="DR18" s="194">
        <f t="shared" ca="1" si="21"/>
        <v>1.3926643257763758E-12</v>
      </c>
      <c r="DS18" s="194">
        <f t="shared" ca="1" si="21"/>
        <v>1.3926637620897964E-12</v>
      </c>
      <c r="DT18" s="194">
        <f t="shared" ca="1" si="21"/>
        <v>1.3926817367433027E-12</v>
      </c>
      <c r="DU18" s="194">
        <f t="shared" ca="1" si="21"/>
        <v>1.3926637620897964E-12</v>
      </c>
      <c r="DV18" s="194">
        <f t="shared" ca="1" si="21"/>
        <v>1.3926638341631664E-12</v>
      </c>
      <c r="DW18" s="194">
        <f t="shared" ca="1" si="21"/>
        <v>1.3926637887541306E-12</v>
      </c>
      <c r="DX18" s="194">
        <f t="shared" ca="1" si="21"/>
        <v>1.3926644178756804E-12</v>
      </c>
      <c r="DY18" s="194">
        <f t="shared" ca="1" si="21"/>
        <v>1.3926637657616846E-12</v>
      </c>
      <c r="DZ18" s="194">
        <f t="shared" ca="1" si="22"/>
        <v>1.3926871879949359E-12</v>
      </c>
      <c r="EA18" s="194">
        <f t="shared" ca="1" si="22"/>
        <v>1.3926637620897964E-12</v>
      </c>
      <c r="EB18" s="194">
        <f t="shared" ca="1" si="22"/>
        <v>1.3926875353299785E-12</v>
      </c>
      <c r="EC18" s="194">
        <f t="shared" ca="1" si="22"/>
        <v>1.3926784179315114E-12</v>
      </c>
      <c r="ED18" s="194">
        <f t="shared" ca="1" si="22"/>
        <v>1.3926637620897964E-12</v>
      </c>
      <c r="EE18" s="194">
        <f t="shared" ca="1" si="22"/>
        <v>1.3926638168299109E-12</v>
      </c>
      <c r="EF18" s="194">
        <f t="shared" ca="1" si="22"/>
        <v>1.39266383716975E-12</v>
      </c>
      <c r="EG18" s="194">
        <f t="shared" ca="1" si="22"/>
        <v>1.3926637620897964E-12</v>
      </c>
      <c r="EH18" s="194">
        <f t="shared" ca="1" si="22"/>
        <v>8.3687090572564789E-5</v>
      </c>
      <c r="EI18" s="336">
        <f t="shared" ca="1" si="22"/>
        <v>8.3687090572564789E-5</v>
      </c>
    </row>
    <row r="19" spans="1:147" x14ac:dyDescent="0.2">
      <c r="A19" s="192"/>
      <c r="B19" s="192"/>
      <c r="C19" s="192"/>
      <c r="D19" s="192"/>
      <c r="E19" s="192"/>
      <c r="F19" s="192"/>
      <c r="G19" s="254"/>
      <c r="H19" s="254"/>
      <c r="I19" s="254"/>
      <c r="J19" s="254"/>
      <c r="K19" s="254"/>
      <c r="L19" s="254" t="s">
        <v>22</v>
      </c>
      <c r="M19" s="278">
        <f t="shared" ca="1" si="0"/>
        <v>19</v>
      </c>
      <c r="N19" s="279">
        <f t="shared" ca="1" si="5"/>
        <v>0.12778026941745543</v>
      </c>
      <c r="O19" s="279">
        <f t="shared" ca="1" si="6"/>
        <v>0.12778026941745543</v>
      </c>
      <c r="P19" s="257">
        <f t="shared" ca="1" si="1"/>
        <v>0</v>
      </c>
      <c r="Q19" s="249"/>
      <c r="R19" s="192"/>
      <c r="S19" s="265"/>
      <c r="T19" s="89" t="s">
        <v>14</v>
      </c>
      <c r="U19" s="326"/>
      <c r="V19" s="322"/>
      <c r="W19" s="322"/>
      <c r="X19" s="322"/>
      <c r="Y19" s="322"/>
      <c r="Z19" s="322"/>
      <c r="AA19" s="322"/>
      <c r="AB19" s="322">
        <v>1</v>
      </c>
      <c r="AC19" s="322"/>
      <c r="AD19" s="322"/>
      <c r="AE19" s="322"/>
      <c r="AF19" s="322"/>
      <c r="AG19" s="322"/>
      <c r="AH19" s="322"/>
      <c r="AI19" s="327"/>
      <c r="AJ19" s="192">
        <f t="shared" si="2"/>
        <v>1</v>
      </c>
      <c r="AK19" s="360" t="s">
        <v>156</v>
      </c>
      <c r="AL19" s="331">
        <f t="shared" ca="1" si="12"/>
        <v>7</v>
      </c>
      <c r="AM19" s="238" t="str">
        <f t="shared" si="23"/>
        <v>JPN Equ</v>
      </c>
      <c r="AN19" s="333">
        <f t="shared" ca="1" si="13"/>
        <v>3.5832670164382998E-9</v>
      </c>
      <c r="AO19" s="194">
        <f t="shared" ca="1" si="13"/>
        <v>3.5832670164387907E-9</v>
      </c>
      <c r="AP19" s="194">
        <f t="shared" ca="1" si="13"/>
        <v>3.5832670164381852E-9</v>
      </c>
      <c r="AQ19" s="194">
        <f t="shared" ca="1" si="13"/>
        <v>3.5832670164381852E-9</v>
      </c>
      <c r="AR19" s="194">
        <f t="shared" ca="1" si="13"/>
        <v>3.5832670164434796E-9</v>
      </c>
      <c r="AS19" s="194">
        <f t="shared" ca="1" si="13"/>
        <v>3.5832670164381852E-9</v>
      </c>
      <c r="AT19" s="194">
        <f t="shared" ca="1" si="13"/>
        <v>3.5832670164418083E-9</v>
      </c>
      <c r="AU19" s="194">
        <f t="shared" ca="1" si="13"/>
        <v>3.5832670164381852E-9</v>
      </c>
      <c r="AV19" s="194">
        <f t="shared" ca="1" si="13"/>
        <v>3.5832670164381852E-9</v>
      </c>
      <c r="AW19" s="194">
        <f t="shared" ca="1" si="13"/>
        <v>3.5832670164384673E-9</v>
      </c>
      <c r="AX19" s="194">
        <f t="shared" ca="1" si="14"/>
        <v>3.5832670164381852E-9</v>
      </c>
      <c r="AY19" s="194">
        <f t="shared" ca="1" si="14"/>
        <v>3.5832670164381852E-9</v>
      </c>
      <c r="AZ19" s="194">
        <f t="shared" ca="1" si="14"/>
        <v>3.5832670164381852E-9</v>
      </c>
      <c r="BA19" s="194">
        <f t="shared" ca="1" si="14"/>
        <v>3.5832670164381852E-9</v>
      </c>
      <c r="BB19" s="194">
        <f t="shared" ca="1" si="14"/>
        <v>3.5832670164381852E-9</v>
      </c>
      <c r="BC19" s="194">
        <f t="shared" ca="1" si="14"/>
        <v>3.5832670164381852E-9</v>
      </c>
      <c r="BD19" s="194">
        <f t="shared" ca="1" si="14"/>
        <v>3.5832670164381852E-9</v>
      </c>
      <c r="BE19" s="194">
        <f t="shared" ca="1" si="14"/>
        <v>3.5832670164381852E-9</v>
      </c>
      <c r="BF19" s="194">
        <f t="shared" ca="1" si="14"/>
        <v>3.5832670164381852E-9</v>
      </c>
      <c r="BG19" s="194">
        <f t="shared" ca="1" si="14"/>
        <v>3.5832670164381852E-9</v>
      </c>
      <c r="BH19" s="194">
        <f t="shared" ca="1" si="15"/>
        <v>3.5832670164381852E-9</v>
      </c>
      <c r="BI19" s="194">
        <f t="shared" ca="1" si="15"/>
        <v>3.5832670164381852E-9</v>
      </c>
      <c r="BJ19" s="194">
        <f t="shared" ca="1" si="15"/>
        <v>5.171054236377087E-4</v>
      </c>
      <c r="BK19" s="194">
        <f t="shared" ca="1" si="15"/>
        <v>1.5172511078830602E-3</v>
      </c>
      <c r="BL19" s="194">
        <f t="shared" ca="1" si="15"/>
        <v>2.5826604722897096E-3</v>
      </c>
      <c r="BM19" s="194">
        <f t="shared" ca="1" si="15"/>
        <v>3.7204554711250679E-3</v>
      </c>
      <c r="BN19" s="194">
        <f t="shared" ca="1" si="15"/>
        <v>4.8040293409809896E-3</v>
      </c>
      <c r="BO19" s="194">
        <f t="shared" ca="1" si="15"/>
        <v>6.013505133627914E-3</v>
      </c>
      <c r="BP19" s="194">
        <f t="shared" ca="1" si="15"/>
        <v>7.1926202415420817E-3</v>
      </c>
      <c r="BQ19" s="194">
        <f t="shared" ca="1" si="15"/>
        <v>8.1140697061835073E-3</v>
      </c>
      <c r="BR19" s="194">
        <f t="shared" ca="1" si="16"/>
        <v>9.1992031634863681E-3</v>
      </c>
      <c r="BS19" s="194">
        <f t="shared" ca="1" si="16"/>
        <v>1.0052781561116653E-2</v>
      </c>
      <c r="BT19" s="194">
        <f t="shared" ca="1" si="16"/>
        <v>1.1088617806854641E-2</v>
      </c>
      <c r="BU19" s="194">
        <f t="shared" ca="1" si="16"/>
        <v>1.1749211848280147E-2</v>
      </c>
      <c r="BV19" s="194">
        <f t="shared" ca="1" si="16"/>
        <v>1.1749211848280148E-2</v>
      </c>
      <c r="BW19" s="194">
        <f t="shared" ca="1" si="16"/>
        <v>1.1749211848280153E-2</v>
      </c>
      <c r="BX19" s="194">
        <f t="shared" ca="1" si="16"/>
        <v>1.1749211848280148E-2</v>
      </c>
      <c r="BY19" s="194">
        <f t="shared" ca="1" si="16"/>
        <v>1.1749211848280148E-2</v>
      </c>
      <c r="BZ19" s="194">
        <f t="shared" ca="1" si="16"/>
        <v>1.1749211848280147E-2</v>
      </c>
      <c r="CA19" s="194">
        <f t="shared" ca="1" si="16"/>
        <v>1.174921184828015E-2</v>
      </c>
      <c r="CB19" s="194">
        <f t="shared" ca="1" si="17"/>
        <v>1.1749211848280153E-2</v>
      </c>
      <c r="CC19" s="194">
        <f t="shared" ca="1" si="17"/>
        <v>1.1749211848280148E-2</v>
      </c>
      <c r="CD19" s="194">
        <f t="shared" ca="1" si="17"/>
        <v>1.1749211848280152E-2</v>
      </c>
      <c r="CE19" s="194">
        <f t="shared" ca="1" si="17"/>
        <v>1.1749211848280148E-2</v>
      </c>
      <c r="CF19" s="194">
        <f t="shared" ca="1" si="17"/>
        <v>1.1749211848280148E-2</v>
      </c>
      <c r="CG19" s="194">
        <f t="shared" ca="1" si="17"/>
        <v>1.174921184828015E-2</v>
      </c>
      <c r="CH19" s="194">
        <f t="shared" ca="1" si="17"/>
        <v>1.174921184828015E-2</v>
      </c>
      <c r="CI19" s="194">
        <f t="shared" ca="1" si="17"/>
        <v>1.1749211848280153E-2</v>
      </c>
      <c r="CJ19" s="194">
        <f t="shared" ca="1" si="17"/>
        <v>1.1749211848280152E-2</v>
      </c>
      <c r="CK19" s="194">
        <f t="shared" ca="1" si="17"/>
        <v>1.1749211848280152E-2</v>
      </c>
      <c r="CL19" s="194">
        <f t="shared" ca="1" si="18"/>
        <v>1.174921184828015E-2</v>
      </c>
      <c r="CM19" s="194">
        <f t="shared" ca="1" si="18"/>
        <v>1.1749211848280153E-2</v>
      </c>
      <c r="CN19" s="194">
        <f t="shared" ca="1" si="18"/>
        <v>1.1749211848280152E-2</v>
      </c>
      <c r="CO19" s="194">
        <f t="shared" ca="1" si="18"/>
        <v>1.1749211848280138E-2</v>
      </c>
      <c r="CP19" s="194">
        <f t="shared" ca="1" si="18"/>
        <v>1.1749211848280147E-2</v>
      </c>
      <c r="CQ19" s="194">
        <f t="shared" ca="1" si="18"/>
        <v>1.174921184828015E-2</v>
      </c>
      <c r="CR19" s="194">
        <f t="shared" ca="1" si="18"/>
        <v>1.1749211848280152E-2</v>
      </c>
      <c r="CS19" s="194">
        <f t="shared" ca="1" si="18"/>
        <v>1.1749211848280133E-2</v>
      </c>
      <c r="CT19" s="194">
        <f t="shared" ca="1" si="18"/>
        <v>1.1749211848280148E-2</v>
      </c>
      <c r="CU19" s="194">
        <f t="shared" ca="1" si="18"/>
        <v>1.1749211848280147E-2</v>
      </c>
      <c r="CV19" s="194">
        <f t="shared" ca="1" si="19"/>
        <v>1.1749211848280152E-2</v>
      </c>
      <c r="CW19" s="194">
        <f t="shared" ca="1" si="19"/>
        <v>1.1749211848280152E-2</v>
      </c>
      <c r="CX19" s="194">
        <f t="shared" ca="1" si="19"/>
        <v>1.1749211848280153E-2</v>
      </c>
      <c r="CY19" s="194">
        <f t="shared" ca="1" si="19"/>
        <v>1.174921184828015E-2</v>
      </c>
      <c r="CZ19" s="194">
        <f t="shared" ca="1" si="19"/>
        <v>1.1749211848280152E-2</v>
      </c>
      <c r="DA19" s="194">
        <f t="shared" ca="1" si="19"/>
        <v>1.1749211848280152E-2</v>
      </c>
      <c r="DB19" s="194">
        <f t="shared" ca="1" si="19"/>
        <v>1.1749211848280148E-2</v>
      </c>
      <c r="DC19" s="194">
        <f t="shared" ca="1" si="19"/>
        <v>1.174921184828015E-2</v>
      </c>
      <c r="DD19" s="194">
        <f t="shared" ca="1" si="19"/>
        <v>1.1749211848280148E-2</v>
      </c>
      <c r="DE19" s="194">
        <f t="shared" ca="1" si="19"/>
        <v>1.1749211848280153E-2</v>
      </c>
      <c r="DF19" s="194">
        <f t="shared" ca="1" si="20"/>
        <v>1.1749211848280153E-2</v>
      </c>
      <c r="DG19" s="194">
        <f t="shared" ca="1" si="20"/>
        <v>1.174921184828015E-2</v>
      </c>
      <c r="DH19" s="194">
        <f t="shared" ca="1" si="20"/>
        <v>1.174921184828015E-2</v>
      </c>
      <c r="DI19" s="194">
        <f t="shared" ca="1" si="20"/>
        <v>1.1749211848280153E-2</v>
      </c>
      <c r="DJ19" s="194">
        <f t="shared" ca="1" si="20"/>
        <v>1.1749211848280138E-2</v>
      </c>
      <c r="DK19" s="194">
        <f t="shared" ca="1" si="20"/>
        <v>1.1749211848280153E-2</v>
      </c>
      <c r="DL19" s="194">
        <f t="shared" ca="1" si="20"/>
        <v>1.1749211848280205E-2</v>
      </c>
      <c r="DM19" s="194">
        <f t="shared" ca="1" si="20"/>
        <v>1.174921184828015E-2</v>
      </c>
      <c r="DN19" s="194">
        <f t="shared" ca="1" si="20"/>
        <v>1.1749211848280148E-2</v>
      </c>
      <c r="DO19" s="194">
        <f t="shared" ca="1" si="20"/>
        <v>1.174921184828015E-2</v>
      </c>
      <c r="DP19" s="194">
        <f t="shared" ca="1" si="21"/>
        <v>1.1749211848280134E-2</v>
      </c>
      <c r="DQ19" s="194">
        <f t="shared" ca="1" si="21"/>
        <v>1.1749211848280148E-2</v>
      </c>
      <c r="DR19" s="194">
        <f t="shared" ca="1" si="21"/>
        <v>1.1749211848280148E-2</v>
      </c>
      <c r="DS19" s="194">
        <f t="shared" ca="1" si="21"/>
        <v>1.174921184828015E-2</v>
      </c>
      <c r="DT19" s="194">
        <f t="shared" ca="1" si="21"/>
        <v>1.1749211848280131E-2</v>
      </c>
      <c r="DU19" s="194">
        <f t="shared" ca="1" si="21"/>
        <v>1.174921184828015E-2</v>
      </c>
      <c r="DV19" s="194">
        <f t="shared" ca="1" si="21"/>
        <v>1.1749211848280148E-2</v>
      </c>
      <c r="DW19" s="194">
        <f t="shared" ca="1" si="21"/>
        <v>1.1749211848280148E-2</v>
      </c>
      <c r="DX19" s="194">
        <f t="shared" ca="1" si="21"/>
        <v>1.1749211848280148E-2</v>
      </c>
      <c r="DY19" s="194">
        <f t="shared" ca="1" si="21"/>
        <v>1.1749211848280152E-2</v>
      </c>
      <c r="DZ19" s="194">
        <f t="shared" ca="1" si="22"/>
        <v>1.1749211848280176E-2</v>
      </c>
      <c r="EA19" s="194">
        <f t="shared" ca="1" si="22"/>
        <v>1.1749211848280195E-2</v>
      </c>
      <c r="EB19" s="194">
        <f t="shared" ca="1" si="22"/>
        <v>1.1749211848280114E-2</v>
      </c>
      <c r="EC19" s="194">
        <f t="shared" ca="1" si="22"/>
        <v>1.1749211848280219E-2</v>
      </c>
      <c r="ED19" s="194">
        <f t="shared" ca="1" si="22"/>
        <v>1.1749211848280147E-2</v>
      </c>
      <c r="EE19" s="194">
        <f t="shared" ca="1" si="22"/>
        <v>1.1749211848280147E-2</v>
      </c>
      <c r="EF19" s="194">
        <f t="shared" ca="1" si="22"/>
        <v>1.1749211848280147E-2</v>
      </c>
      <c r="EG19" s="194">
        <f t="shared" ca="1" si="22"/>
        <v>1.174921184828015E-2</v>
      </c>
      <c r="EH19" s="194">
        <f t="shared" ca="1" si="22"/>
        <v>1.1729354421311494E-2</v>
      </c>
      <c r="EI19" s="336">
        <f t="shared" ca="1" si="22"/>
        <v>1.1729354421311494E-2</v>
      </c>
    </row>
    <row r="20" spans="1:147" x14ac:dyDescent="0.2">
      <c r="A20" s="192"/>
      <c r="B20" s="192"/>
      <c r="C20" s="192"/>
      <c r="D20" s="192"/>
      <c r="E20" s="192"/>
      <c r="F20" s="192"/>
      <c r="G20" s="254"/>
      <c r="H20" s="254"/>
      <c r="I20" s="254"/>
      <c r="J20" s="254"/>
      <c r="K20" s="254"/>
      <c r="L20" s="254" t="s">
        <v>149</v>
      </c>
      <c r="M20" s="278">
        <f t="shared" ca="1" si="0"/>
        <v>20</v>
      </c>
      <c r="N20" s="279">
        <f t="shared" ca="1" si="5"/>
        <v>0.18198016345700679</v>
      </c>
      <c r="O20" s="279">
        <f t="shared" ca="1" si="6"/>
        <v>0.18198016345700679</v>
      </c>
      <c r="P20" s="257">
        <f t="shared" ca="1" si="1"/>
        <v>0</v>
      </c>
      <c r="Q20" s="249"/>
      <c r="R20" s="192"/>
      <c r="S20" s="265"/>
      <c r="T20" s="89" t="s">
        <v>15</v>
      </c>
      <c r="U20" s="326"/>
      <c r="V20" s="322"/>
      <c r="W20" s="322"/>
      <c r="X20" s="322"/>
      <c r="Y20" s="322"/>
      <c r="Z20" s="322"/>
      <c r="AA20" s="322"/>
      <c r="AB20" s="322">
        <v>1</v>
      </c>
      <c r="AC20" s="322"/>
      <c r="AD20" s="322"/>
      <c r="AE20" s="322"/>
      <c r="AF20" s="322"/>
      <c r="AG20" s="322"/>
      <c r="AH20" s="322"/>
      <c r="AI20" s="327"/>
      <c r="AJ20" s="192">
        <f t="shared" si="2"/>
        <v>1</v>
      </c>
      <c r="AK20" s="360" t="s">
        <v>154</v>
      </c>
      <c r="AL20" s="331">
        <f t="shared" ca="1" si="12"/>
        <v>8</v>
      </c>
      <c r="AM20" s="238" t="str">
        <f t="shared" si="23"/>
        <v>EUR Equ</v>
      </c>
      <c r="AN20" s="333">
        <f t="shared" ca="1" si="13"/>
        <v>1.1334156775520185E-9</v>
      </c>
      <c r="AO20" s="194">
        <f t="shared" ca="1" si="13"/>
        <v>1.1334156775528904E-9</v>
      </c>
      <c r="AP20" s="194">
        <f t="shared" ca="1" si="13"/>
        <v>-2.7461745962178664E-10</v>
      </c>
      <c r="AQ20" s="194">
        <f t="shared" ca="1" si="13"/>
        <v>9.7372007278021517E-10</v>
      </c>
      <c r="AR20" s="194">
        <f t="shared" ca="1" si="13"/>
        <v>1.1334156775437283E-9</v>
      </c>
      <c r="AS20" s="194">
        <f t="shared" ca="1" si="13"/>
        <v>9.7372007278359483E-10</v>
      </c>
      <c r="AT20" s="194">
        <f t="shared" ca="1" si="13"/>
        <v>1.1334156775603724E-9</v>
      </c>
      <c r="AU20" s="194">
        <f t="shared" ca="1" si="13"/>
        <v>7.570838229796E-10</v>
      </c>
      <c r="AV20" s="194">
        <f t="shared" ca="1" si="13"/>
        <v>9.7372007277865097E-10</v>
      </c>
      <c r="AW20" s="194">
        <f t="shared" ca="1" si="13"/>
        <v>1.1334156775514134E-9</v>
      </c>
      <c r="AX20" s="194">
        <f t="shared" ca="1" si="14"/>
        <v>9.7372007286748293E-10</v>
      </c>
      <c r="AY20" s="194">
        <f t="shared" ca="1" si="14"/>
        <v>6.6194161263384166E-11</v>
      </c>
      <c r="AZ20" s="194">
        <f t="shared" ca="1" si="14"/>
        <v>6.61941612648802E-11</v>
      </c>
      <c r="BA20" s="194">
        <f t="shared" ca="1" si="14"/>
        <v>6.6194161264606442E-11</v>
      </c>
      <c r="BB20" s="194">
        <f t="shared" ca="1" si="14"/>
        <v>6.6194161263715594E-11</v>
      </c>
      <c r="BC20" s="194">
        <f t="shared" ca="1" si="14"/>
        <v>7.2103068450540099E-20</v>
      </c>
      <c r="BD20" s="194">
        <f t="shared" ca="1" si="14"/>
        <v>1.6798783361275895E-22</v>
      </c>
      <c r="BE20" s="194">
        <f t="shared" ca="1" si="14"/>
        <v>1.1334156775522363E-9</v>
      </c>
      <c r="BF20" s="194">
        <f t="shared" ca="1" si="14"/>
        <v>6.6194161237193289E-11</v>
      </c>
      <c r="BG20" s="194">
        <f t="shared" ca="1" si="14"/>
        <v>-9.6179064711645944E-11</v>
      </c>
      <c r="BH20" s="194">
        <f t="shared" ca="1" si="15"/>
        <v>-1.3061575305424655E-20</v>
      </c>
      <c r="BI20" s="194">
        <f t="shared" ca="1" si="15"/>
        <v>1.1334156775551978E-9</v>
      </c>
      <c r="BJ20" s="194">
        <f t="shared" ca="1" si="15"/>
        <v>1.540120423499839E-4</v>
      </c>
      <c r="BK20" s="194">
        <f t="shared" ca="1" si="15"/>
        <v>4.5189020458380854E-4</v>
      </c>
      <c r="BL20" s="194">
        <f t="shared" ca="1" si="15"/>
        <v>7.6920616014444462E-4</v>
      </c>
      <c r="BM20" s="194">
        <f t="shared" ca="1" si="15"/>
        <v>1.1080810746601679E-3</v>
      </c>
      <c r="BN20" s="194">
        <f t="shared" ca="1" si="15"/>
        <v>1.4308070515670422E-3</v>
      </c>
      <c r="BO20" s="194">
        <f t="shared" ca="1" si="15"/>
        <v>1.7910309989930681E-3</v>
      </c>
      <c r="BP20" s="194">
        <f t="shared" ca="1" si="15"/>
        <v>2.1422124787918123E-3</v>
      </c>
      <c r="BQ20" s="194">
        <f t="shared" ca="1" si="15"/>
        <v>2.4166521703711794E-3</v>
      </c>
      <c r="BR20" s="194">
        <f t="shared" ca="1" si="16"/>
        <v>2.739842646650351E-3</v>
      </c>
      <c r="BS20" s="194">
        <f t="shared" ca="1" si="16"/>
        <v>2.9940679744339255E-3</v>
      </c>
      <c r="BT20" s="194">
        <f t="shared" ca="1" si="16"/>
        <v>3.3025760269267297E-3</v>
      </c>
      <c r="BU20" s="194">
        <f t="shared" ca="1" si="16"/>
        <v>3.4993239029033375E-3</v>
      </c>
      <c r="BV20" s="194">
        <f t="shared" ca="1" si="16"/>
        <v>3.4993239029033388E-3</v>
      </c>
      <c r="BW20" s="194">
        <f t="shared" ca="1" si="16"/>
        <v>3.4993239029033397E-3</v>
      </c>
      <c r="BX20" s="194">
        <f t="shared" ca="1" si="16"/>
        <v>3.4993239029033384E-3</v>
      </c>
      <c r="BY20" s="194">
        <f t="shared" ca="1" si="16"/>
        <v>3.4993239029033384E-3</v>
      </c>
      <c r="BZ20" s="194">
        <f t="shared" ca="1" si="16"/>
        <v>3.499323902903338E-3</v>
      </c>
      <c r="CA20" s="194">
        <f t="shared" ca="1" si="16"/>
        <v>3.4993238535639365E-3</v>
      </c>
      <c r="CB20" s="194">
        <f t="shared" ca="1" si="17"/>
        <v>3.499323853563936E-3</v>
      </c>
      <c r="CC20" s="194">
        <f t="shared" ca="1" si="17"/>
        <v>3.499323853563936E-3</v>
      </c>
      <c r="CD20" s="194">
        <f t="shared" ca="1" si="17"/>
        <v>3.499323853563936E-3</v>
      </c>
      <c r="CE20" s="194">
        <f t="shared" ca="1" si="17"/>
        <v>2.2633800227525622E-3</v>
      </c>
      <c r="CF20" s="194">
        <f t="shared" ca="1" si="17"/>
        <v>6.6194161265387391E-11</v>
      </c>
      <c r="CG20" s="194">
        <f t="shared" ca="1" si="17"/>
        <v>6.6194161245948724E-11</v>
      </c>
      <c r="CH20" s="194">
        <f t="shared" ca="1" si="17"/>
        <v>6.6194161295074438E-11</v>
      </c>
      <c r="CI20" s="194">
        <f t="shared" ca="1" si="17"/>
        <v>6.6194161180118214E-11</v>
      </c>
      <c r="CJ20" s="194">
        <f t="shared" ca="1" si="17"/>
        <v>6.6194161269623512E-11</v>
      </c>
      <c r="CK20" s="194">
        <f t="shared" ca="1" si="17"/>
        <v>6.6194161263346801E-11</v>
      </c>
      <c r="CL20" s="194">
        <f t="shared" ca="1" si="18"/>
        <v>6.6194161316057464E-11</v>
      </c>
      <c r="CM20" s="194">
        <f t="shared" ca="1" si="18"/>
        <v>6.6194161265518874E-11</v>
      </c>
      <c r="CN20" s="194">
        <f t="shared" ca="1" si="18"/>
        <v>6.6194161264266186E-11</v>
      </c>
      <c r="CO20" s="194">
        <f t="shared" ca="1" si="18"/>
        <v>6.6194455037536383E-11</v>
      </c>
      <c r="CP20" s="194">
        <f t="shared" ca="1" si="18"/>
        <v>6.619424837650925E-11</v>
      </c>
      <c r="CQ20" s="194">
        <f t="shared" ca="1" si="18"/>
        <v>6.6194232233995482E-11</v>
      </c>
      <c r="CR20" s="194">
        <f t="shared" ca="1" si="18"/>
        <v>6.6194161261688769E-11</v>
      </c>
      <c r="CS20" s="194">
        <f t="shared" ca="1" si="18"/>
        <v>6.6194222854581074E-11</v>
      </c>
      <c r="CT20" s="194">
        <f t="shared" ca="1" si="18"/>
        <v>6.619416128074997E-11</v>
      </c>
      <c r="CU20" s="194">
        <f t="shared" ca="1" si="18"/>
        <v>6.6194161260835416E-11</v>
      </c>
      <c r="CV20" s="194">
        <f t="shared" ca="1" si="19"/>
        <v>6.6194161245800633E-11</v>
      </c>
      <c r="CW20" s="194">
        <f t="shared" ca="1" si="19"/>
        <v>6.6194161263790751E-11</v>
      </c>
      <c r="CX20" s="194">
        <f t="shared" ca="1" si="19"/>
        <v>6.6194161264010329E-11</v>
      </c>
      <c r="CY20" s="194">
        <f t="shared" ca="1" si="19"/>
        <v>6.6194161452960314E-11</v>
      </c>
      <c r="CZ20" s="194">
        <f t="shared" ca="1" si="19"/>
        <v>6.6194161263529789E-11</v>
      </c>
      <c r="DA20" s="194">
        <f t="shared" ca="1" si="19"/>
        <v>6.619416115237393E-11</v>
      </c>
      <c r="DB20" s="194">
        <f t="shared" ca="1" si="19"/>
        <v>6.6194161475839923E-11</v>
      </c>
      <c r="DC20" s="194">
        <f t="shared" ca="1" si="19"/>
        <v>6.619416127456399E-11</v>
      </c>
      <c r="DD20" s="194">
        <f t="shared" ca="1" si="19"/>
        <v>6.6194161264108518E-11</v>
      </c>
      <c r="DE20" s="194">
        <f t="shared" ca="1" si="19"/>
        <v>6.6194161254553613E-11</v>
      </c>
      <c r="DF20" s="194">
        <f t="shared" ca="1" si="20"/>
        <v>6.619416132803089E-11</v>
      </c>
      <c r="DG20" s="194">
        <f t="shared" ca="1" si="20"/>
        <v>6.6194161266369396E-11</v>
      </c>
      <c r="DH20" s="194">
        <f t="shared" ca="1" si="20"/>
        <v>6.6194160970752998E-11</v>
      </c>
      <c r="DI20" s="194">
        <f t="shared" ca="1" si="20"/>
        <v>6.6194161261600468E-11</v>
      </c>
      <c r="DJ20" s="194">
        <f t="shared" ca="1" si="20"/>
        <v>6.6194169535703958E-11</v>
      </c>
      <c r="DK20" s="194">
        <f t="shared" ca="1" si="20"/>
        <v>6.6194161409670773E-11</v>
      </c>
      <c r="DL20" s="194">
        <f t="shared" ca="1" si="20"/>
        <v>6.6194201344586352E-11</v>
      </c>
      <c r="DM20" s="194">
        <f t="shared" ca="1" si="20"/>
        <v>6.6194161263767461E-11</v>
      </c>
      <c r="DN20" s="194">
        <f t="shared" ca="1" si="20"/>
        <v>6.6194161263449617E-11</v>
      </c>
      <c r="DO20" s="194">
        <f t="shared" ca="1" si="20"/>
        <v>6.6194162496948158E-11</v>
      </c>
      <c r="DP20" s="194">
        <f t="shared" ca="1" si="21"/>
        <v>6.6194213602079075E-11</v>
      </c>
      <c r="DQ20" s="194">
        <f t="shared" ca="1" si="21"/>
        <v>6.6194160889505354E-11</v>
      </c>
      <c r="DR20" s="194">
        <f t="shared" ca="1" si="21"/>
        <v>6.619416367455594E-11</v>
      </c>
      <c r="DS20" s="194">
        <f t="shared" ca="1" si="21"/>
        <v>6.6194161263782299E-11</v>
      </c>
      <c r="DT20" s="194">
        <f t="shared" ca="1" si="21"/>
        <v>6.6194246124418499E-11</v>
      </c>
      <c r="DU20" s="194">
        <f t="shared" ca="1" si="21"/>
        <v>6.6194161226082043E-11</v>
      </c>
      <c r="DV20" s="194">
        <f t="shared" ca="1" si="21"/>
        <v>6.619416125655221E-11</v>
      </c>
      <c r="DW20" s="194">
        <f t="shared" ca="1" si="21"/>
        <v>6.6194161436869351E-11</v>
      </c>
      <c r="DX20" s="194">
        <f t="shared" ca="1" si="21"/>
        <v>6.6194164610480792E-11</v>
      </c>
      <c r="DY20" s="194">
        <f t="shared" ca="1" si="21"/>
        <v>6.619416127716316E-11</v>
      </c>
      <c r="DZ20" s="194">
        <f t="shared" ca="1" si="22"/>
        <v>6.6194164613254613E-11</v>
      </c>
      <c r="EA20" s="194">
        <f t="shared" ca="1" si="22"/>
        <v>6.6194343748435034E-11</v>
      </c>
      <c r="EB20" s="194">
        <f t="shared" ca="1" si="22"/>
        <v>6.619457389850902E-11</v>
      </c>
      <c r="EC20" s="194">
        <f t="shared" ca="1" si="22"/>
        <v>6.6194738082876674E-11</v>
      </c>
      <c r="ED20" s="194">
        <f t="shared" ca="1" si="22"/>
        <v>6.6194161190624468E-11</v>
      </c>
      <c r="EE20" s="194">
        <f t="shared" ca="1" si="22"/>
        <v>6.6194161124133273E-11</v>
      </c>
      <c r="EF20" s="194">
        <f t="shared" ca="1" si="22"/>
        <v>6.6194161072381778E-11</v>
      </c>
      <c r="EG20" s="194">
        <f t="shared" ca="1" si="22"/>
        <v>6.6194161355084388E-11</v>
      </c>
      <c r="EH20" s="194">
        <f t="shared" ca="1" si="22"/>
        <v>5.7815467275815604E-5</v>
      </c>
      <c r="EI20" s="336">
        <f t="shared" ca="1" si="22"/>
        <v>5.7815467275815604E-5</v>
      </c>
    </row>
    <row r="21" spans="1:147" x14ac:dyDescent="0.2">
      <c r="A21" s="192"/>
      <c r="B21" s="192"/>
      <c r="C21" s="192"/>
      <c r="D21" s="192"/>
      <c r="E21" s="192"/>
      <c r="F21" s="192"/>
      <c r="G21" s="254"/>
      <c r="H21" s="254"/>
      <c r="I21" s="254"/>
      <c r="J21" s="254"/>
      <c r="K21" s="254"/>
      <c r="L21" s="254" t="s">
        <v>24</v>
      </c>
      <c r="M21" s="278">
        <f t="shared" ca="1" si="0"/>
        <v>21</v>
      </c>
      <c r="N21" s="279">
        <f t="shared" ca="1" si="5"/>
        <v>6.8499999999999991E-2</v>
      </c>
      <c r="O21" s="279">
        <f t="shared" ca="1" si="6"/>
        <v>6.8499999999999991E-2</v>
      </c>
      <c r="P21" s="257">
        <f t="shared" ca="1" si="1"/>
        <v>0</v>
      </c>
      <c r="Q21" s="249"/>
      <c r="R21" s="192"/>
      <c r="S21" s="265"/>
      <c r="T21" s="89" t="s">
        <v>16</v>
      </c>
      <c r="U21" s="326"/>
      <c r="V21" s="322"/>
      <c r="W21" s="322"/>
      <c r="X21" s="322"/>
      <c r="Y21" s="322"/>
      <c r="Z21" s="322"/>
      <c r="AA21" s="322"/>
      <c r="AB21" s="322">
        <v>1</v>
      </c>
      <c r="AC21" s="322"/>
      <c r="AD21" s="322"/>
      <c r="AE21" s="322"/>
      <c r="AF21" s="322"/>
      <c r="AG21" s="322"/>
      <c r="AH21" s="322"/>
      <c r="AI21" s="327"/>
      <c r="AJ21" s="192">
        <f t="shared" si="2"/>
        <v>1</v>
      </c>
      <c r="AK21" s="360" t="s">
        <v>155</v>
      </c>
      <c r="AL21" s="331">
        <f t="shared" ca="1" si="12"/>
        <v>9</v>
      </c>
      <c r="AM21" s="238" t="str">
        <f t="shared" si="23"/>
        <v>Oth Equ</v>
      </c>
      <c r="AN21" s="333">
        <f t="shared" ca="1" si="13"/>
        <v>6.8064614047587516E-9</v>
      </c>
      <c r="AO21" s="194">
        <f t="shared" ca="1" si="13"/>
        <v>6.8064614047572502E-9</v>
      </c>
      <c r="AP21" s="194">
        <f t="shared" ca="1" si="13"/>
        <v>6.0075182892265104E-9</v>
      </c>
      <c r="AQ21" s="194">
        <f t="shared" ca="1" si="13"/>
        <v>6.7303998204340749E-9</v>
      </c>
      <c r="AR21" s="194">
        <f t="shared" ca="1" si="13"/>
        <v>6.8064614047579988E-9</v>
      </c>
      <c r="AS21" s="194">
        <f t="shared" ca="1" si="13"/>
        <v>6.7303998204387873E-9</v>
      </c>
      <c r="AT21" s="194">
        <f t="shared" ca="1" si="13"/>
        <v>5.9052354117775642E-9</v>
      </c>
      <c r="AU21" s="194">
        <f t="shared" ca="1" si="13"/>
        <v>6.8064614047667595E-9</v>
      </c>
      <c r="AV21" s="194">
        <f t="shared" ca="1" si="13"/>
        <v>6.730399820432782E-9</v>
      </c>
      <c r="AW21" s="194">
        <f t="shared" ca="1" si="13"/>
        <v>5.905235411774301E-9</v>
      </c>
      <c r="AX21" s="194">
        <f t="shared" ca="1" si="14"/>
        <v>6.7303998205178675E-9</v>
      </c>
      <c r="AY21" s="194">
        <f t="shared" ca="1" si="14"/>
        <v>5.9052354117739577E-9</v>
      </c>
      <c r="AZ21" s="194">
        <f t="shared" ca="1" si="14"/>
        <v>5.9052354117739544E-9</v>
      </c>
      <c r="BA21" s="194">
        <f t="shared" ca="1" si="14"/>
        <v>5.9052354117743324E-9</v>
      </c>
      <c r="BB21" s="194">
        <f t="shared" ca="1" si="14"/>
        <v>5.905235411775277E-9</v>
      </c>
      <c r="BC21" s="194">
        <f t="shared" ca="1" si="14"/>
        <v>5.9052354118290661E-9</v>
      </c>
      <c r="BD21" s="194">
        <f t="shared" ca="1" si="14"/>
        <v>5.9052354117745011E-9</v>
      </c>
      <c r="BE21" s="194">
        <f t="shared" ca="1" si="14"/>
        <v>5.9052354117741057E-9</v>
      </c>
      <c r="BF21" s="194">
        <f t="shared" ca="1" si="14"/>
        <v>5.9052354117739684E-9</v>
      </c>
      <c r="BG21" s="194">
        <f t="shared" ca="1" si="14"/>
        <v>5.9052354117741686E-9</v>
      </c>
      <c r="BH21" s="194">
        <f t="shared" ca="1" si="15"/>
        <v>5.9052354117876103E-9</v>
      </c>
      <c r="BI21" s="194">
        <f t="shared" ca="1" si="15"/>
        <v>5.9052354117741744E-9</v>
      </c>
      <c r="BJ21" s="194">
        <f t="shared" ca="1" si="15"/>
        <v>1.0208276052778368E-5</v>
      </c>
      <c r="BK21" s="194">
        <f t="shared" ca="1" si="15"/>
        <v>8.6179477322248033E-4</v>
      </c>
      <c r="BL21" s="194">
        <f t="shared" ca="1" si="15"/>
        <v>1.2267388535793394E-3</v>
      </c>
      <c r="BM21" s="194">
        <f t="shared" ca="1" si="15"/>
        <v>1.478387325823789E-3</v>
      </c>
      <c r="BN21" s="194">
        <f t="shared" ca="1" si="15"/>
        <v>1.7666628188871202E-3</v>
      </c>
      <c r="BO21" s="194">
        <f t="shared" ca="1" si="15"/>
        <v>1.6727415660914872E-3</v>
      </c>
      <c r="BP21" s="194">
        <f t="shared" ca="1" si="15"/>
        <v>3.5321151807903017E-3</v>
      </c>
      <c r="BQ21" s="194">
        <f t="shared" ca="1" si="15"/>
        <v>4.2174984505509959E-3</v>
      </c>
      <c r="BR21" s="194">
        <f t="shared" ca="1" si="16"/>
        <v>5.3625738786455546E-3</v>
      </c>
      <c r="BS21" s="194">
        <f t="shared" ca="1" si="16"/>
        <v>4.6869220780685564E-3</v>
      </c>
      <c r="BT21" s="194">
        <f t="shared" ca="1" si="16"/>
        <v>6.1824421334363382E-3</v>
      </c>
      <c r="BU21" s="194">
        <f t="shared" ca="1" si="16"/>
        <v>6.8916370535458257E-3</v>
      </c>
      <c r="BV21" s="194">
        <f t="shared" ca="1" si="16"/>
        <v>7.0689719541370648E-3</v>
      </c>
      <c r="BW21" s="194">
        <f t="shared" ca="1" si="16"/>
        <v>6.9947273703948043E-3</v>
      </c>
      <c r="BX21" s="194">
        <f t="shared" ca="1" si="16"/>
        <v>7.1950700340242535E-3</v>
      </c>
      <c r="BY21" s="194">
        <f t="shared" ca="1" si="16"/>
        <v>7.5338887416872263E-3</v>
      </c>
      <c r="BZ21" s="194">
        <f t="shared" ca="1" si="16"/>
        <v>8.2657071245016266E-3</v>
      </c>
      <c r="CA21" s="194">
        <f t="shared" ca="1" si="16"/>
        <v>6.6445905198829515E-3</v>
      </c>
      <c r="CB21" s="194">
        <f t="shared" ca="1" si="17"/>
        <v>3.8602495330775973E-3</v>
      </c>
      <c r="CC21" s="194">
        <f t="shared" ca="1" si="17"/>
        <v>1.3592125429755498E-3</v>
      </c>
      <c r="CD21" s="194">
        <f t="shared" ca="1" si="17"/>
        <v>5.9052354117747609E-9</v>
      </c>
      <c r="CE21" s="194">
        <f t="shared" ca="1" si="17"/>
        <v>5.9052354117742257E-9</v>
      </c>
      <c r="CF21" s="194">
        <f t="shared" ca="1" si="17"/>
        <v>5.9052354117763565E-9</v>
      </c>
      <c r="CG21" s="194">
        <f t="shared" ca="1" si="17"/>
        <v>5.9052354117835067E-9</v>
      </c>
      <c r="CH21" s="194">
        <f t="shared" ca="1" si="17"/>
        <v>5.9052354118504868E-9</v>
      </c>
      <c r="CI21" s="194">
        <f t="shared" ca="1" si="17"/>
        <v>5.9052354117739014E-9</v>
      </c>
      <c r="CJ21" s="194">
        <f t="shared" ca="1" si="17"/>
        <v>5.905235411774526E-9</v>
      </c>
      <c r="CK21" s="194">
        <f t="shared" ca="1" si="17"/>
        <v>5.9052354117743431E-9</v>
      </c>
      <c r="CL21" s="194">
        <f t="shared" ca="1" si="18"/>
        <v>5.9052354118108681E-9</v>
      </c>
      <c r="CM21" s="194">
        <f t="shared" ca="1" si="18"/>
        <v>5.9052354117765459E-9</v>
      </c>
      <c r="CN21" s="194">
        <f t="shared" ca="1" si="18"/>
        <v>5.9052354117834653E-9</v>
      </c>
      <c r="CO21" s="194">
        <f t="shared" ca="1" si="18"/>
        <v>5.9052355111129502E-9</v>
      </c>
      <c r="CP21" s="194">
        <f t="shared" ca="1" si="18"/>
        <v>5.9052354127639928E-9</v>
      </c>
      <c r="CQ21" s="194">
        <f t="shared" ca="1" si="18"/>
        <v>5.9052354389320467E-9</v>
      </c>
      <c r="CR21" s="194">
        <f t="shared" ca="1" si="18"/>
        <v>5.9052354117764401E-9</v>
      </c>
      <c r="CS21" s="194">
        <f t="shared" ca="1" si="18"/>
        <v>5.9052354820069692E-9</v>
      </c>
      <c r="CT21" s="194">
        <f t="shared" ca="1" si="18"/>
        <v>5.905235411783644E-9</v>
      </c>
      <c r="CU21" s="194">
        <f t="shared" ca="1" si="18"/>
        <v>5.9052354117743853E-9</v>
      </c>
      <c r="CV21" s="194">
        <f t="shared" ca="1" si="19"/>
        <v>5.9052354117783376E-9</v>
      </c>
      <c r="CW21" s="194">
        <f t="shared" ca="1" si="19"/>
        <v>5.9052354117744623E-9</v>
      </c>
      <c r="CX21" s="194">
        <f t="shared" ca="1" si="19"/>
        <v>5.9052354117747882E-9</v>
      </c>
      <c r="CY21" s="194">
        <f t="shared" ca="1" si="19"/>
        <v>5.9052354121243572E-9</v>
      </c>
      <c r="CZ21" s="194">
        <f t="shared" ca="1" si="19"/>
        <v>5.9052354117749114E-9</v>
      </c>
      <c r="DA21" s="194">
        <f t="shared" ca="1" si="19"/>
        <v>5.9052354117965505E-9</v>
      </c>
      <c r="DB21" s="194">
        <f t="shared" ca="1" si="19"/>
        <v>5.9052354118115936E-9</v>
      </c>
      <c r="DC21" s="194">
        <f t="shared" ca="1" si="19"/>
        <v>5.905235411790402E-9</v>
      </c>
      <c r="DD21" s="194">
        <f t="shared" ca="1" si="19"/>
        <v>5.9052354117759289E-9</v>
      </c>
      <c r="DE21" s="194">
        <f t="shared" ca="1" si="19"/>
        <v>5.9052354117896725E-9</v>
      </c>
      <c r="DF21" s="194">
        <f t="shared" ca="1" si="20"/>
        <v>5.9052354117847243E-9</v>
      </c>
      <c r="DG21" s="194">
        <f t="shared" ca="1" si="20"/>
        <v>5.9052354117813279E-9</v>
      </c>
      <c r="DH21" s="194">
        <f t="shared" ca="1" si="20"/>
        <v>5.9052354118280652E-9</v>
      </c>
      <c r="DI21" s="194">
        <f t="shared" ca="1" si="20"/>
        <v>5.9052354117742546E-9</v>
      </c>
      <c r="DJ21" s="194">
        <f t="shared" ca="1" si="20"/>
        <v>5.9052354768528175E-9</v>
      </c>
      <c r="DK21" s="194">
        <f t="shared" ca="1" si="20"/>
        <v>5.9052354119858334E-9</v>
      </c>
      <c r="DL21" s="194">
        <f t="shared" ca="1" si="20"/>
        <v>5.905235559157913E-9</v>
      </c>
      <c r="DM21" s="194">
        <f t="shared" ca="1" si="20"/>
        <v>5.9052354117809283E-9</v>
      </c>
      <c r="DN21" s="194">
        <f t="shared" ca="1" si="20"/>
        <v>5.9052354117742861E-9</v>
      </c>
      <c r="DO21" s="194">
        <f t="shared" ca="1" si="20"/>
        <v>5.9052354134709137E-9</v>
      </c>
      <c r="DP21" s="194">
        <f t="shared" ca="1" si="21"/>
        <v>5.9052354562603746E-9</v>
      </c>
      <c r="DQ21" s="194">
        <f t="shared" ca="1" si="21"/>
        <v>5.905235413385461E-9</v>
      </c>
      <c r="DR21" s="194">
        <f t="shared" ca="1" si="21"/>
        <v>5.9052354154471839E-9</v>
      </c>
      <c r="DS21" s="194">
        <f t="shared" ca="1" si="21"/>
        <v>5.9052354117768644E-9</v>
      </c>
      <c r="DT21" s="194">
        <f t="shared" ca="1" si="21"/>
        <v>5.905235503220782E-9</v>
      </c>
      <c r="DU21" s="194">
        <f t="shared" ca="1" si="21"/>
        <v>5.9052354126246195E-9</v>
      </c>
      <c r="DV21" s="194">
        <f t="shared" ca="1" si="21"/>
        <v>5.9052354118560876E-9</v>
      </c>
      <c r="DW21" s="194">
        <f t="shared" ca="1" si="21"/>
        <v>5.9052354120656447E-9</v>
      </c>
      <c r="DX21" s="194">
        <f t="shared" ca="1" si="21"/>
        <v>5.9052354142883402E-9</v>
      </c>
      <c r="DY21" s="194">
        <f t="shared" ca="1" si="21"/>
        <v>5.9052354118139957E-9</v>
      </c>
      <c r="DZ21" s="194">
        <f t="shared" ca="1" si="22"/>
        <v>5.9052355034134249E-9</v>
      </c>
      <c r="EA21" s="194">
        <f t="shared" ca="1" si="22"/>
        <v>5.9052356184220331E-9</v>
      </c>
      <c r="EB21" s="194">
        <f t="shared" ca="1" si="22"/>
        <v>5.9052355685527359E-9</v>
      </c>
      <c r="EC21" s="194">
        <f t="shared" ca="1" si="22"/>
        <v>5.9052355498320505E-9</v>
      </c>
      <c r="ED21" s="194">
        <f t="shared" ca="1" si="22"/>
        <v>5.9052354118004663E-9</v>
      </c>
      <c r="EE21" s="194">
        <f t="shared" ca="1" si="22"/>
        <v>5.9052354117739014E-9</v>
      </c>
      <c r="EF21" s="194">
        <f t="shared" ca="1" si="22"/>
        <v>5.9052354117739014E-9</v>
      </c>
      <c r="EG21" s="194">
        <f t="shared" ca="1" si="22"/>
        <v>5.9052354121220038E-9</v>
      </c>
      <c r="EH21" s="194">
        <f t="shared" ca="1" si="22"/>
        <v>5.6830224931762882E-5</v>
      </c>
      <c r="EI21" s="336">
        <f t="shared" ca="1" si="22"/>
        <v>5.6830224931762882E-5</v>
      </c>
    </row>
    <row r="22" spans="1:147" x14ac:dyDescent="0.2">
      <c r="A22" s="192"/>
      <c r="B22" s="192"/>
      <c r="C22" s="192"/>
      <c r="D22" s="192"/>
      <c r="E22" s="192"/>
      <c r="F22" s="192"/>
      <c r="G22" s="254"/>
      <c r="H22" s="254"/>
      <c r="I22" s="254"/>
      <c r="J22" s="254"/>
      <c r="K22" s="254"/>
      <c r="L22" s="246" t="s">
        <v>25</v>
      </c>
      <c r="M22" s="283">
        <f t="shared" ca="1" si="0"/>
        <v>22</v>
      </c>
      <c r="N22" s="281">
        <f t="shared" ca="1" si="5"/>
        <v>3.2300000000000002E-2</v>
      </c>
      <c r="O22" s="281">
        <f t="shared" ca="1" si="6"/>
        <v>3.2300000000000002E-2</v>
      </c>
      <c r="P22" s="259">
        <f t="shared" ca="1" si="1"/>
        <v>0</v>
      </c>
      <c r="Q22" s="249"/>
      <c r="R22" s="192"/>
      <c r="S22" s="265"/>
      <c r="T22" s="89" t="s">
        <v>17</v>
      </c>
      <c r="U22" s="326"/>
      <c r="V22" s="322"/>
      <c r="W22" s="322"/>
      <c r="X22" s="322"/>
      <c r="Y22" s="322"/>
      <c r="Z22" s="322"/>
      <c r="AA22" s="322"/>
      <c r="AB22" s="322"/>
      <c r="AC22" s="322">
        <v>1</v>
      </c>
      <c r="AD22" s="322"/>
      <c r="AE22" s="322"/>
      <c r="AF22" s="322"/>
      <c r="AG22" s="322"/>
      <c r="AH22" s="322"/>
      <c r="AI22" s="327"/>
      <c r="AJ22" s="192">
        <f t="shared" si="2"/>
        <v>1</v>
      </c>
      <c r="AK22" s="360" t="s">
        <v>20</v>
      </c>
      <c r="AL22" s="331">
        <f t="shared" ca="1" si="12"/>
        <v>10</v>
      </c>
      <c r="AM22" s="238" t="str">
        <f t="shared" si="23"/>
        <v>US RE</v>
      </c>
      <c r="AN22" s="333">
        <f t="shared" ca="1" si="13"/>
        <v>0.11621152898984703</v>
      </c>
      <c r="AO22" s="194">
        <f t="shared" ca="1" si="13"/>
        <v>0.1157306769496719</v>
      </c>
      <c r="AP22" s="194">
        <f t="shared" ca="1" si="13"/>
        <v>0.11556092457250711</v>
      </c>
      <c r="AQ22" s="194">
        <f t="shared" ca="1" si="13"/>
        <v>0.11382345775698804</v>
      </c>
      <c r="AR22" s="194">
        <f t="shared" ca="1" si="13"/>
        <v>0.11351707629888545</v>
      </c>
      <c r="AS22" s="194">
        <f t="shared" ca="1" si="13"/>
        <v>0.11587370633951399</v>
      </c>
      <c r="AT22" s="194">
        <f t="shared" ca="1" si="13"/>
        <v>0.11633654876621695</v>
      </c>
      <c r="AU22" s="194">
        <f t="shared" ca="1" si="13"/>
        <v>0.11535365495421221</v>
      </c>
      <c r="AV22" s="194">
        <f t="shared" ca="1" si="13"/>
        <v>0.11580328073189486</v>
      </c>
      <c r="AW22" s="194">
        <f t="shared" ca="1" si="13"/>
        <v>0.11642722937696551</v>
      </c>
      <c r="AX22" s="194">
        <f t="shared" ca="1" si="14"/>
        <v>0.11749152845323538</v>
      </c>
      <c r="AY22" s="194">
        <f t="shared" ca="1" si="14"/>
        <v>0.11823312672783291</v>
      </c>
      <c r="AZ22" s="194">
        <f t="shared" ca="1" si="14"/>
        <v>0.11961043846248325</v>
      </c>
      <c r="BA22" s="194">
        <f t="shared" ca="1" si="14"/>
        <v>0.12270586026415754</v>
      </c>
      <c r="BB22" s="194">
        <f t="shared" ca="1" si="14"/>
        <v>0.12359731783862002</v>
      </c>
      <c r="BC22" s="194">
        <f t="shared" ca="1" si="14"/>
        <v>0.12503524133178096</v>
      </c>
      <c r="BD22" s="194">
        <f t="shared" ca="1" si="14"/>
        <v>0.12532760276379792</v>
      </c>
      <c r="BE22" s="194">
        <f t="shared" ca="1" si="14"/>
        <v>0.12576179851092659</v>
      </c>
      <c r="BF22" s="194">
        <f t="shared" ca="1" si="14"/>
        <v>0.12680616066633077</v>
      </c>
      <c r="BG22" s="194">
        <f t="shared" ca="1" si="14"/>
        <v>0.12840300323829695</v>
      </c>
      <c r="BH22" s="194">
        <f t="shared" ca="1" si="15"/>
        <v>0.12095727414717315</v>
      </c>
      <c r="BI22" s="194">
        <f t="shared" ca="1" si="15"/>
        <v>0.10691413948945176</v>
      </c>
      <c r="BJ22" s="194">
        <f t="shared" ca="1" si="15"/>
        <v>0.10497270158481532</v>
      </c>
      <c r="BK22" s="194">
        <f t="shared" ca="1" si="15"/>
        <v>0.10231539095711269</v>
      </c>
      <c r="BL22" s="194">
        <f t="shared" ca="1" si="15"/>
        <v>9.9795582873023647E-2</v>
      </c>
      <c r="BM22" s="194">
        <f t="shared" ca="1" si="15"/>
        <v>9.8795622995288684E-2</v>
      </c>
      <c r="BN22" s="194">
        <f t="shared" ca="1" si="15"/>
        <v>9.5188184199918549E-2</v>
      </c>
      <c r="BO22" s="194">
        <f t="shared" ca="1" si="15"/>
        <v>9.3397684601732575E-2</v>
      </c>
      <c r="BP22" s="194">
        <f t="shared" ca="1" si="15"/>
        <v>9.2734379196197703E-2</v>
      </c>
      <c r="BQ22" s="194">
        <f t="shared" ca="1" si="15"/>
        <v>8.7532428052635738E-2</v>
      </c>
      <c r="BR22" s="194">
        <f t="shared" ca="1" si="16"/>
        <v>8.4986223605041933E-2</v>
      </c>
      <c r="BS22" s="194">
        <f t="shared" ca="1" si="16"/>
        <v>8.0314567053399691E-2</v>
      </c>
      <c r="BT22" s="194">
        <f t="shared" ca="1" si="16"/>
        <v>7.2533631985725766E-2</v>
      </c>
      <c r="BU22" s="194">
        <f t="shared" ca="1" si="16"/>
        <v>7.0712068909300999E-2</v>
      </c>
      <c r="BV22" s="194">
        <f t="shared" ca="1" si="16"/>
        <v>7.4785618241470467E-2</v>
      </c>
      <c r="BW22" s="194">
        <f t="shared" ca="1" si="16"/>
        <v>7.6500014318526849E-2</v>
      </c>
      <c r="BX22" s="194">
        <f t="shared" ca="1" si="16"/>
        <v>7.4676561258262802E-2</v>
      </c>
      <c r="BY22" s="194">
        <f t="shared" ca="1" si="16"/>
        <v>7.0423537363398986E-2</v>
      </c>
      <c r="BZ22" s="194">
        <f t="shared" ca="1" si="16"/>
        <v>7.446559978864746E-2</v>
      </c>
      <c r="CA22" s="194">
        <f t="shared" ca="1" si="16"/>
        <v>6.8759082665423923E-2</v>
      </c>
      <c r="CB22" s="194">
        <f t="shared" ca="1" si="17"/>
        <v>5.4622266735787878E-2</v>
      </c>
      <c r="CC22" s="194">
        <f t="shared" ca="1" si="17"/>
        <v>4.4778698621372029E-2</v>
      </c>
      <c r="CD22" s="194">
        <f t="shared" ca="1" si="17"/>
        <v>3.5390178105431637E-2</v>
      </c>
      <c r="CE22" s="194">
        <f t="shared" ca="1" si="17"/>
        <v>2.3451519324426892E-2</v>
      </c>
      <c r="CF22" s="194">
        <f t="shared" ca="1" si="17"/>
        <v>1.2657836345524542E-2</v>
      </c>
      <c r="CG22" s="194">
        <f t="shared" ca="1" si="17"/>
        <v>2.9297139154991106E-3</v>
      </c>
      <c r="CH22" s="194">
        <f t="shared" ca="1" si="17"/>
        <v>-7.491621785158629E-21</v>
      </c>
      <c r="CI22" s="194">
        <f t="shared" ca="1" si="17"/>
        <v>-2.487643877421313E-20</v>
      </c>
      <c r="CJ22" s="194">
        <f t="shared" ca="1" si="17"/>
        <v>5.7869650756077863E-21</v>
      </c>
      <c r="CK22" s="194">
        <f t="shared" ca="1" si="17"/>
        <v>-9.8818452098067857E-23</v>
      </c>
      <c r="CL22" s="194">
        <f t="shared" ca="1" si="18"/>
        <v>1.699632171293515E-23</v>
      </c>
      <c r="CM22" s="194">
        <f t="shared" ca="1" si="18"/>
        <v>-9.1044916591585676E-24</v>
      </c>
      <c r="CN22" s="194">
        <f t="shared" ca="1" si="18"/>
        <v>2.6101992415596027E-25</v>
      </c>
      <c r="CO22" s="194">
        <f t="shared" ca="1" si="18"/>
        <v>7.2936030610986572E-18</v>
      </c>
      <c r="CP22" s="194">
        <f t="shared" ca="1" si="18"/>
        <v>1.0265867178900515E-17</v>
      </c>
      <c r="CQ22" s="194">
        <f t="shared" ca="1" si="18"/>
        <v>-1.0256366456757522E-18</v>
      </c>
      <c r="CR22" s="194">
        <f t="shared" ca="1" si="18"/>
        <v>-3.5889071761759261E-25</v>
      </c>
      <c r="CS22" s="194">
        <f t="shared" ca="1" si="18"/>
        <v>1.3736492945299656E-17</v>
      </c>
      <c r="CT22" s="194">
        <f t="shared" ca="1" si="18"/>
        <v>-3.1051016605739184E-22</v>
      </c>
      <c r="CU22" s="194">
        <f t="shared" ca="1" si="18"/>
        <v>1.6377589204005524E-24</v>
      </c>
      <c r="CV22" s="194">
        <f t="shared" ca="1" si="19"/>
        <v>9.8689793310976298E-24</v>
      </c>
      <c r="CW22" s="194">
        <f t="shared" ca="1" si="19"/>
        <v>8.8859288983448067E-24</v>
      </c>
      <c r="CX22" s="194">
        <f t="shared" ca="1" si="19"/>
        <v>1.395545054447894E-23</v>
      </c>
      <c r="CY22" s="194">
        <f t="shared" ca="1" si="19"/>
        <v>8.2348902928583233E-20</v>
      </c>
      <c r="CZ22" s="194">
        <f t="shared" ca="1" si="19"/>
        <v>-2.5434293984218258E-25</v>
      </c>
      <c r="DA22" s="194">
        <f t="shared" ca="1" si="19"/>
        <v>6.1068703011447271E-23</v>
      </c>
      <c r="DB22" s="194">
        <f t="shared" ca="1" si="19"/>
        <v>-1.1295060043272418E-22</v>
      </c>
      <c r="DC22" s="194">
        <f t="shared" ca="1" si="19"/>
        <v>2.5668649848184007E-22</v>
      </c>
      <c r="DD22" s="194">
        <f t="shared" ca="1" si="19"/>
        <v>5.2569734358346943E-24</v>
      </c>
      <c r="DE22" s="194">
        <f t="shared" ca="1" si="19"/>
        <v>-5.2132764972086346E-22</v>
      </c>
      <c r="DF22" s="194">
        <f t="shared" ca="1" si="20"/>
        <v>-3.4238235719868692E-23</v>
      </c>
      <c r="DG22" s="194">
        <f t="shared" ca="1" si="20"/>
        <v>3.4675089597896919E-23</v>
      </c>
      <c r="DH22" s="194">
        <f t="shared" ca="1" si="20"/>
        <v>1.6047319837611717E-22</v>
      </c>
      <c r="DI22" s="194">
        <f t="shared" ca="1" si="20"/>
        <v>1.1775457002938385E-24</v>
      </c>
      <c r="DJ22" s="194">
        <f t="shared" ca="1" si="20"/>
        <v>3.3482923752680881E-18</v>
      </c>
      <c r="DK22" s="194">
        <f t="shared" ca="1" si="20"/>
        <v>-2.1679161590562818E-22</v>
      </c>
      <c r="DL22" s="194">
        <f t="shared" ca="1" si="20"/>
        <v>-7.4062034609580202E-18</v>
      </c>
      <c r="DM22" s="194">
        <f t="shared" ca="1" si="20"/>
        <v>2.2609530722966536E-23</v>
      </c>
      <c r="DN22" s="194">
        <f t="shared" ca="1" si="20"/>
        <v>1.8546150721711763E-25</v>
      </c>
      <c r="DO22" s="194">
        <f t="shared" ca="1" si="20"/>
        <v>-6.4510526143645616E-21</v>
      </c>
      <c r="DP22" s="194">
        <f t="shared" ca="1" si="21"/>
        <v>2.2370107141040775E-20</v>
      </c>
      <c r="DQ22" s="194">
        <f t="shared" ca="1" si="21"/>
        <v>7.4380737098750513E-19</v>
      </c>
      <c r="DR22" s="194">
        <f t="shared" ca="1" si="21"/>
        <v>-7.5168297169583361E-20</v>
      </c>
      <c r="DS22" s="194">
        <f t="shared" ca="1" si="21"/>
        <v>2.2630177448783664E-23</v>
      </c>
      <c r="DT22" s="194">
        <f t="shared" ca="1" si="21"/>
        <v>-2.647321540369391E-18</v>
      </c>
      <c r="DU22" s="194">
        <f t="shared" ca="1" si="21"/>
        <v>8.2786057653694293E-21</v>
      </c>
      <c r="DV22" s="194">
        <f t="shared" ca="1" si="21"/>
        <v>-1.5222276395533389E-21</v>
      </c>
      <c r="DW22" s="194">
        <f t="shared" ca="1" si="21"/>
        <v>1.2585017528211955E-19</v>
      </c>
      <c r="DX22" s="194">
        <f t="shared" ca="1" si="21"/>
        <v>1.3170870228084991E-18</v>
      </c>
      <c r="DY22" s="194">
        <f t="shared" ca="1" si="21"/>
        <v>1.4125847516331064E-20</v>
      </c>
      <c r="DZ22" s="194">
        <f t="shared" ca="1" si="22"/>
        <v>5.0537463079051273E-18</v>
      </c>
      <c r="EA22" s="194">
        <f t="shared" ca="1" si="22"/>
        <v>-6.8004734745393978E-17</v>
      </c>
      <c r="EB22" s="194">
        <f t="shared" ca="1" si="22"/>
        <v>7.9095240192306305E-17</v>
      </c>
      <c r="EC22" s="194">
        <f t="shared" ca="1" si="22"/>
        <v>8.9756942244264174E-17</v>
      </c>
      <c r="ED22" s="194">
        <f t="shared" ca="1" si="22"/>
        <v>-2.173494389086431E-20</v>
      </c>
      <c r="EE22" s="194">
        <f t="shared" ca="1" si="22"/>
        <v>-1.6272457227133072E-19</v>
      </c>
      <c r="EF22" s="194">
        <f t="shared" ca="1" si="22"/>
        <v>-2.231882913757996E-19</v>
      </c>
      <c r="EG22" s="194">
        <f t="shared" ca="1" si="22"/>
        <v>-2.6107616856372424E-19</v>
      </c>
      <c r="EH22" s="194">
        <f t="shared" ca="1" si="22"/>
        <v>2.0846444404607559E-5</v>
      </c>
      <c r="EI22" s="336">
        <f t="shared" ca="1" si="22"/>
        <v>2.0846444404607559E-5</v>
      </c>
    </row>
    <row r="23" spans="1:147" x14ac:dyDescent="0.2">
      <c r="A23" s="192"/>
      <c r="B23" s="192"/>
      <c r="C23" s="192"/>
      <c r="D23" s="192"/>
      <c r="E23" s="192"/>
      <c r="F23" s="192"/>
      <c r="G23" s="254"/>
      <c r="H23" s="254"/>
      <c r="I23" s="254"/>
      <c r="J23" s="254"/>
      <c r="K23" s="254"/>
      <c r="L23" s="254"/>
      <c r="M23" s="254"/>
      <c r="N23" s="254"/>
      <c r="O23" s="254"/>
      <c r="P23" s="254"/>
      <c r="Q23" s="249"/>
      <c r="R23" s="192"/>
      <c r="S23" s="265"/>
      <c r="T23" s="89" t="s">
        <v>146</v>
      </c>
      <c r="U23" s="326"/>
      <c r="V23" s="322"/>
      <c r="W23" s="322"/>
      <c r="X23" s="322"/>
      <c r="Y23" s="322"/>
      <c r="Z23" s="322"/>
      <c r="AA23" s="322"/>
      <c r="AB23" s="322"/>
      <c r="AC23" s="322">
        <v>1</v>
      </c>
      <c r="AD23" s="322"/>
      <c r="AE23" s="322"/>
      <c r="AF23" s="322"/>
      <c r="AG23" s="322"/>
      <c r="AH23" s="322"/>
      <c r="AI23" s="327"/>
      <c r="AJ23" s="192">
        <f t="shared" si="2"/>
        <v>1</v>
      </c>
      <c r="AK23" s="360" t="s">
        <v>157</v>
      </c>
      <c r="AL23" s="331">
        <f t="shared" ca="1" si="12"/>
        <v>11</v>
      </c>
      <c r="AM23" s="238" t="str">
        <f t="shared" si="23"/>
        <v>CAN RE</v>
      </c>
      <c r="AN23" s="333">
        <f t="shared" ca="1" si="13"/>
        <v>0.26838104991559103</v>
      </c>
      <c r="AO23" s="194">
        <f t="shared" ca="1" si="13"/>
        <v>0.26896621906761498</v>
      </c>
      <c r="AP23" s="194">
        <f t="shared" ca="1" si="13"/>
        <v>0.26799072865868528</v>
      </c>
      <c r="AQ23" s="194">
        <f t="shared" ca="1" si="13"/>
        <v>0.26944500337199778</v>
      </c>
      <c r="AR23" s="194">
        <f t="shared" ca="1" si="13"/>
        <v>0.26865193206606297</v>
      </c>
      <c r="AS23" s="194">
        <f t="shared" ca="1" si="13"/>
        <v>0.26617946890591987</v>
      </c>
      <c r="AT23" s="194">
        <f t="shared" ca="1" si="13"/>
        <v>0.26667584931821875</v>
      </c>
      <c r="AU23" s="194">
        <f t="shared" ca="1" si="13"/>
        <v>0.26811794499815628</v>
      </c>
      <c r="AV23" s="194">
        <f t="shared" ca="1" si="13"/>
        <v>0.26798430208510354</v>
      </c>
      <c r="AW23" s="194">
        <f t="shared" ca="1" si="13"/>
        <v>0.26809760272870403</v>
      </c>
      <c r="AX23" s="194">
        <f t="shared" ca="1" si="14"/>
        <v>0.26750163601612931</v>
      </c>
      <c r="AY23" s="194">
        <f t="shared" ca="1" si="14"/>
        <v>0.26768160812671649</v>
      </c>
      <c r="AZ23" s="194">
        <f t="shared" ca="1" si="14"/>
        <v>0.26674302912353676</v>
      </c>
      <c r="BA23" s="194">
        <f t="shared" ca="1" si="14"/>
        <v>0.26443083389973965</v>
      </c>
      <c r="BB23" s="194">
        <f t="shared" ca="1" si="14"/>
        <v>0.26454317683508305</v>
      </c>
      <c r="BC23" s="194">
        <f t="shared" ca="1" si="14"/>
        <v>0.26341745945034756</v>
      </c>
      <c r="BD23" s="194">
        <f t="shared" ca="1" si="14"/>
        <v>0.26308334516572068</v>
      </c>
      <c r="BE23" s="194">
        <f t="shared" ca="1" si="14"/>
        <v>0.26269287732303553</v>
      </c>
      <c r="BF23" s="194">
        <f t="shared" ca="1" si="14"/>
        <v>0.26160648211219717</v>
      </c>
      <c r="BG23" s="194">
        <f t="shared" ca="1" si="14"/>
        <v>0.26039426252681014</v>
      </c>
      <c r="BH23" s="194">
        <f t="shared" ca="1" si="15"/>
        <v>0.26415397924638889</v>
      </c>
      <c r="BI23" s="194">
        <f t="shared" ca="1" si="15"/>
        <v>0.26785595844634236</v>
      </c>
      <c r="BJ23" s="194">
        <f t="shared" ca="1" si="15"/>
        <v>0.26455178339098229</v>
      </c>
      <c r="BK23" s="194">
        <f t="shared" ca="1" si="15"/>
        <v>0.26671687363006225</v>
      </c>
      <c r="BL23" s="194">
        <f t="shared" ca="1" si="15"/>
        <v>0.26815258654897095</v>
      </c>
      <c r="BM23" s="194">
        <f t="shared" ca="1" si="15"/>
        <v>0.2692936505088247</v>
      </c>
      <c r="BN23" s="194">
        <f t="shared" ca="1" si="15"/>
        <v>0.27238257219541423</v>
      </c>
      <c r="BO23" s="194">
        <f t="shared" ca="1" si="15"/>
        <v>0.27487322618780635</v>
      </c>
      <c r="BP23" s="194">
        <f t="shared" ca="1" si="15"/>
        <v>0.276763813864421</v>
      </c>
      <c r="BQ23" s="194">
        <f t="shared" ca="1" si="15"/>
        <v>0.28063377566533065</v>
      </c>
      <c r="BR23" s="194">
        <f t="shared" ca="1" si="16"/>
        <v>0.28315640485806337</v>
      </c>
      <c r="BS23" s="194">
        <f t="shared" ca="1" si="16"/>
        <v>0.28553631588050565</v>
      </c>
      <c r="BT23" s="194">
        <f t="shared" ca="1" si="16"/>
        <v>0.29270722216311035</v>
      </c>
      <c r="BU23" s="194">
        <f t="shared" ca="1" si="16"/>
        <v>0.29276796668252131</v>
      </c>
      <c r="BV23" s="194">
        <f t="shared" ca="1" si="16"/>
        <v>0.29368977804727181</v>
      </c>
      <c r="BW23" s="194">
        <f t="shared" ca="1" si="16"/>
        <v>0.29765246492354369</v>
      </c>
      <c r="BX23" s="194">
        <f t="shared" ca="1" si="16"/>
        <v>0.3026682663066167</v>
      </c>
      <c r="BY23" s="194">
        <f t="shared" ca="1" si="16"/>
        <v>0.30727253469836718</v>
      </c>
      <c r="BZ23" s="194">
        <f t="shared" ca="1" si="16"/>
        <v>0.30921645518120688</v>
      </c>
      <c r="CA23" s="194">
        <f t="shared" ca="1" si="16"/>
        <v>0.3108822516456658</v>
      </c>
      <c r="CB23" s="194">
        <f t="shared" ca="1" si="17"/>
        <v>0.32033318108660469</v>
      </c>
      <c r="CC23" s="194">
        <f t="shared" ca="1" si="17"/>
        <v>0.32552641404338573</v>
      </c>
      <c r="CD23" s="194">
        <f t="shared" ca="1" si="17"/>
        <v>0.32842012673795629</v>
      </c>
      <c r="CE23" s="194">
        <f t="shared" ca="1" si="17"/>
        <v>0.33312512729403548</v>
      </c>
      <c r="CF23" s="194">
        <f t="shared" ca="1" si="17"/>
        <v>0.33938437608990968</v>
      </c>
      <c r="CG23" s="194">
        <f t="shared" ca="1" si="17"/>
        <v>0.33992345489787756</v>
      </c>
      <c r="CH23" s="194">
        <f t="shared" ca="1" si="17"/>
        <v>0.33508533780300515</v>
      </c>
      <c r="CI23" s="194">
        <f t="shared" ca="1" si="17"/>
        <v>0.32783785760941919</v>
      </c>
      <c r="CJ23" s="194">
        <f t="shared" ca="1" si="17"/>
        <v>0.32048788505629683</v>
      </c>
      <c r="CK23" s="194">
        <f t="shared" ca="1" si="17"/>
        <v>0.31381180540373665</v>
      </c>
      <c r="CL23" s="194">
        <f t="shared" ca="1" si="18"/>
        <v>0.30392644980018518</v>
      </c>
      <c r="CM23" s="194">
        <f t="shared" ca="1" si="18"/>
        <v>0.29394978040738834</v>
      </c>
      <c r="CN23" s="194">
        <f t="shared" ca="1" si="18"/>
        <v>0.28400461966152762</v>
      </c>
      <c r="CO23" s="194">
        <f t="shared" ca="1" si="18"/>
        <v>0.27411914135548365</v>
      </c>
      <c r="CP23" s="194">
        <f t="shared" ca="1" si="18"/>
        <v>0.26494500139292293</v>
      </c>
      <c r="CQ23" s="194">
        <f t="shared" ca="1" si="18"/>
        <v>0.25552155764330886</v>
      </c>
      <c r="CR23" s="194">
        <f t="shared" ca="1" si="18"/>
        <v>0.24639983795140996</v>
      </c>
      <c r="CS23" s="194">
        <f t="shared" ca="1" si="18"/>
        <v>0.23632574653269187</v>
      </c>
      <c r="CT23" s="194">
        <f t="shared" ca="1" si="18"/>
        <v>0.226306274242601</v>
      </c>
      <c r="CU23" s="194">
        <f t="shared" ca="1" si="18"/>
        <v>0.21581215947066246</v>
      </c>
      <c r="CV23" s="194">
        <f t="shared" ca="1" si="19"/>
        <v>0.20660717161804451</v>
      </c>
      <c r="CW23" s="194">
        <f t="shared" ca="1" si="19"/>
        <v>0.19714750906715064</v>
      </c>
      <c r="CX23" s="194">
        <f t="shared" ca="1" si="19"/>
        <v>0.18711960212561415</v>
      </c>
      <c r="CY23" s="194">
        <f t="shared" ca="1" si="19"/>
        <v>0.17667887784831693</v>
      </c>
      <c r="CZ23" s="194">
        <f t="shared" ca="1" si="19"/>
        <v>0.16708128623161281</v>
      </c>
      <c r="DA23" s="194">
        <f t="shared" ca="1" si="19"/>
        <v>0.15714180297797209</v>
      </c>
      <c r="DB23" s="194">
        <f t="shared" ca="1" si="19"/>
        <v>0.14769172569215519</v>
      </c>
      <c r="DC23" s="194">
        <f t="shared" ca="1" si="19"/>
        <v>0.13819716139986454</v>
      </c>
      <c r="DD23" s="194">
        <f t="shared" ca="1" si="19"/>
        <v>0.12845596135428547</v>
      </c>
      <c r="DE23" s="194">
        <f t="shared" ca="1" si="19"/>
        <v>0.119418312082316</v>
      </c>
      <c r="DF23" s="194">
        <f t="shared" ca="1" si="20"/>
        <v>0.11023023875169599</v>
      </c>
      <c r="DG23" s="194">
        <f t="shared" ca="1" si="20"/>
        <v>0.10069250081531914</v>
      </c>
      <c r="DH23" s="194">
        <f t="shared" ca="1" si="20"/>
        <v>9.0881099145386293E-2</v>
      </c>
      <c r="DI23" s="194">
        <f t="shared" ca="1" si="20"/>
        <v>8.1440812258712802E-2</v>
      </c>
      <c r="DJ23" s="194">
        <f t="shared" ca="1" si="20"/>
        <v>7.2162300240278046E-2</v>
      </c>
      <c r="DK23" s="194">
        <f t="shared" ca="1" si="20"/>
        <v>6.2815508233907566E-2</v>
      </c>
      <c r="DL23" s="194">
        <f t="shared" ca="1" si="20"/>
        <v>5.3322100314809537E-2</v>
      </c>
      <c r="DM23" s="194">
        <f t="shared" ca="1" si="20"/>
        <v>4.351572611452454E-2</v>
      </c>
      <c r="DN23" s="194">
        <f t="shared" ca="1" si="20"/>
        <v>3.3224270211362199E-2</v>
      </c>
      <c r="DO23" s="194">
        <f t="shared" ca="1" si="20"/>
        <v>2.3347899343105636E-2</v>
      </c>
      <c r="DP23" s="194">
        <f t="shared" ca="1" si="21"/>
        <v>1.3895318203662063E-2</v>
      </c>
      <c r="DQ23" s="194">
        <f t="shared" ca="1" si="21"/>
        <v>3.9662668021905991E-3</v>
      </c>
      <c r="DR23" s="194">
        <f t="shared" ca="1" si="21"/>
        <v>6.2527760746888816E-12</v>
      </c>
      <c r="DS23" s="194">
        <f t="shared" ca="1" si="21"/>
        <v>6.25277607611115E-12</v>
      </c>
      <c r="DT23" s="194">
        <f t="shared" ca="1" si="21"/>
        <v>6.2527760746888816E-12</v>
      </c>
      <c r="DU23" s="194">
        <f t="shared" ca="1" si="21"/>
        <v>6.2527764338085029E-12</v>
      </c>
      <c r="DV23" s="194">
        <f t="shared" ca="1" si="21"/>
        <v>6.2527760932851345E-12</v>
      </c>
      <c r="DW23" s="194">
        <f t="shared" ca="1" si="21"/>
        <v>6.2527760746888816E-12</v>
      </c>
      <c r="DX23" s="194">
        <f t="shared" ca="1" si="21"/>
        <v>6.2527760746888816E-12</v>
      </c>
      <c r="DY23" s="194">
        <f t="shared" ca="1" si="21"/>
        <v>6.2527760804978415E-12</v>
      </c>
      <c r="DZ23" s="194">
        <f t="shared" ca="1" si="22"/>
        <v>6.2528720547087577E-12</v>
      </c>
      <c r="EA23" s="194">
        <f t="shared" ca="1" si="22"/>
        <v>6.2528442802498656E-12</v>
      </c>
      <c r="EB23" s="194">
        <f t="shared" ca="1" si="22"/>
        <v>6.2527930225889383E-12</v>
      </c>
      <c r="EC23" s="194">
        <f t="shared" ca="1" si="22"/>
        <v>6.2528294828418962E-12</v>
      </c>
      <c r="ED23" s="194">
        <f t="shared" ca="1" si="22"/>
        <v>6.2527760915938482E-12</v>
      </c>
      <c r="EE23" s="194">
        <f t="shared" ca="1" si="22"/>
        <v>6.2527760746888816E-12</v>
      </c>
      <c r="EF23" s="194">
        <f t="shared" ca="1" si="22"/>
        <v>6.2527760746888816E-12</v>
      </c>
      <c r="EG23" s="194">
        <f t="shared" ca="1" si="22"/>
        <v>6.2527760746888816E-12</v>
      </c>
      <c r="EH23" s="194">
        <f t="shared" ca="1" si="22"/>
        <v>2.1084105069392172E-5</v>
      </c>
      <c r="EI23" s="336">
        <f t="shared" ca="1" si="22"/>
        <v>2.1084105069392172E-5</v>
      </c>
    </row>
    <row r="24" spans="1:147" ht="13.5" thickBot="1" x14ac:dyDescent="0.25">
      <c r="A24" s="192"/>
      <c r="B24" s="192"/>
      <c r="C24" s="192"/>
      <c r="D24" s="192"/>
      <c r="E24" s="192"/>
      <c r="F24" s="192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49"/>
      <c r="R24" s="192"/>
      <c r="S24" s="265"/>
      <c r="T24" s="89" t="s">
        <v>18</v>
      </c>
      <c r="U24" s="326"/>
      <c r="V24" s="322"/>
      <c r="W24" s="322"/>
      <c r="X24" s="322"/>
      <c r="Y24" s="322"/>
      <c r="Z24" s="322"/>
      <c r="AA24" s="322"/>
      <c r="AB24" s="322"/>
      <c r="AC24" s="322">
        <v>1</v>
      </c>
      <c r="AD24" s="322"/>
      <c r="AE24" s="322"/>
      <c r="AF24" s="322"/>
      <c r="AG24" s="322"/>
      <c r="AH24" s="322"/>
      <c r="AI24" s="327"/>
      <c r="AJ24" s="192">
        <f t="shared" si="2"/>
        <v>1</v>
      </c>
      <c r="AK24" s="360" t="s">
        <v>22</v>
      </c>
      <c r="AL24" s="331">
        <f t="shared" ca="1" si="12"/>
        <v>12</v>
      </c>
      <c r="AM24" s="238" t="str">
        <f t="shared" si="23"/>
        <v>Priv Equ</v>
      </c>
      <c r="AN24" s="333">
        <f t="shared" ca="1" si="13"/>
        <v>1.7462969717836761E-3</v>
      </c>
      <c r="AO24" s="194">
        <f t="shared" ca="1" si="13"/>
        <v>2.2367094492223294E-3</v>
      </c>
      <c r="AP24" s="194">
        <f t="shared" ca="1" si="13"/>
        <v>2.8173378319908595E-3</v>
      </c>
      <c r="AQ24" s="194">
        <f t="shared" ca="1" si="13"/>
        <v>3.7541076702366002E-3</v>
      </c>
      <c r="AR24" s="194">
        <f t="shared" ca="1" si="13"/>
        <v>4.2640425534281367E-3</v>
      </c>
      <c r="AS24" s="194">
        <f t="shared" ca="1" si="13"/>
        <v>4.3281942346490325E-3</v>
      </c>
      <c r="AT24" s="194">
        <f t="shared" ca="1" si="13"/>
        <v>3.8832591777365282E-3</v>
      </c>
      <c r="AU24" s="194">
        <f t="shared" ca="1" si="13"/>
        <v>3.0804671173001552E-3</v>
      </c>
      <c r="AV24" s="194">
        <f t="shared" ca="1" si="13"/>
        <v>3.1564062785176491E-3</v>
      </c>
      <c r="AW24" s="194">
        <f t="shared" ca="1" si="13"/>
        <v>3.1935621938543692E-3</v>
      </c>
      <c r="AX24" s="194">
        <f t="shared" ca="1" si="14"/>
        <v>2.9249378541980381E-3</v>
      </c>
      <c r="AY24" s="194">
        <f t="shared" ca="1" si="14"/>
        <v>2.4694675775761617E-3</v>
      </c>
      <c r="AZ24" s="194">
        <f t="shared" ca="1" si="14"/>
        <v>2.0456568473641249E-3</v>
      </c>
      <c r="BA24" s="194">
        <f t="shared" ca="1" si="14"/>
        <v>1.3207479357115681E-3</v>
      </c>
      <c r="BB24" s="194">
        <f t="shared" ca="1" si="14"/>
        <v>1.4068746168215245E-11</v>
      </c>
      <c r="BC24" s="194">
        <f t="shared" ca="1" si="14"/>
        <v>1.406874616805606E-11</v>
      </c>
      <c r="BD24" s="194">
        <f t="shared" ca="1" si="14"/>
        <v>1.406874616822663E-11</v>
      </c>
      <c r="BE24" s="194">
        <f t="shared" ca="1" si="14"/>
        <v>1.4068746168606434E-11</v>
      </c>
      <c r="BF24" s="194">
        <f t="shared" ca="1" si="14"/>
        <v>1.4068746168049984E-11</v>
      </c>
      <c r="BG24" s="194">
        <f t="shared" ca="1" si="14"/>
        <v>1.4068746168139072E-11</v>
      </c>
      <c r="BH24" s="194">
        <f t="shared" ca="1" si="15"/>
        <v>7.0752487116482882E-4</v>
      </c>
      <c r="BI24" s="194">
        <f t="shared" ca="1" si="15"/>
        <v>7.394118146251182E-3</v>
      </c>
      <c r="BJ24" s="194">
        <f t="shared" ca="1" si="15"/>
        <v>9.8451922314623293E-3</v>
      </c>
      <c r="BK24" s="194">
        <f t="shared" ca="1" si="15"/>
        <v>8.4315147311849557E-3</v>
      </c>
      <c r="BL24" s="194">
        <f t="shared" ca="1" si="15"/>
        <v>8.4984133006887966E-3</v>
      </c>
      <c r="BM24" s="194">
        <f t="shared" ca="1" si="15"/>
        <v>7.1973210929849266E-3</v>
      </c>
      <c r="BN24" s="194">
        <f t="shared" ca="1" si="15"/>
        <v>6.5224163079985725E-3</v>
      </c>
      <c r="BO24" s="194">
        <f t="shared" ca="1" si="15"/>
        <v>3.7242659008597939E-3</v>
      </c>
      <c r="BP24" s="194">
        <f t="shared" ca="1" si="15"/>
        <v>1.2920346851672234E-3</v>
      </c>
      <c r="BQ24" s="194">
        <f t="shared" ca="1" si="15"/>
        <v>8.2255432287756721E-4</v>
      </c>
      <c r="BR24" s="194">
        <f t="shared" ca="1" si="16"/>
        <v>7.2836224165256146E-5</v>
      </c>
      <c r="BS24" s="194">
        <f t="shared" ca="1" si="16"/>
        <v>1.4068746168716556E-11</v>
      </c>
      <c r="BT24" s="194">
        <f t="shared" ca="1" si="16"/>
        <v>1.4068746168287861E-11</v>
      </c>
      <c r="BU24" s="194">
        <f t="shared" ca="1" si="16"/>
        <v>1.4068746168211998E-11</v>
      </c>
      <c r="BV24" s="194">
        <f t="shared" ca="1" si="16"/>
        <v>1.4068746168125356E-11</v>
      </c>
      <c r="BW24" s="194">
        <f t="shared" ca="1" si="16"/>
        <v>1.4068746168209906E-11</v>
      </c>
      <c r="BX24" s="194">
        <f t="shared" ca="1" si="16"/>
        <v>2.3060773899004181E-3</v>
      </c>
      <c r="BY24" s="194">
        <f t="shared" ca="1" si="16"/>
        <v>6.346168537130395E-3</v>
      </c>
      <c r="BZ24" s="194">
        <f t="shared" ca="1" si="16"/>
        <v>5.7070535726981633E-3</v>
      </c>
      <c r="CA24" s="194">
        <f t="shared" ca="1" si="16"/>
        <v>1.0759123557557529E-2</v>
      </c>
      <c r="CB24" s="194">
        <f t="shared" ca="1" si="17"/>
        <v>1.5089255871619524E-2</v>
      </c>
      <c r="CC24" s="194">
        <f t="shared" ca="1" si="17"/>
        <v>1.8972231971135688E-2</v>
      </c>
      <c r="CD24" s="194">
        <f t="shared" ca="1" si="17"/>
        <v>2.2883871143914471E-2</v>
      </c>
      <c r="CE24" s="194">
        <f t="shared" ca="1" si="17"/>
        <v>2.7097200821608585E-2</v>
      </c>
      <c r="CF24" s="194">
        <f t="shared" ca="1" si="17"/>
        <v>3.0730951099377502E-2</v>
      </c>
      <c r="CG24" s="194">
        <f t="shared" ca="1" si="17"/>
        <v>3.5532259444095007E-2</v>
      </c>
      <c r="CH24" s="194">
        <f t="shared" ca="1" si="17"/>
        <v>3.9189516267395856E-2</v>
      </c>
      <c r="CI24" s="194">
        <f t="shared" ca="1" si="17"/>
        <v>4.3594862506944748E-2</v>
      </c>
      <c r="CJ24" s="194">
        <f t="shared" ca="1" si="17"/>
        <v>4.8211763344427304E-2</v>
      </c>
      <c r="CK24" s="194">
        <f t="shared" ca="1" si="17"/>
        <v>4.9316740081822921E-2</v>
      </c>
      <c r="CL24" s="194">
        <f t="shared" ca="1" si="18"/>
        <v>5.4902324316230065E-2</v>
      </c>
      <c r="CM24" s="194">
        <f t="shared" ca="1" si="18"/>
        <v>6.0041986659519576E-2</v>
      </c>
      <c r="CN24" s="194">
        <f t="shared" ca="1" si="18"/>
        <v>6.5091161846819082E-2</v>
      </c>
      <c r="CO24" s="194">
        <f t="shared" ca="1" si="18"/>
        <v>6.9968939822032117E-2</v>
      </c>
      <c r="CP24" s="194">
        <f t="shared" ca="1" si="18"/>
        <v>7.2803882261365485E-2</v>
      </c>
      <c r="CQ24" s="194">
        <f t="shared" ca="1" si="18"/>
        <v>7.635478025137804E-2</v>
      </c>
      <c r="CR24" s="194">
        <f t="shared" ca="1" si="18"/>
        <v>7.9039208457572313E-2</v>
      </c>
      <c r="CS24" s="194">
        <f t="shared" ca="1" si="18"/>
        <v>8.4458621965578226E-2</v>
      </c>
      <c r="CT24" s="194">
        <f t="shared" ca="1" si="18"/>
        <v>8.9721233854415786E-2</v>
      </c>
      <c r="CU24" s="194">
        <f t="shared" ca="1" si="18"/>
        <v>9.6346906080445216E-2</v>
      </c>
      <c r="CV24" s="194">
        <f t="shared" ca="1" si="19"/>
        <v>9.9270438101090083E-2</v>
      </c>
      <c r="CW24" s="194">
        <f t="shared" ca="1" si="19"/>
        <v>0.10292534996157139</v>
      </c>
      <c r="CX24" s="194">
        <f t="shared" ca="1" si="19"/>
        <v>0.10821215731158251</v>
      </c>
      <c r="CY24" s="194">
        <f t="shared" ca="1" si="19"/>
        <v>0.11468447432042048</v>
      </c>
      <c r="CZ24" s="194">
        <f t="shared" ca="1" si="19"/>
        <v>0.11873552094022791</v>
      </c>
      <c r="DA24" s="194">
        <f t="shared" ca="1" si="19"/>
        <v>0.12376839139298637</v>
      </c>
      <c r="DB24" s="194">
        <f t="shared" ca="1" si="19"/>
        <v>0.12739577609947972</v>
      </c>
      <c r="DC24" s="194">
        <f t="shared" ca="1" si="19"/>
        <v>0.1311509194717867</v>
      </c>
      <c r="DD24" s="194">
        <f t="shared" ca="1" si="19"/>
        <v>0.13561435628258339</v>
      </c>
      <c r="DE24" s="194">
        <f t="shared" ca="1" si="19"/>
        <v>0.13805732205482393</v>
      </c>
      <c r="DF24" s="194">
        <f t="shared" ca="1" si="20"/>
        <v>0.14093227861636995</v>
      </c>
      <c r="DG24" s="194">
        <f t="shared" ca="1" si="20"/>
        <v>0.14481140891439051</v>
      </c>
      <c r="DH24" s="194">
        <f t="shared" ca="1" si="20"/>
        <v>0.14947645213966135</v>
      </c>
      <c r="DI24" s="194">
        <f t="shared" ca="1" si="20"/>
        <v>0.15307572058408833</v>
      </c>
      <c r="DJ24" s="194">
        <f t="shared" ca="1" si="20"/>
        <v>0.15621037342173624</v>
      </c>
      <c r="DK24" s="194">
        <f t="shared" ca="1" si="20"/>
        <v>0.15954114141816381</v>
      </c>
      <c r="DL24" s="194">
        <f t="shared" ca="1" si="20"/>
        <v>0.16329299123285307</v>
      </c>
      <c r="DM24" s="194">
        <f t="shared" ca="1" si="20"/>
        <v>0.16794356913346056</v>
      </c>
      <c r="DN24" s="194">
        <f t="shared" ca="1" si="20"/>
        <v>0.17398724160847392</v>
      </c>
      <c r="DO24" s="194">
        <f t="shared" ca="1" si="20"/>
        <v>0.17883886466356871</v>
      </c>
      <c r="DP24" s="194">
        <f t="shared" ca="1" si="21"/>
        <v>0.18247346732426731</v>
      </c>
      <c r="DQ24" s="194">
        <f t="shared" ca="1" si="21"/>
        <v>0.18747635203965859</v>
      </c>
      <c r="DR24" s="194">
        <f t="shared" ca="1" si="21"/>
        <v>0.17535522122838509</v>
      </c>
      <c r="DS24" s="194">
        <f t="shared" ca="1" si="21"/>
        <v>0.17020015319782922</v>
      </c>
      <c r="DT24" s="194">
        <f t="shared" ca="1" si="21"/>
        <v>0.17271410571418377</v>
      </c>
      <c r="DU24" s="194">
        <f t="shared" ca="1" si="21"/>
        <v>0.16102638040082845</v>
      </c>
      <c r="DV24" s="194">
        <f t="shared" ca="1" si="21"/>
        <v>0.14246430158850421</v>
      </c>
      <c r="DW24" s="194">
        <f t="shared" ca="1" si="21"/>
        <v>0.1362684236524899</v>
      </c>
      <c r="DX24" s="194">
        <f t="shared" ca="1" si="21"/>
        <v>0.11275688934374818</v>
      </c>
      <c r="DY24" s="194">
        <f t="shared" ca="1" si="21"/>
        <v>0.10578614237293345</v>
      </c>
      <c r="DZ24" s="194">
        <f t="shared" ca="1" si="22"/>
        <v>0.11308797345719926</v>
      </c>
      <c r="EA24" s="194">
        <f t="shared" ca="1" si="22"/>
        <v>0.1146117783560696</v>
      </c>
      <c r="EB24" s="194">
        <f t="shared" ca="1" si="22"/>
        <v>0.11831889115272085</v>
      </c>
      <c r="EC24" s="194">
        <f t="shared" ca="1" si="22"/>
        <v>9.4807356843974858E-2</v>
      </c>
      <c r="ED24" s="194">
        <f t="shared" ca="1" si="22"/>
        <v>7.1295822535236614E-2</v>
      </c>
      <c r="EE24" s="194">
        <f t="shared" ca="1" si="22"/>
        <v>4.7784288226486338E-2</v>
      </c>
      <c r="EF24" s="194">
        <f t="shared" ca="1" si="22"/>
        <v>2.4272753917744822E-2</v>
      </c>
      <c r="EG24" s="194">
        <f t="shared" ca="1" si="22"/>
        <v>7.6121960899645574E-4</v>
      </c>
      <c r="EH24" s="194">
        <f t="shared" ca="1" si="22"/>
        <v>5.6299328007361375E-5</v>
      </c>
      <c r="EI24" s="336">
        <f t="shared" ca="1" si="22"/>
        <v>5.6299328007361375E-5</v>
      </c>
      <c r="EK24" s="338"/>
    </row>
    <row r="25" spans="1:147" ht="13.5" thickTop="1" x14ac:dyDescent="0.2">
      <c r="A25" s="192"/>
      <c r="B25" s="192"/>
      <c r="C25" s="192"/>
      <c r="D25" s="192"/>
      <c r="E25" s="192"/>
      <c r="F25" s="192"/>
      <c r="G25" s="254"/>
      <c r="H25" s="254"/>
      <c r="I25" s="254"/>
      <c r="J25" s="254"/>
      <c r="K25" s="254"/>
      <c r="L25" s="285" t="s">
        <v>158</v>
      </c>
      <c r="M25" s="286"/>
      <c r="N25" s="287">
        <f ca="1">SUM(N8:N11)</f>
        <v>0.38954000018856721</v>
      </c>
      <c r="O25" s="287">
        <f ca="1">SUM(O8:O11)</f>
        <v>0.38954000018856721</v>
      </c>
      <c r="P25" s="288">
        <f ca="1">ROUND(O25-N25,4)</f>
        <v>0</v>
      </c>
      <c r="Q25" s="249"/>
      <c r="R25" s="192"/>
      <c r="S25" s="265"/>
      <c r="T25" s="89" t="s">
        <v>19</v>
      </c>
      <c r="U25" s="326"/>
      <c r="V25" s="322"/>
      <c r="W25" s="322"/>
      <c r="X25" s="322"/>
      <c r="Y25" s="322"/>
      <c r="Z25" s="322"/>
      <c r="AA25" s="322"/>
      <c r="AB25" s="322"/>
      <c r="AC25" s="322">
        <v>1</v>
      </c>
      <c r="AD25" s="322"/>
      <c r="AE25" s="322"/>
      <c r="AF25" s="322"/>
      <c r="AG25" s="322"/>
      <c r="AH25" s="322"/>
      <c r="AI25" s="327"/>
      <c r="AJ25" s="192">
        <f t="shared" si="2"/>
        <v>1</v>
      </c>
      <c r="AK25" s="360" t="s">
        <v>149</v>
      </c>
      <c r="AL25" s="331">
        <f t="shared" ca="1" si="12"/>
        <v>13</v>
      </c>
      <c r="AM25" s="238" t="str">
        <f t="shared" si="23"/>
        <v>O&amp;G</v>
      </c>
      <c r="AN25" s="333">
        <f t="shared" ca="1" si="13"/>
        <v>2.2231124122778261E-2</v>
      </c>
      <c r="AO25" s="194">
        <f t="shared" ca="1" si="13"/>
        <v>2.1636394533490769E-2</v>
      </c>
      <c r="AP25" s="194">
        <f t="shared" ca="1" si="13"/>
        <v>2.220100893681675E-2</v>
      </c>
      <c r="AQ25" s="194">
        <f t="shared" ca="1" si="13"/>
        <v>2.1547431200777529E-2</v>
      </c>
      <c r="AR25" s="194">
        <f t="shared" ca="1" si="13"/>
        <v>2.2136949081623381E-2</v>
      </c>
      <c r="AS25" s="194">
        <f t="shared" ca="1" si="13"/>
        <v>2.2188630519917037E-2</v>
      </c>
      <c r="AT25" s="194">
        <f t="shared" ca="1" si="13"/>
        <v>2.1674342737827708E-2</v>
      </c>
      <c r="AU25" s="194">
        <f t="shared" ca="1" si="13"/>
        <v>2.2017932930331312E-2</v>
      </c>
      <c r="AV25" s="194">
        <f t="shared" ca="1" si="13"/>
        <v>2.162601090448385E-2</v>
      </c>
      <c r="AW25" s="194">
        <f t="shared" ca="1" si="13"/>
        <v>2.0851605700476093E-2</v>
      </c>
      <c r="AX25" s="194">
        <f t="shared" ca="1" si="14"/>
        <v>2.0651897676437256E-2</v>
      </c>
      <c r="AY25" s="194">
        <f t="shared" ca="1" si="14"/>
        <v>2.0185797567874385E-2</v>
      </c>
      <c r="AZ25" s="194">
        <f t="shared" ca="1" si="14"/>
        <v>2.0170875566615815E-2</v>
      </c>
      <c r="BA25" s="194">
        <f t="shared" ca="1" si="14"/>
        <v>2.0112557900391195E-2</v>
      </c>
      <c r="BB25" s="194">
        <f t="shared" ca="1" si="14"/>
        <v>2.0429505312228122E-2</v>
      </c>
      <c r="BC25" s="194">
        <f t="shared" ca="1" si="14"/>
        <v>2.0117299203802754E-2</v>
      </c>
      <c r="BD25" s="194">
        <f t="shared" ca="1" si="14"/>
        <v>2.0159052056412729E-2</v>
      </c>
      <c r="BE25" s="194">
        <f t="shared" ca="1" si="14"/>
        <v>2.0115324151969066E-2</v>
      </c>
      <c r="BF25" s="194">
        <f t="shared" ca="1" si="14"/>
        <v>2.0157357207403345E-2</v>
      </c>
      <c r="BG25" s="194">
        <f t="shared" ca="1" si="14"/>
        <v>1.9772734220824088E-2</v>
      </c>
      <c r="BH25" s="194">
        <f t="shared" ca="1" si="15"/>
        <v>2.2751221735273087E-2</v>
      </c>
      <c r="BI25" s="194">
        <f t="shared" ca="1" si="15"/>
        <v>2.6405783917954641E-2</v>
      </c>
      <c r="BJ25" s="194">
        <f t="shared" ca="1" si="15"/>
        <v>2.9200322792739982E-2</v>
      </c>
      <c r="BK25" s="194">
        <f t="shared" ca="1" si="15"/>
        <v>3.1106220681640113E-2</v>
      </c>
      <c r="BL25" s="194">
        <f t="shared" ca="1" si="15"/>
        <v>3.2123417277316539E-2</v>
      </c>
      <c r="BM25" s="194">
        <f t="shared" ca="1" si="15"/>
        <v>3.3283405402901631E-2</v>
      </c>
      <c r="BN25" s="194">
        <f t="shared" ca="1" si="15"/>
        <v>3.4476827296668608E-2</v>
      </c>
      <c r="BO25" s="194">
        <f t="shared" ca="1" si="15"/>
        <v>3.6574823309601281E-2</v>
      </c>
      <c r="BP25" s="194">
        <f t="shared" ca="1" si="15"/>
        <v>3.777977225421407E-2</v>
      </c>
      <c r="BQ25" s="194">
        <f t="shared" ca="1" si="15"/>
        <v>3.9581241959156008E-2</v>
      </c>
      <c r="BR25" s="194">
        <f t="shared" ca="1" si="16"/>
        <v>4.0354535312729381E-2</v>
      </c>
      <c r="BS25" s="194">
        <f t="shared" ca="1" si="16"/>
        <v>4.2719117052025864E-2</v>
      </c>
      <c r="BT25" s="194">
        <f t="shared" ca="1" si="16"/>
        <v>4.3329145837095122E-2</v>
      </c>
      <c r="BU25" s="194">
        <f t="shared" ca="1" si="16"/>
        <v>4.5939936879104804E-2</v>
      </c>
      <c r="BV25" s="194">
        <f t="shared" ca="1" si="16"/>
        <v>4.8013399333907004E-2</v>
      </c>
      <c r="BW25" s="194">
        <f t="shared" ca="1" si="16"/>
        <v>4.9943694860789749E-2</v>
      </c>
      <c r="BX25" s="194">
        <f t="shared" ca="1" si="16"/>
        <v>5.097492780575625E-2</v>
      </c>
      <c r="BY25" s="194">
        <f t="shared" ca="1" si="16"/>
        <v>5.1808324025241138E-2</v>
      </c>
      <c r="BZ25" s="194">
        <f t="shared" ca="1" si="16"/>
        <v>5.3829799899085172E-2</v>
      </c>
      <c r="CA25" s="194">
        <f t="shared" ca="1" si="16"/>
        <v>5.5935633429715484E-2</v>
      </c>
      <c r="CB25" s="194">
        <f t="shared" ca="1" si="17"/>
        <v>5.9075728591156104E-2</v>
      </c>
      <c r="CC25" s="194">
        <f t="shared" ca="1" si="17"/>
        <v>6.2344118857204797E-2</v>
      </c>
      <c r="CD25" s="194">
        <f t="shared" ca="1" si="17"/>
        <v>6.6286494143536212E-2</v>
      </c>
      <c r="CE25" s="194">
        <f t="shared" ca="1" si="17"/>
        <v>7.0542766521578981E-2</v>
      </c>
      <c r="CF25" s="194">
        <f t="shared" ca="1" si="17"/>
        <v>7.3706830383396607E-2</v>
      </c>
      <c r="CG25" s="194">
        <f t="shared" ca="1" si="17"/>
        <v>7.8094565660736651E-2</v>
      </c>
      <c r="CH25" s="194">
        <f t="shared" ca="1" si="17"/>
        <v>8.2205139847807099E-2</v>
      </c>
      <c r="CI25" s="194">
        <f t="shared" ca="1" si="17"/>
        <v>8.5047273801843973E-2</v>
      </c>
      <c r="CJ25" s="194">
        <f t="shared" ca="1" si="17"/>
        <v>8.7780345356614817E-2</v>
      </c>
      <c r="CK25" s="194">
        <f t="shared" ca="1" si="17"/>
        <v>9.3351448271779061E-2</v>
      </c>
      <c r="CL25" s="194">
        <f t="shared" ca="1" si="18"/>
        <v>9.7651219640923687E-2</v>
      </c>
      <c r="CM25" s="194">
        <f t="shared" ca="1" si="18"/>
        <v>0.10248822669043084</v>
      </c>
      <c r="CN25" s="194">
        <f t="shared" ca="1" si="18"/>
        <v>0.1073842122489919</v>
      </c>
      <c r="CO25" s="194">
        <f t="shared" ca="1" si="18"/>
        <v>0.1123919125798224</v>
      </c>
      <c r="CP25" s="194">
        <f t="shared" ca="1" si="18"/>
        <v>0.1187311101030494</v>
      </c>
      <c r="CQ25" s="194">
        <f t="shared" ca="1" si="18"/>
        <v>0.12460365586265169</v>
      </c>
      <c r="CR25" s="194">
        <f t="shared" ca="1" si="18"/>
        <v>0.13104095313052597</v>
      </c>
      <c r="CS25" s="194">
        <f t="shared" ca="1" si="18"/>
        <v>0.13569562525906864</v>
      </c>
      <c r="CT25" s="194">
        <f t="shared" ca="1" si="18"/>
        <v>0.14045249144249117</v>
      </c>
      <c r="CU25" s="194">
        <f t="shared" ca="1" si="18"/>
        <v>0.1443209339884004</v>
      </c>
      <c r="CV25" s="194">
        <f t="shared" ca="1" si="19"/>
        <v>0.15060238982037374</v>
      </c>
      <c r="CW25" s="194">
        <f t="shared" ca="1" si="19"/>
        <v>0.15640714051078647</v>
      </c>
      <c r="CX25" s="194">
        <f t="shared" ca="1" si="19"/>
        <v>0.16114824010231119</v>
      </c>
      <c r="CY25" s="194">
        <f t="shared" ca="1" si="19"/>
        <v>0.16511664158860159</v>
      </c>
      <c r="CZ25" s="194">
        <f t="shared" ca="1" si="19"/>
        <v>0.17066319236766728</v>
      </c>
      <c r="DA25" s="194">
        <f t="shared" ca="1" si="19"/>
        <v>0.17556980516854959</v>
      </c>
      <c r="DB25" s="194">
        <f t="shared" ca="1" si="19"/>
        <v>0.18139249774787355</v>
      </c>
      <c r="DC25" s="194">
        <f t="shared" ca="1" si="19"/>
        <v>0.18713191866785703</v>
      </c>
      <c r="DD25" s="194">
        <f t="shared" ca="1" si="19"/>
        <v>0.19240968190263943</v>
      </c>
      <c r="DE25" s="194">
        <f t="shared" ca="1" si="19"/>
        <v>0.19900436540236816</v>
      </c>
      <c r="DF25" s="194">
        <f t="shared" ca="1" si="20"/>
        <v>0.20531748217144236</v>
      </c>
      <c r="DG25" s="194">
        <f t="shared" ca="1" si="20"/>
        <v>0.2109760898097984</v>
      </c>
      <c r="DH25" s="194">
        <f t="shared" ca="1" si="20"/>
        <v>0.21612244825446045</v>
      </c>
      <c r="DI25" s="194">
        <f t="shared" ca="1" si="20"/>
        <v>0.22196346669670705</v>
      </c>
      <c r="DJ25" s="194">
        <f t="shared" ca="1" si="20"/>
        <v>0.22810732009532431</v>
      </c>
      <c r="DK25" s="194">
        <f t="shared" ca="1" si="20"/>
        <v>0.23412334410526736</v>
      </c>
      <c r="DL25" s="194">
        <f t="shared" ca="1" si="20"/>
        <v>0.23986490799184498</v>
      </c>
      <c r="DM25" s="194">
        <f t="shared" ca="1" si="20"/>
        <v>0.24502069850935351</v>
      </c>
      <c r="DN25" s="194">
        <f t="shared" ca="1" si="20"/>
        <v>0.24926848193750281</v>
      </c>
      <c r="DO25" s="194">
        <f t="shared" ca="1" si="20"/>
        <v>0.25429322975066476</v>
      </c>
      <c r="DP25" s="194">
        <f t="shared" ca="1" si="21"/>
        <v>0.26011121401157838</v>
      </c>
      <c r="DQ25" s="194">
        <f t="shared" ca="1" si="21"/>
        <v>0.26503737491548973</v>
      </c>
      <c r="DR25" s="194">
        <f t="shared" ca="1" si="21"/>
        <v>0.28112477252270074</v>
      </c>
      <c r="DS25" s="194">
        <f t="shared" ca="1" si="21"/>
        <v>0.29408543783843216</v>
      </c>
      <c r="DT25" s="194">
        <f t="shared" ca="1" si="21"/>
        <v>0.3026381230387874</v>
      </c>
      <c r="DU25" s="194">
        <f t="shared" ca="1" si="21"/>
        <v>0.31935361335025775</v>
      </c>
      <c r="DV25" s="194">
        <f t="shared" ca="1" si="21"/>
        <v>0.34029426425882425</v>
      </c>
      <c r="DW25" s="194">
        <f t="shared" ca="1" si="21"/>
        <v>0.35481157009858943</v>
      </c>
      <c r="DX25" s="194">
        <f t="shared" ca="1" si="21"/>
        <v>0.37832310440733152</v>
      </c>
      <c r="DY25" s="194">
        <f t="shared" ca="1" si="21"/>
        <v>0.39503637909289452</v>
      </c>
      <c r="DZ25" s="194">
        <f t="shared" ca="1" si="22"/>
        <v>0.40588362762575414</v>
      </c>
      <c r="EA25" s="194">
        <f t="shared" ca="1" si="22"/>
        <v>0.41910564353306412</v>
      </c>
      <c r="EB25" s="194">
        <f t="shared" ca="1" si="22"/>
        <v>0.43143032041876778</v>
      </c>
      <c r="EC25" s="194">
        <f t="shared" ca="1" si="22"/>
        <v>0.45494185472751447</v>
      </c>
      <c r="ED25" s="194">
        <f t="shared" ca="1" si="22"/>
        <v>0.47845338903625251</v>
      </c>
      <c r="EE25" s="194">
        <f t="shared" ca="1" si="22"/>
        <v>0.50196492334500242</v>
      </c>
      <c r="EF25" s="194">
        <f t="shared" ca="1" si="22"/>
        <v>0.52547645765374429</v>
      </c>
      <c r="EG25" s="194">
        <f t="shared" ca="1" si="22"/>
        <v>0.54898799196249226</v>
      </c>
      <c r="EH25" s="194">
        <f t="shared" ca="1" si="22"/>
        <v>0.56831515524715859</v>
      </c>
      <c r="EI25" s="336">
        <f t="shared" ca="1" si="22"/>
        <v>0.56831515524715859</v>
      </c>
    </row>
    <row r="26" spans="1:147" x14ac:dyDescent="0.2">
      <c r="A26" s="192"/>
      <c r="B26" s="192"/>
      <c r="C26" s="192"/>
      <c r="D26" s="192"/>
      <c r="E26" s="192"/>
      <c r="F26" s="192"/>
      <c r="G26" s="254"/>
      <c r="H26" s="254"/>
      <c r="I26" s="254"/>
      <c r="J26" s="254"/>
      <c r="K26" s="254"/>
      <c r="L26" s="254" t="s">
        <v>214</v>
      </c>
      <c r="M26" s="278"/>
      <c r="N26" s="279">
        <f ca="1">SUM(N12:N15)</f>
        <v>5.3179999876933996E-2</v>
      </c>
      <c r="O26" s="279">
        <f ca="1">SUM(O12:O15)</f>
        <v>5.3179999876933996E-2</v>
      </c>
      <c r="P26" s="257">
        <f ca="1">ROUND(O26-N26,4)</f>
        <v>0</v>
      </c>
      <c r="Q26" s="249"/>
      <c r="R26" s="192"/>
      <c r="S26" s="265"/>
      <c r="T26" s="89" t="s">
        <v>20</v>
      </c>
      <c r="U26" s="326"/>
      <c r="V26" s="322"/>
      <c r="W26" s="322"/>
      <c r="X26" s="322"/>
      <c r="Y26" s="322"/>
      <c r="Z26" s="322"/>
      <c r="AA26" s="322"/>
      <c r="AB26" s="322"/>
      <c r="AC26" s="322"/>
      <c r="AD26" s="322">
        <v>1</v>
      </c>
      <c r="AE26" s="322"/>
      <c r="AF26" s="322"/>
      <c r="AG26" s="322"/>
      <c r="AH26" s="322"/>
      <c r="AI26" s="327"/>
      <c r="AJ26" s="192">
        <f t="shared" si="2"/>
        <v>1</v>
      </c>
      <c r="AK26" s="360" t="s">
        <v>24</v>
      </c>
      <c r="AL26" s="331">
        <f t="shared" ca="1" si="12"/>
        <v>14</v>
      </c>
      <c r="AM26" s="238" t="str">
        <f t="shared" si="23"/>
        <v>Timber</v>
      </c>
      <c r="AN26" s="333">
        <f t="shared" ca="1" si="13"/>
        <v>6.8499999999999991E-2</v>
      </c>
      <c r="AO26" s="194">
        <f t="shared" ca="1" si="13"/>
        <v>6.8499999999999991E-2</v>
      </c>
      <c r="AP26" s="194">
        <f t="shared" ca="1" si="13"/>
        <v>6.8499999999999991E-2</v>
      </c>
      <c r="AQ26" s="194">
        <f t="shared" ca="1" si="13"/>
        <v>6.8499999999999991E-2</v>
      </c>
      <c r="AR26" s="194">
        <f t="shared" ca="1" si="13"/>
        <v>6.8499999999999991E-2</v>
      </c>
      <c r="AS26" s="194">
        <f t="shared" ca="1" si="13"/>
        <v>6.8499999999999991E-2</v>
      </c>
      <c r="AT26" s="194">
        <f t="shared" ca="1" si="13"/>
        <v>6.8499999999999991E-2</v>
      </c>
      <c r="AU26" s="194">
        <f t="shared" ca="1" si="13"/>
        <v>6.8499999999999991E-2</v>
      </c>
      <c r="AV26" s="194">
        <f t="shared" ca="1" si="13"/>
        <v>6.8499999999999991E-2</v>
      </c>
      <c r="AW26" s="194">
        <f t="shared" ca="1" si="13"/>
        <v>6.8499999999999991E-2</v>
      </c>
      <c r="AX26" s="194">
        <f t="shared" ca="1" si="14"/>
        <v>6.8499999999999991E-2</v>
      </c>
      <c r="AY26" s="194">
        <f t="shared" ca="1" si="14"/>
        <v>6.8499999999999991E-2</v>
      </c>
      <c r="AZ26" s="194">
        <f t="shared" ca="1" si="14"/>
        <v>6.8499999999999991E-2</v>
      </c>
      <c r="BA26" s="194">
        <f t="shared" ca="1" si="14"/>
        <v>6.8499999999999991E-2</v>
      </c>
      <c r="BB26" s="194">
        <f t="shared" ca="1" si="14"/>
        <v>6.8499999999999991E-2</v>
      </c>
      <c r="BC26" s="194">
        <f t="shared" ca="1" si="14"/>
        <v>6.8499999999999991E-2</v>
      </c>
      <c r="BD26" s="194">
        <f t="shared" ca="1" si="14"/>
        <v>6.8499999999999991E-2</v>
      </c>
      <c r="BE26" s="194">
        <f t="shared" ca="1" si="14"/>
        <v>6.8499999999999991E-2</v>
      </c>
      <c r="BF26" s="194">
        <f t="shared" ca="1" si="14"/>
        <v>6.8499999999999991E-2</v>
      </c>
      <c r="BG26" s="194">
        <f t="shared" ca="1" si="14"/>
        <v>6.8499999999999991E-2</v>
      </c>
      <c r="BH26" s="194">
        <f t="shared" ca="1" si="15"/>
        <v>6.8499999999999991E-2</v>
      </c>
      <c r="BI26" s="194">
        <f t="shared" ca="1" si="15"/>
        <v>6.8499999999999991E-2</v>
      </c>
      <c r="BJ26" s="194">
        <f t="shared" ca="1" si="15"/>
        <v>6.8499999999999991E-2</v>
      </c>
      <c r="BK26" s="194">
        <f t="shared" ca="1" si="15"/>
        <v>6.8499999999999991E-2</v>
      </c>
      <c r="BL26" s="194">
        <f t="shared" ca="1" si="15"/>
        <v>6.8499999999999991E-2</v>
      </c>
      <c r="BM26" s="194">
        <f t="shared" ca="1" si="15"/>
        <v>6.8499999999999991E-2</v>
      </c>
      <c r="BN26" s="194">
        <f t="shared" ca="1" si="15"/>
        <v>6.8499999999999991E-2</v>
      </c>
      <c r="BO26" s="194">
        <f t="shared" ca="1" si="15"/>
        <v>6.8499999999999991E-2</v>
      </c>
      <c r="BP26" s="194">
        <f t="shared" ca="1" si="15"/>
        <v>6.8499999999999991E-2</v>
      </c>
      <c r="BQ26" s="194">
        <f t="shared" ca="1" si="15"/>
        <v>6.8499999999999991E-2</v>
      </c>
      <c r="BR26" s="194">
        <f t="shared" ca="1" si="16"/>
        <v>6.8499999999999991E-2</v>
      </c>
      <c r="BS26" s="194">
        <f t="shared" ca="1" si="16"/>
        <v>6.8499999999999991E-2</v>
      </c>
      <c r="BT26" s="194">
        <f t="shared" ca="1" si="16"/>
        <v>6.8499999999999991E-2</v>
      </c>
      <c r="BU26" s="194">
        <f t="shared" ca="1" si="16"/>
        <v>6.8499999999999991E-2</v>
      </c>
      <c r="BV26" s="194">
        <f t="shared" ca="1" si="16"/>
        <v>6.8499999999999991E-2</v>
      </c>
      <c r="BW26" s="194">
        <f t="shared" ca="1" si="16"/>
        <v>6.8499999999999991E-2</v>
      </c>
      <c r="BX26" s="194">
        <f t="shared" ca="1" si="16"/>
        <v>6.8499999999999991E-2</v>
      </c>
      <c r="BY26" s="194">
        <f t="shared" ca="1" si="16"/>
        <v>6.8499999999999991E-2</v>
      </c>
      <c r="BZ26" s="194">
        <f t="shared" ca="1" si="16"/>
        <v>6.8499999999999991E-2</v>
      </c>
      <c r="CA26" s="194">
        <f t="shared" ca="1" si="16"/>
        <v>6.8499999999999991E-2</v>
      </c>
      <c r="CB26" s="194">
        <f t="shared" ca="1" si="17"/>
        <v>6.8499999999999991E-2</v>
      </c>
      <c r="CC26" s="194">
        <f t="shared" ca="1" si="17"/>
        <v>6.8499999999999991E-2</v>
      </c>
      <c r="CD26" s="194">
        <f t="shared" ca="1" si="17"/>
        <v>6.8499999999999991E-2</v>
      </c>
      <c r="CE26" s="194">
        <f t="shared" ca="1" si="17"/>
        <v>6.8499999999999991E-2</v>
      </c>
      <c r="CF26" s="194">
        <f t="shared" ca="1" si="17"/>
        <v>6.8499999999999991E-2</v>
      </c>
      <c r="CG26" s="194">
        <f t="shared" ca="1" si="17"/>
        <v>6.8499999999999991E-2</v>
      </c>
      <c r="CH26" s="194">
        <f t="shared" ca="1" si="17"/>
        <v>6.8499999999999991E-2</v>
      </c>
      <c r="CI26" s="194">
        <f t="shared" ca="1" si="17"/>
        <v>6.8499999999999991E-2</v>
      </c>
      <c r="CJ26" s="194">
        <f t="shared" ca="1" si="17"/>
        <v>6.8499999999999991E-2</v>
      </c>
      <c r="CK26" s="194">
        <f t="shared" ca="1" si="17"/>
        <v>6.8499999999999991E-2</v>
      </c>
      <c r="CL26" s="194">
        <f t="shared" ca="1" si="18"/>
        <v>6.8499999999999991E-2</v>
      </c>
      <c r="CM26" s="194">
        <f t="shared" ca="1" si="18"/>
        <v>6.8499999999999991E-2</v>
      </c>
      <c r="CN26" s="194">
        <f t="shared" ca="1" si="18"/>
        <v>6.8499999999999991E-2</v>
      </c>
      <c r="CO26" s="194">
        <f t="shared" ca="1" si="18"/>
        <v>6.8499999999999797E-2</v>
      </c>
      <c r="CP26" s="194">
        <f t="shared" ca="1" si="18"/>
        <v>6.8499999999999936E-2</v>
      </c>
      <c r="CQ26" s="194">
        <f t="shared" ca="1" si="18"/>
        <v>6.8499999999999936E-2</v>
      </c>
      <c r="CR26" s="194">
        <f t="shared" ca="1" si="18"/>
        <v>6.8499999999999991E-2</v>
      </c>
      <c r="CS26" s="194">
        <f t="shared" ca="1" si="18"/>
        <v>6.8499999999999908E-2</v>
      </c>
      <c r="CT26" s="194">
        <f t="shared" ca="1" si="18"/>
        <v>6.8499999999999991E-2</v>
      </c>
      <c r="CU26" s="194">
        <f t="shared" ca="1" si="18"/>
        <v>6.8499999999999991E-2</v>
      </c>
      <c r="CV26" s="194">
        <f t="shared" ca="1" si="19"/>
        <v>6.8499999999999991E-2</v>
      </c>
      <c r="CW26" s="194">
        <f t="shared" ca="1" si="19"/>
        <v>6.8499999999999991E-2</v>
      </c>
      <c r="CX26" s="194">
        <f t="shared" ca="1" si="19"/>
        <v>6.8499999999999991E-2</v>
      </c>
      <c r="CY26" s="194">
        <f t="shared" ca="1" si="19"/>
        <v>6.8499999999999991E-2</v>
      </c>
      <c r="CZ26" s="194">
        <f t="shared" ca="1" si="19"/>
        <v>6.8499999999999991E-2</v>
      </c>
      <c r="DA26" s="194">
        <f t="shared" ca="1" si="19"/>
        <v>6.8499999999999991E-2</v>
      </c>
      <c r="DB26" s="194">
        <f t="shared" ca="1" si="19"/>
        <v>6.8499999999999991E-2</v>
      </c>
      <c r="DC26" s="194">
        <f t="shared" ca="1" si="19"/>
        <v>6.8499999999999991E-2</v>
      </c>
      <c r="DD26" s="194">
        <f t="shared" ca="1" si="19"/>
        <v>6.8499999999999991E-2</v>
      </c>
      <c r="DE26" s="194">
        <f t="shared" ca="1" si="19"/>
        <v>6.8499999999999991E-2</v>
      </c>
      <c r="DF26" s="194">
        <f t="shared" ca="1" si="20"/>
        <v>6.8499999999999991E-2</v>
      </c>
      <c r="DG26" s="194">
        <f t="shared" ca="1" si="20"/>
        <v>6.8499999999999991E-2</v>
      </c>
      <c r="DH26" s="194">
        <f t="shared" ca="1" si="20"/>
        <v>6.8499999999999991E-2</v>
      </c>
      <c r="DI26" s="194">
        <f t="shared" ca="1" si="20"/>
        <v>6.8499999999999991E-2</v>
      </c>
      <c r="DJ26" s="194">
        <f t="shared" ca="1" si="20"/>
        <v>6.8499999999999964E-2</v>
      </c>
      <c r="DK26" s="194">
        <f t="shared" ca="1" si="20"/>
        <v>6.8499999999999991E-2</v>
      </c>
      <c r="DL26" s="194">
        <f t="shared" ca="1" si="20"/>
        <v>6.8499999999999839E-2</v>
      </c>
      <c r="DM26" s="194">
        <f t="shared" ca="1" si="20"/>
        <v>6.8499999999999991E-2</v>
      </c>
      <c r="DN26" s="194">
        <f t="shared" ca="1" si="20"/>
        <v>6.8499999999999991E-2</v>
      </c>
      <c r="DO26" s="194">
        <f t="shared" ca="1" si="20"/>
        <v>6.8499999999999991E-2</v>
      </c>
      <c r="DP26" s="194">
        <f t="shared" ca="1" si="21"/>
        <v>6.8499999999999894E-2</v>
      </c>
      <c r="DQ26" s="194">
        <f t="shared" ca="1" si="21"/>
        <v>6.8499999999999991E-2</v>
      </c>
      <c r="DR26" s="194">
        <f t="shared" ca="1" si="21"/>
        <v>6.8499999999999991E-2</v>
      </c>
      <c r="DS26" s="194">
        <f t="shared" ca="1" si="21"/>
        <v>6.0694402714824805E-2</v>
      </c>
      <c r="DT26" s="194">
        <f t="shared" ca="1" si="21"/>
        <v>4.9627770780282777E-2</v>
      </c>
      <c r="DU26" s="194">
        <f t="shared" ca="1" si="21"/>
        <v>4.4600000000000001E-2</v>
      </c>
      <c r="DV26" s="194">
        <f t="shared" ca="1" si="21"/>
        <v>4.4600000000000001E-2</v>
      </c>
      <c r="DW26" s="194">
        <f t="shared" ca="1" si="21"/>
        <v>4.4600000000000001E-2</v>
      </c>
      <c r="DX26" s="194">
        <f t="shared" ca="1" si="21"/>
        <v>4.4600000000000001E-2</v>
      </c>
      <c r="DY26" s="194">
        <f t="shared" ca="1" si="21"/>
        <v>4.4600000000000001E-2</v>
      </c>
      <c r="DZ26" s="194">
        <f t="shared" ca="1" si="22"/>
        <v>4.4599999999999904E-2</v>
      </c>
      <c r="EA26" s="194">
        <f t="shared" ca="1" si="22"/>
        <v>4.4600000000000022E-2</v>
      </c>
      <c r="EB26" s="194">
        <f t="shared" ca="1" si="22"/>
        <v>4.4600000000000015E-2</v>
      </c>
      <c r="EC26" s="194">
        <f t="shared" ca="1" si="22"/>
        <v>4.4600000000000029E-2</v>
      </c>
      <c r="ED26" s="194">
        <f t="shared" ca="1" si="22"/>
        <v>4.4600000000000001E-2</v>
      </c>
      <c r="EE26" s="194">
        <f t="shared" ca="1" si="22"/>
        <v>4.4600000000000001E-2</v>
      </c>
      <c r="EF26" s="194">
        <f t="shared" ca="1" si="22"/>
        <v>4.4600000000000001E-2</v>
      </c>
      <c r="EG26" s="194">
        <f t="shared" ca="1" si="22"/>
        <v>4.4600000000000001E-2</v>
      </c>
      <c r="EH26" s="194">
        <f t="shared" ca="1" si="22"/>
        <v>4.4623154912533672E-2</v>
      </c>
      <c r="EI26" s="336">
        <f t="shared" ca="1" si="22"/>
        <v>4.4623154912533672E-2</v>
      </c>
    </row>
    <row r="27" spans="1:147" x14ac:dyDescent="0.2">
      <c r="A27" s="192"/>
      <c r="B27" s="192"/>
      <c r="C27" s="192"/>
      <c r="D27" s="192"/>
      <c r="E27" s="192"/>
      <c r="F27" s="192"/>
      <c r="G27" s="254"/>
      <c r="H27" s="254"/>
      <c r="I27" s="254"/>
      <c r="J27" s="254"/>
      <c r="K27" s="254"/>
      <c r="L27" s="246" t="s">
        <v>28</v>
      </c>
      <c r="M27" s="283"/>
      <c r="N27" s="281">
        <f ca="1">SUM(N16:N22)</f>
        <v>0.55728000544474388</v>
      </c>
      <c r="O27" s="281">
        <f ca="1">SUM(O16:O22)</f>
        <v>0.55728000544474388</v>
      </c>
      <c r="P27" s="259">
        <f ca="1">ROUND(O27-N27,4)</f>
        <v>0</v>
      </c>
      <c r="Q27" s="249"/>
      <c r="R27" s="192"/>
      <c r="S27" s="265"/>
      <c r="T27" s="89" t="s">
        <v>21</v>
      </c>
      <c r="U27" s="326"/>
      <c r="V27" s="322"/>
      <c r="W27" s="322"/>
      <c r="X27" s="322"/>
      <c r="Y27" s="322"/>
      <c r="Z27" s="322"/>
      <c r="AA27" s="322"/>
      <c r="AB27" s="322"/>
      <c r="AC27" s="322"/>
      <c r="AD27" s="322"/>
      <c r="AE27" s="322">
        <v>1</v>
      </c>
      <c r="AF27" s="322"/>
      <c r="AG27" s="322"/>
      <c r="AH27" s="322"/>
      <c r="AI27" s="327"/>
      <c r="AJ27" s="192">
        <f t="shared" si="2"/>
        <v>1</v>
      </c>
      <c r="AK27" s="360" t="s">
        <v>25</v>
      </c>
      <c r="AL27" s="331">
        <f t="shared" ca="1" si="12"/>
        <v>15</v>
      </c>
      <c r="AM27" s="240" t="str">
        <f t="shared" si="23"/>
        <v>Farms</v>
      </c>
      <c r="AN27" s="334">
        <f t="shared" ca="1" si="13"/>
        <v>3.2300000000000002E-2</v>
      </c>
      <c r="AO27" s="242">
        <f t="shared" ca="1" si="13"/>
        <v>3.2300000000000002E-2</v>
      </c>
      <c r="AP27" s="242">
        <f t="shared" ca="1" si="13"/>
        <v>3.2300000000000002E-2</v>
      </c>
      <c r="AQ27" s="242">
        <f t="shared" ca="1" si="13"/>
        <v>3.2300000000000002E-2</v>
      </c>
      <c r="AR27" s="242">
        <f t="shared" ca="1" si="13"/>
        <v>3.2300000000000002E-2</v>
      </c>
      <c r="AS27" s="242">
        <f t="shared" ca="1" si="13"/>
        <v>3.2300000000000002E-2</v>
      </c>
      <c r="AT27" s="242">
        <f t="shared" ca="1" si="13"/>
        <v>3.2300000000000002E-2</v>
      </c>
      <c r="AU27" s="242">
        <f t="shared" ca="1" si="13"/>
        <v>3.2300000000000002E-2</v>
      </c>
      <c r="AV27" s="242">
        <f t="shared" ca="1" si="13"/>
        <v>3.2300000000000002E-2</v>
      </c>
      <c r="AW27" s="242">
        <f t="shared" ca="1" si="13"/>
        <v>3.2300000000000002E-2</v>
      </c>
      <c r="AX27" s="242">
        <f t="shared" ca="1" si="14"/>
        <v>3.2300000000000002E-2</v>
      </c>
      <c r="AY27" s="242">
        <f t="shared" ca="1" si="14"/>
        <v>3.2300000000000002E-2</v>
      </c>
      <c r="AZ27" s="242">
        <f t="shared" ca="1" si="14"/>
        <v>3.2300000000000002E-2</v>
      </c>
      <c r="BA27" s="242">
        <f t="shared" ca="1" si="14"/>
        <v>3.2300000000000002E-2</v>
      </c>
      <c r="BB27" s="242">
        <f t="shared" ca="1" si="14"/>
        <v>3.2300000000000002E-2</v>
      </c>
      <c r="BC27" s="242">
        <f t="shared" ca="1" si="14"/>
        <v>3.2300000000000002E-2</v>
      </c>
      <c r="BD27" s="242">
        <f t="shared" ca="1" si="14"/>
        <v>3.2300000000000002E-2</v>
      </c>
      <c r="BE27" s="242">
        <f t="shared" ca="1" si="14"/>
        <v>3.2300000000000002E-2</v>
      </c>
      <c r="BF27" s="242">
        <f t="shared" ca="1" si="14"/>
        <v>3.2300000000000002E-2</v>
      </c>
      <c r="BG27" s="242">
        <f t="shared" ca="1" si="14"/>
        <v>3.2300000000000002E-2</v>
      </c>
      <c r="BH27" s="242">
        <f t="shared" ca="1" si="15"/>
        <v>3.2300000000000002E-2</v>
      </c>
      <c r="BI27" s="242">
        <f t="shared" ca="1" si="15"/>
        <v>3.2300000000000002E-2</v>
      </c>
      <c r="BJ27" s="242">
        <f t="shared" ca="1" si="15"/>
        <v>3.2300000000000002E-2</v>
      </c>
      <c r="BK27" s="242">
        <f t="shared" ca="1" si="15"/>
        <v>3.2300000000000002E-2</v>
      </c>
      <c r="BL27" s="242">
        <f t="shared" ca="1" si="15"/>
        <v>3.2300000000000002E-2</v>
      </c>
      <c r="BM27" s="242">
        <f t="shared" ca="1" si="15"/>
        <v>3.2300000000000002E-2</v>
      </c>
      <c r="BN27" s="242">
        <f t="shared" ca="1" si="15"/>
        <v>3.2300000000000002E-2</v>
      </c>
      <c r="BO27" s="242">
        <f t="shared" ca="1" si="15"/>
        <v>3.2300000000000002E-2</v>
      </c>
      <c r="BP27" s="242">
        <f t="shared" ca="1" si="15"/>
        <v>3.2300000000000002E-2</v>
      </c>
      <c r="BQ27" s="242">
        <f t="shared" ca="1" si="15"/>
        <v>3.2300000000000002E-2</v>
      </c>
      <c r="BR27" s="242">
        <f t="shared" ca="1" si="16"/>
        <v>3.2300000000000002E-2</v>
      </c>
      <c r="BS27" s="242">
        <f t="shared" ca="1" si="16"/>
        <v>3.2300000000000002E-2</v>
      </c>
      <c r="BT27" s="242">
        <f t="shared" ca="1" si="16"/>
        <v>3.2300000000000002E-2</v>
      </c>
      <c r="BU27" s="242">
        <f t="shared" ca="1" si="16"/>
        <v>3.2300000000000002E-2</v>
      </c>
      <c r="BV27" s="242">
        <f t="shared" ca="1" si="16"/>
        <v>3.2300000000000002E-2</v>
      </c>
      <c r="BW27" s="242">
        <f t="shared" ca="1" si="16"/>
        <v>3.2300000000000002E-2</v>
      </c>
      <c r="BX27" s="242">
        <f t="shared" ca="1" si="16"/>
        <v>3.2300000000000002E-2</v>
      </c>
      <c r="BY27" s="242">
        <f t="shared" ca="1" si="16"/>
        <v>3.2300000000000002E-2</v>
      </c>
      <c r="BZ27" s="242">
        <f t="shared" ca="1" si="16"/>
        <v>3.2300000000000002E-2</v>
      </c>
      <c r="CA27" s="242">
        <f t="shared" ca="1" si="16"/>
        <v>3.2300000000000002E-2</v>
      </c>
      <c r="CB27" s="242">
        <f t="shared" ca="1" si="17"/>
        <v>3.2300000000000002E-2</v>
      </c>
      <c r="CC27" s="242">
        <f t="shared" ca="1" si="17"/>
        <v>3.2300000000000002E-2</v>
      </c>
      <c r="CD27" s="242">
        <f t="shared" ca="1" si="17"/>
        <v>3.2300000000000002E-2</v>
      </c>
      <c r="CE27" s="242">
        <f t="shared" ca="1" si="17"/>
        <v>3.2300000000000002E-2</v>
      </c>
      <c r="CF27" s="242">
        <f t="shared" ca="1" si="17"/>
        <v>3.2300000000000002E-2</v>
      </c>
      <c r="CG27" s="242">
        <f t="shared" ca="1" si="17"/>
        <v>3.2300000000000002E-2</v>
      </c>
      <c r="CH27" s="242">
        <f t="shared" ca="1" si="17"/>
        <v>3.2300000000000002E-2</v>
      </c>
      <c r="CI27" s="242">
        <f t="shared" ca="1" si="17"/>
        <v>3.2300000000000002E-2</v>
      </c>
      <c r="CJ27" s="242">
        <f t="shared" ca="1" si="17"/>
        <v>3.2300000000000002E-2</v>
      </c>
      <c r="CK27" s="242">
        <f t="shared" ca="1" si="17"/>
        <v>3.2300000000000002E-2</v>
      </c>
      <c r="CL27" s="242">
        <f t="shared" ca="1" si="18"/>
        <v>3.2300000000000002E-2</v>
      </c>
      <c r="CM27" s="242">
        <f t="shared" ca="1" si="18"/>
        <v>3.2300000000000002E-2</v>
      </c>
      <c r="CN27" s="242">
        <f t="shared" ca="1" si="18"/>
        <v>3.2300000000000002E-2</v>
      </c>
      <c r="CO27" s="242">
        <f t="shared" ca="1" si="18"/>
        <v>3.2300000000000044E-2</v>
      </c>
      <c r="CP27" s="242">
        <f t="shared" ca="1" si="18"/>
        <v>3.2299999999999982E-2</v>
      </c>
      <c r="CQ27" s="242">
        <f t="shared" ca="1" si="18"/>
        <v>3.2300000000000016E-2</v>
      </c>
      <c r="CR27" s="242">
        <f t="shared" ca="1" si="18"/>
        <v>3.2300000000000002E-2</v>
      </c>
      <c r="CS27" s="242">
        <f t="shared" ca="1" si="18"/>
        <v>3.2299999999999975E-2</v>
      </c>
      <c r="CT27" s="242">
        <f t="shared" ca="1" si="18"/>
        <v>3.2300000000000002E-2</v>
      </c>
      <c r="CU27" s="242">
        <f t="shared" ca="1" si="18"/>
        <v>3.2300000000000002E-2</v>
      </c>
      <c r="CV27" s="242">
        <f t="shared" ca="1" si="19"/>
        <v>3.2300000000000002E-2</v>
      </c>
      <c r="CW27" s="242">
        <f t="shared" ca="1" si="19"/>
        <v>3.2300000000000002E-2</v>
      </c>
      <c r="CX27" s="242">
        <f t="shared" ca="1" si="19"/>
        <v>3.2300000000000002E-2</v>
      </c>
      <c r="CY27" s="242">
        <f t="shared" ca="1" si="19"/>
        <v>3.2300000000000002E-2</v>
      </c>
      <c r="CZ27" s="242">
        <f t="shared" ca="1" si="19"/>
        <v>3.2300000000000002E-2</v>
      </c>
      <c r="DA27" s="242">
        <f t="shared" ca="1" si="19"/>
        <v>3.2300000000000002E-2</v>
      </c>
      <c r="DB27" s="242">
        <f t="shared" ca="1" si="19"/>
        <v>3.2300000000000002E-2</v>
      </c>
      <c r="DC27" s="242">
        <f t="shared" ca="1" si="19"/>
        <v>3.2300000000000002E-2</v>
      </c>
      <c r="DD27" s="242">
        <f t="shared" ca="1" si="19"/>
        <v>3.2300000000000002E-2</v>
      </c>
      <c r="DE27" s="242">
        <f t="shared" ca="1" si="19"/>
        <v>3.2300000000000002E-2</v>
      </c>
      <c r="DF27" s="242">
        <f t="shared" ca="1" si="20"/>
        <v>3.2300000000000002E-2</v>
      </c>
      <c r="DG27" s="242">
        <f t="shared" ca="1" si="20"/>
        <v>3.2300000000000002E-2</v>
      </c>
      <c r="DH27" s="242">
        <f t="shared" ca="1" si="20"/>
        <v>3.2300000000000002E-2</v>
      </c>
      <c r="DI27" s="242">
        <f t="shared" ca="1" si="20"/>
        <v>3.2300000000000002E-2</v>
      </c>
      <c r="DJ27" s="242">
        <f t="shared" ca="1" si="20"/>
        <v>3.2300000000000016E-2</v>
      </c>
      <c r="DK27" s="242">
        <f t="shared" ca="1" si="20"/>
        <v>3.2300000000000002E-2</v>
      </c>
      <c r="DL27" s="242">
        <f t="shared" ca="1" si="20"/>
        <v>3.2300000000000023E-2</v>
      </c>
      <c r="DM27" s="242">
        <f t="shared" ca="1" si="20"/>
        <v>3.2300000000000002E-2</v>
      </c>
      <c r="DN27" s="242">
        <f t="shared" ca="1" si="20"/>
        <v>3.2300000000000002E-2</v>
      </c>
      <c r="DO27" s="242">
        <f t="shared" ca="1" si="20"/>
        <v>3.2300000000000002E-2</v>
      </c>
      <c r="DP27" s="242">
        <f t="shared" ca="1" si="21"/>
        <v>3.2300000000000009E-2</v>
      </c>
      <c r="DQ27" s="242">
        <f t="shared" ca="1" si="21"/>
        <v>3.2300000000000002E-2</v>
      </c>
      <c r="DR27" s="242">
        <f t="shared" ca="1" si="21"/>
        <v>3.2300000000000002E-2</v>
      </c>
      <c r="DS27" s="242">
        <f t="shared" ca="1" si="21"/>
        <v>3.2300000000000002E-2</v>
      </c>
      <c r="DT27" s="242">
        <f t="shared" ca="1" si="21"/>
        <v>3.2300000000000113E-2</v>
      </c>
      <c r="DU27" s="242">
        <f t="shared" ca="1" si="21"/>
        <v>3.2300000000000002E-2</v>
      </c>
      <c r="DV27" s="242">
        <f t="shared" ca="1" si="21"/>
        <v>2.9921427903757805E-2</v>
      </c>
      <c r="DW27" s="242">
        <f t="shared" ca="1" si="21"/>
        <v>2.1600000000006503E-2</v>
      </c>
      <c r="DX27" s="242">
        <f t="shared" ca="1" si="21"/>
        <v>2.1600000000006503E-2</v>
      </c>
      <c r="DY27" s="242">
        <f t="shared" ca="1" si="21"/>
        <v>2.1600000000006503E-2</v>
      </c>
      <c r="DZ27" s="242">
        <f t="shared" ca="1" si="22"/>
        <v>2.1600000000006538E-2</v>
      </c>
      <c r="EA27" s="242">
        <f t="shared" ca="1" si="22"/>
        <v>2.1600000000006503E-2</v>
      </c>
      <c r="EB27" s="242">
        <f t="shared" ca="1" si="22"/>
        <v>2.1600000000006503E-2</v>
      </c>
      <c r="EC27" s="242">
        <f t="shared" ca="1" si="22"/>
        <v>2.1600000000006541E-2</v>
      </c>
      <c r="ED27" s="242">
        <f t="shared" ca="1" si="22"/>
        <v>2.1600000000006503E-2</v>
      </c>
      <c r="EE27" s="242">
        <f t="shared" ca="1" si="22"/>
        <v>2.1600000000006503E-2</v>
      </c>
      <c r="EF27" s="242">
        <f t="shared" ca="1" si="22"/>
        <v>2.1600000000006503E-2</v>
      </c>
      <c r="EG27" s="242">
        <f t="shared" ca="1" si="22"/>
        <v>2.1600000000006503E-2</v>
      </c>
      <c r="EH27" s="242">
        <f t="shared" ca="1" si="22"/>
        <v>2.1626032029574201E-2</v>
      </c>
      <c r="EI27" s="337">
        <f t="shared" ca="1" si="22"/>
        <v>2.1626032029574201E-2</v>
      </c>
    </row>
    <row r="28" spans="1:147" x14ac:dyDescent="0.2">
      <c r="A28" s="192"/>
      <c r="B28" s="192"/>
      <c r="C28" s="192"/>
      <c r="D28" s="192"/>
      <c r="E28" s="192"/>
      <c r="F28" s="192"/>
      <c r="G28" s="254"/>
      <c r="H28" s="254"/>
      <c r="I28" s="254"/>
      <c r="J28" s="254"/>
      <c r="K28" s="254"/>
      <c r="L28" s="262"/>
      <c r="M28" s="262"/>
      <c r="N28" s="263"/>
      <c r="O28" s="263"/>
      <c r="P28" s="264"/>
      <c r="Q28" s="249"/>
      <c r="R28" s="192"/>
      <c r="S28" s="265"/>
      <c r="T28" s="89" t="s">
        <v>22</v>
      </c>
      <c r="U28" s="326"/>
      <c r="V28" s="322"/>
      <c r="W28" s="322"/>
      <c r="X28" s="322"/>
      <c r="Y28" s="322"/>
      <c r="Z28" s="322"/>
      <c r="AA28" s="322"/>
      <c r="AB28" s="322"/>
      <c r="AC28" s="322"/>
      <c r="AD28" s="322"/>
      <c r="AE28" s="322"/>
      <c r="AF28" s="322">
        <v>1</v>
      </c>
      <c r="AG28" s="322"/>
      <c r="AH28" s="322"/>
      <c r="AI28" s="327"/>
      <c r="AJ28" s="192">
        <f t="shared" si="2"/>
        <v>1</v>
      </c>
      <c r="AK28" s="361"/>
      <c r="AL28" s="331"/>
      <c r="AM28" s="339"/>
      <c r="AN28" s="340"/>
      <c r="AO28" s="341"/>
      <c r="AP28" s="341"/>
      <c r="AQ28" s="341"/>
      <c r="AR28" s="341"/>
      <c r="AS28" s="341"/>
      <c r="AT28" s="341"/>
      <c r="AU28" s="341"/>
      <c r="AV28" s="341"/>
      <c r="AW28" s="341"/>
      <c r="AX28" s="341"/>
      <c r="AY28" s="341"/>
      <c r="AZ28" s="341"/>
      <c r="BA28" s="341"/>
      <c r="BB28" s="341"/>
      <c r="BC28" s="341"/>
      <c r="BD28" s="341"/>
      <c r="BE28" s="341"/>
      <c r="BF28" s="341"/>
      <c r="BG28" s="341"/>
      <c r="BH28" s="341"/>
      <c r="BI28" s="341"/>
      <c r="BJ28" s="341"/>
      <c r="BK28" s="341"/>
      <c r="BL28" s="341"/>
      <c r="BM28" s="341"/>
      <c r="BN28" s="341"/>
      <c r="BO28" s="341"/>
      <c r="BP28" s="341"/>
      <c r="BQ28" s="341"/>
      <c r="BR28" s="341"/>
      <c r="BS28" s="341"/>
      <c r="BT28" s="341"/>
      <c r="BU28" s="341"/>
      <c r="BV28" s="341"/>
      <c r="BW28" s="341"/>
      <c r="BX28" s="341"/>
      <c r="BY28" s="341"/>
      <c r="BZ28" s="341"/>
      <c r="CA28" s="341"/>
      <c r="CB28" s="341"/>
      <c r="CC28" s="341"/>
      <c r="CD28" s="341"/>
      <c r="CE28" s="341"/>
      <c r="CF28" s="341"/>
      <c r="CG28" s="341"/>
      <c r="CH28" s="341"/>
      <c r="CI28" s="341"/>
      <c r="CJ28" s="341"/>
      <c r="CK28" s="341"/>
      <c r="CL28" s="341"/>
      <c r="CM28" s="341"/>
      <c r="CN28" s="341"/>
      <c r="CO28" s="341"/>
      <c r="CP28" s="341"/>
      <c r="CQ28" s="341"/>
      <c r="CR28" s="341"/>
      <c r="CS28" s="341"/>
      <c r="CT28" s="341"/>
      <c r="CU28" s="341"/>
      <c r="CV28" s="341"/>
      <c r="CW28" s="341"/>
      <c r="CX28" s="341"/>
      <c r="CY28" s="341"/>
      <c r="CZ28" s="341"/>
      <c r="DA28" s="341"/>
      <c r="DB28" s="341"/>
      <c r="DC28" s="341"/>
      <c r="DD28" s="341"/>
      <c r="DE28" s="341"/>
      <c r="DF28" s="341"/>
      <c r="DG28" s="341"/>
      <c r="DH28" s="341"/>
      <c r="DI28" s="341"/>
      <c r="DJ28" s="341"/>
      <c r="DK28" s="341"/>
      <c r="DL28" s="341"/>
      <c r="DM28" s="341"/>
      <c r="DN28" s="341"/>
      <c r="DO28" s="341"/>
      <c r="DP28" s="341"/>
      <c r="DQ28" s="341"/>
      <c r="DR28" s="341"/>
      <c r="DS28" s="341"/>
      <c r="DT28" s="341"/>
      <c r="DU28" s="341"/>
      <c r="DV28" s="341"/>
      <c r="DW28" s="341"/>
      <c r="DX28" s="341"/>
      <c r="DY28" s="341"/>
      <c r="DZ28" s="341"/>
      <c r="EA28" s="341"/>
      <c r="EB28" s="341"/>
      <c r="EC28" s="341"/>
      <c r="ED28" s="341"/>
      <c r="EE28" s="341"/>
      <c r="EF28" s="341"/>
      <c r="EG28" s="341"/>
      <c r="EH28" s="341"/>
      <c r="EI28" s="342"/>
    </row>
    <row r="29" spans="1:147" x14ac:dyDescent="0.2">
      <c r="A29" s="192"/>
      <c r="B29" s="192"/>
      <c r="C29" s="192"/>
      <c r="D29" s="192"/>
      <c r="E29" s="192"/>
      <c r="F29" s="192"/>
      <c r="G29" s="254"/>
      <c r="H29" s="254"/>
      <c r="I29" s="254"/>
      <c r="J29" s="254"/>
      <c r="K29" s="254"/>
      <c r="L29" s="249"/>
      <c r="M29" s="249"/>
      <c r="N29" s="249"/>
      <c r="O29" s="249"/>
      <c r="P29" s="249"/>
      <c r="Q29" s="249"/>
      <c r="R29" s="192"/>
      <c r="S29" s="265"/>
      <c r="T29" s="89" t="s">
        <v>23</v>
      </c>
      <c r="U29" s="326"/>
      <c r="V29" s="322"/>
      <c r="W29" s="322"/>
      <c r="X29" s="322"/>
      <c r="Y29" s="322"/>
      <c r="Z29" s="322"/>
      <c r="AA29" s="322"/>
      <c r="AB29" s="322"/>
      <c r="AC29" s="322"/>
      <c r="AD29" s="322"/>
      <c r="AE29" s="322"/>
      <c r="AF29" s="322"/>
      <c r="AG29" s="322">
        <v>1</v>
      </c>
      <c r="AH29" s="322"/>
      <c r="AI29" s="327"/>
      <c r="AJ29" s="192">
        <f t="shared" si="2"/>
        <v>1</v>
      </c>
      <c r="AK29" s="36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  <c r="BT29" s="192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  <c r="DA29" s="192"/>
      <c r="DB29" s="192"/>
      <c r="DC29" s="192"/>
      <c r="DD29" s="192"/>
      <c r="DE29" s="192"/>
      <c r="DF29" s="192"/>
      <c r="DG29" s="192"/>
      <c r="DH29" s="192"/>
      <c r="DI29" s="192"/>
      <c r="DJ29" s="192"/>
      <c r="DK29" s="192"/>
      <c r="DL29" s="192"/>
      <c r="DM29" s="192"/>
      <c r="DN29" s="192"/>
      <c r="DO29" s="192"/>
      <c r="DP29" s="192"/>
      <c r="DQ29" s="192"/>
      <c r="DR29" s="192"/>
      <c r="DS29" s="192"/>
      <c r="DT29" s="192"/>
      <c r="DU29" s="192"/>
      <c r="DV29" s="192"/>
      <c r="DW29" s="192"/>
      <c r="DX29" s="192"/>
      <c r="DY29" s="192"/>
      <c r="DZ29" s="192"/>
      <c r="EA29" s="192"/>
      <c r="EB29" s="192"/>
      <c r="EC29" s="192"/>
      <c r="ED29" s="192"/>
      <c r="EE29" s="192"/>
      <c r="EF29" s="192"/>
      <c r="EG29" s="192"/>
      <c r="EH29" s="192"/>
      <c r="EI29" s="192"/>
      <c r="EJ29" s="192"/>
      <c r="EK29" s="192"/>
      <c r="EL29" s="192"/>
      <c r="EM29" s="192"/>
      <c r="EN29" s="192"/>
      <c r="EO29" s="192"/>
      <c r="EP29" s="192"/>
      <c r="EQ29" s="192"/>
    </row>
    <row r="30" spans="1:147" ht="13.5" thickBot="1" x14ac:dyDescent="0.25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249"/>
      <c r="M30" s="249"/>
      <c r="N30" s="249"/>
      <c r="O30" s="249"/>
      <c r="P30" s="249"/>
      <c r="Q30" s="249"/>
      <c r="R30" s="192"/>
      <c r="S30" s="265"/>
      <c r="T30" s="89" t="s">
        <v>24</v>
      </c>
      <c r="U30" s="326"/>
      <c r="V30" s="322"/>
      <c r="W30" s="322"/>
      <c r="X30" s="322"/>
      <c r="Y30" s="322"/>
      <c r="Z30" s="322"/>
      <c r="AA30" s="322"/>
      <c r="AB30" s="322"/>
      <c r="AC30" s="322"/>
      <c r="AD30" s="322"/>
      <c r="AE30" s="322"/>
      <c r="AF30" s="322"/>
      <c r="AG30" s="322"/>
      <c r="AH30" s="322">
        <v>1</v>
      </c>
      <c r="AI30" s="327"/>
      <c r="AJ30" s="192">
        <f t="shared" si="2"/>
        <v>1</v>
      </c>
      <c r="AK30" s="357" t="s">
        <v>246</v>
      </c>
      <c r="AL30" s="365">
        <f ca="1">MATCH(AK30,OFFSET(grph_aggregate_matrix,0,1,1,50),0)</f>
        <v>16</v>
      </c>
      <c r="AM30" s="195" t="str">
        <f>AK30</f>
        <v>Check</v>
      </c>
      <c r="AN30" s="364">
        <f t="shared" ref="AN30:BS30" ca="1" si="24">SUMPRODUCT(OFFSET(grph_CorpData1,1,AN$4,_num_assets,1),OFFSET(grph_aggregate_matrix,1,$AL30,_num_assets,1))</f>
        <v>1.0000000057588041</v>
      </c>
      <c r="AO30" s="215">
        <f t="shared" ca="1" si="24"/>
        <v>1.0000000057588039</v>
      </c>
      <c r="AP30" s="215">
        <f t="shared" ca="1" si="24"/>
        <v>1.0000000096807087</v>
      </c>
      <c r="AQ30" s="215">
        <f t="shared" ca="1" si="24"/>
        <v>1.0000000122535637</v>
      </c>
      <c r="AR30" s="215">
        <f t="shared" ca="1" si="24"/>
        <v>1.0000000114046168</v>
      </c>
      <c r="AS30" s="215">
        <f t="shared" ca="1" si="24"/>
        <v>1.0000000119589134</v>
      </c>
      <c r="AT30" s="215">
        <f t="shared" ca="1" si="24"/>
        <v>1.0000000056725378</v>
      </c>
      <c r="AU30" s="215">
        <f t="shared" ca="1" si="24"/>
        <v>1.0000000110282847</v>
      </c>
      <c r="AV30" s="215">
        <f t="shared" ca="1" si="24"/>
        <v>1.0000000119589132</v>
      </c>
      <c r="AW30" s="215">
        <f t="shared" ca="1" si="24"/>
        <v>1.0000000105122864</v>
      </c>
      <c r="AX30" s="215">
        <f t="shared" ca="1" si="24"/>
        <v>1.0000000117837189</v>
      </c>
      <c r="AY30" s="215">
        <f t="shared" ca="1" si="24"/>
        <v>1.0000000094450654</v>
      </c>
      <c r="AZ30" s="215">
        <f t="shared" ca="1" si="24"/>
        <v>1.000000009445065</v>
      </c>
      <c r="BA30" s="215">
        <f t="shared" ca="1" si="24"/>
        <v>1.000000009445065</v>
      </c>
      <c r="BB30" s="215">
        <f t="shared" ca="1" si="24"/>
        <v>1.0000000094450652</v>
      </c>
      <c r="BC30" s="215">
        <f t="shared" ca="1" si="24"/>
        <v>1.000000009378871</v>
      </c>
      <c r="BD30" s="215">
        <f t="shared" ca="1" si="24"/>
        <v>1.000000009378871</v>
      </c>
      <c r="BE30" s="215">
        <f t="shared" ca="1" si="24"/>
        <v>1.000000005672538</v>
      </c>
      <c r="BF30" s="215">
        <f t="shared" ca="1" si="24"/>
        <v>1.0000000094450647</v>
      </c>
      <c r="BG30" s="215">
        <f t="shared" ca="1" si="24"/>
        <v>1.0000000092826917</v>
      </c>
      <c r="BH30" s="215">
        <f t="shared" ca="1" si="24"/>
        <v>1.0000000093788399</v>
      </c>
      <c r="BI30" s="215">
        <f t="shared" ca="1" si="24"/>
        <v>1.0000000056711142</v>
      </c>
      <c r="BJ30" s="215">
        <f t="shared" ca="1" si="24"/>
        <v>1.0000000056711167</v>
      </c>
      <c r="BK30" s="215">
        <f t="shared" ca="1" si="24"/>
        <v>1.0000000056711171</v>
      </c>
      <c r="BL30" s="215">
        <f t="shared" ca="1" si="24"/>
        <v>1.0000000056711167</v>
      </c>
      <c r="BM30" s="215">
        <f t="shared" ca="1" si="24"/>
        <v>1.0000000056711169</v>
      </c>
      <c r="BN30" s="215">
        <f t="shared" ca="1" si="24"/>
        <v>1.0000000056711167</v>
      </c>
      <c r="BO30" s="215">
        <f t="shared" ca="1" si="24"/>
        <v>1.0000000056711167</v>
      </c>
      <c r="BP30" s="215">
        <f t="shared" ca="1" si="24"/>
        <v>1.0000000056711169</v>
      </c>
      <c r="BQ30" s="215">
        <f t="shared" ca="1" si="24"/>
        <v>1.0000000056711169</v>
      </c>
      <c r="BR30" s="215">
        <f t="shared" ca="1" si="24"/>
        <v>1.0000000056711167</v>
      </c>
      <c r="BS30" s="215">
        <f t="shared" ca="1" si="24"/>
        <v>1.0000000056711169</v>
      </c>
      <c r="BT30" s="215">
        <f t="shared" ref="BT30:CY30" ca="1" si="25">SUMPRODUCT(OFFSET(grph_CorpData1,1,BT$4,_num_assets,1),OFFSET(grph_aggregate_matrix,1,$AL30,_num_assets,1))</f>
        <v>1.0000000056711169</v>
      </c>
      <c r="BU30" s="215">
        <f t="shared" ca="1" si="25"/>
        <v>1.0000000056711167</v>
      </c>
      <c r="BV30" s="215">
        <f t="shared" ca="1" si="25"/>
        <v>1.0000000056711169</v>
      </c>
      <c r="BW30" s="215">
        <f t="shared" ca="1" si="25"/>
        <v>1.0000000056711171</v>
      </c>
      <c r="BX30" s="215">
        <f t="shared" ca="1" si="25"/>
        <v>1.0000000056711171</v>
      </c>
      <c r="BY30" s="215">
        <f t="shared" ca="1" si="25"/>
        <v>1.0000000056711169</v>
      </c>
      <c r="BZ30" s="215">
        <f t="shared" ca="1" si="25"/>
        <v>1.0000000056711169</v>
      </c>
      <c r="CA30" s="215">
        <f t="shared" ca="1" si="25"/>
        <v>1.0000000056711169</v>
      </c>
      <c r="CB30" s="215">
        <f t="shared" ca="1" si="25"/>
        <v>1.0000000056711167</v>
      </c>
      <c r="CC30" s="215">
        <f t="shared" ca="1" si="25"/>
        <v>0.99999999988894483</v>
      </c>
      <c r="CD30" s="215">
        <f t="shared" ca="1" si="25"/>
        <v>0.99999999988894506</v>
      </c>
      <c r="CE30" s="215">
        <f t="shared" ca="1" si="25"/>
        <v>0.99999999988894506</v>
      </c>
      <c r="CF30" s="215">
        <f t="shared" ca="1" si="25"/>
        <v>0.99999999988894506</v>
      </c>
      <c r="CG30" s="215">
        <f t="shared" ca="1" si="25"/>
        <v>0.99999999988894495</v>
      </c>
      <c r="CH30" s="215">
        <f t="shared" ca="1" si="25"/>
        <v>0.99999999988894472</v>
      </c>
      <c r="CI30" s="215">
        <f t="shared" ca="1" si="25"/>
        <v>0.9999999998889445</v>
      </c>
      <c r="CJ30" s="215">
        <f t="shared" ca="1" si="25"/>
        <v>0.99999999972807563</v>
      </c>
      <c r="CK30" s="215">
        <f t="shared" ca="1" si="25"/>
        <v>0.9999999997280753</v>
      </c>
      <c r="CL30" s="215">
        <f t="shared" ca="1" si="25"/>
        <v>0.99999999972807563</v>
      </c>
      <c r="CM30" s="215">
        <f t="shared" ca="1" si="25"/>
        <v>0.9999999997280753</v>
      </c>
      <c r="CN30" s="215">
        <f t="shared" ca="1" si="25"/>
        <v>0.99999999972807518</v>
      </c>
      <c r="CO30" s="215">
        <f t="shared" ca="1" si="25"/>
        <v>0.9999999997280753</v>
      </c>
      <c r="CP30" s="215">
        <f t="shared" ca="1" si="25"/>
        <v>0.99999999972807441</v>
      </c>
      <c r="CQ30" s="215">
        <f t="shared" ca="1" si="25"/>
        <v>0.99999999972807507</v>
      </c>
      <c r="CR30" s="215">
        <f t="shared" ca="1" si="25"/>
        <v>1.0000000055102449</v>
      </c>
      <c r="CS30" s="215">
        <f t="shared" ca="1" si="25"/>
        <v>0.99999999972807541</v>
      </c>
      <c r="CT30" s="215">
        <f t="shared" ca="1" si="25"/>
        <v>1.0000000055102447</v>
      </c>
      <c r="CU30" s="215">
        <f t="shared" ca="1" si="25"/>
        <v>1.0000000055102447</v>
      </c>
      <c r="CV30" s="215">
        <f t="shared" ca="1" si="25"/>
        <v>1.0000000055102449</v>
      </c>
      <c r="CW30" s="215">
        <f t="shared" ca="1" si="25"/>
        <v>1.0000000055102451</v>
      </c>
      <c r="CX30" s="215">
        <f t="shared" ca="1" si="25"/>
        <v>1.0000000055102445</v>
      </c>
      <c r="CY30" s="215">
        <f t="shared" ca="1" si="25"/>
        <v>0.99999999972807574</v>
      </c>
      <c r="CZ30" s="215">
        <f t="shared" ref="CZ30:EI30" ca="1" si="26">SUMPRODUCT(OFFSET(grph_CorpData1,1,CZ$4,_num_assets,1),OFFSET(grph_aggregate_matrix,1,$AL30,_num_assets,1))</f>
        <v>1.0000000055102447</v>
      </c>
      <c r="DA30" s="215">
        <f t="shared" ca="1" si="26"/>
        <v>1.0000000055102447</v>
      </c>
      <c r="DB30" s="215">
        <f t="shared" ca="1" si="26"/>
        <v>1.0000000055102451</v>
      </c>
      <c r="DC30" s="215">
        <f t="shared" ca="1" si="26"/>
        <v>1.0000000055102449</v>
      </c>
      <c r="DD30" s="215">
        <f t="shared" ca="1" si="26"/>
        <v>1.0000000055102449</v>
      </c>
      <c r="DE30" s="215">
        <f t="shared" ca="1" si="26"/>
        <v>1.0000000055102447</v>
      </c>
      <c r="DF30" s="215">
        <f t="shared" ca="1" si="26"/>
        <v>1.0000000055102449</v>
      </c>
      <c r="DG30" s="215">
        <f t="shared" ca="1" si="26"/>
        <v>1.0000000055102447</v>
      </c>
      <c r="DH30" s="215">
        <f t="shared" ca="1" si="26"/>
        <v>1.0000000055102447</v>
      </c>
      <c r="DI30" s="215">
        <f t="shared" ca="1" si="26"/>
        <v>1.0000000055102449</v>
      </c>
      <c r="DJ30" s="215">
        <f t="shared" ca="1" si="26"/>
        <v>0.99999999972807541</v>
      </c>
      <c r="DK30" s="215">
        <f t="shared" ca="1" si="26"/>
        <v>0.9999999997280753</v>
      </c>
      <c r="DL30" s="215">
        <f t="shared" ca="1" si="26"/>
        <v>1.0000000055102447</v>
      </c>
      <c r="DM30" s="215">
        <f t="shared" ca="1" si="26"/>
        <v>0.99999999972807518</v>
      </c>
      <c r="DN30" s="215">
        <f t="shared" ca="1" si="26"/>
        <v>0.99999999972807563</v>
      </c>
      <c r="DO30" s="215">
        <f t="shared" ca="1" si="26"/>
        <v>0.99999999972807574</v>
      </c>
      <c r="DP30" s="215">
        <f t="shared" ca="1" si="26"/>
        <v>1.0000000055102445</v>
      </c>
      <c r="DQ30" s="215">
        <f t="shared" ca="1" si="26"/>
        <v>0.99999999972807563</v>
      </c>
      <c r="DR30" s="215">
        <f t="shared" ca="1" si="26"/>
        <v>0.99999999972807518</v>
      </c>
      <c r="DS30" s="215">
        <f t="shared" ca="1" si="26"/>
        <v>0.99999999972807552</v>
      </c>
      <c r="DT30" s="215">
        <f t="shared" ca="1" si="26"/>
        <v>1.000000005510244</v>
      </c>
      <c r="DU30" s="215">
        <f t="shared" ca="1" si="26"/>
        <v>0.99999999972807552</v>
      </c>
      <c r="DV30" s="215">
        <f t="shared" ca="1" si="26"/>
        <v>0.99999999972807574</v>
      </c>
      <c r="DW30" s="215">
        <f t="shared" ca="1" si="26"/>
        <v>0.99999999972807518</v>
      </c>
      <c r="DX30" s="215">
        <f t="shared" ca="1" si="26"/>
        <v>0.99999999972807552</v>
      </c>
      <c r="DY30" s="215">
        <f t="shared" ca="1" si="26"/>
        <v>0.9999999997280753</v>
      </c>
      <c r="DZ30" s="215">
        <f t="shared" ca="1" si="26"/>
        <v>0.99999999972807463</v>
      </c>
      <c r="EA30" s="215">
        <f t="shared" ca="1" si="26"/>
        <v>0.9999999997280753</v>
      </c>
      <c r="EB30" s="215">
        <f t="shared" ca="1" si="26"/>
        <v>0.99999999972807507</v>
      </c>
      <c r="EC30" s="215">
        <f t="shared" ca="1" si="26"/>
        <v>0.99999999972807685</v>
      </c>
      <c r="ED30" s="215">
        <f t="shared" ca="1" si="26"/>
        <v>0.99999999972807552</v>
      </c>
      <c r="EE30" s="215">
        <f t="shared" ca="1" si="26"/>
        <v>0.99999999972807518</v>
      </c>
      <c r="EF30" s="215">
        <f t="shared" ca="1" si="26"/>
        <v>0.99999999972807552</v>
      </c>
      <c r="EG30" s="215">
        <f t="shared" ca="1" si="26"/>
        <v>0.99999999972807518</v>
      </c>
      <c r="EH30" s="215">
        <f t="shared" ca="1" si="26"/>
        <v>0.99999999989848709</v>
      </c>
      <c r="EI30" s="215">
        <f t="shared" ca="1" si="26"/>
        <v>0.99999999989848709</v>
      </c>
      <c r="EJ30" s="215"/>
      <c r="EK30" s="195"/>
      <c r="EL30" s="192"/>
      <c r="EM30" s="192"/>
      <c r="EN30" s="192"/>
      <c r="EO30" s="192"/>
      <c r="EP30" s="192"/>
      <c r="EQ30" s="192"/>
    </row>
    <row r="31" spans="1:147" x14ac:dyDescent="0.2">
      <c r="A31" s="192"/>
      <c r="B31" s="192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265"/>
      <c r="T31" s="91" t="s">
        <v>25</v>
      </c>
      <c r="U31" s="328"/>
      <c r="V31" s="329"/>
      <c r="W31" s="329"/>
      <c r="X31" s="329"/>
      <c r="Y31" s="329"/>
      <c r="Z31" s="329"/>
      <c r="AA31" s="329"/>
      <c r="AB31" s="329"/>
      <c r="AC31" s="329"/>
      <c r="AD31" s="329"/>
      <c r="AE31" s="329"/>
      <c r="AF31" s="329"/>
      <c r="AG31" s="329"/>
      <c r="AH31" s="329"/>
      <c r="AI31" s="330">
        <v>1</v>
      </c>
      <c r="AJ31" s="192">
        <f t="shared" si="2"/>
        <v>1</v>
      </c>
      <c r="AK31" s="356"/>
      <c r="AL31" s="190"/>
      <c r="AM31" s="213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4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4"/>
      <c r="EC31" s="214"/>
      <c r="ED31" s="214"/>
      <c r="EE31" s="214"/>
      <c r="EF31" s="214"/>
      <c r="EG31" s="214"/>
      <c r="EH31" s="214"/>
      <c r="EI31" s="214"/>
      <c r="EJ31" s="190"/>
      <c r="EK31" s="192"/>
      <c r="EL31" s="192"/>
      <c r="EM31" s="192"/>
      <c r="EN31" s="192"/>
      <c r="EO31" s="192"/>
      <c r="EP31" s="192"/>
    </row>
    <row r="32" spans="1:147" x14ac:dyDescent="0.2">
      <c r="A32" s="192"/>
      <c r="B32" s="192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266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  <c r="AG32" s="265"/>
      <c r="AH32" s="265"/>
      <c r="AI32" s="192"/>
      <c r="AK32" s="358"/>
      <c r="AL32" s="191"/>
      <c r="AM32" s="190"/>
      <c r="AN32" s="190"/>
      <c r="AO32" s="190"/>
      <c r="AP32" s="190"/>
      <c r="AQ32" s="190"/>
      <c r="AR32" s="190"/>
      <c r="AS32" s="190"/>
      <c r="AT32" s="190"/>
      <c r="AU32" s="190"/>
      <c r="AV32" s="190"/>
      <c r="AW32" s="190"/>
      <c r="AX32" s="190"/>
      <c r="AY32" s="190"/>
      <c r="AZ32" s="190"/>
      <c r="BA32" s="190"/>
      <c r="BB32" s="190"/>
      <c r="BC32" s="190"/>
      <c r="BD32" s="190"/>
      <c r="BE32" s="190"/>
      <c r="BF32" s="190"/>
      <c r="BG32" s="190"/>
      <c r="BH32" s="190"/>
      <c r="BI32" s="190"/>
      <c r="BJ32" s="190"/>
      <c r="BK32" s="190"/>
      <c r="BL32" s="190"/>
      <c r="BM32" s="190"/>
      <c r="BN32" s="190"/>
      <c r="BO32" s="190"/>
      <c r="BP32" s="190"/>
      <c r="BQ32" s="190"/>
      <c r="BR32" s="190"/>
      <c r="BS32" s="190"/>
      <c r="BT32" s="190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190"/>
      <c r="CO32" s="190"/>
      <c r="CP32" s="190"/>
      <c r="CQ32" s="190"/>
      <c r="CR32" s="190"/>
      <c r="CS32" s="190"/>
      <c r="CT32" s="190"/>
      <c r="CU32" s="190"/>
      <c r="CV32" s="190"/>
      <c r="CW32" s="190"/>
      <c r="CX32" s="190"/>
      <c r="CY32" s="190"/>
      <c r="CZ32" s="190"/>
      <c r="DA32" s="190"/>
      <c r="DB32" s="190"/>
      <c r="DC32" s="190"/>
      <c r="DD32" s="190"/>
      <c r="DE32" s="190"/>
      <c r="DF32" s="190"/>
      <c r="DG32" s="190"/>
      <c r="DH32" s="190"/>
      <c r="DI32" s="190"/>
      <c r="DJ32" s="190"/>
      <c r="DK32" s="190"/>
      <c r="DL32" s="190"/>
      <c r="DM32" s="190"/>
      <c r="DN32" s="190"/>
      <c r="DO32" s="190"/>
      <c r="DP32" s="190"/>
      <c r="DQ32" s="190"/>
      <c r="DR32" s="190"/>
      <c r="DS32" s="190"/>
      <c r="DT32" s="190"/>
      <c r="DU32" s="190"/>
      <c r="DV32" s="190"/>
      <c r="DW32" s="190"/>
      <c r="DX32" s="190"/>
      <c r="DY32" s="190"/>
      <c r="DZ32" s="190"/>
      <c r="EA32" s="190"/>
      <c r="EB32" s="190"/>
      <c r="EC32" s="190"/>
      <c r="ED32" s="190"/>
      <c r="EE32" s="190"/>
      <c r="EF32" s="190"/>
      <c r="EG32" s="190"/>
      <c r="EH32" s="190"/>
      <c r="EI32" s="190"/>
      <c r="EJ32" s="190"/>
      <c r="EK32" s="192"/>
      <c r="EL32" s="192"/>
      <c r="EM32" s="192"/>
      <c r="EN32" s="192"/>
      <c r="EO32" s="192"/>
      <c r="EP32" s="192"/>
    </row>
    <row r="33" spans="1:146" x14ac:dyDescent="0.2">
      <c r="A33" s="192"/>
      <c r="B33" s="192"/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266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  <c r="AG33" s="265"/>
      <c r="AH33" s="265"/>
      <c r="AI33" s="192"/>
      <c r="AJ33" s="191"/>
      <c r="AK33" s="354" t="str">
        <f>grph_CorpData2</f>
        <v>MLF_INV</v>
      </c>
      <c r="AL33" s="190"/>
      <c r="AM33" s="190"/>
      <c r="AN33" s="191">
        <v>1</v>
      </c>
      <c r="AO33" s="192">
        <v>2</v>
      </c>
      <c r="AP33" s="192">
        <v>3</v>
      </c>
      <c r="AQ33" s="192">
        <v>4</v>
      </c>
      <c r="AR33" s="192">
        <v>5</v>
      </c>
      <c r="AS33" s="192">
        <v>6</v>
      </c>
      <c r="AT33" s="192">
        <v>7</v>
      </c>
      <c r="AU33" s="192">
        <v>8</v>
      </c>
      <c r="AV33" s="192">
        <v>9</v>
      </c>
      <c r="AW33" s="192">
        <v>10</v>
      </c>
      <c r="AX33" s="192">
        <v>11</v>
      </c>
      <c r="AY33" s="192">
        <v>12</v>
      </c>
      <c r="AZ33" s="192">
        <v>13</v>
      </c>
      <c r="BA33" s="192">
        <v>14</v>
      </c>
      <c r="BB33" s="192">
        <v>15</v>
      </c>
      <c r="BC33" s="192">
        <v>16</v>
      </c>
      <c r="BD33" s="192">
        <v>17</v>
      </c>
      <c r="BE33" s="192">
        <v>18</v>
      </c>
      <c r="BF33" s="192">
        <v>19</v>
      </c>
      <c r="BG33" s="192">
        <v>20</v>
      </c>
      <c r="BH33" s="192">
        <v>21</v>
      </c>
      <c r="BI33" s="192">
        <v>22</v>
      </c>
      <c r="BJ33" s="192">
        <v>23</v>
      </c>
      <c r="BK33" s="192">
        <v>24</v>
      </c>
      <c r="BL33" s="192">
        <v>25</v>
      </c>
      <c r="BM33" s="192">
        <v>26</v>
      </c>
      <c r="BN33" s="192">
        <v>27</v>
      </c>
      <c r="BO33" s="192">
        <v>28</v>
      </c>
      <c r="BP33" s="192">
        <v>29</v>
      </c>
      <c r="BQ33" s="192">
        <v>30</v>
      </c>
      <c r="BR33" s="192">
        <v>31</v>
      </c>
      <c r="BS33" s="192">
        <v>32</v>
      </c>
      <c r="BT33" s="192">
        <v>33</v>
      </c>
      <c r="BU33" s="192">
        <v>34</v>
      </c>
      <c r="BV33" s="192">
        <v>35</v>
      </c>
      <c r="BW33" s="192">
        <v>36</v>
      </c>
      <c r="BX33" s="192">
        <v>37</v>
      </c>
      <c r="BY33" s="192">
        <v>38</v>
      </c>
      <c r="BZ33" s="192">
        <v>39</v>
      </c>
      <c r="CA33" s="192">
        <v>40</v>
      </c>
      <c r="CB33" s="192">
        <v>41</v>
      </c>
      <c r="CC33" s="192">
        <v>42</v>
      </c>
      <c r="CD33" s="192">
        <v>43</v>
      </c>
      <c r="CE33" s="192">
        <v>44</v>
      </c>
      <c r="CF33" s="192">
        <v>45</v>
      </c>
      <c r="CG33" s="192">
        <v>46</v>
      </c>
      <c r="CH33" s="192">
        <v>47</v>
      </c>
      <c r="CI33" s="192">
        <v>48</v>
      </c>
      <c r="CJ33" s="192">
        <v>49</v>
      </c>
      <c r="CK33" s="192">
        <v>50</v>
      </c>
      <c r="CL33" s="192">
        <v>51</v>
      </c>
      <c r="CM33" s="192">
        <v>52</v>
      </c>
      <c r="CN33" s="192">
        <v>53</v>
      </c>
      <c r="CO33" s="192">
        <v>54</v>
      </c>
      <c r="CP33" s="192">
        <v>55</v>
      </c>
      <c r="CQ33" s="192">
        <v>56</v>
      </c>
      <c r="CR33" s="192">
        <v>57</v>
      </c>
      <c r="CS33" s="192">
        <v>58</v>
      </c>
      <c r="CT33" s="192">
        <v>59</v>
      </c>
      <c r="CU33" s="192">
        <v>60</v>
      </c>
      <c r="CV33" s="192">
        <v>61</v>
      </c>
      <c r="CW33" s="192">
        <v>62</v>
      </c>
      <c r="CX33" s="192">
        <v>63</v>
      </c>
      <c r="CY33" s="192">
        <v>64</v>
      </c>
      <c r="CZ33" s="192">
        <v>65</v>
      </c>
      <c r="DA33" s="192">
        <v>66</v>
      </c>
      <c r="DB33" s="192">
        <v>67</v>
      </c>
      <c r="DC33" s="192">
        <v>68</v>
      </c>
      <c r="DD33" s="192">
        <v>69</v>
      </c>
      <c r="DE33" s="192">
        <v>70</v>
      </c>
      <c r="DF33" s="192">
        <v>71</v>
      </c>
      <c r="DG33" s="192">
        <v>72</v>
      </c>
      <c r="DH33" s="192">
        <v>73</v>
      </c>
      <c r="DI33" s="192">
        <v>74</v>
      </c>
      <c r="DJ33" s="192">
        <v>75</v>
      </c>
      <c r="DK33" s="192">
        <v>76</v>
      </c>
      <c r="DL33" s="192">
        <v>77</v>
      </c>
      <c r="DM33" s="192">
        <v>78</v>
      </c>
      <c r="DN33" s="192">
        <v>79</v>
      </c>
      <c r="DO33" s="192">
        <v>80</v>
      </c>
      <c r="DP33" s="192">
        <v>81</v>
      </c>
      <c r="DQ33" s="192">
        <v>82</v>
      </c>
      <c r="DR33" s="192">
        <v>83</v>
      </c>
      <c r="DS33" s="192">
        <v>84</v>
      </c>
      <c r="DT33" s="192">
        <v>85</v>
      </c>
      <c r="DU33" s="192">
        <v>86</v>
      </c>
      <c r="DV33" s="192">
        <v>87</v>
      </c>
      <c r="DW33" s="192">
        <v>88</v>
      </c>
      <c r="DX33" s="192">
        <v>89</v>
      </c>
      <c r="DY33" s="192">
        <v>90</v>
      </c>
      <c r="DZ33" s="192">
        <v>91</v>
      </c>
      <c r="EA33" s="192">
        <v>92</v>
      </c>
      <c r="EB33" s="192">
        <v>93</v>
      </c>
      <c r="EC33" s="192">
        <v>94</v>
      </c>
      <c r="ED33" s="192">
        <v>95</v>
      </c>
      <c r="EE33" s="192">
        <v>96</v>
      </c>
      <c r="EF33" s="192">
        <v>97</v>
      </c>
      <c r="EG33" s="192">
        <v>98</v>
      </c>
      <c r="EH33" s="192">
        <v>99</v>
      </c>
      <c r="EI33" s="192">
        <v>100</v>
      </c>
      <c r="EJ33" s="190"/>
      <c r="EK33" s="192"/>
      <c r="EL33" s="192"/>
      <c r="EM33" s="192"/>
      <c r="EN33" s="192"/>
      <c r="EO33" s="192"/>
      <c r="EP33" s="192"/>
    </row>
    <row r="34" spans="1:146" x14ac:dyDescent="0.2">
      <c r="A34" s="192"/>
      <c r="B34" s="192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266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  <c r="AG34" s="265"/>
      <c r="AH34" s="265"/>
      <c r="AI34" s="192"/>
      <c r="AJ34" s="192"/>
      <c r="AK34" s="355"/>
      <c r="AL34" s="192"/>
      <c r="AM34" s="190"/>
      <c r="AN34" s="190"/>
      <c r="AO34" s="190"/>
      <c r="AP34" s="190"/>
      <c r="AQ34" s="190"/>
      <c r="AR34" s="190"/>
      <c r="AS34" s="190"/>
      <c r="AT34" s="190"/>
      <c r="AU34" s="190"/>
      <c r="AV34" s="190"/>
      <c r="AW34" s="190"/>
      <c r="AX34" s="190"/>
      <c r="AY34" s="190"/>
      <c r="AZ34" s="190"/>
      <c r="BA34" s="190"/>
      <c r="BB34" s="190"/>
      <c r="BC34" s="190"/>
      <c r="BD34" s="190"/>
      <c r="BE34" s="190"/>
      <c r="BF34" s="190"/>
      <c r="BG34" s="190"/>
      <c r="BH34" s="190"/>
      <c r="BI34" s="190"/>
      <c r="BJ34" s="190"/>
      <c r="BK34" s="190"/>
      <c r="BL34" s="190"/>
      <c r="BM34" s="190"/>
      <c r="BN34" s="190"/>
      <c r="BO34" s="190"/>
      <c r="BP34" s="190"/>
      <c r="BQ34" s="190"/>
      <c r="BR34" s="190"/>
      <c r="BS34" s="190"/>
      <c r="BT34" s="190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190"/>
      <c r="CO34" s="190"/>
      <c r="CP34" s="190"/>
      <c r="CQ34" s="190"/>
      <c r="CR34" s="190"/>
      <c r="CS34" s="190"/>
      <c r="CT34" s="190"/>
      <c r="CU34" s="190"/>
      <c r="CV34" s="190"/>
      <c r="CW34" s="190"/>
      <c r="CX34" s="190"/>
      <c r="CY34" s="190"/>
      <c r="CZ34" s="190"/>
      <c r="DA34" s="190"/>
      <c r="DB34" s="190"/>
      <c r="DC34" s="190"/>
      <c r="DD34" s="190"/>
      <c r="DE34" s="190"/>
      <c r="DF34" s="190"/>
      <c r="DG34" s="190"/>
      <c r="DH34" s="190"/>
      <c r="DI34" s="190"/>
      <c r="DJ34" s="190"/>
      <c r="DK34" s="190"/>
      <c r="DL34" s="190"/>
      <c r="DM34" s="190"/>
      <c r="DN34" s="190"/>
      <c r="DO34" s="190"/>
      <c r="DP34" s="190"/>
      <c r="DQ34" s="190"/>
      <c r="DR34" s="190"/>
      <c r="DS34" s="190"/>
      <c r="DT34" s="190"/>
      <c r="DU34" s="190"/>
      <c r="DV34" s="190"/>
      <c r="DW34" s="190"/>
      <c r="DX34" s="190"/>
      <c r="DY34" s="190"/>
      <c r="DZ34" s="190"/>
      <c r="EA34" s="190"/>
      <c r="EB34" s="190"/>
      <c r="EC34" s="190"/>
      <c r="ED34" s="190"/>
      <c r="EE34" s="190"/>
      <c r="EF34" s="190"/>
      <c r="EG34" s="190"/>
      <c r="EH34" s="190"/>
      <c r="EI34" s="190"/>
      <c r="EJ34" s="190"/>
      <c r="EK34" s="192"/>
      <c r="EL34" s="192"/>
      <c r="EM34" s="192"/>
      <c r="EN34" s="192"/>
      <c r="EO34" s="192"/>
      <c r="EP34" s="192"/>
    </row>
    <row r="35" spans="1:146" x14ac:dyDescent="0.2">
      <c r="A35" s="192"/>
      <c r="B35" s="192"/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266"/>
      <c r="T35" s="265"/>
      <c r="U35" s="265"/>
      <c r="V35" s="265"/>
      <c r="W35" s="265"/>
      <c r="X35" s="265"/>
      <c r="Y35" s="265"/>
      <c r="Z35" s="265"/>
      <c r="AA35" s="265"/>
      <c r="AB35" s="265"/>
      <c r="AC35" s="265"/>
      <c r="AD35" s="265"/>
      <c r="AE35" s="265"/>
      <c r="AF35" s="265"/>
      <c r="AG35" s="265"/>
      <c r="AH35" s="265"/>
      <c r="AI35" s="192"/>
      <c r="AJ35" s="190"/>
      <c r="AK35" s="356" t="s">
        <v>185</v>
      </c>
      <c r="AL35" s="192"/>
      <c r="AM35" s="205" t="s">
        <v>147</v>
      </c>
      <c r="AN35" s="206">
        <f>AN119</f>
        <v>4.4059924070272712E-2</v>
      </c>
      <c r="AO35" s="207">
        <f t="shared" ref="AO35:CZ35" si="27">AO119</f>
        <v>4.4107107294600413E-2</v>
      </c>
      <c r="AP35" s="207">
        <f t="shared" si="27"/>
        <v>4.4155522046627808E-2</v>
      </c>
      <c r="AQ35" s="207">
        <f t="shared" si="27"/>
        <v>4.4213734387415465E-2</v>
      </c>
      <c r="AR35" s="207">
        <f t="shared" si="27"/>
        <v>4.4273368188437578E-2</v>
      </c>
      <c r="AS35" s="207">
        <f t="shared" si="27"/>
        <v>4.4331410274506676E-2</v>
      </c>
      <c r="AT35" s="207">
        <f t="shared" si="27"/>
        <v>4.4390905276413956E-2</v>
      </c>
      <c r="AU35" s="207">
        <f t="shared" si="27"/>
        <v>4.445670522649562E-2</v>
      </c>
      <c r="AV35" s="207">
        <f t="shared" si="27"/>
        <v>4.4524787352485537E-2</v>
      </c>
      <c r="AW35" s="207">
        <f t="shared" si="27"/>
        <v>4.459206490685573E-2</v>
      </c>
      <c r="AX35" s="207">
        <f t="shared" si="27"/>
        <v>4.4661539348436398E-2</v>
      </c>
      <c r="AY35" s="207">
        <f t="shared" si="27"/>
        <v>4.4732658923192906E-2</v>
      </c>
      <c r="AZ35" s="207">
        <f t="shared" si="27"/>
        <v>4.4805383767162164E-2</v>
      </c>
      <c r="BA35" s="207">
        <f t="shared" si="27"/>
        <v>4.4877159483399293E-2</v>
      </c>
      <c r="BB35" s="207">
        <f t="shared" si="27"/>
        <v>4.4955797886803282E-2</v>
      </c>
      <c r="BC35" s="207">
        <f t="shared" si="27"/>
        <v>4.5035992299613165E-2</v>
      </c>
      <c r="BD35" s="207">
        <f t="shared" si="27"/>
        <v>4.5121712754527747E-2</v>
      </c>
      <c r="BE35" s="207">
        <f t="shared" si="27"/>
        <v>4.5207825257056543E-2</v>
      </c>
      <c r="BF35" s="207">
        <f t="shared" si="27"/>
        <v>4.5295785534769574E-2</v>
      </c>
      <c r="BG35" s="207">
        <f t="shared" si="27"/>
        <v>4.538523981129633E-2</v>
      </c>
      <c r="BH35" s="207">
        <f t="shared" si="27"/>
        <v>4.5504603682205824E-2</v>
      </c>
      <c r="BI35" s="207">
        <f t="shared" si="27"/>
        <v>4.5702290065559974E-2</v>
      </c>
      <c r="BJ35" s="207">
        <f t="shared" si="27"/>
        <v>4.5944902592063151E-2</v>
      </c>
      <c r="BK35" s="207">
        <f t="shared" si="27"/>
        <v>4.6216325767918773E-2</v>
      </c>
      <c r="BL35" s="207">
        <f t="shared" si="27"/>
        <v>4.6509512483711199E-2</v>
      </c>
      <c r="BM35" s="207">
        <f t="shared" si="27"/>
        <v>4.6806420225782137E-2</v>
      </c>
      <c r="BN35" s="207">
        <f t="shared" si="27"/>
        <v>4.7119246883828993E-2</v>
      </c>
      <c r="BO35" s="207">
        <f t="shared" si="27"/>
        <v>4.7443538212094627E-2</v>
      </c>
      <c r="BP35" s="207">
        <f t="shared" si="27"/>
        <v>4.7767326830766857E-2</v>
      </c>
      <c r="BQ35" s="207">
        <f t="shared" si="27"/>
        <v>4.8107116643463906E-2</v>
      </c>
      <c r="BR35" s="207">
        <f t="shared" si="27"/>
        <v>4.8456257516112988E-2</v>
      </c>
      <c r="BS35" s="207">
        <f t="shared" si="27"/>
        <v>4.8819767425493758E-2</v>
      </c>
      <c r="BT35" s="207">
        <f t="shared" si="27"/>
        <v>4.9201550036850547E-2</v>
      </c>
      <c r="BU35" s="207">
        <f t="shared" si="27"/>
        <v>4.9584749476628852E-2</v>
      </c>
      <c r="BV35" s="207">
        <f t="shared" si="27"/>
        <v>4.9982672425640189E-2</v>
      </c>
      <c r="BW35" s="207">
        <f t="shared" si="27"/>
        <v>5.0392355483864122E-2</v>
      </c>
      <c r="BX35" s="207">
        <f t="shared" si="27"/>
        <v>5.0806850632391286E-2</v>
      </c>
      <c r="BY35" s="207">
        <f t="shared" si="27"/>
        <v>5.122573163412384E-2</v>
      </c>
      <c r="BZ35" s="207">
        <f t="shared" si="27"/>
        <v>5.1641202045107075E-2</v>
      </c>
      <c r="CA35" s="207">
        <f t="shared" si="27"/>
        <v>5.2072324760543028E-2</v>
      </c>
      <c r="CB35" s="207">
        <f t="shared" si="27"/>
        <v>5.254843064291409E-2</v>
      </c>
      <c r="CC35" s="207">
        <f t="shared" si="27"/>
        <v>5.3042030105901743E-2</v>
      </c>
      <c r="CD35" s="207">
        <f t="shared" si="27"/>
        <v>5.3570265229792476E-2</v>
      </c>
      <c r="CE35" s="207">
        <f t="shared" si="27"/>
        <v>5.4151124050103479E-2</v>
      </c>
      <c r="CF35" s="207">
        <f t="shared" si="27"/>
        <v>5.4758799654648492E-2</v>
      </c>
      <c r="CG35" s="207">
        <f t="shared" si="27"/>
        <v>5.5408465655392848E-2</v>
      </c>
      <c r="CH35" s="207">
        <f t="shared" si="27"/>
        <v>5.6097543273296607E-2</v>
      </c>
      <c r="CI35" s="207">
        <f t="shared" si="27"/>
        <v>5.68275027495019E-2</v>
      </c>
      <c r="CJ35" s="207">
        <f t="shared" si="27"/>
        <v>5.7598420717797576E-2</v>
      </c>
      <c r="CK35" s="207">
        <f t="shared" si="27"/>
        <v>5.8395728734416563E-2</v>
      </c>
      <c r="CL35" s="207">
        <f t="shared" si="27"/>
        <v>5.9245231479980849E-2</v>
      </c>
      <c r="CM35" s="207">
        <f t="shared" si="27"/>
        <v>6.0147941897379806E-2</v>
      </c>
      <c r="CN35" s="207">
        <f t="shared" si="27"/>
        <v>6.1102747724775919E-2</v>
      </c>
      <c r="CO35" s="207">
        <f t="shared" si="27"/>
        <v>6.2106816215923885E-2</v>
      </c>
      <c r="CP35" s="207">
        <f t="shared" si="27"/>
        <v>6.3150900148740627E-2</v>
      </c>
      <c r="CQ35" s="207">
        <f t="shared" si="27"/>
        <v>6.4242987015853098E-2</v>
      </c>
      <c r="CR35" s="207">
        <f t="shared" si="27"/>
        <v>6.5376309123214779E-2</v>
      </c>
      <c r="CS35" s="207">
        <f t="shared" si="27"/>
        <v>6.6556348947474545E-2</v>
      </c>
      <c r="CT35" s="207">
        <f t="shared" si="27"/>
        <v>6.7774940875103162E-2</v>
      </c>
      <c r="CU35" s="207">
        <f t="shared" si="27"/>
        <v>6.9035244559670902E-2</v>
      </c>
      <c r="CV35" s="207">
        <f t="shared" si="27"/>
        <v>7.0317165224853623E-2</v>
      </c>
      <c r="CW35" s="207">
        <f t="shared" si="27"/>
        <v>7.163467924256206E-2</v>
      </c>
      <c r="CX35" s="207">
        <f t="shared" si="27"/>
        <v>7.2988092605603558E-2</v>
      </c>
      <c r="CY35" s="207">
        <f t="shared" si="27"/>
        <v>7.4375713911097124E-2</v>
      </c>
      <c r="CZ35" s="207">
        <f t="shared" si="27"/>
        <v>7.5781633441905388E-2</v>
      </c>
      <c r="DA35" s="207">
        <f t="shared" ref="DA35:EI35" si="28">DA119</f>
        <v>7.7217696025394814E-2</v>
      </c>
      <c r="DB35" s="207">
        <f t="shared" si="28"/>
        <v>7.8672549096830455E-2</v>
      </c>
      <c r="DC35" s="207">
        <f t="shared" si="28"/>
        <v>8.0151423610871048E-2</v>
      </c>
      <c r="DD35" s="207">
        <f t="shared" si="28"/>
        <v>8.1655029327129064E-2</v>
      </c>
      <c r="DE35" s="207">
        <f t="shared" si="28"/>
        <v>8.3172718472731971E-2</v>
      </c>
      <c r="DF35" s="207">
        <f t="shared" si="28"/>
        <v>8.471256878798239E-2</v>
      </c>
      <c r="DG35" s="207">
        <f t="shared" si="28"/>
        <v>8.6273920336738905E-2</v>
      </c>
      <c r="DH35" s="207">
        <f t="shared" si="28"/>
        <v>8.7854705638477651E-2</v>
      </c>
      <c r="DI35" s="207">
        <f t="shared" si="28"/>
        <v>8.9449877155839283E-2</v>
      </c>
      <c r="DJ35" s="207">
        <f t="shared" si="28"/>
        <v>9.1060310863250213E-2</v>
      </c>
      <c r="DK35" s="207">
        <f t="shared" si="28"/>
        <v>9.2686499937027197E-2</v>
      </c>
      <c r="DL35" s="207">
        <f t="shared" si="28"/>
        <v>9.4327673928871314E-2</v>
      </c>
      <c r="DM35" s="207">
        <f t="shared" si="28"/>
        <v>9.5983375718270994E-2</v>
      </c>
      <c r="DN35" s="207">
        <f t="shared" si="28"/>
        <v>9.7654042012971107E-2</v>
      </c>
      <c r="DO35" s="207">
        <f t="shared" si="28"/>
        <v>9.9335329654231058E-2</v>
      </c>
      <c r="DP35" s="207">
        <f t="shared" si="28"/>
        <v>0.10102598162443387</v>
      </c>
      <c r="DQ35" s="207">
        <f t="shared" si="28"/>
        <v>0.10273007526475945</v>
      </c>
      <c r="DR35" s="207">
        <f t="shared" si="28"/>
        <v>0.10445415933544043</v>
      </c>
      <c r="DS35" s="207">
        <f t="shared" si="28"/>
        <v>0.10635509495333026</v>
      </c>
      <c r="DT35" s="207">
        <f t="shared" si="28"/>
        <v>0.10830596904600072</v>
      </c>
      <c r="DU35" s="207">
        <f t="shared" si="28"/>
        <v>0.1103088060373397</v>
      </c>
      <c r="DV35" s="207">
        <f t="shared" si="28"/>
        <v>0.11251546329065847</v>
      </c>
      <c r="DW35" s="207">
        <f t="shared" si="28"/>
        <v>0.11485199584552885</v>
      </c>
      <c r="DX35" s="207">
        <f t="shared" si="28"/>
        <v>0.1173179998379319</v>
      </c>
      <c r="DY35" s="207">
        <f t="shared" si="28"/>
        <v>0.11995799863320243</v>
      </c>
      <c r="DZ35" s="207">
        <f t="shared" si="28"/>
        <v>0.1226558132483883</v>
      </c>
      <c r="EA35" s="207">
        <f t="shared" si="28"/>
        <v>0.12537877282731519</v>
      </c>
      <c r="EB35" s="207">
        <f t="shared" si="28"/>
        <v>0.12813483039604998</v>
      </c>
      <c r="EC35" s="207">
        <f t="shared" si="28"/>
        <v>0.13095254420936689</v>
      </c>
      <c r="ED35" s="207">
        <f t="shared" si="28"/>
        <v>0.13392603851874008</v>
      </c>
      <c r="EE35" s="207">
        <f t="shared" si="28"/>
        <v>0.13704517370515393</v>
      </c>
      <c r="EF35" s="207">
        <f t="shared" si="28"/>
        <v>0.14030023650216633</v>
      </c>
      <c r="EG35" s="207">
        <f t="shared" si="28"/>
        <v>0.14368198903616106</v>
      </c>
      <c r="EH35" s="207">
        <f t="shared" si="28"/>
        <v>0.1479602712632723</v>
      </c>
      <c r="EI35" s="208">
        <f t="shared" si="28"/>
        <v>0.1479602712632723</v>
      </c>
      <c r="EJ35" s="190"/>
      <c r="EK35" s="192"/>
      <c r="EL35" s="192"/>
      <c r="EM35" s="192"/>
      <c r="EN35" s="192"/>
      <c r="EO35" s="192"/>
      <c r="EP35" s="192"/>
    </row>
    <row r="36" spans="1:146" x14ac:dyDescent="0.2">
      <c r="A36" s="192"/>
      <c r="B36" s="192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266"/>
      <c r="T36" s="265"/>
      <c r="U36" s="265"/>
      <c r="V36" s="265"/>
      <c r="W36" s="265"/>
      <c r="X36" s="265"/>
      <c r="Y36" s="265"/>
      <c r="Z36" s="265"/>
      <c r="AA36" s="265"/>
      <c r="AB36" s="265"/>
      <c r="AC36" s="265"/>
      <c r="AD36" s="265"/>
      <c r="AE36" s="265"/>
      <c r="AF36" s="265"/>
      <c r="AG36" s="265"/>
      <c r="AH36" s="265"/>
      <c r="AI36" s="192"/>
      <c r="AJ36" s="190"/>
      <c r="AK36" s="356" t="s">
        <v>186</v>
      </c>
      <c r="AL36" s="192"/>
      <c r="AM36" s="209" t="s">
        <v>148</v>
      </c>
      <c r="AN36" s="210">
        <f t="shared" ref="AN36:CY36" si="29">AN120</f>
        <v>1.2859380180842938E-2</v>
      </c>
      <c r="AO36" s="211">
        <f t="shared" si="29"/>
        <v>1.3117760835201036E-2</v>
      </c>
      <c r="AP36" s="211">
        <f t="shared" si="29"/>
        <v>1.3387942423145952E-2</v>
      </c>
      <c r="AQ36" s="211">
        <f t="shared" si="29"/>
        <v>1.3649504944628198E-2</v>
      </c>
      <c r="AR36" s="211">
        <f t="shared" si="29"/>
        <v>1.3919486726837692E-2</v>
      </c>
      <c r="AS36" s="211">
        <f t="shared" si="29"/>
        <v>1.4183240866157926E-2</v>
      </c>
      <c r="AT36" s="211">
        <f t="shared" si="29"/>
        <v>1.4437127989470996E-2</v>
      </c>
      <c r="AU36" s="211">
        <f t="shared" si="29"/>
        <v>1.4694554397604403E-2</v>
      </c>
      <c r="AV36" s="211">
        <f t="shared" si="29"/>
        <v>1.4952562541048691E-2</v>
      </c>
      <c r="AW36" s="211">
        <f t="shared" si="29"/>
        <v>1.5209049532054719E-2</v>
      </c>
      <c r="AX36" s="211">
        <f t="shared" si="29"/>
        <v>1.5468112335729065E-2</v>
      </c>
      <c r="AY36" s="211">
        <f t="shared" si="29"/>
        <v>1.5723320859829869E-2</v>
      </c>
      <c r="AZ36" s="211">
        <f t="shared" si="29"/>
        <v>1.5982410303612204E-2</v>
      </c>
      <c r="BA36" s="211">
        <f t="shared" si="29"/>
        <v>1.6240007283601299E-2</v>
      </c>
      <c r="BB36" s="211">
        <f t="shared" si="29"/>
        <v>1.6494234149768482E-2</v>
      </c>
      <c r="BC36" s="211">
        <f t="shared" si="29"/>
        <v>1.6755734259694132E-2</v>
      </c>
      <c r="BD36" s="211">
        <f t="shared" si="29"/>
        <v>1.7019656224193946E-2</v>
      </c>
      <c r="BE36" s="211">
        <f t="shared" si="29"/>
        <v>1.7282267442903395E-2</v>
      </c>
      <c r="BF36" s="211">
        <f t="shared" si="29"/>
        <v>1.7545702555196715E-2</v>
      </c>
      <c r="BG36" s="211">
        <f t="shared" si="29"/>
        <v>1.7805980533814447E-2</v>
      </c>
      <c r="BH36" s="211">
        <f t="shared" si="29"/>
        <v>1.809570566086276E-2</v>
      </c>
      <c r="BI36" s="211">
        <f t="shared" si="29"/>
        <v>1.8442486347051434E-2</v>
      </c>
      <c r="BJ36" s="211">
        <f t="shared" si="29"/>
        <v>1.875671987401838E-2</v>
      </c>
      <c r="BK36" s="211">
        <f t="shared" si="29"/>
        <v>1.9039737196677165E-2</v>
      </c>
      <c r="BL36" s="211">
        <f t="shared" si="29"/>
        <v>1.9323682196195912E-2</v>
      </c>
      <c r="BM36" s="211">
        <f t="shared" si="29"/>
        <v>1.95990581680817E-2</v>
      </c>
      <c r="BN36" s="211">
        <f t="shared" si="29"/>
        <v>1.9876880977487962E-2</v>
      </c>
      <c r="BO36" s="211">
        <f t="shared" si="29"/>
        <v>2.0139629056664148E-2</v>
      </c>
      <c r="BP36" s="211">
        <f t="shared" si="29"/>
        <v>2.0412613863927415E-2</v>
      </c>
      <c r="BQ36" s="211">
        <f t="shared" si="29"/>
        <v>2.0695949460005286E-2</v>
      </c>
      <c r="BR36" s="211">
        <f t="shared" si="29"/>
        <v>2.0977891786637521E-2</v>
      </c>
      <c r="BS36" s="211">
        <f t="shared" si="29"/>
        <v>2.126178987762509E-2</v>
      </c>
      <c r="BT36" s="211">
        <f t="shared" si="29"/>
        <v>2.1548248859080642E-2</v>
      </c>
      <c r="BU36" s="211">
        <f t="shared" si="29"/>
        <v>2.1841780264964795E-2</v>
      </c>
      <c r="BV36" s="211">
        <f t="shared" si="29"/>
        <v>2.2106309403439103E-2</v>
      </c>
      <c r="BW36" s="211">
        <f t="shared" si="29"/>
        <v>2.2363583915269724E-2</v>
      </c>
      <c r="BX36" s="211">
        <f t="shared" si="29"/>
        <v>2.2639471040300434E-2</v>
      </c>
      <c r="BY36" s="211">
        <f t="shared" si="29"/>
        <v>2.2933745388358098E-2</v>
      </c>
      <c r="BZ36" s="211">
        <f t="shared" si="29"/>
        <v>2.3195858698199758E-2</v>
      </c>
      <c r="CA36" s="211">
        <f t="shared" si="29"/>
        <v>2.3502170130099937E-2</v>
      </c>
      <c r="CB36" s="211">
        <f t="shared" si="29"/>
        <v>2.3812515439647072E-2</v>
      </c>
      <c r="CC36" s="211">
        <f t="shared" si="29"/>
        <v>2.4117149761342164E-2</v>
      </c>
      <c r="CD36" s="211">
        <f t="shared" si="29"/>
        <v>2.4434638458448132E-2</v>
      </c>
      <c r="CE36" s="211">
        <f t="shared" si="29"/>
        <v>2.4763711651581168E-2</v>
      </c>
      <c r="CF36" s="211">
        <f t="shared" si="29"/>
        <v>2.5082946909919312E-2</v>
      </c>
      <c r="CG36" s="211">
        <f t="shared" si="29"/>
        <v>2.5423917521744267E-2</v>
      </c>
      <c r="CH36" s="211">
        <f t="shared" si="29"/>
        <v>2.5761675489020388E-2</v>
      </c>
      <c r="CI36" s="211">
        <f t="shared" si="29"/>
        <v>2.6102525341762977E-2</v>
      </c>
      <c r="CJ36" s="211">
        <f t="shared" si="29"/>
        <v>2.6444252133273036E-2</v>
      </c>
      <c r="CK36" s="211">
        <f t="shared" si="29"/>
        <v>2.6773056025885988E-2</v>
      </c>
      <c r="CL36" s="211">
        <f t="shared" si="29"/>
        <v>2.7122085612618547E-2</v>
      </c>
      <c r="CM36" s="211">
        <f t="shared" si="29"/>
        <v>2.7469755764897501E-2</v>
      </c>
      <c r="CN36" s="211">
        <f t="shared" si="29"/>
        <v>2.7817070442858912E-2</v>
      </c>
      <c r="CO36" s="211">
        <f t="shared" si="29"/>
        <v>2.8163711795348569E-2</v>
      </c>
      <c r="CP36" s="211">
        <f t="shared" si="29"/>
        <v>2.8502327969457612E-2</v>
      </c>
      <c r="CQ36" s="211">
        <f t="shared" si="29"/>
        <v>2.8843756739542103E-2</v>
      </c>
      <c r="CR36" s="211">
        <f t="shared" si="29"/>
        <v>2.9181782176085396E-2</v>
      </c>
      <c r="CS36" s="211">
        <f t="shared" si="29"/>
        <v>2.9530550766824811E-2</v>
      </c>
      <c r="CT36" s="211">
        <f t="shared" si="29"/>
        <v>2.9878704470469284E-2</v>
      </c>
      <c r="CU36" s="211">
        <f t="shared" si="29"/>
        <v>3.0232212339086548E-2</v>
      </c>
      <c r="CV36" s="211">
        <f t="shared" si="29"/>
        <v>3.0571176532984853E-2</v>
      </c>
      <c r="CW36" s="211">
        <f t="shared" si="29"/>
        <v>3.0913013916415811E-2</v>
      </c>
      <c r="CX36" s="211">
        <f t="shared" si="29"/>
        <v>3.1261262120577074E-2</v>
      </c>
      <c r="CY36" s="211">
        <f t="shared" si="29"/>
        <v>3.1614166990651379E-2</v>
      </c>
      <c r="CZ36" s="211">
        <f t="shared" ref="CZ36:EI36" si="30">CZ120</f>
        <v>3.1957561120050687E-2</v>
      </c>
      <c r="DA36" s="211">
        <f t="shared" si="30"/>
        <v>3.2304811745668752E-2</v>
      </c>
      <c r="DB36" s="211">
        <f t="shared" si="30"/>
        <v>3.2646540990036541E-2</v>
      </c>
      <c r="DC36" s="211">
        <f t="shared" si="30"/>
        <v>3.2988772128005078E-2</v>
      </c>
      <c r="DD36" s="211">
        <f t="shared" si="30"/>
        <v>3.3333785761720275E-2</v>
      </c>
      <c r="DE36" s="211">
        <f t="shared" si="30"/>
        <v>3.3670862074876615E-2</v>
      </c>
      <c r="DF36" s="211">
        <f t="shared" si="30"/>
        <v>3.4009635442485989E-2</v>
      </c>
      <c r="DG36" s="211">
        <f t="shared" si="30"/>
        <v>3.4352353656960821E-2</v>
      </c>
      <c r="DH36" s="211">
        <f t="shared" si="30"/>
        <v>3.4698159291505437E-2</v>
      </c>
      <c r="DI36" s="211">
        <f t="shared" si="30"/>
        <v>3.5039778082528117E-2</v>
      </c>
      <c r="DJ36" s="211">
        <f t="shared" si="30"/>
        <v>3.5379571103959756E-2</v>
      </c>
      <c r="DK36" s="211">
        <f t="shared" si="30"/>
        <v>3.5720135104250289E-2</v>
      </c>
      <c r="DL36" s="211">
        <f t="shared" si="30"/>
        <v>3.6062353853796567E-2</v>
      </c>
      <c r="DM36" s="211">
        <f t="shared" si="30"/>
        <v>3.6408102111872634E-2</v>
      </c>
      <c r="DN36" s="211">
        <f t="shared" si="30"/>
        <v>3.6759323623249032E-2</v>
      </c>
      <c r="DO36" s="211">
        <f t="shared" si="30"/>
        <v>3.7105862227428357E-2</v>
      </c>
      <c r="DP36" s="211">
        <f t="shared" si="30"/>
        <v>3.7447620377328336E-2</v>
      </c>
      <c r="DQ36" s="211">
        <f t="shared" si="30"/>
        <v>3.7794752655304034E-2</v>
      </c>
      <c r="DR36" s="211">
        <f t="shared" si="30"/>
        <v>3.8074614635254259E-2</v>
      </c>
      <c r="DS36" s="211">
        <f t="shared" si="30"/>
        <v>3.8360333234115113E-2</v>
      </c>
      <c r="DT36" s="211">
        <f t="shared" si="30"/>
        <v>3.8667193597917003E-2</v>
      </c>
      <c r="DU36" s="211">
        <f t="shared" si="30"/>
        <v>3.8934903043529867E-2</v>
      </c>
      <c r="DV36" s="211">
        <f t="shared" si="30"/>
        <v>3.9191880994540379E-2</v>
      </c>
      <c r="DW36" s="211">
        <f t="shared" si="30"/>
        <v>3.9503482611013011E-2</v>
      </c>
      <c r="DX36" s="211">
        <f t="shared" si="30"/>
        <v>3.973859795410048E-2</v>
      </c>
      <c r="DY36" s="211">
        <f t="shared" si="30"/>
        <v>4.0042126088962557E-2</v>
      </c>
      <c r="DZ36" s="211">
        <f t="shared" si="30"/>
        <v>4.0404685688930908E-2</v>
      </c>
      <c r="EA36" s="211">
        <f t="shared" si="30"/>
        <v>4.0743347339290498E-2</v>
      </c>
      <c r="EB36" s="211">
        <f t="shared" si="30"/>
        <v>4.1091039163700487E-2</v>
      </c>
      <c r="EC36" s="211">
        <f t="shared" si="30"/>
        <v>4.132615450678806E-2</v>
      </c>
      <c r="ED36" s="211">
        <f t="shared" si="30"/>
        <v>4.1561269849875418E-2</v>
      </c>
      <c r="EE36" s="211">
        <f t="shared" si="30"/>
        <v>4.1796385192962873E-2</v>
      </c>
      <c r="EF36" s="211">
        <f t="shared" si="30"/>
        <v>4.2031500536050329E-2</v>
      </c>
      <c r="EG36" s="211">
        <f t="shared" si="30"/>
        <v>4.2266615879137742E-2</v>
      </c>
      <c r="EH36" s="211">
        <f t="shared" si="30"/>
        <v>4.2648552314586946E-2</v>
      </c>
      <c r="EI36" s="212">
        <f t="shared" si="30"/>
        <v>4.2648552314586946E-2</v>
      </c>
      <c r="EJ36" s="190"/>
      <c r="EK36" s="192"/>
      <c r="EL36" s="192"/>
      <c r="EM36" s="192"/>
      <c r="EN36" s="192"/>
      <c r="EO36" s="192"/>
      <c r="EP36" s="192"/>
    </row>
    <row r="37" spans="1:146" x14ac:dyDescent="0.2">
      <c r="A37" s="192"/>
      <c r="B37" s="192"/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266"/>
      <c r="T37" s="265"/>
      <c r="U37" s="265"/>
      <c r="V37" s="265"/>
      <c r="W37" s="265"/>
      <c r="X37" s="265"/>
      <c r="Y37" s="265"/>
      <c r="Z37" s="265"/>
      <c r="AA37" s="265"/>
      <c r="AB37" s="265"/>
      <c r="AC37" s="265"/>
      <c r="AD37" s="265"/>
      <c r="AE37" s="265"/>
      <c r="AF37" s="265"/>
      <c r="AG37" s="265"/>
      <c r="AH37" s="265"/>
      <c r="AI37" s="192"/>
      <c r="AJ37" s="190"/>
      <c r="AK37" s="356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  <c r="EA37" s="192"/>
      <c r="EB37" s="192"/>
      <c r="EC37" s="192"/>
      <c r="ED37" s="192"/>
      <c r="EE37" s="192"/>
      <c r="EF37" s="192"/>
      <c r="EG37" s="192"/>
      <c r="EH37" s="192"/>
      <c r="EI37" s="192"/>
      <c r="EJ37" s="190"/>
      <c r="EK37" s="192"/>
      <c r="EL37" s="192"/>
      <c r="EM37" s="192"/>
      <c r="EN37" s="192"/>
      <c r="EO37" s="192"/>
      <c r="EP37" s="192"/>
    </row>
    <row r="38" spans="1:146" x14ac:dyDescent="0.2">
      <c r="A38" s="192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266"/>
      <c r="T38" s="265"/>
      <c r="U38" s="265"/>
      <c r="V38" s="265"/>
      <c r="W38" s="265"/>
      <c r="X38" s="265"/>
      <c r="Y38" s="265"/>
      <c r="Z38" s="265"/>
      <c r="AA38" s="265"/>
      <c r="AB38" s="265"/>
      <c r="AC38" s="265"/>
      <c r="AD38" s="265"/>
      <c r="AE38" s="265"/>
      <c r="AF38" s="265"/>
      <c r="AG38" s="265"/>
      <c r="AH38" s="265"/>
      <c r="AI38" s="192"/>
      <c r="AJ38" s="190"/>
      <c r="AK38" s="356"/>
      <c r="AL38" s="192"/>
      <c r="AM38" s="234"/>
      <c r="AN38" s="235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  <c r="BN38" s="236"/>
      <c r="BO38" s="236"/>
      <c r="BP38" s="236"/>
      <c r="BQ38" s="236"/>
      <c r="BR38" s="236"/>
      <c r="BS38" s="236"/>
      <c r="BT38" s="236"/>
      <c r="BU38" s="236"/>
      <c r="BV38" s="236"/>
      <c r="BW38" s="236"/>
      <c r="BX38" s="236"/>
      <c r="BY38" s="236"/>
      <c r="BZ38" s="236"/>
      <c r="CA38" s="236"/>
      <c r="CB38" s="236"/>
      <c r="CC38" s="236"/>
      <c r="CD38" s="236"/>
      <c r="CE38" s="236"/>
      <c r="CF38" s="236"/>
      <c r="CG38" s="236"/>
      <c r="CH38" s="236"/>
      <c r="CI38" s="236"/>
      <c r="CJ38" s="236"/>
      <c r="CK38" s="236"/>
      <c r="CL38" s="236"/>
      <c r="CM38" s="236"/>
      <c r="CN38" s="236"/>
      <c r="CO38" s="236"/>
      <c r="CP38" s="236"/>
      <c r="CQ38" s="236"/>
      <c r="CR38" s="236"/>
      <c r="CS38" s="236"/>
      <c r="CT38" s="236"/>
      <c r="CU38" s="236"/>
      <c r="CV38" s="236"/>
      <c r="CW38" s="236"/>
      <c r="CX38" s="236"/>
      <c r="CY38" s="236"/>
      <c r="CZ38" s="236"/>
      <c r="DA38" s="236"/>
      <c r="DB38" s="236"/>
      <c r="DC38" s="236"/>
      <c r="DD38" s="236"/>
      <c r="DE38" s="236"/>
      <c r="DF38" s="236"/>
      <c r="DG38" s="236"/>
      <c r="DH38" s="236"/>
      <c r="DI38" s="236"/>
      <c r="DJ38" s="236"/>
      <c r="DK38" s="236"/>
      <c r="DL38" s="236"/>
      <c r="DM38" s="236"/>
      <c r="DN38" s="236"/>
      <c r="DO38" s="236"/>
      <c r="DP38" s="236"/>
      <c r="DQ38" s="236"/>
      <c r="DR38" s="236"/>
      <c r="DS38" s="236"/>
      <c r="DT38" s="236"/>
      <c r="DU38" s="236"/>
      <c r="DV38" s="236"/>
      <c r="DW38" s="236"/>
      <c r="DX38" s="236"/>
      <c r="DY38" s="236"/>
      <c r="DZ38" s="236"/>
      <c r="EA38" s="236"/>
      <c r="EB38" s="236"/>
      <c r="EC38" s="236"/>
      <c r="ED38" s="236"/>
      <c r="EE38" s="236"/>
      <c r="EF38" s="236"/>
      <c r="EG38" s="236"/>
      <c r="EH38" s="236"/>
      <c r="EI38" s="237"/>
      <c r="EJ38" s="190"/>
      <c r="EK38" s="192"/>
      <c r="EL38" s="192"/>
      <c r="EM38" s="192"/>
      <c r="EN38" s="192"/>
      <c r="EO38" s="192"/>
      <c r="EP38" s="192"/>
    </row>
    <row r="39" spans="1:146" x14ac:dyDescent="0.2">
      <c r="A39" s="192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266"/>
      <c r="T39" s="265"/>
      <c r="U39" s="265"/>
      <c r="V39" s="265"/>
      <c r="W39" s="265"/>
      <c r="X39" s="265"/>
      <c r="Y39" s="265"/>
      <c r="Z39" s="265"/>
      <c r="AA39" s="265"/>
      <c r="AB39" s="265"/>
      <c r="AC39" s="265"/>
      <c r="AD39" s="265"/>
      <c r="AE39" s="265"/>
      <c r="AF39" s="265"/>
      <c r="AG39" s="265"/>
      <c r="AH39" s="265"/>
      <c r="AI39" s="192"/>
      <c r="AJ39" s="190"/>
      <c r="AK39" s="356"/>
      <c r="AL39" s="192"/>
      <c r="AM39" s="238"/>
      <c r="AN39" s="193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  <c r="DA39" s="194"/>
      <c r="DB39" s="194"/>
      <c r="DC39" s="194"/>
      <c r="DD39" s="194"/>
      <c r="DE39" s="194"/>
      <c r="DF39" s="194"/>
      <c r="DG39" s="194"/>
      <c r="DH39" s="194"/>
      <c r="DI39" s="194"/>
      <c r="DJ39" s="194"/>
      <c r="DK39" s="194"/>
      <c r="DL39" s="194"/>
      <c r="DM39" s="194"/>
      <c r="DN39" s="194"/>
      <c r="DO39" s="194"/>
      <c r="DP39" s="194"/>
      <c r="DQ39" s="194"/>
      <c r="DR39" s="194"/>
      <c r="DS39" s="194"/>
      <c r="DT39" s="194"/>
      <c r="DU39" s="194"/>
      <c r="DV39" s="194"/>
      <c r="DW39" s="194"/>
      <c r="DX39" s="194"/>
      <c r="DY39" s="194"/>
      <c r="DZ39" s="194"/>
      <c r="EA39" s="194"/>
      <c r="EB39" s="194"/>
      <c r="EC39" s="194"/>
      <c r="ED39" s="194"/>
      <c r="EE39" s="194"/>
      <c r="EF39" s="194"/>
      <c r="EG39" s="194"/>
      <c r="EH39" s="194"/>
      <c r="EI39" s="239"/>
      <c r="EJ39" s="190"/>
      <c r="EK39" s="192"/>
      <c r="EL39" s="192"/>
      <c r="EM39" s="192"/>
      <c r="EN39" s="192"/>
      <c r="EO39" s="192"/>
      <c r="EP39" s="192"/>
    </row>
    <row r="40" spans="1:146" x14ac:dyDescent="0.2">
      <c r="A40" s="192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266"/>
      <c r="T40" s="265"/>
      <c r="U40" s="265"/>
      <c r="V40" s="265"/>
      <c r="W40" s="265"/>
      <c r="X40" s="265"/>
      <c r="Y40" s="265"/>
      <c r="Z40" s="265"/>
      <c r="AA40" s="265"/>
      <c r="AB40" s="265"/>
      <c r="AC40" s="265"/>
      <c r="AD40" s="265"/>
      <c r="AE40" s="265"/>
      <c r="AF40" s="265"/>
      <c r="AG40" s="265"/>
      <c r="AH40" s="265"/>
      <c r="AI40" s="192"/>
      <c r="AJ40" s="190"/>
      <c r="AK40" s="356"/>
      <c r="AL40" s="192"/>
      <c r="AM40" s="240"/>
      <c r="AN40" s="241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42"/>
      <c r="BU40" s="242"/>
      <c r="BV40" s="242"/>
      <c r="BW40" s="242"/>
      <c r="BX40" s="242"/>
      <c r="BY40" s="242"/>
      <c r="BZ40" s="242"/>
      <c r="CA40" s="242"/>
      <c r="CB40" s="242"/>
      <c r="CC40" s="242"/>
      <c r="CD40" s="242"/>
      <c r="CE40" s="242"/>
      <c r="CF40" s="242"/>
      <c r="CG40" s="242"/>
      <c r="CH40" s="242"/>
      <c r="CI40" s="242"/>
      <c r="CJ40" s="242"/>
      <c r="CK40" s="242"/>
      <c r="CL40" s="242"/>
      <c r="CM40" s="242"/>
      <c r="CN40" s="242"/>
      <c r="CO40" s="242"/>
      <c r="CP40" s="242"/>
      <c r="CQ40" s="242"/>
      <c r="CR40" s="242"/>
      <c r="CS40" s="242"/>
      <c r="CT40" s="242"/>
      <c r="CU40" s="242"/>
      <c r="CV40" s="242"/>
      <c r="CW40" s="242"/>
      <c r="CX40" s="242"/>
      <c r="CY40" s="242"/>
      <c r="CZ40" s="242"/>
      <c r="DA40" s="242"/>
      <c r="DB40" s="242"/>
      <c r="DC40" s="242"/>
      <c r="DD40" s="242"/>
      <c r="DE40" s="242"/>
      <c r="DF40" s="242"/>
      <c r="DG40" s="242"/>
      <c r="DH40" s="242"/>
      <c r="DI40" s="242"/>
      <c r="DJ40" s="242"/>
      <c r="DK40" s="242"/>
      <c r="DL40" s="242"/>
      <c r="DM40" s="242"/>
      <c r="DN40" s="242"/>
      <c r="DO40" s="242"/>
      <c r="DP40" s="242"/>
      <c r="DQ40" s="242"/>
      <c r="DR40" s="242"/>
      <c r="DS40" s="242"/>
      <c r="DT40" s="242"/>
      <c r="DU40" s="242"/>
      <c r="DV40" s="242"/>
      <c r="DW40" s="242"/>
      <c r="DX40" s="242"/>
      <c r="DY40" s="242"/>
      <c r="DZ40" s="242"/>
      <c r="EA40" s="242"/>
      <c r="EB40" s="242"/>
      <c r="EC40" s="242"/>
      <c r="ED40" s="242"/>
      <c r="EE40" s="242"/>
      <c r="EF40" s="242"/>
      <c r="EG40" s="242"/>
      <c r="EH40" s="242"/>
      <c r="EI40" s="243"/>
      <c r="EJ40" s="190"/>
      <c r="EK40" s="192"/>
      <c r="EL40" s="192"/>
      <c r="EM40" s="192"/>
      <c r="EN40" s="192"/>
      <c r="EO40" s="192"/>
      <c r="EP40" s="192"/>
    </row>
    <row r="41" spans="1:146" x14ac:dyDescent="0.2">
      <c r="A41" s="192"/>
      <c r="B41" s="192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2"/>
      <c r="O41" s="192"/>
      <c r="P41" s="192"/>
      <c r="Q41" s="192"/>
      <c r="R41" s="192"/>
      <c r="S41" s="266"/>
      <c r="T41" s="265"/>
      <c r="U41" s="265"/>
      <c r="V41" s="265"/>
      <c r="W41" s="265"/>
      <c r="X41" s="265"/>
      <c r="Y41" s="265"/>
      <c r="Z41" s="265"/>
      <c r="AA41" s="265"/>
      <c r="AB41" s="265"/>
      <c r="AC41" s="265"/>
      <c r="AD41" s="265"/>
      <c r="AE41" s="265"/>
      <c r="AF41" s="265"/>
      <c r="AG41" s="265"/>
      <c r="AH41" s="265"/>
      <c r="AI41" s="192"/>
      <c r="AJ41" s="190"/>
      <c r="AK41" s="360" t="str">
        <f>AK12</f>
        <v>Target</v>
      </c>
      <c r="AL41" s="192"/>
      <c r="AM41" s="190" t="str">
        <f>AK41</f>
        <v>Target</v>
      </c>
      <c r="AN41" s="190">
        <f t="shared" ref="AN41:BS41" ca="1" si="31">IF(grph_targetScen2=AN$4, 1.05,0)</f>
        <v>0</v>
      </c>
      <c r="AO41" s="190">
        <f t="shared" ca="1" si="31"/>
        <v>0</v>
      </c>
      <c r="AP41" s="190">
        <f t="shared" ca="1" si="31"/>
        <v>0</v>
      </c>
      <c r="AQ41" s="190">
        <f t="shared" ca="1" si="31"/>
        <v>0</v>
      </c>
      <c r="AR41" s="190">
        <f t="shared" ca="1" si="31"/>
        <v>0</v>
      </c>
      <c r="AS41" s="190">
        <f t="shared" ca="1" si="31"/>
        <v>0</v>
      </c>
      <c r="AT41" s="190">
        <f t="shared" ca="1" si="31"/>
        <v>0</v>
      </c>
      <c r="AU41" s="190">
        <f t="shared" ca="1" si="31"/>
        <v>0</v>
      </c>
      <c r="AV41" s="190">
        <f t="shared" ca="1" si="31"/>
        <v>0</v>
      </c>
      <c r="AW41" s="190">
        <f t="shared" ca="1" si="31"/>
        <v>0</v>
      </c>
      <c r="AX41" s="190">
        <f t="shared" ca="1" si="31"/>
        <v>0</v>
      </c>
      <c r="AY41" s="190">
        <f t="shared" ca="1" si="31"/>
        <v>0</v>
      </c>
      <c r="AZ41" s="190">
        <f t="shared" ca="1" si="31"/>
        <v>0</v>
      </c>
      <c r="BA41" s="190">
        <f t="shared" ca="1" si="31"/>
        <v>0</v>
      </c>
      <c r="BB41" s="190">
        <f t="shared" ca="1" si="31"/>
        <v>0</v>
      </c>
      <c r="BC41" s="190">
        <f t="shared" ca="1" si="31"/>
        <v>0</v>
      </c>
      <c r="BD41" s="190">
        <f t="shared" ca="1" si="31"/>
        <v>0</v>
      </c>
      <c r="BE41" s="190">
        <f t="shared" ca="1" si="31"/>
        <v>0</v>
      </c>
      <c r="BF41" s="190">
        <f t="shared" ca="1" si="31"/>
        <v>0</v>
      </c>
      <c r="BG41" s="190">
        <f t="shared" ca="1" si="31"/>
        <v>0</v>
      </c>
      <c r="BH41" s="190">
        <f t="shared" ca="1" si="31"/>
        <v>0</v>
      </c>
      <c r="BI41" s="190">
        <f t="shared" ca="1" si="31"/>
        <v>0</v>
      </c>
      <c r="BJ41" s="190">
        <f t="shared" ca="1" si="31"/>
        <v>0</v>
      </c>
      <c r="BK41" s="190">
        <f t="shared" ca="1" si="31"/>
        <v>0</v>
      </c>
      <c r="BL41" s="190">
        <f t="shared" ca="1" si="31"/>
        <v>0</v>
      </c>
      <c r="BM41" s="190">
        <f t="shared" ca="1" si="31"/>
        <v>0</v>
      </c>
      <c r="BN41" s="190">
        <f t="shared" ca="1" si="31"/>
        <v>0</v>
      </c>
      <c r="BO41" s="190">
        <f t="shared" ca="1" si="31"/>
        <v>0</v>
      </c>
      <c r="BP41" s="190">
        <f t="shared" ca="1" si="31"/>
        <v>0</v>
      </c>
      <c r="BQ41" s="190">
        <f t="shared" ca="1" si="31"/>
        <v>0</v>
      </c>
      <c r="BR41" s="190">
        <f t="shared" ca="1" si="31"/>
        <v>0</v>
      </c>
      <c r="BS41" s="190">
        <f t="shared" ca="1" si="31"/>
        <v>0</v>
      </c>
      <c r="BT41" s="190">
        <f t="shared" ref="BT41:CY41" ca="1" si="32">IF(grph_targetScen2=BT$4, 1.05,0)</f>
        <v>0</v>
      </c>
      <c r="BU41" s="190">
        <f t="shared" ca="1" si="32"/>
        <v>0</v>
      </c>
      <c r="BV41" s="190">
        <f t="shared" ca="1" si="32"/>
        <v>0</v>
      </c>
      <c r="BW41" s="190">
        <f t="shared" ca="1" si="32"/>
        <v>0</v>
      </c>
      <c r="BX41" s="190">
        <f t="shared" ca="1" si="32"/>
        <v>0</v>
      </c>
      <c r="BY41" s="190">
        <f t="shared" ca="1" si="32"/>
        <v>0</v>
      </c>
      <c r="BZ41" s="190">
        <f t="shared" ca="1" si="32"/>
        <v>0</v>
      </c>
      <c r="CA41" s="190">
        <f t="shared" ca="1" si="32"/>
        <v>0</v>
      </c>
      <c r="CB41" s="190">
        <f t="shared" ca="1" si="32"/>
        <v>0</v>
      </c>
      <c r="CC41" s="190">
        <f t="shared" ca="1" si="32"/>
        <v>0</v>
      </c>
      <c r="CD41" s="190">
        <f t="shared" ca="1" si="32"/>
        <v>0</v>
      </c>
      <c r="CE41" s="190">
        <f t="shared" ca="1" si="32"/>
        <v>0</v>
      </c>
      <c r="CF41" s="190">
        <f t="shared" ca="1" si="32"/>
        <v>0</v>
      </c>
      <c r="CG41" s="190">
        <f t="shared" ca="1" si="32"/>
        <v>0</v>
      </c>
      <c r="CH41" s="190">
        <f t="shared" ca="1" si="32"/>
        <v>0</v>
      </c>
      <c r="CI41" s="190">
        <f t="shared" ca="1" si="32"/>
        <v>0</v>
      </c>
      <c r="CJ41" s="190">
        <f t="shared" ca="1" si="32"/>
        <v>0</v>
      </c>
      <c r="CK41" s="190">
        <f t="shared" ca="1" si="32"/>
        <v>0</v>
      </c>
      <c r="CL41" s="190">
        <f t="shared" ca="1" si="32"/>
        <v>0</v>
      </c>
      <c r="CM41" s="190">
        <f t="shared" ca="1" si="32"/>
        <v>0</v>
      </c>
      <c r="CN41" s="190">
        <f t="shared" ca="1" si="32"/>
        <v>0</v>
      </c>
      <c r="CO41" s="190">
        <f t="shared" ca="1" si="32"/>
        <v>0</v>
      </c>
      <c r="CP41" s="190">
        <f t="shared" ca="1" si="32"/>
        <v>0</v>
      </c>
      <c r="CQ41" s="190">
        <f t="shared" ca="1" si="32"/>
        <v>0</v>
      </c>
      <c r="CR41" s="190">
        <f t="shared" ca="1" si="32"/>
        <v>0</v>
      </c>
      <c r="CS41" s="190">
        <f t="shared" ca="1" si="32"/>
        <v>0</v>
      </c>
      <c r="CT41" s="190">
        <f t="shared" ca="1" si="32"/>
        <v>0</v>
      </c>
      <c r="CU41" s="190">
        <f t="shared" ca="1" si="32"/>
        <v>0</v>
      </c>
      <c r="CV41" s="190">
        <f t="shared" ca="1" si="32"/>
        <v>0</v>
      </c>
      <c r="CW41" s="190">
        <f t="shared" ca="1" si="32"/>
        <v>0</v>
      </c>
      <c r="CX41" s="190">
        <f t="shared" ca="1" si="32"/>
        <v>0</v>
      </c>
      <c r="CY41" s="190">
        <f t="shared" ca="1" si="32"/>
        <v>0</v>
      </c>
      <c r="CZ41" s="190">
        <f t="shared" ref="CZ41:EI41" ca="1" si="33">IF(grph_targetScen2=CZ$4, 1.05,0)</f>
        <v>0</v>
      </c>
      <c r="DA41" s="190">
        <f t="shared" ca="1" si="33"/>
        <v>0</v>
      </c>
      <c r="DB41" s="190">
        <f t="shared" ca="1" si="33"/>
        <v>0</v>
      </c>
      <c r="DC41" s="190">
        <f t="shared" ca="1" si="33"/>
        <v>1.05</v>
      </c>
      <c r="DD41" s="190">
        <f t="shared" ca="1" si="33"/>
        <v>0</v>
      </c>
      <c r="DE41" s="190">
        <f t="shared" ca="1" si="33"/>
        <v>0</v>
      </c>
      <c r="DF41" s="190">
        <f t="shared" ca="1" si="33"/>
        <v>0</v>
      </c>
      <c r="DG41" s="190">
        <f t="shared" ca="1" si="33"/>
        <v>0</v>
      </c>
      <c r="DH41" s="190">
        <f t="shared" ca="1" si="33"/>
        <v>0</v>
      </c>
      <c r="DI41" s="190">
        <f t="shared" ca="1" si="33"/>
        <v>0</v>
      </c>
      <c r="DJ41" s="190">
        <f t="shared" ca="1" si="33"/>
        <v>0</v>
      </c>
      <c r="DK41" s="190">
        <f t="shared" ca="1" si="33"/>
        <v>0</v>
      </c>
      <c r="DL41" s="190">
        <f t="shared" ca="1" si="33"/>
        <v>0</v>
      </c>
      <c r="DM41" s="190">
        <f t="shared" ca="1" si="33"/>
        <v>0</v>
      </c>
      <c r="DN41" s="190">
        <f t="shared" ca="1" si="33"/>
        <v>0</v>
      </c>
      <c r="DO41" s="190">
        <f t="shared" ca="1" si="33"/>
        <v>0</v>
      </c>
      <c r="DP41" s="190">
        <f t="shared" ca="1" si="33"/>
        <v>0</v>
      </c>
      <c r="DQ41" s="190">
        <f t="shared" ca="1" si="33"/>
        <v>0</v>
      </c>
      <c r="DR41" s="190">
        <f t="shared" ca="1" si="33"/>
        <v>0</v>
      </c>
      <c r="DS41" s="190">
        <f t="shared" ca="1" si="33"/>
        <v>0</v>
      </c>
      <c r="DT41" s="190">
        <f t="shared" ca="1" si="33"/>
        <v>0</v>
      </c>
      <c r="DU41" s="190">
        <f t="shared" ca="1" si="33"/>
        <v>0</v>
      </c>
      <c r="DV41" s="190">
        <f t="shared" ca="1" si="33"/>
        <v>0</v>
      </c>
      <c r="DW41" s="190">
        <f t="shared" ca="1" si="33"/>
        <v>0</v>
      </c>
      <c r="DX41" s="190">
        <f t="shared" ca="1" si="33"/>
        <v>0</v>
      </c>
      <c r="DY41" s="190">
        <f t="shared" ca="1" si="33"/>
        <v>0</v>
      </c>
      <c r="DZ41" s="190">
        <f t="shared" ca="1" si="33"/>
        <v>0</v>
      </c>
      <c r="EA41" s="190">
        <f t="shared" ca="1" si="33"/>
        <v>0</v>
      </c>
      <c r="EB41" s="190">
        <f t="shared" ca="1" si="33"/>
        <v>0</v>
      </c>
      <c r="EC41" s="190">
        <f t="shared" ca="1" si="33"/>
        <v>0</v>
      </c>
      <c r="ED41" s="190">
        <f t="shared" ca="1" si="33"/>
        <v>0</v>
      </c>
      <c r="EE41" s="190">
        <f t="shared" ca="1" si="33"/>
        <v>0</v>
      </c>
      <c r="EF41" s="190">
        <f t="shared" ca="1" si="33"/>
        <v>0</v>
      </c>
      <c r="EG41" s="190">
        <f t="shared" ca="1" si="33"/>
        <v>0</v>
      </c>
      <c r="EH41" s="190">
        <f t="shared" ca="1" si="33"/>
        <v>0</v>
      </c>
      <c r="EI41" s="190">
        <f t="shared" ca="1" si="33"/>
        <v>0</v>
      </c>
      <c r="EJ41" s="190"/>
      <c r="EK41" s="192"/>
      <c r="EL41" s="192"/>
      <c r="EM41" s="192"/>
      <c r="EN41" s="192"/>
      <c r="EO41" s="192"/>
      <c r="EP41" s="192"/>
    </row>
    <row r="42" spans="1:146" x14ac:dyDescent="0.2">
      <c r="A42" s="192"/>
      <c r="B42" s="192"/>
      <c r="C42" s="192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266"/>
      <c r="T42" s="265"/>
      <c r="U42" s="265"/>
      <c r="V42" s="265"/>
      <c r="W42" s="265"/>
      <c r="X42" s="265"/>
      <c r="Y42" s="265"/>
      <c r="Z42" s="265"/>
      <c r="AA42" s="265"/>
      <c r="AB42" s="265"/>
      <c r="AC42" s="265"/>
      <c r="AD42" s="265"/>
      <c r="AE42" s="265"/>
      <c r="AF42" s="265"/>
      <c r="AG42" s="265"/>
      <c r="AH42" s="265"/>
      <c r="AI42" s="192"/>
      <c r="AJ42" s="190"/>
      <c r="AK42" s="360" t="str">
        <f t="shared" ref="AK42:AK56" si="34">AK13</f>
        <v>Cash</v>
      </c>
      <c r="AL42" s="331">
        <f t="shared" ref="AL42:AL56" ca="1" si="35">MATCH(AK42,OFFSET(grph_aggregate_matrix,0,1,1,50),0)</f>
        <v>1</v>
      </c>
      <c r="AM42" s="234" t="str">
        <f>AK42</f>
        <v>Cash</v>
      </c>
      <c r="AN42" s="235">
        <f t="shared" ref="AN42:AW56" ca="1" si="36">SUMPRODUCT(OFFSET(grph_CorpData2,1,AN$4,_num_assets,1),OFFSET(grph_aggregate_matrix,1,$AL42,_num_assets,1))</f>
        <v>0.14179799082621383</v>
      </c>
      <c r="AO42" s="236">
        <f t="shared" ca="1" si="36"/>
        <v>0.13233091861973695</v>
      </c>
      <c r="AP42" s="236">
        <f t="shared" ca="1" si="36"/>
        <v>0.1243942655455476</v>
      </c>
      <c r="AQ42" s="236">
        <f t="shared" ca="1" si="36"/>
        <v>0.11520116989470815</v>
      </c>
      <c r="AR42" s="236">
        <f t="shared" ca="1" si="36"/>
        <v>0.10916922641255304</v>
      </c>
      <c r="AS42" s="236">
        <f t="shared" ca="1" si="36"/>
        <v>0.10360047909410217</v>
      </c>
      <c r="AT42" s="236">
        <f t="shared" ca="1" si="36"/>
        <v>9.6075954155486074E-2</v>
      </c>
      <c r="AU42" s="236">
        <f t="shared" ca="1" si="36"/>
        <v>8.9845004617069596E-2</v>
      </c>
      <c r="AV42" s="236">
        <f t="shared" ca="1" si="36"/>
        <v>8.1880626480782523E-2</v>
      </c>
      <c r="AW42" s="236">
        <f t="shared" ca="1" si="36"/>
        <v>7.4763169275450445E-2</v>
      </c>
      <c r="AX42" s="236">
        <f t="shared" ref="AX42:BG56" ca="1" si="37">SUMPRODUCT(OFFSET(grph_CorpData2,1,AX$4,_num_assets,1),OFFSET(grph_aggregate_matrix,1,$AL42,_num_assets,1))</f>
        <v>6.9245757013342041E-2</v>
      </c>
      <c r="AY42" s="236">
        <f t="shared" ca="1" si="37"/>
        <v>6.2578770300411937E-2</v>
      </c>
      <c r="AZ42" s="236">
        <f t="shared" ca="1" si="37"/>
        <v>5.6082941838110772E-2</v>
      </c>
      <c r="BA42" s="236">
        <f t="shared" ca="1" si="37"/>
        <v>5.0575807917931599E-2</v>
      </c>
      <c r="BB42" s="236">
        <f t="shared" ca="1" si="37"/>
        <v>4.4966573648398643E-2</v>
      </c>
      <c r="BC42" s="236">
        <f t="shared" ca="1" si="37"/>
        <v>3.9620894965772896E-2</v>
      </c>
      <c r="BD42" s="236">
        <f t="shared" ca="1" si="37"/>
        <v>3.4756315073657965E-2</v>
      </c>
      <c r="BE42" s="236">
        <f t="shared" ca="1" si="37"/>
        <v>2.820966588995916E-2</v>
      </c>
      <c r="BF42" s="236">
        <f t="shared" ca="1" si="37"/>
        <v>2.1498020140681542E-2</v>
      </c>
      <c r="BG42" s="236">
        <f t="shared" ca="1" si="37"/>
        <v>1.4429740286368013E-2</v>
      </c>
      <c r="BH42" s="236">
        <f t="shared" ref="BH42:BQ56" ca="1" si="38">SUMPRODUCT(OFFSET(grph_CorpData2,1,BH$4,_num_assets,1),OFFSET(grph_aggregate_matrix,1,$AL42,_num_assets,1))</f>
        <v>1.0600000000692944E-2</v>
      </c>
      <c r="BI42" s="236">
        <f t="shared" ca="1" si="38"/>
        <v>1.0600000000692944E-2</v>
      </c>
      <c r="BJ42" s="236">
        <f t="shared" ca="1" si="38"/>
        <v>1.0600000000692944E-2</v>
      </c>
      <c r="BK42" s="236">
        <f t="shared" ca="1" si="38"/>
        <v>1.0600000000692944E-2</v>
      </c>
      <c r="BL42" s="236">
        <f t="shared" ca="1" si="38"/>
        <v>1.0600000000692944E-2</v>
      </c>
      <c r="BM42" s="236">
        <f t="shared" ca="1" si="38"/>
        <v>1.0600000000692944E-2</v>
      </c>
      <c r="BN42" s="236">
        <f t="shared" ca="1" si="38"/>
        <v>1.0600000000692944E-2</v>
      </c>
      <c r="BO42" s="236">
        <f t="shared" ca="1" si="38"/>
        <v>1.0600000000692944E-2</v>
      </c>
      <c r="BP42" s="236">
        <f t="shared" ca="1" si="38"/>
        <v>1.0600000000692944E-2</v>
      </c>
      <c r="BQ42" s="236">
        <f t="shared" ca="1" si="38"/>
        <v>1.0600000000692944E-2</v>
      </c>
      <c r="BR42" s="236">
        <f t="shared" ref="BR42:CA56" ca="1" si="39">SUMPRODUCT(OFFSET(grph_CorpData2,1,BR$4,_num_assets,1),OFFSET(grph_aggregate_matrix,1,$AL42,_num_assets,1))</f>
        <v>1.0600000000692944E-2</v>
      </c>
      <c r="BS42" s="236">
        <f t="shared" ca="1" si="39"/>
        <v>1.0600000000692944E-2</v>
      </c>
      <c r="BT42" s="236">
        <f t="shared" ca="1" si="39"/>
        <v>1.0600000000692944E-2</v>
      </c>
      <c r="BU42" s="236">
        <f t="shared" ca="1" si="39"/>
        <v>1.0600000000692944E-2</v>
      </c>
      <c r="BV42" s="236">
        <f t="shared" ca="1" si="39"/>
        <v>1.0600000000692944E-2</v>
      </c>
      <c r="BW42" s="236">
        <f t="shared" ca="1" si="39"/>
        <v>1.0600000000692944E-2</v>
      </c>
      <c r="BX42" s="236">
        <f t="shared" ca="1" si="39"/>
        <v>1.0600000000692944E-2</v>
      </c>
      <c r="BY42" s="236">
        <f t="shared" ca="1" si="39"/>
        <v>1.0600000000692944E-2</v>
      </c>
      <c r="BZ42" s="236">
        <f t="shared" ca="1" si="39"/>
        <v>1.0600000000692944E-2</v>
      </c>
      <c r="CA42" s="236">
        <f t="shared" ca="1" si="39"/>
        <v>1.0600000000692944E-2</v>
      </c>
      <c r="CB42" s="236">
        <f t="shared" ref="CB42:CK56" ca="1" si="40">SUMPRODUCT(OFFSET(grph_CorpData2,1,CB$4,_num_assets,1),OFFSET(grph_aggregate_matrix,1,$AL42,_num_assets,1))</f>
        <v>1.0600000000692944E-2</v>
      </c>
      <c r="CC42" s="236">
        <f t="shared" ca="1" si="40"/>
        <v>1.0600000000692944E-2</v>
      </c>
      <c r="CD42" s="236">
        <f t="shared" ca="1" si="40"/>
        <v>1.0600000000692944E-2</v>
      </c>
      <c r="CE42" s="236">
        <f t="shared" ca="1" si="40"/>
        <v>1.0600000000692944E-2</v>
      </c>
      <c r="CF42" s="236">
        <f t="shared" ca="1" si="40"/>
        <v>1.0600000000692944E-2</v>
      </c>
      <c r="CG42" s="236">
        <f t="shared" ca="1" si="40"/>
        <v>1.0600000000692944E-2</v>
      </c>
      <c r="CH42" s="236">
        <f t="shared" ca="1" si="40"/>
        <v>1.0600000000692944E-2</v>
      </c>
      <c r="CI42" s="236">
        <f t="shared" ca="1" si="40"/>
        <v>1.0600000000692944E-2</v>
      </c>
      <c r="CJ42" s="236">
        <f t="shared" ca="1" si="40"/>
        <v>1.0600000000692944E-2</v>
      </c>
      <c r="CK42" s="236">
        <f t="shared" ca="1" si="40"/>
        <v>1.0600000000692944E-2</v>
      </c>
      <c r="CL42" s="236">
        <f t="shared" ref="CL42:CU56" ca="1" si="41">SUMPRODUCT(OFFSET(grph_CorpData2,1,CL$4,_num_assets,1),OFFSET(grph_aggregate_matrix,1,$AL42,_num_assets,1))</f>
        <v>1.0600000000692944E-2</v>
      </c>
      <c r="CM42" s="236">
        <f t="shared" ca="1" si="41"/>
        <v>1.0600000000692944E-2</v>
      </c>
      <c r="CN42" s="236">
        <f t="shared" ca="1" si="41"/>
        <v>1.0600000000692944E-2</v>
      </c>
      <c r="CO42" s="236">
        <f t="shared" ca="1" si="41"/>
        <v>1.0600000000692944E-2</v>
      </c>
      <c r="CP42" s="236">
        <f t="shared" ca="1" si="41"/>
        <v>1.0600000000692944E-2</v>
      </c>
      <c r="CQ42" s="236">
        <f t="shared" ca="1" si="41"/>
        <v>1.0600000000692944E-2</v>
      </c>
      <c r="CR42" s="236">
        <f t="shared" ca="1" si="41"/>
        <v>1.0600000000692944E-2</v>
      </c>
      <c r="CS42" s="236">
        <f t="shared" ca="1" si="41"/>
        <v>1.0600000000692944E-2</v>
      </c>
      <c r="CT42" s="236">
        <f t="shared" ca="1" si="41"/>
        <v>1.0600000000692944E-2</v>
      </c>
      <c r="CU42" s="236">
        <f t="shared" ca="1" si="41"/>
        <v>1.0600000000692944E-2</v>
      </c>
      <c r="CV42" s="236">
        <f t="shared" ref="CV42:DE56" ca="1" si="42">SUMPRODUCT(OFFSET(grph_CorpData2,1,CV$4,_num_assets,1),OFFSET(grph_aggregate_matrix,1,$AL42,_num_assets,1))</f>
        <v>1.0600000000692944E-2</v>
      </c>
      <c r="CW42" s="236">
        <f t="shared" ca="1" si="42"/>
        <v>1.0600000000692944E-2</v>
      </c>
      <c r="CX42" s="236">
        <f t="shared" ca="1" si="42"/>
        <v>1.0600000000692944E-2</v>
      </c>
      <c r="CY42" s="236">
        <f t="shared" ca="1" si="42"/>
        <v>1.0600000000692944E-2</v>
      </c>
      <c r="CZ42" s="236">
        <f t="shared" ca="1" si="42"/>
        <v>1.0600000000692944E-2</v>
      </c>
      <c r="DA42" s="236">
        <f t="shared" ca="1" si="42"/>
        <v>1.0600000000692944E-2</v>
      </c>
      <c r="DB42" s="236">
        <f t="shared" ca="1" si="42"/>
        <v>1.0600000000692944E-2</v>
      </c>
      <c r="DC42" s="236">
        <f t="shared" ca="1" si="42"/>
        <v>1.0600000000692944E-2</v>
      </c>
      <c r="DD42" s="236">
        <f t="shared" ca="1" si="42"/>
        <v>1.0600000000692944E-2</v>
      </c>
      <c r="DE42" s="236">
        <f t="shared" ca="1" si="42"/>
        <v>1.0600000000692944E-2</v>
      </c>
      <c r="DF42" s="236">
        <f t="shared" ref="DF42:DO56" ca="1" si="43">SUMPRODUCT(OFFSET(grph_CorpData2,1,DF$4,_num_assets,1),OFFSET(grph_aggregate_matrix,1,$AL42,_num_assets,1))</f>
        <v>1.0600000000692944E-2</v>
      </c>
      <c r="DG42" s="236">
        <f t="shared" ca="1" si="43"/>
        <v>1.0600000000692944E-2</v>
      </c>
      <c r="DH42" s="236">
        <f t="shared" ca="1" si="43"/>
        <v>1.0600000000692944E-2</v>
      </c>
      <c r="DI42" s="236">
        <f t="shared" ca="1" si="43"/>
        <v>1.0600000000692944E-2</v>
      </c>
      <c r="DJ42" s="236">
        <f t="shared" ca="1" si="43"/>
        <v>1.0600000000692944E-2</v>
      </c>
      <c r="DK42" s="236">
        <f t="shared" ca="1" si="43"/>
        <v>1.0600000000692944E-2</v>
      </c>
      <c r="DL42" s="236">
        <f t="shared" ca="1" si="43"/>
        <v>1.0600000000692944E-2</v>
      </c>
      <c r="DM42" s="236">
        <f t="shared" ca="1" si="43"/>
        <v>1.0600000000692944E-2</v>
      </c>
      <c r="DN42" s="236">
        <f t="shared" ca="1" si="43"/>
        <v>1.0600000000692944E-2</v>
      </c>
      <c r="DO42" s="236">
        <f t="shared" ca="1" si="43"/>
        <v>1.0600000000692944E-2</v>
      </c>
      <c r="DP42" s="236">
        <f t="shared" ref="DP42:DY56" ca="1" si="44">SUMPRODUCT(OFFSET(grph_CorpData2,1,DP$4,_num_assets,1),OFFSET(grph_aggregate_matrix,1,$AL42,_num_assets,1))</f>
        <v>1.0600000000692944E-2</v>
      </c>
      <c r="DQ42" s="236">
        <f t="shared" ca="1" si="44"/>
        <v>1.0600000000692944E-2</v>
      </c>
      <c r="DR42" s="236">
        <f t="shared" ca="1" si="44"/>
        <v>1.0600000000692944E-2</v>
      </c>
      <c r="DS42" s="236">
        <f t="shared" ca="1" si="44"/>
        <v>1.0600000000692944E-2</v>
      </c>
      <c r="DT42" s="236">
        <f t="shared" ca="1" si="44"/>
        <v>1.0600000000692944E-2</v>
      </c>
      <c r="DU42" s="236">
        <f t="shared" ca="1" si="44"/>
        <v>1.0600000000692946E-2</v>
      </c>
      <c r="DV42" s="236">
        <f t="shared" ca="1" si="44"/>
        <v>1.0600000000692944E-2</v>
      </c>
      <c r="DW42" s="236">
        <f t="shared" ca="1" si="44"/>
        <v>1.0600000000692944E-2</v>
      </c>
      <c r="DX42" s="236">
        <f t="shared" ca="1" si="44"/>
        <v>1.0600000000692944E-2</v>
      </c>
      <c r="DY42" s="236">
        <f t="shared" ca="1" si="44"/>
        <v>2.0342527715441542E-2</v>
      </c>
      <c r="DZ42" s="236">
        <f t="shared" ref="DZ42:EI56" ca="1" si="45">SUMPRODUCT(OFFSET(grph_CorpData2,1,DZ$4,_num_assets,1),OFFSET(grph_aggregate_matrix,1,$AL42,_num_assets,1))</f>
        <v>3.8491607332567526E-2</v>
      </c>
      <c r="EA42" s="236">
        <f t="shared" ca="1" si="45"/>
        <v>5.3237428138748433E-2</v>
      </c>
      <c r="EB42" s="236">
        <f t="shared" ca="1" si="45"/>
        <v>6.9269217821103096E-2</v>
      </c>
      <c r="EC42" s="236">
        <f t="shared" ca="1" si="45"/>
        <v>6.9269217821103624E-2</v>
      </c>
      <c r="ED42" s="236">
        <f t="shared" ca="1" si="45"/>
        <v>6.9269217821102375E-2</v>
      </c>
      <c r="EE42" s="236">
        <f t="shared" ca="1" si="45"/>
        <v>6.9269217821102388E-2</v>
      </c>
      <c r="EF42" s="236">
        <f t="shared" ca="1" si="45"/>
        <v>6.9269217821102388E-2</v>
      </c>
      <c r="EG42" s="236">
        <f t="shared" ca="1" si="45"/>
        <v>6.9269217821102388E-2</v>
      </c>
      <c r="EH42" s="236">
        <f t="shared" ca="1" si="45"/>
        <v>8.8119859034992601E-2</v>
      </c>
      <c r="EI42" s="237">
        <f t="shared" ca="1" si="45"/>
        <v>8.8119859034992601E-2</v>
      </c>
      <c r="EJ42" s="190"/>
      <c r="EK42" s="192"/>
      <c r="EL42" s="192"/>
      <c r="EM42" s="192"/>
      <c r="EN42" s="192"/>
      <c r="EO42" s="192"/>
      <c r="EP42" s="192"/>
    </row>
    <row r="43" spans="1:146" x14ac:dyDescent="0.2">
      <c r="A43" s="192"/>
      <c r="B43" s="192"/>
      <c r="C43" s="192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192"/>
      <c r="O43" s="192"/>
      <c r="P43" s="192"/>
      <c r="Q43" s="192"/>
      <c r="R43" s="192"/>
      <c r="S43" s="266"/>
      <c r="T43" s="265"/>
      <c r="U43" s="265"/>
      <c r="V43" s="265"/>
      <c r="W43" s="265"/>
      <c r="X43" s="265"/>
      <c r="Y43" s="265"/>
      <c r="Z43" s="265"/>
      <c r="AA43" s="265"/>
      <c r="AB43" s="265"/>
      <c r="AC43" s="265"/>
      <c r="AD43" s="265"/>
      <c r="AE43" s="265"/>
      <c r="AF43" s="265"/>
      <c r="AG43" s="265"/>
      <c r="AH43" s="265"/>
      <c r="AI43" s="192"/>
      <c r="AJ43" s="190"/>
      <c r="AK43" s="360" t="str">
        <f t="shared" si="34"/>
        <v>US Bond</v>
      </c>
      <c r="AL43" s="331">
        <f t="shared" ca="1" si="35"/>
        <v>2</v>
      </c>
      <c r="AM43" s="238" t="str">
        <f t="shared" ref="AM43:AM56" si="46">AK43</f>
        <v>US Bond</v>
      </c>
      <c r="AN43" s="193">
        <f t="shared" ca="1" si="36"/>
        <v>0.17360199869735138</v>
      </c>
      <c r="AO43" s="194">
        <f t="shared" ca="1" si="36"/>
        <v>0.18306907090382826</v>
      </c>
      <c r="AP43" s="194">
        <f t="shared" ca="1" si="36"/>
        <v>0.19100573416402442</v>
      </c>
      <c r="AQ43" s="194">
        <f t="shared" ca="1" si="36"/>
        <v>0.20019882667131103</v>
      </c>
      <c r="AR43" s="194">
        <f t="shared" ca="1" si="36"/>
        <v>0.20623076310961955</v>
      </c>
      <c r="AS43" s="194">
        <f t="shared" ca="1" si="36"/>
        <v>0.21179951720063175</v>
      </c>
      <c r="AT43" s="194">
        <f t="shared" ca="1" si="36"/>
        <v>0.21932403446546048</v>
      </c>
      <c r="AU43" s="194">
        <f t="shared" ca="1" si="36"/>
        <v>0.22555498436639779</v>
      </c>
      <c r="AV43" s="194">
        <f t="shared" ca="1" si="36"/>
        <v>0.23351936981395138</v>
      </c>
      <c r="AW43" s="194">
        <f t="shared" ca="1" si="36"/>
        <v>0.24063681450574737</v>
      </c>
      <c r="AX43" s="194">
        <f t="shared" ca="1" si="37"/>
        <v>0.24615423928139191</v>
      </c>
      <c r="AY43" s="194">
        <f t="shared" ca="1" si="37"/>
        <v>0.25282122969958809</v>
      </c>
      <c r="AZ43" s="194">
        <f t="shared" ca="1" si="37"/>
        <v>0.25931705816188921</v>
      </c>
      <c r="BA43" s="194">
        <f t="shared" ca="1" si="37"/>
        <v>0.26482419208206842</v>
      </c>
      <c r="BB43" s="194">
        <f t="shared" ca="1" si="37"/>
        <v>0.27043342635160139</v>
      </c>
      <c r="BC43" s="194">
        <f t="shared" ca="1" si="37"/>
        <v>0.27577910503422709</v>
      </c>
      <c r="BD43" s="194">
        <f t="shared" ca="1" si="37"/>
        <v>0.28064368492634206</v>
      </c>
      <c r="BE43" s="194">
        <f t="shared" ca="1" si="37"/>
        <v>0.28719032273098738</v>
      </c>
      <c r="BF43" s="194">
        <f t="shared" ca="1" si="37"/>
        <v>0.29390197985931849</v>
      </c>
      <c r="BG43" s="194">
        <f t="shared" ca="1" si="37"/>
        <v>0.300970259713632</v>
      </c>
      <c r="BH43" s="194">
        <f t="shared" ca="1" si="38"/>
        <v>0.30479999999930707</v>
      </c>
      <c r="BI43" s="194">
        <f t="shared" ca="1" si="38"/>
        <v>0.30479998862164626</v>
      </c>
      <c r="BJ43" s="194">
        <f t="shared" ca="1" si="38"/>
        <v>0.30314076578792504</v>
      </c>
      <c r="BK43" s="194">
        <f t="shared" ca="1" si="38"/>
        <v>0.30076345560916595</v>
      </c>
      <c r="BL43" s="194">
        <f t="shared" ca="1" si="38"/>
        <v>0.29768880402918485</v>
      </c>
      <c r="BM43" s="194">
        <f t="shared" ca="1" si="38"/>
        <v>0.29426716515189677</v>
      </c>
      <c r="BN43" s="194">
        <f t="shared" ca="1" si="38"/>
        <v>0.29105720221668446</v>
      </c>
      <c r="BO43" s="194">
        <f t="shared" ca="1" si="38"/>
        <v>0.28705857745117935</v>
      </c>
      <c r="BP43" s="194">
        <f t="shared" ca="1" si="38"/>
        <v>0.28511126478761439</v>
      </c>
      <c r="BQ43" s="194">
        <f t="shared" ca="1" si="38"/>
        <v>0.28282181633007319</v>
      </c>
      <c r="BR43" s="194">
        <f t="shared" ca="1" si="39"/>
        <v>0.28046361831669092</v>
      </c>
      <c r="BS43" s="194">
        <f t="shared" ca="1" si="39"/>
        <v>0.27703225152961908</v>
      </c>
      <c r="BT43" s="194">
        <f t="shared" ca="1" si="39"/>
        <v>0.27518365056006472</v>
      </c>
      <c r="BU43" s="194">
        <f t="shared" ca="1" si="39"/>
        <v>0.2737601662734378</v>
      </c>
      <c r="BV43" s="194">
        <f t="shared" ca="1" si="39"/>
        <v>0.27393750117402904</v>
      </c>
      <c r="BW43" s="194">
        <f t="shared" ca="1" si="39"/>
        <v>0.27386325659028676</v>
      </c>
      <c r="BX43" s="194">
        <f t="shared" ca="1" si="39"/>
        <v>0.27406359925391621</v>
      </c>
      <c r="BY43" s="194">
        <f t="shared" ca="1" si="39"/>
        <v>0.27440241796157921</v>
      </c>
      <c r="BZ43" s="194">
        <f t="shared" ca="1" si="39"/>
        <v>0.2751342363443936</v>
      </c>
      <c r="CA43" s="194">
        <f t="shared" ca="1" si="39"/>
        <v>0.27351312044025738</v>
      </c>
      <c r="CB43" s="194">
        <f t="shared" ca="1" si="40"/>
        <v>0.27072877945345197</v>
      </c>
      <c r="CC43" s="194">
        <f t="shared" ca="1" si="40"/>
        <v>0.26822774824551932</v>
      </c>
      <c r="CD43" s="194">
        <f t="shared" ca="1" si="40"/>
        <v>0.26686854160777923</v>
      </c>
      <c r="CE43" s="194">
        <f t="shared" ca="1" si="40"/>
        <v>0.2656325977769679</v>
      </c>
      <c r="CF43" s="194">
        <f t="shared" ca="1" si="40"/>
        <v>0.26336921782040945</v>
      </c>
      <c r="CG43" s="194">
        <f t="shared" ca="1" si="40"/>
        <v>0.26336921782040945</v>
      </c>
      <c r="CH43" s="194">
        <f t="shared" ca="1" si="40"/>
        <v>0.26336921782040945</v>
      </c>
      <c r="CI43" s="194">
        <f t="shared" ca="1" si="40"/>
        <v>0.26336921782040945</v>
      </c>
      <c r="CJ43" s="194">
        <f t="shared" ca="1" si="40"/>
        <v>0.26336921782040945</v>
      </c>
      <c r="CK43" s="194">
        <f t="shared" ca="1" si="40"/>
        <v>0.26336921782040945</v>
      </c>
      <c r="CL43" s="194">
        <f t="shared" ca="1" si="41"/>
        <v>0.26336921782040945</v>
      </c>
      <c r="CM43" s="194">
        <f t="shared" ca="1" si="41"/>
        <v>0.26336921782040945</v>
      </c>
      <c r="CN43" s="194">
        <f t="shared" ca="1" si="41"/>
        <v>0.26336921782040945</v>
      </c>
      <c r="CO43" s="194">
        <f t="shared" ca="1" si="41"/>
        <v>0.26336921782041006</v>
      </c>
      <c r="CP43" s="194">
        <f t="shared" ca="1" si="41"/>
        <v>0.26336921782040945</v>
      </c>
      <c r="CQ43" s="194">
        <f t="shared" ca="1" si="41"/>
        <v>0.26336921782040951</v>
      </c>
      <c r="CR43" s="194">
        <f t="shared" ca="1" si="41"/>
        <v>0.26336921203824004</v>
      </c>
      <c r="CS43" s="194">
        <f t="shared" ca="1" si="41"/>
        <v>0.26336921782040978</v>
      </c>
      <c r="CT43" s="194">
        <f t="shared" ca="1" si="41"/>
        <v>0.26336921203824004</v>
      </c>
      <c r="CU43" s="194">
        <f t="shared" ca="1" si="41"/>
        <v>0.26336921203824004</v>
      </c>
      <c r="CV43" s="194">
        <f t="shared" ca="1" si="42"/>
        <v>0.26336921203824004</v>
      </c>
      <c r="CW43" s="194">
        <f t="shared" ca="1" si="42"/>
        <v>0.26336921203824004</v>
      </c>
      <c r="CX43" s="194">
        <f t="shared" ca="1" si="42"/>
        <v>0.26336921203824004</v>
      </c>
      <c r="CY43" s="194">
        <f t="shared" ca="1" si="42"/>
        <v>0.26336921782040945</v>
      </c>
      <c r="CZ43" s="194">
        <f t="shared" ca="1" si="42"/>
        <v>0.26336921203824004</v>
      </c>
      <c r="DA43" s="194">
        <f t="shared" ca="1" si="42"/>
        <v>0.26336921203824004</v>
      </c>
      <c r="DB43" s="194">
        <f t="shared" ca="1" si="42"/>
        <v>0.26336921203824004</v>
      </c>
      <c r="DC43" s="194">
        <f t="shared" ca="1" si="42"/>
        <v>0.26336921203824004</v>
      </c>
      <c r="DD43" s="194">
        <f t="shared" ca="1" si="42"/>
        <v>0.26336921203824004</v>
      </c>
      <c r="DE43" s="194">
        <f t="shared" ca="1" si="42"/>
        <v>0.26336921203824004</v>
      </c>
      <c r="DF43" s="194">
        <f t="shared" ca="1" si="43"/>
        <v>0.26336921203824004</v>
      </c>
      <c r="DG43" s="194">
        <f t="shared" ca="1" si="43"/>
        <v>0.26336921203824004</v>
      </c>
      <c r="DH43" s="194">
        <f t="shared" ca="1" si="43"/>
        <v>0.26336921203824004</v>
      </c>
      <c r="DI43" s="194">
        <f t="shared" ca="1" si="43"/>
        <v>0.26336921203824004</v>
      </c>
      <c r="DJ43" s="194">
        <f t="shared" ca="1" si="43"/>
        <v>0.26336921782040956</v>
      </c>
      <c r="DK43" s="194">
        <f t="shared" ca="1" si="43"/>
        <v>0.26336921782040945</v>
      </c>
      <c r="DL43" s="194">
        <f t="shared" ca="1" si="43"/>
        <v>0.26336921203824037</v>
      </c>
      <c r="DM43" s="194">
        <f t="shared" ca="1" si="43"/>
        <v>0.26336921782040945</v>
      </c>
      <c r="DN43" s="194">
        <f t="shared" ca="1" si="43"/>
        <v>0.26336921782040945</v>
      </c>
      <c r="DO43" s="194">
        <f t="shared" ca="1" si="43"/>
        <v>0.26336921782040945</v>
      </c>
      <c r="DP43" s="194">
        <f t="shared" ca="1" si="44"/>
        <v>0.26336921203824032</v>
      </c>
      <c r="DQ43" s="194">
        <f t="shared" ca="1" si="44"/>
        <v>0.26336921782040951</v>
      </c>
      <c r="DR43" s="194">
        <f t="shared" ca="1" si="44"/>
        <v>0.26336921782040945</v>
      </c>
      <c r="DS43" s="194">
        <f t="shared" ca="1" si="44"/>
        <v>0.26336921782040945</v>
      </c>
      <c r="DT43" s="194">
        <f t="shared" ca="1" si="44"/>
        <v>0.26336921203824049</v>
      </c>
      <c r="DU43" s="194">
        <f t="shared" ca="1" si="44"/>
        <v>0.26336921782040945</v>
      </c>
      <c r="DV43" s="194">
        <f t="shared" ca="1" si="44"/>
        <v>0.26336921782040945</v>
      </c>
      <c r="DW43" s="194">
        <f t="shared" ca="1" si="44"/>
        <v>0.26336921782040945</v>
      </c>
      <c r="DX43" s="194">
        <f t="shared" ca="1" si="44"/>
        <v>0.2633692178204094</v>
      </c>
      <c r="DY43" s="194">
        <f t="shared" ca="1" si="44"/>
        <v>0.25362669010566086</v>
      </c>
      <c r="DZ43" s="194">
        <f t="shared" ca="1" si="45"/>
        <v>0.23547761048853505</v>
      </c>
      <c r="EA43" s="194">
        <f t="shared" ca="1" si="45"/>
        <v>0.22073178968235496</v>
      </c>
      <c r="EB43" s="194">
        <f t="shared" ca="1" si="45"/>
        <v>0.20470000000000049</v>
      </c>
      <c r="EC43" s="194">
        <f t="shared" ca="1" si="45"/>
        <v>0.20470000000000022</v>
      </c>
      <c r="ED43" s="194">
        <f t="shared" ca="1" si="45"/>
        <v>0.20469999999999999</v>
      </c>
      <c r="EE43" s="194">
        <f t="shared" ca="1" si="45"/>
        <v>0.20469999999999999</v>
      </c>
      <c r="EF43" s="194">
        <f t="shared" ca="1" si="45"/>
        <v>0.20469999999999999</v>
      </c>
      <c r="EG43" s="194">
        <f t="shared" ca="1" si="45"/>
        <v>0.20469999999999999</v>
      </c>
      <c r="EH43" s="194">
        <f t="shared" ca="1" si="45"/>
        <v>0.18604626238165897</v>
      </c>
      <c r="EI43" s="239">
        <f t="shared" ca="1" si="45"/>
        <v>0.18604626238165897</v>
      </c>
      <c r="EJ43" s="190"/>
      <c r="EK43" s="192"/>
      <c r="EL43" s="192"/>
      <c r="EM43" s="192"/>
      <c r="EN43" s="192"/>
      <c r="EO43" s="192"/>
      <c r="EP43" s="192"/>
    </row>
    <row r="44" spans="1:146" x14ac:dyDescent="0.2">
      <c r="A44" s="192"/>
      <c r="B44" s="192"/>
      <c r="C44" s="192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192"/>
      <c r="O44" s="192"/>
      <c r="P44" s="192"/>
      <c r="Q44" s="192"/>
      <c r="R44" s="192"/>
      <c r="S44" s="266"/>
      <c r="T44" s="265"/>
      <c r="U44" s="265"/>
      <c r="V44" s="265"/>
      <c r="W44" s="265"/>
      <c r="X44" s="265"/>
      <c r="Y44" s="265"/>
      <c r="Z44" s="265"/>
      <c r="AA44" s="265"/>
      <c r="AB44" s="265"/>
      <c r="AC44" s="265"/>
      <c r="AD44" s="265"/>
      <c r="AE44" s="265"/>
      <c r="AF44" s="265"/>
      <c r="AG44" s="265"/>
      <c r="AH44" s="265"/>
      <c r="AI44" s="192"/>
      <c r="AJ44" s="190"/>
      <c r="AK44" s="360" t="str">
        <f t="shared" si="34"/>
        <v>CAN Bond</v>
      </c>
      <c r="AL44" s="331">
        <f t="shared" ca="1" si="35"/>
        <v>3</v>
      </c>
      <c r="AM44" s="238" t="str">
        <f t="shared" si="46"/>
        <v>CAN Bond</v>
      </c>
      <c r="AN44" s="193">
        <f t="shared" ca="1" si="36"/>
        <v>0.12565999781753426</v>
      </c>
      <c r="AO44" s="194">
        <f t="shared" ca="1" si="36"/>
        <v>0.12565999781753404</v>
      </c>
      <c r="AP44" s="194">
        <f t="shared" ca="1" si="36"/>
        <v>0.12566000019566817</v>
      </c>
      <c r="AQ44" s="194">
        <f t="shared" ca="1" si="36"/>
        <v>0.1256600013782368</v>
      </c>
      <c r="AR44" s="194">
        <f t="shared" ca="1" si="36"/>
        <v>0.12565999773126829</v>
      </c>
      <c r="AS44" s="194">
        <f t="shared" ca="1" si="36"/>
        <v>0.12566000135487185</v>
      </c>
      <c r="AT44" s="194">
        <f t="shared" ca="1" si="36"/>
        <v>0.12565999863249383</v>
      </c>
      <c r="AU44" s="194">
        <f t="shared" ca="1" si="36"/>
        <v>0.12565999826997326</v>
      </c>
      <c r="AV44" s="194">
        <f t="shared" ca="1" si="36"/>
        <v>0.12566000135487171</v>
      </c>
      <c r="AW44" s="194">
        <f t="shared" ca="1" si="36"/>
        <v>0.12566000347224263</v>
      </c>
      <c r="AX44" s="194">
        <f t="shared" ca="1" si="37"/>
        <v>0.12566000117967721</v>
      </c>
      <c r="AY44" s="194">
        <f t="shared" ca="1" si="37"/>
        <v>0.12565999988897605</v>
      </c>
      <c r="AZ44" s="194">
        <f t="shared" ca="1" si="37"/>
        <v>0.12565999988897578</v>
      </c>
      <c r="BA44" s="194">
        <f t="shared" ca="1" si="37"/>
        <v>0.12565999988897572</v>
      </c>
      <c r="BB44" s="194">
        <f t="shared" ca="1" si="37"/>
        <v>0.12565999988897594</v>
      </c>
      <c r="BC44" s="194">
        <f t="shared" ca="1" si="37"/>
        <v>0.12565999988897575</v>
      </c>
      <c r="BD44" s="194">
        <f t="shared" ca="1" si="37"/>
        <v>0.1256599998889758</v>
      </c>
      <c r="BE44" s="194">
        <f t="shared" ca="1" si="37"/>
        <v>0.12565999863249416</v>
      </c>
      <c r="BF44" s="194">
        <f t="shared" ca="1" si="37"/>
        <v>0.1256599998889755</v>
      </c>
      <c r="BG44" s="194">
        <f t="shared" ca="1" si="37"/>
        <v>0.12565999988897583</v>
      </c>
      <c r="BH44" s="194">
        <f t="shared" ca="1" si="38"/>
        <v>0.12565999988894483</v>
      </c>
      <c r="BI44" s="194">
        <f t="shared" ca="1" si="38"/>
        <v>0.12565999863107052</v>
      </c>
      <c r="BJ44" s="194">
        <f t="shared" ca="1" si="38"/>
        <v>0.12549578535132128</v>
      </c>
      <c r="BK44" s="194">
        <f t="shared" ca="1" si="38"/>
        <v>0.12434632069191798</v>
      </c>
      <c r="BL44" s="194">
        <f t="shared" ca="1" si="38"/>
        <v>0.12366406065600032</v>
      </c>
      <c r="BM44" s="194">
        <f t="shared" ca="1" si="38"/>
        <v>0.12307353726924031</v>
      </c>
      <c r="BN44" s="194">
        <f t="shared" ca="1" si="38"/>
        <v>0.12246253579926988</v>
      </c>
      <c r="BO44" s="194">
        <f t="shared" ca="1" si="38"/>
        <v>0.12219623310463948</v>
      </c>
      <c r="BP44" s="194">
        <f t="shared" ca="1" si="38"/>
        <v>0.11998567801014191</v>
      </c>
      <c r="BQ44" s="194">
        <f t="shared" ca="1" si="38"/>
        <v>0.11902585504880191</v>
      </c>
      <c r="BR44" s="194">
        <f t="shared" ca="1" si="39"/>
        <v>0.11755758914442828</v>
      </c>
      <c r="BS44" s="194">
        <f t="shared" ca="1" si="39"/>
        <v>0.11797901561722159</v>
      </c>
      <c r="BT44" s="194">
        <f t="shared" ca="1" si="39"/>
        <v>0.11617498750936099</v>
      </c>
      <c r="BU44" s="194">
        <f t="shared" ca="1" si="39"/>
        <v>0.11441907222827888</v>
      </c>
      <c r="BV44" s="194">
        <f t="shared" ca="1" si="39"/>
        <v>0.10717291417596563</v>
      </c>
      <c r="BW44" s="194">
        <f t="shared" ca="1" si="39"/>
        <v>9.9639780279497089E-2</v>
      </c>
      <c r="BX44" s="194">
        <f t="shared" ca="1" si="39"/>
        <v>9.2909778972260465E-2</v>
      </c>
      <c r="BY44" s="194">
        <f t="shared" ca="1" si="39"/>
        <v>8.7346228400995832E-2</v>
      </c>
      <c r="BZ44" s="194">
        <f t="shared" ca="1" si="39"/>
        <v>7.9246066200681392E-2</v>
      </c>
      <c r="CA44" s="194">
        <f t="shared" ca="1" si="39"/>
        <v>7.774999999791439E-2</v>
      </c>
      <c r="CB44" s="194">
        <f t="shared" ca="1" si="40"/>
        <v>7.774999999791439E-2</v>
      </c>
      <c r="CC44" s="194">
        <f t="shared" ca="1" si="40"/>
        <v>7.774999999791439E-2</v>
      </c>
      <c r="CD44" s="194">
        <f t="shared" ca="1" si="40"/>
        <v>7.774999999791439E-2</v>
      </c>
      <c r="CE44" s="194">
        <f t="shared" ca="1" si="40"/>
        <v>7.774999999791439E-2</v>
      </c>
      <c r="CF44" s="194">
        <f t="shared" ca="1" si="40"/>
        <v>7.774999999791439E-2</v>
      </c>
      <c r="CG44" s="194">
        <f t="shared" ca="1" si="40"/>
        <v>7.774999999791439E-2</v>
      </c>
      <c r="CH44" s="194">
        <f t="shared" ca="1" si="40"/>
        <v>7.774999999791439E-2</v>
      </c>
      <c r="CI44" s="194">
        <f t="shared" ca="1" si="40"/>
        <v>7.774999999791439E-2</v>
      </c>
      <c r="CJ44" s="194">
        <f t="shared" ca="1" si="40"/>
        <v>7.774999999791439E-2</v>
      </c>
      <c r="CK44" s="194">
        <f t="shared" ca="1" si="40"/>
        <v>7.774999999791439E-2</v>
      </c>
      <c r="CL44" s="194">
        <f t="shared" ca="1" si="41"/>
        <v>7.774999999791439E-2</v>
      </c>
      <c r="CM44" s="194">
        <f t="shared" ca="1" si="41"/>
        <v>7.774999999791439E-2</v>
      </c>
      <c r="CN44" s="194">
        <f t="shared" ca="1" si="41"/>
        <v>7.774999999791439E-2</v>
      </c>
      <c r="CO44" s="194">
        <f t="shared" ca="1" si="41"/>
        <v>7.7749999997914376E-2</v>
      </c>
      <c r="CP44" s="194">
        <f t="shared" ca="1" si="41"/>
        <v>7.7749999997914307E-2</v>
      </c>
      <c r="CQ44" s="194">
        <f t="shared" ca="1" si="41"/>
        <v>7.7749999997914376E-2</v>
      </c>
      <c r="CR44" s="194">
        <f t="shared" ca="1" si="41"/>
        <v>7.774999999791439E-2</v>
      </c>
      <c r="CS44" s="194">
        <f t="shared" ca="1" si="41"/>
        <v>7.7749999997914293E-2</v>
      </c>
      <c r="CT44" s="194">
        <f t="shared" ca="1" si="41"/>
        <v>7.774999999791439E-2</v>
      </c>
      <c r="CU44" s="194">
        <f t="shared" ca="1" si="41"/>
        <v>7.774999999791439E-2</v>
      </c>
      <c r="CV44" s="194">
        <f t="shared" ca="1" si="42"/>
        <v>7.774999999791439E-2</v>
      </c>
      <c r="CW44" s="194">
        <f t="shared" ca="1" si="42"/>
        <v>7.774999999791439E-2</v>
      </c>
      <c r="CX44" s="194">
        <f t="shared" ca="1" si="42"/>
        <v>7.774999999791439E-2</v>
      </c>
      <c r="CY44" s="194">
        <f t="shared" ca="1" si="42"/>
        <v>7.774999999791439E-2</v>
      </c>
      <c r="CZ44" s="194">
        <f t="shared" ca="1" si="42"/>
        <v>7.774999999791439E-2</v>
      </c>
      <c r="DA44" s="194">
        <f t="shared" ca="1" si="42"/>
        <v>7.774999999791439E-2</v>
      </c>
      <c r="DB44" s="194">
        <f t="shared" ca="1" si="42"/>
        <v>7.774999999791439E-2</v>
      </c>
      <c r="DC44" s="194">
        <f t="shared" ca="1" si="42"/>
        <v>7.774999999791439E-2</v>
      </c>
      <c r="DD44" s="194">
        <f t="shared" ca="1" si="42"/>
        <v>7.774999999791439E-2</v>
      </c>
      <c r="DE44" s="194">
        <f t="shared" ca="1" si="42"/>
        <v>7.774999999791439E-2</v>
      </c>
      <c r="DF44" s="194">
        <f t="shared" ca="1" si="43"/>
        <v>7.774999999791439E-2</v>
      </c>
      <c r="DG44" s="194">
        <f t="shared" ca="1" si="43"/>
        <v>7.774999999791439E-2</v>
      </c>
      <c r="DH44" s="194">
        <f t="shared" ca="1" si="43"/>
        <v>7.774999999791439E-2</v>
      </c>
      <c r="DI44" s="194">
        <f t="shared" ca="1" si="43"/>
        <v>7.774999999791439E-2</v>
      </c>
      <c r="DJ44" s="194">
        <f t="shared" ca="1" si="43"/>
        <v>7.7749999997914362E-2</v>
      </c>
      <c r="DK44" s="194">
        <f t="shared" ca="1" si="43"/>
        <v>7.774999999791439E-2</v>
      </c>
      <c r="DL44" s="194">
        <f t="shared" ca="1" si="43"/>
        <v>7.7749999997914432E-2</v>
      </c>
      <c r="DM44" s="194">
        <f t="shared" ca="1" si="43"/>
        <v>7.774999999791439E-2</v>
      </c>
      <c r="DN44" s="194">
        <f t="shared" ca="1" si="43"/>
        <v>7.774999999791439E-2</v>
      </c>
      <c r="DO44" s="194">
        <f t="shared" ca="1" si="43"/>
        <v>7.7749999997914404E-2</v>
      </c>
      <c r="DP44" s="194">
        <f t="shared" ca="1" si="44"/>
        <v>7.7749999997914376E-2</v>
      </c>
      <c r="DQ44" s="194">
        <f t="shared" ca="1" si="44"/>
        <v>7.7749999997914376E-2</v>
      </c>
      <c r="DR44" s="194">
        <f t="shared" ca="1" si="44"/>
        <v>7.774999999791439E-2</v>
      </c>
      <c r="DS44" s="194">
        <f t="shared" ca="1" si="44"/>
        <v>7.774999999791439E-2</v>
      </c>
      <c r="DT44" s="194">
        <f t="shared" ca="1" si="44"/>
        <v>7.7749999997914557E-2</v>
      </c>
      <c r="DU44" s="194">
        <f t="shared" ca="1" si="44"/>
        <v>7.7749999997914376E-2</v>
      </c>
      <c r="DV44" s="194">
        <f t="shared" ca="1" si="44"/>
        <v>7.774999999791439E-2</v>
      </c>
      <c r="DW44" s="194">
        <f t="shared" ca="1" si="44"/>
        <v>7.774999999791439E-2</v>
      </c>
      <c r="DX44" s="194">
        <f t="shared" ca="1" si="44"/>
        <v>7.774999999791439E-2</v>
      </c>
      <c r="DY44" s="194">
        <f t="shared" ca="1" si="44"/>
        <v>6.8007472283165782E-2</v>
      </c>
      <c r="DZ44" s="194">
        <f t="shared" ca="1" si="45"/>
        <v>4.9858392666039655E-2</v>
      </c>
      <c r="EA44" s="194">
        <f t="shared" ca="1" si="45"/>
        <v>3.5112571859859235E-2</v>
      </c>
      <c r="EB44" s="194">
        <f t="shared" ca="1" si="45"/>
        <v>1.908078217750403E-2</v>
      </c>
      <c r="EC44" s="194">
        <f t="shared" ca="1" si="45"/>
        <v>1.908078217750421E-2</v>
      </c>
      <c r="ED44" s="194">
        <f t="shared" ca="1" si="45"/>
        <v>1.9080782177504956E-2</v>
      </c>
      <c r="EE44" s="194">
        <f t="shared" ca="1" si="45"/>
        <v>1.9080782177504939E-2</v>
      </c>
      <c r="EF44" s="194">
        <f t="shared" ca="1" si="45"/>
        <v>1.9080782177504946E-2</v>
      </c>
      <c r="EG44" s="194">
        <f t="shared" ca="1" si="45"/>
        <v>1.9080782177504956E-2</v>
      </c>
      <c r="EH44" s="194">
        <f t="shared" ca="1" si="45"/>
        <v>1.5444355210365924E-4</v>
      </c>
      <c r="EI44" s="239">
        <f t="shared" ca="1" si="45"/>
        <v>1.5444355210365924E-4</v>
      </c>
      <c r="EJ44" s="190"/>
      <c r="EK44" s="192"/>
      <c r="EL44" s="192"/>
      <c r="EM44" s="192"/>
      <c r="EN44" s="192"/>
      <c r="EO44" s="192"/>
      <c r="EP44" s="192"/>
    </row>
    <row r="45" spans="1:146" x14ac:dyDescent="0.2">
      <c r="A45" s="192"/>
      <c r="B45" s="192"/>
      <c r="C45" s="192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192"/>
      <c r="O45" s="192"/>
      <c r="P45" s="192"/>
      <c r="Q45" s="192"/>
      <c r="R45" s="192"/>
      <c r="S45" s="266"/>
      <c r="T45" s="265"/>
      <c r="U45" s="265"/>
      <c r="V45" s="265"/>
      <c r="W45" s="265"/>
      <c r="X45" s="265"/>
      <c r="Y45" s="265"/>
      <c r="Z45" s="265"/>
      <c r="AA45" s="265"/>
      <c r="AB45" s="265"/>
      <c r="AC45" s="265"/>
      <c r="AD45" s="265"/>
      <c r="AE45" s="265"/>
      <c r="AF45" s="265"/>
      <c r="AG45" s="265"/>
      <c r="AH45" s="265"/>
      <c r="AI45" s="192"/>
      <c r="AJ45" s="190"/>
      <c r="AK45" s="360" t="str">
        <f t="shared" si="34"/>
        <v>Jpn Bond</v>
      </c>
      <c r="AL45" s="331">
        <f t="shared" ca="1" si="35"/>
        <v>4</v>
      </c>
      <c r="AM45" s="238" t="str">
        <f t="shared" si="46"/>
        <v>Jpn Bond</v>
      </c>
      <c r="AN45" s="193">
        <f t="shared" ca="1" si="36"/>
        <v>4.9569996416732987E-2</v>
      </c>
      <c r="AO45" s="194">
        <f t="shared" ca="1" si="36"/>
        <v>4.9569996416732987E-2</v>
      </c>
      <c r="AP45" s="194">
        <f t="shared" ca="1" si="36"/>
        <v>4.9569999896194664E-2</v>
      </c>
      <c r="AQ45" s="194">
        <f t="shared" ca="1" si="36"/>
        <v>4.9569999315262035E-2</v>
      </c>
      <c r="AR45" s="194">
        <f t="shared" ca="1" si="36"/>
        <v>4.9569996416732987E-2</v>
      </c>
      <c r="AS45" s="194">
        <f t="shared" ca="1" si="36"/>
        <v>4.9569999315262035E-2</v>
      </c>
      <c r="AT45" s="194">
        <f t="shared" ca="1" si="36"/>
        <v>4.9569996416732987E-2</v>
      </c>
      <c r="AU45" s="194">
        <f t="shared" ca="1" si="36"/>
        <v>4.9569996416732987E-2</v>
      </c>
      <c r="AV45" s="194">
        <f t="shared" ca="1" si="36"/>
        <v>4.9569999315262035E-2</v>
      </c>
      <c r="AW45" s="194">
        <f t="shared" ca="1" si="36"/>
        <v>4.9569996416732987E-2</v>
      </c>
      <c r="AX45" s="194">
        <f t="shared" ca="1" si="37"/>
        <v>4.9569999315262035E-2</v>
      </c>
      <c r="AY45" s="194">
        <f t="shared" ca="1" si="37"/>
        <v>4.9570000000000003E-2</v>
      </c>
      <c r="AZ45" s="194">
        <f t="shared" ca="1" si="37"/>
        <v>4.9570000000000003E-2</v>
      </c>
      <c r="BA45" s="194">
        <f t="shared" ca="1" si="37"/>
        <v>4.9570000000000003E-2</v>
      </c>
      <c r="BB45" s="194">
        <f t="shared" ca="1" si="37"/>
        <v>4.9570000000000003E-2</v>
      </c>
      <c r="BC45" s="194">
        <f t="shared" ca="1" si="37"/>
        <v>4.9570000000000003E-2</v>
      </c>
      <c r="BD45" s="194">
        <f t="shared" ca="1" si="37"/>
        <v>4.9570000000000003E-2</v>
      </c>
      <c r="BE45" s="194">
        <f t="shared" ca="1" si="37"/>
        <v>4.9569996416732987E-2</v>
      </c>
      <c r="BF45" s="194">
        <f t="shared" ca="1" si="37"/>
        <v>4.9570000000000003E-2</v>
      </c>
      <c r="BG45" s="194">
        <f t="shared" ca="1" si="37"/>
        <v>4.9570000000000003E-2</v>
      </c>
      <c r="BH45" s="194">
        <f t="shared" ca="1" si="38"/>
        <v>4.9570000000000003E-2</v>
      </c>
      <c r="BI45" s="194">
        <f t="shared" ca="1" si="38"/>
        <v>4.9569996416732987E-2</v>
      </c>
      <c r="BJ45" s="194">
        <f t="shared" ca="1" si="38"/>
        <v>4.9052894576362298E-2</v>
      </c>
      <c r="BK45" s="194">
        <f t="shared" ca="1" si="38"/>
        <v>4.8052748892116942E-2</v>
      </c>
      <c r="BL45" s="194">
        <f t="shared" ca="1" si="38"/>
        <v>4.6987339527710295E-2</v>
      </c>
      <c r="BM45" s="194">
        <f t="shared" ca="1" si="38"/>
        <v>4.5849544528874936E-2</v>
      </c>
      <c r="BN45" s="194">
        <f t="shared" ca="1" si="38"/>
        <v>4.4765970659019015E-2</v>
      </c>
      <c r="BO45" s="194">
        <f t="shared" ca="1" si="38"/>
        <v>4.3556494866372093E-2</v>
      </c>
      <c r="BP45" s="194">
        <f t="shared" ca="1" si="38"/>
        <v>4.2377379758457921E-2</v>
      </c>
      <c r="BQ45" s="194">
        <f t="shared" ca="1" si="38"/>
        <v>4.1455930293816494E-2</v>
      </c>
      <c r="BR45" s="194">
        <f t="shared" ca="1" si="39"/>
        <v>4.0370796836513637E-2</v>
      </c>
      <c r="BS45" s="194">
        <f t="shared" ca="1" si="39"/>
        <v>3.9517218438883353E-2</v>
      </c>
      <c r="BT45" s="194">
        <f t="shared" ca="1" si="39"/>
        <v>3.8481382193145362E-2</v>
      </c>
      <c r="BU45" s="194">
        <f t="shared" ca="1" si="39"/>
        <v>3.7820788151719853E-2</v>
      </c>
      <c r="BV45" s="194">
        <f t="shared" ca="1" si="39"/>
        <v>3.7820788151719853E-2</v>
      </c>
      <c r="BW45" s="194">
        <f t="shared" ca="1" si="39"/>
        <v>3.7820788151719853E-2</v>
      </c>
      <c r="BX45" s="194">
        <f t="shared" ca="1" si="39"/>
        <v>3.7820788151719853E-2</v>
      </c>
      <c r="BY45" s="194">
        <f t="shared" ca="1" si="39"/>
        <v>3.7820788151719853E-2</v>
      </c>
      <c r="BZ45" s="194">
        <f t="shared" ca="1" si="39"/>
        <v>3.7820788151719853E-2</v>
      </c>
      <c r="CA45" s="194">
        <f t="shared" ca="1" si="39"/>
        <v>3.7820788151719853E-2</v>
      </c>
      <c r="CB45" s="194">
        <f t="shared" ca="1" si="40"/>
        <v>3.7820788151719853E-2</v>
      </c>
      <c r="CC45" s="194">
        <f t="shared" ca="1" si="40"/>
        <v>3.7820788151719853E-2</v>
      </c>
      <c r="CD45" s="194">
        <f t="shared" ca="1" si="40"/>
        <v>3.7820788151719853E-2</v>
      </c>
      <c r="CE45" s="194">
        <f t="shared" ca="1" si="40"/>
        <v>3.7820788151719853E-2</v>
      </c>
      <c r="CF45" s="194">
        <f t="shared" ca="1" si="40"/>
        <v>3.7820788151719853E-2</v>
      </c>
      <c r="CG45" s="194">
        <f t="shared" ca="1" si="40"/>
        <v>3.7820788151719853E-2</v>
      </c>
      <c r="CH45" s="194">
        <f t="shared" ca="1" si="40"/>
        <v>3.7820788151719853E-2</v>
      </c>
      <c r="CI45" s="194">
        <f t="shared" ca="1" si="40"/>
        <v>3.7820788151719853E-2</v>
      </c>
      <c r="CJ45" s="194">
        <f t="shared" ca="1" si="40"/>
        <v>3.7820788151719853E-2</v>
      </c>
      <c r="CK45" s="194">
        <f t="shared" ca="1" si="40"/>
        <v>3.7820788151719853E-2</v>
      </c>
      <c r="CL45" s="194">
        <f t="shared" ca="1" si="41"/>
        <v>3.7820788151719853E-2</v>
      </c>
      <c r="CM45" s="194">
        <f t="shared" ca="1" si="41"/>
        <v>3.7820788151719853E-2</v>
      </c>
      <c r="CN45" s="194">
        <f t="shared" ca="1" si="41"/>
        <v>3.7820788151719853E-2</v>
      </c>
      <c r="CO45" s="194">
        <f t="shared" ca="1" si="41"/>
        <v>3.7820788151719853E-2</v>
      </c>
      <c r="CP45" s="194">
        <f t="shared" ca="1" si="41"/>
        <v>3.782078815171986E-2</v>
      </c>
      <c r="CQ45" s="194">
        <f t="shared" ca="1" si="41"/>
        <v>3.782078815171986E-2</v>
      </c>
      <c r="CR45" s="194">
        <f t="shared" ca="1" si="41"/>
        <v>3.7820788151719853E-2</v>
      </c>
      <c r="CS45" s="194">
        <f t="shared" ca="1" si="41"/>
        <v>3.7820788151719867E-2</v>
      </c>
      <c r="CT45" s="194">
        <f t="shared" ca="1" si="41"/>
        <v>3.7820788151719853E-2</v>
      </c>
      <c r="CU45" s="194">
        <f t="shared" ca="1" si="41"/>
        <v>3.7820788151719853E-2</v>
      </c>
      <c r="CV45" s="194">
        <f t="shared" ca="1" si="42"/>
        <v>3.7820788151719853E-2</v>
      </c>
      <c r="CW45" s="194">
        <f t="shared" ca="1" si="42"/>
        <v>3.7820788151719853E-2</v>
      </c>
      <c r="CX45" s="194">
        <f t="shared" ca="1" si="42"/>
        <v>3.7820788151719853E-2</v>
      </c>
      <c r="CY45" s="194">
        <f t="shared" ca="1" si="42"/>
        <v>3.7820788151719853E-2</v>
      </c>
      <c r="CZ45" s="194">
        <f t="shared" ca="1" si="42"/>
        <v>3.7820788151719853E-2</v>
      </c>
      <c r="DA45" s="194">
        <f t="shared" ca="1" si="42"/>
        <v>3.7820788151719853E-2</v>
      </c>
      <c r="DB45" s="194">
        <f t="shared" ca="1" si="42"/>
        <v>3.7820788151719853E-2</v>
      </c>
      <c r="DC45" s="194">
        <f t="shared" ca="1" si="42"/>
        <v>3.7820788151719853E-2</v>
      </c>
      <c r="DD45" s="194">
        <f t="shared" ca="1" si="42"/>
        <v>3.7820788151719853E-2</v>
      </c>
      <c r="DE45" s="194">
        <f t="shared" ca="1" si="42"/>
        <v>3.7820788151719853E-2</v>
      </c>
      <c r="DF45" s="194">
        <f t="shared" ca="1" si="43"/>
        <v>3.7820788151719853E-2</v>
      </c>
      <c r="DG45" s="194">
        <f t="shared" ca="1" si="43"/>
        <v>3.7820788151719853E-2</v>
      </c>
      <c r="DH45" s="194">
        <f t="shared" ca="1" si="43"/>
        <v>3.7820788151719853E-2</v>
      </c>
      <c r="DI45" s="194">
        <f t="shared" ca="1" si="43"/>
        <v>3.7820788151719853E-2</v>
      </c>
      <c r="DJ45" s="194">
        <f t="shared" ca="1" si="43"/>
        <v>3.7820788151719853E-2</v>
      </c>
      <c r="DK45" s="194">
        <f t="shared" ca="1" si="43"/>
        <v>3.7820788151719853E-2</v>
      </c>
      <c r="DL45" s="194">
        <f t="shared" ca="1" si="43"/>
        <v>3.7820788151719853E-2</v>
      </c>
      <c r="DM45" s="194">
        <f t="shared" ca="1" si="43"/>
        <v>3.7820788151719853E-2</v>
      </c>
      <c r="DN45" s="194">
        <f t="shared" ca="1" si="43"/>
        <v>3.7820788151719853E-2</v>
      </c>
      <c r="DO45" s="194">
        <f t="shared" ca="1" si="43"/>
        <v>3.7820788151719853E-2</v>
      </c>
      <c r="DP45" s="194">
        <f t="shared" ca="1" si="44"/>
        <v>3.7820788151719853E-2</v>
      </c>
      <c r="DQ45" s="194">
        <f t="shared" ca="1" si="44"/>
        <v>3.782078815171986E-2</v>
      </c>
      <c r="DR45" s="194">
        <f t="shared" ca="1" si="44"/>
        <v>3.7820788151719853E-2</v>
      </c>
      <c r="DS45" s="194">
        <f t="shared" ca="1" si="44"/>
        <v>3.7820788151719853E-2</v>
      </c>
      <c r="DT45" s="194">
        <f t="shared" ca="1" si="44"/>
        <v>3.7820788151719853E-2</v>
      </c>
      <c r="DU45" s="194">
        <f t="shared" ca="1" si="44"/>
        <v>3.7820788151719853E-2</v>
      </c>
      <c r="DV45" s="194">
        <f t="shared" ca="1" si="44"/>
        <v>3.7820788151719853E-2</v>
      </c>
      <c r="DW45" s="194">
        <f t="shared" ca="1" si="44"/>
        <v>3.7820788151719853E-2</v>
      </c>
      <c r="DX45" s="194">
        <f t="shared" ca="1" si="44"/>
        <v>3.7820788151719853E-2</v>
      </c>
      <c r="DY45" s="194">
        <f t="shared" ca="1" si="44"/>
        <v>3.7820788151719853E-2</v>
      </c>
      <c r="DZ45" s="194">
        <f t="shared" ca="1" si="45"/>
        <v>3.7820788151719853E-2</v>
      </c>
      <c r="EA45" s="194">
        <f t="shared" ca="1" si="45"/>
        <v>3.7820788151719853E-2</v>
      </c>
      <c r="EB45" s="194">
        <f t="shared" ca="1" si="45"/>
        <v>3.7820788151719902E-2</v>
      </c>
      <c r="EC45" s="194">
        <f t="shared" ca="1" si="45"/>
        <v>3.7820788151719853E-2</v>
      </c>
      <c r="ED45" s="194">
        <f t="shared" ca="1" si="45"/>
        <v>3.7820788151719853E-2</v>
      </c>
      <c r="EE45" s="194">
        <f t="shared" ca="1" si="45"/>
        <v>3.7820788151719853E-2</v>
      </c>
      <c r="EF45" s="194">
        <f t="shared" ca="1" si="45"/>
        <v>3.7820788151719853E-2</v>
      </c>
      <c r="EG45" s="194">
        <f t="shared" ca="1" si="45"/>
        <v>3.7820788151719853E-2</v>
      </c>
      <c r="EH45" s="194">
        <f t="shared" ca="1" si="45"/>
        <v>3.7844871872194076E-2</v>
      </c>
      <c r="EI45" s="239">
        <f t="shared" ca="1" si="45"/>
        <v>3.7844871872194076E-2</v>
      </c>
      <c r="EJ45" s="190"/>
      <c r="EK45" s="192"/>
      <c r="EL45" s="192"/>
      <c r="EM45" s="192"/>
      <c r="EN45" s="192"/>
      <c r="EO45" s="192"/>
      <c r="EP45" s="192"/>
    </row>
    <row r="46" spans="1:146" x14ac:dyDescent="0.2">
      <c r="A46" s="192"/>
      <c r="B46" s="192"/>
      <c r="C46" s="192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192"/>
      <c r="O46" s="192"/>
      <c r="P46" s="192"/>
      <c r="Q46" s="192"/>
      <c r="R46" s="192"/>
      <c r="S46" s="266"/>
      <c r="T46" s="265"/>
      <c r="U46" s="265"/>
      <c r="V46" s="265"/>
      <c r="W46" s="265"/>
      <c r="X46" s="265"/>
      <c r="Y46" s="265"/>
      <c r="Z46" s="265"/>
      <c r="AA46" s="265"/>
      <c r="AB46" s="265"/>
      <c r="AC46" s="265"/>
      <c r="AD46" s="265"/>
      <c r="AE46" s="265"/>
      <c r="AF46" s="265"/>
      <c r="AG46" s="265"/>
      <c r="AH46" s="265"/>
      <c r="AI46" s="192"/>
      <c r="AJ46" s="190"/>
      <c r="AK46" s="360" t="str">
        <f t="shared" si="34"/>
        <v>US Equ</v>
      </c>
      <c r="AL46" s="331">
        <f t="shared" ca="1" si="35"/>
        <v>5</v>
      </c>
      <c r="AM46" s="238" t="str">
        <f t="shared" si="46"/>
        <v>US Equ</v>
      </c>
      <c r="AN46" s="193">
        <f t="shared" ca="1" si="36"/>
        <v>1.0476434817458315E-8</v>
      </c>
      <c r="AO46" s="194">
        <f t="shared" ca="1" si="36"/>
        <v>1.0476434817459305E-8</v>
      </c>
      <c r="AP46" s="194">
        <f t="shared" ca="1" si="36"/>
        <v>5.6171325000046334E-10</v>
      </c>
      <c r="AQ46" s="194">
        <f t="shared" ca="1" si="36"/>
        <v>3.7052660653161717E-9</v>
      </c>
      <c r="AR46" s="194">
        <f t="shared" ca="1" si="36"/>
        <v>1.6209906174922128E-8</v>
      </c>
      <c r="AS46" s="194">
        <f t="shared" ca="1" si="36"/>
        <v>3.7052660653294409E-9</v>
      </c>
      <c r="AT46" s="194">
        <f t="shared" ca="1" si="36"/>
        <v>1.1379053474060595E-8</v>
      </c>
      <c r="AU46" s="194">
        <f t="shared" ca="1" si="36"/>
        <v>1.6209906175078799E-8</v>
      </c>
      <c r="AV46" s="194">
        <f t="shared" ca="1" si="36"/>
        <v>3.7052660653110436E-9</v>
      </c>
      <c r="AW46" s="194">
        <f t="shared" ca="1" si="36"/>
        <v>1.6218802170038894E-8</v>
      </c>
      <c r="AX46" s="194">
        <f t="shared" ca="1" si="37"/>
        <v>3.7052660655278108E-9</v>
      </c>
      <c r="AY46" s="194">
        <f t="shared" ca="1" si="37"/>
        <v>6.4303795583483727E-23</v>
      </c>
      <c r="AZ46" s="194">
        <f t="shared" ca="1" si="37"/>
        <v>-1.5823949861796387E-20</v>
      </c>
      <c r="BA46" s="194">
        <f t="shared" ca="1" si="37"/>
        <v>-5.6974578571882733E-21</v>
      </c>
      <c r="BB46" s="194">
        <f t="shared" ca="1" si="37"/>
        <v>4.2449158008903267E-22</v>
      </c>
      <c r="BC46" s="194">
        <f t="shared" ca="1" si="37"/>
        <v>1.3128412438418852E-19</v>
      </c>
      <c r="BD46" s="194">
        <f t="shared" ca="1" si="37"/>
        <v>1.4120362848793486E-21</v>
      </c>
      <c r="BE46" s="194">
        <f t="shared" ca="1" si="37"/>
        <v>1.1379053474202355E-8</v>
      </c>
      <c r="BF46" s="194">
        <f t="shared" ca="1" si="37"/>
        <v>-2.6375970670395079E-21</v>
      </c>
      <c r="BG46" s="194">
        <f t="shared" ca="1" si="37"/>
        <v>-3.1960663099092758E-23</v>
      </c>
      <c r="BH46" s="194">
        <f t="shared" ca="1" si="38"/>
        <v>3.12288092638616E-20</v>
      </c>
      <c r="BI46" s="194">
        <f t="shared" ca="1" si="38"/>
        <v>1.1377660810435615E-8</v>
      </c>
      <c r="BJ46" s="194">
        <f t="shared" ca="1" si="38"/>
        <v>1.6592342113819656E-3</v>
      </c>
      <c r="BK46" s="194">
        <f t="shared" ca="1" si="38"/>
        <v>4.0365443901411091E-3</v>
      </c>
      <c r="BL46" s="194">
        <f t="shared" ca="1" si="38"/>
        <v>7.1111959701222523E-3</v>
      </c>
      <c r="BM46" s="194">
        <f t="shared" ca="1" si="38"/>
        <v>1.0532834847410279E-2</v>
      </c>
      <c r="BN46" s="194">
        <f t="shared" ca="1" si="38"/>
        <v>1.3742797782622605E-2</v>
      </c>
      <c r="BO46" s="194">
        <f t="shared" ca="1" si="38"/>
        <v>1.774142254812772E-2</v>
      </c>
      <c r="BP46" s="194">
        <f t="shared" ca="1" si="38"/>
        <v>1.9688735211692707E-2</v>
      </c>
      <c r="BQ46" s="194">
        <f t="shared" ca="1" si="38"/>
        <v>2.1978183669233889E-2</v>
      </c>
      <c r="BR46" s="194">
        <f t="shared" ca="1" si="39"/>
        <v>2.4336381682616131E-2</v>
      </c>
      <c r="BS46" s="194">
        <f t="shared" ca="1" si="39"/>
        <v>2.7767748469688013E-2</v>
      </c>
      <c r="BT46" s="194">
        <f t="shared" ca="1" si="39"/>
        <v>2.9616349439242358E-2</v>
      </c>
      <c r="BU46" s="194">
        <f t="shared" ca="1" si="39"/>
        <v>3.1039833725869274E-2</v>
      </c>
      <c r="BV46" s="194">
        <f t="shared" ca="1" si="39"/>
        <v>3.0862498825278039E-2</v>
      </c>
      <c r="BW46" s="194">
        <f t="shared" ca="1" si="39"/>
        <v>3.0936743409020317E-2</v>
      </c>
      <c r="BX46" s="194">
        <f t="shared" ca="1" si="39"/>
        <v>3.0736400745390854E-2</v>
      </c>
      <c r="BY46" s="194">
        <f t="shared" ca="1" si="39"/>
        <v>3.0397582037727879E-2</v>
      </c>
      <c r="BZ46" s="194">
        <f t="shared" ca="1" si="39"/>
        <v>2.9665763654913472E-2</v>
      </c>
      <c r="CA46" s="194">
        <f t="shared" ca="1" si="39"/>
        <v>3.128687955904972E-2</v>
      </c>
      <c r="CB46" s="194">
        <f t="shared" ca="1" si="40"/>
        <v>3.4071220545855062E-2</v>
      </c>
      <c r="CC46" s="194">
        <f t="shared" ca="1" si="40"/>
        <v>3.6572251753787699E-2</v>
      </c>
      <c r="CD46" s="194">
        <f t="shared" ca="1" si="40"/>
        <v>3.7931458391527839E-2</v>
      </c>
      <c r="CE46" s="194">
        <f t="shared" ca="1" si="40"/>
        <v>3.9167402222339207E-2</v>
      </c>
      <c r="CF46" s="194">
        <f t="shared" ca="1" si="40"/>
        <v>4.1430782178897611E-2</v>
      </c>
      <c r="CG46" s="194">
        <f t="shared" ca="1" si="40"/>
        <v>4.1430782178897611E-2</v>
      </c>
      <c r="CH46" s="194">
        <f t="shared" ca="1" si="40"/>
        <v>4.1430782178897611E-2</v>
      </c>
      <c r="CI46" s="194">
        <f t="shared" ca="1" si="40"/>
        <v>4.1430782178897604E-2</v>
      </c>
      <c r="CJ46" s="194">
        <f t="shared" ca="1" si="40"/>
        <v>4.1430782178897611E-2</v>
      </c>
      <c r="CK46" s="194">
        <f t="shared" ca="1" si="40"/>
        <v>4.1430782178897611E-2</v>
      </c>
      <c r="CL46" s="194">
        <f t="shared" ca="1" si="41"/>
        <v>4.1430782178897611E-2</v>
      </c>
      <c r="CM46" s="194">
        <f t="shared" ca="1" si="41"/>
        <v>4.1430782178897611E-2</v>
      </c>
      <c r="CN46" s="194">
        <f t="shared" ca="1" si="41"/>
        <v>4.1430782178897611E-2</v>
      </c>
      <c r="CO46" s="194">
        <f t="shared" ca="1" si="41"/>
        <v>4.1430782178897348E-2</v>
      </c>
      <c r="CP46" s="194">
        <f t="shared" ca="1" si="41"/>
        <v>4.1430782178897785E-2</v>
      </c>
      <c r="CQ46" s="194">
        <f t="shared" ca="1" si="41"/>
        <v>4.1430782178897625E-2</v>
      </c>
      <c r="CR46" s="194">
        <f t="shared" ca="1" si="41"/>
        <v>4.1430787961067021E-2</v>
      </c>
      <c r="CS46" s="194">
        <f t="shared" ca="1" si="41"/>
        <v>4.1430782178897486E-2</v>
      </c>
      <c r="CT46" s="194">
        <f t="shared" ca="1" si="41"/>
        <v>4.1430787961067021E-2</v>
      </c>
      <c r="CU46" s="194">
        <f t="shared" ca="1" si="41"/>
        <v>4.1430787961067021E-2</v>
      </c>
      <c r="CV46" s="194">
        <f t="shared" ca="1" si="42"/>
        <v>4.1430787961067021E-2</v>
      </c>
      <c r="CW46" s="194">
        <f t="shared" ca="1" si="42"/>
        <v>4.1430787961067021E-2</v>
      </c>
      <c r="CX46" s="194">
        <f t="shared" ca="1" si="42"/>
        <v>4.1430787961067014E-2</v>
      </c>
      <c r="CY46" s="194">
        <f t="shared" ca="1" si="42"/>
        <v>4.1430782178897611E-2</v>
      </c>
      <c r="CZ46" s="194">
        <f t="shared" ca="1" si="42"/>
        <v>4.1430787961067021E-2</v>
      </c>
      <c r="DA46" s="194">
        <f t="shared" ca="1" si="42"/>
        <v>4.1430787961067021E-2</v>
      </c>
      <c r="DB46" s="194">
        <f t="shared" ca="1" si="42"/>
        <v>4.1430787961067021E-2</v>
      </c>
      <c r="DC46" s="194">
        <f t="shared" ca="1" si="42"/>
        <v>4.1430787961067021E-2</v>
      </c>
      <c r="DD46" s="194">
        <f t="shared" ca="1" si="42"/>
        <v>4.1430787961067021E-2</v>
      </c>
      <c r="DE46" s="194">
        <f t="shared" ca="1" si="42"/>
        <v>4.1430787961067021E-2</v>
      </c>
      <c r="DF46" s="194">
        <f t="shared" ca="1" si="43"/>
        <v>4.1430787961067014E-2</v>
      </c>
      <c r="DG46" s="194">
        <f t="shared" ca="1" si="43"/>
        <v>4.1430787961067021E-2</v>
      </c>
      <c r="DH46" s="194">
        <f t="shared" ca="1" si="43"/>
        <v>4.1430787961067021E-2</v>
      </c>
      <c r="DI46" s="194">
        <f t="shared" ca="1" si="43"/>
        <v>4.1430787961067014E-2</v>
      </c>
      <c r="DJ46" s="194">
        <f t="shared" ca="1" si="43"/>
        <v>4.1430782178897563E-2</v>
      </c>
      <c r="DK46" s="194">
        <f t="shared" ca="1" si="43"/>
        <v>4.1430782178897611E-2</v>
      </c>
      <c r="DL46" s="194">
        <f t="shared" ca="1" si="43"/>
        <v>4.143078796106698E-2</v>
      </c>
      <c r="DM46" s="194">
        <f t="shared" ca="1" si="43"/>
        <v>4.1430782178897611E-2</v>
      </c>
      <c r="DN46" s="194">
        <f t="shared" ca="1" si="43"/>
        <v>4.1430782178897611E-2</v>
      </c>
      <c r="DO46" s="194">
        <f t="shared" ca="1" si="43"/>
        <v>4.1430782178897618E-2</v>
      </c>
      <c r="DP46" s="194">
        <f t="shared" ca="1" si="44"/>
        <v>4.1430787961066938E-2</v>
      </c>
      <c r="DQ46" s="194">
        <f t="shared" ca="1" si="44"/>
        <v>4.1430782178897604E-2</v>
      </c>
      <c r="DR46" s="194">
        <f t="shared" ca="1" si="44"/>
        <v>4.1430782178897611E-2</v>
      </c>
      <c r="DS46" s="194">
        <f t="shared" ca="1" si="44"/>
        <v>4.1430782178897611E-2</v>
      </c>
      <c r="DT46" s="194">
        <f t="shared" ca="1" si="44"/>
        <v>4.1430787961066744E-2</v>
      </c>
      <c r="DU46" s="194">
        <f t="shared" ca="1" si="44"/>
        <v>4.1430782178897611E-2</v>
      </c>
      <c r="DV46" s="194">
        <f t="shared" ca="1" si="44"/>
        <v>4.1430782178897611E-2</v>
      </c>
      <c r="DW46" s="194">
        <f t="shared" ca="1" si="44"/>
        <v>4.1430782178897611E-2</v>
      </c>
      <c r="DX46" s="194">
        <f t="shared" ca="1" si="44"/>
        <v>4.1430782178897618E-2</v>
      </c>
      <c r="DY46" s="194">
        <f t="shared" ca="1" si="44"/>
        <v>4.1430782178897611E-2</v>
      </c>
      <c r="DZ46" s="194">
        <f t="shared" ca="1" si="45"/>
        <v>4.1430782178897521E-2</v>
      </c>
      <c r="EA46" s="194">
        <f t="shared" ca="1" si="45"/>
        <v>4.1430782178897098E-2</v>
      </c>
      <c r="EB46" s="194">
        <f t="shared" ca="1" si="45"/>
        <v>4.1430782178896716E-2</v>
      </c>
      <c r="EC46" s="194">
        <f t="shared" ca="1" si="45"/>
        <v>4.1430782178897015E-2</v>
      </c>
      <c r="ED46" s="194">
        <f t="shared" ca="1" si="45"/>
        <v>4.1430782178897611E-2</v>
      </c>
      <c r="EE46" s="194">
        <f t="shared" ca="1" si="45"/>
        <v>4.1430782178897611E-2</v>
      </c>
      <c r="EF46" s="194">
        <f t="shared" ca="1" si="45"/>
        <v>4.1430782178897618E-2</v>
      </c>
      <c r="EG46" s="194">
        <f t="shared" ca="1" si="45"/>
        <v>4.1430782178897611E-2</v>
      </c>
      <c r="EH46" s="194">
        <f t="shared" ca="1" si="45"/>
        <v>4.1244303786698439E-2</v>
      </c>
      <c r="EI46" s="239">
        <f t="shared" ca="1" si="45"/>
        <v>4.1244303786698439E-2</v>
      </c>
      <c r="EJ46" s="190"/>
      <c r="EK46" s="192"/>
      <c r="EL46" s="192"/>
      <c r="EM46" s="192"/>
      <c r="EN46" s="192"/>
      <c r="EO46" s="192"/>
      <c r="EP46" s="192"/>
    </row>
    <row r="47" spans="1:146" x14ac:dyDescent="0.2">
      <c r="A47" s="192"/>
      <c r="B47" s="192"/>
      <c r="C47" s="192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266"/>
      <c r="T47" s="265"/>
      <c r="U47" s="265"/>
      <c r="V47" s="265"/>
      <c r="W47" s="265"/>
      <c r="X47" s="265"/>
      <c r="Y47" s="265"/>
      <c r="Z47" s="265"/>
      <c r="AA47" s="265"/>
      <c r="AB47" s="265"/>
      <c r="AC47" s="265"/>
      <c r="AD47" s="265"/>
      <c r="AE47" s="265"/>
      <c r="AF47" s="265"/>
      <c r="AG47" s="265"/>
      <c r="AH47" s="265"/>
      <c r="AI47" s="192"/>
      <c r="AJ47" s="190"/>
      <c r="AK47" s="360" t="str">
        <f t="shared" si="34"/>
        <v>CAN Equ</v>
      </c>
      <c r="AL47" s="331">
        <f t="shared" ca="1" si="35"/>
        <v>6</v>
      </c>
      <c r="AM47" s="238" t="str">
        <f t="shared" si="46"/>
        <v>CAN Equ</v>
      </c>
      <c r="AN47" s="193">
        <f t="shared" ca="1" si="36"/>
        <v>1.3926637621002399E-12</v>
      </c>
      <c r="AO47" s="194">
        <f t="shared" ca="1" si="36"/>
        <v>1.3926637623162635E-12</v>
      </c>
      <c r="AP47" s="194">
        <f t="shared" ca="1" si="36"/>
        <v>1.392663762117619E-12</v>
      </c>
      <c r="AQ47" s="194">
        <f t="shared" ca="1" si="36"/>
        <v>1.3926637628272424E-12</v>
      </c>
      <c r="AR47" s="194">
        <f t="shared" ca="1" si="36"/>
        <v>1.3926637620897964E-12</v>
      </c>
      <c r="AS47" s="194">
        <f t="shared" ca="1" si="36"/>
        <v>1.3926637621103785E-12</v>
      </c>
      <c r="AT47" s="194">
        <f t="shared" ca="1" si="36"/>
        <v>1.3926637620897964E-12</v>
      </c>
      <c r="AU47" s="194">
        <f t="shared" ca="1" si="36"/>
        <v>1.3926637620897964E-12</v>
      </c>
      <c r="AV47" s="194">
        <f t="shared" ca="1" si="36"/>
        <v>1.3926637621426218E-12</v>
      </c>
      <c r="AW47" s="194">
        <f t="shared" ca="1" si="36"/>
        <v>1.3926637620897964E-12</v>
      </c>
      <c r="AX47" s="194">
        <f t="shared" ca="1" si="37"/>
        <v>1.3926637620897964E-12</v>
      </c>
      <c r="AY47" s="194">
        <f t="shared" ca="1" si="37"/>
        <v>1.3926637620897964E-12</v>
      </c>
      <c r="AZ47" s="194">
        <f t="shared" ca="1" si="37"/>
        <v>1.3926637620897964E-12</v>
      </c>
      <c r="BA47" s="194">
        <f t="shared" ca="1" si="37"/>
        <v>1.3926637620897964E-12</v>
      </c>
      <c r="BB47" s="194">
        <f t="shared" ca="1" si="37"/>
        <v>1.3926637620897964E-12</v>
      </c>
      <c r="BC47" s="194">
        <f t="shared" ca="1" si="37"/>
        <v>1.3926637620897964E-12</v>
      </c>
      <c r="BD47" s="194">
        <f t="shared" ca="1" si="37"/>
        <v>1.3926637620897964E-12</v>
      </c>
      <c r="BE47" s="194">
        <f t="shared" ca="1" si="37"/>
        <v>1.3926637620897964E-12</v>
      </c>
      <c r="BF47" s="194">
        <f t="shared" ca="1" si="37"/>
        <v>1.3926637620897964E-12</v>
      </c>
      <c r="BG47" s="194">
        <f t="shared" ca="1" si="37"/>
        <v>1.3926637620897964E-12</v>
      </c>
      <c r="BH47" s="194">
        <f t="shared" ca="1" si="38"/>
        <v>1.3926637620897964E-12</v>
      </c>
      <c r="BI47" s="194">
        <f t="shared" ca="1" si="38"/>
        <v>1.3926637628352483E-12</v>
      </c>
      <c r="BJ47" s="194">
        <f t="shared" ca="1" si="38"/>
        <v>1.3926637626004715E-12</v>
      </c>
      <c r="BK47" s="194">
        <f t="shared" ca="1" si="38"/>
        <v>1.3926637621749263E-12</v>
      </c>
      <c r="BL47" s="194">
        <f t="shared" ca="1" si="38"/>
        <v>1.3926637620897964E-12</v>
      </c>
      <c r="BM47" s="194">
        <f t="shared" ca="1" si="38"/>
        <v>1.3926637651780423E-12</v>
      </c>
      <c r="BN47" s="194">
        <f t="shared" ca="1" si="38"/>
        <v>1.3926637620897964E-12</v>
      </c>
      <c r="BO47" s="194">
        <f t="shared" ca="1" si="38"/>
        <v>1.3926637623735629E-12</v>
      </c>
      <c r="BP47" s="194">
        <f t="shared" ca="1" si="38"/>
        <v>1.3926637622590863E-12</v>
      </c>
      <c r="BQ47" s="194">
        <f t="shared" ca="1" si="38"/>
        <v>1.3926637620897964E-12</v>
      </c>
      <c r="BR47" s="194">
        <f t="shared" ca="1" si="39"/>
        <v>1.3926637621886537E-12</v>
      </c>
      <c r="BS47" s="194">
        <f t="shared" ca="1" si="39"/>
        <v>1.3926637622374134E-12</v>
      </c>
      <c r="BT47" s="194">
        <f t="shared" ca="1" si="39"/>
        <v>1.3926637621416882E-12</v>
      </c>
      <c r="BU47" s="194">
        <f t="shared" ca="1" si="39"/>
        <v>1.3926637621077752E-12</v>
      </c>
      <c r="BV47" s="194">
        <f t="shared" ca="1" si="39"/>
        <v>1.3926637623580289E-12</v>
      </c>
      <c r="BW47" s="194">
        <f t="shared" ca="1" si="39"/>
        <v>1.3926637621697374E-12</v>
      </c>
      <c r="BX47" s="194">
        <f t="shared" ca="1" si="39"/>
        <v>1.3926637645350341E-12</v>
      </c>
      <c r="BY47" s="194">
        <f t="shared" ca="1" si="39"/>
        <v>1.3926637999002706E-12</v>
      </c>
      <c r="BZ47" s="194">
        <f t="shared" ca="1" si="39"/>
        <v>1.3926637623498112E-12</v>
      </c>
      <c r="CA47" s="194">
        <f t="shared" ca="1" si="39"/>
        <v>1.3926637622036351E-12</v>
      </c>
      <c r="CB47" s="194">
        <f t="shared" ca="1" si="40"/>
        <v>1.3926637621870062E-12</v>
      </c>
      <c r="CC47" s="194">
        <f t="shared" ca="1" si="40"/>
        <v>1.3926637621313577E-12</v>
      </c>
      <c r="CD47" s="194">
        <f t="shared" ca="1" si="40"/>
        <v>1.3926637621110587E-12</v>
      </c>
      <c r="CE47" s="194">
        <f t="shared" ca="1" si="40"/>
        <v>1.3926637620897964E-12</v>
      </c>
      <c r="CF47" s="194">
        <f t="shared" ca="1" si="40"/>
        <v>1.3926637620897964E-12</v>
      </c>
      <c r="CG47" s="194">
        <f t="shared" ca="1" si="40"/>
        <v>1.392663766244871E-12</v>
      </c>
      <c r="CH47" s="194">
        <f t="shared" ca="1" si="40"/>
        <v>1.3926638254967105E-12</v>
      </c>
      <c r="CI47" s="194">
        <f t="shared" ca="1" si="40"/>
        <v>1.3926637620897964E-12</v>
      </c>
      <c r="CJ47" s="194">
        <f t="shared" ca="1" si="40"/>
        <v>1.3926637622846447E-12</v>
      </c>
      <c r="CK47" s="194">
        <f t="shared" ca="1" si="40"/>
        <v>1.3926637621717418E-12</v>
      </c>
      <c r="CL47" s="194">
        <f t="shared" ca="1" si="41"/>
        <v>1.3926637693106752E-12</v>
      </c>
      <c r="CM47" s="194">
        <f t="shared" ca="1" si="41"/>
        <v>1.3926637623942319E-12</v>
      </c>
      <c r="CN47" s="194">
        <f t="shared" ca="1" si="41"/>
        <v>1.3926637634838409E-12</v>
      </c>
      <c r="CO47" s="194">
        <f t="shared" ca="1" si="41"/>
        <v>1.3927010840913344E-12</v>
      </c>
      <c r="CP47" s="194">
        <f t="shared" ca="1" si="41"/>
        <v>1.3926808843826301E-12</v>
      </c>
      <c r="CQ47" s="194">
        <f t="shared" ca="1" si="41"/>
        <v>1.392677286054374E-12</v>
      </c>
      <c r="CR47" s="194">
        <f t="shared" ca="1" si="41"/>
        <v>1.3926637625816752E-12</v>
      </c>
      <c r="CS47" s="194">
        <f t="shared" ca="1" si="41"/>
        <v>1.3927234329461937E-12</v>
      </c>
      <c r="CT47" s="194">
        <f t="shared" ca="1" si="41"/>
        <v>1.3926637639714505E-12</v>
      </c>
      <c r="CU47" s="194">
        <f t="shared" ca="1" si="41"/>
        <v>1.3926637620901015E-12</v>
      </c>
      <c r="CV47" s="194">
        <f t="shared" ca="1" si="42"/>
        <v>1.3926637621445634E-12</v>
      </c>
      <c r="CW47" s="194">
        <f t="shared" ca="1" si="42"/>
        <v>1.3926637620897964E-12</v>
      </c>
      <c r="CX47" s="194">
        <f t="shared" ca="1" si="42"/>
        <v>1.3926637620897964E-12</v>
      </c>
      <c r="CY47" s="194">
        <f t="shared" ca="1" si="42"/>
        <v>1.3926637822916373E-12</v>
      </c>
      <c r="CZ47" s="194">
        <f t="shared" ca="1" si="42"/>
        <v>1.3926637624830713E-12</v>
      </c>
      <c r="DA47" s="194">
        <f t="shared" ca="1" si="42"/>
        <v>1.3926637621875798E-12</v>
      </c>
      <c r="DB47" s="194">
        <f t="shared" ca="1" si="42"/>
        <v>1.3926637656734087E-12</v>
      </c>
      <c r="DC47" s="194">
        <f t="shared" ca="1" si="42"/>
        <v>1.3926637620991078E-12</v>
      </c>
      <c r="DD47" s="194">
        <f t="shared" ca="1" si="42"/>
        <v>1.3926637635645814E-12</v>
      </c>
      <c r="DE47" s="194">
        <f t="shared" ca="1" si="42"/>
        <v>1.3926638048284182E-12</v>
      </c>
      <c r="DF47" s="194">
        <f t="shared" ca="1" si="43"/>
        <v>1.3926637631499941E-12</v>
      </c>
      <c r="DG47" s="194">
        <f t="shared" ca="1" si="43"/>
        <v>1.3926637666074047E-12</v>
      </c>
      <c r="DH47" s="194">
        <f t="shared" ca="1" si="43"/>
        <v>1.3926637620897964E-12</v>
      </c>
      <c r="DI47" s="194">
        <f t="shared" ca="1" si="43"/>
        <v>1.392663762090613E-12</v>
      </c>
      <c r="DJ47" s="194">
        <f t="shared" ca="1" si="43"/>
        <v>1.3926637620897964E-12</v>
      </c>
      <c r="DK47" s="194">
        <f t="shared" ca="1" si="43"/>
        <v>1.3926637620897964E-12</v>
      </c>
      <c r="DL47" s="194">
        <f t="shared" ca="1" si="43"/>
        <v>1.3926796321867688E-12</v>
      </c>
      <c r="DM47" s="194">
        <f t="shared" ca="1" si="43"/>
        <v>1.3926637639316503E-12</v>
      </c>
      <c r="DN47" s="194">
        <f t="shared" ca="1" si="43"/>
        <v>1.3926637622811364E-12</v>
      </c>
      <c r="DO47" s="194">
        <f t="shared" ca="1" si="43"/>
        <v>1.3926637620897964E-12</v>
      </c>
      <c r="DP47" s="194">
        <f t="shared" ca="1" si="44"/>
        <v>1.3926768637886409E-12</v>
      </c>
      <c r="DQ47" s="194">
        <f t="shared" ca="1" si="44"/>
        <v>1.3926637620947096E-12</v>
      </c>
      <c r="DR47" s="194">
        <f t="shared" ca="1" si="44"/>
        <v>1.3926643257763758E-12</v>
      </c>
      <c r="DS47" s="194">
        <f t="shared" ca="1" si="44"/>
        <v>1.3926637620897964E-12</v>
      </c>
      <c r="DT47" s="194">
        <f t="shared" ca="1" si="44"/>
        <v>1.3926817367433027E-12</v>
      </c>
      <c r="DU47" s="194">
        <f t="shared" ca="1" si="44"/>
        <v>1.3926637620897964E-12</v>
      </c>
      <c r="DV47" s="194">
        <f t="shared" ca="1" si="44"/>
        <v>1.3926638341631664E-12</v>
      </c>
      <c r="DW47" s="194">
        <f t="shared" ca="1" si="44"/>
        <v>1.3926637887541306E-12</v>
      </c>
      <c r="DX47" s="194">
        <f t="shared" ca="1" si="44"/>
        <v>1.3926644178756804E-12</v>
      </c>
      <c r="DY47" s="194">
        <f t="shared" ca="1" si="44"/>
        <v>1.3926637657616846E-12</v>
      </c>
      <c r="DZ47" s="194">
        <f t="shared" ca="1" si="45"/>
        <v>1.3926871879949359E-12</v>
      </c>
      <c r="EA47" s="194">
        <f t="shared" ca="1" si="45"/>
        <v>1.3926637620897964E-12</v>
      </c>
      <c r="EB47" s="194">
        <f t="shared" ca="1" si="45"/>
        <v>1.3926875353299785E-12</v>
      </c>
      <c r="EC47" s="194">
        <f t="shared" ca="1" si="45"/>
        <v>1.3926784179315114E-12</v>
      </c>
      <c r="ED47" s="194">
        <f t="shared" ca="1" si="45"/>
        <v>1.3926637620897964E-12</v>
      </c>
      <c r="EE47" s="194">
        <f t="shared" ca="1" si="45"/>
        <v>1.3926638168299109E-12</v>
      </c>
      <c r="EF47" s="194">
        <f t="shared" ca="1" si="45"/>
        <v>1.39266383716975E-12</v>
      </c>
      <c r="EG47" s="194">
        <f t="shared" ca="1" si="45"/>
        <v>1.3926637620897964E-12</v>
      </c>
      <c r="EH47" s="194">
        <f t="shared" ca="1" si="45"/>
        <v>8.3687090572564789E-5</v>
      </c>
      <c r="EI47" s="239">
        <f t="shared" ca="1" si="45"/>
        <v>8.3687090572564789E-5</v>
      </c>
      <c r="EJ47" s="190"/>
      <c r="EK47" s="192"/>
      <c r="EL47" s="192"/>
      <c r="EM47" s="192"/>
      <c r="EN47" s="192"/>
      <c r="EO47" s="192"/>
      <c r="EP47" s="192"/>
    </row>
    <row r="48" spans="1:146" x14ac:dyDescent="0.2">
      <c r="A48" s="192"/>
      <c r="B48" s="192"/>
      <c r="C48" s="192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192"/>
      <c r="O48" s="192"/>
      <c r="P48" s="192"/>
      <c r="Q48" s="192"/>
      <c r="R48" s="192"/>
      <c r="S48" s="266"/>
      <c r="T48" s="265"/>
      <c r="U48" s="265"/>
      <c r="V48" s="265"/>
      <c r="W48" s="265"/>
      <c r="X48" s="265"/>
      <c r="Y48" s="265"/>
      <c r="Z48" s="265"/>
      <c r="AA48" s="265"/>
      <c r="AB48" s="265"/>
      <c r="AC48" s="265"/>
      <c r="AD48" s="265"/>
      <c r="AE48" s="265"/>
      <c r="AF48" s="265"/>
      <c r="AG48" s="265"/>
      <c r="AH48" s="265"/>
      <c r="AI48" s="192"/>
      <c r="AJ48" s="190"/>
      <c r="AK48" s="360" t="str">
        <f t="shared" si="34"/>
        <v>JPN Equ</v>
      </c>
      <c r="AL48" s="331">
        <f t="shared" ca="1" si="35"/>
        <v>7</v>
      </c>
      <c r="AM48" s="238" t="str">
        <f t="shared" si="46"/>
        <v>JPN Equ</v>
      </c>
      <c r="AN48" s="193">
        <f t="shared" ca="1" si="36"/>
        <v>3.5832670164382998E-9</v>
      </c>
      <c r="AO48" s="194">
        <f t="shared" ca="1" si="36"/>
        <v>3.5832670164387907E-9</v>
      </c>
      <c r="AP48" s="194">
        <f t="shared" ca="1" si="36"/>
        <v>3.5832670164381852E-9</v>
      </c>
      <c r="AQ48" s="194">
        <f t="shared" ca="1" si="36"/>
        <v>3.5832670164381852E-9</v>
      </c>
      <c r="AR48" s="194">
        <f t="shared" ca="1" si="36"/>
        <v>3.5832670164434796E-9</v>
      </c>
      <c r="AS48" s="194">
        <f t="shared" ca="1" si="36"/>
        <v>3.5832670164381852E-9</v>
      </c>
      <c r="AT48" s="194">
        <f t="shared" ca="1" si="36"/>
        <v>3.5832670164418083E-9</v>
      </c>
      <c r="AU48" s="194">
        <f t="shared" ca="1" si="36"/>
        <v>3.5832670164381852E-9</v>
      </c>
      <c r="AV48" s="194">
        <f t="shared" ca="1" si="36"/>
        <v>3.5832670164381852E-9</v>
      </c>
      <c r="AW48" s="194">
        <f t="shared" ca="1" si="36"/>
        <v>3.5832670164384673E-9</v>
      </c>
      <c r="AX48" s="194">
        <f t="shared" ca="1" si="37"/>
        <v>3.5832670164381852E-9</v>
      </c>
      <c r="AY48" s="194">
        <f t="shared" ca="1" si="37"/>
        <v>3.5832670164381852E-9</v>
      </c>
      <c r="AZ48" s="194">
        <f t="shared" ca="1" si="37"/>
        <v>3.5832670164381852E-9</v>
      </c>
      <c r="BA48" s="194">
        <f t="shared" ca="1" si="37"/>
        <v>3.5832670164381852E-9</v>
      </c>
      <c r="BB48" s="194">
        <f t="shared" ca="1" si="37"/>
        <v>3.5832670164381852E-9</v>
      </c>
      <c r="BC48" s="194">
        <f t="shared" ca="1" si="37"/>
        <v>3.5832670164381852E-9</v>
      </c>
      <c r="BD48" s="194">
        <f t="shared" ca="1" si="37"/>
        <v>3.5832670164381852E-9</v>
      </c>
      <c r="BE48" s="194">
        <f t="shared" ca="1" si="37"/>
        <v>3.5832670164381852E-9</v>
      </c>
      <c r="BF48" s="194">
        <f t="shared" ca="1" si="37"/>
        <v>3.5832670164381852E-9</v>
      </c>
      <c r="BG48" s="194">
        <f t="shared" ca="1" si="37"/>
        <v>3.5832670164381852E-9</v>
      </c>
      <c r="BH48" s="194">
        <f t="shared" ca="1" si="38"/>
        <v>3.5832670164381852E-9</v>
      </c>
      <c r="BI48" s="194">
        <f t="shared" ca="1" si="38"/>
        <v>3.5832670164381852E-9</v>
      </c>
      <c r="BJ48" s="194">
        <f t="shared" ca="1" si="38"/>
        <v>5.171054236377087E-4</v>
      </c>
      <c r="BK48" s="194">
        <f t="shared" ca="1" si="38"/>
        <v>1.5172511078830602E-3</v>
      </c>
      <c r="BL48" s="194">
        <f t="shared" ca="1" si="38"/>
        <v>2.5826604722897096E-3</v>
      </c>
      <c r="BM48" s="194">
        <f t="shared" ca="1" si="38"/>
        <v>3.7204554711250679E-3</v>
      </c>
      <c r="BN48" s="194">
        <f t="shared" ca="1" si="38"/>
        <v>4.8040293409809896E-3</v>
      </c>
      <c r="BO48" s="194">
        <f t="shared" ca="1" si="38"/>
        <v>6.013505133627914E-3</v>
      </c>
      <c r="BP48" s="194">
        <f t="shared" ca="1" si="38"/>
        <v>7.1926202415420817E-3</v>
      </c>
      <c r="BQ48" s="194">
        <f t="shared" ca="1" si="38"/>
        <v>8.1140697061835073E-3</v>
      </c>
      <c r="BR48" s="194">
        <f t="shared" ca="1" si="39"/>
        <v>9.1992031634863681E-3</v>
      </c>
      <c r="BS48" s="194">
        <f t="shared" ca="1" si="39"/>
        <v>1.0052781561116653E-2</v>
      </c>
      <c r="BT48" s="194">
        <f t="shared" ca="1" si="39"/>
        <v>1.1088617806854641E-2</v>
      </c>
      <c r="BU48" s="194">
        <f t="shared" ca="1" si="39"/>
        <v>1.1749211848280147E-2</v>
      </c>
      <c r="BV48" s="194">
        <f t="shared" ca="1" si="39"/>
        <v>1.1749211848280148E-2</v>
      </c>
      <c r="BW48" s="194">
        <f t="shared" ca="1" si="39"/>
        <v>1.1749211848280153E-2</v>
      </c>
      <c r="BX48" s="194">
        <f t="shared" ca="1" si="39"/>
        <v>1.1749211848280148E-2</v>
      </c>
      <c r="BY48" s="194">
        <f t="shared" ca="1" si="39"/>
        <v>1.1749211848280148E-2</v>
      </c>
      <c r="BZ48" s="194">
        <f t="shared" ca="1" si="39"/>
        <v>1.1749211848280147E-2</v>
      </c>
      <c r="CA48" s="194">
        <f t="shared" ca="1" si="39"/>
        <v>1.174921184828015E-2</v>
      </c>
      <c r="CB48" s="194">
        <f t="shared" ca="1" si="40"/>
        <v>1.1749211848280153E-2</v>
      </c>
      <c r="CC48" s="194">
        <f t="shared" ca="1" si="40"/>
        <v>1.1749211848280148E-2</v>
      </c>
      <c r="CD48" s="194">
        <f t="shared" ca="1" si="40"/>
        <v>1.1749211848280152E-2</v>
      </c>
      <c r="CE48" s="194">
        <f t="shared" ca="1" si="40"/>
        <v>1.1749211848280148E-2</v>
      </c>
      <c r="CF48" s="194">
        <f t="shared" ca="1" si="40"/>
        <v>1.1749211848280148E-2</v>
      </c>
      <c r="CG48" s="194">
        <f t="shared" ca="1" si="40"/>
        <v>1.174921184828015E-2</v>
      </c>
      <c r="CH48" s="194">
        <f t="shared" ca="1" si="40"/>
        <v>1.174921184828015E-2</v>
      </c>
      <c r="CI48" s="194">
        <f t="shared" ca="1" si="40"/>
        <v>1.1749211848280153E-2</v>
      </c>
      <c r="CJ48" s="194">
        <f t="shared" ca="1" si="40"/>
        <v>1.1749211848280152E-2</v>
      </c>
      <c r="CK48" s="194">
        <f t="shared" ca="1" si="40"/>
        <v>1.1749211848280152E-2</v>
      </c>
      <c r="CL48" s="194">
        <f t="shared" ca="1" si="41"/>
        <v>1.174921184828015E-2</v>
      </c>
      <c r="CM48" s="194">
        <f t="shared" ca="1" si="41"/>
        <v>1.1749211848280153E-2</v>
      </c>
      <c r="CN48" s="194">
        <f t="shared" ca="1" si="41"/>
        <v>1.1749211848280152E-2</v>
      </c>
      <c r="CO48" s="194">
        <f t="shared" ca="1" si="41"/>
        <v>1.1749211848280138E-2</v>
      </c>
      <c r="CP48" s="194">
        <f t="shared" ca="1" si="41"/>
        <v>1.1749211848280147E-2</v>
      </c>
      <c r="CQ48" s="194">
        <f t="shared" ca="1" si="41"/>
        <v>1.174921184828015E-2</v>
      </c>
      <c r="CR48" s="194">
        <f t="shared" ca="1" si="41"/>
        <v>1.1749211848280152E-2</v>
      </c>
      <c r="CS48" s="194">
        <f t="shared" ca="1" si="41"/>
        <v>1.1749211848280133E-2</v>
      </c>
      <c r="CT48" s="194">
        <f t="shared" ca="1" si="41"/>
        <v>1.1749211848280148E-2</v>
      </c>
      <c r="CU48" s="194">
        <f t="shared" ca="1" si="41"/>
        <v>1.1749211848280147E-2</v>
      </c>
      <c r="CV48" s="194">
        <f t="shared" ca="1" si="42"/>
        <v>1.1749211848280152E-2</v>
      </c>
      <c r="CW48" s="194">
        <f t="shared" ca="1" si="42"/>
        <v>1.1749211848280152E-2</v>
      </c>
      <c r="CX48" s="194">
        <f t="shared" ca="1" si="42"/>
        <v>1.1749211848280153E-2</v>
      </c>
      <c r="CY48" s="194">
        <f t="shared" ca="1" si="42"/>
        <v>1.174921184828015E-2</v>
      </c>
      <c r="CZ48" s="194">
        <f t="shared" ca="1" si="42"/>
        <v>1.1749211848280152E-2</v>
      </c>
      <c r="DA48" s="194">
        <f t="shared" ca="1" si="42"/>
        <v>1.1749211848280152E-2</v>
      </c>
      <c r="DB48" s="194">
        <f t="shared" ca="1" si="42"/>
        <v>1.1749211848280148E-2</v>
      </c>
      <c r="DC48" s="194">
        <f t="shared" ca="1" si="42"/>
        <v>1.174921184828015E-2</v>
      </c>
      <c r="DD48" s="194">
        <f t="shared" ca="1" si="42"/>
        <v>1.1749211848280148E-2</v>
      </c>
      <c r="DE48" s="194">
        <f t="shared" ca="1" si="42"/>
        <v>1.1749211848280153E-2</v>
      </c>
      <c r="DF48" s="194">
        <f t="shared" ca="1" si="43"/>
        <v>1.1749211848280153E-2</v>
      </c>
      <c r="DG48" s="194">
        <f t="shared" ca="1" si="43"/>
        <v>1.174921184828015E-2</v>
      </c>
      <c r="DH48" s="194">
        <f t="shared" ca="1" si="43"/>
        <v>1.174921184828015E-2</v>
      </c>
      <c r="DI48" s="194">
        <f t="shared" ca="1" si="43"/>
        <v>1.1749211848280153E-2</v>
      </c>
      <c r="DJ48" s="194">
        <f t="shared" ca="1" si="43"/>
        <v>1.1749211848280138E-2</v>
      </c>
      <c r="DK48" s="194">
        <f t="shared" ca="1" si="43"/>
        <v>1.1749211848280153E-2</v>
      </c>
      <c r="DL48" s="194">
        <f t="shared" ca="1" si="43"/>
        <v>1.1749211848280205E-2</v>
      </c>
      <c r="DM48" s="194">
        <f t="shared" ca="1" si="43"/>
        <v>1.174921184828015E-2</v>
      </c>
      <c r="DN48" s="194">
        <f t="shared" ca="1" si="43"/>
        <v>1.1749211848280148E-2</v>
      </c>
      <c r="DO48" s="194">
        <f t="shared" ca="1" si="43"/>
        <v>1.174921184828015E-2</v>
      </c>
      <c r="DP48" s="194">
        <f t="shared" ca="1" si="44"/>
        <v>1.1749211848280134E-2</v>
      </c>
      <c r="DQ48" s="194">
        <f t="shared" ca="1" si="44"/>
        <v>1.1749211848280148E-2</v>
      </c>
      <c r="DR48" s="194">
        <f t="shared" ca="1" si="44"/>
        <v>1.1749211848280148E-2</v>
      </c>
      <c r="DS48" s="194">
        <f t="shared" ca="1" si="44"/>
        <v>1.174921184828015E-2</v>
      </c>
      <c r="DT48" s="194">
        <f t="shared" ca="1" si="44"/>
        <v>1.1749211848280131E-2</v>
      </c>
      <c r="DU48" s="194">
        <f t="shared" ca="1" si="44"/>
        <v>1.174921184828015E-2</v>
      </c>
      <c r="DV48" s="194">
        <f t="shared" ca="1" si="44"/>
        <v>1.1749211848280148E-2</v>
      </c>
      <c r="DW48" s="194">
        <f t="shared" ca="1" si="44"/>
        <v>1.1749211848280148E-2</v>
      </c>
      <c r="DX48" s="194">
        <f t="shared" ca="1" si="44"/>
        <v>1.1749211848280148E-2</v>
      </c>
      <c r="DY48" s="194">
        <f t="shared" ca="1" si="44"/>
        <v>1.1749211848280152E-2</v>
      </c>
      <c r="DZ48" s="194">
        <f t="shared" ca="1" si="45"/>
        <v>1.1749211848280176E-2</v>
      </c>
      <c r="EA48" s="194">
        <f t="shared" ca="1" si="45"/>
        <v>1.1749211848280195E-2</v>
      </c>
      <c r="EB48" s="194">
        <f t="shared" ca="1" si="45"/>
        <v>1.1749211848280114E-2</v>
      </c>
      <c r="EC48" s="194">
        <f t="shared" ca="1" si="45"/>
        <v>1.1749211848280219E-2</v>
      </c>
      <c r="ED48" s="194">
        <f t="shared" ca="1" si="45"/>
        <v>1.1749211848280147E-2</v>
      </c>
      <c r="EE48" s="194">
        <f t="shared" ca="1" si="45"/>
        <v>1.1749211848280147E-2</v>
      </c>
      <c r="EF48" s="194">
        <f t="shared" ca="1" si="45"/>
        <v>1.1749211848280147E-2</v>
      </c>
      <c r="EG48" s="194">
        <f t="shared" ca="1" si="45"/>
        <v>1.174921184828015E-2</v>
      </c>
      <c r="EH48" s="194">
        <f t="shared" ca="1" si="45"/>
        <v>1.1729354421311494E-2</v>
      </c>
      <c r="EI48" s="239">
        <f t="shared" ca="1" si="45"/>
        <v>1.1729354421311494E-2</v>
      </c>
      <c r="EJ48" s="190"/>
      <c r="EK48" s="192"/>
      <c r="EL48" s="192"/>
      <c r="EM48" s="192"/>
      <c r="EN48" s="192"/>
      <c r="EO48" s="192"/>
      <c r="EP48" s="192"/>
    </row>
    <row r="49" spans="1:147" x14ac:dyDescent="0.2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266"/>
      <c r="T49" s="265"/>
      <c r="U49" s="265"/>
      <c r="V49" s="265"/>
      <c r="W49" s="265"/>
      <c r="X49" s="265"/>
      <c r="Y49" s="265"/>
      <c r="Z49" s="265"/>
      <c r="AA49" s="265"/>
      <c r="AB49" s="265"/>
      <c r="AC49" s="265"/>
      <c r="AD49" s="265"/>
      <c r="AE49" s="265"/>
      <c r="AF49" s="265"/>
      <c r="AG49" s="265"/>
      <c r="AH49" s="265"/>
      <c r="AI49" s="192"/>
      <c r="AJ49" s="190"/>
      <c r="AK49" s="360" t="str">
        <f t="shared" si="34"/>
        <v>EUR Equ</v>
      </c>
      <c r="AL49" s="331">
        <f t="shared" ca="1" si="35"/>
        <v>8</v>
      </c>
      <c r="AM49" s="238" t="str">
        <f t="shared" si="46"/>
        <v>EUR Equ</v>
      </c>
      <c r="AN49" s="193">
        <f t="shared" ca="1" si="36"/>
        <v>1.1334156775520185E-9</v>
      </c>
      <c r="AO49" s="194">
        <f t="shared" ca="1" si="36"/>
        <v>1.1334156775528904E-9</v>
      </c>
      <c r="AP49" s="194">
        <f t="shared" ca="1" si="36"/>
        <v>-2.7461745962178664E-10</v>
      </c>
      <c r="AQ49" s="194">
        <f t="shared" ca="1" si="36"/>
        <v>9.7372007278021517E-10</v>
      </c>
      <c r="AR49" s="194">
        <f t="shared" ca="1" si="36"/>
        <v>1.1334156775437283E-9</v>
      </c>
      <c r="AS49" s="194">
        <f t="shared" ca="1" si="36"/>
        <v>9.7372007278359483E-10</v>
      </c>
      <c r="AT49" s="194">
        <f t="shared" ca="1" si="36"/>
        <v>1.1334156775603724E-9</v>
      </c>
      <c r="AU49" s="194">
        <f t="shared" ca="1" si="36"/>
        <v>7.570838229796E-10</v>
      </c>
      <c r="AV49" s="194">
        <f t="shared" ca="1" si="36"/>
        <v>9.7372007277865097E-10</v>
      </c>
      <c r="AW49" s="194">
        <f t="shared" ca="1" si="36"/>
        <v>1.1334156775514134E-9</v>
      </c>
      <c r="AX49" s="194">
        <f t="shared" ca="1" si="37"/>
        <v>9.7372007286748293E-10</v>
      </c>
      <c r="AY49" s="194">
        <f t="shared" ca="1" si="37"/>
        <v>6.6194161263384166E-11</v>
      </c>
      <c r="AZ49" s="194">
        <f t="shared" ca="1" si="37"/>
        <v>6.61941612648802E-11</v>
      </c>
      <c r="BA49" s="194">
        <f t="shared" ca="1" si="37"/>
        <v>6.6194161264606442E-11</v>
      </c>
      <c r="BB49" s="194">
        <f t="shared" ca="1" si="37"/>
        <v>6.6194161263715594E-11</v>
      </c>
      <c r="BC49" s="194">
        <f t="shared" ca="1" si="37"/>
        <v>7.2103068450540099E-20</v>
      </c>
      <c r="BD49" s="194">
        <f t="shared" ca="1" si="37"/>
        <v>1.6798783361275895E-22</v>
      </c>
      <c r="BE49" s="194">
        <f t="shared" ca="1" si="37"/>
        <v>1.1334156775522363E-9</v>
      </c>
      <c r="BF49" s="194">
        <f t="shared" ca="1" si="37"/>
        <v>6.6194161237193289E-11</v>
      </c>
      <c r="BG49" s="194">
        <f t="shared" ca="1" si="37"/>
        <v>-9.6179064711645944E-11</v>
      </c>
      <c r="BH49" s="194">
        <f t="shared" ca="1" si="38"/>
        <v>-1.3061575305424655E-20</v>
      </c>
      <c r="BI49" s="194">
        <f t="shared" ca="1" si="38"/>
        <v>1.1334156775551978E-9</v>
      </c>
      <c r="BJ49" s="194">
        <f t="shared" ca="1" si="38"/>
        <v>1.540120423499839E-4</v>
      </c>
      <c r="BK49" s="194">
        <f t="shared" ca="1" si="38"/>
        <v>4.5189020458380854E-4</v>
      </c>
      <c r="BL49" s="194">
        <f t="shared" ca="1" si="38"/>
        <v>7.6920616014444462E-4</v>
      </c>
      <c r="BM49" s="194">
        <f t="shared" ca="1" si="38"/>
        <v>1.1080810746601679E-3</v>
      </c>
      <c r="BN49" s="194">
        <f t="shared" ca="1" si="38"/>
        <v>1.4308070515670422E-3</v>
      </c>
      <c r="BO49" s="194">
        <f t="shared" ca="1" si="38"/>
        <v>1.7910309989930681E-3</v>
      </c>
      <c r="BP49" s="194">
        <f t="shared" ca="1" si="38"/>
        <v>2.1422124787918123E-3</v>
      </c>
      <c r="BQ49" s="194">
        <f t="shared" ca="1" si="38"/>
        <v>2.4166521703711794E-3</v>
      </c>
      <c r="BR49" s="194">
        <f t="shared" ca="1" si="39"/>
        <v>2.739842646650351E-3</v>
      </c>
      <c r="BS49" s="194">
        <f t="shared" ca="1" si="39"/>
        <v>2.9940679744339255E-3</v>
      </c>
      <c r="BT49" s="194">
        <f t="shared" ca="1" si="39"/>
        <v>3.3025760269267297E-3</v>
      </c>
      <c r="BU49" s="194">
        <f t="shared" ca="1" si="39"/>
        <v>3.4993239029033375E-3</v>
      </c>
      <c r="BV49" s="194">
        <f t="shared" ca="1" si="39"/>
        <v>3.4993239029033388E-3</v>
      </c>
      <c r="BW49" s="194">
        <f t="shared" ca="1" si="39"/>
        <v>3.4993239029033397E-3</v>
      </c>
      <c r="BX49" s="194">
        <f t="shared" ca="1" si="39"/>
        <v>3.4993239029033384E-3</v>
      </c>
      <c r="BY49" s="194">
        <f t="shared" ca="1" si="39"/>
        <v>3.4993239029033384E-3</v>
      </c>
      <c r="BZ49" s="194">
        <f t="shared" ca="1" si="39"/>
        <v>3.499323902903338E-3</v>
      </c>
      <c r="CA49" s="194">
        <f t="shared" ca="1" si="39"/>
        <v>3.4993238535639365E-3</v>
      </c>
      <c r="CB49" s="194">
        <f t="shared" ca="1" si="40"/>
        <v>3.499323853563936E-3</v>
      </c>
      <c r="CC49" s="194">
        <f t="shared" ca="1" si="40"/>
        <v>3.499323853563936E-3</v>
      </c>
      <c r="CD49" s="194">
        <f t="shared" ca="1" si="40"/>
        <v>3.499323853563936E-3</v>
      </c>
      <c r="CE49" s="194">
        <f t="shared" ca="1" si="40"/>
        <v>2.2633800227525622E-3</v>
      </c>
      <c r="CF49" s="194">
        <f t="shared" ca="1" si="40"/>
        <v>6.6194161265387391E-11</v>
      </c>
      <c r="CG49" s="194">
        <f t="shared" ca="1" si="40"/>
        <v>6.6194161245948724E-11</v>
      </c>
      <c r="CH49" s="194">
        <f t="shared" ca="1" si="40"/>
        <v>6.6194161295074438E-11</v>
      </c>
      <c r="CI49" s="194">
        <f t="shared" ca="1" si="40"/>
        <v>6.6194161180118214E-11</v>
      </c>
      <c r="CJ49" s="194">
        <f t="shared" ca="1" si="40"/>
        <v>6.6194161269623512E-11</v>
      </c>
      <c r="CK49" s="194">
        <f t="shared" ca="1" si="40"/>
        <v>6.6194161263346801E-11</v>
      </c>
      <c r="CL49" s="194">
        <f t="shared" ca="1" si="41"/>
        <v>6.6194161316057464E-11</v>
      </c>
      <c r="CM49" s="194">
        <f t="shared" ca="1" si="41"/>
        <v>6.6194161265518874E-11</v>
      </c>
      <c r="CN49" s="194">
        <f t="shared" ca="1" si="41"/>
        <v>6.6194161264266186E-11</v>
      </c>
      <c r="CO49" s="194">
        <f t="shared" ca="1" si="41"/>
        <v>6.6194455037536383E-11</v>
      </c>
      <c r="CP49" s="194">
        <f t="shared" ca="1" si="41"/>
        <v>6.619424837650925E-11</v>
      </c>
      <c r="CQ49" s="194">
        <f t="shared" ca="1" si="41"/>
        <v>6.6194232233995482E-11</v>
      </c>
      <c r="CR49" s="194">
        <f t="shared" ca="1" si="41"/>
        <v>6.6194161261688769E-11</v>
      </c>
      <c r="CS49" s="194">
        <f t="shared" ca="1" si="41"/>
        <v>6.6194222854581074E-11</v>
      </c>
      <c r="CT49" s="194">
        <f t="shared" ca="1" si="41"/>
        <v>6.619416128074997E-11</v>
      </c>
      <c r="CU49" s="194">
        <f t="shared" ca="1" si="41"/>
        <v>6.6194161260835416E-11</v>
      </c>
      <c r="CV49" s="194">
        <f t="shared" ca="1" si="42"/>
        <v>6.6194161245800633E-11</v>
      </c>
      <c r="CW49" s="194">
        <f t="shared" ca="1" si="42"/>
        <v>6.6194161263790751E-11</v>
      </c>
      <c r="CX49" s="194">
        <f t="shared" ca="1" si="42"/>
        <v>6.6194161264010329E-11</v>
      </c>
      <c r="CY49" s="194">
        <f t="shared" ca="1" si="42"/>
        <v>6.6194161452960314E-11</v>
      </c>
      <c r="CZ49" s="194">
        <f t="shared" ca="1" si="42"/>
        <v>6.6194161263529789E-11</v>
      </c>
      <c r="DA49" s="194">
        <f t="shared" ca="1" si="42"/>
        <v>6.619416115237393E-11</v>
      </c>
      <c r="DB49" s="194">
        <f t="shared" ca="1" si="42"/>
        <v>6.6194161475839923E-11</v>
      </c>
      <c r="DC49" s="194">
        <f t="shared" ca="1" si="42"/>
        <v>6.619416127456399E-11</v>
      </c>
      <c r="DD49" s="194">
        <f t="shared" ca="1" si="42"/>
        <v>6.6194161264108518E-11</v>
      </c>
      <c r="DE49" s="194">
        <f t="shared" ca="1" si="42"/>
        <v>6.6194161254553613E-11</v>
      </c>
      <c r="DF49" s="194">
        <f t="shared" ca="1" si="43"/>
        <v>6.619416132803089E-11</v>
      </c>
      <c r="DG49" s="194">
        <f t="shared" ca="1" si="43"/>
        <v>6.6194161266369396E-11</v>
      </c>
      <c r="DH49" s="194">
        <f t="shared" ca="1" si="43"/>
        <v>6.6194160970752998E-11</v>
      </c>
      <c r="DI49" s="194">
        <f t="shared" ca="1" si="43"/>
        <v>6.6194161261600468E-11</v>
      </c>
      <c r="DJ49" s="194">
        <f t="shared" ca="1" si="43"/>
        <v>6.6194169535703958E-11</v>
      </c>
      <c r="DK49" s="194">
        <f t="shared" ca="1" si="43"/>
        <v>6.6194161409670773E-11</v>
      </c>
      <c r="DL49" s="194">
        <f t="shared" ca="1" si="43"/>
        <v>6.6194201344586352E-11</v>
      </c>
      <c r="DM49" s="194">
        <f t="shared" ca="1" si="43"/>
        <v>6.6194161263767461E-11</v>
      </c>
      <c r="DN49" s="194">
        <f t="shared" ca="1" si="43"/>
        <v>6.6194161263449617E-11</v>
      </c>
      <c r="DO49" s="194">
        <f t="shared" ca="1" si="43"/>
        <v>6.6194162496948158E-11</v>
      </c>
      <c r="DP49" s="194">
        <f t="shared" ca="1" si="44"/>
        <v>6.6194213602079075E-11</v>
      </c>
      <c r="DQ49" s="194">
        <f t="shared" ca="1" si="44"/>
        <v>6.6194160889505354E-11</v>
      </c>
      <c r="DR49" s="194">
        <f t="shared" ca="1" si="44"/>
        <v>6.619416367455594E-11</v>
      </c>
      <c r="DS49" s="194">
        <f t="shared" ca="1" si="44"/>
        <v>6.6194161263782299E-11</v>
      </c>
      <c r="DT49" s="194">
        <f t="shared" ca="1" si="44"/>
        <v>6.6194246124418499E-11</v>
      </c>
      <c r="DU49" s="194">
        <f t="shared" ca="1" si="44"/>
        <v>6.6194161226082043E-11</v>
      </c>
      <c r="DV49" s="194">
        <f t="shared" ca="1" si="44"/>
        <v>6.619416125655221E-11</v>
      </c>
      <c r="DW49" s="194">
        <f t="shared" ca="1" si="44"/>
        <v>6.6194161436869351E-11</v>
      </c>
      <c r="DX49" s="194">
        <f t="shared" ca="1" si="44"/>
        <v>6.6194164610480792E-11</v>
      </c>
      <c r="DY49" s="194">
        <f t="shared" ca="1" si="44"/>
        <v>6.619416127716316E-11</v>
      </c>
      <c r="DZ49" s="194">
        <f t="shared" ca="1" si="45"/>
        <v>6.6194164613254613E-11</v>
      </c>
      <c r="EA49" s="194">
        <f t="shared" ca="1" si="45"/>
        <v>6.6194343748435034E-11</v>
      </c>
      <c r="EB49" s="194">
        <f t="shared" ca="1" si="45"/>
        <v>6.619457389850902E-11</v>
      </c>
      <c r="EC49" s="194">
        <f t="shared" ca="1" si="45"/>
        <v>6.6194738082876674E-11</v>
      </c>
      <c r="ED49" s="194">
        <f t="shared" ca="1" si="45"/>
        <v>6.6194161190624468E-11</v>
      </c>
      <c r="EE49" s="194">
        <f t="shared" ca="1" si="45"/>
        <v>6.6194161124133273E-11</v>
      </c>
      <c r="EF49" s="194">
        <f t="shared" ca="1" si="45"/>
        <v>6.6194161072381778E-11</v>
      </c>
      <c r="EG49" s="194">
        <f t="shared" ca="1" si="45"/>
        <v>6.6194161355084388E-11</v>
      </c>
      <c r="EH49" s="194">
        <f t="shared" ca="1" si="45"/>
        <v>5.7815467275815604E-5</v>
      </c>
      <c r="EI49" s="239">
        <f t="shared" ca="1" si="45"/>
        <v>5.7815467275815604E-5</v>
      </c>
      <c r="EJ49" s="190"/>
      <c r="EK49" s="192"/>
      <c r="EL49" s="192"/>
      <c r="EM49" s="192"/>
      <c r="EN49" s="192"/>
      <c r="EO49" s="192"/>
      <c r="EP49" s="192"/>
    </row>
    <row r="50" spans="1:147" x14ac:dyDescent="0.2">
      <c r="A50" s="192"/>
      <c r="B50" s="192"/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266"/>
      <c r="T50" s="265"/>
      <c r="U50" s="265"/>
      <c r="V50" s="265"/>
      <c r="W50" s="265"/>
      <c r="X50" s="265"/>
      <c r="Y50" s="265"/>
      <c r="Z50" s="265"/>
      <c r="AA50" s="265"/>
      <c r="AB50" s="265"/>
      <c r="AC50" s="265"/>
      <c r="AD50" s="265"/>
      <c r="AE50" s="265"/>
      <c r="AF50" s="265"/>
      <c r="AG50" s="265"/>
      <c r="AH50" s="265"/>
      <c r="AI50" s="192"/>
      <c r="AJ50" s="190"/>
      <c r="AK50" s="360" t="str">
        <f t="shared" si="34"/>
        <v>Oth Equ</v>
      </c>
      <c r="AL50" s="331">
        <f t="shared" ca="1" si="35"/>
        <v>9</v>
      </c>
      <c r="AM50" s="238" t="str">
        <f t="shared" si="46"/>
        <v>Oth Equ</v>
      </c>
      <c r="AN50" s="193">
        <f t="shared" ca="1" si="36"/>
        <v>6.8064614047587516E-9</v>
      </c>
      <c r="AO50" s="194">
        <f t="shared" ca="1" si="36"/>
        <v>6.8064614047572502E-9</v>
      </c>
      <c r="AP50" s="194">
        <f t="shared" ca="1" si="36"/>
        <v>6.0075182892265104E-9</v>
      </c>
      <c r="AQ50" s="194">
        <f t="shared" ca="1" si="36"/>
        <v>6.7303998204340749E-9</v>
      </c>
      <c r="AR50" s="194">
        <f t="shared" ca="1" si="36"/>
        <v>6.8064614047579988E-9</v>
      </c>
      <c r="AS50" s="194">
        <f t="shared" ca="1" si="36"/>
        <v>6.7303998204387873E-9</v>
      </c>
      <c r="AT50" s="194">
        <f t="shared" ca="1" si="36"/>
        <v>5.9052354117775642E-9</v>
      </c>
      <c r="AU50" s="194">
        <f t="shared" ca="1" si="36"/>
        <v>6.8064614047667595E-9</v>
      </c>
      <c r="AV50" s="194">
        <f t="shared" ca="1" si="36"/>
        <v>6.730399820432782E-9</v>
      </c>
      <c r="AW50" s="194">
        <f t="shared" ca="1" si="36"/>
        <v>5.905235411774301E-9</v>
      </c>
      <c r="AX50" s="194">
        <f t="shared" ca="1" si="37"/>
        <v>6.7303998205178675E-9</v>
      </c>
      <c r="AY50" s="194">
        <f t="shared" ca="1" si="37"/>
        <v>5.9052354117739577E-9</v>
      </c>
      <c r="AZ50" s="194">
        <f t="shared" ca="1" si="37"/>
        <v>5.9052354117739544E-9</v>
      </c>
      <c r="BA50" s="194">
        <f t="shared" ca="1" si="37"/>
        <v>5.9052354117743324E-9</v>
      </c>
      <c r="BB50" s="194">
        <f t="shared" ca="1" si="37"/>
        <v>5.905235411775277E-9</v>
      </c>
      <c r="BC50" s="194">
        <f t="shared" ca="1" si="37"/>
        <v>5.9052354118290661E-9</v>
      </c>
      <c r="BD50" s="194">
        <f t="shared" ca="1" si="37"/>
        <v>5.9052354117745011E-9</v>
      </c>
      <c r="BE50" s="194">
        <f t="shared" ca="1" si="37"/>
        <v>5.9052354117741057E-9</v>
      </c>
      <c r="BF50" s="194">
        <f t="shared" ca="1" si="37"/>
        <v>5.9052354117739684E-9</v>
      </c>
      <c r="BG50" s="194">
        <f t="shared" ca="1" si="37"/>
        <v>5.9052354117741686E-9</v>
      </c>
      <c r="BH50" s="194">
        <f t="shared" ca="1" si="38"/>
        <v>5.9052354117876103E-9</v>
      </c>
      <c r="BI50" s="194">
        <f t="shared" ca="1" si="38"/>
        <v>5.9052354117741744E-9</v>
      </c>
      <c r="BJ50" s="194">
        <f t="shared" ca="1" si="38"/>
        <v>1.0208276052778368E-5</v>
      </c>
      <c r="BK50" s="194">
        <f t="shared" ca="1" si="38"/>
        <v>8.6179477322248033E-4</v>
      </c>
      <c r="BL50" s="194">
        <f t="shared" ca="1" si="38"/>
        <v>1.2267388535793394E-3</v>
      </c>
      <c r="BM50" s="194">
        <f t="shared" ca="1" si="38"/>
        <v>1.478387325823789E-3</v>
      </c>
      <c r="BN50" s="194">
        <f t="shared" ca="1" si="38"/>
        <v>1.7666628188871202E-3</v>
      </c>
      <c r="BO50" s="194">
        <f t="shared" ca="1" si="38"/>
        <v>1.6727415660914872E-3</v>
      </c>
      <c r="BP50" s="194">
        <f t="shared" ca="1" si="38"/>
        <v>3.5321151807903017E-3</v>
      </c>
      <c r="BQ50" s="194">
        <f t="shared" ca="1" si="38"/>
        <v>4.2174984505509959E-3</v>
      </c>
      <c r="BR50" s="194">
        <f t="shared" ca="1" si="39"/>
        <v>5.3625738786455546E-3</v>
      </c>
      <c r="BS50" s="194">
        <f t="shared" ca="1" si="39"/>
        <v>4.6869220780685564E-3</v>
      </c>
      <c r="BT50" s="194">
        <f t="shared" ca="1" si="39"/>
        <v>6.1824421334363382E-3</v>
      </c>
      <c r="BU50" s="194">
        <f t="shared" ca="1" si="39"/>
        <v>6.8916370535458257E-3</v>
      </c>
      <c r="BV50" s="194">
        <f t="shared" ca="1" si="39"/>
        <v>7.0689719541370648E-3</v>
      </c>
      <c r="BW50" s="194">
        <f t="shared" ca="1" si="39"/>
        <v>6.9947273703948043E-3</v>
      </c>
      <c r="BX50" s="194">
        <f t="shared" ca="1" si="39"/>
        <v>7.1950700340242535E-3</v>
      </c>
      <c r="BY50" s="194">
        <f t="shared" ca="1" si="39"/>
        <v>7.5338887416872263E-3</v>
      </c>
      <c r="BZ50" s="194">
        <f t="shared" ca="1" si="39"/>
        <v>8.2657071245016266E-3</v>
      </c>
      <c r="CA50" s="194">
        <f t="shared" ca="1" si="39"/>
        <v>6.6445905198829515E-3</v>
      </c>
      <c r="CB50" s="194">
        <f t="shared" ca="1" si="40"/>
        <v>3.8602495330775973E-3</v>
      </c>
      <c r="CC50" s="194">
        <f t="shared" ca="1" si="40"/>
        <v>1.3592125429755498E-3</v>
      </c>
      <c r="CD50" s="194">
        <f t="shared" ca="1" si="40"/>
        <v>5.9052354117747609E-9</v>
      </c>
      <c r="CE50" s="194">
        <f t="shared" ca="1" si="40"/>
        <v>5.9052354117742257E-9</v>
      </c>
      <c r="CF50" s="194">
        <f t="shared" ca="1" si="40"/>
        <v>5.9052354117763565E-9</v>
      </c>
      <c r="CG50" s="194">
        <f t="shared" ca="1" si="40"/>
        <v>5.9052354117835067E-9</v>
      </c>
      <c r="CH50" s="194">
        <f t="shared" ca="1" si="40"/>
        <v>5.9052354118504868E-9</v>
      </c>
      <c r="CI50" s="194">
        <f t="shared" ca="1" si="40"/>
        <v>5.9052354117739014E-9</v>
      </c>
      <c r="CJ50" s="194">
        <f t="shared" ca="1" si="40"/>
        <v>5.905235411774526E-9</v>
      </c>
      <c r="CK50" s="194">
        <f t="shared" ca="1" si="40"/>
        <v>5.9052354117743431E-9</v>
      </c>
      <c r="CL50" s="194">
        <f t="shared" ca="1" si="41"/>
        <v>5.9052354118108681E-9</v>
      </c>
      <c r="CM50" s="194">
        <f t="shared" ca="1" si="41"/>
        <v>5.9052354117765459E-9</v>
      </c>
      <c r="CN50" s="194">
        <f t="shared" ca="1" si="41"/>
        <v>5.9052354117834653E-9</v>
      </c>
      <c r="CO50" s="194">
        <f t="shared" ca="1" si="41"/>
        <v>5.9052355111129502E-9</v>
      </c>
      <c r="CP50" s="194">
        <f t="shared" ca="1" si="41"/>
        <v>5.9052354127639928E-9</v>
      </c>
      <c r="CQ50" s="194">
        <f t="shared" ca="1" si="41"/>
        <v>5.9052354389320467E-9</v>
      </c>
      <c r="CR50" s="194">
        <f t="shared" ca="1" si="41"/>
        <v>5.9052354117764401E-9</v>
      </c>
      <c r="CS50" s="194">
        <f t="shared" ca="1" si="41"/>
        <v>5.9052354820069692E-9</v>
      </c>
      <c r="CT50" s="194">
        <f t="shared" ca="1" si="41"/>
        <v>5.905235411783644E-9</v>
      </c>
      <c r="CU50" s="194">
        <f t="shared" ca="1" si="41"/>
        <v>5.9052354117743853E-9</v>
      </c>
      <c r="CV50" s="194">
        <f t="shared" ca="1" si="42"/>
        <v>5.9052354117783376E-9</v>
      </c>
      <c r="CW50" s="194">
        <f t="shared" ca="1" si="42"/>
        <v>5.9052354117744623E-9</v>
      </c>
      <c r="CX50" s="194">
        <f t="shared" ca="1" si="42"/>
        <v>5.9052354117747882E-9</v>
      </c>
      <c r="CY50" s="194">
        <f t="shared" ca="1" si="42"/>
        <v>5.9052354121243572E-9</v>
      </c>
      <c r="CZ50" s="194">
        <f t="shared" ca="1" si="42"/>
        <v>5.9052354117749114E-9</v>
      </c>
      <c r="DA50" s="194">
        <f t="shared" ca="1" si="42"/>
        <v>5.9052354117965505E-9</v>
      </c>
      <c r="DB50" s="194">
        <f t="shared" ca="1" si="42"/>
        <v>5.9052354118115936E-9</v>
      </c>
      <c r="DC50" s="194">
        <f t="shared" ca="1" si="42"/>
        <v>5.905235411790402E-9</v>
      </c>
      <c r="DD50" s="194">
        <f t="shared" ca="1" si="42"/>
        <v>5.9052354117759289E-9</v>
      </c>
      <c r="DE50" s="194">
        <f t="shared" ca="1" si="42"/>
        <v>5.9052354117896725E-9</v>
      </c>
      <c r="DF50" s="194">
        <f t="shared" ca="1" si="43"/>
        <v>5.9052354117847243E-9</v>
      </c>
      <c r="DG50" s="194">
        <f t="shared" ca="1" si="43"/>
        <v>5.9052354117813279E-9</v>
      </c>
      <c r="DH50" s="194">
        <f t="shared" ca="1" si="43"/>
        <v>5.9052354118280652E-9</v>
      </c>
      <c r="DI50" s="194">
        <f t="shared" ca="1" si="43"/>
        <v>5.9052354117742546E-9</v>
      </c>
      <c r="DJ50" s="194">
        <f t="shared" ca="1" si="43"/>
        <v>5.9052354768528175E-9</v>
      </c>
      <c r="DK50" s="194">
        <f t="shared" ca="1" si="43"/>
        <v>5.9052354119858334E-9</v>
      </c>
      <c r="DL50" s="194">
        <f t="shared" ca="1" si="43"/>
        <v>5.905235559157913E-9</v>
      </c>
      <c r="DM50" s="194">
        <f t="shared" ca="1" si="43"/>
        <v>5.9052354117809283E-9</v>
      </c>
      <c r="DN50" s="194">
        <f t="shared" ca="1" si="43"/>
        <v>5.9052354117742861E-9</v>
      </c>
      <c r="DO50" s="194">
        <f t="shared" ca="1" si="43"/>
        <v>5.9052354134709137E-9</v>
      </c>
      <c r="DP50" s="194">
        <f t="shared" ca="1" si="44"/>
        <v>5.9052354562603746E-9</v>
      </c>
      <c r="DQ50" s="194">
        <f t="shared" ca="1" si="44"/>
        <v>5.905235413385461E-9</v>
      </c>
      <c r="DR50" s="194">
        <f t="shared" ca="1" si="44"/>
        <v>5.9052354154471839E-9</v>
      </c>
      <c r="DS50" s="194">
        <f t="shared" ca="1" si="44"/>
        <v>5.9052354117768644E-9</v>
      </c>
      <c r="DT50" s="194">
        <f t="shared" ca="1" si="44"/>
        <v>5.905235503220782E-9</v>
      </c>
      <c r="DU50" s="194">
        <f t="shared" ca="1" si="44"/>
        <v>5.9052354126246195E-9</v>
      </c>
      <c r="DV50" s="194">
        <f t="shared" ca="1" si="44"/>
        <v>5.9052354118560876E-9</v>
      </c>
      <c r="DW50" s="194">
        <f t="shared" ca="1" si="44"/>
        <v>5.9052354120656447E-9</v>
      </c>
      <c r="DX50" s="194">
        <f t="shared" ca="1" si="44"/>
        <v>5.9052354142883402E-9</v>
      </c>
      <c r="DY50" s="194">
        <f t="shared" ca="1" si="44"/>
        <v>5.9052354118139957E-9</v>
      </c>
      <c r="DZ50" s="194">
        <f t="shared" ca="1" si="45"/>
        <v>5.9052355034134249E-9</v>
      </c>
      <c r="EA50" s="194">
        <f t="shared" ca="1" si="45"/>
        <v>5.9052356184220331E-9</v>
      </c>
      <c r="EB50" s="194">
        <f t="shared" ca="1" si="45"/>
        <v>5.9052355685527359E-9</v>
      </c>
      <c r="EC50" s="194">
        <f t="shared" ca="1" si="45"/>
        <v>5.9052355498320505E-9</v>
      </c>
      <c r="ED50" s="194">
        <f t="shared" ca="1" si="45"/>
        <v>5.9052354118004663E-9</v>
      </c>
      <c r="EE50" s="194">
        <f t="shared" ca="1" si="45"/>
        <v>5.9052354117739014E-9</v>
      </c>
      <c r="EF50" s="194">
        <f t="shared" ca="1" si="45"/>
        <v>5.9052354117739014E-9</v>
      </c>
      <c r="EG50" s="194">
        <f t="shared" ca="1" si="45"/>
        <v>5.9052354121220038E-9</v>
      </c>
      <c r="EH50" s="194">
        <f t="shared" ca="1" si="45"/>
        <v>5.6830224931762882E-5</v>
      </c>
      <c r="EI50" s="239">
        <f t="shared" ca="1" si="45"/>
        <v>5.6830224931762882E-5</v>
      </c>
      <c r="EJ50" s="190"/>
      <c r="EK50" s="192"/>
      <c r="EL50" s="192"/>
      <c r="EM50" s="192"/>
      <c r="EN50" s="192"/>
      <c r="EO50" s="192"/>
      <c r="EP50" s="192"/>
    </row>
    <row r="51" spans="1:147" x14ac:dyDescent="0.2">
      <c r="A51" s="192"/>
      <c r="B51" s="192"/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266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192"/>
      <c r="AJ51" s="190"/>
      <c r="AK51" s="360" t="str">
        <f t="shared" si="34"/>
        <v>US RE</v>
      </c>
      <c r="AL51" s="331">
        <f t="shared" ca="1" si="35"/>
        <v>10</v>
      </c>
      <c r="AM51" s="238" t="str">
        <f t="shared" si="46"/>
        <v>US RE</v>
      </c>
      <c r="AN51" s="193">
        <f t="shared" ca="1" si="36"/>
        <v>0.11621152898984703</v>
      </c>
      <c r="AO51" s="194">
        <f t="shared" ca="1" si="36"/>
        <v>0.1157306769496719</v>
      </c>
      <c r="AP51" s="194">
        <f t="shared" ca="1" si="36"/>
        <v>0.11556092457250711</v>
      </c>
      <c r="AQ51" s="194">
        <f t="shared" ca="1" si="36"/>
        <v>0.11382345775698804</v>
      </c>
      <c r="AR51" s="194">
        <f t="shared" ca="1" si="36"/>
        <v>0.11351707629888545</v>
      </c>
      <c r="AS51" s="194">
        <f t="shared" ca="1" si="36"/>
        <v>0.11587370633951399</v>
      </c>
      <c r="AT51" s="194">
        <f t="shared" ca="1" si="36"/>
        <v>0.11633654876621695</v>
      </c>
      <c r="AU51" s="194">
        <f t="shared" ca="1" si="36"/>
        <v>0.11535365495421221</v>
      </c>
      <c r="AV51" s="194">
        <f t="shared" ca="1" si="36"/>
        <v>0.11580328073189486</v>
      </c>
      <c r="AW51" s="194">
        <f t="shared" ca="1" si="36"/>
        <v>0.11642722937696551</v>
      </c>
      <c r="AX51" s="194">
        <f t="shared" ca="1" si="37"/>
        <v>0.11749152845323538</v>
      </c>
      <c r="AY51" s="194">
        <f t="shared" ca="1" si="37"/>
        <v>0.11823312672783291</v>
      </c>
      <c r="AZ51" s="194">
        <f t="shared" ca="1" si="37"/>
        <v>0.11961043846248325</v>
      </c>
      <c r="BA51" s="194">
        <f t="shared" ca="1" si="37"/>
        <v>0.12270586026415754</v>
      </c>
      <c r="BB51" s="194">
        <f t="shared" ca="1" si="37"/>
        <v>0.12359731783862002</v>
      </c>
      <c r="BC51" s="194">
        <f t="shared" ca="1" si="37"/>
        <v>0.12503524133178096</v>
      </c>
      <c r="BD51" s="194">
        <f t="shared" ca="1" si="37"/>
        <v>0.12532760276379792</v>
      </c>
      <c r="BE51" s="194">
        <f t="shared" ca="1" si="37"/>
        <v>0.12576179851092659</v>
      </c>
      <c r="BF51" s="194">
        <f t="shared" ca="1" si="37"/>
        <v>0.12680616066633077</v>
      </c>
      <c r="BG51" s="194">
        <f t="shared" ca="1" si="37"/>
        <v>0.12840300323829695</v>
      </c>
      <c r="BH51" s="194">
        <f t="shared" ca="1" si="38"/>
        <v>0.12095727414717315</v>
      </c>
      <c r="BI51" s="194">
        <f t="shared" ca="1" si="38"/>
        <v>0.10691413948945176</v>
      </c>
      <c r="BJ51" s="194">
        <f t="shared" ca="1" si="38"/>
        <v>0.10497270158481532</v>
      </c>
      <c r="BK51" s="194">
        <f t="shared" ca="1" si="38"/>
        <v>0.10231539095711269</v>
      </c>
      <c r="BL51" s="194">
        <f t="shared" ca="1" si="38"/>
        <v>9.9795582873023647E-2</v>
      </c>
      <c r="BM51" s="194">
        <f t="shared" ca="1" si="38"/>
        <v>9.8795622995288684E-2</v>
      </c>
      <c r="BN51" s="194">
        <f t="shared" ca="1" si="38"/>
        <v>9.5188184199918549E-2</v>
      </c>
      <c r="BO51" s="194">
        <f t="shared" ca="1" si="38"/>
        <v>9.3397684601732575E-2</v>
      </c>
      <c r="BP51" s="194">
        <f t="shared" ca="1" si="38"/>
        <v>9.2734379196197703E-2</v>
      </c>
      <c r="BQ51" s="194">
        <f t="shared" ca="1" si="38"/>
        <v>8.7532428052635738E-2</v>
      </c>
      <c r="BR51" s="194">
        <f t="shared" ca="1" si="39"/>
        <v>8.4986223605041933E-2</v>
      </c>
      <c r="BS51" s="194">
        <f t="shared" ca="1" si="39"/>
        <v>8.0314567053399691E-2</v>
      </c>
      <c r="BT51" s="194">
        <f t="shared" ca="1" si="39"/>
        <v>7.2533631985725766E-2</v>
      </c>
      <c r="BU51" s="194">
        <f t="shared" ca="1" si="39"/>
        <v>7.0712068909300999E-2</v>
      </c>
      <c r="BV51" s="194">
        <f t="shared" ca="1" si="39"/>
        <v>7.4785618241470467E-2</v>
      </c>
      <c r="BW51" s="194">
        <f t="shared" ca="1" si="39"/>
        <v>7.6500014318526849E-2</v>
      </c>
      <c r="BX51" s="194">
        <f t="shared" ca="1" si="39"/>
        <v>7.4676561258262802E-2</v>
      </c>
      <c r="BY51" s="194">
        <f t="shared" ca="1" si="39"/>
        <v>7.0423537363398986E-2</v>
      </c>
      <c r="BZ51" s="194">
        <f t="shared" ca="1" si="39"/>
        <v>7.446559978864746E-2</v>
      </c>
      <c r="CA51" s="194">
        <f t="shared" ca="1" si="39"/>
        <v>6.8759082665423923E-2</v>
      </c>
      <c r="CB51" s="194">
        <f t="shared" ca="1" si="40"/>
        <v>5.4622266735787878E-2</v>
      </c>
      <c r="CC51" s="194">
        <f t="shared" ca="1" si="40"/>
        <v>4.4778698621372029E-2</v>
      </c>
      <c r="CD51" s="194">
        <f t="shared" ca="1" si="40"/>
        <v>3.5390178105431637E-2</v>
      </c>
      <c r="CE51" s="194">
        <f t="shared" ca="1" si="40"/>
        <v>2.3451519324426892E-2</v>
      </c>
      <c r="CF51" s="194">
        <f t="shared" ca="1" si="40"/>
        <v>1.2657836345524542E-2</v>
      </c>
      <c r="CG51" s="194">
        <f t="shared" ca="1" si="40"/>
        <v>2.9297139154991106E-3</v>
      </c>
      <c r="CH51" s="194">
        <f t="shared" ca="1" si="40"/>
        <v>-7.491621785158629E-21</v>
      </c>
      <c r="CI51" s="194">
        <f t="shared" ca="1" si="40"/>
        <v>-2.487643877421313E-20</v>
      </c>
      <c r="CJ51" s="194">
        <f t="shared" ca="1" si="40"/>
        <v>5.7869650756077863E-21</v>
      </c>
      <c r="CK51" s="194">
        <f t="shared" ca="1" si="40"/>
        <v>-9.8818452098067857E-23</v>
      </c>
      <c r="CL51" s="194">
        <f t="shared" ca="1" si="41"/>
        <v>1.699632171293515E-23</v>
      </c>
      <c r="CM51" s="194">
        <f t="shared" ca="1" si="41"/>
        <v>-9.1044916591585676E-24</v>
      </c>
      <c r="CN51" s="194">
        <f t="shared" ca="1" si="41"/>
        <v>2.6101992415596027E-25</v>
      </c>
      <c r="CO51" s="194">
        <f t="shared" ca="1" si="41"/>
        <v>7.2936030610986572E-18</v>
      </c>
      <c r="CP51" s="194">
        <f t="shared" ca="1" si="41"/>
        <v>1.0265867178900515E-17</v>
      </c>
      <c r="CQ51" s="194">
        <f t="shared" ca="1" si="41"/>
        <v>-1.0256366456757522E-18</v>
      </c>
      <c r="CR51" s="194">
        <f t="shared" ca="1" si="41"/>
        <v>-3.5889071761759261E-25</v>
      </c>
      <c r="CS51" s="194">
        <f t="shared" ca="1" si="41"/>
        <v>1.3736492945299656E-17</v>
      </c>
      <c r="CT51" s="194">
        <f t="shared" ca="1" si="41"/>
        <v>-3.1051016605739184E-22</v>
      </c>
      <c r="CU51" s="194">
        <f t="shared" ca="1" si="41"/>
        <v>1.6377589204005524E-24</v>
      </c>
      <c r="CV51" s="194">
        <f t="shared" ca="1" si="42"/>
        <v>9.8689793310976298E-24</v>
      </c>
      <c r="CW51" s="194">
        <f t="shared" ca="1" si="42"/>
        <v>8.8859288983448067E-24</v>
      </c>
      <c r="CX51" s="194">
        <f t="shared" ca="1" si="42"/>
        <v>1.395545054447894E-23</v>
      </c>
      <c r="CY51" s="194">
        <f t="shared" ca="1" si="42"/>
        <v>8.2348902928583233E-20</v>
      </c>
      <c r="CZ51" s="194">
        <f t="shared" ca="1" si="42"/>
        <v>-2.5434293984218258E-25</v>
      </c>
      <c r="DA51" s="194">
        <f t="shared" ca="1" si="42"/>
        <v>6.1068703011447271E-23</v>
      </c>
      <c r="DB51" s="194">
        <f t="shared" ca="1" si="42"/>
        <v>-1.1295060043272418E-22</v>
      </c>
      <c r="DC51" s="194">
        <f t="shared" ca="1" si="42"/>
        <v>2.5668649848184007E-22</v>
      </c>
      <c r="DD51" s="194">
        <f t="shared" ca="1" si="42"/>
        <v>5.2569734358346943E-24</v>
      </c>
      <c r="DE51" s="194">
        <f t="shared" ca="1" si="42"/>
        <v>-5.2132764972086346E-22</v>
      </c>
      <c r="DF51" s="194">
        <f t="shared" ca="1" si="43"/>
        <v>-3.4238235719868692E-23</v>
      </c>
      <c r="DG51" s="194">
        <f t="shared" ca="1" si="43"/>
        <v>3.4675089597896919E-23</v>
      </c>
      <c r="DH51" s="194">
        <f t="shared" ca="1" si="43"/>
        <v>1.6047319837611717E-22</v>
      </c>
      <c r="DI51" s="194">
        <f t="shared" ca="1" si="43"/>
        <v>1.1775457002938385E-24</v>
      </c>
      <c r="DJ51" s="194">
        <f t="shared" ca="1" si="43"/>
        <v>3.3482923752680881E-18</v>
      </c>
      <c r="DK51" s="194">
        <f t="shared" ca="1" si="43"/>
        <v>-2.1679161590562818E-22</v>
      </c>
      <c r="DL51" s="194">
        <f t="shared" ca="1" si="43"/>
        <v>-7.4062034609580202E-18</v>
      </c>
      <c r="DM51" s="194">
        <f t="shared" ca="1" si="43"/>
        <v>2.2609530722966536E-23</v>
      </c>
      <c r="DN51" s="194">
        <f t="shared" ca="1" si="43"/>
        <v>1.8546150721711763E-25</v>
      </c>
      <c r="DO51" s="194">
        <f t="shared" ca="1" si="43"/>
        <v>-6.4510526143645616E-21</v>
      </c>
      <c r="DP51" s="194">
        <f t="shared" ca="1" si="44"/>
        <v>2.2370107141040775E-20</v>
      </c>
      <c r="DQ51" s="194">
        <f t="shared" ca="1" si="44"/>
        <v>7.4380737098750513E-19</v>
      </c>
      <c r="DR51" s="194">
        <f t="shared" ca="1" si="44"/>
        <v>-7.5168297169583361E-20</v>
      </c>
      <c r="DS51" s="194">
        <f t="shared" ca="1" si="44"/>
        <v>2.2630177448783664E-23</v>
      </c>
      <c r="DT51" s="194">
        <f t="shared" ca="1" si="44"/>
        <v>-2.647321540369391E-18</v>
      </c>
      <c r="DU51" s="194">
        <f t="shared" ca="1" si="44"/>
        <v>8.2786057653694293E-21</v>
      </c>
      <c r="DV51" s="194">
        <f t="shared" ca="1" si="44"/>
        <v>-1.5222276395533389E-21</v>
      </c>
      <c r="DW51" s="194">
        <f t="shared" ca="1" si="44"/>
        <v>1.2585017528211955E-19</v>
      </c>
      <c r="DX51" s="194">
        <f t="shared" ca="1" si="44"/>
        <v>1.3170870228084991E-18</v>
      </c>
      <c r="DY51" s="194">
        <f t="shared" ca="1" si="44"/>
        <v>1.4125847516331064E-20</v>
      </c>
      <c r="DZ51" s="194">
        <f t="shared" ca="1" si="45"/>
        <v>5.0537463079051273E-18</v>
      </c>
      <c r="EA51" s="194">
        <f t="shared" ca="1" si="45"/>
        <v>-6.8004734745393978E-17</v>
      </c>
      <c r="EB51" s="194">
        <f t="shared" ca="1" si="45"/>
        <v>7.9095240192306305E-17</v>
      </c>
      <c r="EC51" s="194">
        <f t="shared" ca="1" si="45"/>
        <v>8.9756942244264174E-17</v>
      </c>
      <c r="ED51" s="194">
        <f t="shared" ca="1" si="45"/>
        <v>-2.173494389086431E-20</v>
      </c>
      <c r="EE51" s="194">
        <f t="shared" ca="1" si="45"/>
        <v>-1.6272457227133072E-19</v>
      </c>
      <c r="EF51" s="194">
        <f t="shared" ca="1" si="45"/>
        <v>-2.231882913757996E-19</v>
      </c>
      <c r="EG51" s="194">
        <f t="shared" ca="1" si="45"/>
        <v>-2.6107616856372424E-19</v>
      </c>
      <c r="EH51" s="194">
        <f t="shared" ca="1" si="45"/>
        <v>2.0846444404607559E-5</v>
      </c>
      <c r="EI51" s="239">
        <f t="shared" ca="1" si="45"/>
        <v>2.0846444404607559E-5</v>
      </c>
      <c r="EJ51" s="190"/>
      <c r="EK51" s="192"/>
      <c r="EL51" s="192"/>
      <c r="EM51" s="192"/>
      <c r="EN51" s="192"/>
      <c r="EO51" s="192"/>
      <c r="EP51" s="192"/>
    </row>
    <row r="52" spans="1:147" x14ac:dyDescent="0.2">
      <c r="A52" s="192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266"/>
      <c r="T52" s="265"/>
      <c r="U52" s="265"/>
      <c r="V52" s="265"/>
      <c r="W52" s="265"/>
      <c r="X52" s="265"/>
      <c r="Y52" s="265"/>
      <c r="Z52" s="265"/>
      <c r="AA52" s="265"/>
      <c r="AB52" s="265"/>
      <c r="AC52" s="265"/>
      <c r="AD52" s="265"/>
      <c r="AE52" s="265"/>
      <c r="AF52" s="265"/>
      <c r="AG52" s="265"/>
      <c r="AH52" s="265"/>
      <c r="AI52" s="192"/>
      <c r="AJ52" s="190"/>
      <c r="AK52" s="360" t="str">
        <f t="shared" si="34"/>
        <v>CAN RE</v>
      </c>
      <c r="AL52" s="331">
        <f t="shared" ca="1" si="35"/>
        <v>11</v>
      </c>
      <c r="AM52" s="238" t="str">
        <f t="shared" si="46"/>
        <v>CAN RE</v>
      </c>
      <c r="AN52" s="193">
        <f t="shared" ca="1" si="36"/>
        <v>0.26838104991559103</v>
      </c>
      <c r="AO52" s="194">
        <f t="shared" ca="1" si="36"/>
        <v>0.26896621906761498</v>
      </c>
      <c r="AP52" s="194">
        <f t="shared" ca="1" si="36"/>
        <v>0.26799072865868528</v>
      </c>
      <c r="AQ52" s="194">
        <f t="shared" ca="1" si="36"/>
        <v>0.26944500337199778</v>
      </c>
      <c r="AR52" s="194">
        <f t="shared" ca="1" si="36"/>
        <v>0.26865193206606297</v>
      </c>
      <c r="AS52" s="194">
        <f t="shared" ca="1" si="36"/>
        <v>0.26617946890591987</v>
      </c>
      <c r="AT52" s="194">
        <f t="shared" ca="1" si="36"/>
        <v>0.26667584931821875</v>
      </c>
      <c r="AU52" s="194">
        <f t="shared" ca="1" si="36"/>
        <v>0.26811794499815628</v>
      </c>
      <c r="AV52" s="194">
        <f t="shared" ca="1" si="36"/>
        <v>0.26798430208510354</v>
      </c>
      <c r="AW52" s="194">
        <f t="shared" ca="1" si="36"/>
        <v>0.26809760272870403</v>
      </c>
      <c r="AX52" s="194">
        <f t="shared" ca="1" si="37"/>
        <v>0.26750163601612931</v>
      </c>
      <c r="AY52" s="194">
        <f t="shared" ca="1" si="37"/>
        <v>0.26768160812671649</v>
      </c>
      <c r="AZ52" s="194">
        <f t="shared" ca="1" si="37"/>
        <v>0.26674302912353676</v>
      </c>
      <c r="BA52" s="194">
        <f t="shared" ca="1" si="37"/>
        <v>0.26443083389973965</v>
      </c>
      <c r="BB52" s="194">
        <f t="shared" ca="1" si="37"/>
        <v>0.26454317683508305</v>
      </c>
      <c r="BC52" s="194">
        <f t="shared" ca="1" si="37"/>
        <v>0.26341745945034756</v>
      </c>
      <c r="BD52" s="194">
        <f t="shared" ca="1" si="37"/>
        <v>0.26308334516572068</v>
      </c>
      <c r="BE52" s="194">
        <f t="shared" ca="1" si="37"/>
        <v>0.26269287732303553</v>
      </c>
      <c r="BF52" s="194">
        <f t="shared" ca="1" si="37"/>
        <v>0.26160648211219717</v>
      </c>
      <c r="BG52" s="194">
        <f t="shared" ca="1" si="37"/>
        <v>0.26039426252681014</v>
      </c>
      <c r="BH52" s="194">
        <f t="shared" ca="1" si="38"/>
        <v>0.26415397924638889</v>
      </c>
      <c r="BI52" s="194">
        <f t="shared" ca="1" si="38"/>
        <v>0.26785595844634236</v>
      </c>
      <c r="BJ52" s="194">
        <f t="shared" ca="1" si="38"/>
        <v>0.26455178339098229</v>
      </c>
      <c r="BK52" s="194">
        <f t="shared" ca="1" si="38"/>
        <v>0.26671687363006225</v>
      </c>
      <c r="BL52" s="194">
        <f t="shared" ca="1" si="38"/>
        <v>0.26815258654897095</v>
      </c>
      <c r="BM52" s="194">
        <f t="shared" ca="1" si="38"/>
        <v>0.2692936505088247</v>
      </c>
      <c r="BN52" s="194">
        <f t="shared" ca="1" si="38"/>
        <v>0.27238257219541423</v>
      </c>
      <c r="BO52" s="194">
        <f t="shared" ca="1" si="38"/>
        <v>0.27487322618780635</v>
      </c>
      <c r="BP52" s="194">
        <f t="shared" ca="1" si="38"/>
        <v>0.276763813864421</v>
      </c>
      <c r="BQ52" s="194">
        <f t="shared" ca="1" si="38"/>
        <v>0.28063377566533065</v>
      </c>
      <c r="BR52" s="194">
        <f t="shared" ca="1" si="39"/>
        <v>0.28315640485806337</v>
      </c>
      <c r="BS52" s="194">
        <f t="shared" ca="1" si="39"/>
        <v>0.28553631588050565</v>
      </c>
      <c r="BT52" s="194">
        <f t="shared" ca="1" si="39"/>
        <v>0.29270722216311035</v>
      </c>
      <c r="BU52" s="194">
        <f t="shared" ca="1" si="39"/>
        <v>0.29276796668252131</v>
      </c>
      <c r="BV52" s="194">
        <f t="shared" ca="1" si="39"/>
        <v>0.29368977804727181</v>
      </c>
      <c r="BW52" s="194">
        <f t="shared" ca="1" si="39"/>
        <v>0.29765246492354369</v>
      </c>
      <c r="BX52" s="194">
        <f t="shared" ca="1" si="39"/>
        <v>0.3026682663066167</v>
      </c>
      <c r="BY52" s="194">
        <f t="shared" ca="1" si="39"/>
        <v>0.30727253469836718</v>
      </c>
      <c r="BZ52" s="194">
        <f t="shared" ca="1" si="39"/>
        <v>0.30921645518120688</v>
      </c>
      <c r="CA52" s="194">
        <f t="shared" ca="1" si="39"/>
        <v>0.3108822516456658</v>
      </c>
      <c r="CB52" s="194">
        <f t="shared" ca="1" si="40"/>
        <v>0.32033318108660469</v>
      </c>
      <c r="CC52" s="194">
        <f t="shared" ca="1" si="40"/>
        <v>0.32552641404338573</v>
      </c>
      <c r="CD52" s="194">
        <f t="shared" ca="1" si="40"/>
        <v>0.32842012673795629</v>
      </c>
      <c r="CE52" s="194">
        <f t="shared" ca="1" si="40"/>
        <v>0.33312512729403548</v>
      </c>
      <c r="CF52" s="194">
        <f t="shared" ca="1" si="40"/>
        <v>0.33938437608990968</v>
      </c>
      <c r="CG52" s="194">
        <f t="shared" ca="1" si="40"/>
        <v>0.33992345489787756</v>
      </c>
      <c r="CH52" s="194">
        <f t="shared" ca="1" si="40"/>
        <v>0.33508533780300515</v>
      </c>
      <c r="CI52" s="194">
        <f t="shared" ca="1" si="40"/>
        <v>0.32783785760941919</v>
      </c>
      <c r="CJ52" s="194">
        <f t="shared" ca="1" si="40"/>
        <v>0.32048788505629683</v>
      </c>
      <c r="CK52" s="194">
        <f t="shared" ca="1" si="40"/>
        <v>0.31381180540373665</v>
      </c>
      <c r="CL52" s="194">
        <f t="shared" ca="1" si="41"/>
        <v>0.30392644980018518</v>
      </c>
      <c r="CM52" s="194">
        <f t="shared" ca="1" si="41"/>
        <v>0.29394978040738834</v>
      </c>
      <c r="CN52" s="194">
        <f t="shared" ca="1" si="41"/>
        <v>0.28400461966152762</v>
      </c>
      <c r="CO52" s="194">
        <f t="shared" ca="1" si="41"/>
        <v>0.27411914135548365</v>
      </c>
      <c r="CP52" s="194">
        <f t="shared" ca="1" si="41"/>
        <v>0.26494500139292293</v>
      </c>
      <c r="CQ52" s="194">
        <f t="shared" ca="1" si="41"/>
        <v>0.25552155764330886</v>
      </c>
      <c r="CR52" s="194">
        <f t="shared" ca="1" si="41"/>
        <v>0.24639983795140996</v>
      </c>
      <c r="CS52" s="194">
        <f t="shared" ca="1" si="41"/>
        <v>0.23632574653269187</v>
      </c>
      <c r="CT52" s="194">
        <f t="shared" ca="1" si="41"/>
        <v>0.226306274242601</v>
      </c>
      <c r="CU52" s="194">
        <f t="shared" ca="1" si="41"/>
        <v>0.21581215947066246</v>
      </c>
      <c r="CV52" s="194">
        <f t="shared" ca="1" si="42"/>
        <v>0.20660717161804451</v>
      </c>
      <c r="CW52" s="194">
        <f t="shared" ca="1" si="42"/>
        <v>0.19714750906715064</v>
      </c>
      <c r="CX52" s="194">
        <f t="shared" ca="1" si="42"/>
        <v>0.18711960212561415</v>
      </c>
      <c r="CY52" s="194">
        <f t="shared" ca="1" si="42"/>
        <v>0.17667887784831693</v>
      </c>
      <c r="CZ52" s="194">
        <f t="shared" ca="1" si="42"/>
        <v>0.16708128623161281</v>
      </c>
      <c r="DA52" s="194">
        <f t="shared" ca="1" si="42"/>
        <v>0.15714180297797209</v>
      </c>
      <c r="DB52" s="194">
        <f t="shared" ca="1" si="42"/>
        <v>0.14769172569215519</v>
      </c>
      <c r="DC52" s="194">
        <f t="shared" ca="1" si="42"/>
        <v>0.13819716139986454</v>
      </c>
      <c r="DD52" s="194">
        <f t="shared" ca="1" si="42"/>
        <v>0.12845596135428547</v>
      </c>
      <c r="DE52" s="194">
        <f t="shared" ca="1" si="42"/>
        <v>0.119418312082316</v>
      </c>
      <c r="DF52" s="194">
        <f t="shared" ca="1" si="43"/>
        <v>0.11023023875169599</v>
      </c>
      <c r="DG52" s="194">
        <f t="shared" ca="1" si="43"/>
        <v>0.10069250081531914</v>
      </c>
      <c r="DH52" s="194">
        <f t="shared" ca="1" si="43"/>
        <v>9.0881099145386293E-2</v>
      </c>
      <c r="DI52" s="194">
        <f t="shared" ca="1" si="43"/>
        <v>8.1440812258712802E-2</v>
      </c>
      <c r="DJ52" s="194">
        <f t="shared" ca="1" si="43"/>
        <v>7.2162300240278046E-2</v>
      </c>
      <c r="DK52" s="194">
        <f t="shared" ca="1" si="43"/>
        <v>6.2815508233907566E-2</v>
      </c>
      <c r="DL52" s="194">
        <f t="shared" ca="1" si="43"/>
        <v>5.3322100314809537E-2</v>
      </c>
      <c r="DM52" s="194">
        <f t="shared" ca="1" si="43"/>
        <v>4.351572611452454E-2</v>
      </c>
      <c r="DN52" s="194">
        <f t="shared" ca="1" si="43"/>
        <v>3.3224270211362199E-2</v>
      </c>
      <c r="DO52" s="194">
        <f t="shared" ca="1" si="43"/>
        <v>2.3347899343105636E-2</v>
      </c>
      <c r="DP52" s="194">
        <f t="shared" ca="1" si="44"/>
        <v>1.3895318203662063E-2</v>
      </c>
      <c r="DQ52" s="194">
        <f t="shared" ca="1" si="44"/>
        <v>3.9662668021905991E-3</v>
      </c>
      <c r="DR52" s="194">
        <f t="shared" ca="1" si="44"/>
        <v>6.2527760746888816E-12</v>
      </c>
      <c r="DS52" s="194">
        <f t="shared" ca="1" si="44"/>
        <v>6.25277607611115E-12</v>
      </c>
      <c r="DT52" s="194">
        <f t="shared" ca="1" si="44"/>
        <v>6.2527760746888816E-12</v>
      </c>
      <c r="DU52" s="194">
        <f t="shared" ca="1" si="44"/>
        <v>6.2527764338085029E-12</v>
      </c>
      <c r="DV52" s="194">
        <f t="shared" ca="1" si="44"/>
        <v>6.2527760932851345E-12</v>
      </c>
      <c r="DW52" s="194">
        <f t="shared" ca="1" si="44"/>
        <v>6.2527760746888816E-12</v>
      </c>
      <c r="DX52" s="194">
        <f t="shared" ca="1" si="44"/>
        <v>6.2527760746888816E-12</v>
      </c>
      <c r="DY52" s="194">
        <f t="shared" ca="1" si="44"/>
        <v>6.2527760804978415E-12</v>
      </c>
      <c r="DZ52" s="194">
        <f t="shared" ca="1" si="45"/>
        <v>6.2528720547087577E-12</v>
      </c>
      <c r="EA52" s="194">
        <f t="shared" ca="1" si="45"/>
        <v>6.2528442802498656E-12</v>
      </c>
      <c r="EB52" s="194">
        <f t="shared" ca="1" si="45"/>
        <v>6.2527930225889383E-12</v>
      </c>
      <c r="EC52" s="194">
        <f t="shared" ca="1" si="45"/>
        <v>6.2528294828418962E-12</v>
      </c>
      <c r="ED52" s="194">
        <f t="shared" ca="1" si="45"/>
        <v>6.2527760915938482E-12</v>
      </c>
      <c r="EE52" s="194">
        <f t="shared" ca="1" si="45"/>
        <v>6.2527760746888816E-12</v>
      </c>
      <c r="EF52" s="194">
        <f t="shared" ca="1" si="45"/>
        <v>6.2527760746888816E-12</v>
      </c>
      <c r="EG52" s="194">
        <f t="shared" ca="1" si="45"/>
        <v>6.2527760746888816E-12</v>
      </c>
      <c r="EH52" s="194">
        <f t="shared" ca="1" si="45"/>
        <v>2.1084105069392172E-5</v>
      </c>
      <c r="EI52" s="239">
        <f t="shared" ca="1" si="45"/>
        <v>2.1084105069392172E-5</v>
      </c>
      <c r="EJ52" s="190"/>
      <c r="EK52" s="192"/>
      <c r="EL52" s="192"/>
      <c r="EM52" s="192"/>
      <c r="EN52" s="192"/>
      <c r="EO52" s="192"/>
      <c r="EP52" s="192"/>
    </row>
    <row r="53" spans="1:147" x14ac:dyDescent="0.2">
      <c r="A53" s="192"/>
      <c r="B53" s="192"/>
      <c r="C53" s="192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192"/>
      <c r="O53" s="192"/>
      <c r="P53" s="192"/>
      <c r="Q53" s="192"/>
      <c r="R53" s="192"/>
      <c r="S53" s="266"/>
      <c r="T53" s="265"/>
      <c r="U53" s="265"/>
      <c r="V53" s="265"/>
      <c r="W53" s="265"/>
      <c r="X53" s="265"/>
      <c r="Y53" s="265"/>
      <c r="Z53" s="265"/>
      <c r="AA53" s="265"/>
      <c r="AB53" s="265"/>
      <c r="AC53" s="265"/>
      <c r="AD53" s="265"/>
      <c r="AE53" s="265"/>
      <c r="AF53" s="265"/>
      <c r="AG53" s="265"/>
      <c r="AH53" s="265"/>
      <c r="AI53" s="192"/>
      <c r="AJ53" s="190"/>
      <c r="AK53" s="360" t="str">
        <f t="shared" si="34"/>
        <v>Priv Equ</v>
      </c>
      <c r="AL53" s="331">
        <f t="shared" ca="1" si="35"/>
        <v>12</v>
      </c>
      <c r="AM53" s="238" t="str">
        <f t="shared" si="46"/>
        <v>Priv Equ</v>
      </c>
      <c r="AN53" s="193">
        <f t="shared" ca="1" si="36"/>
        <v>1.7462969717836761E-3</v>
      </c>
      <c r="AO53" s="194">
        <f t="shared" ca="1" si="36"/>
        <v>2.2367094492223294E-3</v>
      </c>
      <c r="AP53" s="194">
        <f t="shared" ca="1" si="36"/>
        <v>2.8173378319908595E-3</v>
      </c>
      <c r="AQ53" s="194">
        <f t="shared" ca="1" si="36"/>
        <v>3.7541076702366002E-3</v>
      </c>
      <c r="AR53" s="194">
        <f t="shared" ca="1" si="36"/>
        <v>4.2640425534281367E-3</v>
      </c>
      <c r="AS53" s="194">
        <f t="shared" ca="1" si="36"/>
        <v>4.3281942346490325E-3</v>
      </c>
      <c r="AT53" s="194">
        <f t="shared" ca="1" si="36"/>
        <v>3.8832591777365282E-3</v>
      </c>
      <c r="AU53" s="194">
        <f t="shared" ca="1" si="36"/>
        <v>3.0804671173001552E-3</v>
      </c>
      <c r="AV53" s="194">
        <f t="shared" ca="1" si="36"/>
        <v>3.1564062785176491E-3</v>
      </c>
      <c r="AW53" s="194">
        <f t="shared" ca="1" si="36"/>
        <v>3.1935621938543692E-3</v>
      </c>
      <c r="AX53" s="194">
        <f t="shared" ca="1" si="37"/>
        <v>2.9249378541980381E-3</v>
      </c>
      <c r="AY53" s="194">
        <f t="shared" ca="1" si="37"/>
        <v>2.4694675775761617E-3</v>
      </c>
      <c r="AZ53" s="194">
        <f t="shared" ca="1" si="37"/>
        <v>2.0456568473641249E-3</v>
      </c>
      <c r="BA53" s="194">
        <f t="shared" ca="1" si="37"/>
        <v>1.3207479357115681E-3</v>
      </c>
      <c r="BB53" s="194">
        <f t="shared" ca="1" si="37"/>
        <v>1.4068746168215245E-11</v>
      </c>
      <c r="BC53" s="194">
        <f t="shared" ca="1" si="37"/>
        <v>1.406874616805606E-11</v>
      </c>
      <c r="BD53" s="194">
        <f t="shared" ca="1" si="37"/>
        <v>1.406874616822663E-11</v>
      </c>
      <c r="BE53" s="194">
        <f t="shared" ca="1" si="37"/>
        <v>1.4068746168606434E-11</v>
      </c>
      <c r="BF53" s="194">
        <f t="shared" ca="1" si="37"/>
        <v>1.4068746168049984E-11</v>
      </c>
      <c r="BG53" s="194">
        <f t="shared" ca="1" si="37"/>
        <v>1.4068746168139072E-11</v>
      </c>
      <c r="BH53" s="194">
        <f t="shared" ca="1" si="38"/>
        <v>7.0752487116482882E-4</v>
      </c>
      <c r="BI53" s="194">
        <f t="shared" ca="1" si="38"/>
        <v>7.394118146251182E-3</v>
      </c>
      <c r="BJ53" s="194">
        <f t="shared" ca="1" si="38"/>
        <v>9.8451922314623293E-3</v>
      </c>
      <c r="BK53" s="194">
        <f t="shared" ca="1" si="38"/>
        <v>8.4315147311849557E-3</v>
      </c>
      <c r="BL53" s="194">
        <f t="shared" ca="1" si="38"/>
        <v>8.4984133006887966E-3</v>
      </c>
      <c r="BM53" s="194">
        <f t="shared" ca="1" si="38"/>
        <v>7.1973210929849266E-3</v>
      </c>
      <c r="BN53" s="194">
        <f t="shared" ca="1" si="38"/>
        <v>6.5224163079985725E-3</v>
      </c>
      <c r="BO53" s="194">
        <f t="shared" ca="1" si="38"/>
        <v>3.7242659008597939E-3</v>
      </c>
      <c r="BP53" s="194">
        <f t="shared" ca="1" si="38"/>
        <v>1.2920346851672234E-3</v>
      </c>
      <c r="BQ53" s="194">
        <f t="shared" ca="1" si="38"/>
        <v>8.2255432287756721E-4</v>
      </c>
      <c r="BR53" s="194">
        <f t="shared" ca="1" si="39"/>
        <v>7.2836224165256146E-5</v>
      </c>
      <c r="BS53" s="194">
        <f t="shared" ca="1" si="39"/>
        <v>1.4068746168716556E-11</v>
      </c>
      <c r="BT53" s="194">
        <f t="shared" ca="1" si="39"/>
        <v>1.4068746168287861E-11</v>
      </c>
      <c r="BU53" s="194">
        <f t="shared" ca="1" si="39"/>
        <v>1.4068746168211998E-11</v>
      </c>
      <c r="BV53" s="194">
        <f t="shared" ca="1" si="39"/>
        <v>1.4068746168125356E-11</v>
      </c>
      <c r="BW53" s="194">
        <f t="shared" ca="1" si="39"/>
        <v>1.4068746168209906E-11</v>
      </c>
      <c r="BX53" s="194">
        <f t="shared" ca="1" si="39"/>
        <v>2.3060773899004181E-3</v>
      </c>
      <c r="BY53" s="194">
        <f t="shared" ca="1" si="39"/>
        <v>6.346168537130395E-3</v>
      </c>
      <c r="BZ53" s="194">
        <f t="shared" ca="1" si="39"/>
        <v>5.7070535726981633E-3</v>
      </c>
      <c r="CA53" s="194">
        <f t="shared" ca="1" si="39"/>
        <v>1.0759123557557529E-2</v>
      </c>
      <c r="CB53" s="194">
        <f t="shared" ca="1" si="40"/>
        <v>1.5089255871619524E-2</v>
      </c>
      <c r="CC53" s="194">
        <f t="shared" ca="1" si="40"/>
        <v>1.8972231971135688E-2</v>
      </c>
      <c r="CD53" s="194">
        <f t="shared" ca="1" si="40"/>
        <v>2.2883871143914471E-2</v>
      </c>
      <c r="CE53" s="194">
        <f t="shared" ca="1" si="40"/>
        <v>2.7097200821608585E-2</v>
      </c>
      <c r="CF53" s="194">
        <f t="shared" ca="1" si="40"/>
        <v>3.0730951099377502E-2</v>
      </c>
      <c r="CG53" s="194">
        <f t="shared" ca="1" si="40"/>
        <v>3.5532259444095007E-2</v>
      </c>
      <c r="CH53" s="194">
        <f t="shared" ca="1" si="40"/>
        <v>3.9189516267395856E-2</v>
      </c>
      <c r="CI53" s="194">
        <f t="shared" ca="1" si="40"/>
        <v>4.3594862506944748E-2</v>
      </c>
      <c r="CJ53" s="194">
        <f t="shared" ca="1" si="40"/>
        <v>4.8211763344427304E-2</v>
      </c>
      <c r="CK53" s="194">
        <f t="shared" ca="1" si="40"/>
        <v>4.9316740081822921E-2</v>
      </c>
      <c r="CL53" s="194">
        <f t="shared" ca="1" si="41"/>
        <v>5.4902324316230065E-2</v>
      </c>
      <c r="CM53" s="194">
        <f t="shared" ca="1" si="41"/>
        <v>6.0041986659519576E-2</v>
      </c>
      <c r="CN53" s="194">
        <f t="shared" ca="1" si="41"/>
        <v>6.5091161846819082E-2</v>
      </c>
      <c r="CO53" s="194">
        <f t="shared" ca="1" si="41"/>
        <v>6.9968939822032117E-2</v>
      </c>
      <c r="CP53" s="194">
        <f t="shared" ca="1" si="41"/>
        <v>7.2803882261365485E-2</v>
      </c>
      <c r="CQ53" s="194">
        <f t="shared" ca="1" si="41"/>
        <v>7.635478025137804E-2</v>
      </c>
      <c r="CR53" s="194">
        <f t="shared" ca="1" si="41"/>
        <v>7.9039208457572313E-2</v>
      </c>
      <c r="CS53" s="194">
        <f t="shared" ca="1" si="41"/>
        <v>8.4458621965578226E-2</v>
      </c>
      <c r="CT53" s="194">
        <f t="shared" ca="1" si="41"/>
        <v>8.9721233854415786E-2</v>
      </c>
      <c r="CU53" s="194">
        <f t="shared" ca="1" si="41"/>
        <v>9.6346906080445216E-2</v>
      </c>
      <c r="CV53" s="194">
        <f t="shared" ca="1" si="42"/>
        <v>9.9270438101090083E-2</v>
      </c>
      <c r="CW53" s="194">
        <f t="shared" ca="1" si="42"/>
        <v>0.10292534996157139</v>
      </c>
      <c r="CX53" s="194">
        <f t="shared" ca="1" si="42"/>
        <v>0.10821215731158251</v>
      </c>
      <c r="CY53" s="194">
        <f t="shared" ca="1" si="42"/>
        <v>0.11468447432042048</v>
      </c>
      <c r="CZ53" s="194">
        <f t="shared" ca="1" si="42"/>
        <v>0.11873552094022791</v>
      </c>
      <c r="DA53" s="194">
        <f t="shared" ca="1" si="42"/>
        <v>0.12376839139298637</v>
      </c>
      <c r="DB53" s="194">
        <f t="shared" ca="1" si="42"/>
        <v>0.12739577609947972</v>
      </c>
      <c r="DC53" s="194">
        <f t="shared" ca="1" si="42"/>
        <v>0.1311509194717867</v>
      </c>
      <c r="DD53" s="194">
        <f t="shared" ca="1" si="42"/>
        <v>0.13561435628258339</v>
      </c>
      <c r="DE53" s="194">
        <f t="shared" ca="1" si="42"/>
        <v>0.13805732205482393</v>
      </c>
      <c r="DF53" s="194">
        <f t="shared" ca="1" si="43"/>
        <v>0.14093227861636995</v>
      </c>
      <c r="DG53" s="194">
        <f t="shared" ca="1" si="43"/>
        <v>0.14481140891439051</v>
      </c>
      <c r="DH53" s="194">
        <f t="shared" ca="1" si="43"/>
        <v>0.14947645213966135</v>
      </c>
      <c r="DI53" s="194">
        <f t="shared" ca="1" si="43"/>
        <v>0.15307572058408833</v>
      </c>
      <c r="DJ53" s="194">
        <f t="shared" ca="1" si="43"/>
        <v>0.15621037342173624</v>
      </c>
      <c r="DK53" s="194">
        <f t="shared" ca="1" si="43"/>
        <v>0.15954114141816381</v>
      </c>
      <c r="DL53" s="194">
        <f t="shared" ca="1" si="43"/>
        <v>0.16329299123285307</v>
      </c>
      <c r="DM53" s="194">
        <f t="shared" ca="1" si="43"/>
        <v>0.16794356913346056</v>
      </c>
      <c r="DN53" s="194">
        <f t="shared" ca="1" si="43"/>
        <v>0.17398724160847392</v>
      </c>
      <c r="DO53" s="194">
        <f t="shared" ca="1" si="43"/>
        <v>0.17883886466356871</v>
      </c>
      <c r="DP53" s="194">
        <f t="shared" ca="1" si="44"/>
        <v>0.18247346732426731</v>
      </c>
      <c r="DQ53" s="194">
        <f t="shared" ca="1" si="44"/>
        <v>0.18747635203965859</v>
      </c>
      <c r="DR53" s="194">
        <f t="shared" ca="1" si="44"/>
        <v>0.17535522122838509</v>
      </c>
      <c r="DS53" s="194">
        <f t="shared" ca="1" si="44"/>
        <v>0.17020015319782922</v>
      </c>
      <c r="DT53" s="194">
        <f t="shared" ca="1" si="44"/>
        <v>0.17271410571418377</v>
      </c>
      <c r="DU53" s="194">
        <f t="shared" ca="1" si="44"/>
        <v>0.16102638040082845</v>
      </c>
      <c r="DV53" s="194">
        <f t="shared" ca="1" si="44"/>
        <v>0.14246430158850421</v>
      </c>
      <c r="DW53" s="194">
        <f t="shared" ca="1" si="44"/>
        <v>0.1362684236524899</v>
      </c>
      <c r="DX53" s="194">
        <f t="shared" ca="1" si="44"/>
        <v>0.11275688934374818</v>
      </c>
      <c r="DY53" s="194">
        <f t="shared" ca="1" si="44"/>
        <v>0.10578614237293345</v>
      </c>
      <c r="DZ53" s="194">
        <f t="shared" ca="1" si="45"/>
        <v>0.11308797345719926</v>
      </c>
      <c r="EA53" s="194">
        <f t="shared" ca="1" si="45"/>
        <v>0.1146117783560696</v>
      </c>
      <c r="EB53" s="194">
        <f t="shared" ca="1" si="45"/>
        <v>0.11831889115272085</v>
      </c>
      <c r="EC53" s="194">
        <f t="shared" ca="1" si="45"/>
        <v>9.4807356843974858E-2</v>
      </c>
      <c r="ED53" s="194">
        <f t="shared" ca="1" si="45"/>
        <v>7.1295822535236614E-2</v>
      </c>
      <c r="EE53" s="194">
        <f t="shared" ca="1" si="45"/>
        <v>4.7784288226486338E-2</v>
      </c>
      <c r="EF53" s="194">
        <f t="shared" ca="1" si="45"/>
        <v>2.4272753917744822E-2</v>
      </c>
      <c r="EG53" s="194">
        <f t="shared" ca="1" si="45"/>
        <v>7.6121960899645574E-4</v>
      </c>
      <c r="EH53" s="194">
        <f t="shared" ca="1" si="45"/>
        <v>5.6299328007361375E-5</v>
      </c>
      <c r="EI53" s="239">
        <f t="shared" ca="1" si="45"/>
        <v>5.6299328007361375E-5</v>
      </c>
      <c r="EJ53" s="190"/>
      <c r="EK53" s="192"/>
      <c r="EL53" s="192"/>
      <c r="EM53" s="192"/>
      <c r="EN53" s="192"/>
      <c r="EO53" s="192"/>
      <c r="EP53" s="192"/>
    </row>
    <row r="54" spans="1:147" x14ac:dyDescent="0.2">
      <c r="A54" s="192"/>
      <c r="B54" s="192"/>
      <c r="C54" s="192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192"/>
      <c r="O54" s="192"/>
      <c r="P54" s="192"/>
      <c r="Q54" s="192"/>
      <c r="R54" s="192"/>
      <c r="S54" s="266"/>
      <c r="T54" s="265"/>
      <c r="U54" s="265"/>
      <c r="V54" s="265"/>
      <c r="W54" s="265"/>
      <c r="X54" s="265"/>
      <c r="Y54" s="265"/>
      <c r="Z54" s="265"/>
      <c r="AA54" s="265"/>
      <c r="AB54" s="265"/>
      <c r="AC54" s="265"/>
      <c r="AD54" s="265"/>
      <c r="AE54" s="265"/>
      <c r="AF54" s="265"/>
      <c r="AG54" s="265"/>
      <c r="AH54" s="265"/>
      <c r="AI54" s="192"/>
      <c r="AJ54" s="190"/>
      <c r="AK54" s="360" t="str">
        <f t="shared" si="34"/>
        <v>O&amp;G</v>
      </c>
      <c r="AL54" s="331">
        <f t="shared" ca="1" si="35"/>
        <v>13</v>
      </c>
      <c r="AM54" s="238" t="str">
        <f t="shared" si="46"/>
        <v>O&amp;G</v>
      </c>
      <c r="AN54" s="193">
        <f t="shared" ca="1" si="36"/>
        <v>2.2231124122778261E-2</v>
      </c>
      <c r="AO54" s="194">
        <f t="shared" ca="1" si="36"/>
        <v>2.1636394533490769E-2</v>
      </c>
      <c r="AP54" s="194">
        <f t="shared" ca="1" si="36"/>
        <v>2.220100893681675E-2</v>
      </c>
      <c r="AQ54" s="194">
        <f t="shared" ca="1" si="36"/>
        <v>2.1547431200777529E-2</v>
      </c>
      <c r="AR54" s="194">
        <f t="shared" ca="1" si="36"/>
        <v>2.2136949081623381E-2</v>
      </c>
      <c r="AS54" s="194">
        <f t="shared" ca="1" si="36"/>
        <v>2.2188630519917037E-2</v>
      </c>
      <c r="AT54" s="194">
        <f t="shared" ca="1" si="36"/>
        <v>2.1674342737827708E-2</v>
      </c>
      <c r="AU54" s="194">
        <f t="shared" ca="1" si="36"/>
        <v>2.2017932930331312E-2</v>
      </c>
      <c r="AV54" s="194">
        <f t="shared" ca="1" si="36"/>
        <v>2.162601090448385E-2</v>
      </c>
      <c r="AW54" s="194">
        <f t="shared" ca="1" si="36"/>
        <v>2.0851605700476093E-2</v>
      </c>
      <c r="AX54" s="194">
        <f t="shared" ca="1" si="37"/>
        <v>2.0651897676437256E-2</v>
      </c>
      <c r="AY54" s="194">
        <f t="shared" ca="1" si="37"/>
        <v>2.0185797567874385E-2</v>
      </c>
      <c r="AZ54" s="194">
        <f t="shared" ca="1" si="37"/>
        <v>2.0170875566615815E-2</v>
      </c>
      <c r="BA54" s="194">
        <f t="shared" ca="1" si="37"/>
        <v>2.0112557900391195E-2</v>
      </c>
      <c r="BB54" s="194">
        <f t="shared" ca="1" si="37"/>
        <v>2.0429505312228122E-2</v>
      </c>
      <c r="BC54" s="194">
        <f t="shared" ca="1" si="37"/>
        <v>2.0117299203802754E-2</v>
      </c>
      <c r="BD54" s="194">
        <f t="shared" ca="1" si="37"/>
        <v>2.0159052056412729E-2</v>
      </c>
      <c r="BE54" s="194">
        <f t="shared" ca="1" si="37"/>
        <v>2.0115324151969066E-2</v>
      </c>
      <c r="BF54" s="194">
        <f t="shared" ca="1" si="37"/>
        <v>2.0157357207403345E-2</v>
      </c>
      <c r="BG54" s="194">
        <f t="shared" ca="1" si="37"/>
        <v>1.9772734220824088E-2</v>
      </c>
      <c r="BH54" s="194">
        <f t="shared" ca="1" si="38"/>
        <v>2.2751221735273087E-2</v>
      </c>
      <c r="BI54" s="194">
        <f t="shared" ca="1" si="38"/>
        <v>2.6405783917954641E-2</v>
      </c>
      <c r="BJ54" s="194">
        <f t="shared" ca="1" si="38"/>
        <v>2.9200322792739982E-2</v>
      </c>
      <c r="BK54" s="194">
        <f t="shared" ca="1" si="38"/>
        <v>3.1106220681640113E-2</v>
      </c>
      <c r="BL54" s="194">
        <f t="shared" ca="1" si="38"/>
        <v>3.2123417277316539E-2</v>
      </c>
      <c r="BM54" s="194">
        <f t="shared" ca="1" si="38"/>
        <v>3.3283405402901631E-2</v>
      </c>
      <c r="BN54" s="194">
        <f t="shared" ca="1" si="38"/>
        <v>3.4476827296668608E-2</v>
      </c>
      <c r="BO54" s="194">
        <f t="shared" ca="1" si="38"/>
        <v>3.6574823309601281E-2</v>
      </c>
      <c r="BP54" s="194">
        <f t="shared" ca="1" si="38"/>
        <v>3.777977225421407E-2</v>
      </c>
      <c r="BQ54" s="194">
        <f t="shared" ca="1" si="38"/>
        <v>3.9581241959156008E-2</v>
      </c>
      <c r="BR54" s="194">
        <f t="shared" ca="1" si="39"/>
        <v>4.0354535312729381E-2</v>
      </c>
      <c r="BS54" s="194">
        <f t="shared" ca="1" si="39"/>
        <v>4.2719117052025864E-2</v>
      </c>
      <c r="BT54" s="194">
        <f t="shared" ca="1" si="39"/>
        <v>4.3329145837095122E-2</v>
      </c>
      <c r="BU54" s="194">
        <f t="shared" ca="1" si="39"/>
        <v>4.5939936879104804E-2</v>
      </c>
      <c r="BV54" s="194">
        <f t="shared" ca="1" si="39"/>
        <v>4.8013399333907004E-2</v>
      </c>
      <c r="BW54" s="194">
        <f t="shared" ca="1" si="39"/>
        <v>4.9943694860789749E-2</v>
      </c>
      <c r="BX54" s="194">
        <f t="shared" ca="1" si="39"/>
        <v>5.097492780575625E-2</v>
      </c>
      <c r="BY54" s="194">
        <f t="shared" ca="1" si="39"/>
        <v>5.1808324025241138E-2</v>
      </c>
      <c r="BZ54" s="194">
        <f t="shared" ca="1" si="39"/>
        <v>5.3829799899085172E-2</v>
      </c>
      <c r="CA54" s="194">
        <f t="shared" ca="1" si="39"/>
        <v>5.5935633429715484E-2</v>
      </c>
      <c r="CB54" s="194">
        <f t="shared" ca="1" si="40"/>
        <v>5.9075728591156104E-2</v>
      </c>
      <c r="CC54" s="194">
        <f t="shared" ca="1" si="40"/>
        <v>6.2344118857204797E-2</v>
      </c>
      <c r="CD54" s="194">
        <f t="shared" ca="1" si="40"/>
        <v>6.6286494143536212E-2</v>
      </c>
      <c r="CE54" s="194">
        <f t="shared" ca="1" si="40"/>
        <v>7.0542766521578981E-2</v>
      </c>
      <c r="CF54" s="194">
        <f t="shared" ca="1" si="40"/>
        <v>7.3706830383396607E-2</v>
      </c>
      <c r="CG54" s="194">
        <f t="shared" ca="1" si="40"/>
        <v>7.8094565660736651E-2</v>
      </c>
      <c r="CH54" s="194">
        <f t="shared" ca="1" si="40"/>
        <v>8.2205139847807099E-2</v>
      </c>
      <c r="CI54" s="194">
        <f t="shared" ca="1" si="40"/>
        <v>8.5047273801843973E-2</v>
      </c>
      <c r="CJ54" s="194">
        <f t="shared" ca="1" si="40"/>
        <v>8.7780345356614817E-2</v>
      </c>
      <c r="CK54" s="194">
        <f t="shared" ca="1" si="40"/>
        <v>9.3351448271779061E-2</v>
      </c>
      <c r="CL54" s="194">
        <f t="shared" ca="1" si="41"/>
        <v>9.7651219640923687E-2</v>
      </c>
      <c r="CM54" s="194">
        <f t="shared" ca="1" si="41"/>
        <v>0.10248822669043084</v>
      </c>
      <c r="CN54" s="194">
        <f t="shared" ca="1" si="41"/>
        <v>0.1073842122489919</v>
      </c>
      <c r="CO54" s="194">
        <f t="shared" ca="1" si="41"/>
        <v>0.1123919125798224</v>
      </c>
      <c r="CP54" s="194">
        <f t="shared" ca="1" si="41"/>
        <v>0.1187311101030494</v>
      </c>
      <c r="CQ54" s="194">
        <f t="shared" ca="1" si="41"/>
        <v>0.12460365586265169</v>
      </c>
      <c r="CR54" s="194">
        <f t="shared" ca="1" si="41"/>
        <v>0.13104095313052597</v>
      </c>
      <c r="CS54" s="194">
        <f t="shared" ca="1" si="41"/>
        <v>0.13569562525906864</v>
      </c>
      <c r="CT54" s="194">
        <f t="shared" ca="1" si="41"/>
        <v>0.14045249144249117</v>
      </c>
      <c r="CU54" s="194">
        <f t="shared" ca="1" si="41"/>
        <v>0.1443209339884004</v>
      </c>
      <c r="CV54" s="194">
        <f t="shared" ca="1" si="42"/>
        <v>0.15060238982037374</v>
      </c>
      <c r="CW54" s="194">
        <f t="shared" ca="1" si="42"/>
        <v>0.15640714051078647</v>
      </c>
      <c r="CX54" s="194">
        <f t="shared" ca="1" si="42"/>
        <v>0.16114824010231119</v>
      </c>
      <c r="CY54" s="194">
        <f t="shared" ca="1" si="42"/>
        <v>0.16511664158860159</v>
      </c>
      <c r="CZ54" s="194">
        <f t="shared" ca="1" si="42"/>
        <v>0.17066319236766728</v>
      </c>
      <c r="DA54" s="194">
        <f t="shared" ca="1" si="42"/>
        <v>0.17556980516854959</v>
      </c>
      <c r="DB54" s="194">
        <f t="shared" ca="1" si="42"/>
        <v>0.18139249774787355</v>
      </c>
      <c r="DC54" s="194">
        <f t="shared" ca="1" si="42"/>
        <v>0.18713191866785703</v>
      </c>
      <c r="DD54" s="194">
        <f t="shared" ca="1" si="42"/>
        <v>0.19240968190263943</v>
      </c>
      <c r="DE54" s="194">
        <f t="shared" ca="1" si="42"/>
        <v>0.19900436540236816</v>
      </c>
      <c r="DF54" s="194">
        <f t="shared" ca="1" si="43"/>
        <v>0.20531748217144236</v>
      </c>
      <c r="DG54" s="194">
        <f t="shared" ca="1" si="43"/>
        <v>0.2109760898097984</v>
      </c>
      <c r="DH54" s="194">
        <f t="shared" ca="1" si="43"/>
        <v>0.21612244825446045</v>
      </c>
      <c r="DI54" s="194">
        <f t="shared" ca="1" si="43"/>
        <v>0.22196346669670705</v>
      </c>
      <c r="DJ54" s="194">
        <f t="shared" ca="1" si="43"/>
        <v>0.22810732009532431</v>
      </c>
      <c r="DK54" s="194">
        <f t="shared" ca="1" si="43"/>
        <v>0.23412334410526736</v>
      </c>
      <c r="DL54" s="194">
        <f t="shared" ca="1" si="43"/>
        <v>0.23986490799184498</v>
      </c>
      <c r="DM54" s="194">
        <f t="shared" ca="1" si="43"/>
        <v>0.24502069850935351</v>
      </c>
      <c r="DN54" s="194">
        <f t="shared" ca="1" si="43"/>
        <v>0.24926848193750281</v>
      </c>
      <c r="DO54" s="194">
        <f t="shared" ca="1" si="43"/>
        <v>0.25429322975066476</v>
      </c>
      <c r="DP54" s="194">
        <f t="shared" ca="1" si="44"/>
        <v>0.26011121401157838</v>
      </c>
      <c r="DQ54" s="194">
        <f t="shared" ca="1" si="44"/>
        <v>0.26503737491548973</v>
      </c>
      <c r="DR54" s="194">
        <f t="shared" ca="1" si="44"/>
        <v>0.28112477252270074</v>
      </c>
      <c r="DS54" s="194">
        <f t="shared" ca="1" si="44"/>
        <v>0.29408543783843216</v>
      </c>
      <c r="DT54" s="194">
        <f t="shared" ca="1" si="44"/>
        <v>0.3026381230387874</v>
      </c>
      <c r="DU54" s="194">
        <f t="shared" ca="1" si="44"/>
        <v>0.31935361335025775</v>
      </c>
      <c r="DV54" s="194">
        <f t="shared" ca="1" si="44"/>
        <v>0.34029426425882425</v>
      </c>
      <c r="DW54" s="194">
        <f t="shared" ca="1" si="44"/>
        <v>0.35481157009858943</v>
      </c>
      <c r="DX54" s="194">
        <f t="shared" ca="1" si="44"/>
        <v>0.37832310440733152</v>
      </c>
      <c r="DY54" s="194">
        <f t="shared" ca="1" si="44"/>
        <v>0.39503637909289452</v>
      </c>
      <c r="DZ54" s="194">
        <f t="shared" ca="1" si="45"/>
        <v>0.40588362762575414</v>
      </c>
      <c r="EA54" s="194">
        <f t="shared" ca="1" si="45"/>
        <v>0.41910564353306412</v>
      </c>
      <c r="EB54" s="194">
        <f t="shared" ca="1" si="45"/>
        <v>0.43143032041876778</v>
      </c>
      <c r="EC54" s="194">
        <f t="shared" ca="1" si="45"/>
        <v>0.45494185472751447</v>
      </c>
      <c r="ED54" s="194">
        <f t="shared" ca="1" si="45"/>
        <v>0.47845338903625251</v>
      </c>
      <c r="EE54" s="194">
        <f t="shared" ca="1" si="45"/>
        <v>0.50196492334500242</v>
      </c>
      <c r="EF54" s="194">
        <f t="shared" ca="1" si="45"/>
        <v>0.52547645765374429</v>
      </c>
      <c r="EG54" s="194">
        <f t="shared" ca="1" si="45"/>
        <v>0.54898799196249226</v>
      </c>
      <c r="EH54" s="194">
        <f t="shared" ca="1" si="45"/>
        <v>0.56831515524715859</v>
      </c>
      <c r="EI54" s="239">
        <f t="shared" ca="1" si="45"/>
        <v>0.56831515524715859</v>
      </c>
      <c r="EJ54" s="190"/>
      <c r="EK54" s="192"/>
      <c r="EL54" s="192"/>
      <c r="EM54" s="192"/>
      <c r="EN54" s="192"/>
      <c r="EO54" s="192"/>
      <c r="EP54" s="192"/>
    </row>
    <row r="55" spans="1:147" x14ac:dyDescent="0.2">
      <c r="A55" s="192"/>
      <c r="B55" s="192"/>
      <c r="C55" s="192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266"/>
      <c r="T55" s="265"/>
      <c r="U55" s="265"/>
      <c r="V55" s="265"/>
      <c r="W55" s="265"/>
      <c r="X55" s="265"/>
      <c r="Y55" s="265"/>
      <c r="Z55" s="265"/>
      <c r="AA55" s="265"/>
      <c r="AB55" s="265"/>
      <c r="AC55" s="265"/>
      <c r="AD55" s="265"/>
      <c r="AE55" s="265"/>
      <c r="AF55" s="265"/>
      <c r="AG55" s="265"/>
      <c r="AH55" s="265"/>
      <c r="AI55" s="192"/>
      <c r="AJ55" s="190"/>
      <c r="AK55" s="360" t="str">
        <f t="shared" si="34"/>
        <v>Timber</v>
      </c>
      <c r="AL55" s="331">
        <f t="shared" ca="1" si="35"/>
        <v>14</v>
      </c>
      <c r="AM55" s="238" t="str">
        <f t="shared" si="46"/>
        <v>Timber</v>
      </c>
      <c r="AN55" s="193">
        <f t="shared" ca="1" si="36"/>
        <v>6.8499999999999991E-2</v>
      </c>
      <c r="AO55" s="194">
        <f t="shared" ca="1" si="36"/>
        <v>6.8499999999999991E-2</v>
      </c>
      <c r="AP55" s="194">
        <f t="shared" ca="1" si="36"/>
        <v>6.8499999999999991E-2</v>
      </c>
      <c r="AQ55" s="194">
        <f t="shared" ca="1" si="36"/>
        <v>6.8499999999999991E-2</v>
      </c>
      <c r="AR55" s="194">
        <f t="shared" ca="1" si="36"/>
        <v>6.8499999999999991E-2</v>
      </c>
      <c r="AS55" s="194">
        <f t="shared" ca="1" si="36"/>
        <v>6.8499999999999991E-2</v>
      </c>
      <c r="AT55" s="194">
        <f t="shared" ca="1" si="36"/>
        <v>6.8499999999999991E-2</v>
      </c>
      <c r="AU55" s="194">
        <f t="shared" ca="1" si="36"/>
        <v>6.8499999999999991E-2</v>
      </c>
      <c r="AV55" s="194">
        <f t="shared" ca="1" si="36"/>
        <v>6.8499999999999991E-2</v>
      </c>
      <c r="AW55" s="194">
        <f t="shared" ca="1" si="36"/>
        <v>6.8499999999999991E-2</v>
      </c>
      <c r="AX55" s="194">
        <f t="shared" ca="1" si="37"/>
        <v>6.8499999999999991E-2</v>
      </c>
      <c r="AY55" s="194">
        <f t="shared" ca="1" si="37"/>
        <v>6.8499999999999991E-2</v>
      </c>
      <c r="AZ55" s="194">
        <f t="shared" ca="1" si="37"/>
        <v>6.8499999999999991E-2</v>
      </c>
      <c r="BA55" s="194">
        <f t="shared" ca="1" si="37"/>
        <v>6.8499999999999991E-2</v>
      </c>
      <c r="BB55" s="194">
        <f t="shared" ca="1" si="37"/>
        <v>6.8499999999999991E-2</v>
      </c>
      <c r="BC55" s="194">
        <f t="shared" ca="1" si="37"/>
        <v>6.8499999999999991E-2</v>
      </c>
      <c r="BD55" s="194">
        <f t="shared" ca="1" si="37"/>
        <v>6.8499999999999991E-2</v>
      </c>
      <c r="BE55" s="194">
        <f t="shared" ca="1" si="37"/>
        <v>6.8499999999999991E-2</v>
      </c>
      <c r="BF55" s="194">
        <f t="shared" ca="1" si="37"/>
        <v>6.8499999999999991E-2</v>
      </c>
      <c r="BG55" s="194">
        <f t="shared" ca="1" si="37"/>
        <v>6.8499999999999991E-2</v>
      </c>
      <c r="BH55" s="194">
        <f t="shared" ca="1" si="38"/>
        <v>6.8499999999999991E-2</v>
      </c>
      <c r="BI55" s="194">
        <f t="shared" ca="1" si="38"/>
        <v>6.8499999999999991E-2</v>
      </c>
      <c r="BJ55" s="194">
        <f t="shared" ca="1" si="38"/>
        <v>6.8499999999999991E-2</v>
      </c>
      <c r="BK55" s="194">
        <f t="shared" ca="1" si="38"/>
        <v>6.8499999999999991E-2</v>
      </c>
      <c r="BL55" s="194">
        <f t="shared" ca="1" si="38"/>
        <v>6.8499999999999991E-2</v>
      </c>
      <c r="BM55" s="194">
        <f t="shared" ca="1" si="38"/>
        <v>6.8499999999999991E-2</v>
      </c>
      <c r="BN55" s="194">
        <f t="shared" ca="1" si="38"/>
        <v>6.8499999999999991E-2</v>
      </c>
      <c r="BO55" s="194">
        <f t="shared" ca="1" si="38"/>
        <v>6.8499999999999991E-2</v>
      </c>
      <c r="BP55" s="194">
        <f t="shared" ca="1" si="38"/>
        <v>6.8499999999999991E-2</v>
      </c>
      <c r="BQ55" s="194">
        <f t="shared" ca="1" si="38"/>
        <v>6.8499999999999991E-2</v>
      </c>
      <c r="BR55" s="194">
        <f t="shared" ca="1" si="39"/>
        <v>6.8499999999999991E-2</v>
      </c>
      <c r="BS55" s="194">
        <f t="shared" ca="1" si="39"/>
        <v>6.8499999999999991E-2</v>
      </c>
      <c r="BT55" s="194">
        <f t="shared" ca="1" si="39"/>
        <v>6.8499999999999991E-2</v>
      </c>
      <c r="BU55" s="194">
        <f t="shared" ca="1" si="39"/>
        <v>6.8499999999999991E-2</v>
      </c>
      <c r="BV55" s="194">
        <f t="shared" ca="1" si="39"/>
        <v>6.8499999999999991E-2</v>
      </c>
      <c r="BW55" s="194">
        <f t="shared" ca="1" si="39"/>
        <v>6.8499999999999991E-2</v>
      </c>
      <c r="BX55" s="194">
        <f t="shared" ca="1" si="39"/>
        <v>6.8499999999999991E-2</v>
      </c>
      <c r="BY55" s="194">
        <f t="shared" ca="1" si="39"/>
        <v>6.8499999999999991E-2</v>
      </c>
      <c r="BZ55" s="194">
        <f t="shared" ca="1" si="39"/>
        <v>6.8499999999999991E-2</v>
      </c>
      <c r="CA55" s="194">
        <f t="shared" ca="1" si="39"/>
        <v>6.8499999999999991E-2</v>
      </c>
      <c r="CB55" s="194">
        <f t="shared" ca="1" si="40"/>
        <v>6.8499999999999991E-2</v>
      </c>
      <c r="CC55" s="194">
        <f t="shared" ca="1" si="40"/>
        <v>6.8499999999999991E-2</v>
      </c>
      <c r="CD55" s="194">
        <f t="shared" ca="1" si="40"/>
        <v>6.8499999999999991E-2</v>
      </c>
      <c r="CE55" s="194">
        <f t="shared" ca="1" si="40"/>
        <v>6.8499999999999991E-2</v>
      </c>
      <c r="CF55" s="194">
        <f t="shared" ca="1" si="40"/>
        <v>6.8499999999999991E-2</v>
      </c>
      <c r="CG55" s="194">
        <f t="shared" ca="1" si="40"/>
        <v>6.8499999999999991E-2</v>
      </c>
      <c r="CH55" s="194">
        <f t="shared" ca="1" si="40"/>
        <v>6.8499999999999991E-2</v>
      </c>
      <c r="CI55" s="194">
        <f t="shared" ca="1" si="40"/>
        <v>6.8499999999999991E-2</v>
      </c>
      <c r="CJ55" s="194">
        <f t="shared" ca="1" si="40"/>
        <v>6.8499999999999991E-2</v>
      </c>
      <c r="CK55" s="194">
        <f t="shared" ca="1" si="40"/>
        <v>6.8499999999999991E-2</v>
      </c>
      <c r="CL55" s="194">
        <f t="shared" ca="1" si="41"/>
        <v>6.8499999999999991E-2</v>
      </c>
      <c r="CM55" s="194">
        <f t="shared" ca="1" si="41"/>
        <v>6.8499999999999991E-2</v>
      </c>
      <c r="CN55" s="194">
        <f t="shared" ca="1" si="41"/>
        <v>6.8499999999999991E-2</v>
      </c>
      <c r="CO55" s="194">
        <f t="shared" ca="1" si="41"/>
        <v>6.8499999999999797E-2</v>
      </c>
      <c r="CP55" s="194">
        <f t="shared" ca="1" si="41"/>
        <v>6.8499999999999936E-2</v>
      </c>
      <c r="CQ55" s="194">
        <f t="shared" ca="1" si="41"/>
        <v>6.8499999999999936E-2</v>
      </c>
      <c r="CR55" s="194">
        <f t="shared" ca="1" si="41"/>
        <v>6.8499999999999991E-2</v>
      </c>
      <c r="CS55" s="194">
        <f t="shared" ca="1" si="41"/>
        <v>6.8499999999999908E-2</v>
      </c>
      <c r="CT55" s="194">
        <f t="shared" ca="1" si="41"/>
        <v>6.8499999999999991E-2</v>
      </c>
      <c r="CU55" s="194">
        <f t="shared" ca="1" si="41"/>
        <v>6.8499999999999991E-2</v>
      </c>
      <c r="CV55" s="194">
        <f t="shared" ca="1" si="42"/>
        <v>6.8499999999999991E-2</v>
      </c>
      <c r="CW55" s="194">
        <f t="shared" ca="1" si="42"/>
        <v>6.8499999999999991E-2</v>
      </c>
      <c r="CX55" s="194">
        <f t="shared" ca="1" si="42"/>
        <v>6.8499999999999991E-2</v>
      </c>
      <c r="CY55" s="194">
        <f t="shared" ca="1" si="42"/>
        <v>6.8499999999999991E-2</v>
      </c>
      <c r="CZ55" s="194">
        <f t="shared" ca="1" si="42"/>
        <v>6.8499999999999991E-2</v>
      </c>
      <c r="DA55" s="194">
        <f t="shared" ca="1" si="42"/>
        <v>6.8499999999999991E-2</v>
      </c>
      <c r="DB55" s="194">
        <f t="shared" ca="1" si="42"/>
        <v>6.8499999999999991E-2</v>
      </c>
      <c r="DC55" s="194">
        <f t="shared" ca="1" si="42"/>
        <v>6.8499999999999991E-2</v>
      </c>
      <c r="DD55" s="194">
        <f t="shared" ca="1" si="42"/>
        <v>6.8499999999999991E-2</v>
      </c>
      <c r="DE55" s="194">
        <f t="shared" ca="1" si="42"/>
        <v>6.8499999999999991E-2</v>
      </c>
      <c r="DF55" s="194">
        <f t="shared" ca="1" si="43"/>
        <v>6.8499999999999991E-2</v>
      </c>
      <c r="DG55" s="194">
        <f t="shared" ca="1" si="43"/>
        <v>6.8499999999999991E-2</v>
      </c>
      <c r="DH55" s="194">
        <f t="shared" ca="1" si="43"/>
        <v>6.8499999999999991E-2</v>
      </c>
      <c r="DI55" s="194">
        <f t="shared" ca="1" si="43"/>
        <v>6.8499999999999991E-2</v>
      </c>
      <c r="DJ55" s="194">
        <f t="shared" ca="1" si="43"/>
        <v>6.8499999999999964E-2</v>
      </c>
      <c r="DK55" s="194">
        <f t="shared" ca="1" si="43"/>
        <v>6.8499999999999991E-2</v>
      </c>
      <c r="DL55" s="194">
        <f t="shared" ca="1" si="43"/>
        <v>6.8499999999999839E-2</v>
      </c>
      <c r="DM55" s="194">
        <f t="shared" ca="1" si="43"/>
        <v>6.8499999999999991E-2</v>
      </c>
      <c r="DN55" s="194">
        <f t="shared" ca="1" si="43"/>
        <v>6.8499999999999991E-2</v>
      </c>
      <c r="DO55" s="194">
        <f t="shared" ca="1" si="43"/>
        <v>6.8499999999999991E-2</v>
      </c>
      <c r="DP55" s="194">
        <f t="shared" ca="1" si="44"/>
        <v>6.8499999999999894E-2</v>
      </c>
      <c r="DQ55" s="194">
        <f t="shared" ca="1" si="44"/>
        <v>6.8499999999999991E-2</v>
      </c>
      <c r="DR55" s="194">
        <f t="shared" ca="1" si="44"/>
        <v>6.8499999999999991E-2</v>
      </c>
      <c r="DS55" s="194">
        <f t="shared" ca="1" si="44"/>
        <v>6.0694402714824805E-2</v>
      </c>
      <c r="DT55" s="194">
        <f t="shared" ca="1" si="44"/>
        <v>4.9627770780282777E-2</v>
      </c>
      <c r="DU55" s="194">
        <f t="shared" ca="1" si="44"/>
        <v>4.4600000000000001E-2</v>
      </c>
      <c r="DV55" s="194">
        <f t="shared" ca="1" si="44"/>
        <v>4.4600000000000001E-2</v>
      </c>
      <c r="DW55" s="194">
        <f t="shared" ca="1" si="44"/>
        <v>4.4600000000000001E-2</v>
      </c>
      <c r="DX55" s="194">
        <f t="shared" ca="1" si="44"/>
        <v>4.4600000000000001E-2</v>
      </c>
      <c r="DY55" s="194">
        <f t="shared" ca="1" si="44"/>
        <v>4.4600000000000001E-2</v>
      </c>
      <c r="DZ55" s="194">
        <f t="shared" ca="1" si="45"/>
        <v>4.4599999999999904E-2</v>
      </c>
      <c r="EA55" s="194">
        <f t="shared" ca="1" si="45"/>
        <v>4.4600000000000022E-2</v>
      </c>
      <c r="EB55" s="194">
        <f t="shared" ca="1" si="45"/>
        <v>4.4600000000000015E-2</v>
      </c>
      <c r="EC55" s="194">
        <f t="shared" ca="1" si="45"/>
        <v>4.4600000000000029E-2</v>
      </c>
      <c r="ED55" s="194">
        <f t="shared" ca="1" si="45"/>
        <v>4.4600000000000001E-2</v>
      </c>
      <c r="EE55" s="194">
        <f t="shared" ca="1" si="45"/>
        <v>4.4600000000000001E-2</v>
      </c>
      <c r="EF55" s="194">
        <f t="shared" ca="1" si="45"/>
        <v>4.4600000000000001E-2</v>
      </c>
      <c r="EG55" s="194">
        <f t="shared" ca="1" si="45"/>
        <v>4.4600000000000001E-2</v>
      </c>
      <c r="EH55" s="194">
        <f t="shared" ca="1" si="45"/>
        <v>4.4623154912533672E-2</v>
      </c>
      <c r="EI55" s="239">
        <f t="shared" ca="1" si="45"/>
        <v>4.4623154912533672E-2</v>
      </c>
      <c r="EJ55" s="190"/>
      <c r="EK55" s="192"/>
      <c r="EL55" s="192"/>
      <c r="EM55" s="192"/>
      <c r="EN55" s="192"/>
      <c r="EO55" s="192"/>
      <c r="EP55" s="192"/>
    </row>
    <row r="56" spans="1:147" x14ac:dyDescent="0.2">
      <c r="A56" s="192"/>
      <c r="B56" s="192"/>
      <c r="C56" s="192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192"/>
      <c r="O56" s="192"/>
      <c r="P56" s="192"/>
      <c r="Q56" s="192"/>
      <c r="R56" s="192"/>
      <c r="S56" s="266"/>
      <c r="T56" s="265"/>
      <c r="U56" s="265"/>
      <c r="V56" s="265"/>
      <c r="W56" s="265"/>
      <c r="X56" s="265"/>
      <c r="Y56" s="265"/>
      <c r="Z56" s="265"/>
      <c r="AA56" s="265"/>
      <c r="AB56" s="265"/>
      <c r="AC56" s="265"/>
      <c r="AD56" s="265"/>
      <c r="AE56" s="265"/>
      <c r="AF56" s="265"/>
      <c r="AG56" s="265"/>
      <c r="AH56" s="265"/>
      <c r="AI56" s="192"/>
      <c r="AJ56" s="190"/>
      <c r="AK56" s="360" t="str">
        <f t="shared" si="34"/>
        <v>Farms</v>
      </c>
      <c r="AL56" s="331">
        <f t="shared" ca="1" si="35"/>
        <v>15</v>
      </c>
      <c r="AM56" s="240" t="str">
        <f t="shared" si="46"/>
        <v>Farms</v>
      </c>
      <c r="AN56" s="241">
        <f t="shared" ca="1" si="36"/>
        <v>3.2300000000000002E-2</v>
      </c>
      <c r="AO56" s="242">
        <f t="shared" ca="1" si="36"/>
        <v>3.2300000000000002E-2</v>
      </c>
      <c r="AP56" s="242">
        <f t="shared" ca="1" si="36"/>
        <v>3.2300000000000002E-2</v>
      </c>
      <c r="AQ56" s="242">
        <f t="shared" ca="1" si="36"/>
        <v>3.2300000000000002E-2</v>
      </c>
      <c r="AR56" s="242">
        <f t="shared" ca="1" si="36"/>
        <v>3.2300000000000002E-2</v>
      </c>
      <c r="AS56" s="242">
        <f t="shared" ca="1" si="36"/>
        <v>3.2300000000000002E-2</v>
      </c>
      <c r="AT56" s="242">
        <f t="shared" ca="1" si="36"/>
        <v>3.2300000000000002E-2</v>
      </c>
      <c r="AU56" s="242">
        <f t="shared" ca="1" si="36"/>
        <v>3.2300000000000002E-2</v>
      </c>
      <c r="AV56" s="242">
        <f t="shared" ca="1" si="36"/>
        <v>3.2300000000000002E-2</v>
      </c>
      <c r="AW56" s="242">
        <f t="shared" ca="1" si="36"/>
        <v>3.2300000000000002E-2</v>
      </c>
      <c r="AX56" s="242">
        <f t="shared" ca="1" si="37"/>
        <v>3.2300000000000002E-2</v>
      </c>
      <c r="AY56" s="242">
        <f t="shared" ca="1" si="37"/>
        <v>3.2300000000000002E-2</v>
      </c>
      <c r="AZ56" s="242">
        <f t="shared" ca="1" si="37"/>
        <v>3.2300000000000002E-2</v>
      </c>
      <c r="BA56" s="242">
        <f t="shared" ca="1" si="37"/>
        <v>3.2300000000000002E-2</v>
      </c>
      <c r="BB56" s="242">
        <f t="shared" ca="1" si="37"/>
        <v>3.2300000000000002E-2</v>
      </c>
      <c r="BC56" s="242">
        <f t="shared" ca="1" si="37"/>
        <v>3.2300000000000002E-2</v>
      </c>
      <c r="BD56" s="242">
        <f t="shared" ca="1" si="37"/>
        <v>3.2300000000000002E-2</v>
      </c>
      <c r="BE56" s="242">
        <f t="shared" ca="1" si="37"/>
        <v>3.2300000000000002E-2</v>
      </c>
      <c r="BF56" s="242">
        <f t="shared" ca="1" si="37"/>
        <v>3.2300000000000002E-2</v>
      </c>
      <c r="BG56" s="242">
        <f t="shared" ca="1" si="37"/>
        <v>3.2300000000000002E-2</v>
      </c>
      <c r="BH56" s="242">
        <f t="shared" ca="1" si="38"/>
        <v>3.2300000000000002E-2</v>
      </c>
      <c r="BI56" s="242">
        <f t="shared" ca="1" si="38"/>
        <v>3.2300000000000002E-2</v>
      </c>
      <c r="BJ56" s="242">
        <f t="shared" ca="1" si="38"/>
        <v>3.2300000000000002E-2</v>
      </c>
      <c r="BK56" s="242">
        <f t="shared" ca="1" si="38"/>
        <v>3.2300000000000002E-2</v>
      </c>
      <c r="BL56" s="242">
        <f t="shared" ca="1" si="38"/>
        <v>3.2300000000000002E-2</v>
      </c>
      <c r="BM56" s="242">
        <f t="shared" ca="1" si="38"/>
        <v>3.2300000000000002E-2</v>
      </c>
      <c r="BN56" s="242">
        <f t="shared" ca="1" si="38"/>
        <v>3.2300000000000002E-2</v>
      </c>
      <c r="BO56" s="242">
        <f t="shared" ca="1" si="38"/>
        <v>3.2300000000000002E-2</v>
      </c>
      <c r="BP56" s="242">
        <f t="shared" ca="1" si="38"/>
        <v>3.2300000000000002E-2</v>
      </c>
      <c r="BQ56" s="242">
        <f t="shared" ca="1" si="38"/>
        <v>3.2300000000000002E-2</v>
      </c>
      <c r="BR56" s="242">
        <f t="shared" ca="1" si="39"/>
        <v>3.2300000000000002E-2</v>
      </c>
      <c r="BS56" s="242">
        <f t="shared" ca="1" si="39"/>
        <v>3.2300000000000002E-2</v>
      </c>
      <c r="BT56" s="242">
        <f t="shared" ca="1" si="39"/>
        <v>3.2300000000000002E-2</v>
      </c>
      <c r="BU56" s="242">
        <f t="shared" ca="1" si="39"/>
        <v>3.2300000000000002E-2</v>
      </c>
      <c r="BV56" s="242">
        <f t="shared" ca="1" si="39"/>
        <v>3.2300000000000002E-2</v>
      </c>
      <c r="BW56" s="242">
        <f t="shared" ca="1" si="39"/>
        <v>3.2300000000000002E-2</v>
      </c>
      <c r="BX56" s="242">
        <f t="shared" ca="1" si="39"/>
        <v>3.2300000000000002E-2</v>
      </c>
      <c r="BY56" s="242">
        <f t="shared" ca="1" si="39"/>
        <v>3.2300000000000002E-2</v>
      </c>
      <c r="BZ56" s="242">
        <f t="shared" ca="1" si="39"/>
        <v>3.2300000000000002E-2</v>
      </c>
      <c r="CA56" s="242">
        <f t="shared" ca="1" si="39"/>
        <v>3.2300000000000002E-2</v>
      </c>
      <c r="CB56" s="242">
        <f t="shared" ca="1" si="40"/>
        <v>3.2300000000000002E-2</v>
      </c>
      <c r="CC56" s="242">
        <f t="shared" ca="1" si="40"/>
        <v>3.2300000000000002E-2</v>
      </c>
      <c r="CD56" s="242">
        <f t="shared" ca="1" si="40"/>
        <v>3.2300000000000002E-2</v>
      </c>
      <c r="CE56" s="242">
        <f t="shared" ca="1" si="40"/>
        <v>3.2300000000000002E-2</v>
      </c>
      <c r="CF56" s="242">
        <f t="shared" ca="1" si="40"/>
        <v>3.2300000000000002E-2</v>
      </c>
      <c r="CG56" s="242">
        <f t="shared" ca="1" si="40"/>
        <v>3.2300000000000002E-2</v>
      </c>
      <c r="CH56" s="242">
        <f t="shared" ca="1" si="40"/>
        <v>3.2300000000000002E-2</v>
      </c>
      <c r="CI56" s="242">
        <f t="shared" ca="1" si="40"/>
        <v>3.2300000000000002E-2</v>
      </c>
      <c r="CJ56" s="242">
        <f t="shared" ca="1" si="40"/>
        <v>3.2300000000000002E-2</v>
      </c>
      <c r="CK56" s="242">
        <f t="shared" ca="1" si="40"/>
        <v>3.2300000000000002E-2</v>
      </c>
      <c r="CL56" s="242">
        <f t="shared" ca="1" si="41"/>
        <v>3.2300000000000002E-2</v>
      </c>
      <c r="CM56" s="242">
        <f t="shared" ca="1" si="41"/>
        <v>3.2300000000000002E-2</v>
      </c>
      <c r="CN56" s="242">
        <f t="shared" ca="1" si="41"/>
        <v>3.2300000000000002E-2</v>
      </c>
      <c r="CO56" s="242">
        <f t="shared" ca="1" si="41"/>
        <v>3.2300000000000044E-2</v>
      </c>
      <c r="CP56" s="242">
        <f t="shared" ca="1" si="41"/>
        <v>3.2299999999999982E-2</v>
      </c>
      <c r="CQ56" s="242">
        <f t="shared" ca="1" si="41"/>
        <v>3.2300000000000016E-2</v>
      </c>
      <c r="CR56" s="242">
        <f t="shared" ca="1" si="41"/>
        <v>3.2300000000000002E-2</v>
      </c>
      <c r="CS56" s="242">
        <f t="shared" ca="1" si="41"/>
        <v>3.2299999999999975E-2</v>
      </c>
      <c r="CT56" s="242">
        <f t="shared" ca="1" si="41"/>
        <v>3.2300000000000002E-2</v>
      </c>
      <c r="CU56" s="242">
        <f t="shared" ca="1" si="41"/>
        <v>3.2300000000000002E-2</v>
      </c>
      <c r="CV56" s="242">
        <f t="shared" ca="1" si="42"/>
        <v>3.2300000000000002E-2</v>
      </c>
      <c r="CW56" s="242">
        <f t="shared" ca="1" si="42"/>
        <v>3.2300000000000002E-2</v>
      </c>
      <c r="CX56" s="242">
        <f t="shared" ca="1" si="42"/>
        <v>3.2300000000000002E-2</v>
      </c>
      <c r="CY56" s="242">
        <f t="shared" ca="1" si="42"/>
        <v>3.2300000000000002E-2</v>
      </c>
      <c r="CZ56" s="242">
        <f t="shared" ca="1" si="42"/>
        <v>3.2300000000000002E-2</v>
      </c>
      <c r="DA56" s="242">
        <f t="shared" ca="1" si="42"/>
        <v>3.2300000000000002E-2</v>
      </c>
      <c r="DB56" s="242">
        <f t="shared" ca="1" si="42"/>
        <v>3.2300000000000002E-2</v>
      </c>
      <c r="DC56" s="242">
        <f t="shared" ca="1" si="42"/>
        <v>3.2300000000000002E-2</v>
      </c>
      <c r="DD56" s="242">
        <f t="shared" ca="1" si="42"/>
        <v>3.2300000000000002E-2</v>
      </c>
      <c r="DE56" s="242">
        <f t="shared" ca="1" si="42"/>
        <v>3.2300000000000002E-2</v>
      </c>
      <c r="DF56" s="242">
        <f t="shared" ca="1" si="43"/>
        <v>3.2300000000000002E-2</v>
      </c>
      <c r="DG56" s="242">
        <f t="shared" ca="1" si="43"/>
        <v>3.2300000000000002E-2</v>
      </c>
      <c r="DH56" s="242">
        <f t="shared" ca="1" si="43"/>
        <v>3.2300000000000002E-2</v>
      </c>
      <c r="DI56" s="242">
        <f t="shared" ca="1" si="43"/>
        <v>3.2300000000000002E-2</v>
      </c>
      <c r="DJ56" s="242">
        <f t="shared" ca="1" si="43"/>
        <v>3.2300000000000016E-2</v>
      </c>
      <c r="DK56" s="242">
        <f t="shared" ca="1" si="43"/>
        <v>3.2300000000000002E-2</v>
      </c>
      <c r="DL56" s="242">
        <f t="shared" ca="1" si="43"/>
        <v>3.2300000000000023E-2</v>
      </c>
      <c r="DM56" s="242">
        <f t="shared" ca="1" si="43"/>
        <v>3.2300000000000002E-2</v>
      </c>
      <c r="DN56" s="242">
        <f t="shared" ca="1" si="43"/>
        <v>3.2300000000000002E-2</v>
      </c>
      <c r="DO56" s="242">
        <f t="shared" ca="1" si="43"/>
        <v>3.2300000000000002E-2</v>
      </c>
      <c r="DP56" s="242">
        <f t="shared" ca="1" si="44"/>
        <v>3.2300000000000009E-2</v>
      </c>
      <c r="DQ56" s="242">
        <f t="shared" ca="1" si="44"/>
        <v>3.2300000000000002E-2</v>
      </c>
      <c r="DR56" s="242">
        <f t="shared" ca="1" si="44"/>
        <v>3.2300000000000002E-2</v>
      </c>
      <c r="DS56" s="242">
        <f t="shared" ca="1" si="44"/>
        <v>3.2300000000000002E-2</v>
      </c>
      <c r="DT56" s="242">
        <f t="shared" ca="1" si="44"/>
        <v>3.2300000000000113E-2</v>
      </c>
      <c r="DU56" s="242">
        <f t="shared" ca="1" si="44"/>
        <v>3.2300000000000002E-2</v>
      </c>
      <c r="DV56" s="242">
        <f t="shared" ca="1" si="44"/>
        <v>2.9921427903757805E-2</v>
      </c>
      <c r="DW56" s="242">
        <f t="shared" ca="1" si="44"/>
        <v>2.1600000000006503E-2</v>
      </c>
      <c r="DX56" s="242">
        <f t="shared" ca="1" si="44"/>
        <v>2.1600000000006503E-2</v>
      </c>
      <c r="DY56" s="242">
        <f t="shared" ca="1" si="44"/>
        <v>2.1600000000006503E-2</v>
      </c>
      <c r="DZ56" s="242">
        <f t="shared" ca="1" si="45"/>
        <v>2.1600000000006538E-2</v>
      </c>
      <c r="EA56" s="242">
        <f t="shared" ca="1" si="45"/>
        <v>2.1600000000006503E-2</v>
      </c>
      <c r="EB56" s="242">
        <f t="shared" ca="1" si="45"/>
        <v>2.1600000000006503E-2</v>
      </c>
      <c r="EC56" s="242">
        <f t="shared" ca="1" si="45"/>
        <v>2.1600000000006541E-2</v>
      </c>
      <c r="ED56" s="242">
        <f t="shared" ca="1" si="45"/>
        <v>2.1600000000006503E-2</v>
      </c>
      <c r="EE56" s="242">
        <f t="shared" ca="1" si="45"/>
        <v>2.1600000000006503E-2</v>
      </c>
      <c r="EF56" s="242">
        <f t="shared" ca="1" si="45"/>
        <v>2.1600000000006503E-2</v>
      </c>
      <c r="EG56" s="242">
        <f t="shared" ca="1" si="45"/>
        <v>2.1600000000006503E-2</v>
      </c>
      <c r="EH56" s="242">
        <f t="shared" ca="1" si="45"/>
        <v>2.1626032029574201E-2</v>
      </c>
      <c r="EI56" s="243">
        <f t="shared" ca="1" si="45"/>
        <v>2.1626032029574201E-2</v>
      </c>
      <c r="EJ56" s="190"/>
      <c r="EK56" s="192"/>
      <c r="EL56" s="192"/>
      <c r="EM56" s="192"/>
      <c r="EN56" s="192"/>
      <c r="EO56" s="192"/>
      <c r="EP56" s="192"/>
    </row>
    <row r="57" spans="1:147" x14ac:dyDescent="0.2">
      <c r="A57" s="192"/>
      <c r="B57" s="192"/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2"/>
      <c r="O57" s="192"/>
      <c r="P57" s="192"/>
      <c r="Q57" s="192"/>
      <c r="R57" s="192"/>
      <c r="S57" s="266"/>
      <c r="T57" s="265"/>
      <c r="U57" s="265"/>
      <c r="V57" s="265"/>
      <c r="W57" s="265"/>
      <c r="X57" s="265"/>
      <c r="Y57" s="265"/>
      <c r="Z57" s="265"/>
      <c r="AA57" s="265"/>
      <c r="AB57" s="265"/>
      <c r="AC57" s="265"/>
      <c r="AD57" s="265"/>
      <c r="AE57" s="265"/>
      <c r="AF57" s="265"/>
      <c r="AG57" s="265"/>
      <c r="AH57" s="265"/>
      <c r="AI57" s="192"/>
      <c r="AJ57" s="190"/>
      <c r="AK57" s="361"/>
      <c r="AL57" s="331"/>
      <c r="AM57" s="339"/>
      <c r="AN57" s="340"/>
      <c r="AO57" s="341"/>
      <c r="AP57" s="341"/>
      <c r="AQ57" s="341"/>
      <c r="AR57" s="341"/>
      <c r="AS57" s="341"/>
      <c r="AT57" s="341"/>
      <c r="AU57" s="341"/>
      <c r="AV57" s="341"/>
      <c r="AW57" s="341"/>
      <c r="AX57" s="341"/>
      <c r="AY57" s="341"/>
      <c r="AZ57" s="341"/>
      <c r="BA57" s="341"/>
      <c r="BB57" s="341"/>
      <c r="BC57" s="341"/>
      <c r="BD57" s="341"/>
      <c r="BE57" s="341"/>
      <c r="BF57" s="341"/>
      <c r="BG57" s="341"/>
      <c r="BH57" s="341"/>
      <c r="BI57" s="341"/>
      <c r="BJ57" s="341"/>
      <c r="BK57" s="341"/>
      <c r="BL57" s="341"/>
      <c r="BM57" s="341"/>
      <c r="BN57" s="341"/>
      <c r="BO57" s="341"/>
      <c r="BP57" s="341"/>
      <c r="BQ57" s="341"/>
      <c r="BR57" s="341"/>
      <c r="BS57" s="341"/>
      <c r="BT57" s="341"/>
      <c r="BU57" s="341"/>
      <c r="BV57" s="341"/>
      <c r="BW57" s="341"/>
      <c r="BX57" s="341"/>
      <c r="BY57" s="341"/>
      <c r="BZ57" s="341"/>
      <c r="CA57" s="341"/>
      <c r="CB57" s="341"/>
      <c r="CC57" s="341"/>
      <c r="CD57" s="341"/>
      <c r="CE57" s="341"/>
      <c r="CF57" s="341"/>
      <c r="CG57" s="341"/>
      <c r="CH57" s="341"/>
      <c r="CI57" s="341"/>
      <c r="CJ57" s="341"/>
      <c r="CK57" s="341"/>
      <c r="CL57" s="341"/>
      <c r="CM57" s="341"/>
      <c r="CN57" s="341"/>
      <c r="CO57" s="341"/>
      <c r="CP57" s="341"/>
      <c r="CQ57" s="341"/>
      <c r="CR57" s="341"/>
      <c r="CS57" s="341"/>
      <c r="CT57" s="341"/>
      <c r="CU57" s="341"/>
      <c r="CV57" s="341"/>
      <c r="CW57" s="341"/>
      <c r="CX57" s="341"/>
      <c r="CY57" s="341"/>
      <c r="CZ57" s="341"/>
      <c r="DA57" s="341"/>
      <c r="DB57" s="341"/>
      <c r="DC57" s="341"/>
      <c r="DD57" s="341"/>
      <c r="DE57" s="341"/>
      <c r="DF57" s="341"/>
      <c r="DG57" s="341"/>
      <c r="DH57" s="341"/>
      <c r="DI57" s="341"/>
      <c r="DJ57" s="341"/>
      <c r="DK57" s="341"/>
      <c r="DL57" s="341"/>
      <c r="DM57" s="341"/>
      <c r="DN57" s="341"/>
      <c r="DO57" s="341"/>
      <c r="DP57" s="341"/>
      <c r="DQ57" s="341"/>
      <c r="DR57" s="341"/>
      <c r="DS57" s="341"/>
      <c r="DT57" s="341"/>
      <c r="DU57" s="341"/>
      <c r="DV57" s="341"/>
      <c r="DW57" s="341"/>
      <c r="DX57" s="341"/>
      <c r="DY57" s="341"/>
      <c r="DZ57" s="341"/>
      <c r="EA57" s="341"/>
      <c r="EB57" s="341"/>
      <c r="EC57" s="341"/>
      <c r="ED57" s="341"/>
      <c r="EE57" s="341"/>
      <c r="EF57" s="341"/>
      <c r="EG57" s="341"/>
      <c r="EH57" s="341"/>
      <c r="EI57" s="342"/>
      <c r="EJ57" s="190"/>
      <c r="EK57" s="192"/>
      <c r="EL57" s="192"/>
      <c r="EM57" s="192"/>
      <c r="EN57" s="192"/>
      <c r="EO57" s="192"/>
      <c r="EP57" s="192"/>
    </row>
    <row r="58" spans="1:147" ht="13.5" thickBot="1" x14ac:dyDescent="0.25">
      <c r="A58" s="192"/>
      <c r="B58" s="192"/>
      <c r="C58" s="192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192"/>
      <c r="O58" s="192"/>
      <c r="P58" s="192"/>
      <c r="Q58" s="192"/>
      <c r="R58" s="192"/>
      <c r="S58" s="266"/>
      <c r="T58" s="265"/>
      <c r="U58" s="265"/>
      <c r="V58" s="265"/>
      <c r="W58" s="265"/>
      <c r="X58" s="265"/>
      <c r="Y58" s="265"/>
      <c r="Z58" s="265"/>
      <c r="AA58" s="265"/>
      <c r="AB58" s="265"/>
      <c r="AC58" s="265"/>
      <c r="AD58" s="265"/>
      <c r="AE58" s="265"/>
      <c r="AF58" s="265"/>
      <c r="AG58" s="265"/>
      <c r="AH58" s="265"/>
      <c r="AI58" s="192"/>
      <c r="AJ58" s="195"/>
      <c r="AK58" s="361"/>
      <c r="AL58" s="331"/>
      <c r="AM58" s="339"/>
      <c r="AN58" s="363"/>
      <c r="AO58" s="363"/>
      <c r="AP58" s="363"/>
      <c r="AQ58" s="363"/>
      <c r="AR58" s="363"/>
      <c r="AS58" s="363"/>
      <c r="AT58" s="363"/>
      <c r="AU58" s="363"/>
      <c r="AV58" s="363"/>
      <c r="AW58" s="363"/>
      <c r="AX58" s="363"/>
      <c r="AY58" s="363"/>
      <c r="AZ58" s="363"/>
      <c r="BA58" s="363"/>
      <c r="BB58" s="363"/>
      <c r="BC58" s="363"/>
      <c r="BD58" s="363"/>
      <c r="BE58" s="363"/>
      <c r="BF58" s="363"/>
      <c r="BG58" s="363"/>
      <c r="BH58" s="363"/>
      <c r="BI58" s="363"/>
      <c r="BJ58" s="363"/>
      <c r="BK58" s="363"/>
      <c r="BL58" s="363"/>
      <c r="BM58" s="363"/>
      <c r="BN58" s="363"/>
      <c r="BO58" s="363"/>
      <c r="BP58" s="363"/>
      <c r="BQ58" s="363"/>
      <c r="BR58" s="363"/>
      <c r="BS58" s="363"/>
      <c r="BT58" s="363"/>
      <c r="BU58" s="363"/>
      <c r="BV58" s="363"/>
      <c r="BW58" s="363"/>
      <c r="BX58" s="363"/>
      <c r="BY58" s="363"/>
      <c r="BZ58" s="363"/>
      <c r="CA58" s="363"/>
      <c r="CB58" s="363"/>
      <c r="CC58" s="363"/>
      <c r="CD58" s="363"/>
      <c r="CE58" s="363"/>
      <c r="CF58" s="363"/>
      <c r="CG58" s="363"/>
      <c r="CH58" s="363"/>
      <c r="CI58" s="363"/>
      <c r="CJ58" s="363"/>
      <c r="CK58" s="363"/>
      <c r="CL58" s="363"/>
      <c r="CM58" s="363"/>
      <c r="CN58" s="363"/>
      <c r="CO58" s="363"/>
      <c r="CP58" s="363"/>
      <c r="CQ58" s="363"/>
      <c r="CR58" s="363"/>
      <c r="CS58" s="363"/>
      <c r="CT58" s="363"/>
      <c r="CU58" s="363"/>
      <c r="CV58" s="363"/>
      <c r="CW58" s="363"/>
      <c r="CX58" s="363"/>
      <c r="CY58" s="363"/>
      <c r="CZ58" s="363"/>
      <c r="DA58" s="363"/>
      <c r="DB58" s="363"/>
      <c r="DC58" s="363"/>
      <c r="DD58" s="363"/>
      <c r="DE58" s="363"/>
      <c r="DF58" s="363"/>
      <c r="DG58" s="363"/>
      <c r="DH58" s="363"/>
      <c r="DI58" s="363"/>
      <c r="DJ58" s="363"/>
      <c r="DK58" s="363"/>
      <c r="DL58" s="363"/>
      <c r="DM58" s="363"/>
      <c r="DN58" s="363"/>
      <c r="DO58" s="363"/>
      <c r="DP58" s="363"/>
      <c r="DQ58" s="363"/>
      <c r="DR58" s="363"/>
      <c r="DS58" s="363"/>
      <c r="DT58" s="363"/>
      <c r="DU58" s="363"/>
      <c r="DV58" s="363"/>
      <c r="DW58" s="363"/>
      <c r="DX58" s="363"/>
      <c r="DY58" s="363"/>
      <c r="DZ58" s="363"/>
      <c r="EA58" s="363"/>
      <c r="EB58" s="363"/>
      <c r="EC58" s="363"/>
      <c r="ED58" s="363"/>
      <c r="EE58" s="363"/>
      <c r="EF58" s="363"/>
      <c r="EG58" s="363"/>
      <c r="EH58" s="363"/>
      <c r="EI58" s="363"/>
      <c r="EJ58" s="190"/>
      <c r="EK58" s="192"/>
      <c r="EL58" s="192"/>
      <c r="EM58" s="192"/>
      <c r="EN58" s="192"/>
      <c r="EO58" s="192"/>
      <c r="EP58" s="192"/>
    </row>
    <row r="59" spans="1:147" ht="13.5" thickBot="1" x14ac:dyDescent="0.25">
      <c r="A59" s="192"/>
      <c r="B59" s="192"/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266"/>
      <c r="T59" s="265"/>
      <c r="U59" s="265"/>
      <c r="V59" s="265"/>
      <c r="W59" s="265"/>
      <c r="X59" s="265"/>
      <c r="Y59" s="265"/>
      <c r="Z59" s="265"/>
      <c r="AA59" s="265"/>
      <c r="AB59" s="265"/>
      <c r="AC59" s="265"/>
      <c r="AD59" s="265"/>
      <c r="AE59" s="265"/>
      <c r="AF59" s="265"/>
      <c r="AG59" s="265"/>
      <c r="AH59" s="265"/>
      <c r="AI59" s="192"/>
      <c r="AJ59" s="190"/>
      <c r="AK59" s="195" t="s">
        <v>246</v>
      </c>
      <c r="AL59" s="365">
        <f ca="1">MATCH(AK59,OFFSET(grph_aggregate_matrix,0,1,1,50),0)</f>
        <v>16</v>
      </c>
      <c r="AM59" s="195" t="str">
        <f>AK59</f>
        <v>Check</v>
      </c>
      <c r="AN59" s="343">
        <f t="shared" ref="AN59:BS59" ca="1" si="47">SUMPRODUCT(OFFSET(grph_CorpData2,1,AN$4,_num_assets,1),OFFSET(grph_aggregate_matrix,1,$AL59,_num_assets,1))</f>
        <v>1.0000000057588041</v>
      </c>
      <c r="AO59" s="215">
        <f t="shared" ca="1" si="47"/>
        <v>1.0000000057588039</v>
      </c>
      <c r="AP59" s="215">
        <f t="shared" ca="1" si="47"/>
        <v>1.0000000096807087</v>
      </c>
      <c r="AQ59" s="215">
        <f t="shared" ca="1" si="47"/>
        <v>1.0000000122535637</v>
      </c>
      <c r="AR59" s="215">
        <f t="shared" ca="1" si="47"/>
        <v>1.0000000114046168</v>
      </c>
      <c r="AS59" s="215">
        <f t="shared" ca="1" si="47"/>
        <v>1.0000000119589134</v>
      </c>
      <c r="AT59" s="215">
        <f t="shared" ca="1" si="47"/>
        <v>1.0000000056725378</v>
      </c>
      <c r="AU59" s="215">
        <f t="shared" ca="1" si="47"/>
        <v>1.0000000110282847</v>
      </c>
      <c r="AV59" s="215">
        <f t="shared" ca="1" si="47"/>
        <v>1.0000000119589132</v>
      </c>
      <c r="AW59" s="215">
        <f t="shared" ca="1" si="47"/>
        <v>1.0000000105122864</v>
      </c>
      <c r="AX59" s="215">
        <f t="shared" ca="1" si="47"/>
        <v>1.0000000117837189</v>
      </c>
      <c r="AY59" s="215">
        <f t="shared" ca="1" si="47"/>
        <v>1.0000000094450654</v>
      </c>
      <c r="AZ59" s="215">
        <f t="shared" ca="1" si="47"/>
        <v>1.000000009445065</v>
      </c>
      <c r="BA59" s="215">
        <f t="shared" ca="1" si="47"/>
        <v>1.000000009445065</v>
      </c>
      <c r="BB59" s="215">
        <f t="shared" ca="1" si="47"/>
        <v>1.0000000094450652</v>
      </c>
      <c r="BC59" s="215">
        <f t="shared" ca="1" si="47"/>
        <v>1.000000009378871</v>
      </c>
      <c r="BD59" s="215">
        <f t="shared" ca="1" si="47"/>
        <v>1.000000009378871</v>
      </c>
      <c r="BE59" s="215">
        <f t="shared" ca="1" si="47"/>
        <v>1.000000005672538</v>
      </c>
      <c r="BF59" s="215">
        <f t="shared" ca="1" si="47"/>
        <v>1.0000000094450647</v>
      </c>
      <c r="BG59" s="215">
        <f t="shared" ca="1" si="47"/>
        <v>1.0000000092826917</v>
      </c>
      <c r="BH59" s="215">
        <f t="shared" ca="1" si="47"/>
        <v>1.0000000093788399</v>
      </c>
      <c r="BI59" s="215">
        <f t="shared" ca="1" si="47"/>
        <v>1.0000000056711142</v>
      </c>
      <c r="BJ59" s="215">
        <f t="shared" ca="1" si="47"/>
        <v>1.0000000056711167</v>
      </c>
      <c r="BK59" s="215">
        <f t="shared" ca="1" si="47"/>
        <v>1.0000000056711171</v>
      </c>
      <c r="BL59" s="215">
        <f t="shared" ca="1" si="47"/>
        <v>1.0000000056711167</v>
      </c>
      <c r="BM59" s="215">
        <f t="shared" ca="1" si="47"/>
        <v>1.0000000056711169</v>
      </c>
      <c r="BN59" s="215">
        <f t="shared" ca="1" si="47"/>
        <v>1.0000000056711167</v>
      </c>
      <c r="BO59" s="215">
        <f t="shared" ca="1" si="47"/>
        <v>1.0000000056711167</v>
      </c>
      <c r="BP59" s="215">
        <f t="shared" ca="1" si="47"/>
        <v>1.0000000056711169</v>
      </c>
      <c r="BQ59" s="215">
        <f t="shared" ca="1" si="47"/>
        <v>1.0000000056711169</v>
      </c>
      <c r="BR59" s="215">
        <f t="shared" ca="1" si="47"/>
        <v>1.0000000056711167</v>
      </c>
      <c r="BS59" s="215">
        <f t="shared" ca="1" si="47"/>
        <v>1.0000000056711169</v>
      </c>
      <c r="BT59" s="215">
        <f t="shared" ref="BT59:CY59" ca="1" si="48">SUMPRODUCT(OFFSET(grph_CorpData2,1,BT$4,_num_assets,1),OFFSET(grph_aggregate_matrix,1,$AL59,_num_assets,1))</f>
        <v>1.0000000056711169</v>
      </c>
      <c r="BU59" s="215">
        <f t="shared" ca="1" si="48"/>
        <v>1.0000000056711167</v>
      </c>
      <c r="BV59" s="215">
        <f t="shared" ca="1" si="48"/>
        <v>1.0000000056711169</v>
      </c>
      <c r="BW59" s="215">
        <f t="shared" ca="1" si="48"/>
        <v>1.0000000056711171</v>
      </c>
      <c r="BX59" s="215">
        <f t="shared" ca="1" si="48"/>
        <v>1.0000000056711171</v>
      </c>
      <c r="BY59" s="215">
        <f t="shared" ca="1" si="48"/>
        <v>1.0000000056711169</v>
      </c>
      <c r="BZ59" s="215">
        <f t="shared" ca="1" si="48"/>
        <v>1.0000000056711169</v>
      </c>
      <c r="CA59" s="215">
        <f t="shared" ca="1" si="48"/>
        <v>1.0000000056711169</v>
      </c>
      <c r="CB59" s="215">
        <f t="shared" ca="1" si="48"/>
        <v>1.0000000056711167</v>
      </c>
      <c r="CC59" s="215">
        <f t="shared" ca="1" si="48"/>
        <v>0.99999999988894483</v>
      </c>
      <c r="CD59" s="215">
        <f t="shared" ca="1" si="48"/>
        <v>0.99999999988894506</v>
      </c>
      <c r="CE59" s="215">
        <f t="shared" ca="1" si="48"/>
        <v>0.99999999988894506</v>
      </c>
      <c r="CF59" s="215">
        <f t="shared" ca="1" si="48"/>
        <v>0.99999999988894506</v>
      </c>
      <c r="CG59" s="215">
        <f t="shared" ca="1" si="48"/>
        <v>0.99999999988894495</v>
      </c>
      <c r="CH59" s="215">
        <f t="shared" ca="1" si="48"/>
        <v>0.99999999988894472</v>
      </c>
      <c r="CI59" s="215">
        <f t="shared" ca="1" si="48"/>
        <v>0.9999999998889445</v>
      </c>
      <c r="CJ59" s="215">
        <f t="shared" ca="1" si="48"/>
        <v>0.99999999972807563</v>
      </c>
      <c r="CK59" s="215">
        <f t="shared" ca="1" si="48"/>
        <v>0.9999999997280753</v>
      </c>
      <c r="CL59" s="215">
        <f t="shared" ca="1" si="48"/>
        <v>0.99999999972807563</v>
      </c>
      <c r="CM59" s="215">
        <f t="shared" ca="1" si="48"/>
        <v>0.9999999997280753</v>
      </c>
      <c r="CN59" s="215">
        <f t="shared" ca="1" si="48"/>
        <v>0.99999999972807518</v>
      </c>
      <c r="CO59" s="215">
        <f t="shared" ca="1" si="48"/>
        <v>0.9999999997280753</v>
      </c>
      <c r="CP59" s="215">
        <f t="shared" ca="1" si="48"/>
        <v>0.99999999972807441</v>
      </c>
      <c r="CQ59" s="215">
        <f t="shared" ca="1" si="48"/>
        <v>0.99999999972807507</v>
      </c>
      <c r="CR59" s="215">
        <f t="shared" ca="1" si="48"/>
        <v>1.0000000055102449</v>
      </c>
      <c r="CS59" s="215">
        <f t="shared" ca="1" si="48"/>
        <v>0.99999999972807541</v>
      </c>
      <c r="CT59" s="215">
        <f t="shared" ca="1" si="48"/>
        <v>1.0000000055102447</v>
      </c>
      <c r="CU59" s="215">
        <f t="shared" ca="1" si="48"/>
        <v>1.0000000055102447</v>
      </c>
      <c r="CV59" s="215">
        <f t="shared" ca="1" si="48"/>
        <v>1.0000000055102449</v>
      </c>
      <c r="CW59" s="215">
        <f t="shared" ca="1" si="48"/>
        <v>1.0000000055102451</v>
      </c>
      <c r="CX59" s="215">
        <f t="shared" ca="1" si="48"/>
        <v>1.0000000055102445</v>
      </c>
      <c r="CY59" s="215">
        <f t="shared" ca="1" si="48"/>
        <v>0.99999999972807574</v>
      </c>
      <c r="CZ59" s="215">
        <f t="shared" ref="CZ59:EI59" ca="1" si="49">SUMPRODUCT(OFFSET(grph_CorpData2,1,CZ$4,_num_assets,1),OFFSET(grph_aggregate_matrix,1,$AL59,_num_assets,1))</f>
        <v>1.0000000055102447</v>
      </c>
      <c r="DA59" s="215">
        <f t="shared" ca="1" si="49"/>
        <v>1.0000000055102447</v>
      </c>
      <c r="DB59" s="215">
        <f t="shared" ca="1" si="49"/>
        <v>1.0000000055102451</v>
      </c>
      <c r="DC59" s="215">
        <f t="shared" ca="1" si="49"/>
        <v>1.0000000055102449</v>
      </c>
      <c r="DD59" s="215">
        <f t="shared" ca="1" si="49"/>
        <v>1.0000000055102449</v>
      </c>
      <c r="DE59" s="215">
        <f t="shared" ca="1" si="49"/>
        <v>1.0000000055102447</v>
      </c>
      <c r="DF59" s="215">
        <f t="shared" ca="1" si="49"/>
        <v>1.0000000055102449</v>
      </c>
      <c r="DG59" s="215">
        <f t="shared" ca="1" si="49"/>
        <v>1.0000000055102447</v>
      </c>
      <c r="DH59" s="215">
        <f t="shared" ca="1" si="49"/>
        <v>1.0000000055102447</v>
      </c>
      <c r="DI59" s="215">
        <f t="shared" ca="1" si="49"/>
        <v>1.0000000055102449</v>
      </c>
      <c r="DJ59" s="215">
        <f t="shared" ca="1" si="49"/>
        <v>0.99999999972807541</v>
      </c>
      <c r="DK59" s="215">
        <f t="shared" ca="1" si="49"/>
        <v>0.9999999997280753</v>
      </c>
      <c r="DL59" s="215">
        <f t="shared" ca="1" si="49"/>
        <v>1.0000000055102447</v>
      </c>
      <c r="DM59" s="215">
        <f t="shared" ca="1" si="49"/>
        <v>0.99999999972807518</v>
      </c>
      <c r="DN59" s="215">
        <f t="shared" ca="1" si="49"/>
        <v>0.99999999972807563</v>
      </c>
      <c r="DO59" s="215">
        <f t="shared" ca="1" si="49"/>
        <v>0.99999999972807574</v>
      </c>
      <c r="DP59" s="215">
        <f t="shared" ca="1" si="49"/>
        <v>1.0000000055102445</v>
      </c>
      <c r="DQ59" s="215">
        <f t="shared" ca="1" si="49"/>
        <v>0.99999999972807563</v>
      </c>
      <c r="DR59" s="215">
        <f t="shared" ca="1" si="49"/>
        <v>0.99999999972807518</v>
      </c>
      <c r="DS59" s="215">
        <f t="shared" ca="1" si="49"/>
        <v>0.99999999972807552</v>
      </c>
      <c r="DT59" s="215">
        <f t="shared" ca="1" si="49"/>
        <v>1.000000005510244</v>
      </c>
      <c r="DU59" s="215">
        <f t="shared" ca="1" si="49"/>
        <v>0.99999999972807552</v>
      </c>
      <c r="DV59" s="215">
        <f t="shared" ca="1" si="49"/>
        <v>0.99999999972807574</v>
      </c>
      <c r="DW59" s="215">
        <f t="shared" ca="1" si="49"/>
        <v>0.99999999972807518</v>
      </c>
      <c r="DX59" s="215">
        <f t="shared" ca="1" si="49"/>
        <v>0.99999999972807552</v>
      </c>
      <c r="DY59" s="215">
        <f t="shared" ca="1" si="49"/>
        <v>0.9999999997280753</v>
      </c>
      <c r="DZ59" s="215">
        <f t="shared" ca="1" si="49"/>
        <v>0.99999999972807463</v>
      </c>
      <c r="EA59" s="215">
        <f t="shared" ca="1" si="49"/>
        <v>0.9999999997280753</v>
      </c>
      <c r="EB59" s="215">
        <f t="shared" ca="1" si="49"/>
        <v>0.99999999972807507</v>
      </c>
      <c r="EC59" s="215">
        <f t="shared" ca="1" si="49"/>
        <v>0.99999999972807685</v>
      </c>
      <c r="ED59" s="215">
        <f t="shared" ca="1" si="49"/>
        <v>0.99999999972807552</v>
      </c>
      <c r="EE59" s="215">
        <f t="shared" ca="1" si="49"/>
        <v>0.99999999972807518</v>
      </c>
      <c r="EF59" s="215">
        <f t="shared" ca="1" si="49"/>
        <v>0.99999999972807552</v>
      </c>
      <c r="EG59" s="215">
        <f t="shared" ca="1" si="49"/>
        <v>0.99999999972807518</v>
      </c>
      <c r="EH59" s="215">
        <f t="shared" ca="1" si="49"/>
        <v>0.99999999989848709</v>
      </c>
      <c r="EI59" s="215">
        <f t="shared" ca="1" si="49"/>
        <v>0.99999999989848709</v>
      </c>
      <c r="EJ59" s="195"/>
      <c r="EK59" s="192"/>
      <c r="EL59" s="192"/>
      <c r="EM59" s="192"/>
      <c r="EN59" s="192"/>
      <c r="EO59" s="192"/>
      <c r="EP59" s="192"/>
    </row>
    <row r="60" spans="1:147" x14ac:dyDescent="0.2">
      <c r="A60" s="192"/>
      <c r="B60" s="192"/>
      <c r="C60" s="192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192"/>
      <c r="O60" s="192"/>
      <c r="P60" s="192"/>
      <c r="Q60" s="192"/>
      <c r="R60" s="192"/>
      <c r="S60" s="266"/>
      <c r="T60" s="265"/>
      <c r="U60" s="265"/>
      <c r="V60" s="265"/>
      <c r="W60" s="265"/>
      <c r="X60" s="265"/>
      <c r="Y60" s="265"/>
      <c r="Z60" s="265"/>
      <c r="AA60" s="265"/>
      <c r="AB60" s="265"/>
      <c r="AC60" s="265"/>
      <c r="AD60" s="265"/>
      <c r="AE60" s="265"/>
      <c r="AF60" s="265"/>
      <c r="AG60" s="265"/>
      <c r="AH60" s="265"/>
      <c r="AI60" s="192"/>
      <c r="AJ60" s="192"/>
      <c r="AK60" s="356"/>
      <c r="AL60" s="190"/>
      <c r="AM60" s="190"/>
      <c r="AN60" s="190"/>
      <c r="AO60" s="190"/>
      <c r="AP60" s="190"/>
      <c r="AQ60" s="190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90"/>
      <c r="BD60" s="190"/>
      <c r="BE60" s="190"/>
      <c r="BF60" s="190"/>
      <c r="BG60" s="190"/>
      <c r="BH60" s="190"/>
      <c r="BI60" s="190"/>
      <c r="BJ60" s="190"/>
      <c r="BK60" s="190"/>
      <c r="BL60" s="190"/>
      <c r="BM60" s="190"/>
      <c r="BN60" s="190"/>
      <c r="BO60" s="190"/>
      <c r="BP60" s="190"/>
      <c r="BQ60" s="190"/>
      <c r="BR60" s="190"/>
      <c r="BS60" s="190"/>
      <c r="BT60" s="190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190"/>
      <c r="CO60" s="190"/>
      <c r="CP60" s="190"/>
      <c r="CQ60" s="190"/>
      <c r="CR60" s="190"/>
      <c r="CS60" s="190"/>
      <c r="CT60" s="190"/>
      <c r="CU60" s="190"/>
      <c r="CV60" s="190"/>
      <c r="CW60" s="190"/>
      <c r="CX60" s="190"/>
      <c r="CY60" s="190"/>
      <c r="CZ60" s="190"/>
      <c r="DA60" s="190"/>
      <c r="DB60" s="190"/>
      <c r="DC60" s="190"/>
      <c r="DD60" s="190"/>
      <c r="DE60" s="190"/>
      <c r="DF60" s="190"/>
      <c r="DG60" s="190"/>
      <c r="DH60" s="190"/>
      <c r="DI60" s="190"/>
      <c r="DJ60" s="190"/>
      <c r="DK60" s="190"/>
      <c r="DL60" s="190"/>
      <c r="DM60" s="190"/>
      <c r="DN60" s="190"/>
      <c r="DO60" s="190"/>
      <c r="DP60" s="190"/>
      <c r="DQ60" s="190"/>
      <c r="DR60" s="190"/>
      <c r="DS60" s="190"/>
      <c r="DT60" s="190"/>
      <c r="DU60" s="190"/>
      <c r="DV60" s="190"/>
      <c r="DW60" s="190"/>
      <c r="DX60" s="190"/>
      <c r="DY60" s="190"/>
      <c r="DZ60" s="190"/>
      <c r="EA60" s="190"/>
      <c r="EB60" s="190"/>
      <c r="EC60" s="190"/>
      <c r="ED60" s="190"/>
      <c r="EE60" s="190"/>
      <c r="EF60" s="190"/>
      <c r="EG60" s="190"/>
      <c r="EH60" s="190"/>
      <c r="EI60" s="190"/>
      <c r="EJ60" s="190"/>
      <c r="EK60" s="192"/>
      <c r="EL60" s="192"/>
      <c r="EM60" s="192"/>
      <c r="EN60" s="192"/>
      <c r="EO60" s="192"/>
      <c r="EP60" s="192"/>
    </row>
    <row r="61" spans="1:147" x14ac:dyDescent="0.2">
      <c r="A61" s="192"/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2"/>
      <c r="S61" s="266"/>
      <c r="T61" s="265"/>
      <c r="U61" s="265"/>
      <c r="V61" s="265"/>
      <c r="W61" s="265"/>
      <c r="X61" s="265"/>
      <c r="Y61" s="265"/>
      <c r="Z61" s="265"/>
      <c r="AA61" s="265"/>
      <c r="AB61" s="265"/>
      <c r="AC61" s="265"/>
      <c r="AD61" s="265"/>
      <c r="AE61" s="265"/>
      <c r="AF61" s="265"/>
      <c r="AG61" s="265"/>
      <c r="AH61" s="265"/>
      <c r="AI61" s="192"/>
      <c r="AJ61" s="192"/>
      <c r="AK61" s="366" t="s">
        <v>250</v>
      </c>
      <c r="AL61" s="367"/>
      <c r="AM61" s="367"/>
      <c r="AN61" s="367"/>
      <c r="AO61" s="367"/>
      <c r="AP61" s="367"/>
      <c r="AQ61" s="367"/>
      <c r="AR61" s="367"/>
      <c r="AS61" s="367"/>
      <c r="AT61" s="367"/>
      <c r="AU61" s="367"/>
      <c r="AV61" s="367"/>
      <c r="AW61" s="367"/>
      <c r="AX61" s="367"/>
      <c r="AY61" s="367"/>
      <c r="AZ61" s="367"/>
      <c r="BA61" s="367"/>
      <c r="BB61" s="367"/>
      <c r="BC61" s="367"/>
      <c r="BD61" s="367"/>
      <c r="BE61" s="367"/>
      <c r="BF61" s="367"/>
      <c r="BG61" s="367"/>
      <c r="BH61" s="367"/>
      <c r="BI61" s="367"/>
      <c r="BJ61" s="367"/>
      <c r="BK61" s="367"/>
      <c r="BL61" s="367"/>
      <c r="BM61" s="367"/>
      <c r="BN61" s="367"/>
      <c r="BO61" s="367"/>
      <c r="BP61" s="367"/>
      <c r="BQ61" s="367"/>
      <c r="BR61" s="367"/>
      <c r="BS61" s="367"/>
      <c r="BT61" s="367"/>
      <c r="BU61" s="367"/>
      <c r="BV61" s="367"/>
      <c r="BW61" s="367"/>
      <c r="BX61" s="367"/>
      <c r="BY61" s="367"/>
      <c r="BZ61" s="367"/>
      <c r="CA61" s="367"/>
      <c r="CB61" s="367"/>
      <c r="CC61" s="367"/>
      <c r="CD61" s="367"/>
      <c r="CE61" s="367"/>
      <c r="CF61" s="367"/>
      <c r="CG61" s="367"/>
      <c r="CH61" s="367"/>
      <c r="CI61" s="367"/>
      <c r="CJ61" s="367"/>
      <c r="CK61" s="367"/>
      <c r="CL61" s="367"/>
      <c r="CM61" s="367"/>
      <c r="CN61" s="367"/>
      <c r="CO61" s="367"/>
      <c r="CP61" s="367"/>
      <c r="CQ61" s="367"/>
      <c r="CR61" s="367"/>
      <c r="CS61" s="367"/>
      <c r="CT61" s="367"/>
      <c r="CU61" s="367"/>
      <c r="CV61" s="367"/>
      <c r="CW61" s="367"/>
      <c r="CX61" s="367"/>
      <c r="CY61" s="367"/>
      <c r="CZ61" s="367"/>
      <c r="DA61" s="367"/>
      <c r="DB61" s="367"/>
      <c r="DC61" s="367"/>
      <c r="DD61" s="367"/>
      <c r="DE61" s="367"/>
      <c r="DF61" s="367"/>
      <c r="DG61" s="367"/>
      <c r="DH61" s="367"/>
      <c r="DI61" s="367"/>
      <c r="DJ61" s="367"/>
      <c r="DK61" s="367"/>
      <c r="DL61" s="367"/>
      <c r="DM61" s="367"/>
      <c r="DN61" s="367"/>
      <c r="DO61" s="367"/>
      <c r="DP61" s="367"/>
      <c r="DQ61" s="367"/>
      <c r="DR61" s="367"/>
      <c r="DS61" s="367"/>
      <c r="DT61" s="367"/>
      <c r="DU61" s="367"/>
      <c r="DV61" s="367"/>
      <c r="DW61" s="367"/>
      <c r="DX61" s="367"/>
      <c r="DY61" s="367"/>
      <c r="DZ61" s="367"/>
      <c r="EA61" s="367"/>
      <c r="EB61" s="367"/>
      <c r="EC61" s="367"/>
      <c r="ED61" s="367"/>
      <c r="EE61" s="367"/>
      <c r="EF61" s="367"/>
      <c r="EG61" s="367"/>
      <c r="EH61" s="367"/>
      <c r="EI61" s="367"/>
      <c r="EJ61" s="367"/>
      <c r="EK61" s="367"/>
      <c r="EL61" s="367"/>
      <c r="EM61" s="367"/>
      <c r="EN61" s="367"/>
      <c r="EO61" s="367"/>
      <c r="EP61" s="367"/>
      <c r="EQ61" s="368"/>
    </row>
    <row r="62" spans="1:147" x14ac:dyDescent="0.2">
      <c r="A62" s="192"/>
      <c r="B62" s="192"/>
      <c r="C62" s="192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192"/>
      <c r="O62" s="192"/>
      <c r="P62" s="192"/>
      <c r="Q62" s="192"/>
      <c r="R62" s="192"/>
      <c r="S62" s="266"/>
      <c r="T62" s="265"/>
      <c r="U62" s="265"/>
      <c r="V62" s="265"/>
      <c r="W62" s="265"/>
      <c r="X62" s="265"/>
      <c r="Y62" s="265"/>
      <c r="Z62" s="265"/>
      <c r="AA62" s="265"/>
      <c r="AB62" s="265"/>
      <c r="AC62" s="265"/>
      <c r="AD62" s="265"/>
      <c r="AE62" s="265"/>
      <c r="AF62" s="265"/>
      <c r="AG62" s="265"/>
      <c r="AH62" s="265"/>
      <c r="AI62" s="192"/>
      <c r="AJ62" s="192"/>
      <c r="AK62" s="369"/>
      <c r="AL62" s="367"/>
      <c r="AM62" s="367"/>
      <c r="AN62" s="367"/>
      <c r="AO62" s="367"/>
      <c r="AP62" s="367"/>
      <c r="AQ62" s="367"/>
      <c r="AR62" s="367"/>
      <c r="AS62" s="367"/>
      <c r="AT62" s="367"/>
      <c r="AU62" s="367"/>
      <c r="AV62" s="367"/>
      <c r="AW62" s="367"/>
      <c r="AX62" s="367"/>
      <c r="AY62" s="367"/>
      <c r="AZ62" s="367"/>
      <c r="BA62" s="367"/>
      <c r="BB62" s="367"/>
      <c r="BC62" s="367"/>
      <c r="BD62" s="367"/>
      <c r="BE62" s="367"/>
      <c r="BF62" s="367"/>
      <c r="BG62" s="367"/>
      <c r="BH62" s="367"/>
      <c r="BI62" s="367"/>
      <c r="BJ62" s="367"/>
      <c r="BK62" s="367"/>
      <c r="BL62" s="367"/>
      <c r="BM62" s="367"/>
      <c r="BN62" s="367"/>
      <c r="BO62" s="367"/>
      <c r="BP62" s="367"/>
      <c r="BQ62" s="367"/>
      <c r="BR62" s="367"/>
      <c r="BS62" s="367"/>
      <c r="BT62" s="367"/>
      <c r="BU62" s="367"/>
      <c r="BV62" s="367"/>
      <c r="BW62" s="367"/>
      <c r="BX62" s="367"/>
      <c r="BY62" s="367"/>
      <c r="BZ62" s="367"/>
      <c r="CA62" s="367"/>
      <c r="CB62" s="367"/>
      <c r="CC62" s="367"/>
      <c r="CD62" s="367"/>
      <c r="CE62" s="367"/>
      <c r="CF62" s="367"/>
      <c r="CG62" s="367"/>
      <c r="CH62" s="367"/>
      <c r="CI62" s="367"/>
      <c r="CJ62" s="367"/>
      <c r="CK62" s="367"/>
      <c r="CL62" s="367"/>
      <c r="CM62" s="367"/>
      <c r="CN62" s="367"/>
      <c r="CO62" s="367"/>
      <c r="CP62" s="367"/>
      <c r="CQ62" s="367"/>
      <c r="CR62" s="367"/>
      <c r="CS62" s="367"/>
      <c r="CT62" s="367"/>
      <c r="CU62" s="367"/>
      <c r="CV62" s="367"/>
      <c r="CW62" s="367"/>
      <c r="CX62" s="367"/>
      <c r="CY62" s="367"/>
      <c r="CZ62" s="367"/>
      <c r="DA62" s="367"/>
      <c r="DB62" s="367"/>
      <c r="DC62" s="367"/>
      <c r="DD62" s="367"/>
      <c r="DE62" s="367"/>
      <c r="DF62" s="367"/>
      <c r="DG62" s="367"/>
      <c r="DH62" s="367"/>
      <c r="DI62" s="367"/>
      <c r="DJ62" s="367"/>
      <c r="DK62" s="367"/>
      <c r="DL62" s="367"/>
      <c r="DM62" s="367"/>
      <c r="DN62" s="367"/>
      <c r="DO62" s="367"/>
      <c r="DP62" s="367"/>
      <c r="DQ62" s="367"/>
      <c r="DR62" s="367"/>
      <c r="DS62" s="367"/>
      <c r="DT62" s="367"/>
      <c r="DU62" s="367"/>
      <c r="DV62" s="367"/>
      <c r="DW62" s="367"/>
      <c r="DX62" s="367"/>
      <c r="DY62" s="367"/>
      <c r="DZ62" s="367"/>
      <c r="EA62" s="367"/>
      <c r="EB62" s="367"/>
      <c r="EC62" s="367"/>
      <c r="ED62" s="367"/>
      <c r="EE62" s="367"/>
      <c r="EF62" s="367"/>
      <c r="EG62" s="367"/>
      <c r="EH62" s="367"/>
      <c r="EI62" s="367"/>
      <c r="EJ62" s="367"/>
      <c r="EK62" s="367"/>
      <c r="EL62" s="367"/>
      <c r="EM62" s="367"/>
      <c r="EN62" s="367"/>
      <c r="EO62" s="367"/>
      <c r="EP62" s="367"/>
      <c r="EQ62" s="368"/>
    </row>
    <row r="63" spans="1:147" x14ac:dyDescent="0.2">
      <c r="A63" s="192"/>
      <c r="B63" s="192"/>
      <c r="C63" s="192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192"/>
      <c r="O63" s="192"/>
      <c r="P63" s="192"/>
      <c r="Q63" s="192"/>
      <c r="R63" s="192"/>
      <c r="S63" s="266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192"/>
      <c r="AJ63" s="192"/>
      <c r="AK63" s="370"/>
      <c r="AL63" s="367"/>
      <c r="AM63" s="367"/>
      <c r="AN63" s="367"/>
      <c r="AO63" s="367"/>
      <c r="AP63" s="367"/>
      <c r="AQ63" s="367"/>
      <c r="AR63" s="367"/>
      <c r="AS63" s="367"/>
      <c r="AT63" s="367"/>
      <c r="AU63" s="367"/>
      <c r="AV63" s="367"/>
      <c r="AW63" s="367"/>
      <c r="AX63" s="367"/>
      <c r="AY63" s="367"/>
      <c r="AZ63" s="367"/>
      <c r="BA63" s="367"/>
      <c r="BB63" s="367"/>
      <c r="BC63" s="367"/>
      <c r="BD63" s="367"/>
      <c r="BE63" s="367"/>
      <c r="BF63" s="367"/>
      <c r="BG63" s="367"/>
      <c r="BH63" s="367"/>
      <c r="BI63" s="367"/>
      <c r="BJ63" s="367"/>
      <c r="BK63" s="367"/>
      <c r="BL63" s="367"/>
      <c r="BM63" s="367"/>
      <c r="BN63" s="367"/>
      <c r="BO63" s="367"/>
      <c r="BP63" s="367"/>
      <c r="BQ63" s="367"/>
      <c r="BR63" s="367"/>
      <c r="BS63" s="367"/>
      <c r="BT63" s="367"/>
      <c r="BU63" s="367"/>
      <c r="BV63" s="367"/>
      <c r="BW63" s="367"/>
      <c r="BX63" s="367"/>
      <c r="BY63" s="367"/>
      <c r="BZ63" s="367"/>
      <c r="CA63" s="367"/>
      <c r="CB63" s="367"/>
      <c r="CC63" s="367"/>
      <c r="CD63" s="367"/>
      <c r="CE63" s="367"/>
      <c r="CF63" s="367"/>
      <c r="CG63" s="367"/>
      <c r="CH63" s="367"/>
      <c r="CI63" s="367"/>
      <c r="CJ63" s="367"/>
      <c r="CK63" s="367"/>
      <c r="CL63" s="367"/>
      <c r="CM63" s="367"/>
      <c r="CN63" s="367"/>
      <c r="CO63" s="367"/>
      <c r="CP63" s="367"/>
      <c r="CQ63" s="367"/>
      <c r="CR63" s="367"/>
      <c r="CS63" s="367"/>
      <c r="CT63" s="367"/>
      <c r="CU63" s="367"/>
      <c r="CV63" s="367"/>
      <c r="CW63" s="367"/>
      <c r="CX63" s="367"/>
      <c r="CY63" s="367"/>
      <c r="CZ63" s="367"/>
      <c r="DA63" s="367"/>
      <c r="DB63" s="367"/>
      <c r="DC63" s="367"/>
      <c r="DD63" s="367"/>
      <c r="DE63" s="367"/>
      <c r="DF63" s="367"/>
      <c r="DG63" s="367"/>
      <c r="DH63" s="367"/>
      <c r="DI63" s="367"/>
      <c r="DJ63" s="367"/>
      <c r="DK63" s="367"/>
      <c r="DL63" s="367"/>
      <c r="DM63" s="367"/>
      <c r="DN63" s="367"/>
      <c r="DO63" s="367"/>
      <c r="DP63" s="367"/>
      <c r="DQ63" s="367"/>
      <c r="DR63" s="367"/>
      <c r="DS63" s="367"/>
      <c r="DT63" s="367"/>
      <c r="DU63" s="367"/>
      <c r="DV63" s="367"/>
      <c r="DW63" s="367"/>
      <c r="DX63" s="367"/>
      <c r="DY63" s="367"/>
      <c r="DZ63" s="367"/>
      <c r="EA63" s="367"/>
      <c r="EB63" s="367"/>
      <c r="EC63" s="367"/>
      <c r="ED63" s="367"/>
      <c r="EE63" s="367"/>
      <c r="EF63" s="367"/>
      <c r="EG63" s="367"/>
      <c r="EH63" s="367"/>
      <c r="EI63" s="367"/>
      <c r="EJ63" s="367"/>
      <c r="EK63" s="367"/>
      <c r="EL63" s="367"/>
      <c r="EM63" s="367"/>
      <c r="EN63" s="367"/>
      <c r="EO63" s="367"/>
      <c r="EP63" s="367"/>
      <c r="EQ63" s="368"/>
    </row>
    <row r="64" spans="1:147" x14ac:dyDescent="0.2">
      <c r="A64" s="192"/>
      <c r="B64" s="192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266"/>
      <c r="T64" s="265"/>
      <c r="U64" s="265"/>
      <c r="V64" s="265"/>
      <c r="W64" s="265"/>
      <c r="X64" s="265"/>
      <c r="Y64" s="265"/>
      <c r="Z64" s="265"/>
      <c r="AA64" s="265"/>
      <c r="AB64" s="265"/>
      <c r="AC64" s="265"/>
      <c r="AD64" s="265"/>
      <c r="AE64" s="265"/>
      <c r="AF64" s="265"/>
      <c r="AG64" s="265"/>
      <c r="AH64" s="265"/>
      <c r="AI64" s="192"/>
      <c r="AJ64" s="192"/>
      <c r="AK64" s="370"/>
      <c r="AL64" s="367"/>
      <c r="AM64" s="367"/>
      <c r="AN64" s="367"/>
      <c r="AO64" s="367"/>
      <c r="AP64" s="367"/>
      <c r="AQ64" s="367"/>
      <c r="AR64" s="367"/>
      <c r="AS64" s="367"/>
      <c r="AT64" s="367"/>
      <c r="AU64" s="367"/>
      <c r="AV64" s="367"/>
      <c r="AW64" s="367"/>
      <c r="AX64" s="367"/>
      <c r="AY64" s="367"/>
      <c r="AZ64" s="367"/>
      <c r="BA64" s="367"/>
      <c r="BB64" s="367"/>
      <c r="BC64" s="367"/>
      <c r="BD64" s="367"/>
      <c r="BE64" s="367"/>
      <c r="BF64" s="367"/>
      <c r="BG64" s="367"/>
      <c r="BH64" s="367"/>
      <c r="BI64" s="367"/>
      <c r="BJ64" s="367"/>
      <c r="BK64" s="367"/>
      <c r="BL64" s="367"/>
      <c r="BM64" s="367"/>
      <c r="BN64" s="367"/>
      <c r="BO64" s="367"/>
      <c r="BP64" s="367"/>
      <c r="BQ64" s="367"/>
      <c r="BR64" s="367"/>
      <c r="BS64" s="367"/>
      <c r="BT64" s="367"/>
      <c r="BU64" s="367"/>
      <c r="BV64" s="367"/>
      <c r="BW64" s="367"/>
      <c r="BX64" s="367"/>
      <c r="BY64" s="367"/>
      <c r="BZ64" s="367"/>
      <c r="CA64" s="367"/>
      <c r="CB64" s="367"/>
      <c r="CC64" s="367"/>
      <c r="CD64" s="367"/>
      <c r="CE64" s="367"/>
      <c r="CF64" s="367"/>
      <c r="CG64" s="367"/>
      <c r="CH64" s="367"/>
      <c r="CI64" s="367"/>
      <c r="CJ64" s="367"/>
      <c r="CK64" s="367"/>
      <c r="CL64" s="367"/>
      <c r="CM64" s="367"/>
      <c r="CN64" s="367"/>
      <c r="CO64" s="367"/>
      <c r="CP64" s="367"/>
      <c r="CQ64" s="367"/>
      <c r="CR64" s="367"/>
      <c r="CS64" s="367"/>
      <c r="CT64" s="367"/>
      <c r="CU64" s="367"/>
      <c r="CV64" s="367"/>
      <c r="CW64" s="367"/>
      <c r="CX64" s="367"/>
      <c r="CY64" s="367"/>
      <c r="CZ64" s="367"/>
      <c r="DA64" s="367"/>
      <c r="DB64" s="367"/>
      <c r="DC64" s="367"/>
      <c r="DD64" s="367"/>
      <c r="DE64" s="367"/>
      <c r="DF64" s="367"/>
      <c r="DG64" s="367"/>
      <c r="DH64" s="367"/>
      <c r="DI64" s="367"/>
      <c r="DJ64" s="367"/>
      <c r="DK64" s="367"/>
      <c r="DL64" s="367"/>
      <c r="DM64" s="367"/>
      <c r="DN64" s="367"/>
      <c r="DO64" s="367"/>
      <c r="DP64" s="367"/>
      <c r="DQ64" s="367"/>
      <c r="DR64" s="367"/>
      <c r="DS64" s="367"/>
      <c r="DT64" s="367"/>
      <c r="DU64" s="367"/>
      <c r="DV64" s="367"/>
      <c r="DW64" s="367"/>
      <c r="DX64" s="367"/>
      <c r="DY64" s="367"/>
      <c r="DZ64" s="367"/>
      <c r="EA64" s="367"/>
      <c r="EB64" s="367"/>
      <c r="EC64" s="367"/>
      <c r="ED64" s="367"/>
      <c r="EE64" s="367"/>
      <c r="EF64" s="367"/>
      <c r="EG64" s="367"/>
      <c r="EH64" s="367"/>
      <c r="EI64" s="367"/>
      <c r="EJ64" s="367"/>
      <c r="EK64" s="367"/>
      <c r="EL64" s="367"/>
      <c r="EM64" s="367"/>
      <c r="EN64" s="367"/>
      <c r="EO64" s="367"/>
      <c r="EP64" s="367"/>
      <c r="EQ64" s="368"/>
    </row>
    <row r="65" spans="1:147" x14ac:dyDescent="0.2">
      <c r="A65" s="192"/>
      <c r="B65" s="192"/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266"/>
      <c r="T65" s="265"/>
      <c r="U65" s="265"/>
      <c r="V65" s="265"/>
      <c r="W65" s="265"/>
      <c r="X65" s="265"/>
      <c r="Y65" s="265"/>
      <c r="Z65" s="265"/>
      <c r="AA65" s="265"/>
      <c r="AB65" s="265"/>
      <c r="AC65" s="265"/>
      <c r="AD65" s="265"/>
      <c r="AE65" s="265"/>
      <c r="AF65" s="265"/>
      <c r="AG65" s="265"/>
      <c r="AH65" s="265"/>
      <c r="AI65" s="192"/>
      <c r="AJ65" s="192"/>
      <c r="AK65" s="370"/>
      <c r="AL65" s="367"/>
      <c r="AM65" s="367"/>
      <c r="AN65" s="367"/>
      <c r="AO65" s="367"/>
      <c r="AP65" s="367"/>
      <c r="AQ65" s="367"/>
      <c r="AR65" s="367"/>
      <c r="AS65" s="367"/>
      <c r="AT65" s="367"/>
      <c r="AU65" s="367"/>
      <c r="AV65" s="367"/>
      <c r="AW65" s="367"/>
      <c r="AX65" s="367"/>
      <c r="AY65" s="367"/>
      <c r="AZ65" s="367"/>
      <c r="BA65" s="367"/>
      <c r="BB65" s="367"/>
      <c r="BC65" s="367"/>
      <c r="BD65" s="367"/>
      <c r="BE65" s="367"/>
      <c r="BF65" s="367"/>
      <c r="BG65" s="367"/>
      <c r="BH65" s="367"/>
      <c r="BI65" s="367"/>
      <c r="BJ65" s="367"/>
      <c r="BK65" s="367"/>
      <c r="BL65" s="367"/>
      <c r="BM65" s="367"/>
      <c r="BN65" s="367"/>
      <c r="BO65" s="367"/>
      <c r="BP65" s="367"/>
      <c r="BQ65" s="367"/>
      <c r="BR65" s="367"/>
      <c r="BS65" s="367"/>
      <c r="BT65" s="367"/>
      <c r="BU65" s="367"/>
      <c r="BV65" s="367"/>
      <c r="BW65" s="367"/>
      <c r="BX65" s="367"/>
      <c r="BY65" s="367"/>
      <c r="BZ65" s="367"/>
      <c r="CA65" s="367"/>
      <c r="CB65" s="367"/>
      <c r="CC65" s="367"/>
      <c r="CD65" s="367"/>
      <c r="CE65" s="367"/>
      <c r="CF65" s="367"/>
      <c r="CG65" s="367"/>
      <c r="CH65" s="367"/>
      <c r="CI65" s="367"/>
      <c r="CJ65" s="367"/>
      <c r="CK65" s="367"/>
      <c r="CL65" s="367"/>
      <c r="CM65" s="367"/>
      <c r="CN65" s="367"/>
      <c r="CO65" s="367"/>
      <c r="CP65" s="367"/>
      <c r="CQ65" s="367"/>
      <c r="CR65" s="367"/>
      <c r="CS65" s="367"/>
      <c r="CT65" s="367"/>
      <c r="CU65" s="367"/>
      <c r="CV65" s="367"/>
      <c r="CW65" s="367"/>
      <c r="CX65" s="367"/>
      <c r="CY65" s="367"/>
      <c r="CZ65" s="367"/>
      <c r="DA65" s="367"/>
      <c r="DB65" s="367"/>
      <c r="DC65" s="367"/>
      <c r="DD65" s="367"/>
      <c r="DE65" s="367"/>
      <c r="DF65" s="367"/>
      <c r="DG65" s="367"/>
      <c r="DH65" s="367"/>
      <c r="DI65" s="367"/>
      <c r="DJ65" s="367"/>
      <c r="DK65" s="367"/>
      <c r="DL65" s="367"/>
      <c r="DM65" s="367"/>
      <c r="DN65" s="367"/>
      <c r="DO65" s="367"/>
      <c r="DP65" s="367"/>
      <c r="DQ65" s="367"/>
      <c r="DR65" s="367"/>
      <c r="DS65" s="367"/>
      <c r="DT65" s="367"/>
      <c r="DU65" s="367"/>
      <c r="DV65" s="367"/>
      <c r="DW65" s="367"/>
      <c r="DX65" s="367"/>
      <c r="DY65" s="367"/>
      <c r="DZ65" s="367"/>
      <c r="EA65" s="367"/>
      <c r="EB65" s="367"/>
      <c r="EC65" s="367"/>
      <c r="ED65" s="367"/>
      <c r="EE65" s="367"/>
      <c r="EF65" s="367"/>
      <c r="EG65" s="367"/>
      <c r="EH65" s="367"/>
      <c r="EI65" s="367"/>
      <c r="EJ65" s="367"/>
      <c r="EK65" s="367"/>
      <c r="EL65" s="367"/>
      <c r="EM65" s="367"/>
      <c r="EN65" s="367"/>
      <c r="EO65" s="367"/>
      <c r="EP65" s="367"/>
      <c r="EQ65" s="368"/>
    </row>
    <row r="66" spans="1:147" x14ac:dyDescent="0.2">
      <c r="A66" s="192"/>
      <c r="B66" s="192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92"/>
      <c r="S66" s="266"/>
      <c r="T66" s="265"/>
      <c r="U66" s="265"/>
      <c r="V66" s="265"/>
      <c r="W66" s="265"/>
      <c r="X66" s="265"/>
      <c r="Y66" s="265"/>
      <c r="Z66" s="265"/>
      <c r="AA66" s="265"/>
      <c r="AB66" s="265"/>
      <c r="AC66" s="265"/>
      <c r="AD66" s="265"/>
      <c r="AE66" s="265"/>
      <c r="AF66" s="265"/>
      <c r="AG66" s="265"/>
      <c r="AH66" s="265"/>
      <c r="AI66" s="192"/>
      <c r="AJ66" s="192"/>
      <c r="AK66" s="370"/>
      <c r="AL66" s="367"/>
      <c r="AM66" s="367"/>
      <c r="AN66" s="367"/>
      <c r="AO66" s="367"/>
      <c r="AP66" s="367"/>
      <c r="AQ66" s="367"/>
      <c r="AR66" s="367"/>
      <c r="AS66" s="367"/>
      <c r="AT66" s="367"/>
      <c r="AU66" s="367"/>
      <c r="AV66" s="367"/>
      <c r="AW66" s="367"/>
      <c r="AX66" s="367"/>
      <c r="AY66" s="367"/>
      <c r="AZ66" s="367"/>
      <c r="BA66" s="367"/>
      <c r="BB66" s="367"/>
      <c r="BC66" s="367"/>
      <c r="BD66" s="367"/>
      <c r="BE66" s="367"/>
      <c r="BF66" s="367"/>
      <c r="BG66" s="367"/>
      <c r="BH66" s="367"/>
      <c r="BI66" s="367"/>
      <c r="BJ66" s="367"/>
      <c r="BK66" s="367"/>
      <c r="BL66" s="367"/>
      <c r="BM66" s="367"/>
      <c r="BN66" s="367"/>
      <c r="BO66" s="367"/>
      <c r="BP66" s="367"/>
      <c r="BQ66" s="367"/>
      <c r="BR66" s="367"/>
      <c r="BS66" s="367"/>
      <c r="BT66" s="367"/>
      <c r="BU66" s="367"/>
      <c r="BV66" s="367"/>
      <c r="BW66" s="367"/>
      <c r="BX66" s="367"/>
      <c r="BY66" s="367"/>
      <c r="BZ66" s="367"/>
      <c r="CA66" s="367"/>
      <c r="CB66" s="367"/>
      <c r="CC66" s="367"/>
      <c r="CD66" s="367"/>
      <c r="CE66" s="367"/>
      <c r="CF66" s="367"/>
      <c r="CG66" s="367"/>
      <c r="CH66" s="367"/>
      <c r="CI66" s="367"/>
      <c r="CJ66" s="367"/>
      <c r="CK66" s="367"/>
      <c r="CL66" s="367"/>
      <c r="CM66" s="367"/>
      <c r="CN66" s="367"/>
      <c r="CO66" s="367"/>
      <c r="CP66" s="367"/>
      <c r="CQ66" s="367"/>
      <c r="CR66" s="367"/>
      <c r="CS66" s="367"/>
      <c r="CT66" s="367"/>
      <c r="CU66" s="367"/>
      <c r="CV66" s="367"/>
      <c r="CW66" s="367"/>
      <c r="CX66" s="367"/>
      <c r="CY66" s="367"/>
      <c r="CZ66" s="367"/>
      <c r="DA66" s="367"/>
      <c r="DB66" s="367"/>
      <c r="DC66" s="367"/>
      <c r="DD66" s="367"/>
      <c r="DE66" s="367"/>
      <c r="DF66" s="367"/>
      <c r="DG66" s="367"/>
      <c r="DH66" s="367"/>
      <c r="DI66" s="367"/>
      <c r="DJ66" s="367"/>
      <c r="DK66" s="367"/>
      <c r="DL66" s="367"/>
      <c r="DM66" s="367"/>
      <c r="DN66" s="367"/>
      <c r="DO66" s="367"/>
      <c r="DP66" s="367"/>
      <c r="DQ66" s="367"/>
      <c r="DR66" s="367"/>
      <c r="DS66" s="367"/>
      <c r="DT66" s="367"/>
      <c r="DU66" s="367"/>
      <c r="DV66" s="367"/>
      <c r="DW66" s="367"/>
      <c r="DX66" s="367"/>
      <c r="DY66" s="367"/>
      <c r="DZ66" s="367"/>
      <c r="EA66" s="367"/>
      <c r="EB66" s="367"/>
      <c r="EC66" s="367"/>
      <c r="ED66" s="367"/>
      <c r="EE66" s="367"/>
      <c r="EF66" s="367"/>
      <c r="EG66" s="367"/>
      <c r="EH66" s="367"/>
      <c r="EI66" s="367"/>
      <c r="EJ66" s="367"/>
      <c r="EK66" s="367"/>
      <c r="EL66" s="367"/>
      <c r="EM66" s="367"/>
      <c r="EN66" s="367"/>
      <c r="EO66" s="367"/>
      <c r="EP66" s="367"/>
      <c r="EQ66" s="368"/>
    </row>
    <row r="67" spans="1:147" x14ac:dyDescent="0.2">
      <c r="A67" s="192"/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92"/>
      <c r="S67" s="266"/>
      <c r="T67" s="265"/>
      <c r="U67" s="265"/>
      <c r="V67" s="265"/>
      <c r="W67" s="265"/>
      <c r="X67" s="265"/>
      <c r="Y67" s="265"/>
      <c r="Z67" s="265"/>
      <c r="AA67" s="265"/>
      <c r="AB67" s="265"/>
      <c r="AC67" s="265"/>
      <c r="AD67" s="265"/>
      <c r="AE67" s="265"/>
      <c r="AF67" s="265"/>
      <c r="AG67" s="265"/>
      <c r="AH67" s="265"/>
      <c r="AI67" s="192"/>
      <c r="AJ67" s="192"/>
      <c r="AK67" s="370"/>
      <c r="AL67" s="367"/>
      <c r="AM67" s="367"/>
      <c r="AN67" s="371">
        <v>4.4059924070272712E-2</v>
      </c>
      <c r="AO67" s="372">
        <v>4.4107107294600413E-2</v>
      </c>
      <c r="AP67" s="372">
        <v>4.4155522046627808E-2</v>
      </c>
      <c r="AQ67" s="372">
        <v>4.4213734387415465E-2</v>
      </c>
      <c r="AR67" s="372">
        <v>4.4273368188437578E-2</v>
      </c>
      <c r="AS67" s="372">
        <v>4.4331410274506676E-2</v>
      </c>
      <c r="AT67" s="372">
        <v>4.4390905276413956E-2</v>
      </c>
      <c r="AU67" s="372">
        <v>4.445670522649562E-2</v>
      </c>
      <c r="AV67" s="372">
        <v>4.4524787352485537E-2</v>
      </c>
      <c r="AW67" s="372">
        <v>4.459206490685573E-2</v>
      </c>
      <c r="AX67" s="372">
        <v>4.4661539348436398E-2</v>
      </c>
      <c r="AY67" s="372">
        <v>4.4732658923192906E-2</v>
      </c>
      <c r="AZ67" s="372">
        <v>4.4805383767162164E-2</v>
      </c>
      <c r="BA67" s="372">
        <v>4.4877159483399293E-2</v>
      </c>
      <c r="BB67" s="372">
        <v>4.4955797886803282E-2</v>
      </c>
      <c r="BC67" s="372">
        <v>4.5035992299613165E-2</v>
      </c>
      <c r="BD67" s="372">
        <v>4.5121712754527747E-2</v>
      </c>
      <c r="BE67" s="372">
        <v>4.5207825257056543E-2</v>
      </c>
      <c r="BF67" s="372">
        <v>4.5295785534769574E-2</v>
      </c>
      <c r="BG67" s="372">
        <v>4.538523981129633E-2</v>
      </c>
      <c r="BH67" s="372">
        <v>4.5504603682205824E-2</v>
      </c>
      <c r="BI67" s="372">
        <v>4.5702290065559974E-2</v>
      </c>
      <c r="BJ67" s="372">
        <v>4.5944902592063151E-2</v>
      </c>
      <c r="BK67" s="372">
        <v>4.6216325767918773E-2</v>
      </c>
      <c r="BL67" s="372">
        <v>4.6509512483711199E-2</v>
      </c>
      <c r="BM67" s="372">
        <v>4.6806420225782137E-2</v>
      </c>
      <c r="BN67" s="372">
        <v>4.7119246883828993E-2</v>
      </c>
      <c r="BO67" s="372">
        <v>4.7443538212094627E-2</v>
      </c>
      <c r="BP67" s="372">
        <v>4.7767326830766857E-2</v>
      </c>
      <c r="BQ67" s="372">
        <v>4.8107116643463906E-2</v>
      </c>
      <c r="BR67" s="372">
        <v>4.8456257516112988E-2</v>
      </c>
      <c r="BS67" s="372">
        <v>4.8819767425493758E-2</v>
      </c>
      <c r="BT67" s="372">
        <v>4.9201550036850547E-2</v>
      </c>
      <c r="BU67" s="372">
        <v>4.9584749476628852E-2</v>
      </c>
      <c r="BV67" s="372">
        <v>4.9982672425640189E-2</v>
      </c>
      <c r="BW67" s="372">
        <v>5.0392355483864122E-2</v>
      </c>
      <c r="BX67" s="372">
        <v>5.0806850632391286E-2</v>
      </c>
      <c r="BY67" s="372">
        <v>5.122573163412384E-2</v>
      </c>
      <c r="BZ67" s="372">
        <v>5.1641202045107075E-2</v>
      </c>
      <c r="CA67" s="372">
        <v>5.2072324760543028E-2</v>
      </c>
      <c r="CB67" s="372">
        <v>5.254843064291409E-2</v>
      </c>
      <c r="CC67" s="372">
        <v>5.3042030105901743E-2</v>
      </c>
      <c r="CD67" s="372">
        <v>5.3570265229792476E-2</v>
      </c>
      <c r="CE67" s="372">
        <v>5.4151124050103479E-2</v>
      </c>
      <c r="CF67" s="372">
        <v>5.4758799654648492E-2</v>
      </c>
      <c r="CG67" s="372">
        <v>5.5408465655392848E-2</v>
      </c>
      <c r="CH67" s="372">
        <v>5.6097543273296607E-2</v>
      </c>
      <c r="CI67" s="372">
        <v>5.68275027495019E-2</v>
      </c>
      <c r="CJ67" s="372">
        <v>5.7598420717797576E-2</v>
      </c>
      <c r="CK67" s="372">
        <v>5.8395728734416563E-2</v>
      </c>
      <c r="CL67" s="372">
        <v>5.9245231479980849E-2</v>
      </c>
      <c r="CM67" s="372">
        <v>6.0147941897379806E-2</v>
      </c>
      <c r="CN67" s="372">
        <v>6.1102747724775919E-2</v>
      </c>
      <c r="CO67" s="372">
        <v>6.2106816215923885E-2</v>
      </c>
      <c r="CP67" s="372">
        <v>6.3150900148740627E-2</v>
      </c>
      <c r="CQ67" s="372">
        <v>6.4242987015853098E-2</v>
      </c>
      <c r="CR67" s="372">
        <v>6.5376309123214779E-2</v>
      </c>
      <c r="CS67" s="372">
        <v>6.6556348947474545E-2</v>
      </c>
      <c r="CT67" s="372">
        <v>6.7774940875103162E-2</v>
      </c>
      <c r="CU67" s="372">
        <v>6.9035244559670902E-2</v>
      </c>
      <c r="CV67" s="372">
        <v>7.0317165224853623E-2</v>
      </c>
      <c r="CW67" s="372">
        <v>7.163467924256206E-2</v>
      </c>
      <c r="CX67" s="372">
        <v>7.2988092605603558E-2</v>
      </c>
      <c r="CY67" s="372">
        <v>7.4375713911097124E-2</v>
      </c>
      <c r="CZ67" s="372">
        <v>7.5781633441905388E-2</v>
      </c>
      <c r="DA67" s="372">
        <v>7.7217696025394814E-2</v>
      </c>
      <c r="DB67" s="372">
        <v>7.8672549096830455E-2</v>
      </c>
      <c r="DC67" s="372">
        <v>8.0151423610871048E-2</v>
      </c>
      <c r="DD67" s="372">
        <v>8.1655029327129064E-2</v>
      </c>
      <c r="DE67" s="372">
        <v>8.3172718472731971E-2</v>
      </c>
      <c r="DF67" s="372">
        <v>8.471256878798239E-2</v>
      </c>
      <c r="DG67" s="372">
        <v>8.6273920336738905E-2</v>
      </c>
      <c r="DH67" s="372">
        <v>8.7854705638477651E-2</v>
      </c>
      <c r="DI67" s="372">
        <v>8.9449877155839283E-2</v>
      </c>
      <c r="DJ67" s="372">
        <v>9.1060310863250213E-2</v>
      </c>
      <c r="DK67" s="372">
        <v>9.2686499937027197E-2</v>
      </c>
      <c r="DL67" s="372">
        <v>9.4327673928871314E-2</v>
      </c>
      <c r="DM67" s="372">
        <v>9.5983375718270994E-2</v>
      </c>
      <c r="DN67" s="372">
        <v>9.7654042012971107E-2</v>
      </c>
      <c r="DO67" s="372">
        <v>9.9335329654231058E-2</v>
      </c>
      <c r="DP67" s="372">
        <v>0.10102598162443387</v>
      </c>
      <c r="DQ67" s="372">
        <v>0.10273007526475945</v>
      </c>
      <c r="DR67" s="372">
        <v>0.10445415933544043</v>
      </c>
      <c r="DS67" s="372">
        <v>0.10635509495333026</v>
      </c>
      <c r="DT67" s="372">
        <v>0.10830596904600072</v>
      </c>
      <c r="DU67" s="372">
        <v>0.1103088060373397</v>
      </c>
      <c r="DV67" s="372">
        <v>0.11251546329065847</v>
      </c>
      <c r="DW67" s="372">
        <v>0.11485199584552885</v>
      </c>
      <c r="DX67" s="372">
        <v>0.1173179998379319</v>
      </c>
      <c r="DY67" s="372">
        <v>0.11995799863320243</v>
      </c>
      <c r="DZ67" s="372">
        <v>0.1226558132483883</v>
      </c>
      <c r="EA67" s="372">
        <v>0.12537877282731519</v>
      </c>
      <c r="EB67" s="372">
        <v>0.12813483039604998</v>
      </c>
      <c r="EC67" s="372">
        <v>0.13095254420936689</v>
      </c>
      <c r="ED67" s="372">
        <v>0.13392603851874008</v>
      </c>
      <c r="EE67" s="372">
        <v>0.13704517370515393</v>
      </c>
      <c r="EF67" s="372">
        <v>0.14030023650216633</v>
      </c>
      <c r="EG67" s="372">
        <v>0.14368198903616106</v>
      </c>
      <c r="EH67" s="372">
        <v>0.1479602712632723</v>
      </c>
      <c r="EI67" s="373">
        <v>0.1479602712632723</v>
      </c>
      <c r="EJ67" s="367"/>
      <c r="EK67" s="367"/>
      <c r="EL67" s="367"/>
      <c r="EM67" s="367"/>
      <c r="EN67" s="367"/>
      <c r="EO67" s="367"/>
      <c r="EP67" s="367"/>
      <c r="EQ67" s="368"/>
    </row>
    <row r="68" spans="1:147" x14ac:dyDescent="0.2">
      <c r="A68" s="192"/>
      <c r="B68" s="192"/>
      <c r="C68" s="192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192"/>
      <c r="O68" s="192"/>
      <c r="P68" s="192"/>
      <c r="Q68" s="192"/>
      <c r="R68" s="192"/>
      <c r="S68" s="266"/>
      <c r="T68" s="265"/>
      <c r="U68" s="265"/>
      <c r="V68" s="265"/>
      <c r="W68" s="265"/>
      <c r="X68" s="265"/>
      <c r="Y68" s="265"/>
      <c r="Z68" s="265"/>
      <c r="AA68" s="265"/>
      <c r="AB68" s="265"/>
      <c r="AC68" s="265"/>
      <c r="AD68" s="265"/>
      <c r="AE68" s="265"/>
      <c r="AF68" s="265"/>
      <c r="AG68" s="265"/>
      <c r="AH68" s="265"/>
      <c r="AI68" s="192"/>
      <c r="AJ68" s="192"/>
      <c r="AK68" s="369"/>
      <c r="AL68" s="367"/>
      <c r="AM68" s="367"/>
      <c r="AN68" s="374">
        <v>1.2859380180842938E-2</v>
      </c>
      <c r="AO68" s="375">
        <v>1.3117760835201036E-2</v>
      </c>
      <c r="AP68" s="375">
        <v>1.3387942423145952E-2</v>
      </c>
      <c r="AQ68" s="375">
        <v>1.3649504944628198E-2</v>
      </c>
      <c r="AR68" s="375">
        <v>1.3919486726837692E-2</v>
      </c>
      <c r="AS68" s="375">
        <v>1.4183240866157926E-2</v>
      </c>
      <c r="AT68" s="375">
        <v>1.4437127989470996E-2</v>
      </c>
      <c r="AU68" s="375">
        <v>1.4694554397604403E-2</v>
      </c>
      <c r="AV68" s="375">
        <v>1.4952562541048691E-2</v>
      </c>
      <c r="AW68" s="375">
        <v>1.5209049532054719E-2</v>
      </c>
      <c r="AX68" s="375">
        <v>1.5468112335729065E-2</v>
      </c>
      <c r="AY68" s="375">
        <v>1.5723320859829869E-2</v>
      </c>
      <c r="AZ68" s="375">
        <v>1.5982410303612204E-2</v>
      </c>
      <c r="BA68" s="375">
        <v>1.6240007283601299E-2</v>
      </c>
      <c r="BB68" s="375">
        <v>1.6494234149768482E-2</v>
      </c>
      <c r="BC68" s="375">
        <v>1.6755734259694132E-2</v>
      </c>
      <c r="BD68" s="375">
        <v>1.7019656224193946E-2</v>
      </c>
      <c r="BE68" s="375">
        <v>1.7282267442903395E-2</v>
      </c>
      <c r="BF68" s="375">
        <v>1.7545702555196715E-2</v>
      </c>
      <c r="BG68" s="375">
        <v>1.7805980533814447E-2</v>
      </c>
      <c r="BH68" s="375">
        <v>1.809570566086276E-2</v>
      </c>
      <c r="BI68" s="375">
        <v>1.8442486347051434E-2</v>
      </c>
      <c r="BJ68" s="375">
        <v>1.875671987401838E-2</v>
      </c>
      <c r="BK68" s="375">
        <v>1.9039737196677165E-2</v>
      </c>
      <c r="BL68" s="375">
        <v>1.9323682196195912E-2</v>
      </c>
      <c r="BM68" s="375">
        <v>1.95990581680817E-2</v>
      </c>
      <c r="BN68" s="375">
        <v>1.9876880977487962E-2</v>
      </c>
      <c r="BO68" s="375">
        <v>2.0139629056664148E-2</v>
      </c>
      <c r="BP68" s="375">
        <v>2.0412613863927415E-2</v>
      </c>
      <c r="BQ68" s="375">
        <v>2.0695949460005286E-2</v>
      </c>
      <c r="BR68" s="375">
        <v>2.0977891786637521E-2</v>
      </c>
      <c r="BS68" s="375">
        <v>2.126178987762509E-2</v>
      </c>
      <c r="BT68" s="375">
        <v>2.1548248859080642E-2</v>
      </c>
      <c r="BU68" s="375">
        <v>2.1841780264964795E-2</v>
      </c>
      <c r="BV68" s="375">
        <v>2.2106309403439103E-2</v>
      </c>
      <c r="BW68" s="375">
        <v>2.2363583915269724E-2</v>
      </c>
      <c r="BX68" s="375">
        <v>2.2639471040300434E-2</v>
      </c>
      <c r="BY68" s="375">
        <v>2.2933745388358098E-2</v>
      </c>
      <c r="BZ68" s="375">
        <v>2.3195858698199758E-2</v>
      </c>
      <c r="CA68" s="375">
        <v>2.3502170130099937E-2</v>
      </c>
      <c r="CB68" s="375">
        <v>2.3812515439647072E-2</v>
      </c>
      <c r="CC68" s="375">
        <v>2.4117149761342164E-2</v>
      </c>
      <c r="CD68" s="375">
        <v>2.4434638458448132E-2</v>
      </c>
      <c r="CE68" s="375">
        <v>2.4763711651581168E-2</v>
      </c>
      <c r="CF68" s="375">
        <v>2.5082946909919312E-2</v>
      </c>
      <c r="CG68" s="375">
        <v>2.5423917521744267E-2</v>
      </c>
      <c r="CH68" s="375">
        <v>2.5761675489020388E-2</v>
      </c>
      <c r="CI68" s="375">
        <v>2.6102525341762977E-2</v>
      </c>
      <c r="CJ68" s="375">
        <v>2.6444252133273036E-2</v>
      </c>
      <c r="CK68" s="375">
        <v>2.6773056025885988E-2</v>
      </c>
      <c r="CL68" s="375">
        <v>2.7122085612618547E-2</v>
      </c>
      <c r="CM68" s="375">
        <v>2.7469755764897501E-2</v>
      </c>
      <c r="CN68" s="375">
        <v>2.7817070442858912E-2</v>
      </c>
      <c r="CO68" s="375">
        <v>2.8163711795348569E-2</v>
      </c>
      <c r="CP68" s="375">
        <v>2.8502327969457612E-2</v>
      </c>
      <c r="CQ68" s="375">
        <v>2.8843756739542103E-2</v>
      </c>
      <c r="CR68" s="375">
        <v>2.9181782176085396E-2</v>
      </c>
      <c r="CS68" s="375">
        <v>2.9530550766824811E-2</v>
      </c>
      <c r="CT68" s="375">
        <v>2.9878704470469284E-2</v>
      </c>
      <c r="CU68" s="375">
        <v>3.0232212339086548E-2</v>
      </c>
      <c r="CV68" s="375">
        <v>3.0571176532984853E-2</v>
      </c>
      <c r="CW68" s="375">
        <v>3.0913013916415811E-2</v>
      </c>
      <c r="CX68" s="375">
        <v>3.1261262120577074E-2</v>
      </c>
      <c r="CY68" s="375">
        <v>3.1614166990651379E-2</v>
      </c>
      <c r="CZ68" s="375">
        <v>3.1957561120050687E-2</v>
      </c>
      <c r="DA68" s="375">
        <v>3.2304811745668752E-2</v>
      </c>
      <c r="DB68" s="375">
        <v>3.2646540990036541E-2</v>
      </c>
      <c r="DC68" s="375">
        <v>3.2988772128005078E-2</v>
      </c>
      <c r="DD68" s="375">
        <v>3.3333785761720275E-2</v>
      </c>
      <c r="DE68" s="375">
        <v>3.3670862074876615E-2</v>
      </c>
      <c r="DF68" s="375">
        <v>3.4009635442485989E-2</v>
      </c>
      <c r="DG68" s="375">
        <v>3.4352353656960821E-2</v>
      </c>
      <c r="DH68" s="375">
        <v>3.4698159291505437E-2</v>
      </c>
      <c r="DI68" s="375">
        <v>3.5039778082528117E-2</v>
      </c>
      <c r="DJ68" s="375">
        <v>3.5379571103959756E-2</v>
      </c>
      <c r="DK68" s="375">
        <v>3.5720135104250289E-2</v>
      </c>
      <c r="DL68" s="375">
        <v>3.6062353853796567E-2</v>
      </c>
      <c r="DM68" s="375">
        <v>3.6408102111872634E-2</v>
      </c>
      <c r="DN68" s="375">
        <v>3.6759323623249032E-2</v>
      </c>
      <c r="DO68" s="375">
        <v>3.7105862227428357E-2</v>
      </c>
      <c r="DP68" s="375">
        <v>3.7447620377328336E-2</v>
      </c>
      <c r="DQ68" s="375">
        <v>3.7794752655304034E-2</v>
      </c>
      <c r="DR68" s="375">
        <v>3.8074614635254259E-2</v>
      </c>
      <c r="DS68" s="375">
        <v>3.8360333234115113E-2</v>
      </c>
      <c r="DT68" s="375">
        <v>3.8667193597917003E-2</v>
      </c>
      <c r="DU68" s="375">
        <v>3.8934903043529867E-2</v>
      </c>
      <c r="DV68" s="375">
        <v>3.9191880994540379E-2</v>
      </c>
      <c r="DW68" s="375">
        <v>3.9503482611013011E-2</v>
      </c>
      <c r="DX68" s="375">
        <v>3.973859795410048E-2</v>
      </c>
      <c r="DY68" s="375">
        <v>4.0042126088962557E-2</v>
      </c>
      <c r="DZ68" s="375">
        <v>4.0404685688930908E-2</v>
      </c>
      <c r="EA68" s="375">
        <v>4.0743347339290498E-2</v>
      </c>
      <c r="EB68" s="375">
        <v>4.1091039163700487E-2</v>
      </c>
      <c r="EC68" s="375">
        <v>4.132615450678806E-2</v>
      </c>
      <c r="ED68" s="375">
        <v>4.1561269849875418E-2</v>
      </c>
      <c r="EE68" s="375">
        <v>4.1796385192962873E-2</v>
      </c>
      <c r="EF68" s="375">
        <v>4.2031500536050329E-2</v>
      </c>
      <c r="EG68" s="375">
        <v>4.2266615879137742E-2</v>
      </c>
      <c r="EH68" s="375">
        <v>4.2648552314586946E-2</v>
      </c>
      <c r="EI68" s="376">
        <v>4.2648552314586946E-2</v>
      </c>
      <c r="EJ68" s="367"/>
      <c r="EK68" s="367"/>
      <c r="EL68" s="367"/>
      <c r="EM68" s="367"/>
      <c r="EN68" s="367"/>
      <c r="EO68" s="367"/>
      <c r="EP68" s="367"/>
      <c r="EQ68" s="368"/>
    </row>
    <row r="69" spans="1:147" x14ac:dyDescent="0.2">
      <c r="A69" s="192"/>
      <c r="B69" s="192"/>
      <c r="C69" s="192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92"/>
      <c r="S69" s="266"/>
      <c r="T69" s="265"/>
      <c r="U69" s="265"/>
      <c r="V69" s="265"/>
      <c r="W69" s="265"/>
      <c r="X69" s="265"/>
      <c r="Y69" s="265"/>
      <c r="Z69" s="265"/>
      <c r="AA69" s="265"/>
      <c r="AB69" s="265"/>
      <c r="AC69" s="265"/>
      <c r="AD69" s="265"/>
      <c r="AE69" s="265"/>
      <c r="AF69" s="265"/>
      <c r="AG69" s="265"/>
      <c r="AH69" s="265"/>
      <c r="AI69" s="192"/>
      <c r="AJ69" s="192"/>
      <c r="AK69" s="369"/>
      <c r="AL69" s="367"/>
      <c r="AM69" s="377" t="s">
        <v>208</v>
      </c>
      <c r="AN69" s="367"/>
      <c r="AO69" s="367"/>
      <c r="AP69" s="367"/>
      <c r="AQ69" s="367"/>
      <c r="AR69" s="367"/>
      <c r="AS69" s="367"/>
      <c r="AT69" s="367"/>
      <c r="AU69" s="367"/>
      <c r="AV69" s="367"/>
      <c r="AW69" s="367"/>
      <c r="AX69" s="367"/>
      <c r="AY69" s="367"/>
      <c r="AZ69" s="367"/>
      <c r="BA69" s="367"/>
      <c r="BB69" s="367"/>
      <c r="BC69" s="367"/>
      <c r="BD69" s="367"/>
      <c r="BE69" s="367"/>
      <c r="BF69" s="367"/>
      <c r="BG69" s="367"/>
      <c r="BH69" s="367"/>
      <c r="BI69" s="367"/>
      <c r="BJ69" s="367"/>
      <c r="BK69" s="367"/>
      <c r="BL69" s="367"/>
      <c r="BM69" s="367"/>
      <c r="BN69" s="367"/>
      <c r="BO69" s="367"/>
      <c r="BP69" s="367"/>
      <c r="BQ69" s="367"/>
      <c r="BR69" s="367"/>
      <c r="BS69" s="367"/>
      <c r="BT69" s="367"/>
      <c r="BU69" s="367"/>
      <c r="BV69" s="367"/>
      <c r="BW69" s="367"/>
      <c r="BX69" s="367"/>
      <c r="BY69" s="367"/>
      <c r="BZ69" s="367"/>
      <c r="CA69" s="367"/>
      <c r="CB69" s="367"/>
      <c r="CC69" s="367"/>
      <c r="CD69" s="367"/>
      <c r="CE69" s="367"/>
      <c r="CF69" s="367"/>
      <c r="CG69" s="367"/>
      <c r="CH69" s="367"/>
      <c r="CI69" s="367"/>
      <c r="CJ69" s="367"/>
      <c r="CK69" s="367"/>
      <c r="CL69" s="367"/>
      <c r="CM69" s="367"/>
      <c r="CN69" s="367"/>
      <c r="CO69" s="367"/>
      <c r="CP69" s="367"/>
      <c r="CQ69" s="367"/>
      <c r="CR69" s="367"/>
      <c r="CS69" s="367"/>
      <c r="CT69" s="367"/>
      <c r="CU69" s="367"/>
      <c r="CV69" s="367"/>
      <c r="CW69" s="367"/>
      <c r="CX69" s="367"/>
      <c r="CY69" s="367"/>
      <c r="CZ69" s="367"/>
      <c r="DA69" s="367"/>
      <c r="DB69" s="367"/>
      <c r="DC69" s="367"/>
      <c r="DD69" s="367"/>
      <c r="DE69" s="367"/>
      <c r="DF69" s="367"/>
      <c r="DG69" s="367"/>
      <c r="DH69" s="367"/>
      <c r="DI69" s="367"/>
      <c r="DJ69" s="367"/>
      <c r="DK69" s="367"/>
      <c r="DL69" s="367"/>
      <c r="DM69" s="367"/>
      <c r="DN69" s="367"/>
      <c r="DO69" s="367"/>
      <c r="DP69" s="367"/>
      <c r="DQ69" s="367"/>
      <c r="DR69" s="367"/>
      <c r="DS69" s="367"/>
      <c r="DT69" s="367"/>
      <c r="DU69" s="367"/>
      <c r="DV69" s="367"/>
      <c r="DW69" s="367"/>
      <c r="DX69" s="367"/>
      <c r="DY69" s="367"/>
      <c r="DZ69" s="367"/>
      <c r="EA69" s="367"/>
      <c r="EB69" s="367"/>
      <c r="EC69" s="367"/>
      <c r="ED69" s="367"/>
      <c r="EE69" s="367"/>
      <c r="EF69" s="367"/>
      <c r="EG69" s="367"/>
      <c r="EH69" s="367"/>
      <c r="EI69" s="367"/>
      <c r="EJ69" s="367"/>
      <c r="EK69" s="367"/>
      <c r="EL69" s="367"/>
      <c r="EM69" s="367"/>
      <c r="EN69" s="367"/>
      <c r="EO69" s="367"/>
      <c r="EP69" s="367"/>
      <c r="EQ69" s="368"/>
    </row>
    <row r="70" spans="1:147" x14ac:dyDescent="0.2">
      <c r="A70" s="192"/>
      <c r="B70" s="192"/>
      <c r="C70" s="192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192"/>
      <c r="O70" s="192"/>
      <c r="P70" s="192"/>
      <c r="Q70" s="192"/>
      <c r="R70" s="192"/>
      <c r="S70" s="266"/>
      <c r="T70" s="265"/>
      <c r="U70" s="265"/>
      <c r="V70" s="265"/>
      <c r="W70" s="265"/>
      <c r="X70" s="265"/>
      <c r="Y70" s="265"/>
      <c r="Z70" s="265"/>
      <c r="AA70" s="265"/>
      <c r="AB70" s="265"/>
      <c r="AC70" s="265"/>
      <c r="AD70" s="265"/>
      <c r="AE70" s="265"/>
      <c r="AF70" s="265"/>
      <c r="AG70" s="265"/>
      <c r="AH70" s="265"/>
      <c r="AI70" s="192"/>
      <c r="AJ70" s="192"/>
      <c r="AK70" s="369"/>
      <c r="AL70" s="367"/>
      <c r="AM70" s="416" t="s">
        <v>0</v>
      </c>
      <c r="AN70" s="417">
        <v>0.14179799082621383</v>
      </c>
      <c r="AO70" s="418">
        <v>0.13233091861973695</v>
      </c>
      <c r="AP70" s="418">
        <v>0.1243942655455476</v>
      </c>
      <c r="AQ70" s="418">
        <v>0.11520116989470815</v>
      </c>
      <c r="AR70" s="418">
        <v>0.10916922641255304</v>
      </c>
      <c r="AS70" s="418">
        <v>0.10360047909410217</v>
      </c>
      <c r="AT70" s="418">
        <v>9.6075954155486074E-2</v>
      </c>
      <c r="AU70" s="418">
        <v>8.9845004617069596E-2</v>
      </c>
      <c r="AV70" s="418">
        <v>8.1880626480782523E-2</v>
      </c>
      <c r="AW70" s="418">
        <v>7.4763169275450445E-2</v>
      </c>
      <c r="AX70" s="418">
        <v>6.9245757013342041E-2</v>
      </c>
      <c r="AY70" s="418">
        <v>6.2578770300411937E-2</v>
      </c>
      <c r="AZ70" s="418">
        <v>5.6082941838110772E-2</v>
      </c>
      <c r="BA70" s="418">
        <v>5.0575807917931599E-2</v>
      </c>
      <c r="BB70" s="418">
        <v>4.4966573648398643E-2</v>
      </c>
      <c r="BC70" s="418">
        <v>3.9620894965772896E-2</v>
      </c>
      <c r="BD70" s="418">
        <v>3.4756315073657965E-2</v>
      </c>
      <c r="BE70" s="418">
        <v>2.820966588995916E-2</v>
      </c>
      <c r="BF70" s="418">
        <v>2.1498020140681542E-2</v>
      </c>
      <c r="BG70" s="418">
        <v>1.4429740286368013E-2</v>
      </c>
      <c r="BH70" s="418">
        <v>1.0600000000692944E-2</v>
      </c>
      <c r="BI70" s="418">
        <v>1.0600000000692944E-2</v>
      </c>
      <c r="BJ70" s="418">
        <v>1.0600000000692944E-2</v>
      </c>
      <c r="BK70" s="418">
        <v>1.0600000000692944E-2</v>
      </c>
      <c r="BL70" s="418">
        <v>1.0600000000692944E-2</v>
      </c>
      <c r="BM70" s="418">
        <v>1.0600000000692944E-2</v>
      </c>
      <c r="BN70" s="418">
        <v>1.0600000000692944E-2</v>
      </c>
      <c r="BO70" s="418">
        <v>1.0600000000692944E-2</v>
      </c>
      <c r="BP70" s="418">
        <v>1.0600000000692944E-2</v>
      </c>
      <c r="BQ70" s="418">
        <v>1.0600000000692944E-2</v>
      </c>
      <c r="BR70" s="418">
        <v>1.0600000000692944E-2</v>
      </c>
      <c r="BS70" s="418">
        <v>1.0600000000692944E-2</v>
      </c>
      <c r="BT70" s="418">
        <v>1.0600000000692944E-2</v>
      </c>
      <c r="BU70" s="418">
        <v>1.0600000000692944E-2</v>
      </c>
      <c r="BV70" s="418">
        <v>1.0600000000692944E-2</v>
      </c>
      <c r="BW70" s="418">
        <v>1.0600000000692944E-2</v>
      </c>
      <c r="BX70" s="418">
        <v>1.0600000000692944E-2</v>
      </c>
      <c r="BY70" s="418">
        <v>1.0600000000692944E-2</v>
      </c>
      <c r="BZ70" s="418">
        <v>1.0600000000692944E-2</v>
      </c>
      <c r="CA70" s="418">
        <v>1.0600000000692944E-2</v>
      </c>
      <c r="CB70" s="418">
        <v>1.0600000000692944E-2</v>
      </c>
      <c r="CC70" s="418">
        <v>1.0600000000692944E-2</v>
      </c>
      <c r="CD70" s="418">
        <v>1.0600000000692944E-2</v>
      </c>
      <c r="CE70" s="418">
        <v>1.0600000000692944E-2</v>
      </c>
      <c r="CF70" s="418">
        <v>1.0600000000692944E-2</v>
      </c>
      <c r="CG70" s="418">
        <v>1.0600000000692944E-2</v>
      </c>
      <c r="CH70" s="418">
        <v>1.0600000000692944E-2</v>
      </c>
      <c r="CI70" s="418">
        <v>1.0600000000692944E-2</v>
      </c>
      <c r="CJ70" s="418">
        <v>1.0600000000692944E-2</v>
      </c>
      <c r="CK70" s="418">
        <v>1.0600000000692944E-2</v>
      </c>
      <c r="CL70" s="418">
        <v>1.0600000000692944E-2</v>
      </c>
      <c r="CM70" s="418">
        <v>1.0600000000692944E-2</v>
      </c>
      <c r="CN70" s="418">
        <v>1.0600000000692944E-2</v>
      </c>
      <c r="CO70" s="418">
        <v>1.0600000000692944E-2</v>
      </c>
      <c r="CP70" s="418">
        <v>1.0600000000692944E-2</v>
      </c>
      <c r="CQ70" s="418">
        <v>1.0600000000692944E-2</v>
      </c>
      <c r="CR70" s="418">
        <v>1.0600000000692944E-2</v>
      </c>
      <c r="CS70" s="418">
        <v>1.0600000000692944E-2</v>
      </c>
      <c r="CT70" s="418">
        <v>1.0600000000692944E-2</v>
      </c>
      <c r="CU70" s="418">
        <v>1.0600000000692944E-2</v>
      </c>
      <c r="CV70" s="418">
        <v>1.0600000000692944E-2</v>
      </c>
      <c r="CW70" s="418">
        <v>1.0600000000692944E-2</v>
      </c>
      <c r="CX70" s="418">
        <v>1.0600000000692944E-2</v>
      </c>
      <c r="CY70" s="418">
        <v>1.0600000000692944E-2</v>
      </c>
      <c r="CZ70" s="418">
        <v>1.0600000000692944E-2</v>
      </c>
      <c r="DA70" s="418">
        <v>1.0600000000692944E-2</v>
      </c>
      <c r="DB70" s="418">
        <v>1.0600000000692944E-2</v>
      </c>
      <c r="DC70" s="418">
        <v>1.0600000000692944E-2</v>
      </c>
      <c r="DD70" s="418">
        <v>1.0600000000692944E-2</v>
      </c>
      <c r="DE70" s="418">
        <v>1.0600000000692944E-2</v>
      </c>
      <c r="DF70" s="418">
        <v>1.0600000000692944E-2</v>
      </c>
      <c r="DG70" s="418">
        <v>1.0600000000692944E-2</v>
      </c>
      <c r="DH70" s="418">
        <v>1.0600000000692944E-2</v>
      </c>
      <c r="DI70" s="418">
        <v>1.0600000000692944E-2</v>
      </c>
      <c r="DJ70" s="418">
        <v>1.0600000000692944E-2</v>
      </c>
      <c r="DK70" s="418">
        <v>1.0600000000692944E-2</v>
      </c>
      <c r="DL70" s="418">
        <v>1.0600000000692944E-2</v>
      </c>
      <c r="DM70" s="418">
        <v>1.0600000000692944E-2</v>
      </c>
      <c r="DN70" s="418">
        <v>1.0600000000692944E-2</v>
      </c>
      <c r="DO70" s="418">
        <v>1.0600000000692944E-2</v>
      </c>
      <c r="DP70" s="418">
        <v>1.0600000000692944E-2</v>
      </c>
      <c r="DQ70" s="418">
        <v>1.0600000000692944E-2</v>
      </c>
      <c r="DR70" s="418">
        <v>1.0600000000692944E-2</v>
      </c>
      <c r="DS70" s="418">
        <v>1.0600000000692944E-2</v>
      </c>
      <c r="DT70" s="418">
        <v>1.0600000000692944E-2</v>
      </c>
      <c r="DU70" s="418">
        <v>1.0600000000692946E-2</v>
      </c>
      <c r="DV70" s="418">
        <v>1.0600000000692944E-2</v>
      </c>
      <c r="DW70" s="418">
        <v>1.0600000000692944E-2</v>
      </c>
      <c r="DX70" s="418">
        <v>1.0600000000692944E-2</v>
      </c>
      <c r="DY70" s="418">
        <v>2.0342527715441542E-2</v>
      </c>
      <c r="DZ70" s="418">
        <v>3.8491607332567526E-2</v>
      </c>
      <c r="EA70" s="418">
        <v>5.3237428138748433E-2</v>
      </c>
      <c r="EB70" s="418">
        <v>6.9269217821103096E-2</v>
      </c>
      <c r="EC70" s="418">
        <v>6.9269217821103624E-2</v>
      </c>
      <c r="ED70" s="418">
        <v>6.9269217821102375E-2</v>
      </c>
      <c r="EE70" s="418">
        <v>6.9269217821102388E-2</v>
      </c>
      <c r="EF70" s="418">
        <v>6.9269217821102388E-2</v>
      </c>
      <c r="EG70" s="418">
        <v>6.9269217821102388E-2</v>
      </c>
      <c r="EH70" s="418">
        <v>8.8119859034992601E-2</v>
      </c>
      <c r="EI70" s="419">
        <v>8.8119859034992601E-2</v>
      </c>
      <c r="EJ70" s="444"/>
      <c r="EK70" s="367"/>
      <c r="EL70" s="367"/>
      <c r="EM70" s="367"/>
      <c r="EN70" s="367"/>
      <c r="EO70" s="367"/>
      <c r="EP70" s="367"/>
      <c r="EQ70" s="368"/>
    </row>
    <row r="71" spans="1:147" x14ac:dyDescent="0.2">
      <c r="A71" s="192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92"/>
      <c r="S71" s="266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  <c r="AG71" s="265"/>
      <c r="AH71" s="265"/>
      <c r="AI71" s="192"/>
      <c r="AJ71" s="192"/>
      <c r="AK71" s="369"/>
      <c r="AL71" s="367"/>
      <c r="AM71" s="420" t="s">
        <v>1</v>
      </c>
      <c r="AN71" s="421">
        <v>0.14281717257420082</v>
      </c>
      <c r="AO71" s="422">
        <v>0.15780247897662916</v>
      </c>
      <c r="AP71" s="422">
        <v>0.16837946421713493</v>
      </c>
      <c r="AQ71" s="422">
        <v>0.18296947154028828</v>
      </c>
      <c r="AR71" s="422">
        <v>0.18588038281768313</v>
      </c>
      <c r="AS71" s="422">
        <v>0.18291674137874794</v>
      </c>
      <c r="AT71" s="422">
        <v>0.18462294610046967</v>
      </c>
      <c r="AU71" s="422">
        <v>0.18262328926483604</v>
      </c>
      <c r="AV71" s="422">
        <v>0.18967170039496192</v>
      </c>
      <c r="AW71" s="422">
        <v>0.18970222293925848</v>
      </c>
      <c r="AX71" s="422">
        <v>0.18394699827780678</v>
      </c>
      <c r="AY71" s="422">
        <v>0.18121696748400726</v>
      </c>
      <c r="AZ71" s="422">
        <v>0.17961008275023765</v>
      </c>
      <c r="BA71" s="422">
        <v>0.17217689040571882</v>
      </c>
      <c r="BB71" s="422">
        <v>0.16524230475780763</v>
      </c>
      <c r="BC71" s="422">
        <v>0.15796376117339797</v>
      </c>
      <c r="BD71" s="422">
        <v>0.14990451288418419</v>
      </c>
      <c r="BE71" s="422">
        <v>0.1489</v>
      </c>
      <c r="BF71" s="422">
        <v>0.1489</v>
      </c>
      <c r="BG71" s="422">
        <v>0.1489</v>
      </c>
      <c r="BH71" s="422">
        <v>0.1489</v>
      </c>
      <c r="BI71" s="422">
        <v>0.1489</v>
      </c>
      <c r="BJ71" s="422">
        <v>0.14305623677564808</v>
      </c>
      <c r="BK71" s="422">
        <v>0.13513324625607129</v>
      </c>
      <c r="BL71" s="422">
        <v>0.13259185093244533</v>
      </c>
      <c r="BM71" s="422">
        <v>0.12586939131475569</v>
      </c>
      <c r="BN71" s="422">
        <v>0.12093510804878724</v>
      </c>
      <c r="BO71" s="422">
        <v>0.11920227685363484</v>
      </c>
      <c r="BP71" s="422">
        <v>0.11058004268931611</v>
      </c>
      <c r="BQ71" s="422">
        <v>0.10304427877917738</v>
      </c>
      <c r="BR71" s="422">
        <v>9.3819010322202884E-2</v>
      </c>
      <c r="BS71" s="422">
        <v>8.813678442730008E-2</v>
      </c>
      <c r="BT71" s="422">
        <v>8.0613544610478274E-2</v>
      </c>
      <c r="BU71" s="422">
        <v>7.4028884156371974E-2</v>
      </c>
      <c r="BV71" s="422">
        <v>6.8402321161202387E-2</v>
      </c>
      <c r="BW71" s="422">
        <v>6.6407680922749027E-2</v>
      </c>
      <c r="BX71" s="422">
        <v>6.2117939192556558E-2</v>
      </c>
      <c r="BY71" s="422">
        <v>5.6950903357028362E-2</v>
      </c>
      <c r="BZ71" s="422">
        <v>4.9559571548829062E-2</v>
      </c>
      <c r="CA71" s="422">
        <v>4.3468166446573656E-2</v>
      </c>
      <c r="CB71" s="422">
        <v>3.9297444328260753E-2</v>
      </c>
      <c r="CC71" s="422">
        <v>3.050399717404469E-2</v>
      </c>
      <c r="CD71" s="422">
        <v>2.1339584689317393E-2</v>
      </c>
      <c r="CE71" s="422">
        <v>1.9183722278163048E-2</v>
      </c>
      <c r="CF71" s="422">
        <v>7.1406501299442933E-3</v>
      </c>
      <c r="CG71" s="422">
        <v>-6.9817018746737887E-22</v>
      </c>
      <c r="CH71" s="422">
        <v>-8.8048188015848808E-20</v>
      </c>
      <c r="CI71" s="422">
        <v>-3.8997456160347339E-19</v>
      </c>
      <c r="CJ71" s="422">
        <v>2.0634686859124451E-21</v>
      </c>
      <c r="CK71" s="422">
        <v>-5.3005115309241345E-23</v>
      </c>
      <c r="CL71" s="422">
        <v>1.3700186009970966E-21</v>
      </c>
      <c r="CM71" s="422">
        <v>2.2630680555682977E-22</v>
      </c>
      <c r="CN71" s="422">
        <v>-3.1631044729264502E-25</v>
      </c>
      <c r="CO71" s="422">
        <v>2.1322646884313337E-17</v>
      </c>
      <c r="CP71" s="422">
        <v>-6.8023658629520325E-19</v>
      </c>
      <c r="CQ71" s="422">
        <v>1.7302825469448144E-17</v>
      </c>
      <c r="CR71" s="422">
        <v>-4.901908480501911E-23</v>
      </c>
      <c r="CS71" s="422">
        <v>6.2549912117183347E-17</v>
      </c>
      <c r="CT71" s="422">
        <v>-4.1609920684491866E-23</v>
      </c>
      <c r="CU71" s="422">
        <v>7.6555180408900148E-24</v>
      </c>
      <c r="CV71" s="422">
        <v>4.7034427638714298E-23</v>
      </c>
      <c r="CW71" s="422">
        <v>4.0400786280723451E-23</v>
      </c>
      <c r="CX71" s="422">
        <v>6.3764882899125083E-23</v>
      </c>
      <c r="CY71" s="422">
        <v>4.4287874982559374E-22</v>
      </c>
      <c r="CZ71" s="422">
        <v>-1.478940852660042E-25</v>
      </c>
      <c r="DA71" s="422">
        <v>2.9097993582393392E-22</v>
      </c>
      <c r="DB71" s="422">
        <v>-5.3851102301814645E-22</v>
      </c>
      <c r="DC71" s="422">
        <v>1.1719961620975902E-21</v>
      </c>
      <c r="DD71" s="422">
        <v>2.3903375513268549E-23</v>
      </c>
      <c r="DE71" s="422">
        <v>-2.3806564633655045E-21</v>
      </c>
      <c r="DF71" s="422">
        <v>-1.6322020177007881E-22</v>
      </c>
      <c r="DG71" s="422">
        <v>1.5827116766409039E-22</v>
      </c>
      <c r="DH71" s="422">
        <v>7.6481659645355484E-22</v>
      </c>
      <c r="DI71" s="422">
        <v>5.5132699797225787E-24</v>
      </c>
      <c r="DJ71" s="422">
        <v>-5.8895718960283557E-19</v>
      </c>
      <c r="DK71" s="422">
        <v>-1.2848009701927069E-21</v>
      </c>
      <c r="DL71" s="422">
        <v>-2.837790681044361E-17</v>
      </c>
      <c r="DM71" s="422">
        <v>1.9753105651716099E-22</v>
      </c>
      <c r="DN71" s="422">
        <v>6.4053524806086911E-25</v>
      </c>
      <c r="DO71" s="422">
        <v>-5.2756361083810829E-21</v>
      </c>
      <c r="DP71" s="422">
        <v>-6.793758059372407E-18</v>
      </c>
      <c r="DQ71" s="422">
        <v>2.5513195598405394E-18</v>
      </c>
      <c r="DR71" s="422">
        <v>8.036444271633809E-21</v>
      </c>
      <c r="DS71" s="422">
        <v>2.9555172932450148E-23</v>
      </c>
      <c r="DT71" s="422">
        <v>4.8861079600444968E-18</v>
      </c>
      <c r="DU71" s="422">
        <v>1.3420997983375873E-19</v>
      </c>
      <c r="DV71" s="422">
        <v>-1.1297310508174246E-20</v>
      </c>
      <c r="DW71" s="422">
        <v>1.2828618600672668E-19</v>
      </c>
      <c r="DX71" s="422">
        <v>2.2037588818801382E-18</v>
      </c>
      <c r="DY71" s="422">
        <v>6.2180292029226989E-21</v>
      </c>
      <c r="DZ71" s="422">
        <v>1.4844753296459681E-17</v>
      </c>
      <c r="EA71" s="422">
        <v>-2.6875627261348494E-18</v>
      </c>
      <c r="EB71" s="422">
        <v>-9.0253937495986651E-17</v>
      </c>
      <c r="EC71" s="422">
        <v>1.9473557286277119E-16</v>
      </c>
      <c r="ED71" s="422">
        <v>-1.5470799081664485E-21</v>
      </c>
      <c r="EE71" s="422">
        <v>-9.9355876973774567E-20</v>
      </c>
      <c r="EF71" s="422">
        <v>-1.3627361800967982E-19</v>
      </c>
      <c r="EG71" s="422">
        <v>-3.0839620385645248E-19</v>
      </c>
      <c r="EH71" s="422">
        <v>2.7779003531993484E-4</v>
      </c>
      <c r="EI71" s="423">
        <v>2.7779003531993484E-4</v>
      </c>
      <c r="EJ71" s="444"/>
      <c r="EK71" s="367"/>
      <c r="EL71" s="367"/>
      <c r="EM71" s="367"/>
      <c r="EN71" s="367"/>
      <c r="EO71" s="367"/>
      <c r="EP71" s="367"/>
      <c r="EQ71" s="368"/>
    </row>
    <row r="72" spans="1:147" x14ac:dyDescent="0.2">
      <c r="A72" s="192"/>
      <c r="B72" s="192"/>
      <c r="C72" s="192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266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192"/>
      <c r="AJ72" s="192"/>
      <c r="AK72" s="369"/>
      <c r="AL72" s="367"/>
      <c r="AM72" s="420" t="s">
        <v>2</v>
      </c>
      <c r="AN72" s="421">
        <v>3.0784825851865334E-2</v>
      </c>
      <c r="AO72" s="422">
        <v>2.5266591655913873E-2</v>
      </c>
      <c r="AP72" s="422">
        <v>2.2626269675604268E-2</v>
      </c>
      <c r="AQ72" s="422">
        <v>1.7229354859737544E-2</v>
      </c>
      <c r="AR72" s="422">
        <v>1.3553543860721343E-2</v>
      </c>
      <c r="AS72" s="422">
        <v>1.090204544441831E-2</v>
      </c>
      <c r="AT72" s="422">
        <v>9.2843690861641893E-3</v>
      </c>
      <c r="AU72" s="422">
        <v>8.157356091828839E-3</v>
      </c>
      <c r="AV72" s="422">
        <v>4.1186325413344136E-3</v>
      </c>
      <c r="AW72" s="422">
        <v>2.6116456650689341E-3</v>
      </c>
      <c r="AX72" s="422">
        <v>1.255939940127104E-3</v>
      </c>
      <c r="AY72" s="422">
        <v>7.6689551756203053E-4</v>
      </c>
      <c r="AZ72" s="422">
        <v>1.1010087706456779E-21</v>
      </c>
      <c r="BA72" s="422">
        <v>1.0040121188175563E-22</v>
      </c>
      <c r="BB72" s="422">
        <v>2.234532288937327E-24</v>
      </c>
      <c r="BC72" s="422">
        <v>2.3010062150029278E-21</v>
      </c>
      <c r="BD72" s="422">
        <v>2.86962417291929E-23</v>
      </c>
      <c r="BE72" s="422">
        <v>-1.0906235223650625E-23</v>
      </c>
      <c r="BF72" s="422">
        <v>-7.3012698455365279E-22</v>
      </c>
      <c r="BG72" s="422">
        <v>-1.3571127046203599E-22</v>
      </c>
      <c r="BH72" s="422">
        <v>-1.3913543626540552E-22</v>
      </c>
      <c r="BI72" s="422">
        <v>-8.1294764493774109E-22</v>
      </c>
      <c r="BJ72" s="422">
        <v>5.8437632243519277E-3</v>
      </c>
      <c r="BK72" s="422">
        <v>1.3766753743928724E-2</v>
      </c>
      <c r="BL72" s="422">
        <v>1.6308149067554668E-2</v>
      </c>
      <c r="BM72" s="422">
        <v>2.3030608685244296E-2</v>
      </c>
      <c r="BN72" s="422">
        <v>2.7964891951212777E-2</v>
      </c>
      <c r="BO72" s="422">
        <v>2.9697723146365162E-2</v>
      </c>
      <c r="BP72" s="422">
        <v>3.8319957310683911E-2</v>
      </c>
      <c r="BQ72" s="422">
        <v>4.5855721220822626E-2</v>
      </c>
      <c r="BR72" s="422">
        <v>5.5080989677797121E-2</v>
      </c>
      <c r="BS72" s="422">
        <v>6.0763215572699925E-2</v>
      </c>
      <c r="BT72" s="422">
        <v>6.828645538952173E-2</v>
      </c>
      <c r="BU72" s="422">
        <v>7.4871115843628031E-2</v>
      </c>
      <c r="BV72" s="422">
        <v>8.0497678838797618E-2</v>
      </c>
      <c r="BW72" s="422">
        <v>8.2492319077250978E-2</v>
      </c>
      <c r="BX72" s="422">
        <v>8.678206080744344E-2</v>
      </c>
      <c r="BY72" s="422">
        <v>9.1949096642971656E-2</v>
      </c>
      <c r="BZ72" s="422">
        <v>9.9340428451170928E-2</v>
      </c>
      <c r="CA72" s="422">
        <v>0.10543183355342635</v>
      </c>
      <c r="CB72" s="422">
        <v>0.10960255567173925</v>
      </c>
      <c r="CC72" s="422">
        <v>0.1183960028259553</v>
      </c>
      <c r="CD72" s="422">
        <v>0.1275604153106826</v>
      </c>
      <c r="CE72" s="422">
        <v>0.12971627772183697</v>
      </c>
      <c r="CF72" s="422">
        <v>0.14175934987005567</v>
      </c>
      <c r="CG72" s="422">
        <v>0.1489</v>
      </c>
      <c r="CH72" s="422">
        <v>0.1489</v>
      </c>
      <c r="CI72" s="422">
        <v>0.1489</v>
      </c>
      <c r="CJ72" s="422">
        <v>0.1489</v>
      </c>
      <c r="CK72" s="422">
        <v>0.1489</v>
      </c>
      <c r="CL72" s="422">
        <v>0.1489</v>
      </c>
      <c r="CM72" s="422">
        <v>0.1489</v>
      </c>
      <c r="CN72" s="422">
        <v>0.1489</v>
      </c>
      <c r="CO72" s="422">
        <v>0.14890000000000023</v>
      </c>
      <c r="CP72" s="422">
        <v>0.14890000000000023</v>
      </c>
      <c r="CQ72" s="422">
        <v>0.14890000000000014</v>
      </c>
      <c r="CR72" s="422">
        <v>0.1489</v>
      </c>
      <c r="CS72" s="422">
        <v>0.14890000000000037</v>
      </c>
      <c r="CT72" s="422">
        <v>0.1489</v>
      </c>
      <c r="CU72" s="422">
        <v>0.1489</v>
      </c>
      <c r="CV72" s="422">
        <v>0.1489</v>
      </c>
      <c r="CW72" s="422">
        <v>0.1489</v>
      </c>
      <c r="CX72" s="422">
        <v>0.1489</v>
      </c>
      <c r="CY72" s="422">
        <v>0.1489</v>
      </c>
      <c r="CZ72" s="422">
        <v>0.1489</v>
      </c>
      <c r="DA72" s="422">
        <v>0.1489</v>
      </c>
      <c r="DB72" s="422">
        <v>0.1489</v>
      </c>
      <c r="DC72" s="422">
        <v>0.1489</v>
      </c>
      <c r="DD72" s="422">
        <v>0.1489</v>
      </c>
      <c r="DE72" s="422">
        <v>0.1489</v>
      </c>
      <c r="DF72" s="422">
        <v>0.1489</v>
      </c>
      <c r="DG72" s="422">
        <v>0.1489</v>
      </c>
      <c r="DH72" s="422">
        <v>0.1489</v>
      </c>
      <c r="DI72" s="422">
        <v>0.1489</v>
      </c>
      <c r="DJ72" s="422">
        <v>0.14890000000000031</v>
      </c>
      <c r="DK72" s="422">
        <v>0.1489</v>
      </c>
      <c r="DL72" s="422">
        <v>0.14890000000000034</v>
      </c>
      <c r="DM72" s="422">
        <v>0.1489</v>
      </c>
      <c r="DN72" s="422">
        <v>0.1489</v>
      </c>
      <c r="DO72" s="422">
        <v>0.1489</v>
      </c>
      <c r="DP72" s="422">
        <v>0.14890000000000014</v>
      </c>
      <c r="DQ72" s="422">
        <v>0.1489</v>
      </c>
      <c r="DR72" s="422">
        <v>0.1489</v>
      </c>
      <c r="DS72" s="422">
        <v>0.1489</v>
      </c>
      <c r="DT72" s="422">
        <v>0.14890000000000045</v>
      </c>
      <c r="DU72" s="422">
        <v>0.1489</v>
      </c>
      <c r="DV72" s="422">
        <v>0.1489</v>
      </c>
      <c r="DW72" s="422">
        <v>0.1489</v>
      </c>
      <c r="DX72" s="422">
        <v>0.1489</v>
      </c>
      <c r="DY72" s="422">
        <v>0.1489</v>
      </c>
      <c r="DZ72" s="422">
        <v>0.14890000000000028</v>
      </c>
      <c r="EA72" s="422">
        <v>0.14890000000000017</v>
      </c>
      <c r="EB72" s="422">
        <v>0.14890000000000031</v>
      </c>
      <c r="EC72" s="422">
        <v>0.1489</v>
      </c>
      <c r="ED72" s="422">
        <v>0.1489</v>
      </c>
      <c r="EE72" s="422">
        <v>0.1489</v>
      </c>
      <c r="EF72" s="422">
        <v>0.1489</v>
      </c>
      <c r="EG72" s="422">
        <v>0.1489</v>
      </c>
      <c r="EH72" s="422">
        <v>0.14864874896245098</v>
      </c>
      <c r="EI72" s="423">
        <v>0.14864874896245098</v>
      </c>
      <c r="EJ72" s="444"/>
      <c r="EK72" s="367"/>
      <c r="EL72" s="367"/>
      <c r="EM72" s="367"/>
      <c r="EN72" s="367"/>
      <c r="EO72" s="367"/>
      <c r="EP72" s="367"/>
      <c r="EQ72" s="368"/>
    </row>
    <row r="73" spans="1:147" x14ac:dyDescent="0.2">
      <c r="A73" s="192"/>
      <c r="B73" s="192"/>
      <c r="C73" s="192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266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192"/>
      <c r="AJ73" s="192"/>
      <c r="AK73" s="369"/>
      <c r="AL73" s="367"/>
      <c r="AM73" s="420" t="s">
        <v>3</v>
      </c>
      <c r="AN73" s="421">
        <v>3.0138280997378729E-23</v>
      </c>
      <c r="AO73" s="422">
        <v>0</v>
      </c>
      <c r="AP73" s="422">
        <v>4.5539176970777308E-24</v>
      </c>
      <c r="AQ73" s="422">
        <v>5.0720402427579543E-23</v>
      </c>
      <c r="AR73" s="422">
        <v>6.7968361599298347E-3</v>
      </c>
      <c r="AS73" s="422">
        <v>1.7980730106180287E-2</v>
      </c>
      <c r="AT73" s="422">
        <v>2.5416719007541399E-2</v>
      </c>
      <c r="AU73" s="422">
        <v>3.4774338738447715E-2</v>
      </c>
      <c r="AV73" s="422">
        <v>3.9729036606369832E-2</v>
      </c>
      <c r="AW73" s="422">
        <v>4.8322945630134728E-2</v>
      </c>
      <c r="AX73" s="422">
        <v>6.09513007921728E-2</v>
      </c>
      <c r="AY73" s="422">
        <v>7.083736642673355E-2</v>
      </c>
      <c r="AZ73" s="422">
        <v>7.9706975140366357E-2</v>
      </c>
      <c r="BA73" s="422">
        <v>9.26473014050644E-2</v>
      </c>
      <c r="BB73" s="422">
        <v>0.10519112132250852</v>
      </c>
      <c r="BC73" s="422">
        <v>0.11781534358954392</v>
      </c>
      <c r="BD73" s="422">
        <v>0.13073917177087263</v>
      </c>
      <c r="BE73" s="422">
        <v>0.13829032245970216</v>
      </c>
      <c r="BF73" s="422">
        <v>0.14500197958803326</v>
      </c>
      <c r="BG73" s="422">
        <v>0.15207025944234676</v>
      </c>
      <c r="BH73" s="422">
        <v>0.15589999972802182</v>
      </c>
      <c r="BI73" s="422">
        <v>0.15589998835036104</v>
      </c>
      <c r="BJ73" s="422">
        <v>0.15424076551663984</v>
      </c>
      <c r="BK73" s="422">
        <v>0.15186345533788073</v>
      </c>
      <c r="BL73" s="422">
        <v>0.1487888037578996</v>
      </c>
      <c r="BM73" s="422">
        <v>0.14536716488061158</v>
      </c>
      <c r="BN73" s="422">
        <v>0.14215720194539924</v>
      </c>
      <c r="BO73" s="422">
        <v>0.1381585771798941</v>
      </c>
      <c r="BP73" s="422">
        <v>0.13621126451632914</v>
      </c>
      <c r="BQ73" s="422">
        <v>0.13392181605878795</v>
      </c>
      <c r="BR73" s="422">
        <v>0.1315636180454057</v>
      </c>
      <c r="BS73" s="422">
        <v>0.12813225125833383</v>
      </c>
      <c r="BT73" s="422">
        <v>0.1262836502887795</v>
      </c>
      <c r="BU73" s="422">
        <v>0.12486016600215258</v>
      </c>
      <c r="BV73" s="422">
        <v>0.12503750090274382</v>
      </c>
      <c r="BW73" s="422">
        <v>0.12496325631900151</v>
      </c>
      <c r="BX73" s="422">
        <v>0.12516359898263102</v>
      </c>
      <c r="BY73" s="422">
        <v>0.12550241769029397</v>
      </c>
      <c r="BZ73" s="422">
        <v>0.12623423607310838</v>
      </c>
      <c r="CA73" s="422">
        <v>0.12461312016897215</v>
      </c>
      <c r="CB73" s="422">
        <v>0.12182877918216677</v>
      </c>
      <c r="CC73" s="422">
        <v>0.11932774797423412</v>
      </c>
      <c r="CD73" s="422">
        <v>0.11796854133649402</v>
      </c>
      <c r="CE73" s="422">
        <v>0.11673259750568266</v>
      </c>
      <c r="CF73" s="422">
        <v>0.11446921754912424</v>
      </c>
      <c r="CG73" s="422">
        <v>0.11446921754912423</v>
      </c>
      <c r="CH73" s="422">
        <v>0.10386633503340922</v>
      </c>
      <c r="CI73" s="422">
        <v>8.8032317134299265E-2</v>
      </c>
      <c r="CJ73" s="422">
        <v>7.2382830956920816E-2</v>
      </c>
      <c r="CK73" s="422">
        <v>6.0247751976164658E-2</v>
      </c>
      <c r="CL73" s="422">
        <v>5.8669217820409465E-2</v>
      </c>
      <c r="CM73" s="422">
        <v>5.8669217820409458E-2</v>
      </c>
      <c r="CN73" s="422">
        <v>5.8669217820409444E-2</v>
      </c>
      <c r="CO73" s="422">
        <v>5.8669217820409819E-2</v>
      </c>
      <c r="CP73" s="422">
        <v>5.8669217820409181E-2</v>
      </c>
      <c r="CQ73" s="422">
        <v>5.8669217820409354E-2</v>
      </c>
      <c r="CR73" s="422">
        <v>5.8669212038240048E-2</v>
      </c>
      <c r="CS73" s="422">
        <v>5.866921782040934E-2</v>
      </c>
      <c r="CT73" s="422">
        <v>5.8669212038240041E-2</v>
      </c>
      <c r="CU73" s="422">
        <v>5.8669212038240048E-2</v>
      </c>
      <c r="CV73" s="422">
        <v>5.8669212038240021E-2</v>
      </c>
      <c r="CW73" s="422">
        <v>5.8669212038240048E-2</v>
      </c>
      <c r="CX73" s="422">
        <v>5.8669212038240021E-2</v>
      </c>
      <c r="CY73" s="422">
        <v>5.8669217820409458E-2</v>
      </c>
      <c r="CZ73" s="422">
        <v>5.8669212038240048E-2</v>
      </c>
      <c r="DA73" s="422">
        <v>5.8669212038240035E-2</v>
      </c>
      <c r="DB73" s="422">
        <v>5.8669212038240028E-2</v>
      </c>
      <c r="DC73" s="422">
        <v>5.8669212038240055E-2</v>
      </c>
      <c r="DD73" s="422">
        <v>5.8669212038240007E-2</v>
      </c>
      <c r="DE73" s="422">
        <v>5.8669212038240048E-2</v>
      </c>
      <c r="DF73" s="422">
        <v>5.8669212038240035E-2</v>
      </c>
      <c r="DG73" s="422">
        <v>5.8669212038240007E-2</v>
      </c>
      <c r="DH73" s="422">
        <v>5.8669212038240028E-2</v>
      </c>
      <c r="DI73" s="422">
        <v>5.8669212038240028E-2</v>
      </c>
      <c r="DJ73" s="422">
        <v>5.8669217820409243E-2</v>
      </c>
      <c r="DK73" s="422">
        <v>5.8669217820409444E-2</v>
      </c>
      <c r="DL73" s="422">
        <v>5.8669212038240194E-2</v>
      </c>
      <c r="DM73" s="422">
        <v>5.8669217820409458E-2</v>
      </c>
      <c r="DN73" s="422">
        <v>5.8669217820409424E-2</v>
      </c>
      <c r="DO73" s="422">
        <v>5.8669217820409417E-2</v>
      </c>
      <c r="DP73" s="422">
        <v>5.8669212038240194E-2</v>
      </c>
      <c r="DQ73" s="422">
        <v>5.8669217820409472E-2</v>
      </c>
      <c r="DR73" s="422">
        <v>5.8669217820409417E-2</v>
      </c>
      <c r="DS73" s="422">
        <v>5.8669217820409431E-2</v>
      </c>
      <c r="DT73" s="422">
        <v>5.8669212038240166E-2</v>
      </c>
      <c r="DU73" s="422">
        <v>5.8669217820409451E-2</v>
      </c>
      <c r="DV73" s="422">
        <v>5.8669217820409451E-2</v>
      </c>
      <c r="DW73" s="422">
        <v>5.8669217820409438E-2</v>
      </c>
      <c r="DX73" s="422">
        <v>5.8669217820409403E-2</v>
      </c>
      <c r="DY73" s="422">
        <v>4.8926690105660822E-2</v>
      </c>
      <c r="DZ73" s="422">
        <v>3.0777610488534838E-2</v>
      </c>
      <c r="EA73" s="422">
        <v>1.6031789682354792E-2</v>
      </c>
      <c r="EB73" s="422">
        <v>0</v>
      </c>
      <c r="EC73" s="422">
        <v>0</v>
      </c>
      <c r="ED73" s="422">
        <v>4.0082521227191331E-20</v>
      </c>
      <c r="EE73" s="422">
        <v>8.2024421362039822E-20</v>
      </c>
      <c r="EF73" s="422">
        <v>1.1250231121772194E-19</v>
      </c>
      <c r="EG73" s="422">
        <v>7.7242507134447738E-20</v>
      </c>
      <c r="EH73" s="422">
        <v>1.1696654194860666E-4</v>
      </c>
      <c r="EI73" s="423">
        <v>1.1696654194860666E-4</v>
      </c>
      <c r="EJ73" s="444"/>
      <c r="EK73" s="367"/>
      <c r="EL73" s="367"/>
      <c r="EM73" s="367"/>
      <c r="EN73" s="367"/>
      <c r="EO73" s="367"/>
      <c r="EP73" s="367"/>
      <c r="EQ73" s="368"/>
    </row>
    <row r="74" spans="1:147" x14ac:dyDescent="0.2">
      <c r="A74" s="192"/>
      <c r="B74" s="192"/>
      <c r="C74" s="192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192"/>
      <c r="O74" s="192"/>
      <c r="P74" s="192"/>
      <c r="Q74" s="192"/>
      <c r="R74" s="192"/>
      <c r="S74" s="266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  <c r="AG74" s="265"/>
      <c r="AH74" s="265"/>
      <c r="AI74" s="192"/>
      <c r="AJ74" s="192"/>
      <c r="AK74" s="369"/>
      <c r="AL74" s="367"/>
      <c r="AM74" s="420" t="s">
        <v>4</v>
      </c>
      <c r="AN74" s="421">
        <v>2.71285216513605E-10</v>
      </c>
      <c r="AO74" s="422">
        <v>2.7128521651321731E-10</v>
      </c>
      <c r="AP74" s="422">
        <v>2.7128521651320625E-10</v>
      </c>
      <c r="AQ74" s="422">
        <v>2.7128521651320625E-10</v>
      </c>
      <c r="AR74" s="422">
        <v>2.712852165170102E-10</v>
      </c>
      <c r="AS74" s="422">
        <v>2.7128521651320625E-10</v>
      </c>
      <c r="AT74" s="422">
        <v>2.7128521655558566E-10</v>
      </c>
      <c r="AU74" s="422">
        <v>2.7128521652774876E-10</v>
      </c>
      <c r="AV74" s="422">
        <v>2.7128521651332904E-10</v>
      </c>
      <c r="AW74" s="422">
        <v>2.7128521651325702E-10</v>
      </c>
      <c r="AX74" s="422">
        <v>2.7128521654325746E-10</v>
      </c>
      <c r="AY74" s="422">
        <v>2.7128521651337846E-10</v>
      </c>
      <c r="AZ74" s="422">
        <v>2.7128521651322977E-10</v>
      </c>
      <c r="BA74" s="422">
        <v>2.7128521651329057E-10</v>
      </c>
      <c r="BB74" s="422">
        <v>2.7128521651461375E-10</v>
      </c>
      <c r="BC74" s="422">
        <v>2.7128521652363095E-10</v>
      </c>
      <c r="BD74" s="422">
        <v>2.7128521651346681E-10</v>
      </c>
      <c r="BE74" s="422">
        <v>2.7128521651320625E-10</v>
      </c>
      <c r="BF74" s="422">
        <v>2.712852165133494E-10</v>
      </c>
      <c r="BG74" s="422">
        <v>2.7128521651345973E-10</v>
      </c>
      <c r="BH74" s="422">
        <v>2.7128521651320625E-10</v>
      </c>
      <c r="BI74" s="422">
        <v>2.7128521651395164E-10</v>
      </c>
      <c r="BJ74" s="422">
        <v>2.7128521651320625E-10</v>
      </c>
      <c r="BK74" s="422">
        <v>2.7128521651337412E-10</v>
      </c>
      <c r="BL74" s="422">
        <v>2.7128521651481408E-10</v>
      </c>
      <c r="BM74" s="422">
        <v>2.7128521651461344E-10</v>
      </c>
      <c r="BN74" s="422">
        <v>2.7128521651320625E-10</v>
      </c>
      <c r="BO74" s="422">
        <v>2.7128521651345089E-10</v>
      </c>
      <c r="BP74" s="422">
        <v>2.7128521651351737E-10</v>
      </c>
      <c r="BQ74" s="422">
        <v>2.7128521651320625E-10</v>
      </c>
      <c r="BR74" s="422">
        <v>2.7128521651329564E-10</v>
      </c>
      <c r="BS74" s="422">
        <v>2.7128521651335023E-10</v>
      </c>
      <c r="BT74" s="422">
        <v>2.7128521651326695E-10</v>
      </c>
      <c r="BU74" s="422">
        <v>2.7128521651334682E-10</v>
      </c>
      <c r="BV74" s="422">
        <v>2.7128521651336254E-10</v>
      </c>
      <c r="BW74" s="422">
        <v>2.7128521651364192E-10</v>
      </c>
      <c r="BX74" s="422">
        <v>2.7128521651574456E-10</v>
      </c>
      <c r="BY74" s="422">
        <v>2.7128521659894973E-10</v>
      </c>
      <c r="BZ74" s="422">
        <v>2.7128521651349669E-10</v>
      </c>
      <c r="CA74" s="422">
        <v>2.7128521651347932E-10</v>
      </c>
      <c r="CB74" s="422">
        <v>2.7128521651340607E-10</v>
      </c>
      <c r="CC74" s="422">
        <v>2.7128521651326927E-10</v>
      </c>
      <c r="CD74" s="422">
        <v>2.7128521651321178E-10</v>
      </c>
      <c r="CE74" s="422">
        <v>2.7128521651387327E-10</v>
      </c>
      <c r="CF74" s="422">
        <v>2.7128521651321985E-10</v>
      </c>
      <c r="CG74" s="422">
        <v>2.7128521651329957E-10</v>
      </c>
      <c r="CH74" s="422">
        <v>1.0602882787000221E-2</v>
      </c>
      <c r="CI74" s="422">
        <v>2.6436900686110206E-2</v>
      </c>
      <c r="CJ74" s="422">
        <v>4.2086386863488631E-2</v>
      </c>
      <c r="CK74" s="422">
        <v>5.4221465844244796E-2</v>
      </c>
      <c r="CL74" s="422">
        <v>5.5800000000000002E-2</v>
      </c>
      <c r="CM74" s="422">
        <v>5.5800000000000002E-2</v>
      </c>
      <c r="CN74" s="422">
        <v>5.5800000000000002E-2</v>
      </c>
      <c r="CO74" s="422">
        <v>5.5799999999999975E-2</v>
      </c>
      <c r="CP74" s="422">
        <v>5.5800000000000058E-2</v>
      </c>
      <c r="CQ74" s="422">
        <v>5.5799999999999988E-2</v>
      </c>
      <c r="CR74" s="422">
        <v>5.5800000000000002E-2</v>
      </c>
      <c r="CS74" s="422">
        <v>5.5800000000000016E-2</v>
      </c>
      <c r="CT74" s="422">
        <v>5.5800000000000002E-2</v>
      </c>
      <c r="CU74" s="422">
        <v>5.5800000000000002E-2</v>
      </c>
      <c r="CV74" s="422">
        <v>5.5800000000000002E-2</v>
      </c>
      <c r="CW74" s="422">
        <v>5.5800000000000002E-2</v>
      </c>
      <c r="CX74" s="422">
        <v>5.5800000000000002E-2</v>
      </c>
      <c r="CY74" s="422">
        <v>5.5800000000000002E-2</v>
      </c>
      <c r="CZ74" s="422">
        <v>5.5800000000000002E-2</v>
      </c>
      <c r="DA74" s="422">
        <v>5.5800000000000002E-2</v>
      </c>
      <c r="DB74" s="422">
        <v>5.5800000000000002E-2</v>
      </c>
      <c r="DC74" s="422">
        <v>5.5800000000000002E-2</v>
      </c>
      <c r="DD74" s="422">
        <v>5.5800000000000002E-2</v>
      </c>
      <c r="DE74" s="422">
        <v>5.5800000000000002E-2</v>
      </c>
      <c r="DF74" s="422">
        <v>5.5800000000000002E-2</v>
      </c>
      <c r="DG74" s="422">
        <v>5.5800000000000002E-2</v>
      </c>
      <c r="DH74" s="422">
        <v>5.5800000000000002E-2</v>
      </c>
      <c r="DI74" s="422">
        <v>5.5800000000000002E-2</v>
      </c>
      <c r="DJ74" s="422">
        <v>5.5800000000000016E-2</v>
      </c>
      <c r="DK74" s="422">
        <v>5.5800000000000002E-2</v>
      </c>
      <c r="DL74" s="422">
        <v>5.5799999999999864E-2</v>
      </c>
      <c r="DM74" s="422">
        <v>5.5800000000000002E-2</v>
      </c>
      <c r="DN74" s="422">
        <v>5.5800000000000002E-2</v>
      </c>
      <c r="DO74" s="422">
        <v>5.5800000000000002E-2</v>
      </c>
      <c r="DP74" s="422">
        <v>5.5799999999999982E-2</v>
      </c>
      <c r="DQ74" s="422">
        <v>5.5800000000000002E-2</v>
      </c>
      <c r="DR74" s="422">
        <v>5.5800000000000002E-2</v>
      </c>
      <c r="DS74" s="422">
        <v>5.5800000000000002E-2</v>
      </c>
      <c r="DT74" s="422">
        <v>5.5799999999999905E-2</v>
      </c>
      <c r="DU74" s="422">
        <v>5.5800000000000002E-2</v>
      </c>
      <c r="DV74" s="422">
        <v>5.5800000000000002E-2</v>
      </c>
      <c r="DW74" s="422">
        <v>5.5800000000000002E-2</v>
      </c>
      <c r="DX74" s="422">
        <v>5.5800000000000009E-2</v>
      </c>
      <c r="DY74" s="422">
        <v>5.5800000000000002E-2</v>
      </c>
      <c r="DZ74" s="422">
        <v>5.5799999999999912E-2</v>
      </c>
      <c r="EA74" s="422">
        <v>5.5799999999999982E-2</v>
      </c>
      <c r="EB74" s="422">
        <v>5.5800000000000252E-2</v>
      </c>
      <c r="EC74" s="422">
        <v>5.5800000000000002E-2</v>
      </c>
      <c r="ED74" s="422">
        <v>5.5800000000000002E-2</v>
      </c>
      <c r="EE74" s="422">
        <v>5.5800000000000002E-2</v>
      </c>
      <c r="EF74" s="422">
        <v>5.5800000000000002E-2</v>
      </c>
      <c r="EG74" s="422">
        <v>5.5800000000000002E-2</v>
      </c>
      <c r="EH74" s="422">
        <v>3.7002756841939453E-2</v>
      </c>
      <c r="EI74" s="423">
        <v>3.7002756841939453E-2</v>
      </c>
      <c r="EJ74" s="444"/>
      <c r="EK74" s="367"/>
      <c r="EL74" s="367"/>
      <c r="EM74" s="367"/>
      <c r="EN74" s="367"/>
      <c r="EO74" s="367"/>
      <c r="EP74" s="367"/>
      <c r="EQ74" s="367"/>
    </row>
    <row r="75" spans="1:147" x14ac:dyDescent="0.2">
      <c r="A75" s="192"/>
      <c r="B75" s="192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266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AF75" s="265"/>
      <c r="AG75" s="265"/>
      <c r="AH75" s="265"/>
      <c r="AI75" s="192"/>
      <c r="AJ75" s="192"/>
      <c r="AK75" s="369"/>
      <c r="AL75" s="367"/>
      <c r="AM75" s="420" t="s">
        <v>5</v>
      </c>
      <c r="AN75" s="421">
        <v>1.7701040633255616E-10</v>
      </c>
      <c r="AO75" s="422">
        <v>1.7701040633255616E-10</v>
      </c>
      <c r="AP75" s="422">
        <v>1.7701040633284128E-10</v>
      </c>
      <c r="AQ75" s="422">
        <v>1.7701040633255616E-10</v>
      </c>
      <c r="AR75" s="422">
        <v>1.770104063332019E-10</v>
      </c>
      <c r="AS75" s="422">
        <v>1.7701040633255616E-10</v>
      </c>
      <c r="AT75" s="422">
        <v>1.7701040633255618E-10</v>
      </c>
      <c r="AU75" s="422">
        <v>1.7701040633496886E-10</v>
      </c>
      <c r="AV75" s="422">
        <v>1.7701040633263833E-10</v>
      </c>
      <c r="AW75" s="422">
        <v>1.7701040633357556E-10</v>
      </c>
      <c r="AX75" s="422">
        <v>1.7701040633255624E-10</v>
      </c>
      <c r="AY75" s="422">
        <v>1.7701040633257748E-10</v>
      </c>
      <c r="AZ75" s="422">
        <v>1.7701040633256531E-10</v>
      </c>
      <c r="BA75" s="422">
        <v>1.7701040633263174E-10</v>
      </c>
      <c r="BB75" s="422">
        <v>1.77010406332708E-10</v>
      </c>
      <c r="BC75" s="422">
        <v>1.7701040633255673E-10</v>
      </c>
      <c r="BD75" s="422">
        <v>1.7701040633283784E-10</v>
      </c>
      <c r="BE75" s="422">
        <v>1.7701040633255616E-10</v>
      </c>
      <c r="BF75" s="422">
        <v>1.7701040633255616E-10</v>
      </c>
      <c r="BG75" s="422">
        <v>1.7701040633265935E-10</v>
      </c>
      <c r="BH75" s="422">
        <v>1.7701040633255616E-10</v>
      </c>
      <c r="BI75" s="422">
        <v>1.7701040633334733E-10</v>
      </c>
      <c r="BJ75" s="422">
        <v>1.7701040633255616E-10</v>
      </c>
      <c r="BK75" s="422">
        <v>1.7701040633255616E-10</v>
      </c>
      <c r="BL75" s="422">
        <v>1.7701040633255616E-10</v>
      </c>
      <c r="BM75" s="422">
        <v>1.770104063373939E-10</v>
      </c>
      <c r="BN75" s="422">
        <v>1.7701040633255616E-10</v>
      </c>
      <c r="BO75" s="422">
        <v>1.7701040633255616E-10</v>
      </c>
      <c r="BP75" s="422">
        <v>1.7701040633276228E-10</v>
      </c>
      <c r="BQ75" s="422">
        <v>1.7701040633255616E-10</v>
      </c>
      <c r="BR75" s="422">
        <v>1.7701040633257857E-10</v>
      </c>
      <c r="BS75" s="422">
        <v>1.7701040633399687E-10</v>
      </c>
      <c r="BT75" s="422">
        <v>1.7701040633311647E-10</v>
      </c>
      <c r="BU75" s="422">
        <v>1.7701040633272333E-10</v>
      </c>
      <c r="BV75" s="422">
        <v>1.7701040633255616E-10</v>
      </c>
      <c r="BW75" s="422">
        <v>1.7701040633271188E-10</v>
      </c>
      <c r="BX75" s="422">
        <v>1.7701040633309261E-10</v>
      </c>
      <c r="BY75" s="422">
        <v>1.7701040637361702E-10</v>
      </c>
      <c r="BZ75" s="422">
        <v>1.7701040633277849E-10</v>
      </c>
      <c r="CA75" s="422">
        <v>1.7701040633256611E-10</v>
      </c>
      <c r="CB75" s="422">
        <v>1.7701040633258397E-10</v>
      </c>
      <c r="CC75" s="422">
        <v>1.7701040633266966E-10</v>
      </c>
      <c r="CD75" s="422">
        <v>1.770104063326091E-10</v>
      </c>
      <c r="CE75" s="422">
        <v>1.7701040633255616E-10</v>
      </c>
      <c r="CF75" s="422">
        <v>1.7701040633255616E-10</v>
      </c>
      <c r="CG75" s="422">
        <v>1.7701040633256789E-10</v>
      </c>
      <c r="CH75" s="422">
        <v>1.7701040648168473E-10</v>
      </c>
      <c r="CI75" s="422">
        <v>1.7701040646793629E-10</v>
      </c>
      <c r="CJ75" s="422">
        <v>1.7701040634273831E-10</v>
      </c>
      <c r="CK75" s="422">
        <v>1.7701040633280255E-10</v>
      </c>
      <c r="CL75" s="422">
        <v>1.7701040643826534E-10</v>
      </c>
      <c r="CM75" s="422">
        <v>1.7701040633278056E-10</v>
      </c>
      <c r="CN75" s="422">
        <v>1.7701040633441956E-10</v>
      </c>
      <c r="CO75" s="422">
        <v>1.770104264756999E-10</v>
      </c>
      <c r="CP75" s="422">
        <v>1.7701041515017506E-10</v>
      </c>
      <c r="CQ75" s="422">
        <v>1.7701041471597831E-10</v>
      </c>
      <c r="CR75" s="422">
        <v>1.7701040633417549E-10</v>
      </c>
      <c r="CS75" s="422">
        <v>1.7701047657623238E-10</v>
      </c>
      <c r="CT75" s="422">
        <v>1.7701040633416875E-10</v>
      </c>
      <c r="CU75" s="422">
        <v>1.770104063326776E-10</v>
      </c>
      <c r="CV75" s="422">
        <v>1.7701040633353934E-10</v>
      </c>
      <c r="CW75" s="422">
        <v>1.770104063326023E-10</v>
      </c>
      <c r="CX75" s="422">
        <v>1.77010406332629E-10</v>
      </c>
      <c r="CY75" s="422">
        <v>1.7701040659229472E-10</v>
      </c>
      <c r="CZ75" s="422">
        <v>1.7701040633281088E-10</v>
      </c>
      <c r="DA75" s="422">
        <v>1.7701040633803204E-10</v>
      </c>
      <c r="DB75" s="422">
        <v>1.7701040633309352E-10</v>
      </c>
      <c r="DC75" s="422">
        <v>1.7701040633390976E-10</v>
      </c>
      <c r="DD75" s="422">
        <v>1.7701040633267786E-10</v>
      </c>
      <c r="DE75" s="422">
        <v>1.7701040633255616E-10</v>
      </c>
      <c r="DF75" s="422">
        <v>1.7701040633263216E-10</v>
      </c>
      <c r="DG75" s="422">
        <v>1.7701040633302871E-10</v>
      </c>
      <c r="DH75" s="422">
        <v>1.7701040634623685E-10</v>
      </c>
      <c r="DI75" s="422">
        <v>1.7701040633264324E-10</v>
      </c>
      <c r="DJ75" s="422">
        <v>1.7701041888901067E-10</v>
      </c>
      <c r="DK75" s="422">
        <v>1.770104064310993E-10</v>
      </c>
      <c r="DL75" s="422">
        <v>1.7701045785304478E-10</v>
      </c>
      <c r="DM75" s="422">
        <v>1.7701040633668661E-10</v>
      </c>
      <c r="DN75" s="422">
        <v>1.7701040633259333E-10</v>
      </c>
      <c r="DO75" s="422">
        <v>1.7701040642175528E-10</v>
      </c>
      <c r="DP75" s="422">
        <v>1.7701040633255616E-10</v>
      </c>
      <c r="DQ75" s="422">
        <v>1.7701040697315323E-10</v>
      </c>
      <c r="DR75" s="422">
        <v>1.7701040633255616E-10</v>
      </c>
      <c r="DS75" s="422">
        <v>1.7701040633318538E-10</v>
      </c>
      <c r="DT75" s="422">
        <v>1.7701042239852946E-10</v>
      </c>
      <c r="DU75" s="422">
        <v>1.7701040633255616E-10</v>
      </c>
      <c r="DV75" s="422">
        <v>1.7701040633255616E-10</v>
      </c>
      <c r="DW75" s="422">
        <v>1.7701040634205912E-10</v>
      </c>
      <c r="DX75" s="422">
        <v>1.7701040722781239E-10</v>
      </c>
      <c r="DY75" s="422">
        <v>1.7701040633687347E-10</v>
      </c>
      <c r="DZ75" s="422">
        <v>1.7701047235617948E-10</v>
      </c>
      <c r="EA75" s="422">
        <v>1.7701046743737685E-10</v>
      </c>
      <c r="EB75" s="422">
        <v>1.7701040633255616E-10</v>
      </c>
      <c r="EC75" s="422">
        <v>1.7701040633255616E-10</v>
      </c>
      <c r="ED75" s="422">
        <v>1.7701040633255616E-10</v>
      </c>
      <c r="EE75" s="422">
        <v>1.7701040644980273E-10</v>
      </c>
      <c r="EF75" s="422">
        <v>1.7701040649336813E-10</v>
      </c>
      <c r="EG75" s="422">
        <v>1.7701040636925421E-10</v>
      </c>
      <c r="EH75" s="422">
        <v>2.9779514293586997E-5</v>
      </c>
      <c r="EI75" s="423">
        <v>2.9779514293586997E-5</v>
      </c>
      <c r="EJ75" s="444"/>
      <c r="EK75" s="367"/>
      <c r="EL75" s="367"/>
      <c r="EM75" s="367"/>
      <c r="EN75" s="367"/>
      <c r="EO75" s="367"/>
      <c r="EP75" s="367"/>
      <c r="EQ75" s="367"/>
    </row>
    <row r="76" spans="1:147" x14ac:dyDescent="0.2">
      <c r="A76" s="192"/>
      <c r="B76" s="192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266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  <c r="AG76" s="265"/>
      <c r="AH76" s="265"/>
      <c r="AI76" s="192"/>
      <c r="AJ76" s="192"/>
      <c r="AK76" s="369"/>
      <c r="AL76" s="367"/>
      <c r="AM76" s="420" t="s">
        <v>6</v>
      </c>
      <c r="AN76" s="421">
        <v>0</v>
      </c>
      <c r="AO76" s="422">
        <v>1.8940368014297162E-32</v>
      </c>
      <c r="AP76" s="422">
        <v>1.6484294618966756E-23</v>
      </c>
      <c r="AQ76" s="422">
        <v>5.8268634940738283E-23</v>
      </c>
      <c r="AR76" s="422">
        <v>3.3915392920490472E-24</v>
      </c>
      <c r="AS76" s="422">
        <v>7.1001090609878882E-38</v>
      </c>
      <c r="AT76" s="422">
        <v>4.9400373565180559E-24</v>
      </c>
      <c r="AU76" s="422">
        <v>1.9772844951102866E-20</v>
      </c>
      <c r="AV76" s="422">
        <v>8.1361947527501984E-23</v>
      </c>
      <c r="AW76" s="422">
        <v>2.6107670160971839E-22</v>
      </c>
      <c r="AX76" s="422">
        <v>0</v>
      </c>
      <c r="AY76" s="422">
        <v>2.0137889031309496E-22</v>
      </c>
      <c r="AZ76" s="422">
        <v>1.0116542069739521E-23</v>
      </c>
      <c r="BA76" s="422">
        <v>1.5228816331528998E-22</v>
      </c>
      <c r="BB76" s="422">
        <v>1.0932057746088647E-21</v>
      </c>
      <c r="BC76" s="422">
        <v>2.99559251218531E-20</v>
      </c>
      <c r="BD76" s="422">
        <v>1.5137840331644507E-22</v>
      </c>
      <c r="BE76" s="422">
        <v>0</v>
      </c>
      <c r="BF76" s="422">
        <v>0</v>
      </c>
      <c r="BG76" s="422">
        <v>3.2640755721582295E-23</v>
      </c>
      <c r="BH76" s="422">
        <v>0</v>
      </c>
      <c r="BI76" s="422">
        <v>0</v>
      </c>
      <c r="BJ76" s="422">
        <v>0</v>
      </c>
      <c r="BK76" s="422">
        <v>1.318099923459287E-22</v>
      </c>
      <c r="BL76" s="422">
        <v>2.7620282457572301E-22</v>
      </c>
      <c r="BM76" s="422">
        <v>1.6163047323806453E-38</v>
      </c>
      <c r="BN76" s="422">
        <v>0</v>
      </c>
      <c r="BO76" s="422">
        <v>9.3855754943407897E-24</v>
      </c>
      <c r="BP76" s="422">
        <v>1.0673638512360683E-22</v>
      </c>
      <c r="BQ76" s="422">
        <v>0</v>
      </c>
      <c r="BR76" s="422">
        <v>2.3474880283040464E-23</v>
      </c>
      <c r="BS76" s="422">
        <v>5.0689355156608326E-22</v>
      </c>
      <c r="BT76" s="422">
        <v>5.5266792426146045E-22</v>
      </c>
      <c r="BU76" s="422">
        <v>1.9618825360687098E-22</v>
      </c>
      <c r="BV76" s="422">
        <v>3.3964879265541143E-23</v>
      </c>
      <c r="BW76" s="422">
        <v>1.9399760951143485E-22</v>
      </c>
      <c r="BX76" s="422">
        <v>0</v>
      </c>
      <c r="BY76" s="422">
        <v>3.2132629779007702E-20</v>
      </c>
      <c r="BZ76" s="422">
        <v>1.0197912255629223E-22</v>
      </c>
      <c r="CA76" s="422">
        <v>1.1909133337270895E-23</v>
      </c>
      <c r="CB76" s="422">
        <v>1.9546826938973775E-22</v>
      </c>
      <c r="CC76" s="422">
        <v>2.0389797715139523E-23</v>
      </c>
      <c r="CD76" s="422">
        <v>2.7342003231248361E-23</v>
      </c>
      <c r="CE76" s="422">
        <v>1.6951911178604057E-23</v>
      </c>
      <c r="CF76" s="422">
        <v>8.2469769057495038E-23</v>
      </c>
      <c r="CG76" s="422">
        <v>1.8876151072806094E-25</v>
      </c>
      <c r="CH76" s="422">
        <v>1.3544335320741142E-20</v>
      </c>
      <c r="CI76" s="422">
        <v>0</v>
      </c>
      <c r="CJ76" s="422">
        <v>7.3372205547995533E-22</v>
      </c>
      <c r="CK76" s="422">
        <v>3.4854526642988358E-24</v>
      </c>
      <c r="CL76" s="422">
        <v>2.5429097483057809E-20</v>
      </c>
      <c r="CM76" s="422">
        <v>4.0423614209215363E-23</v>
      </c>
      <c r="CN76" s="422">
        <v>2.0926435980004625E-22</v>
      </c>
      <c r="CO76" s="422">
        <v>1.8615399969886896E-17</v>
      </c>
      <c r="CP76" s="422">
        <v>4.295413511260317E-19</v>
      </c>
      <c r="CQ76" s="422">
        <v>4.2030521761737552E-18</v>
      </c>
      <c r="CR76" s="422">
        <v>4.4385743116456171E-22</v>
      </c>
      <c r="CS76" s="422">
        <v>1.5208734271097122E-17</v>
      </c>
      <c r="CT76" s="422">
        <v>6.8077116609174725E-23</v>
      </c>
      <c r="CU76" s="422">
        <v>6.4426046983049293E-23</v>
      </c>
      <c r="CV76" s="422">
        <v>5.2014353773623037E-22</v>
      </c>
      <c r="CW76" s="422">
        <v>0</v>
      </c>
      <c r="CX76" s="422">
        <v>0</v>
      </c>
      <c r="CY76" s="422">
        <v>1.0184430989941194E-19</v>
      </c>
      <c r="CZ76" s="422">
        <v>1.7183067165389381E-22</v>
      </c>
      <c r="DA76" s="422">
        <v>2.8962267702787133E-21</v>
      </c>
      <c r="DB76" s="422">
        <v>2.842101882221403E-22</v>
      </c>
      <c r="DC76" s="422">
        <v>1.4522302083858963E-24</v>
      </c>
      <c r="DD76" s="422">
        <v>2.3013797345227854E-22</v>
      </c>
      <c r="DE76" s="422">
        <v>6.6658794845898091E-21</v>
      </c>
      <c r="DF76" s="422">
        <v>4.0277515598640409E-23</v>
      </c>
      <c r="DG76" s="422">
        <v>7.0469275271009205E-22</v>
      </c>
      <c r="DH76" s="422">
        <v>7.2358064990565811E-21</v>
      </c>
      <c r="DI76" s="422">
        <v>4.6266816262444065E-23</v>
      </c>
      <c r="DJ76" s="422">
        <v>3.0814879110195774E-33</v>
      </c>
      <c r="DK76" s="422">
        <v>0</v>
      </c>
      <c r="DL76" s="422">
        <v>0</v>
      </c>
      <c r="DM76" s="422">
        <v>1.6791437481921368E-23</v>
      </c>
      <c r="DN76" s="422">
        <v>1.8051407010343645E-23</v>
      </c>
      <c r="DO76" s="422">
        <v>1.6830713000468139E-19</v>
      </c>
      <c r="DP76" s="422">
        <v>6.7122489090351998E-18</v>
      </c>
      <c r="DQ76" s="422">
        <v>2.1215663227110216E-19</v>
      </c>
      <c r="DR76" s="422">
        <v>2.4026021262527459E-19</v>
      </c>
      <c r="DS76" s="422">
        <v>0</v>
      </c>
      <c r="DT76" s="422">
        <v>3.8788747195678693E-18</v>
      </c>
      <c r="DU76" s="422">
        <v>1.5086189660412413E-20</v>
      </c>
      <c r="DV76" s="422">
        <v>0</v>
      </c>
      <c r="DW76" s="422">
        <v>6.098711170090208E-20</v>
      </c>
      <c r="DX76" s="422">
        <v>4.163155111026551E-19</v>
      </c>
      <c r="DY76" s="422">
        <v>1.1112062992921571E-23</v>
      </c>
      <c r="DZ76" s="422">
        <v>-1.535447648162724E-33</v>
      </c>
      <c r="EA76" s="422">
        <v>1.3103615780266215E-19</v>
      </c>
      <c r="EB76" s="422">
        <v>8.5577135544161479E-17</v>
      </c>
      <c r="EC76" s="422">
        <v>8.6471374131609517E-17</v>
      </c>
      <c r="ED76" s="422">
        <v>3.9528394461777191E-20</v>
      </c>
      <c r="EE76" s="422">
        <v>9.2525753120002764E-21</v>
      </c>
      <c r="EF76" s="422">
        <v>1.2690533862629409E-20</v>
      </c>
      <c r="EG76" s="422">
        <v>0</v>
      </c>
      <c r="EH76" s="422">
        <v>3.3772104654908052E-5</v>
      </c>
      <c r="EI76" s="423">
        <v>3.3772104654908052E-5</v>
      </c>
      <c r="EJ76" s="444"/>
      <c r="EK76" s="367"/>
      <c r="EL76" s="367"/>
      <c r="EM76" s="367"/>
      <c r="EN76" s="367"/>
      <c r="EO76" s="367"/>
      <c r="EP76" s="367"/>
      <c r="EQ76" s="367"/>
    </row>
    <row r="77" spans="1:147" x14ac:dyDescent="0.2">
      <c r="A77" s="192"/>
      <c r="B77" s="192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266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AF77" s="265"/>
      <c r="AG77" s="265"/>
      <c r="AH77" s="265"/>
      <c r="AI77" s="192"/>
      <c r="AJ77" s="192"/>
      <c r="AK77" s="369"/>
      <c r="AL77" s="367"/>
      <c r="AM77" s="420" t="s">
        <v>7</v>
      </c>
      <c r="AN77" s="421">
        <v>0.12565999764052385</v>
      </c>
      <c r="AO77" s="422">
        <v>0.12565999764052363</v>
      </c>
      <c r="AP77" s="422">
        <v>0.12566000001865776</v>
      </c>
      <c r="AQ77" s="422">
        <v>0.12566000120122639</v>
      </c>
      <c r="AR77" s="422">
        <v>0.12565999755425789</v>
      </c>
      <c r="AS77" s="422">
        <v>0.12566000117786144</v>
      </c>
      <c r="AT77" s="422">
        <v>0.12565999845548342</v>
      </c>
      <c r="AU77" s="422">
        <v>0.12565999809296285</v>
      </c>
      <c r="AV77" s="422">
        <v>0.1256600011778613</v>
      </c>
      <c r="AW77" s="422">
        <v>0.12566000329523222</v>
      </c>
      <c r="AX77" s="422">
        <v>0.1256600010026668</v>
      </c>
      <c r="AY77" s="422">
        <v>0.12565999971196565</v>
      </c>
      <c r="AZ77" s="422">
        <v>0.12565999971196537</v>
      </c>
      <c r="BA77" s="422">
        <v>0.12565999971196531</v>
      </c>
      <c r="BB77" s="422">
        <v>0.12565999971196554</v>
      </c>
      <c r="BC77" s="422">
        <v>0.12565999971196534</v>
      </c>
      <c r="BD77" s="422">
        <v>0.1256599997119654</v>
      </c>
      <c r="BE77" s="422">
        <v>0.12565999845548376</v>
      </c>
      <c r="BF77" s="422">
        <v>0.12565999971196509</v>
      </c>
      <c r="BG77" s="422">
        <v>0.12565999971196543</v>
      </c>
      <c r="BH77" s="422">
        <v>0.12565999971193442</v>
      </c>
      <c r="BI77" s="422">
        <v>0.12565999845406012</v>
      </c>
      <c r="BJ77" s="422">
        <v>0.12549578517431087</v>
      </c>
      <c r="BK77" s="422">
        <v>0.12434632051490757</v>
      </c>
      <c r="BL77" s="422">
        <v>0.12366406047898991</v>
      </c>
      <c r="BM77" s="422">
        <v>0.1230735370922299</v>
      </c>
      <c r="BN77" s="422">
        <v>0.12246253562225948</v>
      </c>
      <c r="BO77" s="422">
        <v>0.12219623292762907</v>
      </c>
      <c r="BP77" s="422">
        <v>0.11998567783313151</v>
      </c>
      <c r="BQ77" s="422">
        <v>0.1190258548717915</v>
      </c>
      <c r="BR77" s="422">
        <v>0.11755758896741787</v>
      </c>
      <c r="BS77" s="422">
        <v>0.11797901544021118</v>
      </c>
      <c r="BT77" s="422">
        <v>0.11617498733235058</v>
      </c>
      <c r="BU77" s="422">
        <v>0.11441907205126847</v>
      </c>
      <c r="BV77" s="422">
        <v>0.10717291399895522</v>
      </c>
      <c r="BW77" s="422">
        <v>9.9639780102486683E-2</v>
      </c>
      <c r="BX77" s="422">
        <v>9.2909778795250059E-2</v>
      </c>
      <c r="BY77" s="422">
        <v>8.7346228223985425E-2</v>
      </c>
      <c r="BZ77" s="422">
        <v>7.9246066023670986E-2</v>
      </c>
      <c r="CA77" s="422">
        <v>7.7749999820903984E-2</v>
      </c>
      <c r="CB77" s="422">
        <v>7.7749999820903984E-2</v>
      </c>
      <c r="CC77" s="422">
        <v>7.7749999820903984E-2</v>
      </c>
      <c r="CD77" s="422">
        <v>7.7749999820903984E-2</v>
      </c>
      <c r="CE77" s="422">
        <v>7.7749999820903984E-2</v>
      </c>
      <c r="CF77" s="422">
        <v>7.7749999820903984E-2</v>
      </c>
      <c r="CG77" s="422">
        <v>7.7749999820903984E-2</v>
      </c>
      <c r="CH77" s="422">
        <v>7.7749999820903984E-2</v>
      </c>
      <c r="CI77" s="422">
        <v>7.7749999820903984E-2</v>
      </c>
      <c r="CJ77" s="422">
        <v>7.7749999820903984E-2</v>
      </c>
      <c r="CK77" s="422">
        <v>7.7749999820903984E-2</v>
      </c>
      <c r="CL77" s="422">
        <v>7.7749999820903984E-2</v>
      </c>
      <c r="CM77" s="422">
        <v>7.7749999820903984E-2</v>
      </c>
      <c r="CN77" s="422">
        <v>7.7749999820903984E-2</v>
      </c>
      <c r="CO77" s="422">
        <v>7.7749999820903942E-2</v>
      </c>
      <c r="CP77" s="422">
        <v>7.7749999820903928E-2</v>
      </c>
      <c r="CQ77" s="422">
        <v>7.774999982090397E-2</v>
      </c>
      <c r="CR77" s="422">
        <v>7.7749999820903984E-2</v>
      </c>
      <c r="CS77" s="422">
        <v>7.7749999820903887E-2</v>
      </c>
      <c r="CT77" s="422">
        <v>7.7749999820903984E-2</v>
      </c>
      <c r="CU77" s="422">
        <v>7.7749999820903984E-2</v>
      </c>
      <c r="CV77" s="422">
        <v>7.7749999820903984E-2</v>
      </c>
      <c r="CW77" s="422">
        <v>7.7749999820903984E-2</v>
      </c>
      <c r="CX77" s="422">
        <v>7.7749999820903984E-2</v>
      </c>
      <c r="CY77" s="422">
        <v>7.7749999820903984E-2</v>
      </c>
      <c r="CZ77" s="422">
        <v>7.7749999820903984E-2</v>
      </c>
      <c r="DA77" s="422">
        <v>7.7749999820903984E-2</v>
      </c>
      <c r="DB77" s="422">
        <v>7.7749999820903984E-2</v>
      </c>
      <c r="DC77" s="422">
        <v>7.7749999820903984E-2</v>
      </c>
      <c r="DD77" s="422">
        <v>7.7749999820903984E-2</v>
      </c>
      <c r="DE77" s="422">
        <v>7.7749999820903984E-2</v>
      </c>
      <c r="DF77" s="422">
        <v>7.7749999820903984E-2</v>
      </c>
      <c r="DG77" s="422">
        <v>7.7749999820903984E-2</v>
      </c>
      <c r="DH77" s="422">
        <v>7.7749999820903984E-2</v>
      </c>
      <c r="DI77" s="422">
        <v>7.7749999820903984E-2</v>
      </c>
      <c r="DJ77" s="422">
        <v>7.774999982090397E-2</v>
      </c>
      <c r="DK77" s="422">
        <v>7.7749999820903984E-2</v>
      </c>
      <c r="DL77" s="422">
        <v>7.774999982090397E-2</v>
      </c>
      <c r="DM77" s="422">
        <v>7.7749999820903984E-2</v>
      </c>
      <c r="DN77" s="422">
        <v>7.7749999820903984E-2</v>
      </c>
      <c r="DO77" s="422">
        <v>7.7749999820903998E-2</v>
      </c>
      <c r="DP77" s="422">
        <v>7.7749999820903984E-2</v>
      </c>
      <c r="DQ77" s="422">
        <v>7.774999982090397E-2</v>
      </c>
      <c r="DR77" s="422">
        <v>7.7749999820903984E-2</v>
      </c>
      <c r="DS77" s="422">
        <v>7.7749999820903984E-2</v>
      </c>
      <c r="DT77" s="422">
        <v>7.7749999820904095E-2</v>
      </c>
      <c r="DU77" s="422">
        <v>7.774999982090397E-2</v>
      </c>
      <c r="DV77" s="422">
        <v>7.7749999820903984E-2</v>
      </c>
      <c r="DW77" s="422">
        <v>7.7749999820903984E-2</v>
      </c>
      <c r="DX77" s="422">
        <v>7.7749999820903984E-2</v>
      </c>
      <c r="DY77" s="422">
        <v>6.8007472106155376E-2</v>
      </c>
      <c r="DZ77" s="422">
        <v>4.985839248902927E-2</v>
      </c>
      <c r="EA77" s="422">
        <v>3.5112571682848745E-2</v>
      </c>
      <c r="EB77" s="422">
        <v>1.9080782000493415E-2</v>
      </c>
      <c r="EC77" s="422">
        <v>1.9080782000493759E-2</v>
      </c>
      <c r="ED77" s="422">
        <v>1.908078200049455E-2</v>
      </c>
      <c r="EE77" s="422">
        <v>1.9080782000494532E-2</v>
      </c>
      <c r="EF77" s="422">
        <v>1.9080782000494539E-2</v>
      </c>
      <c r="EG77" s="422">
        <v>1.908078200049455E-2</v>
      </c>
      <c r="EH77" s="422">
        <v>4.4102344443460569E-5</v>
      </c>
      <c r="EI77" s="423">
        <v>4.4102344443460569E-5</v>
      </c>
      <c r="EJ77" s="444"/>
      <c r="EK77" s="367"/>
      <c r="EL77" s="367"/>
      <c r="EM77" s="367"/>
      <c r="EN77" s="367"/>
      <c r="EO77" s="367"/>
      <c r="EP77" s="367"/>
      <c r="EQ77" s="367"/>
    </row>
    <row r="78" spans="1:147" x14ac:dyDescent="0.2">
      <c r="A78" s="192"/>
      <c r="B78" s="192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266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AF78" s="265"/>
      <c r="AG78" s="265"/>
      <c r="AH78" s="265"/>
      <c r="AI78" s="192"/>
      <c r="AJ78" s="192"/>
      <c r="AK78" s="369"/>
      <c r="AL78" s="367"/>
      <c r="AM78" s="420" t="s">
        <v>8</v>
      </c>
      <c r="AN78" s="421">
        <v>0</v>
      </c>
      <c r="AO78" s="422">
        <v>-6.5949783706877252E-22</v>
      </c>
      <c r="AP78" s="422">
        <v>1.6158201995462137E-23</v>
      </c>
      <c r="AQ78" s="422">
        <v>6.2933114415475296E-22</v>
      </c>
      <c r="AR78" s="422">
        <v>-2.0315737156266326E-21</v>
      </c>
      <c r="AS78" s="422">
        <v>3.4955829471463367E-23</v>
      </c>
      <c r="AT78" s="422">
        <v>2.0054802661445645E-20</v>
      </c>
      <c r="AU78" s="422">
        <v>-8.7536802759631055E-21</v>
      </c>
      <c r="AV78" s="422">
        <v>-4.7016295869084037E-24</v>
      </c>
      <c r="AW78" s="422">
        <v>1.4285456989830761E-22</v>
      </c>
      <c r="AX78" s="422">
        <v>7.121073008503623E-24</v>
      </c>
      <c r="AY78" s="422">
        <v>1.4989194168216764E-23</v>
      </c>
      <c r="AZ78" s="422">
        <v>2.9274047505902071E-22</v>
      </c>
      <c r="BA78" s="422">
        <v>1.1511297077912742E-22</v>
      </c>
      <c r="BB78" s="422">
        <v>-1.8779229386216309E-23</v>
      </c>
      <c r="BC78" s="422">
        <v>4.2843988322931277E-21</v>
      </c>
      <c r="BD78" s="422">
        <v>1.7473123264430446E-22</v>
      </c>
      <c r="BE78" s="422">
        <v>-1.4028579943628647E-22</v>
      </c>
      <c r="BF78" s="422">
        <v>1.6201279208010928E-21</v>
      </c>
      <c r="BG78" s="422">
        <v>-7.6184225388993165E-23</v>
      </c>
      <c r="BH78" s="422">
        <v>-8.2457713512192777E-23</v>
      </c>
      <c r="BI78" s="422">
        <v>-3.130363442991571E-25</v>
      </c>
      <c r="BJ78" s="422">
        <v>4.9625876973354493E-22</v>
      </c>
      <c r="BK78" s="422">
        <v>-8.8153753704295971E-24</v>
      </c>
      <c r="BL78" s="422">
        <v>1.8540311344421309E-21</v>
      </c>
      <c r="BM78" s="422">
        <v>-1.4233825969800996E-21</v>
      </c>
      <c r="BN78" s="422">
        <v>-1.3246987350986397E-21</v>
      </c>
      <c r="BO78" s="422">
        <v>2.4526086202317147E-22</v>
      </c>
      <c r="BP78" s="422">
        <v>2.3900139653075017E-23</v>
      </c>
      <c r="BQ78" s="422">
        <v>-6.7844046275156566E-22</v>
      </c>
      <c r="BR78" s="422">
        <v>1.4406547672997596E-23</v>
      </c>
      <c r="BS78" s="422">
        <v>-3.4545679864362771E-23</v>
      </c>
      <c r="BT78" s="422">
        <v>2.2647093089251738E-22</v>
      </c>
      <c r="BU78" s="422">
        <v>-1.5113974949333246E-22</v>
      </c>
      <c r="BV78" s="422">
        <v>4.0804674522975798E-24</v>
      </c>
      <c r="BW78" s="422">
        <v>1.6378026404120312E-22</v>
      </c>
      <c r="BX78" s="422">
        <v>-1.2265862826325157E-21</v>
      </c>
      <c r="BY78" s="422">
        <v>2.7313972740645744E-20</v>
      </c>
      <c r="BZ78" s="422">
        <v>-1.6632449441194465E-22</v>
      </c>
      <c r="CA78" s="422">
        <v>-1.7255486283041436E-22</v>
      </c>
      <c r="CB78" s="422">
        <v>-5.7127739518564554E-23</v>
      </c>
      <c r="CC78" s="422">
        <v>3.4333794193712002E-23</v>
      </c>
      <c r="CD78" s="422">
        <v>2.3093899965231379E-22</v>
      </c>
      <c r="CE78" s="422">
        <v>6.2286418501240977E-23</v>
      </c>
      <c r="CF78" s="422">
        <v>3.6241461184256572E-23</v>
      </c>
      <c r="CG78" s="422">
        <v>3.7057329493444272E-22</v>
      </c>
      <c r="CH78" s="422">
        <v>1.7277235964400301E-20</v>
      </c>
      <c r="CI78" s="422">
        <v>-9.9141529384615887E-20</v>
      </c>
      <c r="CJ78" s="422">
        <v>1.4725446991840123E-21</v>
      </c>
      <c r="CK78" s="422">
        <v>7.5380309261848608E-23</v>
      </c>
      <c r="CL78" s="422">
        <v>-9.7681695394202147E-20</v>
      </c>
      <c r="CM78" s="422">
        <v>-6.2112090208719073E-22</v>
      </c>
      <c r="CN78" s="422">
        <v>3.3461059997067326E-25</v>
      </c>
      <c r="CO78" s="422">
        <v>-1.1028657207069855E-17</v>
      </c>
      <c r="CP78" s="422">
        <v>-4.7029181244222909E-17</v>
      </c>
      <c r="CQ78" s="422">
        <v>-7.7082373548733422E-18</v>
      </c>
      <c r="CR78" s="422">
        <v>-6.4395200773489886E-22</v>
      </c>
      <c r="CS78" s="422">
        <v>-8.8839142980101436E-17</v>
      </c>
      <c r="CT78" s="422">
        <v>1.3222320625660788E-20</v>
      </c>
      <c r="CU78" s="422">
        <v>-7.7828015969504665E-22</v>
      </c>
      <c r="CV78" s="422">
        <v>-5.347878384161898E-21</v>
      </c>
      <c r="CW78" s="422">
        <v>1.0383604376500867E-22</v>
      </c>
      <c r="CX78" s="422">
        <v>1.6375838416666407E-22</v>
      </c>
      <c r="CY78" s="422">
        <v>-3.4465790694876713E-19</v>
      </c>
      <c r="CZ78" s="422">
        <v>-9.6913548529927906E-23</v>
      </c>
      <c r="DA78" s="422">
        <v>-3.3596943765622735E-20</v>
      </c>
      <c r="DB78" s="422">
        <v>6.240318716870904E-20</v>
      </c>
      <c r="DC78" s="422">
        <v>3.0450609860717813E-21</v>
      </c>
      <c r="DD78" s="422">
        <v>6.0437271992732199E-23</v>
      </c>
      <c r="DE78" s="422">
        <v>-6.1897945327502164E-21</v>
      </c>
      <c r="DF78" s="422">
        <v>1.8997685434288581E-20</v>
      </c>
      <c r="DG78" s="422">
        <v>4.0939045115299309E-22</v>
      </c>
      <c r="DH78" s="422">
        <v>-8.8423038581472857E-20</v>
      </c>
      <c r="DI78" s="422">
        <v>-5.4737979395914659E-22</v>
      </c>
      <c r="DJ78" s="422">
        <v>-2.4958834318858276E-17</v>
      </c>
      <c r="DK78" s="422">
        <v>-1.0279845965455656E-19</v>
      </c>
      <c r="DL78" s="422">
        <v>1.2824780978885992E-18</v>
      </c>
      <c r="DM78" s="422">
        <v>-2.2219697877747753E-21</v>
      </c>
      <c r="DN78" s="422">
        <v>2.780475054965574E-24</v>
      </c>
      <c r="DO78" s="422">
        <v>-1.2439722344426189E-19</v>
      </c>
      <c r="DP78" s="422">
        <v>-1.0430926864080087E-17</v>
      </c>
      <c r="DQ78" s="422">
        <v>-1.924619543695589E-18</v>
      </c>
      <c r="DR78" s="422">
        <v>2.4649957491835841E-19</v>
      </c>
      <c r="DS78" s="422">
        <v>4.817988606798951E-24</v>
      </c>
      <c r="DT78" s="422">
        <v>4.0474443159033206E-17</v>
      </c>
      <c r="DU78" s="422">
        <v>-2.4655568518550971E-19</v>
      </c>
      <c r="DV78" s="422">
        <v>-5.5402434015025576E-20</v>
      </c>
      <c r="DW78" s="422">
        <v>1.6395544077502437E-19</v>
      </c>
      <c r="DX78" s="422">
        <v>1.9728728992070363E-18</v>
      </c>
      <c r="DY78" s="422">
        <v>1.7136553250715899E-20</v>
      </c>
      <c r="DZ78" s="422">
        <v>-8.8947360544814905E-17</v>
      </c>
      <c r="EA78" s="422">
        <v>2.4086601384227986E-17</v>
      </c>
      <c r="EB78" s="422">
        <v>1.222886570106226E-16</v>
      </c>
      <c r="EC78" s="422">
        <v>-4.1763601821817714E-17</v>
      </c>
      <c r="ED78" s="422">
        <v>0</v>
      </c>
      <c r="EE78" s="422">
        <v>0</v>
      </c>
      <c r="EF78" s="422">
        <v>1.0842021724855044E-19</v>
      </c>
      <c r="EG78" s="422">
        <v>0</v>
      </c>
      <c r="EH78" s="422">
        <v>4.6789588711703622E-5</v>
      </c>
      <c r="EI78" s="423">
        <v>4.6789588711703622E-5</v>
      </c>
      <c r="EJ78" s="444"/>
      <c r="EK78" s="367"/>
      <c r="EL78" s="367"/>
      <c r="EM78" s="367"/>
      <c r="EN78" s="367"/>
      <c r="EO78" s="367"/>
      <c r="EP78" s="367"/>
      <c r="EQ78" s="367"/>
    </row>
    <row r="79" spans="1:147" x14ac:dyDescent="0.2">
      <c r="A79" s="192"/>
      <c r="B79" s="192"/>
      <c r="C79" s="192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266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  <c r="AG79" s="265"/>
      <c r="AH79" s="265"/>
      <c r="AI79" s="192"/>
      <c r="AJ79" s="192"/>
      <c r="AK79" s="369"/>
      <c r="AL79" s="367"/>
      <c r="AM79" s="420" t="s">
        <v>9</v>
      </c>
      <c r="AN79" s="421">
        <v>4.9569996416732987E-2</v>
      </c>
      <c r="AO79" s="422">
        <v>4.9569996416732987E-2</v>
      </c>
      <c r="AP79" s="422">
        <v>4.9569999896194664E-2</v>
      </c>
      <c r="AQ79" s="422">
        <v>4.9569999315262035E-2</v>
      </c>
      <c r="AR79" s="422">
        <v>4.9569996416732987E-2</v>
      </c>
      <c r="AS79" s="422">
        <v>4.9569999315262035E-2</v>
      </c>
      <c r="AT79" s="422">
        <v>4.9569996416732987E-2</v>
      </c>
      <c r="AU79" s="422">
        <v>4.9569996416732987E-2</v>
      </c>
      <c r="AV79" s="422">
        <v>4.9569999315262035E-2</v>
      </c>
      <c r="AW79" s="422">
        <v>4.9569996416732987E-2</v>
      </c>
      <c r="AX79" s="422">
        <v>4.9569999315262035E-2</v>
      </c>
      <c r="AY79" s="422">
        <v>4.9570000000000003E-2</v>
      </c>
      <c r="AZ79" s="422">
        <v>4.9570000000000003E-2</v>
      </c>
      <c r="BA79" s="422">
        <v>4.9570000000000003E-2</v>
      </c>
      <c r="BB79" s="422">
        <v>4.9570000000000003E-2</v>
      </c>
      <c r="BC79" s="422">
        <v>4.9570000000000003E-2</v>
      </c>
      <c r="BD79" s="422">
        <v>4.9570000000000003E-2</v>
      </c>
      <c r="BE79" s="422">
        <v>4.9569996416732987E-2</v>
      </c>
      <c r="BF79" s="422">
        <v>4.9570000000000003E-2</v>
      </c>
      <c r="BG79" s="422">
        <v>4.9570000000000003E-2</v>
      </c>
      <c r="BH79" s="422">
        <v>4.9570000000000003E-2</v>
      </c>
      <c r="BI79" s="422">
        <v>4.9569996416732987E-2</v>
      </c>
      <c r="BJ79" s="422">
        <v>4.9052894576362298E-2</v>
      </c>
      <c r="BK79" s="422">
        <v>4.8052748892116942E-2</v>
      </c>
      <c r="BL79" s="422">
        <v>4.6987339527710295E-2</v>
      </c>
      <c r="BM79" s="422">
        <v>4.5849544528874936E-2</v>
      </c>
      <c r="BN79" s="422">
        <v>4.4765970659019015E-2</v>
      </c>
      <c r="BO79" s="422">
        <v>4.3556494866372093E-2</v>
      </c>
      <c r="BP79" s="422">
        <v>4.2377379758457921E-2</v>
      </c>
      <c r="BQ79" s="422">
        <v>4.1455930293816494E-2</v>
      </c>
      <c r="BR79" s="422">
        <v>4.0370796836513637E-2</v>
      </c>
      <c r="BS79" s="422">
        <v>3.9517218438883353E-2</v>
      </c>
      <c r="BT79" s="422">
        <v>3.8481382193145362E-2</v>
      </c>
      <c r="BU79" s="422">
        <v>3.7820788151719853E-2</v>
      </c>
      <c r="BV79" s="422">
        <v>3.7820788151719853E-2</v>
      </c>
      <c r="BW79" s="422">
        <v>3.7820788151719853E-2</v>
      </c>
      <c r="BX79" s="422">
        <v>3.7820788151719853E-2</v>
      </c>
      <c r="BY79" s="422">
        <v>3.7820788151719853E-2</v>
      </c>
      <c r="BZ79" s="422">
        <v>3.7820788151719853E-2</v>
      </c>
      <c r="CA79" s="422">
        <v>3.7820788151719853E-2</v>
      </c>
      <c r="CB79" s="422">
        <v>3.7820788151719853E-2</v>
      </c>
      <c r="CC79" s="422">
        <v>3.7820788151719853E-2</v>
      </c>
      <c r="CD79" s="422">
        <v>3.7820788151719853E-2</v>
      </c>
      <c r="CE79" s="422">
        <v>3.7820788151719853E-2</v>
      </c>
      <c r="CF79" s="422">
        <v>3.7820788151719853E-2</v>
      </c>
      <c r="CG79" s="422">
        <v>3.7820788151719853E-2</v>
      </c>
      <c r="CH79" s="422">
        <v>3.7820788151719853E-2</v>
      </c>
      <c r="CI79" s="422">
        <v>3.7820788151719853E-2</v>
      </c>
      <c r="CJ79" s="422">
        <v>3.7820788151719853E-2</v>
      </c>
      <c r="CK79" s="422">
        <v>3.7820788151719853E-2</v>
      </c>
      <c r="CL79" s="422">
        <v>3.7820788151719853E-2</v>
      </c>
      <c r="CM79" s="422">
        <v>3.7820788151719853E-2</v>
      </c>
      <c r="CN79" s="422">
        <v>3.7820788151719853E-2</v>
      </c>
      <c r="CO79" s="422">
        <v>3.7820788151719853E-2</v>
      </c>
      <c r="CP79" s="422">
        <v>3.782078815171986E-2</v>
      </c>
      <c r="CQ79" s="422">
        <v>3.782078815171986E-2</v>
      </c>
      <c r="CR79" s="422">
        <v>3.7820788151719853E-2</v>
      </c>
      <c r="CS79" s="422">
        <v>3.7820788151719867E-2</v>
      </c>
      <c r="CT79" s="422">
        <v>3.7820788151719853E-2</v>
      </c>
      <c r="CU79" s="422">
        <v>3.7820788151719853E-2</v>
      </c>
      <c r="CV79" s="422">
        <v>3.7820788151719853E-2</v>
      </c>
      <c r="CW79" s="422">
        <v>3.7820788151719853E-2</v>
      </c>
      <c r="CX79" s="422">
        <v>3.7820788151719853E-2</v>
      </c>
      <c r="CY79" s="422">
        <v>3.7820788151719853E-2</v>
      </c>
      <c r="CZ79" s="422">
        <v>3.7820788151719853E-2</v>
      </c>
      <c r="DA79" s="422">
        <v>3.7820788151719853E-2</v>
      </c>
      <c r="DB79" s="422">
        <v>3.7820788151719853E-2</v>
      </c>
      <c r="DC79" s="422">
        <v>3.7820788151719853E-2</v>
      </c>
      <c r="DD79" s="422">
        <v>3.7820788151719853E-2</v>
      </c>
      <c r="DE79" s="422">
        <v>3.7820788151719853E-2</v>
      </c>
      <c r="DF79" s="422">
        <v>3.7820788151719853E-2</v>
      </c>
      <c r="DG79" s="422">
        <v>3.7820788151719853E-2</v>
      </c>
      <c r="DH79" s="422">
        <v>3.7820788151719853E-2</v>
      </c>
      <c r="DI79" s="422">
        <v>3.7820788151719853E-2</v>
      </c>
      <c r="DJ79" s="422">
        <v>3.7820788151719853E-2</v>
      </c>
      <c r="DK79" s="422">
        <v>3.7820788151719853E-2</v>
      </c>
      <c r="DL79" s="422">
        <v>3.7820788151719853E-2</v>
      </c>
      <c r="DM79" s="422">
        <v>3.7820788151719853E-2</v>
      </c>
      <c r="DN79" s="422">
        <v>3.7820788151719853E-2</v>
      </c>
      <c r="DO79" s="422">
        <v>3.7820788151719853E-2</v>
      </c>
      <c r="DP79" s="422">
        <v>3.7820788151719853E-2</v>
      </c>
      <c r="DQ79" s="422">
        <v>3.782078815171986E-2</v>
      </c>
      <c r="DR79" s="422">
        <v>3.7820788151719853E-2</v>
      </c>
      <c r="DS79" s="422">
        <v>3.7820788151719853E-2</v>
      </c>
      <c r="DT79" s="422">
        <v>3.7820788151719853E-2</v>
      </c>
      <c r="DU79" s="422">
        <v>3.7820788151719853E-2</v>
      </c>
      <c r="DV79" s="422">
        <v>3.7820788151719853E-2</v>
      </c>
      <c r="DW79" s="422">
        <v>3.7820788151719853E-2</v>
      </c>
      <c r="DX79" s="422">
        <v>3.7820788151719853E-2</v>
      </c>
      <c r="DY79" s="422">
        <v>3.7820788151719853E-2</v>
      </c>
      <c r="DZ79" s="422">
        <v>3.7820788151719853E-2</v>
      </c>
      <c r="EA79" s="422">
        <v>3.7820788151719853E-2</v>
      </c>
      <c r="EB79" s="422">
        <v>3.7820788151719902E-2</v>
      </c>
      <c r="EC79" s="422">
        <v>3.7820788151719853E-2</v>
      </c>
      <c r="ED79" s="422">
        <v>3.7820788151719853E-2</v>
      </c>
      <c r="EE79" s="422">
        <v>3.7820788151719853E-2</v>
      </c>
      <c r="EF79" s="422">
        <v>3.7820788151719853E-2</v>
      </c>
      <c r="EG79" s="422">
        <v>3.7820788151719853E-2</v>
      </c>
      <c r="EH79" s="422">
        <v>3.7844871872194076E-2</v>
      </c>
      <c r="EI79" s="423">
        <v>3.7844871872194076E-2</v>
      </c>
      <c r="EJ79" s="444"/>
      <c r="EK79" s="367"/>
      <c r="EL79" s="367"/>
      <c r="EM79" s="367"/>
      <c r="EN79" s="367"/>
      <c r="EO79" s="367"/>
      <c r="EP79" s="367"/>
      <c r="EQ79" s="367"/>
    </row>
    <row r="80" spans="1:147" x14ac:dyDescent="0.2">
      <c r="A80" s="192"/>
      <c r="B80" s="192"/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266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  <c r="AG80" s="265"/>
      <c r="AH80" s="265"/>
      <c r="AI80" s="192"/>
      <c r="AJ80" s="192"/>
      <c r="AK80" s="369"/>
      <c r="AL80" s="367"/>
      <c r="AM80" s="420" t="s">
        <v>10</v>
      </c>
      <c r="AN80" s="421">
        <v>1.0476434817458258E-8</v>
      </c>
      <c r="AO80" s="422">
        <v>1.0476434817459305E-8</v>
      </c>
      <c r="AP80" s="422">
        <v>4.6985005809602208E-10</v>
      </c>
      <c r="AQ80" s="422">
        <v>3.0993028489926829E-9</v>
      </c>
      <c r="AR80" s="422">
        <v>1.6218802169973844E-8</v>
      </c>
      <c r="AS80" s="422">
        <v>3.0993028490021934E-9</v>
      </c>
      <c r="AT80" s="422">
        <v>1.1379053474701231E-8</v>
      </c>
      <c r="AU80" s="422">
        <v>1.6218802170130516E-8</v>
      </c>
      <c r="AV80" s="422">
        <v>3.0993028489885433E-9</v>
      </c>
      <c r="AW80" s="422">
        <v>1.6218802170027201E-8</v>
      </c>
      <c r="AX80" s="422">
        <v>3.0993028492058548E-9</v>
      </c>
      <c r="AY80" s="422">
        <v>2.922996989200087E-23</v>
      </c>
      <c r="AZ80" s="422">
        <v>-1.1982530463982269E-20</v>
      </c>
      <c r="BA80" s="422">
        <v>-4.4008584266000088E-21</v>
      </c>
      <c r="BB80" s="422">
        <v>2.7639826290746955E-22</v>
      </c>
      <c r="BC80" s="422">
        <v>1.0524460010606741E-19</v>
      </c>
      <c r="BD80" s="422">
        <v>1.0047137648975874E-21</v>
      </c>
      <c r="BE80" s="422">
        <v>1.1379053474202301E-8</v>
      </c>
      <c r="BF80" s="422">
        <v>-1.8410373252619834E-22</v>
      </c>
      <c r="BG80" s="422">
        <v>1.7248529568596561E-25</v>
      </c>
      <c r="BH80" s="422">
        <v>2.5998458752530066E-20</v>
      </c>
      <c r="BI80" s="422">
        <v>1.1377660810435665E-8</v>
      </c>
      <c r="BJ80" s="422">
        <v>1.6592342113819656E-3</v>
      </c>
      <c r="BK80" s="422">
        <v>4.0365443901411091E-3</v>
      </c>
      <c r="BL80" s="422">
        <v>7.1111959701222523E-3</v>
      </c>
      <c r="BM80" s="422">
        <v>1.0532834847410279E-2</v>
      </c>
      <c r="BN80" s="422">
        <v>1.3742797782622605E-2</v>
      </c>
      <c r="BO80" s="422">
        <v>1.774142254812772E-2</v>
      </c>
      <c r="BP80" s="422">
        <v>1.9688735211692707E-2</v>
      </c>
      <c r="BQ80" s="422">
        <v>2.1978183669233889E-2</v>
      </c>
      <c r="BR80" s="422">
        <v>2.4336381682616131E-2</v>
      </c>
      <c r="BS80" s="422">
        <v>2.7767748469688013E-2</v>
      </c>
      <c r="BT80" s="422">
        <v>2.9616349439242358E-2</v>
      </c>
      <c r="BU80" s="422">
        <v>3.1039833725869274E-2</v>
      </c>
      <c r="BV80" s="422">
        <v>3.0862498825278039E-2</v>
      </c>
      <c r="BW80" s="422">
        <v>3.0936743409020317E-2</v>
      </c>
      <c r="BX80" s="422">
        <v>3.0736400745390854E-2</v>
      </c>
      <c r="BY80" s="422">
        <v>3.0397582037727879E-2</v>
      </c>
      <c r="BZ80" s="422">
        <v>2.9665763654913472E-2</v>
      </c>
      <c r="CA80" s="422">
        <v>3.128687955904972E-2</v>
      </c>
      <c r="CB80" s="422">
        <v>3.4071220545855062E-2</v>
      </c>
      <c r="CC80" s="422">
        <v>3.6572251753787699E-2</v>
      </c>
      <c r="CD80" s="422">
        <v>3.7931458391527839E-2</v>
      </c>
      <c r="CE80" s="422">
        <v>3.9167402222339207E-2</v>
      </c>
      <c r="CF80" s="422">
        <v>4.1430782178897611E-2</v>
      </c>
      <c r="CG80" s="422">
        <v>4.1430782178897611E-2</v>
      </c>
      <c r="CH80" s="422">
        <v>4.1430782178897611E-2</v>
      </c>
      <c r="CI80" s="422">
        <v>4.1430782178897604E-2</v>
      </c>
      <c r="CJ80" s="422">
        <v>4.1430782178897611E-2</v>
      </c>
      <c r="CK80" s="422">
        <v>4.1430782178897611E-2</v>
      </c>
      <c r="CL80" s="422">
        <v>4.1430782178897611E-2</v>
      </c>
      <c r="CM80" s="422">
        <v>4.1430782178897611E-2</v>
      </c>
      <c r="CN80" s="422">
        <v>4.1430782178897611E-2</v>
      </c>
      <c r="CO80" s="422">
        <v>4.1430782178897604E-2</v>
      </c>
      <c r="CP80" s="422">
        <v>4.1430782178897715E-2</v>
      </c>
      <c r="CQ80" s="422">
        <v>4.1430782178897695E-2</v>
      </c>
      <c r="CR80" s="422">
        <v>4.1430787961067021E-2</v>
      </c>
      <c r="CS80" s="422">
        <v>4.1430782178897417E-2</v>
      </c>
      <c r="CT80" s="422">
        <v>4.1430787961067021E-2</v>
      </c>
      <c r="CU80" s="422">
        <v>4.1430787961067021E-2</v>
      </c>
      <c r="CV80" s="422">
        <v>4.1430787961067021E-2</v>
      </c>
      <c r="CW80" s="422">
        <v>4.1430787961067021E-2</v>
      </c>
      <c r="CX80" s="422">
        <v>4.1430787961067014E-2</v>
      </c>
      <c r="CY80" s="422">
        <v>4.1430782178897611E-2</v>
      </c>
      <c r="CZ80" s="422">
        <v>4.1430787961067021E-2</v>
      </c>
      <c r="DA80" s="422">
        <v>4.1430787961067021E-2</v>
      </c>
      <c r="DB80" s="422">
        <v>4.1430787961067021E-2</v>
      </c>
      <c r="DC80" s="422">
        <v>4.1430787961067021E-2</v>
      </c>
      <c r="DD80" s="422">
        <v>4.1430787961067021E-2</v>
      </c>
      <c r="DE80" s="422">
        <v>4.1430787961067021E-2</v>
      </c>
      <c r="DF80" s="422">
        <v>4.1430787961067014E-2</v>
      </c>
      <c r="DG80" s="422">
        <v>4.1430787961067021E-2</v>
      </c>
      <c r="DH80" s="422">
        <v>4.1430787961067021E-2</v>
      </c>
      <c r="DI80" s="422">
        <v>4.1430787961067014E-2</v>
      </c>
      <c r="DJ80" s="422">
        <v>4.1430782178897563E-2</v>
      </c>
      <c r="DK80" s="422">
        <v>4.1430782178897611E-2</v>
      </c>
      <c r="DL80" s="422">
        <v>4.1430787961067243E-2</v>
      </c>
      <c r="DM80" s="422">
        <v>4.1430782178897611E-2</v>
      </c>
      <c r="DN80" s="422">
        <v>4.1430782178897611E-2</v>
      </c>
      <c r="DO80" s="422">
        <v>4.1430782178897618E-2</v>
      </c>
      <c r="DP80" s="422">
        <v>4.1430787961067049E-2</v>
      </c>
      <c r="DQ80" s="422">
        <v>4.1430782178897597E-2</v>
      </c>
      <c r="DR80" s="422">
        <v>4.1430782178897611E-2</v>
      </c>
      <c r="DS80" s="422">
        <v>4.1430782178897611E-2</v>
      </c>
      <c r="DT80" s="422">
        <v>4.1430787961067E-2</v>
      </c>
      <c r="DU80" s="422">
        <v>4.1430782178897611E-2</v>
      </c>
      <c r="DV80" s="422">
        <v>4.1430782178897611E-2</v>
      </c>
      <c r="DW80" s="422">
        <v>4.1430782178897611E-2</v>
      </c>
      <c r="DX80" s="422">
        <v>4.1430782178897618E-2</v>
      </c>
      <c r="DY80" s="422">
        <v>4.1430782178897611E-2</v>
      </c>
      <c r="DZ80" s="422">
        <v>4.1430782178897639E-2</v>
      </c>
      <c r="EA80" s="422">
        <v>4.1430782178897063E-2</v>
      </c>
      <c r="EB80" s="422">
        <v>4.1430782178896702E-2</v>
      </c>
      <c r="EC80" s="422">
        <v>4.1430782178897028E-2</v>
      </c>
      <c r="ED80" s="422">
        <v>4.1430782178897611E-2</v>
      </c>
      <c r="EE80" s="422">
        <v>4.1430782178897611E-2</v>
      </c>
      <c r="EF80" s="422">
        <v>4.1430782178897618E-2</v>
      </c>
      <c r="EG80" s="422">
        <v>4.1430782178897611E-2</v>
      </c>
      <c r="EH80" s="422">
        <v>3.1540626376893609E-2</v>
      </c>
      <c r="EI80" s="423">
        <v>3.1540626376893609E-2</v>
      </c>
      <c r="EJ80" s="444"/>
      <c r="EK80" s="367"/>
      <c r="EL80" s="367"/>
      <c r="EM80" s="367"/>
      <c r="EN80" s="367"/>
      <c r="EO80" s="367"/>
      <c r="EP80" s="367"/>
      <c r="EQ80" s="367"/>
    </row>
    <row r="81" spans="1:147" x14ac:dyDescent="0.2">
      <c r="A81" s="192"/>
      <c r="B81" s="192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  <c r="O81" s="192"/>
      <c r="P81" s="192"/>
      <c r="Q81" s="192"/>
      <c r="R81" s="192"/>
      <c r="S81" s="266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  <c r="AG81" s="265"/>
      <c r="AH81" s="265"/>
      <c r="AI81" s="192"/>
      <c r="AJ81" s="192"/>
      <c r="AK81" s="369"/>
      <c r="AL81" s="367"/>
      <c r="AM81" s="420" t="s">
        <v>11</v>
      </c>
      <c r="AN81" s="421">
        <v>5.7740098572454296E-23</v>
      </c>
      <c r="AO81" s="422">
        <v>0</v>
      </c>
      <c r="AP81" s="422">
        <v>9.1863191904441318E-11</v>
      </c>
      <c r="AQ81" s="422">
        <v>6.0596321632348856E-10</v>
      </c>
      <c r="AR81" s="422">
        <v>-8.8959950517164543E-12</v>
      </c>
      <c r="AS81" s="422">
        <v>6.0596321632724737E-10</v>
      </c>
      <c r="AT81" s="422">
        <v>-6.4063584084551676E-19</v>
      </c>
      <c r="AU81" s="422">
        <v>-8.8959950517165836E-12</v>
      </c>
      <c r="AV81" s="422">
        <v>6.0596321632250029E-10</v>
      </c>
      <c r="AW81" s="422">
        <v>1.1693023297591073E-20</v>
      </c>
      <c r="AX81" s="422">
        <v>6.059632163219559E-10</v>
      </c>
      <c r="AY81" s="422">
        <v>3.5073825691482858E-23</v>
      </c>
      <c r="AZ81" s="422">
        <v>-3.8414193978141191E-21</v>
      </c>
      <c r="BA81" s="422">
        <v>-1.2965994305882647E-21</v>
      </c>
      <c r="BB81" s="422">
        <v>1.4809331718156313E-22</v>
      </c>
      <c r="BC81" s="422">
        <v>2.6039524278121121E-20</v>
      </c>
      <c r="BD81" s="422">
        <v>4.0732251998176127E-22</v>
      </c>
      <c r="BE81" s="422">
        <v>5.5179123185137543E-23</v>
      </c>
      <c r="BF81" s="422">
        <v>-2.4534933345133095E-21</v>
      </c>
      <c r="BG81" s="422">
        <v>-3.2133148394778722E-23</v>
      </c>
      <c r="BH81" s="422">
        <v>5.2303505113315311E-21</v>
      </c>
      <c r="BI81" s="422">
        <v>-4.8917814837193911E-23</v>
      </c>
      <c r="BJ81" s="422">
        <v>-1.2877959566233651E-21</v>
      </c>
      <c r="BK81" s="422">
        <v>-1.2966703707761618E-22</v>
      </c>
      <c r="BL81" s="422">
        <v>-4.9575419443874293E-22</v>
      </c>
      <c r="BM81" s="422">
        <v>-8.9721618995193505E-22</v>
      </c>
      <c r="BN81" s="422">
        <v>-1.2763514416494346E-21</v>
      </c>
      <c r="BO81" s="422">
        <v>1.8623554801660506E-22</v>
      </c>
      <c r="BP81" s="422">
        <v>-2.7846645477440442E-24</v>
      </c>
      <c r="BQ81" s="422">
        <v>-2.3711172105166977E-21</v>
      </c>
      <c r="BR81" s="422">
        <v>-4.7908326941420012E-23</v>
      </c>
      <c r="BS81" s="422">
        <v>-3.1132948134819112E-23</v>
      </c>
      <c r="BT81" s="422">
        <v>-1.4330050976993073E-22</v>
      </c>
      <c r="BU81" s="422">
        <v>-1.842922546404366E-22</v>
      </c>
      <c r="BV81" s="422">
        <v>-4.6884305827450211E-23</v>
      </c>
      <c r="BW81" s="422">
        <v>1.4835786774981137E-22</v>
      </c>
      <c r="BX81" s="422">
        <v>4.1303535998199423E-22</v>
      </c>
      <c r="BY81" s="422">
        <v>4.8014947967915486E-21</v>
      </c>
      <c r="BZ81" s="422">
        <v>8.9137903123433521E-23</v>
      </c>
      <c r="CA81" s="422">
        <v>-2.1001796505987621E-22</v>
      </c>
      <c r="CB81" s="422">
        <v>1.3763710017138631E-23</v>
      </c>
      <c r="CC81" s="422">
        <v>4.7712178763951853E-24</v>
      </c>
      <c r="CD81" s="422">
        <v>1.8266943660355709E-22</v>
      </c>
      <c r="CE81" s="422">
        <v>-1.4372450641867296E-22</v>
      </c>
      <c r="CF81" s="422">
        <v>-4.0935838822383736E-23</v>
      </c>
      <c r="CG81" s="422">
        <v>7.4742175753438732E-22</v>
      </c>
      <c r="CH81" s="422">
        <v>-4.6180141750334813E-21</v>
      </c>
      <c r="CI81" s="422">
        <v>-4.346970389072677E-20</v>
      </c>
      <c r="CJ81" s="422">
        <v>-2.2549756953142887E-19</v>
      </c>
      <c r="CK81" s="422">
        <v>-3.6941944104618394E-23</v>
      </c>
      <c r="CL81" s="422">
        <v>-1.7029360825218949E-20</v>
      </c>
      <c r="CM81" s="422">
        <v>7.1616867519050397E-22</v>
      </c>
      <c r="CN81" s="422">
        <v>8.644009628271625E-26</v>
      </c>
      <c r="CO81" s="422">
        <v>-2.5472049583934237E-16</v>
      </c>
      <c r="CP81" s="422">
        <v>7.1230397340477475E-17</v>
      </c>
      <c r="CQ81" s="422">
        <v>-6.9925756287165514E-17</v>
      </c>
      <c r="CR81" s="422">
        <v>-2.8594628986260173E-21</v>
      </c>
      <c r="CS81" s="422">
        <v>7.0482458101262043E-17</v>
      </c>
      <c r="CT81" s="422">
        <v>-3.5878094254142333E-20</v>
      </c>
      <c r="CU81" s="422">
        <v>1.5787790278154716E-21</v>
      </c>
      <c r="CV81" s="422">
        <v>1.0844829203942085E-20</v>
      </c>
      <c r="CW81" s="422">
        <v>-1.9314196068122457E-23</v>
      </c>
      <c r="CX81" s="422">
        <v>-3.059215811152567E-23</v>
      </c>
      <c r="CY81" s="422">
        <v>1.0576474951761919E-19</v>
      </c>
      <c r="CZ81" s="422">
        <v>-1.3862042564526572E-22</v>
      </c>
      <c r="DA81" s="422">
        <v>6.8127394426649438E-20</v>
      </c>
      <c r="DB81" s="422">
        <v>-1.2653881594178468E-19</v>
      </c>
      <c r="DC81" s="422">
        <v>-5.7165028190041496E-22</v>
      </c>
      <c r="DD81" s="422">
        <v>-1.1166397479112635E-23</v>
      </c>
      <c r="DE81" s="422">
        <v>1.1624943708564652E-21</v>
      </c>
      <c r="DF81" s="422">
        <v>-3.8522362747932989E-20</v>
      </c>
      <c r="DG81" s="422">
        <v>-7.6689154878925438E-23</v>
      </c>
      <c r="DH81" s="422">
        <v>1.7930218302785065E-19</v>
      </c>
      <c r="DI81" s="422">
        <v>1.1104972768559479E-21</v>
      </c>
      <c r="DJ81" s="422">
        <v>-2.4466662160413909E-18</v>
      </c>
      <c r="DK81" s="422">
        <v>3.6776955739686946E-22</v>
      </c>
      <c r="DL81" s="422">
        <v>-2.6237225164390354E-16</v>
      </c>
      <c r="DM81" s="422">
        <v>-2.0705229332875759E-23</v>
      </c>
      <c r="DN81" s="422">
        <v>1.6082051200613212E-23</v>
      </c>
      <c r="DO81" s="422">
        <v>-1.2217385718684832E-18</v>
      </c>
      <c r="DP81" s="422">
        <v>-1.1390957906402693E-16</v>
      </c>
      <c r="DQ81" s="422">
        <v>7.4905769633434377E-18</v>
      </c>
      <c r="DR81" s="422">
        <v>1.8717995124539198E-18</v>
      </c>
      <c r="DS81" s="422">
        <v>2.3474807509255977E-21</v>
      </c>
      <c r="DT81" s="422">
        <v>-2.5672050641584284E-16</v>
      </c>
      <c r="DU81" s="422">
        <v>9.3750238990034992E-20</v>
      </c>
      <c r="DV81" s="422">
        <v>-7.2175039950100547E-20</v>
      </c>
      <c r="DW81" s="422">
        <v>-7.0583517114829124E-20</v>
      </c>
      <c r="DX81" s="422">
        <v>-1.0205066986977365E-18</v>
      </c>
      <c r="DY81" s="422">
        <v>1.6494486204834745E-20</v>
      </c>
      <c r="DZ81" s="422">
        <v>-1.1897632674591559E-16</v>
      </c>
      <c r="EA81" s="422">
        <v>3.2564064948123688E-17</v>
      </c>
      <c r="EB81" s="422">
        <v>1.6169119861877399E-17</v>
      </c>
      <c r="EC81" s="422">
        <v>-1.2216925421547403E-17</v>
      </c>
      <c r="ED81" s="422">
        <v>7.02860903344924E-21</v>
      </c>
      <c r="EE81" s="422">
        <v>3.7734796556101375E-20</v>
      </c>
      <c r="EF81" s="422">
        <v>5.1755949354647931E-20</v>
      </c>
      <c r="EG81" s="422">
        <v>5.0170748937707535E-20</v>
      </c>
      <c r="EH81" s="422">
        <v>9.7036774098048263E-3</v>
      </c>
      <c r="EI81" s="423">
        <v>9.7036774098048263E-3</v>
      </c>
      <c r="EJ81" s="444"/>
      <c r="EK81" s="367"/>
      <c r="EL81" s="367"/>
      <c r="EM81" s="367"/>
      <c r="EN81" s="367"/>
      <c r="EO81" s="367"/>
      <c r="EP81" s="367"/>
      <c r="EQ81" s="367"/>
    </row>
    <row r="82" spans="1:147" x14ac:dyDescent="0.2">
      <c r="A82" s="192"/>
      <c r="B82" s="192"/>
      <c r="C82" s="192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192"/>
      <c r="O82" s="192"/>
      <c r="P82" s="192"/>
      <c r="Q82" s="192"/>
      <c r="R82" s="192"/>
      <c r="S82" s="266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  <c r="AG82" s="265"/>
      <c r="AH82" s="265"/>
      <c r="AI82" s="192"/>
      <c r="AJ82" s="192"/>
      <c r="AK82" s="369"/>
      <c r="AL82" s="367"/>
      <c r="AM82" s="420" t="s">
        <v>12</v>
      </c>
      <c r="AN82" s="421">
        <v>1.3926637621002399E-12</v>
      </c>
      <c r="AO82" s="422">
        <v>1.3926637623162635E-12</v>
      </c>
      <c r="AP82" s="422">
        <v>1.392663762117619E-12</v>
      </c>
      <c r="AQ82" s="422">
        <v>1.3926637628272424E-12</v>
      </c>
      <c r="AR82" s="422">
        <v>1.3926637620897964E-12</v>
      </c>
      <c r="AS82" s="422">
        <v>1.3926637621103785E-12</v>
      </c>
      <c r="AT82" s="422">
        <v>1.3926637620897964E-12</v>
      </c>
      <c r="AU82" s="422">
        <v>1.3926637620897964E-12</v>
      </c>
      <c r="AV82" s="422">
        <v>1.3926637621426218E-12</v>
      </c>
      <c r="AW82" s="422">
        <v>1.3926637620897964E-12</v>
      </c>
      <c r="AX82" s="422">
        <v>1.3926637620897964E-12</v>
      </c>
      <c r="AY82" s="422">
        <v>1.3926637620897964E-12</v>
      </c>
      <c r="AZ82" s="422">
        <v>1.3926637620897964E-12</v>
      </c>
      <c r="BA82" s="422">
        <v>1.3926637620897964E-12</v>
      </c>
      <c r="BB82" s="422">
        <v>1.3926637620897964E-12</v>
      </c>
      <c r="BC82" s="422">
        <v>1.3926637620897964E-12</v>
      </c>
      <c r="BD82" s="422">
        <v>1.3926637620897964E-12</v>
      </c>
      <c r="BE82" s="422">
        <v>1.3926637620897964E-12</v>
      </c>
      <c r="BF82" s="422">
        <v>1.3926637620897964E-12</v>
      </c>
      <c r="BG82" s="422">
        <v>1.3926637620897964E-12</v>
      </c>
      <c r="BH82" s="422">
        <v>1.3926637620897964E-12</v>
      </c>
      <c r="BI82" s="422">
        <v>1.3926637628352483E-12</v>
      </c>
      <c r="BJ82" s="422">
        <v>1.3926637626004715E-12</v>
      </c>
      <c r="BK82" s="422">
        <v>1.3926637621749263E-12</v>
      </c>
      <c r="BL82" s="422">
        <v>1.3926637620897964E-12</v>
      </c>
      <c r="BM82" s="422">
        <v>1.3926637651780423E-12</v>
      </c>
      <c r="BN82" s="422">
        <v>1.3926637620897964E-12</v>
      </c>
      <c r="BO82" s="422">
        <v>1.3926637623735629E-12</v>
      </c>
      <c r="BP82" s="422">
        <v>1.3926637622590863E-12</v>
      </c>
      <c r="BQ82" s="422">
        <v>1.3926637620897964E-12</v>
      </c>
      <c r="BR82" s="422">
        <v>1.3926637621886537E-12</v>
      </c>
      <c r="BS82" s="422">
        <v>1.3926637622374134E-12</v>
      </c>
      <c r="BT82" s="422">
        <v>1.3926637621416882E-12</v>
      </c>
      <c r="BU82" s="422">
        <v>1.3926637621077752E-12</v>
      </c>
      <c r="BV82" s="422">
        <v>1.3926637623580289E-12</v>
      </c>
      <c r="BW82" s="422">
        <v>1.3926637621697374E-12</v>
      </c>
      <c r="BX82" s="422">
        <v>1.3926637645350341E-12</v>
      </c>
      <c r="BY82" s="422">
        <v>1.3926637999002706E-12</v>
      </c>
      <c r="BZ82" s="422">
        <v>1.3926637623498112E-12</v>
      </c>
      <c r="CA82" s="422">
        <v>1.3926637622036351E-12</v>
      </c>
      <c r="CB82" s="422">
        <v>1.3926637621870062E-12</v>
      </c>
      <c r="CC82" s="422">
        <v>1.3926637621313577E-12</v>
      </c>
      <c r="CD82" s="422">
        <v>1.3926637621110587E-12</v>
      </c>
      <c r="CE82" s="422">
        <v>1.3926637620897964E-12</v>
      </c>
      <c r="CF82" s="422">
        <v>1.3926637620897964E-12</v>
      </c>
      <c r="CG82" s="422">
        <v>1.392663766244871E-12</v>
      </c>
      <c r="CH82" s="422">
        <v>1.3926638254967105E-12</v>
      </c>
      <c r="CI82" s="422">
        <v>1.3926637620897964E-12</v>
      </c>
      <c r="CJ82" s="422">
        <v>1.3926637622846447E-12</v>
      </c>
      <c r="CK82" s="422">
        <v>1.3926637621717418E-12</v>
      </c>
      <c r="CL82" s="422">
        <v>1.3926637693106752E-12</v>
      </c>
      <c r="CM82" s="422">
        <v>1.3926637623942319E-12</v>
      </c>
      <c r="CN82" s="422">
        <v>1.3926637634838409E-12</v>
      </c>
      <c r="CO82" s="422">
        <v>1.3927010840913344E-12</v>
      </c>
      <c r="CP82" s="422">
        <v>1.3926808843826301E-12</v>
      </c>
      <c r="CQ82" s="422">
        <v>1.392677286054374E-12</v>
      </c>
      <c r="CR82" s="422">
        <v>1.3926637625816752E-12</v>
      </c>
      <c r="CS82" s="422">
        <v>1.3927234329461937E-12</v>
      </c>
      <c r="CT82" s="422">
        <v>1.3926637639714505E-12</v>
      </c>
      <c r="CU82" s="422">
        <v>1.3926637620901015E-12</v>
      </c>
      <c r="CV82" s="422">
        <v>1.3926637621445634E-12</v>
      </c>
      <c r="CW82" s="422">
        <v>1.3926637620897964E-12</v>
      </c>
      <c r="CX82" s="422">
        <v>1.3926637620897964E-12</v>
      </c>
      <c r="CY82" s="422">
        <v>1.3926637822916373E-12</v>
      </c>
      <c r="CZ82" s="422">
        <v>1.3926637624830713E-12</v>
      </c>
      <c r="DA82" s="422">
        <v>1.3926637621875798E-12</v>
      </c>
      <c r="DB82" s="422">
        <v>1.3926637656734087E-12</v>
      </c>
      <c r="DC82" s="422">
        <v>1.3926637620991078E-12</v>
      </c>
      <c r="DD82" s="422">
        <v>1.3926637635645814E-12</v>
      </c>
      <c r="DE82" s="422">
        <v>1.3926638048284182E-12</v>
      </c>
      <c r="DF82" s="422">
        <v>1.3926637631499941E-12</v>
      </c>
      <c r="DG82" s="422">
        <v>1.3926637666074047E-12</v>
      </c>
      <c r="DH82" s="422">
        <v>1.3926637620897964E-12</v>
      </c>
      <c r="DI82" s="422">
        <v>1.392663762090613E-12</v>
      </c>
      <c r="DJ82" s="422">
        <v>1.3926637620897964E-12</v>
      </c>
      <c r="DK82" s="422">
        <v>1.3926637620897964E-12</v>
      </c>
      <c r="DL82" s="422">
        <v>1.3926796321867688E-12</v>
      </c>
      <c r="DM82" s="422">
        <v>1.3926637639316503E-12</v>
      </c>
      <c r="DN82" s="422">
        <v>1.3926637622811364E-12</v>
      </c>
      <c r="DO82" s="422">
        <v>1.3926637620897964E-12</v>
      </c>
      <c r="DP82" s="422">
        <v>1.3926768637886409E-12</v>
      </c>
      <c r="DQ82" s="422">
        <v>1.3926637620947096E-12</v>
      </c>
      <c r="DR82" s="422">
        <v>1.3926643257763758E-12</v>
      </c>
      <c r="DS82" s="422">
        <v>1.3926637620897964E-12</v>
      </c>
      <c r="DT82" s="422">
        <v>1.3926817367433027E-12</v>
      </c>
      <c r="DU82" s="422">
        <v>1.3926637620897964E-12</v>
      </c>
      <c r="DV82" s="422">
        <v>1.3926638341631664E-12</v>
      </c>
      <c r="DW82" s="422">
        <v>1.3926637887541306E-12</v>
      </c>
      <c r="DX82" s="422">
        <v>1.3926644178756804E-12</v>
      </c>
      <c r="DY82" s="422">
        <v>1.3926637657616846E-12</v>
      </c>
      <c r="DZ82" s="422">
        <v>1.3926871879949359E-12</v>
      </c>
      <c r="EA82" s="422">
        <v>1.3926637620897964E-12</v>
      </c>
      <c r="EB82" s="422">
        <v>1.3926875353299785E-12</v>
      </c>
      <c r="EC82" s="422">
        <v>1.3926784179315114E-12</v>
      </c>
      <c r="ED82" s="422">
        <v>1.3926637620897964E-12</v>
      </c>
      <c r="EE82" s="422">
        <v>1.3926638168299109E-12</v>
      </c>
      <c r="EF82" s="422">
        <v>1.39266383716975E-12</v>
      </c>
      <c r="EG82" s="422">
        <v>1.3926637620897964E-12</v>
      </c>
      <c r="EH82" s="422">
        <v>8.3687090572564789E-5</v>
      </c>
      <c r="EI82" s="423">
        <v>8.3687090572564789E-5</v>
      </c>
      <c r="EJ82" s="444"/>
      <c r="EK82" s="367"/>
      <c r="EL82" s="367"/>
      <c r="EM82" s="367"/>
      <c r="EN82" s="367"/>
      <c r="EO82" s="367"/>
      <c r="EP82" s="367"/>
      <c r="EQ82" s="367"/>
    </row>
    <row r="83" spans="1:147" x14ac:dyDescent="0.2">
      <c r="A83" s="192"/>
      <c r="B83" s="192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192"/>
      <c r="S83" s="266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  <c r="AG83" s="265"/>
      <c r="AH83" s="265"/>
      <c r="AI83" s="192"/>
      <c r="AJ83" s="192"/>
      <c r="AK83" s="369"/>
      <c r="AL83" s="367"/>
      <c r="AM83" s="420" t="s">
        <v>13</v>
      </c>
      <c r="AN83" s="421">
        <v>3.5832670164382998E-9</v>
      </c>
      <c r="AO83" s="422">
        <v>3.5832670164387907E-9</v>
      </c>
      <c r="AP83" s="422">
        <v>3.5832670164381852E-9</v>
      </c>
      <c r="AQ83" s="422">
        <v>3.5832670164381852E-9</v>
      </c>
      <c r="AR83" s="422">
        <v>3.5832670164434796E-9</v>
      </c>
      <c r="AS83" s="422">
        <v>3.5832670164381852E-9</v>
      </c>
      <c r="AT83" s="422">
        <v>3.5832670164418083E-9</v>
      </c>
      <c r="AU83" s="422">
        <v>3.5832670164381852E-9</v>
      </c>
      <c r="AV83" s="422">
        <v>3.5832670164381852E-9</v>
      </c>
      <c r="AW83" s="422">
        <v>3.5832670164384673E-9</v>
      </c>
      <c r="AX83" s="422">
        <v>3.5832670164381852E-9</v>
      </c>
      <c r="AY83" s="422">
        <v>3.5832670164381852E-9</v>
      </c>
      <c r="AZ83" s="422">
        <v>3.5832670164381852E-9</v>
      </c>
      <c r="BA83" s="422">
        <v>3.5832670164381852E-9</v>
      </c>
      <c r="BB83" s="422">
        <v>3.5832670164381852E-9</v>
      </c>
      <c r="BC83" s="422">
        <v>3.5832670164381852E-9</v>
      </c>
      <c r="BD83" s="422">
        <v>3.5832670164381852E-9</v>
      </c>
      <c r="BE83" s="422">
        <v>3.5832670164381852E-9</v>
      </c>
      <c r="BF83" s="422">
        <v>3.5832670164381852E-9</v>
      </c>
      <c r="BG83" s="422">
        <v>3.5832670164381852E-9</v>
      </c>
      <c r="BH83" s="422">
        <v>3.5832670164381852E-9</v>
      </c>
      <c r="BI83" s="422">
        <v>3.5832670164381852E-9</v>
      </c>
      <c r="BJ83" s="422">
        <v>5.171054236377087E-4</v>
      </c>
      <c r="BK83" s="422">
        <v>1.5172511078830602E-3</v>
      </c>
      <c r="BL83" s="422">
        <v>2.5826604722897096E-3</v>
      </c>
      <c r="BM83" s="422">
        <v>3.7204554711250679E-3</v>
      </c>
      <c r="BN83" s="422">
        <v>4.8040293409809896E-3</v>
      </c>
      <c r="BO83" s="422">
        <v>6.013505133627914E-3</v>
      </c>
      <c r="BP83" s="422">
        <v>7.1926202415420817E-3</v>
      </c>
      <c r="BQ83" s="422">
        <v>8.1140697061835073E-3</v>
      </c>
      <c r="BR83" s="422">
        <v>9.1992031634863681E-3</v>
      </c>
      <c r="BS83" s="422">
        <v>1.0052781561116653E-2</v>
      </c>
      <c r="BT83" s="422">
        <v>1.1088617806854641E-2</v>
      </c>
      <c r="BU83" s="422">
        <v>1.1749211848280147E-2</v>
      </c>
      <c r="BV83" s="422">
        <v>1.1749211848280148E-2</v>
      </c>
      <c r="BW83" s="422">
        <v>1.1749211848280153E-2</v>
      </c>
      <c r="BX83" s="422">
        <v>1.1749211848280148E-2</v>
      </c>
      <c r="BY83" s="422">
        <v>1.1749211848280148E-2</v>
      </c>
      <c r="BZ83" s="422">
        <v>1.1749211848280147E-2</v>
      </c>
      <c r="CA83" s="422">
        <v>1.174921184828015E-2</v>
      </c>
      <c r="CB83" s="422">
        <v>1.1749211848280153E-2</v>
      </c>
      <c r="CC83" s="422">
        <v>1.1749211848280148E-2</v>
      </c>
      <c r="CD83" s="422">
        <v>1.1749211848280152E-2</v>
      </c>
      <c r="CE83" s="422">
        <v>1.1749211848280148E-2</v>
      </c>
      <c r="CF83" s="422">
        <v>1.1749211848280148E-2</v>
      </c>
      <c r="CG83" s="422">
        <v>1.174921184828015E-2</v>
      </c>
      <c r="CH83" s="422">
        <v>1.174921184828015E-2</v>
      </c>
      <c r="CI83" s="422">
        <v>1.1749211848280153E-2</v>
      </c>
      <c r="CJ83" s="422">
        <v>1.1749211848280152E-2</v>
      </c>
      <c r="CK83" s="422">
        <v>1.1749211848280152E-2</v>
      </c>
      <c r="CL83" s="422">
        <v>1.174921184828015E-2</v>
      </c>
      <c r="CM83" s="422">
        <v>1.1749211848280153E-2</v>
      </c>
      <c r="CN83" s="422">
        <v>1.1749211848280152E-2</v>
      </c>
      <c r="CO83" s="422">
        <v>1.1749211848280138E-2</v>
      </c>
      <c r="CP83" s="422">
        <v>1.1749211848280147E-2</v>
      </c>
      <c r="CQ83" s="422">
        <v>1.174921184828015E-2</v>
      </c>
      <c r="CR83" s="422">
        <v>1.1749211848280152E-2</v>
      </c>
      <c r="CS83" s="422">
        <v>1.1749211848280133E-2</v>
      </c>
      <c r="CT83" s="422">
        <v>1.1749211848280148E-2</v>
      </c>
      <c r="CU83" s="422">
        <v>1.1749211848280147E-2</v>
      </c>
      <c r="CV83" s="422">
        <v>1.1749211848280152E-2</v>
      </c>
      <c r="CW83" s="422">
        <v>1.1749211848280152E-2</v>
      </c>
      <c r="CX83" s="422">
        <v>1.1749211848280153E-2</v>
      </c>
      <c r="CY83" s="422">
        <v>1.174921184828015E-2</v>
      </c>
      <c r="CZ83" s="422">
        <v>1.1749211848280152E-2</v>
      </c>
      <c r="DA83" s="422">
        <v>1.1749211848280152E-2</v>
      </c>
      <c r="DB83" s="422">
        <v>1.1749211848280148E-2</v>
      </c>
      <c r="DC83" s="422">
        <v>1.174921184828015E-2</v>
      </c>
      <c r="DD83" s="422">
        <v>1.1749211848280148E-2</v>
      </c>
      <c r="DE83" s="422">
        <v>1.1749211848280153E-2</v>
      </c>
      <c r="DF83" s="422">
        <v>1.1749211848280153E-2</v>
      </c>
      <c r="DG83" s="422">
        <v>1.174921184828015E-2</v>
      </c>
      <c r="DH83" s="422">
        <v>1.174921184828015E-2</v>
      </c>
      <c r="DI83" s="422">
        <v>1.1749211848280153E-2</v>
      </c>
      <c r="DJ83" s="422">
        <v>1.1749211848280138E-2</v>
      </c>
      <c r="DK83" s="422">
        <v>1.1749211848280153E-2</v>
      </c>
      <c r="DL83" s="422">
        <v>1.1749211848280205E-2</v>
      </c>
      <c r="DM83" s="422">
        <v>1.174921184828015E-2</v>
      </c>
      <c r="DN83" s="422">
        <v>1.1749211848280148E-2</v>
      </c>
      <c r="DO83" s="422">
        <v>1.174921184828015E-2</v>
      </c>
      <c r="DP83" s="422">
        <v>1.1749211848280134E-2</v>
      </c>
      <c r="DQ83" s="422">
        <v>1.1749211848280148E-2</v>
      </c>
      <c r="DR83" s="422">
        <v>1.1749211848280148E-2</v>
      </c>
      <c r="DS83" s="422">
        <v>1.174921184828015E-2</v>
      </c>
      <c r="DT83" s="422">
        <v>1.1749211848280131E-2</v>
      </c>
      <c r="DU83" s="422">
        <v>1.174921184828015E-2</v>
      </c>
      <c r="DV83" s="422">
        <v>1.1749211848280148E-2</v>
      </c>
      <c r="DW83" s="422">
        <v>1.1749211848280148E-2</v>
      </c>
      <c r="DX83" s="422">
        <v>1.1749211848280148E-2</v>
      </c>
      <c r="DY83" s="422">
        <v>1.1749211848280152E-2</v>
      </c>
      <c r="DZ83" s="422">
        <v>1.1749211848280176E-2</v>
      </c>
      <c r="EA83" s="422">
        <v>1.1749211848280195E-2</v>
      </c>
      <c r="EB83" s="422">
        <v>1.1749211848280114E-2</v>
      </c>
      <c r="EC83" s="422">
        <v>1.1749211848280219E-2</v>
      </c>
      <c r="ED83" s="422">
        <v>1.1749211848280147E-2</v>
      </c>
      <c r="EE83" s="422">
        <v>1.1749211848280147E-2</v>
      </c>
      <c r="EF83" s="422">
        <v>1.1749211848280147E-2</v>
      </c>
      <c r="EG83" s="422">
        <v>1.174921184828015E-2</v>
      </c>
      <c r="EH83" s="422">
        <v>1.1729354421311494E-2</v>
      </c>
      <c r="EI83" s="423">
        <v>1.1729354421311494E-2</v>
      </c>
      <c r="EJ83" s="444"/>
      <c r="EK83" s="367"/>
      <c r="EL83" s="367"/>
      <c r="EM83" s="367"/>
      <c r="EN83" s="367"/>
      <c r="EO83" s="367"/>
      <c r="EP83" s="367"/>
      <c r="EQ83" s="367"/>
    </row>
    <row r="84" spans="1:147" x14ac:dyDescent="0.2">
      <c r="A84" s="192"/>
      <c r="B84" s="192"/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266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  <c r="AG84" s="265"/>
      <c r="AH84" s="265"/>
      <c r="AI84" s="192"/>
      <c r="AJ84" s="192"/>
      <c r="AK84" s="369"/>
      <c r="AL84" s="367"/>
      <c r="AM84" s="420" t="s">
        <v>14</v>
      </c>
      <c r="AN84" s="421">
        <v>1.5372727074496347E-23</v>
      </c>
      <c r="AO84" s="422">
        <v>3.6754049895305611E-22</v>
      </c>
      <c r="AP84" s="422">
        <v>-3.7172845963591747E-10</v>
      </c>
      <c r="AQ84" s="422">
        <v>7.0358713408631998E-10</v>
      </c>
      <c r="AR84" s="422">
        <v>-2.3349425314381624E-21</v>
      </c>
      <c r="AS84" s="422">
        <v>7.0358713408937858E-10</v>
      </c>
      <c r="AT84" s="422">
        <v>-6.2137778179153465E-20</v>
      </c>
      <c r="AU84" s="422">
        <v>-3.7633185456797946E-10</v>
      </c>
      <c r="AV84" s="422">
        <v>7.0358713408521321E-10</v>
      </c>
      <c r="AW84" s="422">
        <v>5.5347532190650601E-22</v>
      </c>
      <c r="AX84" s="422">
        <v>7.0358713412863471E-10</v>
      </c>
      <c r="AY84" s="422">
        <v>7.5344828064833197E-23</v>
      </c>
      <c r="AZ84" s="422">
        <v>1.3941606834773589E-21</v>
      </c>
      <c r="BA84" s="422">
        <v>4.0084516851466033E-22</v>
      </c>
      <c r="BB84" s="422">
        <v>1.7251769077611334E-24</v>
      </c>
      <c r="BC84" s="422">
        <v>-6.6194161281074716E-11</v>
      </c>
      <c r="BD84" s="422">
        <v>-6.6194161264702744E-11</v>
      </c>
      <c r="BE84" s="422">
        <v>6.5151211558589664E-24</v>
      </c>
      <c r="BF84" s="422">
        <v>-3.7633185456797946E-10</v>
      </c>
      <c r="BG84" s="422">
        <v>-3.7633185456774268E-10</v>
      </c>
      <c r="BH84" s="422">
        <v>-6.6194161279827211E-11</v>
      </c>
      <c r="BI84" s="422">
        <v>-1.1134750243261666E-23</v>
      </c>
      <c r="BJ84" s="422">
        <v>2.3943897104748468E-22</v>
      </c>
      <c r="BK84" s="422">
        <v>4.4927498234322753E-24</v>
      </c>
      <c r="BL84" s="422">
        <v>-6.0194044333917214E-22</v>
      </c>
      <c r="BM84" s="422">
        <v>5.6148268101397498E-21</v>
      </c>
      <c r="BN84" s="422">
        <v>4.1816760381031909E-21</v>
      </c>
      <c r="BO84" s="422">
        <v>1.2792780316242444E-22</v>
      </c>
      <c r="BP84" s="422">
        <v>5.3999930074718087E-24</v>
      </c>
      <c r="BQ84" s="422">
        <v>-1.3307312209729642E-20</v>
      </c>
      <c r="BR84" s="422">
        <v>8.9005923742106846E-24</v>
      </c>
      <c r="BS84" s="422">
        <v>-2.8485018593843663E-22</v>
      </c>
      <c r="BT84" s="422">
        <v>-3.1054094700249188E-22</v>
      </c>
      <c r="BU84" s="422">
        <v>-9.15286139099639E-23</v>
      </c>
      <c r="BV84" s="422">
        <v>-6.6750840801545324E-23</v>
      </c>
      <c r="BW84" s="422">
        <v>9.4985464252248912E-23</v>
      </c>
      <c r="BX84" s="422">
        <v>-3.241639747214974E-22</v>
      </c>
      <c r="BY84" s="422">
        <v>7.0077226390136098E-21</v>
      </c>
      <c r="BZ84" s="422">
        <v>5.8544234337812071E-23</v>
      </c>
      <c r="CA84" s="422">
        <v>-1.133219438064194E-22</v>
      </c>
      <c r="CB84" s="422">
        <v>-3.4375772421082346E-24</v>
      </c>
      <c r="CC84" s="422">
        <v>-6.561093617848263E-24</v>
      </c>
      <c r="CD84" s="422">
        <v>-7.2367209066382681E-23</v>
      </c>
      <c r="CE84" s="422">
        <v>5.140224036259977E-23</v>
      </c>
      <c r="CF84" s="422">
        <v>-1.2023828625884622E-22</v>
      </c>
      <c r="CG84" s="422">
        <v>-1.9264205369787829E-22</v>
      </c>
      <c r="CH84" s="422">
        <v>1.6703834141392226E-20</v>
      </c>
      <c r="CI84" s="422">
        <v>-3.8354693132769393E-20</v>
      </c>
      <c r="CJ84" s="422">
        <v>-2.3956856381156276E-21</v>
      </c>
      <c r="CK84" s="422">
        <v>-4.4939952465008038E-23</v>
      </c>
      <c r="CL84" s="422">
        <v>1.1112813306972826E-20</v>
      </c>
      <c r="CM84" s="422">
        <v>2.3240967905694713E-22</v>
      </c>
      <c r="CN84" s="422">
        <v>6.6990835307957519E-24</v>
      </c>
      <c r="CO84" s="422">
        <v>1.3126986521970161E-17</v>
      </c>
      <c r="CP84" s="422">
        <v>6.5866111893536289E-18</v>
      </c>
      <c r="CQ84" s="422">
        <v>-1.5928804852251742E-18</v>
      </c>
      <c r="CR84" s="422">
        <v>-4.6177955858589817E-23</v>
      </c>
      <c r="CS84" s="422">
        <v>5.8470745244491633E-18</v>
      </c>
      <c r="CT84" s="422">
        <v>1.7914875630448561E-22</v>
      </c>
      <c r="CU84" s="422">
        <v>-7.6515343230660191E-23</v>
      </c>
      <c r="CV84" s="422">
        <v>-5.2676220251778927E-22</v>
      </c>
      <c r="CW84" s="422">
        <v>-1.556895012061376E-24</v>
      </c>
      <c r="CX84" s="422">
        <v>-2.5803484822963345E-24</v>
      </c>
      <c r="CY84" s="422">
        <v>-6.1572671393982665E-21</v>
      </c>
      <c r="CZ84" s="422">
        <v>-1.4203274241858147E-23</v>
      </c>
      <c r="DA84" s="422">
        <v>-3.3101854047850331E-21</v>
      </c>
      <c r="DB84" s="422">
        <v>6.148788630529379E-21</v>
      </c>
      <c r="DC84" s="422">
        <v>-5.0746616256142927E-23</v>
      </c>
      <c r="DD84" s="422">
        <v>-8.4706255335923435E-25</v>
      </c>
      <c r="DE84" s="422">
        <v>1.0362553705930585E-22</v>
      </c>
      <c r="DF84" s="422">
        <v>1.8720386068438437E-21</v>
      </c>
      <c r="DG84" s="422">
        <v>-6.6475375661528784E-24</v>
      </c>
      <c r="DH84" s="422">
        <v>-8.7122436799060297E-21</v>
      </c>
      <c r="DI84" s="422">
        <v>-5.374857293530685E-23</v>
      </c>
      <c r="DJ84" s="422">
        <v>-1.263162336992279E-17</v>
      </c>
      <c r="DK84" s="422">
        <v>-1.4919759786757046E-20</v>
      </c>
      <c r="DL84" s="422">
        <v>2.331315328520242E-17</v>
      </c>
      <c r="DM84" s="422">
        <v>-7.8813029315250346E-22</v>
      </c>
      <c r="DN84" s="422">
        <v>-8.505752811615134E-26</v>
      </c>
      <c r="DO84" s="422">
        <v>-1.0983475963855404E-19</v>
      </c>
      <c r="DP84" s="422">
        <v>8.3483545797301448E-18</v>
      </c>
      <c r="DQ84" s="422">
        <v>-4.2983462196996139E-19</v>
      </c>
      <c r="DR84" s="422">
        <v>7.263126556316488E-20</v>
      </c>
      <c r="DS84" s="422">
        <v>1.1584065154652585E-22</v>
      </c>
      <c r="DT84" s="422">
        <v>-1.659028731432301E-17</v>
      </c>
      <c r="DU84" s="422">
        <v>-2.8666255174132283E-19</v>
      </c>
      <c r="DV84" s="422">
        <v>1.5328301658028198E-21</v>
      </c>
      <c r="DW84" s="422">
        <v>9.5029614335678498E-21</v>
      </c>
      <c r="DX84" s="422">
        <v>8.3538865198706702E-19</v>
      </c>
      <c r="DY84" s="422">
        <v>1.0844612534714198E-21</v>
      </c>
      <c r="DZ84" s="422">
        <v>4.3632211901184268E-17</v>
      </c>
      <c r="EA84" s="422">
        <v>1.6701005706872005E-16</v>
      </c>
      <c r="EB84" s="422">
        <v>-2.2666943411780018E-17</v>
      </c>
      <c r="EC84" s="422">
        <v>1.1114436738585978E-16</v>
      </c>
      <c r="ED84" s="422">
        <v>-1.9488266889174971E-20</v>
      </c>
      <c r="EE84" s="422">
        <v>-2.0363540496169425E-20</v>
      </c>
      <c r="EF84" s="422">
        <v>-2.7930028353913937E-20</v>
      </c>
      <c r="EG84" s="422">
        <v>2.2053156560097628E-20</v>
      </c>
      <c r="EH84" s="422">
        <v>2.041708282509813E-5</v>
      </c>
      <c r="EI84" s="423">
        <v>2.041708282509813E-5</v>
      </c>
      <c r="EJ84" s="444"/>
      <c r="EK84" s="367"/>
      <c r="EL84" s="367"/>
      <c r="EM84" s="367"/>
      <c r="EN84" s="367"/>
      <c r="EO84" s="367"/>
      <c r="EP84" s="367"/>
      <c r="EQ84" s="367"/>
    </row>
    <row r="85" spans="1:147" x14ac:dyDescent="0.2">
      <c r="A85" s="192"/>
      <c r="B85" s="192"/>
      <c r="C85" s="192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266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  <c r="AG85" s="265"/>
      <c r="AH85" s="265"/>
      <c r="AI85" s="192"/>
      <c r="AJ85" s="192"/>
      <c r="AK85" s="369"/>
      <c r="AL85" s="367"/>
      <c r="AM85" s="420" t="s">
        <v>15</v>
      </c>
      <c r="AN85" s="421">
        <v>6.6194161263410933E-11</v>
      </c>
      <c r="AO85" s="422">
        <v>6.6194161263881909E-11</v>
      </c>
      <c r="AP85" s="422">
        <v>6.6194161263410933E-11</v>
      </c>
      <c r="AQ85" s="422">
        <v>6.6194161263410933E-11</v>
      </c>
      <c r="AR85" s="422">
        <v>6.6194161263411218E-11</v>
      </c>
      <c r="AS85" s="422">
        <v>6.6194161263410804E-11</v>
      </c>
      <c r="AT85" s="422">
        <v>6.6194161287009711E-11</v>
      </c>
      <c r="AU85" s="422">
        <v>6.6194161263410933E-11</v>
      </c>
      <c r="AV85" s="422">
        <v>6.6194161263410933E-11</v>
      </c>
      <c r="AW85" s="422">
        <v>6.6194161263493716E-11</v>
      </c>
      <c r="AX85" s="422">
        <v>6.6194161263410895E-11</v>
      </c>
      <c r="AY85" s="422">
        <v>6.6194161263410933E-11</v>
      </c>
      <c r="AZ85" s="422">
        <v>6.6194161264394516E-11</v>
      </c>
      <c r="BA85" s="422">
        <v>6.6194161264731592E-11</v>
      </c>
      <c r="BB85" s="422">
        <v>6.6194161263627616E-11</v>
      </c>
      <c r="BC85" s="422">
        <v>6.6194161301564329E-11</v>
      </c>
      <c r="BD85" s="422">
        <v>6.619416126428379E-11</v>
      </c>
      <c r="BE85" s="422">
        <v>6.6194161263713862E-11</v>
      </c>
      <c r="BF85" s="422">
        <v>6.6194161263410933E-11</v>
      </c>
      <c r="BG85" s="422">
        <v>6.6194161263541292E-11</v>
      </c>
      <c r="BH85" s="422">
        <v>6.6194161265373484E-11</v>
      </c>
      <c r="BI85" s="422">
        <v>6.6194161263410933E-11</v>
      </c>
      <c r="BJ85" s="422">
        <v>6.61941612637093E-11</v>
      </c>
      <c r="BK85" s="422">
        <v>6.6194161263433939E-11</v>
      </c>
      <c r="BL85" s="422">
        <v>6.6194161263410933E-11</v>
      </c>
      <c r="BM85" s="422">
        <v>6.619416126351066E-11</v>
      </c>
      <c r="BN85" s="422">
        <v>6.6194161265365419E-11</v>
      </c>
      <c r="BO85" s="422">
        <v>6.6194161263754769E-11</v>
      </c>
      <c r="BP85" s="422">
        <v>6.6194161263940122E-11</v>
      </c>
      <c r="BQ85" s="422">
        <v>6.6194161266946252E-11</v>
      </c>
      <c r="BR85" s="422">
        <v>6.6194161263432996E-11</v>
      </c>
      <c r="BS85" s="422">
        <v>6.6194161263758091E-11</v>
      </c>
      <c r="BT85" s="422">
        <v>6.6194161263444085E-11</v>
      </c>
      <c r="BU85" s="422">
        <v>6.6194161263513129E-11</v>
      </c>
      <c r="BV85" s="422">
        <v>6.6194161263469547E-11</v>
      </c>
      <c r="BW85" s="422">
        <v>6.6194161263639106E-11</v>
      </c>
      <c r="BX85" s="422">
        <v>6.6194161264411964E-11</v>
      </c>
      <c r="BY85" s="422">
        <v>6.6194161314241932E-11</v>
      </c>
      <c r="BZ85" s="422">
        <v>6.6194161263745101E-11</v>
      </c>
      <c r="CA85" s="422">
        <v>6.6194161263675256E-11</v>
      </c>
      <c r="CB85" s="422">
        <v>6.6194161263417047E-11</v>
      </c>
      <c r="CC85" s="422">
        <v>6.6194161263611344E-11</v>
      </c>
      <c r="CD85" s="422">
        <v>6.619416126383688E-11</v>
      </c>
      <c r="CE85" s="422">
        <v>6.6194161263819845E-11</v>
      </c>
      <c r="CF85" s="422">
        <v>6.6194161263652535E-11</v>
      </c>
      <c r="CG85" s="422">
        <v>6.6194161269451549E-11</v>
      </c>
      <c r="CH85" s="422">
        <v>6.6194161263410933E-11</v>
      </c>
      <c r="CI85" s="422">
        <v>6.6194161263410933E-11</v>
      </c>
      <c r="CJ85" s="422">
        <v>6.6194161270986473E-11</v>
      </c>
      <c r="CK85" s="422">
        <v>6.6194161263419541E-11</v>
      </c>
      <c r="CL85" s="422">
        <v>6.6194161263410933E-11</v>
      </c>
      <c r="CM85" s="422">
        <v>6.6194161263853036E-11</v>
      </c>
      <c r="CN85" s="422">
        <v>6.6194161264153173E-11</v>
      </c>
      <c r="CO85" s="422">
        <v>6.6194168093071501E-11</v>
      </c>
      <c r="CP85" s="422">
        <v>6.6194246123105363E-11</v>
      </c>
      <c r="CQ85" s="422">
        <v>6.6194161263410933E-11</v>
      </c>
      <c r="CR85" s="422">
        <v>6.6194161263702786E-11</v>
      </c>
      <c r="CS85" s="422">
        <v>6.6194203738379914E-11</v>
      </c>
      <c r="CT85" s="422">
        <v>6.6194161272795814E-11</v>
      </c>
      <c r="CU85" s="422">
        <v>6.6194161263481244E-11</v>
      </c>
      <c r="CV85" s="422">
        <v>6.6194161263979219E-11</v>
      </c>
      <c r="CW85" s="422">
        <v>6.6194161263410933E-11</v>
      </c>
      <c r="CX85" s="422">
        <v>6.6194161263410933E-11</v>
      </c>
      <c r="CY85" s="422">
        <v>6.6194161402805562E-11</v>
      </c>
      <c r="CZ85" s="422">
        <v>6.6194161263586024E-11</v>
      </c>
      <c r="DA85" s="422">
        <v>6.6194161266575726E-11</v>
      </c>
      <c r="DB85" s="422">
        <v>6.6194161263721501E-11</v>
      </c>
      <c r="DC85" s="422">
        <v>6.6194161263413945E-11</v>
      </c>
      <c r="DD85" s="422">
        <v>6.6194161263887544E-11</v>
      </c>
      <c r="DE85" s="422">
        <v>6.6194161277219809E-11</v>
      </c>
      <c r="DF85" s="422">
        <v>6.6194161263454929E-11</v>
      </c>
      <c r="DG85" s="422">
        <v>6.6194161264870623E-11</v>
      </c>
      <c r="DH85" s="422">
        <v>6.6194161271317746E-11</v>
      </c>
      <c r="DI85" s="422">
        <v>6.6194161263461378E-11</v>
      </c>
      <c r="DJ85" s="422">
        <v>6.6194192307387912E-11</v>
      </c>
      <c r="DK85" s="422">
        <v>6.6194161302272447E-11</v>
      </c>
      <c r="DL85" s="422">
        <v>6.6194161263438877E-11</v>
      </c>
      <c r="DM85" s="422">
        <v>6.6194161264483192E-11</v>
      </c>
      <c r="DN85" s="422">
        <v>6.6194161263471654E-11</v>
      </c>
      <c r="DO85" s="422">
        <v>6.6194161263410933E-11</v>
      </c>
      <c r="DP85" s="422">
        <v>6.6194184752252206E-11</v>
      </c>
      <c r="DQ85" s="422">
        <v>6.6194161264529062E-11</v>
      </c>
      <c r="DR85" s="422">
        <v>6.6194163220056214E-11</v>
      </c>
      <c r="DS85" s="422">
        <v>6.6194161263642337E-11</v>
      </c>
      <c r="DT85" s="422">
        <v>6.6194219884270246E-11</v>
      </c>
      <c r="DU85" s="422">
        <v>6.6194161263410933E-11</v>
      </c>
      <c r="DV85" s="422">
        <v>6.6194161307023113E-11</v>
      </c>
      <c r="DW85" s="422">
        <v>6.6194161341559455E-11</v>
      </c>
      <c r="DX85" s="422">
        <v>6.6194162817210687E-11</v>
      </c>
      <c r="DY85" s="422">
        <v>6.6194161268373694E-11</v>
      </c>
      <c r="DZ85" s="422">
        <v>6.6194161263410933E-11</v>
      </c>
      <c r="EA85" s="422">
        <v>6.6194161263410933E-11</v>
      </c>
      <c r="EB85" s="422">
        <v>6.6194227847650344E-11</v>
      </c>
      <c r="EC85" s="422">
        <v>6.619418595754889E-11</v>
      </c>
      <c r="ED85" s="422">
        <v>6.6194161277732583E-11</v>
      </c>
      <c r="EE85" s="422">
        <v>6.6194161263410933E-11</v>
      </c>
      <c r="EF85" s="422">
        <v>6.6194161263410933E-11</v>
      </c>
      <c r="EG85" s="422">
        <v>6.6194161263410933E-11</v>
      </c>
      <c r="EH85" s="422">
        <v>1.8537452282897199E-5</v>
      </c>
      <c r="EI85" s="423">
        <v>1.8537452282897199E-5</v>
      </c>
      <c r="EJ85" s="444"/>
      <c r="EK85" s="367"/>
      <c r="EL85" s="367"/>
      <c r="EM85" s="367"/>
      <c r="EN85" s="367"/>
      <c r="EO85" s="367"/>
      <c r="EP85" s="367"/>
      <c r="EQ85" s="367"/>
    </row>
    <row r="86" spans="1:147" x14ac:dyDescent="0.2">
      <c r="A86" s="192"/>
      <c r="B86" s="192"/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266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  <c r="AG86" s="265"/>
      <c r="AH86" s="265"/>
      <c r="AI86" s="192"/>
      <c r="AJ86" s="192"/>
      <c r="AK86" s="369"/>
      <c r="AL86" s="367"/>
      <c r="AM86" s="420" t="s">
        <v>16</v>
      </c>
      <c r="AN86" s="421">
        <v>1.0672215162885923E-9</v>
      </c>
      <c r="AO86" s="422">
        <v>1.0672215162886409E-9</v>
      </c>
      <c r="AP86" s="422">
        <v>3.0916838750719868E-11</v>
      </c>
      <c r="AQ86" s="422">
        <v>2.0393877743048426E-10</v>
      </c>
      <c r="AR86" s="422">
        <v>1.0672215162826521E-9</v>
      </c>
      <c r="AS86" s="422">
        <v>2.0393877743080547E-10</v>
      </c>
      <c r="AT86" s="422">
        <v>1.0672215163355005E-9</v>
      </c>
      <c r="AU86" s="422">
        <v>1.0672215162841685E-9</v>
      </c>
      <c r="AV86" s="422">
        <v>2.0393877743002693E-10</v>
      </c>
      <c r="AW86" s="422">
        <v>1.0672215162873662E-9</v>
      </c>
      <c r="AX86" s="422">
        <v>2.0393877747543737E-10</v>
      </c>
      <c r="AY86" s="422">
        <v>-1.0212069019922061E-22</v>
      </c>
      <c r="AZ86" s="422">
        <v>-9.0847516624444396E-22</v>
      </c>
      <c r="BA86" s="422">
        <v>-5.2600047380173708E-22</v>
      </c>
      <c r="BB86" s="422">
        <v>8.6258674677256701E-23</v>
      </c>
      <c r="BC86" s="422">
        <v>5.1613455710780677E-20</v>
      </c>
      <c r="BD86" s="422">
        <v>5.8694188917379632E-22</v>
      </c>
      <c r="BE86" s="422">
        <v>1.067221516288516E-9</v>
      </c>
      <c r="BF86" s="422">
        <v>3.7633185454176182E-10</v>
      </c>
      <c r="BG86" s="422">
        <v>2.1395862859255542E-10</v>
      </c>
      <c r="BH86" s="422">
        <v>1.3921522033236039E-21</v>
      </c>
      <c r="BI86" s="422">
        <v>1.067221516291798E-9</v>
      </c>
      <c r="BJ86" s="422">
        <v>1.5401197615582264E-4</v>
      </c>
      <c r="BK86" s="422">
        <v>4.5189013838964727E-4</v>
      </c>
      <c r="BL86" s="422">
        <v>7.6920609395028335E-4</v>
      </c>
      <c r="BM86" s="422">
        <v>1.1080810084660067E-3</v>
      </c>
      <c r="BN86" s="422">
        <v>1.4308069853728809E-3</v>
      </c>
      <c r="BO86" s="422">
        <v>1.7910309327989068E-3</v>
      </c>
      <c r="BP86" s="422">
        <v>2.142212412597651E-3</v>
      </c>
      <c r="BQ86" s="422">
        <v>2.4166521041770182E-3</v>
      </c>
      <c r="BR86" s="422">
        <v>2.7398425804561898E-3</v>
      </c>
      <c r="BS86" s="422">
        <v>2.9940679082397642E-3</v>
      </c>
      <c r="BT86" s="422">
        <v>3.3025759607325685E-3</v>
      </c>
      <c r="BU86" s="422">
        <v>3.4993238367091763E-3</v>
      </c>
      <c r="BV86" s="422">
        <v>3.4993238367091776E-3</v>
      </c>
      <c r="BW86" s="422">
        <v>3.4993238367091784E-3</v>
      </c>
      <c r="BX86" s="422">
        <v>3.4993238367091771E-3</v>
      </c>
      <c r="BY86" s="422">
        <v>3.4993238367091771E-3</v>
      </c>
      <c r="BZ86" s="422">
        <v>3.4993238367091767E-3</v>
      </c>
      <c r="CA86" s="422">
        <v>3.4993237873697752E-3</v>
      </c>
      <c r="CB86" s="422">
        <v>3.4993237873697748E-3</v>
      </c>
      <c r="CC86" s="422">
        <v>3.4993237873697748E-3</v>
      </c>
      <c r="CD86" s="422">
        <v>3.4993237873697748E-3</v>
      </c>
      <c r="CE86" s="422">
        <v>2.2633799565584009E-3</v>
      </c>
      <c r="CF86" s="422">
        <v>1.8550947399368095E-21</v>
      </c>
      <c r="CG86" s="422">
        <v>-2.3310185038395107E-20</v>
      </c>
      <c r="CH86" s="422">
        <v>1.4959662330808691E-20</v>
      </c>
      <c r="CI86" s="422">
        <v>-4.4938019897804565E-20</v>
      </c>
      <c r="CJ86" s="422">
        <v>1.0327270066723077E-21</v>
      </c>
      <c r="CK86" s="422">
        <v>-2.7804621826413662E-23</v>
      </c>
      <c r="CL86" s="422">
        <v>4.1533723571878374E-20</v>
      </c>
      <c r="CM86" s="422">
        <v>1.4334210205258012E-21</v>
      </c>
      <c r="CN86" s="422">
        <v>1.0632270978390101E-22</v>
      </c>
      <c r="CO86" s="422">
        <v>2.7381747836658692E-16</v>
      </c>
      <c r="CP86" s="422">
        <v>-4.333207300952563E-18</v>
      </c>
      <c r="CQ86" s="422">
        <v>7.2563465031352445E-17</v>
      </c>
      <c r="CR86" s="422">
        <v>-1.9678377025614277E-21</v>
      </c>
      <c r="CS86" s="422">
        <v>1.3269126633650543E-17</v>
      </c>
      <c r="CT86" s="422">
        <v>7.7750080598687442E-21</v>
      </c>
      <c r="CU86" s="422">
        <v>-2.5693192660305345E-21</v>
      </c>
      <c r="CV86" s="422">
        <v>-1.7651828722061015E-20</v>
      </c>
      <c r="CW86" s="422">
        <v>3.8136604792920344E-22</v>
      </c>
      <c r="CX86" s="422">
        <v>6.0198325279858388E-22</v>
      </c>
      <c r="CY86" s="422">
        <v>5.6312008333382911E-20</v>
      </c>
      <c r="CZ86" s="422">
        <v>-4.2030696200363986E-23</v>
      </c>
      <c r="DA86" s="422">
        <v>-1.1089160768219059E-19</v>
      </c>
      <c r="DB86" s="422">
        <v>2.0596963673524847E-19</v>
      </c>
      <c r="DC86" s="422">
        <v>1.120079020459638E-20</v>
      </c>
      <c r="DD86" s="422">
        <v>2.2182811741403106E-22</v>
      </c>
      <c r="DE86" s="422">
        <v>-2.2769821085409976E-20</v>
      </c>
      <c r="DF86" s="422">
        <v>6.270392816135974E-20</v>
      </c>
      <c r="DG86" s="422">
        <v>1.5054118204006487E-21</v>
      </c>
      <c r="DH86" s="422">
        <v>-2.9185251269389362E-19</v>
      </c>
      <c r="DI86" s="422">
        <v>-1.8071580335700577E-21</v>
      </c>
      <c r="DJ86" s="422">
        <v>-1.0140060581253194E-17</v>
      </c>
      <c r="DK86" s="422">
        <v>1.2231809554266827E-19</v>
      </c>
      <c r="DL86" s="422">
        <v>1.6767994191671758E-17</v>
      </c>
      <c r="DM86" s="422">
        <v>7.2406027728695668E-23</v>
      </c>
      <c r="DN86" s="422">
        <v>-2.1941911605098037E-23</v>
      </c>
      <c r="DO86" s="422">
        <v>1.3433719902529702E-18</v>
      </c>
      <c r="DP86" s="422">
        <v>2.0501472281565315E-17</v>
      </c>
      <c r="DQ86" s="422">
        <v>5.4810913776912437E-20</v>
      </c>
      <c r="DR86" s="422">
        <v>3.8186846101436756E-19</v>
      </c>
      <c r="DS86" s="422">
        <v>2.4113846435710742E-23</v>
      </c>
      <c r="DT86" s="422">
        <v>4.2830435565586811E-17</v>
      </c>
      <c r="DU86" s="422">
        <v>2.493336666027167E-19</v>
      </c>
      <c r="DV86" s="422">
        <v>-5.2003733976318953E-20</v>
      </c>
      <c r="DW86" s="422">
        <v>8.580693085823707E-20</v>
      </c>
      <c r="DX86" s="422">
        <v>9.5788146043592632E-19</v>
      </c>
      <c r="DY86" s="422">
        <v>7.7050008209786663E-21</v>
      </c>
      <c r="DZ86" s="422">
        <v>-4.0282368219875435E-17</v>
      </c>
      <c r="EA86" s="422">
        <v>1.547496703784224E-17</v>
      </c>
      <c r="EB86" s="422">
        <v>3.6871780209175852E-16</v>
      </c>
      <c r="EC86" s="422">
        <v>4.4098096040025791E-16</v>
      </c>
      <c r="ED86" s="422">
        <v>-6.7619838376264583E-20</v>
      </c>
      <c r="EE86" s="422">
        <v>-1.1891411603236774E-19</v>
      </c>
      <c r="EF86" s="422">
        <v>-1.630991340252297E-19</v>
      </c>
      <c r="EG86" s="422">
        <v>6.9620304650615101E-20</v>
      </c>
      <c r="EH86" s="422">
        <v>1.8860932167820271E-5</v>
      </c>
      <c r="EI86" s="423">
        <v>1.8860932167820271E-5</v>
      </c>
      <c r="EJ86" s="444"/>
      <c r="EK86" s="367"/>
      <c r="EL86" s="367"/>
      <c r="EM86" s="367"/>
      <c r="EN86" s="367"/>
      <c r="EO86" s="367"/>
      <c r="EP86" s="367"/>
      <c r="EQ86" s="367"/>
    </row>
    <row r="87" spans="1:147" x14ac:dyDescent="0.2">
      <c r="A87" s="192"/>
      <c r="B87" s="192"/>
      <c r="C87" s="192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192"/>
      <c r="O87" s="192"/>
      <c r="P87" s="192"/>
      <c r="Q87" s="192"/>
      <c r="R87" s="192"/>
      <c r="S87" s="266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  <c r="AG87" s="265"/>
      <c r="AH87" s="265"/>
      <c r="AI87" s="192"/>
      <c r="AJ87" s="192"/>
      <c r="AK87" s="369"/>
      <c r="AL87" s="367"/>
      <c r="AM87" s="420" t="s">
        <v>17</v>
      </c>
      <c r="AN87" s="421">
        <v>9.28112930105567E-10</v>
      </c>
      <c r="AO87" s="422">
        <v>9.281129301045111E-10</v>
      </c>
      <c r="AP87" s="422">
        <v>2.6886937121162802E-11</v>
      </c>
      <c r="AQ87" s="422">
        <v>1.7735607218739911E-10</v>
      </c>
      <c r="AR87" s="422">
        <v>9.2811293010001951E-10</v>
      </c>
      <c r="AS87" s="422">
        <v>1.773560721881366E-10</v>
      </c>
      <c r="AT87" s="422">
        <v>2.688693712121947E-11</v>
      </c>
      <c r="AU87" s="422">
        <v>9.2811293011402006E-10</v>
      </c>
      <c r="AV87" s="422">
        <v>1.7735607218708647E-10</v>
      </c>
      <c r="AW87" s="422">
        <v>2.6886937121161984E-11</v>
      </c>
      <c r="AX87" s="422">
        <v>1.77356072207578E-10</v>
      </c>
      <c r="AY87" s="422">
        <v>2.6886937121162191E-11</v>
      </c>
      <c r="AZ87" s="422">
        <v>2.6886937121162191E-11</v>
      </c>
      <c r="BA87" s="422">
        <v>2.6886937121162191E-11</v>
      </c>
      <c r="BB87" s="422">
        <v>2.6886937121162191E-11</v>
      </c>
      <c r="BC87" s="422">
        <v>2.6886937121162191E-11</v>
      </c>
      <c r="BD87" s="422">
        <v>2.6886937121162191E-11</v>
      </c>
      <c r="BE87" s="422">
        <v>2.6886937121162191E-11</v>
      </c>
      <c r="BF87" s="422">
        <v>2.6886937121162191E-11</v>
      </c>
      <c r="BG87" s="422">
        <v>2.6886937121162191E-11</v>
      </c>
      <c r="BH87" s="422">
        <v>2.6886937121162191E-11</v>
      </c>
      <c r="BI87" s="422">
        <v>2.6886937121162191E-11</v>
      </c>
      <c r="BJ87" s="422">
        <v>2.6886937122013318E-11</v>
      </c>
      <c r="BK87" s="422">
        <v>2.6886937121322693E-11</v>
      </c>
      <c r="BL87" s="422">
        <v>2.6886937121162191E-11</v>
      </c>
      <c r="BM87" s="422">
        <v>2.6886937132156927E-11</v>
      </c>
      <c r="BN87" s="422">
        <v>2.1684842002567912E-4</v>
      </c>
      <c r="BO87" s="422">
        <v>5.2574180493645921E-4</v>
      </c>
      <c r="BP87" s="422">
        <v>1.3534215077293783E-3</v>
      </c>
      <c r="BQ87" s="422">
        <v>2.1016499679008217E-3</v>
      </c>
      <c r="BR87" s="422">
        <v>2.3827136977293572E-3</v>
      </c>
      <c r="BS87" s="422">
        <v>2.6038016445846112E-3</v>
      </c>
      <c r="BT87" s="422">
        <v>2.8720967531349782E-3</v>
      </c>
      <c r="BU87" s="422">
        <v>3.0431992326834809E-3</v>
      </c>
      <c r="BV87" s="422">
        <v>3.0431992326834809E-3</v>
      </c>
      <c r="BW87" s="422">
        <v>3.0431992326834831E-3</v>
      </c>
      <c r="BX87" s="422">
        <v>3.0431992326834809E-3</v>
      </c>
      <c r="BY87" s="422">
        <v>3.0431992326834813E-3</v>
      </c>
      <c r="BZ87" s="422">
        <v>3.0431992326834805E-3</v>
      </c>
      <c r="CA87" s="422">
        <v>3.0431991897752974E-3</v>
      </c>
      <c r="CB87" s="422">
        <v>7.036758982053769E-4</v>
      </c>
      <c r="CC87" s="422">
        <v>2.6886937121866125E-11</v>
      </c>
      <c r="CD87" s="422">
        <v>2.6886937121539763E-11</v>
      </c>
      <c r="CE87" s="422">
        <v>2.6886937121470729E-11</v>
      </c>
      <c r="CF87" s="422">
        <v>2.6886937121212956E-11</v>
      </c>
      <c r="CG87" s="422">
        <v>2.6886937121168359E-11</v>
      </c>
      <c r="CH87" s="422">
        <v>2.6886937121162191E-11</v>
      </c>
      <c r="CI87" s="422">
        <v>2.6886937121162191E-11</v>
      </c>
      <c r="CJ87" s="422">
        <v>2.6886937121162191E-11</v>
      </c>
      <c r="CK87" s="422">
        <v>2.6886937121294811E-11</v>
      </c>
      <c r="CL87" s="422">
        <v>2.6886937121162191E-11</v>
      </c>
      <c r="CM87" s="422">
        <v>2.6886937123394571E-11</v>
      </c>
      <c r="CN87" s="422">
        <v>2.6886937124116376E-11</v>
      </c>
      <c r="CO87" s="422">
        <v>2.6886953824251429E-11</v>
      </c>
      <c r="CP87" s="422">
        <v>2.6886937121162669E-11</v>
      </c>
      <c r="CQ87" s="422">
        <v>2.6886939002087659E-11</v>
      </c>
      <c r="CR87" s="422">
        <v>2.6886937122295083E-11</v>
      </c>
      <c r="CS87" s="422">
        <v>2.688699578550157E-11</v>
      </c>
      <c r="CT87" s="422">
        <v>2.6886937121393478E-11</v>
      </c>
      <c r="CU87" s="422">
        <v>2.6886937121164233E-11</v>
      </c>
      <c r="CV87" s="422">
        <v>2.6886937121531753E-11</v>
      </c>
      <c r="CW87" s="422">
        <v>2.6886937121162191E-11</v>
      </c>
      <c r="CX87" s="422">
        <v>2.6886937121162191E-11</v>
      </c>
      <c r="CY87" s="422">
        <v>2.6886937320443394E-11</v>
      </c>
      <c r="CZ87" s="422">
        <v>2.6886937121288501E-11</v>
      </c>
      <c r="DA87" s="422">
        <v>2.6886937121821813E-11</v>
      </c>
      <c r="DB87" s="422">
        <v>2.6886937145359641E-11</v>
      </c>
      <c r="DC87" s="422">
        <v>2.6886937121165629E-11</v>
      </c>
      <c r="DD87" s="422">
        <v>2.6886937121706489E-11</v>
      </c>
      <c r="DE87" s="422">
        <v>2.688693713693362E-11</v>
      </c>
      <c r="DF87" s="422">
        <v>2.6886937128320599E-11</v>
      </c>
      <c r="DG87" s="422">
        <v>2.6886937122829341E-11</v>
      </c>
      <c r="DH87" s="422">
        <v>2.6886937121162191E-11</v>
      </c>
      <c r="DI87" s="422">
        <v>2.6886937121167665E-11</v>
      </c>
      <c r="DJ87" s="422">
        <v>2.6886937121162191E-11</v>
      </c>
      <c r="DK87" s="422">
        <v>2.688693713034704E-11</v>
      </c>
      <c r="DL87" s="422">
        <v>2.6886937357629269E-11</v>
      </c>
      <c r="DM87" s="422">
        <v>2.6886937121288559E-11</v>
      </c>
      <c r="DN87" s="422">
        <v>2.6886937121271912E-11</v>
      </c>
      <c r="DO87" s="422">
        <v>2.6886937350901089E-11</v>
      </c>
      <c r="DP87" s="422">
        <v>2.688694806331788E-11</v>
      </c>
      <c r="DQ87" s="422">
        <v>2.6886938306947335E-11</v>
      </c>
      <c r="DR87" s="422">
        <v>2.68869374397171E-11</v>
      </c>
      <c r="DS87" s="422">
        <v>2.6886937121162191E-11</v>
      </c>
      <c r="DT87" s="422">
        <v>2.6886970383374723E-11</v>
      </c>
      <c r="DU87" s="422">
        <v>2.6886937121162191E-11</v>
      </c>
      <c r="DV87" s="422">
        <v>2.6886937149832998E-11</v>
      </c>
      <c r="DW87" s="422">
        <v>2.6886937166925874E-11</v>
      </c>
      <c r="DX87" s="422">
        <v>2.6886937719838134E-11</v>
      </c>
      <c r="DY87" s="422">
        <v>2.6886937121182328E-11</v>
      </c>
      <c r="DZ87" s="422">
        <v>2.6886948440820623E-11</v>
      </c>
      <c r="EA87" s="422">
        <v>2.688706486316923E-11</v>
      </c>
      <c r="EB87" s="422">
        <v>2.6886937121162191E-11</v>
      </c>
      <c r="EC87" s="422">
        <v>2.6886937121162191E-11</v>
      </c>
      <c r="ED87" s="422">
        <v>2.6886937142897147E-11</v>
      </c>
      <c r="EE87" s="422">
        <v>2.6886937121162191E-11</v>
      </c>
      <c r="EF87" s="422">
        <v>2.6886937121162191E-11</v>
      </c>
      <c r="EG87" s="422">
        <v>2.6886937138567273E-11</v>
      </c>
      <c r="EH87" s="422">
        <v>2.0025015871265804E-5</v>
      </c>
      <c r="EI87" s="423">
        <v>2.0025015871265804E-5</v>
      </c>
      <c r="EJ87" s="444"/>
      <c r="EK87" s="367"/>
      <c r="EL87" s="367"/>
      <c r="EM87" s="367"/>
      <c r="EN87" s="367"/>
      <c r="EO87" s="367"/>
      <c r="EP87" s="367"/>
      <c r="EQ87" s="367"/>
    </row>
    <row r="88" spans="1:147" x14ac:dyDescent="0.2">
      <c r="A88" s="192"/>
      <c r="B88" s="192"/>
      <c r="C88" s="192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192"/>
      <c r="O88" s="192"/>
      <c r="P88" s="192"/>
      <c r="Q88" s="192"/>
      <c r="R88" s="192"/>
      <c r="S88" s="266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  <c r="AG88" s="265"/>
      <c r="AH88" s="265"/>
      <c r="AI88" s="192"/>
      <c r="AJ88" s="192"/>
      <c r="AK88" s="369"/>
      <c r="AL88" s="367"/>
      <c r="AM88" s="420" t="s">
        <v>146</v>
      </c>
      <c r="AN88" s="421">
        <v>9.6179064712819455E-11</v>
      </c>
      <c r="AO88" s="422">
        <v>9.6179064712487161E-11</v>
      </c>
      <c r="AP88" s="422">
        <v>9.6179064712487161E-11</v>
      </c>
      <c r="AQ88" s="422">
        <v>9.6179064712487161E-11</v>
      </c>
      <c r="AR88" s="422">
        <v>9.6179064717719583E-11</v>
      </c>
      <c r="AS88" s="422">
        <v>9.6179064714127447E-11</v>
      </c>
      <c r="AT88" s="422">
        <v>9.6179064716037343E-11</v>
      </c>
      <c r="AU88" s="422">
        <v>9.6179064712487161E-11</v>
      </c>
      <c r="AV88" s="422">
        <v>9.6179064712507117E-11</v>
      </c>
      <c r="AW88" s="422">
        <v>9.6179064712801968E-11</v>
      </c>
      <c r="AX88" s="422">
        <v>9.6179064739862548E-11</v>
      </c>
      <c r="AY88" s="422">
        <v>9.6179064712487161E-11</v>
      </c>
      <c r="AZ88" s="422">
        <v>9.6179064712487161E-11</v>
      </c>
      <c r="BA88" s="422">
        <v>9.6179064712487161E-11</v>
      </c>
      <c r="BB88" s="422">
        <v>9.6179064712487161E-11</v>
      </c>
      <c r="BC88" s="422">
        <v>9.6179064712487161E-11</v>
      </c>
      <c r="BD88" s="422">
        <v>9.6179064712487161E-11</v>
      </c>
      <c r="BE88" s="422">
        <v>9.6179064712691682E-11</v>
      </c>
      <c r="BF88" s="422">
        <v>9.6179064712487161E-11</v>
      </c>
      <c r="BG88" s="422">
        <v>9.6179064712607593E-11</v>
      </c>
      <c r="BH88" s="422">
        <v>9.6179064712487161E-11</v>
      </c>
      <c r="BI88" s="422">
        <v>9.6179064712760014E-11</v>
      </c>
      <c r="BJ88" s="422">
        <v>9.6179064712487161E-11</v>
      </c>
      <c r="BK88" s="422">
        <v>9.6179064712579495E-11</v>
      </c>
      <c r="BL88" s="422">
        <v>9.6179064712525263E-11</v>
      </c>
      <c r="BM88" s="422">
        <v>9.6179064716681187E-11</v>
      </c>
      <c r="BN88" s="422">
        <v>9.6179064712487161E-11</v>
      </c>
      <c r="BO88" s="422">
        <v>9.6179064712575282E-11</v>
      </c>
      <c r="BP88" s="422">
        <v>9.6179064712796385E-11</v>
      </c>
      <c r="BQ88" s="422">
        <v>9.6179064712487161E-11</v>
      </c>
      <c r="BR88" s="422">
        <v>9.6179064712571753E-11</v>
      </c>
      <c r="BS88" s="422">
        <v>9.6179064713254836E-11</v>
      </c>
      <c r="BT88" s="422">
        <v>9.6179064712621668E-11</v>
      </c>
      <c r="BU88" s="422">
        <v>9.6179064712487161E-11</v>
      </c>
      <c r="BV88" s="422">
        <v>9.6179064712571999E-11</v>
      </c>
      <c r="BW88" s="422">
        <v>9.6179064712840962E-11</v>
      </c>
      <c r="BX88" s="422">
        <v>9.6179064712487161E-11</v>
      </c>
      <c r="BY88" s="422">
        <v>9.6179064712487588E-11</v>
      </c>
      <c r="BZ88" s="422">
        <v>9.617906471254403E-11</v>
      </c>
      <c r="CA88" s="422">
        <v>9.6179064712949503E-11</v>
      </c>
      <c r="CB88" s="422">
        <v>9.6179064712514613E-11</v>
      </c>
      <c r="CC88" s="422">
        <v>9.6179064712591205E-11</v>
      </c>
      <c r="CD88" s="422">
        <v>9.6179064712517715E-11</v>
      </c>
      <c r="CE88" s="422">
        <v>9.6179064712487161E-11</v>
      </c>
      <c r="CF88" s="422">
        <v>9.6179064714827643E-11</v>
      </c>
      <c r="CG88" s="422">
        <v>9.6179064717412001E-11</v>
      </c>
      <c r="CH88" s="422">
        <v>9.61790647611952E-11</v>
      </c>
      <c r="CI88" s="422">
        <v>9.6179064712487161E-11</v>
      </c>
      <c r="CJ88" s="422">
        <v>9.6179064712487161E-11</v>
      </c>
      <c r="CK88" s="422">
        <v>9.61790647126249E-11</v>
      </c>
      <c r="CL88" s="422">
        <v>9.6179064712487161E-11</v>
      </c>
      <c r="CM88" s="422">
        <v>9.6179064712533897E-11</v>
      </c>
      <c r="CN88" s="422">
        <v>9.6179064715707492E-11</v>
      </c>
      <c r="CO88" s="422">
        <v>9.6179119328285069E-11</v>
      </c>
      <c r="CP88" s="422">
        <v>9.6179065702559036E-11</v>
      </c>
      <c r="CQ88" s="422">
        <v>9.6179081896182679E-11</v>
      </c>
      <c r="CR88" s="422">
        <v>9.6179064713011736E-11</v>
      </c>
      <c r="CS88" s="422">
        <v>9.6179076178145514E-11</v>
      </c>
      <c r="CT88" s="422">
        <v>9.6179064718503026E-11</v>
      </c>
      <c r="CU88" s="422">
        <v>9.6179064712488118E-11</v>
      </c>
      <c r="CV88" s="422">
        <v>9.6179064712660804E-11</v>
      </c>
      <c r="CW88" s="422">
        <v>9.6179064712801865E-11</v>
      </c>
      <c r="CX88" s="422">
        <v>9.6179064712983922E-11</v>
      </c>
      <c r="CY88" s="422">
        <v>9.6179064714235886E-11</v>
      </c>
      <c r="CZ88" s="422">
        <v>9.617906471267497E-11</v>
      </c>
      <c r="DA88" s="422">
        <v>9.6179064712797108E-11</v>
      </c>
      <c r="DB88" s="422">
        <v>9.6179064723854665E-11</v>
      </c>
      <c r="DC88" s="422">
        <v>9.6179064721734549E-11</v>
      </c>
      <c r="DD88" s="422">
        <v>9.6179064713318452E-11</v>
      </c>
      <c r="DE88" s="422">
        <v>9.6179064712487161E-11</v>
      </c>
      <c r="DF88" s="422">
        <v>9.6179064715850064E-11</v>
      </c>
      <c r="DG88" s="422">
        <v>9.617906471571557E-11</v>
      </c>
      <c r="DH88" s="422">
        <v>9.6179064712487161E-11</v>
      </c>
      <c r="DI88" s="422">
        <v>9.6179064712489733E-11</v>
      </c>
      <c r="DJ88" s="422">
        <v>9.6179087075338493E-11</v>
      </c>
      <c r="DK88" s="422">
        <v>9.6179064712487161E-11</v>
      </c>
      <c r="DL88" s="422">
        <v>9.6179156732565266E-11</v>
      </c>
      <c r="DM88" s="422">
        <v>9.6179064712516966E-11</v>
      </c>
      <c r="DN88" s="422">
        <v>9.6179064712497591E-11</v>
      </c>
      <c r="DO88" s="422">
        <v>9.6179064712487161E-11</v>
      </c>
      <c r="DP88" s="422">
        <v>9.6179083010625476E-11</v>
      </c>
      <c r="DQ88" s="422">
        <v>9.6179065135807851E-11</v>
      </c>
      <c r="DR88" s="422">
        <v>9.6179064712487161E-11</v>
      </c>
      <c r="DS88" s="422">
        <v>9.6179064712736375E-11</v>
      </c>
      <c r="DT88" s="422">
        <v>9.6179102160618154E-11</v>
      </c>
      <c r="DU88" s="422">
        <v>9.6179064737231688E-11</v>
      </c>
      <c r="DV88" s="422">
        <v>9.617906476600227E-11</v>
      </c>
      <c r="DW88" s="422">
        <v>9.6179064769691754E-11</v>
      </c>
      <c r="DX88" s="422">
        <v>9.6179064712487161E-11</v>
      </c>
      <c r="DY88" s="422">
        <v>9.6179064719586995E-11</v>
      </c>
      <c r="DZ88" s="422">
        <v>9.6179145032352289E-11</v>
      </c>
      <c r="EA88" s="422">
        <v>9.6179143610913518E-11</v>
      </c>
      <c r="EB88" s="422">
        <v>9.6179086727178923E-11</v>
      </c>
      <c r="EC88" s="422">
        <v>9.6179155872460823E-11</v>
      </c>
      <c r="ED88" s="422">
        <v>9.6179064712487161E-11</v>
      </c>
      <c r="EE88" s="422">
        <v>9.6179064712487161E-11</v>
      </c>
      <c r="EF88" s="422">
        <v>9.6179064712487161E-11</v>
      </c>
      <c r="EG88" s="422">
        <v>9.6179064799512559E-11</v>
      </c>
      <c r="EH88" s="422">
        <v>1.7260431998689554E-5</v>
      </c>
      <c r="EI88" s="423">
        <v>1.7260431998689554E-5</v>
      </c>
      <c r="EJ88" s="444"/>
      <c r="EK88" s="367"/>
      <c r="EL88" s="367"/>
      <c r="EM88" s="367"/>
      <c r="EN88" s="367"/>
      <c r="EO88" s="367"/>
      <c r="EP88" s="367"/>
      <c r="EQ88" s="367"/>
    </row>
    <row r="89" spans="1:147" x14ac:dyDescent="0.2">
      <c r="A89" s="192"/>
      <c r="B89" s="192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  <c r="O89" s="192"/>
      <c r="P89" s="192"/>
      <c r="Q89" s="192"/>
      <c r="R89" s="192"/>
      <c r="S89" s="266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  <c r="AG89" s="265"/>
      <c r="AH89" s="265"/>
      <c r="AI89" s="192"/>
      <c r="AJ89" s="192"/>
      <c r="AK89" s="369"/>
      <c r="AL89" s="367"/>
      <c r="AM89" s="420" t="s">
        <v>18</v>
      </c>
      <c r="AN89" s="421">
        <v>5.7821694099402521E-9</v>
      </c>
      <c r="AO89" s="422">
        <v>5.7821694099402521E-9</v>
      </c>
      <c r="AP89" s="422">
        <v>5.7821694099402521E-9</v>
      </c>
      <c r="AQ89" s="422">
        <v>5.7821694099402521E-9</v>
      </c>
      <c r="AR89" s="422">
        <v>5.7821694099402521E-9</v>
      </c>
      <c r="AS89" s="422">
        <v>5.7821694099402521E-9</v>
      </c>
      <c r="AT89" s="422">
        <v>5.7821694099402521E-9</v>
      </c>
      <c r="AU89" s="422">
        <v>5.7821694099402521E-9</v>
      </c>
      <c r="AV89" s="422">
        <v>5.7821694099402521E-9</v>
      </c>
      <c r="AW89" s="422">
        <v>5.7821694099402521E-9</v>
      </c>
      <c r="AX89" s="422">
        <v>5.7821694099402521E-9</v>
      </c>
      <c r="AY89" s="422">
        <v>5.7821694099402521E-9</v>
      </c>
      <c r="AZ89" s="422">
        <v>5.7821694099402521E-9</v>
      </c>
      <c r="BA89" s="422">
        <v>5.7821694099402521E-9</v>
      </c>
      <c r="BB89" s="422">
        <v>5.7821694099402521E-9</v>
      </c>
      <c r="BC89" s="422">
        <v>5.7821694099402521E-9</v>
      </c>
      <c r="BD89" s="422">
        <v>5.7821694099402521E-9</v>
      </c>
      <c r="BE89" s="422">
        <v>5.7821694099402521E-9</v>
      </c>
      <c r="BF89" s="422">
        <v>5.7821694099402521E-9</v>
      </c>
      <c r="BG89" s="422">
        <v>5.7821694099402521E-9</v>
      </c>
      <c r="BH89" s="422">
        <v>5.7821694099402521E-9</v>
      </c>
      <c r="BI89" s="422">
        <v>5.7821694099402521E-9</v>
      </c>
      <c r="BJ89" s="422">
        <v>5.7821694099402521E-9</v>
      </c>
      <c r="BK89" s="422">
        <v>5.7821694099402521E-9</v>
      </c>
      <c r="BL89" s="422">
        <v>5.7821694099402521E-9</v>
      </c>
      <c r="BM89" s="422">
        <v>5.7821694099402521E-9</v>
      </c>
      <c r="BN89" s="422">
        <v>5.7821694099402521E-9</v>
      </c>
      <c r="BO89" s="422">
        <v>5.7821694099402521E-9</v>
      </c>
      <c r="BP89" s="422">
        <v>5.7821694099402521E-9</v>
      </c>
      <c r="BQ89" s="422">
        <v>5.7821694099402521E-9</v>
      </c>
      <c r="BR89" s="422">
        <v>5.7821694099402521E-9</v>
      </c>
      <c r="BS89" s="422">
        <v>5.7821694099402521E-9</v>
      </c>
      <c r="BT89" s="422">
        <v>5.7821694099402521E-9</v>
      </c>
      <c r="BU89" s="422">
        <v>5.7821694099402521E-9</v>
      </c>
      <c r="BV89" s="422">
        <v>5.7821694099402521E-9</v>
      </c>
      <c r="BW89" s="422">
        <v>5.7821694099402521E-9</v>
      </c>
      <c r="BX89" s="422">
        <v>5.7821694099402521E-9</v>
      </c>
      <c r="BY89" s="422">
        <v>5.7821694099402521E-9</v>
      </c>
      <c r="BZ89" s="422">
        <v>5.7821694099402521E-9</v>
      </c>
      <c r="CA89" s="422">
        <v>5.7821694099402521E-9</v>
      </c>
      <c r="CB89" s="422">
        <v>5.7821694099402521E-9</v>
      </c>
      <c r="CC89" s="422">
        <v>5.7821694099402835E-9</v>
      </c>
      <c r="CD89" s="422">
        <v>5.7821694099403207E-9</v>
      </c>
      <c r="CE89" s="422">
        <v>5.7821694099402678E-9</v>
      </c>
      <c r="CF89" s="422">
        <v>5.7821694099403158E-9</v>
      </c>
      <c r="CG89" s="422">
        <v>5.7821694099402728E-9</v>
      </c>
      <c r="CH89" s="422">
        <v>5.7821694099402521E-9</v>
      </c>
      <c r="CI89" s="422">
        <v>5.7821694099402521E-9</v>
      </c>
      <c r="CJ89" s="422">
        <v>5.7821694099402529E-9</v>
      </c>
      <c r="CK89" s="422">
        <v>5.782169409940391E-9</v>
      </c>
      <c r="CL89" s="422">
        <v>5.7821694099402521E-9</v>
      </c>
      <c r="CM89" s="422">
        <v>5.7821694099402744E-9</v>
      </c>
      <c r="CN89" s="422">
        <v>5.7821694099408121E-9</v>
      </c>
      <c r="CO89" s="422">
        <v>5.7821694099402521E-9</v>
      </c>
      <c r="CP89" s="422">
        <v>5.7821694099402637E-9</v>
      </c>
      <c r="CQ89" s="422">
        <v>5.7821694099402521E-9</v>
      </c>
      <c r="CR89" s="422">
        <v>5.7821694099402521E-9</v>
      </c>
      <c r="CS89" s="422">
        <v>5.7821694099403199E-9</v>
      </c>
      <c r="CT89" s="422">
        <v>5.7821694099402521E-9</v>
      </c>
      <c r="CU89" s="422">
        <v>5.7821694099402521E-9</v>
      </c>
      <c r="CV89" s="422">
        <v>5.7821694099402521E-9</v>
      </c>
      <c r="CW89" s="422">
        <v>5.7821694099402521E-9</v>
      </c>
      <c r="CX89" s="422">
        <v>5.7821694099402521E-9</v>
      </c>
      <c r="CY89" s="422">
        <v>5.7821694099402521E-9</v>
      </c>
      <c r="CZ89" s="422">
        <v>5.7821694099402521E-9</v>
      </c>
      <c r="DA89" s="422">
        <v>5.7821694099402521E-9</v>
      </c>
      <c r="DB89" s="422">
        <v>5.7821694099402521E-9</v>
      </c>
      <c r="DC89" s="422">
        <v>5.7821694099402521E-9</v>
      </c>
      <c r="DD89" s="422">
        <v>5.7821694099402521E-9</v>
      </c>
      <c r="DE89" s="422">
        <v>5.7821694099402521E-9</v>
      </c>
      <c r="DF89" s="422">
        <v>5.7821694099402521E-9</v>
      </c>
      <c r="DG89" s="422">
        <v>5.7821694099402521E-9</v>
      </c>
      <c r="DH89" s="422">
        <v>5.7821694099402521E-9</v>
      </c>
      <c r="DI89" s="422">
        <v>5.7821694099402521E-9</v>
      </c>
      <c r="DJ89" s="422">
        <v>5.7821694099402521E-9</v>
      </c>
      <c r="DK89" s="422">
        <v>5.7821694099402521E-9</v>
      </c>
      <c r="DL89" s="422">
        <v>5.7821694099402521E-9</v>
      </c>
      <c r="DM89" s="422">
        <v>5.7821694099411099E-9</v>
      </c>
      <c r="DN89" s="422">
        <v>5.7821694099402604E-9</v>
      </c>
      <c r="DO89" s="422">
        <v>5.7821694100612645E-9</v>
      </c>
      <c r="DP89" s="422">
        <v>5.7821694099402521E-9</v>
      </c>
      <c r="DQ89" s="422">
        <v>5.7821694099402546E-9</v>
      </c>
      <c r="DR89" s="422">
        <v>5.7821694099402521E-9</v>
      </c>
      <c r="DS89" s="422">
        <v>5.7821694099402521E-9</v>
      </c>
      <c r="DT89" s="422">
        <v>5.7821694099402521E-9</v>
      </c>
      <c r="DU89" s="422">
        <v>5.7821694107662258E-9</v>
      </c>
      <c r="DV89" s="422">
        <v>5.7821694099402521E-9</v>
      </c>
      <c r="DW89" s="422">
        <v>5.7821694100317796E-9</v>
      </c>
      <c r="DX89" s="422">
        <v>5.7821694105389282E-9</v>
      </c>
      <c r="DY89" s="422">
        <v>5.7821694099403092E-9</v>
      </c>
      <c r="DZ89" s="422">
        <v>5.7821694099402521E-9</v>
      </c>
      <c r="EA89" s="422">
        <v>5.7821694099402521E-9</v>
      </c>
      <c r="EB89" s="422">
        <v>5.7821694099402521E-9</v>
      </c>
      <c r="EC89" s="422">
        <v>5.7821694099402521E-9</v>
      </c>
      <c r="ED89" s="422">
        <v>5.782169409945082E-9</v>
      </c>
      <c r="EE89" s="422">
        <v>5.7821694099402521E-9</v>
      </c>
      <c r="EF89" s="422">
        <v>5.7821694099402521E-9</v>
      </c>
      <c r="EG89" s="422">
        <v>5.7821694100446828E-9</v>
      </c>
      <c r="EH89" s="422">
        <v>5.7843667948183233E-9</v>
      </c>
      <c r="EI89" s="423">
        <v>5.7843667948183233E-9</v>
      </c>
      <c r="EJ89" s="444"/>
      <c r="EK89" s="367"/>
      <c r="EL89" s="367"/>
      <c r="EM89" s="367"/>
      <c r="EN89" s="367"/>
      <c r="EO89" s="367"/>
      <c r="EP89" s="367"/>
      <c r="EQ89" s="367"/>
    </row>
    <row r="90" spans="1:147" x14ac:dyDescent="0.2">
      <c r="A90" s="192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266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  <c r="AG90" s="265"/>
      <c r="AH90" s="265"/>
      <c r="AI90" s="192"/>
      <c r="AJ90" s="192"/>
      <c r="AK90" s="369"/>
      <c r="AL90" s="367"/>
      <c r="AM90" s="420" t="s">
        <v>19</v>
      </c>
      <c r="AN90" s="421">
        <v>1.132328939880095E-22</v>
      </c>
      <c r="AO90" s="422">
        <v>0</v>
      </c>
      <c r="AP90" s="422">
        <v>1.0228287745260784E-10</v>
      </c>
      <c r="AQ90" s="422">
        <v>6.7469527359393647E-10</v>
      </c>
      <c r="AR90" s="422">
        <v>7.5470104968351952E-24</v>
      </c>
      <c r="AS90" s="422">
        <v>6.7469527359627171E-10</v>
      </c>
      <c r="AT90" s="422">
        <v>5.5667464830624372E-23</v>
      </c>
      <c r="AU90" s="422">
        <v>0</v>
      </c>
      <c r="AV90" s="422">
        <v>6.74695273592936E-10</v>
      </c>
      <c r="AW90" s="422">
        <v>8.4814443778925754E-23</v>
      </c>
      <c r="AX90" s="422">
        <v>6.7469527363017536E-10</v>
      </c>
      <c r="AY90" s="422">
        <v>5.6654388178590232E-23</v>
      </c>
      <c r="AZ90" s="422">
        <v>5.3313249957292237E-23</v>
      </c>
      <c r="BA90" s="422">
        <v>4.3112783547704502E-22</v>
      </c>
      <c r="BB90" s="422">
        <v>1.3753475299724252E-21</v>
      </c>
      <c r="BC90" s="422">
        <v>5.5164591895258159E-20</v>
      </c>
      <c r="BD90" s="422">
        <v>5.9949299559297382E-22</v>
      </c>
      <c r="BE90" s="422">
        <v>0</v>
      </c>
      <c r="BF90" s="422">
        <v>6.703663486209396E-23</v>
      </c>
      <c r="BG90" s="422">
        <v>1.4618586421526311E-22</v>
      </c>
      <c r="BH90" s="422">
        <v>1.3709038715719906E-20</v>
      </c>
      <c r="BI90" s="422">
        <v>0</v>
      </c>
      <c r="BJ90" s="422">
        <v>1.0202370817366593E-5</v>
      </c>
      <c r="BK90" s="422">
        <v>8.6178886798706856E-4</v>
      </c>
      <c r="BL90" s="422">
        <v>1.2267329483439276E-3</v>
      </c>
      <c r="BM90" s="422">
        <v>1.4783814205883772E-3</v>
      </c>
      <c r="BN90" s="422">
        <v>1.5498085205129665E-3</v>
      </c>
      <c r="BO90" s="422">
        <v>1.1469938828065534E-3</v>
      </c>
      <c r="BP90" s="422">
        <v>2.178687794712449E-3</v>
      </c>
      <c r="BQ90" s="422">
        <v>2.1158426043016991E-3</v>
      </c>
      <c r="BR90" s="422">
        <v>2.9798543025677227E-3</v>
      </c>
      <c r="BS90" s="422">
        <v>2.0831145551354702E-3</v>
      </c>
      <c r="BT90" s="422">
        <v>3.3103395019528853E-3</v>
      </c>
      <c r="BU90" s="422">
        <v>3.8484319425138701E-3</v>
      </c>
      <c r="BV90" s="422">
        <v>4.0257668431051092E-3</v>
      </c>
      <c r="BW90" s="422">
        <v>3.9515222593628462E-3</v>
      </c>
      <c r="BX90" s="422">
        <v>4.1518649229922979E-3</v>
      </c>
      <c r="BY90" s="422">
        <v>4.4906836306552698E-3</v>
      </c>
      <c r="BZ90" s="422">
        <v>5.2225020134696711E-3</v>
      </c>
      <c r="CA90" s="422">
        <v>3.6013854517591799E-3</v>
      </c>
      <c r="CB90" s="422">
        <v>3.1565677565237459E-3</v>
      </c>
      <c r="CC90" s="422">
        <v>1.359206637740138E-3</v>
      </c>
      <c r="CD90" s="422">
        <v>3.8305053888513737E-22</v>
      </c>
      <c r="CE90" s="422">
        <v>0</v>
      </c>
      <c r="CF90" s="422">
        <v>0</v>
      </c>
      <c r="CG90" s="422">
        <v>4.6534463336492406E-21</v>
      </c>
      <c r="CH90" s="422">
        <v>2.7877359157567706E-20</v>
      </c>
      <c r="CI90" s="422">
        <v>1.504632769052528E-36</v>
      </c>
      <c r="CJ90" s="422">
        <v>6.2334762032049235E-22</v>
      </c>
      <c r="CK90" s="422">
        <v>3.2445615611441683E-23</v>
      </c>
      <c r="CL90" s="422">
        <v>3.6966425424129363E-20</v>
      </c>
      <c r="CM90" s="422">
        <v>3.4294802039752323E-22</v>
      </c>
      <c r="CN90" s="422">
        <v>2.8285624251079052E-21</v>
      </c>
      <c r="CO90" s="422">
        <v>2.802016175503161E-17</v>
      </c>
      <c r="CP90" s="422">
        <v>7.0820535713986204E-24</v>
      </c>
      <c r="CQ90" s="422">
        <v>8.0935241755138307E-18</v>
      </c>
      <c r="CR90" s="422">
        <v>8.8082895687497134E-22</v>
      </c>
      <c r="CS90" s="422">
        <v>1.0300245947336244E-19</v>
      </c>
      <c r="CT90" s="422">
        <v>3.4953186698647435E-21</v>
      </c>
      <c r="CU90" s="422">
        <v>4.8043979098860909E-22</v>
      </c>
      <c r="CV90" s="422">
        <v>3.8923197163132217E-21</v>
      </c>
      <c r="CW90" s="422">
        <v>2.467590028331164E-22</v>
      </c>
      <c r="CX90" s="422">
        <v>3.8945219527197071E-22</v>
      </c>
      <c r="CY90" s="422">
        <v>1.4942566457921685E-19</v>
      </c>
      <c r="CZ90" s="422">
        <v>6.9582412081341563E-22</v>
      </c>
      <c r="DA90" s="422">
        <v>2.167986341627022E-20</v>
      </c>
      <c r="DB90" s="422">
        <v>2.12744553556336E-21</v>
      </c>
      <c r="DC90" s="422">
        <v>7.249025163008872E-21</v>
      </c>
      <c r="DD90" s="422">
        <v>6.5168334723815563E-22</v>
      </c>
      <c r="DE90" s="422">
        <v>0</v>
      </c>
      <c r="DF90" s="422">
        <v>3.0071365335477715E-22</v>
      </c>
      <c r="DG90" s="422">
        <v>2.5307741964625001E-21</v>
      </c>
      <c r="DH90" s="422">
        <v>5.4163893269390195E-20</v>
      </c>
      <c r="DI90" s="422">
        <v>3.4465862285335301E-22</v>
      </c>
      <c r="DJ90" s="422">
        <v>4.2716065023307968E-17</v>
      </c>
      <c r="DK90" s="422">
        <v>2.0274714910293848E-19</v>
      </c>
      <c r="DL90" s="422">
        <v>5.5127465788757819E-17</v>
      </c>
      <c r="DM90" s="422">
        <v>6.0127730547703067E-21</v>
      </c>
      <c r="DN90" s="422">
        <v>2.5654075312679971E-22</v>
      </c>
      <c r="DO90" s="422">
        <v>1.3462613524732765E-18</v>
      </c>
      <c r="DP90" s="422">
        <v>1.5246179127436095E-17</v>
      </c>
      <c r="DQ90" s="422">
        <v>2.4512315201219227E-21</v>
      </c>
      <c r="DR90" s="422">
        <v>3.3547277151902329E-18</v>
      </c>
      <c r="DS90" s="422">
        <v>2.7143358663847147E-21</v>
      </c>
      <c r="DT90" s="422">
        <v>2.0736536829815687E-17</v>
      </c>
      <c r="DU90" s="422">
        <v>0</v>
      </c>
      <c r="DV90" s="422">
        <v>0</v>
      </c>
      <c r="DW90" s="422">
        <v>9.7247875267401487E-20</v>
      </c>
      <c r="DX90" s="422">
        <v>1.3170870072175662E-18</v>
      </c>
      <c r="DY90" s="422">
        <v>3.2917447280737139E-20</v>
      </c>
      <c r="DZ90" s="422">
        <v>0</v>
      </c>
      <c r="EA90" s="422">
        <v>7.6983806657545403E-21</v>
      </c>
      <c r="EB90" s="422">
        <v>1.3476414274211013E-16</v>
      </c>
      <c r="EC90" s="422">
        <v>4.6898175266493549E-17</v>
      </c>
      <c r="ED90" s="422">
        <v>0</v>
      </c>
      <c r="EE90" s="422">
        <v>0</v>
      </c>
      <c r="EF90" s="422">
        <v>1.7777623759756926E-28</v>
      </c>
      <c r="EG90" s="422">
        <v>1.3924062880489549E-19</v>
      </c>
      <c r="EH90" s="422">
        <v>1.95389926950127E-5</v>
      </c>
      <c r="EI90" s="423">
        <v>1.95389926950127E-5</v>
      </c>
      <c r="EJ90" s="444"/>
      <c r="EK90" s="367"/>
      <c r="EL90" s="367"/>
      <c r="EM90" s="367"/>
      <c r="EN90" s="367"/>
      <c r="EO90" s="367"/>
      <c r="EP90" s="367"/>
      <c r="EQ90" s="367"/>
    </row>
    <row r="91" spans="1:147" x14ac:dyDescent="0.2">
      <c r="A91" s="192"/>
      <c r="B91" s="192"/>
      <c r="C91" s="192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266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  <c r="AG91" s="265"/>
      <c r="AH91" s="265"/>
      <c r="AI91" s="192"/>
      <c r="AJ91" s="192"/>
      <c r="AK91" s="369"/>
      <c r="AL91" s="367"/>
      <c r="AM91" s="420" t="s">
        <v>20</v>
      </c>
      <c r="AN91" s="421">
        <v>0.11621152898984703</v>
      </c>
      <c r="AO91" s="422">
        <v>0.1157306769496719</v>
      </c>
      <c r="AP91" s="422">
        <v>0.11556092457250711</v>
      </c>
      <c r="AQ91" s="422">
        <v>0.11382345775698804</v>
      </c>
      <c r="AR91" s="422">
        <v>0.11351707629888545</v>
      </c>
      <c r="AS91" s="422">
        <v>0.11587370633951399</v>
      </c>
      <c r="AT91" s="422">
        <v>0.11633654876621695</v>
      </c>
      <c r="AU91" s="422">
        <v>0.11535365495421221</v>
      </c>
      <c r="AV91" s="422">
        <v>0.11580328073189486</v>
      </c>
      <c r="AW91" s="422">
        <v>0.11642722937696551</v>
      </c>
      <c r="AX91" s="422">
        <v>0.11749152845323538</v>
      </c>
      <c r="AY91" s="422">
        <v>0.11823312672783291</v>
      </c>
      <c r="AZ91" s="422">
        <v>0.11961043846248325</v>
      </c>
      <c r="BA91" s="422">
        <v>0.12270586026415754</v>
      </c>
      <c r="BB91" s="422">
        <v>0.12359731783862002</v>
      </c>
      <c r="BC91" s="422">
        <v>0.12503524133178096</v>
      </c>
      <c r="BD91" s="422">
        <v>0.12532760276379792</v>
      </c>
      <c r="BE91" s="422">
        <v>0.12576179851092659</v>
      </c>
      <c r="BF91" s="422">
        <v>0.12680616066633077</v>
      </c>
      <c r="BG91" s="422">
        <v>0.12840300323829695</v>
      </c>
      <c r="BH91" s="422">
        <v>0.12095727414717315</v>
      </c>
      <c r="BI91" s="422">
        <v>0.10691413948945176</v>
      </c>
      <c r="BJ91" s="422">
        <v>0.10497270158481532</v>
      </c>
      <c r="BK91" s="422">
        <v>0.10231539095711269</v>
      </c>
      <c r="BL91" s="422">
        <v>9.9795582873023647E-2</v>
      </c>
      <c r="BM91" s="422">
        <v>9.8795622995288684E-2</v>
      </c>
      <c r="BN91" s="422">
        <v>9.5188184199918549E-2</v>
      </c>
      <c r="BO91" s="422">
        <v>9.3397684601732575E-2</v>
      </c>
      <c r="BP91" s="422">
        <v>9.2734379196197703E-2</v>
      </c>
      <c r="BQ91" s="422">
        <v>8.7532428052635738E-2</v>
      </c>
      <c r="BR91" s="422">
        <v>8.4986223605041933E-2</v>
      </c>
      <c r="BS91" s="422">
        <v>8.0314567053399691E-2</v>
      </c>
      <c r="BT91" s="422">
        <v>7.2533631985725766E-2</v>
      </c>
      <c r="BU91" s="422">
        <v>7.0712068909300999E-2</v>
      </c>
      <c r="BV91" s="422">
        <v>7.4785618241470467E-2</v>
      </c>
      <c r="BW91" s="422">
        <v>7.6500014318526849E-2</v>
      </c>
      <c r="BX91" s="422">
        <v>7.4676561258262802E-2</v>
      </c>
      <c r="BY91" s="422">
        <v>7.0423537363398986E-2</v>
      </c>
      <c r="BZ91" s="422">
        <v>7.446559978864746E-2</v>
      </c>
      <c r="CA91" s="422">
        <v>6.8759082665423923E-2</v>
      </c>
      <c r="CB91" s="422">
        <v>5.4622266735787878E-2</v>
      </c>
      <c r="CC91" s="422">
        <v>4.4778698621372029E-2</v>
      </c>
      <c r="CD91" s="422">
        <v>3.5390178105431637E-2</v>
      </c>
      <c r="CE91" s="422">
        <v>2.3451519324426892E-2</v>
      </c>
      <c r="CF91" s="422">
        <v>1.2657836345524542E-2</v>
      </c>
      <c r="CG91" s="422">
        <v>2.9297139154991106E-3</v>
      </c>
      <c r="CH91" s="422">
        <v>-7.491621785158629E-21</v>
      </c>
      <c r="CI91" s="422">
        <v>-2.487643877421313E-20</v>
      </c>
      <c r="CJ91" s="422">
        <v>5.7869650756077863E-21</v>
      </c>
      <c r="CK91" s="422">
        <v>-9.8818452098067857E-23</v>
      </c>
      <c r="CL91" s="422">
        <v>1.699632171293515E-23</v>
      </c>
      <c r="CM91" s="422">
        <v>-9.1044916591585676E-24</v>
      </c>
      <c r="CN91" s="422">
        <v>2.6101992415596027E-25</v>
      </c>
      <c r="CO91" s="422">
        <v>7.2936030610986572E-18</v>
      </c>
      <c r="CP91" s="422">
        <v>1.0265867178900515E-17</v>
      </c>
      <c r="CQ91" s="422">
        <v>-1.0256366456757522E-18</v>
      </c>
      <c r="CR91" s="422">
        <v>-3.5889071761759261E-25</v>
      </c>
      <c r="CS91" s="422">
        <v>1.3736492945299656E-17</v>
      </c>
      <c r="CT91" s="422">
        <v>-3.1051016605739184E-22</v>
      </c>
      <c r="CU91" s="422">
        <v>1.6377589204005524E-24</v>
      </c>
      <c r="CV91" s="422">
        <v>9.8689793310976298E-24</v>
      </c>
      <c r="CW91" s="422">
        <v>8.8859288983448067E-24</v>
      </c>
      <c r="CX91" s="422">
        <v>1.395545054447894E-23</v>
      </c>
      <c r="CY91" s="422">
        <v>8.2348902928583233E-20</v>
      </c>
      <c r="CZ91" s="422">
        <v>-2.5434293984218258E-25</v>
      </c>
      <c r="DA91" s="422">
        <v>6.1068703011447271E-23</v>
      </c>
      <c r="DB91" s="422">
        <v>-1.1295060043272418E-22</v>
      </c>
      <c r="DC91" s="422">
        <v>2.5668649848184007E-22</v>
      </c>
      <c r="DD91" s="422">
        <v>5.2569734358346943E-24</v>
      </c>
      <c r="DE91" s="422">
        <v>-5.2132764972086346E-22</v>
      </c>
      <c r="DF91" s="422">
        <v>-3.4238235719868692E-23</v>
      </c>
      <c r="DG91" s="422">
        <v>3.4675089597896919E-23</v>
      </c>
      <c r="DH91" s="422">
        <v>1.6047319837611717E-22</v>
      </c>
      <c r="DI91" s="422">
        <v>1.1775457002938385E-24</v>
      </c>
      <c r="DJ91" s="422">
        <v>3.3482923752680881E-18</v>
      </c>
      <c r="DK91" s="422">
        <v>-2.1679161590562818E-22</v>
      </c>
      <c r="DL91" s="422">
        <v>-7.4062034609580202E-18</v>
      </c>
      <c r="DM91" s="422">
        <v>2.2609530722966536E-23</v>
      </c>
      <c r="DN91" s="422">
        <v>1.8546150721711763E-25</v>
      </c>
      <c r="DO91" s="422">
        <v>-6.4510526143645616E-21</v>
      </c>
      <c r="DP91" s="422">
        <v>2.2370107141040775E-20</v>
      </c>
      <c r="DQ91" s="422">
        <v>7.4380737098750513E-19</v>
      </c>
      <c r="DR91" s="422">
        <v>-7.5168297169583361E-20</v>
      </c>
      <c r="DS91" s="422">
        <v>2.2630177448783664E-23</v>
      </c>
      <c r="DT91" s="422">
        <v>-2.647321540369391E-18</v>
      </c>
      <c r="DU91" s="422">
        <v>8.2786057653694293E-21</v>
      </c>
      <c r="DV91" s="422">
        <v>-1.5222276395533389E-21</v>
      </c>
      <c r="DW91" s="422">
        <v>1.2585017528211955E-19</v>
      </c>
      <c r="DX91" s="422">
        <v>1.3170870228084991E-18</v>
      </c>
      <c r="DY91" s="422">
        <v>1.4125847516331064E-20</v>
      </c>
      <c r="DZ91" s="422">
        <v>5.0537463079051273E-18</v>
      </c>
      <c r="EA91" s="422">
        <v>-6.8004734745393978E-17</v>
      </c>
      <c r="EB91" s="422">
        <v>7.9095240192306305E-17</v>
      </c>
      <c r="EC91" s="422">
        <v>8.9756942244264174E-17</v>
      </c>
      <c r="ED91" s="422">
        <v>-2.173494389086431E-20</v>
      </c>
      <c r="EE91" s="422">
        <v>-1.6272457227133072E-19</v>
      </c>
      <c r="EF91" s="422">
        <v>-2.231882913757996E-19</v>
      </c>
      <c r="EG91" s="422">
        <v>-2.6107616856372424E-19</v>
      </c>
      <c r="EH91" s="422">
        <v>2.0846444404607559E-5</v>
      </c>
      <c r="EI91" s="423">
        <v>2.0846444404607559E-5</v>
      </c>
      <c r="EJ91" s="444"/>
      <c r="EK91" s="367"/>
      <c r="EL91" s="367"/>
      <c r="EM91" s="367"/>
      <c r="EN91" s="367"/>
      <c r="EO91" s="367"/>
      <c r="EP91" s="367"/>
      <c r="EQ91" s="367"/>
    </row>
    <row r="92" spans="1:147" x14ac:dyDescent="0.2">
      <c r="A92" s="192"/>
      <c r="B92" s="192"/>
      <c r="C92" s="192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192"/>
      <c r="O92" s="192"/>
      <c r="P92" s="192"/>
      <c r="Q92" s="192"/>
      <c r="R92" s="192"/>
      <c r="S92" s="266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  <c r="AG92" s="265"/>
      <c r="AH92" s="265"/>
      <c r="AI92" s="192"/>
      <c r="AJ92" s="192"/>
      <c r="AK92" s="369"/>
      <c r="AL92" s="367"/>
      <c r="AM92" s="420" t="s">
        <v>21</v>
      </c>
      <c r="AN92" s="421">
        <v>0.26838104991559103</v>
      </c>
      <c r="AO92" s="422">
        <v>0.26896621906761498</v>
      </c>
      <c r="AP92" s="422">
        <v>0.26799072865868528</v>
      </c>
      <c r="AQ92" s="422">
        <v>0.26944500337199778</v>
      </c>
      <c r="AR92" s="422">
        <v>0.26865193206606297</v>
      </c>
      <c r="AS92" s="422">
        <v>0.26617946890591987</v>
      </c>
      <c r="AT92" s="422">
        <v>0.26667584931821875</v>
      </c>
      <c r="AU92" s="422">
        <v>0.26811794499815628</v>
      </c>
      <c r="AV92" s="422">
        <v>0.26798430208510354</v>
      </c>
      <c r="AW92" s="422">
        <v>0.26809760272870403</v>
      </c>
      <c r="AX92" s="422">
        <v>0.26750163601612931</v>
      </c>
      <c r="AY92" s="422">
        <v>0.26768160812671649</v>
      </c>
      <c r="AZ92" s="422">
        <v>0.26674302912353676</v>
      </c>
      <c r="BA92" s="422">
        <v>0.26443083389973965</v>
      </c>
      <c r="BB92" s="422">
        <v>0.26454317683508305</v>
      </c>
      <c r="BC92" s="422">
        <v>0.26341745945034756</v>
      </c>
      <c r="BD92" s="422">
        <v>0.26308334516572068</v>
      </c>
      <c r="BE92" s="422">
        <v>0.26269287732303553</v>
      </c>
      <c r="BF92" s="422">
        <v>0.26160648211219717</v>
      </c>
      <c r="BG92" s="422">
        <v>0.26039426252681014</v>
      </c>
      <c r="BH92" s="422">
        <v>0.26415397924638889</v>
      </c>
      <c r="BI92" s="422">
        <v>0.26785595844634236</v>
      </c>
      <c r="BJ92" s="422">
        <v>0.26455178339098229</v>
      </c>
      <c r="BK92" s="422">
        <v>0.26671687363006225</v>
      </c>
      <c r="BL92" s="422">
        <v>0.26815258654897095</v>
      </c>
      <c r="BM92" s="422">
        <v>0.2692936505088247</v>
      </c>
      <c r="BN92" s="422">
        <v>0.27238257219541423</v>
      </c>
      <c r="BO92" s="422">
        <v>0.27487322618780635</v>
      </c>
      <c r="BP92" s="422">
        <v>0.276763813864421</v>
      </c>
      <c r="BQ92" s="422">
        <v>0.28063377566533065</v>
      </c>
      <c r="BR92" s="422">
        <v>0.28315640485806337</v>
      </c>
      <c r="BS92" s="422">
        <v>0.28553631588050565</v>
      </c>
      <c r="BT92" s="422">
        <v>0.29270722216311035</v>
      </c>
      <c r="BU92" s="422">
        <v>0.29276796668252131</v>
      </c>
      <c r="BV92" s="422">
        <v>0.29368977804727181</v>
      </c>
      <c r="BW92" s="422">
        <v>0.29765246492354369</v>
      </c>
      <c r="BX92" s="422">
        <v>0.3026682663066167</v>
      </c>
      <c r="BY92" s="422">
        <v>0.30727253469836718</v>
      </c>
      <c r="BZ92" s="422">
        <v>0.30921645518120688</v>
      </c>
      <c r="CA92" s="422">
        <v>0.3108822516456658</v>
      </c>
      <c r="CB92" s="422">
        <v>0.32033318108660469</v>
      </c>
      <c r="CC92" s="422">
        <v>0.32552641404338573</v>
      </c>
      <c r="CD92" s="422">
        <v>0.32842012673795629</v>
      </c>
      <c r="CE92" s="422">
        <v>0.33312512729403548</v>
      </c>
      <c r="CF92" s="422">
        <v>0.33938437608990968</v>
      </c>
      <c r="CG92" s="422">
        <v>0.33992345489787756</v>
      </c>
      <c r="CH92" s="422">
        <v>0.33508533780300515</v>
      </c>
      <c r="CI92" s="422">
        <v>0.32783785760941919</v>
      </c>
      <c r="CJ92" s="422">
        <v>0.32048788505629683</v>
      </c>
      <c r="CK92" s="422">
        <v>0.31381180540373665</v>
      </c>
      <c r="CL92" s="422">
        <v>0.30392644980018518</v>
      </c>
      <c r="CM92" s="422">
        <v>0.29394978040738834</v>
      </c>
      <c r="CN92" s="422">
        <v>0.28400461966152762</v>
      </c>
      <c r="CO92" s="422">
        <v>0.27411914135548365</v>
      </c>
      <c r="CP92" s="422">
        <v>0.26494500139292293</v>
      </c>
      <c r="CQ92" s="422">
        <v>0.25552155764330886</v>
      </c>
      <c r="CR92" s="422">
        <v>0.24639983795140996</v>
      </c>
      <c r="CS92" s="422">
        <v>0.23632574653269187</v>
      </c>
      <c r="CT92" s="422">
        <v>0.226306274242601</v>
      </c>
      <c r="CU92" s="422">
        <v>0.21581215947066246</v>
      </c>
      <c r="CV92" s="422">
        <v>0.20660717161804451</v>
      </c>
      <c r="CW92" s="422">
        <v>0.19714750906715064</v>
      </c>
      <c r="CX92" s="422">
        <v>0.18711960212561415</v>
      </c>
      <c r="CY92" s="422">
        <v>0.17667887784831693</v>
      </c>
      <c r="CZ92" s="422">
        <v>0.16708128623161281</v>
      </c>
      <c r="DA92" s="422">
        <v>0.15714180297797209</v>
      </c>
      <c r="DB92" s="422">
        <v>0.14769172569215519</v>
      </c>
      <c r="DC92" s="422">
        <v>0.13819716139986454</v>
      </c>
      <c r="DD92" s="422">
        <v>0.12845596135428547</v>
      </c>
      <c r="DE92" s="422">
        <v>0.119418312082316</v>
      </c>
      <c r="DF92" s="422">
        <v>0.11023023875169599</v>
      </c>
      <c r="DG92" s="422">
        <v>0.10069250081531914</v>
      </c>
      <c r="DH92" s="422">
        <v>9.0881099145386293E-2</v>
      </c>
      <c r="DI92" s="422">
        <v>8.1440812258712802E-2</v>
      </c>
      <c r="DJ92" s="422">
        <v>7.2162300240278046E-2</v>
      </c>
      <c r="DK92" s="422">
        <v>6.2815508233907566E-2</v>
      </c>
      <c r="DL92" s="422">
        <v>5.3322100314809537E-2</v>
      </c>
      <c r="DM92" s="422">
        <v>4.351572611452454E-2</v>
      </c>
      <c r="DN92" s="422">
        <v>3.3224270211362199E-2</v>
      </c>
      <c r="DO92" s="422">
        <v>2.3347899343105636E-2</v>
      </c>
      <c r="DP92" s="422">
        <v>1.3895318203662063E-2</v>
      </c>
      <c r="DQ92" s="422">
        <v>3.9662668021905991E-3</v>
      </c>
      <c r="DR92" s="422">
        <v>6.2527760746888816E-12</v>
      </c>
      <c r="DS92" s="422">
        <v>6.25277607611115E-12</v>
      </c>
      <c r="DT92" s="422">
        <v>6.2527760746888816E-12</v>
      </c>
      <c r="DU92" s="422">
        <v>6.2527764338085029E-12</v>
      </c>
      <c r="DV92" s="422">
        <v>6.2527760932851345E-12</v>
      </c>
      <c r="DW92" s="422">
        <v>6.2527760746888816E-12</v>
      </c>
      <c r="DX92" s="422">
        <v>6.2527760746888816E-12</v>
      </c>
      <c r="DY92" s="422">
        <v>6.2527760804978415E-12</v>
      </c>
      <c r="DZ92" s="422">
        <v>6.2528720547087577E-12</v>
      </c>
      <c r="EA92" s="422">
        <v>6.2528442802498656E-12</v>
      </c>
      <c r="EB92" s="422">
        <v>6.2527930225889383E-12</v>
      </c>
      <c r="EC92" s="422">
        <v>6.2528294828418962E-12</v>
      </c>
      <c r="ED92" s="422">
        <v>6.2527760915938482E-12</v>
      </c>
      <c r="EE92" s="422">
        <v>6.2527760746888816E-12</v>
      </c>
      <c r="EF92" s="422">
        <v>6.2527760746888816E-12</v>
      </c>
      <c r="EG92" s="422">
        <v>6.2527760746888816E-12</v>
      </c>
      <c r="EH92" s="422">
        <v>2.1084105069392172E-5</v>
      </c>
      <c r="EI92" s="423">
        <v>2.1084105069392172E-5</v>
      </c>
      <c r="EJ92" s="444"/>
      <c r="EK92" s="367"/>
      <c r="EL92" s="367"/>
      <c r="EM92" s="367"/>
      <c r="EN92" s="367"/>
      <c r="EO92" s="367"/>
      <c r="EP92" s="367"/>
      <c r="EQ92" s="367"/>
    </row>
    <row r="93" spans="1:147" x14ac:dyDescent="0.2">
      <c r="A93" s="192"/>
      <c r="B93" s="192"/>
      <c r="C93" s="192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192"/>
      <c r="O93" s="192"/>
      <c r="P93" s="192"/>
      <c r="Q93" s="192"/>
      <c r="R93" s="192"/>
      <c r="S93" s="266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  <c r="AG93" s="265"/>
      <c r="AH93" s="265"/>
      <c r="AI93" s="192"/>
      <c r="AJ93" s="192"/>
      <c r="AK93" s="369"/>
      <c r="AL93" s="367"/>
      <c r="AM93" s="420" t="s">
        <v>22</v>
      </c>
      <c r="AN93" s="421">
        <v>1.7462969717836761E-3</v>
      </c>
      <c r="AO93" s="422">
        <v>2.2367094492223294E-3</v>
      </c>
      <c r="AP93" s="422">
        <v>2.8173378319908595E-3</v>
      </c>
      <c r="AQ93" s="422">
        <v>3.7541076702366002E-3</v>
      </c>
      <c r="AR93" s="422">
        <v>4.2640425534281367E-3</v>
      </c>
      <c r="AS93" s="422">
        <v>4.3281942346490325E-3</v>
      </c>
      <c r="AT93" s="422">
        <v>3.8832591777365282E-3</v>
      </c>
      <c r="AU93" s="422">
        <v>3.0804671173001552E-3</v>
      </c>
      <c r="AV93" s="422">
        <v>3.1564062785176491E-3</v>
      </c>
      <c r="AW93" s="422">
        <v>3.1935621938543692E-3</v>
      </c>
      <c r="AX93" s="422">
        <v>2.9249378541980381E-3</v>
      </c>
      <c r="AY93" s="422">
        <v>2.4694675775761617E-3</v>
      </c>
      <c r="AZ93" s="422">
        <v>2.0456568473641249E-3</v>
      </c>
      <c r="BA93" s="422">
        <v>1.3207479357115681E-3</v>
      </c>
      <c r="BB93" s="422">
        <v>1.4068746168215245E-11</v>
      </c>
      <c r="BC93" s="422">
        <v>1.406874616805606E-11</v>
      </c>
      <c r="BD93" s="422">
        <v>1.406874616822663E-11</v>
      </c>
      <c r="BE93" s="422">
        <v>1.4068746168606434E-11</v>
      </c>
      <c r="BF93" s="422">
        <v>1.4068746168049984E-11</v>
      </c>
      <c r="BG93" s="422">
        <v>1.4068746168139072E-11</v>
      </c>
      <c r="BH93" s="422">
        <v>7.0752487116482882E-4</v>
      </c>
      <c r="BI93" s="422">
        <v>7.394118146251182E-3</v>
      </c>
      <c r="BJ93" s="422">
        <v>9.8451922314623293E-3</v>
      </c>
      <c r="BK93" s="422">
        <v>8.4315147311849557E-3</v>
      </c>
      <c r="BL93" s="422">
        <v>8.4984133006887966E-3</v>
      </c>
      <c r="BM93" s="422">
        <v>7.1973210929849266E-3</v>
      </c>
      <c r="BN93" s="422">
        <v>6.5224163079985725E-3</v>
      </c>
      <c r="BO93" s="422">
        <v>3.7242659008597939E-3</v>
      </c>
      <c r="BP93" s="422">
        <v>1.2920346851672234E-3</v>
      </c>
      <c r="BQ93" s="422">
        <v>8.2255432287756721E-4</v>
      </c>
      <c r="BR93" s="422">
        <v>7.2836224165256146E-5</v>
      </c>
      <c r="BS93" s="422">
        <v>1.4068746168716556E-11</v>
      </c>
      <c r="BT93" s="422">
        <v>1.4068746168287861E-11</v>
      </c>
      <c r="BU93" s="422">
        <v>1.4068746168211998E-11</v>
      </c>
      <c r="BV93" s="422">
        <v>1.4068746168125356E-11</v>
      </c>
      <c r="BW93" s="422">
        <v>1.4068746168209906E-11</v>
      </c>
      <c r="BX93" s="422">
        <v>2.3060773899004181E-3</v>
      </c>
      <c r="BY93" s="422">
        <v>6.346168537130395E-3</v>
      </c>
      <c r="BZ93" s="422">
        <v>5.7070535726981633E-3</v>
      </c>
      <c r="CA93" s="422">
        <v>1.0759123557557529E-2</v>
      </c>
      <c r="CB93" s="422">
        <v>1.5089255871619524E-2</v>
      </c>
      <c r="CC93" s="422">
        <v>1.8972231971135688E-2</v>
      </c>
      <c r="CD93" s="422">
        <v>2.2883871143914471E-2</v>
      </c>
      <c r="CE93" s="422">
        <v>2.7097200821608585E-2</v>
      </c>
      <c r="CF93" s="422">
        <v>3.0730951099377502E-2</v>
      </c>
      <c r="CG93" s="422">
        <v>3.5532259444095007E-2</v>
      </c>
      <c r="CH93" s="422">
        <v>3.9189516267395856E-2</v>
      </c>
      <c r="CI93" s="422">
        <v>4.3594862506944748E-2</v>
      </c>
      <c r="CJ93" s="422">
        <v>4.8211763344427304E-2</v>
      </c>
      <c r="CK93" s="422">
        <v>4.9316740081822921E-2</v>
      </c>
      <c r="CL93" s="422">
        <v>5.4902324316230065E-2</v>
      </c>
      <c r="CM93" s="422">
        <v>6.0041986659519576E-2</v>
      </c>
      <c r="CN93" s="422">
        <v>6.5091161846819082E-2</v>
      </c>
      <c r="CO93" s="422">
        <v>6.9968939822032117E-2</v>
      </c>
      <c r="CP93" s="422">
        <v>7.2803882261365485E-2</v>
      </c>
      <c r="CQ93" s="422">
        <v>7.635478025137804E-2</v>
      </c>
      <c r="CR93" s="422">
        <v>7.9039208457572313E-2</v>
      </c>
      <c r="CS93" s="422">
        <v>8.4458621965578226E-2</v>
      </c>
      <c r="CT93" s="422">
        <v>8.9721233854415786E-2</v>
      </c>
      <c r="CU93" s="422">
        <v>9.6346906080445216E-2</v>
      </c>
      <c r="CV93" s="422">
        <v>9.9270438101090083E-2</v>
      </c>
      <c r="CW93" s="422">
        <v>0.10292534996157139</v>
      </c>
      <c r="CX93" s="422">
        <v>0.10821215731158251</v>
      </c>
      <c r="CY93" s="422">
        <v>0.11468447432042048</v>
      </c>
      <c r="CZ93" s="422">
        <v>0.11873552094022791</v>
      </c>
      <c r="DA93" s="422">
        <v>0.12376839139298637</v>
      </c>
      <c r="DB93" s="422">
        <v>0.12739577609947972</v>
      </c>
      <c r="DC93" s="422">
        <v>0.1311509194717867</v>
      </c>
      <c r="DD93" s="422">
        <v>0.13561435628258339</v>
      </c>
      <c r="DE93" s="422">
        <v>0.13805732205482393</v>
      </c>
      <c r="DF93" s="422">
        <v>0.14093227861636995</v>
      </c>
      <c r="DG93" s="422">
        <v>0.14481140891439051</v>
      </c>
      <c r="DH93" s="422">
        <v>0.14947645213966135</v>
      </c>
      <c r="DI93" s="422">
        <v>0.15307572058408833</v>
      </c>
      <c r="DJ93" s="422">
        <v>0.15621037342173624</v>
      </c>
      <c r="DK93" s="422">
        <v>0.15954114141816381</v>
      </c>
      <c r="DL93" s="422">
        <v>0.16329299123285307</v>
      </c>
      <c r="DM93" s="422">
        <v>0.16794356913346056</v>
      </c>
      <c r="DN93" s="422">
        <v>0.17398724160847392</v>
      </c>
      <c r="DO93" s="422">
        <v>0.17883886466356871</v>
      </c>
      <c r="DP93" s="422">
        <v>0.18247346732426731</v>
      </c>
      <c r="DQ93" s="422">
        <v>0.18747635203965859</v>
      </c>
      <c r="DR93" s="422">
        <v>0.17535522122838509</v>
      </c>
      <c r="DS93" s="422">
        <v>0.17020015319782922</v>
      </c>
      <c r="DT93" s="422">
        <v>0.17271410571418377</v>
      </c>
      <c r="DU93" s="422">
        <v>0.16102638040082845</v>
      </c>
      <c r="DV93" s="422">
        <v>0.14246430158850421</v>
      </c>
      <c r="DW93" s="422">
        <v>0.1362684236524899</v>
      </c>
      <c r="DX93" s="422">
        <v>0.11275688934374818</v>
      </c>
      <c r="DY93" s="422">
        <v>0.10578614237293345</v>
      </c>
      <c r="DZ93" s="422">
        <v>0.11308797345719926</v>
      </c>
      <c r="EA93" s="422">
        <v>0.1146117783560696</v>
      </c>
      <c r="EB93" s="422">
        <v>0.11831889115272085</v>
      </c>
      <c r="EC93" s="422">
        <v>9.4807356843974858E-2</v>
      </c>
      <c r="ED93" s="422">
        <v>7.1295822535236614E-2</v>
      </c>
      <c r="EE93" s="422">
        <v>4.7784288226486338E-2</v>
      </c>
      <c r="EF93" s="422">
        <v>2.4272753917744822E-2</v>
      </c>
      <c r="EG93" s="422">
        <v>7.6121960899645574E-4</v>
      </c>
      <c r="EH93" s="422">
        <v>5.6299328007361375E-5</v>
      </c>
      <c r="EI93" s="423">
        <v>5.6299328007361375E-5</v>
      </c>
      <c r="EJ93" s="444"/>
      <c r="EK93" s="367"/>
      <c r="EL93" s="367"/>
      <c r="EM93" s="367"/>
      <c r="EN93" s="367"/>
      <c r="EO93" s="367"/>
      <c r="EP93" s="367"/>
      <c r="EQ93" s="367"/>
    </row>
    <row r="94" spans="1:147" x14ac:dyDescent="0.2">
      <c r="A94" s="192"/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2"/>
      <c r="P94" s="192"/>
      <c r="Q94" s="192"/>
      <c r="R94" s="192"/>
      <c r="S94" s="266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  <c r="AG94" s="265"/>
      <c r="AH94" s="265"/>
      <c r="AI94" s="192"/>
      <c r="AJ94" s="192"/>
      <c r="AK94" s="369"/>
      <c r="AL94" s="367"/>
      <c r="AM94" s="420" t="s">
        <v>23</v>
      </c>
      <c r="AN94" s="421">
        <v>2.2231124122778261E-2</v>
      </c>
      <c r="AO94" s="422">
        <v>2.1636394533490769E-2</v>
      </c>
      <c r="AP94" s="422">
        <v>2.220100893681675E-2</v>
      </c>
      <c r="AQ94" s="422">
        <v>2.1547431200777529E-2</v>
      </c>
      <c r="AR94" s="422">
        <v>2.2136949081623381E-2</v>
      </c>
      <c r="AS94" s="422">
        <v>2.2188630519917037E-2</v>
      </c>
      <c r="AT94" s="422">
        <v>2.1674342737827708E-2</v>
      </c>
      <c r="AU94" s="422">
        <v>2.2017932930331312E-2</v>
      </c>
      <c r="AV94" s="422">
        <v>2.162601090448385E-2</v>
      </c>
      <c r="AW94" s="422">
        <v>2.0851605700476093E-2</v>
      </c>
      <c r="AX94" s="422">
        <v>2.0651897676437256E-2</v>
      </c>
      <c r="AY94" s="422">
        <v>2.0185797567874385E-2</v>
      </c>
      <c r="AZ94" s="422">
        <v>2.0170875566615815E-2</v>
      </c>
      <c r="BA94" s="422">
        <v>2.0112557900391195E-2</v>
      </c>
      <c r="BB94" s="422">
        <v>2.0429505312228122E-2</v>
      </c>
      <c r="BC94" s="422">
        <v>2.0117299203802754E-2</v>
      </c>
      <c r="BD94" s="422">
        <v>2.0159052056412729E-2</v>
      </c>
      <c r="BE94" s="422">
        <v>2.0115324151969066E-2</v>
      </c>
      <c r="BF94" s="422">
        <v>2.0157357207403345E-2</v>
      </c>
      <c r="BG94" s="422">
        <v>1.9772734220824088E-2</v>
      </c>
      <c r="BH94" s="422">
        <v>2.2751221735273087E-2</v>
      </c>
      <c r="BI94" s="422">
        <v>2.6405783917954641E-2</v>
      </c>
      <c r="BJ94" s="422">
        <v>2.9200322792739982E-2</v>
      </c>
      <c r="BK94" s="422">
        <v>3.1106220681640113E-2</v>
      </c>
      <c r="BL94" s="422">
        <v>3.2123417277316539E-2</v>
      </c>
      <c r="BM94" s="422">
        <v>3.3283405402901631E-2</v>
      </c>
      <c r="BN94" s="422">
        <v>3.4476827296668608E-2</v>
      </c>
      <c r="BO94" s="422">
        <v>3.6574823309601281E-2</v>
      </c>
      <c r="BP94" s="422">
        <v>3.777977225421407E-2</v>
      </c>
      <c r="BQ94" s="422">
        <v>3.9581241959156008E-2</v>
      </c>
      <c r="BR94" s="422">
        <v>4.0354535312729381E-2</v>
      </c>
      <c r="BS94" s="422">
        <v>4.2719117052025864E-2</v>
      </c>
      <c r="BT94" s="422">
        <v>4.3329145837095122E-2</v>
      </c>
      <c r="BU94" s="422">
        <v>4.5939936879104804E-2</v>
      </c>
      <c r="BV94" s="422">
        <v>4.8013399333907004E-2</v>
      </c>
      <c r="BW94" s="422">
        <v>4.9943694860789749E-2</v>
      </c>
      <c r="BX94" s="422">
        <v>5.097492780575625E-2</v>
      </c>
      <c r="BY94" s="422">
        <v>5.1808324025241138E-2</v>
      </c>
      <c r="BZ94" s="422">
        <v>5.3829799899085172E-2</v>
      </c>
      <c r="CA94" s="422">
        <v>5.5935633429715484E-2</v>
      </c>
      <c r="CB94" s="422">
        <v>5.9075728591156104E-2</v>
      </c>
      <c r="CC94" s="422">
        <v>6.2344118857204797E-2</v>
      </c>
      <c r="CD94" s="422">
        <v>6.6286494143536212E-2</v>
      </c>
      <c r="CE94" s="422">
        <v>7.0542766521578981E-2</v>
      </c>
      <c r="CF94" s="422">
        <v>7.3706830383396607E-2</v>
      </c>
      <c r="CG94" s="422">
        <v>7.8094565660736651E-2</v>
      </c>
      <c r="CH94" s="422">
        <v>8.2205139847807099E-2</v>
      </c>
      <c r="CI94" s="422">
        <v>8.5047273801843973E-2</v>
      </c>
      <c r="CJ94" s="422">
        <v>8.7780345356614817E-2</v>
      </c>
      <c r="CK94" s="422">
        <v>9.3351448271779061E-2</v>
      </c>
      <c r="CL94" s="422">
        <v>9.7651219640923687E-2</v>
      </c>
      <c r="CM94" s="422">
        <v>0.10248822669043084</v>
      </c>
      <c r="CN94" s="422">
        <v>0.1073842122489919</v>
      </c>
      <c r="CO94" s="422">
        <v>0.1123919125798224</v>
      </c>
      <c r="CP94" s="422">
        <v>0.1187311101030494</v>
      </c>
      <c r="CQ94" s="422">
        <v>0.12460365586265169</v>
      </c>
      <c r="CR94" s="422">
        <v>0.13104095313052597</v>
      </c>
      <c r="CS94" s="422">
        <v>0.13569562525906864</v>
      </c>
      <c r="CT94" s="422">
        <v>0.14045249144249117</v>
      </c>
      <c r="CU94" s="422">
        <v>0.1443209339884004</v>
      </c>
      <c r="CV94" s="422">
        <v>0.15060238982037374</v>
      </c>
      <c r="CW94" s="422">
        <v>0.15640714051078647</v>
      </c>
      <c r="CX94" s="422">
        <v>0.16114824010231119</v>
      </c>
      <c r="CY94" s="422">
        <v>0.16511664158860159</v>
      </c>
      <c r="CZ94" s="422">
        <v>0.17066319236766728</v>
      </c>
      <c r="DA94" s="422">
        <v>0.17556980516854959</v>
      </c>
      <c r="DB94" s="422">
        <v>0.18139249774787355</v>
      </c>
      <c r="DC94" s="422">
        <v>0.18713191866785703</v>
      </c>
      <c r="DD94" s="422">
        <v>0.19240968190263943</v>
      </c>
      <c r="DE94" s="422">
        <v>0.19900436540236816</v>
      </c>
      <c r="DF94" s="422">
        <v>0.20531748217144236</v>
      </c>
      <c r="DG94" s="422">
        <v>0.2109760898097984</v>
      </c>
      <c r="DH94" s="422">
        <v>0.21612244825446045</v>
      </c>
      <c r="DI94" s="422">
        <v>0.22196346669670705</v>
      </c>
      <c r="DJ94" s="422">
        <v>0.22810732009532431</v>
      </c>
      <c r="DK94" s="422">
        <v>0.23412334410526736</v>
      </c>
      <c r="DL94" s="422">
        <v>0.23986490799184498</v>
      </c>
      <c r="DM94" s="422">
        <v>0.24502069850935351</v>
      </c>
      <c r="DN94" s="422">
        <v>0.24926848193750281</v>
      </c>
      <c r="DO94" s="422">
        <v>0.25429322975066476</v>
      </c>
      <c r="DP94" s="422">
        <v>0.26011121401157838</v>
      </c>
      <c r="DQ94" s="422">
        <v>0.26503737491548973</v>
      </c>
      <c r="DR94" s="422">
        <v>0.28112477252270074</v>
      </c>
      <c r="DS94" s="422">
        <v>0.29408543783843216</v>
      </c>
      <c r="DT94" s="422">
        <v>0.3026381230387874</v>
      </c>
      <c r="DU94" s="422">
        <v>0.31935361335025775</v>
      </c>
      <c r="DV94" s="422">
        <v>0.34029426425882425</v>
      </c>
      <c r="DW94" s="422">
        <v>0.35481157009858943</v>
      </c>
      <c r="DX94" s="422">
        <v>0.37832310440733152</v>
      </c>
      <c r="DY94" s="422">
        <v>0.39503637909289452</v>
      </c>
      <c r="DZ94" s="422">
        <v>0.40588362762575414</v>
      </c>
      <c r="EA94" s="422">
        <v>0.41910564353306412</v>
      </c>
      <c r="EB94" s="422">
        <v>0.43143032041876778</v>
      </c>
      <c r="EC94" s="422">
        <v>0.45494185472751447</v>
      </c>
      <c r="ED94" s="422">
        <v>0.47845338903625251</v>
      </c>
      <c r="EE94" s="422">
        <v>0.50196492334500242</v>
      </c>
      <c r="EF94" s="422">
        <v>0.52547645765374429</v>
      </c>
      <c r="EG94" s="422">
        <v>0.54898799196249226</v>
      </c>
      <c r="EH94" s="422">
        <v>0.56831515524715859</v>
      </c>
      <c r="EI94" s="423">
        <v>0.56831515524715859</v>
      </c>
      <c r="EJ94" s="444"/>
      <c r="EK94" s="367"/>
      <c r="EL94" s="367"/>
      <c r="EM94" s="367"/>
      <c r="EN94" s="367"/>
      <c r="EO94" s="367"/>
      <c r="EP94" s="367"/>
      <c r="EQ94" s="367"/>
    </row>
    <row r="95" spans="1:147" x14ac:dyDescent="0.2">
      <c r="A95" s="192"/>
      <c r="B95" s="192"/>
      <c r="C95" s="192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192"/>
      <c r="O95" s="192"/>
      <c r="P95" s="192"/>
      <c r="Q95" s="192"/>
      <c r="R95" s="192"/>
      <c r="S95" s="266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  <c r="AG95" s="265"/>
      <c r="AH95" s="265"/>
      <c r="AI95" s="192"/>
      <c r="AJ95" s="192"/>
      <c r="AK95" s="369"/>
      <c r="AL95" s="367"/>
      <c r="AM95" s="420" t="s">
        <v>24</v>
      </c>
      <c r="AN95" s="421">
        <v>6.8499999999999991E-2</v>
      </c>
      <c r="AO95" s="422">
        <v>6.8499999999999991E-2</v>
      </c>
      <c r="AP95" s="422">
        <v>6.8499999999999991E-2</v>
      </c>
      <c r="AQ95" s="422">
        <v>6.8499999999999991E-2</v>
      </c>
      <c r="AR95" s="422">
        <v>6.8499999999999991E-2</v>
      </c>
      <c r="AS95" s="422">
        <v>6.8499999999999991E-2</v>
      </c>
      <c r="AT95" s="422">
        <v>6.8499999999999991E-2</v>
      </c>
      <c r="AU95" s="422">
        <v>6.8499999999999991E-2</v>
      </c>
      <c r="AV95" s="422">
        <v>6.8499999999999991E-2</v>
      </c>
      <c r="AW95" s="422">
        <v>6.8499999999999991E-2</v>
      </c>
      <c r="AX95" s="422">
        <v>6.8499999999999991E-2</v>
      </c>
      <c r="AY95" s="422">
        <v>6.8499999999999991E-2</v>
      </c>
      <c r="AZ95" s="422">
        <v>6.8499999999999991E-2</v>
      </c>
      <c r="BA95" s="422">
        <v>6.8499999999999991E-2</v>
      </c>
      <c r="BB95" s="422">
        <v>6.8499999999999991E-2</v>
      </c>
      <c r="BC95" s="422">
        <v>6.8499999999999991E-2</v>
      </c>
      <c r="BD95" s="422">
        <v>6.8499999999999991E-2</v>
      </c>
      <c r="BE95" s="422">
        <v>6.8499999999999991E-2</v>
      </c>
      <c r="BF95" s="422">
        <v>6.8499999999999991E-2</v>
      </c>
      <c r="BG95" s="422">
        <v>6.8499999999999991E-2</v>
      </c>
      <c r="BH95" s="422">
        <v>6.8499999999999991E-2</v>
      </c>
      <c r="BI95" s="422">
        <v>6.8499999999999991E-2</v>
      </c>
      <c r="BJ95" s="422">
        <v>6.8499999999999991E-2</v>
      </c>
      <c r="BK95" s="422">
        <v>6.8499999999999991E-2</v>
      </c>
      <c r="BL95" s="422">
        <v>6.8499999999999991E-2</v>
      </c>
      <c r="BM95" s="422">
        <v>6.8499999999999991E-2</v>
      </c>
      <c r="BN95" s="422">
        <v>6.8499999999999991E-2</v>
      </c>
      <c r="BO95" s="422">
        <v>6.8499999999999991E-2</v>
      </c>
      <c r="BP95" s="422">
        <v>6.8499999999999991E-2</v>
      </c>
      <c r="BQ95" s="422">
        <v>6.8499999999999991E-2</v>
      </c>
      <c r="BR95" s="422">
        <v>6.8499999999999991E-2</v>
      </c>
      <c r="BS95" s="422">
        <v>6.8499999999999991E-2</v>
      </c>
      <c r="BT95" s="422">
        <v>6.8499999999999991E-2</v>
      </c>
      <c r="BU95" s="422">
        <v>6.8499999999999991E-2</v>
      </c>
      <c r="BV95" s="422">
        <v>6.8499999999999991E-2</v>
      </c>
      <c r="BW95" s="422">
        <v>6.8499999999999991E-2</v>
      </c>
      <c r="BX95" s="422">
        <v>6.8499999999999991E-2</v>
      </c>
      <c r="BY95" s="422">
        <v>6.8499999999999991E-2</v>
      </c>
      <c r="BZ95" s="422">
        <v>6.8499999999999991E-2</v>
      </c>
      <c r="CA95" s="422">
        <v>6.8499999999999991E-2</v>
      </c>
      <c r="CB95" s="422">
        <v>6.8499999999999991E-2</v>
      </c>
      <c r="CC95" s="422">
        <v>6.8499999999999991E-2</v>
      </c>
      <c r="CD95" s="422">
        <v>6.8499999999999991E-2</v>
      </c>
      <c r="CE95" s="422">
        <v>6.8499999999999991E-2</v>
      </c>
      <c r="CF95" s="422">
        <v>6.8499999999999991E-2</v>
      </c>
      <c r="CG95" s="422">
        <v>6.8499999999999991E-2</v>
      </c>
      <c r="CH95" s="422">
        <v>6.8499999999999991E-2</v>
      </c>
      <c r="CI95" s="422">
        <v>6.8499999999999991E-2</v>
      </c>
      <c r="CJ95" s="422">
        <v>6.8499999999999991E-2</v>
      </c>
      <c r="CK95" s="422">
        <v>6.8499999999999991E-2</v>
      </c>
      <c r="CL95" s="422">
        <v>6.8499999999999991E-2</v>
      </c>
      <c r="CM95" s="422">
        <v>6.8499999999999991E-2</v>
      </c>
      <c r="CN95" s="422">
        <v>6.8499999999999991E-2</v>
      </c>
      <c r="CO95" s="422">
        <v>6.8499999999999797E-2</v>
      </c>
      <c r="CP95" s="422">
        <v>6.8499999999999936E-2</v>
      </c>
      <c r="CQ95" s="422">
        <v>6.8499999999999936E-2</v>
      </c>
      <c r="CR95" s="422">
        <v>6.8499999999999991E-2</v>
      </c>
      <c r="CS95" s="422">
        <v>6.8499999999999908E-2</v>
      </c>
      <c r="CT95" s="422">
        <v>6.8499999999999991E-2</v>
      </c>
      <c r="CU95" s="422">
        <v>6.8499999999999991E-2</v>
      </c>
      <c r="CV95" s="422">
        <v>6.8499999999999991E-2</v>
      </c>
      <c r="CW95" s="422">
        <v>6.8499999999999991E-2</v>
      </c>
      <c r="CX95" s="422">
        <v>6.8499999999999991E-2</v>
      </c>
      <c r="CY95" s="422">
        <v>6.8499999999999991E-2</v>
      </c>
      <c r="CZ95" s="422">
        <v>6.8499999999999991E-2</v>
      </c>
      <c r="DA95" s="422">
        <v>6.8499999999999991E-2</v>
      </c>
      <c r="DB95" s="422">
        <v>6.8499999999999991E-2</v>
      </c>
      <c r="DC95" s="422">
        <v>6.8499999999999991E-2</v>
      </c>
      <c r="DD95" s="422">
        <v>6.8499999999999991E-2</v>
      </c>
      <c r="DE95" s="422">
        <v>6.8499999999999991E-2</v>
      </c>
      <c r="DF95" s="422">
        <v>6.8499999999999991E-2</v>
      </c>
      <c r="DG95" s="422">
        <v>6.8499999999999991E-2</v>
      </c>
      <c r="DH95" s="422">
        <v>6.8499999999999991E-2</v>
      </c>
      <c r="DI95" s="422">
        <v>6.8499999999999991E-2</v>
      </c>
      <c r="DJ95" s="422">
        <v>6.8499999999999964E-2</v>
      </c>
      <c r="DK95" s="422">
        <v>6.8499999999999991E-2</v>
      </c>
      <c r="DL95" s="422">
        <v>6.8499999999999839E-2</v>
      </c>
      <c r="DM95" s="422">
        <v>6.8499999999999991E-2</v>
      </c>
      <c r="DN95" s="422">
        <v>6.8499999999999991E-2</v>
      </c>
      <c r="DO95" s="422">
        <v>6.8499999999999991E-2</v>
      </c>
      <c r="DP95" s="422">
        <v>6.8499999999999894E-2</v>
      </c>
      <c r="DQ95" s="422">
        <v>6.8499999999999991E-2</v>
      </c>
      <c r="DR95" s="422">
        <v>6.8499999999999991E-2</v>
      </c>
      <c r="DS95" s="422">
        <v>6.0694402714824805E-2</v>
      </c>
      <c r="DT95" s="422">
        <v>4.9627770780282777E-2</v>
      </c>
      <c r="DU95" s="422">
        <v>4.4600000000000001E-2</v>
      </c>
      <c r="DV95" s="422">
        <v>4.4600000000000001E-2</v>
      </c>
      <c r="DW95" s="422">
        <v>4.4600000000000001E-2</v>
      </c>
      <c r="DX95" s="422">
        <v>4.4600000000000001E-2</v>
      </c>
      <c r="DY95" s="422">
        <v>4.4600000000000001E-2</v>
      </c>
      <c r="DZ95" s="422">
        <v>4.4599999999999904E-2</v>
      </c>
      <c r="EA95" s="422">
        <v>4.4600000000000022E-2</v>
      </c>
      <c r="EB95" s="422">
        <v>4.4600000000000015E-2</v>
      </c>
      <c r="EC95" s="422">
        <v>4.4600000000000029E-2</v>
      </c>
      <c r="ED95" s="422">
        <v>4.4600000000000001E-2</v>
      </c>
      <c r="EE95" s="422">
        <v>4.4600000000000001E-2</v>
      </c>
      <c r="EF95" s="422">
        <v>4.4600000000000001E-2</v>
      </c>
      <c r="EG95" s="422">
        <v>4.4600000000000001E-2</v>
      </c>
      <c r="EH95" s="422">
        <v>4.4623154912533672E-2</v>
      </c>
      <c r="EI95" s="423">
        <v>4.4623154912533672E-2</v>
      </c>
      <c r="EJ95" s="444"/>
      <c r="EK95" s="367"/>
      <c r="EL95" s="367"/>
      <c r="EM95" s="367"/>
      <c r="EN95" s="367"/>
      <c r="EO95" s="367"/>
      <c r="EP95" s="367"/>
      <c r="EQ95" s="367"/>
    </row>
    <row r="96" spans="1:147" x14ac:dyDescent="0.2">
      <c r="A96" s="192"/>
      <c r="B96" s="192"/>
      <c r="C96" s="192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192"/>
      <c r="O96" s="192"/>
      <c r="P96" s="192"/>
      <c r="Q96" s="192"/>
      <c r="R96" s="192"/>
      <c r="S96" s="266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  <c r="AG96" s="265"/>
      <c r="AH96" s="265"/>
      <c r="AI96" s="192"/>
      <c r="AJ96" s="192"/>
      <c r="AK96" s="369"/>
      <c r="AL96" s="367"/>
      <c r="AM96" s="420" t="s">
        <v>25</v>
      </c>
      <c r="AN96" s="421">
        <v>3.2300000000000002E-2</v>
      </c>
      <c r="AO96" s="422">
        <v>3.2300000000000002E-2</v>
      </c>
      <c r="AP96" s="422">
        <v>3.2300000000000002E-2</v>
      </c>
      <c r="AQ96" s="422">
        <v>3.2300000000000002E-2</v>
      </c>
      <c r="AR96" s="422">
        <v>3.2300000000000002E-2</v>
      </c>
      <c r="AS96" s="422">
        <v>3.2300000000000002E-2</v>
      </c>
      <c r="AT96" s="422">
        <v>3.2300000000000002E-2</v>
      </c>
      <c r="AU96" s="422">
        <v>3.2300000000000002E-2</v>
      </c>
      <c r="AV96" s="422">
        <v>3.2300000000000002E-2</v>
      </c>
      <c r="AW96" s="422">
        <v>3.2300000000000002E-2</v>
      </c>
      <c r="AX96" s="422">
        <v>3.2300000000000002E-2</v>
      </c>
      <c r="AY96" s="422">
        <v>3.2300000000000002E-2</v>
      </c>
      <c r="AZ96" s="422">
        <v>3.2300000000000002E-2</v>
      </c>
      <c r="BA96" s="422">
        <v>3.2300000000000002E-2</v>
      </c>
      <c r="BB96" s="422">
        <v>3.2300000000000002E-2</v>
      </c>
      <c r="BC96" s="422">
        <v>3.2300000000000002E-2</v>
      </c>
      <c r="BD96" s="422">
        <v>3.2300000000000002E-2</v>
      </c>
      <c r="BE96" s="422">
        <v>3.2300000000000002E-2</v>
      </c>
      <c r="BF96" s="422">
        <v>3.2300000000000002E-2</v>
      </c>
      <c r="BG96" s="422">
        <v>3.2300000000000002E-2</v>
      </c>
      <c r="BH96" s="422">
        <v>3.2300000000000002E-2</v>
      </c>
      <c r="BI96" s="422">
        <v>3.2300000000000002E-2</v>
      </c>
      <c r="BJ96" s="422">
        <v>3.2300000000000002E-2</v>
      </c>
      <c r="BK96" s="422">
        <v>3.2300000000000002E-2</v>
      </c>
      <c r="BL96" s="422">
        <v>3.2300000000000002E-2</v>
      </c>
      <c r="BM96" s="422">
        <v>3.2300000000000002E-2</v>
      </c>
      <c r="BN96" s="422">
        <v>3.2300000000000002E-2</v>
      </c>
      <c r="BO96" s="422">
        <v>3.2300000000000002E-2</v>
      </c>
      <c r="BP96" s="422">
        <v>3.2300000000000002E-2</v>
      </c>
      <c r="BQ96" s="422">
        <v>3.2300000000000002E-2</v>
      </c>
      <c r="BR96" s="422">
        <v>3.2300000000000002E-2</v>
      </c>
      <c r="BS96" s="422">
        <v>3.2300000000000002E-2</v>
      </c>
      <c r="BT96" s="422">
        <v>3.2300000000000002E-2</v>
      </c>
      <c r="BU96" s="422">
        <v>3.2300000000000002E-2</v>
      </c>
      <c r="BV96" s="422">
        <v>3.2300000000000002E-2</v>
      </c>
      <c r="BW96" s="422">
        <v>3.2300000000000002E-2</v>
      </c>
      <c r="BX96" s="422">
        <v>3.2300000000000002E-2</v>
      </c>
      <c r="BY96" s="422">
        <v>3.2300000000000002E-2</v>
      </c>
      <c r="BZ96" s="422">
        <v>3.2300000000000002E-2</v>
      </c>
      <c r="CA96" s="422">
        <v>3.2300000000000002E-2</v>
      </c>
      <c r="CB96" s="422">
        <v>3.2300000000000002E-2</v>
      </c>
      <c r="CC96" s="422">
        <v>3.2300000000000002E-2</v>
      </c>
      <c r="CD96" s="422">
        <v>3.2300000000000002E-2</v>
      </c>
      <c r="CE96" s="422">
        <v>3.2300000000000002E-2</v>
      </c>
      <c r="CF96" s="422">
        <v>3.2300000000000002E-2</v>
      </c>
      <c r="CG96" s="422">
        <v>3.2300000000000002E-2</v>
      </c>
      <c r="CH96" s="422">
        <v>3.2300000000000002E-2</v>
      </c>
      <c r="CI96" s="422">
        <v>3.2300000000000002E-2</v>
      </c>
      <c r="CJ96" s="422">
        <v>3.2300000000000002E-2</v>
      </c>
      <c r="CK96" s="422">
        <v>3.2300000000000002E-2</v>
      </c>
      <c r="CL96" s="422">
        <v>3.2300000000000002E-2</v>
      </c>
      <c r="CM96" s="422">
        <v>3.2300000000000002E-2</v>
      </c>
      <c r="CN96" s="422">
        <v>3.2300000000000002E-2</v>
      </c>
      <c r="CO96" s="422">
        <v>3.2300000000000044E-2</v>
      </c>
      <c r="CP96" s="422">
        <v>3.2299999999999982E-2</v>
      </c>
      <c r="CQ96" s="422">
        <v>3.2300000000000016E-2</v>
      </c>
      <c r="CR96" s="422">
        <v>3.2300000000000002E-2</v>
      </c>
      <c r="CS96" s="422">
        <v>3.2299999999999975E-2</v>
      </c>
      <c r="CT96" s="422">
        <v>3.2300000000000002E-2</v>
      </c>
      <c r="CU96" s="422">
        <v>3.2300000000000002E-2</v>
      </c>
      <c r="CV96" s="422">
        <v>3.2300000000000002E-2</v>
      </c>
      <c r="CW96" s="422">
        <v>3.2300000000000002E-2</v>
      </c>
      <c r="CX96" s="422">
        <v>3.2300000000000002E-2</v>
      </c>
      <c r="CY96" s="422">
        <v>3.2300000000000002E-2</v>
      </c>
      <c r="CZ96" s="422">
        <v>3.2300000000000002E-2</v>
      </c>
      <c r="DA96" s="422">
        <v>3.2300000000000002E-2</v>
      </c>
      <c r="DB96" s="422">
        <v>3.2300000000000002E-2</v>
      </c>
      <c r="DC96" s="422">
        <v>3.2300000000000002E-2</v>
      </c>
      <c r="DD96" s="422">
        <v>3.2300000000000002E-2</v>
      </c>
      <c r="DE96" s="422">
        <v>3.2300000000000002E-2</v>
      </c>
      <c r="DF96" s="422">
        <v>3.2300000000000002E-2</v>
      </c>
      <c r="DG96" s="422">
        <v>3.2300000000000002E-2</v>
      </c>
      <c r="DH96" s="422">
        <v>3.2300000000000002E-2</v>
      </c>
      <c r="DI96" s="422">
        <v>3.2300000000000002E-2</v>
      </c>
      <c r="DJ96" s="422">
        <v>3.2300000000000016E-2</v>
      </c>
      <c r="DK96" s="422">
        <v>3.2300000000000002E-2</v>
      </c>
      <c r="DL96" s="422">
        <v>3.2300000000000023E-2</v>
      </c>
      <c r="DM96" s="422">
        <v>3.2300000000000002E-2</v>
      </c>
      <c r="DN96" s="422">
        <v>3.2300000000000002E-2</v>
      </c>
      <c r="DO96" s="422">
        <v>3.2300000000000002E-2</v>
      </c>
      <c r="DP96" s="422">
        <v>3.2300000000000009E-2</v>
      </c>
      <c r="DQ96" s="422">
        <v>3.2300000000000002E-2</v>
      </c>
      <c r="DR96" s="422">
        <v>3.2300000000000002E-2</v>
      </c>
      <c r="DS96" s="422">
        <v>3.2300000000000002E-2</v>
      </c>
      <c r="DT96" s="422">
        <v>3.2300000000000113E-2</v>
      </c>
      <c r="DU96" s="422">
        <v>3.2300000000000002E-2</v>
      </c>
      <c r="DV96" s="422">
        <v>2.9921427903757805E-2</v>
      </c>
      <c r="DW96" s="422">
        <v>2.1600000000006503E-2</v>
      </c>
      <c r="DX96" s="422">
        <v>2.1600000000006503E-2</v>
      </c>
      <c r="DY96" s="422">
        <v>2.1600000000006503E-2</v>
      </c>
      <c r="DZ96" s="422">
        <v>2.1600000000006538E-2</v>
      </c>
      <c r="EA96" s="422">
        <v>2.1600000000006503E-2</v>
      </c>
      <c r="EB96" s="422">
        <v>2.1600000000006503E-2</v>
      </c>
      <c r="EC96" s="422">
        <v>2.1600000000006541E-2</v>
      </c>
      <c r="ED96" s="422">
        <v>2.1600000000006503E-2</v>
      </c>
      <c r="EE96" s="422">
        <v>2.1600000000006503E-2</v>
      </c>
      <c r="EF96" s="422">
        <v>2.1600000000006503E-2</v>
      </c>
      <c r="EG96" s="422">
        <v>2.1600000000006503E-2</v>
      </c>
      <c r="EH96" s="422">
        <v>2.1626032029574201E-2</v>
      </c>
      <c r="EI96" s="423">
        <v>2.1626032029574201E-2</v>
      </c>
      <c r="EJ96" s="444"/>
      <c r="EK96" s="367"/>
      <c r="EL96" s="367"/>
      <c r="EM96" s="367"/>
      <c r="EN96" s="367"/>
      <c r="EO96" s="367"/>
      <c r="EP96" s="367"/>
      <c r="EQ96" s="367"/>
    </row>
    <row r="97" spans="1:147" x14ac:dyDescent="0.2">
      <c r="A97" s="192"/>
      <c r="B97" s="192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2"/>
      <c r="Q97" s="192"/>
      <c r="R97" s="192"/>
      <c r="S97" s="266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  <c r="AG97" s="265"/>
      <c r="AH97" s="265"/>
      <c r="AI97" s="192"/>
      <c r="AJ97" s="192"/>
      <c r="AK97" s="369"/>
      <c r="AL97" s="367"/>
      <c r="AM97" s="378"/>
      <c r="AN97" s="374"/>
      <c r="AO97" s="375"/>
      <c r="AP97" s="375"/>
      <c r="AQ97" s="375"/>
      <c r="AR97" s="375"/>
      <c r="AS97" s="375"/>
      <c r="AT97" s="375"/>
      <c r="AU97" s="375"/>
      <c r="AV97" s="375"/>
      <c r="AW97" s="375"/>
      <c r="AX97" s="375"/>
      <c r="AY97" s="375"/>
      <c r="AZ97" s="375"/>
      <c r="BA97" s="375"/>
      <c r="BB97" s="375"/>
      <c r="BC97" s="375"/>
      <c r="BD97" s="375"/>
      <c r="BE97" s="375"/>
      <c r="BF97" s="375"/>
      <c r="BG97" s="375"/>
      <c r="BH97" s="375"/>
      <c r="BI97" s="375"/>
      <c r="BJ97" s="375"/>
      <c r="BK97" s="375"/>
      <c r="BL97" s="375"/>
      <c r="BM97" s="375"/>
      <c r="BN97" s="375"/>
      <c r="BO97" s="375"/>
      <c r="BP97" s="375"/>
      <c r="BQ97" s="375"/>
      <c r="BR97" s="375"/>
      <c r="BS97" s="375"/>
      <c r="BT97" s="375"/>
      <c r="BU97" s="375"/>
      <c r="BV97" s="375"/>
      <c r="BW97" s="375"/>
      <c r="BX97" s="375"/>
      <c r="BY97" s="375"/>
      <c r="BZ97" s="375"/>
      <c r="CA97" s="375"/>
      <c r="CB97" s="375"/>
      <c r="CC97" s="375"/>
      <c r="CD97" s="375"/>
      <c r="CE97" s="375"/>
      <c r="CF97" s="375"/>
      <c r="CG97" s="375"/>
      <c r="CH97" s="375"/>
      <c r="CI97" s="375"/>
      <c r="CJ97" s="375"/>
      <c r="CK97" s="375"/>
      <c r="CL97" s="375"/>
      <c r="CM97" s="375"/>
      <c r="CN97" s="375"/>
      <c r="CO97" s="375"/>
      <c r="CP97" s="375"/>
      <c r="CQ97" s="375"/>
      <c r="CR97" s="375"/>
      <c r="CS97" s="375"/>
      <c r="CT97" s="375"/>
      <c r="CU97" s="375"/>
      <c r="CV97" s="375"/>
      <c r="CW97" s="375"/>
      <c r="CX97" s="375"/>
      <c r="CY97" s="375"/>
      <c r="CZ97" s="375"/>
      <c r="DA97" s="375"/>
      <c r="DB97" s="375"/>
      <c r="DC97" s="375"/>
      <c r="DD97" s="375"/>
      <c r="DE97" s="375"/>
      <c r="DF97" s="375"/>
      <c r="DG97" s="375"/>
      <c r="DH97" s="375"/>
      <c r="DI97" s="375"/>
      <c r="DJ97" s="375"/>
      <c r="DK97" s="375"/>
      <c r="DL97" s="375"/>
      <c r="DM97" s="375"/>
      <c r="DN97" s="375"/>
      <c r="DO97" s="375"/>
      <c r="DP97" s="375"/>
      <c r="DQ97" s="375"/>
      <c r="DR97" s="375"/>
      <c r="DS97" s="375"/>
      <c r="DT97" s="375"/>
      <c r="DU97" s="375"/>
      <c r="DV97" s="375"/>
      <c r="DW97" s="375"/>
      <c r="DX97" s="375"/>
      <c r="DY97" s="375"/>
      <c r="DZ97" s="375"/>
      <c r="EA97" s="375"/>
      <c r="EB97" s="375"/>
      <c r="EC97" s="375"/>
      <c r="ED97" s="375"/>
      <c r="EE97" s="375"/>
      <c r="EF97" s="375"/>
      <c r="EG97" s="375"/>
      <c r="EH97" s="375"/>
      <c r="EI97" s="376"/>
      <c r="EJ97" s="367"/>
      <c r="EK97" s="367"/>
      <c r="EL97" s="367"/>
      <c r="EM97" s="367"/>
      <c r="EN97" s="367"/>
      <c r="EO97" s="367"/>
      <c r="EP97" s="367"/>
      <c r="EQ97" s="367"/>
    </row>
    <row r="98" spans="1:147" x14ac:dyDescent="0.2">
      <c r="A98" s="192"/>
      <c r="B98" s="192"/>
      <c r="C98" s="192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192"/>
      <c r="O98" s="192"/>
      <c r="P98" s="192"/>
      <c r="Q98" s="192"/>
      <c r="R98" s="192"/>
      <c r="S98" s="266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  <c r="AG98" s="265"/>
      <c r="AH98" s="265"/>
      <c r="AI98" s="192"/>
      <c r="AJ98" s="192"/>
      <c r="AK98" s="369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  <c r="BP98" s="367"/>
      <c r="BQ98" s="367"/>
      <c r="BR98" s="367"/>
      <c r="BS98" s="367"/>
      <c r="BT98" s="367"/>
      <c r="BU98" s="367"/>
      <c r="BV98" s="367"/>
      <c r="BW98" s="367"/>
      <c r="BX98" s="367"/>
      <c r="BY98" s="367"/>
      <c r="BZ98" s="367"/>
      <c r="CA98" s="367"/>
      <c r="CB98" s="367"/>
      <c r="CC98" s="367"/>
      <c r="CD98" s="367"/>
      <c r="CE98" s="367"/>
      <c r="CF98" s="367"/>
      <c r="CG98" s="367"/>
      <c r="CH98" s="367"/>
      <c r="CI98" s="367"/>
      <c r="CJ98" s="367"/>
      <c r="CK98" s="367"/>
      <c r="CL98" s="367"/>
      <c r="CM98" s="367"/>
      <c r="CN98" s="367"/>
      <c r="CO98" s="367"/>
      <c r="CP98" s="367"/>
      <c r="CQ98" s="367"/>
      <c r="CR98" s="367"/>
      <c r="CS98" s="367"/>
      <c r="CT98" s="367"/>
      <c r="CU98" s="367"/>
      <c r="CV98" s="367"/>
      <c r="CW98" s="367"/>
      <c r="CX98" s="367"/>
      <c r="CY98" s="367"/>
      <c r="CZ98" s="367"/>
      <c r="DA98" s="367"/>
      <c r="DB98" s="367"/>
      <c r="DC98" s="367"/>
      <c r="DD98" s="367"/>
      <c r="DE98" s="367"/>
      <c r="DF98" s="367"/>
      <c r="DG98" s="367"/>
      <c r="DH98" s="367"/>
      <c r="DI98" s="367"/>
      <c r="DJ98" s="367"/>
      <c r="DK98" s="367"/>
      <c r="DL98" s="367"/>
      <c r="DM98" s="367"/>
      <c r="DN98" s="367"/>
      <c r="DO98" s="367"/>
      <c r="DP98" s="367"/>
      <c r="DQ98" s="367"/>
      <c r="DR98" s="367"/>
      <c r="DS98" s="367"/>
      <c r="DT98" s="367"/>
      <c r="DU98" s="367"/>
      <c r="DV98" s="367"/>
      <c r="DW98" s="367"/>
      <c r="DX98" s="367"/>
      <c r="DY98" s="367"/>
      <c r="DZ98" s="367"/>
      <c r="EA98" s="367"/>
      <c r="EB98" s="367"/>
      <c r="EC98" s="367"/>
      <c r="ED98" s="367"/>
      <c r="EE98" s="367"/>
      <c r="EF98" s="367"/>
      <c r="EG98" s="367"/>
      <c r="EH98" s="367"/>
      <c r="EI98" s="367"/>
      <c r="EJ98" s="367"/>
      <c r="EK98" s="367"/>
      <c r="EL98" s="367"/>
      <c r="EM98" s="367"/>
      <c r="EN98" s="367"/>
      <c r="EO98" s="367"/>
      <c r="EP98" s="367"/>
      <c r="EQ98" s="367"/>
    </row>
    <row r="99" spans="1:147" x14ac:dyDescent="0.2">
      <c r="A99" s="192"/>
      <c r="B99" s="192"/>
      <c r="C99" s="192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192"/>
      <c r="O99" s="192"/>
      <c r="P99" s="192"/>
      <c r="Q99" s="192"/>
      <c r="R99" s="192"/>
      <c r="S99" s="266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  <c r="AG99" s="265"/>
      <c r="AH99" s="265"/>
      <c r="AI99" s="192"/>
      <c r="AJ99" s="192"/>
      <c r="AK99" s="369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  <c r="BP99" s="367"/>
      <c r="BQ99" s="367"/>
      <c r="BR99" s="367"/>
      <c r="BS99" s="367"/>
      <c r="BT99" s="367"/>
      <c r="BU99" s="367"/>
      <c r="BV99" s="367"/>
      <c r="BW99" s="367"/>
      <c r="BX99" s="367"/>
      <c r="BY99" s="367"/>
      <c r="BZ99" s="367"/>
      <c r="CA99" s="367"/>
      <c r="CB99" s="367"/>
      <c r="CC99" s="367"/>
      <c r="CD99" s="367"/>
      <c r="CE99" s="367"/>
      <c r="CF99" s="367"/>
      <c r="CG99" s="367"/>
      <c r="CH99" s="367"/>
      <c r="CI99" s="367"/>
      <c r="CJ99" s="367"/>
      <c r="CK99" s="367"/>
      <c r="CL99" s="367"/>
      <c r="CM99" s="367"/>
      <c r="CN99" s="367"/>
      <c r="CO99" s="367"/>
      <c r="CP99" s="367"/>
      <c r="CQ99" s="367"/>
      <c r="CR99" s="367"/>
      <c r="CS99" s="367"/>
      <c r="CT99" s="367"/>
      <c r="CU99" s="367"/>
      <c r="CV99" s="367"/>
      <c r="CW99" s="367"/>
      <c r="CX99" s="367"/>
      <c r="CY99" s="367"/>
      <c r="CZ99" s="367"/>
      <c r="DA99" s="367"/>
      <c r="DB99" s="367"/>
      <c r="DC99" s="367"/>
      <c r="DD99" s="367"/>
      <c r="DE99" s="367"/>
      <c r="DF99" s="367"/>
      <c r="DG99" s="367"/>
      <c r="DH99" s="367"/>
      <c r="DI99" s="367"/>
      <c r="DJ99" s="367"/>
      <c r="DK99" s="367"/>
      <c r="DL99" s="367"/>
      <c r="DM99" s="367"/>
      <c r="DN99" s="367"/>
      <c r="DO99" s="367"/>
      <c r="DP99" s="367"/>
      <c r="DQ99" s="367"/>
      <c r="DR99" s="367"/>
      <c r="DS99" s="367"/>
      <c r="DT99" s="367"/>
      <c r="DU99" s="367"/>
      <c r="DV99" s="367"/>
      <c r="DW99" s="367"/>
      <c r="DX99" s="367"/>
      <c r="DY99" s="367"/>
      <c r="DZ99" s="367"/>
      <c r="EA99" s="367"/>
      <c r="EB99" s="367"/>
      <c r="EC99" s="367"/>
      <c r="ED99" s="367"/>
      <c r="EE99" s="367"/>
      <c r="EF99" s="367"/>
      <c r="EG99" s="367"/>
      <c r="EH99" s="367"/>
      <c r="EI99" s="367"/>
      <c r="EJ99" s="367"/>
      <c r="EK99" s="367"/>
      <c r="EL99" s="367"/>
      <c r="EM99" s="367"/>
      <c r="EN99" s="367"/>
      <c r="EO99" s="367"/>
      <c r="EP99" s="367"/>
      <c r="EQ99" s="367"/>
    </row>
    <row r="100" spans="1:147" x14ac:dyDescent="0.2">
      <c r="A100" s="192"/>
      <c r="B100" s="192"/>
      <c r="C100" s="192"/>
      <c r="D100" s="192"/>
      <c r="E100" s="192"/>
      <c r="F100" s="192"/>
      <c r="G100" s="192"/>
      <c r="H100" s="192"/>
      <c r="I100" s="192"/>
      <c r="J100" s="192"/>
      <c r="K100" s="192"/>
      <c r="L100" s="192"/>
      <c r="M100" s="192"/>
      <c r="N100" s="192"/>
      <c r="O100" s="192"/>
      <c r="P100" s="192"/>
      <c r="Q100" s="192"/>
      <c r="R100" s="192"/>
      <c r="S100" s="266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  <c r="AG100" s="265"/>
      <c r="AH100" s="265"/>
      <c r="AI100" s="192"/>
      <c r="AJ100" s="192"/>
      <c r="AK100" s="369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7"/>
      <c r="CA100" s="367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7"/>
      <c r="CP100" s="367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67"/>
      <c r="DE100" s="367"/>
      <c r="DF100" s="367"/>
      <c r="DG100" s="367"/>
      <c r="DH100" s="367"/>
      <c r="DI100" s="367"/>
      <c r="DJ100" s="367"/>
      <c r="DK100" s="367"/>
      <c r="DL100" s="367"/>
      <c r="DM100" s="367"/>
      <c r="DN100" s="367"/>
      <c r="DO100" s="367"/>
      <c r="DP100" s="367"/>
      <c r="DQ100" s="367"/>
      <c r="DR100" s="367"/>
      <c r="DS100" s="367"/>
      <c r="DT100" s="367"/>
      <c r="DU100" s="367"/>
      <c r="DV100" s="367"/>
      <c r="DW100" s="367"/>
      <c r="DX100" s="367"/>
      <c r="DY100" s="367"/>
      <c r="DZ100" s="367"/>
      <c r="EA100" s="367"/>
      <c r="EB100" s="367"/>
      <c r="EC100" s="367"/>
      <c r="ED100" s="367"/>
      <c r="EE100" s="367"/>
      <c r="EF100" s="367"/>
      <c r="EG100" s="367"/>
      <c r="EH100" s="367"/>
      <c r="EI100" s="367"/>
      <c r="EJ100" s="367"/>
      <c r="EK100" s="367"/>
      <c r="EL100" s="367"/>
      <c r="EM100" s="367"/>
      <c r="EN100" s="367"/>
      <c r="EO100" s="367"/>
      <c r="EP100" s="367"/>
      <c r="EQ100" s="367"/>
    </row>
    <row r="101" spans="1:147" x14ac:dyDescent="0.2">
      <c r="A101" s="192"/>
      <c r="B101" s="192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192"/>
      <c r="O101" s="192"/>
      <c r="P101" s="192"/>
      <c r="Q101" s="192"/>
      <c r="R101" s="192"/>
      <c r="S101" s="266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  <c r="AG101" s="265"/>
      <c r="AH101" s="265"/>
      <c r="AI101" s="192"/>
      <c r="AJ101" s="192"/>
      <c r="AK101" s="369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  <c r="BP101" s="367"/>
      <c r="BQ101" s="367"/>
      <c r="BR101" s="367"/>
      <c r="BS101" s="367"/>
      <c r="BT101" s="367"/>
      <c r="BU101" s="367"/>
      <c r="BV101" s="367"/>
      <c r="BW101" s="367"/>
      <c r="BX101" s="367"/>
      <c r="BY101" s="367"/>
      <c r="BZ101" s="367"/>
      <c r="CA101" s="367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367"/>
      <c r="CO101" s="367"/>
      <c r="CP101" s="367"/>
      <c r="CQ101" s="367"/>
      <c r="CR101" s="367"/>
      <c r="CS101" s="367"/>
      <c r="CT101" s="367"/>
      <c r="CU101" s="367"/>
      <c r="CV101" s="367"/>
      <c r="CW101" s="367"/>
      <c r="CX101" s="367"/>
      <c r="CY101" s="367"/>
      <c r="CZ101" s="367"/>
      <c r="DA101" s="367"/>
      <c r="DB101" s="367"/>
      <c r="DC101" s="367"/>
      <c r="DD101" s="367"/>
      <c r="DE101" s="367"/>
      <c r="DF101" s="367"/>
      <c r="DG101" s="367"/>
      <c r="DH101" s="367"/>
      <c r="DI101" s="367"/>
      <c r="DJ101" s="367"/>
      <c r="DK101" s="367"/>
      <c r="DL101" s="367"/>
      <c r="DM101" s="367"/>
      <c r="DN101" s="367"/>
      <c r="DO101" s="367"/>
      <c r="DP101" s="367"/>
      <c r="DQ101" s="367"/>
      <c r="DR101" s="367"/>
      <c r="DS101" s="367"/>
      <c r="DT101" s="367"/>
      <c r="DU101" s="367"/>
      <c r="DV101" s="367"/>
      <c r="DW101" s="367"/>
      <c r="DX101" s="367"/>
      <c r="DY101" s="367"/>
      <c r="DZ101" s="367"/>
      <c r="EA101" s="367"/>
      <c r="EB101" s="367"/>
      <c r="EC101" s="367"/>
      <c r="ED101" s="367"/>
      <c r="EE101" s="367"/>
      <c r="EF101" s="367"/>
      <c r="EG101" s="367"/>
      <c r="EH101" s="367"/>
      <c r="EI101" s="367"/>
      <c r="EJ101" s="367"/>
      <c r="EK101" s="367"/>
      <c r="EL101" s="367"/>
      <c r="EM101" s="367"/>
      <c r="EN101" s="367"/>
      <c r="EO101" s="367"/>
      <c r="EP101" s="367"/>
      <c r="EQ101" s="367"/>
    </row>
    <row r="102" spans="1:147" x14ac:dyDescent="0.2">
      <c r="A102" s="192"/>
      <c r="B102" s="192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192"/>
      <c r="O102" s="192"/>
      <c r="P102" s="192"/>
      <c r="Q102" s="192"/>
      <c r="R102" s="192"/>
      <c r="S102" s="266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  <c r="AG102" s="265"/>
      <c r="AH102" s="265"/>
      <c r="AI102" s="192"/>
      <c r="AJ102" s="192"/>
      <c r="AK102" s="369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  <c r="BP102" s="367"/>
      <c r="BQ102" s="367"/>
      <c r="BR102" s="367"/>
      <c r="BS102" s="367"/>
      <c r="BT102" s="367"/>
      <c r="BU102" s="367"/>
      <c r="BV102" s="367"/>
      <c r="BW102" s="367"/>
      <c r="BX102" s="367"/>
      <c r="BY102" s="367"/>
      <c r="BZ102" s="367"/>
      <c r="CA102" s="367"/>
      <c r="CB102" s="367"/>
      <c r="CC102" s="367"/>
      <c r="CD102" s="367"/>
      <c r="CE102" s="367"/>
      <c r="CF102" s="367"/>
      <c r="CG102" s="367"/>
      <c r="CH102" s="367"/>
      <c r="CI102" s="367"/>
      <c r="CJ102" s="367"/>
      <c r="CK102" s="367"/>
      <c r="CL102" s="367"/>
      <c r="CM102" s="367"/>
      <c r="CN102" s="367"/>
      <c r="CO102" s="367"/>
      <c r="CP102" s="367"/>
      <c r="CQ102" s="367"/>
      <c r="CR102" s="367"/>
      <c r="CS102" s="367"/>
      <c r="CT102" s="367"/>
      <c r="CU102" s="367"/>
      <c r="CV102" s="367"/>
      <c r="CW102" s="367"/>
      <c r="CX102" s="367"/>
      <c r="CY102" s="367"/>
      <c r="CZ102" s="367"/>
      <c r="DA102" s="367"/>
      <c r="DB102" s="367"/>
      <c r="DC102" s="367"/>
      <c r="DD102" s="367"/>
      <c r="DE102" s="367"/>
      <c r="DF102" s="367"/>
      <c r="DG102" s="367"/>
      <c r="DH102" s="367"/>
      <c r="DI102" s="367"/>
      <c r="DJ102" s="367"/>
      <c r="DK102" s="367"/>
      <c r="DL102" s="367"/>
      <c r="DM102" s="367"/>
      <c r="DN102" s="367"/>
      <c r="DO102" s="367"/>
      <c r="DP102" s="367"/>
      <c r="DQ102" s="367"/>
      <c r="DR102" s="367"/>
      <c r="DS102" s="367"/>
      <c r="DT102" s="367"/>
      <c r="DU102" s="367"/>
      <c r="DV102" s="367"/>
      <c r="DW102" s="367"/>
      <c r="DX102" s="367"/>
      <c r="DY102" s="367"/>
      <c r="DZ102" s="367"/>
      <c r="EA102" s="367"/>
      <c r="EB102" s="367"/>
      <c r="EC102" s="367"/>
      <c r="ED102" s="367"/>
      <c r="EE102" s="367"/>
      <c r="EF102" s="367"/>
      <c r="EG102" s="367"/>
      <c r="EH102" s="367"/>
      <c r="EI102" s="367"/>
      <c r="EJ102" s="367"/>
      <c r="EK102" s="367"/>
      <c r="EL102" s="367"/>
      <c r="EM102" s="367"/>
      <c r="EN102" s="367"/>
      <c r="EO102" s="367"/>
      <c r="EP102" s="367"/>
      <c r="EQ102" s="367"/>
    </row>
    <row r="103" spans="1:147" x14ac:dyDescent="0.2">
      <c r="A103" s="192"/>
      <c r="B103" s="192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192"/>
      <c r="O103" s="192"/>
      <c r="P103" s="192"/>
      <c r="Q103" s="192"/>
      <c r="R103" s="192"/>
      <c r="S103" s="266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  <c r="AG103" s="265"/>
      <c r="AH103" s="265"/>
      <c r="AI103" s="192"/>
      <c r="AJ103" s="192"/>
      <c r="AK103" s="369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  <c r="BP103" s="367"/>
      <c r="BQ103" s="367"/>
      <c r="BR103" s="367"/>
      <c r="BS103" s="367"/>
      <c r="BT103" s="367"/>
      <c r="BU103" s="367"/>
      <c r="BV103" s="367"/>
      <c r="BW103" s="367"/>
      <c r="BX103" s="367"/>
      <c r="BY103" s="367"/>
      <c r="BZ103" s="367"/>
      <c r="CA103" s="367"/>
      <c r="CB103" s="367"/>
      <c r="CC103" s="367"/>
      <c r="CD103" s="367"/>
      <c r="CE103" s="367"/>
      <c r="CF103" s="367"/>
      <c r="CG103" s="367"/>
      <c r="CH103" s="367"/>
      <c r="CI103" s="367"/>
      <c r="CJ103" s="367"/>
      <c r="CK103" s="367"/>
      <c r="CL103" s="367"/>
      <c r="CM103" s="367"/>
      <c r="CN103" s="367"/>
      <c r="CO103" s="367"/>
      <c r="CP103" s="367"/>
      <c r="CQ103" s="367"/>
      <c r="CR103" s="367"/>
      <c r="CS103" s="367"/>
      <c r="CT103" s="367"/>
      <c r="CU103" s="367"/>
      <c r="CV103" s="367"/>
      <c r="CW103" s="367"/>
      <c r="CX103" s="367"/>
      <c r="CY103" s="367"/>
      <c r="CZ103" s="367"/>
      <c r="DA103" s="367"/>
      <c r="DB103" s="367"/>
      <c r="DC103" s="367"/>
      <c r="DD103" s="367"/>
      <c r="DE103" s="367"/>
      <c r="DF103" s="367"/>
      <c r="DG103" s="367"/>
      <c r="DH103" s="367"/>
      <c r="DI103" s="367"/>
      <c r="DJ103" s="367"/>
      <c r="DK103" s="367"/>
      <c r="DL103" s="367"/>
      <c r="DM103" s="367"/>
      <c r="DN103" s="367"/>
      <c r="DO103" s="367"/>
      <c r="DP103" s="367"/>
      <c r="DQ103" s="367"/>
      <c r="DR103" s="367"/>
      <c r="DS103" s="367"/>
      <c r="DT103" s="367"/>
      <c r="DU103" s="367"/>
      <c r="DV103" s="367"/>
      <c r="DW103" s="367"/>
      <c r="DX103" s="367"/>
      <c r="DY103" s="367"/>
      <c r="DZ103" s="367"/>
      <c r="EA103" s="367"/>
      <c r="EB103" s="367"/>
      <c r="EC103" s="367"/>
      <c r="ED103" s="367"/>
      <c r="EE103" s="367"/>
      <c r="EF103" s="367"/>
      <c r="EG103" s="367"/>
      <c r="EH103" s="367"/>
      <c r="EI103" s="367"/>
      <c r="EJ103" s="367"/>
      <c r="EK103" s="367"/>
      <c r="EL103" s="367"/>
      <c r="EM103" s="367"/>
      <c r="EN103" s="367"/>
      <c r="EO103" s="367"/>
      <c r="EP103" s="367"/>
      <c r="EQ103" s="367"/>
    </row>
    <row r="104" spans="1:147" x14ac:dyDescent="0.2">
      <c r="A104" s="192"/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266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  <c r="AG104" s="265"/>
      <c r="AH104" s="265"/>
      <c r="AI104" s="192"/>
      <c r="AJ104" s="192"/>
      <c r="AK104" s="369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  <c r="BP104" s="367"/>
      <c r="BQ104" s="367"/>
      <c r="BR104" s="367"/>
      <c r="BS104" s="367"/>
      <c r="BT104" s="367"/>
      <c r="BU104" s="367"/>
      <c r="BV104" s="367"/>
      <c r="BW104" s="367"/>
      <c r="BX104" s="367"/>
      <c r="BY104" s="367"/>
      <c r="BZ104" s="367"/>
      <c r="CA104" s="367"/>
      <c r="CB104" s="367"/>
      <c r="CC104" s="367"/>
      <c r="CD104" s="367"/>
      <c r="CE104" s="367"/>
      <c r="CF104" s="367"/>
      <c r="CG104" s="367"/>
      <c r="CH104" s="367"/>
      <c r="CI104" s="367"/>
      <c r="CJ104" s="367"/>
      <c r="CK104" s="367"/>
      <c r="CL104" s="367"/>
      <c r="CM104" s="367"/>
      <c r="CN104" s="367"/>
      <c r="CO104" s="367"/>
      <c r="CP104" s="367"/>
      <c r="CQ104" s="367"/>
      <c r="CR104" s="367"/>
      <c r="CS104" s="367"/>
      <c r="CT104" s="367"/>
      <c r="CU104" s="367"/>
      <c r="CV104" s="367"/>
      <c r="CW104" s="367"/>
      <c r="CX104" s="367"/>
      <c r="CY104" s="367"/>
      <c r="CZ104" s="367"/>
      <c r="DA104" s="367"/>
      <c r="DB104" s="367"/>
      <c r="DC104" s="367"/>
      <c r="DD104" s="367"/>
      <c r="DE104" s="367"/>
      <c r="DF104" s="367"/>
      <c r="DG104" s="367"/>
      <c r="DH104" s="367"/>
      <c r="DI104" s="367"/>
      <c r="DJ104" s="367"/>
      <c r="DK104" s="367"/>
      <c r="DL104" s="367"/>
      <c r="DM104" s="367"/>
      <c r="DN104" s="367"/>
      <c r="DO104" s="367"/>
      <c r="DP104" s="367"/>
      <c r="DQ104" s="367"/>
      <c r="DR104" s="367"/>
      <c r="DS104" s="367"/>
      <c r="DT104" s="367"/>
      <c r="DU104" s="367"/>
      <c r="DV104" s="367"/>
      <c r="DW104" s="367"/>
      <c r="DX104" s="367"/>
      <c r="DY104" s="367"/>
      <c r="DZ104" s="367"/>
      <c r="EA104" s="367"/>
      <c r="EB104" s="367"/>
      <c r="EC104" s="367"/>
      <c r="ED104" s="367"/>
      <c r="EE104" s="367"/>
      <c r="EF104" s="367"/>
      <c r="EG104" s="367"/>
      <c r="EH104" s="367"/>
      <c r="EI104" s="367"/>
      <c r="EJ104" s="367"/>
      <c r="EK104" s="367"/>
      <c r="EL104" s="367"/>
      <c r="EM104" s="367"/>
      <c r="EN104" s="367"/>
      <c r="EO104" s="367"/>
      <c r="EP104" s="367"/>
      <c r="EQ104" s="367"/>
    </row>
    <row r="105" spans="1:147" x14ac:dyDescent="0.2">
      <c r="A105" s="192"/>
      <c r="B105" s="192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192"/>
      <c r="O105" s="192"/>
      <c r="P105" s="192"/>
      <c r="Q105" s="192"/>
      <c r="R105" s="192"/>
      <c r="S105" s="266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192"/>
      <c r="AJ105" s="192"/>
      <c r="AK105" s="369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  <c r="BP105" s="367"/>
      <c r="BQ105" s="367"/>
      <c r="BR105" s="367"/>
      <c r="BS105" s="367"/>
      <c r="BT105" s="367"/>
      <c r="BU105" s="367"/>
      <c r="BV105" s="367"/>
      <c r="BW105" s="367"/>
      <c r="BX105" s="367"/>
      <c r="BY105" s="367"/>
      <c r="BZ105" s="367"/>
      <c r="CA105" s="367"/>
      <c r="CB105" s="367"/>
      <c r="CC105" s="367"/>
      <c r="CD105" s="367"/>
      <c r="CE105" s="367"/>
      <c r="CF105" s="367"/>
      <c r="CG105" s="367"/>
      <c r="CH105" s="367"/>
      <c r="CI105" s="367"/>
      <c r="CJ105" s="367"/>
      <c r="CK105" s="367"/>
      <c r="CL105" s="367"/>
      <c r="CM105" s="367"/>
      <c r="CN105" s="367"/>
      <c r="CO105" s="367"/>
      <c r="CP105" s="367"/>
      <c r="CQ105" s="367"/>
      <c r="CR105" s="367"/>
      <c r="CS105" s="367"/>
      <c r="CT105" s="367"/>
      <c r="CU105" s="367"/>
      <c r="CV105" s="367"/>
      <c r="CW105" s="367"/>
      <c r="CX105" s="367"/>
      <c r="CY105" s="367"/>
      <c r="CZ105" s="367"/>
      <c r="DA105" s="367"/>
      <c r="DB105" s="367"/>
      <c r="DC105" s="367"/>
      <c r="DD105" s="367"/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367"/>
      <c r="DQ105" s="367"/>
      <c r="DR105" s="367"/>
      <c r="DS105" s="367"/>
      <c r="DT105" s="367"/>
      <c r="DU105" s="367"/>
      <c r="DV105" s="367"/>
      <c r="DW105" s="367"/>
      <c r="DX105" s="367"/>
      <c r="DY105" s="367"/>
      <c r="DZ105" s="367"/>
      <c r="EA105" s="367"/>
      <c r="EB105" s="367"/>
      <c r="EC105" s="367"/>
      <c r="ED105" s="367"/>
      <c r="EE105" s="367"/>
      <c r="EF105" s="367"/>
      <c r="EG105" s="367"/>
      <c r="EH105" s="367"/>
      <c r="EI105" s="367"/>
      <c r="EJ105" s="367"/>
      <c r="EK105" s="367"/>
      <c r="EL105" s="367"/>
      <c r="EM105" s="367"/>
      <c r="EN105" s="367"/>
      <c r="EO105" s="367"/>
      <c r="EP105" s="367"/>
      <c r="EQ105" s="367"/>
    </row>
    <row r="106" spans="1:147" x14ac:dyDescent="0.2">
      <c r="A106" s="192"/>
      <c r="B106" s="192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192"/>
      <c r="O106" s="192"/>
      <c r="P106" s="192"/>
      <c r="Q106" s="192"/>
      <c r="R106" s="192"/>
      <c r="S106" s="266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  <c r="AG106" s="265"/>
      <c r="AH106" s="265"/>
      <c r="AI106" s="192"/>
      <c r="AJ106" s="192"/>
      <c r="AK106" s="369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  <c r="BP106" s="367"/>
      <c r="BQ106" s="367"/>
      <c r="BR106" s="367"/>
      <c r="BS106" s="367"/>
      <c r="BT106" s="367"/>
      <c r="BU106" s="367"/>
      <c r="BV106" s="367"/>
      <c r="BW106" s="367"/>
      <c r="BX106" s="367"/>
      <c r="BY106" s="367"/>
      <c r="BZ106" s="367"/>
      <c r="CA106" s="367"/>
      <c r="CB106" s="367"/>
      <c r="CC106" s="367"/>
      <c r="CD106" s="367"/>
      <c r="CE106" s="367"/>
      <c r="CF106" s="367"/>
      <c r="CG106" s="367"/>
      <c r="CH106" s="367"/>
      <c r="CI106" s="367"/>
      <c r="CJ106" s="367"/>
      <c r="CK106" s="367"/>
      <c r="CL106" s="367"/>
      <c r="CM106" s="367"/>
      <c r="CN106" s="367"/>
      <c r="CO106" s="367"/>
      <c r="CP106" s="367"/>
      <c r="CQ106" s="367"/>
      <c r="CR106" s="367"/>
      <c r="CS106" s="367"/>
      <c r="CT106" s="367"/>
      <c r="CU106" s="367"/>
      <c r="CV106" s="367"/>
      <c r="CW106" s="367"/>
      <c r="CX106" s="367"/>
      <c r="CY106" s="367"/>
      <c r="CZ106" s="367"/>
      <c r="DA106" s="367"/>
      <c r="DB106" s="367"/>
      <c r="DC106" s="367"/>
      <c r="DD106" s="367"/>
      <c r="DE106" s="367"/>
      <c r="DF106" s="367"/>
      <c r="DG106" s="367"/>
      <c r="DH106" s="367"/>
      <c r="DI106" s="367"/>
      <c r="DJ106" s="367"/>
      <c r="DK106" s="367"/>
      <c r="DL106" s="367"/>
      <c r="DM106" s="367"/>
      <c r="DN106" s="367"/>
      <c r="DO106" s="367"/>
      <c r="DP106" s="367"/>
      <c r="DQ106" s="367"/>
      <c r="DR106" s="367"/>
      <c r="DS106" s="367"/>
      <c r="DT106" s="367"/>
      <c r="DU106" s="367"/>
      <c r="DV106" s="367"/>
      <c r="DW106" s="367"/>
      <c r="DX106" s="367"/>
      <c r="DY106" s="367"/>
      <c r="DZ106" s="367"/>
      <c r="EA106" s="367"/>
      <c r="EB106" s="367"/>
      <c r="EC106" s="367"/>
      <c r="ED106" s="367"/>
      <c r="EE106" s="367"/>
      <c r="EF106" s="367"/>
      <c r="EG106" s="367"/>
      <c r="EH106" s="367"/>
      <c r="EI106" s="367"/>
      <c r="EJ106" s="367"/>
      <c r="EK106" s="367"/>
      <c r="EL106" s="367"/>
      <c r="EM106" s="367"/>
      <c r="EN106" s="367"/>
      <c r="EO106" s="367"/>
      <c r="EP106" s="367"/>
      <c r="EQ106" s="367"/>
    </row>
    <row r="107" spans="1:147" x14ac:dyDescent="0.2">
      <c r="A107" s="192"/>
      <c r="B107" s="192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192"/>
      <c r="O107" s="192"/>
      <c r="P107" s="192"/>
      <c r="Q107" s="192"/>
      <c r="R107" s="192"/>
      <c r="S107" s="266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  <c r="AG107" s="265"/>
      <c r="AH107" s="265"/>
      <c r="AI107" s="192"/>
      <c r="AJ107" s="192"/>
      <c r="AK107" s="369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7"/>
      <c r="AW107" s="367"/>
      <c r="AX107" s="367"/>
      <c r="AY107" s="367"/>
      <c r="AZ107" s="367"/>
      <c r="BA107" s="367"/>
      <c r="BB107" s="367"/>
      <c r="BC107" s="367"/>
      <c r="BD107" s="367"/>
      <c r="BE107" s="367"/>
      <c r="BF107" s="367"/>
      <c r="BG107" s="367"/>
      <c r="BH107" s="367"/>
      <c r="BI107" s="367"/>
      <c r="BJ107" s="367"/>
      <c r="BK107" s="367"/>
      <c r="BL107" s="367"/>
      <c r="BM107" s="367"/>
      <c r="BN107" s="367"/>
      <c r="BO107" s="367"/>
      <c r="BP107" s="367"/>
      <c r="BQ107" s="367"/>
      <c r="BR107" s="367"/>
      <c r="BS107" s="367"/>
      <c r="BT107" s="367"/>
      <c r="BU107" s="367"/>
      <c r="BV107" s="367"/>
      <c r="BW107" s="367"/>
      <c r="BX107" s="367"/>
      <c r="BY107" s="367"/>
      <c r="BZ107" s="367"/>
      <c r="CA107" s="367"/>
      <c r="CB107" s="367"/>
      <c r="CC107" s="367"/>
      <c r="CD107" s="367"/>
      <c r="CE107" s="367"/>
      <c r="CF107" s="367"/>
      <c r="CG107" s="367"/>
      <c r="CH107" s="367"/>
      <c r="CI107" s="367"/>
      <c r="CJ107" s="367"/>
      <c r="CK107" s="367"/>
      <c r="CL107" s="367"/>
      <c r="CM107" s="367"/>
      <c r="CN107" s="367"/>
      <c r="CO107" s="367"/>
      <c r="CP107" s="367"/>
      <c r="CQ107" s="367"/>
      <c r="CR107" s="367"/>
      <c r="CS107" s="367"/>
      <c r="CT107" s="367"/>
      <c r="CU107" s="367"/>
      <c r="CV107" s="367"/>
      <c r="CW107" s="367"/>
      <c r="CX107" s="367"/>
      <c r="CY107" s="367"/>
      <c r="CZ107" s="367"/>
      <c r="DA107" s="367"/>
      <c r="DB107" s="367"/>
      <c r="DC107" s="367"/>
      <c r="DD107" s="367"/>
      <c r="DE107" s="367"/>
      <c r="DF107" s="367"/>
      <c r="DG107" s="367"/>
      <c r="DH107" s="367"/>
      <c r="DI107" s="367"/>
      <c r="DJ107" s="367"/>
      <c r="DK107" s="367"/>
      <c r="DL107" s="367"/>
      <c r="DM107" s="367"/>
      <c r="DN107" s="367"/>
      <c r="DO107" s="367"/>
      <c r="DP107" s="367"/>
      <c r="DQ107" s="367"/>
      <c r="DR107" s="367"/>
      <c r="DS107" s="367"/>
      <c r="DT107" s="367"/>
      <c r="DU107" s="367"/>
      <c r="DV107" s="367"/>
      <c r="DW107" s="367"/>
      <c r="DX107" s="367"/>
      <c r="DY107" s="367"/>
      <c r="DZ107" s="367"/>
      <c r="EA107" s="367"/>
      <c r="EB107" s="367"/>
      <c r="EC107" s="367"/>
      <c r="ED107" s="367"/>
      <c r="EE107" s="367"/>
      <c r="EF107" s="367"/>
      <c r="EG107" s="367"/>
      <c r="EH107" s="367"/>
      <c r="EI107" s="367"/>
      <c r="EJ107" s="367"/>
      <c r="EK107" s="367"/>
      <c r="EL107" s="367"/>
      <c r="EM107" s="367"/>
      <c r="EN107" s="367"/>
      <c r="EO107" s="367"/>
      <c r="EP107" s="367"/>
      <c r="EQ107" s="367"/>
    </row>
    <row r="108" spans="1:147" x14ac:dyDescent="0.2">
      <c r="A108" s="192"/>
      <c r="B108" s="192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192"/>
      <c r="O108" s="192"/>
      <c r="P108" s="192"/>
      <c r="Q108" s="192"/>
      <c r="R108" s="192"/>
      <c r="S108" s="266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  <c r="AG108" s="265"/>
      <c r="AH108" s="265"/>
      <c r="AI108" s="192"/>
      <c r="AJ108" s="192"/>
      <c r="AK108" s="369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  <c r="BP108" s="367"/>
      <c r="BQ108" s="367"/>
      <c r="BR108" s="367"/>
      <c r="BS108" s="367"/>
      <c r="BT108" s="367"/>
      <c r="BU108" s="367"/>
      <c r="BV108" s="367"/>
      <c r="BW108" s="367"/>
      <c r="BX108" s="367"/>
      <c r="BY108" s="367"/>
      <c r="BZ108" s="367"/>
      <c r="CA108" s="367"/>
      <c r="CB108" s="367"/>
      <c r="CC108" s="367"/>
      <c r="CD108" s="367"/>
      <c r="CE108" s="367"/>
      <c r="CF108" s="367"/>
      <c r="CG108" s="367"/>
      <c r="CH108" s="367"/>
      <c r="CI108" s="367"/>
      <c r="CJ108" s="367"/>
      <c r="CK108" s="367"/>
      <c r="CL108" s="367"/>
      <c r="CM108" s="367"/>
      <c r="CN108" s="367"/>
      <c r="CO108" s="367"/>
      <c r="CP108" s="367"/>
      <c r="CQ108" s="367"/>
      <c r="CR108" s="367"/>
      <c r="CS108" s="367"/>
      <c r="CT108" s="367"/>
      <c r="CU108" s="367"/>
      <c r="CV108" s="367"/>
      <c r="CW108" s="367"/>
      <c r="CX108" s="367"/>
      <c r="CY108" s="367"/>
      <c r="CZ108" s="367"/>
      <c r="DA108" s="367"/>
      <c r="DB108" s="367"/>
      <c r="DC108" s="367"/>
      <c r="DD108" s="367"/>
      <c r="DE108" s="367"/>
      <c r="DF108" s="367"/>
      <c r="DG108" s="367"/>
      <c r="DH108" s="367"/>
      <c r="DI108" s="367"/>
      <c r="DJ108" s="367"/>
      <c r="DK108" s="367"/>
      <c r="DL108" s="367"/>
      <c r="DM108" s="367"/>
      <c r="DN108" s="367"/>
      <c r="DO108" s="367"/>
      <c r="DP108" s="367"/>
      <c r="DQ108" s="367"/>
      <c r="DR108" s="367"/>
      <c r="DS108" s="367"/>
      <c r="DT108" s="367"/>
      <c r="DU108" s="367"/>
      <c r="DV108" s="367"/>
      <c r="DW108" s="367"/>
      <c r="DX108" s="367"/>
      <c r="DY108" s="367"/>
      <c r="DZ108" s="367"/>
      <c r="EA108" s="367"/>
      <c r="EB108" s="367"/>
      <c r="EC108" s="367"/>
      <c r="ED108" s="367"/>
      <c r="EE108" s="367"/>
      <c r="EF108" s="367"/>
      <c r="EG108" s="367"/>
      <c r="EH108" s="367"/>
      <c r="EI108" s="367"/>
      <c r="EJ108" s="367"/>
      <c r="EK108" s="367"/>
      <c r="EL108" s="367"/>
      <c r="EM108" s="367"/>
      <c r="EN108" s="367"/>
      <c r="EO108" s="367"/>
      <c r="EP108" s="367"/>
      <c r="EQ108" s="367"/>
    </row>
    <row r="109" spans="1:147" x14ac:dyDescent="0.2">
      <c r="A109" s="192"/>
      <c r="B109" s="192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192"/>
      <c r="O109" s="192"/>
      <c r="P109" s="192"/>
      <c r="Q109" s="192"/>
      <c r="R109" s="192"/>
      <c r="S109" s="266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  <c r="AG109" s="265"/>
      <c r="AH109" s="265"/>
      <c r="AI109" s="192"/>
      <c r="AJ109" s="192"/>
      <c r="AK109" s="369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  <c r="BP109" s="367"/>
      <c r="BQ109" s="367"/>
      <c r="BR109" s="367"/>
      <c r="BS109" s="367"/>
      <c r="BT109" s="367"/>
      <c r="BU109" s="367"/>
      <c r="BV109" s="367"/>
      <c r="BW109" s="367"/>
      <c r="BX109" s="367"/>
      <c r="BY109" s="367"/>
      <c r="BZ109" s="367"/>
      <c r="CA109" s="367"/>
      <c r="CB109" s="367"/>
      <c r="CC109" s="367"/>
      <c r="CD109" s="367"/>
      <c r="CE109" s="367"/>
      <c r="CF109" s="367"/>
      <c r="CG109" s="367"/>
      <c r="CH109" s="367"/>
      <c r="CI109" s="367"/>
      <c r="CJ109" s="367"/>
      <c r="CK109" s="367"/>
      <c r="CL109" s="367"/>
      <c r="CM109" s="367"/>
      <c r="CN109" s="367"/>
      <c r="CO109" s="367"/>
      <c r="CP109" s="367"/>
      <c r="CQ109" s="367"/>
      <c r="CR109" s="367"/>
      <c r="CS109" s="367"/>
      <c r="CT109" s="367"/>
      <c r="CU109" s="367"/>
      <c r="CV109" s="367"/>
      <c r="CW109" s="367"/>
      <c r="CX109" s="367"/>
      <c r="CY109" s="367"/>
      <c r="CZ109" s="367"/>
      <c r="DA109" s="367"/>
      <c r="DB109" s="367"/>
      <c r="DC109" s="367"/>
      <c r="DD109" s="367"/>
      <c r="DE109" s="367"/>
      <c r="DF109" s="367"/>
      <c r="DG109" s="367"/>
      <c r="DH109" s="367"/>
      <c r="DI109" s="367"/>
      <c r="DJ109" s="367"/>
      <c r="DK109" s="367"/>
      <c r="DL109" s="367"/>
      <c r="DM109" s="367"/>
      <c r="DN109" s="367"/>
      <c r="DO109" s="367"/>
      <c r="DP109" s="367"/>
      <c r="DQ109" s="367"/>
      <c r="DR109" s="367"/>
      <c r="DS109" s="367"/>
      <c r="DT109" s="367"/>
      <c r="DU109" s="367"/>
      <c r="DV109" s="367"/>
      <c r="DW109" s="367"/>
      <c r="DX109" s="367"/>
      <c r="DY109" s="367"/>
      <c r="DZ109" s="367"/>
      <c r="EA109" s="367"/>
      <c r="EB109" s="367"/>
      <c r="EC109" s="367"/>
      <c r="ED109" s="367"/>
      <c r="EE109" s="367"/>
      <c r="EF109" s="367"/>
      <c r="EG109" s="367"/>
      <c r="EH109" s="367"/>
      <c r="EI109" s="367"/>
      <c r="EJ109" s="367"/>
      <c r="EK109" s="367"/>
      <c r="EL109" s="367"/>
      <c r="EM109" s="367"/>
      <c r="EN109" s="367"/>
      <c r="EO109" s="367"/>
      <c r="EP109" s="367"/>
      <c r="EQ109" s="367"/>
    </row>
    <row r="110" spans="1:147" x14ac:dyDescent="0.2">
      <c r="A110" s="192"/>
      <c r="B110" s="192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192"/>
      <c r="O110" s="192"/>
      <c r="P110" s="192"/>
      <c r="Q110" s="192"/>
      <c r="R110" s="192"/>
      <c r="S110" s="266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E110" s="265"/>
      <c r="AF110" s="265"/>
      <c r="AG110" s="265"/>
      <c r="AH110" s="265"/>
      <c r="AI110" s="192"/>
      <c r="AJ110" s="192"/>
      <c r="AK110" s="369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  <c r="BP110" s="367"/>
      <c r="BQ110" s="367"/>
      <c r="BR110" s="367"/>
      <c r="BS110" s="367"/>
      <c r="BT110" s="367"/>
      <c r="BU110" s="367"/>
      <c r="BV110" s="367"/>
      <c r="BW110" s="367"/>
      <c r="BX110" s="367"/>
      <c r="BY110" s="367"/>
      <c r="BZ110" s="367"/>
      <c r="CA110" s="367"/>
      <c r="CB110" s="367"/>
      <c r="CC110" s="367"/>
      <c r="CD110" s="367"/>
      <c r="CE110" s="367"/>
      <c r="CF110" s="367"/>
      <c r="CG110" s="367"/>
      <c r="CH110" s="367"/>
      <c r="CI110" s="367"/>
      <c r="CJ110" s="367"/>
      <c r="CK110" s="367"/>
      <c r="CL110" s="367"/>
      <c r="CM110" s="367"/>
      <c r="CN110" s="367"/>
      <c r="CO110" s="367"/>
      <c r="CP110" s="367"/>
      <c r="CQ110" s="367"/>
      <c r="CR110" s="367"/>
      <c r="CS110" s="367"/>
      <c r="CT110" s="367"/>
      <c r="CU110" s="367"/>
      <c r="CV110" s="367"/>
      <c r="CW110" s="367"/>
      <c r="CX110" s="367"/>
      <c r="CY110" s="367"/>
      <c r="CZ110" s="367"/>
      <c r="DA110" s="367"/>
      <c r="DB110" s="367"/>
      <c r="DC110" s="367"/>
      <c r="DD110" s="367"/>
      <c r="DE110" s="367"/>
      <c r="DF110" s="367"/>
      <c r="DG110" s="367"/>
      <c r="DH110" s="367"/>
      <c r="DI110" s="367"/>
      <c r="DJ110" s="367"/>
      <c r="DK110" s="367"/>
      <c r="DL110" s="367"/>
      <c r="DM110" s="367"/>
      <c r="DN110" s="367"/>
      <c r="DO110" s="367"/>
      <c r="DP110" s="367"/>
      <c r="DQ110" s="367"/>
      <c r="DR110" s="367"/>
      <c r="DS110" s="367"/>
      <c r="DT110" s="367"/>
      <c r="DU110" s="367"/>
      <c r="DV110" s="367"/>
      <c r="DW110" s="367"/>
      <c r="DX110" s="367"/>
      <c r="DY110" s="367"/>
      <c r="DZ110" s="367"/>
      <c r="EA110" s="367"/>
      <c r="EB110" s="367"/>
      <c r="EC110" s="367"/>
      <c r="ED110" s="367"/>
      <c r="EE110" s="367"/>
      <c r="EF110" s="367"/>
      <c r="EG110" s="367"/>
      <c r="EH110" s="367"/>
      <c r="EI110" s="367"/>
      <c r="EJ110" s="367"/>
      <c r="EK110" s="367"/>
      <c r="EL110" s="367"/>
      <c r="EM110" s="367"/>
      <c r="EN110" s="367"/>
      <c r="EO110" s="367"/>
      <c r="EP110" s="367"/>
      <c r="EQ110" s="367"/>
    </row>
    <row r="111" spans="1:147" x14ac:dyDescent="0.2">
      <c r="A111" s="192"/>
      <c r="B111" s="192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192"/>
      <c r="O111" s="192"/>
      <c r="P111" s="192"/>
      <c r="Q111" s="192"/>
      <c r="R111" s="192"/>
      <c r="S111" s="266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  <c r="AG111" s="265"/>
      <c r="AH111" s="265"/>
      <c r="AI111" s="192"/>
      <c r="AJ111" s="192"/>
      <c r="AK111" s="369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  <c r="BP111" s="367"/>
      <c r="BQ111" s="367"/>
      <c r="BR111" s="367"/>
      <c r="BS111" s="367"/>
      <c r="BT111" s="367"/>
      <c r="BU111" s="367"/>
      <c r="BV111" s="367"/>
      <c r="BW111" s="367"/>
      <c r="BX111" s="367"/>
      <c r="BY111" s="367"/>
      <c r="BZ111" s="367"/>
      <c r="CA111" s="367"/>
      <c r="CB111" s="367"/>
      <c r="CC111" s="367"/>
      <c r="CD111" s="367"/>
      <c r="CE111" s="367"/>
      <c r="CF111" s="367"/>
      <c r="CG111" s="367"/>
      <c r="CH111" s="367"/>
      <c r="CI111" s="367"/>
      <c r="CJ111" s="367"/>
      <c r="CK111" s="367"/>
      <c r="CL111" s="367"/>
      <c r="CM111" s="367"/>
      <c r="CN111" s="367"/>
      <c r="CO111" s="367"/>
      <c r="CP111" s="367"/>
      <c r="CQ111" s="367"/>
      <c r="CR111" s="367"/>
      <c r="CS111" s="367"/>
      <c r="CT111" s="367"/>
      <c r="CU111" s="367"/>
      <c r="CV111" s="367"/>
      <c r="CW111" s="367"/>
      <c r="CX111" s="367"/>
      <c r="CY111" s="367"/>
      <c r="CZ111" s="367"/>
      <c r="DA111" s="367"/>
      <c r="DB111" s="367"/>
      <c r="DC111" s="367"/>
      <c r="DD111" s="367"/>
      <c r="DE111" s="367"/>
      <c r="DF111" s="367"/>
      <c r="DG111" s="367"/>
      <c r="DH111" s="367"/>
      <c r="DI111" s="367"/>
      <c r="DJ111" s="367"/>
      <c r="DK111" s="367"/>
      <c r="DL111" s="367"/>
      <c r="DM111" s="367"/>
      <c r="DN111" s="367"/>
      <c r="DO111" s="367"/>
      <c r="DP111" s="367"/>
      <c r="DQ111" s="367"/>
      <c r="DR111" s="367"/>
      <c r="DS111" s="367"/>
      <c r="DT111" s="367"/>
      <c r="DU111" s="367"/>
      <c r="DV111" s="367"/>
      <c r="DW111" s="367"/>
      <c r="DX111" s="367"/>
      <c r="DY111" s="367"/>
      <c r="DZ111" s="367"/>
      <c r="EA111" s="367"/>
      <c r="EB111" s="367"/>
      <c r="EC111" s="367"/>
      <c r="ED111" s="367"/>
      <c r="EE111" s="367"/>
      <c r="EF111" s="367"/>
      <c r="EG111" s="367"/>
      <c r="EH111" s="367"/>
      <c r="EI111" s="367"/>
      <c r="EJ111" s="367"/>
      <c r="EK111" s="367"/>
      <c r="EL111" s="367"/>
      <c r="EM111" s="367"/>
      <c r="EN111" s="367"/>
      <c r="EO111" s="367"/>
      <c r="EP111" s="367"/>
      <c r="EQ111" s="367"/>
    </row>
    <row r="112" spans="1:147" x14ac:dyDescent="0.2">
      <c r="A112" s="192"/>
      <c r="B112" s="192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192"/>
      <c r="O112" s="192"/>
      <c r="P112" s="192"/>
      <c r="Q112" s="192"/>
      <c r="R112" s="192"/>
      <c r="S112" s="266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E112" s="265"/>
      <c r="AF112" s="265"/>
      <c r="AG112" s="265"/>
      <c r="AH112" s="265"/>
      <c r="AI112" s="192"/>
      <c r="AJ112" s="192"/>
      <c r="AK112" s="369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  <c r="BP112" s="367"/>
      <c r="BQ112" s="367"/>
      <c r="BR112" s="367"/>
      <c r="BS112" s="367"/>
      <c r="BT112" s="367"/>
      <c r="BU112" s="367"/>
      <c r="BV112" s="367"/>
      <c r="BW112" s="367"/>
      <c r="BX112" s="367"/>
      <c r="BY112" s="367"/>
      <c r="BZ112" s="367"/>
      <c r="CA112" s="367"/>
      <c r="CB112" s="367"/>
      <c r="CC112" s="367"/>
      <c r="CD112" s="367"/>
      <c r="CE112" s="367"/>
      <c r="CF112" s="367"/>
      <c r="CG112" s="367"/>
      <c r="CH112" s="367"/>
      <c r="CI112" s="367"/>
      <c r="CJ112" s="367"/>
      <c r="CK112" s="367"/>
      <c r="CL112" s="367"/>
      <c r="CM112" s="367"/>
      <c r="CN112" s="367"/>
      <c r="CO112" s="367"/>
      <c r="CP112" s="367"/>
      <c r="CQ112" s="367"/>
      <c r="CR112" s="367"/>
      <c r="CS112" s="367"/>
      <c r="CT112" s="367"/>
      <c r="CU112" s="367"/>
      <c r="CV112" s="367"/>
      <c r="CW112" s="367"/>
      <c r="CX112" s="367"/>
      <c r="CY112" s="367"/>
      <c r="CZ112" s="367"/>
      <c r="DA112" s="367"/>
      <c r="DB112" s="367"/>
      <c r="DC112" s="367"/>
      <c r="DD112" s="367"/>
      <c r="DE112" s="367"/>
      <c r="DF112" s="367"/>
      <c r="DG112" s="367"/>
      <c r="DH112" s="367"/>
      <c r="DI112" s="367"/>
      <c r="DJ112" s="367"/>
      <c r="DK112" s="367"/>
      <c r="DL112" s="367"/>
      <c r="DM112" s="367"/>
      <c r="DN112" s="367"/>
      <c r="DO112" s="367"/>
      <c r="DP112" s="367"/>
      <c r="DQ112" s="367"/>
      <c r="DR112" s="367"/>
      <c r="DS112" s="367"/>
      <c r="DT112" s="367"/>
      <c r="DU112" s="367"/>
      <c r="DV112" s="367"/>
      <c r="DW112" s="367"/>
      <c r="DX112" s="367"/>
      <c r="DY112" s="367"/>
      <c r="DZ112" s="367"/>
      <c r="EA112" s="367"/>
      <c r="EB112" s="367"/>
      <c r="EC112" s="367"/>
      <c r="ED112" s="367"/>
      <c r="EE112" s="367"/>
      <c r="EF112" s="367"/>
      <c r="EG112" s="367"/>
      <c r="EH112" s="367"/>
      <c r="EI112" s="367"/>
      <c r="EJ112" s="367"/>
      <c r="EK112" s="367"/>
      <c r="EL112" s="367"/>
      <c r="EM112" s="367"/>
      <c r="EN112" s="367"/>
      <c r="EO112" s="367"/>
      <c r="EP112" s="367"/>
      <c r="EQ112" s="367"/>
    </row>
    <row r="113" spans="1:147" x14ac:dyDescent="0.2">
      <c r="A113" s="192"/>
      <c r="B113" s="192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192"/>
      <c r="O113" s="192"/>
      <c r="P113" s="192"/>
      <c r="Q113" s="192"/>
      <c r="R113" s="192"/>
      <c r="S113" s="266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E113" s="265"/>
      <c r="AF113" s="265"/>
      <c r="AG113" s="265"/>
      <c r="AH113" s="265"/>
      <c r="AI113" s="192"/>
      <c r="AJ113" s="192"/>
      <c r="AK113" s="369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7"/>
      <c r="AW113" s="367"/>
      <c r="AX113" s="367"/>
      <c r="AY113" s="367"/>
      <c r="AZ113" s="367"/>
      <c r="BA113" s="367"/>
      <c r="BB113" s="367"/>
      <c r="BC113" s="367"/>
      <c r="BD113" s="367"/>
      <c r="BE113" s="367"/>
      <c r="BF113" s="367"/>
      <c r="BG113" s="367"/>
      <c r="BH113" s="367"/>
      <c r="BI113" s="367"/>
      <c r="BJ113" s="367"/>
      <c r="BK113" s="367"/>
      <c r="BL113" s="367"/>
      <c r="BM113" s="367"/>
      <c r="BN113" s="367"/>
      <c r="BO113" s="367"/>
      <c r="BP113" s="367"/>
      <c r="BQ113" s="367"/>
      <c r="BR113" s="367"/>
      <c r="BS113" s="367"/>
      <c r="BT113" s="367"/>
      <c r="BU113" s="367"/>
      <c r="BV113" s="367"/>
      <c r="BW113" s="367"/>
      <c r="BX113" s="367"/>
      <c r="BY113" s="367"/>
      <c r="BZ113" s="367"/>
      <c r="CA113" s="367"/>
      <c r="CB113" s="367"/>
      <c r="CC113" s="367"/>
      <c r="CD113" s="367"/>
      <c r="CE113" s="367"/>
      <c r="CF113" s="367"/>
      <c r="CG113" s="367"/>
      <c r="CH113" s="367"/>
      <c r="CI113" s="367"/>
      <c r="CJ113" s="367"/>
      <c r="CK113" s="367"/>
      <c r="CL113" s="367"/>
      <c r="CM113" s="367"/>
      <c r="CN113" s="367"/>
      <c r="CO113" s="367"/>
      <c r="CP113" s="367"/>
      <c r="CQ113" s="367"/>
      <c r="CR113" s="367"/>
      <c r="CS113" s="367"/>
      <c r="CT113" s="367"/>
      <c r="CU113" s="367"/>
      <c r="CV113" s="367"/>
      <c r="CW113" s="367"/>
      <c r="CX113" s="367"/>
      <c r="CY113" s="367"/>
      <c r="CZ113" s="367"/>
      <c r="DA113" s="367"/>
      <c r="DB113" s="367"/>
      <c r="DC113" s="367"/>
      <c r="DD113" s="367"/>
      <c r="DE113" s="367"/>
      <c r="DF113" s="367"/>
      <c r="DG113" s="367"/>
      <c r="DH113" s="367"/>
      <c r="DI113" s="367"/>
      <c r="DJ113" s="367"/>
      <c r="DK113" s="367"/>
      <c r="DL113" s="367"/>
      <c r="DM113" s="367"/>
      <c r="DN113" s="367"/>
      <c r="DO113" s="367"/>
      <c r="DP113" s="367"/>
      <c r="DQ113" s="367"/>
      <c r="DR113" s="367"/>
      <c r="DS113" s="367"/>
      <c r="DT113" s="367"/>
      <c r="DU113" s="367"/>
      <c r="DV113" s="367"/>
      <c r="DW113" s="367"/>
      <c r="DX113" s="367"/>
      <c r="DY113" s="367"/>
      <c r="DZ113" s="367"/>
      <c r="EA113" s="367"/>
      <c r="EB113" s="367"/>
      <c r="EC113" s="367"/>
      <c r="ED113" s="367"/>
      <c r="EE113" s="367"/>
      <c r="EF113" s="367"/>
      <c r="EG113" s="367"/>
      <c r="EH113" s="367"/>
      <c r="EI113" s="367"/>
      <c r="EJ113" s="367"/>
      <c r="EK113" s="367"/>
      <c r="EL113" s="367"/>
      <c r="EM113" s="367"/>
      <c r="EN113" s="367"/>
      <c r="EO113" s="367"/>
      <c r="EP113" s="367"/>
      <c r="EQ113" s="367"/>
    </row>
    <row r="114" spans="1:147" x14ac:dyDescent="0.2">
      <c r="A114" s="192"/>
      <c r="B114" s="192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192"/>
      <c r="O114" s="192"/>
      <c r="P114" s="192"/>
      <c r="Q114" s="192"/>
      <c r="R114" s="192"/>
      <c r="S114" s="266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E114" s="265"/>
      <c r="AF114" s="265"/>
      <c r="AG114" s="265"/>
      <c r="AH114" s="265"/>
      <c r="AI114" s="192"/>
      <c r="AJ114" s="192"/>
      <c r="AK114" s="369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367"/>
      <c r="BD114" s="367"/>
      <c r="BE114" s="367"/>
      <c r="BF114" s="367"/>
      <c r="BG114" s="367"/>
      <c r="BH114" s="367"/>
      <c r="BI114" s="367"/>
      <c r="BJ114" s="367"/>
      <c r="BK114" s="367"/>
      <c r="BL114" s="367"/>
      <c r="BM114" s="367"/>
      <c r="BN114" s="367"/>
      <c r="BO114" s="367"/>
      <c r="BP114" s="367"/>
      <c r="BQ114" s="367"/>
      <c r="BR114" s="367"/>
      <c r="BS114" s="367"/>
      <c r="BT114" s="367"/>
      <c r="BU114" s="367"/>
      <c r="BV114" s="367"/>
      <c r="BW114" s="367"/>
      <c r="BX114" s="367"/>
      <c r="BY114" s="367"/>
      <c r="BZ114" s="367"/>
      <c r="CA114" s="367"/>
      <c r="CB114" s="367"/>
      <c r="CC114" s="367"/>
      <c r="CD114" s="367"/>
      <c r="CE114" s="367"/>
      <c r="CF114" s="367"/>
      <c r="CG114" s="367"/>
      <c r="CH114" s="367"/>
      <c r="CI114" s="367"/>
      <c r="CJ114" s="367"/>
      <c r="CK114" s="367"/>
      <c r="CL114" s="367"/>
      <c r="CM114" s="367"/>
      <c r="CN114" s="367"/>
      <c r="CO114" s="367"/>
      <c r="CP114" s="367"/>
      <c r="CQ114" s="367"/>
      <c r="CR114" s="367"/>
      <c r="CS114" s="367"/>
      <c r="CT114" s="367"/>
      <c r="CU114" s="367"/>
      <c r="CV114" s="367"/>
      <c r="CW114" s="367"/>
      <c r="CX114" s="367"/>
      <c r="CY114" s="367"/>
      <c r="CZ114" s="367"/>
      <c r="DA114" s="367"/>
      <c r="DB114" s="367"/>
      <c r="DC114" s="367"/>
      <c r="DD114" s="367"/>
      <c r="DE114" s="367"/>
      <c r="DF114" s="367"/>
      <c r="DG114" s="367"/>
      <c r="DH114" s="367"/>
      <c r="DI114" s="367"/>
      <c r="DJ114" s="367"/>
      <c r="DK114" s="367"/>
      <c r="DL114" s="367"/>
      <c r="DM114" s="367"/>
      <c r="DN114" s="367"/>
      <c r="DO114" s="367"/>
      <c r="DP114" s="367"/>
      <c r="DQ114" s="367"/>
      <c r="DR114" s="367"/>
      <c r="DS114" s="367"/>
      <c r="DT114" s="367"/>
      <c r="DU114" s="367"/>
      <c r="DV114" s="367"/>
      <c r="DW114" s="367"/>
      <c r="DX114" s="367"/>
      <c r="DY114" s="367"/>
      <c r="DZ114" s="367"/>
      <c r="EA114" s="367"/>
      <c r="EB114" s="367"/>
      <c r="EC114" s="367"/>
      <c r="ED114" s="367"/>
      <c r="EE114" s="367"/>
      <c r="EF114" s="367"/>
      <c r="EG114" s="367"/>
      <c r="EH114" s="367"/>
      <c r="EI114" s="367"/>
      <c r="EJ114" s="367"/>
      <c r="EK114" s="367"/>
      <c r="EL114" s="367"/>
      <c r="EM114" s="367"/>
      <c r="EN114" s="367"/>
      <c r="EO114" s="367"/>
      <c r="EP114" s="367"/>
      <c r="EQ114" s="367"/>
    </row>
    <row r="115" spans="1:147" x14ac:dyDescent="0.2">
      <c r="A115" s="192"/>
      <c r="B115" s="19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192"/>
      <c r="O115" s="192"/>
      <c r="P115" s="192"/>
      <c r="Q115" s="192"/>
      <c r="R115" s="192"/>
      <c r="S115" s="266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  <c r="AG115" s="265"/>
      <c r="AH115" s="265"/>
      <c r="AI115" s="192"/>
      <c r="AJ115" s="192"/>
      <c r="AK115" s="369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7"/>
      <c r="AW115" s="367"/>
      <c r="AX115" s="367"/>
      <c r="AY115" s="367"/>
      <c r="AZ115" s="367"/>
      <c r="BA115" s="367"/>
      <c r="BB115" s="367"/>
      <c r="BC115" s="367"/>
      <c r="BD115" s="367"/>
      <c r="BE115" s="367"/>
      <c r="BF115" s="367"/>
      <c r="BG115" s="367"/>
      <c r="BH115" s="367"/>
      <c r="BI115" s="367"/>
      <c r="BJ115" s="367"/>
      <c r="BK115" s="367"/>
      <c r="BL115" s="367"/>
      <c r="BM115" s="367"/>
      <c r="BN115" s="367"/>
      <c r="BO115" s="367"/>
      <c r="BP115" s="367"/>
      <c r="BQ115" s="367"/>
      <c r="BR115" s="367"/>
      <c r="BS115" s="367"/>
      <c r="BT115" s="367"/>
      <c r="BU115" s="367"/>
      <c r="BV115" s="367"/>
      <c r="BW115" s="367"/>
      <c r="BX115" s="367"/>
      <c r="BY115" s="367"/>
      <c r="BZ115" s="367"/>
      <c r="CA115" s="367"/>
      <c r="CB115" s="367"/>
      <c r="CC115" s="367"/>
      <c r="CD115" s="367"/>
      <c r="CE115" s="367"/>
      <c r="CF115" s="367"/>
      <c r="CG115" s="367"/>
      <c r="CH115" s="367"/>
      <c r="CI115" s="367"/>
      <c r="CJ115" s="367"/>
      <c r="CK115" s="367"/>
      <c r="CL115" s="367"/>
      <c r="CM115" s="367"/>
      <c r="CN115" s="367"/>
      <c r="CO115" s="367"/>
      <c r="CP115" s="367"/>
      <c r="CQ115" s="367"/>
      <c r="CR115" s="367"/>
      <c r="CS115" s="367"/>
      <c r="CT115" s="367"/>
      <c r="CU115" s="367"/>
      <c r="CV115" s="367"/>
      <c r="CW115" s="367"/>
      <c r="CX115" s="367"/>
      <c r="CY115" s="367"/>
      <c r="CZ115" s="367"/>
      <c r="DA115" s="367"/>
      <c r="DB115" s="367"/>
      <c r="DC115" s="367"/>
      <c r="DD115" s="367"/>
      <c r="DE115" s="367"/>
      <c r="DF115" s="367"/>
      <c r="DG115" s="367"/>
      <c r="DH115" s="367"/>
      <c r="DI115" s="367"/>
      <c r="DJ115" s="367"/>
      <c r="DK115" s="367"/>
      <c r="DL115" s="367"/>
      <c r="DM115" s="367"/>
      <c r="DN115" s="367"/>
      <c r="DO115" s="367"/>
      <c r="DP115" s="367"/>
      <c r="DQ115" s="367"/>
      <c r="DR115" s="367"/>
      <c r="DS115" s="367"/>
      <c r="DT115" s="367"/>
      <c r="DU115" s="367"/>
      <c r="DV115" s="367"/>
      <c r="DW115" s="367"/>
      <c r="DX115" s="367"/>
      <c r="DY115" s="367"/>
      <c r="DZ115" s="367"/>
      <c r="EA115" s="367"/>
      <c r="EB115" s="367"/>
      <c r="EC115" s="367"/>
      <c r="ED115" s="367"/>
      <c r="EE115" s="367"/>
      <c r="EF115" s="367"/>
      <c r="EG115" s="367"/>
      <c r="EH115" s="367"/>
      <c r="EI115" s="367"/>
      <c r="EJ115" s="367"/>
      <c r="EK115" s="367"/>
      <c r="EL115" s="367"/>
      <c r="EM115" s="367"/>
      <c r="EN115" s="367"/>
      <c r="EO115" s="367"/>
      <c r="EP115" s="367"/>
      <c r="EQ115" s="367"/>
    </row>
    <row r="116" spans="1:147" x14ac:dyDescent="0.2">
      <c r="A116" s="192"/>
      <c r="B116" s="19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192"/>
      <c r="O116" s="192"/>
      <c r="P116" s="192"/>
      <c r="Q116" s="192"/>
      <c r="R116" s="192"/>
      <c r="S116" s="266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  <c r="AG116" s="265"/>
      <c r="AH116" s="265"/>
      <c r="AI116" s="192"/>
      <c r="AJ116" s="192"/>
      <c r="AK116" s="369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7"/>
      <c r="AW116" s="367"/>
      <c r="AX116" s="367"/>
      <c r="AY116" s="367"/>
      <c r="AZ116" s="367"/>
      <c r="BA116" s="367"/>
      <c r="BB116" s="367"/>
      <c r="BC116" s="367"/>
      <c r="BD116" s="367"/>
      <c r="BE116" s="367"/>
      <c r="BF116" s="367"/>
      <c r="BG116" s="367"/>
      <c r="BH116" s="367"/>
      <c r="BI116" s="367"/>
      <c r="BJ116" s="367"/>
      <c r="BK116" s="367"/>
      <c r="BL116" s="367"/>
      <c r="BM116" s="367"/>
      <c r="BN116" s="367"/>
      <c r="BO116" s="367"/>
      <c r="BP116" s="367"/>
      <c r="BQ116" s="367"/>
      <c r="BR116" s="367"/>
      <c r="BS116" s="367"/>
      <c r="BT116" s="367"/>
      <c r="BU116" s="367"/>
      <c r="BV116" s="367"/>
      <c r="BW116" s="367"/>
      <c r="BX116" s="367"/>
      <c r="BY116" s="367"/>
      <c r="BZ116" s="367"/>
      <c r="CA116" s="367"/>
      <c r="CB116" s="367"/>
      <c r="CC116" s="367"/>
      <c r="CD116" s="367"/>
      <c r="CE116" s="367"/>
      <c r="CF116" s="367"/>
      <c r="CG116" s="367"/>
      <c r="CH116" s="367"/>
      <c r="CI116" s="367"/>
      <c r="CJ116" s="367"/>
      <c r="CK116" s="367"/>
      <c r="CL116" s="367"/>
      <c r="CM116" s="367"/>
      <c r="CN116" s="367"/>
      <c r="CO116" s="367"/>
      <c r="CP116" s="367"/>
      <c r="CQ116" s="367"/>
      <c r="CR116" s="367"/>
      <c r="CS116" s="367"/>
      <c r="CT116" s="367"/>
      <c r="CU116" s="367"/>
      <c r="CV116" s="367"/>
      <c r="CW116" s="367"/>
      <c r="CX116" s="367"/>
      <c r="CY116" s="367"/>
      <c r="CZ116" s="367"/>
      <c r="DA116" s="367"/>
      <c r="DB116" s="367"/>
      <c r="DC116" s="367"/>
      <c r="DD116" s="367"/>
      <c r="DE116" s="367"/>
      <c r="DF116" s="367"/>
      <c r="DG116" s="367"/>
      <c r="DH116" s="367"/>
      <c r="DI116" s="367"/>
      <c r="DJ116" s="367"/>
      <c r="DK116" s="367"/>
      <c r="DL116" s="367"/>
      <c r="DM116" s="367"/>
      <c r="DN116" s="367"/>
      <c r="DO116" s="367"/>
      <c r="DP116" s="367"/>
      <c r="DQ116" s="367"/>
      <c r="DR116" s="367"/>
      <c r="DS116" s="367"/>
      <c r="DT116" s="367"/>
      <c r="DU116" s="367"/>
      <c r="DV116" s="367"/>
      <c r="DW116" s="367"/>
      <c r="DX116" s="367"/>
      <c r="DY116" s="367"/>
      <c r="DZ116" s="367"/>
      <c r="EA116" s="367"/>
      <c r="EB116" s="367"/>
      <c r="EC116" s="367"/>
      <c r="ED116" s="367"/>
      <c r="EE116" s="367"/>
      <c r="EF116" s="367"/>
      <c r="EG116" s="367"/>
      <c r="EH116" s="367"/>
      <c r="EI116" s="367"/>
      <c r="EJ116" s="367"/>
      <c r="EK116" s="367"/>
      <c r="EL116" s="367"/>
      <c r="EM116" s="367"/>
      <c r="EN116" s="367"/>
      <c r="EO116" s="367"/>
      <c r="EP116" s="367"/>
      <c r="EQ116" s="367"/>
    </row>
    <row r="117" spans="1:147" x14ac:dyDescent="0.2">
      <c r="A117" s="192"/>
      <c r="B117" s="19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192"/>
      <c r="O117" s="192"/>
      <c r="P117" s="192"/>
      <c r="Q117" s="192"/>
      <c r="R117" s="192"/>
      <c r="S117" s="266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  <c r="AG117" s="265"/>
      <c r="AH117" s="265"/>
      <c r="AI117" s="192"/>
      <c r="AJ117" s="192"/>
      <c r="AK117" s="369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7"/>
      <c r="AW117" s="367"/>
      <c r="AX117" s="367"/>
      <c r="AY117" s="367"/>
      <c r="AZ117" s="367"/>
      <c r="BA117" s="367"/>
      <c r="BB117" s="367"/>
      <c r="BC117" s="367"/>
      <c r="BD117" s="367"/>
      <c r="BE117" s="367"/>
      <c r="BF117" s="367"/>
      <c r="BG117" s="367"/>
      <c r="BH117" s="367"/>
      <c r="BI117" s="367"/>
      <c r="BJ117" s="367"/>
      <c r="BK117" s="367"/>
      <c r="BL117" s="367"/>
      <c r="BM117" s="367"/>
      <c r="BN117" s="367"/>
      <c r="BO117" s="367"/>
      <c r="BP117" s="367"/>
      <c r="BQ117" s="367"/>
      <c r="BR117" s="367"/>
      <c r="BS117" s="367"/>
      <c r="BT117" s="367"/>
      <c r="BU117" s="367"/>
      <c r="BV117" s="367"/>
      <c r="BW117" s="367"/>
      <c r="BX117" s="367"/>
      <c r="BY117" s="367"/>
      <c r="BZ117" s="367"/>
      <c r="CA117" s="367"/>
      <c r="CB117" s="367"/>
      <c r="CC117" s="367"/>
      <c r="CD117" s="367"/>
      <c r="CE117" s="367"/>
      <c r="CF117" s="367"/>
      <c r="CG117" s="367"/>
      <c r="CH117" s="367"/>
      <c r="CI117" s="367"/>
      <c r="CJ117" s="367"/>
      <c r="CK117" s="367"/>
      <c r="CL117" s="367"/>
      <c r="CM117" s="367"/>
      <c r="CN117" s="367"/>
      <c r="CO117" s="367"/>
      <c r="CP117" s="367"/>
      <c r="CQ117" s="367"/>
      <c r="CR117" s="367"/>
      <c r="CS117" s="367"/>
      <c r="CT117" s="367"/>
      <c r="CU117" s="367"/>
      <c r="CV117" s="367"/>
      <c r="CW117" s="367"/>
      <c r="CX117" s="367"/>
      <c r="CY117" s="367"/>
      <c r="CZ117" s="367"/>
      <c r="DA117" s="367"/>
      <c r="DB117" s="367"/>
      <c r="DC117" s="367"/>
      <c r="DD117" s="367"/>
      <c r="DE117" s="367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367"/>
      <c r="DU117" s="367"/>
      <c r="DV117" s="367"/>
      <c r="DW117" s="367"/>
      <c r="DX117" s="367"/>
      <c r="DY117" s="367"/>
      <c r="DZ117" s="367"/>
      <c r="EA117" s="367"/>
      <c r="EB117" s="367"/>
      <c r="EC117" s="367"/>
      <c r="ED117" s="367"/>
      <c r="EE117" s="367"/>
      <c r="EF117" s="367"/>
      <c r="EG117" s="367"/>
      <c r="EH117" s="367"/>
      <c r="EI117" s="367"/>
      <c r="EJ117" s="367"/>
      <c r="EK117" s="367"/>
      <c r="EL117" s="367"/>
      <c r="EM117" s="367"/>
      <c r="EN117" s="367"/>
      <c r="EO117" s="367"/>
      <c r="EP117" s="367"/>
      <c r="EQ117" s="367"/>
    </row>
    <row r="118" spans="1:147" x14ac:dyDescent="0.2">
      <c r="A118" s="192"/>
      <c r="B118" s="19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192"/>
      <c r="O118" s="192"/>
      <c r="P118" s="192"/>
      <c r="Q118" s="192"/>
      <c r="R118" s="192"/>
      <c r="S118" s="266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  <c r="AG118" s="265"/>
      <c r="AH118" s="265"/>
      <c r="AI118" s="192"/>
      <c r="AJ118" s="192"/>
      <c r="AK118" s="369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7"/>
      <c r="AW118" s="367"/>
      <c r="AX118" s="367"/>
      <c r="AY118" s="367"/>
      <c r="AZ118" s="367"/>
      <c r="BA118" s="367"/>
      <c r="BB118" s="367"/>
      <c r="BC118" s="367"/>
      <c r="BD118" s="367"/>
      <c r="BE118" s="367"/>
      <c r="BF118" s="367"/>
      <c r="BG118" s="367"/>
      <c r="BH118" s="367"/>
      <c r="BI118" s="367"/>
      <c r="BJ118" s="367"/>
      <c r="BK118" s="367"/>
      <c r="BL118" s="367"/>
      <c r="BM118" s="367"/>
      <c r="BN118" s="367"/>
      <c r="BO118" s="367"/>
      <c r="BP118" s="367"/>
      <c r="BQ118" s="367"/>
      <c r="BR118" s="367"/>
      <c r="BS118" s="367"/>
      <c r="BT118" s="367"/>
      <c r="BU118" s="367"/>
      <c r="BV118" s="367"/>
      <c r="BW118" s="367"/>
      <c r="BX118" s="367"/>
      <c r="BY118" s="367"/>
      <c r="BZ118" s="367"/>
      <c r="CA118" s="367"/>
      <c r="CB118" s="367"/>
      <c r="CC118" s="367"/>
      <c r="CD118" s="367"/>
      <c r="CE118" s="367"/>
      <c r="CF118" s="367"/>
      <c r="CG118" s="367"/>
      <c r="CH118" s="367"/>
      <c r="CI118" s="367"/>
      <c r="CJ118" s="367"/>
      <c r="CK118" s="367"/>
      <c r="CL118" s="367"/>
      <c r="CM118" s="367"/>
      <c r="CN118" s="367"/>
      <c r="CO118" s="367"/>
      <c r="CP118" s="367"/>
      <c r="CQ118" s="367"/>
      <c r="CR118" s="367"/>
      <c r="CS118" s="367"/>
      <c r="CT118" s="367"/>
      <c r="CU118" s="367"/>
      <c r="CV118" s="367"/>
      <c r="CW118" s="367"/>
      <c r="CX118" s="367"/>
      <c r="CY118" s="367"/>
      <c r="CZ118" s="367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367"/>
      <c r="DY118" s="367"/>
      <c r="DZ118" s="367"/>
      <c r="EA118" s="367"/>
      <c r="EB118" s="367"/>
      <c r="EC118" s="367"/>
      <c r="ED118" s="367"/>
      <c r="EE118" s="367"/>
      <c r="EF118" s="367"/>
      <c r="EG118" s="367"/>
      <c r="EH118" s="367"/>
      <c r="EI118" s="367"/>
      <c r="EJ118" s="367"/>
      <c r="EK118" s="367"/>
      <c r="EL118" s="367"/>
      <c r="EM118" s="367"/>
      <c r="EN118" s="367"/>
      <c r="EO118" s="367"/>
      <c r="EP118" s="367"/>
      <c r="EQ118" s="367"/>
    </row>
    <row r="119" spans="1:147" x14ac:dyDescent="0.2">
      <c r="A119" s="192"/>
      <c r="B119" s="19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192"/>
      <c r="O119" s="192"/>
      <c r="P119" s="192"/>
      <c r="Q119" s="192"/>
      <c r="R119" s="192"/>
      <c r="S119" s="266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  <c r="AG119" s="265"/>
      <c r="AH119" s="265"/>
      <c r="AI119" s="192"/>
      <c r="AJ119" s="192"/>
      <c r="AK119" s="369"/>
      <c r="AL119" s="367"/>
      <c r="AM119" s="367"/>
      <c r="AN119" s="371">
        <v>4.4059924070272712E-2</v>
      </c>
      <c r="AO119" s="372">
        <v>4.4107107294600413E-2</v>
      </c>
      <c r="AP119" s="372">
        <v>4.4155522046627808E-2</v>
      </c>
      <c r="AQ119" s="372">
        <v>4.4213734387415465E-2</v>
      </c>
      <c r="AR119" s="372">
        <v>4.4273368188437578E-2</v>
      </c>
      <c r="AS119" s="372">
        <v>4.4331410274506676E-2</v>
      </c>
      <c r="AT119" s="372">
        <v>4.4390905276413956E-2</v>
      </c>
      <c r="AU119" s="372">
        <v>4.445670522649562E-2</v>
      </c>
      <c r="AV119" s="372">
        <v>4.4524787352485537E-2</v>
      </c>
      <c r="AW119" s="372">
        <v>4.459206490685573E-2</v>
      </c>
      <c r="AX119" s="372">
        <v>4.4661539348436398E-2</v>
      </c>
      <c r="AY119" s="372">
        <v>4.4732658923192906E-2</v>
      </c>
      <c r="AZ119" s="372">
        <v>4.4805383767162164E-2</v>
      </c>
      <c r="BA119" s="372">
        <v>4.4877159483399293E-2</v>
      </c>
      <c r="BB119" s="372">
        <v>4.4955797886803282E-2</v>
      </c>
      <c r="BC119" s="372">
        <v>4.5035992299613165E-2</v>
      </c>
      <c r="BD119" s="372">
        <v>4.5121712754527747E-2</v>
      </c>
      <c r="BE119" s="372">
        <v>4.5207825257056543E-2</v>
      </c>
      <c r="BF119" s="372">
        <v>4.5295785534769574E-2</v>
      </c>
      <c r="BG119" s="372">
        <v>4.538523981129633E-2</v>
      </c>
      <c r="BH119" s="372">
        <v>4.5504603682205824E-2</v>
      </c>
      <c r="BI119" s="372">
        <v>4.5702290065559974E-2</v>
      </c>
      <c r="BJ119" s="372">
        <v>4.5944902592063151E-2</v>
      </c>
      <c r="BK119" s="372">
        <v>4.6216325767918773E-2</v>
      </c>
      <c r="BL119" s="372">
        <v>4.6509512483711199E-2</v>
      </c>
      <c r="BM119" s="372">
        <v>4.6806420225782137E-2</v>
      </c>
      <c r="BN119" s="372">
        <v>4.7119246883828993E-2</v>
      </c>
      <c r="BO119" s="372">
        <v>4.7443538212094627E-2</v>
      </c>
      <c r="BP119" s="372">
        <v>4.7767326830766857E-2</v>
      </c>
      <c r="BQ119" s="372">
        <v>4.8107116643463906E-2</v>
      </c>
      <c r="BR119" s="372">
        <v>4.8456257516112988E-2</v>
      </c>
      <c r="BS119" s="372">
        <v>4.8819767425493758E-2</v>
      </c>
      <c r="BT119" s="372">
        <v>4.9201550036850547E-2</v>
      </c>
      <c r="BU119" s="372">
        <v>4.9584749476628852E-2</v>
      </c>
      <c r="BV119" s="372">
        <v>4.9982672425640189E-2</v>
      </c>
      <c r="BW119" s="372">
        <v>5.0392355483864122E-2</v>
      </c>
      <c r="BX119" s="372">
        <v>5.0806850632391286E-2</v>
      </c>
      <c r="BY119" s="372">
        <v>5.122573163412384E-2</v>
      </c>
      <c r="BZ119" s="372">
        <v>5.1641202045107075E-2</v>
      </c>
      <c r="CA119" s="372">
        <v>5.2072324760543028E-2</v>
      </c>
      <c r="CB119" s="372">
        <v>5.254843064291409E-2</v>
      </c>
      <c r="CC119" s="372">
        <v>5.3042030105901743E-2</v>
      </c>
      <c r="CD119" s="372">
        <v>5.3570265229792476E-2</v>
      </c>
      <c r="CE119" s="372">
        <v>5.4151124050103479E-2</v>
      </c>
      <c r="CF119" s="372">
        <v>5.4758799654648492E-2</v>
      </c>
      <c r="CG119" s="372">
        <v>5.5408465655392848E-2</v>
      </c>
      <c r="CH119" s="372">
        <v>5.6097543273296607E-2</v>
      </c>
      <c r="CI119" s="372">
        <v>5.68275027495019E-2</v>
      </c>
      <c r="CJ119" s="372">
        <v>5.7598420717797576E-2</v>
      </c>
      <c r="CK119" s="372">
        <v>5.8395728734416563E-2</v>
      </c>
      <c r="CL119" s="372">
        <v>5.9245231479980849E-2</v>
      </c>
      <c r="CM119" s="372">
        <v>6.0147941897379806E-2</v>
      </c>
      <c r="CN119" s="372">
        <v>6.1102747724775919E-2</v>
      </c>
      <c r="CO119" s="372">
        <v>6.2106816215923885E-2</v>
      </c>
      <c r="CP119" s="372">
        <v>6.3150900148740627E-2</v>
      </c>
      <c r="CQ119" s="372">
        <v>6.4242987015853098E-2</v>
      </c>
      <c r="CR119" s="372">
        <v>6.5376309123214779E-2</v>
      </c>
      <c r="CS119" s="372">
        <v>6.6556348947474545E-2</v>
      </c>
      <c r="CT119" s="372">
        <v>6.7774940875103162E-2</v>
      </c>
      <c r="CU119" s="372">
        <v>6.9035244559670902E-2</v>
      </c>
      <c r="CV119" s="372">
        <v>7.0317165224853623E-2</v>
      </c>
      <c r="CW119" s="372">
        <v>7.163467924256206E-2</v>
      </c>
      <c r="CX119" s="372">
        <v>7.2988092605603558E-2</v>
      </c>
      <c r="CY119" s="372">
        <v>7.4375713911097124E-2</v>
      </c>
      <c r="CZ119" s="372">
        <v>7.5781633441905388E-2</v>
      </c>
      <c r="DA119" s="372">
        <v>7.7217696025394814E-2</v>
      </c>
      <c r="DB119" s="372">
        <v>7.8672549096830455E-2</v>
      </c>
      <c r="DC119" s="372">
        <v>8.0151423610871048E-2</v>
      </c>
      <c r="DD119" s="372">
        <v>8.1655029327129064E-2</v>
      </c>
      <c r="DE119" s="372">
        <v>8.3172718472731971E-2</v>
      </c>
      <c r="DF119" s="372">
        <v>8.471256878798239E-2</v>
      </c>
      <c r="DG119" s="372">
        <v>8.6273920336738905E-2</v>
      </c>
      <c r="DH119" s="372">
        <v>8.7854705638477651E-2</v>
      </c>
      <c r="DI119" s="372">
        <v>8.9449877155839283E-2</v>
      </c>
      <c r="DJ119" s="372">
        <v>9.1060310863250213E-2</v>
      </c>
      <c r="DK119" s="372">
        <v>9.2686499937027197E-2</v>
      </c>
      <c r="DL119" s="372">
        <v>9.4327673928871314E-2</v>
      </c>
      <c r="DM119" s="372">
        <v>9.5983375718270994E-2</v>
      </c>
      <c r="DN119" s="372">
        <v>9.7654042012971107E-2</v>
      </c>
      <c r="DO119" s="372">
        <v>9.9335329654231058E-2</v>
      </c>
      <c r="DP119" s="372">
        <v>0.10102598162443387</v>
      </c>
      <c r="DQ119" s="372">
        <v>0.10273007526475945</v>
      </c>
      <c r="DR119" s="372">
        <v>0.10445415933544043</v>
      </c>
      <c r="DS119" s="372">
        <v>0.10635509495333026</v>
      </c>
      <c r="DT119" s="372">
        <v>0.10830596904600072</v>
      </c>
      <c r="DU119" s="372">
        <v>0.1103088060373397</v>
      </c>
      <c r="DV119" s="372">
        <v>0.11251546329065847</v>
      </c>
      <c r="DW119" s="372">
        <v>0.11485199584552885</v>
      </c>
      <c r="DX119" s="372">
        <v>0.1173179998379319</v>
      </c>
      <c r="DY119" s="372">
        <v>0.11995799863320243</v>
      </c>
      <c r="DZ119" s="372">
        <v>0.1226558132483883</v>
      </c>
      <c r="EA119" s="372">
        <v>0.12537877282731519</v>
      </c>
      <c r="EB119" s="372">
        <v>0.12813483039604998</v>
      </c>
      <c r="EC119" s="372">
        <v>0.13095254420936689</v>
      </c>
      <c r="ED119" s="372">
        <v>0.13392603851874008</v>
      </c>
      <c r="EE119" s="372">
        <v>0.13704517370515393</v>
      </c>
      <c r="EF119" s="372">
        <v>0.14030023650216633</v>
      </c>
      <c r="EG119" s="372">
        <v>0.14368198903616106</v>
      </c>
      <c r="EH119" s="372">
        <v>0.1479602712632723</v>
      </c>
      <c r="EI119" s="373">
        <v>0.1479602712632723</v>
      </c>
      <c r="EJ119" s="367"/>
      <c r="EK119" s="367"/>
      <c r="EL119" s="367"/>
      <c r="EM119" s="367"/>
      <c r="EN119" s="367"/>
      <c r="EO119" s="367"/>
      <c r="EP119" s="367"/>
      <c r="EQ119" s="367"/>
    </row>
    <row r="120" spans="1:147" x14ac:dyDescent="0.2">
      <c r="A120" s="192"/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  <c r="R120" s="192"/>
      <c r="S120" s="266"/>
      <c r="T120" s="265"/>
      <c r="U120" s="265"/>
      <c r="V120" s="265"/>
      <c r="W120" s="265"/>
      <c r="X120" s="265"/>
      <c r="Y120" s="265"/>
      <c r="Z120" s="265"/>
      <c r="AA120" s="265"/>
      <c r="AB120" s="265"/>
      <c r="AC120" s="265"/>
      <c r="AD120" s="265"/>
      <c r="AE120" s="265"/>
      <c r="AF120" s="265"/>
      <c r="AG120" s="265"/>
      <c r="AH120" s="265"/>
      <c r="AI120" s="192"/>
      <c r="AJ120" s="192"/>
      <c r="AK120" s="369"/>
      <c r="AL120" s="367"/>
      <c r="AM120" s="367"/>
      <c r="AN120" s="374">
        <v>1.2859380180842938E-2</v>
      </c>
      <c r="AO120" s="375">
        <v>1.3117760835201036E-2</v>
      </c>
      <c r="AP120" s="375">
        <v>1.3387942423145952E-2</v>
      </c>
      <c r="AQ120" s="375">
        <v>1.3649504944628198E-2</v>
      </c>
      <c r="AR120" s="375">
        <v>1.3919486726837692E-2</v>
      </c>
      <c r="AS120" s="375">
        <v>1.4183240866157926E-2</v>
      </c>
      <c r="AT120" s="375">
        <v>1.4437127989470996E-2</v>
      </c>
      <c r="AU120" s="375">
        <v>1.4694554397604403E-2</v>
      </c>
      <c r="AV120" s="375">
        <v>1.4952562541048691E-2</v>
      </c>
      <c r="AW120" s="375">
        <v>1.5209049532054719E-2</v>
      </c>
      <c r="AX120" s="375">
        <v>1.5468112335729065E-2</v>
      </c>
      <c r="AY120" s="375">
        <v>1.5723320859829869E-2</v>
      </c>
      <c r="AZ120" s="375">
        <v>1.5982410303612204E-2</v>
      </c>
      <c r="BA120" s="375">
        <v>1.6240007283601299E-2</v>
      </c>
      <c r="BB120" s="375">
        <v>1.6494234149768482E-2</v>
      </c>
      <c r="BC120" s="375">
        <v>1.6755734259694132E-2</v>
      </c>
      <c r="BD120" s="375">
        <v>1.7019656224193946E-2</v>
      </c>
      <c r="BE120" s="375">
        <v>1.7282267442903395E-2</v>
      </c>
      <c r="BF120" s="375">
        <v>1.7545702555196715E-2</v>
      </c>
      <c r="BG120" s="375">
        <v>1.7805980533814447E-2</v>
      </c>
      <c r="BH120" s="375">
        <v>1.809570566086276E-2</v>
      </c>
      <c r="BI120" s="375">
        <v>1.8442486347051434E-2</v>
      </c>
      <c r="BJ120" s="375">
        <v>1.875671987401838E-2</v>
      </c>
      <c r="BK120" s="375">
        <v>1.9039737196677165E-2</v>
      </c>
      <c r="BL120" s="375">
        <v>1.9323682196195912E-2</v>
      </c>
      <c r="BM120" s="375">
        <v>1.95990581680817E-2</v>
      </c>
      <c r="BN120" s="375">
        <v>1.9876880977487962E-2</v>
      </c>
      <c r="BO120" s="375">
        <v>2.0139629056664148E-2</v>
      </c>
      <c r="BP120" s="375">
        <v>2.0412613863927415E-2</v>
      </c>
      <c r="BQ120" s="375">
        <v>2.0695949460005286E-2</v>
      </c>
      <c r="BR120" s="375">
        <v>2.0977891786637521E-2</v>
      </c>
      <c r="BS120" s="375">
        <v>2.126178987762509E-2</v>
      </c>
      <c r="BT120" s="375">
        <v>2.1548248859080642E-2</v>
      </c>
      <c r="BU120" s="375">
        <v>2.1841780264964795E-2</v>
      </c>
      <c r="BV120" s="375">
        <v>2.2106309403439103E-2</v>
      </c>
      <c r="BW120" s="375">
        <v>2.2363583915269724E-2</v>
      </c>
      <c r="BX120" s="375">
        <v>2.2639471040300434E-2</v>
      </c>
      <c r="BY120" s="375">
        <v>2.2933745388358098E-2</v>
      </c>
      <c r="BZ120" s="375">
        <v>2.3195858698199758E-2</v>
      </c>
      <c r="CA120" s="375">
        <v>2.3502170130099937E-2</v>
      </c>
      <c r="CB120" s="375">
        <v>2.3812515439647072E-2</v>
      </c>
      <c r="CC120" s="375">
        <v>2.4117149761342164E-2</v>
      </c>
      <c r="CD120" s="375">
        <v>2.4434638458448132E-2</v>
      </c>
      <c r="CE120" s="375">
        <v>2.4763711651581168E-2</v>
      </c>
      <c r="CF120" s="375">
        <v>2.5082946909919312E-2</v>
      </c>
      <c r="CG120" s="375">
        <v>2.5423917521744267E-2</v>
      </c>
      <c r="CH120" s="375">
        <v>2.5761675489020388E-2</v>
      </c>
      <c r="CI120" s="375">
        <v>2.6102525341762977E-2</v>
      </c>
      <c r="CJ120" s="375">
        <v>2.6444252133273036E-2</v>
      </c>
      <c r="CK120" s="375">
        <v>2.6773056025885988E-2</v>
      </c>
      <c r="CL120" s="375">
        <v>2.7122085612618547E-2</v>
      </c>
      <c r="CM120" s="375">
        <v>2.7469755764897501E-2</v>
      </c>
      <c r="CN120" s="375">
        <v>2.7817070442858912E-2</v>
      </c>
      <c r="CO120" s="375">
        <v>2.8163711795348569E-2</v>
      </c>
      <c r="CP120" s="375">
        <v>2.8502327969457612E-2</v>
      </c>
      <c r="CQ120" s="375">
        <v>2.8843756739542103E-2</v>
      </c>
      <c r="CR120" s="375">
        <v>2.9181782176085396E-2</v>
      </c>
      <c r="CS120" s="375">
        <v>2.9530550766824811E-2</v>
      </c>
      <c r="CT120" s="375">
        <v>2.9878704470469284E-2</v>
      </c>
      <c r="CU120" s="375">
        <v>3.0232212339086548E-2</v>
      </c>
      <c r="CV120" s="375">
        <v>3.0571176532984853E-2</v>
      </c>
      <c r="CW120" s="375">
        <v>3.0913013916415811E-2</v>
      </c>
      <c r="CX120" s="375">
        <v>3.1261262120577074E-2</v>
      </c>
      <c r="CY120" s="375">
        <v>3.1614166990651379E-2</v>
      </c>
      <c r="CZ120" s="375">
        <v>3.1957561120050687E-2</v>
      </c>
      <c r="DA120" s="375">
        <v>3.2304811745668752E-2</v>
      </c>
      <c r="DB120" s="375">
        <v>3.2646540990036541E-2</v>
      </c>
      <c r="DC120" s="375">
        <v>3.2988772128005078E-2</v>
      </c>
      <c r="DD120" s="375">
        <v>3.3333785761720275E-2</v>
      </c>
      <c r="DE120" s="375">
        <v>3.3670862074876615E-2</v>
      </c>
      <c r="DF120" s="375">
        <v>3.4009635442485989E-2</v>
      </c>
      <c r="DG120" s="375">
        <v>3.4352353656960821E-2</v>
      </c>
      <c r="DH120" s="375">
        <v>3.4698159291505437E-2</v>
      </c>
      <c r="DI120" s="375">
        <v>3.5039778082528117E-2</v>
      </c>
      <c r="DJ120" s="375">
        <v>3.5379571103959756E-2</v>
      </c>
      <c r="DK120" s="375">
        <v>3.5720135104250289E-2</v>
      </c>
      <c r="DL120" s="375">
        <v>3.6062353853796567E-2</v>
      </c>
      <c r="DM120" s="375">
        <v>3.6408102111872634E-2</v>
      </c>
      <c r="DN120" s="375">
        <v>3.6759323623249032E-2</v>
      </c>
      <c r="DO120" s="375">
        <v>3.7105862227428357E-2</v>
      </c>
      <c r="DP120" s="375">
        <v>3.7447620377328336E-2</v>
      </c>
      <c r="DQ120" s="375">
        <v>3.7794752655304034E-2</v>
      </c>
      <c r="DR120" s="375">
        <v>3.8074614635254259E-2</v>
      </c>
      <c r="DS120" s="375">
        <v>3.8360333234115113E-2</v>
      </c>
      <c r="DT120" s="375">
        <v>3.8667193597917003E-2</v>
      </c>
      <c r="DU120" s="375">
        <v>3.8934903043529867E-2</v>
      </c>
      <c r="DV120" s="375">
        <v>3.9191880994540379E-2</v>
      </c>
      <c r="DW120" s="375">
        <v>3.9503482611013011E-2</v>
      </c>
      <c r="DX120" s="375">
        <v>3.973859795410048E-2</v>
      </c>
      <c r="DY120" s="375">
        <v>4.0042126088962557E-2</v>
      </c>
      <c r="DZ120" s="375">
        <v>4.0404685688930908E-2</v>
      </c>
      <c r="EA120" s="375">
        <v>4.0743347339290498E-2</v>
      </c>
      <c r="EB120" s="375">
        <v>4.1091039163700487E-2</v>
      </c>
      <c r="EC120" s="375">
        <v>4.132615450678806E-2</v>
      </c>
      <c r="ED120" s="375">
        <v>4.1561269849875418E-2</v>
      </c>
      <c r="EE120" s="375">
        <v>4.1796385192962873E-2</v>
      </c>
      <c r="EF120" s="375">
        <v>4.2031500536050329E-2</v>
      </c>
      <c r="EG120" s="375">
        <v>4.2266615879137742E-2</v>
      </c>
      <c r="EH120" s="375">
        <v>4.2648552314586946E-2</v>
      </c>
      <c r="EI120" s="376">
        <v>4.2648552314586946E-2</v>
      </c>
      <c r="EJ120" s="367"/>
      <c r="EK120" s="367"/>
      <c r="EL120" s="367"/>
      <c r="EM120" s="367"/>
      <c r="EN120" s="367"/>
      <c r="EO120" s="367"/>
      <c r="EP120" s="367"/>
      <c r="EQ120" s="367"/>
    </row>
    <row r="121" spans="1:147" x14ac:dyDescent="0.2">
      <c r="A121" s="192"/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2"/>
      <c r="P121" s="192"/>
      <c r="Q121" s="192"/>
      <c r="R121" s="192"/>
      <c r="S121" s="266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  <c r="AG121" s="265"/>
      <c r="AH121" s="265"/>
      <c r="AI121" s="192"/>
      <c r="AJ121" s="192"/>
      <c r="AK121" s="369"/>
      <c r="AL121" s="367"/>
      <c r="AM121" s="377" t="s">
        <v>208</v>
      </c>
      <c r="AN121" s="367"/>
      <c r="AO121" s="367"/>
      <c r="AP121" s="367"/>
      <c r="AQ121" s="367"/>
      <c r="AR121" s="367"/>
      <c r="AS121" s="367"/>
      <c r="AT121" s="367"/>
      <c r="AU121" s="367"/>
      <c r="AV121" s="367"/>
      <c r="AW121" s="367"/>
      <c r="AX121" s="367"/>
      <c r="AY121" s="367"/>
      <c r="AZ121" s="367"/>
      <c r="BA121" s="367"/>
      <c r="BB121" s="367"/>
      <c r="BC121" s="367"/>
      <c r="BD121" s="367"/>
      <c r="BE121" s="367"/>
      <c r="BF121" s="367"/>
      <c r="BG121" s="367"/>
      <c r="BH121" s="367"/>
      <c r="BI121" s="367"/>
      <c r="BJ121" s="367"/>
      <c r="BK121" s="367"/>
      <c r="BL121" s="367"/>
      <c r="BM121" s="367"/>
      <c r="BN121" s="367"/>
      <c r="BO121" s="367"/>
      <c r="BP121" s="367"/>
      <c r="BQ121" s="367"/>
      <c r="BR121" s="367"/>
      <c r="BS121" s="367"/>
      <c r="BT121" s="367"/>
      <c r="BU121" s="367"/>
      <c r="BV121" s="367"/>
      <c r="BW121" s="367"/>
      <c r="BX121" s="367"/>
      <c r="BY121" s="367"/>
      <c r="BZ121" s="367"/>
      <c r="CA121" s="367"/>
      <c r="CB121" s="367"/>
      <c r="CC121" s="367"/>
      <c r="CD121" s="367"/>
      <c r="CE121" s="367"/>
      <c r="CF121" s="367"/>
      <c r="CG121" s="367"/>
      <c r="CH121" s="367"/>
      <c r="CI121" s="367"/>
      <c r="CJ121" s="367"/>
      <c r="CK121" s="367"/>
      <c r="CL121" s="367"/>
      <c r="CM121" s="367"/>
      <c r="CN121" s="367"/>
      <c r="CO121" s="367"/>
      <c r="CP121" s="367"/>
      <c r="CQ121" s="367"/>
      <c r="CR121" s="367"/>
      <c r="CS121" s="367"/>
      <c r="CT121" s="367"/>
      <c r="CU121" s="367"/>
      <c r="CV121" s="367"/>
      <c r="CW121" s="367"/>
      <c r="CX121" s="367"/>
      <c r="CY121" s="367"/>
      <c r="CZ121" s="367"/>
      <c r="DA121" s="367"/>
      <c r="DB121" s="367"/>
      <c r="DC121" s="367"/>
      <c r="DD121" s="367"/>
      <c r="DE121" s="367"/>
      <c r="DF121" s="367"/>
      <c r="DG121" s="367"/>
      <c r="DH121" s="367"/>
      <c r="DI121" s="367"/>
      <c r="DJ121" s="367"/>
      <c r="DK121" s="367"/>
      <c r="DL121" s="367"/>
      <c r="DM121" s="367"/>
      <c r="DN121" s="367"/>
      <c r="DO121" s="367"/>
      <c r="DP121" s="367"/>
      <c r="DQ121" s="367"/>
      <c r="DR121" s="367"/>
      <c r="DS121" s="367"/>
      <c r="DT121" s="367"/>
      <c r="DU121" s="367"/>
      <c r="DV121" s="367"/>
      <c r="DW121" s="367"/>
      <c r="DX121" s="367"/>
      <c r="DY121" s="367"/>
      <c r="DZ121" s="367"/>
      <c r="EA121" s="367"/>
      <c r="EB121" s="367"/>
      <c r="EC121" s="367"/>
      <c r="ED121" s="367"/>
      <c r="EE121" s="367"/>
      <c r="EF121" s="367"/>
      <c r="EG121" s="367"/>
      <c r="EH121" s="367"/>
      <c r="EI121" s="367"/>
      <c r="EJ121" s="367"/>
      <c r="EK121" s="367"/>
      <c r="EL121" s="367"/>
      <c r="EM121" s="367"/>
      <c r="EN121" s="367"/>
      <c r="EO121" s="367"/>
      <c r="EP121" s="367"/>
      <c r="EQ121" s="367"/>
    </row>
    <row r="122" spans="1:147" x14ac:dyDescent="0.2">
      <c r="A122" s="192"/>
      <c r="B122" s="19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192"/>
      <c r="O122" s="192"/>
      <c r="P122" s="192"/>
      <c r="Q122" s="192"/>
      <c r="R122" s="192"/>
      <c r="S122" s="266"/>
      <c r="T122" s="265"/>
      <c r="U122" s="265"/>
      <c r="V122" s="265"/>
      <c r="W122" s="265"/>
      <c r="X122" s="265"/>
      <c r="Y122" s="265"/>
      <c r="Z122" s="265"/>
      <c r="AA122" s="265"/>
      <c r="AB122" s="265"/>
      <c r="AC122" s="265"/>
      <c r="AD122" s="265"/>
      <c r="AE122" s="265"/>
      <c r="AF122" s="265"/>
      <c r="AG122" s="265"/>
      <c r="AH122" s="265"/>
      <c r="AI122" s="192"/>
      <c r="AJ122" s="192"/>
      <c r="AK122" s="369"/>
      <c r="AL122" s="367"/>
      <c r="AM122" s="416" t="s">
        <v>0</v>
      </c>
      <c r="AN122" s="417">
        <v>0.14179799082621383</v>
      </c>
      <c r="AO122" s="418">
        <v>0.13233091861973695</v>
      </c>
      <c r="AP122" s="418">
        <v>0.1243942655455476</v>
      </c>
      <c r="AQ122" s="418">
        <v>0.11520116989470815</v>
      </c>
      <c r="AR122" s="418">
        <v>0.10916922641255304</v>
      </c>
      <c r="AS122" s="418">
        <v>0.10360047909410217</v>
      </c>
      <c r="AT122" s="418">
        <v>9.6075954155486074E-2</v>
      </c>
      <c r="AU122" s="418">
        <v>8.9845004617069596E-2</v>
      </c>
      <c r="AV122" s="418">
        <v>8.1880626480782523E-2</v>
      </c>
      <c r="AW122" s="418">
        <v>7.4763169275450445E-2</v>
      </c>
      <c r="AX122" s="418">
        <v>6.9245757013342041E-2</v>
      </c>
      <c r="AY122" s="418">
        <v>6.2578770300411937E-2</v>
      </c>
      <c r="AZ122" s="418">
        <v>5.6082941838110772E-2</v>
      </c>
      <c r="BA122" s="418">
        <v>5.0575807917931599E-2</v>
      </c>
      <c r="BB122" s="418">
        <v>4.4966573648398643E-2</v>
      </c>
      <c r="BC122" s="418">
        <v>3.9620894965772896E-2</v>
      </c>
      <c r="BD122" s="418">
        <v>3.4756315073657965E-2</v>
      </c>
      <c r="BE122" s="418">
        <v>2.820966588995916E-2</v>
      </c>
      <c r="BF122" s="418">
        <v>2.1498020140681542E-2</v>
      </c>
      <c r="BG122" s="418">
        <v>1.4429740286368013E-2</v>
      </c>
      <c r="BH122" s="418">
        <v>1.0600000000692944E-2</v>
      </c>
      <c r="BI122" s="418">
        <v>1.0600000000692944E-2</v>
      </c>
      <c r="BJ122" s="418">
        <v>1.0600000000692944E-2</v>
      </c>
      <c r="BK122" s="418">
        <v>1.0600000000692944E-2</v>
      </c>
      <c r="BL122" s="418">
        <v>1.0600000000692944E-2</v>
      </c>
      <c r="BM122" s="418">
        <v>1.0600000000692944E-2</v>
      </c>
      <c r="BN122" s="418">
        <v>1.0600000000692944E-2</v>
      </c>
      <c r="BO122" s="418">
        <v>1.0600000000692944E-2</v>
      </c>
      <c r="BP122" s="418">
        <v>1.0600000000692944E-2</v>
      </c>
      <c r="BQ122" s="418">
        <v>1.0600000000692944E-2</v>
      </c>
      <c r="BR122" s="418">
        <v>1.0600000000692944E-2</v>
      </c>
      <c r="BS122" s="418">
        <v>1.0600000000692944E-2</v>
      </c>
      <c r="BT122" s="418">
        <v>1.0600000000692944E-2</v>
      </c>
      <c r="BU122" s="418">
        <v>1.0600000000692944E-2</v>
      </c>
      <c r="BV122" s="418">
        <v>1.0600000000692944E-2</v>
      </c>
      <c r="BW122" s="418">
        <v>1.0600000000692944E-2</v>
      </c>
      <c r="BX122" s="418">
        <v>1.0600000000692944E-2</v>
      </c>
      <c r="BY122" s="418">
        <v>1.0600000000692944E-2</v>
      </c>
      <c r="BZ122" s="418">
        <v>1.0600000000692944E-2</v>
      </c>
      <c r="CA122" s="418">
        <v>1.0600000000692944E-2</v>
      </c>
      <c r="CB122" s="418">
        <v>1.0600000000692944E-2</v>
      </c>
      <c r="CC122" s="418">
        <v>1.0600000000692944E-2</v>
      </c>
      <c r="CD122" s="418">
        <v>1.0600000000692944E-2</v>
      </c>
      <c r="CE122" s="418">
        <v>1.0600000000692944E-2</v>
      </c>
      <c r="CF122" s="418">
        <v>1.0600000000692944E-2</v>
      </c>
      <c r="CG122" s="418">
        <v>1.0600000000692944E-2</v>
      </c>
      <c r="CH122" s="418">
        <v>1.0600000000692944E-2</v>
      </c>
      <c r="CI122" s="418">
        <v>1.0600000000692944E-2</v>
      </c>
      <c r="CJ122" s="418">
        <v>1.0600000000692944E-2</v>
      </c>
      <c r="CK122" s="418">
        <v>1.0600000000692944E-2</v>
      </c>
      <c r="CL122" s="418">
        <v>1.0600000000692944E-2</v>
      </c>
      <c r="CM122" s="418">
        <v>1.0600000000692944E-2</v>
      </c>
      <c r="CN122" s="418">
        <v>1.0600000000692944E-2</v>
      </c>
      <c r="CO122" s="418">
        <v>1.0600000000692944E-2</v>
      </c>
      <c r="CP122" s="418">
        <v>1.0600000000692944E-2</v>
      </c>
      <c r="CQ122" s="418">
        <v>1.0600000000692944E-2</v>
      </c>
      <c r="CR122" s="418">
        <v>1.0600000000692944E-2</v>
      </c>
      <c r="CS122" s="418">
        <v>1.0600000000692944E-2</v>
      </c>
      <c r="CT122" s="418">
        <v>1.0600000000692944E-2</v>
      </c>
      <c r="CU122" s="418">
        <v>1.0600000000692944E-2</v>
      </c>
      <c r="CV122" s="418">
        <v>1.0600000000692944E-2</v>
      </c>
      <c r="CW122" s="418">
        <v>1.0600000000692944E-2</v>
      </c>
      <c r="CX122" s="418">
        <v>1.0600000000692944E-2</v>
      </c>
      <c r="CY122" s="418">
        <v>1.0600000000692944E-2</v>
      </c>
      <c r="CZ122" s="418">
        <v>1.0600000000692944E-2</v>
      </c>
      <c r="DA122" s="418">
        <v>1.0600000000692944E-2</v>
      </c>
      <c r="DB122" s="418">
        <v>1.0600000000692944E-2</v>
      </c>
      <c r="DC122" s="418">
        <v>1.0600000000692944E-2</v>
      </c>
      <c r="DD122" s="418">
        <v>1.0600000000692944E-2</v>
      </c>
      <c r="DE122" s="418">
        <v>1.0600000000692944E-2</v>
      </c>
      <c r="DF122" s="418">
        <v>1.0600000000692944E-2</v>
      </c>
      <c r="DG122" s="418">
        <v>1.0600000000692944E-2</v>
      </c>
      <c r="DH122" s="418">
        <v>1.0600000000692944E-2</v>
      </c>
      <c r="DI122" s="418">
        <v>1.0600000000692944E-2</v>
      </c>
      <c r="DJ122" s="418">
        <v>1.0600000000692944E-2</v>
      </c>
      <c r="DK122" s="418">
        <v>1.0600000000692944E-2</v>
      </c>
      <c r="DL122" s="418">
        <v>1.0600000000692944E-2</v>
      </c>
      <c r="DM122" s="418">
        <v>1.0600000000692944E-2</v>
      </c>
      <c r="DN122" s="418">
        <v>1.0600000000692944E-2</v>
      </c>
      <c r="DO122" s="418">
        <v>1.0600000000692944E-2</v>
      </c>
      <c r="DP122" s="418">
        <v>1.0600000000692944E-2</v>
      </c>
      <c r="DQ122" s="418">
        <v>1.0600000000692944E-2</v>
      </c>
      <c r="DR122" s="418">
        <v>1.0600000000692944E-2</v>
      </c>
      <c r="DS122" s="418">
        <v>1.0600000000692944E-2</v>
      </c>
      <c r="DT122" s="418">
        <v>1.0600000000692944E-2</v>
      </c>
      <c r="DU122" s="418">
        <v>1.0600000000692946E-2</v>
      </c>
      <c r="DV122" s="418">
        <v>1.0600000000692944E-2</v>
      </c>
      <c r="DW122" s="418">
        <v>1.0600000000692944E-2</v>
      </c>
      <c r="DX122" s="418">
        <v>1.0600000000692944E-2</v>
      </c>
      <c r="DY122" s="418">
        <v>2.0342527715441542E-2</v>
      </c>
      <c r="DZ122" s="418">
        <v>3.8491607332567526E-2</v>
      </c>
      <c r="EA122" s="418">
        <v>5.3237428138748433E-2</v>
      </c>
      <c r="EB122" s="418">
        <v>6.9269217821103096E-2</v>
      </c>
      <c r="EC122" s="418">
        <v>6.9269217821103624E-2</v>
      </c>
      <c r="ED122" s="418">
        <v>6.9269217821102375E-2</v>
      </c>
      <c r="EE122" s="418">
        <v>6.9269217821102388E-2</v>
      </c>
      <c r="EF122" s="418">
        <v>6.9269217821102388E-2</v>
      </c>
      <c r="EG122" s="418">
        <v>6.9269217821102388E-2</v>
      </c>
      <c r="EH122" s="418">
        <v>8.8119859034992601E-2</v>
      </c>
      <c r="EI122" s="419">
        <v>8.8119859034992601E-2</v>
      </c>
      <c r="EJ122" s="444"/>
      <c r="EK122" s="367"/>
      <c r="EL122" s="367"/>
      <c r="EM122" s="367"/>
      <c r="EN122" s="367"/>
      <c r="EO122" s="367"/>
      <c r="EP122" s="367"/>
      <c r="EQ122" s="367"/>
    </row>
    <row r="123" spans="1:147" x14ac:dyDescent="0.2">
      <c r="A123" s="192"/>
      <c r="B123" s="19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192"/>
      <c r="O123" s="192"/>
      <c r="P123" s="192"/>
      <c r="Q123" s="192"/>
      <c r="R123" s="192"/>
      <c r="S123" s="266"/>
      <c r="T123" s="265"/>
      <c r="U123" s="265"/>
      <c r="V123" s="265"/>
      <c r="W123" s="265"/>
      <c r="X123" s="265"/>
      <c r="Y123" s="265"/>
      <c r="Z123" s="265"/>
      <c r="AA123" s="265"/>
      <c r="AB123" s="265"/>
      <c r="AC123" s="265"/>
      <c r="AD123" s="265"/>
      <c r="AE123" s="265"/>
      <c r="AF123" s="265"/>
      <c r="AG123" s="265"/>
      <c r="AH123" s="265"/>
      <c r="AI123" s="192"/>
      <c r="AJ123" s="192"/>
      <c r="AK123" s="369"/>
      <c r="AL123" s="367"/>
      <c r="AM123" s="420" t="s">
        <v>1</v>
      </c>
      <c r="AN123" s="421">
        <v>0.14281717257420082</v>
      </c>
      <c r="AO123" s="422">
        <v>0.15780247897662916</v>
      </c>
      <c r="AP123" s="422">
        <v>0.16837946421713493</v>
      </c>
      <c r="AQ123" s="422">
        <v>0.18296947154028828</v>
      </c>
      <c r="AR123" s="422">
        <v>0.18588038281768313</v>
      </c>
      <c r="AS123" s="422">
        <v>0.18291674137874794</v>
      </c>
      <c r="AT123" s="422">
        <v>0.18462294610046967</v>
      </c>
      <c r="AU123" s="422">
        <v>0.18262328926483604</v>
      </c>
      <c r="AV123" s="422">
        <v>0.18967170039496192</v>
      </c>
      <c r="AW123" s="422">
        <v>0.18970222293925848</v>
      </c>
      <c r="AX123" s="422">
        <v>0.18394699827780678</v>
      </c>
      <c r="AY123" s="422">
        <v>0.18121696748400726</v>
      </c>
      <c r="AZ123" s="422">
        <v>0.17961008275023765</v>
      </c>
      <c r="BA123" s="422">
        <v>0.17217689040571882</v>
      </c>
      <c r="BB123" s="422">
        <v>0.16524230475780763</v>
      </c>
      <c r="BC123" s="422">
        <v>0.15796376117339797</v>
      </c>
      <c r="BD123" s="422">
        <v>0.14990451288418419</v>
      </c>
      <c r="BE123" s="422">
        <v>0.1489</v>
      </c>
      <c r="BF123" s="422">
        <v>0.1489</v>
      </c>
      <c r="BG123" s="422">
        <v>0.1489</v>
      </c>
      <c r="BH123" s="422">
        <v>0.1489</v>
      </c>
      <c r="BI123" s="422">
        <v>0.1489</v>
      </c>
      <c r="BJ123" s="422">
        <v>0.14305623677564808</v>
      </c>
      <c r="BK123" s="422">
        <v>0.13513324625607129</v>
      </c>
      <c r="BL123" s="422">
        <v>0.13259185093244533</v>
      </c>
      <c r="BM123" s="422">
        <v>0.12586939131475569</v>
      </c>
      <c r="BN123" s="422">
        <v>0.12093510804878724</v>
      </c>
      <c r="BO123" s="422">
        <v>0.11920227685363484</v>
      </c>
      <c r="BP123" s="422">
        <v>0.11058004268931611</v>
      </c>
      <c r="BQ123" s="422">
        <v>0.10304427877917738</v>
      </c>
      <c r="BR123" s="422">
        <v>9.3819010322202884E-2</v>
      </c>
      <c r="BS123" s="422">
        <v>8.813678442730008E-2</v>
      </c>
      <c r="BT123" s="422">
        <v>8.0613544610478274E-2</v>
      </c>
      <c r="BU123" s="422">
        <v>7.4028884156371974E-2</v>
      </c>
      <c r="BV123" s="422">
        <v>6.8402321161202387E-2</v>
      </c>
      <c r="BW123" s="422">
        <v>6.6407680922749027E-2</v>
      </c>
      <c r="BX123" s="422">
        <v>6.2117939192556558E-2</v>
      </c>
      <c r="BY123" s="422">
        <v>5.6950903357028362E-2</v>
      </c>
      <c r="BZ123" s="422">
        <v>4.9559571548829062E-2</v>
      </c>
      <c r="CA123" s="422">
        <v>4.3468166446573656E-2</v>
      </c>
      <c r="CB123" s="422">
        <v>3.9297444328260753E-2</v>
      </c>
      <c r="CC123" s="422">
        <v>3.050399717404469E-2</v>
      </c>
      <c r="CD123" s="422">
        <v>2.1339584689317393E-2</v>
      </c>
      <c r="CE123" s="422">
        <v>1.9183722278163048E-2</v>
      </c>
      <c r="CF123" s="422">
        <v>7.1406501299442933E-3</v>
      </c>
      <c r="CG123" s="422">
        <v>-6.9817018746737887E-22</v>
      </c>
      <c r="CH123" s="422">
        <v>-8.8048188015848808E-20</v>
      </c>
      <c r="CI123" s="422">
        <v>-3.8997456160347339E-19</v>
      </c>
      <c r="CJ123" s="422">
        <v>2.0634686859124451E-21</v>
      </c>
      <c r="CK123" s="422">
        <v>-5.3005115309241345E-23</v>
      </c>
      <c r="CL123" s="422">
        <v>1.3700186009970966E-21</v>
      </c>
      <c r="CM123" s="422">
        <v>2.2630680555682977E-22</v>
      </c>
      <c r="CN123" s="422">
        <v>-3.1631044729264502E-25</v>
      </c>
      <c r="CO123" s="422">
        <v>2.1322646884313337E-17</v>
      </c>
      <c r="CP123" s="422">
        <v>-6.8023658629520325E-19</v>
      </c>
      <c r="CQ123" s="422">
        <v>1.7302825469448144E-17</v>
      </c>
      <c r="CR123" s="422">
        <v>-4.901908480501911E-23</v>
      </c>
      <c r="CS123" s="422">
        <v>6.2549912117183347E-17</v>
      </c>
      <c r="CT123" s="422">
        <v>-4.1609920684491866E-23</v>
      </c>
      <c r="CU123" s="422">
        <v>7.6555180408900148E-24</v>
      </c>
      <c r="CV123" s="422">
        <v>4.7034427638714298E-23</v>
      </c>
      <c r="CW123" s="422">
        <v>4.0400786280723451E-23</v>
      </c>
      <c r="CX123" s="422">
        <v>6.3764882899125083E-23</v>
      </c>
      <c r="CY123" s="422">
        <v>4.4287874982559374E-22</v>
      </c>
      <c r="CZ123" s="422">
        <v>-1.478940852660042E-25</v>
      </c>
      <c r="DA123" s="422">
        <v>2.9097993582393392E-22</v>
      </c>
      <c r="DB123" s="422">
        <v>-5.3851102301814645E-22</v>
      </c>
      <c r="DC123" s="422">
        <v>1.1719961620975902E-21</v>
      </c>
      <c r="DD123" s="422">
        <v>2.3903375513268549E-23</v>
      </c>
      <c r="DE123" s="422">
        <v>-2.3806564633655045E-21</v>
      </c>
      <c r="DF123" s="422">
        <v>-1.6322020177007881E-22</v>
      </c>
      <c r="DG123" s="422">
        <v>1.5827116766409039E-22</v>
      </c>
      <c r="DH123" s="422">
        <v>7.6481659645355484E-22</v>
      </c>
      <c r="DI123" s="422">
        <v>5.5132699797225787E-24</v>
      </c>
      <c r="DJ123" s="422">
        <v>-5.8895718960283557E-19</v>
      </c>
      <c r="DK123" s="422">
        <v>-1.2848009701927069E-21</v>
      </c>
      <c r="DL123" s="422">
        <v>-2.837790681044361E-17</v>
      </c>
      <c r="DM123" s="422">
        <v>1.9753105651716099E-22</v>
      </c>
      <c r="DN123" s="422">
        <v>6.4053524806086911E-25</v>
      </c>
      <c r="DO123" s="422">
        <v>-5.2756361083810829E-21</v>
      </c>
      <c r="DP123" s="422">
        <v>-6.793758059372407E-18</v>
      </c>
      <c r="DQ123" s="422">
        <v>2.5513195598405394E-18</v>
      </c>
      <c r="DR123" s="422">
        <v>8.036444271633809E-21</v>
      </c>
      <c r="DS123" s="422">
        <v>2.9555172932450148E-23</v>
      </c>
      <c r="DT123" s="422">
        <v>4.8861079600444968E-18</v>
      </c>
      <c r="DU123" s="422">
        <v>1.3420997983375873E-19</v>
      </c>
      <c r="DV123" s="422">
        <v>-1.1297310508174246E-20</v>
      </c>
      <c r="DW123" s="422">
        <v>1.2828618600672668E-19</v>
      </c>
      <c r="DX123" s="422">
        <v>2.2037588818801382E-18</v>
      </c>
      <c r="DY123" s="422">
        <v>6.2180292029226989E-21</v>
      </c>
      <c r="DZ123" s="422">
        <v>1.4844753296459681E-17</v>
      </c>
      <c r="EA123" s="422">
        <v>-2.6875627261348494E-18</v>
      </c>
      <c r="EB123" s="422">
        <v>-9.0253937495986651E-17</v>
      </c>
      <c r="EC123" s="422">
        <v>1.9473557286277119E-16</v>
      </c>
      <c r="ED123" s="422">
        <v>-1.5470799081664485E-21</v>
      </c>
      <c r="EE123" s="422">
        <v>-9.9355876973774567E-20</v>
      </c>
      <c r="EF123" s="422">
        <v>-1.3627361800967982E-19</v>
      </c>
      <c r="EG123" s="422">
        <v>-3.0839620385645248E-19</v>
      </c>
      <c r="EH123" s="422">
        <v>2.7779003531993484E-4</v>
      </c>
      <c r="EI123" s="423">
        <v>2.7779003531993484E-4</v>
      </c>
      <c r="EJ123" s="444"/>
      <c r="EK123" s="367"/>
      <c r="EL123" s="367"/>
      <c r="EM123" s="367"/>
      <c r="EN123" s="367"/>
      <c r="EO123" s="367"/>
      <c r="EP123" s="367"/>
      <c r="EQ123" s="367"/>
    </row>
    <row r="124" spans="1:147" x14ac:dyDescent="0.2">
      <c r="A124" s="192"/>
      <c r="B124" s="19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192"/>
      <c r="O124" s="192"/>
      <c r="P124" s="192"/>
      <c r="Q124" s="192"/>
      <c r="R124" s="192"/>
      <c r="S124" s="266"/>
      <c r="T124" s="265"/>
      <c r="U124" s="265"/>
      <c r="V124" s="265"/>
      <c r="W124" s="265"/>
      <c r="X124" s="265"/>
      <c r="Y124" s="265"/>
      <c r="Z124" s="265"/>
      <c r="AA124" s="265"/>
      <c r="AB124" s="265"/>
      <c r="AC124" s="265"/>
      <c r="AD124" s="265"/>
      <c r="AE124" s="265"/>
      <c r="AF124" s="265"/>
      <c r="AG124" s="265"/>
      <c r="AH124" s="265"/>
      <c r="AI124" s="192"/>
      <c r="AJ124" s="192"/>
      <c r="AK124" s="369"/>
      <c r="AL124" s="367"/>
      <c r="AM124" s="420" t="s">
        <v>2</v>
      </c>
      <c r="AN124" s="421">
        <v>3.0784825851865334E-2</v>
      </c>
      <c r="AO124" s="422">
        <v>2.5266591655913873E-2</v>
      </c>
      <c r="AP124" s="422">
        <v>2.2626269675604268E-2</v>
      </c>
      <c r="AQ124" s="422">
        <v>1.7229354859737544E-2</v>
      </c>
      <c r="AR124" s="422">
        <v>1.3553543860721343E-2</v>
      </c>
      <c r="AS124" s="422">
        <v>1.090204544441831E-2</v>
      </c>
      <c r="AT124" s="422">
        <v>9.2843690861641893E-3</v>
      </c>
      <c r="AU124" s="422">
        <v>8.157356091828839E-3</v>
      </c>
      <c r="AV124" s="422">
        <v>4.1186325413344136E-3</v>
      </c>
      <c r="AW124" s="422">
        <v>2.6116456650689341E-3</v>
      </c>
      <c r="AX124" s="422">
        <v>1.255939940127104E-3</v>
      </c>
      <c r="AY124" s="422">
        <v>7.6689551756203053E-4</v>
      </c>
      <c r="AZ124" s="422">
        <v>1.1010087706456779E-21</v>
      </c>
      <c r="BA124" s="422">
        <v>1.0040121188175563E-22</v>
      </c>
      <c r="BB124" s="422">
        <v>2.234532288937327E-24</v>
      </c>
      <c r="BC124" s="422">
        <v>2.3010062150029278E-21</v>
      </c>
      <c r="BD124" s="422">
        <v>2.86962417291929E-23</v>
      </c>
      <c r="BE124" s="422">
        <v>-1.0906235223650625E-23</v>
      </c>
      <c r="BF124" s="422">
        <v>-7.3012698455365279E-22</v>
      </c>
      <c r="BG124" s="422">
        <v>-1.3571127046203599E-22</v>
      </c>
      <c r="BH124" s="422">
        <v>-1.3913543626540552E-22</v>
      </c>
      <c r="BI124" s="422">
        <v>-8.1294764493774109E-22</v>
      </c>
      <c r="BJ124" s="422">
        <v>5.8437632243519277E-3</v>
      </c>
      <c r="BK124" s="422">
        <v>1.3766753743928724E-2</v>
      </c>
      <c r="BL124" s="422">
        <v>1.6308149067554668E-2</v>
      </c>
      <c r="BM124" s="422">
        <v>2.3030608685244296E-2</v>
      </c>
      <c r="BN124" s="422">
        <v>2.7964891951212777E-2</v>
      </c>
      <c r="BO124" s="422">
        <v>2.9697723146365162E-2</v>
      </c>
      <c r="BP124" s="422">
        <v>3.8319957310683911E-2</v>
      </c>
      <c r="BQ124" s="422">
        <v>4.5855721220822626E-2</v>
      </c>
      <c r="BR124" s="422">
        <v>5.5080989677797121E-2</v>
      </c>
      <c r="BS124" s="422">
        <v>6.0763215572699925E-2</v>
      </c>
      <c r="BT124" s="422">
        <v>6.828645538952173E-2</v>
      </c>
      <c r="BU124" s="422">
        <v>7.4871115843628031E-2</v>
      </c>
      <c r="BV124" s="422">
        <v>8.0497678838797618E-2</v>
      </c>
      <c r="BW124" s="422">
        <v>8.2492319077250978E-2</v>
      </c>
      <c r="BX124" s="422">
        <v>8.678206080744344E-2</v>
      </c>
      <c r="BY124" s="422">
        <v>9.1949096642971656E-2</v>
      </c>
      <c r="BZ124" s="422">
        <v>9.9340428451170928E-2</v>
      </c>
      <c r="CA124" s="422">
        <v>0.10543183355342635</v>
      </c>
      <c r="CB124" s="422">
        <v>0.10960255567173925</v>
      </c>
      <c r="CC124" s="422">
        <v>0.1183960028259553</v>
      </c>
      <c r="CD124" s="422">
        <v>0.1275604153106826</v>
      </c>
      <c r="CE124" s="422">
        <v>0.12971627772183697</v>
      </c>
      <c r="CF124" s="422">
        <v>0.14175934987005567</v>
      </c>
      <c r="CG124" s="422">
        <v>0.1489</v>
      </c>
      <c r="CH124" s="422">
        <v>0.1489</v>
      </c>
      <c r="CI124" s="422">
        <v>0.1489</v>
      </c>
      <c r="CJ124" s="422">
        <v>0.1489</v>
      </c>
      <c r="CK124" s="422">
        <v>0.1489</v>
      </c>
      <c r="CL124" s="422">
        <v>0.1489</v>
      </c>
      <c r="CM124" s="422">
        <v>0.1489</v>
      </c>
      <c r="CN124" s="422">
        <v>0.1489</v>
      </c>
      <c r="CO124" s="422">
        <v>0.14890000000000023</v>
      </c>
      <c r="CP124" s="422">
        <v>0.14890000000000023</v>
      </c>
      <c r="CQ124" s="422">
        <v>0.14890000000000014</v>
      </c>
      <c r="CR124" s="422">
        <v>0.1489</v>
      </c>
      <c r="CS124" s="422">
        <v>0.14890000000000037</v>
      </c>
      <c r="CT124" s="422">
        <v>0.1489</v>
      </c>
      <c r="CU124" s="422">
        <v>0.1489</v>
      </c>
      <c r="CV124" s="422">
        <v>0.1489</v>
      </c>
      <c r="CW124" s="422">
        <v>0.1489</v>
      </c>
      <c r="CX124" s="422">
        <v>0.1489</v>
      </c>
      <c r="CY124" s="422">
        <v>0.1489</v>
      </c>
      <c r="CZ124" s="422">
        <v>0.1489</v>
      </c>
      <c r="DA124" s="422">
        <v>0.1489</v>
      </c>
      <c r="DB124" s="422">
        <v>0.1489</v>
      </c>
      <c r="DC124" s="422">
        <v>0.1489</v>
      </c>
      <c r="DD124" s="422">
        <v>0.1489</v>
      </c>
      <c r="DE124" s="422">
        <v>0.1489</v>
      </c>
      <c r="DF124" s="422">
        <v>0.1489</v>
      </c>
      <c r="DG124" s="422">
        <v>0.1489</v>
      </c>
      <c r="DH124" s="422">
        <v>0.1489</v>
      </c>
      <c r="DI124" s="422">
        <v>0.1489</v>
      </c>
      <c r="DJ124" s="422">
        <v>0.14890000000000031</v>
      </c>
      <c r="DK124" s="422">
        <v>0.1489</v>
      </c>
      <c r="DL124" s="422">
        <v>0.14890000000000034</v>
      </c>
      <c r="DM124" s="422">
        <v>0.1489</v>
      </c>
      <c r="DN124" s="422">
        <v>0.1489</v>
      </c>
      <c r="DO124" s="422">
        <v>0.1489</v>
      </c>
      <c r="DP124" s="422">
        <v>0.14890000000000014</v>
      </c>
      <c r="DQ124" s="422">
        <v>0.1489</v>
      </c>
      <c r="DR124" s="422">
        <v>0.1489</v>
      </c>
      <c r="DS124" s="422">
        <v>0.1489</v>
      </c>
      <c r="DT124" s="422">
        <v>0.14890000000000045</v>
      </c>
      <c r="DU124" s="422">
        <v>0.1489</v>
      </c>
      <c r="DV124" s="422">
        <v>0.1489</v>
      </c>
      <c r="DW124" s="422">
        <v>0.1489</v>
      </c>
      <c r="DX124" s="422">
        <v>0.1489</v>
      </c>
      <c r="DY124" s="422">
        <v>0.1489</v>
      </c>
      <c r="DZ124" s="422">
        <v>0.14890000000000028</v>
      </c>
      <c r="EA124" s="422">
        <v>0.14890000000000017</v>
      </c>
      <c r="EB124" s="422">
        <v>0.14890000000000031</v>
      </c>
      <c r="EC124" s="422">
        <v>0.1489</v>
      </c>
      <c r="ED124" s="422">
        <v>0.1489</v>
      </c>
      <c r="EE124" s="422">
        <v>0.1489</v>
      </c>
      <c r="EF124" s="422">
        <v>0.1489</v>
      </c>
      <c r="EG124" s="422">
        <v>0.1489</v>
      </c>
      <c r="EH124" s="422">
        <v>0.14864874896245098</v>
      </c>
      <c r="EI124" s="423">
        <v>0.14864874896245098</v>
      </c>
      <c r="EJ124" s="444"/>
      <c r="EK124" s="367"/>
      <c r="EL124" s="367"/>
      <c r="EM124" s="367"/>
      <c r="EN124" s="367"/>
      <c r="EO124" s="367"/>
      <c r="EP124" s="367"/>
      <c r="EQ124" s="367"/>
    </row>
    <row r="125" spans="1:147" x14ac:dyDescent="0.2">
      <c r="A125" s="192"/>
      <c r="B125" s="19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192"/>
      <c r="O125" s="192"/>
      <c r="P125" s="192"/>
      <c r="Q125" s="192"/>
      <c r="R125" s="192"/>
      <c r="S125" s="266"/>
      <c r="T125" s="265"/>
      <c r="U125" s="265"/>
      <c r="V125" s="265"/>
      <c r="W125" s="265"/>
      <c r="X125" s="265"/>
      <c r="Y125" s="265"/>
      <c r="Z125" s="265"/>
      <c r="AA125" s="265"/>
      <c r="AB125" s="265"/>
      <c r="AC125" s="265"/>
      <c r="AD125" s="265"/>
      <c r="AE125" s="265"/>
      <c r="AF125" s="265"/>
      <c r="AG125" s="265"/>
      <c r="AH125" s="265"/>
      <c r="AI125" s="192"/>
      <c r="AJ125" s="192"/>
      <c r="AK125" s="369"/>
      <c r="AL125" s="367"/>
      <c r="AM125" s="420" t="s">
        <v>3</v>
      </c>
      <c r="AN125" s="421">
        <v>3.0138280997378729E-23</v>
      </c>
      <c r="AO125" s="422">
        <v>0</v>
      </c>
      <c r="AP125" s="422">
        <v>4.5539176970777308E-24</v>
      </c>
      <c r="AQ125" s="422">
        <v>5.0720402427579543E-23</v>
      </c>
      <c r="AR125" s="422">
        <v>6.7968361599298347E-3</v>
      </c>
      <c r="AS125" s="422">
        <v>1.7980730106180287E-2</v>
      </c>
      <c r="AT125" s="422">
        <v>2.5416719007541399E-2</v>
      </c>
      <c r="AU125" s="422">
        <v>3.4774338738447715E-2</v>
      </c>
      <c r="AV125" s="422">
        <v>3.9729036606369832E-2</v>
      </c>
      <c r="AW125" s="422">
        <v>4.8322945630134728E-2</v>
      </c>
      <c r="AX125" s="422">
        <v>6.09513007921728E-2</v>
      </c>
      <c r="AY125" s="422">
        <v>7.083736642673355E-2</v>
      </c>
      <c r="AZ125" s="422">
        <v>7.9706975140366357E-2</v>
      </c>
      <c r="BA125" s="422">
        <v>9.26473014050644E-2</v>
      </c>
      <c r="BB125" s="422">
        <v>0.10519112132250852</v>
      </c>
      <c r="BC125" s="422">
        <v>0.11781534358954392</v>
      </c>
      <c r="BD125" s="422">
        <v>0.13073917177087263</v>
      </c>
      <c r="BE125" s="422">
        <v>0.13829032245970216</v>
      </c>
      <c r="BF125" s="422">
        <v>0.14500197958803326</v>
      </c>
      <c r="BG125" s="422">
        <v>0.15207025944234676</v>
      </c>
      <c r="BH125" s="422">
        <v>0.15589999972802182</v>
      </c>
      <c r="BI125" s="422">
        <v>0.15589998835036104</v>
      </c>
      <c r="BJ125" s="422">
        <v>0.15424076551663984</v>
      </c>
      <c r="BK125" s="422">
        <v>0.15186345533788073</v>
      </c>
      <c r="BL125" s="422">
        <v>0.1487888037578996</v>
      </c>
      <c r="BM125" s="422">
        <v>0.14536716488061158</v>
      </c>
      <c r="BN125" s="422">
        <v>0.14215720194539924</v>
      </c>
      <c r="BO125" s="422">
        <v>0.1381585771798941</v>
      </c>
      <c r="BP125" s="422">
        <v>0.13621126451632914</v>
      </c>
      <c r="BQ125" s="422">
        <v>0.13392181605878795</v>
      </c>
      <c r="BR125" s="422">
        <v>0.1315636180454057</v>
      </c>
      <c r="BS125" s="422">
        <v>0.12813225125833383</v>
      </c>
      <c r="BT125" s="422">
        <v>0.1262836502887795</v>
      </c>
      <c r="BU125" s="422">
        <v>0.12486016600215258</v>
      </c>
      <c r="BV125" s="422">
        <v>0.12503750090274382</v>
      </c>
      <c r="BW125" s="422">
        <v>0.12496325631900151</v>
      </c>
      <c r="BX125" s="422">
        <v>0.12516359898263102</v>
      </c>
      <c r="BY125" s="422">
        <v>0.12550241769029397</v>
      </c>
      <c r="BZ125" s="422">
        <v>0.12623423607310838</v>
      </c>
      <c r="CA125" s="422">
        <v>0.12461312016897215</v>
      </c>
      <c r="CB125" s="422">
        <v>0.12182877918216677</v>
      </c>
      <c r="CC125" s="422">
        <v>0.11932774797423412</v>
      </c>
      <c r="CD125" s="422">
        <v>0.11796854133649402</v>
      </c>
      <c r="CE125" s="422">
        <v>0.11673259750568266</v>
      </c>
      <c r="CF125" s="422">
        <v>0.11446921754912424</v>
      </c>
      <c r="CG125" s="422">
        <v>0.11446921754912423</v>
      </c>
      <c r="CH125" s="422">
        <v>0.10386633503340922</v>
      </c>
      <c r="CI125" s="422">
        <v>8.8032317134299265E-2</v>
      </c>
      <c r="CJ125" s="422">
        <v>7.2382830956920816E-2</v>
      </c>
      <c r="CK125" s="422">
        <v>6.0247751976164658E-2</v>
      </c>
      <c r="CL125" s="422">
        <v>5.8669217820409465E-2</v>
      </c>
      <c r="CM125" s="422">
        <v>5.8669217820409458E-2</v>
      </c>
      <c r="CN125" s="422">
        <v>5.8669217820409444E-2</v>
      </c>
      <c r="CO125" s="422">
        <v>5.8669217820409819E-2</v>
      </c>
      <c r="CP125" s="422">
        <v>5.8669217820409181E-2</v>
      </c>
      <c r="CQ125" s="422">
        <v>5.8669217820409354E-2</v>
      </c>
      <c r="CR125" s="422">
        <v>5.8669212038240048E-2</v>
      </c>
      <c r="CS125" s="422">
        <v>5.866921782040934E-2</v>
      </c>
      <c r="CT125" s="422">
        <v>5.8669212038240041E-2</v>
      </c>
      <c r="CU125" s="422">
        <v>5.8669212038240048E-2</v>
      </c>
      <c r="CV125" s="422">
        <v>5.8669212038240021E-2</v>
      </c>
      <c r="CW125" s="422">
        <v>5.8669212038240048E-2</v>
      </c>
      <c r="CX125" s="422">
        <v>5.8669212038240021E-2</v>
      </c>
      <c r="CY125" s="422">
        <v>5.8669217820409458E-2</v>
      </c>
      <c r="CZ125" s="422">
        <v>5.8669212038240048E-2</v>
      </c>
      <c r="DA125" s="422">
        <v>5.8669212038240035E-2</v>
      </c>
      <c r="DB125" s="422">
        <v>5.8669212038240028E-2</v>
      </c>
      <c r="DC125" s="422">
        <v>5.8669212038240055E-2</v>
      </c>
      <c r="DD125" s="422">
        <v>5.8669212038240007E-2</v>
      </c>
      <c r="DE125" s="422">
        <v>5.8669212038240048E-2</v>
      </c>
      <c r="DF125" s="422">
        <v>5.8669212038240035E-2</v>
      </c>
      <c r="DG125" s="422">
        <v>5.8669212038240007E-2</v>
      </c>
      <c r="DH125" s="422">
        <v>5.8669212038240028E-2</v>
      </c>
      <c r="DI125" s="422">
        <v>5.8669212038240028E-2</v>
      </c>
      <c r="DJ125" s="422">
        <v>5.8669217820409243E-2</v>
      </c>
      <c r="DK125" s="422">
        <v>5.8669217820409444E-2</v>
      </c>
      <c r="DL125" s="422">
        <v>5.8669212038240194E-2</v>
      </c>
      <c r="DM125" s="422">
        <v>5.8669217820409458E-2</v>
      </c>
      <c r="DN125" s="422">
        <v>5.8669217820409424E-2</v>
      </c>
      <c r="DO125" s="422">
        <v>5.8669217820409417E-2</v>
      </c>
      <c r="DP125" s="422">
        <v>5.8669212038240194E-2</v>
      </c>
      <c r="DQ125" s="422">
        <v>5.8669217820409472E-2</v>
      </c>
      <c r="DR125" s="422">
        <v>5.8669217820409417E-2</v>
      </c>
      <c r="DS125" s="422">
        <v>5.8669217820409431E-2</v>
      </c>
      <c r="DT125" s="422">
        <v>5.8669212038240166E-2</v>
      </c>
      <c r="DU125" s="422">
        <v>5.8669217820409451E-2</v>
      </c>
      <c r="DV125" s="422">
        <v>5.8669217820409451E-2</v>
      </c>
      <c r="DW125" s="422">
        <v>5.8669217820409438E-2</v>
      </c>
      <c r="DX125" s="422">
        <v>5.8669217820409403E-2</v>
      </c>
      <c r="DY125" s="422">
        <v>4.8926690105660822E-2</v>
      </c>
      <c r="DZ125" s="422">
        <v>3.0777610488534838E-2</v>
      </c>
      <c r="EA125" s="422">
        <v>1.6031789682354792E-2</v>
      </c>
      <c r="EB125" s="422">
        <v>0</v>
      </c>
      <c r="EC125" s="422">
        <v>0</v>
      </c>
      <c r="ED125" s="422">
        <v>4.0082521227191331E-20</v>
      </c>
      <c r="EE125" s="422">
        <v>8.2024421362039822E-20</v>
      </c>
      <c r="EF125" s="422">
        <v>1.1250231121772194E-19</v>
      </c>
      <c r="EG125" s="422">
        <v>7.7242507134447738E-20</v>
      </c>
      <c r="EH125" s="422">
        <v>1.1696654194860666E-4</v>
      </c>
      <c r="EI125" s="423">
        <v>1.1696654194860666E-4</v>
      </c>
      <c r="EJ125" s="444"/>
      <c r="EK125" s="367"/>
      <c r="EL125" s="367"/>
      <c r="EM125" s="367"/>
      <c r="EN125" s="367"/>
      <c r="EO125" s="367"/>
      <c r="EP125" s="367"/>
      <c r="EQ125" s="367"/>
    </row>
    <row r="126" spans="1:147" x14ac:dyDescent="0.2">
      <c r="A126" s="192"/>
      <c r="B126" s="19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192"/>
      <c r="O126" s="192"/>
      <c r="P126" s="192"/>
      <c r="Q126" s="192"/>
      <c r="R126" s="192"/>
      <c r="S126" s="266"/>
      <c r="T126" s="265"/>
      <c r="U126" s="265"/>
      <c r="V126" s="265"/>
      <c r="W126" s="265"/>
      <c r="X126" s="265"/>
      <c r="Y126" s="265"/>
      <c r="Z126" s="265"/>
      <c r="AA126" s="265"/>
      <c r="AB126" s="265"/>
      <c r="AC126" s="265"/>
      <c r="AD126" s="265"/>
      <c r="AE126" s="265"/>
      <c r="AF126" s="265"/>
      <c r="AG126" s="265"/>
      <c r="AH126" s="265"/>
      <c r="AI126" s="192"/>
      <c r="AJ126" s="192"/>
      <c r="AK126" s="369"/>
      <c r="AL126" s="367"/>
      <c r="AM126" s="420" t="s">
        <v>4</v>
      </c>
      <c r="AN126" s="421">
        <v>2.71285216513605E-10</v>
      </c>
      <c r="AO126" s="422">
        <v>2.7128521651321731E-10</v>
      </c>
      <c r="AP126" s="422">
        <v>2.7128521651320625E-10</v>
      </c>
      <c r="AQ126" s="422">
        <v>2.7128521651320625E-10</v>
      </c>
      <c r="AR126" s="422">
        <v>2.712852165170102E-10</v>
      </c>
      <c r="AS126" s="422">
        <v>2.7128521651320625E-10</v>
      </c>
      <c r="AT126" s="422">
        <v>2.7128521655558566E-10</v>
      </c>
      <c r="AU126" s="422">
        <v>2.7128521652774876E-10</v>
      </c>
      <c r="AV126" s="422">
        <v>2.7128521651332904E-10</v>
      </c>
      <c r="AW126" s="422">
        <v>2.7128521651325702E-10</v>
      </c>
      <c r="AX126" s="422">
        <v>2.7128521654325746E-10</v>
      </c>
      <c r="AY126" s="422">
        <v>2.7128521651337846E-10</v>
      </c>
      <c r="AZ126" s="422">
        <v>2.7128521651322977E-10</v>
      </c>
      <c r="BA126" s="422">
        <v>2.7128521651329057E-10</v>
      </c>
      <c r="BB126" s="422">
        <v>2.7128521651461375E-10</v>
      </c>
      <c r="BC126" s="422">
        <v>2.7128521652363095E-10</v>
      </c>
      <c r="BD126" s="422">
        <v>2.7128521651346681E-10</v>
      </c>
      <c r="BE126" s="422">
        <v>2.7128521651320625E-10</v>
      </c>
      <c r="BF126" s="422">
        <v>2.712852165133494E-10</v>
      </c>
      <c r="BG126" s="422">
        <v>2.7128521651345973E-10</v>
      </c>
      <c r="BH126" s="422">
        <v>2.7128521651320625E-10</v>
      </c>
      <c r="BI126" s="422">
        <v>2.7128521651395164E-10</v>
      </c>
      <c r="BJ126" s="422">
        <v>2.7128521651320625E-10</v>
      </c>
      <c r="BK126" s="422">
        <v>2.7128521651337412E-10</v>
      </c>
      <c r="BL126" s="422">
        <v>2.7128521651481408E-10</v>
      </c>
      <c r="BM126" s="422">
        <v>2.7128521651461344E-10</v>
      </c>
      <c r="BN126" s="422">
        <v>2.7128521651320625E-10</v>
      </c>
      <c r="BO126" s="422">
        <v>2.7128521651345089E-10</v>
      </c>
      <c r="BP126" s="422">
        <v>2.7128521651351737E-10</v>
      </c>
      <c r="BQ126" s="422">
        <v>2.7128521651320625E-10</v>
      </c>
      <c r="BR126" s="422">
        <v>2.7128521651329564E-10</v>
      </c>
      <c r="BS126" s="422">
        <v>2.7128521651335023E-10</v>
      </c>
      <c r="BT126" s="422">
        <v>2.7128521651326695E-10</v>
      </c>
      <c r="BU126" s="422">
        <v>2.7128521651334682E-10</v>
      </c>
      <c r="BV126" s="422">
        <v>2.7128521651336254E-10</v>
      </c>
      <c r="BW126" s="422">
        <v>2.7128521651364192E-10</v>
      </c>
      <c r="BX126" s="422">
        <v>2.7128521651574456E-10</v>
      </c>
      <c r="BY126" s="422">
        <v>2.7128521659894973E-10</v>
      </c>
      <c r="BZ126" s="422">
        <v>2.7128521651349669E-10</v>
      </c>
      <c r="CA126" s="422">
        <v>2.7128521651347932E-10</v>
      </c>
      <c r="CB126" s="422">
        <v>2.7128521651340607E-10</v>
      </c>
      <c r="CC126" s="422">
        <v>2.7128521651326927E-10</v>
      </c>
      <c r="CD126" s="422">
        <v>2.7128521651321178E-10</v>
      </c>
      <c r="CE126" s="422">
        <v>2.7128521651387327E-10</v>
      </c>
      <c r="CF126" s="422">
        <v>2.7128521651321985E-10</v>
      </c>
      <c r="CG126" s="422">
        <v>2.7128521651329957E-10</v>
      </c>
      <c r="CH126" s="422">
        <v>1.0602882787000221E-2</v>
      </c>
      <c r="CI126" s="422">
        <v>2.6436900686110206E-2</v>
      </c>
      <c r="CJ126" s="422">
        <v>4.2086386863488631E-2</v>
      </c>
      <c r="CK126" s="422">
        <v>5.4221465844244796E-2</v>
      </c>
      <c r="CL126" s="422">
        <v>5.5800000000000002E-2</v>
      </c>
      <c r="CM126" s="422">
        <v>5.5800000000000002E-2</v>
      </c>
      <c r="CN126" s="422">
        <v>5.5800000000000002E-2</v>
      </c>
      <c r="CO126" s="422">
        <v>5.5799999999999975E-2</v>
      </c>
      <c r="CP126" s="422">
        <v>5.5800000000000058E-2</v>
      </c>
      <c r="CQ126" s="422">
        <v>5.5799999999999988E-2</v>
      </c>
      <c r="CR126" s="422">
        <v>5.5800000000000002E-2</v>
      </c>
      <c r="CS126" s="422">
        <v>5.5800000000000016E-2</v>
      </c>
      <c r="CT126" s="422">
        <v>5.5800000000000002E-2</v>
      </c>
      <c r="CU126" s="422">
        <v>5.5800000000000002E-2</v>
      </c>
      <c r="CV126" s="422">
        <v>5.5800000000000002E-2</v>
      </c>
      <c r="CW126" s="422">
        <v>5.5800000000000002E-2</v>
      </c>
      <c r="CX126" s="422">
        <v>5.5800000000000002E-2</v>
      </c>
      <c r="CY126" s="422">
        <v>5.5800000000000002E-2</v>
      </c>
      <c r="CZ126" s="422">
        <v>5.5800000000000002E-2</v>
      </c>
      <c r="DA126" s="422">
        <v>5.5800000000000002E-2</v>
      </c>
      <c r="DB126" s="422">
        <v>5.5800000000000002E-2</v>
      </c>
      <c r="DC126" s="422">
        <v>5.5800000000000002E-2</v>
      </c>
      <c r="DD126" s="422">
        <v>5.5800000000000002E-2</v>
      </c>
      <c r="DE126" s="422">
        <v>5.5800000000000002E-2</v>
      </c>
      <c r="DF126" s="422">
        <v>5.5800000000000002E-2</v>
      </c>
      <c r="DG126" s="422">
        <v>5.5800000000000002E-2</v>
      </c>
      <c r="DH126" s="422">
        <v>5.5800000000000002E-2</v>
      </c>
      <c r="DI126" s="422">
        <v>5.5800000000000002E-2</v>
      </c>
      <c r="DJ126" s="422">
        <v>5.5800000000000016E-2</v>
      </c>
      <c r="DK126" s="422">
        <v>5.5800000000000002E-2</v>
      </c>
      <c r="DL126" s="422">
        <v>5.5799999999999864E-2</v>
      </c>
      <c r="DM126" s="422">
        <v>5.5800000000000002E-2</v>
      </c>
      <c r="DN126" s="422">
        <v>5.5800000000000002E-2</v>
      </c>
      <c r="DO126" s="422">
        <v>5.5800000000000002E-2</v>
      </c>
      <c r="DP126" s="422">
        <v>5.5799999999999982E-2</v>
      </c>
      <c r="DQ126" s="422">
        <v>5.5800000000000002E-2</v>
      </c>
      <c r="DR126" s="422">
        <v>5.5800000000000002E-2</v>
      </c>
      <c r="DS126" s="422">
        <v>5.5800000000000002E-2</v>
      </c>
      <c r="DT126" s="422">
        <v>5.5799999999999905E-2</v>
      </c>
      <c r="DU126" s="422">
        <v>5.5800000000000002E-2</v>
      </c>
      <c r="DV126" s="422">
        <v>5.5800000000000002E-2</v>
      </c>
      <c r="DW126" s="422">
        <v>5.5800000000000002E-2</v>
      </c>
      <c r="DX126" s="422">
        <v>5.5800000000000009E-2</v>
      </c>
      <c r="DY126" s="422">
        <v>5.5800000000000002E-2</v>
      </c>
      <c r="DZ126" s="422">
        <v>5.5799999999999912E-2</v>
      </c>
      <c r="EA126" s="422">
        <v>5.5799999999999982E-2</v>
      </c>
      <c r="EB126" s="422">
        <v>5.5800000000000252E-2</v>
      </c>
      <c r="EC126" s="422">
        <v>5.5800000000000002E-2</v>
      </c>
      <c r="ED126" s="422">
        <v>5.5800000000000002E-2</v>
      </c>
      <c r="EE126" s="422">
        <v>5.5800000000000002E-2</v>
      </c>
      <c r="EF126" s="422">
        <v>5.5800000000000002E-2</v>
      </c>
      <c r="EG126" s="422">
        <v>5.5800000000000002E-2</v>
      </c>
      <c r="EH126" s="422">
        <v>3.7002756841939453E-2</v>
      </c>
      <c r="EI126" s="423">
        <v>3.7002756841939453E-2</v>
      </c>
      <c r="EJ126" s="444"/>
      <c r="EK126" s="367"/>
      <c r="EL126" s="367"/>
      <c r="EM126" s="367"/>
      <c r="EN126" s="367"/>
      <c r="EO126" s="367"/>
      <c r="EP126" s="367"/>
      <c r="EQ126" s="367"/>
    </row>
    <row r="127" spans="1:147" x14ac:dyDescent="0.2">
      <c r="A127" s="192"/>
      <c r="B127" s="19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192"/>
      <c r="O127" s="192"/>
      <c r="P127" s="192"/>
      <c r="Q127" s="192"/>
      <c r="R127" s="192"/>
      <c r="S127" s="266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65"/>
      <c r="AF127" s="265"/>
      <c r="AG127" s="265"/>
      <c r="AH127" s="265"/>
      <c r="AI127" s="192"/>
      <c r="AJ127" s="192"/>
      <c r="AK127" s="369"/>
      <c r="AL127" s="367"/>
      <c r="AM127" s="420" t="s">
        <v>5</v>
      </c>
      <c r="AN127" s="421">
        <v>1.7701040633255616E-10</v>
      </c>
      <c r="AO127" s="422">
        <v>1.7701040633255616E-10</v>
      </c>
      <c r="AP127" s="422">
        <v>1.7701040633284128E-10</v>
      </c>
      <c r="AQ127" s="422">
        <v>1.7701040633255616E-10</v>
      </c>
      <c r="AR127" s="422">
        <v>1.770104063332019E-10</v>
      </c>
      <c r="AS127" s="422">
        <v>1.7701040633255616E-10</v>
      </c>
      <c r="AT127" s="422">
        <v>1.7701040633255618E-10</v>
      </c>
      <c r="AU127" s="422">
        <v>1.7701040633496886E-10</v>
      </c>
      <c r="AV127" s="422">
        <v>1.7701040633263833E-10</v>
      </c>
      <c r="AW127" s="422">
        <v>1.7701040633357556E-10</v>
      </c>
      <c r="AX127" s="422">
        <v>1.7701040633255624E-10</v>
      </c>
      <c r="AY127" s="422">
        <v>1.7701040633257748E-10</v>
      </c>
      <c r="AZ127" s="422">
        <v>1.7701040633256531E-10</v>
      </c>
      <c r="BA127" s="422">
        <v>1.7701040633263174E-10</v>
      </c>
      <c r="BB127" s="422">
        <v>1.77010406332708E-10</v>
      </c>
      <c r="BC127" s="422">
        <v>1.7701040633255673E-10</v>
      </c>
      <c r="BD127" s="422">
        <v>1.7701040633283784E-10</v>
      </c>
      <c r="BE127" s="422">
        <v>1.7701040633255616E-10</v>
      </c>
      <c r="BF127" s="422">
        <v>1.7701040633255616E-10</v>
      </c>
      <c r="BG127" s="422">
        <v>1.7701040633265935E-10</v>
      </c>
      <c r="BH127" s="422">
        <v>1.7701040633255616E-10</v>
      </c>
      <c r="BI127" s="422">
        <v>1.7701040633334733E-10</v>
      </c>
      <c r="BJ127" s="422">
        <v>1.7701040633255616E-10</v>
      </c>
      <c r="BK127" s="422">
        <v>1.7701040633255616E-10</v>
      </c>
      <c r="BL127" s="422">
        <v>1.7701040633255616E-10</v>
      </c>
      <c r="BM127" s="422">
        <v>1.770104063373939E-10</v>
      </c>
      <c r="BN127" s="422">
        <v>1.7701040633255616E-10</v>
      </c>
      <c r="BO127" s="422">
        <v>1.7701040633255616E-10</v>
      </c>
      <c r="BP127" s="422">
        <v>1.7701040633276228E-10</v>
      </c>
      <c r="BQ127" s="422">
        <v>1.7701040633255616E-10</v>
      </c>
      <c r="BR127" s="422">
        <v>1.7701040633257857E-10</v>
      </c>
      <c r="BS127" s="422">
        <v>1.7701040633399687E-10</v>
      </c>
      <c r="BT127" s="422">
        <v>1.7701040633311647E-10</v>
      </c>
      <c r="BU127" s="422">
        <v>1.7701040633272333E-10</v>
      </c>
      <c r="BV127" s="422">
        <v>1.7701040633255616E-10</v>
      </c>
      <c r="BW127" s="422">
        <v>1.7701040633271188E-10</v>
      </c>
      <c r="BX127" s="422">
        <v>1.7701040633309261E-10</v>
      </c>
      <c r="BY127" s="422">
        <v>1.7701040637361702E-10</v>
      </c>
      <c r="BZ127" s="422">
        <v>1.7701040633277849E-10</v>
      </c>
      <c r="CA127" s="422">
        <v>1.7701040633256611E-10</v>
      </c>
      <c r="CB127" s="422">
        <v>1.7701040633258397E-10</v>
      </c>
      <c r="CC127" s="422">
        <v>1.7701040633266966E-10</v>
      </c>
      <c r="CD127" s="422">
        <v>1.770104063326091E-10</v>
      </c>
      <c r="CE127" s="422">
        <v>1.7701040633255616E-10</v>
      </c>
      <c r="CF127" s="422">
        <v>1.7701040633255616E-10</v>
      </c>
      <c r="CG127" s="422">
        <v>1.7701040633256789E-10</v>
      </c>
      <c r="CH127" s="422">
        <v>1.7701040648168473E-10</v>
      </c>
      <c r="CI127" s="422">
        <v>1.7701040646793629E-10</v>
      </c>
      <c r="CJ127" s="422">
        <v>1.7701040634273831E-10</v>
      </c>
      <c r="CK127" s="422">
        <v>1.7701040633280255E-10</v>
      </c>
      <c r="CL127" s="422">
        <v>1.7701040643826534E-10</v>
      </c>
      <c r="CM127" s="422">
        <v>1.7701040633278056E-10</v>
      </c>
      <c r="CN127" s="422">
        <v>1.7701040633441956E-10</v>
      </c>
      <c r="CO127" s="422">
        <v>1.770104264756999E-10</v>
      </c>
      <c r="CP127" s="422">
        <v>1.7701041515017506E-10</v>
      </c>
      <c r="CQ127" s="422">
        <v>1.7701041471597831E-10</v>
      </c>
      <c r="CR127" s="422">
        <v>1.7701040633417549E-10</v>
      </c>
      <c r="CS127" s="422">
        <v>1.7701047657623238E-10</v>
      </c>
      <c r="CT127" s="422">
        <v>1.7701040633416875E-10</v>
      </c>
      <c r="CU127" s="422">
        <v>1.770104063326776E-10</v>
      </c>
      <c r="CV127" s="422">
        <v>1.7701040633353934E-10</v>
      </c>
      <c r="CW127" s="422">
        <v>1.770104063326023E-10</v>
      </c>
      <c r="CX127" s="422">
        <v>1.77010406332629E-10</v>
      </c>
      <c r="CY127" s="422">
        <v>1.7701040659229472E-10</v>
      </c>
      <c r="CZ127" s="422">
        <v>1.7701040633281088E-10</v>
      </c>
      <c r="DA127" s="422">
        <v>1.7701040633803204E-10</v>
      </c>
      <c r="DB127" s="422">
        <v>1.7701040633309352E-10</v>
      </c>
      <c r="DC127" s="422">
        <v>1.7701040633390976E-10</v>
      </c>
      <c r="DD127" s="422">
        <v>1.7701040633267786E-10</v>
      </c>
      <c r="DE127" s="422">
        <v>1.7701040633255616E-10</v>
      </c>
      <c r="DF127" s="422">
        <v>1.7701040633263216E-10</v>
      </c>
      <c r="DG127" s="422">
        <v>1.7701040633302871E-10</v>
      </c>
      <c r="DH127" s="422">
        <v>1.7701040634623685E-10</v>
      </c>
      <c r="DI127" s="422">
        <v>1.7701040633264324E-10</v>
      </c>
      <c r="DJ127" s="422">
        <v>1.7701041888901067E-10</v>
      </c>
      <c r="DK127" s="422">
        <v>1.770104064310993E-10</v>
      </c>
      <c r="DL127" s="422">
        <v>1.7701045785304478E-10</v>
      </c>
      <c r="DM127" s="422">
        <v>1.7701040633668661E-10</v>
      </c>
      <c r="DN127" s="422">
        <v>1.7701040633259333E-10</v>
      </c>
      <c r="DO127" s="422">
        <v>1.7701040642175528E-10</v>
      </c>
      <c r="DP127" s="422">
        <v>1.7701040633255616E-10</v>
      </c>
      <c r="DQ127" s="422">
        <v>1.7701040697315323E-10</v>
      </c>
      <c r="DR127" s="422">
        <v>1.7701040633255616E-10</v>
      </c>
      <c r="DS127" s="422">
        <v>1.7701040633318538E-10</v>
      </c>
      <c r="DT127" s="422">
        <v>1.7701042239852946E-10</v>
      </c>
      <c r="DU127" s="422">
        <v>1.7701040633255616E-10</v>
      </c>
      <c r="DV127" s="422">
        <v>1.7701040633255616E-10</v>
      </c>
      <c r="DW127" s="422">
        <v>1.7701040634205912E-10</v>
      </c>
      <c r="DX127" s="422">
        <v>1.7701040722781239E-10</v>
      </c>
      <c r="DY127" s="422">
        <v>1.7701040633687347E-10</v>
      </c>
      <c r="DZ127" s="422">
        <v>1.7701047235617948E-10</v>
      </c>
      <c r="EA127" s="422">
        <v>1.7701046743737685E-10</v>
      </c>
      <c r="EB127" s="422">
        <v>1.7701040633255616E-10</v>
      </c>
      <c r="EC127" s="422">
        <v>1.7701040633255616E-10</v>
      </c>
      <c r="ED127" s="422">
        <v>1.7701040633255616E-10</v>
      </c>
      <c r="EE127" s="422">
        <v>1.7701040644980273E-10</v>
      </c>
      <c r="EF127" s="422">
        <v>1.7701040649336813E-10</v>
      </c>
      <c r="EG127" s="422">
        <v>1.7701040636925421E-10</v>
      </c>
      <c r="EH127" s="422">
        <v>2.9779514293586997E-5</v>
      </c>
      <c r="EI127" s="423">
        <v>2.9779514293586997E-5</v>
      </c>
      <c r="EJ127" s="444"/>
      <c r="EK127" s="367"/>
      <c r="EL127" s="367"/>
      <c r="EM127" s="367"/>
      <c r="EN127" s="367"/>
      <c r="EO127" s="367"/>
      <c r="EP127" s="367"/>
      <c r="EQ127" s="367"/>
    </row>
    <row r="128" spans="1:147" x14ac:dyDescent="0.2">
      <c r="A128" s="192"/>
      <c r="B128" s="19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192"/>
      <c r="O128" s="192"/>
      <c r="P128" s="192"/>
      <c r="Q128" s="192"/>
      <c r="R128" s="192"/>
      <c r="S128" s="266"/>
      <c r="T128" s="265"/>
      <c r="U128" s="265"/>
      <c r="V128" s="265"/>
      <c r="W128" s="265"/>
      <c r="X128" s="265"/>
      <c r="Y128" s="265"/>
      <c r="Z128" s="265"/>
      <c r="AA128" s="265"/>
      <c r="AB128" s="265"/>
      <c r="AC128" s="265"/>
      <c r="AD128" s="265"/>
      <c r="AE128" s="265"/>
      <c r="AF128" s="265"/>
      <c r="AG128" s="265"/>
      <c r="AH128" s="265"/>
      <c r="AI128" s="192"/>
      <c r="AJ128" s="192"/>
      <c r="AK128" s="369"/>
      <c r="AL128" s="367"/>
      <c r="AM128" s="420" t="s">
        <v>6</v>
      </c>
      <c r="AN128" s="421">
        <v>0</v>
      </c>
      <c r="AO128" s="422">
        <v>1.8940368014297162E-32</v>
      </c>
      <c r="AP128" s="422">
        <v>1.6484294618966756E-23</v>
      </c>
      <c r="AQ128" s="422">
        <v>5.8268634940738283E-23</v>
      </c>
      <c r="AR128" s="422">
        <v>3.3915392920490472E-24</v>
      </c>
      <c r="AS128" s="422">
        <v>7.1001090609878882E-38</v>
      </c>
      <c r="AT128" s="422">
        <v>4.9400373565180559E-24</v>
      </c>
      <c r="AU128" s="422">
        <v>1.9772844951102866E-20</v>
      </c>
      <c r="AV128" s="422">
        <v>8.1361947527501984E-23</v>
      </c>
      <c r="AW128" s="422">
        <v>2.6107670160971839E-22</v>
      </c>
      <c r="AX128" s="422">
        <v>0</v>
      </c>
      <c r="AY128" s="422">
        <v>2.0137889031309496E-22</v>
      </c>
      <c r="AZ128" s="422">
        <v>1.0116542069739521E-23</v>
      </c>
      <c r="BA128" s="422">
        <v>1.5228816331528998E-22</v>
      </c>
      <c r="BB128" s="422">
        <v>1.0932057746088647E-21</v>
      </c>
      <c r="BC128" s="422">
        <v>2.99559251218531E-20</v>
      </c>
      <c r="BD128" s="422">
        <v>1.5137840331644507E-22</v>
      </c>
      <c r="BE128" s="422">
        <v>0</v>
      </c>
      <c r="BF128" s="422">
        <v>0</v>
      </c>
      <c r="BG128" s="422">
        <v>3.2640755721582295E-23</v>
      </c>
      <c r="BH128" s="422">
        <v>0</v>
      </c>
      <c r="BI128" s="422">
        <v>0</v>
      </c>
      <c r="BJ128" s="422">
        <v>0</v>
      </c>
      <c r="BK128" s="422">
        <v>1.318099923459287E-22</v>
      </c>
      <c r="BL128" s="422">
        <v>2.7620282457572301E-22</v>
      </c>
      <c r="BM128" s="422">
        <v>1.6163047323806453E-38</v>
      </c>
      <c r="BN128" s="422">
        <v>0</v>
      </c>
      <c r="BO128" s="422">
        <v>9.3855754943407897E-24</v>
      </c>
      <c r="BP128" s="422">
        <v>1.0673638512360683E-22</v>
      </c>
      <c r="BQ128" s="422">
        <v>0</v>
      </c>
      <c r="BR128" s="422">
        <v>2.3474880283040464E-23</v>
      </c>
      <c r="BS128" s="422">
        <v>5.0689355156608326E-22</v>
      </c>
      <c r="BT128" s="422">
        <v>5.5266792426146045E-22</v>
      </c>
      <c r="BU128" s="422">
        <v>1.9618825360687098E-22</v>
      </c>
      <c r="BV128" s="422">
        <v>3.3964879265541143E-23</v>
      </c>
      <c r="BW128" s="422">
        <v>1.9399760951143485E-22</v>
      </c>
      <c r="BX128" s="422">
        <v>0</v>
      </c>
      <c r="BY128" s="422">
        <v>3.2132629779007702E-20</v>
      </c>
      <c r="BZ128" s="422">
        <v>1.0197912255629223E-22</v>
      </c>
      <c r="CA128" s="422">
        <v>1.1909133337270895E-23</v>
      </c>
      <c r="CB128" s="422">
        <v>1.9546826938973775E-22</v>
      </c>
      <c r="CC128" s="422">
        <v>2.0389797715139523E-23</v>
      </c>
      <c r="CD128" s="422">
        <v>2.7342003231248361E-23</v>
      </c>
      <c r="CE128" s="422">
        <v>1.6951911178604057E-23</v>
      </c>
      <c r="CF128" s="422">
        <v>8.2469769057495038E-23</v>
      </c>
      <c r="CG128" s="422">
        <v>1.8876151072806094E-25</v>
      </c>
      <c r="CH128" s="422">
        <v>1.3544335320741142E-20</v>
      </c>
      <c r="CI128" s="422">
        <v>0</v>
      </c>
      <c r="CJ128" s="422">
        <v>7.3372205547995533E-22</v>
      </c>
      <c r="CK128" s="422">
        <v>3.4854526642988358E-24</v>
      </c>
      <c r="CL128" s="422">
        <v>2.5429097483057809E-20</v>
      </c>
      <c r="CM128" s="422">
        <v>4.0423614209215363E-23</v>
      </c>
      <c r="CN128" s="422">
        <v>2.0926435980004625E-22</v>
      </c>
      <c r="CO128" s="422">
        <v>1.8615399969886896E-17</v>
      </c>
      <c r="CP128" s="422">
        <v>4.295413511260317E-19</v>
      </c>
      <c r="CQ128" s="422">
        <v>4.2030521761737552E-18</v>
      </c>
      <c r="CR128" s="422">
        <v>4.4385743116456171E-22</v>
      </c>
      <c r="CS128" s="422">
        <v>1.5208734271097122E-17</v>
      </c>
      <c r="CT128" s="422">
        <v>6.8077116609174725E-23</v>
      </c>
      <c r="CU128" s="422">
        <v>6.4426046983049293E-23</v>
      </c>
      <c r="CV128" s="422">
        <v>5.2014353773623037E-22</v>
      </c>
      <c r="CW128" s="422">
        <v>0</v>
      </c>
      <c r="CX128" s="422">
        <v>0</v>
      </c>
      <c r="CY128" s="422">
        <v>1.0184430989941194E-19</v>
      </c>
      <c r="CZ128" s="422">
        <v>1.7183067165389381E-22</v>
      </c>
      <c r="DA128" s="422">
        <v>2.8962267702787133E-21</v>
      </c>
      <c r="DB128" s="422">
        <v>2.842101882221403E-22</v>
      </c>
      <c r="DC128" s="422">
        <v>1.4522302083858963E-24</v>
      </c>
      <c r="DD128" s="422">
        <v>2.3013797345227854E-22</v>
      </c>
      <c r="DE128" s="422">
        <v>6.6658794845898091E-21</v>
      </c>
      <c r="DF128" s="422">
        <v>4.0277515598640409E-23</v>
      </c>
      <c r="DG128" s="422">
        <v>7.0469275271009205E-22</v>
      </c>
      <c r="DH128" s="422">
        <v>7.2358064990565811E-21</v>
      </c>
      <c r="DI128" s="422">
        <v>4.6266816262444065E-23</v>
      </c>
      <c r="DJ128" s="422">
        <v>3.0814879110195774E-33</v>
      </c>
      <c r="DK128" s="422">
        <v>0</v>
      </c>
      <c r="DL128" s="422">
        <v>0</v>
      </c>
      <c r="DM128" s="422">
        <v>1.6791437481921368E-23</v>
      </c>
      <c r="DN128" s="422">
        <v>1.8051407010343645E-23</v>
      </c>
      <c r="DO128" s="422">
        <v>1.6830713000468139E-19</v>
      </c>
      <c r="DP128" s="422">
        <v>6.7122489090351998E-18</v>
      </c>
      <c r="DQ128" s="422">
        <v>2.1215663227110216E-19</v>
      </c>
      <c r="DR128" s="422">
        <v>2.4026021262527459E-19</v>
      </c>
      <c r="DS128" s="422">
        <v>0</v>
      </c>
      <c r="DT128" s="422">
        <v>3.8788747195678693E-18</v>
      </c>
      <c r="DU128" s="422">
        <v>1.5086189660412413E-20</v>
      </c>
      <c r="DV128" s="422">
        <v>0</v>
      </c>
      <c r="DW128" s="422">
        <v>6.098711170090208E-20</v>
      </c>
      <c r="DX128" s="422">
        <v>4.163155111026551E-19</v>
      </c>
      <c r="DY128" s="422">
        <v>1.1112062992921571E-23</v>
      </c>
      <c r="DZ128" s="422">
        <v>-1.535447648162724E-33</v>
      </c>
      <c r="EA128" s="422">
        <v>1.3103615780266215E-19</v>
      </c>
      <c r="EB128" s="422">
        <v>8.5577135544161479E-17</v>
      </c>
      <c r="EC128" s="422">
        <v>8.6471374131609517E-17</v>
      </c>
      <c r="ED128" s="422">
        <v>3.9528394461777191E-20</v>
      </c>
      <c r="EE128" s="422">
        <v>9.2525753120002764E-21</v>
      </c>
      <c r="EF128" s="422">
        <v>1.2690533862629409E-20</v>
      </c>
      <c r="EG128" s="422">
        <v>0</v>
      </c>
      <c r="EH128" s="422">
        <v>3.3772104654908052E-5</v>
      </c>
      <c r="EI128" s="423">
        <v>3.3772104654908052E-5</v>
      </c>
      <c r="EJ128" s="444"/>
      <c r="EK128" s="367"/>
      <c r="EL128" s="367"/>
      <c r="EM128" s="367"/>
      <c r="EN128" s="367"/>
      <c r="EO128" s="367"/>
      <c r="EP128" s="367"/>
      <c r="EQ128" s="367"/>
    </row>
    <row r="129" spans="1:147" x14ac:dyDescent="0.2">
      <c r="A129" s="192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  <c r="R129" s="192"/>
      <c r="S129" s="266"/>
      <c r="T129" s="265"/>
      <c r="U129" s="265"/>
      <c r="V129" s="265"/>
      <c r="W129" s="265"/>
      <c r="X129" s="265"/>
      <c r="Y129" s="265"/>
      <c r="Z129" s="265"/>
      <c r="AA129" s="265"/>
      <c r="AB129" s="265"/>
      <c r="AC129" s="265"/>
      <c r="AD129" s="265"/>
      <c r="AE129" s="265"/>
      <c r="AF129" s="265"/>
      <c r="AG129" s="265"/>
      <c r="AH129" s="265"/>
      <c r="AI129" s="192"/>
      <c r="AJ129" s="192"/>
      <c r="AK129" s="369"/>
      <c r="AL129" s="367"/>
      <c r="AM129" s="420" t="s">
        <v>7</v>
      </c>
      <c r="AN129" s="421">
        <v>0.12565999764052385</v>
      </c>
      <c r="AO129" s="422">
        <v>0.12565999764052363</v>
      </c>
      <c r="AP129" s="422">
        <v>0.12566000001865776</v>
      </c>
      <c r="AQ129" s="422">
        <v>0.12566000120122639</v>
      </c>
      <c r="AR129" s="422">
        <v>0.12565999755425789</v>
      </c>
      <c r="AS129" s="422">
        <v>0.12566000117786144</v>
      </c>
      <c r="AT129" s="422">
        <v>0.12565999845548342</v>
      </c>
      <c r="AU129" s="422">
        <v>0.12565999809296285</v>
      </c>
      <c r="AV129" s="422">
        <v>0.1256600011778613</v>
      </c>
      <c r="AW129" s="422">
        <v>0.12566000329523222</v>
      </c>
      <c r="AX129" s="422">
        <v>0.1256600010026668</v>
      </c>
      <c r="AY129" s="422">
        <v>0.12565999971196565</v>
      </c>
      <c r="AZ129" s="422">
        <v>0.12565999971196537</v>
      </c>
      <c r="BA129" s="422">
        <v>0.12565999971196531</v>
      </c>
      <c r="BB129" s="422">
        <v>0.12565999971196554</v>
      </c>
      <c r="BC129" s="422">
        <v>0.12565999971196534</v>
      </c>
      <c r="BD129" s="422">
        <v>0.1256599997119654</v>
      </c>
      <c r="BE129" s="422">
        <v>0.12565999845548376</v>
      </c>
      <c r="BF129" s="422">
        <v>0.12565999971196509</v>
      </c>
      <c r="BG129" s="422">
        <v>0.12565999971196543</v>
      </c>
      <c r="BH129" s="422">
        <v>0.12565999971193442</v>
      </c>
      <c r="BI129" s="422">
        <v>0.12565999845406012</v>
      </c>
      <c r="BJ129" s="422">
        <v>0.12549578517431087</v>
      </c>
      <c r="BK129" s="422">
        <v>0.12434632051490757</v>
      </c>
      <c r="BL129" s="422">
        <v>0.12366406047898991</v>
      </c>
      <c r="BM129" s="422">
        <v>0.1230735370922299</v>
      </c>
      <c r="BN129" s="422">
        <v>0.12246253562225948</v>
      </c>
      <c r="BO129" s="422">
        <v>0.12219623292762907</v>
      </c>
      <c r="BP129" s="422">
        <v>0.11998567783313151</v>
      </c>
      <c r="BQ129" s="422">
        <v>0.1190258548717915</v>
      </c>
      <c r="BR129" s="422">
        <v>0.11755758896741787</v>
      </c>
      <c r="BS129" s="422">
        <v>0.11797901544021118</v>
      </c>
      <c r="BT129" s="422">
        <v>0.11617498733235058</v>
      </c>
      <c r="BU129" s="422">
        <v>0.11441907205126847</v>
      </c>
      <c r="BV129" s="422">
        <v>0.10717291399895522</v>
      </c>
      <c r="BW129" s="422">
        <v>9.9639780102486683E-2</v>
      </c>
      <c r="BX129" s="422">
        <v>9.2909778795250059E-2</v>
      </c>
      <c r="BY129" s="422">
        <v>8.7346228223985425E-2</v>
      </c>
      <c r="BZ129" s="422">
        <v>7.9246066023670986E-2</v>
      </c>
      <c r="CA129" s="422">
        <v>7.7749999820903984E-2</v>
      </c>
      <c r="CB129" s="422">
        <v>7.7749999820903984E-2</v>
      </c>
      <c r="CC129" s="422">
        <v>7.7749999820903984E-2</v>
      </c>
      <c r="CD129" s="422">
        <v>7.7749999820903984E-2</v>
      </c>
      <c r="CE129" s="422">
        <v>7.7749999820903984E-2</v>
      </c>
      <c r="CF129" s="422">
        <v>7.7749999820903984E-2</v>
      </c>
      <c r="CG129" s="422">
        <v>7.7749999820903984E-2</v>
      </c>
      <c r="CH129" s="422">
        <v>7.7749999820903984E-2</v>
      </c>
      <c r="CI129" s="422">
        <v>7.7749999820903984E-2</v>
      </c>
      <c r="CJ129" s="422">
        <v>7.7749999820903984E-2</v>
      </c>
      <c r="CK129" s="422">
        <v>7.7749999820903984E-2</v>
      </c>
      <c r="CL129" s="422">
        <v>7.7749999820903984E-2</v>
      </c>
      <c r="CM129" s="422">
        <v>7.7749999820903984E-2</v>
      </c>
      <c r="CN129" s="422">
        <v>7.7749999820903984E-2</v>
      </c>
      <c r="CO129" s="422">
        <v>7.7749999820903942E-2</v>
      </c>
      <c r="CP129" s="422">
        <v>7.7749999820903928E-2</v>
      </c>
      <c r="CQ129" s="422">
        <v>7.774999982090397E-2</v>
      </c>
      <c r="CR129" s="422">
        <v>7.7749999820903984E-2</v>
      </c>
      <c r="CS129" s="422">
        <v>7.7749999820903887E-2</v>
      </c>
      <c r="CT129" s="422">
        <v>7.7749999820903984E-2</v>
      </c>
      <c r="CU129" s="422">
        <v>7.7749999820903984E-2</v>
      </c>
      <c r="CV129" s="422">
        <v>7.7749999820903984E-2</v>
      </c>
      <c r="CW129" s="422">
        <v>7.7749999820903984E-2</v>
      </c>
      <c r="CX129" s="422">
        <v>7.7749999820903984E-2</v>
      </c>
      <c r="CY129" s="422">
        <v>7.7749999820903984E-2</v>
      </c>
      <c r="CZ129" s="422">
        <v>7.7749999820903984E-2</v>
      </c>
      <c r="DA129" s="422">
        <v>7.7749999820903984E-2</v>
      </c>
      <c r="DB129" s="422">
        <v>7.7749999820903984E-2</v>
      </c>
      <c r="DC129" s="422">
        <v>7.7749999820903984E-2</v>
      </c>
      <c r="DD129" s="422">
        <v>7.7749999820903984E-2</v>
      </c>
      <c r="DE129" s="422">
        <v>7.7749999820903984E-2</v>
      </c>
      <c r="DF129" s="422">
        <v>7.7749999820903984E-2</v>
      </c>
      <c r="DG129" s="422">
        <v>7.7749999820903984E-2</v>
      </c>
      <c r="DH129" s="422">
        <v>7.7749999820903984E-2</v>
      </c>
      <c r="DI129" s="422">
        <v>7.7749999820903984E-2</v>
      </c>
      <c r="DJ129" s="422">
        <v>7.774999982090397E-2</v>
      </c>
      <c r="DK129" s="422">
        <v>7.7749999820903984E-2</v>
      </c>
      <c r="DL129" s="422">
        <v>7.774999982090397E-2</v>
      </c>
      <c r="DM129" s="422">
        <v>7.7749999820903984E-2</v>
      </c>
      <c r="DN129" s="422">
        <v>7.7749999820903984E-2</v>
      </c>
      <c r="DO129" s="422">
        <v>7.7749999820903998E-2</v>
      </c>
      <c r="DP129" s="422">
        <v>7.7749999820903984E-2</v>
      </c>
      <c r="DQ129" s="422">
        <v>7.774999982090397E-2</v>
      </c>
      <c r="DR129" s="422">
        <v>7.7749999820903984E-2</v>
      </c>
      <c r="DS129" s="422">
        <v>7.7749999820903984E-2</v>
      </c>
      <c r="DT129" s="422">
        <v>7.7749999820904095E-2</v>
      </c>
      <c r="DU129" s="422">
        <v>7.774999982090397E-2</v>
      </c>
      <c r="DV129" s="422">
        <v>7.7749999820903984E-2</v>
      </c>
      <c r="DW129" s="422">
        <v>7.7749999820903984E-2</v>
      </c>
      <c r="DX129" s="422">
        <v>7.7749999820903984E-2</v>
      </c>
      <c r="DY129" s="422">
        <v>6.8007472106155376E-2</v>
      </c>
      <c r="DZ129" s="422">
        <v>4.985839248902927E-2</v>
      </c>
      <c r="EA129" s="422">
        <v>3.5112571682848745E-2</v>
      </c>
      <c r="EB129" s="422">
        <v>1.9080782000493415E-2</v>
      </c>
      <c r="EC129" s="422">
        <v>1.9080782000493759E-2</v>
      </c>
      <c r="ED129" s="422">
        <v>1.908078200049455E-2</v>
      </c>
      <c r="EE129" s="422">
        <v>1.9080782000494532E-2</v>
      </c>
      <c r="EF129" s="422">
        <v>1.9080782000494539E-2</v>
      </c>
      <c r="EG129" s="422">
        <v>1.908078200049455E-2</v>
      </c>
      <c r="EH129" s="422">
        <v>4.4102344443460569E-5</v>
      </c>
      <c r="EI129" s="423">
        <v>4.4102344443460569E-5</v>
      </c>
      <c r="EJ129" s="444"/>
      <c r="EK129" s="367"/>
      <c r="EL129" s="367"/>
      <c r="EM129" s="367"/>
      <c r="EN129" s="367"/>
      <c r="EO129" s="367"/>
      <c r="EP129" s="367"/>
      <c r="EQ129" s="367"/>
    </row>
    <row r="130" spans="1:147" x14ac:dyDescent="0.2">
      <c r="A130" s="192"/>
      <c r="B130" s="19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192"/>
      <c r="O130" s="192"/>
      <c r="P130" s="192"/>
      <c r="Q130" s="192"/>
      <c r="R130" s="192"/>
      <c r="S130" s="266"/>
      <c r="T130" s="265"/>
      <c r="U130" s="265"/>
      <c r="V130" s="265"/>
      <c r="W130" s="265"/>
      <c r="X130" s="265"/>
      <c r="Y130" s="265"/>
      <c r="Z130" s="265"/>
      <c r="AA130" s="265"/>
      <c r="AB130" s="265"/>
      <c r="AC130" s="265"/>
      <c r="AD130" s="265"/>
      <c r="AE130" s="265"/>
      <c r="AF130" s="265"/>
      <c r="AG130" s="265"/>
      <c r="AH130" s="265"/>
      <c r="AI130" s="192"/>
      <c r="AJ130" s="192"/>
      <c r="AK130" s="369"/>
      <c r="AL130" s="367"/>
      <c r="AM130" s="420" t="s">
        <v>8</v>
      </c>
      <c r="AN130" s="421">
        <v>0</v>
      </c>
      <c r="AO130" s="422">
        <v>-6.5949783706877252E-22</v>
      </c>
      <c r="AP130" s="422">
        <v>1.6158201995462137E-23</v>
      </c>
      <c r="AQ130" s="422">
        <v>6.2933114415475296E-22</v>
      </c>
      <c r="AR130" s="422">
        <v>-2.0315737156266326E-21</v>
      </c>
      <c r="AS130" s="422">
        <v>3.4955829471463367E-23</v>
      </c>
      <c r="AT130" s="422">
        <v>2.0054802661445645E-20</v>
      </c>
      <c r="AU130" s="422">
        <v>-8.7536802759631055E-21</v>
      </c>
      <c r="AV130" s="422">
        <v>-4.7016295869084037E-24</v>
      </c>
      <c r="AW130" s="422">
        <v>1.4285456989830761E-22</v>
      </c>
      <c r="AX130" s="422">
        <v>7.121073008503623E-24</v>
      </c>
      <c r="AY130" s="422">
        <v>1.4989194168216764E-23</v>
      </c>
      <c r="AZ130" s="422">
        <v>2.9274047505902071E-22</v>
      </c>
      <c r="BA130" s="422">
        <v>1.1511297077912742E-22</v>
      </c>
      <c r="BB130" s="422">
        <v>-1.8779229386216309E-23</v>
      </c>
      <c r="BC130" s="422">
        <v>4.2843988322931277E-21</v>
      </c>
      <c r="BD130" s="422">
        <v>1.7473123264430446E-22</v>
      </c>
      <c r="BE130" s="422">
        <v>-1.4028579943628647E-22</v>
      </c>
      <c r="BF130" s="422">
        <v>1.6201279208010928E-21</v>
      </c>
      <c r="BG130" s="422">
        <v>-7.6184225388993165E-23</v>
      </c>
      <c r="BH130" s="422">
        <v>-8.2457713512192777E-23</v>
      </c>
      <c r="BI130" s="422">
        <v>-3.130363442991571E-25</v>
      </c>
      <c r="BJ130" s="422">
        <v>4.9625876973354493E-22</v>
      </c>
      <c r="BK130" s="422">
        <v>-8.8153753704295971E-24</v>
      </c>
      <c r="BL130" s="422">
        <v>1.8540311344421309E-21</v>
      </c>
      <c r="BM130" s="422">
        <v>-1.4233825969800996E-21</v>
      </c>
      <c r="BN130" s="422">
        <v>-1.3246987350986397E-21</v>
      </c>
      <c r="BO130" s="422">
        <v>2.4526086202317147E-22</v>
      </c>
      <c r="BP130" s="422">
        <v>2.3900139653075017E-23</v>
      </c>
      <c r="BQ130" s="422">
        <v>-6.7844046275156566E-22</v>
      </c>
      <c r="BR130" s="422">
        <v>1.4406547672997596E-23</v>
      </c>
      <c r="BS130" s="422">
        <v>-3.4545679864362771E-23</v>
      </c>
      <c r="BT130" s="422">
        <v>2.2647093089251738E-22</v>
      </c>
      <c r="BU130" s="422">
        <v>-1.5113974949333246E-22</v>
      </c>
      <c r="BV130" s="422">
        <v>4.0804674522975798E-24</v>
      </c>
      <c r="BW130" s="422">
        <v>1.6378026404120312E-22</v>
      </c>
      <c r="BX130" s="422">
        <v>-1.2265862826325157E-21</v>
      </c>
      <c r="BY130" s="422">
        <v>2.7313972740645744E-20</v>
      </c>
      <c r="BZ130" s="422">
        <v>-1.6632449441194465E-22</v>
      </c>
      <c r="CA130" s="422">
        <v>-1.7255486283041436E-22</v>
      </c>
      <c r="CB130" s="422">
        <v>-5.7127739518564554E-23</v>
      </c>
      <c r="CC130" s="422">
        <v>3.4333794193712002E-23</v>
      </c>
      <c r="CD130" s="422">
        <v>2.3093899965231379E-22</v>
      </c>
      <c r="CE130" s="422">
        <v>6.2286418501240977E-23</v>
      </c>
      <c r="CF130" s="422">
        <v>3.6241461184256572E-23</v>
      </c>
      <c r="CG130" s="422">
        <v>3.7057329493444272E-22</v>
      </c>
      <c r="CH130" s="422">
        <v>1.7277235964400301E-20</v>
      </c>
      <c r="CI130" s="422">
        <v>-9.9141529384615887E-20</v>
      </c>
      <c r="CJ130" s="422">
        <v>1.4725446991840123E-21</v>
      </c>
      <c r="CK130" s="422">
        <v>7.5380309261848608E-23</v>
      </c>
      <c r="CL130" s="422">
        <v>-9.7681695394202147E-20</v>
      </c>
      <c r="CM130" s="422">
        <v>-6.2112090208719073E-22</v>
      </c>
      <c r="CN130" s="422">
        <v>3.3461059997067326E-25</v>
      </c>
      <c r="CO130" s="422">
        <v>-1.1028657207069855E-17</v>
      </c>
      <c r="CP130" s="422">
        <v>-4.7029181244222909E-17</v>
      </c>
      <c r="CQ130" s="422">
        <v>-7.7082373548733422E-18</v>
      </c>
      <c r="CR130" s="422">
        <v>-6.4395200773489886E-22</v>
      </c>
      <c r="CS130" s="422">
        <v>-8.8839142980101436E-17</v>
      </c>
      <c r="CT130" s="422">
        <v>1.3222320625660788E-20</v>
      </c>
      <c r="CU130" s="422">
        <v>-7.7828015969504665E-22</v>
      </c>
      <c r="CV130" s="422">
        <v>-5.347878384161898E-21</v>
      </c>
      <c r="CW130" s="422">
        <v>1.0383604376500867E-22</v>
      </c>
      <c r="CX130" s="422">
        <v>1.6375838416666407E-22</v>
      </c>
      <c r="CY130" s="422">
        <v>-3.4465790694876713E-19</v>
      </c>
      <c r="CZ130" s="422">
        <v>-9.6913548529927906E-23</v>
      </c>
      <c r="DA130" s="422">
        <v>-3.3596943765622735E-20</v>
      </c>
      <c r="DB130" s="422">
        <v>6.240318716870904E-20</v>
      </c>
      <c r="DC130" s="422">
        <v>3.0450609860717813E-21</v>
      </c>
      <c r="DD130" s="422">
        <v>6.0437271992732199E-23</v>
      </c>
      <c r="DE130" s="422">
        <v>-6.1897945327502164E-21</v>
      </c>
      <c r="DF130" s="422">
        <v>1.8997685434288581E-20</v>
      </c>
      <c r="DG130" s="422">
        <v>4.0939045115299309E-22</v>
      </c>
      <c r="DH130" s="422">
        <v>-8.8423038581472857E-20</v>
      </c>
      <c r="DI130" s="422">
        <v>-5.4737979395914659E-22</v>
      </c>
      <c r="DJ130" s="422">
        <v>-2.4958834318858276E-17</v>
      </c>
      <c r="DK130" s="422">
        <v>-1.0279845965455656E-19</v>
      </c>
      <c r="DL130" s="422">
        <v>1.2824780978885992E-18</v>
      </c>
      <c r="DM130" s="422">
        <v>-2.2219697877747753E-21</v>
      </c>
      <c r="DN130" s="422">
        <v>2.780475054965574E-24</v>
      </c>
      <c r="DO130" s="422">
        <v>-1.2439722344426189E-19</v>
      </c>
      <c r="DP130" s="422">
        <v>-1.0430926864080087E-17</v>
      </c>
      <c r="DQ130" s="422">
        <v>-1.924619543695589E-18</v>
      </c>
      <c r="DR130" s="422">
        <v>2.4649957491835841E-19</v>
      </c>
      <c r="DS130" s="422">
        <v>4.817988606798951E-24</v>
      </c>
      <c r="DT130" s="422">
        <v>4.0474443159033206E-17</v>
      </c>
      <c r="DU130" s="422">
        <v>-2.4655568518550971E-19</v>
      </c>
      <c r="DV130" s="422">
        <v>-5.5402434015025576E-20</v>
      </c>
      <c r="DW130" s="422">
        <v>1.6395544077502437E-19</v>
      </c>
      <c r="DX130" s="422">
        <v>1.9728728992070363E-18</v>
      </c>
      <c r="DY130" s="422">
        <v>1.7136553250715899E-20</v>
      </c>
      <c r="DZ130" s="422">
        <v>-8.8947360544814905E-17</v>
      </c>
      <c r="EA130" s="422">
        <v>2.4086601384227986E-17</v>
      </c>
      <c r="EB130" s="422">
        <v>1.222886570106226E-16</v>
      </c>
      <c r="EC130" s="422">
        <v>-4.1763601821817714E-17</v>
      </c>
      <c r="ED130" s="422">
        <v>0</v>
      </c>
      <c r="EE130" s="422">
        <v>0</v>
      </c>
      <c r="EF130" s="422">
        <v>1.0842021724855044E-19</v>
      </c>
      <c r="EG130" s="422">
        <v>0</v>
      </c>
      <c r="EH130" s="422">
        <v>4.6789588711703622E-5</v>
      </c>
      <c r="EI130" s="423">
        <v>4.6789588711703622E-5</v>
      </c>
      <c r="EJ130" s="444"/>
      <c r="EK130" s="367"/>
      <c r="EL130" s="367"/>
      <c r="EM130" s="367"/>
      <c r="EN130" s="367"/>
      <c r="EO130" s="367"/>
      <c r="EP130" s="367"/>
      <c r="EQ130" s="367"/>
    </row>
    <row r="131" spans="1:147" x14ac:dyDescent="0.2">
      <c r="A131" s="192"/>
      <c r="B131" s="19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192"/>
      <c r="O131" s="192"/>
      <c r="P131" s="192"/>
      <c r="Q131" s="192"/>
      <c r="R131" s="192"/>
      <c r="S131" s="266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  <c r="AG131" s="265"/>
      <c r="AH131" s="265"/>
      <c r="AI131" s="192"/>
      <c r="AJ131" s="192"/>
      <c r="AK131" s="369"/>
      <c r="AL131" s="367"/>
      <c r="AM131" s="420" t="s">
        <v>9</v>
      </c>
      <c r="AN131" s="421">
        <v>4.9569996416732987E-2</v>
      </c>
      <c r="AO131" s="422">
        <v>4.9569996416732987E-2</v>
      </c>
      <c r="AP131" s="422">
        <v>4.9569999896194664E-2</v>
      </c>
      <c r="AQ131" s="422">
        <v>4.9569999315262035E-2</v>
      </c>
      <c r="AR131" s="422">
        <v>4.9569996416732987E-2</v>
      </c>
      <c r="AS131" s="422">
        <v>4.9569999315262035E-2</v>
      </c>
      <c r="AT131" s="422">
        <v>4.9569996416732987E-2</v>
      </c>
      <c r="AU131" s="422">
        <v>4.9569996416732987E-2</v>
      </c>
      <c r="AV131" s="422">
        <v>4.9569999315262035E-2</v>
      </c>
      <c r="AW131" s="422">
        <v>4.9569996416732987E-2</v>
      </c>
      <c r="AX131" s="422">
        <v>4.9569999315262035E-2</v>
      </c>
      <c r="AY131" s="422">
        <v>4.9570000000000003E-2</v>
      </c>
      <c r="AZ131" s="422">
        <v>4.9570000000000003E-2</v>
      </c>
      <c r="BA131" s="422">
        <v>4.9570000000000003E-2</v>
      </c>
      <c r="BB131" s="422">
        <v>4.9570000000000003E-2</v>
      </c>
      <c r="BC131" s="422">
        <v>4.9570000000000003E-2</v>
      </c>
      <c r="BD131" s="422">
        <v>4.9570000000000003E-2</v>
      </c>
      <c r="BE131" s="422">
        <v>4.9569996416732987E-2</v>
      </c>
      <c r="BF131" s="422">
        <v>4.9570000000000003E-2</v>
      </c>
      <c r="BG131" s="422">
        <v>4.9570000000000003E-2</v>
      </c>
      <c r="BH131" s="422">
        <v>4.9570000000000003E-2</v>
      </c>
      <c r="BI131" s="422">
        <v>4.9569996416732987E-2</v>
      </c>
      <c r="BJ131" s="422">
        <v>4.9052894576362298E-2</v>
      </c>
      <c r="BK131" s="422">
        <v>4.8052748892116942E-2</v>
      </c>
      <c r="BL131" s="422">
        <v>4.6987339527710295E-2</v>
      </c>
      <c r="BM131" s="422">
        <v>4.5849544528874936E-2</v>
      </c>
      <c r="BN131" s="422">
        <v>4.4765970659019015E-2</v>
      </c>
      <c r="BO131" s="422">
        <v>4.3556494866372093E-2</v>
      </c>
      <c r="BP131" s="422">
        <v>4.2377379758457921E-2</v>
      </c>
      <c r="BQ131" s="422">
        <v>4.1455930293816494E-2</v>
      </c>
      <c r="BR131" s="422">
        <v>4.0370796836513637E-2</v>
      </c>
      <c r="BS131" s="422">
        <v>3.9517218438883353E-2</v>
      </c>
      <c r="BT131" s="422">
        <v>3.8481382193145362E-2</v>
      </c>
      <c r="BU131" s="422">
        <v>3.7820788151719853E-2</v>
      </c>
      <c r="BV131" s="422">
        <v>3.7820788151719853E-2</v>
      </c>
      <c r="BW131" s="422">
        <v>3.7820788151719853E-2</v>
      </c>
      <c r="BX131" s="422">
        <v>3.7820788151719853E-2</v>
      </c>
      <c r="BY131" s="422">
        <v>3.7820788151719853E-2</v>
      </c>
      <c r="BZ131" s="422">
        <v>3.7820788151719853E-2</v>
      </c>
      <c r="CA131" s="422">
        <v>3.7820788151719853E-2</v>
      </c>
      <c r="CB131" s="422">
        <v>3.7820788151719853E-2</v>
      </c>
      <c r="CC131" s="422">
        <v>3.7820788151719853E-2</v>
      </c>
      <c r="CD131" s="422">
        <v>3.7820788151719853E-2</v>
      </c>
      <c r="CE131" s="422">
        <v>3.7820788151719853E-2</v>
      </c>
      <c r="CF131" s="422">
        <v>3.7820788151719853E-2</v>
      </c>
      <c r="CG131" s="422">
        <v>3.7820788151719853E-2</v>
      </c>
      <c r="CH131" s="422">
        <v>3.7820788151719853E-2</v>
      </c>
      <c r="CI131" s="422">
        <v>3.7820788151719853E-2</v>
      </c>
      <c r="CJ131" s="422">
        <v>3.7820788151719853E-2</v>
      </c>
      <c r="CK131" s="422">
        <v>3.7820788151719853E-2</v>
      </c>
      <c r="CL131" s="422">
        <v>3.7820788151719853E-2</v>
      </c>
      <c r="CM131" s="422">
        <v>3.7820788151719853E-2</v>
      </c>
      <c r="CN131" s="422">
        <v>3.7820788151719853E-2</v>
      </c>
      <c r="CO131" s="422">
        <v>3.7820788151719853E-2</v>
      </c>
      <c r="CP131" s="422">
        <v>3.782078815171986E-2</v>
      </c>
      <c r="CQ131" s="422">
        <v>3.782078815171986E-2</v>
      </c>
      <c r="CR131" s="422">
        <v>3.7820788151719853E-2</v>
      </c>
      <c r="CS131" s="422">
        <v>3.7820788151719867E-2</v>
      </c>
      <c r="CT131" s="422">
        <v>3.7820788151719853E-2</v>
      </c>
      <c r="CU131" s="422">
        <v>3.7820788151719853E-2</v>
      </c>
      <c r="CV131" s="422">
        <v>3.7820788151719853E-2</v>
      </c>
      <c r="CW131" s="422">
        <v>3.7820788151719853E-2</v>
      </c>
      <c r="CX131" s="422">
        <v>3.7820788151719853E-2</v>
      </c>
      <c r="CY131" s="422">
        <v>3.7820788151719853E-2</v>
      </c>
      <c r="CZ131" s="422">
        <v>3.7820788151719853E-2</v>
      </c>
      <c r="DA131" s="422">
        <v>3.7820788151719853E-2</v>
      </c>
      <c r="DB131" s="422">
        <v>3.7820788151719853E-2</v>
      </c>
      <c r="DC131" s="422">
        <v>3.7820788151719853E-2</v>
      </c>
      <c r="DD131" s="422">
        <v>3.7820788151719853E-2</v>
      </c>
      <c r="DE131" s="422">
        <v>3.7820788151719853E-2</v>
      </c>
      <c r="DF131" s="422">
        <v>3.7820788151719853E-2</v>
      </c>
      <c r="DG131" s="422">
        <v>3.7820788151719853E-2</v>
      </c>
      <c r="DH131" s="422">
        <v>3.7820788151719853E-2</v>
      </c>
      <c r="DI131" s="422">
        <v>3.7820788151719853E-2</v>
      </c>
      <c r="DJ131" s="422">
        <v>3.7820788151719853E-2</v>
      </c>
      <c r="DK131" s="422">
        <v>3.7820788151719853E-2</v>
      </c>
      <c r="DL131" s="422">
        <v>3.7820788151719853E-2</v>
      </c>
      <c r="DM131" s="422">
        <v>3.7820788151719853E-2</v>
      </c>
      <c r="DN131" s="422">
        <v>3.7820788151719853E-2</v>
      </c>
      <c r="DO131" s="422">
        <v>3.7820788151719853E-2</v>
      </c>
      <c r="DP131" s="422">
        <v>3.7820788151719853E-2</v>
      </c>
      <c r="DQ131" s="422">
        <v>3.782078815171986E-2</v>
      </c>
      <c r="DR131" s="422">
        <v>3.7820788151719853E-2</v>
      </c>
      <c r="DS131" s="422">
        <v>3.7820788151719853E-2</v>
      </c>
      <c r="DT131" s="422">
        <v>3.7820788151719853E-2</v>
      </c>
      <c r="DU131" s="422">
        <v>3.7820788151719853E-2</v>
      </c>
      <c r="DV131" s="422">
        <v>3.7820788151719853E-2</v>
      </c>
      <c r="DW131" s="422">
        <v>3.7820788151719853E-2</v>
      </c>
      <c r="DX131" s="422">
        <v>3.7820788151719853E-2</v>
      </c>
      <c r="DY131" s="422">
        <v>3.7820788151719853E-2</v>
      </c>
      <c r="DZ131" s="422">
        <v>3.7820788151719853E-2</v>
      </c>
      <c r="EA131" s="422">
        <v>3.7820788151719853E-2</v>
      </c>
      <c r="EB131" s="422">
        <v>3.7820788151719902E-2</v>
      </c>
      <c r="EC131" s="422">
        <v>3.7820788151719853E-2</v>
      </c>
      <c r="ED131" s="422">
        <v>3.7820788151719853E-2</v>
      </c>
      <c r="EE131" s="422">
        <v>3.7820788151719853E-2</v>
      </c>
      <c r="EF131" s="422">
        <v>3.7820788151719853E-2</v>
      </c>
      <c r="EG131" s="422">
        <v>3.7820788151719853E-2</v>
      </c>
      <c r="EH131" s="422">
        <v>3.7844871872194076E-2</v>
      </c>
      <c r="EI131" s="423">
        <v>3.7844871872194076E-2</v>
      </c>
      <c r="EJ131" s="444"/>
      <c r="EK131" s="367"/>
      <c r="EL131" s="367"/>
      <c r="EM131" s="367"/>
      <c r="EN131" s="367"/>
      <c r="EO131" s="367"/>
      <c r="EP131" s="367"/>
      <c r="EQ131" s="367"/>
    </row>
    <row r="132" spans="1:147" x14ac:dyDescent="0.2">
      <c r="A132" s="192"/>
      <c r="B132" s="19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192"/>
      <c r="O132" s="192"/>
      <c r="P132" s="192"/>
      <c r="Q132" s="192"/>
      <c r="R132" s="192"/>
      <c r="S132" s="266"/>
      <c r="T132" s="265"/>
      <c r="U132" s="265"/>
      <c r="V132" s="265"/>
      <c r="W132" s="265"/>
      <c r="X132" s="265"/>
      <c r="Y132" s="265"/>
      <c r="Z132" s="265"/>
      <c r="AA132" s="265"/>
      <c r="AB132" s="265"/>
      <c r="AC132" s="265"/>
      <c r="AD132" s="265"/>
      <c r="AE132" s="265"/>
      <c r="AF132" s="265"/>
      <c r="AG132" s="265"/>
      <c r="AH132" s="265"/>
      <c r="AI132" s="192"/>
      <c r="AJ132" s="192"/>
      <c r="AK132" s="369"/>
      <c r="AL132" s="367"/>
      <c r="AM132" s="420" t="s">
        <v>10</v>
      </c>
      <c r="AN132" s="421">
        <v>1.0476434817458258E-8</v>
      </c>
      <c r="AO132" s="422">
        <v>1.0476434817459305E-8</v>
      </c>
      <c r="AP132" s="422">
        <v>4.6985005809602208E-10</v>
      </c>
      <c r="AQ132" s="422">
        <v>3.0993028489926829E-9</v>
      </c>
      <c r="AR132" s="422">
        <v>1.6218802169973844E-8</v>
      </c>
      <c r="AS132" s="422">
        <v>3.0993028490021934E-9</v>
      </c>
      <c r="AT132" s="422">
        <v>1.1379053474701231E-8</v>
      </c>
      <c r="AU132" s="422">
        <v>1.6218802170130516E-8</v>
      </c>
      <c r="AV132" s="422">
        <v>3.0993028489885433E-9</v>
      </c>
      <c r="AW132" s="422">
        <v>1.6218802170027201E-8</v>
      </c>
      <c r="AX132" s="422">
        <v>3.0993028492058548E-9</v>
      </c>
      <c r="AY132" s="422">
        <v>2.922996989200087E-23</v>
      </c>
      <c r="AZ132" s="422">
        <v>-1.1982530463982269E-20</v>
      </c>
      <c r="BA132" s="422">
        <v>-4.4008584266000088E-21</v>
      </c>
      <c r="BB132" s="422">
        <v>2.7639826290746955E-22</v>
      </c>
      <c r="BC132" s="422">
        <v>1.0524460010606741E-19</v>
      </c>
      <c r="BD132" s="422">
        <v>1.0047137648975874E-21</v>
      </c>
      <c r="BE132" s="422">
        <v>1.1379053474202301E-8</v>
      </c>
      <c r="BF132" s="422">
        <v>-1.8410373252619834E-22</v>
      </c>
      <c r="BG132" s="422">
        <v>1.7248529568596561E-25</v>
      </c>
      <c r="BH132" s="422">
        <v>2.5998458752530066E-20</v>
      </c>
      <c r="BI132" s="422">
        <v>1.1377660810435665E-8</v>
      </c>
      <c r="BJ132" s="422">
        <v>1.6592342113819656E-3</v>
      </c>
      <c r="BK132" s="422">
        <v>4.0365443901411091E-3</v>
      </c>
      <c r="BL132" s="422">
        <v>7.1111959701222523E-3</v>
      </c>
      <c r="BM132" s="422">
        <v>1.0532834847410279E-2</v>
      </c>
      <c r="BN132" s="422">
        <v>1.3742797782622605E-2</v>
      </c>
      <c r="BO132" s="422">
        <v>1.774142254812772E-2</v>
      </c>
      <c r="BP132" s="422">
        <v>1.9688735211692707E-2</v>
      </c>
      <c r="BQ132" s="422">
        <v>2.1978183669233889E-2</v>
      </c>
      <c r="BR132" s="422">
        <v>2.4336381682616131E-2</v>
      </c>
      <c r="BS132" s="422">
        <v>2.7767748469688013E-2</v>
      </c>
      <c r="BT132" s="422">
        <v>2.9616349439242358E-2</v>
      </c>
      <c r="BU132" s="422">
        <v>3.1039833725869274E-2</v>
      </c>
      <c r="BV132" s="422">
        <v>3.0862498825278039E-2</v>
      </c>
      <c r="BW132" s="422">
        <v>3.0936743409020317E-2</v>
      </c>
      <c r="BX132" s="422">
        <v>3.0736400745390854E-2</v>
      </c>
      <c r="BY132" s="422">
        <v>3.0397582037727879E-2</v>
      </c>
      <c r="BZ132" s="422">
        <v>2.9665763654913472E-2</v>
      </c>
      <c r="CA132" s="422">
        <v>3.128687955904972E-2</v>
      </c>
      <c r="CB132" s="422">
        <v>3.4071220545855062E-2</v>
      </c>
      <c r="CC132" s="422">
        <v>3.6572251753787699E-2</v>
      </c>
      <c r="CD132" s="422">
        <v>3.7931458391527839E-2</v>
      </c>
      <c r="CE132" s="422">
        <v>3.9167402222339207E-2</v>
      </c>
      <c r="CF132" s="422">
        <v>4.1430782178897611E-2</v>
      </c>
      <c r="CG132" s="422">
        <v>4.1430782178897611E-2</v>
      </c>
      <c r="CH132" s="422">
        <v>4.1430782178897611E-2</v>
      </c>
      <c r="CI132" s="422">
        <v>4.1430782178897604E-2</v>
      </c>
      <c r="CJ132" s="422">
        <v>4.1430782178897611E-2</v>
      </c>
      <c r="CK132" s="422">
        <v>4.1430782178897611E-2</v>
      </c>
      <c r="CL132" s="422">
        <v>4.1430782178897611E-2</v>
      </c>
      <c r="CM132" s="422">
        <v>4.1430782178897611E-2</v>
      </c>
      <c r="CN132" s="422">
        <v>4.1430782178897611E-2</v>
      </c>
      <c r="CO132" s="422">
        <v>4.1430782178897604E-2</v>
      </c>
      <c r="CP132" s="422">
        <v>4.1430782178897715E-2</v>
      </c>
      <c r="CQ132" s="422">
        <v>4.1430782178897695E-2</v>
      </c>
      <c r="CR132" s="422">
        <v>4.1430787961067021E-2</v>
      </c>
      <c r="CS132" s="422">
        <v>4.1430782178897417E-2</v>
      </c>
      <c r="CT132" s="422">
        <v>4.1430787961067021E-2</v>
      </c>
      <c r="CU132" s="422">
        <v>4.1430787961067021E-2</v>
      </c>
      <c r="CV132" s="422">
        <v>4.1430787961067021E-2</v>
      </c>
      <c r="CW132" s="422">
        <v>4.1430787961067021E-2</v>
      </c>
      <c r="CX132" s="422">
        <v>4.1430787961067014E-2</v>
      </c>
      <c r="CY132" s="422">
        <v>4.1430782178897611E-2</v>
      </c>
      <c r="CZ132" s="422">
        <v>4.1430787961067021E-2</v>
      </c>
      <c r="DA132" s="422">
        <v>4.1430787961067021E-2</v>
      </c>
      <c r="DB132" s="422">
        <v>4.1430787961067021E-2</v>
      </c>
      <c r="DC132" s="422">
        <v>4.1430787961067021E-2</v>
      </c>
      <c r="DD132" s="422">
        <v>4.1430787961067021E-2</v>
      </c>
      <c r="DE132" s="422">
        <v>4.1430787961067021E-2</v>
      </c>
      <c r="DF132" s="422">
        <v>4.1430787961067014E-2</v>
      </c>
      <c r="DG132" s="422">
        <v>4.1430787961067021E-2</v>
      </c>
      <c r="DH132" s="422">
        <v>4.1430787961067021E-2</v>
      </c>
      <c r="DI132" s="422">
        <v>4.1430787961067014E-2</v>
      </c>
      <c r="DJ132" s="422">
        <v>4.1430782178897563E-2</v>
      </c>
      <c r="DK132" s="422">
        <v>4.1430782178897611E-2</v>
      </c>
      <c r="DL132" s="422">
        <v>4.1430787961067243E-2</v>
      </c>
      <c r="DM132" s="422">
        <v>4.1430782178897611E-2</v>
      </c>
      <c r="DN132" s="422">
        <v>4.1430782178897611E-2</v>
      </c>
      <c r="DO132" s="422">
        <v>4.1430782178897618E-2</v>
      </c>
      <c r="DP132" s="422">
        <v>4.1430787961067049E-2</v>
      </c>
      <c r="DQ132" s="422">
        <v>4.1430782178897597E-2</v>
      </c>
      <c r="DR132" s="422">
        <v>4.1430782178897611E-2</v>
      </c>
      <c r="DS132" s="422">
        <v>4.1430782178897611E-2</v>
      </c>
      <c r="DT132" s="422">
        <v>4.1430787961067E-2</v>
      </c>
      <c r="DU132" s="422">
        <v>4.1430782178897611E-2</v>
      </c>
      <c r="DV132" s="422">
        <v>4.1430782178897611E-2</v>
      </c>
      <c r="DW132" s="422">
        <v>4.1430782178897611E-2</v>
      </c>
      <c r="DX132" s="422">
        <v>4.1430782178897618E-2</v>
      </c>
      <c r="DY132" s="422">
        <v>4.1430782178897611E-2</v>
      </c>
      <c r="DZ132" s="422">
        <v>4.1430782178897639E-2</v>
      </c>
      <c r="EA132" s="422">
        <v>4.1430782178897063E-2</v>
      </c>
      <c r="EB132" s="422">
        <v>4.1430782178896702E-2</v>
      </c>
      <c r="EC132" s="422">
        <v>4.1430782178897028E-2</v>
      </c>
      <c r="ED132" s="422">
        <v>4.1430782178897611E-2</v>
      </c>
      <c r="EE132" s="422">
        <v>4.1430782178897611E-2</v>
      </c>
      <c r="EF132" s="422">
        <v>4.1430782178897618E-2</v>
      </c>
      <c r="EG132" s="422">
        <v>4.1430782178897611E-2</v>
      </c>
      <c r="EH132" s="422">
        <v>3.1540626376893609E-2</v>
      </c>
      <c r="EI132" s="423">
        <v>3.1540626376893609E-2</v>
      </c>
      <c r="EJ132" s="444"/>
      <c r="EK132" s="367"/>
      <c r="EL132" s="367"/>
      <c r="EM132" s="367"/>
      <c r="EN132" s="367"/>
      <c r="EO132" s="367"/>
      <c r="EP132" s="367"/>
      <c r="EQ132" s="367"/>
    </row>
    <row r="133" spans="1:147" x14ac:dyDescent="0.2">
      <c r="A133" s="192"/>
      <c r="B133" s="19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192"/>
      <c r="O133" s="192"/>
      <c r="P133" s="192"/>
      <c r="Q133" s="192"/>
      <c r="R133" s="192"/>
      <c r="S133" s="266"/>
      <c r="T133" s="265"/>
      <c r="U133" s="265"/>
      <c r="V133" s="265"/>
      <c r="W133" s="265"/>
      <c r="X133" s="265"/>
      <c r="Y133" s="265"/>
      <c r="Z133" s="265"/>
      <c r="AA133" s="265"/>
      <c r="AB133" s="265"/>
      <c r="AC133" s="265"/>
      <c r="AD133" s="265"/>
      <c r="AE133" s="265"/>
      <c r="AF133" s="265"/>
      <c r="AG133" s="265"/>
      <c r="AH133" s="265"/>
      <c r="AI133" s="192"/>
      <c r="AJ133" s="192"/>
      <c r="AK133" s="369"/>
      <c r="AL133" s="367"/>
      <c r="AM133" s="420" t="s">
        <v>11</v>
      </c>
      <c r="AN133" s="421">
        <v>5.7740098572454296E-23</v>
      </c>
      <c r="AO133" s="422">
        <v>0</v>
      </c>
      <c r="AP133" s="422">
        <v>9.1863191904441318E-11</v>
      </c>
      <c r="AQ133" s="422">
        <v>6.0596321632348856E-10</v>
      </c>
      <c r="AR133" s="422">
        <v>-8.8959950517164543E-12</v>
      </c>
      <c r="AS133" s="422">
        <v>6.0596321632724737E-10</v>
      </c>
      <c r="AT133" s="422">
        <v>-6.4063584084551676E-19</v>
      </c>
      <c r="AU133" s="422">
        <v>-8.8959950517165836E-12</v>
      </c>
      <c r="AV133" s="422">
        <v>6.0596321632250029E-10</v>
      </c>
      <c r="AW133" s="422">
        <v>1.1693023297591073E-20</v>
      </c>
      <c r="AX133" s="422">
        <v>6.059632163219559E-10</v>
      </c>
      <c r="AY133" s="422">
        <v>3.5073825691482858E-23</v>
      </c>
      <c r="AZ133" s="422">
        <v>-3.8414193978141191E-21</v>
      </c>
      <c r="BA133" s="422">
        <v>-1.2965994305882647E-21</v>
      </c>
      <c r="BB133" s="422">
        <v>1.4809331718156313E-22</v>
      </c>
      <c r="BC133" s="422">
        <v>2.6039524278121121E-20</v>
      </c>
      <c r="BD133" s="422">
        <v>4.0732251998176127E-22</v>
      </c>
      <c r="BE133" s="422">
        <v>5.5179123185137543E-23</v>
      </c>
      <c r="BF133" s="422">
        <v>-2.4534933345133095E-21</v>
      </c>
      <c r="BG133" s="422">
        <v>-3.2133148394778722E-23</v>
      </c>
      <c r="BH133" s="422">
        <v>5.2303505113315311E-21</v>
      </c>
      <c r="BI133" s="422">
        <v>-4.8917814837193911E-23</v>
      </c>
      <c r="BJ133" s="422">
        <v>-1.2877959566233651E-21</v>
      </c>
      <c r="BK133" s="422">
        <v>-1.2966703707761618E-22</v>
      </c>
      <c r="BL133" s="422">
        <v>-4.9575419443874293E-22</v>
      </c>
      <c r="BM133" s="422">
        <v>-8.9721618995193505E-22</v>
      </c>
      <c r="BN133" s="422">
        <v>-1.2763514416494346E-21</v>
      </c>
      <c r="BO133" s="422">
        <v>1.8623554801660506E-22</v>
      </c>
      <c r="BP133" s="422">
        <v>-2.7846645477440442E-24</v>
      </c>
      <c r="BQ133" s="422">
        <v>-2.3711172105166977E-21</v>
      </c>
      <c r="BR133" s="422">
        <v>-4.7908326941420012E-23</v>
      </c>
      <c r="BS133" s="422">
        <v>-3.1132948134819112E-23</v>
      </c>
      <c r="BT133" s="422">
        <v>-1.4330050976993073E-22</v>
      </c>
      <c r="BU133" s="422">
        <v>-1.842922546404366E-22</v>
      </c>
      <c r="BV133" s="422">
        <v>-4.6884305827450211E-23</v>
      </c>
      <c r="BW133" s="422">
        <v>1.4835786774981137E-22</v>
      </c>
      <c r="BX133" s="422">
        <v>4.1303535998199423E-22</v>
      </c>
      <c r="BY133" s="422">
        <v>4.8014947967915486E-21</v>
      </c>
      <c r="BZ133" s="422">
        <v>8.9137903123433521E-23</v>
      </c>
      <c r="CA133" s="422">
        <v>-2.1001796505987621E-22</v>
      </c>
      <c r="CB133" s="422">
        <v>1.3763710017138631E-23</v>
      </c>
      <c r="CC133" s="422">
        <v>4.7712178763951853E-24</v>
      </c>
      <c r="CD133" s="422">
        <v>1.8266943660355709E-22</v>
      </c>
      <c r="CE133" s="422">
        <v>-1.4372450641867296E-22</v>
      </c>
      <c r="CF133" s="422">
        <v>-4.0935838822383736E-23</v>
      </c>
      <c r="CG133" s="422">
        <v>7.4742175753438732E-22</v>
      </c>
      <c r="CH133" s="422">
        <v>-4.6180141750334813E-21</v>
      </c>
      <c r="CI133" s="422">
        <v>-4.346970389072677E-20</v>
      </c>
      <c r="CJ133" s="422">
        <v>-2.2549756953142887E-19</v>
      </c>
      <c r="CK133" s="422">
        <v>-3.6941944104618394E-23</v>
      </c>
      <c r="CL133" s="422">
        <v>-1.7029360825218949E-20</v>
      </c>
      <c r="CM133" s="422">
        <v>7.1616867519050397E-22</v>
      </c>
      <c r="CN133" s="422">
        <v>8.644009628271625E-26</v>
      </c>
      <c r="CO133" s="422">
        <v>-2.5472049583934237E-16</v>
      </c>
      <c r="CP133" s="422">
        <v>7.1230397340477475E-17</v>
      </c>
      <c r="CQ133" s="422">
        <v>-6.9925756287165514E-17</v>
      </c>
      <c r="CR133" s="422">
        <v>-2.8594628986260173E-21</v>
      </c>
      <c r="CS133" s="422">
        <v>7.0482458101262043E-17</v>
      </c>
      <c r="CT133" s="422">
        <v>-3.5878094254142333E-20</v>
      </c>
      <c r="CU133" s="422">
        <v>1.5787790278154716E-21</v>
      </c>
      <c r="CV133" s="422">
        <v>1.0844829203942085E-20</v>
      </c>
      <c r="CW133" s="422">
        <v>-1.9314196068122457E-23</v>
      </c>
      <c r="CX133" s="422">
        <v>-3.059215811152567E-23</v>
      </c>
      <c r="CY133" s="422">
        <v>1.0576474951761919E-19</v>
      </c>
      <c r="CZ133" s="422">
        <v>-1.3862042564526572E-22</v>
      </c>
      <c r="DA133" s="422">
        <v>6.8127394426649438E-20</v>
      </c>
      <c r="DB133" s="422">
        <v>-1.2653881594178468E-19</v>
      </c>
      <c r="DC133" s="422">
        <v>-5.7165028190041496E-22</v>
      </c>
      <c r="DD133" s="422">
        <v>-1.1166397479112635E-23</v>
      </c>
      <c r="DE133" s="422">
        <v>1.1624943708564652E-21</v>
      </c>
      <c r="DF133" s="422">
        <v>-3.8522362747932989E-20</v>
      </c>
      <c r="DG133" s="422">
        <v>-7.6689154878925438E-23</v>
      </c>
      <c r="DH133" s="422">
        <v>1.7930218302785065E-19</v>
      </c>
      <c r="DI133" s="422">
        <v>1.1104972768559479E-21</v>
      </c>
      <c r="DJ133" s="422">
        <v>-2.4466662160413909E-18</v>
      </c>
      <c r="DK133" s="422">
        <v>3.6776955739686946E-22</v>
      </c>
      <c r="DL133" s="422">
        <v>-2.6237225164390354E-16</v>
      </c>
      <c r="DM133" s="422">
        <v>-2.0705229332875759E-23</v>
      </c>
      <c r="DN133" s="422">
        <v>1.6082051200613212E-23</v>
      </c>
      <c r="DO133" s="422">
        <v>-1.2217385718684832E-18</v>
      </c>
      <c r="DP133" s="422">
        <v>-1.1390957906402693E-16</v>
      </c>
      <c r="DQ133" s="422">
        <v>7.4905769633434377E-18</v>
      </c>
      <c r="DR133" s="422">
        <v>1.8717995124539198E-18</v>
      </c>
      <c r="DS133" s="422">
        <v>2.3474807509255977E-21</v>
      </c>
      <c r="DT133" s="422">
        <v>-2.5672050641584284E-16</v>
      </c>
      <c r="DU133" s="422">
        <v>9.3750238990034992E-20</v>
      </c>
      <c r="DV133" s="422">
        <v>-7.2175039950100547E-20</v>
      </c>
      <c r="DW133" s="422">
        <v>-7.0583517114829124E-20</v>
      </c>
      <c r="DX133" s="422">
        <v>-1.0205066986977365E-18</v>
      </c>
      <c r="DY133" s="422">
        <v>1.6494486204834745E-20</v>
      </c>
      <c r="DZ133" s="422">
        <v>-1.1897632674591559E-16</v>
      </c>
      <c r="EA133" s="422">
        <v>3.2564064948123688E-17</v>
      </c>
      <c r="EB133" s="422">
        <v>1.6169119861877399E-17</v>
      </c>
      <c r="EC133" s="422">
        <v>-1.2216925421547403E-17</v>
      </c>
      <c r="ED133" s="422">
        <v>7.02860903344924E-21</v>
      </c>
      <c r="EE133" s="422">
        <v>3.7734796556101375E-20</v>
      </c>
      <c r="EF133" s="422">
        <v>5.1755949354647931E-20</v>
      </c>
      <c r="EG133" s="422">
        <v>5.0170748937707535E-20</v>
      </c>
      <c r="EH133" s="422">
        <v>9.7036774098048263E-3</v>
      </c>
      <c r="EI133" s="423">
        <v>9.7036774098048263E-3</v>
      </c>
      <c r="EJ133" s="444"/>
      <c r="EK133" s="367"/>
      <c r="EL133" s="367"/>
      <c r="EM133" s="367"/>
      <c r="EN133" s="367"/>
      <c r="EO133" s="367"/>
      <c r="EP133" s="367"/>
      <c r="EQ133" s="367"/>
    </row>
    <row r="134" spans="1:147" x14ac:dyDescent="0.2">
      <c r="A134" s="192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266"/>
      <c r="T134" s="265"/>
      <c r="U134" s="265"/>
      <c r="V134" s="265"/>
      <c r="W134" s="265"/>
      <c r="X134" s="265"/>
      <c r="Y134" s="265"/>
      <c r="Z134" s="265"/>
      <c r="AA134" s="265"/>
      <c r="AB134" s="265"/>
      <c r="AC134" s="265"/>
      <c r="AD134" s="265"/>
      <c r="AE134" s="265"/>
      <c r="AF134" s="265"/>
      <c r="AG134" s="265"/>
      <c r="AH134" s="265"/>
      <c r="AI134" s="192"/>
      <c r="AJ134" s="192"/>
      <c r="AK134" s="369"/>
      <c r="AL134" s="367"/>
      <c r="AM134" s="420" t="s">
        <v>12</v>
      </c>
      <c r="AN134" s="421">
        <v>1.3926637621002399E-12</v>
      </c>
      <c r="AO134" s="422">
        <v>1.3926637623162635E-12</v>
      </c>
      <c r="AP134" s="422">
        <v>1.392663762117619E-12</v>
      </c>
      <c r="AQ134" s="422">
        <v>1.3926637628272424E-12</v>
      </c>
      <c r="AR134" s="422">
        <v>1.3926637620897964E-12</v>
      </c>
      <c r="AS134" s="422">
        <v>1.3926637621103785E-12</v>
      </c>
      <c r="AT134" s="422">
        <v>1.3926637620897964E-12</v>
      </c>
      <c r="AU134" s="422">
        <v>1.3926637620897964E-12</v>
      </c>
      <c r="AV134" s="422">
        <v>1.3926637621426218E-12</v>
      </c>
      <c r="AW134" s="422">
        <v>1.3926637620897964E-12</v>
      </c>
      <c r="AX134" s="422">
        <v>1.3926637620897964E-12</v>
      </c>
      <c r="AY134" s="422">
        <v>1.3926637620897964E-12</v>
      </c>
      <c r="AZ134" s="422">
        <v>1.3926637620897964E-12</v>
      </c>
      <c r="BA134" s="422">
        <v>1.3926637620897964E-12</v>
      </c>
      <c r="BB134" s="422">
        <v>1.3926637620897964E-12</v>
      </c>
      <c r="BC134" s="422">
        <v>1.3926637620897964E-12</v>
      </c>
      <c r="BD134" s="422">
        <v>1.3926637620897964E-12</v>
      </c>
      <c r="BE134" s="422">
        <v>1.3926637620897964E-12</v>
      </c>
      <c r="BF134" s="422">
        <v>1.3926637620897964E-12</v>
      </c>
      <c r="BG134" s="422">
        <v>1.3926637620897964E-12</v>
      </c>
      <c r="BH134" s="422">
        <v>1.3926637620897964E-12</v>
      </c>
      <c r="BI134" s="422">
        <v>1.3926637628352483E-12</v>
      </c>
      <c r="BJ134" s="422">
        <v>1.3926637626004715E-12</v>
      </c>
      <c r="BK134" s="422">
        <v>1.3926637621749263E-12</v>
      </c>
      <c r="BL134" s="422">
        <v>1.3926637620897964E-12</v>
      </c>
      <c r="BM134" s="422">
        <v>1.3926637651780423E-12</v>
      </c>
      <c r="BN134" s="422">
        <v>1.3926637620897964E-12</v>
      </c>
      <c r="BO134" s="422">
        <v>1.3926637623735629E-12</v>
      </c>
      <c r="BP134" s="422">
        <v>1.3926637622590863E-12</v>
      </c>
      <c r="BQ134" s="422">
        <v>1.3926637620897964E-12</v>
      </c>
      <c r="BR134" s="422">
        <v>1.3926637621886537E-12</v>
      </c>
      <c r="BS134" s="422">
        <v>1.3926637622374134E-12</v>
      </c>
      <c r="BT134" s="422">
        <v>1.3926637621416882E-12</v>
      </c>
      <c r="BU134" s="422">
        <v>1.3926637621077752E-12</v>
      </c>
      <c r="BV134" s="422">
        <v>1.3926637623580289E-12</v>
      </c>
      <c r="BW134" s="422">
        <v>1.3926637621697374E-12</v>
      </c>
      <c r="BX134" s="422">
        <v>1.3926637645350341E-12</v>
      </c>
      <c r="BY134" s="422">
        <v>1.3926637999002706E-12</v>
      </c>
      <c r="BZ134" s="422">
        <v>1.3926637623498112E-12</v>
      </c>
      <c r="CA134" s="422">
        <v>1.3926637622036351E-12</v>
      </c>
      <c r="CB134" s="422">
        <v>1.3926637621870062E-12</v>
      </c>
      <c r="CC134" s="422">
        <v>1.3926637621313577E-12</v>
      </c>
      <c r="CD134" s="422">
        <v>1.3926637621110587E-12</v>
      </c>
      <c r="CE134" s="422">
        <v>1.3926637620897964E-12</v>
      </c>
      <c r="CF134" s="422">
        <v>1.3926637620897964E-12</v>
      </c>
      <c r="CG134" s="422">
        <v>1.392663766244871E-12</v>
      </c>
      <c r="CH134" s="422">
        <v>1.3926638254967105E-12</v>
      </c>
      <c r="CI134" s="422">
        <v>1.3926637620897964E-12</v>
      </c>
      <c r="CJ134" s="422">
        <v>1.3926637622846447E-12</v>
      </c>
      <c r="CK134" s="422">
        <v>1.3926637621717418E-12</v>
      </c>
      <c r="CL134" s="422">
        <v>1.3926637693106752E-12</v>
      </c>
      <c r="CM134" s="422">
        <v>1.3926637623942319E-12</v>
      </c>
      <c r="CN134" s="422">
        <v>1.3926637634838409E-12</v>
      </c>
      <c r="CO134" s="422">
        <v>1.3927010840913344E-12</v>
      </c>
      <c r="CP134" s="422">
        <v>1.3926808843826301E-12</v>
      </c>
      <c r="CQ134" s="422">
        <v>1.392677286054374E-12</v>
      </c>
      <c r="CR134" s="422">
        <v>1.3926637625816752E-12</v>
      </c>
      <c r="CS134" s="422">
        <v>1.3927234329461937E-12</v>
      </c>
      <c r="CT134" s="422">
        <v>1.3926637639714505E-12</v>
      </c>
      <c r="CU134" s="422">
        <v>1.3926637620901015E-12</v>
      </c>
      <c r="CV134" s="422">
        <v>1.3926637621445634E-12</v>
      </c>
      <c r="CW134" s="422">
        <v>1.3926637620897964E-12</v>
      </c>
      <c r="CX134" s="422">
        <v>1.3926637620897964E-12</v>
      </c>
      <c r="CY134" s="422">
        <v>1.3926637822916373E-12</v>
      </c>
      <c r="CZ134" s="422">
        <v>1.3926637624830713E-12</v>
      </c>
      <c r="DA134" s="422">
        <v>1.3926637621875798E-12</v>
      </c>
      <c r="DB134" s="422">
        <v>1.3926637656734087E-12</v>
      </c>
      <c r="DC134" s="422">
        <v>1.3926637620991078E-12</v>
      </c>
      <c r="DD134" s="422">
        <v>1.3926637635645814E-12</v>
      </c>
      <c r="DE134" s="422">
        <v>1.3926638048284182E-12</v>
      </c>
      <c r="DF134" s="422">
        <v>1.3926637631499941E-12</v>
      </c>
      <c r="DG134" s="422">
        <v>1.3926637666074047E-12</v>
      </c>
      <c r="DH134" s="422">
        <v>1.3926637620897964E-12</v>
      </c>
      <c r="DI134" s="422">
        <v>1.392663762090613E-12</v>
      </c>
      <c r="DJ134" s="422">
        <v>1.3926637620897964E-12</v>
      </c>
      <c r="DK134" s="422">
        <v>1.3926637620897964E-12</v>
      </c>
      <c r="DL134" s="422">
        <v>1.3926796321867688E-12</v>
      </c>
      <c r="DM134" s="422">
        <v>1.3926637639316503E-12</v>
      </c>
      <c r="DN134" s="422">
        <v>1.3926637622811364E-12</v>
      </c>
      <c r="DO134" s="422">
        <v>1.3926637620897964E-12</v>
      </c>
      <c r="DP134" s="422">
        <v>1.3926768637886409E-12</v>
      </c>
      <c r="DQ134" s="422">
        <v>1.3926637620947096E-12</v>
      </c>
      <c r="DR134" s="422">
        <v>1.3926643257763758E-12</v>
      </c>
      <c r="DS134" s="422">
        <v>1.3926637620897964E-12</v>
      </c>
      <c r="DT134" s="422">
        <v>1.3926817367433027E-12</v>
      </c>
      <c r="DU134" s="422">
        <v>1.3926637620897964E-12</v>
      </c>
      <c r="DV134" s="422">
        <v>1.3926638341631664E-12</v>
      </c>
      <c r="DW134" s="422">
        <v>1.3926637887541306E-12</v>
      </c>
      <c r="DX134" s="422">
        <v>1.3926644178756804E-12</v>
      </c>
      <c r="DY134" s="422">
        <v>1.3926637657616846E-12</v>
      </c>
      <c r="DZ134" s="422">
        <v>1.3926871879949359E-12</v>
      </c>
      <c r="EA134" s="422">
        <v>1.3926637620897964E-12</v>
      </c>
      <c r="EB134" s="422">
        <v>1.3926875353299785E-12</v>
      </c>
      <c r="EC134" s="422">
        <v>1.3926784179315114E-12</v>
      </c>
      <c r="ED134" s="422">
        <v>1.3926637620897964E-12</v>
      </c>
      <c r="EE134" s="422">
        <v>1.3926638168299109E-12</v>
      </c>
      <c r="EF134" s="422">
        <v>1.39266383716975E-12</v>
      </c>
      <c r="EG134" s="422">
        <v>1.3926637620897964E-12</v>
      </c>
      <c r="EH134" s="422">
        <v>8.3687090572564789E-5</v>
      </c>
      <c r="EI134" s="423">
        <v>8.3687090572564789E-5</v>
      </c>
      <c r="EJ134" s="444"/>
      <c r="EK134" s="367"/>
      <c r="EL134" s="367"/>
      <c r="EM134" s="367"/>
      <c r="EN134" s="367"/>
      <c r="EO134" s="367"/>
      <c r="EP134" s="367"/>
      <c r="EQ134" s="367"/>
    </row>
    <row r="135" spans="1:147" x14ac:dyDescent="0.2">
      <c r="A135" s="192"/>
      <c r="B135" s="19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192"/>
      <c r="O135" s="192"/>
      <c r="P135" s="192"/>
      <c r="Q135" s="192"/>
      <c r="R135" s="192"/>
      <c r="S135" s="266"/>
      <c r="T135" s="265"/>
      <c r="U135" s="265"/>
      <c r="V135" s="265"/>
      <c r="W135" s="265"/>
      <c r="X135" s="265"/>
      <c r="Y135" s="265"/>
      <c r="Z135" s="265"/>
      <c r="AA135" s="265"/>
      <c r="AB135" s="265"/>
      <c r="AC135" s="265"/>
      <c r="AD135" s="265"/>
      <c r="AE135" s="265"/>
      <c r="AF135" s="265"/>
      <c r="AG135" s="265"/>
      <c r="AH135" s="265"/>
      <c r="AI135" s="192"/>
      <c r="AJ135" s="192"/>
      <c r="AK135" s="369"/>
      <c r="AL135" s="367"/>
      <c r="AM135" s="420" t="s">
        <v>13</v>
      </c>
      <c r="AN135" s="421">
        <v>3.5832670164382998E-9</v>
      </c>
      <c r="AO135" s="422">
        <v>3.5832670164387907E-9</v>
      </c>
      <c r="AP135" s="422">
        <v>3.5832670164381852E-9</v>
      </c>
      <c r="AQ135" s="422">
        <v>3.5832670164381852E-9</v>
      </c>
      <c r="AR135" s="422">
        <v>3.5832670164434796E-9</v>
      </c>
      <c r="AS135" s="422">
        <v>3.5832670164381852E-9</v>
      </c>
      <c r="AT135" s="422">
        <v>3.5832670164418083E-9</v>
      </c>
      <c r="AU135" s="422">
        <v>3.5832670164381852E-9</v>
      </c>
      <c r="AV135" s="422">
        <v>3.5832670164381852E-9</v>
      </c>
      <c r="AW135" s="422">
        <v>3.5832670164384673E-9</v>
      </c>
      <c r="AX135" s="422">
        <v>3.5832670164381852E-9</v>
      </c>
      <c r="AY135" s="422">
        <v>3.5832670164381852E-9</v>
      </c>
      <c r="AZ135" s="422">
        <v>3.5832670164381852E-9</v>
      </c>
      <c r="BA135" s="422">
        <v>3.5832670164381852E-9</v>
      </c>
      <c r="BB135" s="422">
        <v>3.5832670164381852E-9</v>
      </c>
      <c r="BC135" s="422">
        <v>3.5832670164381852E-9</v>
      </c>
      <c r="BD135" s="422">
        <v>3.5832670164381852E-9</v>
      </c>
      <c r="BE135" s="422">
        <v>3.5832670164381852E-9</v>
      </c>
      <c r="BF135" s="422">
        <v>3.5832670164381852E-9</v>
      </c>
      <c r="BG135" s="422">
        <v>3.5832670164381852E-9</v>
      </c>
      <c r="BH135" s="422">
        <v>3.5832670164381852E-9</v>
      </c>
      <c r="BI135" s="422">
        <v>3.5832670164381852E-9</v>
      </c>
      <c r="BJ135" s="422">
        <v>5.171054236377087E-4</v>
      </c>
      <c r="BK135" s="422">
        <v>1.5172511078830602E-3</v>
      </c>
      <c r="BL135" s="422">
        <v>2.5826604722897096E-3</v>
      </c>
      <c r="BM135" s="422">
        <v>3.7204554711250679E-3</v>
      </c>
      <c r="BN135" s="422">
        <v>4.8040293409809896E-3</v>
      </c>
      <c r="BO135" s="422">
        <v>6.013505133627914E-3</v>
      </c>
      <c r="BP135" s="422">
        <v>7.1926202415420817E-3</v>
      </c>
      <c r="BQ135" s="422">
        <v>8.1140697061835073E-3</v>
      </c>
      <c r="BR135" s="422">
        <v>9.1992031634863681E-3</v>
      </c>
      <c r="BS135" s="422">
        <v>1.0052781561116653E-2</v>
      </c>
      <c r="BT135" s="422">
        <v>1.1088617806854641E-2</v>
      </c>
      <c r="BU135" s="422">
        <v>1.1749211848280147E-2</v>
      </c>
      <c r="BV135" s="422">
        <v>1.1749211848280148E-2</v>
      </c>
      <c r="BW135" s="422">
        <v>1.1749211848280153E-2</v>
      </c>
      <c r="BX135" s="422">
        <v>1.1749211848280148E-2</v>
      </c>
      <c r="BY135" s="422">
        <v>1.1749211848280148E-2</v>
      </c>
      <c r="BZ135" s="422">
        <v>1.1749211848280147E-2</v>
      </c>
      <c r="CA135" s="422">
        <v>1.174921184828015E-2</v>
      </c>
      <c r="CB135" s="422">
        <v>1.1749211848280153E-2</v>
      </c>
      <c r="CC135" s="422">
        <v>1.1749211848280148E-2</v>
      </c>
      <c r="CD135" s="422">
        <v>1.1749211848280152E-2</v>
      </c>
      <c r="CE135" s="422">
        <v>1.1749211848280148E-2</v>
      </c>
      <c r="CF135" s="422">
        <v>1.1749211848280148E-2</v>
      </c>
      <c r="CG135" s="422">
        <v>1.174921184828015E-2</v>
      </c>
      <c r="CH135" s="422">
        <v>1.174921184828015E-2</v>
      </c>
      <c r="CI135" s="422">
        <v>1.1749211848280153E-2</v>
      </c>
      <c r="CJ135" s="422">
        <v>1.1749211848280152E-2</v>
      </c>
      <c r="CK135" s="422">
        <v>1.1749211848280152E-2</v>
      </c>
      <c r="CL135" s="422">
        <v>1.174921184828015E-2</v>
      </c>
      <c r="CM135" s="422">
        <v>1.1749211848280153E-2</v>
      </c>
      <c r="CN135" s="422">
        <v>1.1749211848280152E-2</v>
      </c>
      <c r="CO135" s="422">
        <v>1.1749211848280138E-2</v>
      </c>
      <c r="CP135" s="422">
        <v>1.1749211848280147E-2</v>
      </c>
      <c r="CQ135" s="422">
        <v>1.174921184828015E-2</v>
      </c>
      <c r="CR135" s="422">
        <v>1.1749211848280152E-2</v>
      </c>
      <c r="CS135" s="422">
        <v>1.1749211848280133E-2</v>
      </c>
      <c r="CT135" s="422">
        <v>1.1749211848280148E-2</v>
      </c>
      <c r="CU135" s="422">
        <v>1.1749211848280147E-2</v>
      </c>
      <c r="CV135" s="422">
        <v>1.1749211848280152E-2</v>
      </c>
      <c r="CW135" s="422">
        <v>1.1749211848280152E-2</v>
      </c>
      <c r="CX135" s="422">
        <v>1.1749211848280153E-2</v>
      </c>
      <c r="CY135" s="422">
        <v>1.174921184828015E-2</v>
      </c>
      <c r="CZ135" s="422">
        <v>1.1749211848280152E-2</v>
      </c>
      <c r="DA135" s="422">
        <v>1.1749211848280152E-2</v>
      </c>
      <c r="DB135" s="422">
        <v>1.1749211848280148E-2</v>
      </c>
      <c r="DC135" s="422">
        <v>1.174921184828015E-2</v>
      </c>
      <c r="DD135" s="422">
        <v>1.1749211848280148E-2</v>
      </c>
      <c r="DE135" s="422">
        <v>1.1749211848280153E-2</v>
      </c>
      <c r="DF135" s="422">
        <v>1.1749211848280153E-2</v>
      </c>
      <c r="DG135" s="422">
        <v>1.174921184828015E-2</v>
      </c>
      <c r="DH135" s="422">
        <v>1.174921184828015E-2</v>
      </c>
      <c r="DI135" s="422">
        <v>1.1749211848280153E-2</v>
      </c>
      <c r="DJ135" s="422">
        <v>1.1749211848280138E-2</v>
      </c>
      <c r="DK135" s="422">
        <v>1.1749211848280153E-2</v>
      </c>
      <c r="DL135" s="422">
        <v>1.1749211848280205E-2</v>
      </c>
      <c r="DM135" s="422">
        <v>1.174921184828015E-2</v>
      </c>
      <c r="DN135" s="422">
        <v>1.1749211848280148E-2</v>
      </c>
      <c r="DO135" s="422">
        <v>1.174921184828015E-2</v>
      </c>
      <c r="DP135" s="422">
        <v>1.1749211848280134E-2</v>
      </c>
      <c r="DQ135" s="422">
        <v>1.1749211848280148E-2</v>
      </c>
      <c r="DR135" s="422">
        <v>1.1749211848280148E-2</v>
      </c>
      <c r="DS135" s="422">
        <v>1.174921184828015E-2</v>
      </c>
      <c r="DT135" s="422">
        <v>1.1749211848280131E-2</v>
      </c>
      <c r="DU135" s="422">
        <v>1.174921184828015E-2</v>
      </c>
      <c r="DV135" s="422">
        <v>1.1749211848280148E-2</v>
      </c>
      <c r="DW135" s="422">
        <v>1.1749211848280148E-2</v>
      </c>
      <c r="DX135" s="422">
        <v>1.1749211848280148E-2</v>
      </c>
      <c r="DY135" s="422">
        <v>1.1749211848280152E-2</v>
      </c>
      <c r="DZ135" s="422">
        <v>1.1749211848280176E-2</v>
      </c>
      <c r="EA135" s="422">
        <v>1.1749211848280195E-2</v>
      </c>
      <c r="EB135" s="422">
        <v>1.1749211848280114E-2</v>
      </c>
      <c r="EC135" s="422">
        <v>1.1749211848280219E-2</v>
      </c>
      <c r="ED135" s="422">
        <v>1.1749211848280147E-2</v>
      </c>
      <c r="EE135" s="422">
        <v>1.1749211848280147E-2</v>
      </c>
      <c r="EF135" s="422">
        <v>1.1749211848280147E-2</v>
      </c>
      <c r="EG135" s="422">
        <v>1.174921184828015E-2</v>
      </c>
      <c r="EH135" s="422">
        <v>1.1729354421311494E-2</v>
      </c>
      <c r="EI135" s="423">
        <v>1.1729354421311494E-2</v>
      </c>
      <c r="EJ135" s="444"/>
      <c r="EK135" s="367"/>
      <c r="EL135" s="367"/>
      <c r="EM135" s="367"/>
      <c r="EN135" s="367"/>
      <c r="EO135" s="367"/>
      <c r="EP135" s="367"/>
      <c r="EQ135" s="367"/>
    </row>
    <row r="136" spans="1:147" x14ac:dyDescent="0.2">
      <c r="A136" s="192"/>
      <c r="B136" s="19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192"/>
      <c r="O136" s="192"/>
      <c r="P136" s="192"/>
      <c r="Q136" s="192"/>
      <c r="R136" s="192"/>
      <c r="S136" s="266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65"/>
      <c r="AF136" s="265"/>
      <c r="AG136" s="265"/>
      <c r="AH136" s="265"/>
      <c r="AI136" s="192"/>
      <c r="AJ136" s="192"/>
      <c r="AK136" s="369"/>
      <c r="AL136" s="367"/>
      <c r="AM136" s="420" t="s">
        <v>14</v>
      </c>
      <c r="AN136" s="421">
        <v>1.5372727074496347E-23</v>
      </c>
      <c r="AO136" s="422">
        <v>3.6754049895305611E-22</v>
      </c>
      <c r="AP136" s="422">
        <v>-3.7172845963591747E-10</v>
      </c>
      <c r="AQ136" s="422">
        <v>7.0358713408631998E-10</v>
      </c>
      <c r="AR136" s="422">
        <v>-2.3349425314381624E-21</v>
      </c>
      <c r="AS136" s="422">
        <v>7.0358713408937858E-10</v>
      </c>
      <c r="AT136" s="422">
        <v>-6.2137778179153465E-20</v>
      </c>
      <c r="AU136" s="422">
        <v>-3.7633185456797946E-10</v>
      </c>
      <c r="AV136" s="422">
        <v>7.0358713408521321E-10</v>
      </c>
      <c r="AW136" s="422">
        <v>5.5347532190650601E-22</v>
      </c>
      <c r="AX136" s="422">
        <v>7.0358713412863471E-10</v>
      </c>
      <c r="AY136" s="422">
        <v>7.5344828064833197E-23</v>
      </c>
      <c r="AZ136" s="422">
        <v>1.3941606834773589E-21</v>
      </c>
      <c r="BA136" s="422">
        <v>4.0084516851466033E-22</v>
      </c>
      <c r="BB136" s="422">
        <v>1.7251769077611334E-24</v>
      </c>
      <c r="BC136" s="422">
        <v>-6.6194161281074716E-11</v>
      </c>
      <c r="BD136" s="422">
        <v>-6.6194161264702744E-11</v>
      </c>
      <c r="BE136" s="422">
        <v>6.5151211558589664E-24</v>
      </c>
      <c r="BF136" s="422">
        <v>-3.7633185456797946E-10</v>
      </c>
      <c r="BG136" s="422">
        <v>-3.7633185456774268E-10</v>
      </c>
      <c r="BH136" s="422">
        <v>-6.6194161279827211E-11</v>
      </c>
      <c r="BI136" s="422">
        <v>-1.1134750243261666E-23</v>
      </c>
      <c r="BJ136" s="422">
        <v>2.3943897104748468E-22</v>
      </c>
      <c r="BK136" s="422">
        <v>4.4927498234322753E-24</v>
      </c>
      <c r="BL136" s="422">
        <v>-6.0194044333917214E-22</v>
      </c>
      <c r="BM136" s="422">
        <v>5.6148268101397498E-21</v>
      </c>
      <c r="BN136" s="422">
        <v>4.1816760381031909E-21</v>
      </c>
      <c r="BO136" s="422">
        <v>1.2792780316242444E-22</v>
      </c>
      <c r="BP136" s="422">
        <v>5.3999930074718087E-24</v>
      </c>
      <c r="BQ136" s="422">
        <v>-1.3307312209729642E-20</v>
      </c>
      <c r="BR136" s="422">
        <v>8.9005923742106846E-24</v>
      </c>
      <c r="BS136" s="422">
        <v>-2.8485018593843663E-22</v>
      </c>
      <c r="BT136" s="422">
        <v>-3.1054094700249188E-22</v>
      </c>
      <c r="BU136" s="422">
        <v>-9.15286139099639E-23</v>
      </c>
      <c r="BV136" s="422">
        <v>-6.6750840801545324E-23</v>
      </c>
      <c r="BW136" s="422">
        <v>9.4985464252248912E-23</v>
      </c>
      <c r="BX136" s="422">
        <v>-3.241639747214974E-22</v>
      </c>
      <c r="BY136" s="422">
        <v>7.0077226390136098E-21</v>
      </c>
      <c r="BZ136" s="422">
        <v>5.8544234337812071E-23</v>
      </c>
      <c r="CA136" s="422">
        <v>-1.133219438064194E-22</v>
      </c>
      <c r="CB136" s="422">
        <v>-3.4375772421082346E-24</v>
      </c>
      <c r="CC136" s="422">
        <v>-6.561093617848263E-24</v>
      </c>
      <c r="CD136" s="422">
        <v>-7.2367209066382681E-23</v>
      </c>
      <c r="CE136" s="422">
        <v>5.140224036259977E-23</v>
      </c>
      <c r="CF136" s="422">
        <v>-1.2023828625884622E-22</v>
      </c>
      <c r="CG136" s="422">
        <v>-1.9264205369787829E-22</v>
      </c>
      <c r="CH136" s="422">
        <v>1.6703834141392226E-20</v>
      </c>
      <c r="CI136" s="422">
        <v>-3.8354693132769393E-20</v>
      </c>
      <c r="CJ136" s="422">
        <v>-2.3956856381156276E-21</v>
      </c>
      <c r="CK136" s="422">
        <v>-4.4939952465008038E-23</v>
      </c>
      <c r="CL136" s="422">
        <v>1.1112813306972826E-20</v>
      </c>
      <c r="CM136" s="422">
        <v>2.3240967905694713E-22</v>
      </c>
      <c r="CN136" s="422">
        <v>6.6990835307957519E-24</v>
      </c>
      <c r="CO136" s="422">
        <v>1.3126986521970161E-17</v>
      </c>
      <c r="CP136" s="422">
        <v>6.5866111893536289E-18</v>
      </c>
      <c r="CQ136" s="422">
        <v>-1.5928804852251742E-18</v>
      </c>
      <c r="CR136" s="422">
        <v>-4.6177955858589817E-23</v>
      </c>
      <c r="CS136" s="422">
        <v>5.8470745244491633E-18</v>
      </c>
      <c r="CT136" s="422">
        <v>1.7914875630448561E-22</v>
      </c>
      <c r="CU136" s="422">
        <v>-7.6515343230660191E-23</v>
      </c>
      <c r="CV136" s="422">
        <v>-5.2676220251778927E-22</v>
      </c>
      <c r="CW136" s="422">
        <v>-1.556895012061376E-24</v>
      </c>
      <c r="CX136" s="422">
        <v>-2.5803484822963345E-24</v>
      </c>
      <c r="CY136" s="422">
        <v>-6.1572671393982665E-21</v>
      </c>
      <c r="CZ136" s="422">
        <v>-1.4203274241858147E-23</v>
      </c>
      <c r="DA136" s="422">
        <v>-3.3101854047850331E-21</v>
      </c>
      <c r="DB136" s="422">
        <v>6.148788630529379E-21</v>
      </c>
      <c r="DC136" s="422">
        <v>-5.0746616256142927E-23</v>
      </c>
      <c r="DD136" s="422">
        <v>-8.4706255335923435E-25</v>
      </c>
      <c r="DE136" s="422">
        <v>1.0362553705930585E-22</v>
      </c>
      <c r="DF136" s="422">
        <v>1.8720386068438437E-21</v>
      </c>
      <c r="DG136" s="422">
        <v>-6.6475375661528784E-24</v>
      </c>
      <c r="DH136" s="422">
        <v>-8.7122436799060297E-21</v>
      </c>
      <c r="DI136" s="422">
        <v>-5.374857293530685E-23</v>
      </c>
      <c r="DJ136" s="422">
        <v>-1.263162336992279E-17</v>
      </c>
      <c r="DK136" s="422">
        <v>-1.4919759786757046E-20</v>
      </c>
      <c r="DL136" s="422">
        <v>2.331315328520242E-17</v>
      </c>
      <c r="DM136" s="422">
        <v>-7.8813029315250346E-22</v>
      </c>
      <c r="DN136" s="422">
        <v>-8.505752811615134E-26</v>
      </c>
      <c r="DO136" s="422">
        <v>-1.0983475963855404E-19</v>
      </c>
      <c r="DP136" s="422">
        <v>8.3483545797301448E-18</v>
      </c>
      <c r="DQ136" s="422">
        <v>-4.2983462196996139E-19</v>
      </c>
      <c r="DR136" s="422">
        <v>7.263126556316488E-20</v>
      </c>
      <c r="DS136" s="422">
        <v>1.1584065154652585E-22</v>
      </c>
      <c r="DT136" s="422">
        <v>-1.659028731432301E-17</v>
      </c>
      <c r="DU136" s="422">
        <v>-2.8666255174132283E-19</v>
      </c>
      <c r="DV136" s="422">
        <v>1.5328301658028198E-21</v>
      </c>
      <c r="DW136" s="422">
        <v>9.5029614335678498E-21</v>
      </c>
      <c r="DX136" s="422">
        <v>8.3538865198706702E-19</v>
      </c>
      <c r="DY136" s="422">
        <v>1.0844612534714198E-21</v>
      </c>
      <c r="DZ136" s="422">
        <v>4.3632211901184268E-17</v>
      </c>
      <c r="EA136" s="422">
        <v>1.6701005706872005E-16</v>
      </c>
      <c r="EB136" s="422">
        <v>-2.2666943411780018E-17</v>
      </c>
      <c r="EC136" s="422">
        <v>1.1114436738585978E-16</v>
      </c>
      <c r="ED136" s="422">
        <v>-1.9488266889174971E-20</v>
      </c>
      <c r="EE136" s="422">
        <v>-2.0363540496169425E-20</v>
      </c>
      <c r="EF136" s="422">
        <v>-2.7930028353913937E-20</v>
      </c>
      <c r="EG136" s="422">
        <v>2.2053156560097628E-20</v>
      </c>
      <c r="EH136" s="422">
        <v>2.041708282509813E-5</v>
      </c>
      <c r="EI136" s="423">
        <v>2.041708282509813E-5</v>
      </c>
      <c r="EJ136" s="444"/>
      <c r="EK136" s="367"/>
      <c r="EL136" s="367"/>
      <c r="EM136" s="367"/>
      <c r="EN136" s="367"/>
      <c r="EO136" s="367"/>
      <c r="EP136" s="367"/>
      <c r="EQ136" s="367"/>
    </row>
    <row r="137" spans="1:147" x14ac:dyDescent="0.2">
      <c r="A137" s="192"/>
      <c r="B137" s="19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192"/>
      <c r="O137" s="192"/>
      <c r="P137" s="192"/>
      <c r="Q137" s="192"/>
      <c r="R137" s="192"/>
      <c r="S137" s="266"/>
      <c r="T137" s="265"/>
      <c r="U137" s="265"/>
      <c r="V137" s="265"/>
      <c r="W137" s="265"/>
      <c r="X137" s="265"/>
      <c r="Y137" s="265"/>
      <c r="Z137" s="265"/>
      <c r="AA137" s="265"/>
      <c r="AB137" s="265"/>
      <c r="AC137" s="265"/>
      <c r="AD137" s="265"/>
      <c r="AE137" s="265"/>
      <c r="AF137" s="265"/>
      <c r="AG137" s="265"/>
      <c r="AH137" s="265"/>
      <c r="AI137" s="192"/>
      <c r="AJ137" s="192"/>
      <c r="AK137" s="369"/>
      <c r="AL137" s="367"/>
      <c r="AM137" s="420" t="s">
        <v>15</v>
      </c>
      <c r="AN137" s="421">
        <v>6.6194161263410933E-11</v>
      </c>
      <c r="AO137" s="422">
        <v>6.6194161263881909E-11</v>
      </c>
      <c r="AP137" s="422">
        <v>6.6194161263410933E-11</v>
      </c>
      <c r="AQ137" s="422">
        <v>6.6194161263410933E-11</v>
      </c>
      <c r="AR137" s="422">
        <v>6.6194161263411218E-11</v>
      </c>
      <c r="AS137" s="422">
        <v>6.6194161263410804E-11</v>
      </c>
      <c r="AT137" s="422">
        <v>6.6194161287009711E-11</v>
      </c>
      <c r="AU137" s="422">
        <v>6.6194161263410933E-11</v>
      </c>
      <c r="AV137" s="422">
        <v>6.6194161263410933E-11</v>
      </c>
      <c r="AW137" s="422">
        <v>6.6194161263493716E-11</v>
      </c>
      <c r="AX137" s="422">
        <v>6.6194161263410895E-11</v>
      </c>
      <c r="AY137" s="422">
        <v>6.6194161263410933E-11</v>
      </c>
      <c r="AZ137" s="422">
        <v>6.6194161264394516E-11</v>
      </c>
      <c r="BA137" s="422">
        <v>6.6194161264731592E-11</v>
      </c>
      <c r="BB137" s="422">
        <v>6.6194161263627616E-11</v>
      </c>
      <c r="BC137" s="422">
        <v>6.6194161301564329E-11</v>
      </c>
      <c r="BD137" s="422">
        <v>6.619416126428379E-11</v>
      </c>
      <c r="BE137" s="422">
        <v>6.6194161263713862E-11</v>
      </c>
      <c r="BF137" s="422">
        <v>6.6194161263410933E-11</v>
      </c>
      <c r="BG137" s="422">
        <v>6.6194161263541292E-11</v>
      </c>
      <c r="BH137" s="422">
        <v>6.6194161265373484E-11</v>
      </c>
      <c r="BI137" s="422">
        <v>6.6194161263410933E-11</v>
      </c>
      <c r="BJ137" s="422">
        <v>6.61941612637093E-11</v>
      </c>
      <c r="BK137" s="422">
        <v>6.6194161263433939E-11</v>
      </c>
      <c r="BL137" s="422">
        <v>6.6194161263410933E-11</v>
      </c>
      <c r="BM137" s="422">
        <v>6.619416126351066E-11</v>
      </c>
      <c r="BN137" s="422">
        <v>6.6194161265365419E-11</v>
      </c>
      <c r="BO137" s="422">
        <v>6.6194161263754769E-11</v>
      </c>
      <c r="BP137" s="422">
        <v>6.6194161263940122E-11</v>
      </c>
      <c r="BQ137" s="422">
        <v>6.6194161266946252E-11</v>
      </c>
      <c r="BR137" s="422">
        <v>6.6194161263432996E-11</v>
      </c>
      <c r="BS137" s="422">
        <v>6.6194161263758091E-11</v>
      </c>
      <c r="BT137" s="422">
        <v>6.6194161263444085E-11</v>
      </c>
      <c r="BU137" s="422">
        <v>6.6194161263513129E-11</v>
      </c>
      <c r="BV137" s="422">
        <v>6.6194161263469547E-11</v>
      </c>
      <c r="BW137" s="422">
        <v>6.6194161263639106E-11</v>
      </c>
      <c r="BX137" s="422">
        <v>6.6194161264411964E-11</v>
      </c>
      <c r="BY137" s="422">
        <v>6.6194161314241932E-11</v>
      </c>
      <c r="BZ137" s="422">
        <v>6.6194161263745101E-11</v>
      </c>
      <c r="CA137" s="422">
        <v>6.6194161263675256E-11</v>
      </c>
      <c r="CB137" s="422">
        <v>6.6194161263417047E-11</v>
      </c>
      <c r="CC137" s="422">
        <v>6.6194161263611344E-11</v>
      </c>
      <c r="CD137" s="422">
        <v>6.619416126383688E-11</v>
      </c>
      <c r="CE137" s="422">
        <v>6.6194161263819845E-11</v>
      </c>
      <c r="CF137" s="422">
        <v>6.6194161263652535E-11</v>
      </c>
      <c r="CG137" s="422">
        <v>6.6194161269451549E-11</v>
      </c>
      <c r="CH137" s="422">
        <v>6.6194161263410933E-11</v>
      </c>
      <c r="CI137" s="422">
        <v>6.6194161263410933E-11</v>
      </c>
      <c r="CJ137" s="422">
        <v>6.6194161270986473E-11</v>
      </c>
      <c r="CK137" s="422">
        <v>6.6194161263419541E-11</v>
      </c>
      <c r="CL137" s="422">
        <v>6.6194161263410933E-11</v>
      </c>
      <c r="CM137" s="422">
        <v>6.6194161263853036E-11</v>
      </c>
      <c r="CN137" s="422">
        <v>6.6194161264153173E-11</v>
      </c>
      <c r="CO137" s="422">
        <v>6.6194168093071501E-11</v>
      </c>
      <c r="CP137" s="422">
        <v>6.6194246123105363E-11</v>
      </c>
      <c r="CQ137" s="422">
        <v>6.6194161263410933E-11</v>
      </c>
      <c r="CR137" s="422">
        <v>6.6194161263702786E-11</v>
      </c>
      <c r="CS137" s="422">
        <v>6.6194203738379914E-11</v>
      </c>
      <c r="CT137" s="422">
        <v>6.6194161272795814E-11</v>
      </c>
      <c r="CU137" s="422">
        <v>6.6194161263481244E-11</v>
      </c>
      <c r="CV137" s="422">
        <v>6.6194161263979219E-11</v>
      </c>
      <c r="CW137" s="422">
        <v>6.6194161263410933E-11</v>
      </c>
      <c r="CX137" s="422">
        <v>6.6194161263410933E-11</v>
      </c>
      <c r="CY137" s="422">
        <v>6.6194161402805562E-11</v>
      </c>
      <c r="CZ137" s="422">
        <v>6.6194161263586024E-11</v>
      </c>
      <c r="DA137" s="422">
        <v>6.6194161266575726E-11</v>
      </c>
      <c r="DB137" s="422">
        <v>6.6194161263721501E-11</v>
      </c>
      <c r="DC137" s="422">
        <v>6.6194161263413945E-11</v>
      </c>
      <c r="DD137" s="422">
        <v>6.6194161263887544E-11</v>
      </c>
      <c r="DE137" s="422">
        <v>6.6194161277219809E-11</v>
      </c>
      <c r="DF137" s="422">
        <v>6.6194161263454929E-11</v>
      </c>
      <c r="DG137" s="422">
        <v>6.6194161264870623E-11</v>
      </c>
      <c r="DH137" s="422">
        <v>6.6194161271317746E-11</v>
      </c>
      <c r="DI137" s="422">
        <v>6.6194161263461378E-11</v>
      </c>
      <c r="DJ137" s="422">
        <v>6.6194192307387912E-11</v>
      </c>
      <c r="DK137" s="422">
        <v>6.6194161302272447E-11</v>
      </c>
      <c r="DL137" s="422">
        <v>6.6194161263438877E-11</v>
      </c>
      <c r="DM137" s="422">
        <v>6.6194161264483192E-11</v>
      </c>
      <c r="DN137" s="422">
        <v>6.6194161263471654E-11</v>
      </c>
      <c r="DO137" s="422">
        <v>6.6194161263410933E-11</v>
      </c>
      <c r="DP137" s="422">
        <v>6.6194184752252206E-11</v>
      </c>
      <c r="DQ137" s="422">
        <v>6.6194161264529062E-11</v>
      </c>
      <c r="DR137" s="422">
        <v>6.6194163220056214E-11</v>
      </c>
      <c r="DS137" s="422">
        <v>6.6194161263642337E-11</v>
      </c>
      <c r="DT137" s="422">
        <v>6.6194219884270246E-11</v>
      </c>
      <c r="DU137" s="422">
        <v>6.6194161263410933E-11</v>
      </c>
      <c r="DV137" s="422">
        <v>6.6194161307023113E-11</v>
      </c>
      <c r="DW137" s="422">
        <v>6.6194161341559455E-11</v>
      </c>
      <c r="DX137" s="422">
        <v>6.6194162817210687E-11</v>
      </c>
      <c r="DY137" s="422">
        <v>6.6194161268373694E-11</v>
      </c>
      <c r="DZ137" s="422">
        <v>6.6194161263410933E-11</v>
      </c>
      <c r="EA137" s="422">
        <v>6.6194161263410933E-11</v>
      </c>
      <c r="EB137" s="422">
        <v>6.6194227847650344E-11</v>
      </c>
      <c r="EC137" s="422">
        <v>6.619418595754889E-11</v>
      </c>
      <c r="ED137" s="422">
        <v>6.6194161277732583E-11</v>
      </c>
      <c r="EE137" s="422">
        <v>6.6194161263410933E-11</v>
      </c>
      <c r="EF137" s="422">
        <v>6.6194161263410933E-11</v>
      </c>
      <c r="EG137" s="422">
        <v>6.6194161263410933E-11</v>
      </c>
      <c r="EH137" s="422">
        <v>1.8537452282897199E-5</v>
      </c>
      <c r="EI137" s="423">
        <v>1.8537452282897199E-5</v>
      </c>
      <c r="EJ137" s="444"/>
      <c r="EK137" s="367"/>
      <c r="EL137" s="367"/>
      <c r="EM137" s="367"/>
      <c r="EN137" s="367"/>
      <c r="EO137" s="367"/>
      <c r="EP137" s="367"/>
      <c r="EQ137" s="367"/>
    </row>
    <row r="138" spans="1:147" x14ac:dyDescent="0.2">
      <c r="A138" s="192"/>
      <c r="B138" s="19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192"/>
      <c r="O138" s="192"/>
      <c r="P138" s="192"/>
      <c r="Q138" s="192"/>
      <c r="R138" s="192"/>
      <c r="S138" s="266"/>
      <c r="T138" s="265"/>
      <c r="U138" s="265"/>
      <c r="V138" s="265"/>
      <c r="W138" s="265"/>
      <c r="X138" s="265"/>
      <c r="Y138" s="265"/>
      <c r="Z138" s="265"/>
      <c r="AA138" s="265"/>
      <c r="AB138" s="265"/>
      <c r="AC138" s="265"/>
      <c r="AD138" s="265"/>
      <c r="AE138" s="265"/>
      <c r="AF138" s="265"/>
      <c r="AG138" s="265"/>
      <c r="AH138" s="265"/>
      <c r="AI138" s="192"/>
      <c r="AJ138" s="192"/>
      <c r="AK138" s="369"/>
      <c r="AL138" s="367"/>
      <c r="AM138" s="420" t="s">
        <v>16</v>
      </c>
      <c r="AN138" s="421">
        <v>1.0672215162885923E-9</v>
      </c>
      <c r="AO138" s="422">
        <v>1.0672215162886409E-9</v>
      </c>
      <c r="AP138" s="422">
        <v>3.0916838750719868E-11</v>
      </c>
      <c r="AQ138" s="422">
        <v>2.0393877743048426E-10</v>
      </c>
      <c r="AR138" s="422">
        <v>1.0672215162826521E-9</v>
      </c>
      <c r="AS138" s="422">
        <v>2.0393877743080547E-10</v>
      </c>
      <c r="AT138" s="422">
        <v>1.0672215163355005E-9</v>
      </c>
      <c r="AU138" s="422">
        <v>1.0672215162841685E-9</v>
      </c>
      <c r="AV138" s="422">
        <v>2.0393877743002693E-10</v>
      </c>
      <c r="AW138" s="422">
        <v>1.0672215162873662E-9</v>
      </c>
      <c r="AX138" s="422">
        <v>2.0393877747543737E-10</v>
      </c>
      <c r="AY138" s="422">
        <v>-1.0212069019922061E-22</v>
      </c>
      <c r="AZ138" s="422">
        <v>-9.0847516624444396E-22</v>
      </c>
      <c r="BA138" s="422">
        <v>-5.2600047380173708E-22</v>
      </c>
      <c r="BB138" s="422">
        <v>8.6258674677256701E-23</v>
      </c>
      <c r="BC138" s="422">
        <v>5.1613455710780677E-20</v>
      </c>
      <c r="BD138" s="422">
        <v>5.8694188917379632E-22</v>
      </c>
      <c r="BE138" s="422">
        <v>1.067221516288516E-9</v>
      </c>
      <c r="BF138" s="422">
        <v>3.7633185454176182E-10</v>
      </c>
      <c r="BG138" s="422">
        <v>2.1395862859255542E-10</v>
      </c>
      <c r="BH138" s="422">
        <v>1.3921522033236039E-21</v>
      </c>
      <c r="BI138" s="422">
        <v>1.067221516291798E-9</v>
      </c>
      <c r="BJ138" s="422">
        <v>1.5401197615582264E-4</v>
      </c>
      <c r="BK138" s="422">
        <v>4.5189013838964727E-4</v>
      </c>
      <c r="BL138" s="422">
        <v>7.6920609395028335E-4</v>
      </c>
      <c r="BM138" s="422">
        <v>1.1080810084660067E-3</v>
      </c>
      <c r="BN138" s="422">
        <v>1.4308069853728809E-3</v>
      </c>
      <c r="BO138" s="422">
        <v>1.7910309327989068E-3</v>
      </c>
      <c r="BP138" s="422">
        <v>2.142212412597651E-3</v>
      </c>
      <c r="BQ138" s="422">
        <v>2.4166521041770182E-3</v>
      </c>
      <c r="BR138" s="422">
        <v>2.7398425804561898E-3</v>
      </c>
      <c r="BS138" s="422">
        <v>2.9940679082397642E-3</v>
      </c>
      <c r="BT138" s="422">
        <v>3.3025759607325685E-3</v>
      </c>
      <c r="BU138" s="422">
        <v>3.4993238367091763E-3</v>
      </c>
      <c r="BV138" s="422">
        <v>3.4993238367091776E-3</v>
      </c>
      <c r="BW138" s="422">
        <v>3.4993238367091784E-3</v>
      </c>
      <c r="BX138" s="422">
        <v>3.4993238367091771E-3</v>
      </c>
      <c r="BY138" s="422">
        <v>3.4993238367091771E-3</v>
      </c>
      <c r="BZ138" s="422">
        <v>3.4993238367091767E-3</v>
      </c>
      <c r="CA138" s="422">
        <v>3.4993237873697752E-3</v>
      </c>
      <c r="CB138" s="422">
        <v>3.4993237873697748E-3</v>
      </c>
      <c r="CC138" s="422">
        <v>3.4993237873697748E-3</v>
      </c>
      <c r="CD138" s="422">
        <v>3.4993237873697748E-3</v>
      </c>
      <c r="CE138" s="422">
        <v>2.2633799565584009E-3</v>
      </c>
      <c r="CF138" s="422">
        <v>1.8550947399368095E-21</v>
      </c>
      <c r="CG138" s="422">
        <v>-2.3310185038395107E-20</v>
      </c>
      <c r="CH138" s="422">
        <v>1.4959662330808691E-20</v>
      </c>
      <c r="CI138" s="422">
        <v>-4.4938019897804565E-20</v>
      </c>
      <c r="CJ138" s="422">
        <v>1.0327270066723077E-21</v>
      </c>
      <c r="CK138" s="422">
        <v>-2.7804621826413662E-23</v>
      </c>
      <c r="CL138" s="422">
        <v>4.1533723571878374E-20</v>
      </c>
      <c r="CM138" s="422">
        <v>1.4334210205258012E-21</v>
      </c>
      <c r="CN138" s="422">
        <v>1.0632270978390101E-22</v>
      </c>
      <c r="CO138" s="422">
        <v>2.7381747836658692E-16</v>
      </c>
      <c r="CP138" s="422">
        <v>-4.333207300952563E-18</v>
      </c>
      <c r="CQ138" s="422">
        <v>7.2563465031352445E-17</v>
      </c>
      <c r="CR138" s="422">
        <v>-1.9678377025614277E-21</v>
      </c>
      <c r="CS138" s="422">
        <v>1.3269126633650543E-17</v>
      </c>
      <c r="CT138" s="422">
        <v>7.7750080598687442E-21</v>
      </c>
      <c r="CU138" s="422">
        <v>-2.5693192660305345E-21</v>
      </c>
      <c r="CV138" s="422">
        <v>-1.7651828722061015E-20</v>
      </c>
      <c r="CW138" s="422">
        <v>3.8136604792920344E-22</v>
      </c>
      <c r="CX138" s="422">
        <v>6.0198325279858388E-22</v>
      </c>
      <c r="CY138" s="422">
        <v>5.6312008333382911E-20</v>
      </c>
      <c r="CZ138" s="422">
        <v>-4.2030696200363986E-23</v>
      </c>
      <c r="DA138" s="422">
        <v>-1.1089160768219059E-19</v>
      </c>
      <c r="DB138" s="422">
        <v>2.0596963673524847E-19</v>
      </c>
      <c r="DC138" s="422">
        <v>1.120079020459638E-20</v>
      </c>
      <c r="DD138" s="422">
        <v>2.2182811741403106E-22</v>
      </c>
      <c r="DE138" s="422">
        <v>-2.2769821085409976E-20</v>
      </c>
      <c r="DF138" s="422">
        <v>6.270392816135974E-20</v>
      </c>
      <c r="DG138" s="422">
        <v>1.5054118204006487E-21</v>
      </c>
      <c r="DH138" s="422">
        <v>-2.9185251269389362E-19</v>
      </c>
      <c r="DI138" s="422">
        <v>-1.8071580335700577E-21</v>
      </c>
      <c r="DJ138" s="422">
        <v>-1.0140060581253194E-17</v>
      </c>
      <c r="DK138" s="422">
        <v>1.2231809554266827E-19</v>
      </c>
      <c r="DL138" s="422">
        <v>1.6767994191671758E-17</v>
      </c>
      <c r="DM138" s="422">
        <v>7.2406027728695668E-23</v>
      </c>
      <c r="DN138" s="422">
        <v>-2.1941911605098037E-23</v>
      </c>
      <c r="DO138" s="422">
        <v>1.3433719902529702E-18</v>
      </c>
      <c r="DP138" s="422">
        <v>2.0501472281565315E-17</v>
      </c>
      <c r="DQ138" s="422">
        <v>5.4810913776912437E-20</v>
      </c>
      <c r="DR138" s="422">
        <v>3.8186846101436756E-19</v>
      </c>
      <c r="DS138" s="422">
        <v>2.4113846435710742E-23</v>
      </c>
      <c r="DT138" s="422">
        <v>4.2830435565586811E-17</v>
      </c>
      <c r="DU138" s="422">
        <v>2.493336666027167E-19</v>
      </c>
      <c r="DV138" s="422">
        <v>-5.2003733976318953E-20</v>
      </c>
      <c r="DW138" s="422">
        <v>8.580693085823707E-20</v>
      </c>
      <c r="DX138" s="422">
        <v>9.5788146043592632E-19</v>
      </c>
      <c r="DY138" s="422">
        <v>7.7050008209786663E-21</v>
      </c>
      <c r="DZ138" s="422">
        <v>-4.0282368219875435E-17</v>
      </c>
      <c r="EA138" s="422">
        <v>1.547496703784224E-17</v>
      </c>
      <c r="EB138" s="422">
        <v>3.6871780209175852E-16</v>
      </c>
      <c r="EC138" s="422">
        <v>4.4098096040025791E-16</v>
      </c>
      <c r="ED138" s="422">
        <v>-6.7619838376264583E-20</v>
      </c>
      <c r="EE138" s="422">
        <v>-1.1891411603236774E-19</v>
      </c>
      <c r="EF138" s="422">
        <v>-1.630991340252297E-19</v>
      </c>
      <c r="EG138" s="422">
        <v>6.9620304650615101E-20</v>
      </c>
      <c r="EH138" s="422">
        <v>1.8860932167820271E-5</v>
      </c>
      <c r="EI138" s="423">
        <v>1.8860932167820271E-5</v>
      </c>
      <c r="EJ138" s="444"/>
      <c r="EK138" s="367"/>
      <c r="EL138" s="367"/>
      <c r="EM138" s="367"/>
      <c r="EN138" s="367"/>
      <c r="EO138" s="367"/>
      <c r="EP138" s="367"/>
      <c r="EQ138" s="367"/>
    </row>
    <row r="139" spans="1:147" x14ac:dyDescent="0.2">
      <c r="A139" s="192"/>
      <c r="B139" s="19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192"/>
      <c r="O139" s="192"/>
      <c r="P139" s="192"/>
      <c r="Q139" s="192"/>
      <c r="R139" s="192"/>
      <c r="S139" s="266"/>
      <c r="T139" s="265"/>
      <c r="U139" s="265"/>
      <c r="V139" s="265"/>
      <c r="W139" s="265"/>
      <c r="X139" s="265"/>
      <c r="Y139" s="265"/>
      <c r="Z139" s="265"/>
      <c r="AA139" s="265"/>
      <c r="AB139" s="265"/>
      <c r="AC139" s="265"/>
      <c r="AD139" s="265"/>
      <c r="AE139" s="265"/>
      <c r="AF139" s="265"/>
      <c r="AG139" s="265"/>
      <c r="AH139" s="265"/>
      <c r="AI139" s="192"/>
      <c r="AJ139" s="192"/>
      <c r="AK139" s="369"/>
      <c r="AL139" s="367"/>
      <c r="AM139" s="420" t="s">
        <v>17</v>
      </c>
      <c r="AN139" s="421">
        <v>9.28112930105567E-10</v>
      </c>
      <c r="AO139" s="422">
        <v>9.281129301045111E-10</v>
      </c>
      <c r="AP139" s="422">
        <v>2.6886937121162802E-11</v>
      </c>
      <c r="AQ139" s="422">
        <v>1.7735607218739911E-10</v>
      </c>
      <c r="AR139" s="422">
        <v>9.2811293010001951E-10</v>
      </c>
      <c r="AS139" s="422">
        <v>1.773560721881366E-10</v>
      </c>
      <c r="AT139" s="422">
        <v>2.688693712121947E-11</v>
      </c>
      <c r="AU139" s="422">
        <v>9.2811293011402006E-10</v>
      </c>
      <c r="AV139" s="422">
        <v>1.7735607218708647E-10</v>
      </c>
      <c r="AW139" s="422">
        <v>2.6886937121161984E-11</v>
      </c>
      <c r="AX139" s="422">
        <v>1.77356072207578E-10</v>
      </c>
      <c r="AY139" s="422">
        <v>2.6886937121162191E-11</v>
      </c>
      <c r="AZ139" s="422">
        <v>2.6886937121162191E-11</v>
      </c>
      <c r="BA139" s="422">
        <v>2.6886937121162191E-11</v>
      </c>
      <c r="BB139" s="422">
        <v>2.6886937121162191E-11</v>
      </c>
      <c r="BC139" s="422">
        <v>2.6886937121162191E-11</v>
      </c>
      <c r="BD139" s="422">
        <v>2.6886937121162191E-11</v>
      </c>
      <c r="BE139" s="422">
        <v>2.6886937121162191E-11</v>
      </c>
      <c r="BF139" s="422">
        <v>2.6886937121162191E-11</v>
      </c>
      <c r="BG139" s="422">
        <v>2.6886937121162191E-11</v>
      </c>
      <c r="BH139" s="422">
        <v>2.6886937121162191E-11</v>
      </c>
      <c r="BI139" s="422">
        <v>2.6886937121162191E-11</v>
      </c>
      <c r="BJ139" s="422">
        <v>2.6886937122013318E-11</v>
      </c>
      <c r="BK139" s="422">
        <v>2.6886937121322693E-11</v>
      </c>
      <c r="BL139" s="422">
        <v>2.6886937121162191E-11</v>
      </c>
      <c r="BM139" s="422">
        <v>2.6886937132156927E-11</v>
      </c>
      <c r="BN139" s="422">
        <v>2.1684842002567912E-4</v>
      </c>
      <c r="BO139" s="422">
        <v>5.2574180493645921E-4</v>
      </c>
      <c r="BP139" s="422">
        <v>1.3534215077293783E-3</v>
      </c>
      <c r="BQ139" s="422">
        <v>2.1016499679008217E-3</v>
      </c>
      <c r="BR139" s="422">
        <v>2.3827136977293572E-3</v>
      </c>
      <c r="BS139" s="422">
        <v>2.6038016445846112E-3</v>
      </c>
      <c r="BT139" s="422">
        <v>2.8720967531349782E-3</v>
      </c>
      <c r="BU139" s="422">
        <v>3.0431992326834809E-3</v>
      </c>
      <c r="BV139" s="422">
        <v>3.0431992326834809E-3</v>
      </c>
      <c r="BW139" s="422">
        <v>3.0431992326834831E-3</v>
      </c>
      <c r="BX139" s="422">
        <v>3.0431992326834809E-3</v>
      </c>
      <c r="BY139" s="422">
        <v>3.0431992326834813E-3</v>
      </c>
      <c r="BZ139" s="422">
        <v>3.0431992326834805E-3</v>
      </c>
      <c r="CA139" s="422">
        <v>3.0431991897752974E-3</v>
      </c>
      <c r="CB139" s="422">
        <v>7.036758982053769E-4</v>
      </c>
      <c r="CC139" s="422">
        <v>2.6886937121866125E-11</v>
      </c>
      <c r="CD139" s="422">
        <v>2.6886937121539763E-11</v>
      </c>
      <c r="CE139" s="422">
        <v>2.6886937121470729E-11</v>
      </c>
      <c r="CF139" s="422">
        <v>2.6886937121212956E-11</v>
      </c>
      <c r="CG139" s="422">
        <v>2.6886937121168359E-11</v>
      </c>
      <c r="CH139" s="422">
        <v>2.6886937121162191E-11</v>
      </c>
      <c r="CI139" s="422">
        <v>2.6886937121162191E-11</v>
      </c>
      <c r="CJ139" s="422">
        <v>2.6886937121162191E-11</v>
      </c>
      <c r="CK139" s="422">
        <v>2.6886937121294811E-11</v>
      </c>
      <c r="CL139" s="422">
        <v>2.6886937121162191E-11</v>
      </c>
      <c r="CM139" s="422">
        <v>2.6886937123394571E-11</v>
      </c>
      <c r="CN139" s="422">
        <v>2.6886937124116376E-11</v>
      </c>
      <c r="CO139" s="422">
        <v>2.6886953824251429E-11</v>
      </c>
      <c r="CP139" s="422">
        <v>2.6886937121162669E-11</v>
      </c>
      <c r="CQ139" s="422">
        <v>2.6886939002087659E-11</v>
      </c>
      <c r="CR139" s="422">
        <v>2.6886937122295083E-11</v>
      </c>
      <c r="CS139" s="422">
        <v>2.688699578550157E-11</v>
      </c>
      <c r="CT139" s="422">
        <v>2.6886937121393478E-11</v>
      </c>
      <c r="CU139" s="422">
        <v>2.6886937121164233E-11</v>
      </c>
      <c r="CV139" s="422">
        <v>2.6886937121531753E-11</v>
      </c>
      <c r="CW139" s="422">
        <v>2.6886937121162191E-11</v>
      </c>
      <c r="CX139" s="422">
        <v>2.6886937121162191E-11</v>
      </c>
      <c r="CY139" s="422">
        <v>2.6886937320443394E-11</v>
      </c>
      <c r="CZ139" s="422">
        <v>2.6886937121288501E-11</v>
      </c>
      <c r="DA139" s="422">
        <v>2.6886937121821813E-11</v>
      </c>
      <c r="DB139" s="422">
        <v>2.6886937145359641E-11</v>
      </c>
      <c r="DC139" s="422">
        <v>2.6886937121165629E-11</v>
      </c>
      <c r="DD139" s="422">
        <v>2.6886937121706489E-11</v>
      </c>
      <c r="DE139" s="422">
        <v>2.688693713693362E-11</v>
      </c>
      <c r="DF139" s="422">
        <v>2.6886937128320599E-11</v>
      </c>
      <c r="DG139" s="422">
        <v>2.6886937122829341E-11</v>
      </c>
      <c r="DH139" s="422">
        <v>2.6886937121162191E-11</v>
      </c>
      <c r="DI139" s="422">
        <v>2.6886937121167665E-11</v>
      </c>
      <c r="DJ139" s="422">
        <v>2.6886937121162191E-11</v>
      </c>
      <c r="DK139" s="422">
        <v>2.688693713034704E-11</v>
      </c>
      <c r="DL139" s="422">
        <v>2.6886937357629269E-11</v>
      </c>
      <c r="DM139" s="422">
        <v>2.6886937121288559E-11</v>
      </c>
      <c r="DN139" s="422">
        <v>2.6886937121271912E-11</v>
      </c>
      <c r="DO139" s="422">
        <v>2.6886937350901089E-11</v>
      </c>
      <c r="DP139" s="422">
        <v>2.688694806331788E-11</v>
      </c>
      <c r="DQ139" s="422">
        <v>2.6886938306947335E-11</v>
      </c>
      <c r="DR139" s="422">
        <v>2.68869374397171E-11</v>
      </c>
      <c r="DS139" s="422">
        <v>2.6886937121162191E-11</v>
      </c>
      <c r="DT139" s="422">
        <v>2.6886970383374723E-11</v>
      </c>
      <c r="DU139" s="422">
        <v>2.6886937121162191E-11</v>
      </c>
      <c r="DV139" s="422">
        <v>2.6886937149832998E-11</v>
      </c>
      <c r="DW139" s="422">
        <v>2.6886937166925874E-11</v>
      </c>
      <c r="DX139" s="422">
        <v>2.6886937719838134E-11</v>
      </c>
      <c r="DY139" s="422">
        <v>2.6886937121182328E-11</v>
      </c>
      <c r="DZ139" s="422">
        <v>2.6886948440820623E-11</v>
      </c>
      <c r="EA139" s="422">
        <v>2.688706486316923E-11</v>
      </c>
      <c r="EB139" s="422">
        <v>2.6886937121162191E-11</v>
      </c>
      <c r="EC139" s="422">
        <v>2.6886937121162191E-11</v>
      </c>
      <c r="ED139" s="422">
        <v>2.6886937142897147E-11</v>
      </c>
      <c r="EE139" s="422">
        <v>2.6886937121162191E-11</v>
      </c>
      <c r="EF139" s="422">
        <v>2.6886937121162191E-11</v>
      </c>
      <c r="EG139" s="422">
        <v>2.6886937138567273E-11</v>
      </c>
      <c r="EH139" s="422">
        <v>2.0025015871265804E-5</v>
      </c>
      <c r="EI139" s="423">
        <v>2.0025015871265804E-5</v>
      </c>
      <c r="EJ139" s="444"/>
      <c r="EK139" s="367"/>
      <c r="EL139" s="367"/>
      <c r="EM139" s="367"/>
      <c r="EN139" s="367"/>
      <c r="EO139" s="367"/>
      <c r="EP139" s="367"/>
      <c r="EQ139" s="367"/>
    </row>
    <row r="140" spans="1:147" x14ac:dyDescent="0.2">
      <c r="A140" s="192"/>
      <c r="B140" s="19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192"/>
      <c r="O140" s="192"/>
      <c r="P140" s="192"/>
      <c r="Q140" s="192"/>
      <c r="R140" s="192"/>
      <c r="S140" s="266"/>
      <c r="T140" s="265"/>
      <c r="U140" s="265"/>
      <c r="V140" s="265"/>
      <c r="W140" s="265"/>
      <c r="X140" s="265"/>
      <c r="Y140" s="265"/>
      <c r="Z140" s="265"/>
      <c r="AA140" s="265"/>
      <c r="AB140" s="265"/>
      <c r="AC140" s="265"/>
      <c r="AD140" s="265"/>
      <c r="AE140" s="265"/>
      <c r="AF140" s="265"/>
      <c r="AG140" s="265"/>
      <c r="AH140" s="265"/>
      <c r="AI140" s="192"/>
      <c r="AJ140" s="192"/>
      <c r="AK140" s="369"/>
      <c r="AL140" s="367"/>
      <c r="AM140" s="420" t="s">
        <v>146</v>
      </c>
      <c r="AN140" s="421">
        <v>9.6179064712819455E-11</v>
      </c>
      <c r="AO140" s="422">
        <v>9.6179064712487161E-11</v>
      </c>
      <c r="AP140" s="422">
        <v>9.6179064712487161E-11</v>
      </c>
      <c r="AQ140" s="422">
        <v>9.6179064712487161E-11</v>
      </c>
      <c r="AR140" s="422">
        <v>9.6179064717719583E-11</v>
      </c>
      <c r="AS140" s="422">
        <v>9.6179064714127447E-11</v>
      </c>
      <c r="AT140" s="422">
        <v>9.6179064716037343E-11</v>
      </c>
      <c r="AU140" s="422">
        <v>9.6179064712487161E-11</v>
      </c>
      <c r="AV140" s="422">
        <v>9.6179064712507117E-11</v>
      </c>
      <c r="AW140" s="422">
        <v>9.6179064712801968E-11</v>
      </c>
      <c r="AX140" s="422">
        <v>9.6179064739862548E-11</v>
      </c>
      <c r="AY140" s="422">
        <v>9.6179064712487161E-11</v>
      </c>
      <c r="AZ140" s="422">
        <v>9.6179064712487161E-11</v>
      </c>
      <c r="BA140" s="422">
        <v>9.6179064712487161E-11</v>
      </c>
      <c r="BB140" s="422">
        <v>9.6179064712487161E-11</v>
      </c>
      <c r="BC140" s="422">
        <v>9.6179064712487161E-11</v>
      </c>
      <c r="BD140" s="422">
        <v>9.6179064712487161E-11</v>
      </c>
      <c r="BE140" s="422">
        <v>9.6179064712691682E-11</v>
      </c>
      <c r="BF140" s="422">
        <v>9.6179064712487161E-11</v>
      </c>
      <c r="BG140" s="422">
        <v>9.6179064712607593E-11</v>
      </c>
      <c r="BH140" s="422">
        <v>9.6179064712487161E-11</v>
      </c>
      <c r="BI140" s="422">
        <v>9.6179064712760014E-11</v>
      </c>
      <c r="BJ140" s="422">
        <v>9.6179064712487161E-11</v>
      </c>
      <c r="BK140" s="422">
        <v>9.6179064712579495E-11</v>
      </c>
      <c r="BL140" s="422">
        <v>9.6179064712525263E-11</v>
      </c>
      <c r="BM140" s="422">
        <v>9.6179064716681187E-11</v>
      </c>
      <c r="BN140" s="422">
        <v>9.6179064712487161E-11</v>
      </c>
      <c r="BO140" s="422">
        <v>9.6179064712575282E-11</v>
      </c>
      <c r="BP140" s="422">
        <v>9.6179064712796385E-11</v>
      </c>
      <c r="BQ140" s="422">
        <v>9.6179064712487161E-11</v>
      </c>
      <c r="BR140" s="422">
        <v>9.6179064712571753E-11</v>
      </c>
      <c r="BS140" s="422">
        <v>9.6179064713254836E-11</v>
      </c>
      <c r="BT140" s="422">
        <v>9.6179064712621668E-11</v>
      </c>
      <c r="BU140" s="422">
        <v>9.6179064712487161E-11</v>
      </c>
      <c r="BV140" s="422">
        <v>9.6179064712571999E-11</v>
      </c>
      <c r="BW140" s="422">
        <v>9.6179064712840962E-11</v>
      </c>
      <c r="BX140" s="422">
        <v>9.6179064712487161E-11</v>
      </c>
      <c r="BY140" s="422">
        <v>9.6179064712487588E-11</v>
      </c>
      <c r="BZ140" s="422">
        <v>9.617906471254403E-11</v>
      </c>
      <c r="CA140" s="422">
        <v>9.6179064712949503E-11</v>
      </c>
      <c r="CB140" s="422">
        <v>9.6179064712514613E-11</v>
      </c>
      <c r="CC140" s="422">
        <v>9.6179064712591205E-11</v>
      </c>
      <c r="CD140" s="422">
        <v>9.6179064712517715E-11</v>
      </c>
      <c r="CE140" s="422">
        <v>9.6179064712487161E-11</v>
      </c>
      <c r="CF140" s="422">
        <v>9.6179064714827643E-11</v>
      </c>
      <c r="CG140" s="422">
        <v>9.6179064717412001E-11</v>
      </c>
      <c r="CH140" s="422">
        <v>9.61790647611952E-11</v>
      </c>
      <c r="CI140" s="422">
        <v>9.6179064712487161E-11</v>
      </c>
      <c r="CJ140" s="422">
        <v>9.6179064712487161E-11</v>
      </c>
      <c r="CK140" s="422">
        <v>9.61790647126249E-11</v>
      </c>
      <c r="CL140" s="422">
        <v>9.6179064712487161E-11</v>
      </c>
      <c r="CM140" s="422">
        <v>9.6179064712533897E-11</v>
      </c>
      <c r="CN140" s="422">
        <v>9.6179064715707492E-11</v>
      </c>
      <c r="CO140" s="422">
        <v>9.6179119328285069E-11</v>
      </c>
      <c r="CP140" s="422">
        <v>9.6179065702559036E-11</v>
      </c>
      <c r="CQ140" s="422">
        <v>9.6179081896182679E-11</v>
      </c>
      <c r="CR140" s="422">
        <v>9.6179064713011736E-11</v>
      </c>
      <c r="CS140" s="422">
        <v>9.6179076178145514E-11</v>
      </c>
      <c r="CT140" s="422">
        <v>9.6179064718503026E-11</v>
      </c>
      <c r="CU140" s="422">
        <v>9.6179064712488118E-11</v>
      </c>
      <c r="CV140" s="422">
        <v>9.6179064712660804E-11</v>
      </c>
      <c r="CW140" s="422">
        <v>9.6179064712801865E-11</v>
      </c>
      <c r="CX140" s="422">
        <v>9.6179064712983922E-11</v>
      </c>
      <c r="CY140" s="422">
        <v>9.6179064714235886E-11</v>
      </c>
      <c r="CZ140" s="422">
        <v>9.617906471267497E-11</v>
      </c>
      <c r="DA140" s="422">
        <v>9.6179064712797108E-11</v>
      </c>
      <c r="DB140" s="422">
        <v>9.6179064723854665E-11</v>
      </c>
      <c r="DC140" s="422">
        <v>9.6179064721734549E-11</v>
      </c>
      <c r="DD140" s="422">
        <v>9.6179064713318452E-11</v>
      </c>
      <c r="DE140" s="422">
        <v>9.6179064712487161E-11</v>
      </c>
      <c r="DF140" s="422">
        <v>9.6179064715850064E-11</v>
      </c>
      <c r="DG140" s="422">
        <v>9.617906471571557E-11</v>
      </c>
      <c r="DH140" s="422">
        <v>9.6179064712487161E-11</v>
      </c>
      <c r="DI140" s="422">
        <v>9.6179064712489733E-11</v>
      </c>
      <c r="DJ140" s="422">
        <v>9.6179087075338493E-11</v>
      </c>
      <c r="DK140" s="422">
        <v>9.6179064712487161E-11</v>
      </c>
      <c r="DL140" s="422">
        <v>9.6179156732565266E-11</v>
      </c>
      <c r="DM140" s="422">
        <v>9.6179064712516966E-11</v>
      </c>
      <c r="DN140" s="422">
        <v>9.6179064712497591E-11</v>
      </c>
      <c r="DO140" s="422">
        <v>9.6179064712487161E-11</v>
      </c>
      <c r="DP140" s="422">
        <v>9.6179083010625476E-11</v>
      </c>
      <c r="DQ140" s="422">
        <v>9.6179065135807851E-11</v>
      </c>
      <c r="DR140" s="422">
        <v>9.6179064712487161E-11</v>
      </c>
      <c r="DS140" s="422">
        <v>9.6179064712736375E-11</v>
      </c>
      <c r="DT140" s="422">
        <v>9.6179102160618154E-11</v>
      </c>
      <c r="DU140" s="422">
        <v>9.6179064737231688E-11</v>
      </c>
      <c r="DV140" s="422">
        <v>9.617906476600227E-11</v>
      </c>
      <c r="DW140" s="422">
        <v>9.6179064769691754E-11</v>
      </c>
      <c r="DX140" s="422">
        <v>9.6179064712487161E-11</v>
      </c>
      <c r="DY140" s="422">
        <v>9.6179064719586995E-11</v>
      </c>
      <c r="DZ140" s="422">
        <v>9.6179145032352289E-11</v>
      </c>
      <c r="EA140" s="422">
        <v>9.6179143610913518E-11</v>
      </c>
      <c r="EB140" s="422">
        <v>9.6179086727178923E-11</v>
      </c>
      <c r="EC140" s="422">
        <v>9.6179155872460823E-11</v>
      </c>
      <c r="ED140" s="422">
        <v>9.6179064712487161E-11</v>
      </c>
      <c r="EE140" s="422">
        <v>9.6179064712487161E-11</v>
      </c>
      <c r="EF140" s="422">
        <v>9.6179064712487161E-11</v>
      </c>
      <c r="EG140" s="422">
        <v>9.6179064799512559E-11</v>
      </c>
      <c r="EH140" s="422">
        <v>1.7260431998689554E-5</v>
      </c>
      <c r="EI140" s="423">
        <v>1.7260431998689554E-5</v>
      </c>
      <c r="EJ140" s="444"/>
      <c r="EK140" s="367"/>
      <c r="EL140" s="367"/>
      <c r="EM140" s="367"/>
      <c r="EN140" s="367"/>
      <c r="EO140" s="367"/>
      <c r="EP140" s="367"/>
      <c r="EQ140" s="367"/>
    </row>
    <row r="141" spans="1:147" x14ac:dyDescent="0.2">
      <c r="A141" s="192"/>
      <c r="B141" s="19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192"/>
      <c r="O141" s="192"/>
      <c r="P141" s="192"/>
      <c r="Q141" s="192"/>
      <c r="R141" s="192"/>
      <c r="S141" s="266"/>
      <c r="T141" s="265"/>
      <c r="U141" s="265"/>
      <c r="V141" s="265"/>
      <c r="W141" s="265"/>
      <c r="X141" s="265"/>
      <c r="Y141" s="265"/>
      <c r="Z141" s="265"/>
      <c r="AA141" s="265"/>
      <c r="AB141" s="265"/>
      <c r="AC141" s="265"/>
      <c r="AD141" s="265"/>
      <c r="AE141" s="265"/>
      <c r="AF141" s="265"/>
      <c r="AG141" s="265"/>
      <c r="AH141" s="265"/>
      <c r="AI141" s="192"/>
      <c r="AJ141" s="192"/>
      <c r="AK141" s="369"/>
      <c r="AL141" s="367"/>
      <c r="AM141" s="420" t="s">
        <v>18</v>
      </c>
      <c r="AN141" s="421">
        <v>5.7821694099402521E-9</v>
      </c>
      <c r="AO141" s="422">
        <v>5.7821694099402521E-9</v>
      </c>
      <c r="AP141" s="422">
        <v>5.7821694099402521E-9</v>
      </c>
      <c r="AQ141" s="422">
        <v>5.7821694099402521E-9</v>
      </c>
      <c r="AR141" s="422">
        <v>5.7821694099402521E-9</v>
      </c>
      <c r="AS141" s="422">
        <v>5.7821694099402521E-9</v>
      </c>
      <c r="AT141" s="422">
        <v>5.7821694099402521E-9</v>
      </c>
      <c r="AU141" s="422">
        <v>5.7821694099402521E-9</v>
      </c>
      <c r="AV141" s="422">
        <v>5.7821694099402521E-9</v>
      </c>
      <c r="AW141" s="422">
        <v>5.7821694099402521E-9</v>
      </c>
      <c r="AX141" s="422">
        <v>5.7821694099402521E-9</v>
      </c>
      <c r="AY141" s="422">
        <v>5.7821694099402521E-9</v>
      </c>
      <c r="AZ141" s="422">
        <v>5.7821694099402521E-9</v>
      </c>
      <c r="BA141" s="422">
        <v>5.7821694099402521E-9</v>
      </c>
      <c r="BB141" s="422">
        <v>5.7821694099402521E-9</v>
      </c>
      <c r="BC141" s="422">
        <v>5.7821694099402521E-9</v>
      </c>
      <c r="BD141" s="422">
        <v>5.7821694099402521E-9</v>
      </c>
      <c r="BE141" s="422">
        <v>5.7821694099402521E-9</v>
      </c>
      <c r="BF141" s="422">
        <v>5.7821694099402521E-9</v>
      </c>
      <c r="BG141" s="422">
        <v>5.7821694099402521E-9</v>
      </c>
      <c r="BH141" s="422">
        <v>5.7821694099402521E-9</v>
      </c>
      <c r="BI141" s="422">
        <v>5.7821694099402521E-9</v>
      </c>
      <c r="BJ141" s="422">
        <v>5.7821694099402521E-9</v>
      </c>
      <c r="BK141" s="422">
        <v>5.7821694099402521E-9</v>
      </c>
      <c r="BL141" s="422">
        <v>5.7821694099402521E-9</v>
      </c>
      <c r="BM141" s="422">
        <v>5.7821694099402521E-9</v>
      </c>
      <c r="BN141" s="422">
        <v>5.7821694099402521E-9</v>
      </c>
      <c r="BO141" s="422">
        <v>5.7821694099402521E-9</v>
      </c>
      <c r="BP141" s="422">
        <v>5.7821694099402521E-9</v>
      </c>
      <c r="BQ141" s="422">
        <v>5.7821694099402521E-9</v>
      </c>
      <c r="BR141" s="422">
        <v>5.7821694099402521E-9</v>
      </c>
      <c r="BS141" s="422">
        <v>5.7821694099402521E-9</v>
      </c>
      <c r="BT141" s="422">
        <v>5.7821694099402521E-9</v>
      </c>
      <c r="BU141" s="422">
        <v>5.7821694099402521E-9</v>
      </c>
      <c r="BV141" s="422">
        <v>5.7821694099402521E-9</v>
      </c>
      <c r="BW141" s="422">
        <v>5.7821694099402521E-9</v>
      </c>
      <c r="BX141" s="422">
        <v>5.7821694099402521E-9</v>
      </c>
      <c r="BY141" s="422">
        <v>5.7821694099402521E-9</v>
      </c>
      <c r="BZ141" s="422">
        <v>5.7821694099402521E-9</v>
      </c>
      <c r="CA141" s="422">
        <v>5.7821694099402521E-9</v>
      </c>
      <c r="CB141" s="422">
        <v>5.7821694099402521E-9</v>
      </c>
      <c r="CC141" s="422">
        <v>5.7821694099402835E-9</v>
      </c>
      <c r="CD141" s="422">
        <v>5.7821694099403207E-9</v>
      </c>
      <c r="CE141" s="422">
        <v>5.7821694099402678E-9</v>
      </c>
      <c r="CF141" s="422">
        <v>5.7821694099403158E-9</v>
      </c>
      <c r="CG141" s="422">
        <v>5.7821694099402728E-9</v>
      </c>
      <c r="CH141" s="422">
        <v>5.7821694099402521E-9</v>
      </c>
      <c r="CI141" s="422">
        <v>5.7821694099402521E-9</v>
      </c>
      <c r="CJ141" s="422">
        <v>5.7821694099402529E-9</v>
      </c>
      <c r="CK141" s="422">
        <v>5.782169409940391E-9</v>
      </c>
      <c r="CL141" s="422">
        <v>5.7821694099402521E-9</v>
      </c>
      <c r="CM141" s="422">
        <v>5.7821694099402744E-9</v>
      </c>
      <c r="CN141" s="422">
        <v>5.7821694099408121E-9</v>
      </c>
      <c r="CO141" s="422">
        <v>5.7821694099402521E-9</v>
      </c>
      <c r="CP141" s="422">
        <v>5.7821694099402637E-9</v>
      </c>
      <c r="CQ141" s="422">
        <v>5.7821694099402521E-9</v>
      </c>
      <c r="CR141" s="422">
        <v>5.7821694099402521E-9</v>
      </c>
      <c r="CS141" s="422">
        <v>5.7821694099403199E-9</v>
      </c>
      <c r="CT141" s="422">
        <v>5.7821694099402521E-9</v>
      </c>
      <c r="CU141" s="422">
        <v>5.7821694099402521E-9</v>
      </c>
      <c r="CV141" s="422">
        <v>5.7821694099402521E-9</v>
      </c>
      <c r="CW141" s="422">
        <v>5.7821694099402521E-9</v>
      </c>
      <c r="CX141" s="422">
        <v>5.7821694099402521E-9</v>
      </c>
      <c r="CY141" s="422">
        <v>5.7821694099402521E-9</v>
      </c>
      <c r="CZ141" s="422">
        <v>5.7821694099402521E-9</v>
      </c>
      <c r="DA141" s="422">
        <v>5.7821694099402521E-9</v>
      </c>
      <c r="DB141" s="422">
        <v>5.7821694099402521E-9</v>
      </c>
      <c r="DC141" s="422">
        <v>5.7821694099402521E-9</v>
      </c>
      <c r="DD141" s="422">
        <v>5.7821694099402521E-9</v>
      </c>
      <c r="DE141" s="422">
        <v>5.7821694099402521E-9</v>
      </c>
      <c r="DF141" s="422">
        <v>5.7821694099402521E-9</v>
      </c>
      <c r="DG141" s="422">
        <v>5.7821694099402521E-9</v>
      </c>
      <c r="DH141" s="422">
        <v>5.7821694099402521E-9</v>
      </c>
      <c r="DI141" s="422">
        <v>5.7821694099402521E-9</v>
      </c>
      <c r="DJ141" s="422">
        <v>5.7821694099402521E-9</v>
      </c>
      <c r="DK141" s="422">
        <v>5.7821694099402521E-9</v>
      </c>
      <c r="DL141" s="422">
        <v>5.7821694099402521E-9</v>
      </c>
      <c r="DM141" s="422">
        <v>5.7821694099411099E-9</v>
      </c>
      <c r="DN141" s="422">
        <v>5.7821694099402604E-9</v>
      </c>
      <c r="DO141" s="422">
        <v>5.7821694100612645E-9</v>
      </c>
      <c r="DP141" s="422">
        <v>5.7821694099402521E-9</v>
      </c>
      <c r="DQ141" s="422">
        <v>5.7821694099402546E-9</v>
      </c>
      <c r="DR141" s="422">
        <v>5.7821694099402521E-9</v>
      </c>
      <c r="DS141" s="422">
        <v>5.7821694099402521E-9</v>
      </c>
      <c r="DT141" s="422">
        <v>5.7821694099402521E-9</v>
      </c>
      <c r="DU141" s="422">
        <v>5.7821694107662258E-9</v>
      </c>
      <c r="DV141" s="422">
        <v>5.7821694099402521E-9</v>
      </c>
      <c r="DW141" s="422">
        <v>5.7821694100317796E-9</v>
      </c>
      <c r="DX141" s="422">
        <v>5.7821694105389282E-9</v>
      </c>
      <c r="DY141" s="422">
        <v>5.7821694099403092E-9</v>
      </c>
      <c r="DZ141" s="422">
        <v>5.7821694099402521E-9</v>
      </c>
      <c r="EA141" s="422">
        <v>5.7821694099402521E-9</v>
      </c>
      <c r="EB141" s="422">
        <v>5.7821694099402521E-9</v>
      </c>
      <c r="EC141" s="422">
        <v>5.7821694099402521E-9</v>
      </c>
      <c r="ED141" s="422">
        <v>5.782169409945082E-9</v>
      </c>
      <c r="EE141" s="422">
        <v>5.7821694099402521E-9</v>
      </c>
      <c r="EF141" s="422">
        <v>5.7821694099402521E-9</v>
      </c>
      <c r="EG141" s="422">
        <v>5.7821694100446828E-9</v>
      </c>
      <c r="EH141" s="422">
        <v>5.7843667948183233E-9</v>
      </c>
      <c r="EI141" s="423">
        <v>5.7843667948183233E-9</v>
      </c>
      <c r="EJ141" s="444"/>
      <c r="EK141" s="367"/>
      <c r="EL141" s="367"/>
      <c r="EM141" s="367"/>
      <c r="EN141" s="367"/>
      <c r="EO141" s="367"/>
      <c r="EP141" s="367"/>
      <c r="EQ141" s="367"/>
    </row>
    <row r="142" spans="1:147" x14ac:dyDescent="0.2">
      <c r="A142" s="192"/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  <c r="R142" s="192"/>
      <c r="S142" s="266"/>
      <c r="T142" s="265"/>
      <c r="U142" s="265"/>
      <c r="V142" s="265"/>
      <c r="W142" s="265"/>
      <c r="X142" s="265"/>
      <c r="Y142" s="265"/>
      <c r="Z142" s="265"/>
      <c r="AA142" s="265"/>
      <c r="AB142" s="265"/>
      <c r="AC142" s="265"/>
      <c r="AD142" s="265"/>
      <c r="AE142" s="265"/>
      <c r="AF142" s="265"/>
      <c r="AG142" s="265"/>
      <c r="AH142" s="265"/>
      <c r="AI142" s="192"/>
      <c r="AJ142" s="192"/>
      <c r="AK142" s="369"/>
      <c r="AL142" s="367"/>
      <c r="AM142" s="420" t="s">
        <v>19</v>
      </c>
      <c r="AN142" s="421">
        <v>1.132328939880095E-22</v>
      </c>
      <c r="AO142" s="422">
        <v>0</v>
      </c>
      <c r="AP142" s="422">
        <v>1.0228287745260784E-10</v>
      </c>
      <c r="AQ142" s="422">
        <v>6.7469527359393647E-10</v>
      </c>
      <c r="AR142" s="422">
        <v>7.5470104968351952E-24</v>
      </c>
      <c r="AS142" s="422">
        <v>6.7469527359627171E-10</v>
      </c>
      <c r="AT142" s="422">
        <v>5.5667464830624372E-23</v>
      </c>
      <c r="AU142" s="422">
        <v>0</v>
      </c>
      <c r="AV142" s="422">
        <v>6.74695273592936E-10</v>
      </c>
      <c r="AW142" s="422">
        <v>8.4814443778925754E-23</v>
      </c>
      <c r="AX142" s="422">
        <v>6.7469527363017536E-10</v>
      </c>
      <c r="AY142" s="422">
        <v>5.6654388178590232E-23</v>
      </c>
      <c r="AZ142" s="422">
        <v>5.3313249957292237E-23</v>
      </c>
      <c r="BA142" s="422">
        <v>4.3112783547704502E-22</v>
      </c>
      <c r="BB142" s="422">
        <v>1.3753475299724252E-21</v>
      </c>
      <c r="BC142" s="422">
        <v>5.5164591895258159E-20</v>
      </c>
      <c r="BD142" s="422">
        <v>5.9949299559297382E-22</v>
      </c>
      <c r="BE142" s="422">
        <v>0</v>
      </c>
      <c r="BF142" s="422">
        <v>6.703663486209396E-23</v>
      </c>
      <c r="BG142" s="422">
        <v>1.4618586421526311E-22</v>
      </c>
      <c r="BH142" s="422">
        <v>1.3709038715719906E-20</v>
      </c>
      <c r="BI142" s="422">
        <v>0</v>
      </c>
      <c r="BJ142" s="422">
        <v>1.0202370817366593E-5</v>
      </c>
      <c r="BK142" s="422">
        <v>8.6178886798706856E-4</v>
      </c>
      <c r="BL142" s="422">
        <v>1.2267329483439276E-3</v>
      </c>
      <c r="BM142" s="422">
        <v>1.4783814205883772E-3</v>
      </c>
      <c r="BN142" s="422">
        <v>1.5498085205129665E-3</v>
      </c>
      <c r="BO142" s="422">
        <v>1.1469938828065534E-3</v>
      </c>
      <c r="BP142" s="422">
        <v>2.178687794712449E-3</v>
      </c>
      <c r="BQ142" s="422">
        <v>2.1158426043016991E-3</v>
      </c>
      <c r="BR142" s="422">
        <v>2.9798543025677227E-3</v>
      </c>
      <c r="BS142" s="422">
        <v>2.0831145551354702E-3</v>
      </c>
      <c r="BT142" s="422">
        <v>3.3103395019528853E-3</v>
      </c>
      <c r="BU142" s="422">
        <v>3.8484319425138701E-3</v>
      </c>
      <c r="BV142" s="422">
        <v>4.0257668431051092E-3</v>
      </c>
      <c r="BW142" s="422">
        <v>3.9515222593628462E-3</v>
      </c>
      <c r="BX142" s="422">
        <v>4.1518649229922979E-3</v>
      </c>
      <c r="BY142" s="422">
        <v>4.4906836306552698E-3</v>
      </c>
      <c r="BZ142" s="422">
        <v>5.2225020134696711E-3</v>
      </c>
      <c r="CA142" s="422">
        <v>3.6013854517591799E-3</v>
      </c>
      <c r="CB142" s="422">
        <v>3.1565677565237459E-3</v>
      </c>
      <c r="CC142" s="422">
        <v>1.359206637740138E-3</v>
      </c>
      <c r="CD142" s="422">
        <v>3.8305053888513737E-22</v>
      </c>
      <c r="CE142" s="422">
        <v>0</v>
      </c>
      <c r="CF142" s="422">
        <v>0</v>
      </c>
      <c r="CG142" s="422">
        <v>4.6534463336492406E-21</v>
      </c>
      <c r="CH142" s="422">
        <v>2.7877359157567706E-20</v>
      </c>
      <c r="CI142" s="422">
        <v>1.504632769052528E-36</v>
      </c>
      <c r="CJ142" s="422">
        <v>6.2334762032049235E-22</v>
      </c>
      <c r="CK142" s="422">
        <v>3.2445615611441683E-23</v>
      </c>
      <c r="CL142" s="422">
        <v>3.6966425424129363E-20</v>
      </c>
      <c r="CM142" s="422">
        <v>3.4294802039752323E-22</v>
      </c>
      <c r="CN142" s="422">
        <v>2.8285624251079052E-21</v>
      </c>
      <c r="CO142" s="422">
        <v>2.802016175503161E-17</v>
      </c>
      <c r="CP142" s="422">
        <v>7.0820535713986204E-24</v>
      </c>
      <c r="CQ142" s="422">
        <v>8.0935241755138307E-18</v>
      </c>
      <c r="CR142" s="422">
        <v>8.8082895687497134E-22</v>
      </c>
      <c r="CS142" s="422">
        <v>1.0300245947336244E-19</v>
      </c>
      <c r="CT142" s="422">
        <v>3.4953186698647435E-21</v>
      </c>
      <c r="CU142" s="422">
        <v>4.8043979098860909E-22</v>
      </c>
      <c r="CV142" s="422">
        <v>3.8923197163132217E-21</v>
      </c>
      <c r="CW142" s="422">
        <v>2.467590028331164E-22</v>
      </c>
      <c r="CX142" s="422">
        <v>3.8945219527197071E-22</v>
      </c>
      <c r="CY142" s="422">
        <v>1.4942566457921685E-19</v>
      </c>
      <c r="CZ142" s="422">
        <v>6.9582412081341563E-22</v>
      </c>
      <c r="DA142" s="422">
        <v>2.167986341627022E-20</v>
      </c>
      <c r="DB142" s="422">
        <v>2.12744553556336E-21</v>
      </c>
      <c r="DC142" s="422">
        <v>7.249025163008872E-21</v>
      </c>
      <c r="DD142" s="422">
        <v>6.5168334723815563E-22</v>
      </c>
      <c r="DE142" s="422">
        <v>0</v>
      </c>
      <c r="DF142" s="422">
        <v>3.0071365335477715E-22</v>
      </c>
      <c r="DG142" s="422">
        <v>2.5307741964625001E-21</v>
      </c>
      <c r="DH142" s="422">
        <v>5.4163893269390195E-20</v>
      </c>
      <c r="DI142" s="422">
        <v>3.4465862285335301E-22</v>
      </c>
      <c r="DJ142" s="422">
        <v>4.2716065023307968E-17</v>
      </c>
      <c r="DK142" s="422">
        <v>2.0274714910293848E-19</v>
      </c>
      <c r="DL142" s="422">
        <v>5.5127465788757819E-17</v>
      </c>
      <c r="DM142" s="422">
        <v>6.0127730547703067E-21</v>
      </c>
      <c r="DN142" s="422">
        <v>2.5654075312679971E-22</v>
      </c>
      <c r="DO142" s="422">
        <v>1.3462613524732765E-18</v>
      </c>
      <c r="DP142" s="422">
        <v>1.5246179127436095E-17</v>
      </c>
      <c r="DQ142" s="422">
        <v>2.4512315201219227E-21</v>
      </c>
      <c r="DR142" s="422">
        <v>3.3547277151902329E-18</v>
      </c>
      <c r="DS142" s="422">
        <v>2.7143358663847147E-21</v>
      </c>
      <c r="DT142" s="422">
        <v>2.0736536829815687E-17</v>
      </c>
      <c r="DU142" s="422">
        <v>0</v>
      </c>
      <c r="DV142" s="422">
        <v>0</v>
      </c>
      <c r="DW142" s="422">
        <v>9.7247875267401487E-20</v>
      </c>
      <c r="DX142" s="422">
        <v>1.3170870072175662E-18</v>
      </c>
      <c r="DY142" s="422">
        <v>3.2917447280737139E-20</v>
      </c>
      <c r="DZ142" s="422">
        <v>0</v>
      </c>
      <c r="EA142" s="422">
        <v>7.6983806657545403E-21</v>
      </c>
      <c r="EB142" s="422">
        <v>1.3476414274211013E-16</v>
      </c>
      <c r="EC142" s="422">
        <v>4.6898175266493549E-17</v>
      </c>
      <c r="ED142" s="422">
        <v>0</v>
      </c>
      <c r="EE142" s="422">
        <v>0</v>
      </c>
      <c r="EF142" s="422">
        <v>1.7777623759756926E-28</v>
      </c>
      <c r="EG142" s="422">
        <v>1.3924062880489549E-19</v>
      </c>
      <c r="EH142" s="422">
        <v>1.95389926950127E-5</v>
      </c>
      <c r="EI142" s="423">
        <v>1.95389926950127E-5</v>
      </c>
      <c r="EJ142" s="444"/>
      <c r="EK142" s="367"/>
      <c r="EL142" s="367"/>
      <c r="EM142" s="367"/>
      <c r="EN142" s="367"/>
      <c r="EO142" s="367"/>
      <c r="EP142" s="367"/>
      <c r="EQ142" s="367"/>
    </row>
    <row r="143" spans="1:147" x14ac:dyDescent="0.2">
      <c r="A143" s="192"/>
      <c r="B143" s="19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192"/>
      <c r="O143" s="192"/>
      <c r="P143" s="192"/>
      <c r="Q143" s="192"/>
      <c r="R143" s="192"/>
      <c r="S143" s="266"/>
      <c r="T143" s="265"/>
      <c r="U143" s="265"/>
      <c r="V143" s="265"/>
      <c r="W143" s="265"/>
      <c r="X143" s="265"/>
      <c r="Y143" s="265"/>
      <c r="Z143" s="265"/>
      <c r="AA143" s="265"/>
      <c r="AB143" s="265"/>
      <c r="AC143" s="265"/>
      <c r="AD143" s="265"/>
      <c r="AE143" s="265"/>
      <c r="AF143" s="265"/>
      <c r="AG143" s="265"/>
      <c r="AH143" s="265"/>
      <c r="AI143" s="192"/>
      <c r="AJ143" s="192"/>
      <c r="AK143" s="369"/>
      <c r="AL143" s="367"/>
      <c r="AM143" s="420" t="s">
        <v>20</v>
      </c>
      <c r="AN143" s="421">
        <v>0.11621152898984703</v>
      </c>
      <c r="AO143" s="422">
        <v>0.1157306769496719</v>
      </c>
      <c r="AP143" s="422">
        <v>0.11556092457250711</v>
      </c>
      <c r="AQ143" s="422">
        <v>0.11382345775698804</v>
      </c>
      <c r="AR143" s="422">
        <v>0.11351707629888545</v>
      </c>
      <c r="AS143" s="422">
        <v>0.11587370633951399</v>
      </c>
      <c r="AT143" s="422">
        <v>0.11633654876621695</v>
      </c>
      <c r="AU143" s="422">
        <v>0.11535365495421221</v>
      </c>
      <c r="AV143" s="422">
        <v>0.11580328073189486</v>
      </c>
      <c r="AW143" s="422">
        <v>0.11642722937696551</v>
      </c>
      <c r="AX143" s="422">
        <v>0.11749152845323538</v>
      </c>
      <c r="AY143" s="422">
        <v>0.11823312672783291</v>
      </c>
      <c r="AZ143" s="422">
        <v>0.11961043846248325</v>
      </c>
      <c r="BA143" s="422">
        <v>0.12270586026415754</v>
      </c>
      <c r="BB143" s="422">
        <v>0.12359731783862002</v>
      </c>
      <c r="BC143" s="422">
        <v>0.12503524133178096</v>
      </c>
      <c r="BD143" s="422">
        <v>0.12532760276379792</v>
      </c>
      <c r="BE143" s="422">
        <v>0.12576179851092659</v>
      </c>
      <c r="BF143" s="422">
        <v>0.12680616066633077</v>
      </c>
      <c r="BG143" s="422">
        <v>0.12840300323829695</v>
      </c>
      <c r="BH143" s="422">
        <v>0.12095727414717315</v>
      </c>
      <c r="BI143" s="422">
        <v>0.10691413948945176</v>
      </c>
      <c r="BJ143" s="422">
        <v>0.10497270158481532</v>
      </c>
      <c r="BK143" s="422">
        <v>0.10231539095711269</v>
      </c>
      <c r="BL143" s="422">
        <v>9.9795582873023647E-2</v>
      </c>
      <c r="BM143" s="422">
        <v>9.8795622995288684E-2</v>
      </c>
      <c r="BN143" s="422">
        <v>9.5188184199918549E-2</v>
      </c>
      <c r="BO143" s="422">
        <v>9.3397684601732575E-2</v>
      </c>
      <c r="BP143" s="422">
        <v>9.2734379196197703E-2</v>
      </c>
      <c r="BQ143" s="422">
        <v>8.7532428052635738E-2</v>
      </c>
      <c r="BR143" s="422">
        <v>8.4986223605041933E-2</v>
      </c>
      <c r="BS143" s="422">
        <v>8.0314567053399691E-2</v>
      </c>
      <c r="BT143" s="422">
        <v>7.2533631985725766E-2</v>
      </c>
      <c r="BU143" s="422">
        <v>7.0712068909300999E-2</v>
      </c>
      <c r="BV143" s="422">
        <v>7.4785618241470467E-2</v>
      </c>
      <c r="BW143" s="422">
        <v>7.6500014318526849E-2</v>
      </c>
      <c r="BX143" s="422">
        <v>7.4676561258262802E-2</v>
      </c>
      <c r="BY143" s="422">
        <v>7.0423537363398986E-2</v>
      </c>
      <c r="BZ143" s="422">
        <v>7.446559978864746E-2</v>
      </c>
      <c r="CA143" s="422">
        <v>6.8759082665423923E-2</v>
      </c>
      <c r="CB143" s="422">
        <v>5.4622266735787878E-2</v>
      </c>
      <c r="CC143" s="422">
        <v>4.4778698621372029E-2</v>
      </c>
      <c r="CD143" s="422">
        <v>3.5390178105431637E-2</v>
      </c>
      <c r="CE143" s="422">
        <v>2.3451519324426892E-2</v>
      </c>
      <c r="CF143" s="422">
        <v>1.2657836345524542E-2</v>
      </c>
      <c r="CG143" s="422">
        <v>2.9297139154991106E-3</v>
      </c>
      <c r="CH143" s="422">
        <v>-7.491621785158629E-21</v>
      </c>
      <c r="CI143" s="422">
        <v>-2.487643877421313E-20</v>
      </c>
      <c r="CJ143" s="422">
        <v>5.7869650756077863E-21</v>
      </c>
      <c r="CK143" s="422">
        <v>-9.8818452098067857E-23</v>
      </c>
      <c r="CL143" s="422">
        <v>1.699632171293515E-23</v>
      </c>
      <c r="CM143" s="422">
        <v>-9.1044916591585676E-24</v>
      </c>
      <c r="CN143" s="422">
        <v>2.6101992415596027E-25</v>
      </c>
      <c r="CO143" s="422">
        <v>7.2936030610986572E-18</v>
      </c>
      <c r="CP143" s="422">
        <v>1.0265867178900515E-17</v>
      </c>
      <c r="CQ143" s="422">
        <v>-1.0256366456757522E-18</v>
      </c>
      <c r="CR143" s="422">
        <v>-3.5889071761759261E-25</v>
      </c>
      <c r="CS143" s="422">
        <v>1.3736492945299656E-17</v>
      </c>
      <c r="CT143" s="422">
        <v>-3.1051016605739184E-22</v>
      </c>
      <c r="CU143" s="422">
        <v>1.6377589204005524E-24</v>
      </c>
      <c r="CV143" s="422">
        <v>9.8689793310976298E-24</v>
      </c>
      <c r="CW143" s="422">
        <v>8.8859288983448067E-24</v>
      </c>
      <c r="CX143" s="422">
        <v>1.395545054447894E-23</v>
      </c>
      <c r="CY143" s="422">
        <v>8.2348902928583233E-20</v>
      </c>
      <c r="CZ143" s="422">
        <v>-2.5434293984218258E-25</v>
      </c>
      <c r="DA143" s="422">
        <v>6.1068703011447271E-23</v>
      </c>
      <c r="DB143" s="422">
        <v>-1.1295060043272418E-22</v>
      </c>
      <c r="DC143" s="422">
        <v>2.5668649848184007E-22</v>
      </c>
      <c r="DD143" s="422">
        <v>5.2569734358346943E-24</v>
      </c>
      <c r="DE143" s="422">
        <v>-5.2132764972086346E-22</v>
      </c>
      <c r="DF143" s="422">
        <v>-3.4238235719868692E-23</v>
      </c>
      <c r="DG143" s="422">
        <v>3.4675089597896919E-23</v>
      </c>
      <c r="DH143" s="422">
        <v>1.6047319837611717E-22</v>
      </c>
      <c r="DI143" s="422">
        <v>1.1775457002938385E-24</v>
      </c>
      <c r="DJ143" s="422">
        <v>3.3482923752680881E-18</v>
      </c>
      <c r="DK143" s="422">
        <v>-2.1679161590562818E-22</v>
      </c>
      <c r="DL143" s="422">
        <v>-7.4062034609580202E-18</v>
      </c>
      <c r="DM143" s="422">
        <v>2.2609530722966536E-23</v>
      </c>
      <c r="DN143" s="422">
        <v>1.8546150721711763E-25</v>
      </c>
      <c r="DO143" s="422">
        <v>-6.4510526143645616E-21</v>
      </c>
      <c r="DP143" s="422">
        <v>2.2370107141040775E-20</v>
      </c>
      <c r="DQ143" s="422">
        <v>7.4380737098750513E-19</v>
      </c>
      <c r="DR143" s="422">
        <v>-7.5168297169583361E-20</v>
      </c>
      <c r="DS143" s="422">
        <v>2.2630177448783664E-23</v>
      </c>
      <c r="DT143" s="422">
        <v>-2.647321540369391E-18</v>
      </c>
      <c r="DU143" s="422">
        <v>8.2786057653694293E-21</v>
      </c>
      <c r="DV143" s="422">
        <v>-1.5222276395533389E-21</v>
      </c>
      <c r="DW143" s="422">
        <v>1.2585017528211955E-19</v>
      </c>
      <c r="DX143" s="422">
        <v>1.3170870228084991E-18</v>
      </c>
      <c r="DY143" s="422">
        <v>1.4125847516331064E-20</v>
      </c>
      <c r="DZ143" s="422">
        <v>5.0537463079051273E-18</v>
      </c>
      <c r="EA143" s="422">
        <v>-6.8004734745393978E-17</v>
      </c>
      <c r="EB143" s="422">
        <v>7.9095240192306305E-17</v>
      </c>
      <c r="EC143" s="422">
        <v>8.9756942244264174E-17</v>
      </c>
      <c r="ED143" s="422">
        <v>-2.173494389086431E-20</v>
      </c>
      <c r="EE143" s="422">
        <v>-1.6272457227133072E-19</v>
      </c>
      <c r="EF143" s="422">
        <v>-2.231882913757996E-19</v>
      </c>
      <c r="EG143" s="422">
        <v>-2.6107616856372424E-19</v>
      </c>
      <c r="EH143" s="422">
        <v>2.0846444404607559E-5</v>
      </c>
      <c r="EI143" s="423">
        <v>2.0846444404607559E-5</v>
      </c>
      <c r="EJ143" s="444"/>
      <c r="EK143" s="367"/>
      <c r="EL143" s="367"/>
      <c r="EM143" s="367"/>
      <c r="EN143" s="367"/>
      <c r="EO143" s="367"/>
      <c r="EP143" s="367"/>
      <c r="EQ143" s="367"/>
    </row>
    <row r="144" spans="1:147" x14ac:dyDescent="0.2">
      <c r="A144" s="192"/>
      <c r="B144" s="19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192"/>
      <c r="O144" s="192"/>
      <c r="P144" s="192"/>
      <c r="Q144" s="192"/>
      <c r="R144" s="192"/>
      <c r="S144" s="266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  <c r="AG144" s="265"/>
      <c r="AH144" s="265"/>
      <c r="AI144" s="192"/>
      <c r="AJ144" s="192"/>
      <c r="AK144" s="369"/>
      <c r="AL144" s="367"/>
      <c r="AM144" s="420" t="s">
        <v>21</v>
      </c>
      <c r="AN144" s="421">
        <v>0.26838104991559103</v>
      </c>
      <c r="AO144" s="422">
        <v>0.26896621906761498</v>
      </c>
      <c r="AP144" s="422">
        <v>0.26799072865868528</v>
      </c>
      <c r="AQ144" s="422">
        <v>0.26944500337199778</v>
      </c>
      <c r="AR144" s="422">
        <v>0.26865193206606297</v>
      </c>
      <c r="AS144" s="422">
        <v>0.26617946890591987</v>
      </c>
      <c r="AT144" s="422">
        <v>0.26667584931821875</v>
      </c>
      <c r="AU144" s="422">
        <v>0.26811794499815628</v>
      </c>
      <c r="AV144" s="422">
        <v>0.26798430208510354</v>
      </c>
      <c r="AW144" s="422">
        <v>0.26809760272870403</v>
      </c>
      <c r="AX144" s="422">
        <v>0.26750163601612931</v>
      </c>
      <c r="AY144" s="422">
        <v>0.26768160812671649</v>
      </c>
      <c r="AZ144" s="422">
        <v>0.26674302912353676</v>
      </c>
      <c r="BA144" s="422">
        <v>0.26443083389973965</v>
      </c>
      <c r="BB144" s="422">
        <v>0.26454317683508305</v>
      </c>
      <c r="BC144" s="422">
        <v>0.26341745945034756</v>
      </c>
      <c r="BD144" s="422">
        <v>0.26308334516572068</v>
      </c>
      <c r="BE144" s="422">
        <v>0.26269287732303553</v>
      </c>
      <c r="BF144" s="422">
        <v>0.26160648211219717</v>
      </c>
      <c r="BG144" s="422">
        <v>0.26039426252681014</v>
      </c>
      <c r="BH144" s="422">
        <v>0.26415397924638889</v>
      </c>
      <c r="BI144" s="422">
        <v>0.26785595844634236</v>
      </c>
      <c r="BJ144" s="422">
        <v>0.26455178339098229</v>
      </c>
      <c r="BK144" s="422">
        <v>0.26671687363006225</v>
      </c>
      <c r="BL144" s="422">
        <v>0.26815258654897095</v>
      </c>
      <c r="BM144" s="422">
        <v>0.2692936505088247</v>
      </c>
      <c r="BN144" s="422">
        <v>0.27238257219541423</v>
      </c>
      <c r="BO144" s="422">
        <v>0.27487322618780635</v>
      </c>
      <c r="BP144" s="422">
        <v>0.276763813864421</v>
      </c>
      <c r="BQ144" s="422">
        <v>0.28063377566533065</v>
      </c>
      <c r="BR144" s="422">
        <v>0.28315640485806337</v>
      </c>
      <c r="BS144" s="422">
        <v>0.28553631588050565</v>
      </c>
      <c r="BT144" s="422">
        <v>0.29270722216311035</v>
      </c>
      <c r="BU144" s="422">
        <v>0.29276796668252131</v>
      </c>
      <c r="BV144" s="422">
        <v>0.29368977804727181</v>
      </c>
      <c r="BW144" s="422">
        <v>0.29765246492354369</v>
      </c>
      <c r="BX144" s="422">
        <v>0.3026682663066167</v>
      </c>
      <c r="BY144" s="422">
        <v>0.30727253469836718</v>
      </c>
      <c r="BZ144" s="422">
        <v>0.30921645518120688</v>
      </c>
      <c r="CA144" s="422">
        <v>0.3108822516456658</v>
      </c>
      <c r="CB144" s="422">
        <v>0.32033318108660469</v>
      </c>
      <c r="CC144" s="422">
        <v>0.32552641404338573</v>
      </c>
      <c r="CD144" s="422">
        <v>0.32842012673795629</v>
      </c>
      <c r="CE144" s="422">
        <v>0.33312512729403548</v>
      </c>
      <c r="CF144" s="422">
        <v>0.33938437608990968</v>
      </c>
      <c r="CG144" s="422">
        <v>0.33992345489787756</v>
      </c>
      <c r="CH144" s="422">
        <v>0.33508533780300515</v>
      </c>
      <c r="CI144" s="422">
        <v>0.32783785760941919</v>
      </c>
      <c r="CJ144" s="422">
        <v>0.32048788505629683</v>
      </c>
      <c r="CK144" s="422">
        <v>0.31381180540373665</v>
      </c>
      <c r="CL144" s="422">
        <v>0.30392644980018518</v>
      </c>
      <c r="CM144" s="422">
        <v>0.29394978040738834</v>
      </c>
      <c r="CN144" s="422">
        <v>0.28400461966152762</v>
      </c>
      <c r="CO144" s="422">
        <v>0.27411914135548365</v>
      </c>
      <c r="CP144" s="422">
        <v>0.26494500139292293</v>
      </c>
      <c r="CQ144" s="422">
        <v>0.25552155764330886</v>
      </c>
      <c r="CR144" s="422">
        <v>0.24639983795140996</v>
      </c>
      <c r="CS144" s="422">
        <v>0.23632574653269187</v>
      </c>
      <c r="CT144" s="422">
        <v>0.226306274242601</v>
      </c>
      <c r="CU144" s="422">
        <v>0.21581215947066246</v>
      </c>
      <c r="CV144" s="422">
        <v>0.20660717161804451</v>
      </c>
      <c r="CW144" s="422">
        <v>0.19714750906715064</v>
      </c>
      <c r="CX144" s="422">
        <v>0.18711960212561415</v>
      </c>
      <c r="CY144" s="422">
        <v>0.17667887784831693</v>
      </c>
      <c r="CZ144" s="422">
        <v>0.16708128623161281</v>
      </c>
      <c r="DA144" s="422">
        <v>0.15714180297797209</v>
      </c>
      <c r="DB144" s="422">
        <v>0.14769172569215519</v>
      </c>
      <c r="DC144" s="422">
        <v>0.13819716139986454</v>
      </c>
      <c r="DD144" s="422">
        <v>0.12845596135428547</v>
      </c>
      <c r="DE144" s="422">
        <v>0.119418312082316</v>
      </c>
      <c r="DF144" s="422">
        <v>0.11023023875169599</v>
      </c>
      <c r="DG144" s="422">
        <v>0.10069250081531914</v>
      </c>
      <c r="DH144" s="422">
        <v>9.0881099145386293E-2</v>
      </c>
      <c r="DI144" s="422">
        <v>8.1440812258712802E-2</v>
      </c>
      <c r="DJ144" s="422">
        <v>7.2162300240278046E-2</v>
      </c>
      <c r="DK144" s="422">
        <v>6.2815508233907566E-2</v>
      </c>
      <c r="DL144" s="422">
        <v>5.3322100314809537E-2</v>
      </c>
      <c r="DM144" s="422">
        <v>4.351572611452454E-2</v>
      </c>
      <c r="DN144" s="422">
        <v>3.3224270211362199E-2</v>
      </c>
      <c r="DO144" s="422">
        <v>2.3347899343105636E-2</v>
      </c>
      <c r="DP144" s="422">
        <v>1.3895318203662063E-2</v>
      </c>
      <c r="DQ144" s="422">
        <v>3.9662668021905991E-3</v>
      </c>
      <c r="DR144" s="422">
        <v>6.2527760746888816E-12</v>
      </c>
      <c r="DS144" s="422">
        <v>6.25277607611115E-12</v>
      </c>
      <c r="DT144" s="422">
        <v>6.2527760746888816E-12</v>
      </c>
      <c r="DU144" s="422">
        <v>6.2527764338085029E-12</v>
      </c>
      <c r="DV144" s="422">
        <v>6.2527760932851345E-12</v>
      </c>
      <c r="DW144" s="422">
        <v>6.2527760746888816E-12</v>
      </c>
      <c r="DX144" s="422">
        <v>6.2527760746888816E-12</v>
      </c>
      <c r="DY144" s="422">
        <v>6.2527760804978415E-12</v>
      </c>
      <c r="DZ144" s="422">
        <v>6.2528720547087577E-12</v>
      </c>
      <c r="EA144" s="422">
        <v>6.2528442802498656E-12</v>
      </c>
      <c r="EB144" s="422">
        <v>6.2527930225889383E-12</v>
      </c>
      <c r="EC144" s="422">
        <v>6.2528294828418962E-12</v>
      </c>
      <c r="ED144" s="422">
        <v>6.2527760915938482E-12</v>
      </c>
      <c r="EE144" s="422">
        <v>6.2527760746888816E-12</v>
      </c>
      <c r="EF144" s="422">
        <v>6.2527760746888816E-12</v>
      </c>
      <c r="EG144" s="422">
        <v>6.2527760746888816E-12</v>
      </c>
      <c r="EH144" s="422">
        <v>2.1084105069392172E-5</v>
      </c>
      <c r="EI144" s="423">
        <v>2.1084105069392172E-5</v>
      </c>
      <c r="EJ144" s="444"/>
      <c r="EK144" s="367"/>
      <c r="EL144" s="367"/>
      <c r="EM144" s="367"/>
      <c r="EN144" s="367"/>
      <c r="EO144" s="367"/>
      <c r="EP144" s="367"/>
      <c r="EQ144" s="367"/>
    </row>
    <row r="145" spans="1:147" x14ac:dyDescent="0.2">
      <c r="A145" s="192"/>
      <c r="B145" s="19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92"/>
      <c r="Q145" s="192"/>
      <c r="R145" s="192"/>
      <c r="S145" s="266"/>
      <c r="T145" s="265"/>
      <c r="U145" s="265"/>
      <c r="V145" s="265"/>
      <c r="W145" s="265"/>
      <c r="X145" s="265"/>
      <c r="Y145" s="265"/>
      <c r="Z145" s="265"/>
      <c r="AA145" s="265"/>
      <c r="AB145" s="265"/>
      <c r="AC145" s="265"/>
      <c r="AD145" s="265"/>
      <c r="AE145" s="265"/>
      <c r="AF145" s="265"/>
      <c r="AG145" s="265"/>
      <c r="AH145" s="265"/>
      <c r="AI145" s="192"/>
      <c r="AJ145" s="192"/>
      <c r="AK145" s="369"/>
      <c r="AL145" s="367"/>
      <c r="AM145" s="420" t="s">
        <v>22</v>
      </c>
      <c r="AN145" s="421">
        <v>1.7462969717836761E-3</v>
      </c>
      <c r="AO145" s="422">
        <v>2.2367094492223294E-3</v>
      </c>
      <c r="AP145" s="422">
        <v>2.8173378319908595E-3</v>
      </c>
      <c r="AQ145" s="422">
        <v>3.7541076702366002E-3</v>
      </c>
      <c r="AR145" s="422">
        <v>4.2640425534281367E-3</v>
      </c>
      <c r="AS145" s="422">
        <v>4.3281942346490325E-3</v>
      </c>
      <c r="AT145" s="422">
        <v>3.8832591777365282E-3</v>
      </c>
      <c r="AU145" s="422">
        <v>3.0804671173001552E-3</v>
      </c>
      <c r="AV145" s="422">
        <v>3.1564062785176491E-3</v>
      </c>
      <c r="AW145" s="422">
        <v>3.1935621938543692E-3</v>
      </c>
      <c r="AX145" s="422">
        <v>2.9249378541980381E-3</v>
      </c>
      <c r="AY145" s="422">
        <v>2.4694675775761617E-3</v>
      </c>
      <c r="AZ145" s="422">
        <v>2.0456568473641249E-3</v>
      </c>
      <c r="BA145" s="422">
        <v>1.3207479357115681E-3</v>
      </c>
      <c r="BB145" s="422">
        <v>1.4068746168215245E-11</v>
      </c>
      <c r="BC145" s="422">
        <v>1.406874616805606E-11</v>
      </c>
      <c r="BD145" s="422">
        <v>1.406874616822663E-11</v>
      </c>
      <c r="BE145" s="422">
        <v>1.4068746168606434E-11</v>
      </c>
      <c r="BF145" s="422">
        <v>1.4068746168049984E-11</v>
      </c>
      <c r="BG145" s="422">
        <v>1.4068746168139072E-11</v>
      </c>
      <c r="BH145" s="422">
        <v>7.0752487116482882E-4</v>
      </c>
      <c r="BI145" s="422">
        <v>7.394118146251182E-3</v>
      </c>
      <c r="BJ145" s="422">
        <v>9.8451922314623293E-3</v>
      </c>
      <c r="BK145" s="422">
        <v>8.4315147311849557E-3</v>
      </c>
      <c r="BL145" s="422">
        <v>8.4984133006887966E-3</v>
      </c>
      <c r="BM145" s="422">
        <v>7.1973210929849266E-3</v>
      </c>
      <c r="BN145" s="422">
        <v>6.5224163079985725E-3</v>
      </c>
      <c r="BO145" s="422">
        <v>3.7242659008597939E-3</v>
      </c>
      <c r="BP145" s="422">
        <v>1.2920346851672234E-3</v>
      </c>
      <c r="BQ145" s="422">
        <v>8.2255432287756721E-4</v>
      </c>
      <c r="BR145" s="422">
        <v>7.2836224165256146E-5</v>
      </c>
      <c r="BS145" s="422">
        <v>1.4068746168716556E-11</v>
      </c>
      <c r="BT145" s="422">
        <v>1.4068746168287861E-11</v>
      </c>
      <c r="BU145" s="422">
        <v>1.4068746168211998E-11</v>
      </c>
      <c r="BV145" s="422">
        <v>1.4068746168125356E-11</v>
      </c>
      <c r="BW145" s="422">
        <v>1.4068746168209906E-11</v>
      </c>
      <c r="BX145" s="422">
        <v>2.3060773899004181E-3</v>
      </c>
      <c r="BY145" s="422">
        <v>6.346168537130395E-3</v>
      </c>
      <c r="BZ145" s="422">
        <v>5.7070535726981633E-3</v>
      </c>
      <c r="CA145" s="422">
        <v>1.0759123557557529E-2</v>
      </c>
      <c r="CB145" s="422">
        <v>1.5089255871619524E-2</v>
      </c>
      <c r="CC145" s="422">
        <v>1.8972231971135688E-2</v>
      </c>
      <c r="CD145" s="422">
        <v>2.2883871143914471E-2</v>
      </c>
      <c r="CE145" s="422">
        <v>2.7097200821608585E-2</v>
      </c>
      <c r="CF145" s="422">
        <v>3.0730951099377502E-2</v>
      </c>
      <c r="CG145" s="422">
        <v>3.5532259444095007E-2</v>
      </c>
      <c r="CH145" s="422">
        <v>3.9189516267395856E-2</v>
      </c>
      <c r="CI145" s="422">
        <v>4.3594862506944748E-2</v>
      </c>
      <c r="CJ145" s="422">
        <v>4.8211763344427304E-2</v>
      </c>
      <c r="CK145" s="422">
        <v>4.9316740081822921E-2</v>
      </c>
      <c r="CL145" s="422">
        <v>5.4902324316230065E-2</v>
      </c>
      <c r="CM145" s="422">
        <v>6.0041986659519576E-2</v>
      </c>
      <c r="CN145" s="422">
        <v>6.5091161846819082E-2</v>
      </c>
      <c r="CO145" s="422">
        <v>6.9968939822032117E-2</v>
      </c>
      <c r="CP145" s="422">
        <v>7.2803882261365485E-2</v>
      </c>
      <c r="CQ145" s="422">
        <v>7.635478025137804E-2</v>
      </c>
      <c r="CR145" s="422">
        <v>7.9039208457572313E-2</v>
      </c>
      <c r="CS145" s="422">
        <v>8.4458621965578226E-2</v>
      </c>
      <c r="CT145" s="422">
        <v>8.9721233854415786E-2</v>
      </c>
      <c r="CU145" s="422">
        <v>9.6346906080445216E-2</v>
      </c>
      <c r="CV145" s="422">
        <v>9.9270438101090083E-2</v>
      </c>
      <c r="CW145" s="422">
        <v>0.10292534996157139</v>
      </c>
      <c r="CX145" s="422">
        <v>0.10821215731158251</v>
      </c>
      <c r="CY145" s="422">
        <v>0.11468447432042048</v>
      </c>
      <c r="CZ145" s="422">
        <v>0.11873552094022791</v>
      </c>
      <c r="DA145" s="422">
        <v>0.12376839139298637</v>
      </c>
      <c r="DB145" s="422">
        <v>0.12739577609947972</v>
      </c>
      <c r="DC145" s="422">
        <v>0.1311509194717867</v>
      </c>
      <c r="DD145" s="422">
        <v>0.13561435628258339</v>
      </c>
      <c r="DE145" s="422">
        <v>0.13805732205482393</v>
      </c>
      <c r="DF145" s="422">
        <v>0.14093227861636995</v>
      </c>
      <c r="DG145" s="422">
        <v>0.14481140891439051</v>
      </c>
      <c r="DH145" s="422">
        <v>0.14947645213966135</v>
      </c>
      <c r="DI145" s="422">
        <v>0.15307572058408833</v>
      </c>
      <c r="DJ145" s="422">
        <v>0.15621037342173624</v>
      </c>
      <c r="DK145" s="422">
        <v>0.15954114141816381</v>
      </c>
      <c r="DL145" s="422">
        <v>0.16329299123285307</v>
      </c>
      <c r="DM145" s="422">
        <v>0.16794356913346056</v>
      </c>
      <c r="DN145" s="422">
        <v>0.17398724160847392</v>
      </c>
      <c r="DO145" s="422">
        <v>0.17883886466356871</v>
      </c>
      <c r="DP145" s="422">
        <v>0.18247346732426731</v>
      </c>
      <c r="DQ145" s="422">
        <v>0.18747635203965859</v>
      </c>
      <c r="DR145" s="422">
        <v>0.17535522122838509</v>
      </c>
      <c r="DS145" s="422">
        <v>0.17020015319782922</v>
      </c>
      <c r="DT145" s="422">
        <v>0.17271410571418377</v>
      </c>
      <c r="DU145" s="422">
        <v>0.16102638040082845</v>
      </c>
      <c r="DV145" s="422">
        <v>0.14246430158850421</v>
      </c>
      <c r="DW145" s="422">
        <v>0.1362684236524899</v>
      </c>
      <c r="DX145" s="422">
        <v>0.11275688934374818</v>
      </c>
      <c r="DY145" s="422">
        <v>0.10578614237293345</v>
      </c>
      <c r="DZ145" s="422">
        <v>0.11308797345719926</v>
      </c>
      <c r="EA145" s="422">
        <v>0.1146117783560696</v>
      </c>
      <c r="EB145" s="422">
        <v>0.11831889115272085</v>
      </c>
      <c r="EC145" s="422">
        <v>9.4807356843974858E-2</v>
      </c>
      <c r="ED145" s="422">
        <v>7.1295822535236614E-2</v>
      </c>
      <c r="EE145" s="422">
        <v>4.7784288226486338E-2</v>
      </c>
      <c r="EF145" s="422">
        <v>2.4272753917744822E-2</v>
      </c>
      <c r="EG145" s="422">
        <v>7.6121960899645574E-4</v>
      </c>
      <c r="EH145" s="422">
        <v>5.6299328007361375E-5</v>
      </c>
      <c r="EI145" s="423">
        <v>5.6299328007361375E-5</v>
      </c>
      <c r="EJ145" s="444"/>
      <c r="EK145" s="367"/>
      <c r="EL145" s="367"/>
      <c r="EM145" s="367"/>
      <c r="EN145" s="367"/>
      <c r="EO145" s="367"/>
      <c r="EP145" s="367"/>
      <c r="EQ145" s="367"/>
    </row>
    <row r="146" spans="1:147" x14ac:dyDescent="0.2">
      <c r="A146" s="192"/>
      <c r="B146" s="19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2"/>
      <c r="P146" s="192"/>
      <c r="Q146" s="192"/>
      <c r="R146" s="192"/>
      <c r="S146" s="266"/>
      <c r="T146" s="265"/>
      <c r="U146" s="265"/>
      <c r="V146" s="265"/>
      <c r="W146" s="265"/>
      <c r="X146" s="265"/>
      <c r="Y146" s="265"/>
      <c r="Z146" s="265"/>
      <c r="AA146" s="265"/>
      <c r="AB146" s="265"/>
      <c r="AC146" s="265"/>
      <c r="AD146" s="265"/>
      <c r="AE146" s="265"/>
      <c r="AF146" s="265"/>
      <c r="AG146" s="265"/>
      <c r="AH146" s="265"/>
      <c r="AI146" s="192"/>
      <c r="AJ146" s="192"/>
      <c r="AK146" s="369"/>
      <c r="AL146" s="367"/>
      <c r="AM146" s="420" t="s">
        <v>23</v>
      </c>
      <c r="AN146" s="421">
        <v>2.2231124122778261E-2</v>
      </c>
      <c r="AO146" s="422">
        <v>2.1636394533490769E-2</v>
      </c>
      <c r="AP146" s="422">
        <v>2.220100893681675E-2</v>
      </c>
      <c r="AQ146" s="422">
        <v>2.1547431200777529E-2</v>
      </c>
      <c r="AR146" s="422">
        <v>2.2136949081623381E-2</v>
      </c>
      <c r="AS146" s="422">
        <v>2.2188630519917037E-2</v>
      </c>
      <c r="AT146" s="422">
        <v>2.1674342737827708E-2</v>
      </c>
      <c r="AU146" s="422">
        <v>2.2017932930331312E-2</v>
      </c>
      <c r="AV146" s="422">
        <v>2.162601090448385E-2</v>
      </c>
      <c r="AW146" s="422">
        <v>2.0851605700476093E-2</v>
      </c>
      <c r="AX146" s="422">
        <v>2.0651897676437256E-2</v>
      </c>
      <c r="AY146" s="422">
        <v>2.0185797567874385E-2</v>
      </c>
      <c r="AZ146" s="422">
        <v>2.0170875566615815E-2</v>
      </c>
      <c r="BA146" s="422">
        <v>2.0112557900391195E-2</v>
      </c>
      <c r="BB146" s="422">
        <v>2.0429505312228122E-2</v>
      </c>
      <c r="BC146" s="422">
        <v>2.0117299203802754E-2</v>
      </c>
      <c r="BD146" s="422">
        <v>2.0159052056412729E-2</v>
      </c>
      <c r="BE146" s="422">
        <v>2.0115324151969066E-2</v>
      </c>
      <c r="BF146" s="422">
        <v>2.0157357207403345E-2</v>
      </c>
      <c r="BG146" s="422">
        <v>1.9772734220824088E-2</v>
      </c>
      <c r="BH146" s="422">
        <v>2.2751221735273087E-2</v>
      </c>
      <c r="BI146" s="422">
        <v>2.6405783917954641E-2</v>
      </c>
      <c r="BJ146" s="422">
        <v>2.9200322792739982E-2</v>
      </c>
      <c r="BK146" s="422">
        <v>3.1106220681640113E-2</v>
      </c>
      <c r="BL146" s="422">
        <v>3.2123417277316539E-2</v>
      </c>
      <c r="BM146" s="422">
        <v>3.3283405402901631E-2</v>
      </c>
      <c r="BN146" s="422">
        <v>3.4476827296668608E-2</v>
      </c>
      <c r="BO146" s="422">
        <v>3.6574823309601281E-2</v>
      </c>
      <c r="BP146" s="422">
        <v>3.777977225421407E-2</v>
      </c>
      <c r="BQ146" s="422">
        <v>3.9581241959156008E-2</v>
      </c>
      <c r="BR146" s="422">
        <v>4.0354535312729381E-2</v>
      </c>
      <c r="BS146" s="422">
        <v>4.2719117052025864E-2</v>
      </c>
      <c r="BT146" s="422">
        <v>4.3329145837095122E-2</v>
      </c>
      <c r="BU146" s="422">
        <v>4.5939936879104804E-2</v>
      </c>
      <c r="BV146" s="422">
        <v>4.8013399333907004E-2</v>
      </c>
      <c r="BW146" s="422">
        <v>4.9943694860789749E-2</v>
      </c>
      <c r="BX146" s="422">
        <v>5.097492780575625E-2</v>
      </c>
      <c r="BY146" s="422">
        <v>5.1808324025241138E-2</v>
      </c>
      <c r="BZ146" s="422">
        <v>5.3829799899085172E-2</v>
      </c>
      <c r="CA146" s="422">
        <v>5.5935633429715484E-2</v>
      </c>
      <c r="CB146" s="422">
        <v>5.9075728591156104E-2</v>
      </c>
      <c r="CC146" s="422">
        <v>6.2344118857204797E-2</v>
      </c>
      <c r="CD146" s="422">
        <v>6.6286494143536212E-2</v>
      </c>
      <c r="CE146" s="422">
        <v>7.0542766521578981E-2</v>
      </c>
      <c r="CF146" s="422">
        <v>7.3706830383396607E-2</v>
      </c>
      <c r="CG146" s="422">
        <v>7.8094565660736651E-2</v>
      </c>
      <c r="CH146" s="422">
        <v>8.2205139847807099E-2</v>
      </c>
      <c r="CI146" s="422">
        <v>8.5047273801843973E-2</v>
      </c>
      <c r="CJ146" s="422">
        <v>8.7780345356614817E-2</v>
      </c>
      <c r="CK146" s="422">
        <v>9.3351448271779061E-2</v>
      </c>
      <c r="CL146" s="422">
        <v>9.7651219640923687E-2</v>
      </c>
      <c r="CM146" s="422">
        <v>0.10248822669043084</v>
      </c>
      <c r="CN146" s="422">
        <v>0.1073842122489919</v>
      </c>
      <c r="CO146" s="422">
        <v>0.1123919125798224</v>
      </c>
      <c r="CP146" s="422">
        <v>0.1187311101030494</v>
      </c>
      <c r="CQ146" s="422">
        <v>0.12460365586265169</v>
      </c>
      <c r="CR146" s="422">
        <v>0.13104095313052597</v>
      </c>
      <c r="CS146" s="422">
        <v>0.13569562525906864</v>
      </c>
      <c r="CT146" s="422">
        <v>0.14045249144249117</v>
      </c>
      <c r="CU146" s="422">
        <v>0.1443209339884004</v>
      </c>
      <c r="CV146" s="422">
        <v>0.15060238982037374</v>
      </c>
      <c r="CW146" s="422">
        <v>0.15640714051078647</v>
      </c>
      <c r="CX146" s="422">
        <v>0.16114824010231119</v>
      </c>
      <c r="CY146" s="422">
        <v>0.16511664158860159</v>
      </c>
      <c r="CZ146" s="422">
        <v>0.17066319236766728</v>
      </c>
      <c r="DA146" s="422">
        <v>0.17556980516854959</v>
      </c>
      <c r="DB146" s="422">
        <v>0.18139249774787355</v>
      </c>
      <c r="DC146" s="422">
        <v>0.18713191866785703</v>
      </c>
      <c r="DD146" s="422">
        <v>0.19240968190263943</v>
      </c>
      <c r="DE146" s="422">
        <v>0.19900436540236816</v>
      </c>
      <c r="DF146" s="422">
        <v>0.20531748217144236</v>
      </c>
      <c r="DG146" s="422">
        <v>0.2109760898097984</v>
      </c>
      <c r="DH146" s="422">
        <v>0.21612244825446045</v>
      </c>
      <c r="DI146" s="422">
        <v>0.22196346669670705</v>
      </c>
      <c r="DJ146" s="422">
        <v>0.22810732009532431</v>
      </c>
      <c r="DK146" s="422">
        <v>0.23412334410526736</v>
      </c>
      <c r="DL146" s="422">
        <v>0.23986490799184498</v>
      </c>
      <c r="DM146" s="422">
        <v>0.24502069850935351</v>
      </c>
      <c r="DN146" s="422">
        <v>0.24926848193750281</v>
      </c>
      <c r="DO146" s="422">
        <v>0.25429322975066476</v>
      </c>
      <c r="DP146" s="422">
        <v>0.26011121401157838</v>
      </c>
      <c r="DQ146" s="422">
        <v>0.26503737491548973</v>
      </c>
      <c r="DR146" s="422">
        <v>0.28112477252270074</v>
      </c>
      <c r="DS146" s="422">
        <v>0.29408543783843216</v>
      </c>
      <c r="DT146" s="422">
        <v>0.3026381230387874</v>
      </c>
      <c r="DU146" s="422">
        <v>0.31935361335025775</v>
      </c>
      <c r="DV146" s="422">
        <v>0.34029426425882425</v>
      </c>
      <c r="DW146" s="422">
        <v>0.35481157009858943</v>
      </c>
      <c r="DX146" s="422">
        <v>0.37832310440733152</v>
      </c>
      <c r="DY146" s="422">
        <v>0.39503637909289452</v>
      </c>
      <c r="DZ146" s="422">
        <v>0.40588362762575414</v>
      </c>
      <c r="EA146" s="422">
        <v>0.41910564353306412</v>
      </c>
      <c r="EB146" s="422">
        <v>0.43143032041876778</v>
      </c>
      <c r="EC146" s="422">
        <v>0.45494185472751447</v>
      </c>
      <c r="ED146" s="422">
        <v>0.47845338903625251</v>
      </c>
      <c r="EE146" s="422">
        <v>0.50196492334500242</v>
      </c>
      <c r="EF146" s="422">
        <v>0.52547645765374429</v>
      </c>
      <c r="EG146" s="422">
        <v>0.54898799196249226</v>
      </c>
      <c r="EH146" s="422">
        <v>0.56831515524715859</v>
      </c>
      <c r="EI146" s="423">
        <v>0.56831515524715859</v>
      </c>
      <c r="EJ146" s="444"/>
      <c r="EK146" s="367"/>
      <c r="EL146" s="367"/>
      <c r="EM146" s="367"/>
      <c r="EN146" s="367"/>
      <c r="EO146" s="367"/>
      <c r="EP146" s="367"/>
      <c r="EQ146" s="367"/>
    </row>
    <row r="147" spans="1:147" x14ac:dyDescent="0.2">
      <c r="A147" s="192"/>
      <c r="B147" s="19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192"/>
      <c r="O147" s="192"/>
      <c r="P147" s="192"/>
      <c r="Q147" s="192"/>
      <c r="R147" s="192"/>
      <c r="S147" s="266"/>
      <c r="T147" s="265"/>
      <c r="U147" s="265"/>
      <c r="V147" s="265"/>
      <c r="W147" s="265"/>
      <c r="X147" s="265"/>
      <c r="Y147" s="265"/>
      <c r="Z147" s="265"/>
      <c r="AA147" s="265"/>
      <c r="AB147" s="265"/>
      <c r="AC147" s="265"/>
      <c r="AD147" s="265"/>
      <c r="AE147" s="265"/>
      <c r="AF147" s="265"/>
      <c r="AG147" s="265"/>
      <c r="AH147" s="265"/>
      <c r="AI147" s="192"/>
      <c r="AJ147" s="192"/>
      <c r="AK147" s="369"/>
      <c r="AL147" s="367"/>
      <c r="AM147" s="420" t="s">
        <v>24</v>
      </c>
      <c r="AN147" s="421">
        <v>6.8499999999999991E-2</v>
      </c>
      <c r="AO147" s="422">
        <v>6.8499999999999991E-2</v>
      </c>
      <c r="AP147" s="422">
        <v>6.8499999999999991E-2</v>
      </c>
      <c r="AQ147" s="422">
        <v>6.8499999999999991E-2</v>
      </c>
      <c r="AR147" s="422">
        <v>6.8499999999999991E-2</v>
      </c>
      <c r="AS147" s="422">
        <v>6.8499999999999991E-2</v>
      </c>
      <c r="AT147" s="422">
        <v>6.8499999999999991E-2</v>
      </c>
      <c r="AU147" s="422">
        <v>6.8499999999999991E-2</v>
      </c>
      <c r="AV147" s="422">
        <v>6.8499999999999991E-2</v>
      </c>
      <c r="AW147" s="422">
        <v>6.8499999999999991E-2</v>
      </c>
      <c r="AX147" s="422">
        <v>6.8499999999999991E-2</v>
      </c>
      <c r="AY147" s="422">
        <v>6.8499999999999991E-2</v>
      </c>
      <c r="AZ147" s="422">
        <v>6.8499999999999991E-2</v>
      </c>
      <c r="BA147" s="422">
        <v>6.8499999999999991E-2</v>
      </c>
      <c r="BB147" s="422">
        <v>6.8499999999999991E-2</v>
      </c>
      <c r="BC147" s="422">
        <v>6.8499999999999991E-2</v>
      </c>
      <c r="BD147" s="422">
        <v>6.8499999999999991E-2</v>
      </c>
      <c r="BE147" s="422">
        <v>6.8499999999999991E-2</v>
      </c>
      <c r="BF147" s="422">
        <v>6.8499999999999991E-2</v>
      </c>
      <c r="BG147" s="422">
        <v>6.8499999999999991E-2</v>
      </c>
      <c r="BH147" s="422">
        <v>6.8499999999999991E-2</v>
      </c>
      <c r="BI147" s="422">
        <v>6.8499999999999991E-2</v>
      </c>
      <c r="BJ147" s="422">
        <v>6.8499999999999991E-2</v>
      </c>
      <c r="BK147" s="422">
        <v>6.8499999999999991E-2</v>
      </c>
      <c r="BL147" s="422">
        <v>6.8499999999999991E-2</v>
      </c>
      <c r="BM147" s="422">
        <v>6.8499999999999991E-2</v>
      </c>
      <c r="BN147" s="422">
        <v>6.8499999999999991E-2</v>
      </c>
      <c r="BO147" s="422">
        <v>6.8499999999999991E-2</v>
      </c>
      <c r="BP147" s="422">
        <v>6.8499999999999991E-2</v>
      </c>
      <c r="BQ147" s="422">
        <v>6.8499999999999991E-2</v>
      </c>
      <c r="BR147" s="422">
        <v>6.8499999999999991E-2</v>
      </c>
      <c r="BS147" s="422">
        <v>6.8499999999999991E-2</v>
      </c>
      <c r="BT147" s="422">
        <v>6.8499999999999991E-2</v>
      </c>
      <c r="BU147" s="422">
        <v>6.8499999999999991E-2</v>
      </c>
      <c r="BV147" s="422">
        <v>6.8499999999999991E-2</v>
      </c>
      <c r="BW147" s="422">
        <v>6.8499999999999991E-2</v>
      </c>
      <c r="BX147" s="422">
        <v>6.8499999999999991E-2</v>
      </c>
      <c r="BY147" s="422">
        <v>6.8499999999999991E-2</v>
      </c>
      <c r="BZ147" s="422">
        <v>6.8499999999999991E-2</v>
      </c>
      <c r="CA147" s="422">
        <v>6.8499999999999991E-2</v>
      </c>
      <c r="CB147" s="422">
        <v>6.8499999999999991E-2</v>
      </c>
      <c r="CC147" s="422">
        <v>6.8499999999999991E-2</v>
      </c>
      <c r="CD147" s="422">
        <v>6.8499999999999991E-2</v>
      </c>
      <c r="CE147" s="422">
        <v>6.8499999999999991E-2</v>
      </c>
      <c r="CF147" s="422">
        <v>6.8499999999999991E-2</v>
      </c>
      <c r="CG147" s="422">
        <v>6.8499999999999991E-2</v>
      </c>
      <c r="CH147" s="422">
        <v>6.8499999999999991E-2</v>
      </c>
      <c r="CI147" s="422">
        <v>6.8499999999999991E-2</v>
      </c>
      <c r="CJ147" s="422">
        <v>6.8499999999999991E-2</v>
      </c>
      <c r="CK147" s="422">
        <v>6.8499999999999991E-2</v>
      </c>
      <c r="CL147" s="422">
        <v>6.8499999999999991E-2</v>
      </c>
      <c r="CM147" s="422">
        <v>6.8499999999999991E-2</v>
      </c>
      <c r="CN147" s="422">
        <v>6.8499999999999991E-2</v>
      </c>
      <c r="CO147" s="422">
        <v>6.8499999999999797E-2</v>
      </c>
      <c r="CP147" s="422">
        <v>6.8499999999999936E-2</v>
      </c>
      <c r="CQ147" s="422">
        <v>6.8499999999999936E-2</v>
      </c>
      <c r="CR147" s="422">
        <v>6.8499999999999991E-2</v>
      </c>
      <c r="CS147" s="422">
        <v>6.8499999999999908E-2</v>
      </c>
      <c r="CT147" s="422">
        <v>6.8499999999999991E-2</v>
      </c>
      <c r="CU147" s="422">
        <v>6.8499999999999991E-2</v>
      </c>
      <c r="CV147" s="422">
        <v>6.8499999999999991E-2</v>
      </c>
      <c r="CW147" s="422">
        <v>6.8499999999999991E-2</v>
      </c>
      <c r="CX147" s="422">
        <v>6.8499999999999991E-2</v>
      </c>
      <c r="CY147" s="422">
        <v>6.8499999999999991E-2</v>
      </c>
      <c r="CZ147" s="422">
        <v>6.8499999999999991E-2</v>
      </c>
      <c r="DA147" s="422">
        <v>6.8499999999999991E-2</v>
      </c>
      <c r="DB147" s="422">
        <v>6.8499999999999991E-2</v>
      </c>
      <c r="DC147" s="422">
        <v>6.8499999999999991E-2</v>
      </c>
      <c r="DD147" s="422">
        <v>6.8499999999999991E-2</v>
      </c>
      <c r="DE147" s="422">
        <v>6.8499999999999991E-2</v>
      </c>
      <c r="DF147" s="422">
        <v>6.8499999999999991E-2</v>
      </c>
      <c r="DG147" s="422">
        <v>6.8499999999999991E-2</v>
      </c>
      <c r="DH147" s="422">
        <v>6.8499999999999991E-2</v>
      </c>
      <c r="DI147" s="422">
        <v>6.8499999999999991E-2</v>
      </c>
      <c r="DJ147" s="422">
        <v>6.8499999999999964E-2</v>
      </c>
      <c r="DK147" s="422">
        <v>6.8499999999999991E-2</v>
      </c>
      <c r="DL147" s="422">
        <v>6.8499999999999839E-2</v>
      </c>
      <c r="DM147" s="422">
        <v>6.8499999999999991E-2</v>
      </c>
      <c r="DN147" s="422">
        <v>6.8499999999999991E-2</v>
      </c>
      <c r="DO147" s="422">
        <v>6.8499999999999991E-2</v>
      </c>
      <c r="DP147" s="422">
        <v>6.8499999999999894E-2</v>
      </c>
      <c r="DQ147" s="422">
        <v>6.8499999999999991E-2</v>
      </c>
      <c r="DR147" s="422">
        <v>6.8499999999999991E-2</v>
      </c>
      <c r="DS147" s="422">
        <v>6.0694402714824805E-2</v>
      </c>
      <c r="DT147" s="422">
        <v>4.9627770780282777E-2</v>
      </c>
      <c r="DU147" s="422">
        <v>4.4600000000000001E-2</v>
      </c>
      <c r="DV147" s="422">
        <v>4.4600000000000001E-2</v>
      </c>
      <c r="DW147" s="422">
        <v>4.4600000000000001E-2</v>
      </c>
      <c r="DX147" s="422">
        <v>4.4600000000000001E-2</v>
      </c>
      <c r="DY147" s="422">
        <v>4.4600000000000001E-2</v>
      </c>
      <c r="DZ147" s="422">
        <v>4.4599999999999904E-2</v>
      </c>
      <c r="EA147" s="422">
        <v>4.4600000000000022E-2</v>
      </c>
      <c r="EB147" s="422">
        <v>4.4600000000000015E-2</v>
      </c>
      <c r="EC147" s="422">
        <v>4.4600000000000029E-2</v>
      </c>
      <c r="ED147" s="422">
        <v>4.4600000000000001E-2</v>
      </c>
      <c r="EE147" s="422">
        <v>4.4600000000000001E-2</v>
      </c>
      <c r="EF147" s="422">
        <v>4.4600000000000001E-2</v>
      </c>
      <c r="EG147" s="422">
        <v>4.4600000000000001E-2</v>
      </c>
      <c r="EH147" s="422">
        <v>4.4623154912533672E-2</v>
      </c>
      <c r="EI147" s="423">
        <v>4.4623154912533672E-2</v>
      </c>
      <c r="EJ147" s="444"/>
      <c r="EK147" s="367"/>
      <c r="EL147" s="367"/>
      <c r="EM147" s="367"/>
      <c r="EN147" s="367"/>
      <c r="EO147" s="367"/>
      <c r="EP147" s="367"/>
      <c r="EQ147" s="367"/>
    </row>
    <row r="148" spans="1:147" x14ac:dyDescent="0.2">
      <c r="A148" s="192"/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92"/>
      <c r="Q148" s="192"/>
      <c r="R148" s="192"/>
      <c r="S148" s="266"/>
      <c r="T148" s="265"/>
      <c r="U148" s="265"/>
      <c r="V148" s="265"/>
      <c r="W148" s="265"/>
      <c r="X148" s="265"/>
      <c r="Y148" s="265"/>
      <c r="Z148" s="265"/>
      <c r="AA148" s="265"/>
      <c r="AB148" s="265"/>
      <c r="AC148" s="265"/>
      <c r="AD148" s="265"/>
      <c r="AE148" s="265"/>
      <c r="AF148" s="265"/>
      <c r="AG148" s="265"/>
      <c r="AH148" s="265"/>
      <c r="AI148" s="192"/>
      <c r="AJ148" s="192"/>
      <c r="AK148" s="369"/>
      <c r="AL148" s="367"/>
      <c r="AM148" s="420" t="s">
        <v>25</v>
      </c>
      <c r="AN148" s="421">
        <v>3.2300000000000002E-2</v>
      </c>
      <c r="AO148" s="422">
        <v>3.2300000000000002E-2</v>
      </c>
      <c r="AP148" s="422">
        <v>3.2300000000000002E-2</v>
      </c>
      <c r="AQ148" s="422">
        <v>3.2300000000000002E-2</v>
      </c>
      <c r="AR148" s="422">
        <v>3.2300000000000002E-2</v>
      </c>
      <c r="AS148" s="422">
        <v>3.2300000000000002E-2</v>
      </c>
      <c r="AT148" s="422">
        <v>3.2300000000000002E-2</v>
      </c>
      <c r="AU148" s="422">
        <v>3.2300000000000002E-2</v>
      </c>
      <c r="AV148" s="422">
        <v>3.2300000000000002E-2</v>
      </c>
      <c r="AW148" s="422">
        <v>3.2300000000000002E-2</v>
      </c>
      <c r="AX148" s="422">
        <v>3.2300000000000002E-2</v>
      </c>
      <c r="AY148" s="422">
        <v>3.2300000000000002E-2</v>
      </c>
      <c r="AZ148" s="422">
        <v>3.2300000000000002E-2</v>
      </c>
      <c r="BA148" s="422">
        <v>3.2300000000000002E-2</v>
      </c>
      <c r="BB148" s="422">
        <v>3.2300000000000002E-2</v>
      </c>
      <c r="BC148" s="422">
        <v>3.2300000000000002E-2</v>
      </c>
      <c r="BD148" s="422">
        <v>3.2300000000000002E-2</v>
      </c>
      <c r="BE148" s="422">
        <v>3.2300000000000002E-2</v>
      </c>
      <c r="BF148" s="422">
        <v>3.2300000000000002E-2</v>
      </c>
      <c r="BG148" s="422">
        <v>3.2300000000000002E-2</v>
      </c>
      <c r="BH148" s="422">
        <v>3.2300000000000002E-2</v>
      </c>
      <c r="BI148" s="422">
        <v>3.2300000000000002E-2</v>
      </c>
      <c r="BJ148" s="422">
        <v>3.2300000000000002E-2</v>
      </c>
      <c r="BK148" s="422">
        <v>3.2300000000000002E-2</v>
      </c>
      <c r="BL148" s="422">
        <v>3.2300000000000002E-2</v>
      </c>
      <c r="BM148" s="422">
        <v>3.2300000000000002E-2</v>
      </c>
      <c r="BN148" s="422">
        <v>3.2300000000000002E-2</v>
      </c>
      <c r="BO148" s="422">
        <v>3.2300000000000002E-2</v>
      </c>
      <c r="BP148" s="422">
        <v>3.2300000000000002E-2</v>
      </c>
      <c r="BQ148" s="422">
        <v>3.2300000000000002E-2</v>
      </c>
      <c r="BR148" s="422">
        <v>3.2300000000000002E-2</v>
      </c>
      <c r="BS148" s="422">
        <v>3.2300000000000002E-2</v>
      </c>
      <c r="BT148" s="422">
        <v>3.2300000000000002E-2</v>
      </c>
      <c r="BU148" s="422">
        <v>3.2300000000000002E-2</v>
      </c>
      <c r="BV148" s="422">
        <v>3.2300000000000002E-2</v>
      </c>
      <c r="BW148" s="422">
        <v>3.2300000000000002E-2</v>
      </c>
      <c r="BX148" s="422">
        <v>3.2300000000000002E-2</v>
      </c>
      <c r="BY148" s="422">
        <v>3.2300000000000002E-2</v>
      </c>
      <c r="BZ148" s="422">
        <v>3.2300000000000002E-2</v>
      </c>
      <c r="CA148" s="422">
        <v>3.2300000000000002E-2</v>
      </c>
      <c r="CB148" s="422">
        <v>3.2300000000000002E-2</v>
      </c>
      <c r="CC148" s="422">
        <v>3.2300000000000002E-2</v>
      </c>
      <c r="CD148" s="422">
        <v>3.2300000000000002E-2</v>
      </c>
      <c r="CE148" s="422">
        <v>3.2300000000000002E-2</v>
      </c>
      <c r="CF148" s="422">
        <v>3.2300000000000002E-2</v>
      </c>
      <c r="CG148" s="422">
        <v>3.2300000000000002E-2</v>
      </c>
      <c r="CH148" s="422">
        <v>3.2300000000000002E-2</v>
      </c>
      <c r="CI148" s="422">
        <v>3.2300000000000002E-2</v>
      </c>
      <c r="CJ148" s="422">
        <v>3.2300000000000002E-2</v>
      </c>
      <c r="CK148" s="422">
        <v>3.2300000000000002E-2</v>
      </c>
      <c r="CL148" s="422">
        <v>3.2300000000000002E-2</v>
      </c>
      <c r="CM148" s="422">
        <v>3.2300000000000002E-2</v>
      </c>
      <c r="CN148" s="422">
        <v>3.2300000000000002E-2</v>
      </c>
      <c r="CO148" s="422">
        <v>3.2300000000000044E-2</v>
      </c>
      <c r="CP148" s="422">
        <v>3.2299999999999982E-2</v>
      </c>
      <c r="CQ148" s="422">
        <v>3.2300000000000016E-2</v>
      </c>
      <c r="CR148" s="422">
        <v>3.2300000000000002E-2</v>
      </c>
      <c r="CS148" s="422">
        <v>3.2299999999999975E-2</v>
      </c>
      <c r="CT148" s="422">
        <v>3.2300000000000002E-2</v>
      </c>
      <c r="CU148" s="422">
        <v>3.2300000000000002E-2</v>
      </c>
      <c r="CV148" s="422">
        <v>3.2300000000000002E-2</v>
      </c>
      <c r="CW148" s="422">
        <v>3.2300000000000002E-2</v>
      </c>
      <c r="CX148" s="422">
        <v>3.2300000000000002E-2</v>
      </c>
      <c r="CY148" s="422">
        <v>3.2300000000000002E-2</v>
      </c>
      <c r="CZ148" s="422">
        <v>3.2300000000000002E-2</v>
      </c>
      <c r="DA148" s="422">
        <v>3.2300000000000002E-2</v>
      </c>
      <c r="DB148" s="422">
        <v>3.2300000000000002E-2</v>
      </c>
      <c r="DC148" s="422">
        <v>3.2300000000000002E-2</v>
      </c>
      <c r="DD148" s="422">
        <v>3.2300000000000002E-2</v>
      </c>
      <c r="DE148" s="422">
        <v>3.2300000000000002E-2</v>
      </c>
      <c r="DF148" s="422">
        <v>3.2300000000000002E-2</v>
      </c>
      <c r="DG148" s="422">
        <v>3.2300000000000002E-2</v>
      </c>
      <c r="DH148" s="422">
        <v>3.2300000000000002E-2</v>
      </c>
      <c r="DI148" s="422">
        <v>3.2300000000000002E-2</v>
      </c>
      <c r="DJ148" s="422">
        <v>3.2300000000000016E-2</v>
      </c>
      <c r="DK148" s="422">
        <v>3.2300000000000002E-2</v>
      </c>
      <c r="DL148" s="422">
        <v>3.2300000000000023E-2</v>
      </c>
      <c r="DM148" s="422">
        <v>3.2300000000000002E-2</v>
      </c>
      <c r="DN148" s="422">
        <v>3.2300000000000002E-2</v>
      </c>
      <c r="DO148" s="422">
        <v>3.2300000000000002E-2</v>
      </c>
      <c r="DP148" s="422">
        <v>3.2300000000000009E-2</v>
      </c>
      <c r="DQ148" s="422">
        <v>3.2300000000000002E-2</v>
      </c>
      <c r="DR148" s="422">
        <v>3.2300000000000002E-2</v>
      </c>
      <c r="DS148" s="422">
        <v>3.2300000000000002E-2</v>
      </c>
      <c r="DT148" s="422">
        <v>3.2300000000000113E-2</v>
      </c>
      <c r="DU148" s="422">
        <v>3.2300000000000002E-2</v>
      </c>
      <c r="DV148" s="422">
        <v>2.9921427903757805E-2</v>
      </c>
      <c r="DW148" s="422">
        <v>2.1600000000006503E-2</v>
      </c>
      <c r="DX148" s="422">
        <v>2.1600000000006503E-2</v>
      </c>
      <c r="DY148" s="422">
        <v>2.1600000000006503E-2</v>
      </c>
      <c r="DZ148" s="422">
        <v>2.1600000000006538E-2</v>
      </c>
      <c r="EA148" s="422">
        <v>2.1600000000006503E-2</v>
      </c>
      <c r="EB148" s="422">
        <v>2.1600000000006503E-2</v>
      </c>
      <c r="EC148" s="422">
        <v>2.1600000000006541E-2</v>
      </c>
      <c r="ED148" s="422">
        <v>2.1600000000006503E-2</v>
      </c>
      <c r="EE148" s="422">
        <v>2.1600000000006503E-2</v>
      </c>
      <c r="EF148" s="422">
        <v>2.1600000000006503E-2</v>
      </c>
      <c r="EG148" s="422">
        <v>2.1600000000006503E-2</v>
      </c>
      <c r="EH148" s="422">
        <v>2.1626032029574201E-2</v>
      </c>
      <c r="EI148" s="423">
        <v>2.1626032029574201E-2</v>
      </c>
      <c r="EJ148" s="444"/>
      <c r="EK148" s="367"/>
      <c r="EL148" s="367"/>
      <c r="EM148" s="367"/>
      <c r="EN148" s="367"/>
      <c r="EO148" s="367"/>
      <c r="EP148" s="367"/>
      <c r="EQ148" s="367"/>
    </row>
    <row r="149" spans="1:147" x14ac:dyDescent="0.2">
      <c r="A149" s="192"/>
      <c r="B149" s="19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192"/>
      <c r="O149" s="192"/>
      <c r="P149" s="192"/>
      <c r="Q149" s="192"/>
      <c r="R149" s="192"/>
      <c r="S149" s="266"/>
      <c r="T149" s="265"/>
      <c r="U149" s="265"/>
      <c r="V149" s="265"/>
      <c r="W149" s="265"/>
      <c r="X149" s="265"/>
      <c r="Y149" s="265"/>
      <c r="Z149" s="265"/>
      <c r="AA149" s="265"/>
      <c r="AB149" s="265"/>
      <c r="AC149" s="265"/>
      <c r="AD149" s="265"/>
      <c r="AE149" s="265"/>
      <c r="AF149" s="265"/>
      <c r="AG149" s="265"/>
      <c r="AH149" s="265"/>
      <c r="AI149" s="192"/>
      <c r="AJ149" s="192"/>
      <c r="AK149" s="369"/>
      <c r="AL149" s="367"/>
      <c r="AM149" s="378"/>
      <c r="AN149" s="374"/>
      <c r="AO149" s="375"/>
      <c r="AP149" s="375"/>
      <c r="AQ149" s="375"/>
      <c r="AR149" s="375"/>
      <c r="AS149" s="375"/>
      <c r="AT149" s="375"/>
      <c r="AU149" s="375"/>
      <c r="AV149" s="375"/>
      <c r="AW149" s="375"/>
      <c r="AX149" s="375"/>
      <c r="AY149" s="375"/>
      <c r="AZ149" s="375"/>
      <c r="BA149" s="375"/>
      <c r="BB149" s="375"/>
      <c r="BC149" s="375"/>
      <c r="BD149" s="375"/>
      <c r="BE149" s="375"/>
      <c r="BF149" s="375"/>
      <c r="BG149" s="375"/>
      <c r="BH149" s="375"/>
      <c r="BI149" s="375"/>
      <c r="BJ149" s="375"/>
      <c r="BK149" s="375"/>
      <c r="BL149" s="375"/>
      <c r="BM149" s="375"/>
      <c r="BN149" s="375"/>
      <c r="BO149" s="375"/>
      <c r="BP149" s="375"/>
      <c r="BQ149" s="375"/>
      <c r="BR149" s="375"/>
      <c r="BS149" s="375"/>
      <c r="BT149" s="375"/>
      <c r="BU149" s="375"/>
      <c r="BV149" s="375"/>
      <c r="BW149" s="375"/>
      <c r="BX149" s="375"/>
      <c r="BY149" s="375"/>
      <c r="BZ149" s="375"/>
      <c r="CA149" s="375"/>
      <c r="CB149" s="375"/>
      <c r="CC149" s="375"/>
      <c r="CD149" s="375"/>
      <c r="CE149" s="375"/>
      <c r="CF149" s="375"/>
      <c r="CG149" s="375"/>
      <c r="CH149" s="375"/>
      <c r="CI149" s="375"/>
      <c r="CJ149" s="375"/>
      <c r="CK149" s="375"/>
      <c r="CL149" s="375"/>
      <c r="CM149" s="375"/>
      <c r="CN149" s="375"/>
      <c r="CO149" s="375"/>
      <c r="CP149" s="375"/>
      <c r="CQ149" s="375"/>
      <c r="CR149" s="375"/>
      <c r="CS149" s="375"/>
      <c r="CT149" s="375"/>
      <c r="CU149" s="375"/>
      <c r="CV149" s="375"/>
      <c r="CW149" s="375"/>
      <c r="CX149" s="375"/>
      <c r="CY149" s="375"/>
      <c r="CZ149" s="375"/>
      <c r="DA149" s="375"/>
      <c r="DB149" s="375"/>
      <c r="DC149" s="375"/>
      <c r="DD149" s="375"/>
      <c r="DE149" s="375"/>
      <c r="DF149" s="375"/>
      <c r="DG149" s="375"/>
      <c r="DH149" s="375"/>
      <c r="DI149" s="375"/>
      <c r="DJ149" s="375"/>
      <c r="DK149" s="375"/>
      <c r="DL149" s="375"/>
      <c r="DM149" s="375"/>
      <c r="DN149" s="375"/>
      <c r="DO149" s="375"/>
      <c r="DP149" s="375"/>
      <c r="DQ149" s="375"/>
      <c r="DR149" s="375"/>
      <c r="DS149" s="375"/>
      <c r="DT149" s="375"/>
      <c r="DU149" s="375"/>
      <c r="DV149" s="375"/>
      <c r="DW149" s="375"/>
      <c r="DX149" s="375"/>
      <c r="DY149" s="375"/>
      <c r="DZ149" s="375"/>
      <c r="EA149" s="375"/>
      <c r="EB149" s="375"/>
      <c r="EC149" s="375"/>
      <c r="ED149" s="375"/>
      <c r="EE149" s="375"/>
      <c r="EF149" s="375"/>
      <c r="EG149" s="375"/>
      <c r="EH149" s="375"/>
      <c r="EI149" s="376"/>
      <c r="EJ149" s="367"/>
      <c r="EK149" s="367"/>
      <c r="EL149" s="367"/>
      <c r="EM149" s="367"/>
      <c r="EN149" s="367"/>
      <c r="EO149" s="367"/>
      <c r="EP149" s="367"/>
      <c r="EQ149" s="367"/>
    </row>
    <row r="150" spans="1:147" x14ac:dyDescent="0.2">
      <c r="A150" s="192"/>
      <c r="B150" s="19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192"/>
      <c r="O150" s="192"/>
      <c r="P150" s="192"/>
      <c r="Q150" s="192"/>
      <c r="R150" s="192"/>
      <c r="S150" s="266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  <c r="AG150" s="265"/>
      <c r="AH150" s="265"/>
      <c r="AI150" s="192"/>
      <c r="AJ150" s="192"/>
      <c r="AK150" s="369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7"/>
      <c r="AW150" s="367"/>
      <c r="AX150" s="367"/>
      <c r="AY150" s="367"/>
      <c r="AZ150" s="367"/>
      <c r="BA150" s="367"/>
      <c r="BB150" s="367"/>
      <c r="BC150" s="367"/>
      <c r="BD150" s="367"/>
      <c r="BE150" s="367"/>
      <c r="BF150" s="367"/>
      <c r="BG150" s="367"/>
      <c r="BH150" s="367"/>
      <c r="BI150" s="367"/>
      <c r="BJ150" s="367"/>
      <c r="BK150" s="367"/>
      <c r="BL150" s="367"/>
      <c r="BM150" s="367"/>
      <c r="BN150" s="367"/>
      <c r="BO150" s="367"/>
      <c r="BP150" s="367"/>
      <c r="BQ150" s="367"/>
      <c r="BR150" s="367"/>
      <c r="BS150" s="367"/>
      <c r="BT150" s="367"/>
      <c r="BU150" s="367"/>
      <c r="BV150" s="367"/>
      <c r="BW150" s="367"/>
      <c r="BX150" s="367"/>
      <c r="BY150" s="367"/>
      <c r="BZ150" s="367"/>
      <c r="CA150" s="367"/>
      <c r="CB150" s="367"/>
      <c r="CC150" s="367"/>
      <c r="CD150" s="367"/>
      <c r="CE150" s="367"/>
      <c r="CF150" s="367"/>
      <c r="CG150" s="367"/>
      <c r="CH150" s="367"/>
      <c r="CI150" s="367"/>
      <c r="CJ150" s="367"/>
      <c r="CK150" s="367"/>
      <c r="CL150" s="367"/>
      <c r="CM150" s="367"/>
      <c r="CN150" s="367"/>
      <c r="CO150" s="367"/>
      <c r="CP150" s="367"/>
      <c r="CQ150" s="367"/>
      <c r="CR150" s="367"/>
      <c r="CS150" s="367"/>
      <c r="CT150" s="367"/>
      <c r="CU150" s="367"/>
      <c r="CV150" s="367"/>
      <c r="CW150" s="367"/>
      <c r="CX150" s="367"/>
      <c r="CY150" s="367"/>
      <c r="CZ150" s="367"/>
      <c r="DA150" s="367"/>
      <c r="DB150" s="367"/>
      <c r="DC150" s="367"/>
      <c r="DD150" s="367"/>
      <c r="DE150" s="367"/>
      <c r="DF150" s="367"/>
      <c r="DG150" s="367"/>
      <c r="DH150" s="367"/>
      <c r="DI150" s="367"/>
      <c r="DJ150" s="367"/>
      <c r="DK150" s="367"/>
      <c r="DL150" s="367"/>
      <c r="DM150" s="367"/>
      <c r="DN150" s="367"/>
      <c r="DO150" s="367"/>
      <c r="DP150" s="367"/>
      <c r="DQ150" s="367"/>
      <c r="DR150" s="367"/>
      <c r="DS150" s="367"/>
      <c r="DT150" s="367"/>
      <c r="DU150" s="367"/>
      <c r="DV150" s="367"/>
      <c r="DW150" s="367"/>
      <c r="DX150" s="367"/>
      <c r="DY150" s="367"/>
      <c r="DZ150" s="367"/>
      <c r="EA150" s="367"/>
      <c r="EB150" s="367"/>
      <c r="EC150" s="367"/>
      <c r="ED150" s="367"/>
      <c r="EE150" s="367"/>
      <c r="EF150" s="367"/>
      <c r="EG150" s="367"/>
      <c r="EH150" s="367"/>
      <c r="EI150" s="367"/>
      <c r="EJ150" s="367"/>
      <c r="EK150" s="367"/>
      <c r="EL150" s="367"/>
      <c r="EM150" s="367"/>
      <c r="EN150" s="367"/>
      <c r="EO150" s="367"/>
      <c r="EP150" s="367"/>
      <c r="EQ150" s="367"/>
    </row>
    <row r="151" spans="1:147" x14ac:dyDescent="0.2">
      <c r="A151" s="192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  <c r="R151" s="192"/>
      <c r="S151" s="266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  <c r="AG151" s="265"/>
      <c r="AH151" s="265"/>
      <c r="AI151" s="192"/>
      <c r="AJ151" s="192"/>
      <c r="AK151" s="369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7"/>
      <c r="AW151" s="367"/>
      <c r="AX151" s="367"/>
      <c r="AY151" s="367"/>
      <c r="AZ151" s="367"/>
      <c r="BA151" s="367"/>
      <c r="BB151" s="367"/>
      <c r="BC151" s="367"/>
      <c r="BD151" s="367"/>
      <c r="BE151" s="367"/>
      <c r="BF151" s="367"/>
      <c r="BG151" s="367"/>
      <c r="BH151" s="367"/>
      <c r="BI151" s="367"/>
      <c r="BJ151" s="367"/>
      <c r="BK151" s="367"/>
      <c r="BL151" s="367"/>
      <c r="BM151" s="367"/>
      <c r="BN151" s="367"/>
      <c r="BO151" s="367"/>
      <c r="BP151" s="367"/>
      <c r="BQ151" s="367"/>
      <c r="BR151" s="367"/>
      <c r="BS151" s="367"/>
      <c r="BT151" s="367"/>
      <c r="BU151" s="367"/>
      <c r="BV151" s="367"/>
      <c r="BW151" s="367"/>
      <c r="BX151" s="367"/>
      <c r="BY151" s="367"/>
      <c r="BZ151" s="367"/>
      <c r="CA151" s="367"/>
      <c r="CB151" s="367"/>
      <c r="CC151" s="367"/>
      <c r="CD151" s="367"/>
      <c r="CE151" s="367"/>
      <c r="CF151" s="367"/>
      <c r="CG151" s="367"/>
      <c r="CH151" s="367"/>
      <c r="CI151" s="367"/>
      <c r="CJ151" s="367"/>
      <c r="CK151" s="367"/>
      <c r="CL151" s="367"/>
      <c r="CM151" s="367"/>
      <c r="CN151" s="367"/>
      <c r="CO151" s="367"/>
      <c r="CP151" s="367"/>
      <c r="CQ151" s="367"/>
      <c r="CR151" s="367"/>
      <c r="CS151" s="367"/>
      <c r="CT151" s="367"/>
      <c r="CU151" s="367"/>
      <c r="CV151" s="367"/>
      <c r="CW151" s="367"/>
      <c r="CX151" s="367"/>
      <c r="CY151" s="367"/>
      <c r="CZ151" s="367"/>
      <c r="DA151" s="367"/>
      <c r="DB151" s="367"/>
      <c r="DC151" s="367"/>
      <c r="DD151" s="367"/>
      <c r="DE151" s="367"/>
      <c r="DF151" s="367"/>
      <c r="DG151" s="367"/>
      <c r="DH151" s="367"/>
      <c r="DI151" s="367"/>
      <c r="DJ151" s="367"/>
      <c r="DK151" s="367"/>
      <c r="DL151" s="367"/>
      <c r="DM151" s="367"/>
      <c r="DN151" s="367"/>
      <c r="DO151" s="367"/>
      <c r="DP151" s="367"/>
      <c r="DQ151" s="367"/>
      <c r="DR151" s="367"/>
      <c r="DS151" s="367"/>
      <c r="DT151" s="367"/>
      <c r="DU151" s="367"/>
      <c r="DV151" s="367"/>
      <c r="DW151" s="367"/>
      <c r="DX151" s="367"/>
      <c r="DY151" s="367"/>
      <c r="DZ151" s="367"/>
      <c r="EA151" s="367"/>
      <c r="EB151" s="367"/>
      <c r="EC151" s="367"/>
      <c r="ED151" s="367"/>
      <c r="EE151" s="367"/>
      <c r="EF151" s="367"/>
      <c r="EG151" s="367"/>
      <c r="EH151" s="367"/>
      <c r="EI151" s="367"/>
      <c r="EJ151" s="367"/>
      <c r="EK151" s="367"/>
      <c r="EL151" s="367"/>
      <c r="EM151" s="367"/>
      <c r="EN151" s="367"/>
      <c r="EO151" s="367"/>
      <c r="EP151" s="367"/>
      <c r="EQ151" s="367"/>
    </row>
    <row r="152" spans="1:147" x14ac:dyDescent="0.2">
      <c r="A152" s="192"/>
      <c r="B152" s="19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192"/>
      <c r="O152" s="192"/>
      <c r="P152" s="192"/>
      <c r="Q152" s="192"/>
      <c r="R152" s="192"/>
      <c r="S152" s="266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  <c r="AG152" s="265"/>
      <c r="AH152" s="265"/>
      <c r="AI152" s="192"/>
      <c r="AJ152" s="192"/>
      <c r="AK152" s="369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7"/>
      <c r="AW152" s="367"/>
      <c r="AX152" s="367"/>
      <c r="AY152" s="367"/>
      <c r="AZ152" s="367"/>
      <c r="BA152" s="367"/>
      <c r="BB152" s="367"/>
      <c r="BC152" s="367"/>
      <c r="BD152" s="367"/>
      <c r="BE152" s="367"/>
      <c r="BF152" s="367"/>
      <c r="BG152" s="367"/>
      <c r="BH152" s="367"/>
      <c r="BI152" s="367"/>
      <c r="BJ152" s="367"/>
      <c r="BK152" s="367"/>
      <c r="BL152" s="367"/>
      <c r="BM152" s="367"/>
      <c r="BN152" s="367"/>
      <c r="BO152" s="367"/>
      <c r="BP152" s="367"/>
      <c r="BQ152" s="367"/>
      <c r="BR152" s="367"/>
      <c r="BS152" s="367"/>
      <c r="BT152" s="367"/>
      <c r="BU152" s="367"/>
      <c r="BV152" s="367"/>
      <c r="BW152" s="367"/>
      <c r="BX152" s="367"/>
      <c r="BY152" s="367"/>
      <c r="BZ152" s="367"/>
      <c r="CA152" s="367"/>
      <c r="CB152" s="367"/>
      <c r="CC152" s="367"/>
      <c r="CD152" s="367"/>
      <c r="CE152" s="367"/>
      <c r="CF152" s="367"/>
      <c r="CG152" s="367"/>
      <c r="CH152" s="367"/>
      <c r="CI152" s="367"/>
      <c r="CJ152" s="367"/>
      <c r="CK152" s="367"/>
      <c r="CL152" s="367"/>
      <c r="CM152" s="367"/>
      <c r="CN152" s="367"/>
      <c r="CO152" s="367"/>
      <c r="CP152" s="367"/>
      <c r="CQ152" s="367"/>
      <c r="CR152" s="367"/>
      <c r="CS152" s="367"/>
      <c r="CT152" s="367"/>
      <c r="CU152" s="367"/>
      <c r="CV152" s="367"/>
      <c r="CW152" s="367"/>
      <c r="CX152" s="367"/>
      <c r="CY152" s="367"/>
      <c r="CZ152" s="367"/>
      <c r="DA152" s="367"/>
      <c r="DB152" s="367"/>
      <c r="DC152" s="367"/>
      <c r="DD152" s="367"/>
      <c r="DE152" s="367"/>
      <c r="DF152" s="367"/>
      <c r="DG152" s="367"/>
      <c r="DH152" s="367"/>
      <c r="DI152" s="367"/>
      <c r="DJ152" s="367"/>
      <c r="DK152" s="367"/>
      <c r="DL152" s="367"/>
      <c r="DM152" s="367"/>
      <c r="DN152" s="367"/>
      <c r="DO152" s="367"/>
      <c r="DP152" s="367"/>
      <c r="DQ152" s="367"/>
      <c r="DR152" s="367"/>
      <c r="DS152" s="367"/>
      <c r="DT152" s="367"/>
      <c r="DU152" s="367"/>
      <c r="DV152" s="367"/>
      <c r="DW152" s="367"/>
      <c r="DX152" s="367"/>
      <c r="DY152" s="367"/>
      <c r="DZ152" s="367"/>
      <c r="EA152" s="367"/>
      <c r="EB152" s="367"/>
      <c r="EC152" s="367"/>
      <c r="ED152" s="367"/>
      <c r="EE152" s="367"/>
      <c r="EF152" s="367"/>
      <c r="EG152" s="367"/>
      <c r="EH152" s="367"/>
      <c r="EI152" s="367"/>
      <c r="EJ152" s="367"/>
      <c r="EK152" s="367"/>
      <c r="EL152" s="367"/>
      <c r="EM152" s="367"/>
      <c r="EN152" s="367"/>
      <c r="EO152" s="367"/>
      <c r="EP152" s="367"/>
      <c r="EQ152" s="367"/>
    </row>
    <row r="153" spans="1:147" x14ac:dyDescent="0.2">
      <c r="A153" s="192"/>
      <c r="B153" s="19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192"/>
      <c r="O153" s="192"/>
      <c r="P153" s="192"/>
      <c r="Q153" s="192"/>
      <c r="R153" s="192"/>
      <c r="S153" s="266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  <c r="AG153" s="265"/>
      <c r="AH153" s="265"/>
      <c r="AI153" s="192"/>
      <c r="AJ153" s="192"/>
      <c r="AK153" s="369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7"/>
      <c r="AW153" s="367"/>
      <c r="AX153" s="367"/>
      <c r="AY153" s="367"/>
      <c r="AZ153" s="367"/>
      <c r="BA153" s="367"/>
      <c r="BB153" s="367"/>
      <c r="BC153" s="367"/>
      <c r="BD153" s="367"/>
      <c r="BE153" s="367"/>
      <c r="BF153" s="367"/>
      <c r="BG153" s="367"/>
      <c r="BH153" s="367"/>
      <c r="BI153" s="367"/>
      <c r="BJ153" s="367"/>
      <c r="BK153" s="367"/>
      <c r="BL153" s="367"/>
      <c r="BM153" s="367"/>
      <c r="BN153" s="367"/>
      <c r="BO153" s="367"/>
      <c r="BP153" s="367"/>
      <c r="BQ153" s="367"/>
      <c r="BR153" s="367"/>
      <c r="BS153" s="367"/>
      <c r="BT153" s="367"/>
      <c r="BU153" s="367"/>
      <c r="BV153" s="367"/>
      <c r="BW153" s="367"/>
      <c r="BX153" s="367"/>
      <c r="BY153" s="367"/>
      <c r="BZ153" s="367"/>
      <c r="CA153" s="367"/>
      <c r="CB153" s="367"/>
      <c r="CC153" s="367"/>
      <c r="CD153" s="367"/>
      <c r="CE153" s="367"/>
      <c r="CF153" s="367"/>
      <c r="CG153" s="367"/>
      <c r="CH153" s="367"/>
      <c r="CI153" s="367"/>
      <c r="CJ153" s="367"/>
      <c r="CK153" s="367"/>
      <c r="CL153" s="367"/>
      <c r="CM153" s="367"/>
      <c r="CN153" s="367"/>
      <c r="CO153" s="367"/>
      <c r="CP153" s="367"/>
      <c r="CQ153" s="367"/>
      <c r="CR153" s="367"/>
      <c r="CS153" s="367"/>
      <c r="CT153" s="367"/>
      <c r="CU153" s="367"/>
      <c r="CV153" s="367"/>
      <c r="CW153" s="367"/>
      <c r="CX153" s="367"/>
      <c r="CY153" s="367"/>
      <c r="CZ153" s="367"/>
      <c r="DA153" s="367"/>
      <c r="DB153" s="367"/>
      <c r="DC153" s="367"/>
      <c r="DD153" s="367"/>
      <c r="DE153" s="367"/>
      <c r="DF153" s="367"/>
      <c r="DG153" s="367"/>
      <c r="DH153" s="367"/>
      <c r="DI153" s="367"/>
      <c r="DJ153" s="367"/>
      <c r="DK153" s="367"/>
      <c r="DL153" s="367"/>
      <c r="DM153" s="367"/>
      <c r="DN153" s="367"/>
      <c r="DO153" s="367"/>
      <c r="DP153" s="367"/>
      <c r="DQ153" s="367"/>
      <c r="DR153" s="367"/>
      <c r="DS153" s="367"/>
      <c r="DT153" s="367"/>
      <c r="DU153" s="367"/>
      <c r="DV153" s="367"/>
      <c r="DW153" s="367"/>
      <c r="DX153" s="367"/>
      <c r="DY153" s="367"/>
      <c r="DZ153" s="367"/>
      <c r="EA153" s="367"/>
      <c r="EB153" s="367"/>
      <c r="EC153" s="367"/>
      <c r="ED153" s="367"/>
      <c r="EE153" s="367"/>
      <c r="EF153" s="367"/>
      <c r="EG153" s="367"/>
      <c r="EH153" s="367"/>
      <c r="EI153" s="367"/>
      <c r="EJ153" s="367"/>
      <c r="EK153" s="367"/>
      <c r="EL153" s="367"/>
      <c r="EM153" s="367"/>
      <c r="EN153" s="367"/>
      <c r="EO153" s="367"/>
      <c r="EP153" s="367"/>
      <c r="EQ153" s="367"/>
    </row>
    <row r="154" spans="1:147" x14ac:dyDescent="0.2">
      <c r="A154" s="192"/>
      <c r="B154" s="19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192"/>
      <c r="O154" s="192"/>
      <c r="P154" s="192"/>
      <c r="Q154" s="192"/>
      <c r="R154" s="192"/>
      <c r="S154" s="266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  <c r="AG154" s="265"/>
      <c r="AH154" s="265"/>
      <c r="AI154" s="192"/>
      <c r="AJ154" s="192"/>
      <c r="AK154" s="369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7"/>
      <c r="AW154" s="367"/>
      <c r="AX154" s="367"/>
      <c r="AY154" s="367"/>
      <c r="AZ154" s="367"/>
      <c r="BA154" s="367"/>
      <c r="BB154" s="367"/>
      <c r="BC154" s="367"/>
      <c r="BD154" s="367"/>
      <c r="BE154" s="367"/>
      <c r="BF154" s="367"/>
      <c r="BG154" s="367"/>
      <c r="BH154" s="367"/>
      <c r="BI154" s="367"/>
      <c r="BJ154" s="367"/>
      <c r="BK154" s="367"/>
      <c r="BL154" s="367"/>
      <c r="BM154" s="367"/>
      <c r="BN154" s="367"/>
      <c r="BO154" s="367"/>
      <c r="BP154" s="367"/>
      <c r="BQ154" s="367"/>
      <c r="BR154" s="367"/>
      <c r="BS154" s="367"/>
      <c r="BT154" s="367"/>
      <c r="BU154" s="367"/>
      <c r="BV154" s="367"/>
      <c r="BW154" s="367"/>
      <c r="BX154" s="367"/>
      <c r="BY154" s="367"/>
      <c r="BZ154" s="367"/>
      <c r="CA154" s="367"/>
      <c r="CB154" s="367"/>
      <c r="CC154" s="367"/>
      <c r="CD154" s="367"/>
      <c r="CE154" s="367"/>
      <c r="CF154" s="367"/>
      <c r="CG154" s="367"/>
      <c r="CH154" s="367"/>
      <c r="CI154" s="367"/>
      <c r="CJ154" s="367"/>
      <c r="CK154" s="367"/>
      <c r="CL154" s="367"/>
      <c r="CM154" s="367"/>
      <c r="CN154" s="367"/>
      <c r="CO154" s="367"/>
      <c r="CP154" s="367"/>
      <c r="CQ154" s="367"/>
      <c r="CR154" s="367"/>
      <c r="CS154" s="367"/>
      <c r="CT154" s="367"/>
      <c r="CU154" s="367"/>
      <c r="CV154" s="367"/>
      <c r="CW154" s="367"/>
      <c r="CX154" s="367"/>
      <c r="CY154" s="367"/>
      <c r="CZ154" s="367"/>
      <c r="DA154" s="367"/>
      <c r="DB154" s="367"/>
      <c r="DC154" s="367"/>
      <c r="DD154" s="367"/>
      <c r="DE154" s="367"/>
      <c r="DF154" s="367"/>
      <c r="DG154" s="367"/>
      <c r="DH154" s="367"/>
      <c r="DI154" s="367"/>
      <c r="DJ154" s="367"/>
      <c r="DK154" s="367"/>
      <c r="DL154" s="367"/>
      <c r="DM154" s="367"/>
      <c r="DN154" s="367"/>
      <c r="DO154" s="367"/>
      <c r="DP154" s="367"/>
      <c r="DQ154" s="367"/>
      <c r="DR154" s="367"/>
      <c r="DS154" s="367"/>
      <c r="DT154" s="367"/>
      <c r="DU154" s="367"/>
      <c r="DV154" s="367"/>
      <c r="DW154" s="367"/>
      <c r="DX154" s="367"/>
      <c r="DY154" s="367"/>
      <c r="DZ154" s="367"/>
      <c r="EA154" s="367"/>
      <c r="EB154" s="367"/>
      <c r="EC154" s="367"/>
      <c r="ED154" s="367"/>
      <c r="EE154" s="367"/>
      <c r="EF154" s="367"/>
      <c r="EG154" s="367"/>
      <c r="EH154" s="367"/>
      <c r="EI154" s="367"/>
      <c r="EJ154" s="367"/>
      <c r="EK154" s="367"/>
      <c r="EL154" s="367"/>
      <c r="EM154" s="367"/>
      <c r="EN154" s="367"/>
      <c r="EO154" s="367"/>
      <c r="EP154" s="367"/>
      <c r="EQ154" s="367"/>
    </row>
    <row r="155" spans="1:147" x14ac:dyDescent="0.2">
      <c r="A155" s="192"/>
      <c r="B155" s="19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192"/>
      <c r="O155" s="192"/>
      <c r="P155" s="192"/>
      <c r="Q155" s="192"/>
      <c r="R155" s="192"/>
      <c r="S155" s="266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  <c r="AG155" s="265"/>
      <c r="AH155" s="265"/>
      <c r="AI155" s="192"/>
      <c r="AJ155" s="192"/>
      <c r="AK155" s="369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7"/>
      <c r="AW155" s="367"/>
      <c r="AX155" s="367"/>
      <c r="AY155" s="367"/>
      <c r="AZ155" s="367"/>
      <c r="BA155" s="367"/>
      <c r="BB155" s="367"/>
      <c r="BC155" s="367"/>
      <c r="BD155" s="367"/>
      <c r="BE155" s="367"/>
      <c r="BF155" s="367"/>
      <c r="BG155" s="367"/>
      <c r="BH155" s="367"/>
      <c r="BI155" s="367"/>
      <c r="BJ155" s="367"/>
      <c r="BK155" s="367"/>
      <c r="BL155" s="367"/>
      <c r="BM155" s="367"/>
      <c r="BN155" s="367"/>
      <c r="BO155" s="367"/>
      <c r="BP155" s="367"/>
      <c r="BQ155" s="367"/>
      <c r="BR155" s="367"/>
      <c r="BS155" s="367"/>
      <c r="BT155" s="367"/>
      <c r="BU155" s="367"/>
      <c r="BV155" s="367"/>
      <c r="BW155" s="367"/>
      <c r="BX155" s="367"/>
      <c r="BY155" s="367"/>
      <c r="BZ155" s="367"/>
      <c r="CA155" s="367"/>
      <c r="CB155" s="367"/>
      <c r="CC155" s="367"/>
      <c r="CD155" s="367"/>
      <c r="CE155" s="367"/>
      <c r="CF155" s="367"/>
      <c r="CG155" s="367"/>
      <c r="CH155" s="367"/>
      <c r="CI155" s="367"/>
      <c r="CJ155" s="367"/>
      <c r="CK155" s="367"/>
      <c r="CL155" s="367"/>
      <c r="CM155" s="367"/>
      <c r="CN155" s="367"/>
      <c r="CO155" s="367"/>
      <c r="CP155" s="367"/>
      <c r="CQ155" s="367"/>
      <c r="CR155" s="367"/>
      <c r="CS155" s="367"/>
      <c r="CT155" s="367"/>
      <c r="CU155" s="367"/>
      <c r="CV155" s="367"/>
      <c r="CW155" s="367"/>
      <c r="CX155" s="367"/>
      <c r="CY155" s="367"/>
      <c r="CZ155" s="367"/>
      <c r="DA155" s="367"/>
      <c r="DB155" s="367"/>
      <c r="DC155" s="367"/>
      <c r="DD155" s="367"/>
      <c r="DE155" s="367"/>
      <c r="DF155" s="367"/>
      <c r="DG155" s="367"/>
      <c r="DH155" s="367"/>
      <c r="DI155" s="367"/>
      <c r="DJ155" s="367"/>
      <c r="DK155" s="367"/>
      <c r="DL155" s="367"/>
      <c r="DM155" s="367"/>
      <c r="DN155" s="367"/>
      <c r="DO155" s="367"/>
      <c r="DP155" s="367"/>
      <c r="DQ155" s="367"/>
      <c r="DR155" s="367"/>
      <c r="DS155" s="367"/>
      <c r="DT155" s="367"/>
      <c r="DU155" s="367"/>
      <c r="DV155" s="367"/>
      <c r="DW155" s="367"/>
      <c r="DX155" s="367"/>
      <c r="DY155" s="367"/>
      <c r="DZ155" s="367"/>
      <c r="EA155" s="367"/>
      <c r="EB155" s="367"/>
      <c r="EC155" s="367"/>
      <c r="ED155" s="367"/>
      <c r="EE155" s="367"/>
      <c r="EF155" s="367"/>
      <c r="EG155" s="367"/>
      <c r="EH155" s="367"/>
      <c r="EI155" s="367"/>
      <c r="EJ155" s="367"/>
      <c r="EK155" s="367"/>
      <c r="EL155" s="367"/>
      <c r="EM155" s="367"/>
      <c r="EN155" s="367"/>
      <c r="EO155" s="367"/>
      <c r="EP155" s="367"/>
      <c r="EQ155" s="367"/>
    </row>
    <row r="156" spans="1:147" x14ac:dyDescent="0.2">
      <c r="A156" s="192"/>
      <c r="B156" s="19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192"/>
      <c r="O156" s="192"/>
      <c r="P156" s="192"/>
      <c r="Q156" s="192"/>
      <c r="R156" s="192"/>
      <c r="S156" s="266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  <c r="AG156" s="265"/>
      <c r="AH156" s="265"/>
      <c r="AI156" s="192"/>
      <c r="AJ156" s="192"/>
      <c r="AK156" s="369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7"/>
      <c r="AW156" s="367"/>
      <c r="AX156" s="367"/>
      <c r="AY156" s="367"/>
      <c r="AZ156" s="367"/>
      <c r="BA156" s="367"/>
      <c r="BB156" s="367"/>
      <c r="BC156" s="367"/>
      <c r="BD156" s="367"/>
      <c r="BE156" s="367"/>
      <c r="BF156" s="367"/>
      <c r="BG156" s="367"/>
      <c r="BH156" s="367"/>
      <c r="BI156" s="367"/>
      <c r="BJ156" s="367"/>
      <c r="BK156" s="367"/>
      <c r="BL156" s="367"/>
      <c r="BM156" s="367"/>
      <c r="BN156" s="367"/>
      <c r="BO156" s="367"/>
      <c r="BP156" s="367"/>
      <c r="BQ156" s="367"/>
      <c r="BR156" s="367"/>
      <c r="BS156" s="367"/>
      <c r="BT156" s="367"/>
      <c r="BU156" s="367"/>
      <c r="BV156" s="367"/>
      <c r="BW156" s="367"/>
      <c r="BX156" s="367"/>
      <c r="BY156" s="367"/>
      <c r="BZ156" s="367"/>
      <c r="CA156" s="367"/>
      <c r="CB156" s="367"/>
      <c r="CC156" s="367"/>
      <c r="CD156" s="367"/>
      <c r="CE156" s="367"/>
      <c r="CF156" s="367"/>
      <c r="CG156" s="367"/>
      <c r="CH156" s="367"/>
      <c r="CI156" s="367"/>
      <c r="CJ156" s="367"/>
      <c r="CK156" s="367"/>
      <c r="CL156" s="367"/>
      <c r="CM156" s="367"/>
      <c r="CN156" s="367"/>
      <c r="CO156" s="367"/>
      <c r="CP156" s="367"/>
      <c r="CQ156" s="367"/>
      <c r="CR156" s="367"/>
      <c r="CS156" s="367"/>
      <c r="CT156" s="367"/>
      <c r="CU156" s="367"/>
      <c r="CV156" s="367"/>
      <c r="CW156" s="367"/>
      <c r="CX156" s="367"/>
      <c r="CY156" s="367"/>
      <c r="CZ156" s="367"/>
      <c r="DA156" s="367"/>
      <c r="DB156" s="367"/>
      <c r="DC156" s="367"/>
      <c r="DD156" s="367"/>
      <c r="DE156" s="367"/>
      <c r="DF156" s="367"/>
      <c r="DG156" s="367"/>
      <c r="DH156" s="367"/>
      <c r="DI156" s="367"/>
      <c r="DJ156" s="367"/>
      <c r="DK156" s="367"/>
      <c r="DL156" s="367"/>
      <c r="DM156" s="367"/>
      <c r="DN156" s="367"/>
      <c r="DO156" s="367"/>
      <c r="DP156" s="367"/>
      <c r="DQ156" s="367"/>
      <c r="DR156" s="367"/>
      <c r="DS156" s="367"/>
      <c r="DT156" s="367"/>
      <c r="DU156" s="367"/>
      <c r="DV156" s="367"/>
      <c r="DW156" s="367"/>
      <c r="DX156" s="367"/>
      <c r="DY156" s="367"/>
      <c r="DZ156" s="367"/>
      <c r="EA156" s="367"/>
      <c r="EB156" s="367"/>
      <c r="EC156" s="367"/>
      <c r="ED156" s="367"/>
      <c r="EE156" s="367"/>
      <c r="EF156" s="367"/>
      <c r="EG156" s="367"/>
      <c r="EH156" s="367"/>
      <c r="EI156" s="367"/>
      <c r="EJ156" s="367"/>
      <c r="EK156" s="367"/>
      <c r="EL156" s="367"/>
      <c r="EM156" s="367"/>
      <c r="EN156" s="367"/>
      <c r="EO156" s="367"/>
      <c r="EP156" s="367"/>
      <c r="EQ156" s="367"/>
    </row>
    <row r="157" spans="1:147" x14ac:dyDescent="0.2">
      <c r="A157" s="192"/>
      <c r="B157" s="19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192"/>
      <c r="O157" s="192"/>
      <c r="P157" s="192"/>
      <c r="Q157" s="192"/>
      <c r="R157" s="192"/>
      <c r="S157" s="266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192"/>
      <c r="AJ157" s="192"/>
      <c r="AK157" s="369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7"/>
      <c r="AW157" s="367"/>
      <c r="AX157" s="367"/>
      <c r="AY157" s="367"/>
      <c r="AZ157" s="367"/>
      <c r="BA157" s="367"/>
      <c r="BB157" s="367"/>
      <c r="BC157" s="367"/>
      <c r="BD157" s="367"/>
      <c r="BE157" s="367"/>
      <c r="BF157" s="367"/>
      <c r="BG157" s="367"/>
      <c r="BH157" s="367"/>
      <c r="BI157" s="367"/>
      <c r="BJ157" s="367"/>
      <c r="BK157" s="367"/>
      <c r="BL157" s="367"/>
      <c r="BM157" s="367"/>
      <c r="BN157" s="367"/>
      <c r="BO157" s="367"/>
      <c r="BP157" s="367"/>
      <c r="BQ157" s="367"/>
      <c r="BR157" s="367"/>
      <c r="BS157" s="367"/>
      <c r="BT157" s="367"/>
      <c r="BU157" s="367"/>
      <c r="BV157" s="367"/>
      <c r="BW157" s="367"/>
      <c r="BX157" s="367"/>
      <c r="BY157" s="367"/>
      <c r="BZ157" s="367"/>
      <c r="CA157" s="367"/>
      <c r="CB157" s="367"/>
      <c r="CC157" s="367"/>
      <c r="CD157" s="367"/>
      <c r="CE157" s="367"/>
      <c r="CF157" s="367"/>
      <c r="CG157" s="367"/>
      <c r="CH157" s="367"/>
      <c r="CI157" s="367"/>
      <c r="CJ157" s="367"/>
      <c r="CK157" s="367"/>
      <c r="CL157" s="367"/>
      <c r="CM157" s="367"/>
      <c r="CN157" s="367"/>
      <c r="CO157" s="367"/>
      <c r="CP157" s="367"/>
      <c r="CQ157" s="367"/>
      <c r="CR157" s="367"/>
      <c r="CS157" s="367"/>
      <c r="CT157" s="367"/>
      <c r="CU157" s="367"/>
      <c r="CV157" s="367"/>
      <c r="CW157" s="367"/>
      <c r="CX157" s="367"/>
      <c r="CY157" s="367"/>
      <c r="CZ157" s="367"/>
      <c r="DA157" s="367"/>
      <c r="DB157" s="367"/>
      <c r="DC157" s="367"/>
      <c r="DD157" s="367"/>
      <c r="DE157" s="367"/>
      <c r="DF157" s="367"/>
      <c r="DG157" s="367"/>
      <c r="DH157" s="367"/>
      <c r="DI157" s="367"/>
      <c r="DJ157" s="367"/>
      <c r="DK157" s="367"/>
      <c r="DL157" s="367"/>
      <c r="DM157" s="367"/>
      <c r="DN157" s="367"/>
      <c r="DO157" s="367"/>
      <c r="DP157" s="367"/>
      <c r="DQ157" s="367"/>
      <c r="DR157" s="367"/>
      <c r="DS157" s="367"/>
      <c r="DT157" s="367"/>
      <c r="DU157" s="367"/>
      <c r="DV157" s="367"/>
      <c r="DW157" s="367"/>
      <c r="DX157" s="367"/>
      <c r="DY157" s="367"/>
      <c r="DZ157" s="367"/>
      <c r="EA157" s="367"/>
      <c r="EB157" s="367"/>
      <c r="EC157" s="367"/>
      <c r="ED157" s="367"/>
      <c r="EE157" s="367"/>
      <c r="EF157" s="367"/>
      <c r="EG157" s="367"/>
      <c r="EH157" s="367"/>
      <c r="EI157" s="367"/>
      <c r="EJ157" s="367"/>
      <c r="EK157" s="367"/>
      <c r="EL157" s="367"/>
      <c r="EM157" s="367"/>
      <c r="EN157" s="367"/>
      <c r="EO157" s="367"/>
      <c r="EP157" s="367"/>
      <c r="EQ157" s="367"/>
    </row>
    <row r="158" spans="1:147" x14ac:dyDescent="0.2">
      <c r="A158" s="192"/>
      <c r="B158" s="19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192"/>
      <c r="O158" s="192"/>
      <c r="P158" s="192"/>
      <c r="Q158" s="192"/>
      <c r="R158" s="192"/>
      <c r="S158" s="266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  <c r="AG158" s="265"/>
      <c r="AH158" s="265"/>
      <c r="AI158" s="192"/>
      <c r="AJ158" s="192"/>
      <c r="AK158" s="369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7"/>
      <c r="AW158" s="367"/>
      <c r="AX158" s="367"/>
      <c r="AY158" s="367"/>
      <c r="AZ158" s="367"/>
      <c r="BA158" s="367"/>
      <c r="BB158" s="367"/>
      <c r="BC158" s="367"/>
      <c r="BD158" s="367"/>
      <c r="BE158" s="367"/>
      <c r="BF158" s="367"/>
      <c r="BG158" s="367"/>
      <c r="BH158" s="367"/>
      <c r="BI158" s="367"/>
      <c r="BJ158" s="367"/>
      <c r="BK158" s="367"/>
      <c r="BL158" s="367"/>
      <c r="BM158" s="367"/>
      <c r="BN158" s="367"/>
      <c r="BO158" s="367"/>
      <c r="BP158" s="367"/>
      <c r="BQ158" s="367"/>
      <c r="BR158" s="367"/>
      <c r="BS158" s="367"/>
      <c r="BT158" s="367"/>
      <c r="BU158" s="367"/>
      <c r="BV158" s="367"/>
      <c r="BW158" s="367"/>
      <c r="BX158" s="367"/>
      <c r="BY158" s="367"/>
      <c r="BZ158" s="367"/>
      <c r="CA158" s="367"/>
      <c r="CB158" s="367"/>
      <c r="CC158" s="367"/>
      <c r="CD158" s="367"/>
      <c r="CE158" s="367"/>
      <c r="CF158" s="367"/>
      <c r="CG158" s="367"/>
      <c r="CH158" s="367"/>
      <c r="CI158" s="367"/>
      <c r="CJ158" s="367"/>
      <c r="CK158" s="367"/>
      <c r="CL158" s="367"/>
      <c r="CM158" s="367"/>
      <c r="CN158" s="367"/>
      <c r="CO158" s="367"/>
      <c r="CP158" s="367"/>
      <c r="CQ158" s="367"/>
      <c r="CR158" s="367"/>
      <c r="CS158" s="367"/>
      <c r="CT158" s="367"/>
      <c r="CU158" s="367"/>
      <c r="CV158" s="367"/>
      <c r="CW158" s="367"/>
      <c r="CX158" s="367"/>
      <c r="CY158" s="367"/>
      <c r="CZ158" s="367"/>
      <c r="DA158" s="367"/>
      <c r="DB158" s="367"/>
      <c r="DC158" s="367"/>
      <c r="DD158" s="367"/>
      <c r="DE158" s="367"/>
      <c r="DF158" s="367"/>
      <c r="DG158" s="367"/>
      <c r="DH158" s="367"/>
      <c r="DI158" s="367"/>
      <c r="DJ158" s="367"/>
      <c r="DK158" s="367"/>
      <c r="DL158" s="367"/>
      <c r="DM158" s="367"/>
      <c r="DN158" s="367"/>
      <c r="DO158" s="367"/>
      <c r="DP158" s="367"/>
      <c r="DQ158" s="367"/>
      <c r="DR158" s="367"/>
      <c r="DS158" s="367"/>
      <c r="DT158" s="367"/>
      <c r="DU158" s="367"/>
      <c r="DV158" s="367"/>
      <c r="DW158" s="367"/>
      <c r="DX158" s="367"/>
      <c r="DY158" s="367"/>
      <c r="DZ158" s="367"/>
      <c r="EA158" s="367"/>
      <c r="EB158" s="367"/>
      <c r="EC158" s="367"/>
      <c r="ED158" s="367"/>
      <c r="EE158" s="367"/>
      <c r="EF158" s="367"/>
      <c r="EG158" s="367"/>
      <c r="EH158" s="367"/>
      <c r="EI158" s="367"/>
      <c r="EJ158" s="367"/>
      <c r="EK158" s="367"/>
      <c r="EL158" s="367"/>
      <c r="EM158" s="367"/>
      <c r="EN158" s="367"/>
      <c r="EO158" s="367"/>
      <c r="EP158" s="367"/>
      <c r="EQ158" s="367"/>
    </row>
    <row r="159" spans="1:147" x14ac:dyDescent="0.2">
      <c r="A159" s="192"/>
      <c r="B159" s="19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192"/>
      <c r="O159" s="192"/>
      <c r="P159" s="192"/>
      <c r="Q159" s="192"/>
      <c r="R159" s="192"/>
      <c r="S159" s="266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  <c r="AG159" s="265"/>
      <c r="AH159" s="265"/>
      <c r="AI159" s="192"/>
      <c r="AJ159" s="192"/>
      <c r="AK159" s="369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  <c r="AY159" s="367"/>
      <c r="AZ159" s="367"/>
      <c r="BA159" s="367"/>
      <c r="BB159" s="367"/>
      <c r="BC159" s="367"/>
      <c r="BD159" s="367"/>
      <c r="BE159" s="367"/>
      <c r="BF159" s="367"/>
      <c r="BG159" s="367"/>
      <c r="BH159" s="367"/>
      <c r="BI159" s="367"/>
      <c r="BJ159" s="367"/>
      <c r="BK159" s="367"/>
      <c r="BL159" s="367"/>
      <c r="BM159" s="367"/>
      <c r="BN159" s="367"/>
      <c r="BO159" s="367"/>
      <c r="BP159" s="367"/>
      <c r="BQ159" s="367"/>
      <c r="BR159" s="367"/>
      <c r="BS159" s="367"/>
      <c r="BT159" s="367"/>
      <c r="BU159" s="367"/>
      <c r="BV159" s="367"/>
      <c r="BW159" s="367"/>
      <c r="BX159" s="367"/>
      <c r="BY159" s="367"/>
      <c r="BZ159" s="367"/>
      <c r="CA159" s="367"/>
      <c r="CB159" s="367"/>
      <c r="CC159" s="367"/>
      <c r="CD159" s="367"/>
      <c r="CE159" s="367"/>
      <c r="CF159" s="367"/>
      <c r="CG159" s="367"/>
      <c r="CH159" s="367"/>
      <c r="CI159" s="367"/>
      <c r="CJ159" s="367"/>
      <c r="CK159" s="367"/>
      <c r="CL159" s="367"/>
      <c r="CM159" s="367"/>
      <c r="CN159" s="367"/>
      <c r="CO159" s="367"/>
      <c r="CP159" s="367"/>
      <c r="CQ159" s="367"/>
      <c r="CR159" s="367"/>
      <c r="CS159" s="367"/>
      <c r="CT159" s="367"/>
      <c r="CU159" s="367"/>
      <c r="CV159" s="367"/>
      <c r="CW159" s="367"/>
      <c r="CX159" s="367"/>
      <c r="CY159" s="367"/>
      <c r="CZ159" s="367"/>
      <c r="DA159" s="367"/>
      <c r="DB159" s="367"/>
      <c r="DC159" s="367"/>
      <c r="DD159" s="367"/>
      <c r="DE159" s="367"/>
      <c r="DF159" s="367"/>
      <c r="DG159" s="367"/>
      <c r="DH159" s="367"/>
      <c r="DI159" s="367"/>
      <c r="DJ159" s="367"/>
      <c r="DK159" s="367"/>
      <c r="DL159" s="367"/>
      <c r="DM159" s="367"/>
      <c r="DN159" s="367"/>
      <c r="DO159" s="367"/>
      <c r="DP159" s="367"/>
      <c r="DQ159" s="367"/>
      <c r="DR159" s="367"/>
      <c r="DS159" s="367"/>
      <c r="DT159" s="367"/>
      <c r="DU159" s="367"/>
      <c r="DV159" s="367"/>
      <c r="DW159" s="367"/>
      <c r="DX159" s="367"/>
      <c r="DY159" s="367"/>
      <c r="DZ159" s="367"/>
      <c r="EA159" s="367"/>
      <c r="EB159" s="367"/>
      <c r="EC159" s="367"/>
      <c r="ED159" s="367"/>
      <c r="EE159" s="367"/>
      <c r="EF159" s="367"/>
      <c r="EG159" s="367"/>
      <c r="EH159" s="367"/>
      <c r="EI159" s="367"/>
      <c r="EJ159" s="367"/>
      <c r="EK159" s="367"/>
      <c r="EL159" s="367"/>
      <c r="EM159" s="367"/>
      <c r="EN159" s="367"/>
      <c r="EO159" s="367"/>
      <c r="EP159" s="367"/>
      <c r="EQ159" s="367"/>
    </row>
    <row r="160" spans="1:147" x14ac:dyDescent="0.2">
      <c r="A160" s="192"/>
      <c r="B160" s="19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192"/>
      <c r="O160" s="192"/>
      <c r="P160" s="192"/>
      <c r="Q160" s="192"/>
      <c r="R160" s="192"/>
      <c r="S160" s="266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  <c r="AG160" s="265"/>
      <c r="AH160" s="265"/>
      <c r="AI160" s="192"/>
      <c r="AJ160" s="192"/>
      <c r="AK160" s="369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7"/>
      <c r="AW160" s="367"/>
      <c r="AX160" s="367"/>
      <c r="AY160" s="367"/>
      <c r="AZ160" s="367"/>
      <c r="BA160" s="367"/>
      <c r="BB160" s="367"/>
      <c r="BC160" s="367"/>
      <c r="BD160" s="367"/>
      <c r="BE160" s="367"/>
      <c r="BF160" s="367"/>
      <c r="BG160" s="367"/>
      <c r="BH160" s="367"/>
      <c r="BI160" s="367"/>
      <c r="BJ160" s="367"/>
      <c r="BK160" s="367"/>
      <c r="BL160" s="367"/>
      <c r="BM160" s="367"/>
      <c r="BN160" s="367"/>
      <c r="BO160" s="367"/>
      <c r="BP160" s="367"/>
      <c r="BQ160" s="367"/>
      <c r="BR160" s="367"/>
      <c r="BS160" s="367"/>
      <c r="BT160" s="367"/>
      <c r="BU160" s="367"/>
      <c r="BV160" s="367"/>
      <c r="BW160" s="367"/>
      <c r="BX160" s="367"/>
      <c r="BY160" s="367"/>
      <c r="BZ160" s="367"/>
      <c r="CA160" s="367"/>
      <c r="CB160" s="367"/>
      <c r="CC160" s="367"/>
      <c r="CD160" s="367"/>
      <c r="CE160" s="367"/>
      <c r="CF160" s="367"/>
      <c r="CG160" s="367"/>
      <c r="CH160" s="367"/>
      <c r="CI160" s="367"/>
      <c r="CJ160" s="367"/>
      <c r="CK160" s="367"/>
      <c r="CL160" s="367"/>
      <c r="CM160" s="367"/>
      <c r="CN160" s="367"/>
      <c r="CO160" s="367"/>
      <c r="CP160" s="367"/>
      <c r="CQ160" s="367"/>
      <c r="CR160" s="367"/>
      <c r="CS160" s="367"/>
      <c r="CT160" s="367"/>
      <c r="CU160" s="367"/>
      <c r="CV160" s="367"/>
      <c r="CW160" s="367"/>
      <c r="CX160" s="367"/>
      <c r="CY160" s="367"/>
      <c r="CZ160" s="367"/>
      <c r="DA160" s="367"/>
      <c r="DB160" s="367"/>
      <c r="DC160" s="367"/>
      <c r="DD160" s="367"/>
      <c r="DE160" s="367"/>
      <c r="DF160" s="367"/>
      <c r="DG160" s="367"/>
      <c r="DH160" s="367"/>
      <c r="DI160" s="367"/>
      <c r="DJ160" s="367"/>
      <c r="DK160" s="367"/>
      <c r="DL160" s="367"/>
      <c r="DM160" s="367"/>
      <c r="DN160" s="367"/>
      <c r="DO160" s="367"/>
      <c r="DP160" s="367"/>
      <c r="DQ160" s="367"/>
      <c r="DR160" s="367"/>
      <c r="DS160" s="367"/>
      <c r="DT160" s="367"/>
      <c r="DU160" s="367"/>
      <c r="DV160" s="367"/>
      <c r="DW160" s="367"/>
      <c r="DX160" s="367"/>
      <c r="DY160" s="367"/>
      <c r="DZ160" s="367"/>
      <c r="EA160" s="367"/>
      <c r="EB160" s="367"/>
      <c r="EC160" s="367"/>
      <c r="ED160" s="367"/>
      <c r="EE160" s="367"/>
      <c r="EF160" s="367"/>
      <c r="EG160" s="367"/>
      <c r="EH160" s="367"/>
      <c r="EI160" s="367"/>
      <c r="EJ160" s="367"/>
      <c r="EK160" s="367"/>
      <c r="EL160" s="367"/>
      <c r="EM160" s="367"/>
      <c r="EN160" s="367"/>
      <c r="EO160" s="367"/>
      <c r="EP160" s="367"/>
      <c r="EQ160" s="367"/>
    </row>
    <row r="161" spans="1:147" x14ac:dyDescent="0.2">
      <c r="A161" s="192"/>
      <c r="B161" s="19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192"/>
      <c r="O161" s="192"/>
      <c r="P161" s="192"/>
      <c r="Q161" s="192"/>
      <c r="R161" s="192"/>
      <c r="S161" s="266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  <c r="AG161" s="265"/>
      <c r="AH161" s="265"/>
      <c r="AI161" s="192"/>
      <c r="AJ161" s="192"/>
      <c r="AK161" s="369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  <c r="BP161" s="367"/>
      <c r="BQ161" s="367"/>
      <c r="BR161" s="367"/>
      <c r="BS161" s="367"/>
      <c r="BT161" s="367"/>
      <c r="BU161" s="367"/>
      <c r="BV161" s="367"/>
      <c r="BW161" s="367"/>
      <c r="BX161" s="367"/>
      <c r="BY161" s="367"/>
      <c r="BZ161" s="367"/>
      <c r="CA161" s="367"/>
      <c r="CB161" s="367"/>
      <c r="CC161" s="367"/>
      <c r="CD161" s="367"/>
      <c r="CE161" s="367"/>
      <c r="CF161" s="367"/>
      <c r="CG161" s="367"/>
      <c r="CH161" s="367"/>
      <c r="CI161" s="367"/>
      <c r="CJ161" s="367"/>
      <c r="CK161" s="367"/>
      <c r="CL161" s="367"/>
      <c r="CM161" s="367"/>
      <c r="CN161" s="367"/>
      <c r="CO161" s="367"/>
      <c r="CP161" s="367"/>
      <c r="CQ161" s="367"/>
      <c r="CR161" s="367"/>
      <c r="CS161" s="367"/>
      <c r="CT161" s="367"/>
      <c r="CU161" s="367"/>
      <c r="CV161" s="367"/>
      <c r="CW161" s="367"/>
      <c r="CX161" s="367"/>
      <c r="CY161" s="367"/>
      <c r="CZ161" s="367"/>
      <c r="DA161" s="367"/>
      <c r="DB161" s="367"/>
      <c r="DC161" s="367"/>
      <c r="DD161" s="367"/>
      <c r="DE161" s="367"/>
      <c r="DF161" s="367"/>
      <c r="DG161" s="367"/>
      <c r="DH161" s="367"/>
      <c r="DI161" s="367"/>
      <c r="DJ161" s="367"/>
      <c r="DK161" s="367"/>
      <c r="DL161" s="367"/>
      <c r="DM161" s="367"/>
      <c r="DN161" s="367"/>
      <c r="DO161" s="367"/>
      <c r="DP161" s="367"/>
      <c r="DQ161" s="367"/>
      <c r="DR161" s="367"/>
      <c r="DS161" s="367"/>
      <c r="DT161" s="367"/>
      <c r="DU161" s="367"/>
      <c r="DV161" s="367"/>
      <c r="DW161" s="367"/>
      <c r="DX161" s="367"/>
      <c r="DY161" s="367"/>
      <c r="DZ161" s="367"/>
      <c r="EA161" s="367"/>
      <c r="EB161" s="367"/>
      <c r="EC161" s="367"/>
      <c r="ED161" s="367"/>
      <c r="EE161" s="367"/>
      <c r="EF161" s="367"/>
      <c r="EG161" s="367"/>
      <c r="EH161" s="367"/>
      <c r="EI161" s="367"/>
      <c r="EJ161" s="367"/>
      <c r="EK161" s="367"/>
      <c r="EL161" s="367"/>
      <c r="EM161" s="367"/>
      <c r="EN161" s="367"/>
      <c r="EO161" s="367"/>
      <c r="EP161" s="367"/>
      <c r="EQ161" s="367"/>
    </row>
    <row r="162" spans="1:147" x14ac:dyDescent="0.2">
      <c r="A162" s="192"/>
      <c r="B162" s="19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192"/>
      <c r="O162" s="192"/>
      <c r="P162" s="192"/>
      <c r="Q162" s="192"/>
      <c r="R162" s="192"/>
      <c r="S162" s="266"/>
      <c r="T162" s="265"/>
      <c r="U162" s="265"/>
      <c r="V162" s="265"/>
      <c r="W162" s="265"/>
      <c r="X162" s="265"/>
      <c r="Y162" s="265"/>
      <c r="Z162" s="265"/>
      <c r="AA162" s="265"/>
      <c r="AB162" s="265"/>
      <c r="AC162" s="265"/>
      <c r="AD162" s="265"/>
      <c r="AE162" s="265"/>
      <c r="AF162" s="265"/>
      <c r="AG162" s="265"/>
      <c r="AH162" s="265"/>
      <c r="AI162" s="192"/>
      <c r="AJ162" s="192"/>
      <c r="AK162" s="369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7"/>
      <c r="AW162" s="367"/>
      <c r="AX162" s="367"/>
      <c r="AY162" s="367"/>
      <c r="AZ162" s="367"/>
      <c r="BA162" s="367"/>
      <c r="BB162" s="367"/>
      <c r="BC162" s="367"/>
      <c r="BD162" s="367"/>
      <c r="BE162" s="367"/>
      <c r="BF162" s="367"/>
      <c r="BG162" s="367"/>
      <c r="BH162" s="367"/>
      <c r="BI162" s="367"/>
      <c r="BJ162" s="367"/>
      <c r="BK162" s="367"/>
      <c r="BL162" s="367"/>
      <c r="BM162" s="367"/>
      <c r="BN162" s="367"/>
      <c r="BO162" s="367"/>
      <c r="BP162" s="367"/>
      <c r="BQ162" s="367"/>
      <c r="BR162" s="367"/>
      <c r="BS162" s="367"/>
      <c r="BT162" s="367"/>
      <c r="BU162" s="367"/>
      <c r="BV162" s="367"/>
      <c r="BW162" s="367"/>
      <c r="BX162" s="367"/>
      <c r="BY162" s="367"/>
      <c r="BZ162" s="367"/>
      <c r="CA162" s="367"/>
      <c r="CB162" s="367"/>
      <c r="CC162" s="367"/>
      <c r="CD162" s="367"/>
      <c r="CE162" s="367"/>
      <c r="CF162" s="367"/>
      <c r="CG162" s="367"/>
      <c r="CH162" s="367"/>
      <c r="CI162" s="367"/>
      <c r="CJ162" s="367"/>
      <c r="CK162" s="367"/>
      <c r="CL162" s="367"/>
      <c r="CM162" s="367"/>
      <c r="CN162" s="367"/>
      <c r="CO162" s="367"/>
      <c r="CP162" s="367"/>
      <c r="CQ162" s="367"/>
      <c r="CR162" s="367"/>
      <c r="CS162" s="367"/>
      <c r="CT162" s="367"/>
      <c r="CU162" s="367"/>
      <c r="CV162" s="367"/>
      <c r="CW162" s="367"/>
      <c r="CX162" s="367"/>
      <c r="CY162" s="367"/>
      <c r="CZ162" s="367"/>
      <c r="DA162" s="367"/>
      <c r="DB162" s="367"/>
      <c r="DC162" s="367"/>
      <c r="DD162" s="367"/>
      <c r="DE162" s="367"/>
      <c r="DF162" s="367"/>
      <c r="DG162" s="367"/>
      <c r="DH162" s="367"/>
      <c r="DI162" s="367"/>
      <c r="DJ162" s="367"/>
      <c r="DK162" s="367"/>
      <c r="DL162" s="367"/>
      <c r="DM162" s="367"/>
      <c r="DN162" s="367"/>
      <c r="DO162" s="367"/>
      <c r="DP162" s="367"/>
      <c r="DQ162" s="367"/>
      <c r="DR162" s="367"/>
      <c r="DS162" s="367"/>
      <c r="DT162" s="367"/>
      <c r="DU162" s="367"/>
      <c r="DV162" s="367"/>
      <c r="DW162" s="367"/>
      <c r="DX162" s="367"/>
      <c r="DY162" s="367"/>
      <c r="DZ162" s="367"/>
      <c r="EA162" s="367"/>
      <c r="EB162" s="367"/>
      <c r="EC162" s="367"/>
      <c r="ED162" s="367"/>
      <c r="EE162" s="367"/>
      <c r="EF162" s="367"/>
      <c r="EG162" s="367"/>
      <c r="EH162" s="367"/>
      <c r="EI162" s="367"/>
      <c r="EJ162" s="367"/>
      <c r="EK162" s="367"/>
      <c r="EL162" s="367"/>
      <c r="EM162" s="367"/>
      <c r="EN162" s="367"/>
      <c r="EO162" s="367"/>
      <c r="EP162" s="367"/>
      <c r="EQ162" s="367"/>
    </row>
    <row r="163" spans="1:147" x14ac:dyDescent="0.2">
      <c r="A163" s="192"/>
      <c r="B163" s="19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192"/>
      <c r="O163" s="192"/>
      <c r="P163" s="192"/>
      <c r="Q163" s="192"/>
      <c r="R163" s="192"/>
      <c r="S163" s="266"/>
      <c r="T163" s="265"/>
      <c r="U163" s="265"/>
      <c r="V163" s="265"/>
      <c r="W163" s="265"/>
      <c r="X163" s="265"/>
      <c r="Y163" s="265"/>
      <c r="Z163" s="265"/>
      <c r="AA163" s="265"/>
      <c r="AB163" s="265"/>
      <c r="AC163" s="265"/>
      <c r="AD163" s="265"/>
      <c r="AE163" s="265"/>
      <c r="AF163" s="265"/>
      <c r="AG163" s="265"/>
      <c r="AH163" s="265"/>
      <c r="AI163" s="192"/>
      <c r="AJ163" s="192"/>
      <c r="AK163" s="369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  <c r="BP163" s="367"/>
      <c r="BQ163" s="367"/>
      <c r="BR163" s="367"/>
      <c r="BS163" s="367"/>
      <c r="BT163" s="367"/>
      <c r="BU163" s="367"/>
      <c r="BV163" s="367"/>
      <c r="BW163" s="367"/>
      <c r="BX163" s="367"/>
      <c r="BY163" s="367"/>
      <c r="BZ163" s="367"/>
      <c r="CA163" s="367"/>
      <c r="CB163" s="367"/>
      <c r="CC163" s="367"/>
      <c r="CD163" s="367"/>
      <c r="CE163" s="367"/>
      <c r="CF163" s="367"/>
      <c r="CG163" s="367"/>
      <c r="CH163" s="367"/>
      <c r="CI163" s="367"/>
      <c r="CJ163" s="367"/>
      <c r="CK163" s="367"/>
      <c r="CL163" s="367"/>
      <c r="CM163" s="367"/>
      <c r="CN163" s="367"/>
      <c r="CO163" s="367"/>
      <c r="CP163" s="367"/>
      <c r="CQ163" s="367"/>
      <c r="CR163" s="367"/>
      <c r="CS163" s="367"/>
      <c r="CT163" s="367"/>
      <c r="CU163" s="367"/>
      <c r="CV163" s="367"/>
      <c r="CW163" s="367"/>
      <c r="CX163" s="367"/>
      <c r="CY163" s="367"/>
      <c r="CZ163" s="367"/>
      <c r="DA163" s="367"/>
      <c r="DB163" s="367"/>
      <c r="DC163" s="367"/>
      <c r="DD163" s="367"/>
      <c r="DE163" s="367"/>
      <c r="DF163" s="367"/>
      <c r="DG163" s="367"/>
      <c r="DH163" s="367"/>
      <c r="DI163" s="367"/>
      <c r="DJ163" s="367"/>
      <c r="DK163" s="367"/>
      <c r="DL163" s="367"/>
      <c r="DM163" s="367"/>
      <c r="DN163" s="367"/>
      <c r="DO163" s="367"/>
      <c r="DP163" s="367"/>
      <c r="DQ163" s="367"/>
      <c r="DR163" s="367"/>
      <c r="DS163" s="367"/>
      <c r="DT163" s="367"/>
      <c r="DU163" s="367"/>
      <c r="DV163" s="367"/>
      <c r="DW163" s="367"/>
      <c r="DX163" s="367"/>
      <c r="DY163" s="367"/>
      <c r="DZ163" s="367"/>
      <c r="EA163" s="367"/>
      <c r="EB163" s="367"/>
      <c r="EC163" s="367"/>
      <c r="ED163" s="367"/>
      <c r="EE163" s="367"/>
      <c r="EF163" s="367"/>
      <c r="EG163" s="367"/>
      <c r="EH163" s="367"/>
      <c r="EI163" s="367"/>
      <c r="EJ163" s="367"/>
      <c r="EK163" s="367"/>
      <c r="EL163" s="367"/>
      <c r="EM163" s="367"/>
      <c r="EN163" s="367"/>
      <c r="EO163" s="367"/>
      <c r="EP163" s="367"/>
      <c r="EQ163" s="367"/>
    </row>
    <row r="164" spans="1:147" x14ac:dyDescent="0.2">
      <c r="A164" s="192"/>
      <c r="B164" s="19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192"/>
      <c r="O164" s="192"/>
      <c r="P164" s="192"/>
      <c r="Q164" s="192"/>
      <c r="R164" s="192"/>
      <c r="S164" s="266"/>
      <c r="T164" s="265"/>
      <c r="U164" s="265"/>
      <c r="V164" s="265"/>
      <c r="W164" s="265"/>
      <c r="X164" s="265"/>
      <c r="Y164" s="265"/>
      <c r="Z164" s="265"/>
      <c r="AA164" s="265"/>
      <c r="AB164" s="265"/>
      <c r="AC164" s="265"/>
      <c r="AD164" s="265"/>
      <c r="AE164" s="265"/>
      <c r="AF164" s="265"/>
      <c r="AG164" s="265"/>
      <c r="AH164" s="265"/>
      <c r="AI164" s="192"/>
      <c r="AJ164" s="192"/>
      <c r="AK164" s="369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  <c r="BP164" s="367"/>
      <c r="BQ164" s="367"/>
      <c r="BR164" s="367"/>
      <c r="BS164" s="367"/>
      <c r="BT164" s="367"/>
      <c r="BU164" s="367"/>
      <c r="BV164" s="367"/>
      <c r="BW164" s="367"/>
      <c r="BX164" s="367"/>
      <c r="BY164" s="367"/>
      <c r="BZ164" s="367"/>
      <c r="CA164" s="367"/>
      <c r="CB164" s="367"/>
      <c r="CC164" s="367"/>
      <c r="CD164" s="367"/>
      <c r="CE164" s="367"/>
      <c r="CF164" s="367"/>
      <c r="CG164" s="367"/>
      <c r="CH164" s="367"/>
      <c r="CI164" s="367"/>
      <c r="CJ164" s="367"/>
      <c r="CK164" s="367"/>
      <c r="CL164" s="367"/>
      <c r="CM164" s="367"/>
      <c r="CN164" s="367"/>
      <c r="CO164" s="367"/>
      <c r="CP164" s="367"/>
      <c r="CQ164" s="367"/>
      <c r="CR164" s="367"/>
      <c r="CS164" s="367"/>
      <c r="CT164" s="367"/>
      <c r="CU164" s="367"/>
      <c r="CV164" s="367"/>
      <c r="CW164" s="367"/>
      <c r="CX164" s="367"/>
      <c r="CY164" s="367"/>
      <c r="CZ164" s="367"/>
      <c r="DA164" s="367"/>
      <c r="DB164" s="367"/>
      <c r="DC164" s="367"/>
      <c r="DD164" s="367"/>
      <c r="DE164" s="367"/>
      <c r="DF164" s="367"/>
      <c r="DG164" s="367"/>
      <c r="DH164" s="367"/>
      <c r="DI164" s="367"/>
      <c r="DJ164" s="367"/>
      <c r="DK164" s="367"/>
      <c r="DL164" s="367"/>
      <c r="DM164" s="367"/>
      <c r="DN164" s="367"/>
      <c r="DO164" s="367"/>
      <c r="DP164" s="367"/>
      <c r="DQ164" s="367"/>
      <c r="DR164" s="367"/>
      <c r="DS164" s="367"/>
      <c r="DT164" s="367"/>
      <c r="DU164" s="367"/>
      <c r="DV164" s="367"/>
      <c r="DW164" s="367"/>
      <c r="DX164" s="367"/>
      <c r="DY164" s="367"/>
      <c r="DZ164" s="367"/>
      <c r="EA164" s="367"/>
      <c r="EB164" s="367"/>
      <c r="EC164" s="367"/>
      <c r="ED164" s="367"/>
      <c r="EE164" s="367"/>
      <c r="EF164" s="367"/>
      <c r="EG164" s="367"/>
      <c r="EH164" s="367"/>
      <c r="EI164" s="367"/>
      <c r="EJ164" s="367"/>
      <c r="EK164" s="367"/>
      <c r="EL164" s="367"/>
      <c r="EM164" s="367"/>
      <c r="EN164" s="367"/>
      <c r="EO164" s="367"/>
      <c r="EP164" s="367"/>
      <c r="EQ164" s="367"/>
    </row>
    <row r="165" spans="1:147" x14ac:dyDescent="0.2">
      <c r="A165" s="192"/>
      <c r="B165" s="19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192"/>
      <c r="O165" s="192"/>
      <c r="P165" s="192"/>
      <c r="Q165" s="192"/>
      <c r="R165" s="192"/>
      <c r="S165" s="266"/>
      <c r="T165" s="265"/>
      <c r="U165" s="265"/>
      <c r="V165" s="265"/>
      <c r="W165" s="265"/>
      <c r="X165" s="265"/>
      <c r="Y165" s="265"/>
      <c r="Z165" s="265"/>
      <c r="AA165" s="265"/>
      <c r="AB165" s="265"/>
      <c r="AC165" s="265"/>
      <c r="AD165" s="265"/>
      <c r="AE165" s="265"/>
      <c r="AF165" s="265"/>
      <c r="AG165" s="265"/>
      <c r="AH165" s="265"/>
      <c r="AI165" s="192"/>
      <c r="AJ165" s="192"/>
      <c r="AK165" s="369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  <c r="BP165" s="367"/>
      <c r="BQ165" s="367"/>
      <c r="BR165" s="367"/>
      <c r="BS165" s="367"/>
      <c r="BT165" s="367"/>
      <c r="BU165" s="367"/>
      <c r="BV165" s="367"/>
      <c r="BW165" s="367"/>
      <c r="BX165" s="367"/>
      <c r="BY165" s="367"/>
      <c r="BZ165" s="367"/>
      <c r="CA165" s="367"/>
      <c r="CB165" s="367"/>
      <c r="CC165" s="367"/>
      <c r="CD165" s="367"/>
      <c r="CE165" s="367"/>
      <c r="CF165" s="367"/>
      <c r="CG165" s="367"/>
      <c r="CH165" s="367"/>
      <c r="CI165" s="367"/>
      <c r="CJ165" s="367"/>
      <c r="CK165" s="367"/>
      <c r="CL165" s="367"/>
      <c r="CM165" s="367"/>
      <c r="CN165" s="367"/>
      <c r="CO165" s="367"/>
      <c r="CP165" s="367"/>
      <c r="CQ165" s="367"/>
      <c r="CR165" s="367"/>
      <c r="CS165" s="367"/>
      <c r="CT165" s="367"/>
      <c r="CU165" s="367"/>
      <c r="CV165" s="367"/>
      <c r="CW165" s="367"/>
      <c r="CX165" s="367"/>
      <c r="CY165" s="367"/>
      <c r="CZ165" s="367"/>
      <c r="DA165" s="367"/>
      <c r="DB165" s="367"/>
      <c r="DC165" s="367"/>
      <c r="DD165" s="367"/>
      <c r="DE165" s="367"/>
      <c r="DF165" s="367"/>
      <c r="DG165" s="367"/>
      <c r="DH165" s="367"/>
      <c r="DI165" s="367"/>
      <c r="DJ165" s="367"/>
      <c r="DK165" s="367"/>
      <c r="DL165" s="367"/>
      <c r="DM165" s="367"/>
      <c r="DN165" s="367"/>
      <c r="DO165" s="367"/>
      <c r="DP165" s="367"/>
      <c r="DQ165" s="367"/>
      <c r="DR165" s="367"/>
      <c r="DS165" s="367"/>
      <c r="DT165" s="367"/>
      <c r="DU165" s="367"/>
      <c r="DV165" s="367"/>
      <c r="DW165" s="367"/>
      <c r="DX165" s="367"/>
      <c r="DY165" s="367"/>
      <c r="DZ165" s="367"/>
      <c r="EA165" s="367"/>
      <c r="EB165" s="367"/>
      <c r="EC165" s="367"/>
      <c r="ED165" s="367"/>
      <c r="EE165" s="367"/>
      <c r="EF165" s="367"/>
      <c r="EG165" s="367"/>
      <c r="EH165" s="367"/>
      <c r="EI165" s="367"/>
      <c r="EJ165" s="367"/>
      <c r="EK165" s="367"/>
      <c r="EL165" s="367"/>
      <c r="EM165" s="367"/>
      <c r="EN165" s="367"/>
      <c r="EO165" s="367"/>
      <c r="EP165" s="367"/>
      <c r="EQ165" s="367"/>
    </row>
    <row r="166" spans="1:147" x14ac:dyDescent="0.2">
      <c r="A166" s="192"/>
      <c r="B166" s="192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192"/>
      <c r="O166" s="192"/>
      <c r="P166" s="192"/>
      <c r="Q166" s="192"/>
      <c r="R166" s="192"/>
      <c r="S166" s="266"/>
      <c r="T166" s="265"/>
      <c r="U166" s="265"/>
      <c r="V166" s="265"/>
      <c r="W166" s="265"/>
      <c r="X166" s="265"/>
      <c r="Y166" s="265"/>
      <c r="Z166" s="265"/>
      <c r="AA166" s="265"/>
      <c r="AB166" s="265"/>
      <c r="AC166" s="265"/>
      <c r="AD166" s="265"/>
      <c r="AE166" s="265"/>
      <c r="AF166" s="265"/>
      <c r="AG166" s="265"/>
      <c r="AH166" s="265"/>
      <c r="AI166" s="192"/>
      <c r="AJ166" s="192"/>
      <c r="AK166" s="369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  <c r="BP166" s="367"/>
      <c r="BQ166" s="367"/>
      <c r="BR166" s="367"/>
      <c r="BS166" s="367"/>
      <c r="BT166" s="367"/>
      <c r="BU166" s="367"/>
      <c r="BV166" s="367"/>
      <c r="BW166" s="367"/>
      <c r="BX166" s="367"/>
      <c r="BY166" s="367"/>
      <c r="BZ166" s="367"/>
      <c r="CA166" s="367"/>
      <c r="CB166" s="367"/>
      <c r="CC166" s="367"/>
      <c r="CD166" s="367"/>
      <c r="CE166" s="367"/>
      <c r="CF166" s="367"/>
      <c r="CG166" s="367"/>
      <c r="CH166" s="367"/>
      <c r="CI166" s="367"/>
      <c r="CJ166" s="367"/>
      <c r="CK166" s="367"/>
      <c r="CL166" s="367"/>
      <c r="CM166" s="367"/>
      <c r="CN166" s="367"/>
      <c r="CO166" s="367"/>
      <c r="CP166" s="367"/>
      <c r="CQ166" s="367"/>
      <c r="CR166" s="367"/>
      <c r="CS166" s="367"/>
      <c r="CT166" s="367"/>
      <c r="CU166" s="367"/>
      <c r="CV166" s="367"/>
      <c r="CW166" s="367"/>
      <c r="CX166" s="367"/>
      <c r="CY166" s="367"/>
      <c r="CZ166" s="367"/>
      <c r="DA166" s="367"/>
      <c r="DB166" s="367"/>
      <c r="DC166" s="367"/>
      <c r="DD166" s="367"/>
      <c r="DE166" s="367"/>
      <c r="DF166" s="367"/>
      <c r="DG166" s="367"/>
      <c r="DH166" s="367"/>
      <c r="DI166" s="367"/>
      <c r="DJ166" s="367"/>
      <c r="DK166" s="367"/>
      <c r="DL166" s="367"/>
      <c r="DM166" s="367"/>
      <c r="DN166" s="367"/>
      <c r="DO166" s="367"/>
      <c r="DP166" s="367"/>
      <c r="DQ166" s="367"/>
      <c r="DR166" s="367"/>
      <c r="DS166" s="367"/>
      <c r="DT166" s="367"/>
      <c r="DU166" s="367"/>
      <c r="DV166" s="367"/>
      <c r="DW166" s="367"/>
      <c r="DX166" s="367"/>
      <c r="DY166" s="367"/>
      <c r="DZ166" s="367"/>
      <c r="EA166" s="367"/>
      <c r="EB166" s="367"/>
      <c r="EC166" s="367"/>
      <c r="ED166" s="367"/>
      <c r="EE166" s="367"/>
      <c r="EF166" s="367"/>
      <c r="EG166" s="367"/>
      <c r="EH166" s="367"/>
      <c r="EI166" s="367"/>
      <c r="EJ166" s="367"/>
      <c r="EK166" s="367"/>
      <c r="EL166" s="367"/>
      <c r="EM166" s="367"/>
      <c r="EN166" s="367"/>
      <c r="EO166" s="367"/>
      <c r="EP166" s="367"/>
      <c r="EQ166" s="367"/>
    </row>
    <row r="167" spans="1:147" x14ac:dyDescent="0.2">
      <c r="A167" s="192"/>
      <c r="B167" s="192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192"/>
      <c r="O167" s="192"/>
      <c r="P167" s="192"/>
      <c r="Q167" s="192"/>
      <c r="R167" s="192"/>
      <c r="S167" s="266"/>
      <c r="T167" s="265"/>
      <c r="U167" s="265"/>
      <c r="V167" s="265"/>
      <c r="W167" s="265"/>
      <c r="X167" s="265"/>
      <c r="Y167" s="265"/>
      <c r="Z167" s="265"/>
      <c r="AA167" s="265"/>
      <c r="AB167" s="265"/>
      <c r="AC167" s="265"/>
      <c r="AD167" s="265"/>
      <c r="AE167" s="265"/>
      <c r="AF167" s="265"/>
      <c r="AG167" s="265"/>
      <c r="AH167" s="265"/>
      <c r="AI167" s="192"/>
      <c r="AJ167" s="192"/>
      <c r="AK167" s="369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  <c r="BP167" s="367"/>
      <c r="BQ167" s="367"/>
      <c r="BR167" s="367"/>
      <c r="BS167" s="367"/>
      <c r="BT167" s="367"/>
      <c r="BU167" s="367"/>
      <c r="BV167" s="367"/>
      <c r="BW167" s="367"/>
      <c r="BX167" s="367"/>
      <c r="BY167" s="367"/>
      <c r="BZ167" s="367"/>
      <c r="CA167" s="367"/>
      <c r="CB167" s="367"/>
      <c r="CC167" s="367"/>
      <c r="CD167" s="367"/>
      <c r="CE167" s="367"/>
      <c r="CF167" s="367"/>
      <c r="CG167" s="367"/>
      <c r="CH167" s="367"/>
      <c r="CI167" s="367"/>
      <c r="CJ167" s="367"/>
      <c r="CK167" s="367"/>
      <c r="CL167" s="367"/>
      <c r="CM167" s="367"/>
      <c r="CN167" s="367"/>
      <c r="CO167" s="367"/>
      <c r="CP167" s="367"/>
      <c r="CQ167" s="367"/>
      <c r="CR167" s="367"/>
      <c r="CS167" s="367"/>
      <c r="CT167" s="367"/>
      <c r="CU167" s="367"/>
      <c r="CV167" s="367"/>
      <c r="CW167" s="367"/>
      <c r="CX167" s="367"/>
      <c r="CY167" s="367"/>
      <c r="CZ167" s="367"/>
      <c r="DA167" s="367"/>
      <c r="DB167" s="367"/>
      <c r="DC167" s="367"/>
      <c r="DD167" s="367"/>
      <c r="DE167" s="367"/>
      <c r="DF167" s="367"/>
      <c r="DG167" s="367"/>
      <c r="DH167" s="367"/>
      <c r="DI167" s="367"/>
      <c r="DJ167" s="367"/>
      <c r="DK167" s="367"/>
      <c r="DL167" s="367"/>
      <c r="DM167" s="367"/>
      <c r="DN167" s="367"/>
      <c r="DO167" s="367"/>
      <c r="DP167" s="367"/>
      <c r="DQ167" s="367"/>
      <c r="DR167" s="367"/>
      <c r="DS167" s="367"/>
      <c r="DT167" s="367"/>
      <c r="DU167" s="367"/>
      <c r="DV167" s="367"/>
      <c r="DW167" s="367"/>
      <c r="DX167" s="367"/>
      <c r="DY167" s="367"/>
      <c r="DZ167" s="367"/>
      <c r="EA167" s="367"/>
      <c r="EB167" s="367"/>
      <c r="EC167" s="367"/>
      <c r="ED167" s="367"/>
      <c r="EE167" s="367"/>
      <c r="EF167" s="367"/>
      <c r="EG167" s="367"/>
      <c r="EH167" s="367"/>
      <c r="EI167" s="367"/>
      <c r="EJ167" s="367"/>
      <c r="EK167" s="367"/>
      <c r="EL167" s="367"/>
      <c r="EM167" s="367"/>
      <c r="EN167" s="367"/>
      <c r="EO167" s="367"/>
      <c r="EP167" s="367"/>
      <c r="EQ167" s="367"/>
    </row>
    <row r="168" spans="1:147" x14ac:dyDescent="0.2">
      <c r="A168" s="192"/>
      <c r="B168" s="192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192"/>
      <c r="O168" s="192"/>
      <c r="P168" s="192"/>
      <c r="Q168" s="192"/>
      <c r="R168" s="192"/>
      <c r="S168" s="266"/>
      <c r="T168" s="265"/>
      <c r="U168" s="265"/>
      <c r="V168" s="265"/>
      <c r="W168" s="265"/>
      <c r="X168" s="265"/>
      <c r="Y168" s="265"/>
      <c r="Z168" s="265"/>
      <c r="AA168" s="265"/>
      <c r="AB168" s="265"/>
      <c r="AC168" s="265"/>
      <c r="AD168" s="265"/>
      <c r="AE168" s="265"/>
      <c r="AF168" s="265"/>
      <c r="AG168" s="265"/>
      <c r="AH168" s="265"/>
      <c r="AI168" s="192"/>
      <c r="AJ168" s="192"/>
      <c r="AK168" s="369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  <c r="BP168" s="367"/>
      <c r="BQ168" s="367"/>
      <c r="BR168" s="367"/>
      <c r="BS168" s="367"/>
      <c r="BT168" s="367"/>
      <c r="BU168" s="367"/>
      <c r="BV168" s="367"/>
      <c r="BW168" s="367"/>
      <c r="BX168" s="367"/>
      <c r="BY168" s="367"/>
      <c r="BZ168" s="367"/>
      <c r="CA168" s="367"/>
      <c r="CB168" s="367"/>
      <c r="CC168" s="367"/>
      <c r="CD168" s="367"/>
      <c r="CE168" s="367"/>
      <c r="CF168" s="367"/>
      <c r="CG168" s="367"/>
      <c r="CH168" s="367"/>
      <c r="CI168" s="367"/>
      <c r="CJ168" s="367"/>
      <c r="CK168" s="367"/>
      <c r="CL168" s="367"/>
      <c r="CM168" s="367"/>
      <c r="CN168" s="367"/>
      <c r="CO168" s="367"/>
      <c r="CP168" s="367"/>
      <c r="CQ168" s="367"/>
      <c r="CR168" s="367"/>
      <c r="CS168" s="367"/>
      <c r="CT168" s="367"/>
      <c r="CU168" s="367"/>
      <c r="CV168" s="367"/>
      <c r="CW168" s="367"/>
      <c r="CX168" s="367"/>
      <c r="CY168" s="367"/>
      <c r="CZ168" s="367"/>
      <c r="DA168" s="367"/>
      <c r="DB168" s="367"/>
      <c r="DC168" s="367"/>
      <c r="DD168" s="367"/>
      <c r="DE168" s="367"/>
      <c r="DF168" s="367"/>
      <c r="DG168" s="367"/>
      <c r="DH168" s="367"/>
      <c r="DI168" s="367"/>
      <c r="DJ168" s="367"/>
      <c r="DK168" s="367"/>
      <c r="DL168" s="367"/>
      <c r="DM168" s="367"/>
      <c r="DN168" s="367"/>
      <c r="DO168" s="367"/>
      <c r="DP168" s="367"/>
      <c r="DQ168" s="367"/>
      <c r="DR168" s="367"/>
      <c r="DS168" s="367"/>
      <c r="DT168" s="367"/>
      <c r="DU168" s="367"/>
      <c r="DV168" s="367"/>
      <c r="DW168" s="367"/>
      <c r="DX168" s="367"/>
      <c r="DY168" s="367"/>
      <c r="DZ168" s="367"/>
      <c r="EA168" s="367"/>
      <c r="EB168" s="367"/>
      <c r="EC168" s="367"/>
      <c r="ED168" s="367"/>
      <c r="EE168" s="367"/>
      <c r="EF168" s="367"/>
      <c r="EG168" s="367"/>
      <c r="EH168" s="367"/>
      <c r="EI168" s="367"/>
      <c r="EJ168" s="367"/>
      <c r="EK168" s="367"/>
      <c r="EL168" s="367"/>
      <c r="EM168" s="367"/>
      <c r="EN168" s="367"/>
      <c r="EO168" s="367"/>
      <c r="EP168" s="367"/>
      <c r="EQ168" s="367"/>
    </row>
    <row r="169" spans="1:147" x14ac:dyDescent="0.2">
      <c r="A169" s="192"/>
      <c r="B169" s="192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192"/>
      <c r="O169" s="192"/>
      <c r="P169" s="192"/>
      <c r="Q169" s="192"/>
      <c r="R169" s="192"/>
      <c r="S169" s="266"/>
      <c r="T169" s="265"/>
      <c r="U169" s="265"/>
      <c r="V169" s="265"/>
      <c r="W169" s="265"/>
      <c r="X169" s="265"/>
      <c r="Y169" s="265"/>
      <c r="Z169" s="265"/>
      <c r="AA169" s="265"/>
      <c r="AB169" s="265"/>
      <c r="AC169" s="265"/>
      <c r="AD169" s="265"/>
      <c r="AE169" s="265"/>
      <c r="AF169" s="265"/>
      <c r="AG169" s="265"/>
      <c r="AH169" s="265"/>
      <c r="AI169" s="192"/>
      <c r="AJ169" s="192"/>
      <c r="AK169" s="369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  <c r="BP169" s="367"/>
      <c r="BQ169" s="367"/>
      <c r="BR169" s="367"/>
      <c r="BS169" s="367"/>
      <c r="BT169" s="367"/>
      <c r="BU169" s="367"/>
      <c r="BV169" s="367"/>
      <c r="BW169" s="367"/>
      <c r="BX169" s="367"/>
      <c r="BY169" s="367"/>
      <c r="BZ169" s="367"/>
      <c r="CA169" s="367"/>
      <c r="CB169" s="367"/>
      <c r="CC169" s="367"/>
      <c r="CD169" s="367"/>
      <c r="CE169" s="367"/>
      <c r="CF169" s="367"/>
      <c r="CG169" s="367"/>
      <c r="CH169" s="367"/>
      <c r="CI169" s="367"/>
      <c r="CJ169" s="367"/>
      <c r="CK169" s="367"/>
      <c r="CL169" s="367"/>
      <c r="CM169" s="367"/>
      <c r="CN169" s="367"/>
      <c r="CO169" s="367"/>
      <c r="CP169" s="367"/>
      <c r="CQ169" s="367"/>
      <c r="CR169" s="367"/>
      <c r="CS169" s="367"/>
      <c r="CT169" s="367"/>
      <c r="CU169" s="367"/>
      <c r="CV169" s="367"/>
      <c r="CW169" s="367"/>
      <c r="CX169" s="367"/>
      <c r="CY169" s="367"/>
      <c r="CZ169" s="367"/>
      <c r="DA169" s="367"/>
      <c r="DB169" s="367"/>
      <c r="DC169" s="367"/>
      <c r="DD169" s="367"/>
      <c r="DE169" s="367"/>
      <c r="DF169" s="367"/>
      <c r="DG169" s="367"/>
      <c r="DH169" s="367"/>
      <c r="DI169" s="367"/>
      <c r="DJ169" s="367"/>
      <c r="DK169" s="367"/>
      <c r="DL169" s="367"/>
      <c r="DM169" s="367"/>
      <c r="DN169" s="367"/>
      <c r="DO169" s="367"/>
      <c r="DP169" s="367"/>
      <c r="DQ169" s="367"/>
      <c r="DR169" s="367"/>
      <c r="DS169" s="367"/>
      <c r="DT169" s="367"/>
      <c r="DU169" s="367"/>
      <c r="DV169" s="367"/>
      <c r="DW169" s="367"/>
      <c r="DX169" s="367"/>
      <c r="DY169" s="367"/>
      <c r="DZ169" s="367"/>
      <c r="EA169" s="367"/>
      <c r="EB169" s="367"/>
      <c r="EC169" s="367"/>
      <c r="ED169" s="367"/>
      <c r="EE169" s="367"/>
      <c r="EF169" s="367"/>
      <c r="EG169" s="367"/>
      <c r="EH169" s="367"/>
      <c r="EI169" s="367"/>
      <c r="EJ169" s="367"/>
      <c r="EK169" s="367"/>
      <c r="EL169" s="367"/>
      <c r="EM169" s="367"/>
      <c r="EN169" s="367"/>
      <c r="EO169" s="367"/>
      <c r="EP169" s="367"/>
      <c r="EQ169" s="367"/>
    </row>
    <row r="170" spans="1:147" x14ac:dyDescent="0.2">
      <c r="A170" s="192"/>
      <c r="B170" s="192"/>
      <c r="C170" s="192"/>
      <c r="D170" s="192"/>
      <c r="E170" s="192"/>
      <c r="F170" s="192"/>
      <c r="G170" s="192"/>
      <c r="H170" s="192"/>
      <c r="I170" s="192"/>
      <c r="J170" s="192"/>
      <c r="K170" s="192"/>
      <c r="L170" s="192"/>
      <c r="M170" s="192"/>
      <c r="N170" s="192"/>
      <c r="O170" s="192"/>
      <c r="P170" s="192"/>
      <c r="Q170" s="192"/>
      <c r="R170" s="192"/>
      <c r="S170" s="266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  <c r="AG170" s="265"/>
      <c r="AH170" s="265"/>
      <c r="AI170" s="192"/>
      <c r="AJ170" s="192"/>
      <c r="AK170" s="369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  <c r="BP170" s="367"/>
      <c r="BQ170" s="367"/>
      <c r="BR170" s="367"/>
      <c r="BS170" s="367"/>
      <c r="BT170" s="367"/>
      <c r="BU170" s="367"/>
      <c r="BV170" s="367"/>
      <c r="BW170" s="367"/>
      <c r="BX170" s="367"/>
      <c r="BY170" s="367"/>
      <c r="BZ170" s="367"/>
      <c r="CA170" s="367"/>
      <c r="CB170" s="367"/>
      <c r="CC170" s="367"/>
      <c r="CD170" s="367"/>
      <c r="CE170" s="367"/>
      <c r="CF170" s="367"/>
      <c r="CG170" s="367"/>
      <c r="CH170" s="367"/>
      <c r="CI170" s="367"/>
      <c r="CJ170" s="367"/>
      <c r="CK170" s="367"/>
      <c r="CL170" s="367"/>
      <c r="CM170" s="367"/>
      <c r="CN170" s="367"/>
      <c r="CO170" s="367"/>
      <c r="CP170" s="367"/>
      <c r="CQ170" s="367"/>
      <c r="CR170" s="367"/>
      <c r="CS170" s="367"/>
      <c r="CT170" s="367"/>
      <c r="CU170" s="367"/>
      <c r="CV170" s="367"/>
      <c r="CW170" s="367"/>
      <c r="CX170" s="367"/>
      <c r="CY170" s="367"/>
      <c r="CZ170" s="367"/>
      <c r="DA170" s="367"/>
      <c r="DB170" s="367"/>
      <c r="DC170" s="367"/>
      <c r="DD170" s="367"/>
      <c r="DE170" s="367"/>
      <c r="DF170" s="367"/>
      <c r="DG170" s="367"/>
      <c r="DH170" s="367"/>
      <c r="DI170" s="367"/>
      <c r="DJ170" s="367"/>
      <c r="DK170" s="367"/>
      <c r="DL170" s="367"/>
      <c r="DM170" s="367"/>
      <c r="DN170" s="367"/>
      <c r="DO170" s="367"/>
      <c r="DP170" s="367"/>
      <c r="DQ170" s="367"/>
      <c r="DR170" s="367"/>
      <c r="DS170" s="367"/>
      <c r="DT170" s="367"/>
      <c r="DU170" s="367"/>
      <c r="DV170" s="367"/>
      <c r="DW170" s="367"/>
      <c r="DX170" s="367"/>
      <c r="DY170" s="367"/>
      <c r="DZ170" s="367"/>
      <c r="EA170" s="367"/>
      <c r="EB170" s="367"/>
      <c r="EC170" s="367"/>
      <c r="ED170" s="367"/>
      <c r="EE170" s="367"/>
      <c r="EF170" s="367"/>
      <c r="EG170" s="367"/>
      <c r="EH170" s="367"/>
      <c r="EI170" s="367"/>
      <c r="EJ170" s="367"/>
      <c r="EK170" s="367"/>
      <c r="EL170" s="367"/>
      <c r="EM170" s="367"/>
      <c r="EN170" s="367"/>
      <c r="EO170" s="367"/>
      <c r="EP170" s="367"/>
      <c r="EQ170" s="367"/>
    </row>
    <row r="171" spans="1:147" x14ac:dyDescent="0.2">
      <c r="A171" s="192"/>
      <c r="B171" s="192"/>
      <c r="C171" s="192"/>
      <c r="D171" s="192"/>
      <c r="E171" s="192"/>
      <c r="F171" s="192"/>
      <c r="G171" s="192"/>
      <c r="H171" s="192"/>
      <c r="I171" s="192"/>
      <c r="J171" s="192"/>
      <c r="K171" s="192"/>
      <c r="L171" s="192"/>
      <c r="M171" s="192"/>
      <c r="N171" s="192"/>
      <c r="O171" s="192"/>
      <c r="P171" s="192"/>
      <c r="Q171" s="192"/>
      <c r="R171" s="192"/>
      <c r="S171" s="266"/>
      <c r="T171" s="265"/>
      <c r="U171" s="265"/>
      <c r="V171" s="265"/>
      <c r="W171" s="265"/>
      <c r="X171" s="265"/>
      <c r="Y171" s="265"/>
      <c r="Z171" s="265"/>
      <c r="AA171" s="265"/>
      <c r="AB171" s="265"/>
      <c r="AC171" s="265"/>
      <c r="AD171" s="265"/>
      <c r="AE171" s="265"/>
      <c r="AF171" s="265"/>
      <c r="AG171" s="265"/>
      <c r="AH171" s="265"/>
      <c r="AI171" s="192"/>
      <c r="AJ171" s="192"/>
      <c r="AK171" s="369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  <c r="BP171" s="367"/>
      <c r="BQ171" s="367"/>
      <c r="BR171" s="367"/>
      <c r="BS171" s="367"/>
      <c r="BT171" s="367"/>
      <c r="BU171" s="367"/>
      <c r="BV171" s="367"/>
      <c r="BW171" s="367"/>
      <c r="BX171" s="367"/>
      <c r="BY171" s="367"/>
      <c r="BZ171" s="367"/>
      <c r="CA171" s="367"/>
      <c r="CB171" s="367"/>
      <c r="CC171" s="367"/>
      <c r="CD171" s="367"/>
      <c r="CE171" s="367"/>
      <c r="CF171" s="367"/>
      <c r="CG171" s="367"/>
      <c r="CH171" s="367"/>
      <c r="CI171" s="367"/>
      <c r="CJ171" s="367"/>
      <c r="CK171" s="367"/>
      <c r="CL171" s="367"/>
      <c r="CM171" s="367"/>
      <c r="CN171" s="367"/>
      <c r="CO171" s="367"/>
      <c r="CP171" s="367"/>
      <c r="CQ171" s="367"/>
      <c r="CR171" s="367"/>
      <c r="CS171" s="367"/>
      <c r="CT171" s="367"/>
      <c r="CU171" s="367"/>
      <c r="CV171" s="367"/>
      <c r="CW171" s="367"/>
      <c r="CX171" s="367"/>
      <c r="CY171" s="367"/>
      <c r="CZ171" s="367"/>
      <c r="DA171" s="367"/>
      <c r="DB171" s="367"/>
      <c r="DC171" s="367"/>
      <c r="DD171" s="367"/>
      <c r="DE171" s="367"/>
      <c r="DF171" s="367"/>
      <c r="DG171" s="367"/>
      <c r="DH171" s="367"/>
      <c r="DI171" s="367"/>
      <c r="DJ171" s="367"/>
      <c r="DK171" s="367"/>
      <c r="DL171" s="367"/>
      <c r="DM171" s="367"/>
      <c r="DN171" s="367"/>
      <c r="DO171" s="367"/>
      <c r="DP171" s="367"/>
      <c r="DQ171" s="367"/>
      <c r="DR171" s="367"/>
      <c r="DS171" s="367"/>
      <c r="DT171" s="367"/>
      <c r="DU171" s="367"/>
      <c r="DV171" s="367"/>
      <c r="DW171" s="367"/>
      <c r="DX171" s="367"/>
      <c r="DY171" s="367"/>
      <c r="DZ171" s="367"/>
      <c r="EA171" s="367"/>
      <c r="EB171" s="367"/>
      <c r="EC171" s="367"/>
      <c r="ED171" s="367"/>
      <c r="EE171" s="367"/>
      <c r="EF171" s="367"/>
      <c r="EG171" s="367"/>
      <c r="EH171" s="367"/>
      <c r="EI171" s="367"/>
      <c r="EJ171" s="367"/>
      <c r="EK171" s="367"/>
      <c r="EL171" s="367"/>
      <c r="EM171" s="367"/>
      <c r="EN171" s="367"/>
      <c r="EO171" s="367"/>
      <c r="EP171" s="367"/>
      <c r="EQ171" s="367"/>
    </row>
    <row r="172" spans="1:147" x14ac:dyDescent="0.2">
      <c r="A172" s="192"/>
      <c r="B172" s="192"/>
      <c r="C172" s="192"/>
      <c r="D172" s="192"/>
      <c r="E172" s="192"/>
      <c r="F172" s="192"/>
      <c r="G172" s="192"/>
      <c r="H172" s="192"/>
      <c r="I172" s="192"/>
      <c r="J172" s="192"/>
      <c r="K172" s="192"/>
      <c r="L172" s="192"/>
      <c r="M172" s="192"/>
      <c r="N172" s="192"/>
      <c r="O172" s="192"/>
      <c r="P172" s="192"/>
      <c r="Q172" s="192"/>
      <c r="R172" s="192"/>
      <c r="S172" s="266"/>
      <c r="T172" s="265"/>
      <c r="U172" s="265"/>
      <c r="V172" s="265"/>
      <c r="W172" s="265"/>
      <c r="X172" s="265"/>
      <c r="Y172" s="265"/>
      <c r="Z172" s="265"/>
      <c r="AA172" s="265"/>
      <c r="AB172" s="265"/>
      <c r="AC172" s="265"/>
      <c r="AD172" s="265"/>
      <c r="AE172" s="265"/>
      <c r="AF172" s="265"/>
      <c r="AG172" s="265"/>
      <c r="AH172" s="265"/>
      <c r="AI172" s="192"/>
      <c r="AJ172" s="192"/>
      <c r="AK172" s="369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  <c r="BP172" s="367"/>
      <c r="BQ172" s="367"/>
      <c r="BR172" s="367"/>
      <c r="BS172" s="367"/>
      <c r="BT172" s="367"/>
      <c r="BU172" s="367"/>
      <c r="BV172" s="367"/>
      <c r="BW172" s="367"/>
      <c r="BX172" s="367"/>
      <c r="BY172" s="367"/>
      <c r="BZ172" s="367"/>
      <c r="CA172" s="367"/>
      <c r="CB172" s="367"/>
      <c r="CC172" s="367"/>
      <c r="CD172" s="367"/>
      <c r="CE172" s="367"/>
      <c r="CF172" s="367"/>
      <c r="CG172" s="367"/>
      <c r="CH172" s="367"/>
      <c r="CI172" s="367"/>
      <c r="CJ172" s="367"/>
      <c r="CK172" s="367"/>
      <c r="CL172" s="367"/>
      <c r="CM172" s="367"/>
      <c r="CN172" s="367"/>
      <c r="CO172" s="367"/>
      <c r="CP172" s="367"/>
      <c r="CQ172" s="367"/>
      <c r="CR172" s="367"/>
      <c r="CS172" s="367"/>
      <c r="CT172" s="367"/>
      <c r="CU172" s="367"/>
      <c r="CV172" s="367"/>
      <c r="CW172" s="367"/>
      <c r="CX172" s="367"/>
      <c r="CY172" s="367"/>
      <c r="CZ172" s="367"/>
      <c r="DA172" s="367"/>
      <c r="DB172" s="367"/>
      <c r="DC172" s="367"/>
      <c r="DD172" s="367"/>
      <c r="DE172" s="367"/>
      <c r="DF172" s="367"/>
      <c r="DG172" s="367"/>
      <c r="DH172" s="367"/>
      <c r="DI172" s="367"/>
      <c r="DJ172" s="367"/>
      <c r="DK172" s="367"/>
      <c r="DL172" s="367"/>
      <c r="DM172" s="367"/>
      <c r="DN172" s="367"/>
      <c r="DO172" s="367"/>
      <c r="DP172" s="367"/>
      <c r="DQ172" s="367"/>
      <c r="DR172" s="367"/>
      <c r="DS172" s="367"/>
      <c r="DT172" s="367"/>
      <c r="DU172" s="367"/>
      <c r="DV172" s="367"/>
      <c r="DW172" s="367"/>
      <c r="DX172" s="367"/>
      <c r="DY172" s="367"/>
      <c r="DZ172" s="367"/>
      <c r="EA172" s="367"/>
      <c r="EB172" s="367"/>
      <c r="EC172" s="367"/>
      <c r="ED172" s="367"/>
      <c r="EE172" s="367"/>
      <c r="EF172" s="367"/>
      <c r="EG172" s="367"/>
      <c r="EH172" s="367"/>
      <c r="EI172" s="367"/>
      <c r="EJ172" s="367"/>
      <c r="EK172" s="367"/>
      <c r="EL172" s="367"/>
      <c r="EM172" s="367"/>
      <c r="EN172" s="367"/>
      <c r="EO172" s="367"/>
      <c r="EP172" s="367"/>
      <c r="EQ172" s="367"/>
    </row>
    <row r="173" spans="1:147" x14ac:dyDescent="0.2">
      <c r="A173" s="192"/>
      <c r="B173" s="192"/>
      <c r="C173" s="192"/>
      <c r="D173" s="192"/>
      <c r="E173" s="192"/>
      <c r="F173" s="192"/>
      <c r="G173" s="192"/>
      <c r="H173" s="192"/>
      <c r="I173" s="192"/>
      <c r="J173" s="192"/>
      <c r="K173" s="192"/>
      <c r="L173" s="192"/>
      <c r="M173" s="192"/>
      <c r="N173" s="192"/>
      <c r="O173" s="192"/>
      <c r="P173" s="192"/>
      <c r="Q173" s="192"/>
      <c r="R173" s="192"/>
      <c r="S173" s="266"/>
      <c r="T173" s="265"/>
      <c r="U173" s="265"/>
      <c r="V173" s="265"/>
      <c r="W173" s="265"/>
      <c r="X173" s="265"/>
      <c r="Y173" s="265"/>
      <c r="Z173" s="265"/>
      <c r="AA173" s="265"/>
      <c r="AB173" s="265"/>
      <c r="AC173" s="265"/>
      <c r="AD173" s="265"/>
      <c r="AE173" s="265"/>
      <c r="AF173" s="265"/>
      <c r="AG173" s="265"/>
      <c r="AH173" s="265"/>
      <c r="AI173" s="192"/>
      <c r="AJ173" s="192"/>
      <c r="AK173" s="369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  <c r="BP173" s="367"/>
      <c r="BQ173" s="367"/>
      <c r="BR173" s="367"/>
      <c r="BS173" s="367"/>
      <c r="BT173" s="367"/>
      <c r="BU173" s="367"/>
      <c r="BV173" s="367"/>
      <c r="BW173" s="367"/>
      <c r="BX173" s="367"/>
      <c r="BY173" s="367"/>
      <c r="BZ173" s="367"/>
      <c r="CA173" s="367"/>
      <c r="CB173" s="367"/>
      <c r="CC173" s="367"/>
      <c r="CD173" s="367"/>
      <c r="CE173" s="367"/>
      <c r="CF173" s="367"/>
      <c r="CG173" s="367"/>
      <c r="CH173" s="367"/>
      <c r="CI173" s="367"/>
      <c r="CJ173" s="367"/>
      <c r="CK173" s="367"/>
      <c r="CL173" s="367"/>
      <c r="CM173" s="367"/>
      <c r="CN173" s="367"/>
      <c r="CO173" s="367"/>
      <c r="CP173" s="367"/>
      <c r="CQ173" s="367"/>
      <c r="CR173" s="367"/>
      <c r="CS173" s="367"/>
      <c r="CT173" s="367"/>
      <c r="CU173" s="367"/>
      <c r="CV173" s="367"/>
      <c r="CW173" s="367"/>
      <c r="CX173" s="367"/>
      <c r="CY173" s="367"/>
      <c r="CZ173" s="367"/>
      <c r="DA173" s="367"/>
      <c r="DB173" s="367"/>
      <c r="DC173" s="367"/>
      <c r="DD173" s="367"/>
      <c r="DE173" s="367"/>
      <c r="DF173" s="367"/>
      <c r="DG173" s="367"/>
      <c r="DH173" s="367"/>
      <c r="DI173" s="367"/>
      <c r="DJ173" s="367"/>
      <c r="DK173" s="367"/>
      <c r="DL173" s="367"/>
      <c r="DM173" s="367"/>
      <c r="DN173" s="367"/>
      <c r="DO173" s="367"/>
      <c r="DP173" s="367"/>
      <c r="DQ173" s="367"/>
      <c r="DR173" s="367"/>
      <c r="DS173" s="367"/>
      <c r="DT173" s="367"/>
      <c r="DU173" s="367"/>
      <c r="DV173" s="367"/>
      <c r="DW173" s="367"/>
      <c r="DX173" s="367"/>
      <c r="DY173" s="367"/>
      <c r="DZ173" s="367"/>
      <c r="EA173" s="367"/>
      <c r="EB173" s="367"/>
      <c r="EC173" s="367"/>
      <c r="ED173" s="367"/>
      <c r="EE173" s="367"/>
      <c r="EF173" s="367"/>
      <c r="EG173" s="367"/>
      <c r="EH173" s="367"/>
      <c r="EI173" s="367"/>
      <c r="EJ173" s="367"/>
      <c r="EK173" s="367"/>
      <c r="EL173" s="367"/>
      <c r="EM173" s="367"/>
      <c r="EN173" s="367"/>
      <c r="EO173" s="367"/>
      <c r="EP173" s="367"/>
      <c r="EQ173" s="367"/>
    </row>
    <row r="174" spans="1:147" x14ac:dyDescent="0.2">
      <c r="A174" s="192"/>
      <c r="B174" s="192"/>
      <c r="C174" s="192"/>
      <c r="D174" s="192"/>
      <c r="E174" s="192"/>
      <c r="F174" s="192"/>
      <c r="G174" s="192"/>
      <c r="H174" s="192"/>
      <c r="I174" s="192"/>
      <c r="J174" s="192"/>
      <c r="K174" s="192"/>
      <c r="L174" s="192"/>
      <c r="M174" s="192"/>
      <c r="N174" s="192"/>
      <c r="O174" s="192"/>
      <c r="P174" s="192"/>
      <c r="Q174" s="192"/>
      <c r="R174" s="192"/>
      <c r="S174" s="266"/>
      <c r="T174" s="265"/>
      <c r="U174" s="265"/>
      <c r="V174" s="265"/>
      <c r="W174" s="265"/>
      <c r="X174" s="265"/>
      <c r="Y174" s="265"/>
      <c r="Z174" s="265"/>
      <c r="AA174" s="265"/>
      <c r="AB174" s="265"/>
      <c r="AC174" s="265"/>
      <c r="AD174" s="265"/>
      <c r="AE174" s="265"/>
      <c r="AF174" s="265"/>
      <c r="AG174" s="265"/>
      <c r="AH174" s="265"/>
      <c r="AI174" s="192"/>
      <c r="AJ174" s="192"/>
      <c r="AK174" s="369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  <c r="BP174" s="367"/>
      <c r="BQ174" s="367"/>
      <c r="BR174" s="367"/>
      <c r="BS174" s="367"/>
      <c r="BT174" s="367"/>
      <c r="BU174" s="367"/>
      <c r="BV174" s="367"/>
      <c r="BW174" s="367"/>
      <c r="BX174" s="367"/>
      <c r="BY174" s="367"/>
      <c r="BZ174" s="367"/>
      <c r="CA174" s="367"/>
      <c r="CB174" s="367"/>
      <c r="CC174" s="367"/>
      <c r="CD174" s="367"/>
      <c r="CE174" s="367"/>
      <c r="CF174" s="367"/>
      <c r="CG174" s="367"/>
      <c r="CH174" s="367"/>
      <c r="CI174" s="367"/>
      <c r="CJ174" s="367"/>
      <c r="CK174" s="367"/>
      <c r="CL174" s="367"/>
      <c r="CM174" s="367"/>
      <c r="CN174" s="367"/>
      <c r="CO174" s="367"/>
      <c r="CP174" s="367"/>
      <c r="CQ174" s="367"/>
      <c r="CR174" s="367"/>
      <c r="CS174" s="367"/>
      <c r="CT174" s="367"/>
      <c r="CU174" s="367"/>
      <c r="CV174" s="367"/>
      <c r="CW174" s="367"/>
      <c r="CX174" s="367"/>
      <c r="CY174" s="367"/>
      <c r="CZ174" s="367"/>
      <c r="DA174" s="367"/>
      <c r="DB174" s="367"/>
      <c r="DC174" s="367"/>
      <c r="DD174" s="367"/>
      <c r="DE174" s="367"/>
      <c r="DF174" s="367"/>
      <c r="DG174" s="367"/>
      <c r="DH174" s="367"/>
      <c r="DI174" s="367"/>
      <c r="DJ174" s="367"/>
      <c r="DK174" s="367"/>
      <c r="DL174" s="367"/>
      <c r="DM174" s="367"/>
      <c r="DN174" s="367"/>
      <c r="DO174" s="367"/>
      <c r="DP174" s="367"/>
      <c r="DQ174" s="367"/>
      <c r="DR174" s="367"/>
      <c r="DS174" s="367"/>
      <c r="DT174" s="367"/>
      <c r="DU174" s="367"/>
      <c r="DV174" s="367"/>
      <c r="DW174" s="367"/>
      <c r="DX174" s="367"/>
      <c r="DY174" s="367"/>
      <c r="DZ174" s="367"/>
      <c r="EA174" s="367"/>
      <c r="EB174" s="367"/>
      <c r="EC174" s="367"/>
      <c r="ED174" s="367"/>
      <c r="EE174" s="367"/>
      <c r="EF174" s="367"/>
      <c r="EG174" s="367"/>
      <c r="EH174" s="367"/>
      <c r="EI174" s="367"/>
      <c r="EJ174" s="367"/>
      <c r="EK174" s="367"/>
      <c r="EL174" s="367"/>
      <c r="EM174" s="367"/>
      <c r="EN174" s="367"/>
      <c r="EO174" s="367"/>
      <c r="EP174" s="367"/>
      <c r="EQ174" s="367"/>
    </row>
    <row r="175" spans="1:147" x14ac:dyDescent="0.2">
      <c r="A175" s="192"/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2"/>
      <c r="P175" s="192"/>
      <c r="Q175" s="192"/>
      <c r="R175" s="192"/>
      <c r="S175" s="266"/>
      <c r="T175" s="265"/>
      <c r="U175" s="265"/>
      <c r="V175" s="265"/>
      <c r="W175" s="265"/>
      <c r="X175" s="265"/>
      <c r="Y175" s="265"/>
      <c r="Z175" s="265"/>
      <c r="AA175" s="265"/>
      <c r="AB175" s="265"/>
      <c r="AC175" s="265"/>
      <c r="AD175" s="265"/>
      <c r="AE175" s="265"/>
      <c r="AF175" s="265"/>
      <c r="AG175" s="265"/>
      <c r="AH175" s="265"/>
      <c r="AI175" s="192"/>
      <c r="AJ175" s="192"/>
      <c r="AK175" s="369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  <c r="BP175" s="367"/>
      <c r="BQ175" s="367"/>
      <c r="BR175" s="367"/>
      <c r="BS175" s="367"/>
      <c r="BT175" s="367"/>
      <c r="BU175" s="367"/>
      <c r="BV175" s="367"/>
      <c r="BW175" s="367"/>
      <c r="BX175" s="367"/>
      <c r="BY175" s="367"/>
      <c r="BZ175" s="367"/>
      <c r="CA175" s="367"/>
      <c r="CB175" s="367"/>
      <c r="CC175" s="367"/>
      <c r="CD175" s="367"/>
      <c r="CE175" s="367"/>
      <c r="CF175" s="367"/>
      <c r="CG175" s="367"/>
      <c r="CH175" s="367"/>
      <c r="CI175" s="367"/>
      <c r="CJ175" s="367"/>
      <c r="CK175" s="367"/>
      <c r="CL175" s="367"/>
      <c r="CM175" s="367"/>
      <c r="CN175" s="367"/>
      <c r="CO175" s="367"/>
      <c r="CP175" s="367"/>
      <c r="CQ175" s="367"/>
      <c r="CR175" s="367"/>
      <c r="CS175" s="367"/>
      <c r="CT175" s="367"/>
      <c r="CU175" s="367"/>
      <c r="CV175" s="367"/>
      <c r="CW175" s="367"/>
      <c r="CX175" s="367"/>
      <c r="CY175" s="367"/>
      <c r="CZ175" s="367"/>
      <c r="DA175" s="367"/>
      <c r="DB175" s="367"/>
      <c r="DC175" s="367"/>
      <c r="DD175" s="367"/>
      <c r="DE175" s="367"/>
      <c r="DF175" s="367"/>
      <c r="DG175" s="367"/>
      <c r="DH175" s="367"/>
      <c r="DI175" s="367"/>
      <c r="DJ175" s="367"/>
      <c r="DK175" s="367"/>
      <c r="DL175" s="367"/>
      <c r="DM175" s="367"/>
      <c r="DN175" s="367"/>
      <c r="DO175" s="367"/>
      <c r="DP175" s="367"/>
      <c r="DQ175" s="367"/>
      <c r="DR175" s="367"/>
      <c r="DS175" s="367"/>
      <c r="DT175" s="367"/>
      <c r="DU175" s="367"/>
      <c r="DV175" s="367"/>
      <c r="DW175" s="367"/>
      <c r="DX175" s="367"/>
      <c r="DY175" s="367"/>
      <c r="DZ175" s="367"/>
      <c r="EA175" s="367"/>
      <c r="EB175" s="367"/>
      <c r="EC175" s="367"/>
      <c r="ED175" s="367"/>
      <c r="EE175" s="367"/>
      <c r="EF175" s="367"/>
      <c r="EG175" s="367"/>
      <c r="EH175" s="367"/>
      <c r="EI175" s="367"/>
      <c r="EJ175" s="367"/>
      <c r="EK175" s="367"/>
      <c r="EL175" s="367"/>
      <c r="EM175" s="367"/>
      <c r="EN175" s="367"/>
      <c r="EO175" s="367"/>
      <c r="EP175" s="367"/>
      <c r="EQ175" s="367"/>
    </row>
    <row r="176" spans="1:147" x14ac:dyDescent="0.2">
      <c r="A176" s="192"/>
      <c r="B176" s="192"/>
      <c r="C176" s="192"/>
      <c r="D176" s="192"/>
      <c r="E176" s="192"/>
      <c r="F176" s="192"/>
      <c r="G176" s="192"/>
      <c r="H176" s="192"/>
      <c r="I176" s="192"/>
      <c r="J176" s="192"/>
      <c r="K176" s="192"/>
      <c r="L176" s="192"/>
      <c r="M176" s="192"/>
      <c r="N176" s="192"/>
      <c r="O176" s="192"/>
      <c r="P176" s="192"/>
      <c r="Q176" s="192"/>
      <c r="R176" s="192"/>
      <c r="S176" s="266"/>
      <c r="T176" s="265"/>
      <c r="U176" s="265"/>
      <c r="V176" s="265"/>
      <c r="W176" s="265"/>
      <c r="X176" s="265"/>
      <c r="Y176" s="265"/>
      <c r="Z176" s="265"/>
      <c r="AA176" s="265"/>
      <c r="AB176" s="265"/>
      <c r="AC176" s="265"/>
      <c r="AD176" s="265"/>
      <c r="AE176" s="265"/>
      <c r="AF176" s="265"/>
      <c r="AG176" s="265"/>
      <c r="AH176" s="265"/>
      <c r="AI176" s="192"/>
      <c r="AJ176" s="192"/>
      <c r="AK176" s="369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  <c r="BP176" s="367"/>
      <c r="BQ176" s="367"/>
      <c r="BR176" s="367"/>
      <c r="BS176" s="367"/>
      <c r="BT176" s="367"/>
      <c r="BU176" s="367"/>
      <c r="BV176" s="367"/>
      <c r="BW176" s="367"/>
      <c r="BX176" s="367"/>
      <c r="BY176" s="367"/>
      <c r="BZ176" s="367"/>
      <c r="CA176" s="367"/>
      <c r="CB176" s="367"/>
      <c r="CC176" s="367"/>
      <c r="CD176" s="367"/>
      <c r="CE176" s="367"/>
      <c r="CF176" s="367"/>
      <c r="CG176" s="367"/>
      <c r="CH176" s="367"/>
      <c r="CI176" s="367"/>
      <c r="CJ176" s="367"/>
      <c r="CK176" s="367"/>
      <c r="CL176" s="367"/>
      <c r="CM176" s="367"/>
      <c r="CN176" s="367"/>
      <c r="CO176" s="367"/>
      <c r="CP176" s="367"/>
      <c r="CQ176" s="367"/>
      <c r="CR176" s="367"/>
      <c r="CS176" s="367"/>
      <c r="CT176" s="367"/>
      <c r="CU176" s="367"/>
      <c r="CV176" s="367"/>
      <c r="CW176" s="367"/>
      <c r="CX176" s="367"/>
      <c r="CY176" s="367"/>
      <c r="CZ176" s="367"/>
      <c r="DA176" s="367"/>
      <c r="DB176" s="367"/>
      <c r="DC176" s="367"/>
      <c r="DD176" s="367"/>
      <c r="DE176" s="367"/>
      <c r="DF176" s="367"/>
      <c r="DG176" s="367"/>
      <c r="DH176" s="367"/>
      <c r="DI176" s="367"/>
      <c r="DJ176" s="367"/>
      <c r="DK176" s="367"/>
      <c r="DL176" s="367"/>
      <c r="DM176" s="367"/>
      <c r="DN176" s="367"/>
      <c r="DO176" s="367"/>
      <c r="DP176" s="367"/>
      <c r="DQ176" s="367"/>
      <c r="DR176" s="367"/>
      <c r="DS176" s="367"/>
      <c r="DT176" s="367"/>
      <c r="DU176" s="367"/>
      <c r="DV176" s="367"/>
      <c r="DW176" s="367"/>
      <c r="DX176" s="367"/>
      <c r="DY176" s="367"/>
      <c r="DZ176" s="367"/>
      <c r="EA176" s="367"/>
      <c r="EB176" s="367"/>
      <c r="EC176" s="367"/>
      <c r="ED176" s="367"/>
      <c r="EE176" s="367"/>
      <c r="EF176" s="367"/>
      <c r="EG176" s="367"/>
      <c r="EH176" s="367"/>
      <c r="EI176" s="367"/>
      <c r="EJ176" s="367"/>
      <c r="EK176" s="367"/>
      <c r="EL176" s="367"/>
      <c r="EM176" s="367"/>
      <c r="EN176" s="367"/>
      <c r="EO176" s="367"/>
      <c r="EP176" s="367"/>
      <c r="EQ176" s="367"/>
    </row>
    <row r="177" spans="1:147" x14ac:dyDescent="0.2">
      <c r="A177" s="192"/>
      <c r="B177" s="192"/>
      <c r="C177" s="192"/>
      <c r="D177" s="192"/>
      <c r="E177" s="192"/>
      <c r="F177" s="192"/>
      <c r="G177" s="192"/>
      <c r="H177" s="192"/>
      <c r="I177" s="192"/>
      <c r="J177" s="192"/>
      <c r="K177" s="192"/>
      <c r="L177" s="192"/>
      <c r="M177" s="192"/>
      <c r="N177" s="192"/>
      <c r="O177" s="192"/>
      <c r="P177" s="192"/>
      <c r="Q177" s="192"/>
      <c r="R177" s="192"/>
      <c r="S177" s="266"/>
      <c r="T177" s="265"/>
      <c r="U177" s="265"/>
      <c r="V177" s="265"/>
      <c r="W177" s="265"/>
      <c r="X177" s="265"/>
      <c r="Y177" s="265"/>
      <c r="Z177" s="265"/>
      <c r="AA177" s="265"/>
      <c r="AB177" s="265"/>
      <c r="AC177" s="265"/>
      <c r="AD177" s="265"/>
      <c r="AE177" s="265"/>
      <c r="AF177" s="265"/>
      <c r="AG177" s="265"/>
      <c r="AH177" s="265"/>
      <c r="AI177" s="192"/>
      <c r="AJ177" s="192"/>
      <c r="AK177" s="369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7"/>
      <c r="AW177" s="367"/>
      <c r="AX177" s="367"/>
      <c r="AY177" s="367"/>
      <c r="AZ177" s="367"/>
      <c r="BA177" s="367"/>
      <c r="BB177" s="367"/>
      <c r="BC177" s="367"/>
      <c r="BD177" s="367"/>
      <c r="BE177" s="367"/>
      <c r="BF177" s="367"/>
      <c r="BG177" s="367"/>
      <c r="BH177" s="367"/>
      <c r="BI177" s="367"/>
      <c r="BJ177" s="367"/>
      <c r="BK177" s="367"/>
      <c r="BL177" s="367"/>
      <c r="BM177" s="367"/>
      <c r="BN177" s="367"/>
      <c r="BO177" s="367"/>
      <c r="BP177" s="367"/>
      <c r="BQ177" s="367"/>
      <c r="BR177" s="367"/>
      <c r="BS177" s="367"/>
      <c r="BT177" s="367"/>
      <c r="BU177" s="367"/>
      <c r="BV177" s="367"/>
      <c r="BW177" s="367"/>
      <c r="BX177" s="367"/>
      <c r="BY177" s="367"/>
      <c r="BZ177" s="367"/>
      <c r="CA177" s="367"/>
      <c r="CB177" s="367"/>
      <c r="CC177" s="367"/>
      <c r="CD177" s="367"/>
      <c r="CE177" s="367"/>
      <c r="CF177" s="367"/>
      <c r="CG177" s="367"/>
      <c r="CH177" s="367"/>
      <c r="CI177" s="367"/>
      <c r="CJ177" s="367"/>
      <c r="CK177" s="367"/>
      <c r="CL177" s="367"/>
      <c r="CM177" s="367"/>
      <c r="CN177" s="367"/>
      <c r="CO177" s="367"/>
      <c r="CP177" s="367"/>
      <c r="CQ177" s="367"/>
      <c r="CR177" s="367"/>
      <c r="CS177" s="367"/>
      <c r="CT177" s="367"/>
      <c r="CU177" s="367"/>
      <c r="CV177" s="367"/>
      <c r="CW177" s="367"/>
      <c r="CX177" s="367"/>
      <c r="CY177" s="367"/>
      <c r="CZ177" s="367"/>
      <c r="DA177" s="367"/>
      <c r="DB177" s="367"/>
      <c r="DC177" s="367"/>
      <c r="DD177" s="367"/>
      <c r="DE177" s="367"/>
      <c r="DF177" s="367"/>
      <c r="DG177" s="367"/>
      <c r="DH177" s="367"/>
      <c r="DI177" s="367"/>
      <c r="DJ177" s="367"/>
      <c r="DK177" s="367"/>
      <c r="DL177" s="367"/>
      <c r="DM177" s="367"/>
      <c r="DN177" s="367"/>
      <c r="DO177" s="367"/>
      <c r="DP177" s="367"/>
      <c r="DQ177" s="367"/>
      <c r="DR177" s="367"/>
      <c r="DS177" s="367"/>
      <c r="DT177" s="367"/>
      <c r="DU177" s="367"/>
      <c r="DV177" s="367"/>
      <c r="DW177" s="367"/>
      <c r="DX177" s="367"/>
      <c r="DY177" s="367"/>
      <c r="DZ177" s="367"/>
      <c r="EA177" s="367"/>
      <c r="EB177" s="367"/>
      <c r="EC177" s="367"/>
      <c r="ED177" s="367"/>
      <c r="EE177" s="367"/>
      <c r="EF177" s="367"/>
      <c r="EG177" s="367"/>
      <c r="EH177" s="367"/>
      <c r="EI177" s="367"/>
      <c r="EJ177" s="367"/>
      <c r="EK177" s="367"/>
      <c r="EL177" s="367"/>
      <c r="EM177" s="367"/>
      <c r="EN177" s="367"/>
      <c r="EO177" s="367"/>
      <c r="EP177" s="367"/>
      <c r="EQ177" s="367"/>
    </row>
    <row r="178" spans="1:147" x14ac:dyDescent="0.2">
      <c r="A178" s="192"/>
      <c r="B178" s="192"/>
      <c r="C178" s="192"/>
      <c r="D178" s="192"/>
      <c r="E178" s="192"/>
      <c r="F178" s="192"/>
      <c r="G178" s="192"/>
      <c r="H178" s="192"/>
      <c r="I178" s="192"/>
      <c r="J178" s="192"/>
      <c r="K178" s="192"/>
      <c r="L178" s="192"/>
      <c r="M178" s="192"/>
      <c r="N178" s="192"/>
      <c r="O178" s="192"/>
      <c r="P178" s="192"/>
      <c r="Q178" s="192"/>
      <c r="R178" s="192"/>
      <c r="S178" s="266"/>
      <c r="T178" s="265"/>
      <c r="U178" s="265"/>
      <c r="V178" s="265"/>
      <c r="W178" s="265"/>
      <c r="X178" s="265"/>
      <c r="Y178" s="265"/>
      <c r="Z178" s="265"/>
      <c r="AA178" s="265"/>
      <c r="AB178" s="265"/>
      <c r="AC178" s="265"/>
      <c r="AD178" s="265"/>
      <c r="AE178" s="265"/>
      <c r="AF178" s="265"/>
      <c r="AG178" s="265"/>
      <c r="AH178" s="265"/>
      <c r="AI178" s="192"/>
      <c r="AJ178" s="192"/>
      <c r="AK178" s="369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7"/>
      <c r="AW178" s="367"/>
      <c r="AX178" s="367"/>
      <c r="AY178" s="367"/>
      <c r="AZ178" s="367"/>
      <c r="BA178" s="367"/>
      <c r="BB178" s="367"/>
      <c r="BC178" s="367"/>
      <c r="BD178" s="367"/>
      <c r="BE178" s="367"/>
      <c r="BF178" s="367"/>
      <c r="BG178" s="367"/>
      <c r="BH178" s="367"/>
      <c r="BI178" s="367"/>
      <c r="BJ178" s="367"/>
      <c r="BK178" s="367"/>
      <c r="BL178" s="367"/>
      <c r="BM178" s="367"/>
      <c r="BN178" s="367"/>
      <c r="BO178" s="367"/>
      <c r="BP178" s="367"/>
      <c r="BQ178" s="367"/>
      <c r="BR178" s="367"/>
      <c r="BS178" s="367"/>
      <c r="BT178" s="367"/>
      <c r="BU178" s="367"/>
      <c r="BV178" s="367"/>
      <c r="BW178" s="367"/>
      <c r="BX178" s="367"/>
      <c r="BY178" s="367"/>
      <c r="BZ178" s="367"/>
      <c r="CA178" s="367"/>
      <c r="CB178" s="367"/>
      <c r="CC178" s="367"/>
      <c r="CD178" s="367"/>
      <c r="CE178" s="367"/>
      <c r="CF178" s="367"/>
      <c r="CG178" s="367"/>
      <c r="CH178" s="367"/>
      <c r="CI178" s="367"/>
      <c r="CJ178" s="367"/>
      <c r="CK178" s="367"/>
      <c r="CL178" s="367"/>
      <c r="CM178" s="367"/>
      <c r="CN178" s="367"/>
      <c r="CO178" s="367"/>
      <c r="CP178" s="367"/>
      <c r="CQ178" s="367"/>
      <c r="CR178" s="367"/>
      <c r="CS178" s="367"/>
      <c r="CT178" s="367"/>
      <c r="CU178" s="367"/>
      <c r="CV178" s="367"/>
      <c r="CW178" s="367"/>
      <c r="CX178" s="367"/>
      <c r="CY178" s="367"/>
      <c r="CZ178" s="367"/>
      <c r="DA178" s="367"/>
      <c r="DB178" s="367"/>
      <c r="DC178" s="367"/>
      <c r="DD178" s="367"/>
      <c r="DE178" s="367"/>
      <c r="DF178" s="367"/>
      <c r="DG178" s="367"/>
      <c r="DH178" s="367"/>
      <c r="DI178" s="367"/>
      <c r="DJ178" s="367"/>
      <c r="DK178" s="367"/>
      <c r="DL178" s="367"/>
      <c r="DM178" s="367"/>
      <c r="DN178" s="367"/>
      <c r="DO178" s="367"/>
      <c r="DP178" s="367"/>
      <c r="DQ178" s="367"/>
      <c r="DR178" s="367"/>
      <c r="DS178" s="367"/>
      <c r="DT178" s="367"/>
      <c r="DU178" s="367"/>
      <c r="DV178" s="367"/>
      <c r="DW178" s="367"/>
      <c r="DX178" s="367"/>
      <c r="DY178" s="367"/>
      <c r="DZ178" s="367"/>
      <c r="EA178" s="367"/>
      <c r="EB178" s="367"/>
      <c r="EC178" s="367"/>
      <c r="ED178" s="367"/>
      <c r="EE178" s="367"/>
      <c r="EF178" s="367"/>
      <c r="EG178" s="367"/>
      <c r="EH178" s="367"/>
      <c r="EI178" s="367"/>
      <c r="EJ178" s="367"/>
      <c r="EK178" s="367"/>
      <c r="EL178" s="367"/>
      <c r="EM178" s="367"/>
      <c r="EN178" s="367"/>
      <c r="EO178" s="367"/>
      <c r="EP178" s="367"/>
      <c r="EQ178" s="367"/>
    </row>
    <row r="179" spans="1:147" x14ac:dyDescent="0.2">
      <c r="A179" s="192"/>
      <c r="B179" s="192"/>
      <c r="C179" s="192"/>
      <c r="D179" s="192"/>
      <c r="E179" s="192"/>
      <c r="F179" s="192"/>
      <c r="G179" s="192"/>
      <c r="H179" s="192"/>
      <c r="I179" s="192"/>
      <c r="J179" s="192"/>
      <c r="K179" s="192"/>
      <c r="L179" s="192"/>
      <c r="M179" s="192"/>
      <c r="N179" s="192"/>
      <c r="O179" s="192"/>
      <c r="P179" s="192"/>
      <c r="Q179" s="192"/>
      <c r="R179" s="192"/>
      <c r="S179" s="266"/>
      <c r="T179" s="265"/>
      <c r="U179" s="265"/>
      <c r="V179" s="265"/>
      <c r="W179" s="265"/>
      <c r="X179" s="265"/>
      <c r="Y179" s="265"/>
      <c r="Z179" s="265"/>
      <c r="AA179" s="265"/>
      <c r="AB179" s="265"/>
      <c r="AC179" s="265"/>
      <c r="AD179" s="265"/>
      <c r="AE179" s="265"/>
      <c r="AF179" s="265"/>
      <c r="AG179" s="265"/>
      <c r="AH179" s="265"/>
      <c r="AI179" s="192"/>
      <c r="AJ179" s="192"/>
      <c r="AK179" s="369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7"/>
      <c r="AW179" s="367"/>
      <c r="AX179" s="367"/>
      <c r="AY179" s="367"/>
      <c r="AZ179" s="367"/>
      <c r="BA179" s="367"/>
      <c r="BB179" s="367"/>
      <c r="BC179" s="367"/>
      <c r="BD179" s="367"/>
      <c r="BE179" s="367"/>
      <c r="BF179" s="367"/>
      <c r="BG179" s="367"/>
      <c r="BH179" s="367"/>
      <c r="BI179" s="367"/>
      <c r="BJ179" s="367"/>
      <c r="BK179" s="367"/>
      <c r="BL179" s="367"/>
      <c r="BM179" s="367"/>
      <c r="BN179" s="367"/>
      <c r="BO179" s="367"/>
      <c r="BP179" s="367"/>
      <c r="BQ179" s="367"/>
      <c r="BR179" s="367"/>
      <c r="BS179" s="367"/>
      <c r="BT179" s="367"/>
      <c r="BU179" s="367"/>
      <c r="BV179" s="367"/>
      <c r="BW179" s="367"/>
      <c r="BX179" s="367"/>
      <c r="BY179" s="367"/>
      <c r="BZ179" s="367"/>
      <c r="CA179" s="367"/>
      <c r="CB179" s="367"/>
      <c r="CC179" s="367"/>
      <c r="CD179" s="367"/>
      <c r="CE179" s="367"/>
      <c r="CF179" s="367"/>
      <c r="CG179" s="367"/>
      <c r="CH179" s="367"/>
      <c r="CI179" s="367"/>
      <c r="CJ179" s="367"/>
      <c r="CK179" s="367"/>
      <c r="CL179" s="367"/>
      <c r="CM179" s="367"/>
      <c r="CN179" s="367"/>
      <c r="CO179" s="367"/>
      <c r="CP179" s="367"/>
      <c r="CQ179" s="367"/>
      <c r="CR179" s="367"/>
      <c r="CS179" s="367"/>
      <c r="CT179" s="367"/>
      <c r="CU179" s="367"/>
      <c r="CV179" s="367"/>
      <c r="CW179" s="367"/>
      <c r="CX179" s="367"/>
      <c r="CY179" s="367"/>
      <c r="CZ179" s="367"/>
      <c r="DA179" s="367"/>
      <c r="DB179" s="367"/>
      <c r="DC179" s="367"/>
      <c r="DD179" s="367"/>
      <c r="DE179" s="367"/>
      <c r="DF179" s="367"/>
      <c r="DG179" s="367"/>
      <c r="DH179" s="367"/>
      <c r="DI179" s="367"/>
      <c r="DJ179" s="367"/>
      <c r="DK179" s="367"/>
      <c r="DL179" s="367"/>
      <c r="DM179" s="367"/>
      <c r="DN179" s="367"/>
      <c r="DO179" s="367"/>
      <c r="DP179" s="367"/>
      <c r="DQ179" s="367"/>
      <c r="DR179" s="367"/>
      <c r="DS179" s="367"/>
      <c r="DT179" s="367"/>
      <c r="DU179" s="367"/>
      <c r="DV179" s="367"/>
      <c r="DW179" s="367"/>
      <c r="DX179" s="367"/>
      <c r="DY179" s="367"/>
      <c r="DZ179" s="367"/>
      <c r="EA179" s="367"/>
      <c r="EB179" s="367"/>
      <c r="EC179" s="367"/>
      <c r="ED179" s="367"/>
      <c r="EE179" s="367"/>
      <c r="EF179" s="367"/>
      <c r="EG179" s="367"/>
      <c r="EH179" s="367"/>
      <c r="EI179" s="367"/>
      <c r="EJ179" s="367"/>
      <c r="EK179" s="367"/>
      <c r="EL179" s="367"/>
      <c r="EM179" s="367"/>
      <c r="EN179" s="367"/>
      <c r="EO179" s="367"/>
      <c r="EP179" s="367"/>
      <c r="EQ179" s="367"/>
    </row>
    <row r="180" spans="1:147" x14ac:dyDescent="0.2">
      <c r="A180" s="192"/>
      <c r="B180" s="192"/>
      <c r="C180" s="192"/>
      <c r="D180" s="192"/>
      <c r="E180" s="192"/>
      <c r="F180" s="192"/>
      <c r="G180" s="192"/>
      <c r="H180" s="192"/>
      <c r="I180" s="192"/>
      <c r="J180" s="192"/>
      <c r="K180" s="192"/>
      <c r="L180" s="192"/>
      <c r="M180" s="192"/>
      <c r="N180" s="192"/>
      <c r="O180" s="192"/>
      <c r="P180" s="192"/>
      <c r="Q180" s="192"/>
      <c r="R180" s="192"/>
      <c r="S180" s="266"/>
      <c r="T180" s="265"/>
      <c r="U180" s="265"/>
      <c r="V180" s="265"/>
      <c r="W180" s="265"/>
      <c r="X180" s="265"/>
      <c r="Y180" s="265"/>
      <c r="Z180" s="265"/>
      <c r="AA180" s="265"/>
      <c r="AB180" s="265"/>
      <c r="AC180" s="265"/>
      <c r="AD180" s="265"/>
      <c r="AE180" s="265"/>
      <c r="AF180" s="265"/>
      <c r="AG180" s="265"/>
      <c r="AH180" s="265"/>
      <c r="AI180" s="192"/>
      <c r="AJ180" s="192"/>
      <c r="AK180" s="369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7"/>
      <c r="AW180" s="367"/>
      <c r="AX180" s="367"/>
      <c r="AY180" s="367"/>
      <c r="AZ180" s="367"/>
      <c r="BA180" s="367"/>
      <c r="BB180" s="367"/>
      <c r="BC180" s="367"/>
      <c r="BD180" s="367"/>
      <c r="BE180" s="367"/>
      <c r="BF180" s="367"/>
      <c r="BG180" s="367"/>
      <c r="BH180" s="367"/>
      <c r="BI180" s="367"/>
      <c r="BJ180" s="367"/>
      <c r="BK180" s="367"/>
      <c r="BL180" s="367"/>
      <c r="BM180" s="367"/>
      <c r="BN180" s="367"/>
      <c r="BO180" s="367"/>
      <c r="BP180" s="367"/>
      <c r="BQ180" s="367"/>
      <c r="BR180" s="367"/>
      <c r="BS180" s="367"/>
      <c r="BT180" s="367"/>
      <c r="BU180" s="367"/>
      <c r="BV180" s="367"/>
      <c r="BW180" s="367"/>
      <c r="BX180" s="367"/>
      <c r="BY180" s="367"/>
      <c r="BZ180" s="367"/>
      <c r="CA180" s="367"/>
      <c r="CB180" s="367"/>
      <c r="CC180" s="367"/>
      <c r="CD180" s="367"/>
      <c r="CE180" s="367"/>
      <c r="CF180" s="367"/>
      <c r="CG180" s="367"/>
      <c r="CH180" s="367"/>
      <c r="CI180" s="367"/>
      <c r="CJ180" s="367"/>
      <c r="CK180" s="367"/>
      <c r="CL180" s="367"/>
      <c r="CM180" s="367"/>
      <c r="CN180" s="367"/>
      <c r="CO180" s="367"/>
      <c r="CP180" s="367"/>
      <c r="CQ180" s="367"/>
      <c r="CR180" s="367"/>
      <c r="CS180" s="367"/>
      <c r="CT180" s="367"/>
      <c r="CU180" s="367"/>
      <c r="CV180" s="367"/>
      <c r="CW180" s="367"/>
      <c r="CX180" s="367"/>
      <c r="CY180" s="367"/>
      <c r="CZ180" s="367"/>
      <c r="DA180" s="367"/>
      <c r="DB180" s="367"/>
      <c r="DC180" s="367"/>
      <c r="DD180" s="367"/>
      <c r="DE180" s="367"/>
      <c r="DF180" s="367"/>
      <c r="DG180" s="367"/>
      <c r="DH180" s="367"/>
      <c r="DI180" s="367"/>
      <c r="DJ180" s="367"/>
      <c r="DK180" s="367"/>
      <c r="DL180" s="367"/>
      <c r="DM180" s="367"/>
      <c r="DN180" s="367"/>
      <c r="DO180" s="367"/>
      <c r="DP180" s="367"/>
      <c r="DQ180" s="367"/>
      <c r="DR180" s="367"/>
      <c r="DS180" s="367"/>
      <c r="DT180" s="367"/>
      <c r="DU180" s="367"/>
      <c r="DV180" s="367"/>
      <c r="DW180" s="367"/>
      <c r="DX180" s="367"/>
      <c r="DY180" s="367"/>
      <c r="DZ180" s="367"/>
      <c r="EA180" s="367"/>
      <c r="EB180" s="367"/>
      <c r="EC180" s="367"/>
      <c r="ED180" s="367"/>
      <c r="EE180" s="367"/>
      <c r="EF180" s="367"/>
      <c r="EG180" s="367"/>
      <c r="EH180" s="367"/>
      <c r="EI180" s="367"/>
      <c r="EJ180" s="367"/>
      <c r="EK180" s="367"/>
      <c r="EL180" s="367"/>
      <c r="EM180" s="367"/>
      <c r="EN180" s="367"/>
      <c r="EO180" s="367"/>
      <c r="EP180" s="367"/>
      <c r="EQ180" s="367"/>
    </row>
    <row r="181" spans="1:147" x14ac:dyDescent="0.2">
      <c r="A181" s="192"/>
      <c r="B181" s="192"/>
      <c r="C181" s="192"/>
      <c r="D181" s="192"/>
      <c r="E181" s="192"/>
      <c r="F181" s="192"/>
      <c r="G181" s="192"/>
      <c r="H181" s="192"/>
      <c r="I181" s="192"/>
      <c r="J181" s="192"/>
      <c r="K181" s="192"/>
      <c r="L181" s="192"/>
      <c r="M181" s="192"/>
      <c r="N181" s="192"/>
      <c r="O181" s="192"/>
      <c r="P181" s="192"/>
      <c r="Q181" s="192"/>
      <c r="R181" s="192"/>
      <c r="S181" s="266"/>
      <c r="T181" s="265"/>
      <c r="U181" s="265"/>
      <c r="V181" s="265"/>
      <c r="W181" s="265"/>
      <c r="X181" s="265"/>
      <c r="Y181" s="265"/>
      <c r="Z181" s="265"/>
      <c r="AA181" s="265"/>
      <c r="AB181" s="265"/>
      <c r="AC181" s="265"/>
      <c r="AD181" s="265"/>
      <c r="AE181" s="265"/>
      <c r="AF181" s="265"/>
      <c r="AG181" s="265"/>
      <c r="AH181" s="265"/>
      <c r="AI181" s="192"/>
      <c r="AJ181" s="192"/>
      <c r="AK181" s="369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7"/>
      <c r="AW181" s="367"/>
      <c r="AX181" s="367"/>
      <c r="AY181" s="367"/>
      <c r="AZ181" s="367"/>
      <c r="BA181" s="367"/>
      <c r="BB181" s="367"/>
      <c r="BC181" s="367"/>
      <c r="BD181" s="367"/>
      <c r="BE181" s="367"/>
      <c r="BF181" s="367"/>
      <c r="BG181" s="367"/>
      <c r="BH181" s="367"/>
      <c r="BI181" s="367"/>
      <c r="BJ181" s="367"/>
      <c r="BK181" s="367"/>
      <c r="BL181" s="367"/>
      <c r="BM181" s="367"/>
      <c r="BN181" s="367"/>
      <c r="BO181" s="367"/>
      <c r="BP181" s="367"/>
      <c r="BQ181" s="367"/>
      <c r="BR181" s="367"/>
      <c r="BS181" s="367"/>
      <c r="BT181" s="367"/>
      <c r="BU181" s="367"/>
      <c r="BV181" s="367"/>
      <c r="BW181" s="367"/>
      <c r="BX181" s="367"/>
      <c r="BY181" s="367"/>
      <c r="BZ181" s="367"/>
      <c r="CA181" s="367"/>
      <c r="CB181" s="367"/>
      <c r="CC181" s="367"/>
      <c r="CD181" s="367"/>
      <c r="CE181" s="367"/>
      <c r="CF181" s="367"/>
      <c r="CG181" s="367"/>
      <c r="CH181" s="367"/>
      <c r="CI181" s="367"/>
      <c r="CJ181" s="367"/>
      <c r="CK181" s="367"/>
      <c r="CL181" s="367"/>
      <c r="CM181" s="367"/>
      <c r="CN181" s="367"/>
      <c r="CO181" s="367"/>
      <c r="CP181" s="367"/>
      <c r="CQ181" s="367"/>
      <c r="CR181" s="367"/>
      <c r="CS181" s="367"/>
      <c r="CT181" s="367"/>
      <c r="CU181" s="367"/>
      <c r="CV181" s="367"/>
      <c r="CW181" s="367"/>
      <c r="CX181" s="367"/>
      <c r="CY181" s="367"/>
      <c r="CZ181" s="367"/>
      <c r="DA181" s="367"/>
      <c r="DB181" s="367"/>
      <c r="DC181" s="367"/>
      <c r="DD181" s="367"/>
      <c r="DE181" s="367"/>
      <c r="DF181" s="367"/>
      <c r="DG181" s="367"/>
      <c r="DH181" s="367"/>
      <c r="DI181" s="367"/>
      <c r="DJ181" s="367"/>
      <c r="DK181" s="367"/>
      <c r="DL181" s="367"/>
      <c r="DM181" s="367"/>
      <c r="DN181" s="367"/>
      <c r="DO181" s="367"/>
      <c r="DP181" s="367"/>
      <c r="DQ181" s="367"/>
      <c r="DR181" s="367"/>
      <c r="DS181" s="367"/>
      <c r="DT181" s="367"/>
      <c r="DU181" s="367"/>
      <c r="DV181" s="367"/>
      <c r="DW181" s="367"/>
      <c r="DX181" s="367"/>
      <c r="DY181" s="367"/>
      <c r="DZ181" s="367"/>
      <c r="EA181" s="367"/>
      <c r="EB181" s="367"/>
      <c r="EC181" s="367"/>
      <c r="ED181" s="367"/>
      <c r="EE181" s="367"/>
      <c r="EF181" s="367"/>
      <c r="EG181" s="367"/>
      <c r="EH181" s="367"/>
      <c r="EI181" s="367"/>
      <c r="EJ181" s="367"/>
      <c r="EK181" s="367"/>
      <c r="EL181" s="367"/>
      <c r="EM181" s="367"/>
      <c r="EN181" s="367"/>
      <c r="EO181" s="367"/>
      <c r="EP181" s="367"/>
      <c r="EQ181" s="367"/>
    </row>
    <row r="182" spans="1:147" x14ac:dyDescent="0.2">
      <c r="A182" s="192"/>
      <c r="B182" s="192"/>
      <c r="C182" s="192"/>
      <c r="D182" s="192"/>
      <c r="E182" s="192"/>
      <c r="F182" s="192"/>
      <c r="G182" s="192"/>
      <c r="H182" s="192"/>
      <c r="I182" s="192"/>
      <c r="J182" s="192"/>
      <c r="K182" s="192"/>
      <c r="L182" s="192"/>
      <c r="M182" s="192"/>
      <c r="N182" s="192"/>
      <c r="O182" s="192"/>
      <c r="P182" s="192"/>
      <c r="Q182" s="192"/>
      <c r="R182" s="192"/>
      <c r="S182" s="266"/>
      <c r="T182" s="265"/>
      <c r="U182" s="265"/>
      <c r="V182" s="265"/>
      <c r="W182" s="265"/>
      <c r="X182" s="265"/>
      <c r="Y182" s="265"/>
      <c r="Z182" s="265"/>
      <c r="AA182" s="265"/>
      <c r="AB182" s="265"/>
      <c r="AC182" s="265"/>
      <c r="AD182" s="265"/>
      <c r="AE182" s="265"/>
      <c r="AF182" s="265"/>
      <c r="AG182" s="265"/>
      <c r="AH182" s="265"/>
      <c r="AI182" s="192"/>
      <c r="AJ182" s="192"/>
      <c r="AK182" s="369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7"/>
      <c r="AW182" s="367"/>
      <c r="AX182" s="367"/>
      <c r="AY182" s="367"/>
      <c r="AZ182" s="367"/>
      <c r="BA182" s="367"/>
      <c r="BB182" s="367"/>
      <c r="BC182" s="367"/>
      <c r="BD182" s="367"/>
      <c r="BE182" s="367"/>
      <c r="BF182" s="367"/>
      <c r="BG182" s="367"/>
      <c r="BH182" s="367"/>
      <c r="BI182" s="367"/>
      <c r="BJ182" s="367"/>
      <c r="BK182" s="367"/>
      <c r="BL182" s="367"/>
      <c r="BM182" s="367"/>
      <c r="BN182" s="367"/>
      <c r="BO182" s="367"/>
      <c r="BP182" s="367"/>
      <c r="BQ182" s="367"/>
      <c r="BR182" s="367"/>
      <c r="BS182" s="367"/>
      <c r="BT182" s="367"/>
      <c r="BU182" s="367"/>
      <c r="BV182" s="367"/>
      <c r="BW182" s="367"/>
      <c r="BX182" s="367"/>
      <c r="BY182" s="367"/>
      <c r="BZ182" s="367"/>
      <c r="CA182" s="367"/>
      <c r="CB182" s="367"/>
      <c r="CC182" s="367"/>
      <c r="CD182" s="367"/>
      <c r="CE182" s="367"/>
      <c r="CF182" s="367"/>
      <c r="CG182" s="367"/>
      <c r="CH182" s="367"/>
      <c r="CI182" s="367"/>
      <c r="CJ182" s="367"/>
      <c r="CK182" s="367"/>
      <c r="CL182" s="367"/>
      <c r="CM182" s="367"/>
      <c r="CN182" s="367"/>
      <c r="CO182" s="367"/>
      <c r="CP182" s="367"/>
      <c r="CQ182" s="367"/>
      <c r="CR182" s="367"/>
      <c r="CS182" s="367"/>
      <c r="CT182" s="367"/>
      <c r="CU182" s="367"/>
      <c r="CV182" s="367"/>
      <c r="CW182" s="367"/>
      <c r="CX182" s="367"/>
      <c r="CY182" s="367"/>
      <c r="CZ182" s="367"/>
      <c r="DA182" s="367"/>
      <c r="DB182" s="367"/>
      <c r="DC182" s="367"/>
      <c r="DD182" s="367"/>
      <c r="DE182" s="367"/>
      <c r="DF182" s="367"/>
      <c r="DG182" s="367"/>
      <c r="DH182" s="367"/>
      <c r="DI182" s="367"/>
      <c r="DJ182" s="367"/>
      <c r="DK182" s="367"/>
      <c r="DL182" s="367"/>
      <c r="DM182" s="367"/>
      <c r="DN182" s="367"/>
      <c r="DO182" s="367"/>
      <c r="DP182" s="367"/>
      <c r="DQ182" s="367"/>
      <c r="DR182" s="367"/>
      <c r="DS182" s="367"/>
      <c r="DT182" s="367"/>
      <c r="DU182" s="367"/>
      <c r="DV182" s="367"/>
      <c r="DW182" s="367"/>
      <c r="DX182" s="367"/>
      <c r="DY182" s="367"/>
      <c r="DZ182" s="367"/>
      <c r="EA182" s="367"/>
      <c r="EB182" s="367"/>
      <c r="EC182" s="367"/>
      <c r="ED182" s="367"/>
      <c r="EE182" s="367"/>
      <c r="EF182" s="367"/>
      <c r="EG182" s="367"/>
      <c r="EH182" s="367"/>
      <c r="EI182" s="367"/>
      <c r="EJ182" s="367"/>
      <c r="EK182" s="367"/>
      <c r="EL182" s="367"/>
      <c r="EM182" s="367"/>
      <c r="EN182" s="367"/>
      <c r="EO182" s="367"/>
      <c r="EP182" s="367"/>
      <c r="EQ182" s="367"/>
    </row>
    <row r="183" spans="1:147" x14ac:dyDescent="0.2">
      <c r="A183" s="192"/>
      <c r="B183" s="192"/>
      <c r="C183" s="192"/>
      <c r="D183" s="192"/>
      <c r="E183" s="192"/>
      <c r="F183" s="192"/>
      <c r="G183" s="192"/>
      <c r="H183" s="192"/>
      <c r="I183" s="192"/>
      <c r="J183" s="192"/>
      <c r="K183" s="192"/>
      <c r="L183" s="192"/>
      <c r="M183" s="192"/>
      <c r="N183" s="192"/>
      <c r="O183" s="192"/>
      <c r="P183" s="192"/>
      <c r="Q183" s="192"/>
      <c r="R183" s="192"/>
      <c r="S183" s="266"/>
      <c r="T183" s="265"/>
      <c r="U183" s="265"/>
      <c r="V183" s="265"/>
      <c r="W183" s="265"/>
      <c r="X183" s="265"/>
      <c r="Y183" s="265"/>
      <c r="Z183" s="265"/>
      <c r="AA183" s="265"/>
      <c r="AB183" s="265"/>
      <c r="AC183" s="265"/>
      <c r="AD183" s="265"/>
      <c r="AE183" s="265"/>
      <c r="AF183" s="265"/>
      <c r="AG183" s="265"/>
      <c r="AH183" s="265"/>
      <c r="AI183" s="192"/>
      <c r="AJ183" s="192"/>
      <c r="AK183" s="369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7"/>
      <c r="AW183" s="367"/>
      <c r="AX183" s="367"/>
      <c r="AY183" s="367"/>
      <c r="AZ183" s="367"/>
      <c r="BA183" s="367"/>
      <c r="BB183" s="367"/>
      <c r="BC183" s="367"/>
      <c r="BD183" s="367"/>
      <c r="BE183" s="367"/>
      <c r="BF183" s="367"/>
      <c r="BG183" s="367"/>
      <c r="BH183" s="367"/>
      <c r="BI183" s="367"/>
      <c r="BJ183" s="367"/>
      <c r="BK183" s="367"/>
      <c r="BL183" s="367"/>
      <c r="BM183" s="367"/>
      <c r="BN183" s="367"/>
      <c r="BO183" s="367"/>
      <c r="BP183" s="367"/>
      <c r="BQ183" s="367"/>
      <c r="BR183" s="367"/>
      <c r="BS183" s="367"/>
      <c r="BT183" s="367"/>
      <c r="BU183" s="367"/>
      <c r="BV183" s="367"/>
      <c r="BW183" s="367"/>
      <c r="BX183" s="367"/>
      <c r="BY183" s="367"/>
      <c r="BZ183" s="367"/>
      <c r="CA183" s="367"/>
      <c r="CB183" s="367"/>
      <c r="CC183" s="367"/>
      <c r="CD183" s="367"/>
      <c r="CE183" s="367"/>
      <c r="CF183" s="367"/>
      <c r="CG183" s="367"/>
      <c r="CH183" s="367"/>
      <c r="CI183" s="367"/>
      <c r="CJ183" s="367"/>
      <c r="CK183" s="367"/>
      <c r="CL183" s="367"/>
      <c r="CM183" s="367"/>
      <c r="CN183" s="367"/>
      <c r="CO183" s="367"/>
      <c r="CP183" s="367"/>
      <c r="CQ183" s="367"/>
      <c r="CR183" s="367"/>
      <c r="CS183" s="367"/>
      <c r="CT183" s="367"/>
      <c r="CU183" s="367"/>
      <c r="CV183" s="367"/>
      <c r="CW183" s="367"/>
      <c r="CX183" s="367"/>
      <c r="CY183" s="367"/>
      <c r="CZ183" s="367"/>
      <c r="DA183" s="367"/>
      <c r="DB183" s="367"/>
      <c r="DC183" s="367"/>
      <c r="DD183" s="367"/>
      <c r="DE183" s="367"/>
      <c r="DF183" s="367"/>
      <c r="DG183" s="367"/>
      <c r="DH183" s="367"/>
      <c r="DI183" s="367"/>
      <c r="DJ183" s="367"/>
      <c r="DK183" s="367"/>
      <c r="DL183" s="367"/>
      <c r="DM183" s="367"/>
      <c r="DN183" s="367"/>
      <c r="DO183" s="367"/>
      <c r="DP183" s="367"/>
      <c r="DQ183" s="367"/>
      <c r="DR183" s="367"/>
      <c r="DS183" s="367"/>
      <c r="DT183" s="367"/>
      <c r="DU183" s="367"/>
      <c r="DV183" s="367"/>
      <c r="DW183" s="367"/>
      <c r="DX183" s="367"/>
      <c r="DY183" s="367"/>
      <c r="DZ183" s="367"/>
      <c r="EA183" s="367"/>
      <c r="EB183" s="367"/>
      <c r="EC183" s="367"/>
      <c r="ED183" s="367"/>
      <c r="EE183" s="367"/>
      <c r="EF183" s="367"/>
      <c r="EG183" s="367"/>
      <c r="EH183" s="367"/>
      <c r="EI183" s="367"/>
      <c r="EJ183" s="367"/>
      <c r="EK183" s="367"/>
      <c r="EL183" s="367"/>
      <c r="EM183" s="367"/>
      <c r="EN183" s="367"/>
      <c r="EO183" s="367"/>
      <c r="EP183" s="367"/>
      <c r="EQ183" s="367"/>
    </row>
    <row r="184" spans="1:147" x14ac:dyDescent="0.2">
      <c r="A184" s="192"/>
      <c r="B184" s="192"/>
      <c r="C184" s="192"/>
      <c r="D184" s="192"/>
      <c r="E184" s="192"/>
      <c r="F184" s="192"/>
      <c r="G184" s="192"/>
      <c r="H184" s="192"/>
      <c r="I184" s="192"/>
      <c r="J184" s="192"/>
      <c r="K184" s="192"/>
      <c r="L184" s="192"/>
      <c r="M184" s="192"/>
      <c r="N184" s="192"/>
      <c r="O184" s="192"/>
      <c r="P184" s="192"/>
      <c r="Q184" s="192"/>
      <c r="R184" s="192"/>
      <c r="S184" s="266"/>
      <c r="T184" s="265"/>
      <c r="U184" s="265"/>
      <c r="V184" s="265"/>
      <c r="W184" s="265"/>
      <c r="X184" s="265"/>
      <c r="Y184" s="265"/>
      <c r="Z184" s="265"/>
      <c r="AA184" s="265"/>
      <c r="AB184" s="265"/>
      <c r="AC184" s="265"/>
      <c r="AD184" s="265"/>
      <c r="AE184" s="265"/>
      <c r="AF184" s="265"/>
      <c r="AG184" s="265"/>
      <c r="AH184" s="265"/>
      <c r="AI184" s="192"/>
      <c r="AJ184" s="192"/>
      <c r="AK184" s="369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7"/>
      <c r="AW184" s="367"/>
      <c r="AX184" s="367"/>
      <c r="AY184" s="367"/>
      <c r="AZ184" s="367"/>
      <c r="BA184" s="367"/>
      <c r="BB184" s="367"/>
      <c r="BC184" s="367"/>
      <c r="BD184" s="367"/>
      <c r="BE184" s="367"/>
      <c r="BF184" s="367"/>
      <c r="BG184" s="367"/>
      <c r="BH184" s="367"/>
      <c r="BI184" s="367"/>
      <c r="BJ184" s="367"/>
      <c r="BK184" s="367"/>
      <c r="BL184" s="367"/>
      <c r="BM184" s="367"/>
      <c r="BN184" s="367"/>
      <c r="BO184" s="367"/>
      <c r="BP184" s="367"/>
      <c r="BQ184" s="367"/>
      <c r="BR184" s="367"/>
      <c r="BS184" s="367"/>
      <c r="BT184" s="367"/>
      <c r="BU184" s="367"/>
      <c r="BV184" s="367"/>
      <c r="BW184" s="367"/>
      <c r="BX184" s="367"/>
      <c r="BY184" s="367"/>
      <c r="BZ184" s="367"/>
      <c r="CA184" s="367"/>
      <c r="CB184" s="367"/>
      <c r="CC184" s="367"/>
      <c r="CD184" s="367"/>
      <c r="CE184" s="367"/>
      <c r="CF184" s="367"/>
      <c r="CG184" s="367"/>
      <c r="CH184" s="367"/>
      <c r="CI184" s="367"/>
      <c r="CJ184" s="367"/>
      <c r="CK184" s="367"/>
      <c r="CL184" s="367"/>
      <c r="CM184" s="367"/>
      <c r="CN184" s="367"/>
      <c r="CO184" s="367"/>
      <c r="CP184" s="367"/>
      <c r="CQ184" s="367"/>
      <c r="CR184" s="367"/>
      <c r="CS184" s="367"/>
      <c r="CT184" s="367"/>
      <c r="CU184" s="367"/>
      <c r="CV184" s="367"/>
      <c r="CW184" s="367"/>
      <c r="CX184" s="367"/>
      <c r="CY184" s="367"/>
      <c r="CZ184" s="367"/>
      <c r="DA184" s="367"/>
      <c r="DB184" s="367"/>
      <c r="DC184" s="367"/>
      <c r="DD184" s="367"/>
      <c r="DE184" s="367"/>
      <c r="DF184" s="367"/>
      <c r="DG184" s="367"/>
      <c r="DH184" s="367"/>
      <c r="DI184" s="367"/>
      <c r="DJ184" s="367"/>
      <c r="DK184" s="367"/>
      <c r="DL184" s="367"/>
      <c r="DM184" s="367"/>
      <c r="DN184" s="367"/>
      <c r="DO184" s="367"/>
      <c r="DP184" s="367"/>
      <c r="DQ184" s="367"/>
      <c r="DR184" s="367"/>
      <c r="DS184" s="367"/>
      <c r="DT184" s="367"/>
      <c r="DU184" s="367"/>
      <c r="DV184" s="367"/>
      <c r="DW184" s="367"/>
      <c r="DX184" s="367"/>
      <c r="DY184" s="367"/>
      <c r="DZ184" s="367"/>
      <c r="EA184" s="367"/>
      <c r="EB184" s="367"/>
      <c r="EC184" s="367"/>
      <c r="ED184" s="367"/>
      <c r="EE184" s="367"/>
      <c r="EF184" s="367"/>
      <c r="EG184" s="367"/>
      <c r="EH184" s="367"/>
      <c r="EI184" s="367"/>
      <c r="EJ184" s="367"/>
      <c r="EK184" s="367"/>
      <c r="EL184" s="367"/>
      <c r="EM184" s="367"/>
      <c r="EN184" s="367"/>
      <c r="EO184" s="367"/>
      <c r="EP184" s="367"/>
      <c r="EQ184" s="367"/>
    </row>
    <row r="185" spans="1:147" x14ac:dyDescent="0.2">
      <c r="A185" s="192"/>
      <c r="B185" s="192"/>
      <c r="C185" s="192"/>
      <c r="D185" s="192"/>
      <c r="E185" s="192"/>
      <c r="F185" s="192"/>
      <c r="G185" s="192"/>
      <c r="H185" s="192"/>
      <c r="I185" s="192"/>
      <c r="J185" s="192"/>
      <c r="K185" s="192"/>
      <c r="L185" s="192"/>
      <c r="M185" s="192"/>
      <c r="N185" s="192"/>
      <c r="O185" s="192"/>
      <c r="P185" s="192"/>
      <c r="Q185" s="192"/>
      <c r="R185" s="192"/>
      <c r="S185" s="266"/>
      <c r="T185" s="265"/>
      <c r="U185" s="265"/>
      <c r="V185" s="265"/>
      <c r="W185" s="265"/>
      <c r="X185" s="265"/>
      <c r="Y185" s="265"/>
      <c r="Z185" s="265"/>
      <c r="AA185" s="265"/>
      <c r="AB185" s="265"/>
      <c r="AC185" s="265"/>
      <c r="AD185" s="265"/>
      <c r="AE185" s="265"/>
      <c r="AF185" s="265"/>
      <c r="AG185" s="265"/>
      <c r="AH185" s="265"/>
      <c r="AI185" s="192"/>
      <c r="AJ185" s="192"/>
      <c r="AK185" s="369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367"/>
      <c r="BG185" s="367"/>
      <c r="BH185" s="367"/>
      <c r="BI185" s="367"/>
      <c r="BJ185" s="367"/>
      <c r="BK185" s="367"/>
      <c r="BL185" s="367"/>
      <c r="BM185" s="367"/>
      <c r="BN185" s="367"/>
      <c r="BO185" s="367"/>
      <c r="BP185" s="367"/>
      <c r="BQ185" s="367"/>
      <c r="BR185" s="367"/>
      <c r="BS185" s="367"/>
      <c r="BT185" s="367"/>
      <c r="BU185" s="367"/>
      <c r="BV185" s="367"/>
      <c r="BW185" s="367"/>
      <c r="BX185" s="367"/>
      <c r="BY185" s="367"/>
      <c r="BZ185" s="367"/>
      <c r="CA185" s="367"/>
      <c r="CB185" s="367"/>
      <c r="CC185" s="367"/>
      <c r="CD185" s="367"/>
      <c r="CE185" s="367"/>
      <c r="CF185" s="367"/>
      <c r="CG185" s="367"/>
      <c r="CH185" s="367"/>
      <c r="CI185" s="367"/>
      <c r="CJ185" s="367"/>
      <c r="CK185" s="367"/>
      <c r="CL185" s="367"/>
      <c r="CM185" s="367"/>
      <c r="CN185" s="367"/>
      <c r="CO185" s="367"/>
      <c r="CP185" s="367"/>
      <c r="CQ185" s="367"/>
      <c r="CR185" s="367"/>
      <c r="CS185" s="367"/>
      <c r="CT185" s="367"/>
      <c r="CU185" s="367"/>
      <c r="CV185" s="367"/>
      <c r="CW185" s="367"/>
      <c r="CX185" s="367"/>
      <c r="CY185" s="367"/>
      <c r="CZ185" s="367"/>
      <c r="DA185" s="367"/>
      <c r="DB185" s="367"/>
      <c r="DC185" s="367"/>
      <c r="DD185" s="367"/>
      <c r="DE185" s="367"/>
      <c r="DF185" s="367"/>
      <c r="DG185" s="367"/>
      <c r="DH185" s="367"/>
      <c r="DI185" s="367"/>
      <c r="DJ185" s="367"/>
      <c r="DK185" s="367"/>
      <c r="DL185" s="367"/>
      <c r="DM185" s="367"/>
      <c r="DN185" s="367"/>
      <c r="DO185" s="367"/>
      <c r="DP185" s="367"/>
      <c r="DQ185" s="367"/>
      <c r="DR185" s="367"/>
      <c r="DS185" s="367"/>
      <c r="DT185" s="367"/>
      <c r="DU185" s="367"/>
      <c r="DV185" s="367"/>
      <c r="DW185" s="367"/>
      <c r="DX185" s="367"/>
      <c r="DY185" s="367"/>
      <c r="DZ185" s="367"/>
      <c r="EA185" s="367"/>
      <c r="EB185" s="367"/>
      <c r="EC185" s="367"/>
      <c r="ED185" s="367"/>
      <c r="EE185" s="367"/>
      <c r="EF185" s="367"/>
      <c r="EG185" s="367"/>
      <c r="EH185" s="367"/>
      <c r="EI185" s="367"/>
      <c r="EJ185" s="367"/>
      <c r="EK185" s="367"/>
      <c r="EL185" s="367"/>
      <c r="EM185" s="367"/>
      <c r="EN185" s="367"/>
      <c r="EO185" s="367"/>
      <c r="EP185" s="367"/>
      <c r="EQ185" s="367"/>
    </row>
    <row r="186" spans="1:147" x14ac:dyDescent="0.2">
      <c r="A186" s="192"/>
      <c r="B186" s="192"/>
      <c r="C186" s="192"/>
      <c r="D186" s="192"/>
      <c r="E186" s="192"/>
      <c r="F186" s="192"/>
      <c r="G186" s="192"/>
      <c r="H186" s="192"/>
      <c r="I186" s="192"/>
      <c r="J186" s="192"/>
      <c r="K186" s="192"/>
      <c r="L186" s="192"/>
      <c r="M186" s="192"/>
      <c r="N186" s="192"/>
      <c r="O186" s="192"/>
      <c r="P186" s="192"/>
      <c r="Q186" s="192"/>
      <c r="R186" s="192"/>
      <c r="S186" s="266"/>
      <c r="T186" s="265"/>
      <c r="U186" s="265"/>
      <c r="V186" s="265"/>
      <c r="W186" s="265"/>
      <c r="X186" s="265"/>
      <c r="Y186" s="265"/>
      <c r="Z186" s="265"/>
      <c r="AA186" s="265"/>
      <c r="AB186" s="265"/>
      <c r="AC186" s="265"/>
      <c r="AD186" s="265"/>
      <c r="AE186" s="265"/>
      <c r="AF186" s="265"/>
      <c r="AG186" s="265"/>
      <c r="AH186" s="265"/>
      <c r="AI186" s="192"/>
      <c r="AJ186" s="192"/>
      <c r="AK186" s="369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7"/>
      <c r="AW186" s="367"/>
      <c r="AX186" s="367"/>
      <c r="AY186" s="367"/>
      <c r="AZ186" s="367"/>
      <c r="BA186" s="367"/>
      <c r="BB186" s="367"/>
      <c r="BC186" s="367"/>
      <c r="BD186" s="367"/>
      <c r="BE186" s="367"/>
      <c r="BF186" s="367"/>
      <c r="BG186" s="367"/>
      <c r="BH186" s="367"/>
      <c r="BI186" s="367"/>
      <c r="BJ186" s="367"/>
      <c r="BK186" s="367"/>
      <c r="BL186" s="367"/>
      <c r="BM186" s="367"/>
      <c r="BN186" s="367"/>
      <c r="BO186" s="367"/>
      <c r="BP186" s="367"/>
      <c r="BQ186" s="367"/>
      <c r="BR186" s="367"/>
      <c r="BS186" s="367"/>
      <c r="BT186" s="367"/>
      <c r="BU186" s="367"/>
      <c r="BV186" s="367"/>
      <c r="BW186" s="367"/>
      <c r="BX186" s="367"/>
      <c r="BY186" s="367"/>
      <c r="BZ186" s="367"/>
      <c r="CA186" s="367"/>
      <c r="CB186" s="367"/>
      <c r="CC186" s="367"/>
      <c r="CD186" s="367"/>
      <c r="CE186" s="367"/>
      <c r="CF186" s="367"/>
      <c r="CG186" s="367"/>
      <c r="CH186" s="367"/>
      <c r="CI186" s="367"/>
      <c r="CJ186" s="367"/>
      <c r="CK186" s="367"/>
      <c r="CL186" s="367"/>
      <c r="CM186" s="367"/>
      <c r="CN186" s="367"/>
      <c r="CO186" s="367"/>
      <c r="CP186" s="367"/>
      <c r="CQ186" s="367"/>
      <c r="CR186" s="367"/>
      <c r="CS186" s="367"/>
      <c r="CT186" s="367"/>
      <c r="CU186" s="367"/>
      <c r="CV186" s="367"/>
      <c r="CW186" s="367"/>
      <c r="CX186" s="367"/>
      <c r="CY186" s="367"/>
      <c r="CZ186" s="367"/>
      <c r="DA186" s="367"/>
      <c r="DB186" s="367"/>
      <c r="DC186" s="367"/>
      <c r="DD186" s="367"/>
      <c r="DE186" s="367"/>
      <c r="DF186" s="367"/>
      <c r="DG186" s="367"/>
      <c r="DH186" s="367"/>
      <c r="DI186" s="367"/>
      <c r="DJ186" s="367"/>
      <c r="DK186" s="367"/>
      <c r="DL186" s="367"/>
      <c r="DM186" s="367"/>
      <c r="DN186" s="367"/>
      <c r="DO186" s="367"/>
      <c r="DP186" s="367"/>
      <c r="DQ186" s="367"/>
      <c r="DR186" s="367"/>
      <c r="DS186" s="367"/>
      <c r="DT186" s="367"/>
      <c r="DU186" s="367"/>
      <c r="DV186" s="367"/>
      <c r="DW186" s="367"/>
      <c r="DX186" s="367"/>
      <c r="DY186" s="367"/>
      <c r="DZ186" s="367"/>
      <c r="EA186" s="367"/>
      <c r="EB186" s="367"/>
      <c r="EC186" s="367"/>
      <c r="ED186" s="367"/>
      <c r="EE186" s="367"/>
      <c r="EF186" s="367"/>
      <c r="EG186" s="367"/>
      <c r="EH186" s="367"/>
      <c r="EI186" s="367"/>
      <c r="EJ186" s="367"/>
      <c r="EK186" s="367"/>
      <c r="EL186" s="367"/>
      <c r="EM186" s="367"/>
      <c r="EN186" s="367"/>
      <c r="EO186" s="367"/>
      <c r="EP186" s="367"/>
      <c r="EQ186" s="367"/>
    </row>
    <row r="187" spans="1:147" x14ac:dyDescent="0.2">
      <c r="A187" s="192"/>
      <c r="B187" s="192"/>
      <c r="C187" s="192"/>
      <c r="D187" s="192"/>
      <c r="E187" s="192"/>
      <c r="F187" s="192"/>
      <c r="G187" s="192"/>
      <c r="H187" s="192"/>
      <c r="I187" s="192"/>
      <c r="J187" s="192"/>
      <c r="K187" s="192"/>
      <c r="L187" s="192"/>
      <c r="M187" s="192"/>
      <c r="N187" s="192"/>
      <c r="O187" s="192"/>
      <c r="P187" s="192"/>
      <c r="Q187" s="192"/>
      <c r="R187" s="192"/>
      <c r="S187" s="266"/>
      <c r="T187" s="265"/>
      <c r="U187" s="265"/>
      <c r="V187" s="265"/>
      <c r="W187" s="265"/>
      <c r="X187" s="265"/>
      <c r="Y187" s="265"/>
      <c r="Z187" s="265"/>
      <c r="AA187" s="265"/>
      <c r="AB187" s="265"/>
      <c r="AC187" s="265"/>
      <c r="AD187" s="265"/>
      <c r="AE187" s="265"/>
      <c r="AF187" s="265"/>
      <c r="AG187" s="265"/>
      <c r="AH187" s="265"/>
      <c r="AI187" s="192"/>
      <c r="AJ187" s="192"/>
      <c r="AK187" s="369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7"/>
      <c r="AW187" s="367"/>
      <c r="AX187" s="367"/>
      <c r="AY187" s="367"/>
      <c r="AZ187" s="367"/>
      <c r="BA187" s="367"/>
      <c r="BB187" s="367"/>
      <c r="BC187" s="367"/>
      <c r="BD187" s="367"/>
      <c r="BE187" s="367"/>
      <c r="BF187" s="367"/>
      <c r="BG187" s="367"/>
      <c r="BH187" s="367"/>
      <c r="BI187" s="367"/>
      <c r="BJ187" s="367"/>
      <c r="BK187" s="367"/>
      <c r="BL187" s="367"/>
      <c r="BM187" s="367"/>
      <c r="BN187" s="367"/>
      <c r="BO187" s="367"/>
      <c r="BP187" s="367"/>
      <c r="BQ187" s="367"/>
      <c r="BR187" s="367"/>
      <c r="BS187" s="367"/>
      <c r="BT187" s="367"/>
      <c r="BU187" s="367"/>
      <c r="BV187" s="367"/>
      <c r="BW187" s="367"/>
      <c r="BX187" s="367"/>
      <c r="BY187" s="367"/>
      <c r="BZ187" s="367"/>
      <c r="CA187" s="367"/>
      <c r="CB187" s="367"/>
      <c r="CC187" s="367"/>
      <c r="CD187" s="367"/>
      <c r="CE187" s="367"/>
      <c r="CF187" s="367"/>
      <c r="CG187" s="367"/>
      <c r="CH187" s="367"/>
      <c r="CI187" s="367"/>
      <c r="CJ187" s="367"/>
      <c r="CK187" s="367"/>
      <c r="CL187" s="367"/>
      <c r="CM187" s="367"/>
      <c r="CN187" s="367"/>
      <c r="CO187" s="367"/>
      <c r="CP187" s="367"/>
      <c r="CQ187" s="367"/>
      <c r="CR187" s="367"/>
      <c r="CS187" s="367"/>
      <c r="CT187" s="367"/>
      <c r="CU187" s="367"/>
      <c r="CV187" s="367"/>
      <c r="CW187" s="367"/>
      <c r="CX187" s="367"/>
      <c r="CY187" s="367"/>
      <c r="CZ187" s="367"/>
      <c r="DA187" s="367"/>
      <c r="DB187" s="367"/>
      <c r="DC187" s="367"/>
      <c r="DD187" s="367"/>
      <c r="DE187" s="367"/>
      <c r="DF187" s="367"/>
      <c r="DG187" s="367"/>
      <c r="DH187" s="367"/>
      <c r="DI187" s="367"/>
      <c r="DJ187" s="367"/>
      <c r="DK187" s="367"/>
      <c r="DL187" s="367"/>
      <c r="DM187" s="367"/>
      <c r="DN187" s="367"/>
      <c r="DO187" s="367"/>
      <c r="DP187" s="367"/>
      <c r="DQ187" s="367"/>
      <c r="DR187" s="367"/>
      <c r="DS187" s="367"/>
      <c r="DT187" s="367"/>
      <c r="DU187" s="367"/>
      <c r="DV187" s="367"/>
      <c r="DW187" s="367"/>
      <c r="DX187" s="367"/>
      <c r="DY187" s="367"/>
      <c r="DZ187" s="367"/>
      <c r="EA187" s="367"/>
      <c r="EB187" s="367"/>
      <c r="EC187" s="367"/>
      <c r="ED187" s="367"/>
      <c r="EE187" s="367"/>
      <c r="EF187" s="367"/>
      <c r="EG187" s="367"/>
      <c r="EH187" s="367"/>
      <c r="EI187" s="367"/>
      <c r="EJ187" s="367"/>
      <c r="EK187" s="367"/>
      <c r="EL187" s="367"/>
      <c r="EM187" s="367"/>
      <c r="EN187" s="367"/>
      <c r="EO187" s="367"/>
      <c r="EP187" s="367"/>
      <c r="EQ187" s="367"/>
    </row>
    <row r="188" spans="1:147" x14ac:dyDescent="0.2">
      <c r="A188" s="192"/>
      <c r="B188" s="192"/>
      <c r="C188" s="192"/>
      <c r="D188" s="192"/>
      <c r="E188" s="192"/>
      <c r="F188" s="192"/>
      <c r="G188" s="192"/>
      <c r="H188" s="192"/>
      <c r="I188" s="192"/>
      <c r="J188" s="192"/>
      <c r="K188" s="192"/>
      <c r="L188" s="192"/>
      <c r="M188" s="192"/>
      <c r="N188" s="192"/>
      <c r="O188" s="192"/>
      <c r="P188" s="192"/>
      <c r="Q188" s="192"/>
      <c r="R188" s="192"/>
      <c r="S188" s="266"/>
      <c r="T188" s="265"/>
      <c r="U188" s="265"/>
      <c r="V188" s="265"/>
      <c r="W188" s="265"/>
      <c r="X188" s="265"/>
      <c r="Y188" s="265"/>
      <c r="Z188" s="265"/>
      <c r="AA188" s="265"/>
      <c r="AB188" s="265"/>
      <c r="AC188" s="265"/>
      <c r="AD188" s="265"/>
      <c r="AE188" s="265"/>
      <c r="AF188" s="265"/>
      <c r="AG188" s="265"/>
      <c r="AH188" s="265"/>
      <c r="AI188" s="192"/>
      <c r="AJ188" s="192"/>
      <c r="AK188" s="369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367"/>
      <c r="BG188" s="367"/>
      <c r="BH188" s="367"/>
      <c r="BI188" s="367"/>
      <c r="BJ188" s="367"/>
      <c r="BK188" s="367"/>
      <c r="BL188" s="367"/>
      <c r="BM188" s="367"/>
      <c r="BN188" s="367"/>
      <c r="BO188" s="367"/>
      <c r="BP188" s="367"/>
      <c r="BQ188" s="367"/>
      <c r="BR188" s="367"/>
      <c r="BS188" s="367"/>
      <c r="BT188" s="367"/>
      <c r="BU188" s="367"/>
      <c r="BV188" s="367"/>
      <c r="BW188" s="367"/>
      <c r="BX188" s="367"/>
      <c r="BY188" s="367"/>
      <c r="BZ188" s="367"/>
      <c r="CA188" s="367"/>
      <c r="CB188" s="367"/>
      <c r="CC188" s="367"/>
      <c r="CD188" s="367"/>
      <c r="CE188" s="367"/>
      <c r="CF188" s="367"/>
      <c r="CG188" s="367"/>
      <c r="CH188" s="367"/>
      <c r="CI188" s="367"/>
      <c r="CJ188" s="367"/>
      <c r="CK188" s="367"/>
      <c r="CL188" s="367"/>
      <c r="CM188" s="367"/>
      <c r="CN188" s="367"/>
      <c r="CO188" s="367"/>
      <c r="CP188" s="367"/>
      <c r="CQ188" s="367"/>
      <c r="CR188" s="367"/>
      <c r="CS188" s="367"/>
      <c r="CT188" s="367"/>
      <c r="CU188" s="367"/>
      <c r="CV188" s="367"/>
      <c r="CW188" s="367"/>
      <c r="CX188" s="367"/>
      <c r="CY188" s="367"/>
      <c r="CZ188" s="367"/>
      <c r="DA188" s="367"/>
      <c r="DB188" s="367"/>
      <c r="DC188" s="367"/>
      <c r="DD188" s="367"/>
      <c r="DE188" s="367"/>
      <c r="DF188" s="367"/>
      <c r="DG188" s="367"/>
      <c r="DH188" s="367"/>
      <c r="DI188" s="367"/>
      <c r="DJ188" s="367"/>
      <c r="DK188" s="367"/>
      <c r="DL188" s="367"/>
      <c r="DM188" s="367"/>
      <c r="DN188" s="367"/>
      <c r="DO188" s="367"/>
      <c r="DP188" s="367"/>
      <c r="DQ188" s="367"/>
      <c r="DR188" s="367"/>
      <c r="DS188" s="367"/>
      <c r="DT188" s="367"/>
      <c r="DU188" s="367"/>
      <c r="DV188" s="367"/>
      <c r="DW188" s="367"/>
      <c r="DX188" s="367"/>
      <c r="DY188" s="367"/>
      <c r="DZ188" s="367"/>
      <c r="EA188" s="367"/>
      <c r="EB188" s="367"/>
      <c r="EC188" s="367"/>
      <c r="ED188" s="367"/>
      <c r="EE188" s="367"/>
      <c r="EF188" s="367"/>
      <c r="EG188" s="367"/>
      <c r="EH188" s="367"/>
      <c r="EI188" s="367"/>
      <c r="EJ188" s="367"/>
      <c r="EK188" s="367"/>
      <c r="EL188" s="367"/>
      <c r="EM188" s="367"/>
      <c r="EN188" s="367"/>
      <c r="EO188" s="367"/>
      <c r="EP188" s="367"/>
      <c r="EQ188" s="367"/>
    </row>
    <row r="189" spans="1:147" x14ac:dyDescent="0.2">
      <c r="A189" s="192"/>
      <c r="B189" s="192"/>
      <c r="C189" s="192"/>
      <c r="D189" s="192"/>
      <c r="E189" s="192"/>
      <c r="F189" s="192"/>
      <c r="G189" s="192"/>
      <c r="H189" s="192"/>
      <c r="I189" s="192"/>
      <c r="J189" s="192"/>
      <c r="K189" s="192"/>
      <c r="L189" s="192"/>
      <c r="M189" s="192"/>
      <c r="N189" s="192"/>
      <c r="O189" s="192"/>
      <c r="P189" s="192"/>
      <c r="Q189" s="192"/>
      <c r="R189" s="192"/>
      <c r="S189" s="266"/>
      <c r="T189" s="265"/>
      <c r="U189" s="265"/>
      <c r="V189" s="265"/>
      <c r="W189" s="265"/>
      <c r="X189" s="265"/>
      <c r="Y189" s="265"/>
      <c r="Z189" s="265"/>
      <c r="AA189" s="265"/>
      <c r="AB189" s="265"/>
      <c r="AC189" s="265"/>
      <c r="AD189" s="265"/>
      <c r="AE189" s="265"/>
      <c r="AF189" s="265"/>
      <c r="AG189" s="265"/>
      <c r="AH189" s="265"/>
      <c r="AI189" s="192"/>
      <c r="AJ189" s="192"/>
      <c r="AK189" s="369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367"/>
      <c r="BG189" s="367"/>
      <c r="BH189" s="367"/>
      <c r="BI189" s="367"/>
      <c r="BJ189" s="367"/>
      <c r="BK189" s="367"/>
      <c r="BL189" s="367"/>
      <c r="BM189" s="367"/>
      <c r="BN189" s="367"/>
      <c r="BO189" s="367"/>
      <c r="BP189" s="367"/>
      <c r="BQ189" s="367"/>
      <c r="BR189" s="367"/>
      <c r="BS189" s="367"/>
      <c r="BT189" s="367"/>
      <c r="BU189" s="367"/>
      <c r="BV189" s="367"/>
      <c r="BW189" s="367"/>
      <c r="BX189" s="367"/>
      <c r="BY189" s="367"/>
      <c r="BZ189" s="367"/>
      <c r="CA189" s="367"/>
      <c r="CB189" s="367"/>
      <c r="CC189" s="367"/>
      <c r="CD189" s="367"/>
      <c r="CE189" s="367"/>
      <c r="CF189" s="367"/>
      <c r="CG189" s="367"/>
      <c r="CH189" s="367"/>
      <c r="CI189" s="367"/>
      <c r="CJ189" s="367"/>
      <c r="CK189" s="367"/>
      <c r="CL189" s="367"/>
      <c r="CM189" s="367"/>
      <c r="CN189" s="367"/>
      <c r="CO189" s="367"/>
      <c r="CP189" s="367"/>
      <c r="CQ189" s="367"/>
      <c r="CR189" s="367"/>
      <c r="CS189" s="367"/>
      <c r="CT189" s="367"/>
      <c r="CU189" s="367"/>
      <c r="CV189" s="367"/>
      <c r="CW189" s="367"/>
      <c r="CX189" s="367"/>
      <c r="CY189" s="367"/>
      <c r="CZ189" s="367"/>
      <c r="DA189" s="367"/>
      <c r="DB189" s="367"/>
      <c r="DC189" s="367"/>
      <c r="DD189" s="367"/>
      <c r="DE189" s="367"/>
      <c r="DF189" s="367"/>
      <c r="DG189" s="367"/>
      <c r="DH189" s="367"/>
      <c r="DI189" s="367"/>
      <c r="DJ189" s="367"/>
      <c r="DK189" s="367"/>
      <c r="DL189" s="367"/>
      <c r="DM189" s="367"/>
      <c r="DN189" s="367"/>
      <c r="DO189" s="367"/>
      <c r="DP189" s="367"/>
      <c r="DQ189" s="367"/>
      <c r="DR189" s="367"/>
      <c r="DS189" s="367"/>
      <c r="DT189" s="367"/>
      <c r="DU189" s="367"/>
      <c r="DV189" s="367"/>
      <c r="DW189" s="367"/>
      <c r="DX189" s="367"/>
      <c r="DY189" s="367"/>
      <c r="DZ189" s="367"/>
      <c r="EA189" s="367"/>
      <c r="EB189" s="367"/>
      <c r="EC189" s="367"/>
      <c r="ED189" s="367"/>
      <c r="EE189" s="367"/>
      <c r="EF189" s="367"/>
      <c r="EG189" s="367"/>
      <c r="EH189" s="367"/>
      <c r="EI189" s="367"/>
      <c r="EJ189" s="367"/>
      <c r="EK189" s="367"/>
      <c r="EL189" s="367"/>
      <c r="EM189" s="367"/>
      <c r="EN189" s="367"/>
      <c r="EO189" s="367"/>
      <c r="EP189" s="367"/>
      <c r="EQ189" s="367"/>
    </row>
    <row r="190" spans="1:147" x14ac:dyDescent="0.2">
      <c r="A190" s="192"/>
      <c r="B190" s="192"/>
      <c r="C190" s="192"/>
      <c r="D190" s="192"/>
      <c r="E190" s="192"/>
      <c r="F190" s="192"/>
      <c r="G190" s="192"/>
      <c r="H190" s="192"/>
      <c r="I190" s="192"/>
      <c r="J190" s="192"/>
      <c r="K190" s="192"/>
      <c r="L190" s="192"/>
      <c r="M190" s="192"/>
      <c r="N190" s="192"/>
      <c r="O190" s="192"/>
      <c r="P190" s="192"/>
      <c r="Q190" s="192"/>
      <c r="R190" s="192"/>
      <c r="S190" s="266"/>
      <c r="T190" s="265"/>
      <c r="U190" s="265"/>
      <c r="V190" s="265"/>
      <c r="W190" s="265"/>
      <c r="X190" s="265"/>
      <c r="Y190" s="265"/>
      <c r="Z190" s="265"/>
      <c r="AA190" s="265"/>
      <c r="AB190" s="265"/>
      <c r="AC190" s="265"/>
      <c r="AD190" s="265"/>
      <c r="AE190" s="265"/>
      <c r="AF190" s="265"/>
      <c r="AG190" s="265"/>
      <c r="AH190" s="265"/>
      <c r="AI190" s="192"/>
      <c r="AJ190" s="192"/>
      <c r="AK190" s="369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7"/>
      <c r="AW190" s="367"/>
      <c r="AX190" s="367"/>
      <c r="AY190" s="367"/>
      <c r="AZ190" s="367"/>
      <c r="BA190" s="367"/>
      <c r="BB190" s="367"/>
      <c r="BC190" s="367"/>
      <c r="BD190" s="367"/>
      <c r="BE190" s="367"/>
      <c r="BF190" s="367"/>
      <c r="BG190" s="367"/>
      <c r="BH190" s="367"/>
      <c r="BI190" s="367"/>
      <c r="BJ190" s="367"/>
      <c r="BK190" s="367"/>
      <c r="BL190" s="367"/>
      <c r="BM190" s="367"/>
      <c r="BN190" s="367"/>
      <c r="BO190" s="367"/>
      <c r="BP190" s="367"/>
      <c r="BQ190" s="367"/>
      <c r="BR190" s="367"/>
      <c r="BS190" s="367"/>
      <c r="BT190" s="367"/>
      <c r="BU190" s="367"/>
      <c r="BV190" s="367"/>
      <c r="BW190" s="367"/>
      <c r="BX190" s="367"/>
      <c r="BY190" s="367"/>
      <c r="BZ190" s="367"/>
      <c r="CA190" s="367"/>
      <c r="CB190" s="367"/>
      <c r="CC190" s="367"/>
      <c r="CD190" s="367"/>
      <c r="CE190" s="367"/>
      <c r="CF190" s="367"/>
      <c r="CG190" s="367"/>
      <c r="CH190" s="367"/>
      <c r="CI190" s="367"/>
      <c r="CJ190" s="367"/>
      <c r="CK190" s="367"/>
      <c r="CL190" s="367"/>
      <c r="CM190" s="367"/>
      <c r="CN190" s="367"/>
      <c r="CO190" s="367"/>
      <c r="CP190" s="367"/>
      <c r="CQ190" s="367"/>
      <c r="CR190" s="367"/>
      <c r="CS190" s="367"/>
      <c r="CT190" s="367"/>
      <c r="CU190" s="367"/>
      <c r="CV190" s="367"/>
      <c r="CW190" s="367"/>
      <c r="CX190" s="367"/>
      <c r="CY190" s="367"/>
      <c r="CZ190" s="367"/>
      <c r="DA190" s="367"/>
      <c r="DB190" s="367"/>
      <c r="DC190" s="367"/>
      <c r="DD190" s="367"/>
      <c r="DE190" s="367"/>
      <c r="DF190" s="367"/>
      <c r="DG190" s="367"/>
      <c r="DH190" s="367"/>
      <c r="DI190" s="367"/>
      <c r="DJ190" s="367"/>
      <c r="DK190" s="367"/>
      <c r="DL190" s="367"/>
      <c r="DM190" s="367"/>
      <c r="DN190" s="367"/>
      <c r="DO190" s="367"/>
      <c r="DP190" s="367"/>
      <c r="DQ190" s="367"/>
      <c r="DR190" s="367"/>
      <c r="DS190" s="367"/>
      <c r="DT190" s="367"/>
      <c r="DU190" s="367"/>
      <c r="DV190" s="367"/>
      <c r="DW190" s="367"/>
      <c r="DX190" s="367"/>
      <c r="DY190" s="367"/>
      <c r="DZ190" s="367"/>
      <c r="EA190" s="367"/>
      <c r="EB190" s="367"/>
      <c r="EC190" s="367"/>
      <c r="ED190" s="367"/>
      <c r="EE190" s="367"/>
      <c r="EF190" s="367"/>
      <c r="EG190" s="367"/>
      <c r="EH190" s="367"/>
      <c r="EI190" s="367"/>
      <c r="EJ190" s="367"/>
      <c r="EK190" s="367"/>
      <c r="EL190" s="367"/>
      <c r="EM190" s="367"/>
      <c r="EN190" s="367"/>
      <c r="EO190" s="367"/>
      <c r="EP190" s="367"/>
      <c r="EQ190" s="367"/>
    </row>
    <row r="191" spans="1:147" x14ac:dyDescent="0.2">
      <c r="A191" s="192"/>
      <c r="B191" s="192"/>
      <c r="C191" s="192"/>
      <c r="D191" s="192"/>
      <c r="E191" s="192"/>
      <c r="F191" s="192"/>
      <c r="G191" s="192"/>
      <c r="H191" s="192"/>
      <c r="I191" s="192"/>
      <c r="J191" s="192"/>
      <c r="K191" s="192"/>
      <c r="L191" s="192"/>
      <c r="M191" s="192"/>
      <c r="N191" s="192"/>
      <c r="O191" s="192"/>
      <c r="P191" s="192"/>
      <c r="Q191" s="192"/>
      <c r="R191" s="192"/>
      <c r="S191" s="266"/>
      <c r="T191" s="265"/>
      <c r="U191" s="265"/>
      <c r="V191" s="265"/>
      <c r="W191" s="265"/>
      <c r="X191" s="265"/>
      <c r="Y191" s="265"/>
      <c r="Z191" s="265"/>
      <c r="AA191" s="265"/>
      <c r="AB191" s="265"/>
      <c r="AC191" s="265"/>
      <c r="AD191" s="265"/>
      <c r="AE191" s="265"/>
      <c r="AF191" s="265"/>
      <c r="AG191" s="265"/>
      <c r="AH191" s="265"/>
      <c r="AI191" s="192"/>
      <c r="AJ191" s="192"/>
      <c r="AK191" s="369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7"/>
      <c r="AW191" s="367"/>
      <c r="AX191" s="367"/>
      <c r="AY191" s="367"/>
      <c r="AZ191" s="367"/>
      <c r="BA191" s="367"/>
      <c r="BB191" s="367"/>
      <c r="BC191" s="367"/>
      <c r="BD191" s="367"/>
      <c r="BE191" s="367"/>
      <c r="BF191" s="367"/>
      <c r="BG191" s="367"/>
      <c r="BH191" s="367"/>
      <c r="BI191" s="367"/>
      <c r="BJ191" s="367"/>
      <c r="BK191" s="367"/>
      <c r="BL191" s="367"/>
      <c r="BM191" s="367"/>
      <c r="BN191" s="367"/>
      <c r="BO191" s="367"/>
      <c r="BP191" s="367"/>
      <c r="BQ191" s="367"/>
      <c r="BR191" s="367"/>
      <c r="BS191" s="367"/>
      <c r="BT191" s="367"/>
      <c r="BU191" s="367"/>
      <c r="BV191" s="367"/>
      <c r="BW191" s="367"/>
      <c r="BX191" s="367"/>
      <c r="BY191" s="367"/>
      <c r="BZ191" s="367"/>
      <c r="CA191" s="367"/>
      <c r="CB191" s="367"/>
      <c r="CC191" s="367"/>
      <c r="CD191" s="367"/>
      <c r="CE191" s="367"/>
      <c r="CF191" s="367"/>
      <c r="CG191" s="367"/>
      <c r="CH191" s="367"/>
      <c r="CI191" s="367"/>
      <c r="CJ191" s="367"/>
      <c r="CK191" s="367"/>
      <c r="CL191" s="367"/>
      <c r="CM191" s="367"/>
      <c r="CN191" s="367"/>
      <c r="CO191" s="367"/>
      <c r="CP191" s="367"/>
      <c r="CQ191" s="367"/>
      <c r="CR191" s="367"/>
      <c r="CS191" s="367"/>
      <c r="CT191" s="367"/>
      <c r="CU191" s="367"/>
      <c r="CV191" s="367"/>
      <c r="CW191" s="367"/>
      <c r="CX191" s="367"/>
      <c r="CY191" s="367"/>
      <c r="CZ191" s="367"/>
      <c r="DA191" s="367"/>
      <c r="DB191" s="367"/>
      <c r="DC191" s="367"/>
      <c r="DD191" s="367"/>
      <c r="DE191" s="367"/>
      <c r="DF191" s="367"/>
      <c r="DG191" s="367"/>
      <c r="DH191" s="367"/>
      <c r="DI191" s="367"/>
      <c r="DJ191" s="367"/>
      <c r="DK191" s="367"/>
      <c r="DL191" s="367"/>
      <c r="DM191" s="367"/>
      <c r="DN191" s="367"/>
      <c r="DO191" s="367"/>
      <c r="DP191" s="367"/>
      <c r="DQ191" s="367"/>
      <c r="DR191" s="367"/>
      <c r="DS191" s="367"/>
      <c r="DT191" s="367"/>
      <c r="DU191" s="367"/>
      <c r="DV191" s="367"/>
      <c r="DW191" s="367"/>
      <c r="DX191" s="367"/>
      <c r="DY191" s="367"/>
      <c r="DZ191" s="367"/>
      <c r="EA191" s="367"/>
      <c r="EB191" s="367"/>
      <c r="EC191" s="367"/>
      <c r="ED191" s="367"/>
      <c r="EE191" s="367"/>
      <c r="EF191" s="367"/>
      <c r="EG191" s="367"/>
      <c r="EH191" s="367"/>
      <c r="EI191" s="367"/>
      <c r="EJ191" s="367"/>
      <c r="EK191" s="367"/>
      <c r="EL191" s="367"/>
      <c r="EM191" s="367"/>
      <c r="EN191" s="367"/>
      <c r="EO191" s="367"/>
      <c r="EP191" s="367"/>
      <c r="EQ191" s="367"/>
    </row>
    <row r="192" spans="1:147" x14ac:dyDescent="0.2">
      <c r="A192" s="192"/>
      <c r="B192" s="192"/>
      <c r="C192" s="192"/>
      <c r="D192" s="192"/>
      <c r="E192" s="192"/>
      <c r="F192" s="192"/>
      <c r="G192" s="192"/>
      <c r="H192" s="192"/>
      <c r="I192" s="192"/>
      <c r="J192" s="192"/>
      <c r="K192" s="192"/>
      <c r="L192" s="192"/>
      <c r="M192" s="192"/>
      <c r="N192" s="192"/>
      <c r="O192" s="192"/>
      <c r="P192" s="192"/>
      <c r="Q192" s="192"/>
      <c r="R192" s="192"/>
      <c r="S192" s="266"/>
      <c r="T192" s="265"/>
      <c r="U192" s="265"/>
      <c r="V192" s="265"/>
      <c r="W192" s="265"/>
      <c r="X192" s="265"/>
      <c r="Y192" s="265"/>
      <c r="Z192" s="265"/>
      <c r="AA192" s="265"/>
      <c r="AB192" s="265"/>
      <c r="AC192" s="265"/>
      <c r="AD192" s="265"/>
      <c r="AE192" s="265"/>
      <c r="AF192" s="265"/>
      <c r="AG192" s="265"/>
      <c r="AH192" s="265"/>
      <c r="AI192" s="192"/>
      <c r="AJ192" s="192"/>
      <c r="AK192" s="369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7"/>
      <c r="AW192" s="367"/>
      <c r="AX192" s="367"/>
      <c r="AY192" s="367"/>
      <c r="AZ192" s="367"/>
      <c r="BA192" s="367"/>
      <c r="BB192" s="367"/>
      <c r="BC192" s="367"/>
      <c r="BD192" s="367"/>
      <c r="BE192" s="367"/>
      <c r="BF192" s="367"/>
      <c r="BG192" s="367"/>
      <c r="BH192" s="367"/>
      <c r="BI192" s="367"/>
      <c r="BJ192" s="367"/>
      <c r="BK192" s="367"/>
      <c r="BL192" s="367"/>
      <c r="BM192" s="367"/>
      <c r="BN192" s="367"/>
      <c r="BO192" s="367"/>
      <c r="BP192" s="367"/>
      <c r="BQ192" s="367"/>
      <c r="BR192" s="367"/>
      <c r="BS192" s="367"/>
      <c r="BT192" s="367"/>
      <c r="BU192" s="367"/>
      <c r="BV192" s="367"/>
      <c r="BW192" s="367"/>
      <c r="BX192" s="367"/>
      <c r="BY192" s="367"/>
      <c r="BZ192" s="367"/>
      <c r="CA192" s="367"/>
      <c r="CB192" s="367"/>
      <c r="CC192" s="367"/>
      <c r="CD192" s="367"/>
      <c r="CE192" s="367"/>
      <c r="CF192" s="367"/>
      <c r="CG192" s="367"/>
      <c r="CH192" s="367"/>
      <c r="CI192" s="367"/>
      <c r="CJ192" s="367"/>
      <c r="CK192" s="367"/>
      <c r="CL192" s="367"/>
      <c r="CM192" s="367"/>
      <c r="CN192" s="367"/>
      <c r="CO192" s="367"/>
      <c r="CP192" s="367"/>
      <c r="CQ192" s="367"/>
      <c r="CR192" s="367"/>
      <c r="CS192" s="367"/>
      <c r="CT192" s="367"/>
      <c r="CU192" s="367"/>
      <c r="CV192" s="367"/>
      <c r="CW192" s="367"/>
      <c r="CX192" s="367"/>
      <c r="CY192" s="367"/>
      <c r="CZ192" s="367"/>
      <c r="DA192" s="367"/>
      <c r="DB192" s="367"/>
      <c r="DC192" s="367"/>
      <c r="DD192" s="367"/>
      <c r="DE192" s="367"/>
      <c r="DF192" s="367"/>
      <c r="DG192" s="367"/>
      <c r="DH192" s="367"/>
      <c r="DI192" s="367"/>
      <c r="DJ192" s="367"/>
      <c r="DK192" s="367"/>
      <c r="DL192" s="367"/>
      <c r="DM192" s="367"/>
      <c r="DN192" s="367"/>
      <c r="DO192" s="367"/>
      <c r="DP192" s="367"/>
      <c r="DQ192" s="367"/>
      <c r="DR192" s="367"/>
      <c r="DS192" s="367"/>
      <c r="DT192" s="367"/>
      <c r="DU192" s="367"/>
      <c r="DV192" s="367"/>
      <c r="DW192" s="367"/>
      <c r="DX192" s="367"/>
      <c r="DY192" s="367"/>
      <c r="DZ192" s="367"/>
      <c r="EA192" s="367"/>
      <c r="EB192" s="367"/>
      <c r="EC192" s="367"/>
      <c r="ED192" s="367"/>
      <c r="EE192" s="367"/>
      <c r="EF192" s="367"/>
      <c r="EG192" s="367"/>
      <c r="EH192" s="367"/>
      <c r="EI192" s="367"/>
      <c r="EJ192" s="367"/>
      <c r="EK192" s="367"/>
      <c r="EL192" s="367"/>
      <c r="EM192" s="367"/>
      <c r="EN192" s="367"/>
      <c r="EO192" s="367"/>
      <c r="EP192" s="367"/>
      <c r="EQ192" s="367"/>
    </row>
    <row r="193" spans="1:147" x14ac:dyDescent="0.2">
      <c r="A193" s="192"/>
      <c r="B193" s="192"/>
      <c r="C193" s="192"/>
      <c r="D193" s="192"/>
      <c r="E193" s="192"/>
      <c r="F193" s="192"/>
      <c r="G193" s="192"/>
      <c r="H193" s="192"/>
      <c r="I193" s="192"/>
      <c r="J193" s="192"/>
      <c r="K193" s="192"/>
      <c r="L193" s="192"/>
      <c r="M193" s="192"/>
      <c r="N193" s="192"/>
      <c r="O193" s="192"/>
      <c r="P193" s="192"/>
      <c r="Q193" s="192"/>
      <c r="R193" s="192"/>
      <c r="S193" s="266"/>
      <c r="T193" s="265"/>
      <c r="U193" s="265"/>
      <c r="V193" s="265"/>
      <c r="W193" s="265"/>
      <c r="X193" s="265"/>
      <c r="Y193" s="265"/>
      <c r="Z193" s="265"/>
      <c r="AA193" s="265"/>
      <c r="AB193" s="265"/>
      <c r="AC193" s="265"/>
      <c r="AD193" s="265"/>
      <c r="AE193" s="265"/>
      <c r="AF193" s="265"/>
      <c r="AG193" s="265"/>
      <c r="AH193" s="265"/>
      <c r="AI193" s="192"/>
      <c r="AJ193" s="192"/>
      <c r="AK193" s="369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7"/>
      <c r="AW193" s="367"/>
      <c r="AX193" s="367"/>
      <c r="AY193" s="367"/>
      <c r="AZ193" s="367"/>
      <c r="BA193" s="367"/>
      <c r="BB193" s="367"/>
      <c r="BC193" s="367"/>
      <c r="BD193" s="367"/>
      <c r="BE193" s="367"/>
      <c r="BF193" s="367"/>
      <c r="BG193" s="367"/>
      <c r="BH193" s="367"/>
      <c r="BI193" s="367"/>
      <c r="BJ193" s="367"/>
      <c r="BK193" s="367"/>
      <c r="BL193" s="367"/>
      <c r="BM193" s="367"/>
      <c r="BN193" s="367"/>
      <c r="BO193" s="367"/>
      <c r="BP193" s="367"/>
      <c r="BQ193" s="367"/>
      <c r="BR193" s="367"/>
      <c r="BS193" s="367"/>
      <c r="BT193" s="367"/>
      <c r="BU193" s="367"/>
      <c r="BV193" s="367"/>
      <c r="BW193" s="367"/>
      <c r="BX193" s="367"/>
      <c r="BY193" s="367"/>
      <c r="BZ193" s="367"/>
      <c r="CA193" s="367"/>
      <c r="CB193" s="367"/>
      <c r="CC193" s="367"/>
      <c r="CD193" s="367"/>
      <c r="CE193" s="367"/>
      <c r="CF193" s="367"/>
      <c r="CG193" s="367"/>
      <c r="CH193" s="367"/>
      <c r="CI193" s="367"/>
      <c r="CJ193" s="367"/>
      <c r="CK193" s="367"/>
      <c r="CL193" s="367"/>
      <c r="CM193" s="367"/>
      <c r="CN193" s="367"/>
      <c r="CO193" s="367"/>
      <c r="CP193" s="367"/>
      <c r="CQ193" s="367"/>
      <c r="CR193" s="367"/>
      <c r="CS193" s="367"/>
      <c r="CT193" s="367"/>
      <c r="CU193" s="367"/>
      <c r="CV193" s="367"/>
      <c r="CW193" s="367"/>
      <c r="CX193" s="367"/>
      <c r="CY193" s="367"/>
      <c r="CZ193" s="367"/>
      <c r="DA193" s="367"/>
      <c r="DB193" s="367"/>
      <c r="DC193" s="367"/>
      <c r="DD193" s="367"/>
      <c r="DE193" s="367"/>
      <c r="DF193" s="367"/>
      <c r="DG193" s="367"/>
      <c r="DH193" s="367"/>
      <c r="DI193" s="367"/>
      <c r="DJ193" s="367"/>
      <c r="DK193" s="367"/>
      <c r="DL193" s="367"/>
      <c r="DM193" s="367"/>
      <c r="DN193" s="367"/>
      <c r="DO193" s="367"/>
      <c r="DP193" s="367"/>
      <c r="DQ193" s="367"/>
      <c r="DR193" s="367"/>
      <c r="DS193" s="367"/>
      <c r="DT193" s="367"/>
      <c r="DU193" s="367"/>
      <c r="DV193" s="367"/>
      <c r="DW193" s="367"/>
      <c r="DX193" s="367"/>
      <c r="DY193" s="367"/>
      <c r="DZ193" s="367"/>
      <c r="EA193" s="367"/>
      <c r="EB193" s="367"/>
      <c r="EC193" s="367"/>
      <c r="ED193" s="367"/>
      <c r="EE193" s="367"/>
      <c r="EF193" s="367"/>
      <c r="EG193" s="367"/>
      <c r="EH193" s="367"/>
      <c r="EI193" s="367"/>
      <c r="EJ193" s="367"/>
      <c r="EK193" s="367"/>
      <c r="EL193" s="367"/>
      <c r="EM193" s="367"/>
      <c r="EN193" s="367"/>
      <c r="EO193" s="367"/>
      <c r="EP193" s="367"/>
      <c r="EQ193" s="367"/>
    </row>
    <row r="194" spans="1:147" x14ac:dyDescent="0.2">
      <c r="A194" s="192"/>
      <c r="B194" s="192"/>
      <c r="C194" s="192"/>
      <c r="D194" s="192"/>
      <c r="E194" s="192"/>
      <c r="F194" s="192"/>
      <c r="G194" s="192"/>
      <c r="H194" s="192"/>
      <c r="I194" s="192"/>
      <c r="J194" s="192"/>
      <c r="K194" s="192"/>
      <c r="L194" s="192"/>
      <c r="M194" s="192"/>
      <c r="N194" s="192"/>
      <c r="O194" s="192"/>
      <c r="P194" s="192"/>
      <c r="Q194" s="192"/>
      <c r="R194" s="192"/>
      <c r="S194" s="266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  <c r="AG194" s="265"/>
      <c r="AH194" s="265"/>
      <c r="AI194" s="192"/>
      <c r="AJ194" s="192"/>
      <c r="AK194" s="369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7"/>
      <c r="AW194" s="367"/>
      <c r="AX194" s="367"/>
      <c r="AY194" s="367"/>
      <c r="AZ194" s="367"/>
      <c r="BA194" s="367"/>
      <c r="BB194" s="367"/>
      <c r="BC194" s="367"/>
      <c r="BD194" s="367"/>
      <c r="BE194" s="367"/>
      <c r="BF194" s="367"/>
      <c r="BG194" s="367"/>
      <c r="BH194" s="367"/>
      <c r="BI194" s="367"/>
      <c r="BJ194" s="367"/>
      <c r="BK194" s="367"/>
      <c r="BL194" s="367"/>
      <c r="BM194" s="367"/>
      <c r="BN194" s="367"/>
      <c r="BO194" s="367"/>
      <c r="BP194" s="367"/>
      <c r="BQ194" s="367"/>
      <c r="BR194" s="367"/>
      <c r="BS194" s="367"/>
      <c r="BT194" s="367"/>
      <c r="BU194" s="367"/>
      <c r="BV194" s="367"/>
      <c r="BW194" s="367"/>
      <c r="BX194" s="367"/>
      <c r="BY194" s="367"/>
      <c r="BZ194" s="367"/>
      <c r="CA194" s="367"/>
      <c r="CB194" s="367"/>
      <c r="CC194" s="367"/>
      <c r="CD194" s="367"/>
      <c r="CE194" s="367"/>
      <c r="CF194" s="367"/>
      <c r="CG194" s="367"/>
      <c r="CH194" s="367"/>
      <c r="CI194" s="367"/>
      <c r="CJ194" s="367"/>
      <c r="CK194" s="367"/>
      <c r="CL194" s="367"/>
      <c r="CM194" s="367"/>
      <c r="CN194" s="367"/>
      <c r="CO194" s="367"/>
      <c r="CP194" s="367"/>
      <c r="CQ194" s="367"/>
      <c r="CR194" s="367"/>
      <c r="CS194" s="367"/>
      <c r="CT194" s="367"/>
      <c r="CU194" s="367"/>
      <c r="CV194" s="367"/>
      <c r="CW194" s="367"/>
      <c r="CX194" s="367"/>
      <c r="CY194" s="367"/>
      <c r="CZ194" s="367"/>
      <c r="DA194" s="367"/>
      <c r="DB194" s="367"/>
      <c r="DC194" s="367"/>
      <c r="DD194" s="367"/>
      <c r="DE194" s="367"/>
      <c r="DF194" s="367"/>
      <c r="DG194" s="367"/>
      <c r="DH194" s="367"/>
      <c r="DI194" s="367"/>
      <c r="DJ194" s="367"/>
      <c r="DK194" s="367"/>
      <c r="DL194" s="367"/>
      <c r="DM194" s="367"/>
      <c r="DN194" s="367"/>
      <c r="DO194" s="367"/>
      <c r="DP194" s="367"/>
      <c r="DQ194" s="367"/>
      <c r="DR194" s="367"/>
      <c r="DS194" s="367"/>
      <c r="DT194" s="367"/>
      <c r="DU194" s="367"/>
      <c r="DV194" s="367"/>
      <c r="DW194" s="367"/>
      <c r="DX194" s="367"/>
      <c r="DY194" s="367"/>
      <c r="DZ194" s="367"/>
      <c r="EA194" s="367"/>
      <c r="EB194" s="367"/>
      <c r="EC194" s="367"/>
      <c r="ED194" s="367"/>
      <c r="EE194" s="367"/>
      <c r="EF194" s="367"/>
      <c r="EG194" s="367"/>
      <c r="EH194" s="367"/>
      <c r="EI194" s="367"/>
      <c r="EJ194" s="367"/>
      <c r="EK194" s="367"/>
      <c r="EL194" s="367"/>
      <c r="EM194" s="367"/>
      <c r="EN194" s="367"/>
      <c r="EO194" s="367"/>
      <c r="EP194" s="367"/>
      <c r="EQ194" s="367"/>
    </row>
    <row r="195" spans="1:147" x14ac:dyDescent="0.2">
      <c r="A195" s="192"/>
      <c r="B195" s="192"/>
      <c r="C195" s="192"/>
      <c r="D195" s="192"/>
      <c r="E195" s="192"/>
      <c r="F195" s="192"/>
      <c r="G195" s="192"/>
      <c r="H195" s="192"/>
      <c r="I195" s="192"/>
      <c r="J195" s="192"/>
      <c r="K195" s="192"/>
      <c r="L195" s="192"/>
      <c r="M195" s="192"/>
      <c r="N195" s="192"/>
      <c r="O195" s="192"/>
      <c r="P195" s="192"/>
      <c r="Q195" s="192"/>
      <c r="R195" s="192"/>
      <c r="S195" s="266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  <c r="AG195" s="265"/>
      <c r="AH195" s="265"/>
      <c r="AI195" s="192"/>
      <c r="AJ195" s="192"/>
      <c r="AK195" s="369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7"/>
      <c r="AW195" s="367"/>
      <c r="AX195" s="367"/>
      <c r="AY195" s="367"/>
      <c r="AZ195" s="367"/>
      <c r="BA195" s="367"/>
      <c r="BB195" s="367"/>
      <c r="BC195" s="367"/>
      <c r="BD195" s="367"/>
      <c r="BE195" s="367"/>
      <c r="BF195" s="367"/>
      <c r="BG195" s="367"/>
      <c r="BH195" s="367"/>
      <c r="BI195" s="367"/>
      <c r="BJ195" s="367"/>
      <c r="BK195" s="367"/>
      <c r="BL195" s="367"/>
      <c r="BM195" s="367"/>
      <c r="BN195" s="367"/>
      <c r="BO195" s="367"/>
      <c r="BP195" s="367"/>
      <c r="BQ195" s="367"/>
      <c r="BR195" s="367"/>
      <c r="BS195" s="367"/>
      <c r="BT195" s="367"/>
      <c r="BU195" s="367"/>
      <c r="BV195" s="367"/>
      <c r="BW195" s="367"/>
      <c r="BX195" s="367"/>
      <c r="BY195" s="367"/>
      <c r="BZ195" s="367"/>
      <c r="CA195" s="367"/>
      <c r="CB195" s="367"/>
      <c r="CC195" s="367"/>
      <c r="CD195" s="367"/>
      <c r="CE195" s="367"/>
      <c r="CF195" s="367"/>
      <c r="CG195" s="367"/>
      <c r="CH195" s="367"/>
      <c r="CI195" s="367"/>
      <c r="CJ195" s="367"/>
      <c r="CK195" s="367"/>
      <c r="CL195" s="367"/>
      <c r="CM195" s="367"/>
      <c r="CN195" s="367"/>
      <c r="CO195" s="367"/>
      <c r="CP195" s="367"/>
      <c r="CQ195" s="367"/>
      <c r="CR195" s="367"/>
      <c r="CS195" s="367"/>
      <c r="CT195" s="367"/>
      <c r="CU195" s="367"/>
      <c r="CV195" s="367"/>
      <c r="CW195" s="367"/>
      <c r="CX195" s="367"/>
      <c r="CY195" s="367"/>
      <c r="CZ195" s="367"/>
      <c r="DA195" s="367"/>
      <c r="DB195" s="367"/>
      <c r="DC195" s="367"/>
      <c r="DD195" s="367"/>
      <c r="DE195" s="367"/>
      <c r="DF195" s="367"/>
      <c r="DG195" s="367"/>
      <c r="DH195" s="367"/>
      <c r="DI195" s="367"/>
      <c r="DJ195" s="367"/>
      <c r="DK195" s="367"/>
      <c r="DL195" s="367"/>
      <c r="DM195" s="367"/>
      <c r="DN195" s="367"/>
      <c r="DO195" s="367"/>
      <c r="DP195" s="367"/>
      <c r="DQ195" s="367"/>
      <c r="DR195" s="367"/>
      <c r="DS195" s="367"/>
      <c r="DT195" s="367"/>
      <c r="DU195" s="367"/>
      <c r="DV195" s="367"/>
      <c r="DW195" s="367"/>
      <c r="DX195" s="367"/>
      <c r="DY195" s="367"/>
      <c r="DZ195" s="367"/>
      <c r="EA195" s="367"/>
      <c r="EB195" s="367"/>
      <c r="EC195" s="367"/>
      <c r="ED195" s="367"/>
      <c r="EE195" s="367"/>
      <c r="EF195" s="367"/>
      <c r="EG195" s="367"/>
      <c r="EH195" s="367"/>
      <c r="EI195" s="367"/>
      <c r="EJ195" s="367"/>
      <c r="EK195" s="367"/>
      <c r="EL195" s="367"/>
      <c r="EM195" s="367"/>
      <c r="EN195" s="367"/>
      <c r="EO195" s="367"/>
      <c r="EP195" s="367"/>
      <c r="EQ195" s="367"/>
    </row>
    <row r="196" spans="1:147" x14ac:dyDescent="0.2">
      <c r="A196" s="192"/>
      <c r="B196" s="192"/>
      <c r="C196" s="192"/>
      <c r="D196" s="192"/>
      <c r="E196" s="192"/>
      <c r="F196" s="192"/>
      <c r="G196" s="192"/>
      <c r="H196" s="192"/>
      <c r="I196" s="192"/>
      <c r="J196" s="192"/>
      <c r="K196" s="192"/>
      <c r="L196" s="192"/>
      <c r="M196" s="192"/>
      <c r="N196" s="192"/>
      <c r="O196" s="192"/>
      <c r="P196" s="192"/>
      <c r="Q196" s="192"/>
      <c r="R196" s="192"/>
      <c r="S196" s="266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  <c r="AG196" s="265"/>
      <c r="AH196" s="265"/>
      <c r="AI196" s="192"/>
      <c r="AJ196" s="192"/>
      <c r="AK196" s="369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7"/>
      <c r="AW196" s="367"/>
      <c r="AX196" s="367"/>
      <c r="AY196" s="367"/>
      <c r="AZ196" s="367"/>
      <c r="BA196" s="367"/>
      <c r="BB196" s="367"/>
      <c r="BC196" s="367"/>
      <c r="BD196" s="367"/>
      <c r="BE196" s="367"/>
      <c r="BF196" s="367"/>
      <c r="BG196" s="367"/>
      <c r="BH196" s="367"/>
      <c r="BI196" s="367"/>
      <c r="BJ196" s="367"/>
      <c r="BK196" s="367"/>
      <c r="BL196" s="367"/>
      <c r="BM196" s="367"/>
      <c r="BN196" s="367"/>
      <c r="BO196" s="367"/>
      <c r="BP196" s="367"/>
      <c r="BQ196" s="367"/>
      <c r="BR196" s="367"/>
      <c r="BS196" s="367"/>
      <c r="BT196" s="367"/>
      <c r="BU196" s="367"/>
      <c r="BV196" s="367"/>
      <c r="BW196" s="367"/>
      <c r="BX196" s="367"/>
      <c r="BY196" s="367"/>
      <c r="BZ196" s="367"/>
      <c r="CA196" s="367"/>
      <c r="CB196" s="367"/>
      <c r="CC196" s="367"/>
      <c r="CD196" s="367"/>
      <c r="CE196" s="367"/>
      <c r="CF196" s="367"/>
      <c r="CG196" s="367"/>
      <c r="CH196" s="367"/>
      <c r="CI196" s="367"/>
      <c r="CJ196" s="367"/>
      <c r="CK196" s="367"/>
      <c r="CL196" s="367"/>
      <c r="CM196" s="367"/>
      <c r="CN196" s="367"/>
      <c r="CO196" s="367"/>
      <c r="CP196" s="367"/>
      <c r="CQ196" s="367"/>
      <c r="CR196" s="367"/>
      <c r="CS196" s="367"/>
      <c r="CT196" s="367"/>
      <c r="CU196" s="367"/>
      <c r="CV196" s="367"/>
      <c r="CW196" s="367"/>
      <c r="CX196" s="367"/>
      <c r="CY196" s="367"/>
      <c r="CZ196" s="367"/>
      <c r="DA196" s="367"/>
      <c r="DB196" s="367"/>
      <c r="DC196" s="367"/>
      <c r="DD196" s="367"/>
      <c r="DE196" s="367"/>
      <c r="DF196" s="367"/>
      <c r="DG196" s="367"/>
      <c r="DH196" s="367"/>
      <c r="DI196" s="367"/>
      <c r="DJ196" s="367"/>
      <c r="DK196" s="367"/>
      <c r="DL196" s="367"/>
      <c r="DM196" s="367"/>
      <c r="DN196" s="367"/>
      <c r="DO196" s="367"/>
      <c r="DP196" s="367"/>
      <c r="DQ196" s="367"/>
      <c r="DR196" s="367"/>
      <c r="DS196" s="367"/>
      <c r="DT196" s="367"/>
      <c r="DU196" s="367"/>
      <c r="DV196" s="367"/>
      <c r="DW196" s="367"/>
      <c r="DX196" s="367"/>
      <c r="DY196" s="367"/>
      <c r="DZ196" s="367"/>
      <c r="EA196" s="367"/>
      <c r="EB196" s="367"/>
      <c r="EC196" s="367"/>
      <c r="ED196" s="367"/>
      <c r="EE196" s="367"/>
      <c r="EF196" s="367"/>
      <c r="EG196" s="367"/>
      <c r="EH196" s="367"/>
      <c r="EI196" s="367"/>
      <c r="EJ196" s="367"/>
      <c r="EK196" s="367"/>
      <c r="EL196" s="367"/>
      <c r="EM196" s="367"/>
      <c r="EN196" s="367"/>
      <c r="EO196" s="367"/>
      <c r="EP196" s="367"/>
      <c r="EQ196" s="367"/>
    </row>
    <row r="197" spans="1:147" x14ac:dyDescent="0.2">
      <c r="A197" s="192"/>
      <c r="B197" s="192"/>
      <c r="C197" s="192"/>
      <c r="D197" s="192"/>
      <c r="E197" s="192"/>
      <c r="F197" s="192"/>
      <c r="G197" s="192"/>
      <c r="H197" s="192"/>
      <c r="I197" s="192"/>
      <c r="J197" s="192"/>
      <c r="K197" s="192"/>
      <c r="L197" s="192"/>
      <c r="M197" s="192"/>
      <c r="N197" s="192"/>
      <c r="O197" s="192"/>
      <c r="P197" s="192"/>
      <c r="Q197" s="192"/>
      <c r="R197" s="192"/>
      <c r="S197" s="266"/>
      <c r="T197" s="265"/>
      <c r="U197" s="265"/>
      <c r="V197" s="265"/>
      <c r="W197" s="265"/>
      <c r="X197" s="265"/>
      <c r="Y197" s="265"/>
      <c r="Z197" s="265"/>
      <c r="AA197" s="265"/>
      <c r="AB197" s="265"/>
      <c r="AC197" s="265"/>
      <c r="AD197" s="265"/>
      <c r="AE197" s="265"/>
      <c r="AF197" s="265"/>
      <c r="AG197" s="265"/>
      <c r="AH197" s="265"/>
      <c r="AI197" s="192"/>
      <c r="AJ197" s="192"/>
      <c r="AK197" s="369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7"/>
      <c r="AW197" s="367"/>
      <c r="AX197" s="367"/>
      <c r="AY197" s="367"/>
      <c r="AZ197" s="367"/>
      <c r="BA197" s="367"/>
      <c r="BB197" s="367"/>
      <c r="BC197" s="367"/>
      <c r="BD197" s="367"/>
      <c r="BE197" s="367"/>
      <c r="BF197" s="367"/>
      <c r="BG197" s="367"/>
      <c r="BH197" s="367"/>
      <c r="BI197" s="367"/>
      <c r="BJ197" s="367"/>
      <c r="BK197" s="367"/>
      <c r="BL197" s="367"/>
      <c r="BM197" s="367"/>
      <c r="BN197" s="367"/>
      <c r="BO197" s="367"/>
      <c r="BP197" s="367"/>
      <c r="BQ197" s="367"/>
      <c r="BR197" s="367"/>
      <c r="BS197" s="367"/>
      <c r="BT197" s="367"/>
      <c r="BU197" s="367"/>
      <c r="BV197" s="367"/>
      <c r="BW197" s="367"/>
      <c r="BX197" s="367"/>
      <c r="BY197" s="367"/>
      <c r="BZ197" s="367"/>
      <c r="CA197" s="367"/>
      <c r="CB197" s="367"/>
      <c r="CC197" s="367"/>
      <c r="CD197" s="367"/>
      <c r="CE197" s="367"/>
      <c r="CF197" s="367"/>
      <c r="CG197" s="367"/>
      <c r="CH197" s="367"/>
      <c r="CI197" s="367"/>
      <c r="CJ197" s="367"/>
      <c r="CK197" s="367"/>
      <c r="CL197" s="367"/>
      <c r="CM197" s="367"/>
      <c r="CN197" s="367"/>
      <c r="CO197" s="367"/>
      <c r="CP197" s="367"/>
      <c r="CQ197" s="367"/>
      <c r="CR197" s="367"/>
      <c r="CS197" s="367"/>
      <c r="CT197" s="367"/>
      <c r="CU197" s="367"/>
      <c r="CV197" s="367"/>
      <c r="CW197" s="367"/>
      <c r="CX197" s="367"/>
      <c r="CY197" s="367"/>
      <c r="CZ197" s="367"/>
      <c r="DA197" s="367"/>
      <c r="DB197" s="367"/>
      <c r="DC197" s="367"/>
      <c r="DD197" s="367"/>
      <c r="DE197" s="367"/>
      <c r="DF197" s="367"/>
      <c r="DG197" s="367"/>
      <c r="DH197" s="367"/>
      <c r="DI197" s="367"/>
      <c r="DJ197" s="367"/>
      <c r="DK197" s="367"/>
      <c r="DL197" s="367"/>
      <c r="DM197" s="367"/>
      <c r="DN197" s="367"/>
      <c r="DO197" s="367"/>
      <c r="DP197" s="367"/>
      <c r="DQ197" s="367"/>
      <c r="DR197" s="367"/>
      <c r="DS197" s="367"/>
      <c r="DT197" s="367"/>
      <c r="DU197" s="367"/>
      <c r="DV197" s="367"/>
      <c r="DW197" s="367"/>
      <c r="DX197" s="367"/>
      <c r="DY197" s="367"/>
      <c r="DZ197" s="367"/>
      <c r="EA197" s="367"/>
      <c r="EB197" s="367"/>
      <c r="EC197" s="367"/>
      <c r="ED197" s="367"/>
      <c r="EE197" s="367"/>
      <c r="EF197" s="367"/>
      <c r="EG197" s="367"/>
      <c r="EH197" s="367"/>
      <c r="EI197" s="367"/>
      <c r="EJ197" s="367"/>
      <c r="EK197" s="367"/>
      <c r="EL197" s="367"/>
      <c r="EM197" s="367"/>
      <c r="EN197" s="367"/>
      <c r="EO197" s="367"/>
      <c r="EP197" s="367"/>
      <c r="EQ197" s="367"/>
    </row>
    <row r="198" spans="1:147" x14ac:dyDescent="0.2">
      <c r="A198" s="192"/>
      <c r="B198" s="192"/>
      <c r="C198" s="192"/>
      <c r="D198" s="192"/>
      <c r="E198" s="192"/>
      <c r="F198" s="192"/>
      <c r="G198" s="192"/>
      <c r="H198" s="192"/>
      <c r="I198" s="192"/>
      <c r="J198" s="192"/>
      <c r="K198" s="192"/>
      <c r="L198" s="192"/>
      <c r="M198" s="192"/>
      <c r="N198" s="192"/>
      <c r="O198" s="192"/>
      <c r="P198" s="192"/>
      <c r="Q198" s="192"/>
      <c r="R198" s="192"/>
      <c r="S198" s="266"/>
      <c r="T198" s="265"/>
      <c r="U198" s="265"/>
      <c r="V198" s="265"/>
      <c r="W198" s="265"/>
      <c r="X198" s="265"/>
      <c r="Y198" s="265"/>
      <c r="Z198" s="265"/>
      <c r="AA198" s="265"/>
      <c r="AB198" s="265"/>
      <c r="AC198" s="265"/>
      <c r="AD198" s="265"/>
      <c r="AE198" s="265"/>
      <c r="AF198" s="265"/>
      <c r="AG198" s="265"/>
      <c r="AH198" s="265"/>
      <c r="AI198" s="192"/>
      <c r="AJ198" s="192"/>
      <c r="AK198" s="369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7"/>
      <c r="AW198" s="367"/>
      <c r="AX198" s="367"/>
      <c r="AY198" s="367"/>
      <c r="AZ198" s="367"/>
      <c r="BA198" s="367"/>
      <c r="BB198" s="367"/>
      <c r="BC198" s="367"/>
      <c r="BD198" s="367"/>
      <c r="BE198" s="367"/>
      <c r="BF198" s="367"/>
      <c r="BG198" s="367"/>
      <c r="BH198" s="367"/>
      <c r="BI198" s="367"/>
      <c r="BJ198" s="367"/>
      <c r="BK198" s="367"/>
      <c r="BL198" s="367"/>
      <c r="BM198" s="367"/>
      <c r="BN198" s="367"/>
      <c r="BO198" s="367"/>
      <c r="BP198" s="367"/>
      <c r="BQ198" s="367"/>
      <c r="BR198" s="367"/>
      <c r="BS198" s="367"/>
      <c r="BT198" s="367"/>
      <c r="BU198" s="367"/>
      <c r="BV198" s="367"/>
      <c r="BW198" s="367"/>
      <c r="BX198" s="367"/>
      <c r="BY198" s="367"/>
      <c r="BZ198" s="367"/>
      <c r="CA198" s="367"/>
      <c r="CB198" s="367"/>
      <c r="CC198" s="367"/>
      <c r="CD198" s="367"/>
      <c r="CE198" s="367"/>
      <c r="CF198" s="367"/>
      <c r="CG198" s="367"/>
      <c r="CH198" s="367"/>
      <c r="CI198" s="367"/>
      <c r="CJ198" s="367"/>
      <c r="CK198" s="367"/>
      <c r="CL198" s="367"/>
      <c r="CM198" s="367"/>
      <c r="CN198" s="367"/>
      <c r="CO198" s="367"/>
      <c r="CP198" s="367"/>
      <c r="CQ198" s="367"/>
      <c r="CR198" s="367"/>
      <c r="CS198" s="367"/>
      <c r="CT198" s="367"/>
      <c r="CU198" s="367"/>
      <c r="CV198" s="367"/>
      <c r="CW198" s="367"/>
      <c r="CX198" s="367"/>
      <c r="CY198" s="367"/>
      <c r="CZ198" s="367"/>
      <c r="DA198" s="367"/>
      <c r="DB198" s="367"/>
      <c r="DC198" s="367"/>
      <c r="DD198" s="367"/>
      <c r="DE198" s="367"/>
      <c r="DF198" s="367"/>
      <c r="DG198" s="367"/>
      <c r="DH198" s="367"/>
      <c r="DI198" s="367"/>
      <c r="DJ198" s="367"/>
      <c r="DK198" s="367"/>
      <c r="DL198" s="367"/>
      <c r="DM198" s="367"/>
      <c r="DN198" s="367"/>
      <c r="DO198" s="367"/>
      <c r="DP198" s="367"/>
      <c r="DQ198" s="367"/>
      <c r="DR198" s="367"/>
      <c r="DS198" s="367"/>
      <c r="DT198" s="367"/>
      <c r="DU198" s="367"/>
      <c r="DV198" s="367"/>
      <c r="DW198" s="367"/>
      <c r="DX198" s="367"/>
      <c r="DY198" s="367"/>
      <c r="DZ198" s="367"/>
      <c r="EA198" s="367"/>
      <c r="EB198" s="367"/>
      <c r="EC198" s="367"/>
      <c r="ED198" s="367"/>
      <c r="EE198" s="367"/>
      <c r="EF198" s="367"/>
      <c r="EG198" s="367"/>
      <c r="EH198" s="367"/>
      <c r="EI198" s="367"/>
      <c r="EJ198" s="367"/>
      <c r="EK198" s="367"/>
      <c r="EL198" s="367"/>
      <c r="EM198" s="367"/>
      <c r="EN198" s="367"/>
      <c r="EO198" s="367"/>
      <c r="EP198" s="367"/>
      <c r="EQ198" s="367"/>
    </row>
    <row r="199" spans="1:147" x14ac:dyDescent="0.2">
      <c r="A199" s="192"/>
      <c r="B199" s="192"/>
      <c r="C199" s="192"/>
      <c r="D199" s="192"/>
      <c r="E199" s="192"/>
      <c r="F199" s="192"/>
      <c r="G199" s="192"/>
      <c r="H199" s="192"/>
      <c r="I199" s="192"/>
      <c r="J199" s="192"/>
      <c r="K199" s="192"/>
      <c r="L199" s="192"/>
      <c r="M199" s="192"/>
      <c r="N199" s="192"/>
      <c r="O199" s="192"/>
      <c r="P199" s="192"/>
      <c r="Q199" s="192"/>
      <c r="R199" s="192"/>
      <c r="S199" s="266"/>
      <c r="T199" s="265"/>
      <c r="U199" s="265"/>
      <c r="V199" s="265"/>
      <c r="W199" s="265"/>
      <c r="X199" s="265"/>
      <c r="Y199" s="265"/>
      <c r="Z199" s="265"/>
      <c r="AA199" s="265"/>
      <c r="AB199" s="265"/>
      <c r="AC199" s="265"/>
      <c r="AD199" s="265"/>
      <c r="AE199" s="265"/>
      <c r="AF199" s="265"/>
      <c r="AG199" s="265"/>
      <c r="AH199" s="265"/>
      <c r="AI199" s="192"/>
      <c r="AJ199" s="192"/>
      <c r="AK199" s="369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7"/>
      <c r="AW199" s="367"/>
      <c r="AX199" s="367"/>
      <c r="AY199" s="367"/>
      <c r="AZ199" s="367"/>
      <c r="BA199" s="367"/>
      <c r="BB199" s="367"/>
      <c r="BC199" s="367"/>
      <c r="BD199" s="367"/>
      <c r="BE199" s="367"/>
      <c r="BF199" s="367"/>
      <c r="BG199" s="367"/>
      <c r="BH199" s="367"/>
      <c r="BI199" s="367"/>
      <c r="BJ199" s="367"/>
      <c r="BK199" s="367"/>
      <c r="BL199" s="367"/>
      <c r="BM199" s="367"/>
      <c r="BN199" s="367"/>
      <c r="BO199" s="367"/>
      <c r="BP199" s="367"/>
      <c r="BQ199" s="367"/>
      <c r="BR199" s="367"/>
      <c r="BS199" s="367"/>
      <c r="BT199" s="367"/>
      <c r="BU199" s="367"/>
      <c r="BV199" s="367"/>
      <c r="BW199" s="367"/>
      <c r="BX199" s="367"/>
      <c r="BY199" s="367"/>
      <c r="BZ199" s="367"/>
      <c r="CA199" s="367"/>
      <c r="CB199" s="367"/>
      <c r="CC199" s="367"/>
      <c r="CD199" s="367"/>
      <c r="CE199" s="367"/>
      <c r="CF199" s="367"/>
      <c r="CG199" s="367"/>
      <c r="CH199" s="367"/>
      <c r="CI199" s="367"/>
      <c r="CJ199" s="367"/>
      <c r="CK199" s="367"/>
      <c r="CL199" s="367"/>
      <c r="CM199" s="367"/>
      <c r="CN199" s="367"/>
      <c r="CO199" s="367"/>
      <c r="CP199" s="367"/>
      <c r="CQ199" s="367"/>
      <c r="CR199" s="367"/>
      <c r="CS199" s="367"/>
      <c r="CT199" s="367"/>
      <c r="CU199" s="367"/>
      <c r="CV199" s="367"/>
      <c r="CW199" s="367"/>
      <c r="CX199" s="367"/>
      <c r="CY199" s="367"/>
      <c r="CZ199" s="367"/>
      <c r="DA199" s="367"/>
      <c r="DB199" s="367"/>
      <c r="DC199" s="367"/>
      <c r="DD199" s="367"/>
      <c r="DE199" s="367"/>
      <c r="DF199" s="367"/>
      <c r="DG199" s="367"/>
      <c r="DH199" s="367"/>
      <c r="DI199" s="367"/>
      <c r="DJ199" s="367"/>
      <c r="DK199" s="367"/>
      <c r="DL199" s="367"/>
      <c r="DM199" s="367"/>
      <c r="DN199" s="367"/>
      <c r="DO199" s="367"/>
      <c r="DP199" s="367"/>
      <c r="DQ199" s="367"/>
      <c r="DR199" s="367"/>
      <c r="DS199" s="367"/>
      <c r="DT199" s="367"/>
      <c r="DU199" s="367"/>
      <c r="DV199" s="367"/>
      <c r="DW199" s="367"/>
      <c r="DX199" s="367"/>
      <c r="DY199" s="367"/>
      <c r="DZ199" s="367"/>
      <c r="EA199" s="367"/>
      <c r="EB199" s="367"/>
      <c r="EC199" s="367"/>
      <c r="ED199" s="367"/>
      <c r="EE199" s="367"/>
      <c r="EF199" s="367"/>
      <c r="EG199" s="367"/>
      <c r="EH199" s="367"/>
      <c r="EI199" s="367"/>
      <c r="EJ199" s="367"/>
      <c r="EK199" s="367"/>
      <c r="EL199" s="367"/>
      <c r="EM199" s="367"/>
      <c r="EN199" s="367"/>
      <c r="EO199" s="367"/>
      <c r="EP199" s="367"/>
      <c r="EQ199" s="367"/>
    </row>
    <row r="200" spans="1:147" x14ac:dyDescent="0.2">
      <c r="A200" s="192"/>
      <c r="B200" s="192"/>
      <c r="C200" s="192"/>
      <c r="D200" s="192"/>
      <c r="E200" s="192"/>
      <c r="F200" s="192"/>
      <c r="G200" s="192"/>
      <c r="H200" s="192"/>
      <c r="I200" s="192"/>
      <c r="J200" s="192"/>
      <c r="K200" s="192"/>
      <c r="L200" s="192"/>
      <c r="M200" s="192"/>
      <c r="N200" s="192"/>
      <c r="O200" s="192"/>
      <c r="P200" s="192"/>
      <c r="Q200" s="192"/>
      <c r="R200" s="192"/>
      <c r="S200" s="266"/>
      <c r="T200" s="265"/>
      <c r="U200" s="265"/>
      <c r="V200" s="265"/>
      <c r="W200" s="265"/>
      <c r="X200" s="265"/>
      <c r="Y200" s="265"/>
      <c r="Z200" s="265"/>
      <c r="AA200" s="265"/>
      <c r="AB200" s="265"/>
      <c r="AC200" s="265"/>
      <c r="AD200" s="265"/>
      <c r="AE200" s="265"/>
      <c r="AF200" s="265"/>
      <c r="AG200" s="265"/>
      <c r="AH200" s="265"/>
      <c r="AI200" s="192"/>
      <c r="AJ200" s="192"/>
      <c r="AK200" s="369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7"/>
      <c r="AW200" s="367"/>
      <c r="AX200" s="367"/>
      <c r="AY200" s="367"/>
      <c r="AZ200" s="367"/>
      <c r="BA200" s="367"/>
      <c r="BB200" s="367"/>
      <c r="BC200" s="367"/>
      <c r="BD200" s="367"/>
      <c r="BE200" s="367"/>
      <c r="BF200" s="367"/>
      <c r="BG200" s="367"/>
      <c r="BH200" s="367"/>
      <c r="BI200" s="367"/>
      <c r="BJ200" s="367"/>
      <c r="BK200" s="367"/>
      <c r="BL200" s="367"/>
      <c r="BM200" s="367"/>
      <c r="BN200" s="367"/>
      <c r="BO200" s="367"/>
      <c r="BP200" s="367"/>
      <c r="BQ200" s="367"/>
      <c r="BR200" s="367"/>
      <c r="BS200" s="367"/>
      <c r="BT200" s="367"/>
      <c r="BU200" s="367"/>
      <c r="BV200" s="367"/>
      <c r="BW200" s="367"/>
      <c r="BX200" s="367"/>
      <c r="BY200" s="367"/>
      <c r="BZ200" s="367"/>
      <c r="CA200" s="367"/>
      <c r="CB200" s="367"/>
      <c r="CC200" s="367"/>
      <c r="CD200" s="367"/>
      <c r="CE200" s="367"/>
      <c r="CF200" s="367"/>
      <c r="CG200" s="367"/>
      <c r="CH200" s="367"/>
      <c r="CI200" s="367"/>
      <c r="CJ200" s="367"/>
      <c r="CK200" s="367"/>
      <c r="CL200" s="367"/>
      <c r="CM200" s="367"/>
      <c r="CN200" s="367"/>
      <c r="CO200" s="367"/>
      <c r="CP200" s="367"/>
      <c r="CQ200" s="367"/>
      <c r="CR200" s="367"/>
      <c r="CS200" s="367"/>
      <c r="CT200" s="367"/>
      <c r="CU200" s="367"/>
      <c r="CV200" s="367"/>
      <c r="CW200" s="367"/>
      <c r="CX200" s="367"/>
      <c r="CY200" s="367"/>
      <c r="CZ200" s="367"/>
      <c r="DA200" s="367"/>
      <c r="DB200" s="367"/>
      <c r="DC200" s="367"/>
      <c r="DD200" s="367"/>
      <c r="DE200" s="367"/>
      <c r="DF200" s="367"/>
      <c r="DG200" s="367"/>
      <c r="DH200" s="367"/>
      <c r="DI200" s="367"/>
      <c r="DJ200" s="367"/>
      <c r="DK200" s="367"/>
      <c r="DL200" s="367"/>
      <c r="DM200" s="367"/>
      <c r="DN200" s="367"/>
      <c r="DO200" s="367"/>
      <c r="DP200" s="367"/>
      <c r="DQ200" s="367"/>
      <c r="DR200" s="367"/>
      <c r="DS200" s="367"/>
      <c r="DT200" s="367"/>
      <c r="DU200" s="367"/>
      <c r="DV200" s="367"/>
      <c r="DW200" s="367"/>
      <c r="DX200" s="367"/>
      <c r="DY200" s="367"/>
      <c r="DZ200" s="367"/>
      <c r="EA200" s="367"/>
      <c r="EB200" s="367"/>
      <c r="EC200" s="367"/>
      <c r="ED200" s="367"/>
      <c r="EE200" s="367"/>
      <c r="EF200" s="367"/>
      <c r="EG200" s="367"/>
      <c r="EH200" s="367"/>
      <c r="EI200" s="367"/>
      <c r="EJ200" s="367"/>
      <c r="EK200" s="367"/>
      <c r="EL200" s="367"/>
      <c r="EM200" s="367"/>
      <c r="EN200" s="367"/>
      <c r="EO200" s="367"/>
      <c r="EP200" s="367"/>
      <c r="EQ200" s="367"/>
    </row>
    <row r="201" spans="1:147" x14ac:dyDescent="0.2">
      <c r="A201" s="192"/>
      <c r="B201" s="192"/>
      <c r="C201" s="192"/>
      <c r="D201" s="192"/>
      <c r="E201" s="192"/>
      <c r="F201" s="192"/>
      <c r="G201" s="192"/>
      <c r="H201" s="192"/>
      <c r="I201" s="192"/>
      <c r="J201" s="192"/>
      <c r="K201" s="192"/>
      <c r="L201" s="192"/>
      <c r="M201" s="192"/>
      <c r="N201" s="192"/>
      <c r="O201" s="192"/>
      <c r="P201" s="192"/>
      <c r="Q201" s="192"/>
      <c r="R201" s="192"/>
      <c r="S201" s="266"/>
      <c r="T201" s="265"/>
      <c r="U201" s="265"/>
      <c r="V201" s="265"/>
      <c r="W201" s="265"/>
      <c r="X201" s="265"/>
      <c r="Y201" s="265"/>
      <c r="Z201" s="265"/>
      <c r="AA201" s="265"/>
      <c r="AB201" s="265"/>
      <c r="AC201" s="265"/>
      <c r="AD201" s="265"/>
      <c r="AE201" s="265"/>
      <c r="AF201" s="265"/>
      <c r="AG201" s="265"/>
      <c r="AH201" s="265"/>
      <c r="AI201" s="192"/>
      <c r="AJ201" s="192"/>
      <c r="AK201" s="369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7"/>
      <c r="AW201" s="367"/>
      <c r="AX201" s="367"/>
      <c r="AY201" s="367"/>
      <c r="AZ201" s="367"/>
      <c r="BA201" s="367"/>
      <c r="BB201" s="367"/>
      <c r="BC201" s="367"/>
      <c r="BD201" s="367"/>
      <c r="BE201" s="367"/>
      <c r="BF201" s="367"/>
      <c r="BG201" s="367"/>
      <c r="BH201" s="367"/>
      <c r="BI201" s="367"/>
      <c r="BJ201" s="367"/>
      <c r="BK201" s="367"/>
      <c r="BL201" s="367"/>
      <c r="BM201" s="367"/>
      <c r="BN201" s="367"/>
      <c r="BO201" s="367"/>
      <c r="BP201" s="367"/>
      <c r="BQ201" s="367"/>
      <c r="BR201" s="367"/>
      <c r="BS201" s="367"/>
      <c r="BT201" s="367"/>
      <c r="BU201" s="367"/>
      <c r="BV201" s="367"/>
      <c r="BW201" s="367"/>
      <c r="BX201" s="367"/>
      <c r="BY201" s="367"/>
      <c r="BZ201" s="367"/>
      <c r="CA201" s="367"/>
      <c r="CB201" s="367"/>
      <c r="CC201" s="367"/>
      <c r="CD201" s="367"/>
      <c r="CE201" s="367"/>
      <c r="CF201" s="367"/>
      <c r="CG201" s="367"/>
      <c r="CH201" s="367"/>
      <c r="CI201" s="367"/>
      <c r="CJ201" s="367"/>
      <c r="CK201" s="367"/>
      <c r="CL201" s="367"/>
      <c r="CM201" s="367"/>
      <c r="CN201" s="367"/>
      <c r="CO201" s="367"/>
      <c r="CP201" s="367"/>
      <c r="CQ201" s="367"/>
      <c r="CR201" s="367"/>
      <c r="CS201" s="367"/>
      <c r="CT201" s="367"/>
      <c r="CU201" s="367"/>
      <c r="CV201" s="367"/>
      <c r="CW201" s="367"/>
      <c r="CX201" s="367"/>
      <c r="CY201" s="367"/>
      <c r="CZ201" s="367"/>
      <c r="DA201" s="367"/>
      <c r="DB201" s="367"/>
      <c r="DC201" s="367"/>
      <c r="DD201" s="367"/>
      <c r="DE201" s="367"/>
      <c r="DF201" s="367"/>
      <c r="DG201" s="367"/>
      <c r="DH201" s="367"/>
      <c r="DI201" s="367"/>
      <c r="DJ201" s="367"/>
      <c r="DK201" s="367"/>
      <c r="DL201" s="367"/>
      <c r="DM201" s="367"/>
      <c r="DN201" s="367"/>
      <c r="DO201" s="367"/>
      <c r="DP201" s="367"/>
      <c r="DQ201" s="367"/>
      <c r="DR201" s="367"/>
      <c r="DS201" s="367"/>
      <c r="DT201" s="367"/>
      <c r="DU201" s="367"/>
      <c r="DV201" s="367"/>
      <c r="DW201" s="367"/>
      <c r="DX201" s="367"/>
      <c r="DY201" s="367"/>
      <c r="DZ201" s="367"/>
      <c r="EA201" s="367"/>
      <c r="EB201" s="367"/>
      <c r="EC201" s="367"/>
      <c r="ED201" s="367"/>
      <c r="EE201" s="367"/>
      <c r="EF201" s="367"/>
      <c r="EG201" s="367"/>
      <c r="EH201" s="367"/>
      <c r="EI201" s="367"/>
      <c r="EJ201" s="367"/>
      <c r="EK201" s="367"/>
      <c r="EL201" s="367"/>
      <c r="EM201" s="367"/>
      <c r="EN201" s="367"/>
      <c r="EO201" s="367"/>
      <c r="EP201" s="367"/>
      <c r="EQ201" s="367"/>
    </row>
    <row r="202" spans="1:147" x14ac:dyDescent="0.2">
      <c r="A202" s="192"/>
      <c r="B202" s="192"/>
      <c r="C202" s="192"/>
      <c r="D202" s="192"/>
      <c r="E202" s="192"/>
      <c r="F202" s="192"/>
      <c r="G202" s="192"/>
      <c r="H202" s="192"/>
      <c r="I202" s="192"/>
      <c r="J202" s="192"/>
      <c r="K202" s="192"/>
      <c r="L202" s="192"/>
      <c r="M202" s="192"/>
      <c r="N202" s="192"/>
      <c r="O202" s="192"/>
      <c r="P202" s="192"/>
      <c r="Q202" s="192"/>
      <c r="R202" s="192"/>
      <c r="S202" s="266"/>
      <c r="T202" s="265"/>
      <c r="U202" s="265"/>
      <c r="V202" s="265"/>
      <c r="W202" s="265"/>
      <c r="X202" s="265"/>
      <c r="Y202" s="265"/>
      <c r="Z202" s="265"/>
      <c r="AA202" s="265"/>
      <c r="AB202" s="265"/>
      <c r="AC202" s="265"/>
      <c r="AD202" s="265"/>
      <c r="AE202" s="265"/>
      <c r="AF202" s="265"/>
      <c r="AG202" s="265"/>
      <c r="AH202" s="265"/>
      <c r="AI202" s="192"/>
      <c r="AJ202" s="192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7"/>
      <c r="AW202" s="367"/>
      <c r="AX202" s="367"/>
      <c r="AY202" s="367"/>
      <c r="AZ202" s="367"/>
      <c r="BA202" s="367"/>
      <c r="BB202" s="367"/>
      <c r="BC202" s="367"/>
      <c r="BD202" s="367"/>
      <c r="BE202" s="367"/>
      <c r="BF202" s="367"/>
      <c r="BG202" s="367"/>
      <c r="BH202" s="367"/>
      <c r="BI202" s="367"/>
      <c r="BJ202" s="367"/>
      <c r="BK202" s="367"/>
      <c r="BL202" s="367"/>
      <c r="BM202" s="367"/>
      <c r="BN202" s="367"/>
      <c r="BO202" s="367"/>
      <c r="BP202" s="367"/>
      <c r="BQ202" s="367"/>
      <c r="BR202" s="367"/>
      <c r="BS202" s="367"/>
      <c r="BT202" s="367"/>
      <c r="BU202" s="367"/>
      <c r="BV202" s="367"/>
      <c r="BW202" s="367"/>
      <c r="BX202" s="367"/>
      <c r="BY202" s="367"/>
      <c r="BZ202" s="367"/>
      <c r="CA202" s="367"/>
      <c r="CB202" s="367"/>
      <c r="CC202" s="367"/>
      <c r="CD202" s="367"/>
      <c r="CE202" s="367"/>
      <c r="CF202" s="367"/>
      <c r="CG202" s="367"/>
      <c r="CH202" s="367"/>
      <c r="CI202" s="367"/>
      <c r="CJ202" s="367"/>
      <c r="CK202" s="367"/>
      <c r="CL202" s="367"/>
      <c r="CM202" s="367"/>
      <c r="CN202" s="367"/>
      <c r="CO202" s="367"/>
      <c r="CP202" s="367"/>
      <c r="CQ202" s="367"/>
      <c r="CR202" s="367"/>
      <c r="CS202" s="367"/>
      <c r="CT202" s="367"/>
      <c r="CU202" s="367"/>
      <c r="CV202" s="367"/>
      <c r="CW202" s="367"/>
      <c r="CX202" s="367"/>
      <c r="CY202" s="367"/>
      <c r="CZ202" s="367"/>
      <c r="DA202" s="367"/>
      <c r="DB202" s="367"/>
      <c r="DC202" s="367"/>
      <c r="DD202" s="367"/>
      <c r="DE202" s="367"/>
      <c r="DF202" s="367"/>
      <c r="DG202" s="367"/>
      <c r="DH202" s="367"/>
      <c r="DI202" s="367"/>
      <c r="DJ202" s="367"/>
      <c r="DK202" s="367"/>
      <c r="DL202" s="367"/>
      <c r="DM202" s="367"/>
      <c r="DN202" s="367"/>
      <c r="DO202" s="367"/>
      <c r="DP202" s="367"/>
      <c r="DQ202" s="367"/>
      <c r="DR202" s="367"/>
      <c r="DS202" s="367"/>
      <c r="DT202" s="367"/>
      <c r="DU202" s="367"/>
      <c r="DV202" s="367"/>
      <c r="DW202" s="367"/>
      <c r="DX202" s="367"/>
      <c r="DY202" s="367"/>
      <c r="DZ202" s="367"/>
      <c r="EA202" s="367"/>
      <c r="EB202" s="367"/>
      <c r="EC202" s="367"/>
      <c r="ED202" s="367"/>
      <c r="EE202" s="367"/>
      <c r="EF202" s="367"/>
      <c r="EG202" s="367"/>
      <c r="EH202" s="367"/>
      <c r="EI202" s="367"/>
      <c r="EJ202" s="367"/>
      <c r="EK202" s="367"/>
      <c r="EL202" s="367"/>
      <c r="EM202" s="367"/>
      <c r="EN202" s="367"/>
      <c r="EO202" s="367"/>
      <c r="EP202" s="367"/>
      <c r="EQ202" s="367"/>
    </row>
    <row r="203" spans="1:147" x14ac:dyDescent="0.2">
      <c r="A203" s="192"/>
      <c r="B203" s="192"/>
      <c r="C203" s="192"/>
      <c r="D203" s="192"/>
      <c r="E203" s="192"/>
      <c r="F203" s="192"/>
      <c r="G203" s="192"/>
      <c r="H203" s="192"/>
      <c r="I203" s="192"/>
      <c r="J203" s="192"/>
      <c r="K203" s="192"/>
      <c r="L203" s="192"/>
      <c r="M203" s="192"/>
      <c r="N203" s="192"/>
      <c r="O203" s="192"/>
      <c r="P203" s="192"/>
      <c r="Q203" s="192"/>
      <c r="R203" s="192"/>
      <c r="S203" s="266"/>
      <c r="T203" s="265"/>
      <c r="U203" s="265"/>
      <c r="V203" s="265"/>
      <c r="W203" s="265"/>
      <c r="X203" s="265"/>
      <c r="Y203" s="265"/>
      <c r="Z203" s="265"/>
      <c r="AA203" s="265"/>
      <c r="AB203" s="265"/>
      <c r="AC203" s="265"/>
      <c r="AD203" s="265"/>
      <c r="AE203" s="265"/>
      <c r="AF203" s="265"/>
      <c r="AG203" s="265"/>
      <c r="AH203" s="265"/>
      <c r="AI203" s="192"/>
      <c r="AJ203" s="192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7"/>
      <c r="AW203" s="367"/>
      <c r="AX203" s="367"/>
      <c r="AY203" s="367"/>
      <c r="AZ203" s="367"/>
      <c r="BA203" s="367"/>
      <c r="BB203" s="367"/>
      <c r="BC203" s="367"/>
      <c r="BD203" s="367"/>
      <c r="BE203" s="367"/>
      <c r="BF203" s="367"/>
      <c r="BG203" s="367"/>
      <c r="BH203" s="367"/>
      <c r="BI203" s="367"/>
      <c r="BJ203" s="367"/>
      <c r="BK203" s="367"/>
      <c r="BL203" s="367"/>
      <c r="BM203" s="367"/>
      <c r="BN203" s="367"/>
      <c r="BO203" s="367"/>
      <c r="BP203" s="367"/>
      <c r="BQ203" s="367"/>
      <c r="BR203" s="367"/>
      <c r="BS203" s="367"/>
      <c r="BT203" s="367"/>
      <c r="BU203" s="367"/>
      <c r="BV203" s="367"/>
      <c r="BW203" s="367"/>
      <c r="BX203" s="367"/>
      <c r="BY203" s="367"/>
      <c r="BZ203" s="367"/>
      <c r="CA203" s="367"/>
      <c r="CB203" s="367"/>
      <c r="CC203" s="367"/>
      <c r="CD203" s="367"/>
      <c r="CE203" s="367"/>
      <c r="CF203" s="367"/>
      <c r="CG203" s="367"/>
      <c r="CH203" s="367"/>
      <c r="CI203" s="367"/>
      <c r="CJ203" s="367"/>
      <c r="CK203" s="367"/>
      <c r="CL203" s="367"/>
      <c r="CM203" s="367"/>
      <c r="CN203" s="367"/>
      <c r="CO203" s="367"/>
      <c r="CP203" s="367"/>
      <c r="CQ203" s="367"/>
      <c r="CR203" s="367"/>
      <c r="CS203" s="367"/>
      <c r="CT203" s="367"/>
      <c r="CU203" s="367"/>
      <c r="CV203" s="367"/>
      <c r="CW203" s="367"/>
      <c r="CX203" s="367"/>
      <c r="CY203" s="367"/>
      <c r="CZ203" s="367"/>
      <c r="DA203" s="367"/>
      <c r="DB203" s="367"/>
      <c r="DC203" s="367"/>
      <c r="DD203" s="367"/>
      <c r="DE203" s="367"/>
      <c r="DF203" s="367"/>
      <c r="DG203" s="367"/>
      <c r="DH203" s="367"/>
      <c r="DI203" s="367"/>
      <c r="DJ203" s="367"/>
      <c r="DK203" s="367"/>
      <c r="DL203" s="367"/>
      <c r="DM203" s="367"/>
      <c r="DN203" s="367"/>
      <c r="DO203" s="367"/>
      <c r="DP203" s="367"/>
      <c r="DQ203" s="367"/>
      <c r="DR203" s="367"/>
      <c r="DS203" s="367"/>
      <c r="DT203" s="367"/>
      <c r="DU203" s="367"/>
      <c r="DV203" s="367"/>
      <c r="DW203" s="367"/>
      <c r="DX203" s="367"/>
      <c r="DY203" s="367"/>
      <c r="DZ203" s="367"/>
      <c r="EA203" s="367"/>
      <c r="EB203" s="367"/>
      <c r="EC203" s="367"/>
      <c r="ED203" s="367"/>
      <c r="EE203" s="367"/>
      <c r="EF203" s="367"/>
      <c r="EG203" s="367"/>
      <c r="EH203" s="367"/>
      <c r="EI203" s="367"/>
      <c r="EJ203" s="367"/>
      <c r="EK203" s="367"/>
      <c r="EL203" s="367"/>
      <c r="EM203" s="367"/>
      <c r="EN203" s="367"/>
      <c r="EO203" s="367"/>
      <c r="EP203" s="367"/>
      <c r="EQ203" s="367"/>
    </row>
    <row r="204" spans="1:147" x14ac:dyDescent="0.2">
      <c r="A204" s="192"/>
      <c r="B204" s="192"/>
      <c r="C204" s="192"/>
      <c r="D204" s="192"/>
      <c r="E204" s="192"/>
      <c r="F204" s="192"/>
      <c r="G204" s="192"/>
      <c r="H204" s="192"/>
      <c r="I204" s="192"/>
      <c r="J204" s="192"/>
      <c r="K204" s="192"/>
      <c r="L204" s="192"/>
      <c r="M204" s="192"/>
      <c r="N204" s="192"/>
      <c r="O204" s="192"/>
      <c r="P204" s="192"/>
      <c r="Q204" s="192"/>
      <c r="R204" s="192"/>
      <c r="S204" s="266"/>
      <c r="T204" s="265"/>
      <c r="U204" s="265"/>
      <c r="V204" s="265"/>
      <c r="W204" s="265"/>
      <c r="X204" s="265"/>
      <c r="Y204" s="265"/>
      <c r="Z204" s="265"/>
      <c r="AA204" s="265"/>
      <c r="AB204" s="265"/>
      <c r="AC204" s="265"/>
      <c r="AD204" s="265"/>
      <c r="AE204" s="265"/>
      <c r="AF204" s="265"/>
      <c r="AG204" s="265"/>
      <c r="AH204" s="265"/>
      <c r="AI204" s="192"/>
      <c r="AJ204" s="192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7"/>
      <c r="AW204" s="367"/>
      <c r="AX204" s="367"/>
      <c r="AY204" s="367"/>
      <c r="AZ204" s="367"/>
      <c r="BA204" s="367"/>
      <c r="BB204" s="367"/>
      <c r="BC204" s="367"/>
      <c r="BD204" s="367"/>
      <c r="BE204" s="367"/>
      <c r="BF204" s="367"/>
      <c r="BG204" s="367"/>
      <c r="BH204" s="367"/>
      <c r="BI204" s="367"/>
      <c r="BJ204" s="367"/>
      <c r="BK204" s="367"/>
      <c r="BL204" s="367"/>
      <c r="BM204" s="367"/>
      <c r="BN204" s="367"/>
      <c r="BO204" s="367"/>
      <c r="BP204" s="367"/>
      <c r="BQ204" s="367"/>
      <c r="BR204" s="367"/>
      <c r="BS204" s="367"/>
      <c r="BT204" s="367"/>
      <c r="BU204" s="367"/>
      <c r="BV204" s="367"/>
      <c r="BW204" s="367"/>
      <c r="BX204" s="367"/>
      <c r="BY204" s="367"/>
      <c r="BZ204" s="367"/>
      <c r="CA204" s="367"/>
      <c r="CB204" s="367"/>
      <c r="CC204" s="367"/>
      <c r="CD204" s="367"/>
      <c r="CE204" s="367"/>
      <c r="CF204" s="367"/>
      <c r="CG204" s="367"/>
      <c r="CH204" s="367"/>
      <c r="CI204" s="367"/>
      <c r="CJ204" s="367"/>
      <c r="CK204" s="367"/>
      <c r="CL204" s="367"/>
      <c r="CM204" s="367"/>
      <c r="CN204" s="367"/>
      <c r="CO204" s="367"/>
      <c r="CP204" s="367"/>
      <c r="CQ204" s="367"/>
      <c r="CR204" s="367"/>
      <c r="CS204" s="367"/>
      <c r="CT204" s="367"/>
      <c r="CU204" s="367"/>
      <c r="CV204" s="367"/>
      <c r="CW204" s="367"/>
      <c r="CX204" s="367"/>
      <c r="CY204" s="367"/>
      <c r="CZ204" s="367"/>
      <c r="DA204" s="367"/>
      <c r="DB204" s="367"/>
      <c r="DC204" s="367"/>
      <c r="DD204" s="367"/>
      <c r="DE204" s="367"/>
      <c r="DF204" s="367"/>
      <c r="DG204" s="367"/>
      <c r="DH204" s="367"/>
      <c r="DI204" s="367"/>
      <c r="DJ204" s="367"/>
      <c r="DK204" s="367"/>
      <c r="DL204" s="367"/>
      <c r="DM204" s="367"/>
      <c r="DN204" s="367"/>
      <c r="DO204" s="367"/>
      <c r="DP204" s="367"/>
      <c r="DQ204" s="367"/>
      <c r="DR204" s="367"/>
      <c r="DS204" s="367"/>
      <c r="DT204" s="367"/>
      <c r="DU204" s="367"/>
      <c r="DV204" s="367"/>
      <c r="DW204" s="367"/>
      <c r="DX204" s="367"/>
      <c r="DY204" s="367"/>
      <c r="DZ204" s="367"/>
      <c r="EA204" s="367"/>
      <c r="EB204" s="367"/>
      <c r="EC204" s="367"/>
      <c r="ED204" s="367"/>
      <c r="EE204" s="367"/>
      <c r="EF204" s="367"/>
      <c r="EG204" s="367"/>
      <c r="EH204" s="367"/>
      <c r="EI204" s="367"/>
      <c r="EJ204" s="367"/>
      <c r="EK204" s="367"/>
      <c r="EL204" s="367"/>
      <c r="EM204" s="367"/>
      <c r="EN204" s="367"/>
      <c r="EO204" s="367"/>
      <c r="EP204" s="367"/>
      <c r="EQ204" s="367"/>
    </row>
    <row r="205" spans="1:147" x14ac:dyDescent="0.2">
      <c r="A205" s="192"/>
      <c r="B205" s="192"/>
      <c r="C205" s="192"/>
      <c r="D205" s="192"/>
      <c r="E205" s="192"/>
      <c r="F205" s="192"/>
      <c r="G205" s="192"/>
      <c r="H205" s="192"/>
      <c r="I205" s="192"/>
      <c r="J205" s="192"/>
      <c r="K205" s="192"/>
      <c r="L205" s="192"/>
      <c r="M205" s="192"/>
      <c r="N205" s="192"/>
      <c r="O205" s="192"/>
      <c r="P205" s="192"/>
      <c r="Q205" s="192"/>
      <c r="R205" s="192"/>
      <c r="S205" s="266"/>
      <c r="T205" s="265"/>
      <c r="U205" s="265"/>
      <c r="V205" s="265"/>
      <c r="W205" s="265"/>
      <c r="X205" s="265"/>
      <c r="Y205" s="265"/>
      <c r="Z205" s="265"/>
      <c r="AA205" s="265"/>
      <c r="AB205" s="265"/>
      <c r="AC205" s="265"/>
      <c r="AD205" s="265"/>
      <c r="AE205" s="265"/>
      <c r="AF205" s="265"/>
      <c r="AG205" s="265"/>
      <c r="AH205" s="265"/>
      <c r="AI205" s="192"/>
      <c r="AJ205" s="192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7"/>
      <c r="AW205" s="367"/>
      <c r="AX205" s="367"/>
      <c r="AY205" s="367"/>
      <c r="AZ205" s="367"/>
      <c r="BA205" s="367"/>
      <c r="BB205" s="367"/>
      <c r="BC205" s="367"/>
      <c r="BD205" s="367"/>
      <c r="BE205" s="367"/>
      <c r="BF205" s="367"/>
      <c r="BG205" s="367"/>
      <c r="BH205" s="367"/>
      <c r="BI205" s="367"/>
      <c r="BJ205" s="367"/>
      <c r="BK205" s="367"/>
      <c r="BL205" s="367"/>
      <c r="BM205" s="367"/>
      <c r="BN205" s="367"/>
      <c r="BO205" s="367"/>
      <c r="BP205" s="367"/>
      <c r="BQ205" s="367"/>
      <c r="BR205" s="367"/>
      <c r="BS205" s="367"/>
      <c r="BT205" s="367"/>
      <c r="BU205" s="367"/>
      <c r="BV205" s="367"/>
      <c r="BW205" s="367"/>
      <c r="BX205" s="367"/>
      <c r="BY205" s="367"/>
      <c r="BZ205" s="367"/>
      <c r="CA205" s="367"/>
      <c r="CB205" s="367"/>
      <c r="CC205" s="367"/>
      <c r="CD205" s="367"/>
      <c r="CE205" s="367"/>
      <c r="CF205" s="367"/>
      <c r="CG205" s="367"/>
      <c r="CH205" s="367"/>
      <c r="CI205" s="367"/>
      <c r="CJ205" s="367"/>
      <c r="CK205" s="367"/>
      <c r="CL205" s="367"/>
      <c r="CM205" s="367"/>
      <c r="CN205" s="367"/>
      <c r="CO205" s="367"/>
      <c r="CP205" s="367"/>
      <c r="CQ205" s="367"/>
      <c r="CR205" s="367"/>
      <c r="CS205" s="367"/>
      <c r="CT205" s="367"/>
      <c r="CU205" s="367"/>
      <c r="CV205" s="367"/>
      <c r="CW205" s="367"/>
      <c r="CX205" s="367"/>
      <c r="CY205" s="367"/>
      <c r="CZ205" s="367"/>
      <c r="DA205" s="367"/>
      <c r="DB205" s="367"/>
      <c r="DC205" s="367"/>
      <c r="DD205" s="367"/>
      <c r="DE205" s="367"/>
      <c r="DF205" s="367"/>
      <c r="DG205" s="367"/>
      <c r="DH205" s="367"/>
      <c r="DI205" s="367"/>
      <c r="DJ205" s="367"/>
      <c r="DK205" s="367"/>
      <c r="DL205" s="367"/>
      <c r="DM205" s="367"/>
      <c r="DN205" s="367"/>
      <c r="DO205" s="367"/>
      <c r="DP205" s="367"/>
      <c r="DQ205" s="367"/>
      <c r="DR205" s="367"/>
      <c r="DS205" s="367"/>
      <c r="DT205" s="367"/>
      <c r="DU205" s="367"/>
      <c r="DV205" s="367"/>
      <c r="DW205" s="367"/>
      <c r="DX205" s="367"/>
      <c r="DY205" s="367"/>
      <c r="DZ205" s="367"/>
      <c r="EA205" s="367"/>
      <c r="EB205" s="367"/>
      <c r="EC205" s="367"/>
      <c r="ED205" s="367"/>
      <c r="EE205" s="367"/>
      <c r="EF205" s="367"/>
      <c r="EG205" s="367"/>
      <c r="EH205" s="367"/>
      <c r="EI205" s="367"/>
      <c r="EJ205" s="367"/>
      <c r="EK205" s="367"/>
      <c r="EL205" s="367"/>
      <c r="EM205" s="367"/>
      <c r="EN205" s="367"/>
      <c r="EO205" s="367"/>
      <c r="EP205" s="367"/>
      <c r="EQ205" s="367"/>
    </row>
    <row r="206" spans="1:147" x14ac:dyDescent="0.2">
      <c r="A206" s="192"/>
      <c r="B206" s="192"/>
      <c r="C206" s="192"/>
      <c r="D206" s="192"/>
      <c r="E206" s="192"/>
      <c r="F206" s="192"/>
      <c r="G206" s="192"/>
      <c r="H206" s="192"/>
      <c r="I206" s="192"/>
      <c r="J206" s="192"/>
      <c r="K206" s="192"/>
      <c r="L206" s="192"/>
      <c r="M206" s="192"/>
      <c r="N206" s="192"/>
      <c r="O206" s="192"/>
      <c r="P206" s="192"/>
      <c r="Q206" s="192"/>
      <c r="R206" s="192"/>
      <c r="S206" s="266"/>
      <c r="T206" s="265"/>
      <c r="U206" s="265"/>
      <c r="V206" s="265"/>
      <c r="W206" s="265"/>
      <c r="X206" s="265"/>
      <c r="Y206" s="265"/>
      <c r="Z206" s="265"/>
      <c r="AA206" s="265"/>
      <c r="AB206" s="265"/>
      <c r="AC206" s="265"/>
      <c r="AD206" s="265"/>
      <c r="AE206" s="265"/>
      <c r="AF206" s="265"/>
      <c r="AG206" s="265"/>
      <c r="AH206" s="265"/>
      <c r="AI206" s="192"/>
      <c r="AJ206" s="192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7"/>
      <c r="AW206" s="367"/>
      <c r="AX206" s="367"/>
      <c r="AY206" s="367"/>
      <c r="AZ206" s="367"/>
      <c r="BA206" s="367"/>
      <c r="BB206" s="367"/>
      <c r="BC206" s="367"/>
      <c r="BD206" s="367"/>
      <c r="BE206" s="367"/>
      <c r="BF206" s="367"/>
      <c r="BG206" s="367"/>
      <c r="BH206" s="367"/>
      <c r="BI206" s="367"/>
      <c r="BJ206" s="367"/>
      <c r="BK206" s="367"/>
      <c r="BL206" s="367"/>
      <c r="BM206" s="367"/>
      <c r="BN206" s="367"/>
      <c r="BO206" s="367"/>
      <c r="BP206" s="367"/>
      <c r="BQ206" s="367"/>
      <c r="BR206" s="367"/>
      <c r="BS206" s="367"/>
      <c r="BT206" s="367"/>
      <c r="BU206" s="367"/>
      <c r="BV206" s="367"/>
      <c r="BW206" s="367"/>
      <c r="BX206" s="367"/>
      <c r="BY206" s="367"/>
      <c r="BZ206" s="367"/>
      <c r="CA206" s="367"/>
      <c r="CB206" s="367"/>
      <c r="CC206" s="367"/>
      <c r="CD206" s="367"/>
      <c r="CE206" s="367"/>
      <c r="CF206" s="367"/>
      <c r="CG206" s="367"/>
      <c r="CH206" s="367"/>
      <c r="CI206" s="367"/>
      <c r="CJ206" s="367"/>
      <c r="CK206" s="367"/>
      <c r="CL206" s="367"/>
      <c r="CM206" s="367"/>
      <c r="CN206" s="367"/>
      <c r="CO206" s="367"/>
      <c r="CP206" s="367"/>
      <c r="CQ206" s="367"/>
      <c r="CR206" s="367"/>
      <c r="CS206" s="367"/>
      <c r="CT206" s="367"/>
      <c r="CU206" s="367"/>
      <c r="CV206" s="367"/>
      <c r="CW206" s="367"/>
      <c r="CX206" s="367"/>
      <c r="CY206" s="367"/>
      <c r="CZ206" s="367"/>
      <c r="DA206" s="367"/>
      <c r="DB206" s="367"/>
      <c r="DC206" s="367"/>
      <c r="DD206" s="367"/>
      <c r="DE206" s="367"/>
      <c r="DF206" s="367"/>
      <c r="DG206" s="367"/>
      <c r="DH206" s="367"/>
      <c r="DI206" s="367"/>
      <c r="DJ206" s="367"/>
      <c r="DK206" s="367"/>
      <c r="DL206" s="367"/>
      <c r="DM206" s="367"/>
      <c r="DN206" s="367"/>
      <c r="DO206" s="367"/>
      <c r="DP206" s="367"/>
      <c r="DQ206" s="367"/>
      <c r="DR206" s="367"/>
      <c r="DS206" s="367"/>
      <c r="DT206" s="367"/>
      <c r="DU206" s="367"/>
      <c r="DV206" s="367"/>
      <c r="DW206" s="367"/>
      <c r="DX206" s="367"/>
      <c r="DY206" s="367"/>
      <c r="DZ206" s="367"/>
      <c r="EA206" s="367"/>
      <c r="EB206" s="367"/>
      <c r="EC206" s="367"/>
      <c r="ED206" s="367"/>
      <c r="EE206" s="367"/>
      <c r="EF206" s="367"/>
      <c r="EG206" s="367"/>
      <c r="EH206" s="367"/>
      <c r="EI206" s="367"/>
      <c r="EJ206" s="367"/>
      <c r="EK206" s="367"/>
      <c r="EL206" s="367"/>
      <c r="EM206" s="367"/>
      <c r="EN206" s="367"/>
      <c r="EO206" s="367"/>
      <c r="EP206" s="367"/>
      <c r="EQ206" s="367"/>
    </row>
    <row r="207" spans="1:147" x14ac:dyDescent="0.2">
      <c r="A207" s="192"/>
      <c r="B207" s="192"/>
      <c r="C207" s="192"/>
      <c r="D207" s="192"/>
      <c r="E207" s="192"/>
      <c r="F207" s="192"/>
      <c r="G207" s="192"/>
      <c r="H207" s="192"/>
      <c r="I207" s="192"/>
      <c r="J207" s="192"/>
      <c r="K207" s="192"/>
      <c r="L207" s="192"/>
      <c r="M207" s="192"/>
      <c r="N207" s="192"/>
      <c r="O207" s="192"/>
      <c r="P207" s="192"/>
      <c r="Q207" s="192"/>
      <c r="R207" s="192"/>
      <c r="S207" s="266"/>
      <c r="T207" s="265"/>
      <c r="U207" s="265"/>
      <c r="V207" s="265"/>
      <c r="W207" s="265"/>
      <c r="X207" s="265"/>
      <c r="Y207" s="265"/>
      <c r="Z207" s="265"/>
      <c r="AA207" s="265"/>
      <c r="AB207" s="265"/>
      <c r="AC207" s="265"/>
      <c r="AD207" s="265"/>
      <c r="AE207" s="265"/>
      <c r="AF207" s="265"/>
      <c r="AG207" s="265"/>
      <c r="AH207" s="265"/>
      <c r="AI207" s="192"/>
      <c r="AJ207" s="192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7"/>
      <c r="AW207" s="367"/>
      <c r="AX207" s="367"/>
      <c r="AY207" s="367"/>
      <c r="AZ207" s="367"/>
      <c r="BA207" s="367"/>
      <c r="BB207" s="367"/>
      <c r="BC207" s="367"/>
      <c r="BD207" s="367"/>
      <c r="BE207" s="367"/>
      <c r="BF207" s="367"/>
      <c r="BG207" s="367"/>
      <c r="BH207" s="367"/>
      <c r="BI207" s="367"/>
      <c r="BJ207" s="367"/>
      <c r="BK207" s="367"/>
      <c r="BL207" s="367"/>
      <c r="BM207" s="367"/>
      <c r="BN207" s="367"/>
      <c r="BO207" s="367"/>
      <c r="BP207" s="367"/>
      <c r="BQ207" s="367"/>
      <c r="BR207" s="367"/>
      <c r="BS207" s="367"/>
      <c r="BT207" s="367"/>
      <c r="BU207" s="367"/>
      <c r="BV207" s="367"/>
      <c r="BW207" s="367"/>
      <c r="BX207" s="367"/>
      <c r="BY207" s="367"/>
      <c r="BZ207" s="367"/>
      <c r="CA207" s="367"/>
      <c r="CB207" s="367"/>
      <c r="CC207" s="367"/>
      <c r="CD207" s="367"/>
      <c r="CE207" s="367"/>
      <c r="CF207" s="367"/>
      <c r="CG207" s="367"/>
      <c r="CH207" s="367"/>
      <c r="CI207" s="367"/>
      <c r="CJ207" s="367"/>
      <c r="CK207" s="367"/>
      <c r="CL207" s="367"/>
      <c r="CM207" s="367"/>
      <c r="CN207" s="367"/>
      <c r="CO207" s="367"/>
      <c r="CP207" s="367"/>
      <c r="CQ207" s="367"/>
      <c r="CR207" s="367"/>
      <c r="CS207" s="367"/>
      <c r="CT207" s="367"/>
      <c r="CU207" s="367"/>
      <c r="CV207" s="367"/>
      <c r="CW207" s="367"/>
      <c r="CX207" s="367"/>
      <c r="CY207" s="367"/>
      <c r="CZ207" s="367"/>
      <c r="DA207" s="367"/>
      <c r="DB207" s="367"/>
      <c r="DC207" s="367"/>
      <c r="DD207" s="367"/>
      <c r="DE207" s="367"/>
      <c r="DF207" s="367"/>
      <c r="DG207" s="367"/>
      <c r="DH207" s="367"/>
      <c r="DI207" s="367"/>
      <c r="DJ207" s="367"/>
      <c r="DK207" s="367"/>
      <c r="DL207" s="367"/>
      <c r="DM207" s="367"/>
      <c r="DN207" s="367"/>
      <c r="DO207" s="367"/>
      <c r="DP207" s="367"/>
      <c r="DQ207" s="367"/>
      <c r="DR207" s="367"/>
      <c r="DS207" s="367"/>
      <c r="DT207" s="367"/>
      <c r="DU207" s="367"/>
      <c r="DV207" s="367"/>
      <c r="DW207" s="367"/>
      <c r="DX207" s="367"/>
      <c r="DY207" s="367"/>
      <c r="DZ207" s="367"/>
      <c r="EA207" s="367"/>
      <c r="EB207" s="367"/>
      <c r="EC207" s="367"/>
      <c r="ED207" s="367"/>
      <c r="EE207" s="367"/>
      <c r="EF207" s="367"/>
      <c r="EG207" s="367"/>
      <c r="EH207" s="367"/>
      <c r="EI207" s="367"/>
      <c r="EJ207" s="367"/>
      <c r="EK207" s="367"/>
      <c r="EL207" s="367"/>
      <c r="EM207" s="367"/>
      <c r="EN207" s="367"/>
      <c r="EO207" s="367"/>
      <c r="EP207" s="367"/>
      <c r="EQ207" s="367"/>
    </row>
    <row r="208" spans="1:147" x14ac:dyDescent="0.2">
      <c r="A208" s="192"/>
      <c r="B208" s="192"/>
      <c r="C208" s="192"/>
      <c r="D208" s="192"/>
      <c r="E208" s="192"/>
      <c r="F208" s="192"/>
      <c r="G208" s="192"/>
      <c r="H208" s="192"/>
      <c r="I208" s="192"/>
      <c r="J208" s="192"/>
      <c r="K208" s="192"/>
      <c r="L208" s="192"/>
      <c r="M208" s="192"/>
      <c r="N208" s="192"/>
      <c r="O208" s="192"/>
      <c r="P208" s="192"/>
      <c r="Q208" s="192"/>
      <c r="R208" s="192"/>
      <c r="S208" s="266"/>
      <c r="T208" s="265"/>
      <c r="U208" s="265"/>
      <c r="V208" s="265"/>
      <c r="W208" s="265"/>
      <c r="X208" s="265"/>
      <c r="Y208" s="265"/>
      <c r="Z208" s="265"/>
      <c r="AA208" s="265"/>
      <c r="AB208" s="265"/>
      <c r="AC208" s="265"/>
      <c r="AD208" s="265"/>
      <c r="AE208" s="265"/>
      <c r="AF208" s="265"/>
      <c r="AG208" s="265"/>
      <c r="AH208" s="265"/>
      <c r="AI208" s="192"/>
      <c r="AJ208" s="192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7"/>
      <c r="AW208" s="367"/>
      <c r="AX208" s="367"/>
      <c r="AY208" s="367"/>
      <c r="AZ208" s="367"/>
      <c r="BA208" s="367"/>
      <c r="BB208" s="367"/>
      <c r="BC208" s="367"/>
      <c r="BD208" s="367"/>
      <c r="BE208" s="367"/>
      <c r="BF208" s="367"/>
      <c r="BG208" s="367"/>
      <c r="BH208" s="367"/>
      <c r="BI208" s="367"/>
      <c r="BJ208" s="367"/>
      <c r="BK208" s="367"/>
      <c r="BL208" s="367"/>
      <c r="BM208" s="367"/>
      <c r="BN208" s="367"/>
      <c r="BO208" s="367"/>
      <c r="BP208" s="367"/>
      <c r="BQ208" s="367"/>
      <c r="BR208" s="367"/>
      <c r="BS208" s="367"/>
      <c r="BT208" s="367"/>
      <c r="BU208" s="367"/>
      <c r="BV208" s="367"/>
      <c r="BW208" s="367"/>
      <c r="BX208" s="367"/>
      <c r="BY208" s="367"/>
      <c r="BZ208" s="367"/>
      <c r="CA208" s="367"/>
      <c r="CB208" s="367"/>
      <c r="CC208" s="367"/>
      <c r="CD208" s="367"/>
      <c r="CE208" s="367"/>
      <c r="CF208" s="367"/>
      <c r="CG208" s="367"/>
      <c r="CH208" s="367"/>
      <c r="CI208" s="367"/>
      <c r="CJ208" s="367"/>
      <c r="CK208" s="367"/>
      <c r="CL208" s="367"/>
      <c r="CM208" s="367"/>
      <c r="CN208" s="367"/>
      <c r="CO208" s="367"/>
      <c r="CP208" s="367"/>
      <c r="CQ208" s="367"/>
      <c r="CR208" s="367"/>
      <c r="CS208" s="367"/>
      <c r="CT208" s="367"/>
      <c r="CU208" s="367"/>
      <c r="CV208" s="367"/>
      <c r="CW208" s="367"/>
      <c r="CX208" s="367"/>
      <c r="CY208" s="367"/>
      <c r="CZ208" s="367"/>
      <c r="DA208" s="367"/>
      <c r="DB208" s="367"/>
      <c r="DC208" s="367"/>
      <c r="DD208" s="367"/>
      <c r="DE208" s="367"/>
      <c r="DF208" s="367"/>
      <c r="DG208" s="367"/>
      <c r="DH208" s="367"/>
      <c r="DI208" s="367"/>
      <c r="DJ208" s="367"/>
      <c r="DK208" s="367"/>
      <c r="DL208" s="367"/>
      <c r="DM208" s="367"/>
      <c r="DN208" s="367"/>
      <c r="DO208" s="367"/>
      <c r="DP208" s="367"/>
      <c r="DQ208" s="367"/>
      <c r="DR208" s="367"/>
      <c r="DS208" s="367"/>
      <c r="DT208" s="367"/>
      <c r="DU208" s="367"/>
      <c r="DV208" s="367"/>
      <c r="DW208" s="367"/>
      <c r="DX208" s="367"/>
      <c r="DY208" s="367"/>
      <c r="DZ208" s="367"/>
      <c r="EA208" s="367"/>
      <c r="EB208" s="367"/>
      <c r="EC208" s="367"/>
      <c r="ED208" s="367"/>
      <c r="EE208" s="367"/>
      <c r="EF208" s="367"/>
      <c r="EG208" s="367"/>
      <c r="EH208" s="367"/>
      <c r="EI208" s="367"/>
      <c r="EJ208" s="367"/>
      <c r="EK208" s="367"/>
      <c r="EL208" s="367"/>
      <c r="EM208" s="367"/>
      <c r="EN208" s="367"/>
      <c r="EO208" s="367"/>
      <c r="EP208" s="367"/>
      <c r="EQ208" s="367"/>
    </row>
    <row r="209" spans="1:147" x14ac:dyDescent="0.2">
      <c r="A209" s="192"/>
      <c r="B209" s="192"/>
      <c r="C209" s="192"/>
      <c r="D209" s="192"/>
      <c r="E209" s="192"/>
      <c r="F209" s="192"/>
      <c r="G209" s="192"/>
      <c r="H209" s="192"/>
      <c r="I209" s="192"/>
      <c r="J209" s="192"/>
      <c r="K209" s="192"/>
      <c r="L209" s="192"/>
      <c r="M209" s="192"/>
      <c r="N209" s="192"/>
      <c r="O209" s="192"/>
      <c r="P209" s="192"/>
      <c r="Q209" s="192"/>
      <c r="R209" s="192"/>
      <c r="S209" s="266"/>
      <c r="T209" s="265"/>
      <c r="U209" s="265"/>
      <c r="V209" s="265"/>
      <c r="W209" s="265"/>
      <c r="X209" s="265"/>
      <c r="Y209" s="265"/>
      <c r="Z209" s="265"/>
      <c r="AA209" s="265"/>
      <c r="AB209" s="265"/>
      <c r="AC209" s="265"/>
      <c r="AD209" s="265"/>
      <c r="AE209" s="265"/>
      <c r="AF209" s="265"/>
      <c r="AG209" s="265"/>
      <c r="AH209" s="265"/>
      <c r="AI209" s="192"/>
      <c r="AJ209" s="192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  <c r="BP209" s="367"/>
      <c r="BQ209" s="367"/>
      <c r="BR209" s="367"/>
      <c r="BS209" s="367"/>
      <c r="BT209" s="367"/>
      <c r="BU209" s="367"/>
      <c r="BV209" s="367"/>
      <c r="BW209" s="367"/>
      <c r="BX209" s="367"/>
      <c r="BY209" s="367"/>
      <c r="BZ209" s="367"/>
      <c r="CA209" s="367"/>
      <c r="CB209" s="367"/>
      <c r="CC209" s="367"/>
      <c r="CD209" s="367"/>
      <c r="CE209" s="367"/>
      <c r="CF209" s="367"/>
      <c r="CG209" s="367"/>
      <c r="CH209" s="367"/>
      <c r="CI209" s="367"/>
      <c r="CJ209" s="367"/>
      <c r="CK209" s="367"/>
      <c r="CL209" s="367"/>
      <c r="CM209" s="367"/>
      <c r="CN209" s="367"/>
      <c r="CO209" s="367"/>
      <c r="CP209" s="367"/>
      <c r="CQ209" s="367"/>
      <c r="CR209" s="367"/>
      <c r="CS209" s="367"/>
      <c r="CT209" s="367"/>
      <c r="CU209" s="367"/>
      <c r="CV209" s="367"/>
      <c r="CW209" s="367"/>
      <c r="CX209" s="367"/>
      <c r="CY209" s="367"/>
      <c r="CZ209" s="367"/>
      <c r="DA209" s="367"/>
      <c r="DB209" s="367"/>
      <c r="DC209" s="367"/>
      <c r="DD209" s="367"/>
      <c r="DE209" s="367"/>
      <c r="DF209" s="367"/>
      <c r="DG209" s="367"/>
      <c r="DH209" s="367"/>
      <c r="DI209" s="367"/>
      <c r="DJ209" s="367"/>
      <c r="DK209" s="367"/>
      <c r="DL209" s="367"/>
      <c r="DM209" s="367"/>
      <c r="DN209" s="367"/>
      <c r="DO209" s="367"/>
      <c r="DP209" s="367"/>
      <c r="DQ209" s="367"/>
      <c r="DR209" s="367"/>
      <c r="DS209" s="367"/>
      <c r="DT209" s="367"/>
      <c r="DU209" s="367"/>
      <c r="DV209" s="367"/>
      <c r="DW209" s="367"/>
      <c r="DX209" s="367"/>
      <c r="DY209" s="367"/>
      <c r="DZ209" s="367"/>
      <c r="EA209" s="367"/>
      <c r="EB209" s="367"/>
      <c r="EC209" s="367"/>
      <c r="ED209" s="367"/>
      <c r="EE209" s="367"/>
      <c r="EF209" s="367"/>
      <c r="EG209" s="367"/>
      <c r="EH209" s="367"/>
      <c r="EI209" s="367"/>
      <c r="EJ209" s="367"/>
      <c r="EK209" s="367"/>
      <c r="EL209" s="367"/>
      <c r="EM209" s="367"/>
      <c r="EN209" s="367"/>
      <c r="EO209" s="367"/>
      <c r="EP209" s="367"/>
      <c r="EQ209" s="367"/>
    </row>
    <row r="210" spans="1:147" x14ac:dyDescent="0.2">
      <c r="A210" s="192"/>
      <c r="B210" s="192"/>
      <c r="C210" s="192"/>
      <c r="D210" s="192"/>
      <c r="E210" s="192"/>
      <c r="F210" s="192"/>
      <c r="G210" s="192"/>
      <c r="H210" s="192"/>
      <c r="I210" s="192"/>
      <c r="J210" s="192"/>
      <c r="K210" s="192"/>
      <c r="L210" s="192"/>
      <c r="M210" s="192"/>
      <c r="N210" s="192"/>
      <c r="O210" s="192"/>
      <c r="P210" s="192"/>
      <c r="Q210" s="192"/>
      <c r="R210" s="192"/>
      <c r="S210" s="266"/>
      <c r="T210" s="265"/>
      <c r="U210" s="265"/>
      <c r="V210" s="265"/>
      <c r="W210" s="265"/>
      <c r="X210" s="265"/>
      <c r="Y210" s="265"/>
      <c r="Z210" s="265"/>
      <c r="AA210" s="265"/>
      <c r="AB210" s="265"/>
      <c r="AC210" s="265"/>
      <c r="AD210" s="265"/>
      <c r="AE210" s="265"/>
      <c r="AF210" s="265"/>
      <c r="AG210" s="265"/>
      <c r="AH210" s="265"/>
      <c r="AI210" s="192"/>
      <c r="AJ210" s="192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  <c r="BP210" s="367"/>
      <c r="BQ210" s="367"/>
      <c r="BR210" s="367"/>
      <c r="BS210" s="367"/>
      <c r="BT210" s="367"/>
      <c r="BU210" s="367"/>
      <c r="BV210" s="367"/>
      <c r="BW210" s="367"/>
      <c r="BX210" s="367"/>
      <c r="BY210" s="367"/>
      <c r="BZ210" s="367"/>
      <c r="CA210" s="367"/>
      <c r="CB210" s="367"/>
      <c r="CC210" s="367"/>
      <c r="CD210" s="367"/>
      <c r="CE210" s="367"/>
      <c r="CF210" s="367"/>
      <c r="CG210" s="367"/>
      <c r="CH210" s="367"/>
      <c r="CI210" s="367"/>
      <c r="CJ210" s="367"/>
      <c r="CK210" s="367"/>
      <c r="CL210" s="367"/>
      <c r="CM210" s="367"/>
      <c r="CN210" s="367"/>
      <c r="CO210" s="367"/>
      <c r="CP210" s="367"/>
      <c r="CQ210" s="367"/>
      <c r="CR210" s="367"/>
      <c r="CS210" s="367"/>
      <c r="CT210" s="367"/>
      <c r="CU210" s="367"/>
      <c r="CV210" s="367"/>
      <c r="CW210" s="367"/>
      <c r="CX210" s="367"/>
      <c r="CY210" s="367"/>
      <c r="CZ210" s="367"/>
      <c r="DA210" s="367"/>
      <c r="DB210" s="367"/>
      <c r="DC210" s="367"/>
      <c r="DD210" s="367"/>
      <c r="DE210" s="367"/>
      <c r="DF210" s="367"/>
      <c r="DG210" s="367"/>
      <c r="DH210" s="367"/>
      <c r="DI210" s="367"/>
      <c r="DJ210" s="367"/>
      <c r="DK210" s="367"/>
      <c r="DL210" s="367"/>
      <c r="DM210" s="367"/>
      <c r="DN210" s="367"/>
      <c r="DO210" s="367"/>
      <c r="DP210" s="367"/>
      <c r="DQ210" s="367"/>
      <c r="DR210" s="367"/>
      <c r="DS210" s="367"/>
      <c r="DT210" s="367"/>
      <c r="DU210" s="367"/>
      <c r="DV210" s="367"/>
      <c r="DW210" s="367"/>
      <c r="DX210" s="367"/>
      <c r="DY210" s="367"/>
      <c r="DZ210" s="367"/>
      <c r="EA210" s="367"/>
      <c r="EB210" s="367"/>
      <c r="EC210" s="367"/>
      <c r="ED210" s="367"/>
      <c r="EE210" s="367"/>
      <c r="EF210" s="367"/>
      <c r="EG210" s="367"/>
      <c r="EH210" s="367"/>
      <c r="EI210" s="367"/>
      <c r="EJ210" s="367"/>
      <c r="EK210" s="367"/>
      <c r="EL210" s="367"/>
      <c r="EM210" s="367"/>
      <c r="EN210" s="367"/>
      <c r="EO210" s="367"/>
      <c r="EP210" s="367"/>
      <c r="EQ210" s="367"/>
    </row>
    <row r="211" spans="1:147" x14ac:dyDescent="0.2">
      <c r="A211" s="192"/>
      <c r="B211" s="192"/>
      <c r="C211" s="192"/>
      <c r="D211" s="192"/>
      <c r="E211" s="192"/>
      <c r="F211" s="192"/>
      <c r="G211" s="192"/>
      <c r="H211" s="192"/>
      <c r="I211" s="192"/>
      <c r="J211" s="192"/>
      <c r="K211" s="192"/>
      <c r="L211" s="192"/>
      <c r="M211" s="192"/>
      <c r="N211" s="192"/>
      <c r="O211" s="192"/>
      <c r="P211" s="192"/>
      <c r="Q211" s="192"/>
      <c r="R211" s="192"/>
      <c r="S211" s="266"/>
      <c r="T211" s="265"/>
      <c r="U211" s="265"/>
      <c r="V211" s="265"/>
      <c r="W211" s="265"/>
      <c r="X211" s="265"/>
      <c r="Y211" s="265"/>
      <c r="Z211" s="265"/>
      <c r="AA211" s="265"/>
      <c r="AB211" s="265"/>
      <c r="AC211" s="265"/>
      <c r="AD211" s="265"/>
      <c r="AE211" s="265"/>
      <c r="AF211" s="265"/>
      <c r="AG211" s="265"/>
      <c r="AH211" s="265"/>
      <c r="AI211" s="192"/>
      <c r="AJ211" s="192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7"/>
      <c r="AW211" s="367"/>
      <c r="AX211" s="367"/>
      <c r="AY211" s="367"/>
      <c r="AZ211" s="367"/>
      <c r="BA211" s="367"/>
      <c r="BB211" s="367"/>
      <c r="BC211" s="367"/>
      <c r="BD211" s="367"/>
      <c r="BE211" s="367"/>
      <c r="BF211" s="367"/>
      <c r="BG211" s="367"/>
      <c r="BH211" s="367"/>
      <c r="BI211" s="367"/>
      <c r="BJ211" s="367"/>
      <c r="BK211" s="367"/>
      <c r="BL211" s="367"/>
      <c r="BM211" s="367"/>
      <c r="BN211" s="367"/>
      <c r="BO211" s="367"/>
      <c r="BP211" s="367"/>
      <c r="BQ211" s="367"/>
      <c r="BR211" s="367"/>
      <c r="BS211" s="367"/>
      <c r="BT211" s="367"/>
      <c r="BU211" s="367"/>
      <c r="BV211" s="367"/>
      <c r="BW211" s="367"/>
      <c r="BX211" s="367"/>
      <c r="BY211" s="367"/>
      <c r="BZ211" s="367"/>
      <c r="CA211" s="367"/>
      <c r="CB211" s="367"/>
      <c r="CC211" s="367"/>
      <c r="CD211" s="367"/>
      <c r="CE211" s="367"/>
      <c r="CF211" s="367"/>
      <c r="CG211" s="367"/>
      <c r="CH211" s="367"/>
      <c r="CI211" s="367"/>
      <c r="CJ211" s="367"/>
      <c r="CK211" s="367"/>
      <c r="CL211" s="367"/>
      <c r="CM211" s="367"/>
      <c r="CN211" s="367"/>
      <c r="CO211" s="367"/>
      <c r="CP211" s="367"/>
      <c r="CQ211" s="367"/>
      <c r="CR211" s="367"/>
      <c r="CS211" s="367"/>
      <c r="CT211" s="367"/>
      <c r="CU211" s="367"/>
      <c r="CV211" s="367"/>
      <c r="CW211" s="367"/>
      <c r="CX211" s="367"/>
      <c r="CY211" s="367"/>
      <c r="CZ211" s="367"/>
      <c r="DA211" s="367"/>
      <c r="DB211" s="367"/>
      <c r="DC211" s="367"/>
      <c r="DD211" s="367"/>
      <c r="DE211" s="367"/>
      <c r="DF211" s="367"/>
      <c r="DG211" s="367"/>
      <c r="DH211" s="367"/>
      <c r="DI211" s="367"/>
      <c r="DJ211" s="367"/>
      <c r="DK211" s="367"/>
      <c r="DL211" s="367"/>
      <c r="DM211" s="367"/>
      <c r="DN211" s="367"/>
      <c r="DO211" s="367"/>
      <c r="DP211" s="367"/>
      <c r="DQ211" s="367"/>
      <c r="DR211" s="367"/>
      <c r="DS211" s="367"/>
      <c r="DT211" s="367"/>
      <c r="DU211" s="367"/>
      <c r="DV211" s="367"/>
      <c r="DW211" s="367"/>
      <c r="DX211" s="367"/>
      <c r="DY211" s="367"/>
      <c r="DZ211" s="367"/>
      <c r="EA211" s="367"/>
      <c r="EB211" s="367"/>
      <c r="EC211" s="367"/>
      <c r="ED211" s="367"/>
      <c r="EE211" s="367"/>
      <c r="EF211" s="367"/>
      <c r="EG211" s="367"/>
      <c r="EH211" s="367"/>
      <c r="EI211" s="367"/>
      <c r="EJ211" s="367"/>
      <c r="EK211" s="367"/>
      <c r="EL211" s="367"/>
      <c r="EM211" s="367"/>
      <c r="EN211" s="367"/>
      <c r="EO211" s="367"/>
      <c r="EP211" s="367"/>
      <c r="EQ211" s="367"/>
    </row>
    <row r="212" spans="1:147" x14ac:dyDescent="0.2">
      <c r="A212" s="192"/>
      <c r="B212" s="192"/>
      <c r="C212" s="192"/>
      <c r="D212" s="192"/>
      <c r="E212" s="192"/>
      <c r="F212" s="192"/>
      <c r="G212" s="192"/>
      <c r="H212" s="192"/>
      <c r="I212" s="192"/>
      <c r="J212" s="192"/>
      <c r="K212" s="192"/>
      <c r="L212" s="192"/>
      <c r="M212" s="192"/>
      <c r="N212" s="192"/>
      <c r="O212" s="192"/>
      <c r="P212" s="192"/>
      <c r="Q212" s="192"/>
      <c r="R212" s="192"/>
      <c r="S212" s="266"/>
      <c r="T212" s="265"/>
      <c r="U212" s="265"/>
      <c r="V212" s="265"/>
      <c r="W212" s="265"/>
      <c r="X212" s="265"/>
      <c r="Y212" s="265"/>
      <c r="Z212" s="265"/>
      <c r="AA212" s="265"/>
      <c r="AB212" s="265"/>
      <c r="AC212" s="265"/>
      <c r="AD212" s="265"/>
      <c r="AE212" s="265"/>
      <c r="AF212" s="265"/>
      <c r="AG212" s="265"/>
      <c r="AH212" s="265"/>
      <c r="AI212" s="192"/>
      <c r="AJ212" s="192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  <c r="BP212" s="367"/>
      <c r="BQ212" s="367"/>
      <c r="BR212" s="367"/>
      <c r="BS212" s="367"/>
      <c r="BT212" s="367"/>
      <c r="BU212" s="367"/>
      <c r="BV212" s="367"/>
      <c r="BW212" s="367"/>
      <c r="BX212" s="367"/>
      <c r="BY212" s="367"/>
      <c r="BZ212" s="367"/>
      <c r="CA212" s="367"/>
      <c r="CB212" s="367"/>
      <c r="CC212" s="367"/>
      <c r="CD212" s="367"/>
      <c r="CE212" s="367"/>
      <c r="CF212" s="367"/>
      <c r="CG212" s="367"/>
      <c r="CH212" s="367"/>
      <c r="CI212" s="367"/>
      <c r="CJ212" s="367"/>
      <c r="CK212" s="367"/>
      <c r="CL212" s="367"/>
      <c r="CM212" s="367"/>
      <c r="CN212" s="367"/>
      <c r="CO212" s="367"/>
      <c r="CP212" s="367"/>
      <c r="CQ212" s="367"/>
      <c r="CR212" s="367"/>
      <c r="CS212" s="367"/>
      <c r="CT212" s="367"/>
      <c r="CU212" s="367"/>
      <c r="CV212" s="367"/>
      <c r="CW212" s="367"/>
      <c r="CX212" s="367"/>
      <c r="CY212" s="367"/>
      <c r="CZ212" s="367"/>
      <c r="DA212" s="367"/>
      <c r="DB212" s="367"/>
      <c r="DC212" s="367"/>
      <c r="DD212" s="367"/>
      <c r="DE212" s="367"/>
      <c r="DF212" s="367"/>
      <c r="DG212" s="367"/>
      <c r="DH212" s="367"/>
      <c r="DI212" s="367"/>
      <c r="DJ212" s="367"/>
      <c r="DK212" s="367"/>
      <c r="DL212" s="367"/>
      <c r="DM212" s="367"/>
      <c r="DN212" s="367"/>
      <c r="DO212" s="367"/>
      <c r="DP212" s="367"/>
      <c r="DQ212" s="367"/>
      <c r="DR212" s="367"/>
      <c r="DS212" s="367"/>
      <c r="DT212" s="367"/>
      <c r="DU212" s="367"/>
      <c r="DV212" s="367"/>
      <c r="DW212" s="367"/>
      <c r="DX212" s="367"/>
      <c r="DY212" s="367"/>
      <c r="DZ212" s="367"/>
      <c r="EA212" s="367"/>
      <c r="EB212" s="367"/>
      <c r="EC212" s="367"/>
      <c r="ED212" s="367"/>
      <c r="EE212" s="367"/>
      <c r="EF212" s="367"/>
      <c r="EG212" s="367"/>
      <c r="EH212" s="367"/>
      <c r="EI212" s="367"/>
      <c r="EJ212" s="367"/>
      <c r="EK212" s="367"/>
      <c r="EL212" s="367"/>
      <c r="EM212" s="367"/>
      <c r="EN212" s="367"/>
      <c r="EO212" s="367"/>
      <c r="EP212" s="367"/>
      <c r="EQ212" s="367"/>
    </row>
    <row r="213" spans="1:147" x14ac:dyDescent="0.2">
      <c r="A213" s="192"/>
      <c r="B213" s="192"/>
      <c r="C213" s="192"/>
      <c r="D213" s="192"/>
      <c r="E213" s="192"/>
      <c r="F213" s="192"/>
      <c r="G213" s="192"/>
      <c r="H213" s="192"/>
      <c r="I213" s="192"/>
      <c r="J213" s="192"/>
      <c r="K213" s="192"/>
      <c r="L213" s="192"/>
      <c r="M213" s="192"/>
      <c r="N213" s="192"/>
      <c r="O213" s="192"/>
      <c r="P213" s="192"/>
      <c r="Q213" s="192"/>
      <c r="R213" s="192"/>
      <c r="S213" s="266"/>
      <c r="T213" s="265"/>
      <c r="U213" s="265"/>
      <c r="V213" s="265"/>
      <c r="W213" s="265"/>
      <c r="X213" s="265"/>
      <c r="Y213" s="265"/>
      <c r="Z213" s="265"/>
      <c r="AA213" s="265"/>
      <c r="AB213" s="265"/>
      <c r="AC213" s="265"/>
      <c r="AD213" s="265"/>
      <c r="AE213" s="265"/>
      <c r="AF213" s="265"/>
      <c r="AG213" s="265"/>
      <c r="AH213" s="265"/>
      <c r="AI213" s="192"/>
      <c r="AJ213" s="192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  <c r="BP213" s="367"/>
      <c r="BQ213" s="367"/>
      <c r="BR213" s="367"/>
      <c r="BS213" s="367"/>
      <c r="BT213" s="367"/>
      <c r="BU213" s="367"/>
      <c r="BV213" s="367"/>
      <c r="BW213" s="367"/>
      <c r="BX213" s="367"/>
      <c r="BY213" s="367"/>
      <c r="BZ213" s="367"/>
      <c r="CA213" s="367"/>
      <c r="CB213" s="367"/>
      <c r="CC213" s="367"/>
      <c r="CD213" s="367"/>
      <c r="CE213" s="367"/>
      <c r="CF213" s="367"/>
      <c r="CG213" s="367"/>
      <c r="CH213" s="367"/>
      <c r="CI213" s="367"/>
      <c r="CJ213" s="367"/>
      <c r="CK213" s="367"/>
      <c r="CL213" s="367"/>
      <c r="CM213" s="367"/>
      <c r="CN213" s="367"/>
      <c r="CO213" s="367"/>
      <c r="CP213" s="367"/>
      <c r="CQ213" s="367"/>
      <c r="CR213" s="367"/>
      <c r="CS213" s="367"/>
      <c r="CT213" s="367"/>
      <c r="CU213" s="367"/>
      <c r="CV213" s="367"/>
      <c r="CW213" s="367"/>
      <c r="CX213" s="367"/>
      <c r="CY213" s="367"/>
      <c r="CZ213" s="367"/>
      <c r="DA213" s="367"/>
      <c r="DB213" s="367"/>
      <c r="DC213" s="367"/>
      <c r="DD213" s="367"/>
      <c r="DE213" s="367"/>
      <c r="DF213" s="367"/>
      <c r="DG213" s="367"/>
      <c r="DH213" s="367"/>
      <c r="DI213" s="367"/>
      <c r="DJ213" s="367"/>
      <c r="DK213" s="367"/>
      <c r="DL213" s="367"/>
      <c r="DM213" s="367"/>
      <c r="DN213" s="367"/>
      <c r="DO213" s="367"/>
      <c r="DP213" s="367"/>
      <c r="DQ213" s="367"/>
      <c r="DR213" s="367"/>
      <c r="DS213" s="367"/>
      <c r="DT213" s="367"/>
      <c r="DU213" s="367"/>
      <c r="DV213" s="367"/>
      <c r="DW213" s="367"/>
      <c r="DX213" s="367"/>
      <c r="DY213" s="367"/>
      <c r="DZ213" s="367"/>
      <c r="EA213" s="367"/>
      <c r="EB213" s="367"/>
      <c r="EC213" s="367"/>
      <c r="ED213" s="367"/>
      <c r="EE213" s="367"/>
      <c r="EF213" s="367"/>
      <c r="EG213" s="367"/>
      <c r="EH213" s="367"/>
      <c r="EI213" s="367"/>
      <c r="EJ213" s="367"/>
      <c r="EK213" s="367"/>
      <c r="EL213" s="367"/>
      <c r="EM213" s="367"/>
      <c r="EN213" s="367"/>
      <c r="EO213" s="367"/>
      <c r="EP213" s="367"/>
      <c r="EQ213" s="367"/>
    </row>
    <row r="214" spans="1:147" x14ac:dyDescent="0.2">
      <c r="A214" s="192"/>
      <c r="B214" s="192"/>
      <c r="C214" s="192"/>
      <c r="D214" s="192"/>
      <c r="E214" s="192"/>
      <c r="F214" s="192"/>
      <c r="G214" s="192"/>
      <c r="H214" s="192"/>
      <c r="I214" s="192"/>
      <c r="J214" s="192"/>
      <c r="K214" s="192"/>
      <c r="L214" s="192"/>
      <c r="M214" s="192"/>
      <c r="N214" s="192"/>
      <c r="O214" s="192"/>
      <c r="P214" s="192"/>
      <c r="Q214" s="192"/>
      <c r="R214" s="192"/>
      <c r="S214" s="266"/>
      <c r="T214" s="265"/>
      <c r="U214" s="265"/>
      <c r="V214" s="265"/>
      <c r="W214" s="265"/>
      <c r="X214" s="265"/>
      <c r="Y214" s="265"/>
      <c r="Z214" s="265"/>
      <c r="AA214" s="265"/>
      <c r="AB214" s="265"/>
      <c r="AC214" s="265"/>
      <c r="AD214" s="265"/>
      <c r="AE214" s="265"/>
      <c r="AF214" s="265"/>
      <c r="AG214" s="265"/>
      <c r="AH214" s="265"/>
      <c r="AI214" s="192"/>
      <c r="AJ214" s="192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  <c r="BP214" s="367"/>
      <c r="BQ214" s="367"/>
      <c r="BR214" s="367"/>
      <c r="BS214" s="367"/>
      <c r="BT214" s="367"/>
      <c r="BU214" s="367"/>
      <c r="BV214" s="367"/>
      <c r="BW214" s="367"/>
      <c r="BX214" s="367"/>
      <c r="BY214" s="367"/>
      <c r="BZ214" s="367"/>
      <c r="CA214" s="367"/>
      <c r="CB214" s="367"/>
      <c r="CC214" s="367"/>
      <c r="CD214" s="367"/>
      <c r="CE214" s="367"/>
      <c r="CF214" s="367"/>
      <c r="CG214" s="367"/>
      <c r="CH214" s="367"/>
      <c r="CI214" s="367"/>
      <c r="CJ214" s="367"/>
      <c r="CK214" s="367"/>
      <c r="CL214" s="367"/>
      <c r="CM214" s="367"/>
      <c r="CN214" s="367"/>
      <c r="CO214" s="367"/>
      <c r="CP214" s="367"/>
      <c r="CQ214" s="367"/>
      <c r="CR214" s="367"/>
      <c r="CS214" s="367"/>
      <c r="CT214" s="367"/>
      <c r="CU214" s="367"/>
      <c r="CV214" s="367"/>
      <c r="CW214" s="367"/>
      <c r="CX214" s="367"/>
      <c r="CY214" s="367"/>
      <c r="CZ214" s="367"/>
      <c r="DA214" s="367"/>
      <c r="DB214" s="367"/>
      <c r="DC214" s="367"/>
      <c r="DD214" s="367"/>
      <c r="DE214" s="367"/>
      <c r="DF214" s="367"/>
      <c r="DG214" s="367"/>
      <c r="DH214" s="367"/>
      <c r="DI214" s="367"/>
      <c r="DJ214" s="367"/>
      <c r="DK214" s="367"/>
      <c r="DL214" s="367"/>
      <c r="DM214" s="367"/>
      <c r="DN214" s="367"/>
      <c r="DO214" s="367"/>
      <c r="DP214" s="367"/>
      <c r="DQ214" s="367"/>
      <c r="DR214" s="367"/>
      <c r="DS214" s="367"/>
      <c r="DT214" s="367"/>
      <c r="DU214" s="367"/>
      <c r="DV214" s="367"/>
      <c r="DW214" s="367"/>
      <c r="DX214" s="367"/>
      <c r="DY214" s="367"/>
      <c r="DZ214" s="367"/>
      <c r="EA214" s="367"/>
      <c r="EB214" s="367"/>
      <c r="EC214" s="367"/>
      <c r="ED214" s="367"/>
      <c r="EE214" s="367"/>
      <c r="EF214" s="367"/>
      <c r="EG214" s="367"/>
      <c r="EH214" s="367"/>
      <c r="EI214" s="367"/>
      <c r="EJ214" s="367"/>
      <c r="EK214" s="367"/>
      <c r="EL214" s="367"/>
      <c r="EM214" s="367"/>
      <c r="EN214" s="367"/>
      <c r="EO214" s="367"/>
      <c r="EP214" s="367"/>
      <c r="EQ214" s="367"/>
    </row>
    <row r="215" spans="1:147" x14ac:dyDescent="0.2">
      <c r="A215" s="192"/>
      <c r="B215" s="192"/>
      <c r="C215" s="192"/>
      <c r="D215" s="192"/>
      <c r="E215" s="192"/>
      <c r="F215" s="192"/>
      <c r="G215" s="192"/>
      <c r="H215" s="192"/>
      <c r="I215" s="192"/>
      <c r="J215" s="192"/>
      <c r="K215" s="192"/>
      <c r="L215" s="192"/>
      <c r="M215" s="192"/>
      <c r="N215" s="192"/>
      <c r="O215" s="192"/>
      <c r="P215" s="192"/>
      <c r="Q215" s="192"/>
      <c r="R215" s="192"/>
      <c r="S215" s="266"/>
      <c r="T215" s="265"/>
      <c r="U215" s="265"/>
      <c r="V215" s="265"/>
      <c r="W215" s="265"/>
      <c r="X215" s="265"/>
      <c r="Y215" s="265"/>
      <c r="Z215" s="265"/>
      <c r="AA215" s="265"/>
      <c r="AB215" s="265"/>
      <c r="AC215" s="265"/>
      <c r="AD215" s="265"/>
      <c r="AE215" s="265"/>
      <c r="AF215" s="265"/>
      <c r="AG215" s="265"/>
      <c r="AH215" s="265"/>
      <c r="AI215" s="192"/>
      <c r="AJ215" s="192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  <c r="BP215" s="367"/>
      <c r="BQ215" s="367"/>
      <c r="BR215" s="367"/>
      <c r="BS215" s="367"/>
      <c r="BT215" s="367"/>
      <c r="BU215" s="367"/>
      <c r="BV215" s="367"/>
      <c r="BW215" s="367"/>
      <c r="BX215" s="367"/>
      <c r="BY215" s="367"/>
      <c r="BZ215" s="367"/>
      <c r="CA215" s="367"/>
      <c r="CB215" s="367"/>
      <c r="CC215" s="367"/>
      <c r="CD215" s="367"/>
      <c r="CE215" s="367"/>
      <c r="CF215" s="367"/>
      <c r="CG215" s="367"/>
      <c r="CH215" s="367"/>
      <c r="CI215" s="367"/>
      <c r="CJ215" s="367"/>
      <c r="CK215" s="367"/>
      <c r="CL215" s="367"/>
      <c r="CM215" s="367"/>
      <c r="CN215" s="367"/>
      <c r="CO215" s="367"/>
      <c r="CP215" s="367"/>
      <c r="CQ215" s="367"/>
      <c r="CR215" s="367"/>
      <c r="CS215" s="367"/>
      <c r="CT215" s="367"/>
      <c r="CU215" s="367"/>
      <c r="CV215" s="367"/>
      <c r="CW215" s="367"/>
      <c r="CX215" s="367"/>
      <c r="CY215" s="367"/>
      <c r="CZ215" s="367"/>
      <c r="DA215" s="367"/>
      <c r="DB215" s="367"/>
      <c r="DC215" s="367"/>
      <c r="DD215" s="367"/>
      <c r="DE215" s="367"/>
      <c r="DF215" s="367"/>
      <c r="DG215" s="367"/>
      <c r="DH215" s="367"/>
      <c r="DI215" s="367"/>
      <c r="DJ215" s="367"/>
      <c r="DK215" s="367"/>
      <c r="DL215" s="367"/>
      <c r="DM215" s="367"/>
      <c r="DN215" s="367"/>
      <c r="DO215" s="367"/>
      <c r="DP215" s="367"/>
      <c r="DQ215" s="367"/>
      <c r="DR215" s="367"/>
      <c r="DS215" s="367"/>
      <c r="DT215" s="367"/>
      <c r="DU215" s="367"/>
      <c r="DV215" s="367"/>
      <c r="DW215" s="367"/>
      <c r="DX215" s="367"/>
      <c r="DY215" s="367"/>
      <c r="DZ215" s="367"/>
      <c r="EA215" s="367"/>
      <c r="EB215" s="367"/>
      <c r="EC215" s="367"/>
      <c r="ED215" s="367"/>
      <c r="EE215" s="367"/>
      <c r="EF215" s="367"/>
      <c r="EG215" s="367"/>
      <c r="EH215" s="367"/>
      <c r="EI215" s="367"/>
      <c r="EJ215" s="367"/>
      <c r="EK215" s="367"/>
      <c r="EL215" s="367"/>
      <c r="EM215" s="367"/>
      <c r="EN215" s="367"/>
      <c r="EO215" s="367"/>
      <c r="EP215" s="367"/>
      <c r="EQ215" s="367"/>
    </row>
    <row r="216" spans="1:147" x14ac:dyDescent="0.2">
      <c r="A216" s="192"/>
      <c r="B216" s="192"/>
      <c r="C216" s="192"/>
      <c r="D216" s="192"/>
      <c r="E216" s="192"/>
      <c r="F216" s="192"/>
      <c r="G216" s="192"/>
      <c r="H216" s="192"/>
      <c r="I216" s="192"/>
      <c r="J216" s="192"/>
      <c r="K216" s="192"/>
      <c r="L216" s="192"/>
      <c r="M216" s="192"/>
      <c r="N216" s="192"/>
      <c r="O216" s="192"/>
      <c r="P216" s="192"/>
      <c r="Q216" s="192"/>
      <c r="R216" s="192"/>
      <c r="S216" s="266"/>
      <c r="T216" s="265"/>
      <c r="U216" s="265"/>
      <c r="V216" s="265"/>
      <c r="W216" s="265"/>
      <c r="X216" s="265"/>
      <c r="Y216" s="265"/>
      <c r="Z216" s="265"/>
      <c r="AA216" s="265"/>
      <c r="AB216" s="265"/>
      <c r="AC216" s="265"/>
      <c r="AD216" s="265"/>
      <c r="AE216" s="265"/>
      <c r="AF216" s="265"/>
      <c r="AG216" s="265"/>
      <c r="AH216" s="265"/>
      <c r="AI216" s="192"/>
      <c r="AJ216" s="192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  <c r="BP216" s="367"/>
      <c r="BQ216" s="367"/>
      <c r="BR216" s="367"/>
      <c r="BS216" s="367"/>
      <c r="BT216" s="367"/>
      <c r="BU216" s="367"/>
      <c r="BV216" s="367"/>
      <c r="BW216" s="367"/>
      <c r="BX216" s="367"/>
      <c r="BY216" s="367"/>
      <c r="BZ216" s="367"/>
      <c r="CA216" s="367"/>
      <c r="CB216" s="367"/>
      <c r="CC216" s="367"/>
      <c r="CD216" s="367"/>
      <c r="CE216" s="367"/>
      <c r="CF216" s="367"/>
      <c r="CG216" s="367"/>
      <c r="CH216" s="367"/>
      <c r="CI216" s="367"/>
      <c r="CJ216" s="367"/>
      <c r="CK216" s="367"/>
      <c r="CL216" s="367"/>
      <c r="CM216" s="367"/>
      <c r="CN216" s="367"/>
      <c r="CO216" s="367"/>
      <c r="CP216" s="367"/>
      <c r="CQ216" s="367"/>
      <c r="CR216" s="367"/>
      <c r="CS216" s="367"/>
      <c r="CT216" s="367"/>
      <c r="CU216" s="367"/>
      <c r="CV216" s="367"/>
      <c r="CW216" s="367"/>
      <c r="CX216" s="367"/>
      <c r="CY216" s="367"/>
      <c r="CZ216" s="367"/>
      <c r="DA216" s="367"/>
      <c r="DB216" s="367"/>
      <c r="DC216" s="367"/>
      <c r="DD216" s="367"/>
      <c r="DE216" s="367"/>
      <c r="DF216" s="367"/>
      <c r="DG216" s="367"/>
      <c r="DH216" s="367"/>
      <c r="DI216" s="367"/>
      <c r="DJ216" s="367"/>
      <c r="DK216" s="367"/>
      <c r="DL216" s="367"/>
      <c r="DM216" s="367"/>
      <c r="DN216" s="367"/>
      <c r="DO216" s="367"/>
      <c r="DP216" s="367"/>
      <c r="DQ216" s="367"/>
      <c r="DR216" s="367"/>
      <c r="DS216" s="367"/>
      <c r="DT216" s="367"/>
      <c r="DU216" s="367"/>
      <c r="DV216" s="367"/>
      <c r="DW216" s="367"/>
      <c r="DX216" s="367"/>
      <c r="DY216" s="367"/>
      <c r="DZ216" s="367"/>
      <c r="EA216" s="367"/>
      <c r="EB216" s="367"/>
      <c r="EC216" s="367"/>
      <c r="ED216" s="367"/>
      <c r="EE216" s="367"/>
      <c r="EF216" s="367"/>
      <c r="EG216" s="367"/>
      <c r="EH216" s="367"/>
      <c r="EI216" s="367"/>
      <c r="EJ216" s="367"/>
      <c r="EK216" s="367"/>
      <c r="EL216" s="367"/>
      <c r="EM216" s="367"/>
      <c r="EN216" s="367"/>
      <c r="EO216" s="367"/>
      <c r="EP216" s="367"/>
      <c r="EQ216" s="367"/>
    </row>
    <row r="217" spans="1:147" x14ac:dyDescent="0.2">
      <c r="A217" s="192"/>
      <c r="B217" s="192"/>
      <c r="C217" s="192"/>
      <c r="D217" s="192"/>
      <c r="E217" s="192"/>
      <c r="F217" s="192"/>
      <c r="G217" s="192"/>
      <c r="H217" s="192"/>
      <c r="I217" s="192"/>
      <c r="J217" s="192"/>
      <c r="K217" s="192"/>
      <c r="L217" s="192"/>
      <c r="M217" s="192"/>
      <c r="N217" s="192"/>
      <c r="O217" s="192"/>
      <c r="P217" s="192"/>
      <c r="Q217" s="192"/>
      <c r="R217" s="192"/>
      <c r="S217" s="266"/>
      <c r="T217" s="265"/>
      <c r="U217" s="265"/>
      <c r="V217" s="265"/>
      <c r="W217" s="265"/>
      <c r="X217" s="265"/>
      <c r="Y217" s="265"/>
      <c r="Z217" s="265"/>
      <c r="AA217" s="265"/>
      <c r="AB217" s="265"/>
      <c r="AC217" s="265"/>
      <c r="AD217" s="265"/>
      <c r="AE217" s="265"/>
      <c r="AF217" s="265"/>
      <c r="AG217" s="265"/>
      <c r="AH217" s="265"/>
      <c r="AI217" s="192"/>
      <c r="AJ217" s="192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  <c r="BP217" s="367"/>
      <c r="BQ217" s="367"/>
      <c r="BR217" s="367"/>
      <c r="BS217" s="367"/>
      <c r="BT217" s="367"/>
      <c r="BU217" s="367"/>
      <c r="BV217" s="367"/>
      <c r="BW217" s="367"/>
      <c r="BX217" s="367"/>
      <c r="BY217" s="367"/>
      <c r="BZ217" s="367"/>
      <c r="CA217" s="367"/>
      <c r="CB217" s="367"/>
      <c r="CC217" s="367"/>
      <c r="CD217" s="367"/>
      <c r="CE217" s="367"/>
      <c r="CF217" s="367"/>
      <c r="CG217" s="367"/>
      <c r="CH217" s="367"/>
      <c r="CI217" s="367"/>
      <c r="CJ217" s="367"/>
      <c r="CK217" s="367"/>
      <c r="CL217" s="367"/>
      <c r="CM217" s="367"/>
      <c r="CN217" s="367"/>
      <c r="CO217" s="367"/>
      <c r="CP217" s="367"/>
      <c r="CQ217" s="367"/>
      <c r="CR217" s="367"/>
      <c r="CS217" s="367"/>
      <c r="CT217" s="367"/>
      <c r="CU217" s="367"/>
      <c r="CV217" s="367"/>
      <c r="CW217" s="367"/>
      <c r="CX217" s="367"/>
      <c r="CY217" s="367"/>
      <c r="CZ217" s="367"/>
      <c r="DA217" s="367"/>
      <c r="DB217" s="367"/>
      <c r="DC217" s="367"/>
      <c r="DD217" s="367"/>
      <c r="DE217" s="367"/>
      <c r="DF217" s="367"/>
      <c r="DG217" s="367"/>
      <c r="DH217" s="367"/>
      <c r="DI217" s="367"/>
      <c r="DJ217" s="367"/>
      <c r="DK217" s="367"/>
      <c r="DL217" s="367"/>
      <c r="DM217" s="367"/>
      <c r="DN217" s="367"/>
      <c r="DO217" s="367"/>
      <c r="DP217" s="367"/>
      <c r="DQ217" s="367"/>
      <c r="DR217" s="367"/>
      <c r="DS217" s="367"/>
      <c r="DT217" s="367"/>
      <c r="DU217" s="367"/>
      <c r="DV217" s="367"/>
      <c r="DW217" s="367"/>
      <c r="DX217" s="367"/>
      <c r="DY217" s="367"/>
      <c r="DZ217" s="367"/>
      <c r="EA217" s="367"/>
      <c r="EB217" s="367"/>
      <c r="EC217" s="367"/>
      <c r="ED217" s="367"/>
      <c r="EE217" s="367"/>
      <c r="EF217" s="367"/>
      <c r="EG217" s="367"/>
      <c r="EH217" s="367"/>
      <c r="EI217" s="367"/>
      <c r="EJ217" s="367"/>
      <c r="EK217" s="367"/>
      <c r="EL217" s="367"/>
      <c r="EM217" s="367"/>
      <c r="EN217" s="367"/>
      <c r="EO217" s="367"/>
      <c r="EP217" s="367"/>
      <c r="EQ217" s="367"/>
    </row>
    <row r="218" spans="1:147" x14ac:dyDescent="0.2">
      <c r="A218" s="192"/>
      <c r="B218" s="192"/>
      <c r="C218" s="192"/>
      <c r="D218" s="192"/>
      <c r="E218" s="192"/>
      <c r="F218" s="192"/>
      <c r="G218" s="192"/>
      <c r="H218" s="192"/>
      <c r="I218" s="192"/>
      <c r="J218" s="192"/>
      <c r="K218" s="192"/>
      <c r="L218" s="192"/>
      <c r="M218" s="192"/>
      <c r="N218" s="192"/>
      <c r="O218" s="192"/>
      <c r="P218" s="192"/>
      <c r="Q218" s="192"/>
      <c r="R218" s="192"/>
      <c r="S218" s="266"/>
      <c r="T218" s="265"/>
      <c r="U218" s="265"/>
      <c r="V218" s="265"/>
      <c r="W218" s="265"/>
      <c r="X218" s="265"/>
      <c r="Y218" s="265"/>
      <c r="Z218" s="265"/>
      <c r="AA218" s="265"/>
      <c r="AB218" s="265"/>
      <c r="AC218" s="265"/>
      <c r="AD218" s="265"/>
      <c r="AE218" s="265"/>
      <c r="AF218" s="265"/>
      <c r="AG218" s="265"/>
      <c r="AH218" s="265"/>
      <c r="AI218" s="192"/>
      <c r="AJ218" s="192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  <c r="BP218" s="367"/>
      <c r="BQ218" s="367"/>
      <c r="BR218" s="367"/>
      <c r="BS218" s="367"/>
      <c r="BT218" s="367"/>
      <c r="BU218" s="367"/>
      <c r="BV218" s="367"/>
      <c r="BW218" s="367"/>
      <c r="BX218" s="367"/>
      <c r="BY218" s="367"/>
      <c r="BZ218" s="367"/>
      <c r="CA218" s="367"/>
      <c r="CB218" s="367"/>
      <c r="CC218" s="367"/>
      <c r="CD218" s="367"/>
      <c r="CE218" s="367"/>
      <c r="CF218" s="367"/>
      <c r="CG218" s="367"/>
      <c r="CH218" s="367"/>
      <c r="CI218" s="367"/>
      <c r="CJ218" s="367"/>
      <c r="CK218" s="367"/>
      <c r="CL218" s="367"/>
      <c r="CM218" s="367"/>
      <c r="CN218" s="367"/>
      <c r="CO218" s="367"/>
      <c r="CP218" s="367"/>
      <c r="CQ218" s="367"/>
      <c r="CR218" s="367"/>
      <c r="CS218" s="367"/>
      <c r="CT218" s="367"/>
      <c r="CU218" s="367"/>
      <c r="CV218" s="367"/>
      <c r="CW218" s="367"/>
      <c r="CX218" s="367"/>
      <c r="CY218" s="367"/>
      <c r="CZ218" s="367"/>
      <c r="DA218" s="367"/>
      <c r="DB218" s="367"/>
      <c r="DC218" s="367"/>
      <c r="DD218" s="367"/>
      <c r="DE218" s="367"/>
      <c r="DF218" s="367"/>
      <c r="DG218" s="367"/>
      <c r="DH218" s="367"/>
      <c r="DI218" s="367"/>
      <c r="DJ218" s="367"/>
      <c r="DK218" s="367"/>
      <c r="DL218" s="367"/>
      <c r="DM218" s="367"/>
      <c r="DN218" s="367"/>
      <c r="DO218" s="367"/>
      <c r="DP218" s="367"/>
      <c r="DQ218" s="367"/>
      <c r="DR218" s="367"/>
      <c r="DS218" s="367"/>
      <c r="DT218" s="367"/>
      <c r="DU218" s="367"/>
      <c r="DV218" s="367"/>
      <c r="DW218" s="367"/>
      <c r="DX218" s="367"/>
      <c r="DY218" s="367"/>
      <c r="DZ218" s="367"/>
      <c r="EA218" s="367"/>
      <c r="EB218" s="367"/>
      <c r="EC218" s="367"/>
      <c r="ED218" s="367"/>
      <c r="EE218" s="367"/>
      <c r="EF218" s="367"/>
      <c r="EG218" s="367"/>
      <c r="EH218" s="367"/>
      <c r="EI218" s="367"/>
      <c r="EJ218" s="367"/>
      <c r="EK218" s="367"/>
      <c r="EL218" s="367"/>
      <c r="EM218" s="367"/>
      <c r="EN218" s="367"/>
      <c r="EO218" s="367"/>
      <c r="EP218" s="367"/>
      <c r="EQ218" s="367"/>
    </row>
    <row r="219" spans="1:147" x14ac:dyDescent="0.2">
      <c r="A219" s="192"/>
      <c r="B219" s="192"/>
      <c r="C219" s="192"/>
      <c r="D219" s="192"/>
      <c r="E219" s="192"/>
      <c r="F219" s="192"/>
      <c r="G219" s="192"/>
      <c r="H219" s="192"/>
      <c r="I219" s="192"/>
      <c r="J219" s="192"/>
      <c r="K219" s="192"/>
      <c r="L219" s="192"/>
      <c r="M219" s="192"/>
      <c r="N219" s="192"/>
      <c r="O219" s="192"/>
      <c r="P219" s="192"/>
      <c r="Q219" s="192"/>
      <c r="R219" s="192"/>
      <c r="S219" s="266"/>
      <c r="T219" s="265"/>
      <c r="U219" s="265"/>
      <c r="V219" s="265"/>
      <c r="W219" s="265"/>
      <c r="X219" s="265"/>
      <c r="Y219" s="265"/>
      <c r="Z219" s="265"/>
      <c r="AA219" s="265"/>
      <c r="AB219" s="265"/>
      <c r="AC219" s="265"/>
      <c r="AD219" s="265"/>
      <c r="AE219" s="265"/>
      <c r="AF219" s="265"/>
      <c r="AG219" s="265"/>
      <c r="AH219" s="265"/>
      <c r="AI219" s="192"/>
      <c r="AJ219" s="192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  <c r="BP219" s="367"/>
      <c r="BQ219" s="367"/>
      <c r="BR219" s="367"/>
      <c r="BS219" s="367"/>
      <c r="BT219" s="367"/>
      <c r="BU219" s="367"/>
      <c r="BV219" s="367"/>
      <c r="BW219" s="367"/>
      <c r="BX219" s="367"/>
      <c r="BY219" s="367"/>
      <c r="BZ219" s="367"/>
      <c r="CA219" s="367"/>
      <c r="CB219" s="367"/>
      <c r="CC219" s="367"/>
      <c r="CD219" s="367"/>
      <c r="CE219" s="367"/>
      <c r="CF219" s="367"/>
      <c r="CG219" s="367"/>
      <c r="CH219" s="367"/>
      <c r="CI219" s="367"/>
      <c r="CJ219" s="367"/>
      <c r="CK219" s="367"/>
      <c r="CL219" s="367"/>
      <c r="CM219" s="367"/>
      <c r="CN219" s="367"/>
      <c r="CO219" s="367"/>
      <c r="CP219" s="367"/>
      <c r="CQ219" s="367"/>
      <c r="CR219" s="367"/>
      <c r="CS219" s="367"/>
      <c r="CT219" s="367"/>
      <c r="CU219" s="367"/>
      <c r="CV219" s="367"/>
      <c r="CW219" s="367"/>
      <c r="CX219" s="367"/>
      <c r="CY219" s="367"/>
      <c r="CZ219" s="367"/>
      <c r="DA219" s="367"/>
      <c r="DB219" s="367"/>
      <c r="DC219" s="367"/>
      <c r="DD219" s="367"/>
      <c r="DE219" s="367"/>
      <c r="DF219" s="367"/>
      <c r="DG219" s="367"/>
      <c r="DH219" s="367"/>
      <c r="DI219" s="367"/>
      <c r="DJ219" s="367"/>
      <c r="DK219" s="367"/>
      <c r="DL219" s="367"/>
      <c r="DM219" s="367"/>
      <c r="DN219" s="367"/>
      <c r="DO219" s="367"/>
      <c r="DP219" s="367"/>
      <c r="DQ219" s="367"/>
      <c r="DR219" s="367"/>
      <c r="DS219" s="367"/>
      <c r="DT219" s="367"/>
      <c r="DU219" s="367"/>
      <c r="DV219" s="367"/>
      <c r="DW219" s="367"/>
      <c r="DX219" s="367"/>
      <c r="DY219" s="367"/>
      <c r="DZ219" s="367"/>
      <c r="EA219" s="367"/>
      <c r="EB219" s="367"/>
      <c r="EC219" s="367"/>
      <c r="ED219" s="367"/>
      <c r="EE219" s="367"/>
      <c r="EF219" s="367"/>
      <c r="EG219" s="367"/>
      <c r="EH219" s="367"/>
      <c r="EI219" s="367"/>
      <c r="EJ219" s="367"/>
      <c r="EK219" s="367"/>
      <c r="EL219" s="367"/>
      <c r="EM219" s="367"/>
      <c r="EN219" s="367"/>
      <c r="EO219" s="367"/>
      <c r="EP219" s="367"/>
      <c r="EQ219" s="367"/>
    </row>
    <row r="220" spans="1:147" x14ac:dyDescent="0.2">
      <c r="A220" s="192"/>
      <c r="B220" s="192"/>
      <c r="C220" s="192"/>
      <c r="D220" s="192"/>
      <c r="E220" s="192"/>
      <c r="F220" s="192"/>
      <c r="G220" s="192"/>
      <c r="H220" s="192"/>
      <c r="I220" s="192"/>
      <c r="J220" s="192"/>
      <c r="K220" s="192"/>
      <c r="L220" s="192"/>
      <c r="M220" s="192"/>
      <c r="N220" s="192"/>
      <c r="O220" s="192"/>
      <c r="P220" s="192"/>
      <c r="Q220" s="192"/>
      <c r="R220" s="192"/>
      <c r="S220" s="266"/>
      <c r="T220" s="265"/>
      <c r="U220" s="265"/>
      <c r="V220" s="265"/>
      <c r="W220" s="265"/>
      <c r="X220" s="265"/>
      <c r="Y220" s="265"/>
      <c r="Z220" s="265"/>
      <c r="AA220" s="265"/>
      <c r="AB220" s="265"/>
      <c r="AC220" s="265"/>
      <c r="AD220" s="265"/>
      <c r="AE220" s="265"/>
      <c r="AF220" s="265"/>
      <c r="AG220" s="265"/>
      <c r="AH220" s="265"/>
      <c r="AI220" s="192"/>
      <c r="AJ220" s="192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  <c r="BP220" s="367"/>
      <c r="BQ220" s="367"/>
      <c r="BR220" s="367"/>
      <c r="BS220" s="367"/>
      <c r="BT220" s="367"/>
      <c r="BU220" s="367"/>
      <c r="BV220" s="367"/>
      <c r="BW220" s="367"/>
      <c r="BX220" s="367"/>
      <c r="BY220" s="367"/>
      <c r="BZ220" s="367"/>
      <c r="CA220" s="367"/>
      <c r="CB220" s="367"/>
      <c r="CC220" s="367"/>
      <c r="CD220" s="367"/>
      <c r="CE220" s="367"/>
      <c r="CF220" s="367"/>
      <c r="CG220" s="367"/>
      <c r="CH220" s="367"/>
      <c r="CI220" s="367"/>
      <c r="CJ220" s="367"/>
      <c r="CK220" s="367"/>
      <c r="CL220" s="367"/>
      <c r="CM220" s="367"/>
      <c r="CN220" s="367"/>
      <c r="CO220" s="367"/>
      <c r="CP220" s="367"/>
      <c r="CQ220" s="367"/>
      <c r="CR220" s="367"/>
      <c r="CS220" s="367"/>
      <c r="CT220" s="367"/>
      <c r="CU220" s="367"/>
      <c r="CV220" s="367"/>
      <c r="CW220" s="367"/>
      <c r="CX220" s="367"/>
      <c r="CY220" s="367"/>
      <c r="CZ220" s="367"/>
      <c r="DA220" s="367"/>
      <c r="DB220" s="367"/>
      <c r="DC220" s="367"/>
      <c r="DD220" s="367"/>
      <c r="DE220" s="367"/>
      <c r="DF220" s="367"/>
      <c r="DG220" s="367"/>
      <c r="DH220" s="367"/>
      <c r="DI220" s="367"/>
      <c r="DJ220" s="367"/>
      <c r="DK220" s="367"/>
      <c r="DL220" s="367"/>
      <c r="DM220" s="367"/>
      <c r="DN220" s="367"/>
      <c r="DO220" s="367"/>
      <c r="DP220" s="367"/>
      <c r="DQ220" s="367"/>
      <c r="DR220" s="367"/>
      <c r="DS220" s="367"/>
      <c r="DT220" s="367"/>
      <c r="DU220" s="367"/>
      <c r="DV220" s="367"/>
      <c r="DW220" s="367"/>
      <c r="DX220" s="367"/>
      <c r="DY220" s="367"/>
      <c r="DZ220" s="367"/>
      <c r="EA220" s="367"/>
      <c r="EB220" s="367"/>
      <c r="EC220" s="367"/>
      <c r="ED220" s="367"/>
      <c r="EE220" s="367"/>
      <c r="EF220" s="367"/>
      <c r="EG220" s="367"/>
      <c r="EH220" s="367"/>
      <c r="EI220" s="367"/>
      <c r="EJ220" s="367"/>
      <c r="EK220" s="367"/>
      <c r="EL220" s="367"/>
      <c r="EM220" s="367"/>
      <c r="EN220" s="367"/>
      <c r="EO220" s="367"/>
      <c r="EP220" s="367"/>
      <c r="EQ220" s="367"/>
    </row>
    <row r="221" spans="1:147" x14ac:dyDescent="0.2">
      <c r="A221" s="192"/>
      <c r="B221" s="192"/>
      <c r="C221" s="192"/>
      <c r="D221" s="192"/>
      <c r="E221" s="192"/>
      <c r="F221" s="192"/>
      <c r="G221" s="192"/>
      <c r="H221" s="192"/>
      <c r="I221" s="192"/>
      <c r="J221" s="192"/>
      <c r="K221" s="192"/>
      <c r="L221" s="192"/>
      <c r="M221" s="192"/>
      <c r="N221" s="192"/>
      <c r="O221" s="192"/>
      <c r="P221" s="192"/>
      <c r="Q221" s="192"/>
      <c r="R221" s="192"/>
      <c r="S221" s="266"/>
      <c r="T221" s="265"/>
      <c r="U221" s="265"/>
      <c r="V221" s="265"/>
      <c r="W221" s="265"/>
      <c r="X221" s="265"/>
      <c r="Y221" s="265"/>
      <c r="Z221" s="265"/>
      <c r="AA221" s="265"/>
      <c r="AB221" s="265"/>
      <c r="AC221" s="265"/>
      <c r="AD221" s="265"/>
      <c r="AE221" s="265"/>
      <c r="AF221" s="265"/>
      <c r="AG221" s="265"/>
      <c r="AH221" s="265"/>
      <c r="AI221" s="192"/>
      <c r="AJ221" s="192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  <c r="BP221" s="367"/>
      <c r="BQ221" s="367"/>
      <c r="BR221" s="367"/>
      <c r="BS221" s="367"/>
      <c r="BT221" s="367"/>
      <c r="BU221" s="367"/>
      <c r="BV221" s="367"/>
      <c r="BW221" s="367"/>
      <c r="BX221" s="367"/>
      <c r="BY221" s="367"/>
      <c r="BZ221" s="367"/>
      <c r="CA221" s="367"/>
      <c r="CB221" s="367"/>
      <c r="CC221" s="367"/>
      <c r="CD221" s="367"/>
      <c r="CE221" s="367"/>
      <c r="CF221" s="367"/>
      <c r="CG221" s="367"/>
      <c r="CH221" s="367"/>
      <c r="CI221" s="367"/>
      <c r="CJ221" s="367"/>
      <c r="CK221" s="367"/>
      <c r="CL221" s="367"/>
      <c r="CM221" s="367"/>
      <c r="CN221" s="367"/>
      <c r="CO221" s="367"/>
      <c r="CP221" s="367"/>
      <c r="CQ221" s="367"/>
      <c r="CR221" s="367"/>
      <c r="CS221" s="367"/>
      <c r="CT221" s="367"/>
      <c r="CU221" s="367"/>
      <c r="CV221" s="367"/>
      <c r="CW221" s="367"/>
      <c r="CX221" s="367"/>
      <c r="CY221" s="367"/>
      <c r="CZ221" s="367"/>
      <c r="DA221" s="367"/>
      <c r="DB221" s="367"/>
      <c r="DC221" s="367"/>
      <c r="DD221" s="367"/>
      <c r="DE221" s="367"/>
      <c r="DF221" s="367"/>
      <c r="DG221" s="367"/>
      <c r="DH221" s="367"/>
      <c r="DI221" s="367"/>
      <c r="DJ221" s="367"/>
      <c r="DK221" s="367"/>
      <c r="DL221" s="367"/>
      <c r="DM221" s="367"/>
      <c r="DN221" s="367"/>
      <c r="DO221" s="367"/>
      <c r="DP221" s="367"/>
      <c r="DQ221" s="367"/>
      <c r="DR221" s="367"/>
      <c r="DS221" s="367"/>
      <c r="DT221" s="367"/>
      <c r="DU221" s="367"/>
      <c r="DV221" s="367"/>
      <c r="DW221" s="367"/>
      <c r="DX221" s="367"/>
      <c r="DY221" s="367"/>
      <c r="DZ221" s="367"/>
      <c r="EA221" s="367"/>
      <c r="EB221" s="367"/>
      <c r="EC221" s="367"/>
      <c r="ED221" s="367"/>
      <c r="EE221" s="367"/>
      <c r="EF221" s="367"/>
      <c r="EG221" s="367"/>
      <c r="EH221" s="367"/>
      <c r="EI221" s="367"/>
      <c r="EJ221" s="367"/>
      <c r="EK221" s="367"/>
      <c r="EL221" s="367"/>
      <c r="EM221" s="367"/>
      <c r="EN221" s="367"/>
      <c r="EO221" s="367"/>
      <c r="EP221" s="367"/>
      <c r="EQ221" s="367"/>
    </row>
    <row r="222" spans="1:147" x14ac:dyDescent="0.2">
      <c r="A222" s="192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266"/>
      <c r="T222" s="265"/>
      <c r="U222" s="265"/>
      <c r="V222" s="265"/>
      <c r="W222" s="265"/>
      <c r="X222" s="265"/>
      <c r="Y222" s="265"/>
      <c r="Z222" s="265"/>
      <c r="AA222" s="265"/>
      <c r="AB222" s="265"/>
      <c r="AC222" s="265"/>
      <c r="AD222" s="265"/>
      <c r="AE222" s="265"/>
      <c r="AF222" s="265"/>
      <c r="AG222" s="265"/>
      <c r="AH222" s="265"/>
      <c r="AI222" s="192"/>
      <c r="AJ222" s="192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  <c r="BP222" s="367"/>
      <c r="BQ222" s="367"/>
      <c r="BR222" s="367"/>
      <c r="BS222" s="367"/>
      <c r="BT222" s="367"/>
      <c r="BU222" s="367"/>
      <c r="BV222" s="367"/>
      <c r="BW222" s="367"/>
      <c r="BX222" s="367"/>
      <c r="BY222" s="367"/>
      <c r="BZ222" s="367"/>
      <c r="CA222" s="367"/>
      <c r="CB222" s="367"/>
      <c r="CC222" s="367"/>
      <c r="CD222" s="367"/>
      <c r="CE222" s="367"/>
      <c r="CF222" s="367"/>
      <c r="CG222" s="367"/>
      <c r="CH222" s="367"/>
      <c r="CI222" s="367"/>
      <c r="CJ222" s="367"/>
      <c r="CK222" s="367"/>
      <c r="CL222" s="367"/>
      <c r="CM222" s="367"/>
      <c r="CN222" s="367"/>
      <c r="CO222" s="367"/>
      <c r="CP222" s="367"/>
      <c r="CQ222" s="367"/>
      <c r="CR222" s="367"/>
      <c r="CS222" s="367"/>
      <c r="CT222" s="367"/>
      <c r="CU222" s="367"/>
      <c r="CV222" s="367"/>
      <c r="CW222" s="367"/>
      <c r="CX222" s="367"/>
      <c r="CY222" s="367"/>
      <c r="CZ222" s="367"/>
      <c r="DA222" s="367"/>
      <c r="DB222" s="367"/>
      <c r="DC222" s="367"/>
      <c r="DD222" s="367"/>
      <c r="DE222" s="367"/>
      <c r="DF222" s="367"/>
      <c r="DG222" s="367"/>
      <c r="DH222" s="367"/>
      <c r="DI222" s="367"/>
      <c r="DJ222" s="367"/>
      <c r="DK222" s="367"/>
      <c r="DL222" s="367"/>
      <c r="DM222" s="367"/>
      <c r="DN222" s="367"/>
      <c r="DO222" s="367"/>
      <c r="DP222" s="367"/>
      <c r="DQ222" s="367"/>
      <c r="DR222" s="367"/>
      <c r="DS222" s="367"/>
      <c r="DT222" s="367"/>
      <c r="DU222" s="367"/>
      <c r="DV222" s="367"/>
      <c r="DW222" s="367"/>
      <c r="DX222" s="367"/>
      <c r="DY222" s="367"/>
      <c r="DZ222" s="367"/>
      <c r="EA222" s="367"/>
      <c r="EB222" s="367"/>
      <c r="EC222" s="367"/>
      <c r="ED222" s="367"/>
      <c r="EE222" s="367"/>
      <c r="EF222" s="367"/>
      <c r="EG222" s="367"/>
      <c r="EH222" s="367"/>
      <c r="EI222" s="367"/>
      <c r="EJ222" s="367"/>
      <c r="EK222" s="367"/>
      <c r="EL222" s="367"/>
      <c r="EM222" s="367"/>
      <c r="EN222" s="367"/>
      <c r="EO222" s="367"/>
      <c r="EP222" s="367"/>
      <c r="EQ222" s="367"/>
    </row>
    <row r="223" spans="1:147" x14ac:dyDescent="0.2">
      <c r="A223" s="192"/>
      <c r="B223" s="192"/>
      <c r="C223" s="192"/>
      <c r="D223" s="192"/>
      <c r="E223" s="192"/>
      <c r="F223" s="192"/>
      <c r="G223" s="192"/>
      <c r="H223" s="192"/>
      <c r="I223" s="192"/>
      <c r="J223" s="192"/>
      <c r="K223" s="192"/>
      <c r="L223" s="192"/>
      <c r="M223" s="192"/>
      <c r="N223" s="192"/>
      <c r="O223" s="192"/>
      <c r="P223" s="192"/>
      <c r="Q223" s="192"/>
      <c r="R223" s="192"/>
      <c r="S223" s="266"/>
      <c r="T223" s="265"/>
      <c r="U223" s="265"/>
      <c r="V223" s="265"/>
      <c r="W223" s="265"/>
      <c r="X223" s="265"/>
      <c r="Y223" s="265"/>
      <c r="Z223" s="265"/>
      <c r="AA223" s="265"/>
      <c r="AB223" s="265"/>
      <c r="AC223" s="265"/>
      <c r="AD223" s="265"/>
      <c r="AE223" s="265"/>
      <c r="AF223" s="265"/>
      <c r="AG223" s="265"/>
      <c r="AH223" s="265"/>
      <c r="AI223" s="192"/>
      <c r="AJ223" s="192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  <c r="BP223" s="367"/>
      <c r="BQ223" s="367"/>
      <c r="BR223" s="367"/>
      <c r="BS223" s="367"/>
      <c r="BT223" s="367"/>
      <c r="BU223" s="367"/>
      <c r="BV223" s="367"/>
      <c r="BW223" s="367"/>
      <c r="BX223" s="367"/>
      <c r="BY223" s="367"/>
      <c r="BZ223" s="367"/>
      <c r="CA223" s="367"/>
      <c r="CB223" s="367"/>
      <c r="CC223" s="367"/>
      <c r="CD223" s="367"/>
      <c r="CE223" s="367"/>
      <c r="CF223" s="367"/>
      <c r="CG223" s="367"/>
      <c r="CH223" s="367"/>
      <c r="CI223" s="367"/>
      <c r="CJ223" s="367"/>
      <c r="CK223" s="367"/>
      <c r="CL223" s="367"/>
      <c r="CM223" s="367"/>
      <c r="CN223" s="367"/>
      <c r="CO223" s="367"/>
      <c r="CP223" s="367"/>
      <c r="CQ223" s="367"/>
      <c r="CR223" s="367"/>
      <c r="CS223" s="367"/>
      <c r="CT223" s="367"/>
      <c r="CU223" s="367"/>
      <c r="CV223" s="367"/>
      <c r="CW223" s="367"/>
      <c r="CX223" s="367"/>
      <c r="CY223" s="367"/>
      <c r="CZ223" s="367"/>
      <c r="DA223" s="367"/>
      <c r="DB223" s="367"/>
      <c r="DC223" s="367"/>
      <c r="DD223" s="367"/>
      <c r="DE223" s="367"/>
      <c r="DF223" s="367"/>
      <c r="DG223" s="367"/>
      <c r="DH223" s="367"/>
      <c r="DI223" s="367"/>
      <c r="DJ223" s="367"/>
      <c r="DK223" s="367"/>
      <c r="DL223" s="367"/>
      <c r="DM223" s="367"/>
      <c r="DN223" s="367"/>
      <c r="DO223" s="367"/>
      <c r="DP223" s="367"/>
      <c r="DQ223" s="367"/>
      <c r="DR223" s="367"/>
      <c r="DS223" s="367"/>
      <c r="DT223" s="367"/>
      <c r="DU223" s="367"/>
      <c r="DV223" s="367"/>
      <c r="DW223" s="367"/>
      <c r="DX223" s="367"/>
      <c r="DY223" s="367"/>
      <c r="DZ223" s="367"/>
      <c r="EA223" s="367"/>
      <c r="EB223" s="367"/>
      <c r="EC223" s="367"/>
      <c r="ED223" s="367"/>
      <c r="EE223" s="367"/>
      <c r="EF223" s="367"/>
      <c r="EG223" s="367"/>
      <c r="EH223" s="367"/>
      <c r="EI223" s="367"/>
      <c r="EJ223" s="367"/>
      <c r="EK223" s="367"/>
      <c r="EL223" s="367"/>
      <c r="EM223" s="367"/>
      <c r="EN223" s="367"/>
      <c r="EO223" s="367"/>
      <c r="EP223" s="367"/>
      <c r="EQ223" s="367"/>
    </row>
    <row r="224" spans="1:147" x14ac:dyDescent="0.2">
      <c r="A224" s="192"/>
      <c r="B224" s="192"/>
      <c r="C224" s="192"/>
      <c r="D224" s="192"/>
      <c r="E224" s="192"/>
      <c r="F224" s="192"/>
      <c r="G224" s="192"/>
      <c r="H224" s="192"/>
      <c r="I224" s="192"/>
      <c r="J224" s="192"/>
      <c r="K224" s="192"/>
      <c r="L224" s="192"/>
      <c r="M224" s="192"/>
      <c r="N224" s="192"/>
      <c r="O224" s="192"/>
      <c r="P224" s="192"/>
      <c r="Q224" s="192"/>
      <c r="R224" s="192"/>
      <c r="S224" s="266"/>
      <c r="T224" s="265"/>
      <c r="U224" s="265"/>
      <c r="V224" s="265"/>
      <c r="W224" s="265"/>
      <c r="X224" s="265"/>
      <c r="Y224" s="265"/>
      <c r="Z224" s="265"/>
      <c r="AA224" s="265"/>
      <c r="AB224" s="265"/>
      <c r="AC224" s="265"/>
      <c r="AD224" s="265"/>
      <c r="AE224" s="265"/>
      <c r="AF224" s="265"/>
      <c r="AG224" s="265"/>
      <c r="AH224" s="265"/>
      <c r="AI224" s="192"/>
      <c r="AJ224" s="192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  <c r="BP224" s="367"/>
      <c r="BQ224" s="367"/>
      <c r="BR224" s="367"/>
      <c r="BS224" s="367"/>
      <c r="BT224" s="367"/>
      <c r="BU224" s="367"/>
      <c r="BV224" s="367"/>
      <c r="BW224" s="367"/>
      <c r="BX224" s="367"/>
      <c r="BY224" s="367"/>
      <c r="BZ224" s="367"/>
      <c r="CA224" s="367"/>
      <c r="CB224" s="367"/>
      <c r="CC224" s="367"/>
      <c r="CD224" s="367"/>
      <c r="CE224" s="367"/>
      <c r="CF224" s="367"/>
      <c r="CG224" s="367"/>
      <c r="CH224" s="367"/>
      <c r="CI224" s="367"/>
      <c r="CJ224" s="367"/>
      <c r="CK224" s="367"/>
      <c r="CL224" s="367"/>
      <c r="CM224" s="367"/>
      <c r="CN224" s="367"/>
      <c r="CO224" s="367"/>
      <c r="CP224" s="367"/>
      <c r="CQ224" s="367"/>
      <c r="CR224" s="367"/>
      <c r="CS224" s="367"/>
      <c r="CT224" s="367"/>
      <c r="CU224" s="367"/>
      <c r="CV224" s="367"/>
      <c r="CW224" s="367"/>
      <c r="CX224" s="367"/>
      <c r="CY224" s="367"/>
      <c r="CZ224" s="367"/>
      <c r="DA224" s="367"/>
      <c r="DB224" s="367"/>
      <c r="DC224" s="367"/>
      <c r="DD224" s="367"/>
      <c r="DE224" s="367"/>
      <c r="DF224" s="367"/>
      <c r="DG224" s="367"/>
      <c r="DH224" s="367"/>
      <c r="DI224" s="367"/>
      <c r="DJ224" s="367"/>
      <c r="DK224" s="367"/>
      <c r="DL224" s="367"/>
      <c r="DM224" s="367"/>
      <c r="DN224" s="367"/>
      <c r="DO224" s="367"/>
      <c r="DP224" s="367"/>
      <c r="DQ224" s="367"/>
      <c r="DR224" s="367"/>
      <c r="DS224" s="367"/>
      <c r="DT224" s="367"/>
      <c r="DU224" s="367"/>
      <c r="DV224" s="367"/>
      <c r="DW224" s="367"/>
      <c r="DX224" s="367"/>
      <c r="DY224" s="367"/>
      <c r="DZ224" s="367"/>
      <c r="EA224" s="367"/>
      <c r="EB224" s="367"/>
      <c r="EC224" s="367"/>
      <c r="ED224" s="367"/>
      <c r="EE224" s="367"/>
      <c r="EF224" s="367"/>
      <c r="EG224" s="367"/>
      <c r="EH224" s="367"/>
      <c r="EI224" s="367"/>
      <c r="EJ224" s="367"/>
      <c r="EK224" s="367"/>
      <c r="EL224" s="367"/>
      <c r="EM224" s="367"/>
      <c r="EN224" s="367"/>
      <c r="EO224" s="367"/>
      <c r="EP224" s="367"/>
      <c r="EQ224" s="367"/>
    </row>
    <row r="225" spans="1:147" x14ac:dyDescent="0.2">
      <c r="A225" s="192"/>
      <c r="B225" s="192"/>
      <c r="C225" s="192"/>
      <c r="D225" s="192"/>
      <c r="E225" s="192"/>
      <c r="F225" s="192"/>
      <c r="G225" s="192"/>
      <c r="H225" s="192"/>
      <c r="I225" s="192"/>
      <c r="J225" s="192"/>
      <c r="K225" s="192"/>
      <c r="L225" s="192"/>
      <c r="M225" s="192"/>
      <c r="N225" s="192"/>
      <c r="O225" s="192"/>
      <c r="P225" s="192"/>
      <c r="Q225" s="192"/>
      <c r="R225" s="192"/>
      <c r="S225" s="266"/>
      <c r="T225" s="265"/>
      <c r="U225" s="265"/>
      <c r="V225" s="265"/>
      <c r="W225" s="265"/>
      <c r="X225" s="265"/>
      <c r="Y225" s="265"/>
      <c r="Z225" s="265"/>
      <c r="AA225" s="265"/>
      <c r="AB225" s="265"/>
      <c r="AC225" s="265"/>
      <c r="AD225" s="265"/>
      <c r="AE225" s="265"/>
      <c r="AF225" s="265"/>
      <c r="AG225" s="265"/>
      <c r="AH225" s="265"/>
      <c r="AI225" s="192"/>
      <c r="AJ225" s="192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B225" s="367"/>
      <c r="BC225" s="367"/>
      <c r="BD225" s="367"/>
      <c r="BE225" s="367"/>
      <c r="BF225" s="367"/>
      <c r="BG225" s="367"/>
      <c r="BH225" s="367"/>
      <c r="BI225" s="367"/>
      <c r="BJ225" s="367"/>
      <c r="BK225" s="367"/>
      <c r="BL225" s="367"/>
      <c r="BM225" s="367"/>
      <c r="BN225" s="367"/>
      <c r="BO225" s="367"/>
      <c r="BP225" s="367"/>
      <c r="BQ225" s="367"/>
      <c r="BR225" s="367"/>
      <c r="BS225" s="367"/>
      <c r="BT225" s="367"/>
      <c r="BU225" s="367"/>
      <c r="BV225" s="367"/>
      <c r="BW225" s="367"/>
      <c r="BX225" s="367"/>
      <c r="BY225" s="367"/>
      <c r="BZ225" s="367"/>
      <c r="CA225" s="367"/>
      <c r="CB225" s="367"/>
      <c r="CC225" s="367"/>
      <c r="CD225" s="367"/>
      <c r="CE225" s="367"/>
      <c r="CF225" s="367"/>
      <c r="CG225" s="367"/>
      <c r="CH225" s="367"/>
      <c r="CI225" s="367"/>
      <c r="CJ225" s="367"/>
      <c r="CK225" s="367"/>
      <c r="CL225" s="367"/>
      <c r="CM225" s="367"/>
      <c r="CN225" s="367"/>
      <c r="CO225" s="367"/>
      <c r="CP225" s="367"/>
      <c r="CQ225" s="367"/>
      <c r="CR225" s="367"/>
      <c r="CS225" s="367"/>
      <c r="CT225" s="367"/>
      <c r="CU225" s="367"/>
      <c r="CV225" s="367"/>
      <c r="CW225" s="367"/>
      <c r="CX225" s="367"/>
      <c r="CY225" s="367"/>
      <c r="CZ225" s="367"/>
      <c r="DA225" s="367"/>
      <c r="DB225" s="367"/>
      <c r="DC225" s="367"/>
      <c r="DD225" s="367"/>
      <c r="DE225" s="367"/>
      <c r="DF225" s="367"/>
      <c r="DG225" s="367"/>
      <c r="DH225" s="367"/>
      <c r="DI225" s="367"/>
      <c r="DJ225" s="367"/>
      <c r="DK225" s="367"/>
      <c r="DL225" s="367"/>
      <c r="DM225" s="367"/>
      <c r="DN225" s="367"/>
      <c r="DO225" s="367"/>
      <c r="DP225" s="367"/>
      <c r="DQ225" s="367"/>
      <c r="DR225" s="367"/>
      <c r="DS225" s="367"/>
      <c r="DT225" s="367"/>
      <c r="DU225" s="367"/>
      <c r="DV225" s="367"/>
      <c r="DW225" s="367"/>
      <c r="DX225" s="367"/>
      <c r="DY225" s="367"/>
      <c r="DZ225" s="367"/>
      <c r="EA225" s="367"/>
      <c r="EB225" s="367"/>
      <c r="EC225" s="367"/>
      <c r="ED225" s="367"/>
      <c r="EE225" s="367"/>
      <c r="EF225" s="367"/>
      <c r="EG225" s="367"/>
      <c r="EH225" s="367"/>
      <c r="EI225" s="367"/>
      <c r="EJ225" s="367"/>
      <c r="EK225" s="367"/>
      <c r="EL225" s="367"/>
      <c r="EM225" s="367"/>
      <c r="EN225" s="367"/>
      <c r="EO225" s="367"/>
      <c r="EP225" s="367"/>
      <c r="EQ225" s="367"/>
    </row>
    <row r="226" spans="1:147" x14ac:dyDescent="0.2">
      <c r="A226" s="192"/>
      <c r="B226" s="192"/>
      <c r="C226" s="192"/>
      <c r="D226" s="192"/>
      <c r="E226" s="192"/>
      <c r="F226" s="192"/>
      <c r="G226" s="192"/>
      <c r="H226" s="192"/>
      <c r="I226" s="192"/>
      <c r="J226" s="192"/>
      <c r="K226" s="192"/>
      <c r="L226" s="192"/>
      <c r="M226" s="192"/>
      <c r="N226" s="192"/>
      <c r="O226" s="192"/>
      <c r="P226" s="192"/>
      <c r="Q226" s="192"/>
      <c r="R226" s="192"/>
      <c r="S226" s="266"/>
      <c r="T226" s="265"/>
      <c r="U226" s="265"/>
      <c r="V226" s="265"/>
      <c r="W226" s="265"/>
      <c r="X226" s="265"/>
      <c r="Y226" s="265"/>
      <c r="Z226" s="265"/>
      <c r="AA226" s="265"/>
      <c r="AB226" s="265"/>
      <c r="AC226" s="265"/>
      <c r="AD226" s="265"/>
      <c r="AE226" s="265"/>
      <c r="AF226" s="265"/>
      <c r="AG226" s="265"/>
      <c r="AH226" s="265"/>
      <c r="AI226" s="192"/>
      <c r="AJ226" s="192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B226" s="367"/>
      <c r="BC226" s="367"/>
      <c r="BD226" s="367"/>
      <c r="BE226" s="367"/>
      <c r="BF226" s="367"/>
      <c r="BG226" s="367"/>
      <c r="BH226" s="367"/>
      <c r="BI226" s="367"/>
      <c r="BJ226" s="367"/>
      <c r="BK226" s="367"/>
      <c r="BL226" s="367"/>
      <c r="BM226" s="367"/>
      <c r="BN226" s="367"/>
      <c r="BO226" s="367"/>
      <c r="BP226" s="367"/>
      <c r="BQ226" s="367"/>
      <c r="BR226" s="367"/>
      <c r="BS226" s="367"/>
      <c r="BT226" s="367"/>
      <c r="BU226" s="367"/>
      <c r="BV226" s="367"/>
      <c r="BW226" s="367"/>
      <c r="BX226" s="367"/>
      <c r="BY226" s="367"/>
      <c r="BZ226" s="367"/>
      <c r="CA226" s="367"/>
      <c r="CB226" s="367"/>
      <c r="CC226" s="367"/>
      <c r="CD226" s="367"/>
      <c r="CE226" s="367"/>
      <c r="CF226" s="367"/>
      <c r="CG226" s="367"/>
      <c r="CH226" s="367"/>
      <c r="CI226" s="367"/>
      <c r="CJ226" s="367"/>
      <c r="CK226" s="367"/>
      <c r="CL226" s="367"/>
      <c r="CM226" s="367"/>
      <c r="CN226" s="367"/>
      <c r="CO226" s="367"/>
      <c r="CP226" s="367"/>
      <c r="CQ226" s="367"/>
      <c r="CR226" s="367"/>
      <c r="CS226" s="367"/>
      <c r="CT226" s="367"/>
      <c r="CU226" s="367"/>
      <c r="CV226" s="367"/>
      <c r="CW226" s="367"/>
      <c r="CX226" s="367"/>
      <c r="CY226" s="367"/>
      <c r="CZ226" s="367"/>
      <c r="DA226" s="367"/>
      <c r="DB226" s="367"/>
      <c r="DC226" s="367"/>
      <c r="DD226" s="367"/>
      <c r="DE226" s="367"/>
      <c r="DF226" s="367"/>
      <c r="DG226" s="367"/>
      <c r="DH226" s="367"/>
      <c r="DI226" s="367"/>
      <c r="DJ226" s="367"/>
      <c r="DK226" s="367"/>
      <c r="DL226" s="367"/>
      <c r="DM226" s="367"/>
      <c r="DN226" s="367"/>
      <c r="DO226" s="367"/>
      <c r="DP226" s="367"/>
      <c r="DQ226" s="367"/>
      <c r="DR226" s="367"/>
      <c r="DS226" s="367"/>
      <c r="DT226" s="367"/>
      <c r="DU226" s="367"/>
      <c r="DV226" s="367"/>
      <c r="DW226" s="367"/>
      <c r="DX226" s="367"/>
      <c r="DY226" s="367"/>
      <c r="DZ226" s="367"/>
      <c r="EA226" s="367"/>
      <c r="EB226" s="367"/>
      <c r="EC226" s="367"/>
      <c r="ED226" s="367"/>
      <c r="EE226" s="367"/>
      <c r="EF226" s="367"/>
      <c r="EG226" s="367"/>
      <c r="EH226" s="367"/>
      <c r="EI226" s="367"/>
      <c r="EJ226" s="367"/>
      <c r="EK226" s="367"/>
      <c r="EL226" s="367"/>
      <c r="EM226" s="367"/>
      <c r="EN226" s="367"/>
      <c r="EO226" s="367"/>
      <c r="EP226" s="367"/>
      <c r="EQ226" s="367"/>
    </row>
    <row r="227" spans="1:147" x14ac:dyDescent="0.2">
      <c r="A227" s="192"/>
      <c r="B227" s="192"/>
      <c r="C227" s="192"/>
      <c r="D227" s="192"/>
      <c r="E227" s="192"/>
      <c r="F227" s="192"/>
      <c r="G227" s="192"/>
      <c r="H227" s="192"/>
      <c r="I227" s="192"/>
      <c r="J227" s="192"/>
      <c r="K227" s="192"/>
      <c r="L227" s="192"/>
      <c r="M227" s="192"/>
      <c r="N227" s="192"/>
      <c r="O227" s="192"/>
      <c r="P227" s="192"/>
      <c r="Q227" s="192"/>
      <c r="R227" s="192"/>
      <c r="S227" s="266"/>
      <c r="T227" s="265"/>
      <c r="U227" s="265"/>
      <c r="V227" s="265"/>
      <c r="W227" s="265"/>
      <c r="X227" s="265"/>
      <c r="Y227" s="265"/>
      <c r="Z227" s="265"/>
      <c r="AA227" s="265"/>
      <c r="AB227" s="265"/>
      <c r="AC227" s="265"/>
      <c r="AD227" s="265"/>
      <c r="AE227" s="265"/>
      <c r="AF227" s="265"/>
      <c r="AG227" s="265"/>
      <c r="AH227" s="265"/>
      <c r="AI227" s="192"/>
      <c r="AJ227" s="192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B227" s="367"/>
      <c r="BC227" s="367"/>
      <c r="BD227" s="367"/>
      <c r="BE227" s="367"/>
      <c r="BF227" s="367"/>
      <c r="BG227" s="367"/>
      <c r="BH227" s="367"/>
      <c r="BI227" s="367"/>
      <c r="BJ227" s="367"/>
      <c r="BK227" s="367"/>
      <c r="BL227" s="367"/>
      <c r="BM227" s="367"/>
      <c r="BN227" s="367"/>
      <c r="BO227" s="367"/>
      <c r="BP227" s="367"/>
      <c r="BQ227" s="367"/>
      <c r="BR227" s="367"/>
      <c r="BS227" s="367"/>
      <c r="BT227" s="367"/>
      <c r="BU227" s="367"/>
      <c r="BV227" s="367"/>
      <c r="BW227" s="367"/>
      <c r="BX227" s="367"/>
      <c r="BY227" s="367"/>
      <c r="BZ227" s="367"/>
      <c r="CA227" s="367"/>
      <c r="CB227" s="367"/>
      <c r="CC227" s="367"/>
      <c r="CD227" s="367"/>
      <c r="CE227" s="367"/>
      <c r="CF227" s="367"/>
      <c r="CG227" s="367"/>
      <c r="CH227" s="367"/>
      <c r="CI227" s="367"/>
      <c r="CJ227" s="367"/>
      <c r="CK227" s="367"/>
      <c r="CL227" s="367"/>
      <c r="CM227" s="367"/>
      <c r="CN227" s="367"/>
      <c r="CO227" s="367"/>
      <c r="CP227" s="367"/>
      <c r="CQ227" s="367"/>
      <c r="CR227" s="367"/>
      <c r="CS227" s="367"/>
      <c r="CT227" s="367"/>
      <c r="CU227" s="367"/>
      <c r="CV227" s="367"/>
      <c r="CW227" s="367"/>
      <c r="CX227" s="367"/>
      <c r="CY227" s="367"/>
      <c r="CZ227" s="367"/>
      <c r="DA227" s="367"/>
      <c r="DB227" s="367"/>
      <c r="DC227" s="367"/>
      <c r="DD227" s="367"/>
      <c r="DE227" s="367"/>
      <c r="DF227" s="367"/>
      <c r="DG227" s="367"/>
      <c r="DH227" s="367"/>
      <c r="DI227" s="367"/>
      <c r="DJ227" s="367"/>
      <c r="DK227" s="367"/>
      <c r="DL227" s="367"/>
      <c r="DM227" s="367"/>
      <c r="DN227" s="367"/>
      <c r="DO227" s="367"/>
      <c r="DP227" s="367"/>
      <c r="DQ227" s="367"/>
      <c r="DR227" s="367"/>
      <c r="DS227" s="367"/>
      <c r="DT227" s="367"/>
      <c r="DU227" s="367"/>
      <c r="DV227" s="367"/>
      <c r="DW227" s="367"/>
      <c r="DX227" s="367"/>
      <c r="DY227" s="367"/>
      <c r="DZ227" s="367"/>
      <c r="EA227" s="367"/>
      <c r="EB227" s="367"/>
      <c r="EC227" s="367"/>
      <c r="ED227" s="367"/>
      <c r="EE227" s="367"/>
      <c r="EF227" s="367"/>
      <c r="EG227" s="367"/>
      <c r="EH227" s="367"/>
      <c r="EI227" s="367"/>
      <c r="EJ227" s="367"/>
      <c r="EK227" s="367"/>
      <c r="EL227" s="367"/>
      <c r="EM227" s="367"/>
      <c r="EN227" s="367"/>
      <c r="EO227" s="367"/>
      <c r="EP227" s="367"/>
      <c r="EQ227" s="367"/>
    </row>
    <row r="228" spans="1:147" x14ac:dyDescent="0.2">
      <c r="A228" s="192"/>
      <c r="B228" s="192"/>
      <c r="C228" s="192"/>
      <c r="D228" s="192"/>
      <c r="E228" s="192"/>
      <c r="F228" s="192"/>
      <c r="G228" s="192"/>
      <c r="H228" s="192"/>
      <c r="I228" s="192"/>
      <c r="J228" s="192"/>
      <c r="K228" s="192"/>
      <c r="L228" s="192"/>
      <c r="M228" s="192"/>
      <c r="N228" s="192"/>
      <c r="O228" s="192"/>
      <c r="P228" s="192"/>
      <c r="Q228" s="192"/>
      <c r="R228" s="192"/>
      <c r="S228" s="266"/>
      <c r="T228" s="265"/>
      <c r="U228" s="265"/>
      <c r="V228" s="265"/>
      <c r="W228" s="265"/>
      <c r="X228" s="265"/>
      <c r="Y228" s="265"/>
      <c r="Z228" s="265"/>
      <c r="AA228" s="265"/>
      <c r="AB228" s="265"/>
      <c r="AC228" s="265"/>
      <c r="AD228" s="265"/>
      <c r="AE228" s="265"/>
      <c r="AF228" s="265"/>
      <c r="AG228" s="265"/>
      <c r="AH228" s="265"/>
      <c r="AI228" s="192"/>
      <c r="AJ228" s="192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B228" s="367"/>
      <c r="BC228" s="367"/>
      <c r="BD228" s="367"/>
      <c r="BE228" s="367"/>
      <c r="BF228" s="367"/>
      <c r="BG228" s="367"/>
      <c r="BH228" s="367"/>
      <c r="BI228" s="367"/>
      <c r="BJ228" s="367"/>
      <c r="BK228" s="367"/>
      <c r="BL228" s="367"/>
      <c r="BM228" s="367"/>
      <c r="BN228" s="367"/>
      <c r="BO228" s="367"/>
      <c r="BP228" s="367"/>
      <c r="BQ228" s="367"/>
      <c r="BR228" s="367"/>
      <c r="BS228" s="367"/>
      <c r="BT228" s="367"/>
      <c r="BU228" s="367"/>
      <c r="BV228" s="367"/>
      <c r="BW228" s="367"/>
      <c r="BX228" s="367"/>
      <c r="BY228" s="367"/>
      <c r="BZ228" s="367"/>
      <c r="CA228" s="367"/>
      <c r="CB228" s="367"/>
      <c r="CC228" s="367"/>
      <c r="CD228" s="367"/>
      <c r="CE228" s="367"/>
      <c r="CF228" s="367"/>
      <c r="CG228" s="367"/>
      <c r="CH228" s="367"/>
      <c r="CI228" s="367"/>
      <c r="CJ228" s="367"/>
      <c r="CK228" s="367"/>
      <c r="CL228" s="367"/>
      <c r="CM228" s="367"/>
      <c r="CN228" s="367"/>
      <c r="CO228" s="367"/>
      <c r="CP228" s="367"/>
      <c r="CQ228" s="367"/>
      <c r="CR228" s="367"/>
      <c r="CS228" s="367"/>
      <c r="CT228" s="367"/>
      <c r="CU228" s="367"/>
      <c r="CV228" s="367"/>
      <c r="CW228" s="367"/>
      <c r="CX228" s="367"/>
      <c r="CY228" s="367"/>
      <c r="CZ228" s="367"/>
      <c r="DA228" s="367"/>
      <c r="DB228" s="367"/>
      <c r="DC228" s="367"/>
      <c r="DD228" s="367"/>
      <c r="DE228" s="367"/>
      <c r="DF228" s="367"/>
      <c r="DG228" s="367"/>
      <c r="DH228" s="367"/>
      <c r="DI228" s="367"/>
      <c r="DJ228" s="367"/>
      <c r="DK228" s="367"/>
      <c r="DL228" s="367"/>
      <c r="DM228" s="367"/>
      <c r="DN228" s="367"/>
      <c r="DO228" s="367"/>
      <c r="DP228" s="367"/>
      <c r="DQ228" s="367"/>
      <c r="DR228" s="367"/>
      <c r="DS228" s="367"/>
      <c r="DT228" s="367"/>
      <c r="DU228" s="367"/>
      <c r="DV228" s="367"/>
      <c r="DW228" s="367"/>
      <c r="DX228" s="367"/>
      <c r="DY228" s="367"/>
      <c r="DZ228" s="367"/>
      <c r="EA228" s="367"/>
      <c r="EB228" s="367"/>
      <c r="EC228" s="367"/>
      <c r="ED228" s="367"/>
      <c r="EE228" s="367"/>
      <c r="EF228" s="367"/>
      <c r="EG228" s="367"/>
      <c r="EH228" s="367"/>
      <c r="EI228" s="367"/>
      <c r="EJ228" s="367"/>
      <c r="EK228" s="367"/>
      <c r="EL228" s="367"/>
      <c r="EM228" s="367"/>
      <c r="EN228" s="367"/>
      <c r="EO228" s="367"/>
      <c r="EP228" s="367"/>
      <c r="EQ228" s="367"/>
    </row>
    <row r="229" spans="1:147" x14ac:dyDescent="0.2">
      <c r="A229" s="192"/>
      <c r="B229" s="192"/>
      <c r="C229" s="192"/>
      <c r="D229" s="192"/>
      <c r="E229" s="192"/>
      <c r="F229" s="192"/>
      <c r="G229" s="192"/>
      <c r="H229" s="192"/>
      <c r="I229" s="192"/>
      <c r="J229" s="192"/>
      <c r="K229" s="192"/>
      <c r="L229" s="192"/>
      <c r="M229" s="192"/>
      <c r="N229" s="192"/>
      <c r="O229" s="192"/>
      <c r="P229" s="192"/>
      <c r="Q229" s="192"/>
      <c r="R229" s="192"/>
      <c r="S229" s="266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  <c r="AG229" s="265"/>
      <c r="AH229" s="265"/>
      <c r="AI229" s="192"/>
      <c r="AJ229" s="192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B229" s="367"/>
      <c r="BC229" s="367"/>
      <c r="BD229" s="367"/>
      <c r="BE229" s="367"/>
      <c r="BF229" s="367"/>
      <c r="BG229" s="367"/>
      <c r="BH229" s="367"/>
      <c r="BI229" s="367"/>
      <c r="BJ229" s="367"/>
      <c r="BK229" s="367"/>
      <c r="BL229" s="367"/>
      <c r="BM229" s="367"/>
      <c r="BN229" s="367"/>
      <c r="BO229" s="367"/>
      <c r="BP229" s="367"/>
      <c r="BQ229" s="367"/>
      <c r="BR229" s="367"/>
      <c r="BS229" s="367"/>
      <c r="BT229" s="367"/>
      <c r="BU229" s="367"/>
      <c r="BV229" s="367"/>
      <c r="BW229" s="367"/>
      <c r="BX229" s="367"/>
      <c r="BY229" s="367"/>
      <c r="BZ229" s="367"/>
      <c r="CA229" s="367"/>
      <c r="CB229" s="367"/>
      <c r="CC229" s="367"/>
      <c r="CD229" s="367"/>
      <c r="CE229" s="367"/>
      <c r="CF229" s="367"/>
      <c r="CG229" s="367"/>
      <c r="CH229" s="367"/>
      <c r="CI229" s="367"/>
      <c r="CJ229" s="367"/>
      <c r="CK229" s="367"/>
      <c r="CL229" s="367"/>
      <c r="CM229" s="367"/>
      <c r="CN229" s="367"/>
      <c r="CO229" s="367"/>
      <c r="CP229" s="367"/>
      <c r="CQ229" s="367"/>
      <c r="CR229" s="367"/>
      <c r="CS229" s="367"/>
      <c r="CT229" s="367"/>
      <c r="CU229" s="367"/>
      <c r="CV229" s="367"/>
      <c r="CW229" s="367"/>
      <c r="CX229" s="367"/>
      <c r="CY229" s="367"/>
      <c r="CZ229" s="367"/>
      <c r="DA229" s="367"/>
      <c r="DB229" s="367"/>
      <c r="DC229" s="367"/>
      <c r="DD229" s="367"/>
      <c r="DE229" s="367"/>
      <c r="DF229" s="367"/>
      <c r="DG229" s="367"/>
      <c r="DH229" s="367"/>
      <c r="DI229" s="367"/>
      <c r="DJ229" s="367"/>
      <c r="DK229" s="367"/>
      <c r="DL229" s="367"/>
      <c r="DM229" s="367"/>
      <c r="DN229" s="367"/>
      <c r="DO229" s="367"/>
      <c r="DP229" s="367"/>
      <c r="DQ229" s="367"/>
      <c r="DR229" s="367"/>
      <c r="DS229" s="367"/>
      <c r="DT229" s="367"/>
      <c r="DU229" s="367"/>
      <c r="DV229" s="367"/>
      <c r="DW229" s="367"/>
      <c r="DX229" s="367"/>
      <c r="DY229" s="367"/>
      <c r="DZ229" s="367"/>
      <c r="EA229" s="367"/>
      <c r="EB229" s="367"/>
      <c r="EC229" s="367"/>
      <c r="ED229" s="367"/>
      <c r="EE229" s="367"/>
      <c r="EF229" s="367"/>
      <c r="EG229" s="367"/>
      <c r="EH229" s="367"/>
      <c r="EI229" s="367"/>
      <c r="EJ229" s="367"/>
      <c r="EK229" s="367"/>
      <c r="EL229" s="367"/>
      <c r="EM229" s="367"/>
      <c r="EN229" s="367"/>
      <c r="EO229" s="367"/>
      <c r="EP229" s="367"/>
      <c r="EQ229" s="367"/>
    </row>
    <row r="230" spans="1:147" x14ac:dyDescent="0.2">
      <c r="A230" s="192"/>
      <c r="B230" s="192"/>
      <c r="C230" s="192"/>
      <c r="D230" s="192"/>
      <c r="E230" s="192"/>
      <c r="F230" s="192"/>
      <c r="G230" s="192"/>
      <c r="H230" s="192"/>
      <c r="I230" s="192"/>
      <c r="J230" s="192"/>
      <c r="K230" s="192"/>
      <c r="L230" s="192"/>
      <c r="M230" s="192"/>
      <c r="N230" s="192"/>
      <c r="O230" s="192"/>
      <c r="P230" s="192"/>
      <c r="Q230" s="192"/>
      <c r="R230" s="192"/>
      <c r="S230" s="266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  <c r="AG230" s="265"/>
      <c r="AH230" s="265"/>
      <c r="AI230" s="192"/>
      <c r="AJ230" s="192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B230" s="367"/>
      <c r="BC230" s="367"/>
      <c r="BD230" s="367"/>
      <c r="BE230" s="367"/>
      <c r="BF230" s="367"/>
      <c r="BG230" s="367"/>
      <c r="BH230" s="367"/>
      <c r="BI230" s="367"/>
      <c r="BJ230" s="367"/>
      <c r="BK230" s="367"/>
      <c r="BL230" s="367"/>
      <c r="BM230" s="367"/>
      <c r="BN230" s="367"/>
      <c r="BO230" s="367"/>
      <c r="BP230" s="367"/>
      <c r="BQ230" s="367"/>
      <c r="BR230" s="367"/>
      <c r="BS230" s="367"/>
      <c r="BT230" s="367"/>
      <c r="BU230" s="367"/>
      <c r="BV230" s="367"/>
      <c r="BW230" s="367"/>
      <c r="BX230" s="367"/>
      <c r="BY230" s="367"/>
      <c r="BZ230" s="367"/>
      <c r="CA230" s="367"/>
      <c r="CB230" s="367"/>
      <c r="CC230" s="367"/>
      <c r="CD230" s="367"/>
      <c r="CE230" s="367"/>
      <c r="CF230" s="367"/>
      <c r="CG230" s="367"/>
      <c r="CH230" s="367"/>
      <c r="CI230" s="367"/>
      <c r="CJ230" s="367"/>
      <c r="CK230" s="367"/>
      <c r="CL230" s="367"/>
      <c r="CM230" s="367"/>
      <c r="CN230" s="367"/>
      <c r="CO230" s="367"/>
      <c r="CP230" s="367"/>
      <c r="CQ230" s="367"/>
      <c r="CR230" s="367"/>
      <c r="CS230" s="367"/>
      <c r="CT230" s="367"/>
      <c r="CU230" s="367"/>
      <c r="CV230" s="367"/>
      <c r="CW230" s="367"/>
      <c r="CX230" s="367"/>
      <c r="CY230" s="367"/>
      <c r="CZ230" s="367"/>
      <c r="DA230" s="367"/>
      <c r="DB230" s="367"/>
      <c r="DC230" s="367"/>
      <c r="DD230" s="367"/>
      <c r="DE230" s="367"/>
      <c r="DF230" s="367"/>
      <c r="DG230" s="367"/>
      <c r="DH230" s="367"/>
      <c r="DI230" s="367"/>
      <c r="DJ230" s="367"/>
      <c r="DK230" s="367"/>
      <c r="DL230" s="367"/>
      <c r="DM230" s="367"/>
      <c r="DN230" s="367"/>
      <c r="DO230" s="367"/>
      <c r="DP230" s="367"/>
      <c r="DQ230" s="367"/>
      <c r="DR230" s="367"/>
      <c r="DS230" s="367"/>
      <c r="DT230" s="367"/>
      <c r="DU230" s="367"/>
      <c r="DV230" s="367"/>
      <c r="DW230" s="367"/>
      <c r="DX230" s="367"/>
      <c r="DY230" s="367"/>
      <c r="DZ230" s="367"/>
      <c r="EA230" s="367"/>
      <c r="EB230" s="367"/>
      <c r="EC230" s="367"/>
      <c r="ED230" s="367"/>
      <c r="EE230" s="367"/>
      <c r="EF230" s="367"/>
      <c r="EG230" s="367"/>
      <c r="EH230" s="367"/>
      <c r="EI230" s="367"/>
      <c r="EJ230" s="367"/>
      <c r="EK230" s="367"/>
      <c r="EL230" s="367"/>
      <c r="EM230" s="367"/>
      <c r="EN230" s="367"/>
      <c r="EO230" s="367"/>
      <c r="EP230" s="367"/>
      <c r="EQ230" s="367"/>
    </row>
    <row r="231" spans="1:147" x14ac:dyDescent="0.2">
      <c r="A231" s="192"/>
      <c r="B231" s="192"/>
      <c r="C231" s="192"/>
      <c r="D231" s="192"/>
      <c r="E231" s="192"/>
      <c r="F231" s="192"/>
      <c r="G231" s="192"/>
      <c r="H231" s="192"/>
      <c r="I231" s="192"/>
      <c r="J231" s="192"/>
      <c r="K231" s="192"/>
      <c r="L231" s="192"/>
      <c r="M231" s="192"/>
      <c r="N231" s="192"/>
      <c r="O231" s="192"/>
      <c r="P231" s="192"/>
      <c r="Q231" s="192"/>
      <c r="R231" s="192"/>
      <c r="S231" s="266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  <c r="AG231" s="265"/>
      <c r="AH231" s="265"/>
      <c r="AI231" s="192"/>
      <c r="AJ231" s="192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B231" s="367"/>
      <c r="BC231" s="367"/>
      <c r="BD231" s="367"/>
      <c r="BE231" s="367"/>
      <c r="BF231" s="367"/>
      <c r="BG231" s="367"/>
      <c r="BH231" s="367"/>
      <c r="BI231" s="367"/>
      <c r="BJ231" s="367"/>
      <c r="BK231" s="367"/>
      <c r="BL231" s="367"/>
      <c r="BM231" s="367"/>
      <c r="BN231" s="367"/>
      <c r="BO231" s="367"/>
      <c r="BP231" s="367"/>
      <c r="BQ231" s="367"/>
      <c r="BR231" s="367"/>
      <c r="BS231" s="367"/>
      <c r="BT231" s="367"/>
      <c r="BU231" s="367"/>
      <c r="BV231" s="367"/>
      <c r="BW231" s="367"/>
      <c r="BX231" s="367"/>
      <c r="BY231" s="367"/>
      <c r="BZ231" s="367"/>
      <c r="CA231" s="367"/>
      <c r="CB231" s="367"/>
      <c r="CC231" s="367"/>
      <c r="CD231" s="367"/>
      <c r="CE231" s="367"/>
      <c r="CF231" s="367"/>
      <c r="CG231" s="367"/>
      <c r="CH231" s="367"/>
      <c r="CI231" s="367"/>
      <c r="CJ231" s="367"/>
      <c r="CK231" s="367"/>
      <c r="CL231" s="367"/>
      <c r="CM231" s="367"/>
      <c r="CN231" s="367"/>
      <c r="CO231" s="367"/>
      <c r="CP231" s="367"/>
      <c r="CQ231" s="367"/>
      <c r="CR231" s="367"/>
      <c r="CS231" s="367"/>
      <c r="CT231" s="367"/>
      <c r="CU231" s="367"/>
      <c r="CV231" s="367"/>
      <c r="CW231" s="367"/>
      <c r="CX231" s="367"/>
      <c r="CY231" s="367"/>
      <c r="CZ231" s="367"/>
      <c r="DA231" s="367"/>
      <c r="DB231" s="367"/>
      <c r="DC231" s="367"/>
      <c r="DD231" s="367"/>
      <c r="DE231" s="367"/>
      <c r="DF231" s="367"/>
      <c r="DG231" s="367"/>
      <c r="DH231" s="367"/>
      <c r="DI231" s="367"/>
      <c r="DJ231" s="367"/>
      <c r="DK231" s="367"/>
      <c r="DL231" s="367"/>
      <c r="DM231" s="367"/>
      <c r="DN231" s="367"/>
      <c r="DO231" s="367"/>
      <c r="DP231" s="367"/>
      <c r="DQ231" s="367"/>
      <c r="DR231" s="367"/>
      <c r="DS231" s="367"/>
      <c r="DT231" s="367"/>
      <c r="DU231" s="367"/>
      <c r="DV231" s="367"/>
      <c r="DW231" s="367"/>
      <c r="DX231" s="367"/>
      <c r="DY231" s="367"/>
      <c r="DZ231" s="367"/>
      <c r="EA231" s="367"/>
      <c r="EB231" s="367"/>
      <c r="EC231" s="367"/>
      <c r="ED231" s="367"/>
      <c r="EE231" s="367"/>
      <c r="EF231" s="367"/>
      <c r="EG231" s="367"/>
      <c r="EH231" s="367"/>
      <c r="EI231" s="367"/>
      <c r="EJ231" s="367"/>
      <c r="EK231" s="367"/>
      <c r="EL231" s="367"/>
      <c r="EM231" s="367"/>
      <c r="EN231" s="367"/>
      <c r="EO231" s="367"/>
      <c r="EP231" s="367"/>
      <c r="EQ231" s="367"/>
    </row>
    <row r="232" spans="1:147" x14ac:dyDescent="0.2">
      <c r="A232" s="192"/>
      <c r="B232" s="192"/>
      <c r="C232" s="192"/>
      <c r="D232" s="192"/>
      <c r="E232" s="192"/>
      <c r="F232" s="192"/>
      <c r="G232" s="192"/>
      <c r="H232" s="192"/>
      <c r="I232" s="192"/>
      <c r="J232" s="192"/>
      <c r="K232" s="192"/>
      <c r="L232" s="192"/>
      <c r="M232" s="192"/>
      <c r="N232" s="192"/>
      <c r="O232" s="192"/>
      <c r="P232" s="192"/>
      <c r="Q232" s="192"/>
      <c r="R232" s="192"/>
      <c r="S232" s="266"/>
      <c r="T232" s="265"/>
      <c r="U232" s="265"/>
      <c r="V232" s="265"/>
      <c r="W232" s="265"/>
      <c r="X232" s="265"/>
      <c r="Y232" s="265"/>
      <c r="Z232" s="265"/>
      <c r="AA232" s="265"/>
      <c r="AB232" s="265"/>
      <c r="AC232" s="265"/>
      <c r="AD232" s="265"/>
      <c r="AE232" s="265"/>
      <c r="AF232" s="265"/>
      <c r="AG232" s="265"/>
      <c r="AH232" s="265"/>
      <c r="AI232" s="192"/>
      <c r="AJ232" s="192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B232" s="367"/>
      <c r="BC232" s="367"/>
      <c r="BD232" s="367"/>
      <c r="BE232" s="367"/>
      <c r="BF232" s="367"/>
      <c r="BG232" s="367"/>
      <c r="BH232" s="367"/>
      <c r="BI232" s="367"/>
      <c r="BJ232" s="367"/>
      <c r="BK232" s="367"/>
      <c r="BL232" s="367"/>
      <c r="BM232" s="367"/>
      <c r="BN232" s="367"/>
      <c r="BO232" s="367"/>
      <c r="BP232" s="367"/>
      <c r="BQ232" s="367"/>
      <c r="BR232" s="367"/>
      <c r="BS232" s="367"/>
      <c r="BT232" s="367"/>
      <c r="BU232" s="367"/>
      <c r="BV232" s="367"/>
      <c r="BW232" s="367"/>
      <c r="BX232" s="367"/>
      <c r="BY232" s="367"/>
      <c r="BZ232" s="367"/>
      <c r="CA232" s="367"/>
      <c r="CB232" s="367"/>
      <c r="CC232" s="367"/>
      <c r="CD232" s="367"/>
      <c r="CE232" s="367"/>
      <c r="CF232" s="367"/>
      <c r="CG232" s="367"/>
      <c r="CH232" s="367"/>
      <c r="CI232" s="367"/>
      <c r="CJ232" s="367"/>
      <c r="CK232" s="367"/>
      <c r="CL232" s="367"/>
      <c r="CM232" s="367"/>
      <c r="CN232" s="367"/>
      <c r="CO232" s="367"/>
      <c r="CP232" s="367"/>
      <c r="CQ232" s="367"/>
      <c r="CR232" s="367"/>
      <c r="CS232" s="367"/>
      <c r="CT232" s="367"/>
      <c r="CU232" s="367"/>
      <c r="CV232" s="367"/>
      <c r="CW232" s="367"/>
      <c r="CX232" s="367"/>
      <c r="CY232" s="367"/>
      <c r="CZ232" s="367"/>
      <c r="DA232" s="367"/>
      <c r="DB232" s="367"/>
      <c r="DC232" s="367"/>
      <c r="DD232" s="367"/>
      <c r="DE232" s="367"/>
      <c r="DF232" s="367"/>
      <c r="DG232" s="367"/>
      <c r="DH232" s="367"/>
      <c r="DI232" s="367"/>
      <c r="DJ232" s="367"/>
      <c r="DK232" s="367"/>
      <c r="DL232" s="367"/>
      <c r="DM232" s="367"/>
      <c r="DN232" s="367"/>
      <c r="DO232" s="367"/>
      <c r="DP232" s="367"/>
      <c r="DQ232" s="367"/>
      <c r="DR232" s="367"/>
      <c r="DS232" s="367"/>
      <c r="DT232" s="367"/>
      <c r="DU232" s="367"/>
      <c r="DV232" s="367"/>
      <c r="DW232" s="367"/>
      <c r="DX232" s="367"/>
      <c r="DY232" s="367"/>
      <c r="DZ232" s="367"/>
      <c r="EA232" s="367"/>
      <c r="EB232" s="367"/>
      <c r="EC232" s="367"/>
      <c r="ED232" s="367"/>
      <c r="EE232" s="367"/>
      <c r="EF232" s="367"/>
      <c r="EG232" s="367"/>
      <c r="EH232" s="367"/>
      <c r="EI232" s="367"/>
      <c r="EJ232" s="367"/>
      <c r="EK232" s="367"/>
      <c r="EL232" s="367"/>
      <c r="EM232" s="367"/>
      <c r="EN232" s="367"/>
      <c r="EO232" s="367"/>
      <c r="EP232" s="367"/>
      <c r="EQ232" s="367"/>
    </row>
    <row r="233" spans="1:147" x14ac:dyDescent="0.2">
      <c r="A233" s="192"/>
      <c r="B233" s="192"/>
      <c r="C233" s="192"/>
      <c r="D233" s="192"/>
      <c r="E233" s="192"/>
      <c r="F233" s="192"/>
      <c r="G233" s="192"/>
      <c r="H233" s="192"/>
      <c r="I233" s="192"/>
      <c r="J233" s="192"/>
      <c r="K233" s="192"/>
      <c r="L233" s="192"/>
      <c r="M233" s="192"/>
      <c r="N233" s="192"/>
      <c r="O233" s="192"/>
      <c r="P233" s="192"/>
      <c r="Q233" s="192"/>
      <c r="R233" s="192"/>
      <c r="S233" s="266"/>
      <c r="T233" s="265"/>
      <c r="U233" s="265"/>
      <c r="V233" s="265"/>
      <c r="W233" s="265"/>
      <c r="X233" s="265"/>
      <c r="Y233" s="265"/>
      <c r="Z233" s="265"/>
      <c r="AA233" s="265"/>
      <c r="AB233" s="265"/>
      <c r="AC233" s="265"/>
      <c r="AD233" s="265"/>
      <c r="AE233" s="265"/>
      <c r="AF233" s="265"/>
      <c r="AG233" s="265"/>
      <c r="AH233" s="265"/>
      <c r="AI233" s="192"/>
      <c r="AJ233" s="192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/>
      <c r="AX233" s="367"/>
      <c r="AY233" s="367"/>
      <c r="AZ233" s="367"/>
      <c r="BA233" s="367"/>
      <c r="BB233" s="367"/>
      <c r="BC233" s="367"/>
      <c r="BD233" s="367"/>
      <c r="BE233" s="367"/>
      <c r="BF233" s="367"/>
      <c r="BG233" s="367"/>
      <c r="BH233" s="367"/>
      <c r="BI233" s="367"/>
      <c r="BJ233" s="367"/>
      <c r="BK233" s="367"/>
      <c r="BL233" s="367"/>
      <c r="BM233" s="367"/>
      <c r="BN233" s="367"/>
      <c r="BO233" s="367"/>
      <c r="BP233" s="367"/>
      <c r="BQ233" s="367"/>
      <c r="BR233" s="367"/>
      <c r="BS233" s="367"/>
      <c r="BT233" s="367"/>
      <c r="BU233" s="367"/>
      <c r="BV233" s="367"/>
      <c r="BW233" s="367"/>
      <c r="BX233" s="367"/>
      <c r="BY233" s="367"/>
      <c r="BZ233" s="367"/>
      <c r="CA233" s="367"/>
      <c r="CB233" s="367"/>
      <c r="CC233" s="367"/>
      <c r="CD233" s="367"/>
      <c r="CE233" s="367"/>
      <c r="CF233" s="367"/>
      <c r="CG233" s="367"/>
      <c r="CH233" s="367"/>
      <c r="CI233" s="367"/>
      <c r="CJ233" s="367"/>
      <c r="CK233" s="367"/>
      <c r="CL233" s="367"/>
      <c r="CM233" s="367"/>
      <c r="CN233" s="367"/>
      <c r="CO233" s="367"/>
      <c r="CP233" s="367"/>
      <c r="CQ233" s="367"/>
      <c r="CR233" s="367"/>
      <c r="CS233" s="367"/>
      <c r="CT233" s="367"/>
      <c r="CU233" s="367"/>
      <c r="CV233" s="367"/>
      <c r="CW233" s="367"/>
      <c r="CX233" s="367"/>
      <c r="CY233" s="367"/>
      <c r="CZ233" s="367"/>
      <c r="DA233" s="367"/>
      <c r="DB233" s="367"/>
      <c r="DC233" s="367"/>
      <c r="DD233" s="367"/>
      <c r="DE233" s="367"/>
      <c r="DF233" s="367"/>
      <c r="DG233" s="367"/>
      <c r="DH233" s="367"/>
      <c r="DI233" s="367"/>
      <c r="DJ233" s="367"/>
      <c r="DK233" s="367"/>
      <c r="DL233" s="367"/>
      <c r="DM233" s="367"/>
      <c r="DN233" s="367"/>
      <c r="DO233" s="367"/>
      <c r="DP233" s="367"/>
      <c r="DQ233" s="367"/>
      <c r="DR233" s="367"/>
      <c r="DS233" s="367"/>
      <c r="DT233" s="367"/>
      <c r="DU233" s="367"/>
      <c r="DV233" s="367"/>
      <c r="DW233" s="367"/>
      <c r="DX233" s="367"/>
      <c r="DY233" s="367"/>
      <c r="DZ233" s="367"/>
      <c r="EA233" s="367"/>
      <c r="EB233" s="367"/>
      <c r="EC233" s="367"/>
      <c r="ED233" s="367"/>
      <c r="EE233" s="367"/>
      <c r="EF233" s="367"/>
      <c r="EG233" s="367"/>
      <c r="EH233" s="367"/>
      <c r="EI233" s="367"/>
      <c r="EJ233" s="367"/>
      <c r="EK233" s="367"/>
      <c r="EL233" s="367"/>
      <c r="EM233" s="367"/>
      <c r="EN233" s="367"/>
      <c r="EO233" s="367"/>
      <c r="EP233" s="367"/>
      <c r="EQ233" s="367"/>
    </row>
    <row r="234" spans="1:147" x14ac:dyDescent="0.2">
      <c r="A234" s="192"/>
      <c r="B234" s="192"/>
      <c r="C234" s="192"/>
      <c r="D234" s="192"/>
      <c r="E234" s="192"/>
      <c r="F234" s="192"/>
      <c r="G234" s="192"/>
      <c r="H234" s="192"/>
      <c r="I234" s="192"/>
      <c r="J234" s="192"/>
      <c r="K234" s="192"/>
      <c r="L234" s="192"/>
      <c r="M234" s="192"/>
      <c r="N234" s="192"/>
      <c r="O234" s="192"/>
      <c r="P234" s="192"/>
      <c r="Q234" s="192"/>
      <c r="R234" s="192"/>
      <c r="S234" s="266"/>
      <c r="T234" s="265"/>
      <c r="U234" s="265"/>
      <c r="V234" s="265"/>
      <c r="W234" s="265"/>
      <c r="X234" s="265"/>
      <c r="Y234" s="265"/>
      <c r="Z234" s="265"/>
      <c r="AA234" s="265"/>
      <c r="AB234" s="265"/>
      <c r="AC234" s="265"/>
      <c r="AD234" s="265"/>
      <c r="AE234" s="265"/>
      <c r="AF234" s="265"/>
      <c r="AG234" s="265"/>
      <c r="AH234" s="265"/>
      <c r="AI234" s="192"/>
      <c r="AJ234" s="192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/>
      <c r="AX234" s="367"/>
      <c r="AY234" s="367"/>
      <c r="AZ234" s="367"/>
      <c r="BA234" s="367"/>
      <c r="BB234" s="367"/>
      <c r="BC234" s="367"/>
      <c r="BD234" s="367"/>
      <c r="BE234" s="367"/>
      <c r="BF234" s="367"/>
      <c r="BG234" s="367"/>
      <c r="BH234" s="367"/>
      <c r="BI234" s="367"/>
      <c r="BJ234" s="367"/>
      <c r="BK234" s="367"/>
      <c r="BL234" s="367"/>
      <c r="BM234" s="367"/>
      <c r="BN234" s="367"/>
      <c r="BO234" s="367"/>
      <c r="BP234" s="367"/>
      <c r="BQ234" s="367"/>
      <c r="BR234" s="367"/>
      <c r="BS234" s="367"/>
      <c r="BT234" s="367"/>
      <c r="BU234" s="367"/>
      <c r="BV234" s="367"/>
      <c r="BW234" s="367"/>
      <c r="BX234" s="367"/>
      <c r="BY234" s="367"/>
      <c r="BZ234" s="367"/>
      <c r="CA234" s="367"/>
      <c r="CB234" s="367"/>
      <c r="CC234" s="367"/>
      <c r="CD234" s="367"/>
      <c r="CE234" s="367"/>
      <c r="CF234" s="367"/>
      <c r="CG234" s="367"/>
      <c r="CH234" s="367"/>
      <c r="CI234" s="367"/>
      <c r="CJ234" s="367"/>
      <c r="CK234" s="367"/>
      <c r="CL234" s="367"/>
      <c r="CM234" s="367"/>
      <c r="CN234" s="367"/>
      <c r="CO234" s="367"/>
      <c r="CP234" s="367"/>
      <c r="CQ234" s="367"/>
      <c r="CR234" s="367"/>
      <c r="CS234" s="367"/>
      <c r="CT234" s="367"/>
      <c r="CU234" s="367"/>
      <c r="CV234" s="367"/>
      <c r="CW234" s="367"/>
      <c r="CX234" s="367"/>
      <c r="CY234" s="367"/>
      <c r="CZ234" s="367"/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  <c r="EE234" s="367"/>
      <c r="EF234" s="367"/>
      <c r="EG234" s="367"/>
      <c r="EH234" s="367"/>
      <c r="EI234" s="367"/>
      <c r="EJ234" s="367"/>
      <c r="EK234" s="367"/>
      <c r="EL234" s="367"/>
      <c r="EM234" s="367"/>
      <c r="EN234" s="367"/>
      <c r="EO234" s="367"/>
      <c r="EP234" s="367"/>
      <c r="EQ234" s="367"/>
    </row>
    <row r="235" spans="1:147" x14ac:dyDescent="0.2">
      <c r="A235" s="192"/>
      <c r="B235" s="192"/>
      <c r="C235" s="192"/>
      <c r="D235" s="192"/>
      <c r="E235" s="192"/>
      <c r="F235" s="192"/>
      <c r="G235" s="192"/>
      <c r="H235" s="192"/>
      <c r="I235" s="192"/>
      <c r="J235" s="192"/>
      <c r="K235" s="192"/>
      <c r="L235" s="192"/>
      <c r="M235" s="192"/>
      <c r="N235" s="192"/>
      <c r="O235" s="192"/>
      <c r="P235" s="192"/>
      <c r="Q235" s="192"/>
      <c r="R235" s="192"/>
      <c r="S235" s="266"/>
      <c r="T235" s="265"/>
      <c r="U235" s="265"/>
      <c r="V235" s="265"/>
      <c r="W235" s="265"/>
      <c r="X235" s="265"/>
      <c r="Y235" s="265"/>
      <c r="Z235" s="265"/>
      <c r="AA235" s="265"/>
      <c r="AB235" s="265"/>
      <c r="AC235" s="265"/>
      <c r="AD235" s="265"/>
      <c r="AE235" s="265"/>
      <c r="AF235" s="265"/>
      <c r="AG235" s="265"/>
      <c r="AH235" s="265"/>
      <c r="AI235" s="192"/>
      <c r="AJ235" s="192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/>
      <c r="AX235" s="367"/>
      <c r="AY235" s="367"/>
      <c r="AZ235" s="367"/>
      <c r="BA235" s="367"/>
      <c r="BB235" s="367"/>
      <c r="BC235" s="367"/>
      <c r="BD235" s="367"/>
      <c r="BE235" s="367"/>
      <c r="BF235" s="367"/>
      <c r="BG235" s="367"/>
      <c r="BH235" s="367"/>
      <c r="BI235" s="367"/>
      <c r="BJ235" s="367"/>
      <c r="BK235" s="367"/>
      <c r="BL235" s="367"/>
      <c r="BM235" s="367"/>
      <c r="BN235" s="367"/>
      <c r="BO235" s="367"/>
      <c r="BP235" s="367"/>
      <c r="BQ235" s="367"/>
      <c r="BR235" s="367"/>
      <c r="BS235" s="367"/>
      <c r="BT235" s="367"/>
      <c r="BU235" s="367"/>
      <c r="BV235" s="367"/>
      <c r="BW235" s="367"/>
      <c r="BX235" s="367"/>
      <c r="BY235" s="367"/>
      <c r="BZ235" s="367"/>
      <c r="CA235" s="367"/>
      <c r="CB235" s="367"/>
      <c r="CC235" s="367"/>
      <c r="CD235" s="367"/>
      <c r="CE235" s="367"/>
      <c r="CF235" s="367"/>
      <c r="CG235" s="367"/>
      <c r="CH235" s="367"/>
      <c r="CI235" s="367"/>
      <c r="CJ235" s="367"/>
      <c r="CK235" s="367"/>
      <c r="CL235" s="367"/>
      <c r="CM235" s="367"/>
      <c r="CN235" s="367"/>
      <c r="CO235" s="367"/>
      <c r="CP235" s="367"/>
      <c r="CQ235" s="367"/>
      <c r="CR235" s="367"/>
      <c r="CS235" s="367"/>
      <c r="CT235" s="367"/>
      <c r="CU235" s="367"/>
      <c r="CV235" s="367"/>
      <c r="CW235" s="367"/>
      <c r="CX235" s="367"/>
      <c r="CY235" s="367"/>
      <c r="CZ235" s="367"/>
      <c r="DA235" s="367"/>
      <c r="DB235" s="367"/>
      <c r="DC235" s="367"/>
      <c r="DD235" s="367"/>
      <c r="DE235" s="367"/>
      <c r="DF235" s="367"/>
      <c r="DG235" s="367"/>
      <c r="DH235" s="367"/>
      <c r="DI235" s="367"/>
      <c r="DJ235" s="367"/>
      <c r="DK235" s="367"/>
      <c r="DL235" s="367"/>
      <c r="DM235" s="367"/>
      <c r="DN235" s="367"/>
      <c r="DO235" s="367"/>
      <c r="DP235" s="367"/>
      <c r="DQ235" s="367"/>
      <c r="DR235" s="367"/>
      <c r="DS235" s="367"/>
      <c r="DT235" s="367"/>
      <c r="DU235" s="367"/>
      <c r="DV235" s="367"/>
      <c r="DW235" s="367"/>
      <c r="DX235" s="367"/>
      <c r="DY235" s="367"/>
      <c r="DZ235" s="367"/>
      <c r="EA235" s="367"/>
      <c r="EB235" s="367"/>
      <c r="EC235" s="367"/>
      <c r="ED235" s="367"/>
      <c r="EE235" s="367"/>
      <c r="EF235" s="367"/>
      <c r="EG235" s="367"/>
      <c r="EH235" s="367"/>
      <c r="EI235" s="367"/>
      <c r="EJ235" s="367"/>
      <c r="EK235" s="367"/>
      <c r="EL235" s="367"/>
      <c r="EM235" s="367"/>
      <c r="EN235" s="367"/>
      <c r="EO235" s="367"/>
      <c r="EP235" s="367"/>
      <c r="EQ235" s="367"/>
    </row>
    <row r="236" spans="1:147" x14ac:dyDescent="0.2">
      <c r="A236" s="192"/>
      <c r="B236" s="192"/>
      <c r="C236" s="192"/>
      <c r="D236" s="192"/>
      <c r="E236" s="192"/>
      <c r="F236" s="192"/>
      <c r="G236" s="192"/>
      <c r="H236" s="192"/>
      <c r="I236" s="192"/>
      <c r="J236" s="192"/>
      <c r="K236" s="192"/>
      <c r="L236" s="192"/>
      <c r="M236" s="192"/>
      <c r="N236" s="192"/>
      <c r="O236" s="192"/>
      <c r="P236" s="192"/>
      <c r="Q236" s="192"/>
      <c r="R236" s="192"/>
      <c r="S236" s="266"/>
      <c r="T236" s="265"/>
      <c r="U236" s="265"/>
      <c r="V236" s="265"/>
      <c r="W236" s="265"/>
      <c r="X236" s="265"/>
      <c r="Y236" s="265"/>
      <c r="Z236" s="265"/>
      <c r="AA236" s="265"/>
      <c r="AB236" s="265"/>
      <c r="AC236" s="265"/>
      <c r="AD236" s="265"/>
      <c r="AE236" s="265"/>
      <c r="AF236" s="265"/>
      <c r="AG236" s="265"/>
      <c r="AH236" s="265"/>
      <c r="AI236" s="192"/>
      <c r="AJ236" s="192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B236" s="367"/>
      <c r="BC236" s="367"/>
      <c r="BD236" s="367"/>
      <c r="BE236" s="367"/>
      <c r="BF236" s="367"/>
      <c r="BG236" s="367"/>
      <c r="BH236" s="367"/>
      <c r="BI236" s="367"/>
      <c r="BJ236" s="367"/>
      <c r="BK236" s="367"/>
      <c r="BL236" s="367"/>
      <c r="BM236" s="367"/>
      <c r="BN236" s="367"/>
      <c r="BO236" s="367"/>
      <c r="BP236" s="367"/>
      <c r="BQ236" s="367"/>
      <c r="BR236" s="367"/>
      <c r="BS236" s="367"/>
      <c r="BT236" s="367"/>
      <c r="BU236" s="367"/>
      <c r="BV236" s="367"/>
      <c r="BW236" s="367"/>
      <c r="BX236" s="367"/>
      <c r="BY236" s="367"/>
      <c r="BZ236" s="367"/>
      <c r="CA236" s="367"/>
      <c r="CB236" s="367"/>
      <c r="CC236" s="367"/>
      <c r="CD236" s="367"/>
      <c r="CE236" s="367"/>
      <c r="CF236" s="367"/>
      <c r="CG236" s="367"/>
      <c r="CH236" s="367"/>
      <c r="CI236" s="367"/>
      <c r="CJ236" s="367"/>
      <c r="CK236" s="367"/>
      <c r="CL236" s="367"/>
      <c r="CM236" s="367"/>
      <c r="CN236" s="367"/>
      <c r="CO236" s="367"/>
      <c r="CP236" s="367"/>
      <c r="CQ236" s="367"/>
      <c r="CR236" s="367"/>
      <c r="CS236" s="367"/>
      <c r="CT236" s="367"/>
      <c r="CU236" s="367"/>
      <c r="CV236" s="367"/>
      <c r="CW236" s="367"/>
      <c r="CX236" s="367"/>
      <c r="CY236" s="367"/>
      <c r="CZ236" s="367"/>
      <c r="DA236" s="367"/>
      <c r="DB236" s="367"/>
      <c r="DC236" s="367"/>
      <c r="DD236" s="367"/>
      <c r="DE236" s="367"/>
      <c r="DF236" s="367"/>
      <c r="DG236" s="367"/>
      <c r="DH236" s="367"/>
      <c r="DI236" s="367"/>
      <c r="DJ236" s="367"/>
      <c r="DK236" s="367"/>
      <c r="DL236" s="367"/>
      <c r="DM236" s="367"/>
      <c r="DN236" s="367"/>
      <c r="DO236" s="367"/>
      <c r="DP236" s="367"/>
      <c r="DQ236" s="367"/>
      <c r="DR236" s="367"/>
      <c r="DS236" s="367"/>
      <c r="DT236" s="367"/>
      <c r="DU236" s="367"/>
      <c r="DV236" s="367"/>
      <c r="DW236" s="367"/>
      <c r="DX236" s="367"/>
      <c r="DY236" s="367"/>
      <c r="DZ236" s="367"/>
      <c r="EA236" s="367"/>
      <c r="EB236" s="367"/>
      <c r="EC236" s="367"/>
      <c r="ED236" s="367"/>
      <c r="EE236" s="367"/>
      <c r="EF236" s="367"/>
      <c r="EG236" s="367"/>
      <c r="EH236" s="367"/>
      <c r="EI236" s="367"/>
      <c r="EJ236" s="367"/>
      <c r="EK236" s="367"/>
      <c r="EL236" s="367"/>
      <c r="EM236" s="367"/>
      <c r="EN236" s="367"/>
      <c r="EO236" s="367"/>
      <c r="EP236" s="367"/>
      <c r="EQ236" s="367"/>
    </row>
    <row r="237" spans="1:147" x14ac:dyDescent="0.2">
      <c r="A237" s="192"/>
      <c r="B237" s="192"/>
      <c r="C237" s="192"/>
      <c r="D237" s="192"/>
      <c r="E237" s="192"/>
      <c r="F237" s="192"/>
      <c r="G237" s="192"/>
      <c r="H237" s="192"/>
      <c r="I237" s="192"/>
      <c r="J237" s="192"/>
      <c r="K237" s="192"/>
      <c r="L237" s="192"/>
      <c r="M237" s="192"/>
      <c r="N237" s="192"/>
      <c r="O237" s="192"/>
      <c r="P237" s="192"/>
      <c r="Q237" s="192"/>
      <c r="R237" s="192"/>
      <c r="S237" s="266"/>
      <c r="T237" s="265"/>
      <c r="U237" s="265"/>
      <c r="V237" s="265"/>
      <c r="W237" s="265"/>
      <c r="X237" s="265"/>
      <c r="Y237" s="265"/>
      <c r="Z237" s="265"/>
      <c r="AA237" s="265"/>
      <c r="AB237" s="265"/>
      <c r="AC237" s="265"/>
      <c r="AD237" s="265"/>
      <c r="AE237" s="265"/>
      <c r="AF237" s="265"/>
      <c r="AG237" s="265"/>
      <c r="AH237" s="265"/>
      <c r="AI237" s="192"/>
      <c r="AJ237" s="192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/>
      <c r="AX237" s="367"/>
      <c r="AY237" s="367"/>
      <c r="AZ237" s="367"/>
      <c r="BA237" s="367"/>
      <c r="BB237" s="367"/>
      <c r="BC237" s="367"/>
      <c r="BD237" s="367"/>
      <c r="BE237" s="367"/>
      <c r="BF237" s="367"/>
      <c r="BG237" s="367"/>
      <c r="BH237" s="367"/>
      <c r="BI237" s="367"/>
      <c r="BJ237" s="367"/>
      <c r="BK237" s="367"/>
      <c r="BL237" s="367"/>
      <c r="BM237" s="367"/>
      <c r="BN237" s="367"/>
      <c r="BO237" s="367"/>
      <c r="BP237" s="367"/>
      <c r="BQ237" s="367"/>
      <c r="BR237" s="367"/>
      <c r="BS237" s="367"/>
      <c r="BT237" s="367"/>
      <c r="BU237" s="367"/>
      <c r="BV237" s="367"/>
      <c r="BW237" s="367"/>
      <c r="BX237" s="367"/>
      <c r="BY237" s="367"/>
      <c r="BZ237" s="367"/>
      <c r="CA237" s="367"/>
      <c r="CB237" s="367"/>
      <c r="CC237" s="367"/>
      <c r="CD237" s="367"/>
      <c r="CE237" s="367"/>
      <c r="CF237" s="367"/>
      <c r="CG237" s="367"/>
      <c r="CH237" s="367"/>
      <c r="CI237" s="367"/>
      <c r="CJ237" s="367"/>
      <c r="CK237" s="367"/>
      <c r="CL237" s="367"/>
      <c r="CM237" s="367"/>
      <c r="CN237" s="367"/>
      <c r="CO237" s="367"/>
      <c r="CP237" s="367"/>
      <c r="CQ237" s="367"/>
      <c r="CR237" s="367"/>
      <c r="CS237" s="367"/>
      <c r="CT237" s="367"/>
      <c r="CU237" s="367"/>
      <c r="CV237" s="367"/>
      <c r="CW237" s="367"/>
      <c r="CX237" s="367"/>
      <c r="CY237" s="367"/>
      <c r="CZ237" s="367"/>
      <c r="DA237" s="367"/>
      <c r="DB237" s="367"/>
      <c r="DC237" s="367"/>
      <c r="DD237" s="367"/>
      <c r="DE237" s="367"/>
      <c r="DF237" s="367"/>
      <c r="DG237" s="367"/>
      <c r="DH237" s="367"/>
      <c r="DI237" s="367"/>
      <c r="DJ237" s="367"/>
      <c r="DK237" s="367"/>
      <c r="DL237" s="367"/>
      <c r="DM237" s="367"/>
      <c r="DN237" s="367"/>
      <c r="DO237" s="367"/>
      <c r="DP237" s="367"/>
      <c r="DQ237" s="367"/>
      <c r="DR237" s="367"/>
      <c r="DS237" s="367"/>
      <c r="DT237" s="367"/>
      <c r="DU237" s="367"/>
      <c r="DV237" s="367"/>
      <c r="DW237" s="367"/>
      <c r="DX237" s="367"/>
      <c r="DY237" s="367"/>
      <c r="DZ237" s="367"/>
      <c r="EA237" s="367"/>
      <c r="EB237" s="367"/>
      <c r="EC237" s="367"/>
      <c r="ED237" s="367"/>
      <c r="EE237" s="367"/>
      <c r="EF237" s="367"/>
      <c r="EG237" s="367"/>
      <c r="EH237" s="367"/>
      <c r="EI237" s="367"/>
      <c r="EJ237" s="367"/>
      <c r="EK237" s="367"/>
      <c r="EL237" s="367"/>
      <c r="EM237" s="367"/>
      <c r="EN237" s="367"/>
      <c r="EO237" s="367"/>
      <c r="EP237" s="367"/>
      <c r="EQ237" s="367"/>
    </row>
    <row r="238" spans="1:147" x14ac:dyDescent="0.2">
      <c r="A238" s="192"/>
      <c r="B238" s="192"/>
      <c r="C238" s="192"/>
      <c r="D238" s="192"/>
      <c r="E238" s="192"/>
      <c r="F238" s="192"/>
      <c r="G238" s="192"/>
      <c r="H238" s="192"/>
      <c r="I238" s="192"/>
      <c r="J238" s="192"/>
      <c r="K238" s="192"/>
      <c r="L238" s="192"/>
      <c r="M238" s="192"/>
      <c r="N238" s="192"/>
      <c r="O238" s="192"/>
      <c r="P238" s="192"/>
      <c r="Q238" s="192"/>
      <c r="R238" s="192"/>
      <c r="S238" s="266"/>
      <c r="T238" s="265"/>
      <c r="U238" s="265"/>
      <c r="V238" s="265"/>
      <c r="W238" s="265"/>
      <c r="X238" s="265"/>
      <c r="Y238" s="265"/>
      <c r="Z238" s="265"/>
      <c r="AA238" s="265"/>
      <c r="AB238" s="265"/>
      <c r="AC238" s="265"/>
      <c r="AD238" s="265"/>
      <c r="AE238" s="265"/>
      <c r="AF238" s="265"/>
      <c r="AG238" s="265"/>
      <c r="AH238" s="265"/>
      <c r="AI238" s="192"/>
      <c r="AJ238" s="192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/>
      <c r="AX238" s="367"/>
      <c r="AY238" s="367"/>
      <c r="AZ238" s="367"/>
      <c r="BA238" s="367"/>
      <c r="BB238" s="367"/>
      <c r="BC238" s="367"/>
      <c r="BD238" s="367"/>
      <c r="BE238" s="367"/>
      <c r="BF238" s="367"/>
      <c r="BG238" s="367"/>
      <c r="BH238" s="367"/>
      <c r="BI238" s="367"/>
      <c r="BJ238" s="367"/>
      <c r="BK238" s="367"/>
      <c r="BL238" s="367"/>
      <c r="BM238" s="367"/>
      <c r="BN238" s="367"/>
      <c r="BO238" s="367"/>
      <c r="BP238" s="367"/>
      <c r="BQ238" s="367"/>
      <c r="BR238" s="367"/>
      <c r="BS238" s="367"/>
      <c r="BT238" s="367"/>
      <c r="BU238" s="367"/>
      <c r="BV238" s="367"/>
      <c r="BW238" s="367"/>
      <c r="BX238" s="367"/>
      <c r="BY238" s="367"/>
      <c r="BZ238" s="367"/>
      <c r="CA238" s="367"/>
      <c r="CB238" s="367"/>
      <c r="CC238" s="367"/>
      <c r="CD238" s="367"/>
      <c r="CE238" s="367"/>
      <c r="CF238" s="367"/>
      <c r="CG238" s="367"/>
      <c r="CH238" s="367"/>
      <c r="CI238" s="367"/>
      <c r="CJ238" s="367"/>
      <c r="CK238" s="367"/>
      <c r="CL238" s="367"/>
      <c r="CM238" s="367"/>
      <c r="CN238" s="367"/>
      <c r="CO238" s="367"/>
      <c r="CP238" s="367"/>
      <c r="CQ238" s="367"/>
      <c r="CR238" s="367"/>
      <c r="CS238" s="367"/>
      <c r="CT238" s="367"/>
      <c r="CU238" s="367"/>
      <c r="CV238" s="367"/>
      <c r="CW238" s="367"/>
      <c r="CX238" s="367"/>
      <c r="CY238" s="367"/>
      <c r="CZ238" s="367"/>
      <c r="DA238" s="367"/>
      <c r="DB238" s="367"/>
      <c r="DC238" s="367"/>
      <c r="DD238" s="367"/>
      <c r="DE238" s="367"/>
      <c r="DF238" s="367"/>
      <c r="DG238" s="367"/>
      <c r="DH238" s="367"/>
      <c r="DI238" s="367"/>
      <c r="DJ238" s="367"/>
      <c r="DK238" s="367"/>
      <c r="DL238" s="367"/>
      <c r="DM238" s="367"/>
      <c r="DN238" s="367"/>
      <c r="DO238" s="367"/>
      <c r="DP238" s="367"/>
      <c r="DQ238" s="367"/>
      <c r="DR238" s="367"/>
      <c r="DS238" s="367"/>
      <c r="DT238" s="367"/>
      <c r="DU238" s="367"/>
      <c r="DV238" s="367"/>
      <c r="DW238" s="367"/>
      <c r="DX238" s="367"/>
      <c r="DY238" s="367"/>
      <c r="DZ238" s="367"/>
      <c r="EA238" s="367"/>
      <c r="EB238" s="367"/>
      <c r="EC238" s="367"/>
      <c r="ED238" s="367"/>
      <c r="EE238" s="367"/>
      <c r="EF238" s="367"/>
      <c r="EG238" s="367"/>
      <c r="EH238" s="367"/>
      <c r="EI238" s="367"/>
      <c r="EJ238" s="367"/>
      <c r="EK238" s="367"/>
      <c r="EL238" s="367"/>
      <c r="EM238" s="367"/>
      <c r="EN238" s="367"/>
      <c r="EO238" s="367"/>
      <c r="EP238" s="367"/>
      <c r="EQ238" s="367"/>
    </row>
    <row r="239" spans="1:147" x14ac:dyDescent="0.2">
      <c r="A239" s="192"/>
      <c r="B239" s="192"/>
      <c r="C239" s="192"/>
      <c r="D239" s="192"/>
      <c r="E239" s="192"/>
      <c r="F239" s="192"/>
      <c r="G239" s="192"/>
      <c r="H239" s="192"/>
      <c r="I239" s="192"/>
      <c r="J239" s="192"/>
      <c r="K239" s="192"/>
      <c r="L239" s="192"/>
      <c r="M239" s="192"/>
      <c r="N239" s="192"/>
      <c r="O239" s="192"/>
      <c r="P239" s="192"/>
      <c r="Q239" s="192"/>
      <c r="R239" s="192"/>
      <c r="S239" s="266"/>
      <c r="T239" s="265"/>
      <c r="U239" s="265"/>
      <c r="V239" s="265"/>
      <c r="W239" s="265"/>
      <c r="X239" s="265"/>
      <c r="Y239" s="265"/>
      <c r="Z239" s="265"/>
      <c r="AA239" s="265"/>
      <c r="AB239" s="265"/>
      <c r="AC239" s="265"/>
      <c r="AD239" s="265"/>
      <c r="AE239" s="265"/>
      <c r="AF239" s="265"/>
      <c r="AG239" s="265"/>
      <c r="AH239" s="265"/>
      <c r="AI239" s="192"/>
      <c r="AJ239" s="192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B239" s="367"/>
      <c r="BC239" s="367"/>
      <c r="BD239" s="367"/>
      <c r="BE239" s="367"/>
      <c r="BF239" s="367"/>
      <c r="BG239" s="367"/>
      <c r="BH239" s="367"/>
      <c r="BI239" s="367"/>
      <c r="BJ239" s="367"/>
      <c r="BK239" s="367"/>
      <c r="BL239" s="367"/>
      <c r="BM239" s="367"/>
      <c r="BN239" s="367"/>
      <c r="BO239" s="367"/>
      <c r="BP239" s="367"/>
      <c r="BQ239" s="367"/>
      <c r="BR239" s="367"/>
      <c r="BS239" s="367"/>
      <c r="BT239" s="367"/>
      <c r="BU239" s="367"/>
      <c r="BV239" s="367"/>
      <c r="BW239" s="367"/>
      <c r="BX239" s="367"/>
      <c r="BY239" s="367"/>
      <c r="BZ239" s="367"/>
      <c r="CA239" s="367"/>
      <c r="CB239" s="367"/>
      <c r="CC239" s="367"/>
      <c r="CD239" s="367"/>
      <c r="CE239" s="367"/>
      <c r="CF239" s="367"/>
      <c r="CG239" s="367"/>
      <c r="CH239" s="367"/>
      <c r="CI239" s="367"/>
      <c r="CJ239" s="367"/>
      <c r="CK239" s="367"/>
      <c r="CL239" s="367"/>
      <c r="CM239" s="367"/>
      <c r="CN239" s="367"/>
      <c r="CO239" s="367"/>
      <c r="CP239" s="367"/>
      <c r="CQ239" s="367"/>
      <c r="CR239" s="367"/>
      <c r="CS239" s="367"/>
      <c r="CT239" s="367"/>
      <c r="CU239" s="367"/>
      <c r="CV239" s="367"/>
      <c r="CW239" s="367"/>
      <c r="CX239" s="367"/>
      <c r="CY239" s="367"/>
      <c r="CZ239" s="367"/>
      <c r="DA239" s="367"/>
      <c r="DB239" s="367"/>
      <c r="DC239" s="367"/>
      <c r="DD239" s="367"/>
      <c r="DE239" s="367"/>
      <c r="DF239" s="367"/>
      <c r="DG239" s="367"/>
      <c r="DH239" s="367"/>
      <c r="DI239" s="367"/>
      <c r="DJ239" s="367"/>
      <c r="DK239" s="367"/>
      <c r="DL239" s="367"/>
      <c r="DM239" s="367"/>
      <c r="DN239" s="367"/>
      <c r="DO239" s="367"/>
      <c r="DP239" s="367"/>
      <c r="DQ239" s="367"/>
      <c r="DR239" s="367"/>
      <c r="DS239" s="367"/>
      <c r="DT239" s="367"/>
      <c r="DU239" s="367"/>
      <c r="DV239" s="367"/>
      <c r="DW239" s="367"/>
      <c r="DX239" s="367"/>
      <c r="DY239" s="367"/>
      <c r="DZ239" s="367"/>
      <c r="EA239" s="367"/>
      <c r="EB239" s="367"/>
      <c r="EC239" s="367"/>
      <c r="ED239" s="367"/>
      <c r="EE239" s="367"/>
      <c r="EF239" s="367"/>
      <c r="EG239" s="367"/>
      <c r="EH239" s="367"/>
      <c r="EI239" s="367"/>
      <c r="EJ239" s="367"/>
      <c r="EK239" s="367"/>
      <c r="EL239" s="367"/>
      <c r="EM239" s="367"/>
      <c r="EN239" s="367"/>
      <c r="EO239" s="367"/>
      <c r="EP239" s="367"/>
      <c r="EQ239" s="367"/>
    </row>
    <row r="240" spans="1:147" x14ac:dyDescent="0.2">
      <c r="A240" s="192"/>
      <c r="B240" s="192"/>
      <c r="C240" s="192"/>
      <c r="D240" s="192"/>
      <c r="E240" s="192"/>
      <c r="F240" s="192"/>
      <c r="G240" s="192"/>
      <c r="H240" s="192"/>
      <c r="I240" s="192"/>
      <c r="J240" s="192"/>
      <c r="K240" s="192"/>
      <c r="L240" s="192"/>
      <c r="M240" s="192"/>
      <c r="N240" s="192"/>
      <c r="O240" s="192"/>
      <c r="P240" s="192"/>
      <c r="Q240" s="192"/>
      <c r="R240" s="192"/>
      <c r="S240" s="266"/>
      <c r="T240" s="265"/>
      <c r="U240" s="265"/>
      <c r="V240" s="265"/>
      <c r="W240" s="265"/>
      <c r="X240" s="265"/>
      <c r="Y240" s="265"/>
      <c r="Z240" s="265"/>
      <c r="AA240" s="265"/>
      <c r="AB240" s="265"/>
      <c r="AC240" s="265"/>
      <c r="AD240" s="265"/>
      <c r="AE240" s="265"/>
      <c r="AF240" s="265"/>
      <c r="AG240" s="265"/>
      <c r="AH240" s="265"/>
      <c r="AI240" s="192"/>
      <c r="AJ240" s="192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/>
      <c r="AX240" s="367"/>
      <c r="AY240" s="367"/>
      <c r="AZ240" s="367"/>
      <c r="BA240" s="367"/>
      <c r="BB240" s="367"/>
      <c r="BC240" s="367"/>
      <c r="BD240" s="367"/>
      <c r="BE240" s="367"/>
      <c r="BF240" s="367"/>
      <c r="BG240" s="367"/>
      <c r="BH240" s="367"/>
      <c r="BI240" s="367"/>
      <c r="BJ240" s="367"/>
      <c r="BK240" s="367"/>
      <c r="BL240" s="367"/>
      <c r="BM240" s="367"/>
      <c r="BN240" s="367"/>
      <c r="BO240" s="367"/>
      <c r="BP240" s="367"/>
      <c r="BQ240" s="367"/>
      <c r="BR240" s="367"/>
      <c r="BS240" s="367"/>
      <c r="BT240" s="367"/>
      <c r="BU240" s="367"/>
      <c r="BV240" s="367"/>
      <c r="BW240" s="367"/>
      <c r="BX240" s="367"/>
      <c r="BY240" s="367"/>
      <c r="BZ240" s="367"/>
      <c r="CA240" s="367"/>
      <c r="CB240" s="367"/>
      <c r="CC240" s="367"/>
      <c r="CD240" s="367"/>
      <c r="CE240" s="367"/>
      <c r="CF240" s="367"/>
      <c r="CG240" s="367"/>
      <c r="CH240" s="367"/>
      <c r="CI240" s="367"/>
      <c r="CJ240" s="367"/>
      <c r="CK240" s="367"/>
      <c r="CL240" s="367"/>
      <c r="CM240" s="367"/>
      <c r="CN240" s="367"/>
      <c r="CO240" s="367"/>
      <c r="CP240" s="367"/>
      <c r="CQ240" s="367"/>
      <c r="CR240" s="367"/>
      <c r="CS240" s="367"/>
      <c r="CT240" s="367"/>
      <c r="CU240" s="367"/>
      <c r="CV240" s="367"/>
      <c r="CW240" s="367"/>
      <c r="CX240" s="367"/>
      <c r="CY240" s="367"/>
      <c r="CZ240" s="367"/>
      <c r="DA240" s="367"/>
      <c r="DB240" s="367"/>
      <c r="DC240" s="367"/>
      <c r="DD240" s="367"/>
      <c r="DE240" s="367"/>
      <c r="DF240" s="367"/>
      <c r="DG240" s="367"/>
      <c r="DH240" s="367"/>
      <c r="DI240" s="367"/>
      <c r="DJ240" s="367"/>
      <c r="DK240" s="367"/>
      <c r="DL240" s="367"/>
      <c r="DM240" s="367"/>
      <c r="DN240" s="367"/>
      <c r="DO240" s="367"/>
      <c r="DP240" s="367"/>
      <c r="DQ240" s="367"/>
      <c r="DR240" s="367"/>
      <c r="DS240" s="367"/>
      <c r="DT240" s="367"/>
      <c r="DU240" s="367"/>
      <c r="DV240" s="367"/>
      <c r="DW240" s="367"/>
      <c r="DX240" s="367"/>
      <c r="DY240" s="367"/>
      <c r="DZ240" s="367"/>
      <c r="EA240" s="367"/>
      <c r="EB240" s="367"/>
      <c r="EC240" s="367"/>
      <c r="ED240" s="367"/>
      <c r="EE240" s="367"/>
      <c r="EF240" s="367"/>
      <c r="EG240" s="367"/>
      <c r="EH240" s="367"/>
      <c r="EI240" s="367"/>
      <c r="EJ240" s="367"/>
      <c r="EK240" s="367"/>
      <c r="EL240" s="367"/>
      <c r="EM240" s="367"/>
      <c r="EN240" s="367"/>
      <c r="EO240" s="367"/>
      <c r="EP240" s="367"/>
      <c r="EQ240" s="367"/>
    </row>
    <row r="241" spans="1:147" x14ac:dyDescent="0.2">
      <c r="A241" s="192"/>
      <c r="B241" s="192"/>
      <c r="C241" s="192"/>
      <c r="D241" s="192"/>
      <c r="E241" s="192"/>
      <c r="F241" s="192"/>
      <c r="G241" s="192"/>
      <c r="H241" s="192"/>
      <c r="I241" s="192"/>
      <c r="J241" s="192"/>
      <c r="K241" s="192"/>
      <c r="L241" s="192"/>
      <c r="M241" s="192"/>
      <c r="N241" s="192"/>
      <c r="O241" s="192"/>
      <c r="P241" s="192"/>
      <c r="Q241" s="192"/>
      <c r="R241" s="192"/>
      <c r="S241" s="266"/>
      <c r="T241" s="265"/>
      <c r="U241" s="265"/>
      <c r="V241" s="265"/>
      <c r="W241" s="265"/>
      <c r="X241" s="265"/>
      <c r="Y241" s="265"/>
      <c r="Z241" s="265"/>
      <c r="AA241" s="265"/>
      <c r="AB241" s="265"/>
      <c r="AC241" s="265"/>
      <c r="AD241" s="265"/>
      <c r="AE241" s="265"/>
      <c r="AF241" s="265"/>
      <c r="AG241" s="265"/>
      <c r="AH241" s="265"/>
      <c r="AI241" s="192"/>
      <c r="AJ241" s="192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/>
      <c r="AX241" s="367"/>
      <c r="AY241" s="367"/>
      <c r="AZ241" s="367"/>
      <c r="BA241" s="367"/>
      <c r="BB241" s="367"/>
      <c r="BC241" s="367"/>
      <c r="BD241" s="367"/>
      <c r="BE241" s="367"/>
      <c r="BF241" s="367"/>
      <c r="BG241" s="367"/>
      <c r="BH241" s="367"/>
      <c r="BI241" s="367"/>
      <c r="BJ241" s="367"/>
      <c r="BK241" s="367"/>
      <c r="BL241" s="367"/>
      <c r="BM241" s="367"/>
      <c r="BN241" s="367"/>
      <c r="BO241" s="367"/>
      <c r="BP241" s="367"/>
      <c r="BQ241" s="367"/>
      <c r="BR241" s="367"/>
      <c r="BS241" s="367"/>
      <c r="BT241" s="367"/>
      <c r="BU241" s="367"/>
      <c r="BV241" s="367"/>
      <c r="BW241" s="367"/>
      <c r="BX241" s="367"/>
      <c r="BY241" s="367"/>
      <c r="BZ241" s="367"/>
      <c r="CA241" s="367"/>
      <c r="CB241" s="367"/>
      <c r="CC241" s="367"/>
      <c r="CD241" s="367"/>
      <c r="CE241" s="367"/>
      <c r="CF241" s="367"/>
      <c r="CG241" s="367"/>
      <c r="CH241" s="367"/>
      <c r="CI241" s="367"/>
      <c r="CJ241" s="367"/>
      <c r="CK241" s="367"/>
      <c r="CL241" s="367"/>
      <c r="CM241" s="367"/>
      <c r="CN241" s="367"/>
      <c r="CO241" s="367"/>
      <c r="CP241" s="367"/>
      <c r="CQ241" s="367"/>
      <c r="CR241" s="367"/>
      <c r="CS241" s="367"/>
      <c r="CT241" s="367"/>
      <c r="CU241" s="367"/>
      <c r="CV241" s="367"/>
      <c r="CW241" s="367"/>
      <c r="CX241" s="367"/>
      <c r="CY241" s="367"/>
      <c r="CZ241" s="367"/>
      <c r="DA241" s="367"/>
      <c r="DB241" s="367"/>
      <c r="DC241" s="367"/>
      <c r="DD241" s="367"/>
      <c r="DE241" s="367"/>
      <c r="DF241" s="367"/>
      <c r="DG241" s="367"/>
      <c r="DH241" s="367"/>
      <c r="DI241" s="367"/>
      <c r="DJ241" s="367"/>
      <c r="DK241" s="367"/>
      <c r="DL241" s="367"/>
      <c r="DM241" s="367"/>
      <c r="DN241" s="367"/>
      <c r="DO241" s="367"/>
      <c r="DP241" s="367"/>
      <c r="DQ241" s="367"/>
      <c r="DR241" s="367"/>
      <c r="DS241" s="367"/>
      <c r="DT241" s="367"/>
      <c r="DU241" s="367"/>
      <c r="DV241" s="367"/>
      <c r="DW241" s="367"/>
      <c r="DX241" s="367"/>
      <c r="DY241" s="367"/>
      <c r="DZ241" s="367"/>
      <c r="EA241" s="367"/>
      <c r="EB241" s="367"/>
      <c r="EC241" s="367"/>
      <c r="ED241" s="367"/>
      <c r="EE241" s="367"/>
      <c r="EF241" s="367"/>
      <c r="EG241" s="367"/>
      <c r="EH241" s="367"/>
      <c r="EI241" s="367"/>
      <c r="EJ241" s="367"/>
      <c r="EK241" s="367"/>
      <c r="EL241" s="367"/>
      <c r="EM241" s="367"/>
      <c r="EN241" s="367"/>
      <c r="EO241" s="367"/>
      <c r="EP241" s="367"/>
      <c r="EQ241" s="367"/>
    </row>
    <row r="242" spans="1:147" x14ac:dyDescent="0.2">
      <c r="A242" s="192"/>
      <c r="B242" s="192"/>
      <c r="C242" s="192"/>
      <c r="D242" s="192"/>
      <c r="E242" s="192"/>
      <c r="F242" s="192"/>
      <c r="G242" s="192"/>
      <c r="H242" s="192"/>
      <c r="I242" s="192"/>
      <c r="J242" s="192"/>
      <c r="K242" s="192"/>
      <c r="L242" s="192"/>
      <c r="M242" s="192"/>
      <c r="N242" s="192"/>
      <c r="O242" s="192"/>
      <c r="P242" s="192"/>
      <c r="Q242" s="192"/>
      <c r="R242" s="192"/>
      <c r="S242" s="266"/>
      <c r="T242" s="265"/>
      <c r="U242" s="265"/>
      <c r="V242" s="265"/>
      <c r="W242" s="265"/>
      <c r="X242" s="265"/>
      <c r="Y242" s="265"/>
      <c r="Z242" s="265"/>
      <c r="AA242" s="265"/>
      <c r="AB242" s="265"/>
      <c r="AC242" s="265"/>
      <c r="AD242" s="265"/>
      <c r="AE242" s="265"/>
      <c r="AF242" s="265"/>
      <c r="AG242" s="265"/>
      <c r="AH242" s="265"/>
      <c r="AI242" s="192"/>
      <c r="AJ242" s="192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B242" s="367"/>
      <c r="BC242" s="367"/>
      <c r="BD242" s="367"/>
      <c r="BE242" s="367"/>
      <c r="BF242" s="367"/>
      <c r="BG242" s="367"/>
      <c r="BH242" s="367"/>
      <c r="BI242" s="367"/>
      <c r="BJ242" s="367"/>
      <c r="BK242" s="367"/>
      <c r="BL242" s="367"/>
      <c r="BM242" s="367"/>
      <c r="BN242" s="367"/>
      <c r="BO242" s="367"/>
      <c r="BP242" s="367"/>
      <c r="BQ242" s="367"/>
      <c r="BR242" s="367"/>
      <c r="BS242" s="367"/>
      <c r="BT242" s="367"/>
      <c r="BU242" s="367"/>
      <c r="BV242" s="367"/>
      <c r="BW242" s="367"/>
      <c r="BX242" s="367"/>
      <c r="BY242" s="367"/>
      <c r="BZ242" s="367"/>
      <c r="CA242" s="367"/>
      <c r="CB242" s="367"/>
      <c r="CC242" s="367"/>
      <c r="CD242" s="367"/>
      <c r="CE242" s="367"/>
      <c r="CF242" s="367"/>
      <c r="CG242" s="367"/>
      <c r="CH242" s="367"/>
      <c r="CI242" s="367"/>
      <c r="CJ242" s="367"/>
      <c r="CK242" s="367"/>
      <c r="CL242" s="367"/>
      <c r="CM242" s="367"/>
      <c r="CN242" s="367"/>
      <c r="CO242" s="367"/>
      <c r="CP242" s="367"/>
      <c r="CQ242" s="367"/>
      <c r="CR242" s="367"/>
      <c r="CS242" s="367"/>
      <c r="CT242" s="367"/>
      <c r="CU242" s="367"/>
      <c r="CV242" s="367"/>
      <c r="CW242" s="367"/>
      <c r="CX242" s="367"/>
      <c r="CY242" s="367"/>
      <c r="CZ242" s="367"/>
      <c r="DA242" s="367"/>
      <c r="DB242" s="367"/>
      <c r="DC242" s="367"/>
      <c r="DD242" s="367"/>
      <c r="DE242" s="367"/>
      <c r="DF242" s="367"/>
      <c r="DG242" s="367"/>
      <c r="DH242" s="367"/>
      <c r="DI242" s="367"/>
      <c r="DJ242" s="367"/>
      <c r="DK242" s="367"/>
      <c r="DL242" s="367"/>
      <c r="DM242" s="367"/>
      <c r="DN242" s="367"/>
      <c r="DO242" s="367"/>
      <c r="DP242" s="367"/>
      <c r="DQ242" s="367"/>
      <c r="DR242" s="367"/>
      <c r="DS242" s="367"/>
      <c r="DT242" s="367"/>
      <c r="DU242" s="367"/>
      <c r="DV242" s="367"/>
      <c r="DW242" s="367"/>
      <c r="DX242" s="367"/>
      <c r="DY242" s="367"/>
      <c r="DZ242" s="367"/>
      <c r="EA242" s="367"/>
      <c r="EB242" s="367"/>
      <c r="EC242" s="367"/>
      <c r="ED242" s="367"/>
      <c r="EE242" s="367"/>
      <c r="EF242" s="367"/>
      <c r="EG242" s="367"/>
      <c r="EH242" s="367"/>
      <c r="EI242" s="367"/>
      <c r="EJ242" s="367"/>
      <c r="EK242" s="367"/>
      <c r="EL242" s="367"/>
      <c r="EM242" s="367"/>
      <c r="EN242" s="367"/>
      <c r="EO242" s="367"/>
      <c r="EP242" s="367"/>
      <c r="EQ242" s="367"/>
    </row>
    <row r="243" spans="1:147" x14ac:dyDescent="0.2">
      <c r="A243" s="192"/>
      <c r="B243" s="192"/>
      <c r="C243" s="192"/>
      <c r="D243" s="192"/>
      <c r="E243" s="192"/>
      <c r="F243" s="192"/>
      <c r="G243" s="192"/>
      <c r="H243" s="192"/>
      <c r="I243" s="192"/>
      <c r="J243" s="192"/>
      <c r="K243" s="192"/>
      <c r="L243" s="192"/>
      <c r="M243" s="192"/>
      <c r="N243" s="192"/>
      <c r="O243" s="192"/>
      <c r="P243" s="192"/>
      <c r="Q243" s="192"/>
      <c r="R243" s="192"/>
      <c r="S243" s="266"/>
      <c r="T243" s="265"/>
      <c r="U243" s="265"/>
      <c r="V243" s="265"/>
      <c r="W243" s="265"/>
      <c r="X243" s="265"/>
      <c r="Y243" s="265"/>
      <c r="Z243" s="265"/>
      <c r="AA243" s="265"/>
      <c r="AB243" s="265"/>
      <c r="AC243" s="265"/>
      <c r="AD243" s="265"/>
      <c r="AE243" s="265"/>
      <c r="AF243" s="265"/>
      <c r="AG243" s="265"/>
      <c r="AH243" s="265"/>
      <c r="AI243" s="192"/>
      <c r="AJ243" s="192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/>
      <c r="AX243" s="367"/>
      <c r="AY243" s="367"/>
      <c r="AZ243" s="367"/>
      <c r="BA243" s="367"/>
      <c r="BB243" s="367"/>
      <c r="BC243" s="367"/>
      <c r="BD243" s="367"/>
      <c r="BE243" s="367"/>
      <c r="BF243" s="367"/>
      <c r="BG243" s="367"/>
      <c r="BH243" s="367"/>
      <c r="BI243" s="367"/>
      <c r="BJ243" s="367"/>
      <c r="BK243" s="367"/>
      <c r="BL243" s="367"/>
      <c r="BM243" s="367"/>
      <c r="BN243" s="367"/>
      <c r="BO243" s="367"/>
      <c r="BP243" s="367"/>
      <c r="BQ243" s="367"/>
      <c r="BR243" s="367"/>
      <c r="BS243" s="367"/>
      <c r="BT243" s="367"/>
      <c r="BU243" s="367"/>
      <c r="BV243" s="367"/>
      <c r="BW243" s="367"/>
      <c r="BX243" s="367"/>
      <c r="BY243" s="367"/>
      <c r="BZ243" s="367"/>
      <c r="CA243" s="367"/>
      <c r="CB243" s="367"/>
      <c r="CC243" s="367"/>
      <c r="CD243" s="367"/>
      <c r="CE243" s="367"/>
      <c r="CF243" s="367"/>
      <c r="CG243" s="367"/>
      <c r="CH243" s="367"/>
      <c r="CI243" s="367"/>
      <c r="CJ243" s="367"/>
      <c r="CK243" s="367"/>
      <c r="CL243" s="367"/>
      <c r="CM243" s="367"/>
      <c r="CN243" s="367"/>
      <c r="CO243" s="367"/>
      <c r="CP243" s="367"/>
      <c r="CQ243" s="367"/>
      <c r="CR243" s="367"/>
      <c r="CS243" s="367"/>
      <c r="CT243" s="367"/>
      <c r="CU243" s="367"/>
      <c r="CV243" s="367"/>
      <c r="CW243" s="367"/>
      <c r="CX243" s="367"/>
      <c r="CY243" s="367"/>
      <c r="CZ243" s="367"/>
      <c r="DA243" s="367"/>
      <c r="DB243" s="367"/>
      <c r="DC243" s="367"/>
      <c r="DD243" s="367"/>
      <c r="DE243" s="367"/>
      <c r="DF243" s="367"/>
      <c r="DG243" s="367"/>
      <c r="DH243" s="367"/>
      <c r="DI243" s="367"/>
      <c r="DJ243" s="367"/>
      <c r="DK243" s="367"/>
      <c r="DL243" s="367"/>
      <c r="DM243" s="367"/>
      <c r="DN243" s="367"/>
      <c r="DO243" s="367"/>
      <c r="DP243" s="367"/>
      <c r="DQ243" s="367"/>
      <c r="DR243" s="367"/>
      <c r="DS243" s="367"/>
      <c r="DT243" s="367"/>
      <c r="DU243" s="367"/>
      <c r="DV243" s="367"/>
      <c r="DW243" s="367"/>
      <c r="DX243" s="367"/>
      <c r="DY243" s="367"/>
      <c r="DZ243" s="367"/>
      <c r="EA243" s="367"/>
      <c r="EB243" s="367"/>
      <c r="EC243" s="367"/>
      <c r="ED243" s="367"/>
      <c r="EE243" s="367"/>
      <c r="EF243" s="367"/>
      <c r="EG243" s="367"/>
      <c r="EH243" s="367"/>
      <c r="EI243" s="367"/>
      <c r="EJ243" s="367"/>
      <c r="EK243" s="367"/>
      <c r="EL243" s="367"/>
      <c r="EM243" s="367"/>
      <c r="EN243" s="367"/>
      <c r="EO243" s="367"/>
      <c r="EP243" s="367"/>
      <c r="EQ243" s="367"/>
    </row>
    <row r="244" spans="1:147" x14ac:dyDescent="0.2">
      <c r="A244" s="192"/>
      <c r="B244" s="192"/>
      <c r="C244" s="192"/>
      <c r="D244" s="192"/>
      <c r="E244" s="192"/>
      <c r="F244" s="192"/>
      <c r="G244" s="192"/>
      <c r="H244" s="192"/>
      <c r="I244" s="192"/>
      <c r="J244" s="192"/>
      <c r="K244" s="192"/>
      <c r="L244" s="192"/>
      <c r="M244" s="192"/>
      <c r="N244" s="192"/>
      <c r="O244" s="192"/>
      <c r="P244" s="192"/>
      <c r="Q244" s="192"/>
      <c r="R244" s="192"/>
      <c r="S244" s="266"/>
      <c r="T244" s="265"/>
      <c r="U244" s="265"/>
      <c r="V244" s="265"/>
      <c r="W244" s="265"/>
      <c r="X244" s="265"/>
      <c r="Y244" s="265"/>
      <c r="Z244" s="265"/>
      <c r="AA244" s="265"/>
      <c r="AB244" s="265"/>
      <c r="AC244" s="265"/>
      <c r="AD244" s="265"/>
      <c r="AE244" s="265"/>
      <c r="AF244" s="265"/>
      <c r="AG244" s="265"/>
      <c r="AH244" s="265"/>
      <c r="AI244" s="192"/>
      <c r="AJ244" s="192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B244" s="367"/>
      <c r="BC244" s="367"/>
      <c r="BD244" s="367"/>
      <c r="BE244" s="367"/>
      <c r="BF244" s="367"/>
      <c r="BG244" s="367"/>
      <c r="BH244" s="367"/>
      <c r="BI244" s="367"/>
      <c r="BJ244" s="367"/>
      <c r="BK244" s="367"/>
      <c r="BL244" s="367"/>
      <c r="BM244" s="367"/>
      <c r="BN244" s="367"/>
      <c r="BO244" s="367"/>
      <c r="BP244" s="367"/>
      <c r="BQ244" s="367"/>
      <c r="BR244" s="367"/>
      <c r="BS244" s="367"/>
      <c r="BT244" s="367"/>
      <c r="BU244" s="367"/>
      <c r="BV244" s="367"/>
      <c r="BW244" s="367"/>
      <c r="BX244" s="367"/>
      <c r="BY244" s="367"/>
      <c r="BZ244" s="367"/>
      <c r="CA244" s="367"/>
      <c r="CB244" s="367"/>
      <c r="CC244" s="367"/>
      <c r="CD244" s="367"/>
      <c r="CE244" s="367"/>
      <c r="CF244" s="367"/>
      <c r="CG244" s="367"/>
      <c r="CH244" s="367"/>
      <c r="CI244" s="367"/>
      <c r="CJ244" s="367"/>
      <c r="CK244" s="367"/>
      <c r="CL244" s="367"/>
      <c r="CM244" s="367"/>
      <c r="CN244" s="367"/>
      <c r="CO244" s="367"/>
      <c r="CP244" s="367"/>
      <c r="CQ244" s="367"/>
      <c r="CR244" s="367"/>
      <c r="CS244" s="367"/>
      <c r="CT244" s="367"/>
      <c r="CU244" s="367"/>
      <c r="CV244" s="367"/>
      <c r="CW244" s="367"/>
      <c r="CX244" s="367"/>
      <c r="CY244" s="367"/>
      <c r="CZ244" s="367"/>
      <c r="DA244" s="367"/>
      <c r="DB244" s="367"/>
      <c r="DC244" s="367"/>
      <c r="DD244" s="367"/>
      <c r="DE244" s="367"/>
      <c r="DF244" s="367"/>
      <c r="DG244" s="367"/>
      <c r="DH244" s="367"/>
      <c r="DI244" s="367"/>
      <c r="DJ244" s="367"/>
      <c r="DK244" s="367"/>
      <c r="DL244" s="367"/>
      <c r="DM244" s="367"/>
      <c r="DN244" s="367"/>
      <c r="DO244" s="367"/>
      <c r="DP244" s="367"/>
      <c r="DQ244" s="367"/>
      <c r="DR244" s="367"/>
      <c r="DS244" s="367"/>
      <c r="DT244" s="367"/>
      <c r="DU244" s="367"/>
      <c r="DV244" s="367"/>
      <c r="DW244" s="367"/>
      <c r="DX244" s="367"/>
      <c r="DY244" s="367"/>
      <c r="DZ244" s="367"/>
      <c r="EA244" s="367"/>
      <c r="EB244" s="367"/>
      <c r="EC244" s="367"/>
      <c r="ED244" s="367"/>
      <c r="EE244" s="367"/>
      <c r="EF244" s="367"/>
      <c r="EG244" s="367"/>
      <c r="EH244" s="367"/>
      <c r="EI244" s="367"/>
      <c r="EJ244" s="367"/>
      <c r="EK244" s="367"/>
      <c r="EL244" s="367"/>
      <c r="EM244" s="367"/>
      <c r="EN244" s="367"/>
      <c r="EO244" s="367"/>
      <c r="EP244" s="367"/>
      <c r="EQ244" s="367"/>
    </row>
    <row r="245" spans="1:147" x14ac:dyDescent="0.2">
      <c r="A245" s="192"/>
      <c r="B245" s="192"/>
      <c r="C245" s="192"/>
      <c r="D245" s="192"/>
      <c r="E245" s="192"/>
      <c r="F245" s="192"/>
      <c r="G245" s="192"/>
      <c r="H245" s="192"/>
      <c r="I245" s="192"/>
      <c r="J245" s="192"/>
      <c r="K245" s="192"/>
      <c r="L245" s="192"/>
      <c r="M245" s="192"/>
      <c r="N245" s="192"/>
      <c r="O245" s="192"/>
      <c r="P245" s="192"/>
      <c r="Q245" s="192"/>
      <c r="R245" s="192"/>
      <c r="S245" s="266"/>
      <c r="T245" s="265"/>
      <c r="U245" s="265"/>
      <c r="V245" s="265"/>
      <c r="W245" s="265"/>
      <c r="X245" s="265"/>
      <c r="Y245" s="265"/>
      <c r="Z245" s="265"/>
      <c r="AA245" s="265"/>
      <c r="AB245" s="265"/>
      <c r="AC245" s="265"/>
      <c r="AD245" s="265"/>
      <c r="AE245" s="265"/>
      <c r="AF245" s="265"/>
      <c r="AG245" s="265"/>
      <c r="AH245" s="265"/>
      <c r="AI245" s="192"/>
      <c r="AJ245" s="192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B245" s="367"/>
      <c r="BC245" s="367"/>
      <c r="BD245" s="367"/>
      <c r="BE245" s="367"/>
      <c r="BF245" s="367"/>
      <c r="BG245" s="367"/>
      <c r="BH245" s="367"/>
      <c r="BI245" s="367"/>
      <c r="BJ245" s="367"/>
      <c r="BK245" s="367"/>
      <c r="BL245" s="367"/>
      <c r="BM245" s="367"/>
      <c r="BN245" s="367"/>
      <c r="BO245" s="367"/>
      <c r="BP245" s="367"/>
      <c r="BQ245" s="367"/>
      <c r="BR245" s="367"/>
      <c r="BS245" s="367"/>
      <c r="BT245" s="367"/>
      <c r="BU245" s="367"/>
      <c r="BV245" s="367"/>
      <c r="BW245" s="367"/>
      <c r="BX245" s="367"/>
      <c r="BY245" s="367"/>
      <c r="BZ245" s="367"/>
      <c r="CA245" s="367"/>
      <c r="CB245" s="367"/>
      <c r="CC245" s="367"/>
      <c r="CD245" s="367"/>
      <c r="CE245" s="367"/>
      <c r="CF245" s="367"/>
      <c r="CG245" s="367"/>
      <c r="CH245" s="367"/>
      <c r="CI245" s="367"/>
      <c r="CJ245" s="367"/>
      <c r="CK245" s="367"/>
      <c r="CL245" s="367"/>
      <c r="CM245" s="367"/>
      <c r="CN245" s="367"/>
      <c r="CO245" s="367"/>
      <c r="CP245" s="367"/>
      <c r="CQ245" s="367"/>
      <c r="CR245" s="367"/>
      <c r="CS245" s="367"/>
      <c r="CT245" s="367"/>
      <c r="CU245" s="367"/>
      <c r="CV245" s="367"/>
      <c r="CW245" s="367"/>
      <c r="CX245" s="367"/>
      <c r="CY245" s="367"/>
      <c r="CZ245" s="367"/>
      <c r="DA245" s="367"/>
      <c r="DB245" s="367"/>
      <c r="DC245" s="367"/>
      <c r="DD245" s="367"/>
      <c r="DE245" s="367"/>
      <c r="DF245" s="367"/>
      <c r="DG245" s="367"/>
      <c r="DH245" s="367"/>
      <c r="DI245" s="367"/>
      <c r="DJ245" s="367"/>
      <c r="DK245" s="367"/>
      <c r="DL245" s="367"/>
      <c r="DM245" s="367"/>
      <c r="DN245" s="367"/>
      <c r="DO245" s="367"/>
      <c r="DP245" s="367"/>
      <c r="DQ245" s="367"/>
      <c r="DR245" s="367"/>
      <c r="DS245" s="367"/>
      <c r="DT245" s="367"/>
      <c r="DU245" s="367"/>
      <c r="DV245" s="367"/>
      <c r="DW245" s="367"/>
      <c r="DX245" s="367"/>
      <c r="DY245" s="367"/>
      <c r="DZ245" s="367"/>
      <c r="EA245" s="367"/>
      <c r="EB245" s="367"/>
      <c r="EC245" s="367"/>
      <c r="ED245" s="367"/>
      <c r="EE245" s="367"/>
      <c r="EF245" s="367"/>
      <c r="EG245" s="367"/>
      <c r="EH245" s="367"/>
      <c r="EI245" s="367"/>
      <c r="EJ245" s="367"/>
      <c r="EK245" s="367"/>
      <c r="EL245" s="367"/>
      <c r="EM245" s="367"/>
      <c r="EN245" s="367"/>
      <c r="EO245" s="367"/>
      <c r="EP245" s="367"/>
      <c r="EQ245" s="367"/>
    </row>
    <row r="246" spans="1:147" x14ac:dyDescent="0.2">
      <c r="A246" s="192"/>
      <c r="B246" s="192"/>
      <c r="C246" s="192"/>
      <c r="D246" s="192"/>
      <c r="E246" s="192"/>
      <c r="F246" s="192"/>
      <c r="G246" s="192"/>
      <c r="H246" s="192"/>
      <c r="I246" s="192"/>
      <c r="J246" s="192"/>
      <c r="K246" s="192"/>
      <c r="L246" s="192"/>
      <c r="M246" s="192"/>
      <c r="N246" s="192"/>
      <c r="O246" s="192"/>
      <c r="P246" s="192"/>
      <c r="Q246" s="192"/>
      <c r="R246" s="192"/>
      <c r="S246" s="266"/>
      <c r="T246" s="265"/>
      <c r="U246" s="265"/>
      <c r="V246" s="265"/>
      <c r="W246" s="265"/>
      <c r="X246" s="265"/>
      <c r="Y246" s="265"/>
      <c r="Z246" s="265"/>
      <c r="AA246" s="265"/>
      <c r="AB246" s="265"/>
      <c r="AC246" s="265"/>
      <c r="AD246" s="265"/>
      <c r="AE246" s="265"/>
      <c r="AF246" s="265"/>
      <c r="AG246" s="265"/>
      <c r="AH246" s="265"/>
      <c r="AI246" s="192"/>
      <c r="AJ246" s="192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B246" s="367"/>
      <c r="BC246" s="367"/>
      <c r="BD246" s="367"/>
      <c r="BE246" s="367"/>
      <c r="BF246" s="367"/>
      <c r="BG246" s="367"/>
      <c r="BH246" s="367"/>
      <c r="BI246" s="367"/>
      <c r="BJ246" s="367"/>
      <c r="BK246" s="367"/>
      <c r="BL246" s="367"/>
      <c r="BM246" s="367"/>
      <c r="BN246" s="367"/>
      <c r="BO246" s="367"/>
      <c r="BP246" s="367"/>
      <c r="BQ246" s="367"/>
      <c r="BR246" s="367"/>
      <c r="BS246" s="367"/>
      <c r="BT246" s="367"/>
      <c r="BU246" s="367"/>
      <c r="BV246" s="367"/>
      <c r="BW246" s="367"/>
      <c r="BX246" s="367"/>
      <c r="BY246" s="367"/>
      <c r="BZ246" s="367"/>
      <c r="CA246" s="367"/>
      <c r="CB246" s="367"/>
      <c r="CC246" s="367"/>
      <c r="CD246" s="367"/>
      <c r="CE246" s="367"/>
      <c r="CF246" s="367"/>
      <c r="CG246" s="367"/>
      <c r="CH246" s="367"/>
      <c r="CI246" s="367"/>
      <c r="CJ246" s="367"/>
      <c r="CK246" s="367"/>
      <c r="CL246" s="367"/>
      <c r="CM246" s="367"/>
      <c r="CN246" s="367"/>
      <c r="CO246" s="367"/>
      <c r="CP246" s="367"/>
      <c r="CQ246" s="367"/>
      <c r="CR246" s="367"/>
      <c r="CS246" s="367"/>
      <c r="CT246" s="367"/>
      <c r="CU246" s="367"/>
      <c r="CV246" s="367"/>
      <c r="CW246" s="367"/>
      <c r="CX246" s="367"/>
      <c r="CY246" s="367"/>
      <c r="CZ246" s="367"/>
      <c r="DA246" s="367"/>
      <c r="DB246" s="367"/>
      <c r="DC246" s="367"/>
      <c r="DD246" s="367"/>
      <c r="DE246" s="367"/>
      <c r="DF246" s="367"/>
      <c r="DG246" s="367"/>
      <c r="DH246" s="367"/>
      <c r="DI246" s="367"/>
      <c r="DJ246" s="367"/>
      <c r="DK246" s="367"/>
      <c r="DL246" s="367"/>
      <c r="DM246" s="367"/>
      <c r="DN246" s="367"/>
      <c r="DO246" s="367"/>
      <c r="DP246" s="367"/>
      <c r="DQ246" s="367"/>
      <c r="DR246" s="367"/>
      <c r="DS246" s="367"/>
      <c r="DT246" s="367"/>
      <c r="DU246" s="367"/>
      <c r="DV246" s="367"/>
      <c r="DW246" s="367"/>
      <c r="DX246" s="367"/>
      <c r="DY246" s="367"/>
      <c r="DZ246" s="367"/>
      <c r="EA246" s="367"/>
      <c r="EB246" s="367"/>
      <c r="EC246" s="367"/>
      <c r="ED246" s="367"/>
      <c r="EE246" s="367"/>
      <c r="EF246" s="367"/>
      <c r="EG246" s="367"/>
      <c r="EH246" s="367"/>
      <c r="EI246" s="367"/>
      <c r="EJ246" s="367"/>
      <c r="EK246" s="367"/>
      <c r="EL246" s="367"/>
      <c r="EM246" s="367"/>
      <c r="EN246" s="367"/>
      <c r="EO246" s="367"/>
      <c r="EP246" s="367"/>
      <c r="EQ246" s="367"/>
    </row>
    <row r="247" spans="1:147" x14ac:dyDescent="0.2">
      <c r="A247" s="192"/>
      <c r="B247" s="192"/>
      <c r="C247" s="192"/>
      <c r="D247" s="192"/>
      <c r="E247" s="192"/>
      <c r="F247" s="192"/>
      <c r="G247" s="192"/>
      <c r="H247" s="192"/>
      <c r="I247" s="192"/>
      <c r="J247" s="192"/>
      <c r="K247" s="192"/>
      <c r="L247" s="192"/>
      <c r="M247" s="192"/>
      <c r="N247" s="192"/>
      <c r="O247" s="192"/>
      <c r="P247" s="192"/>
      <c r="Q247" s="192"/>
      <c r="R247" s="192"/>
      <c r="S247" s="266"/>
      <c r="T247" s="265"/>
      <c r="U247" s="265"/>
      <c r="V247" s="265"/>
      <c r="W247" s="265"/>
      <c r="X247" s="265"/>
      <c r="Y247" s="265"/>
      <c r="Z247" s="265"/>
      <c r="AA247" s="265"/>
      <c r="AB247" s="265"/>
      <c r="AC247" s="265"/>
      <c r="AD247" s="265"/>
      <c r="AE247" s="265"/>
      <c r="AF247" s="265"/>
      <c r="AG247" s="265"/>
      <c r="AH247" s="265"/>
      <c r="AI247" s="192"/>
      <c r="AJ247" s="192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B247" s="367"/>
      <c r="BC247" s="367"/>
      <c r="BD247" s="367"/>
      <c r="BE247" s="367"/>
      <c r="BF247" s="367"/>
      <c r="BG247" s="367"/>
      <c r="BH247" s="367"/>
      <c r="BI247" s="367"/>
      <c r="BJ247" s="367"/>
      <c r="BK247" s="367"/>
      <c r="BL247" s="367"/>
      <c r="BM247" s="367"/>
      <c r="BN247" s="367"/>
      <c r="BO247" s="367"/>
      <c r="BP247" s="367"/>
      <c r="BQ247" s="367"/>
      <c r="BR247" s="367"/>
      <c r="BS247" s="367"/>
      <c r="BT247" s="367"/>
      <c r="BU247" s="367"/>
      <c r="BV247" s="367"/>
      <c r="BW247" s="367"/>
      <c r="BX247" s="367"/>
      <c r="BY247" s="367"/>
      <c r="BZ247" s="367"/>
      <c r="CA247" s="367"/>
      <c r="CB247" s="367"/>
      <c r="CC247" s="367"/>
      <c r="CD247" s="367"/>
      <c r="CE247" s="367"/>
      <c r="CF247" s="367"/>
      <c r="CG247" s="367"/>
      <c r="CH247" s="367"/>
      <c r="CI247" s="367"/>
      <c r="CJ247" s="367"/>
      <c r="CK247" s="367"/>
      <c r="CL247" s="367"/>
      <c r="CM247" s="367"/>
      <c r="CN247" s="367"/>
      <c r="CO247" s="367"/>
      <c r="CP247" s="367"/>
      <c r="CQ247" s="367"/>
      <c r="CR247" s="367"/>
      <c r="CS247" s="367"/>
      <c r="CT247" s="367"/>
      <c r="CU247" s="367"/>
      <c r="CV247" s="367"/>
      <c r="CW247" s="367"/>
      <c r="CX247" s="367"/>
      <c r="CY247" s="367"/>
      <c r="CZ247" s="367"/>
      <c r="DA247" s="367"/>
      <c r="DB247" s="367"/>
      <c r="DC247" s="367"/>
      <c r="DD247" s="367"/>
      <c r="DE247" s="367"/>
      <c r="DF247" s="367"/>
      <c r="DG247" s="367"/>
      <c r="DH247" s="367"/>
      <c r="DI247" s="367"/>
      <c r="DJ247" s="367"/>
      <c r="DK247" s="367"/>
      <c r="DL247" s="367"/>
      <c r="DM247" s="367"/>
      <c r="DN247" s="367"/>
      <c r="DO247" s="367"/>
      <c r="DP247" s="367"/>
      <c r="DQ247" s="367"/>
      <c r="DR247" s="367"/>
      <c r="DS247" s="367"/>
      <c r="DT247" s="367"/>
      <c r="DU247" s="367"/>
      <c r="DV247" s="367"/>
      <c r="DW247" s="367"/>
      <c r="DX247" s="367"/>
      <c r="DY247" s="367"/>
      <c r="DZ247" s="367"/>
      <c r="EA247" s="367"/>
      <c r="EB247" s="367"/>
      <c r="EC247" s="367"/>
      <c r="ED247" s="367"/>
      <c r="EE247" s="367"/>
      <c r="EF247" s="367"/>
      <c r="EG247" s="367"/>
      <c r="EH247" s="367"/>
      <c r="EI247" s="367"/>
      <c r="EJ247" s="367"/>
      <c r="EK247" s="367"/>
      <c r="EL247" s="367"/>
      <c r="EM247" s="367"/>
      <c r="EN247" s="367"/>
      <c r="EO247" s="367"/>
      <c r="EP247" s="367"/>
      <c r="EQ247" s="367"/>
    </row>
    <row r="248" spans="1:147" x14ac:dyDescent="0.2">
      <c r="A248" s="192"/>
      <c r="B248" s="192"/>
      <c r="C248" s="192"/>
      <c r="D248" s="192"/>
      <c r="E248" s="192"/>
      <c r="F248" s="192"/>
      <c r="G248" s="192"/>
      <c r="H248" s="192"/>
      <c r="I248" s="192"/>
      <c r="J248" s="192"/>
      <c r="K248" s="192"/>
      <c r="L248" s="192"/>
      <c r="M248" s="192"/>
      <c r="N248" s="192"/>
      <c r="O248" s="192"/>
      <c r="P248" s="192"/>
      <c r="Q248" s="192"/>
      <c r="R248" s="192"/>
      <c r="S248" s="266"/>
      <c r="T248" s="265"/>
      <c r="U248" s="265"/>
      <c r="V248" s="265"/>
      <c r="W248" s="265"/>
      <c r="X248" s="265"/>
      <c r="Y248" s="265"/>
      <c r="Z248" s="265"/>
      <c r="AA248" s="265"/>
      <c r="AB248" s="265"/>
      <c r="AC248" s="265"/>
      <c r="AD248" s="265"/>
      <c r="AE248" s="265"/>
      <c r="AF248" s="265"/>
      <c r="AG248" s="265"/>
      <c r="AH248" s="265"/>
      <c r="AI248" s="192"/>
      <c r="AJ248" s="192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B248" s="367"/>
      <c r="BC248" s="367"/>
      <c r="BD248" s="367"/>
      <c r="BE248" s="367"/>
      <c r="BF248" s="367"/>
      <c r="BG248" s="367"/>
      <c r="BH248" s="367"/>
      <c r="BI248" s="367"/>
      <c r="BJ248" s="367"/>
      <c r="BK248" s="367"/>
      <c r="BL248" s="367"/>
      <c r="BM248" s="367"/>
      <c r="BN248" s="367"/>
      <c r="BO248" s="367"/>
      <c r="BP248" s="367"/>
      <c r="BQ248" s="367"/>
      <c r="BR248" s="367"/>
      <c r="BS248" s="367"/>
      <c r="BT248" s="367"/>
      <c r="BU248" s="367"/>
      <c r="BV248" s="367"/>
      <c r="BW248" s="367"/>
      <c r="BX248" s="367"/>
      <c r="BY248" s="367"/>
      <c r="BZ248" s="367"/>
      <c r="CA248" s="367"/>
      <c r="CB248" s="367"/>
      <c r="CC248" s="367"/>
      <c r="CD248" s="367"/>
      <c r="CE248" s="367"/>
      <c r="CF248" s="367"/>
      <c r="CG248" s="367"/>
      <c r="CH248" s="367"/>
      <c r="CI248" s="367"/>
      <c r="CJ248" s="367"/>
      <c r="CK248" s="367"/>
      <c r="CL248" s="367"/>
      <c r="CM248" s="367"/>
      <c r="CN248" s="367"/>
      <c r="CO248" s="367"/>
      <c r="CP248" s="367"/>
      <c r="CQ248" s="367"/>
      <c r="CR248" s="367"/>
      <c r="CS248" s="367"/>
      <c r="CT248" s="367"/>
      <c r="CU248" s="367"/>
      <c r="CV248" s="367"/>
      <c r="CW248" s="367"/>
      <c r="CX248" s="367"/>
      <c r="CY248" s="367"/>
      <c r="CZ248" s="367"/>
      <c r="DA248" s="367"/>
      <c r="DB248" s="367"/>
      <c r="DC248" s="367"/>
      <c r="DD248" s="367"/>
      <c r="DE248" s="367"/>
      <c r="DF248" s="367"/>
      <c r="DG248" s="367"/>
      <c r="DH248" s="367"/>
      <c r="DI248" s="367"/>
      <c r="DJ248" s="367"/>
      <c r="DK248" s="367"/>
      <c r="DL248" s="367"/>
      <c r="DM248" s="367"/>
      <c r="DN248" s="367"/>
      <c r="DO248" s="367"/>
      <c r="DP248" s="367"/>
      <c r="DQ248" s="367"/>
      <c r="DR248" s="367"/>
      <c r="DS248" s="367"/>
      <c r="DT248" s="367"/>
      <c r="DU248" s="367"/>
      <c r="DV248" s="367"/>
      <c r="DW248" s="367"/>
      <c r="DX248" s="367"/>
      <c r="DY248" s="367"/>
      <c r="DZ248" s="367"/>
      <c r="EA248" s="367"/>
      <c r="EB248" s="367"/>
      <c r="EC248" s="367"/>
      <c r="ED248" s="367"/>
      <c r="EE248" s="367"/>
      <c r="EF248" s="367"/>
      <c r="EG248" s="367"/>
      <c r="EH248" s="367"/>
      <c r="EI248" s="367"/>
      <c r="EJ248" s="367"/>
      <c r="EK248" s="367"/>
      <c r="EL248" s="367"/>
      <c r="EM248" s="367"/>
      <c r="EN248" s="367"/>
      <c r="EO248" s="367"/>
      <c r="EP248" s="367"/>
      <c r="EQ248" s="367"/>
    </row>
    <row r="249" spans="1:147" x14ac:dyDescent="0.2">
      <c r="A249" s="192"/>
      <c r="B249" s="192"/>
      <c r="C249" s="192"/>
      <c r="D249" s="192"/>
      <c r="E249" s="192"/>
      <c r="F249" s="192"/>
      <c r="G249" s="192"/>
      <c r="H249" s="192"/>
      <c r="I249" s="192"/>
      <c r="J249" s="192"/>
      <c r="K249" s="192"/>
      <c r="L249" s="192"/>
      <c r="M249" s="192"/>
      <c r="N249" s="192"/>
      <c r="O249" s="192"/>
      <c r="P249" s="192"/>
      <c r="Q249" s="192"/>
      <c r="R249" s="192"/>
      <c r="S249" s="266"/>
      <c r="T249" s="265"/>
      <c r="U249" s="265"/>
      <c r="V249" s="265"/>
      <c r="W249" s="265"/>
      <c r="X249" s="265"/>
      <c r="Y249" s="265"/>
      <c r="Z249" s="265"/>
      <c r="AA249" s="265"/>
      <c r="AB249" s="265"/>
      <c r="AC249" s="265"/>
      <c r="AD249" s="265"/>
      <c r="AE249" s="265"/>
      <c r="AF249" s="265"/>
      <c r="AG249" s="265"/>
      <c r="AH249" s="265"/>
      <c r="AI249" s="192"/>
      <c r="AJ249" s="192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B249" s="367"/>
      <c r="BC249" s="367"/>
      <c r="BD249" s="367"/>
      <c r="BE249" s="367"/>
      <c r="BF249" s="367"/>
      <c r="BG249" s="367"/>
      <c r="BH249" s="367"/>
      <c r="BI249" s="367"/>
      <c r="BJ249" s="367"/>
      <c r="BK249" s="367"/>
      <c r="BL249" s="367"/>
      <c r="BM249" s="367"/>
      <c r="BN249" s="367"/>
      <c r="BO249" s="367"/>
      <c r="BP249" s="367"/>
      <c r="BQ249" s="367"/>
      <c r="BR249" s="367"/>
      <c r="BS249" s="367"/>
      <c r="BT249" s="367"/>
      <c r="BU249" s="367"/>
      <c r="BV249" s="367"/>
      <c r="BW249" s="367"/>
      <c r="BX249" s="367"/>
      <c r="BY249" s="367"/>
      <c r="BZ249" s="367"/>
      <c r="CA249" s="367"/>
      <c r="CB249" s="367"/>
      <c r="CC249" s="367"/>
      <c r="CD249" s="367"/>
      <c r="CE249" s="367"/>
      <c r="CF249" s="367"/>
      <c r="CG249" s="367"/>
      <c r="CH249" s="367"/>
      <c r="CI249" s="367"/>
      <c r="CJ249" s="367"/>
      <c r="CK249" s="367"/>
      <c r="CL249" s="367"/>
      <c r="CM249" s="367"/>
      <c r="CN249" s="367"/>
      <c r="CO249" s="367"/>
      <c r="CP249" s="367"/>
      <c r="CQ249" s="367"/>
      <c r="CR249" s="367"/>
      <c r="CS249" s="367"/>
      <c r="CT249" s="367"/>
      <c r="CU249" s="367"/>
      <c r="CV249" s="367"/>
      <c r="CW249" s="367"/>
      <c r="CX249" s="367"/>
      <c r="CY249" s="367"/>
      <c r="CZ249" s="367"/>
      <c r="DA249" s="367"/>
      <c r="DB249" s="367"/>
      <c r="DC249" s="367"/>
      <c r="DD249" s="367"/>
      <c r="DE249" s="367"/>
      <c r="DF249" s="367"/>
      <c r="DG249" s="367"/>
      <c r="DH249" s="367"/>
      <c r="DI249" s="367"/>
      <c r="DJ249" s="367"/>
      <c r="DK249" s="367"/>
      <c r="DL249" s="367"/>
      <c r="DM249" s="367"/>
      <c r="DN249" s="367"/>
      <c r="DO249" s="367"/>
      <c r="DP249" s="367"/>
      <c r="DQ249" s="367"/>
      <c r="DR249" s="367"/>
      <c r="DS249" s="367"/>
      <c r="DT249" s="367"/>
      <c r="DU249" s="367"/>
      <c r="DV249" s="367"/>
      <c r="DW249" s="367"/>
      <c r="DX249" s="367"/>
      <c r="DY249" s="367"/>
      <c r="DZ249" s="367"/>
      <c r="EA249" s="367"/>
      <c r="EB249" s="367"/>
      <c r="EC249" s="367"/>
      <c r="ED249" s="367"/>
      <c r="EE249" s="367"/>
      <c r="EF249" s="367"/>
      <c r="EG249" s="367"/>
      <c r="EH249" s="367"/>
      <c r="EI249" s="367"/>
      <c r="EJ249" s="367"/>
      <c r="EK249" s="367"/>
      <c r="EL249" s="367"/>
      <c r="EM249" s="367"/>
      <c r="EN249" s="367"/>
      <c r="EO249" s="367"/>
      <c r="EP249" s="367"/>
      <c r="EQ249" s="367"/>
    </row>
    <row r="250" spans="1:147" x14ac:dyDescent="0.2">
      <c r="A250" s="192"/>
      <c r="B250" s="192"/>
      <c r="C250" s="192"/>
      <c r="D250" s="192"/>
      <c r="E250" s="192"/>
      <c r="F250" s="192"/>
      <c r="G250" s="192"/>
      <c r="H250" s="192"/>
      <c r="I250" s="192"/>
      <c r="J250" s="192"/>
      <c r="K250" s="192"/>
      <c r="L250" s="192"/>
      <c r="M250" s="192"/>
      <c r="N250" s="192"/>
      <c r="O250" s="192"/>
      <c r="P250" s="192"/>
      <c r="Q250" s="192"/>
      <c r="R250" s="192"/>
      <c r="S250" s="266"/>
      <c r="T250" s="265"/>
      <c r="U250" s="265"/>
      <c r="V250" s="265"/>
      <c r="W250" s="265"/>
      <c r="X250" s="265"/>
      <c r="Y250" s="265"/>
      <c r="Z250" s="265"/>
      <c r="AA250" s="265"/>
      <c r="AB250" s="265"/>
      <c r="AC250" s="265"/>
      <c r="AD250" s="265"/>
      <c r="AE250" s="265"/>
      <c r="AF250" s="265"/>
      <c r="AG250" s="265"/>
      <c r="AH250" s="265"/>
      <c r="AI250" s="192"/>
      <c r="AJ250" s="192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B250" s="367"/>
      <c r="BC250" s="367"/>
      <c r="BD250" s="367"/>
      <c r="BE250" s="367"/>
      <c r="BF250" s="367"/>
      <c r="BG250" s="367"/>
      <c r="BH250" s="367"/>
      <c r="BI250" s="367"/>
      <c r="BJ250" s="367"/>
      <c r="BK250" s="367"/>
      <c r="BL250" s="367"/>
      <c r="BM250" s="367"/>
      <c r="BN250" s="367"/>
      <c r="BO250" s="367"/>
      <c r="BP250" s="367"/>
      <c r="BQ250" s="367"/>
      <c r="BR250" s="367"/>
      <c r="BS250" s="367"/>
      <c r="BT250" s="367"/>
      <c r="BU250" s="367"/>
      <c r="BV250" s="367"/>
      <c r="BW250" s="367"/>
      <c r="BX250" s="367"/>
      <c r="BY250" s="367"/>
      <c r="BZ250" s="367"/>
      <c r="CA250" s="367"/>
      <c r="CB250" s="367"/>
      <c r="CC250" s="367"/>
      <c r="CD250" s="367"/>
      <c r="CE250" s="367"/>
      <c r="CF250" s="367"/>
      <c r="CG250" s="367"/>
      <c r="CH250" s="367"/>
      <c r="CI250" s="367"/>
      <c r="CJ250" s="367"/>
      <c r="CK250" s="367"/>
      <c r="CL250" s="367"/>
      <c r="CM250" s="367"/>
      <c r="CN250" s="367"/>
      <c r="CO250" s="367"/>
      <c r="CP250" s="367"/>
      <c r="CQ250" s="367"/>
      <c r="CR250" s="367"/>
      <c r="CS250" s="367"/>
      <c r="CT250" s="367"/>
      <c r="CU250" s="367"/>
      <c r="CV250" s="367"/>
      <c r="CW250" s="367"/>
      <c r="CX250" s="367"/>
      <c r="CY250" s="367"/>
      <c r="CZ250" s="367"/>
      <c r="DA250" s="367"/>
      <c r="DB250" s="367"/>
      <c r="DC250" s="367"/>
      <c r="DD250" s="367"/>
      <c r="DE250" s="367"/>
      <c r="DF250" s="367"/>
      <c r="DG250" s="367"/>
      <c r="DH250" s="367"/>
      <c r="DI250" s="367"/>
      <c r="DJ250" s="367"/>
      <c r="DK250" s="367"/>
      <c r="DL250" s="367"/>
      <c r="DM250" s="367"/>
      <c r="DN250" s="367"/>
      <c r="DO250" s="367"/>
      <c r="DP250" s="367"/>
      <c r="DQ250" s="367"/>
      <c r="DR250" s="367"/>
      <c r="DS250" s="367"/>
      <c r="DT250" s="367"/>
      <c r="DU250" s="367"/>
      <c r="DV250" s="367"/>
      <c r="DW250" s="367"/>
      <c r="DX250" s="367"/>
      <c r="DY250" s="367"/>
      <c r="DZ250" s="367"/>
      <c r="EA250" s="367"/>
      <c r="EB250" s="367"/>
      <c r="EC250" s="367"/>
      <c r="ED250" s="367"/>
      <c r="EE250" s="367"/>
      <c r="EF250" s="367"/>
      <c r="EG250" s="367"/>
      <c r="EH250" s="367"/>
      <c r="EI250" s="367"/>
      <c r="EJ250" s="367"/>
      <c r="EK250" s="367"/>
      <c r="EL250" s="367"/>
      <c r="EM250" s="367"/>
      <c r="EN250" s="367"/>
      <c r="EO250" s="367"/>
      <c r="EP250" s="367"/>
      <c r="EQ250" s="367"/>
    </row>
    <row r="251" spans="1:147" x14ac:dyDescent="0.2">
      <c r="A251" s="192"/>
      <c r="B251" s="192"/>
      <c r="C251" s="192"/>
      <c r="D251" s="192"/>
      <c r="E251" s="192"/>
      <c r="F251" s="192"/>
      <c r="G251" s="192"/>
      <c r="H251" s="192"/>
      <c r="I251" s="192"/>
      <c r="J251" s="192"/>
      <c r="K251" s="192"/>
      <c r="L251" s="192"/>
      <c r="M251" s="192"/>
      <c r="N251" s="192"/>
      <c r="O251" s="192"/>
      <c r="P251" s="192"/>
      <c r="Q251" s="192"/>
      <c r="R251" s="192"/>
      <c r="S251" s="266"/>
      <c r="T251" s="265"/>
      <c r="U251" s="265"/>
      <c r="V251" s="265"/>
      <c r="W251" s="265"/>
      <c r="X251" s="265"/>
      <c r="Y251" s="265"/>
      <c r="Z251" s="265"/>
      <c r="AA251" s="265"/>
      <c r="AB251" s="265"/>
      <c r="AC251" s="265"/>
      <c r="AD251" s="265"/>
      <c r="AE251" s="265"/>
      <c r="AF251" s="265"/>
      <c r="AG251" s="265"/>
      <c r="AH251" s="265"/>
      <c r="AI251" s="192"/>
      <c r="AJ251" s="192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B251" s="367"/>
      <c r="BC251" s="367"/>
      <c r="BD251" s="367"/>
      <c r="BE251" s="367"/>
      <c r="BF251" s="367"/>
      <c r="BG251" s="367"/>
      <c r="BH251" s="367"/>
      <c r="BI251" s="367"/>
      <c r="BJ251" s="367"/>
      <c r="BK251" s="367"/>
      <c r="BL251" s="367"/>
      <c r="BM251" s="367"/>
      <c r="BN251" s="367"/>
      <c r="BO251" s="367"/>
      <c r="BP251" s="367"/>
      <c r="BQ251" s="367"/>
      <c r="BR251" s="367"/>
      <c r="BS251" s="367"/>
      <c r="BT251" s="367"/>
      <c r="BU251" s="367"/>
      <c r="BV251" s="367"/>
      <c r="BW251" s="367"/>
      <c r="BX251" s="367"/>
      <c r="BY251" s="367"/>
      <c r="BZ251" s="367"/>
      <c r="CA251" s="367"/>
      <c r="CB251" s="367"/>
      <c r="CC251" s="367"/>
      <c r="CD251" s="367"/>
      <c r="CE251" s="367"/>
      <c r="CF251" s="367"/>
      <c r="CG251" s="367"/>
      <c r="CH251" s="367"/>
      <c r="CI251" s="367"/>
      <c r="CJ251" s="367"/>
      <c r="CK251" s="367"/>
      <c r="CL251" s="367"/>
      <c r="CM251" s="367"/>
      <c r="CN251" s="367"/>
      <c r="CO251" s="367"/>
      <c r="CP251" s="367"/>
      <c r="CQ251" s="367"/>
      <c r="CR251" s="367"/>
      <c r="CS251" s="367"/>
      <c r="CT251" s="367"/>
      <c r="CU251" s="367"/>
      <c r="CV251" s="367"/>
      <c r="CW251" s="367"/>
      <c r="CX251" s="367"/>
      <c r="CY251" s="367"/>
      <c r="CZ251" s="367"/>
      <c r="DA251" s="367"/>
      <c r="DB251" s="367"/>
      <c r="DC251" s="367"/>
      <c r="DD251" s="367"/>
      <c r="DE251" s="367"/>
      <c r="DF251" s="367"/>
      <c r="DG251" s="367"/>
      <c r="DH251" s="367"/>
      <c r="DI251" s="367"/>
      <c r="DJ251" s="367"/>
      <c r="DK251" s="367"/>
      <c r="DL251" s="367"/>
      <c r="DM251" s="367"/>
      <c r="DN251" s="367"/>
      <c r="DO251" s="367"/>
      <c r="DP251" s="367"/>
      <c r="DQ251" s="367"/>
      <c r="DR251" s="367"/>
      <c r="DS251" s="367"/>
      <c r="DT251" s="367"/>
      <c r="DU251" s="367"/>
      <c r="DV251" s="367"/>
      <c r="DW251" s="367"/>
      <c r="DX251" s="367"/>
      <c r="DY251" s="367"/>
      <c r="DZ251" s="367"/>
      <c r="EA251" s="367"/>
      <c r="EB251" s="367"/>
      <c r="EC251" s="367"/>
      <c r="ED251" s="367"/>
      <c r="EE251" s="367"/>
      <c r="EF251" s="367"/>
      <c r="EG251" s="367"/>
      <c r="EH251" s="367"/>
      <c r="EI251" s="367"/>
      <c r="EJ251" s="367"/>
      <c r="EK251" s="367"/>
      <c r="EL251" s="367"/>
      <c r="EM251" s="367"/>
      <c r="EN251" s="367"/>
      <c r="EO251" s="367"/>
      <c r="EP251" s="367"/>
      <c r="EQ251" s="367"/>
    </row>
    <row r="252" spans="1:147" x14ac:dyDescent="0.2">
      <c r="A252" s="192"/>
      <c r="B252" s="192"/>
      <c r="C252" s="192"/>
      <c r="D252" s="192"/>
      <c r="E252" s="192"/>
      <c r="F252" s="192"/>
      <c r="G252" s="192"/>
      <c r="H252" s="192"/>
      <c r="I252" s="192"/>
      <c r="J252" s="192"/>
      <c r="K252" s="192"/>
      <c r="L252" s="192"/>
      <c r="M252" s="192"/>
      <c r="N252" s="192"/>
      <c r="O252" s="192"/>
      <c r="P252" s="192"/>
      <c r="Q252" s="192"/>
      <c r="R252" s="192"/>
      <c r="S252" s="266"/>
      <c r="T252" s="265"/>
      <c r="U252" s="265"/>
      <c r="V252" s="265"/>
      <c r="W252" s="265"/>
      <c r="X252" s="265"/>
      <c r="Y252" s="265"/>
      <c r="Z252" s="265"/>
      <c r="AA252" s="265"/>
      <c r="AB252" s="265"/>
      <c r="AC252" s="265"/>
      <c r="AD252" s="265"/>
      <c r="AE252" s="265"/>
      <c r="AF252" s="265"/>
      <c r="AG252" s="265"/>
      <c r="AH252" s="265"/>
      <c r="AI252" s="192"/>
      <c r="AJ252" s="192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B252" s="367"/>
      <c r="BC252" s="367"/>
      <c r="BD252" s="367"/>
      <c r="BE252" s="367"/>
      <c r="BF252" s="367"/>
      <c r="BG252" s="367"/>
      <c r="BH252" s="367"/>
      <c r="BI252" s="367"/>
      <c r="BJ252" s="367"/>
      <c r="BK252" s="367"/>
      <c r="BL252" s="367"/>
      <c r="BM252" s="367"/>
      <c r="BN252" s="367"/>
      <c r="BO252" s="367"/>
      <c r="BP252" s="367"/>
      <c r="BQ252" s="367"/>
      <c r="BR252" s="367"/>
      <c r="BS252" s="367"/>
      <c r="BT252" s="367"/>
      <c r="BU252" s="367"/>
      <c r="BV252" s="367"/>
      <c r="BW252" s="367"/>
      <c r="BX252" s="367"/>
      <c r="BY252" s="367"/>
      <c r="BZ252" s="367"/>
      <c r="CA252" s="367"/>
      <c r="CB252" s="367"/>
      <c r="CC252" s="367"/>
      <c r="CD252" s="367"/>
      <c r="CE252" s="367"/>
      <c r="CF252" s="367"/>
      <c r="CG252" s="367"/>
      <c r="CH252" s="367"/>
      <c r="CI252" s="367"/>
      <c r="CJ252" s="367"/>
      <c r="CK252" s="367"/>
      <c r="CL252" s="367"/>
      <c r="CM252" s="367"/>
      <c r="CN252" s="367"/>
      <c r="CO252" s="367"/>
      <c r="CP252" s="367"/>
      <c r="CQ252" s="367"/>
      <c r="CR252" s="367"/>
      <c r="CS252" s="367"/>
      <c r="CT252" s="367"/>
      <c r="CU252" s="367"/>
      <c r="CV252" s="367"/>
      <c r="CW252" s="367"/>
      <c r="CX252" s="367"/>
      <c r="CY252" s="367"/>
      <c r="CZ252" s="367"/>
      <c r="DA252" s="367"/>
      <c r="DB252" s="367"/>
      <c r="DC252" s="367"/>
      <c r="DD252" s="367"/>
      <c r="DE252" s="367"/>
      <c r="DF252" s="367"/>
      <c r="DG252" s="367"/>
      <c r="DH252" s="367"/>
      <c r="DI252" s="367"/>
      <c r="DJ252" s="367"/>
      <c r="DK252" s="367"/>
      <c r="DL252" s="367"/>
      <c r="DM252" s="367"/>
      <c r="DN252" s="367"/>
      <c r="DO252" s="367"/>
      <c r="DP252" s="367"/>
      <c r="DQ252" s="367"/>
      <c r="DR252" s="367"/>
      <c r="DS252" s="367"/>
      <c r="DT252" s="367"/>
      <c r="DU252" s="367"/>
      <c r="DV252" s="367"/>
      <c r="DW252" s="367"/>
      <c r="DX252" s="367"/>
      <c r="DY252" s="367"/>
      <c r="DZ252" s="367"/>
      <c r="EA252" s="367"/>
      <c r="EB252" s="367"/>
      <c r="EC252" s="367"/>
      <c r="ED252" s="367"/>
      <c r="EE252" s="367"/>
      <c r="EF252" s="367"/>
      <c r="EG252" s="367"/>
      <c r="EH252" s="367"/>
      <c r="EI252" s="367"/>
      <c r="EJ252" s="367"/>
      <c r="EK252" s="367"/>
      <c r="EL252" s="367"/>
      <c r="EM252" s="367"/>
      <c r="EN252" s="367"/>
      <c r="EO252" s="367"/>
      <c r="EP252" s="367"/>
      <c r="EQ252" s="367"/>
    </row>
    <row r="253" spans="1:147" x14ac:dyDescent="0.2">
      <c r="A253" s="192"/>
      <c r="B253" s="192"/>
      <c r="C253" s="192"/>
      <c r="D253" s="192"/>
      <c r="E253" s="192"/>
      <c r="F253" s="192"/>
      <c r="G253" s="192"/>
      <c r="H253" s="192"/>
      <c r="I253" s="192"/>
      <c r="J253" s="192"/>
      <c r="K253" s="192"/>
      <c r="L253" s="192"/>
      <c r="M253" s="192"/>
      <c r="N253" s="192"/>
      <c r="O253" s="192"/>
      <c r="P253" s="192"/>
      <c r="Q253" s="192"/>
      <c r="R253" s="192"/>
      <c r="S253" s="266"/>
      <c r="T253" s="265"/>
      <c r="U253" s="265"/>
      <c r="V253" s="265"/>
      <c r="W253" s="265"/>
      <c r="X253" s="265"/>
      <c r="Y253" s="265"/>
      <c r="Z253" s="265"/>
      <c r="AA253" s="265"/>
      <c r="AB253" s="265"/>
      <c r="AC253" s="265"/>
      <c r="AD253" s="265"/>
      <c r="AE253" s="265"/>
      <c r="AF253" s="265"/>
      <c r="AG253" s="265"/>
      <c r="AH253" s="265"/>
      <c r="AI253" s="192"/>
      <c r="AJ253" s="192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B253" s="367"/>
      <c r="BC253" s="367"/>
      <c r="BD253" s="367"/>
      <c r="BE253" s="367"/>
      <c r="BF253" s="367"/>
      <c r="BG253" s="367"/>
      <c r="BH253" s="367"/>
      <c r="BI253" s="367"/>
      <c r="BJ253" s="367"/>
      <c r="BK253" s="367"/>
      <c r="BL253" s="367"/>
      <c r="BM253" s="367"/>
      <c r="BN253" s="367"/>
      <c r="BO253" s="367"/>
      <c r="BP253" s="367"/>
      <c r="BQ253" s="367"/>
      <c r="BR253" s="367"/>
      <c r="BS253" s="367"/>
      <c r="BT253" s="367"/>
      <c r="BU253" s="367"/>
      <c r="BV253" s="367"/>
      <c r="BW253" s="367"/>
      <c r="BX253" s="367"/>
      <c r="BY253" s="367"/>
      <c r="BZ253" s="367"/>
      <c r="CA253" s="367"/>
      <c r="CB253" s="367"/>
      <c r="CC253" s="367"/>
      <c r="CD253" s="367"/>
      <c r="CE253" s="367"/>
      <c r="CF253" s="367"/>
      <c r="CG253" s="367"/>
      <c r="CH253" s="367"/>
      <c r="CI253" s="367"/>
      <c r="CJ253" s="367"/>
      <c r="CK253" s="367"/>
      <c r="CL253" s="367"/>
      <c r="CM253" s="367"/>
      <c r="CN253" s="367"/>
      <c r="CO253" s="367"/>
      <c r="CP253" s="367"/>
      <c r="CQ253" s="367"/>
      <c r="CR253" s="367"/>
      <c r="CS253" s="367"/>
      <c r="CT253" s="367"/>
      <c r="CU253" s="367"/>
      <c r="CV253" s="367"/>
      <c r="CW253" s="367"/>
      <c r="CX253" s="367"/>
      <c r="CY253" s="367"/>
      <c r="CZ253" s="367"/>
      <c r="DA253" s="367"/>
      <c r="DB253" s="367"/>
      <c r="DC253" s="367"/>
      <c r="DD253" s="367"/>
      <c r="DE253" s="367"/>
      <c r="DF253" s="367"/>
      <c r="DG253" s="367"/>
      <c r="DH253" s="367"/>
      <c r="DI253" s="367"/>
      <c r="DJ253" s="367"/>
      <c r="DK253" s="367"/>
      <c r="DL253" s="367"/>
      <c r="DM253" s="367"/>
      <c r="DN253" s="367"/>
      <c r="DO253" s="367"/>
      <c r="DP253" s="367"/>
      <c r="DQ253" s="367"/>
      <c r="DR253" s="367"/>
      <c r="DS253" s="367"/>
      <c r="DT253" s="367"/>
      <c r="DU253" s="367"/>
      <c r="DV253" s="367"/>
      <c r="DW253" s="367"/>
      <c r="DX253" s="367"/>
      <c r="DY253" s="367"/>
      <c r="DZ253" s="367"/>
      <c r="EA253" s="367"/>
      <c r="EB253" s="367"/>
      <c r="EC253" s="367"/>
      <c r="ED253" s="367"/>
      <c r="EE253" s="367"/>
      <c r="EF253" s="367"/>
      <c r="EG253" s="367"/>
      <c r="EH253" s="367"/>
      <c r="EI253" s="367"/>
      <c r="EJ253" s="367"/>
      <c r="EK253" s="367"/>
      <c r="EL253" s="367"/>
      <c r="EM253" s="367"/>
      <c r="EN253" s="367"/>
      <c r="EO253" s="367"/>
      <c r="EP253" s="367"/>
      <c r="EQ253" s="367"/>
    </row>
    <row r="254" spans="1:147" x14ac:dyDescent="0.2">
      <c r="A254" s="192"/>
      <c r="B254" s="192"/>
      <c r="C254" s="192"/>
      <c r="D254" s="192"/>
      <c r="E254" s="192"/>
      <c r="F254" s="192"/>
      <c r="G254" s="192"/>
      <c r="H254" s="192"/>
      <c r="I254" s="192"/>
      <c r="J254" s="192"/>
      <c r="K254" s="192"/>
      <c r="L254" s="192"/>
      <c r="M254" s="192"/>
      <c r="N254" s="192"/>
      <c r="O254" s="192"/>
      <c r="P254" s="192"/>
      <c r="Q254" s="192"/>
      <c r="R254" s="192"/>
      <c r="S254" s="266"/>
      <c r="T254" s="265"/>
      <c r="U254" s="265"/>
      <c r="V254" s="265"/>
      <c r="W254" s="265"/>
      <c r="X254" s="265"/>
      <c r="Y254" s="265"/>
      <c r="Z254" s="265"/>
      <c r="AA254" s="265"/>
      <c r="AB254" s="265"/>
      <c r="AC254" s="265"/>
      <c r="AD254" s="265"/>
      <c r="AE254" s="265"/>
      <c r="AF254" s="265"/>
      <c r="AG254" s="265"/>
      <c r="AH254" s="265"/>
      <c r="AI254" s="192"/>
      <c r="AJ254" s="192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B254" s="367"/>
      <c r="BC254" s="367"/>
      <c r="BD254" s="367"/>
      <c r="BE254" s="367"/>
      <c r="BF254" s="367"/>
      <c r="BG254" s="367"/>
      <c r="BH254" s="367"/>
      <c r="BI254" s="367"/>
      <c r="BJ254" s="367"/>
      <c r="BK254" s="367"/>
      <c r="BL254" s="367"/>
      <c r="BM254" s="367"/>
      <c r="BN254" s="367"/>
      <c r="BO254" s="367"/>
      <c r="BP254" s="367"/>
      <c r="BQ254" s="367"/>
      <c r="BR254" s="367"/>
      <c r="BS254" s="367"/>
      <c r="BT254" s="367"/>
      <c r="BU254" s="367"/>
      <c r="BV254" s="367"/>
      <c r="BW254" s="367"/>
      <c r="BX254" s="367"/>
      <c r="BY254" s="367"/>
      <c r="BZ254" s="367"/>
      <c r="CA254" s="367"/>
      <c r="CB254" s="367"/>
      <c r="CC254" s="367"/>
      <c r="CD254" s="367"/>
      <c r="CE254" s="367"/>
      <c r="CF254" s="367"/>
      <c r="CG254" s="367"/>
      <c r="CH254" s="367"/>
      <c r="CI254" s="367"/>
      <c r="CJ254" s="367"/>
      <c r="CK254" s="367"/>
      <c r="CL254" s="367"/>
      <c r="CM254" s="367"/>
      <c r="CN254" s="367"/>
      <c r="CO254" s="367"/>
      <c r="CP254" s="367"/>
      <c r="CQ254" s="367"/>
      <c r="CR254" s="367"/>
      <c r="CS254" s="367"/>
      <c r="CT254" s="367"/>
      <c r="CU254" s="367"/>
      <c r="CV254" s="367"/>
      <c r="CW254" s="367"/>
      <c r="CX254" s="367"/>
      <c r="CY254" s="367"/>
      <c r="CZ254" s="367"/>
      <c r="DA254" s="367"/>
      <c r="DB254" s="367"/>
      <c r="DC254" s="367"/>
      <c r="DD254" s="367"/>
      <c r="DE254" s="367"/>
      <c r="DF254" s="367"/>
      <c r="DG254" s="367"/>
      <c r="DH254" s="367"/>
      <c r="DI254" s="367"/>
      <c r="DJ254" s="367"/>
      <c r="DK254" s="367"/>
      <c r="DL254" s="367"/>
      <c r="DM254" s="367"/>
      <c r="DN254" s="367"/>
      <c r="DO254" s="367"/>
      <c r="DP254" s="367"/>
      <c r="DQ254" s="367"/>
      <c r="DR254" s="367"/>
      <c r="DS254" s="367"/>
      <c r="DT254" s="367"/>
      <c r="DU254" s="367"/>
      <c r="DV254" s="367"/>
      <c r="DW254" s="367"/>
      <c r="DX254" s="367"/>
      <c r="DY254" s="367"/>
      <c r="DZ254" s="367"/>
      <c r="EA254" s="367"/>
      <c r="EB254" s="367"/>
      <c r="EC254" s="367"/>
      <c r="ED254" s="367"/>
      <c r="EE254" s="367"/>
      <c r="EF254" s="367"/>
      <c r="EG254" s="367"/>
      <c r="EH254" s="367"/>
      <c r="EI254" s="367"/>
      <c r="EJ254" s="367"/>
      <c r="EK254" s="367"/>
      <c r="EL254" s="367"/>
      <c r="EM254" s="367"/>
      <c r="EN254" s="367"/>
      <c r="EO254" s="367"/>
      <c r="EP254" s="367"/>
      <c r="EQ254" s="367"/>
    </row>
    <row r="255" spans="1:147" x14ac:dyDescent="0.2">
      <c r="A255" s="192"/>
      <c r="B255" s="192"/>
      <c r="C255" s="192"/>
      <c r="D255" s="192"/>
      <c r="E255" s="192"/>
      <c r="F255" s="192"/>
      <c r="G255" s="192"/>
      <c r="H255" s="192"/>
      <c r="I255" s="192"/>
      <c r="J255" s="192"/>
      <c r="K255" s="192"/>
      <c r="L255" s="192"/>
      <c r="M255" s="192"/>
      <c r="N255" s="192"/>
      <c r="O255" s="192"/>
      <c r="P255" s="192"/>
      <c r="Q255" s="192"/>
      <c r="R255" s="192"/>
      <c r="S255" s="266"/>
      <c r="T255" s="265"/>
      <c r="U255" s="265"/>
      <c r="V255" s="265"/>
      <c r="W255" s="265"/>
      <c r="X255" s="265"/>
      <c r="Y255" s="265"/>
      <c r="Z255" s="265"/>
      <c r="AA255" s="265"/>
      <c r="AB255" s="265"/>
      <c r="AC255" s="265"/>
      <c r="AD255" s="265"/>
      <c r="AE255" s="265"/>
      <c r="AF255" s="265"/>
      <c r="AG255" s="265"/>
      <c r="AH255" s="265"/>
      <c r="AI255" s="192"/>
      <c r="AJ255" s="192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B255" s="367"/>
      <c r="BC255" s="367"/>
      <c r="BD255" s="367"/>
      <c r="BE255" s="367"/>
      <c r="BF255" s="367"/>
      <c r="BG255" s="367"/>
      <c r="BH255" s="367"/>
      <c r="BI255" s="367"/>
      <c r="BJ255" s="367"/>
      <c r="BK255" s="367"/>
      <c r="BL255" s="367"/>
      <c r="BM255" s="367"/>
      <c r="BN255" s="367"/>
      <c r="BO255" s="367"/>
      <c r="BP255" s="367"/>
      <c r="BQ255" s="367"/>
      <c r="BR255" s="367"/>
      <c r="BS255" s="367"/>
      <c r="BT255" s="367"/>
      <c r="BU255" s="367"/>
      <c r="BV255" s="367"/>
      <c r="BW255" s="367"/>
      <c r="BX255" s="367"/>
      <c r="BY255" s="367"/>
      <c r="BZ255" s="367"/>
      <c r="CA255" s="367"/>
      <c r="CB255" s="367"/>
      <c r="CC255" s="367"/>
      <c r="CD255" s="367"/>
      <c r="CE255" s="367"/>
      <c r="CF255" s="367"/>
      <c r="CG255" s="367"/>
      <c r="CH255" s="367"/>
      <c r="CI255" s="367"/>
      <c r="CJ255" s="367"/>
      <c r="CK255" s="367"/>
      <c r="CL255" s="367"/>
      <c r="CM255" s="367"/>
      <c r="CN255" s="367"/>
      <c r="CO255" s="367"/>
      <c r="CP255" s="367"/>
      <c r="CQ255" s="367"/>
      <c r="CR255" s="367"/>
      <c r="CS255" s="367"/>
      <c r="CT255" s="367"/>
      <c r="CU255" s="367"/>
      <c r="CV255" s="367"/>
      <c r="CW255" s="367"/>
      <c r="CX255" s="367"/>
      <c r="CY255" s="367"/>
      <c r="CZ255" s="367"/>
      <c r="DA255" s="367"/>
      <c r="DB255" s="367"/>
      <c r="DC255" s="367"/>
      <c r="DD255" s="367"/>
      <c r="DE255" s="367"/>
      <c r="DF255" s="367"/>
      <c r="DG255" s="367"/>
      <c r="DH255" s="367"/>
      <c r="DI255" s="367"/>
      <c r="DJ255" s="367"/>
      <c r="DK255" s="367"/>
      <c r="DL255" s="367"/>
      <c r="DM255" s="367"/>
      <c r="DN255" s="367"/>
      <c r="DO255" s="367"/>
      <c r="DP255" s="367"/>
      <c r="DQ255" s="367"/>
      <c r="DR255" s="367"/>
      <c r="DS255" s="367"/>
      <c r="DT255" s="367"/>
      <c r="DU255" s="367"/>
      <c r="DV255" s="367"/>
      <c r="DW255" s="367"/>
      <c r="DX255" s="367"/>
      <c r="DY255" s="367"/>
      <c r="DZ255" s="367"/>
      <c r="EA255" s="367"/>
      <c r="EB255" s="367"/>
      <c r="EC255" s="367"/>
      <c r="ED255" s="367"/>
      <c r="EE255" s="367"/>
      <c r="EF255" s="367"/>
      <c r="EG255" s="367"/>
      <c r="EH255" s="367"/>
      <c r="EI255" s="367"/>
      <c r="EJ255" s="367"/>
      <c r="EK255" s="367"/>
      <c r="EL255" s="367"/>
      <c r="EM255" s="367"/>
      <c r="EN255" s="367"/>
      <c r="EO255" s="367"/>
      <c r="EP255" s="367"/>
      <c r="EQ255" s="367"/>
    </row>
    <row r="256" spans="1:147" x14ac:dyDescent="0.2">
      <c r="A256" s="192"/>
      <c r="B256" s="192"/>
      <c r="C256" s="192"/>
      <c r="D256" s="192"/>
      <c r="E256" s="192"/>
      <c r="F256" s="192"/>
      <c r="G256" s="192"/>
      <c r="H256" s="192"/>
      <c r="I256" s="192"/>
      <c r="J256" s="192"/>
      <c r="K256" s="192"/>
      <c r="L256" s="192"/>
      <c r="M256" s="192"/>
      <c r="N256" s="192"/>
      <c r="O256" s="192"/>
      <c r="P256" s="192"/>
      <c r="Q256" s="192"/>
      <c r="R256" s="192"/>
      <c r="S256" s="266"/>
      <c r="T256" s="265"/>
      <c r="U256" s="265"/>
      <c r="V256" s="265"/>
      <c r="W256" s="265"/>
      <c r="X256" s="265"/>
      <c r="Y256" s="265"/>
      <c r="Z256" s="265"/>
      <c r="AA256" s="265"/>
      <c r="AB256" s="265"/>
      <c r="AC256" s="265"/>
      <c r="AD256" s="265"/>
      <c r="AE256" s="265"/>
      <c r="AF256" s="265"/>
      <c r="AG256" s="265"/>
      <c r="AH256" s="265"/>
      <c r="AI256" s="192"/>
      <c r="AJ256" s="192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B256" s="367"/>
      <c r="BC256" s="367"/>
      <c r="BD256" s="367"/>
      <c r="BE256" s="367"/>
      <c r="BF256" s="367"/>
      <c r="BG256" s="367"/>
      <c r="BH256" s="367"/>
      <c r="BI256" s="367"/>
      <c r="BJ256" s="367"/>
      <c r="BK256" s="367"/>
      <c r="BL256" s="367"/>
      <c r="BM256" s="367"/>
      <c r="BN256" s="367"/>
      <c r="BO256" s="367"/>
      <c r="BP256" s="367"/>
      <c r="BQ256" s="367"/>
      <c r="BR256" s="367"/>
      <c r="BS256" s="367"/>
      <c r="BT256" s="367"/>
      <c r="BU256" s="367"/>
      <c r="BV256" s="367"/>
      <c r="BW256" s="367"/>
      <c r="BX256" s="367"/>
      <c r="BY256" s="367"/>
      <c r="BZ256" s="367"/>
      <c r="CA256" s="367"/>
      <c r="CB256" s="367"/>
      <c r="CC256" s="367"/>
      <c r="CD256" s="367"/>
      <c r="CE256" s="367"/>
      <c r="CF256" s="367"/>
      <c r="CG256" s="367"/>
      <c r="CH256" s="367"/>
      <c r="CI256" s="367"/>
      <c r="CJ256" s="367"/>
      <c r="CK256" s="367"/>
      <c r="CL256" s="367"/>
      <c r="CM256" s="367"/>
      <c r="CN256" s="367"/>
      <c r="CO256" s="367"/>
      <c r="CP256" s="367"/>
      <c r="CQ256" s="367"/>
      <c r="CR256" s="367"/>
      <c r="CS256" s="367"/>
      <c r="CT256" s="367"/>
      <c r="CU256" s="367"/>
      <c r="CV256" s="367"/>
      <c r="CW256" s="367"/>
      <c r="CX256" s="367"/>
      <c r="CY256" s="367"/>
      <c r="CZ256" s="367"/>
      <c r="DA256" s="367"/>
      <c r="DB256" s="367"/>
      <c r="DC256" s="367"/>
      <c r="DD256" s="367"/>
      <c r="DE256" s="367"/>
      <c r="DF256" s="367"/>
      <c r="DG256" s="367"/>
      <c r="DH256" s="367"/>
      <c r="DI256" s="367"/>
      <c r="DJ256" s="367"/>
      <c r="DK256" s="367"/>
      <c r="DL256" s="367"/>
      <c r="DM256" s="367"/>
      <c r="DN256" s="367"/>
      <c r="DO256" s="367"/>
      <c r="DP256" s="367"/>
      <c r="DQ256" s="367"/>
      <c r="DR256" s="367"/>
      <c r="DS256" s="367"/>
      <c r="DT256" s="367"/>
      <c r="DU256" s="367"/>
      <c r="DV256" s="367"/>
      <c r="DW256" s="367"/>
      <c r="DX256" s="367"/>
      <c r="DY256" s="367"/>
      <c r="DZ256" s="367"/>
      <c r="EA256" s="367"/>
      <c r="EB256" s="367"/>
      <c r="EC256" s="367"/>
      <c r="ED256" s="367"/>
      <c r="EE256" s="367"/>
      <c r="EF256" s="367"/>
      <c r="EG256" s="367"/>
      <c r="EH256" s="367"/>
      <c r="EI256" s="367"/>
      <c r="EJ256" s="367"/>
      <c r="EK256" s="367"/>
      <c r="EL256" s="367"/>
      <c r="EM256" s="367"/>
      <c r="EN256" s="367"/>
      <c r="EO256" s="367"/>
      <c r="EP256" s="367"/>
      <c r="EQ256" s="367"/>
    </row>
    <row r="257" spans="1:147" x14ac:dyDescent="0.2">
      <c r="A257" s="192"/>
      <c r="B257" s="192"/>
      <c r="C257" s="192"/>
      <c r="D257" s="192"/>
      <c r="E257" s="192"/>
      <c r="F257" s="192"/>
      <c r="G257" s="192"/>
      <c r="H257" s="192"/>
      <c r="I257" s="192"/>
      <c r="J257" s="192"/>
      <c r="K257" s="192"/>
      <c r="L257" s="192"/>
      <c r="M257" s="192"/>
      <c r="N257" s="192"/>
      <c r="O257" s="192"/>
      <c r="P257" s="192"/>
      <c r="Q257" s="192"/>
      <c r="R257" s="192"/>
      <c r="S257" s="266"/>
      <c r="T257" s="265"/>
      <c r="U257" s="265"/>
      <c r="V257" s="265"/>
      <c r="W257" s="265"/>
      <c r="X257" s="265"/>
      <c r="Y257" s="265"/>
      <c r="Z257" s="265"/>
      <c r="AA257" s="265"/>
      <c r="AB257" s="265"/>
      <c r="AC257" s="265"/>
      <c r="AD257" s="265"/>
      <c r="AE257" s="265"/>
      <c r="AF257" s="265"/>
      <c r="AG257" s="265"/>
      <c r="AH257" s="265"/>
      <c r="AI257" s="192"/>
      <c r="AJ257" s="192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  <c r="BP257" s="367"/>
      <c r="BQ257" s="367"/>
      <c r="BR257" s="367"/>
      <c r="BS257" s="367"/>
      <c r="BT257" s="367"/>
      <c r="BU257" s="367"/>
      <c r="BV257" s="367"/>
      <c r="BW257" s="367"/>
      <c r="BX257" s="367"/>
      <c r="BY257" s="367"/>
      <c r="BZ257" s="367"/>
      <c r="CA257" s="367"/>
      <c r="CB257" s="367"/>
      <c r="CC257" s="367"/>
      <c r="CD257" s="367"/>
      <c r="CE257" s="367"/>
      <c r="CF257" s="367"/>
      <c r="CG257" s="367"/>
      <c r="CH257" s="367"/>
      <c r="CI257" s="367"/>
      <c r="CJ257" s="367"/>
      <c r="CK257" s="367"/>
      <c r="CL257" s="367"/>
      <c r="CM257" s="367"/>
      <c r="CN257" s="367"/>
      <c r="CO257" s="367"/>
      <c r="CP257" s="367"/>
      <c r="CQ257" s="367"/>
      <c r="CR257" s="367"/>
      <c r="CS257" s="367"/>
      <c r="CT257" s="367"/>
      <c r="CU257" s="367"/>
      <c r="CV257" s="367"/>
      <c r="CW257" s="367"/>
      <c r="CX257" s="367"/>
      <c r="CY257" s="367"/>
      <c r="CZ257" s="367"/>
      <c r="DA257" s="367"/>
      <c r="DB257" s="367"/>
      <c r="DC257" s="367"/>
      <c r="DD257" s="367"/>
      <c r="DE257" s="367"/>
      <c r="DF257" s="367"/>
      <c r="DG257" s="367"/>
      <c r="DH257" s="367"/>
      <c r="DI257" s="367"/>
      <c r="DJ257" s="367"/>
      <c r="DK257" s="367"/>
      <c r="DL257" s="367"/>
      <c r="DM257" s="367"/>
      <c r="DN257" s="367"/>
      <c r="DO257" s="367"/>
      <c r="DP257" s="367"/>
      <c r="DQ257" s="367"/>
      <c r="DR257" s="367"/>
      <c r="DS257" s="367"/>
      <c r="DT257" s="367"/>
      <c r="DU257" s="367"/>
      <c r="DV257" s="367"/>
      <c r="DW257" s="367"/>
      <c r="DX257" s="367"/>
      <c r="DY257" s="367"/>
      <c r="DZ257" s="367"/>
      <c r="EA257" s="367"/>
      <c r="EB257" s="367"/>
      <c r="EC257" s="367"/>
      <c r="ED257" s="367"/>
      <c r="EE257" s="367"/>
      <c r="EF257" s="367"/>
      <c r="EG257" s="367"/>
      <c r="EH257" s="367"/>
      <c r="EI257" s="367"/>
      <c r="EJ257" s="367"/>
      <c r="EK257" s="367"/>
      <c r="EL257" s="367"/>
      <c r="EM257" s="367"/>
      <c r="EN257" s="367"/>
      <c r="EO257" s="367"/>
      <c r="EP257" s="367"/>
      <c r="EQ257" s="367"/>
    </row>
    <row r="258" spans="1:147" x14ac:dyDescent="0.2">
      <c r="A258" s="192"/>
      <c r="B258" s="192"/>
      <c r="C258" s="192"/>
      <c r="D258" s="192"/>
      <c r="E258" s="192"/>
      <c r="F258" s="192"/>
      <c r="G258" s="192"/>
      <c r="H258" s="192"/>
      <c r="I258" s="192"/>
      <c r="J258" s="192"/>
      <c r="K258" s="192"/>
      <c r="L258" s="192"/>
      <c r="M258" s="192"/>
      <c r="N258" s="192"/>
      <c r="O258" s="192"/>
      <c r="P258" s="192"/>
      <c r="Q258" s="192"/>
      <c r="R258" s="192"/>
      <c r="S258" s="266"/>
      <c r="T258" s="265"/>
      <c r="U258" s="265"/>
      <c r="V258" s="265"/>
      <c r="W258" s="265"/>
      <c r="X258" s="265"/>
      <c r="Y258" s="265"/>
      <c r="Z258" s="265"/>
      <c r="AA258" s="265"/>
      <c r="AB258" s="265"/>
      <c r="AC258" s="265"/>
      <c r="AD258" s="265"/>
      <c r="AE258" s="265"/>
      <c r="AF258" s="265"/>
      <c r="AG258" s="265"/>
      <c r="AH258" s="265"/>
      <c r="AI258" s="192"/>
      <c r="AJ258" s="192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  <c r="BP258" s="367"/>
      <c r="BQ258" s="367"/>
      <c r="BR258" s="367"/>
      <c r="BS258" s="367"/>
      <c r="BT258" s="367"/>
      <c r="BU258" s="367"/>
      <c r="BV258" s="367"/>
      <c r="BW258" s="367"/>
      <c r="BX258" s="367"/>
      <c r="BY258" s="367"/>
      <c r="BZ258" s="367"/>
      <c r="CA258" s="367"/>
      <c r="CB258" s="367"/>
      <c r="CC258" s="367"/>
      <c r="CD258" s="367"/>
      <c r="CE258" s="367"/>
      <c r="CF258" s="367"/>
      <c r="CG258" s="367"/>
      <c r="CH258" s="367"/>
      <c r="CI258" s="367"/>
      <c r="CJ258" s="367"/>
      <c r="CK258" s="367"/>
      <c r="CL258" s="367"/>
      <c r="CM258" s="367"/>
      <c r="CN258" s="367"/>
      <c r="CO258" s="367"/>
      <c r="CP258" s="367"/>
      <c r="CQ258" s="367"/>
      <c r="CR258" s="367"/>
      <c r="CS258" s="367"/>
      <c r="CT258" s="367"/>
      <c r="CU258" s="367"/>
      <c r="CV258" s="367"/>
      <c r="CW258" s="367"/>
      <c r="CX258" s="367"/>
      <c r="CY258" s="367"/>
      <c r="CZ258" s="367"/>
      <c r="DA258" s="367"/>
      <c r="DB258" s="367"/>
      <c r="DC258" s="367"/>
      <c r="DD258" s="367"/>
      <c r="DE258" s="367"/>
      <c r="DF258" s="367"/>
      <c r="DG258" s="367"/>
      <c r="DH258" s="367"/>
      <c r="DI258" s="367"/>
      <c r="DJ258" s="367"/>
      <c r="DK258" s="367"/>
      <c r="DL258" s="367"/>
      <c r="DM258" s="367"/>
      <c r="DN258" s="367"/>
      <c r="DO258" s="367"/>
      <c r="DP258" s="367"/>
      <c r="DQ258" s="367"/>
      <c r="DR258" s="367"/>
      <c r="DS258" s="367"/>
      <c r="DT258" s="367"/>
      <c r="DU258" s="367"/>
      <c r="DV258" s="367"/>
      <c r="DW258" s="367"/>
      <c r="DX258" s="367"/>
      <c r="DY258" s="367"/>
      <c r="DZ258" s="367"/>
      <c r="EA258" s="367"/>
      <c r="EB258" s="367"/>
      <c r="EC258" s="367"/>
      <c r="ED258" s="367"/>
      <c r="EE258" s="367"/>
      <c r="EF258" s="367"/>
      <c r="EG258" s="367"/>
      <c r="EH258" s="367"/>
      <c r="EI258" s="367"/>
      <c r="EJ258" s="367"/>
      <c r="EK258" s="367"/>
      <c r="EL258" s="367"/>
      <c r="EM258" s="367"/>
      <c r="EN258" s="367"/>
      <c r="EO258" s="367"/>
      <c r="EP258" s="367"/>
      <c r="EQ258" s="367"/>
    </row>
    <row r="259" spans="1:147" x14ac:dyDescent="0.2">
      <c r="A259" s="192"/>
      <c r="B259" s="192"/>
      <c r="C259" s="192"/>
      <c r="D259" s="192"/>
      <c r="E259" s="192"/>
      <c r="F259" s="192"/>
      <c r="G259" s="192"/>
      <c r="H259" s="192"/>
      <c r="I259" s="192"/>
      <c r="J259" s="192"/>
      <c r="K259" s="192"/>
      <c r="L259" s="192"/>
      <c r="M259" s="192"/>
      <c r="N259" s="192"/>
      <c r="O259" s="192"/>
      <c r="P259" s="192"/>
      <c r="Q259" s="192"/>
      <c r="R259" s="192"/>
      <c r="S259" s="266"/>
      <c r="T259" s="265"/>
      <c r="U259" s="265"/>
      <c r="V259" s="265"/>
      <c r="W259" s="265"/>
      <c r="X259" s="265"/>
      <c r="Y259" s="265"/>
      <c r="Z259" s="265"/>
      <c r="AA259" s="265"/>
      <c r="AB259" s="265"/>
      <c r="AC259" s="265"/>
      <c r="AD259" s="265"/>
      <c r="AE259" s="265"/>
      <c r="AF259" s="265"/>
      <c r="AG259" s="265"/>
      <c r="AH259" s="265"/>
      <c r="AI259" s="192"/>
      <c r="AJ259" s="192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  <c r="BP259" s="367"/>
      <c r="BQ259" s="367"/>
      <c r="BR259" s="367"/>
      <c r="BS259" s="367"/>
      <c r="BT259" s="367"/>
      <c r="BU259" s="367"/>
      <c r="BV259" s="367"/>
      <c r="BW259" s="367"/>
      <c r="BX259" s="367"/>
      <c r="BY259" s="367"/>
      <c r="BZ259" s="367"/>
      <c r="CA259" s="367"/>
      <c r="CB259" s="367"/>
      <c r="CC259" s="367"/>
      <c r="CD259" s="367"/>
      <c r="CE259" s="367"/>
      <c r="CF259" s="367"/>
      <c r="CG259" s="367"/>
      <c r="CH259" s="367"/>
      <c r="CI259" s="367"/>
      <c r="CJ259" s="367"/>
      <c r="CK259" s="367"/>
      <c r="CL259" s="367"/>
      <c r="CM259" s="367"/>
      <c r="CN259" s="367"/>
      <c r="CO259" s="367"/>
      <c r="CP259" s="367"/>
      <c r="CQ259" s="367"/>
      <c r="CR259" s="367"/>
      <c r="CS259" s="367"/>
      <c r="CT259" s="367"/>
      <c r="CU259" s="367"/>
      <c r="CV259" s="367"/>
      <c r="CW259" s="367"/>
      <c r="CX259" s="367"/>
      <c r="CY259" s="367"/>
      <c r="CZ259" s="367"/>
      <c r="DA259" s="367"/>
      <c r="DB259" s="367"/>
      <c r="DC259" s="367"/>
      <c r="DD259" s="367"/>
      <c r="DE259" s="367"/>
      <c r="DF259" s="367"/>
      <c r="DG259" s="367"/>
      <c r="DH259" s="367"/>
      <c r="DI259" s="367"/>
      <c r="DJ259" s="367"/>
      <c r="DK259" s="367"/>
      <c r="DL259" s="367"/>
      <c r="DM259" s="367"/>
      <c r="DN259" s="367"/>
      <c r="DO259" s="367"/>
      <c r="DP259" s="367"/>
      <c r="DQ259" s="367"/>
      <c r="DR259" s="367"/>
      <c r="DS259" s="367"/>
      <c r="DT259" s="367"/>
      <c r="DU259" s="367"/>
      <c r="DV259" s="367"/>
      <c r="DW259" s="367"/>
      <c r="DX259" s="367"/>
      <c r="DY259" s="367"/>
      <c r="DZ259" s="367"/>
      <c r="EA259" s="367"/>
      <c r="EB259" s="367"/>
      <c r="EC259" s="367"/>
      <c r="ED259" s="367"/>
      <c r="EE259" s="367"/>
      <c r="EF259" s="367"/>
      <c r="EG259" s="367"/>
      <c r="EH259" s="367"/>
      <c r="EI259" s="367"/>
      <c r="EJ259" s="367"/>
      <c r="EK259" s="367"/>
      <c r="EL259" s="367"/>
      <c r="EM259" s="367"/>
      <c r="EN259" s="367"/>
      <c r="EO259" s="367"/>
      <c r="EP259" s="367"/>
      <c r="EQ259" s="367"/>
    </row>
    <row r="260" spans="1:147" x14ac:dyDescent="0.2">
      <c r="A260" s="192"/>
      <c r="B260" s="192"/>
      <c r="C260" s="192"/>
      <c r="D260" s="192"/>
      <c r="E260" s="192"/>
      <c r="F260" s="192"/>
      <c r="G260" s="192"/>
      <c r="H260" s="192"/>
      <c r="I260" s="192"/>
      <c r="J260" s="192"/>
      <c r="K260" s="192"/>
      <c r="L260" s="192"/>
      <c r="M260" s="192"/>
      <c r="N260" s="192"/>
      <c r="O260" s="192"/>
      <c r="P260" s="192"/>
      <c r="Q260" s="192"/>
      <c r="R260" s="192"/>
      <c r="S260" s="266"/>
      <c r="T260" s="265"/>
      <c r="U260" s="265"/>
      <c r="V260" s="265"/>
      <c r="W260" s="265"/>
      <c r="X260" s="265"/>
      <c r="Y260" s="265"/>
      <c r="Z260" s="265"/>
      <c r="AA260" s="265"/>
      <c r="AB260" s="265"/>
      <c r="AC260" s="265"/>
      <c r="AD260" s="265"/>
      <c r="AE260" s="265"/>
      <c r="AF260" s="265"/>
      <c r="AG260" s="265"/>
      <c r="AH260" s="265"/>
      <c r="AI260" s="192"/>
      <c r="AJ260" s="192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  <c r="BP260" s="367"/>
      <c r="BQ260" s="367"/>
      <c r="BR260" s="367"/>
      <c r="BS260" s="367"/>
      <c r="BT260" s="367"/>
      <c r="BU260" s="367"/>
      <c r="BV260" s="367"/>
      <c r="BW260" s="367"/>
      <c r="BX260" s="367"/>
      <c r="BY260" s="367"/>
      <c r="BZ260" s="367"/>
      <c r="CA260" s="367"/>
      <c r="CB260" s="367"/>
      <c r="CC260" s="367"/>
      <c r="CD260" s="367"/>
      <c r="CE260" s="367"/>
      <c r="CF260" s="367"/>
      <c r="CG260" s="367"/>
      <c r="CH260" s="367"/>
      <c r="CI260" s="367"/>
      <c r="CJ260" s="367"/>
      <c r="CK260" s="367"/>
      <c r="CL260" s="367"/>
      <c r="CM260" s="367"/>
      <c r="CN260" s="367"/>
      <c r="CO260" s="367"/>
      <c r="CP260" s="367"/>
      <c r="CQ260" s="367"/>
      <c r="CR260" s="367"/>
      <c r="CS260" s="367"/>
      <c r="CT260" s="367"/>
      <c r="CU260" s="367"/>
      <c r="CV260" s="367"/>
      <c r="CW260" s="367"/>
      <c r="CX260" s="367"/>
      <c r="CY260" s="367"/>
      <c r="CZ260" s="367"/>
      <c r="DA260" s="367"/>
      <c r="DB260" s="367"/>
      <c r="DC260" s="367"/>
      <c r="DD260" s="367"/>
      <c r="DE260" s="367"/>
      <c r="DF260" s="367"/>
      <c r="DG260" s="367"/>
      <c r="DH260" s="367"/>
      <c r="DI260" s="367"/>
      <c r="DJ260" s="367"/>
      <c r="DK260" s="367"/>
      <c r="DL260" s="367"/>
      <c r="DM260" s="367"/>
      <c r="DN260" s="367"/>
      <c r="DO260" s="367"/>
      <c r="DP260" s="367"/>
      <c r="DQ260" s="367"/>
      <c r="DR260" s="367"/>
      <c r="DS260" s="367"/>
      <c r="DT260" s="367"/>
      <c r="DU260" s="367"/>
      <c r="DV260" s="367"/>
      <c r="DW260" s="367"/>
      <c r="DX260" s="367"/>
      <c r="DY260" s="367"/>
      <c r="DZ260" s="367"/>
      <c r="EA260" s="367"/>
      <c r="EB260" s="367"/>
      <c r="EC260" s="367"/>
      <c r="ED260" s="367"/>
      <c r="EE260" s="367"/>
      <c r="EF260" s="367"/>
      <c r="EG260" s="367"/>
      <c r="EH260" s="367"/>
      <c r="EI260" s="367"/>
      <c r="EJ260" s="367"/>
      <c r="EK260" s="367"/>
      <c r="EL260" s="367"/>
      <c r="EM260" s="367"/>
      <c r="EN260" s="367"/>
      <c r="EO260" s="367"/>
      <c r="EP260" s="367"/>
      <c r="EQ260" s="367"/>
    </row>
    <row r="261" spans="1:147" x14ac:dyDescent="0.2">
      <c r="A261" s="192"/>
      <c r="B261" s="192"/>
      <c r="C261" s="192"/>
      <c r="D261" s="192"/>
      <c r="E261" s="192"/>
      <c r="F261" s="192"/>
      <c r="G261" s="192"/>
      <c r="H261" s="192"/>
      <c r="I261" s="192"/>
      <c r="J261" s="192"/>
      <c r="K261" s="192"/>
      <c r="L261" s="192"/>
      <c r="M261" s="192"/>
      <c r="N261" s="192"/>
      <c r="O261" s="192"/>
      <c r="P261" s="192"/>
      <c r="Q261" s="192"/>
      <c r="R261" s="192"/>
      <c r="S261" s="266"/>
      <c r="T261" s="265"/>
      <c r="U261" s="265"/>
      <c r="V261" s="265"/>
      <c r="W261" s="265"/>
      <c r="X261" s="265"/>
      <c r="Y261" s="265"/>
      <c r="Z261" s="265"/>
      <c r="AA261" s="265"/>
      <c r="AB261" s="265"/>
      <c r="AC261" s="265"/>
      <c r="AD261" s="265"/>
      <c r="AE261" s="265"/>
      <c r="AF261" s="265"/>
      <c r="AG261" s="265"/>
      <c r="AH261" s="265"/>
      <c r="AI261" s="192"/>
      <c r="AJ261" s="192"/>
      <c r="AK261" s="192"/>
      <c r="AL261" s="192"/>
      <c r="AM261" s="192"/>
      <c r="AN261" s="192"/>
      <c r="AO261" s="192"/>
      <c r="AP261" s="192"/>
      <c r="AQ261" s="192"/>
      <c r="AR261" s="192"/>
      <c r="AS261" s="192"/>
      <c r="AT261" s="192"/>
      <c r="AU261" s="192"/>
      <c r="AV261" s="192"/>
      <c r="AW261" s="192"/>
      <c r="AX261" s="192"/>
      <c r="AY261" s="192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192"/>
      <c r="BS261" s="192"/>
      <c r="BT261" s="192"/>
      <c r="BU261" s="19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192"/>
      <c r="CU261" s="192"/>
      <c r="CV261" s="192"/>
      <c r="CW261" s="192"/>
      <c r="CX261" s="192"/>
      <c r="CY261" s="192"/>
      <c r="CZ261" s="192"/>
      <c r="DA261" s="192"/>
      <c r="DB261" s="192"/>
      <c r="DC261" s="192"/>
      <c r="DD261" s="192"/>
      <c r="DE261" s="192"/>
      <c r="DF261" s="192"/>
      <c r="DG261" s="192"/>
      <c r="DH261" s="192"/>
      <c r="DI261" s="192"/>
      <c r="DJ261" s="192"/>
      <c r="DK261" s="192"/>
      <c r="DL261" s="192"/>
      <c r="DM261" s="192"/>
      <c r="DN261" s="192"/>
      <c r="DO261" s="192"/>
      <c r="DP261" s="192"/>
      <c r="DQ261" s="192"/>
      <c r="DR261" s="192"/>
      <c r="DS261" s="192"/>
      <c r="DT261" s="192"/>
      <c r="DU261" s="192"/>
      <c r="DV261" s="192"/>
      <c r="DW261" s="192"/>
      <c r="DX261" s="192"/>
      <c r="DY261" s="192"/>
      <c r="DZ261" s="192"/>
      <c r="EA261" s="192"/>
      <c r="EB261" s="192"/>
      <c r="EC261" s="192"/>
      <c r="ED261" s="192"/>
      <c r="EE261" s="192"/>
      <c r="EF261" s="192"/>
      <c r="EG261" s="192"/>
      <c r="EH261" s="192"/>
      <c r="EI261" s="192"/>
      <c r="EJ261" s="192"/>
      <c r="EK261" s="192"/>
      <c r="EL261" s="192"/>
      <c r="EM261" s="192"/>
      <c r="EN261" s="192"/>
      <c r="EO261" s="192"/>
      <c r="EP261" s="192"/>
      <c r="EQ261" s="192"/>
    </row>
    <row r="262" spans="1:147" x14ac:dyDescent="0.2">
      <c r="A262" s="192"/>
      <c r="B262" s="192"/>
      <c r="C262" s="192"/>
      <c r="D262" s="192"/>
      <c r="E262" s="192"/>
      <c r="F262" s="192"/>
      <c r="G262" s="192"/>
      <c r="H262" s="192"/>
      <c r="I262" s="192"/>
      <c r="J262" s="192"/>
      <c r="K262" s="192"/>
      <c r="L262" s="192"/>
      <c r="M262" s="192"/>
      <c r="N262" s="192"/>
      <c r="O262" s="192"/>
      <c r="P262" s="192"/>
      <c r="Q262" s="192"/>
      <c r="R262" s="192"/>
      <c r="S262" s="266"/>
      <c r="T262" s="265"/>
      <c r="U262" s="265"/>
      <c r="V262" s="265"/>
      <c r="W262" s="265"/>
      <c r="X262" s="265"/>
      <c r="Y262" s="265"/>
      <c r="Z262" s="265"/>
      <c r="AA262" s="265"/>
      <c r="AB262" s="265"/>
      <c r="AC262" s="265"/>
      <c r="AD262" s="265"/>
      <c r="AE262" s="265"/>
      <c r="AF262" s="265"/>
      <c r="AG262" s="265"/>
      <c r="AH262" s="265"/>
      <c r="AI262" s="192"/>
      <c r="AJ262" s="192"/>
      <c r="AK262" s="192"/>
      <c r="AL262" s="192"/>
      <c r="AM262" s="192"/>
      <c r="AN262" s="192"/>
      <c r="AO262" s="192"/>
      <c r="AP262" s="192"/>
      <c r="AQ262" s="192"/>
      <c r="AR262" s="192"/>
      <c r="AS262" s="192"/>
      <c r="AT262" s="192"/>
      <c r="AU262" s="192"/>
      <c r="AV262" s="192"/>
      <c r="AW262" s="192"/>
      <c r="AX262" s="192"/>
      <c r="AY262" s="192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192"/>
      <c r="BS262" s="192"/>
      <c r="BT262" s="192"/>
      <c r="BU262" s="19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192"/>
      <c r="CU262" s="192"/>
      <c r="CV262" s="192"/>
      <c r="CW262" s="192"/>
      <c r="CX262" s="192"/>
      <c r="CY262" s="192"/>
      <c r="CZ262" s="192"/>
      <c r="DA262" s="192"/>
      <c r="DB262" s="192"/>
      <c r="DC262" s="192"/>
      <c r="DD262" s="192"/>
      <c r="DE262" s="192"/>
      <c r="DF262" s="192"/>
      <c r="DG262" s="192"/>
      <c r="DH262" s="192"/>
      <c r="DI262" s="192"/>
      <c r="DJ262" s="192"/>
      <c r="DK262" s="192"/>
      <c r="DL262" s="192"/>
      <c r="DM262" s="192"/>
      <c r="DN262" s="192"/>
      <c r="DO262" s="192"/>
      <c r="DP262" s="192"/>
      <c r="DQ262" s="192"/>
      <c r="DR262" s="192"/>
      <c r="DS262" s="192"/>
      <c r="DT262" s="192"/>
      <c r="DU262" s="192"/>
      <c r="DV262" s="192"/>
      <c r="DW262" s="192"/>
      <c r="DX262" s="192"/>
      <c r="DY262" s="192"/>
      <c r="DZ262" s="192"/>
      <c r="EA262" s="192"/>
      <c r="EB262" s="192"/>
      <c r="EC262" s="192"/>
      <c r="ED262" s="192"/>
      <c r="EE262" s="192"/>
      <c r="EF262" s="192"/>
      <c r="EG262" s="192"/>
      <c r="EH262" s="192"/>
      <c r="EI262" s="192"/>
      <c r="EJ262" s="192"/>
      <c r="EK262" s="192"/>
      <c r="EL262" s="192"/>
      <c r="EM262" s="192"/>
      <c r="EN262" s="192"/>
      <c r="EO262" s="192"/>
      <c r="EP262" s="192"/>
      <c r="EQ262" s="192"/>
    </row>
    <row r="263" spans="1:147" x14ac:dyDescent="0.2">
      <c r="A263" s="192"/>
      <c r="B263" s="192"/>
      <c r="C263" s="192"/>
      <c r="D263" s="192"/>
      <c r="E263" s="192"/>
      <c r="F263" s="192"/>
      <c r="G263" s="192"/>
      <c r="H263" s="192"/>
      <c r="I263" s="192"/>
      <c r="J263" s="192"/>
      <c r="K263" s="192"/>
      <c r="L263" s="192"/>
      <c r="M263" s="192"/>
      <c r="N263" s="192"/>
      <c r="O263" s="192"/>
      <c r="P263" s="192"/>
      <c r="Q263" s="192"/>
      <c r="R263" s="192"/>
      <c r="S263" s="266"/>
      <c r="T263" s="265"/>
      <c r="U263" s="265"/>
      <c r="V263" s="265"/>
      <c r="W263" s="265"/>
      <c r="X263" s="265"/>
      <c r="Y263" s="265"/>
      <c r="Z263" s="265"/>
      <c r="AA263" s="265"/>
      <c r="AB263" s="265"/>
      <c r="AC263" s="265"/>
      <c r="AD263" s="265"/>
      <c r="AE263" s="265"/>
      <c r="AF263" s="265"/>
      <c r="AG263" s="265"/>
      <c r="AH263" s="265"/>
      <c r="AI263" s="192"/>
      <c r="AJ263" s="192"/>
      <c r="AK263" s="192"/>
      <c r="AL263" s="192"/>
      <c r="AM263" s="192"/>
      <c r="AN263" s="192"/>
      <c r="AO263" s="192"/>
      <c r="AP263" s="192"/>
      <c r="AQ263" s="192"/>
      <c r="AR263" s="192"/>
      <c r="AS263" s="192"/>
      <c r="AT263" s="192"/>
      <c r="AU263" s="192"/>
      <c r="AV263" s="192"/>
      <c r="AW263" s="192"/>
      <c r="AX263" s="192"/>
      <c r="AY263" s="192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192"/>
      <c r="BS263" s="192"/>
      <c r="BT263" s="192"/>
      <c r="BU263" s="19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192"/>
      <c r="CU263" s="192"/>
      <c r="CV263" s="192"/>
      <c r="CW263" s="192"/>
      <c r="CX263" s="192"/>
      <c r="CY263" s="192"/>
      <c r="CZ263" s="192"/>
      <c r="DA263" s="192"/>
      <c r="DB263" s="192"/>
      <c r="DC263" s="192"/>
      <c r="DD263" s="192"/>
      <c r="DE263" s="192"/>
      <c r="DF263" s="192"/>
      <c r="DG263" s="192"/>
      <c r="DH263" s="192"/>
      <c r="DI263" s="192"/>
      <c r="DJ263" s="192"/>
      <c r="DK263" s="192"/>
      <c r="DL263" s="192"/>
      <c r="DM263" s="192"/>
      <c r="DN263" s="192"/>
      <c r="DO263" s="192"/>
      <c r="DP263" s="192"/>
      <c r="DQ263" s="192"/>
      <c r="DR263" s="192"/>
      <c r="DS263" s="192"/>
      <c r="DT263" s="192"/>
      <c r="DU263" s="192"/>
      <c r="DV263" s="192"/>
      <c r="DW263" s="192"/>
      <c r="DX263" s="192"/>
      <c r="DY263" s="192"/>
      <c r="DZ263" s="192"/>
      <c r="EA263" s="192"/>
      <c r="EB263" s="192"/>
      <c r="EC263" s="192"/>
      <c r="ED263" s="192"/>
      <c r="EE263" s="192"/>
      <c r="EF263" s="192"/>
      <c r="EG263" s="192"/>
      <c r="EH263" s="192"/>
      <c r="EI263" s="192"/>
      <c r="EJ263" s="192"/>
      <c r="EK263" s="192"/>
      <c r="EL263" s="192"/>
      <c r="EM263" s="192"/>
      <c r="EN263" s="192"/>
      <c r="EO263" s="192"/>
      <c r="EP263" s="192"/>
      <c r="EQ263" s="192"/>
    </row>
    <row r="264" spans="1:147" x14ac:dyDescent="0.2">
      <c r="A264" s="192"/>
      <c r="B264" s="192"/>
      <c r="C264" s="192"/>
      <c r="D264" s="192"/>
      <c r="E264" s="192"/>
      <c r="F264" s="192"/>
      <c r="G264" s="192"/>
      <c r="H264" s="192"/>
      <c r="I264" s="192"/>
      <c r="J264" s="192"/>
      <c r="K264" s="192"/>
      <c r="L264" s="192"/>
      <c r="M264" s="192"/>
      <c r="N264" s="192"/>
      <c r="O264" s="192"/>
      <c r="P264" s="192"/>
      <c r="Q264" s="192"/>
      <c r="R264" s="192"/>
      <c r="S264" s="266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  <c r="AG264" s="265"/>
      <c r="AH264" s="265"/>
      <c r="AI264" s="192"/>
      <c r="AJ264" s="192"/>
      <c r="AK264" s="192"/>
      <c r="AL264" s="192"/>
      <c r="AM264" s="192"/>
      <c r="AN264" s="192"/>
      <c r="AO264" s="192"/>
      <c r="AP264" s="192"/>
      <c r="AQ264" s="192"/>
      <c r="AR264" s="192"/>
      <c r="AS264" s="192"/>
      <c r="AT264" s="192"/>
      <c r="AU264" s="192"/>
      <c r="AV264" s="192"/>
      <c r="AW264" s="192"/>
      <c r="AX264" s="192"/>
      <c r="AY264" s="192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192"/>
      <c r="BS264" s="192"/>
      <c r="BT264" s="192"/>
      <c r="BU264" s="19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192"/>
      <c r="CU264" s="192"/>
      <c r="CV264" s="192"/>
      <c r="CW264" s="192"/>
      <c r="CX264" s="192"/>
      <c r="CY264" s="192"/>
      <c r="CZ264" s="192"/>
      <c r="DA264" s="192"/>
      <c r="DB264" s="192"/>
      <c r="DC264" s="192"/>
      <c r="DD264" s="192"/>
      <c r="DE264" s="192"/>
      <c r="DF264" s="192"/>
      <c r="DG264" s="192"/>
      <c r="DH264" s="192"/>
      <c r="DI264" s="192"/>
      <c r="DJ264" s="192"/>
      <c r="DK264" s="192"/>
      <c r="DL264" s="192"/>
      <c r="DM264" s="192"/>
      <c r="DN264" s="192"/>
      <c r="DO264" s="192"/>
      <c r="DP264" s="192"/>
      <c r="DQ264" s="192"/>
      <c r="DR264" s="192"/>
      <c r="DS264" s="192"/>
      <c r="DT264" s="192"/>
      <c r="DU264" s="192"/>
      <c r="DV264" s="192"/>
      <c r="DW264" s="192"/>
      <c r="DX264" s="192"/>
      <c r="DY264" s="192"/>
      <c r="DZ264" s="192"/>
      <c r="EA264" s="192"/>
      <c r="EB264" s="192"/>
      <c r="EC264" s="192"/>
      <c r="ED264" s="192"/>
      <c r="EE264" s="192"/>
      <c r="EF264" s="192"/>
      <c r="EG264" s="192"/>
      <c r="EH264" s="192"/>
      <c r="EI264" s="192"/>
      <c r="EJ264" s="192"/>
      <c r="EK264" s="192"/>
      <c r="EL264" s="192"/>
      <c r="EM264" s="192"/>
      <c r="EN264" s="192"/>
      <c r="EO264" s="192"/>
      <c r="EP264" s="192"/>
      <c r="EQ264" s="192"/>
    </row>
    <row r="265" spans="1:147" x14ac:dyDescent="0.2">
      <c r="A265" s="192"/>
      <c r="B265" s="192"/>
      <c r="C265" s="192"/>
      <c r="D265" s="192"/>
      <c r="E265" s="192"/>
      <c r="F265" s="192"/>
      <c r="G265" s="192"/>
      <c r="H265" s="192"/>
      <c r="I265" s="192"/>
      <c r="J265" s="192"/>
      <c r="K265" s="192"/>
      <c r="L265" s="192"/>
      <c r="M265" s="192"/>
      <c r="N265" s="192"/>
      <c r="O265" s="192"/>
      <c r="P265" s="192"/>
      <c r="Q265" s="192"/>
      <c r="R265" s="192"/>
      <c r="S265" s="266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  <c r="AG265" s="265"/>
      <c r="AH265" s="265"/>
      <c r="AI265" s="192"/>
      <c r="AJ265" s="192"/>
      <c r="AK265" s="192"/>
      <c r="AL265" s="192"/>
      <c r="AM265" s="192"/>
      <c r="AN265" s="192"/>
      <c r="AO265" s="192"/>
      <c r="AP265" s="192"/>
      <c r="AQ265" s="192"/>
      <c r="AR265" s="192"/>
      <c r="AS265" s="192"/>
      <c r="AT265" s="192"/>
      <c r="AU265" s="192"/>
      <c r="AV265" s="192"/>
      <c r="AW265" s="192"/>
      <c r="AX265" s="192"/>
      <c r="AY265" s="192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192"/>
      <c r="BS265" s="192"/>
      <c r="BT265" s="192"/>
      <c r="BU265" s="19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192"/>
      <c r="CU265" s="192"/>
      <c r="CV265" s="192"/>
      <c r="CW265" s="192"/>
      <c r="CX265" s="192"/>
      <c r="CY265" s="192"/>
      <c r="CZ265" s="192"/>
      <c r="DA265" s="192"/>
      <c r="DB265" s="192"/>
      <c r="DC265" s="192"/>
      <c r="DD265" s="192"/>
      <c r="DE265" s="192"/>
      <c r="DF265" s="192"/>
      <c r="DG265" s="192"/>
      <c r="DH265" s="192"/>
      <c r="DI265" s="192"/>
      <c r="DJ265" s="192"/>
      <c r="DK265" s="192"/>
      <c r="DL265" s="192"/>
      <c r="DM265" s="192"/>
      <c r="DN265" s="192"/>
      <c r="DO265" s="192"/>
      <c r="DP265" s="192"/>
      <c r="DQ265" s="192"/>
      <c r="DR265" s="192"/>
      <c r="DS265" s="192"/>
      <c r="DT265" s="192"/>
      <c r="DU265" s="192"/>
      <c r="DV265" s="192"/>
      <c r="DW265" s="192"/>
      <c r="DX265" s="192"/>
      <c r="DY265" s="192"/>
      <c r="DZ265" s="192"/>
      <c r="EA265" s="192"/>
      <c r="EB265" s="192"/>
      <c r="EC265" s="192"/>
      <c r="ED265" s="192"/>
      <c r="EE265" s="192"/>
      <c r="EF265" s="192"/>
      <c r="EG265" s="192"/>
      <c r="EH265" s="192"/>
      <c r="EI265" s="192"/>
      <c r="EJ265" s="192"/>
      <c r="EK265" s="192"/>
      <c r="EL265" s="192"/>
      <c r="EM265" s="192"/>
      <c r="EN265" s="192"/>
      <c r="EO265" s="192"/>
      <c r="EP265" s="192"/>
      <c r="EQ265" s="192"/>
    </row>
    <row r="266" spans="1:147" x14ac:dyDescent="0.2">
      <c r="A266" s="192"/>
      <c r="B266" s="192"/>
      <c r="C266" s="192"/>
      <c r="D266" s="192"/>
      <c r="E266" s="192"/>
      <c r="F266" s="192"/>
      <c r="G266" s="192"/>
      <c r="H266" s="192"/>
      <c r="I266" s="192"/>
      <c r="J266" s="192"/>
      <c r="K266" s="192"/>
      <c r="L266" s="192"/>
      <c r="M266" s="192"/>
      <c r="N266" s="192"/>
      <c r="O266" s="192"/>
      <c r="P266" s="192"/>
      <c r="Q266" s="192"/>
      <c r="R266" s="192"/>
      <c r="S266" s="266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  <c r="AG266" s="265"/>
      <c r="AH266" s="265"/>
      <c r="AI266" s="192"/>
      <c r="AJ266" s="192"/>
      <c r="AK266" s="192"/>
      <c r="AL266" s="192"/>
      <c r="AM266" s="192"/>
      <c r="AN266" s="192"/>
      <c r="AO266" s="192"/>
      <c r="AP266" s="192"/>
      <c r="AQ266" s="192"/>
      <c r="AR266" s="192"/>
      <c r="AS266" s="192"/>
      <c r="AT266" s="192"/>
      <c r="AU266" s="192"/>
      <c r="AV266" s="192"/>
      <c r="AW266" s="192"/>
      <c r="AX266" s="192"/>
      <c r="AY266" s="192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192"/>
      <c r="BS266" s="192"/>
      <c r="BT266" s="192"/>
      <c r="BU266" s="19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192"/>
      <c r="CU266" s="192"/>
      <c r="CV266" s="192"/>
      <c r="CW266" s="192"/>
      <c r="CX266" s="192"/>
      <c r="CY266" s="192"/>
      <c r="CZ266" s="192"/>
      <c r="DA266" s="192"/>
      <c r="DB266" s="192"/>
      <c r="DC266" s="192"/>
      <c r="DD266" s="192"/>
      <c r="DE266" s="192"/>
      <c r="DF266" s="192"/>
      <c r="DG266" s="192"/>
      <c r="DH266" s="192"/>
      <c r="DI266" s="192"/>
      <c r="DJ266" s="192"/>
      <c r="DK266" s="192"/>
      <c r="DL266" s="192"/>
      <c r="DM266" s="192"/>
      <c r="DN266" s="192"/>
      <c r="DO266" s="192"/>
      <c r="DP266" s="192"/>
      <c r="DQ266" s="192"/>
      <c r="DR266" s="192"/>
      <c r="DS266" s="192"/>
      <c r="DT266" s="192"/>
      <c r="DU266" s="192"/>
      <c r="DV266" s="192"/>
      <c r="DW266" s="192"/>
      <c r="DX266" s="192"/>
      <c r="DY266" s="192"/>
      <c r="DZ266" s="192"/>
      <c r="EA266" s="192"/>
      <c r="EB266" s="192"/>
      <c r="EC266" s="192"/>
      <c r="ED266" s="192"/>
      <c r="EE266" s="192"/>
      <c r="EF266" s="192"/>
      <c r="EG266" s="192"/>
      <c r="EH266" s="192"/>
      <c r="EI266" s="192"/>
      <c r="EJ266" s="192"/>
      <c r="EK266" s="192"/>
      <c r="EL266" s="192"/>
      <c r="EM266" s="192"/>
      <c r="EN266" s="192"/>
      <c r="EO266" s="192"/>
      <c r="EP266" s="192"/>
      <c r="EQ266" s="192"/>
    </row>
    <row r="267" spans="1:147" x14ac:dyDescent="0.2">
      <c r="A267" s="192"/>
      <c r="B267" s="192"/>
      <c r="C267" s="192"/>
      <c r="D267" s="192"/>
      <c r="E267" s="192"/>
      <c r="F267" s="192"/>
      <c r="G267" s="192"/>
      <c r="H267" s="192"/>
      <c r="I267" s="192"/>
      <c r="J267" s="192"/>
      <c r="K267" s="192"/>
      <c r="L267" s="192"/>
      <c r="M267" s="192"/>
      <c r="N267" s="192"/>
      <c r="O267" s="192"/>
      <c r="P267" s="192"/>
      <c r="Q267" s="192"/>
      <c r="R267" s="192"/>
      <c r="S267" s="266"/>
      <c r="T267" s="265"/>
      <c r="U267" s="265"/>
      <c r="V267" s="265"/>
      <c r="W267" s="265"/>
      <c r="X267" s="265"/>
      <c r="Y267" s="265"/>
      <c r="Z267" s="265"/>
      <c r="AA267" s="265"/>
      <c r="AB267" s="265"/>
      <c r="AC267" s="265"/>
      <c r="AD267" s="265"/>
      <c r="AE267" s="265"/>
      <c r="AF267" s="265"/>
      <c r="AG267" s="265"/>
      <c r="AH267" s="265"/>
      <c r="AI267" s="192"/>
      <c r="AJ267" s="192"/>
      <c r="AK267" s="192"/>
      <c r="AL267" s="192"/>
      <c r="AM267" s="192"/>
      <c r="AN267" s="192"/>
      <c r="AO267" s="192"/>
      <c r="AP267" s="192"/>
      <c r="AQ267" s="192"/>
      <c r="AR267" s="192"/>
      <c r="AS267" s="192"/>
      <c r="AT267" s="192"/>
      <c r="AU267" s="192"/>
      <c r="AV267" s="192"/>
      <c r="AW267" s="192"/>
      <c r="AX267" s="192"/>
      <c r="AY267" s="192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192"/>
      <c r="BS267" s="192"/>
      <c r="BT267" s="192"/>
      <c r="BU267" s="19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92"/>
      <c r="CU267" s="192"/>
      <c r="CV267" s="192"/>
      <c r="CW267" s="192"/>
      <c r="CX267" s="192"/>
      <c r="CY267" s="192"/>
      <c r="CZ267" s="192"/>
      <c r="DA267" s="192"/>
      <c r="DB267" s="192"/>
      <c r="DC267" s="192"/>
      <c r="DD267" s="192"/>
      <c r="DE267" s="192"/>
      <c r="DF267" s="192"/>
      <c r="DG267" s="192"/>
      <c r="DH267" s="192"/>
      <c r="DI267" s="192"/>
      <c r="DJ267" s="192"/>
      <c r="DK267" s="192"/>
      <c r="DL267" s="192"/>
      <c r="DM267" s="192"/>
      <c r="DN267" s="192"/>
      <c r="DO267" s="192"/>
      <c r="DP267" s="192"/>
      <c r="DQ267" s="192"/>
      <c r="DR267" s="192"/>
      <c r="DS267" s="192"/>
      <c r="DT267" s="192"/>
      <c r="DU267" s="192"/>
      <c r="DV267" s="192"/>
      <c r="DW267" s="192"/>
      <c r="DX267" s="192"/>
      <c r="DY267" s="192"/>
      <c r="DZ267" s="192"/>
      <c r="EA267" s="192"/>
      <c r="EB267" s="192"/>
      <c r="EC267" s="192"/>
      <c r="ED267" s="192"/>
      <c r="EE267" s="192"/>
      <c r="EF267" s="192"/>
      <c r="EG267" s="192"/>
      <c r="EH267" s="192"/>
      <c r="EI267" s="192"/>
      <c r="EJ267" s="192"/>
      <c r="EK267" s="192"/>
      <c r="EL267" s="192"/>
      <c r="EM267" s="192"/>
      <c r="EN267" s="192"/>
      <c r="EO267" s="192"/>
      <c r="EP267" s="192"/>
      <c r="EQ267" s="192"/>
    </row>
    <row r="268" spans="1:147" x14ac:dyDescent="0.2">
      <c r="A268" s="192"/>
      <c r="B268" s="192"/>
      <c r="C268" s="192"/>
      <c r="D268" s="192"/>
      <c r="E268" s="192"/>
      <c r="F268" s="192"/>
      <c r="G268" s="192"/>
      <c r="H268" s="192"/>
      <c r="I268" s="192"/>
      <c r="J268" s="192"/>
      <c r="K268" s="192"/>
      <c r="L268" s="192"/>
      <c r="M268" s="192"/>
      <c r="N268" s="192"/>
      <c r="O268" s="192"/>
      <c r="P268" s="192"/>
      <c r="Q268" s="192"/>
      <c r="R268" s="192"/>
      <c r="S268" s="266"/>
      <c r="T268" s="265"/>
      <c r="U268" s="265"/>
      <c r="V268" s="265"/>
      <c r="W268" s="265"/>
      <c r="X268" s="265"/>
      <c r="Y268" s="265"/>
      <c r="Z268" s="265"/>
      <c r="AA268" s="265"/>
      <c r="AB268" s="265"/>
      <c r="AC268" s="265"/>
      <c r="AD268" s="265"/>
      <c r="AE268" s="265"/>
      <c r="AF268" s="265"/>
      <c r="AG268" s="265"/>
      <c r="AH268" s="265"/>
      <c r="AI268" s="192"/>
      <c r="AJ268" s="192"/>
      <c r="AK268" s="192"/>
      <c r="AL268" s="192"/>
      <c r="AM268" s="192"/>
      <c r="AN268" s="192"/>
      <c r="AO268" s="192"/>
      <c r="AP268" s="192"/>
      <c r="AQ268" s="192"/>
      <c r="AR268" s="192"/>
      <c r="AS268" s="192"/>
      <c r="AT268" s="192"/>
      <c r="AU268" s="192"/>
      <c r="AV268" s="192"/>
      <c r="AW268" s="192"/>
      <c r="AX268" s="192"/>
      <c r="AY268" s="192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192"/>
      <c r="BS268" s="192"/>
      <c r="BT268" s="192"/>
      <c r="BU268" s="19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192"/>
      <c r="CU268" s="192"/>
      <c r="CV268" s="192"/>
      <c r="CW268" s="192"/>
      <c r="CX268" s="192"/>
      <c r="CY268" s="192"/>
      <c r="CZ268" s="192"/>
      <c r="DA268" s="192"/>
      <c r="DB268" s="192"/>
      <c r="DC268" s="192"/>
      <c r="DD268" s="192"/>
      <c r="DE268" s="192"/>
      <c r="DF268" s="192"/>
      <c r="DG268" s="192"/>
      <c r="DH268" s="192"/>
      <c r="DI268" s="192"/>
      <c r="DJ268" s="192"/>
      <c r="DK268" s="192"/>
      <c r="DL268" s="192"/>
      <c r="DM268" s="192"/>
      <c r="DN268" s="192"/>
      <c r="DO268" s="192"/>
      <c r="DP268" s="192"/>
      <c r="DQ268" s="192"/>
      <c r="DR268" s="192"/>
      <c r="DS268" s="192"/>
      <c r="DT268" s="192"/>
      <c r="DU268" s="192"/>
      <c r="DV268" s="192"/>
      <c r="DW268" s="192"/>
      <c r="DX268" s="192"/>
      <c r="DY268" s="192"/>
      <c r="DZ268" s="192"/>
      <c r="EA268" s="192"/>
      <c r="EB268" s="192"/>
      <c r="EC268" s="192"/>
      <c r="ED268" s="192"/>
      <c r="EE268" s="192"/>
      <c r="EF268" s="192"/>
      <c r="EG268" s="192"/>
      <c r="EH268" s="192"/>
      <c r="EI268" s="192"/>
      <c r="EJ268" s="192"/>
      <c r="EK268" s="192"/>
      <c r="EL268" s="192"/>
      <c r="EM268" s="192"/>
      <c r="EN268" s="192"/>
      <c r="EO268" s="192"/>
      <c r="EP268" s="192"/>
      <c r="EQ268" s="192"/>
    </row>
    <row r="269" spans="1:147" x14ac:dyDescent="0.2">
      <c r="A269" s="192"/>
      <c r="B269" s="192"/>
      <c r="C269" s="192"/>
      <c r="D269" s="192"/>
      <c r="E269" s="192"/>
      <c r="F269" s="192"/>
      <c r="G269" s="192"/>
      <c r="H269" s="192"/>
      <c r="I269" s="192"/>
      <c r="J269" s="192"/>
      <c r="K269" s="192"/>
      <c r="L269" s="192"/>
      <c r="M269" s="192"/>
      <c r="N269" s="192"/>
      <c r="O269" s="192"/>
      <c r="P269" s="192"/>
      <c r="Q269" s="192"/>
      <c r="R269" s="192"/>
      <c r="S269" s="266"/>
      <c r="T269" s="265"/>
      <c r="U269" s="265"/>
      <c r="V269" s="265"/>
      <c r="W269" s="265"/>
      <c r="X269" s="265"/>
      <c r="Y269" s="265"/>
      <c r="Z269" s="265"/>
      <c r="AA269" s="265"/>
      <c r="AB269" s="265"/>
      <c r="AC269" s="265"/>
      <c r="AD269" s="265"/>
      <c r="AE269" s="265"/>
      <c r="AF269" s="265"/>
      <c r="AG269" s="265"/>
      <c r="AH269" s="265"/>
      <c r="AI269" s="192"/>
      <c r="AJ269" s="192"/>
      <c r="AK269" s="192"/>
      <c r="AL269" s="192"/>
      <c r="AM269" s="192"/>
      <c r="AN269" s="192"/>
      <c r="AO269" s="192"/>
      <c r="AP269" s="192"/>
      <c r="AQ269" s="192"/>
      <c r="AR269" s="192"/>
      <c r="AS269" s="192"/>
      <c r="AT269" s="192"/>
      <c r="AU269" s="192"/>
      <c r="AV269" s="192"/>
      <c r="AW269" s="192"/>
      <c r="AX269" s="192"/>
      <c r="AY269" s="192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192"/>
      <c r="BS269" s="192"/>
      <c r="BT269" s="192"/>
      <c r="BU269" s="19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192"/>
      <c r="CU269" s="192"/>
      <c r="CV269" s="192"/>
      <c r="CW269" s="192"/>
      <c r="CX269" s="192"/>
      <c r="CY269" s="192"/>
      <c r="CZ269" s="192"/>
      <c r="DA269" s="192"/>
      <c r="DB269" s="192"/>
      <c r="DC269" s="192"/>
      <c r="DD269" s="192"/>
      <c r="DE269" s="192"/>
      <c r="DF269" s="192"/>
      <c r="DG269" s="192"/>
      <c r="DH269" s="192"/>
      <c r="DI269" s="192"/>
      <c r="DJ269" s="192"/>
      <c r="DK269" s="192"/>
      <c r="DL269" s="192"/>
      <c r="DM269" s="192"/>
      <c r="DN269" s="192"/>
      <c r="DO269" s="192"/>
      <c r="DP269" s="192"/>
      <c r="DQ269" s="192"/>
      <c r="DR269" s="192"/>
      <c r="DS269" s="192"/>
      <c r="DT269" s="192"/>
      <c r="DU269" s="192"/>
      <c r="DV269" s="192"/>
      <c r="DW269" s="192"/>
      <c r="DX269" s="192"/>
      <c r="DY269" s="192"/>
      <c r="DZ269" s="192"/>
      <c r="EA269" s="192"/>
      <c r="EB269" s="192"/>
      <c r="EC269" s="192"/>
      <c r="ED269" s="192"/>
      <c r="EE269" s="192"/>
      <c r="EF269" s="192"/>
      <c r="EG269" s="192"/>
      <c r="EH269" s="192"/>
      <c r="EI269" s="192"/>
      <c r="EJ269" s="192"/>
      <c r="EK269" s="192"/>
      <c r="EL269" s="192"/>
      <c r="EM269" s="192"/>
      <c r="EN269" s="192"/>
      <c r="EO269" s="192"/>
      <c r="EP269" s="192"/>
      <c r="EQ269" s="192"/>
    </row>
    <row r="270" spans="1:147" x14ac:dyDescent="0.2">
      <c r="A270" s="192"/>
      <c r="B270" s="192"/>
      <c r="C270" s="192"/>
      <c r="D270" s="192"/>
      <c r="E270" s="192"/>
      <c r="F270" s="192"/>
      <c r="G270" s="192"/>
      <c r="H270" s="192"/>
      <c r="I270" s="192"/>
      <c r="J270" s="192"/>
      <c r="K270" s="192"/>
      <c r="L270" s="192"/>
      <c r="M270" s="192"/>
      <c r="N270" s="192"/>
      <c r="O270" s="192"/>
      <c r="P270" s="192"/>
      <c r="Q270" s="192"/>
      <c r="R270" s="192"/>
      <c r="S270" s="266"/>
      <c r="T270" s="265"/>
      <c r="U270" s="265"/>
      <c r="V270" s="265"/>
      <c r="W270" s="265"/>
      <c r="X270" s="265"/>
      <c r="Y270" s="265"/>
      <c r="Z270" s="265"/>
      <c r="AA270" s="265"/>
      <c r="AB270" s="265"/>
      <c r="AC270" s="265"/>
      <c r="AD270" s="265"/>
      <c r="AE270" s="265"/>
      <c r="AF270" s="265"/>
      <c r="AG270" s="265"/>
      <c r="AH270" s="265"/>
      <c r="AI270" s="192"/>
      <c r="AJ270" s="192"/>
      <c r="AK270" s="192"/>
      <c r="AL270" s="192"/>
      <c r="AM270" s="192"/>
      <c r="AN270" s="192"/>
      <c r="AO270" s="192"/>
      <c r="AP270" s="192"/>
      <c r="AQ270" s="192"/>
      <c r="AR270" s="192"/>
      <c r="AS270" s="192"/>
      <c r="AT270" s="192"/>
      <c r="AU270" s="192"/>
      <c r="AV270" s="192"/>
      <c r="AW270" s="192"/>
      <c r="AX270" s="192"/>
      <c r="AY270" s="192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192"/>
      <c r="BS270" s="192"/>
      <c r="BT270" s="192"/>
      <c r="BU270" s="19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192"/>
      <c r="CU270" s="192"/>
      <c r="CV270" s="192"/>
      <c r="CW270" s="192"/>
      <c r="CX270" s="192"/>
      <c r="CY270" s="192"/>
      <c r="CZ270" s="192"/>
      <c r="DA270" s="192"/>
      <c r="DB270" s="192"/>
      <c r="DC270" s="192"/>
      <c r="DD270" s="192"/>
      <c r="DE270" s="192"/>
      <c r="DF270" s="192"/>
      <c r="DG270" s="192"/>
      <c r="DH270" s="192"/>
      <c r="DI270" s="192"/>
      <c r="DJ270" s="192"/>
      <c r="DK270" s="192"/>
      <c r="DL270" s="192"/>
      <c r="DM270" s="192"/>
      <c r="DN270" s="192"/>
      <c r="DO270" s="192"/>
      <c r="DP270" s="192"/>
      <c r="DQ270" s="192"/>
      <c r="DR270" s="192"/>
      <c r="DS270" s="192"/>
      <c r="DT270" s="192"/>
      <c r="DU270" s="192"/>
      <c r="DV270" s="192"/>
      <c r="DW270" s="192"/>
      <c r="DX270" s="192"/>
      <c r="DY270" s="192"/>
      <c r="DZ270" s="192"/>
      <c r="EA270" s="192"/>
      <c r="EB270" s="192"/>
      <c r="EC270" s="192"/>
      <c r="ED270" s="192"/>
      <c r="EE270" s="192"/>
      <c r="EF270" s="192"/>
      <c r="EG270" s="192"/>
      <c r="EH270" s="192"/>
      <c r="EI270" s="192"/>
      <c r="EJ270" s="192"/>
      <c r="EK270" s="192"/>
      <c r="EL270" s="192"/>
      <c r="EM270" s="192"/>
      <c r="EN270" s="192"/>
      <c r="EO270" s="192"/>
      <c r="EP270" s="192"/>
      <c r="EQ270" s="192"/>
    </row>
    <row r="271" spans="1:147" x14ac:dyDescent="0.2">
      <c r="A271" s="192"/>
      <c r="B271" s="192"/>
      <c r="C271" s="192"/>
      <c r="D271" s="192"/>
      <c r="E271" s="192"/>
      <c r="F271" s="192"/>
      <c r="G271" s="192"/>
      <c r="H271" s="192"/>
      <c r="I271" s="192"/>
      <c r="J271" s="192"/>
      <c r="K271" s="192"/>
      <c r="L271" s="192"/>
      <c r="M271" s="192"/>
      <c r="N271" s="192"/>
      <c r="O271" s="192"/>
      <c r="P271" s="192"/>
      <c r="Q271" s="192"/>
      <c r="R271" s="192"/>
      <c r="S271" s="266"/>
      <c r="T271" s="265"/>
      <c r="U271" s="265"/>
      <c r="V271" s="265"/>
      <c r="W271" s="265"/>
      <c r="X271" s="265"/>
      <c r="Y271" s="265"/>
      <c r="Z271" s="265"/>
      <c r="AA271" s="265"/>
      <c r="AB271" s="265"/>
      <c r="AC271" s="265"/>
      <c r="AD271" s="265"/>
      <c r="AE271" s="265"/>
      <c r="AF271" s="265"/>
      <c r="AG271" s="265"/>
      <c r="AH271" s="265"/>
      <c r="AI271" s="192"/>
      <c r="AJ271" s="192"/>
      <c r="AK271" s="192"/>
      <c r="AL271" s="192"/>
      <c r="AM271" s="192"/>
      <c r="AN271" s="192"/>
      <c r="AO271" s="192"/>
      <c r="AP271" s="192"/>
      <c r="AQ271" s="192"/>
      <c r="AR271" s="192"/>
      <c r="AS271" s="192"/>
      <c r="AT271" s="192"/>
      <c r="AU271" s="192"/>
      <c r="AV271" s="192"/>
      <c r="AW271" s="192"/>
      <c r="AX271" s="192"/>
      <c r="AY271" s="192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192"/>
      <c r="BS271" s="192"/>
      <c r="BT271" s="192"/>
      <c r="BU271" s="19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192"/>
      <c r="CU271" s="192"/>
      <c r="CV271" s="192"/>
      <c r="CW271" s="192"/>
      <c r="CX271" s="192"/>
      <c r="CY271" s="192"/>
      <c r="CZ271" s="192"/>
      <c r="DA271" s="192"/>
      <c r="DB271" s="192"/>
      <c r="DC271" s="192"/>
      <c r="DD271" s="192"/>
      <c r="DE271" s="192"/>
      <c r="DF271" s="192"/>
      <c r="DG271" s="192"/>
      <c r="DH271" s="192"/>
      <c r="DI271" s="192"/>
      <c r="DJ271" s="192"/>
      <c r="DK271" s="192"/>
      <c r="DL271" s="192"/>
      <c r="DM271" s="192"/>
      <c r="DN271" s="192"/>
      <c r="DO271" s="192"/>
      <c r="DP271" s="192"/>
      <c r="DQ271" s="192"/>
      <c r="DR271" s="192"/>
      <c r="DS271" s="192"/>
      <c r="DT271" s="192"/>
      <c r="DU271" s="192"/>
      <c r="DV271" s="192"/>
      <c r="DW271" s="192"/>
      <c r="DX271" s="192"/>
      <c r="DY271" s="192"/>
      <c r="DZ271" s="192"/>
      <c r="EA271" s="192"/>
      <c r="EB271" s="192"/>
      <c r="EC271" s="192"/>
      <c r="ED271" s="192"/>
      <c r="EE271" s="192"/>
      <c r="EF271" s="192"/>
      <c r="EG271" s="192"/>
      <c r="EH271" s="192"/>
      <c r="EI271" s="192"/>
      <c r="EJ271" s="192"/>
      <c r="EK271" s="192"/>
      <c r="EL271" s="192"/>
      <c r="EM271" s="192"/>
      <c r="EN271" s="192"/>
      <c r="EO271" s="192"/>
      <c r="EP271" s="192"/>
      <c r="EQ271" s="192"/>
    </row>
    <row r="272" spans="1:147" x14ac:dyDescent="0.2">
      <c r="A272" s="192"/>
      <c r="B272" s="192"/>
      <c r="C272" s="192"/>
      <c r="D272" s="192"/>
      <c r="E272" s="192"/>
      <c r="F272" s="192"/>
      <c r="G272" s="192"/>
      <c r="H272" s="192"/>
      <c r="I272" s="192"/>
      <c r="J272" s="192"/>
      <c r="K272" s="192"/>
      <c r="L272" s="192"/>
      <c r="M272" s="192"/>
      <c r="N272" s="192"/>
      <c r="O272" s="192"/>
      <c r="P272" s="192"/>
      <c r="Q272" s="192"/>
      <c r="R272" s="192"/>
      <c r="S272" s="266"/>
      <c r="T272" s="265"/>
      <c r="U272" s="265"/>
      <c r="V272" s="265"/>
      <c r="W272" s="265"/>
      <c r="X272" s="265"/>
      <c r="Y272" s="265"/>
      <c r="Z272" s="265"/>
      <c r="AA272" s="265"/>
      <c r="AB272" s="265"/>
      <c r="AC272" s="265"/>
      <c r="AD272" s="265"/>
      <c r="AE272" s="265"/>
      <c r="AF272" s="265"/>
      <c r="AG272" s="265"/>
      <c r="AH272" s="265"/>
      <c r="AI272" s="192"/>
      <c r="AJ272" s="192"/>
      <c r="AK272" s="192"/>
      <c r="AL272" s="192"/>
      <c r="AM272" s="192"/>
      <c r="AN272" s="192"/>
      <c r="AO272" s="192"/>
      <c r="AP272" s="192"/>
      <c r="AQ272" s="192"/>
      <c r="AR272" s="192"/>
      <c r="AS272" s="192"/>
      <c r="AT272" s="192"/>
      <c r="AU272" s="192"/>
      <c r="AV272" s="192"/>
      <c r="AW272" s="192"/>
      <c r="AX272" s="192"/>
      <c r="AY272" s="192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192"/>
      <c r="BS272" s="192"/>
      <c r="BT272" s="192"/>
      <c r="BU272" s="19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192"/>
      <c r="CU272" s="192"/>
      <c r="CV272" s="192"/>
      <c r="CW272" s="192"/>
      <c r="CX272" s="192"/>
      <c r="CY272" s="192"/>
      <c r="CZ272" s="192"/>
      <c r="DA272" s="192"/>
      <c r="DB272" s="192"/>
      <c r="DC272" s="192"/>
      <c r="DD272" s="192"/>
      <c r="DE272" s="192"/>
      <c r="DF272" s="192"/>
      <c r="DG272" s="192"/>
      <c r="DH272" s="192"/>
      <c r="DI272" s="192"/>
      <c r="DJ272" s="192"/>
      <c r="DK272" s="192"/>
      <c r="DL272" s="192"/>
      <c r="DM272" s="192"/>
      <c r="DN272" s="192"/>
      <c r="DO272" s="192"/>
      <c r="DP272" s="192"/>
      <c r="DQ272" s="192"/>
      <c r="DR272" s="192"/>
      <c r="DS272" s="192"/>
      <c r="DT272" s="192"/>
      <c r="DU272" s="192"/>
      <c r="DV272" s="192"/>
      <c r="DW272" s="192"/>
      <c r="DX272" s="192"/>
      <c r="DY272" s="192"/>
      <c r="DZ272" s="192"/>
      <c r="EA272" s="192"/>
      <c r="EB272" s="192"/>
      <c r="EC272" s="192"/>
      <c r="ED272" s="192"/>
      <c r="EE272" s="192"/>
      <c r="EF272" s="192"/>
      <c r="EG272" s="192"/>
      <c r="EH272" s="192"/>
      <c r="EI272" s="192"/>
      <c r="EJ272" s="192"/>
      <c r="EK272" s="192"/>
      <c r="EL272" s="192"/>
      <c r="EM272" s="192"/>
      <c r="EN272" s="192"/>
      <c r="EO272" s="192"/>
      <c r="EP272" s="192"/>
      <c r="EQ272" s="192"/>
    </row>
    <row r="273" spans="1:147" x14ac:dyDescent="0.2">
      <c r="A273" s="192"/>
      <c r="B273" s="192"/>
      <c r="C273" s="192"/>
      <c r="D273" s="192"/>
      <c r="E273" s="192"/>
      <c r="F273" s="192"/>
      <c r="G273" s="192"/>
      <c r="H273" s="192"/>
      <c r="I273" s="192"/>
      <c r="J273" s="192"/>
      <c r="K273" s="192"/>
      <c r="L273" s="192"/>
      <c r="M273" s="192"/>
      <c r="N273" s="192"/>
      <c r="O273" s="192"/>
      <c r="P273" s="192"/>
      <c r="Q273" s="192"/>
      <c r="R273" s="192"/>
      <c r="S273" s="266"/>
      <c r="T273" s="265"/>
      <c r="U273" s="265"/>
      <c r="V273" s="265"/>
      <c r="W273" s="265"/>
      <c r="X273" s="265"/>
      <c r="Y273" s="265"/>
      <c r="Z273" s="265"/>
      <c r="AA273" s="265"/>
      <c r="AB273" s="265"/>
      <c r="AC273" s="265"/>
      <c r="AD273" s="265"/>
      <c r="AE273" s="265"/>
      <c r="AF273" s="265"/>
      <c r="AG273" s="265"/>
      <c r="AH273" s="265"/>
      <c r="AI273" s="192"/>
      <c r="AJ273" s="192"/>
      <c r="AK273" s="192"/>
      <c r="AL273" s="192"/>
      <c r="AM273" s="192"/>
      <c r="AN273" s="192"/>
      <c r="AO273" s="192"/>
      <c r="AP273" s="192"/>
      <c r="AQ273" s="192"/>
      <c r="AR273" s="192"/>
      <c r="AS273" s="192"/>
      <c r="AT273" s="192"/>
      <c r="AU273" s="192"/>
      <c r="AV273" s="192"/>
      <c r="AW273" s="192"/>
      <c r="AX273" s="192"/>
      <c r="AY273" s="192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192"/>
      <c r="BS273" s="192"/>
      <c r="BT273" s="192"/>
      <c r="BU273" s="19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192"/>
      <c r="CU273" s="192"/>
      <c r="CV273" s="192"/>
      <c r="CW273" s="192"/>
      <c r="CX273" s="192"/>
      <c r="CY273" s="192"/>
      <c r="CZ273" s="192"/>
      <c r="DA273" s="192"/>
      <c r="DB273" s="192"/>
      <c r="DC273" s="192"/>
      <c r="DD273" s="192"/>
      <c r="DE273" s="192"/>
      <c r="DF273" s="192"/>
      <c r="DG273" s="192"/>
      <c r="DH273" s="192"/>
      <c r="DI273" s="192"/>
      <c r="DJ273" s="192"/>
      <c r="DK273" s="192"/>
      <c r="DL273" s="192"/>
      <c r="DM273" s="192"/>
      <c r="DN273" s="192"/>
      <c r="DO273" s="192"/>
      <c r="DP273" s="192"/>
      <c r="DQ273" s="192"/>
      <c r="DR273" s="192"/>
      <c r="DS273" s="192"/>
      <c r="DT273" s="192"/>
      <c r="DU273" s="192"/>
      <c r="DV273" s="192"/>
      <c r="DW273" s="192"/>
      <c r="DX273" s="192"/>
      <c r="DY273" s="192"/>
      <c r="DZ273" s="192"/>
      <c r="EA273" s="192"/>
      <c r="EB273" s="192"/>
      <c r="EC273" s="192"/>
      <c r="ED273" s="192"/>
      <c r="EE273" s="192"/>
      <c r="EF273" s="192"/>
      <c r="EG273" s="192"/>
      <c r="EH273" s="192"/>
      <c r="EI273" s="192"/>
      <c r="EJ273" s="192"/>
      <c r="EK273" s="192"/>
      <c r="EL273" s="192"/>
      <c r="EM273" s="192"/>
      <c r="EN273" s="192"/>
      <c r="EO273" s="192"/>
      <c r="EP273" s="192"/>
      <c r="EQ273" s="192"/>
    </row>
    <row r="274" spans="1:147" x14ac:dyDescent="0.2">
      <c r="A274" s="192"/>
      <c r="B274" s="192"/>
      <c r="C274" s="192"/>
      <c r="D274" s="192"/>
      <c r="E274" s="192"/>
      <c r="F274" s="192"/>
      <c r="G274" s="192"/>
      <c r="H274" s="192"/>
      <c r="I274" s="192"/>
      <c r="J274" s="192"/>
      <c r="K274" s="192"/>
      <c r="L274" s="192"/>
      <c r="M274" s="192"/>
      <c r="N274" s="192"/>
      <c r="O274" s="192"/>
      <c r="P274" s="192"/>
      <c r="Q274" s="192"/>
      <c r="R274" s="192"/>
      <c r="S274" s="266"/>
      <c r="T274" s="265"/>
      <c r="U274" s="265"/>
      <c r="V274" s="265"/>
      <c r="W274" s="265"/>
      <c r="X274" s="265"/>
      <c r="Y274" s="265"/>
      <c r="Z274" s="265"/>
      <c r="AA274" s="265"/>
      <c r="AB274" s="265"/>
      <c r="AC274" s="265"/>
      <c r="AD274" s="265"/>
      <c r="AE274" s="265"/>
      <c r="AF274" s="265"/>
      <c r="AG274" s="265"/>
      <c r="AH274" s="265"/>
      <c r="AI274" s="192"/>
      <c r="AJ274" s="192"/>
      <c r="AK274" s="192"/>
      <c r="AL274" s="192"/>
      <c r="AM274" s="192"/>
      <c r="AN274" s="192"/>
      <c r="AO274" s="192"/>
      <c r="AP274" s="192"/>
      <c r="AQ274" s="192"/>
      <c r="AR274" s="192"/>
      <c r="AS274" s="192"/>
      <c r="AT274" s="192"/>
      <c r="AU274" s="192"/>
      <c r="AV274" s="192"/>
      <c r="AW274" s="192"/>
      <c r="AX274" s="192"/>
      <c r="AY274" s="192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192"/>
      <c r="BS274" s="192"/>
      <c r="BT274" s="192"/>
      <c r="BU274" s="19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192"/>
      <c r="CU274" s="192"/>
      <c r="CV274" s="192"/>
      <c r="CW274" s="192"/>
      <c r="CX274" s="192"/>
      <c r="CY274" s="192"/>
      <c r="CZ274" s="192"/>
      <c r="DA274" s="192"/>
      <c r="DB274" s="192"/>
      <c r="DC274" s="192"/>
      <c r="DD274" s="192"/>
      <c r="DE274" s="192"/>
      <c r="DF274" s="192"/>
      <c r="DG274" s="192"/>
      <c r="DH274" s="192"/>
      <c r="DI274" s="192"/>
      <c r="DJ274" s="192"/>
      <c r="DK274" s="192"/>
      <c r="DL274" s="192"/>
      <c r="DM274" s="192"/>
      <c r="DN274" s="192"/>
      <c r="DO274" s="192"/>
      <c r="DP274" s="192"/>
      <c r="DQ274" s="192"/>
      <c r="DR274" s="192"/>
      <c r="DS274" s="192"/>
      <c r="DT274" s="192"/>
      <c r="DU274" s="192"/>
      <c r="DV274" s="192"/>
      <c r="DW274" s="192"/>
      <c r="DX274" s="192"/>
      <c r="DY274" s="192"/>
      <c r="DZ274" s="192"/>
      <c r="EA274" s="192"/>
      <c r="EB274" s="192"/>
      <c r="EC274" s="192"/>
      <c r="ED274" s="192"/>
      <c r="EE274" s="192"/>
      <c r="EF274" s="192"/>
      <c r="EG274" s="192"/>
      <c r="EH274" s="192"/>
      <c r="EI274" s="192"/>
      <c r="EJ274" s="192"/>
      <c r="EK274" s="192"/>
      <c r="EL274" s="192"/>
      <c r="EM274" s="192"/>
      <c r="EN274" s="192"/>
      <c r="EO274" s="192"/>
      <c r="EP274" s="192"/>
      <c r="EQ274" s="192"/>
    </row>
    <row r="275" spans="1:147" x14ac:dyDescent="0.2">
      <c r="A275" s="192"/>
      <c r="B275" s="192"/>
      <c r="C275" s="192"/>
      <c r="D275" s="192"/>
      <c r="E275" s="192"/>
      <c r="F275" s="192"/>
      <c r="G275" s="192"/>
      <c r="H275" s="192"/>
      <c r="I275" s="192"/>
      <c r="J275" s="192"/>
      <c r="K275" s="192"/>
      <c r="L275" s="192"/>
      <c r="M275" s="192"/>
      <c r="N275" s="192"/>
      <c r="O275" s="192"/>
      <c r="P275" s="192"/>
      <c r="Q275" s="192"/>
      <c r="R275" s="192"/>
      <c r="S275" s="266"/>
      <c r="T275" s="265"/>
      <c r="U275" s="265"/>
      <c r="V275" s="265"/>
      <c r="W275" s="265"/>
      <c r="X275" s="265"/>
      <c r="Y275" s="265"/>
      <c r="Z275" s="265"/>
      <c r="AA275" s="265"/>
      <c r="AB275" s="265"/>
      <c r="AC275" s="265"/>
      <c r="AD275" s="265"/>
      <c r="AE275" s="265"/>
      <c r="AF275" s="265"/>
      <c r="AG275" s="265"/>
      <c r="AH275" s="265"/>
      <c r="AI275" s="192"/>
      <c r="AJ275" s="192"/>
      <c r="AK275" s="192"/>
      <c r="AL275" s="192"/>
      <c r="AM275" s="192"/>
      <c r="AN275" s="192"/>
      <c r="AO275" s="192"/>
      <c r="AP275" s="192"/>
      <c r="AQ275" s="192"/>
      <c r="AR275" s="192"/>
      <c r="AS275" s="192"/>
      <c r="AT275" s="192"/>
      <c r="AU275" s="192"/>
      <c r="AV275" s="192"/>
      <c r="AW275" s="192"/>
      <c r="AX275" s="192"/>
      <c r="AY275" s="192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192"/>
      <c r="BS275" s="192"/>
      <c r="BT275" s="192"/>
      <c r="BU275" s="19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192"/>
      <c r="CU275" s="192"/>
      <c r="CV275" s="192"/>
      <c r="CW275" s="192"/>
      <c r="CX275" s="192"/>
      <c r="CY275" s="192"/>
      <c r="CZ275" s="192"/>
      <c r="DA275" s="192"/>
      <c r="DB275" s="192"/>
      <c r="DC275" s="192"/>
      <c r="DD275" s="192"/>
      <c r="DE275" s="192"/>
      <c r="DF275" s="192"/>
      <c r="DG275" s="192"/>
      <c r="DH275" s="192"/>
      <c r="DI275" s="192"/>
      <c r="DJ275" s="192"/>
      <c r="DK275" s="192"/>
      <c r="DL275" s="192"/>
      <c r="DM275" s="192"/>
      <c r="DN275" s="192"/>
      <c r="DO275" s="192"/>
      <c r="DP275" s="192"/>
      <c r="DQ275" s="192"/>
      <c r="DR275" s="192"/>
      <c r="DS275" s="192"/>
      <c r="DT275" s="192"/>
      <c r="DU275" s="192"/>
      <c r="DV275" s="192"/>
      <c r="DW275" s="192"/>
      <c r="DX275" s="192"/>
      <c r="DY275" s="192"/>
      <c r="DZ275" s="192"/>
      <c r="EA275" s="192"/>
      <c r="EB275" s="192"/>
      <c r="EC275" s="192"/>
      <c r="ED275" s="192"/>
      <c r="EE275" s="192"/>
      <c r="EF275" s="192"/>
      <c r="EG275" s="192"/>
      <c r="EH275" s="192"/>
      <c r="EI275" s="192"/>
      <c r="EJ275" s="192"/>
      <c r="EK275" s="192"/>
      <c r="EL275" s="192"/>
      <c r="EM275" s="192"/>
      <c r="EN275" s="192"/>
      <c r="EO275" s="192"/>
      <c r="EP275" s="192"/>
      <c r="EQ275" s="192"/>
    </row>
    <row r="276" spans="1:147" x14ac:dyDescent="0.2">
      <c r="A276" s="192"/>
      <c r="B276" s="192"/>
      <c r="C276" s="192"/>
      <c r="D276" s="192"/>
      <c r="E276" s="192"/>
      <c r="F276" s="192"/>
      <c r="G276" s="192"/>
      <c r="H276" s="192"/>
      <c r="I276" s="192"/>
      <c r="J276" s="192"/>
      <c r="K276" s="192"/>
      <c r="L276" s="192"/>
      <c r="M276" s="192"/>
      <c r="N276" s="192"/>
      <c r="O276" s="192"/>
      <c r="P276" s="192"/>
      <c r="Q276" s="192"/>
      <c r="R276" s="192"/>
      <c r="S276" s="266"/>
      <c r="T276" s="265"/>
      <c r="U276" s="265"/>
      <c r="V276" s="265"/>
      <c r="W276" s="265"/>
      <c r="X276" s="265"/>
      <c r="Y276" s="265"/>
      <c r="Z276" s="265"/>
      <c r="AA276" s="265"/>
      <c r="AB276" s="265"/>
      <c r="AC276" s="265"/>
      <c r="AD276" s="265"/>
      <c r="AE276" s="265"/>
      <c r="AF276" s="265"/>
      <c r="AG276" s="265"/>
      <c r="AH276" s="265"/>
      <c r="AI276" s="192"/>
      <c r="AJ276" s="192"/>
      <c r="AK276" s="192"/>
      <c r="AL276" s="192"/>
      <c r="AM276" s="192"/>
      <c r="AN276" s="192"/>
      <c r="AO276" s="192"/>
      <c r="AP276" s="192"/>
      <c r="AQ276" s="192"/>
      <c r="AR276" s="192"/>
      <c r="AS276" s="192"/>
      <c r="AT276" s="192"/>
      <c r="AU276" s="192"/>
      <c r="AV276" s="192"/>
      <c r="AW276" s="192"/>
      <c r="AX276" s="192"/>
      <c r="AY276" s="192"/>
      <c r="AZ276" s="192"/>
      <c r="BA276" s="192"/>
      <c r="BB276" s="192"/>
      <c r="BC276" s="192"/>
      <c r="BD276" s="192"/>
      <c r="BE276" s="192"/>
      <c r="BF276" s="192"/>
      <c r="BG276" s="192"/>
      <c r="BH276" s="192"/>
      <c r="BI276" s="192"/>
      <c r="BJ276" s="192"/>
      <c r="BK276" s="192"/>
      <c r="BL276" s="192"/>
      <c r="BM276" s="192"/>
      <c r="BN276" s="192"/>
      <c r="BO276" s="192"/>
      <c r="BP276" s="192"/>
      <c r="BQ276" s="192"/>
      <c r="BR276" s="192"/>
      <c r="BS276" s="192"/>
      <c r="BT276" s="192"/>
      <c r="BU276" s="192"/>
      <c r="BV276" s="192"/>
      <c r="BW276" s="192"/>
      <c r="BX276" s="192"/>
      <c r="BY276" s="192"/>
      <c r="BZ276" s="192"/>
      <c r="CA276" s="192"/>
      <c r="CB276" s="192"/>
      <c r="CC276" s="192"/>
      <c r="CD276" s="192"/>
      <c r="CE276" s="192"/>
      <c r="CF276" s="192"/>
      <c r="CG276" s="192"/>
      <c r="CH276" s="192"/>
      <c r="CI276" s="192"/>
      <c r="CJ276" s="192"/>
      <c r="CK276" s="192"/>
      <c r="CL276" s="192"/>
      <c r="CM276" s="192"/>
      <c r="CN276" s="192"/>
      <c r="CO276" s="192"/>
      <c r="CP276" s="192"/>
      <c r="CQ276" s="192"/>
      <c r="CR276" s="192"/>
      <c r="CS276" s="192"/>
      <c r="CT276" s="192"/>
      <c r="CU276" s="192"/>
      <c r="CV276" s="192"/>
      <c r="CW276" s="192"/>
      <c r="CX276" s="192"/>
      <c r="CY276" s="192"/>
      <c r="CZ276" s="192"/>
      <c r="DA276" s="192"/>
      <c r="DB276" s="192"/>
      <c r="DC276" s="192"/>
      <c r="DD276" s="192"/>
      <c r="DE276" s="192"/>
      <c r="DF276" s="192"/>
      <c r="DG276" s="192"/>
      <c r="DH276" s="192"/>
      <c r="DI276" s="192"/>
      <c r="DJ276" s="192"/>
      <c r="DK276" s="192"/>
      <c r="DL276" s="192"/>
      <c r="DM276" s="192"/>
      <c r="DN276" s="192"/>
      <c r="DO276" s="192"/>
      <c r="DP276" s="192"/>
      <c r="DQ276" s="192"/>
      <c r="DR276" s="192"/>
      <c r="DS276" s="192"/>
      <c r="DT276" s="192"/>
      <c r="DU276" s="192"/>
      <c r="DV276" s="192"/>
      <c r="DW276" s="192"/>
      <c r="DX276" s="192"/>
      <c r="DY276" s="192"/>
      <c r="DZ276" s="192"/>
      <c r="EA276" s="192"/>
      <c r="EB276" s="192"/>
      <c r="EC276" s="192"/>
      <c r="ED276" s="192"/>
      <c r="EE276" s="192"/>
      <c r="EF276" s="192"/>
      <c r="EG276" s="192"/>
      <c r="EH276" s="192"/>
      <c r="EI276" s="192"/>
      <c r="EJ276" s="192"/>
      <c r="EK276" s="192"/>
      <c r="EL276" s="192"/>
      <c r="EM276" s="192"/>
      <c r="EN276" s="192"/>
      <c r="EO276" s="192"/>
      <c r="EP276" s="192"/>
      <c r="EQ276" s="192"/>
    </row>
    <row r="277" spans="1:147" x14ac:dyDescent="0.2">
      <c r="A277" s="192"/>
      <c r="B277" s="192"/>
      <c r="C277" s="192"/>
      <c r="D277" s="192"/>
      <c r="E277" s="192"/>
      <c r="F277" s="192"/>
      <c r="G277" s="192"/>
      <c r="H277" s="192"/>
      <c r="I277" s="192"/>
      <c r="J277" s="192"/>
      <c r="K277" s="192"/>
      <c r="L277" s="192"/>
      <c r="M277" s="192"/>
      <c r="N277" s="192"/>
      <c r="O277" s="192"/>
      <c r="P277" s="192"/>
      <c r="Q277" s="192"/>
      <c r="R277" s="192"/>
      <c r="S277" s="266"/>
      <c r="T277" s="265"/>
      <c r="U277" s="265"/>
      <c r="V277" s="265"/>
      <c r="W277" s="265"/>
      <c r="X277" s="265"/>
      <c r="Y277" s="265"/>
      <c r="Z277" s="265"/>
      <c r="AA277" s="265"/>
      <c r="AB277" s="265"/>
      <c r="AC277" s="265"/>
      <c r="AD277" s="265"/>
      <c r="AE277" s="265"/>
      <c r="AF277" s="265"/>
      <c r="AG277" s="265"/>
      <c r="AH277" s="265"/>
      <c r="AI277" s="192"/>
      <c r="AJ277" s="192"/>
      <c r="AK277" s="192"/>
      <c r="AL277" s="192"/>
      <c r="AM277" s="192"/>
      <c r="AN277" s="192"/>
      <c r="AO277" s="192"/>
      <c r="AP277" s="192"/>
      <c r="AQ277" s="192"/>
      <c r="AR277" s="192"/>
      <c r="AS277" s="192"/>
      <c r="AT277" s="192"/>
      <c r="AU277" s="192"/>
      <c r="AV277" s="192"/>
      <c r="AW277" s="192"/>
      <c r="AX277" s="192"/>
      <c r="AY277" s="192"/>
      <c r="AZ277" s="192"/>
      <c r="BA277" s="192"/>
      <c r="BB277" s="192"/>
      <c r="BC277" s="192"/>
      <c r="BD277" s="192"/>
      <c r="BE277" s="192"/>
      <c r="BF277" s="192"/>
      <c r="BG277" s="192"/>
      <c r="BH277" s="192"/>
      <c r="BI277" s="192"/>
      <c r="BJ277" s="192"/>
      <c r="BK277" s="192"/>
      <c r="BL277" s="192"/>
      <c r="BM277" s="192"/>
      <c r="BN277" s="192"/>
      <c r="BO277" s="192"/>
      <c r="BP277" s="192"/>
      <c r="BQ277" s="192"/>
      <c r="BR277" s="192"/>
      <c r="BS277" s="192"/>
      <c r="BT277" s="192"/>
      <c r="BU277" s="192"/>
      <c r="BV277" s="192"/>
      <c r="BW277" s="192"/>
      <c r="BX277" s="192"/>
      <c r="BY277" s="192"/>
      <c r="BZ277" s="192"/>
      <c r="CA277" s="192"/>
      <c r="CB277" s="192"/>
      <c r="CC277" s="192"/>
      <c r="CD277" s="192"/>
      <c r="CE277" s="192"/>
      <c r="CF277" s="192"/>
      <c r="CG277" s="192"/>
      <c r="CH277" s="192"/>
      <c r="CI277" s="192"/>
      <c r="CJ277" s="192"/>
      <c r="CK277" s="192"/>
      <c r="CL277" s="192"/>
      <c r="CM277" s="192"/>
      <c r="CN277" s="192"/>
      <c r="CO277" s="192"/>
      <c r="CP277" s="192"/>
      <c r="CQ277" s="192"/>
      <c r="CR277" s="192"/>
      <c r="CS277" s="192"/>
      <c r="CT277" s="192"/>
      <c r="CU277" s="192"/>
      <c r="CV277" s="192"/>
      <c r="CW277" s="192"/>
      <c r="CX277" s="192"/>
      <c r="CY277" s="192"/>
      <c r="CZ277" s="192"/>
      <c r="DA277" s="192"/>
      <c r="DB277" s="192"/>
      <c r="DC277" s="192"/>
      <c r="DD277" s="192"/>
      <c r="DE277" s="192"/>
      <c r="DF277" s="192"/>
      <c r="DG277" s="192"/>
      <c r="DH277" s="192"/>
      <c r="DI277" s="192"/>
      <c r="DJ277" s="192"/>
      <c r="DK277" s="192"/>
      <c r="DL277" s="192"/>
      <c r="DM277" s="192"/>
      <c r="DN277" s="192"/>
      <c r="DO277" s="192"/>
      <c r="DP277" s="192"/>
      <c r="DQ277" s="192"/>
      <c r="DR277" s="192"/>
      <c r="DS277" s="192"/>
      <c r="DT277" s="192"/>
      <c r="DU277" s="192"/>
      <c r="DV277" s="192"/>
      <c r="DW277" s="192"/>
      <c r="DX277" s="192"/>
      <c r="DY277" s="192"/>
      <c r="DZ277" s="192"/>
      <c r="EA277" s="192"/>
      <c r="EB277" s="192"/>
      <c r="EC277" s="192"/>
      <c r="ED277" s="192"/>
      <c r="EE277" s="192"/>
      <c r="EF277" s="192"/>
      <c r="EG277" s="192"/>
      <c r="EH277" s="192"/>
      <c r="EI277" s="192"/>
      <c r="EJ277" s="192"/>
      <c r="EK277" s="192"/>
      <c r="EL277" s="192"/>
      <c r="EM277" s="192"/>
      <c r="EN277" s="192"/>
      <c r="EO277" s="192"/>
      <c r="EP277" s="192"/>
      <c r="EQ277" s="192"/>
    </row>
    <row r="278" spans="1:147" x14ac:dyDescent="0.2">
      <c r="A278" s="192"/>
      <c r="B278" s="192"/>
      <c r="C278" s="192"/>
      <c r="D278" s="192"/>
      <c r="E278" s="192"/>
      <c r="F278" s="192"/>
      <c r="G278" s="192"/>
      <c r="H278" s="192"/>
      <c r="I278" s="192"/>
      <c r="J278" s="192"/>
      <c r="K278" s="192"/>
      <c r="L278" s="192"/>
      <c r="M278" s="192"/>
      <c r="N278" s="192"/>
      <c r="O278" s="192"/>
      <c r="P278" s="192"/>
      <c r="Q278" s="192"/>
      <c r="R278" s="192"/>
      <c r="S278" s="266"/>
      <c r="T278" s="265"/>
      <c r="U278" s="265"/>
      <c r="V278" s="265"/>
      <c r="W278" s="265"/>
      <c r="X278" s="265"/>
      <c r="Y278" s="265"/>
      <c r="Z278" s="265"/>
      <c r="AA278" s="265"/>
      <c r="AB278" s="265"/>
      <c r="AC278" s="265"/>
      <c r="AD278" s="265"/>
      <c r="AE278" s="265"/>
      <c r="AF278" s="265"/>
      <c r="AG278" s="265"/>
      <c r="AH278" s="265"/>
      <c r="AI278" s="192"/>
      <c r="AJ278" s="192"/>
      <c r="AK278" s="192"/>
      <c r="AL278" s="192"/>
      <c r="AM278" s="192"/>
      <c r="AN278" s="192"/>
      <c r="AO278" s="192"/>
      <c r="AP278" s="192"/>
      <c r="AQ278" s="192"/>
      <c r="AR278" s="192"/>
      <c r="AS278" s="192"/>
      <c r="AT278" s="192"/>
      <c r="AU278" s="192"/>
      <c r="AV278" s="192"/>
      <c r="AW278" s="192"/>
      <c r="AX278" s="192"/>
      <c r="AY278" s="192"/>
      <c r="AZ278" s="192"/>
      <c r="BA278" s="192"/>
      <c r="BB278" s="192"/>
      <c r="BC278" s="192"/>
      <c r="BD278" s="192"/>
      <c r="BE278" s="192"/>
      <c r="BF278" s="192"/>
      <c r="BG278" s="192"/>
      <c r="BH278" s="192"/>
      <c r="BI278" s="192"/>
      <c r="BJ278" s="192"/>
      <c r="BK278" s="192"/>
      <c r="BL278" s="192"/>
      <c r="BM278" s="192"/>
      <c r="BN278" s="192"/>
      <c r="BO278" s="192"/>
      <c r="BP278" s="192"/>
      <c r="BQ278" s="192"/>
      <c r="BR278" s="192"/>
      <c r="BS278" s="192"/>
      <c r="BT278" s="192"/>
      <c r="BU278" s="192"/>
      <c r="BV278" s="192"/>
      <c r="BW278" s="192"/>
      <c r="BX278" s="192"/>
      <c r="BY278" s="192"/>
      <c r="BZ278" s="192"/>
      <c r="CA278" s="192"/>
      <c r="CB278" s="192"/>
      <c r="CC278" s="192"/>
      <c r="CD278" s="192"/>
      <c r="CE278" s="192"/>
      <c r="CF278" s="192"/>
      <c r="CG278" s="192"/>
      <c r="CH278" s="192"/>
      <c r="CI278" s="192"/>
      <c r="CJ278" s="192"/>
      <c r="CK278" s="192"/>
      <c r="CL278" s="192"/>
      <c r="CM278" s="192"/>
      <c r="CN278" s="192"/>
      <c r="CO278" s="192"/>
      <c r="CP278" s="192"/>
      <c r="CQ278" s="192"/>
      <c r="CR278" s="192"/>
      <c r="CS278" s="192"/>
      <c r="CT278" s="192"/>
      <c r="CU278" s="192"/>
      <c r="CV278" s="192"/>
      <c r="CW278" s="192"/>
      <c r="CX278" s="192"/>
      <c r="CY278" s="192"/>
      <c r="CZ278" s="192"/>
      <c r="DA278" s="192"/>
      <c r="DB278" s="192"/>
      <c r="DC278" s="192"/>
      <c r="DD278" s="192"/>
      <c r="DE278" s="192"/>
      <c r="DF278" s="192"/>
      <c r="DG278" s="192"/>
      <c r="DH278" s="192"/>
      <c r="DI278" s="192"/>
      <c r="DJ278" s="192"/>
      <c r="DK278" s="192"/>
      <c r="DL278" s="192"/>
      <c r="DM278" s="192"/>
      <c r="DN278" s="192"/>
      <c r="DO278" s="192"/>
      <c r="DP278" s="192"/>
      <c r="DQ278" s="192"/>
      <c r="DR278" s="192"/>
      <c r="DS278" s="192"/>
      <c r="DT278" s="192"/>
      <c r="DU278" s="192"/>
      <c r="DV278" s="192"/>
      <c r="DW278" s="192"/>
      <c r="DX278" s="192"/>
      <c r="DY278" s="192"/>
      <c r="DZ278" s="192"/>
      <c r="EA278" s="192"/>
      <c r="EB278" s="192"/>
      <c r="EC278" s="192"/>
      <c r="ED278" s="192"/>
      <c r="EE278" s="192"/>
      <c r="EF278" s="192"/>
      <c r="EG278" s="192"/>
      <c r="EH278" s="192"/>
      <c r="EI278" s="192"/>
      <c r="EJ278" s="192"/>
      <c r="EK278" s="192"/>
      <c r="EL278" s="192"/>
      <c r="EM278" s="192"/>
      <c r="EN278" s="192"/>
      <c r="EO278" s="192"/>
      <c r="EP278" s="192"/>
      <c r="EQ278" s="192"/>
    </row>
    <row r="279" spans="1:147" x14ac:dyDescent="0.2">
      <c r="A279" s="192"/>
      <c r="B279" s="192"/>
      <c r="C279" s="192"/>
      <c r="D279" s="192"/>
      <c r="E279" s="192"/>
      <c r="F279" s="192"/>
      <c r="G279" s="192"/>
      <c r="H279" s="192"/>
      <c r="I279" s="192"/>
      <c r="J279" s="192"/>
      <c r="K279" s="192"/>
      <c r="L279" s="192"/>
      <c r="M279" s="192"/>
      <c r="N279" s="192"/>
      <c r="O279" s="192"/>
      <c r="P279" s="192"/>
      <c r="Q279" s="192"/>
      <c r="R279" s="192"/>
      <c r="S279" s="266"/>
      <c r="T279" s="265"/>
      <c r="U279" s="265"/>
      <c r="V279" s="265"/>
      <c r="W279" s="265"/>
      <c r="X279" s="265"/>
      <c r="Y279" s="265"/>
      <c r="Z279" s="265"/>
      <c r="AA279" s="265"/>
      <c r="AB279" s="265"/>
      <c r="AC279" s="265"/>
      <c r="AD279" s="265"/>
      <c r="AE279" s="265"/>
      <c r="AF279" s="265"/>
      <c r="AG279" s="265"/>
      <c r="AH279" s="265"/>
      <c r="AI279" s="192"/>
      <c r="AJ279" s="192"/>
      <c r="AK279" s="192"/>
      <c r="AL279" s="192"/>
      <c r="AM279" s="192"/>
      <c r="AN279" s="192"/>
      <c r="AO279" s="192"/>
      <c r="AP279" s="192"/>
      <c r="AQ279" s="192"/>
      <c r="AR279" s="192"/>
      <c r="AS279" s="192"/>
      <c r="AT279" s="192"/>
      <c r="AU279" s="192"/>
      <c r="AV279" s="192"/>
      <c r="AW279" s="192"/>
      <c r="AX279" s="192"/>
      <c r="AY279" s="192"/>
      <c r="AZ279" s="192"/>
      <c r="BA279" s="192"/>
      <c r="BB279" s="192"/>
      <c r="BC279" s="192"/>
      <c r="BD279" s="192"/>
      <c r="BE279" s="192"/>
      <c r="BF279" s="192"/>
      <c r="BG279" s="192"/>
      <c r="BH279" s="192"/>
      <c r="BI279" s="192"/>
      <c r="BJ279" s="192"/>
      <c r="BK279" s="192"/>
      <c r="BL279" s="192"/>
      <c r="BM279" s="192"/>
      <c r="BN279" s="192"/>
      <c r="BO279" s="192"/>
      <c r="BP279" s="192"/>
      <c r="BQ279" s="192"/>
      <c r="BR279" s="192"/>
      <c r="BS279" s="192"/>
      <c r="BT279" s="192"/>
      <c r="BU279" s="192"/>
      <c r="BV279" s="192"/>
      <c r="BW279" s="192"/>
      <c r="BX279" s="192"/>
      <c r="BY279" s="192"/>
      <c r="BZ279" s="192"/>
      <c r="CA279" s="192"/>
      <c r="CB279" s="192"/>
      <c r="CC279" s="192"/>
      <c r="CD279" s="192"/>
      <c r="CE279" s="192"/>
      <c r="CF279" s="192"/>
      <c r="CG279" s="192"/>
      <c r="CH279" s="192"/>
      <c r="CI279" s="192"/>
      <c r="CJ279" s="192"/>
      <c r="CK279" s="192"/>
      <c r="CL279" s="192"/>
      <c r="CM279" s="192"/>
      <c r="CN279" s="192"/>
      <c r="CO279" s="192"/>
      <c r="CP279" s="192"/>
      <c r="CQ279" s="192"/>
      <c r="CR279" s="192"/>
      <c r="CS279" s="192"/>
      <c r="CT279" s="192"/>
      <c r="CU279" s="192"/>
      <c r="CV279" s="192"/>
      <c r="CW279" s="192"/>
      <c r="CX279" s="192"/>
      <c r="CY279" s="192"/>
      <c r="CZ279" s="192"/>
      <c r="DA279" s="192"/>
      <c r="DB279" s="192"/>
      <c r="DC279" s="192"/>
      <c r="DD279" s="192"/>
      <c r="DE279" s="192"/>
      <c r="DF279" s="192"/>
      <c r="DG279" s="192"/>
      <c r="DH279" s="192"/>
      <c r="DI279" s="192"/>
      <c r="DJ279" s="192"/>
      <c r="DK279" s="192"/>
      <c r="DL279" s="192"/>
      <c r="DM279" s="192"/>
      <c r="DN279" s="192"/>
      <c r="DO279" s="192"/>
      <c r="DP279" s="192"/>
      <c r="DQ279" s="192"/>
      <c r="DR279" s="192"/>
      <c r="DS279" s="192"/>
      <c r="DT279" s="192"/>
      <c r="DU279" s="192"/>
      <c r="DV279" s="192"/>
      <c r="DW279" s="192"/>
      <c r="DX279" s="192"/>
      <c r="DY279" s="192"/>
      <c r="DZ279" s="192"/>
      <c r="EA279" s="192"/>
      <c r="EB279" s="192"/>
      <c r="EC279" s="192"/>
      <c r="ED279" s="192"/>
      <c r="EE279" s="192"/>
      <c r="EF279" s="192"/>
      <c r="EG279" s="192"/>
      <c r="EH279" s="192"/>
      <c r="EI279" s="192"/>
      <c r="EJ279" s="192"/>
      <c r="EK279" s="192"/>
      <c r="EL279" s="192"/>
      <c r="EM279" s="192"/>
      <c r="EN279" s="192"/>
      <c r="EO279" s="192"/>
      <c r="EP279" s="192"/>
      <c r="EQ279" s="192"/>
    </row>
    <row r="280" spans="1:147" x14ac:dyDescent="0.2">
      <c r="A280" s="192"/>
      <c r="B280" s="192"/>
      <c r="C280" s="192"/>
      <c r="D280" s="192"/>
      <c r="E280" s="192"/>
      <c r="F280" s="192"/>
      <c r="G280" s="192"/>
      <c r="H280" s="192"/>
      <c r="I280" s="192"/>
      <c r="J280" s="192"/>
      <c r="K280" s="192"/>
      <c r="L280" s="192"/>
      <c r="M280" s="192"/>
      <c r="N280" s="192"/>
      <c r="O280" s="192"/>
      <c r="P280" s="192"/>
      <c r="Q280" s="192"/>
      <c r="R280" s="192"/>
      <c r="S280" s="266"/>
      <c r="T280" s="265"/>
      <c r="U280" s="265"/>
      <c r="V280" s="265"/>
      <c r="W280" s="265"/>
      <c r="X280" s="265"/>
      <c r="Y280" s="265"/>
      <c r="Z280" s="265"/>
      <c r="AA280" s="265"/>
      <c r="AB280" s="265"/>
      <c r="AC280" s="265"/>
      <c r="AD280" s="265"/>
      <c r="AE280" s="265"/>
      <c r="AF280" s="265"/>
      <c r="AG280" s="265"/>
      <c r="AH280" s="265"/>
      <c r="AI280" s="192"/>
      <c r="AJ280" s="192"/>
      <c r="AK280" s="192"/>
      <c r="AL280" s="192"/>
      <c r="AM280" s="192"/>
      <c r="AN280" s="192"/>
      <c r="AO280" s="192"/>
      <c r="AP280" s="192"/>
      <c r="AQ280" s="192"/>
      <c r="AR280" s="192"/>
      <c r="AS280" s="192"/>
      <c r="AT280" s="192"/>
      <c r="AU280" s="192"/>
      <c r="AV280" s="192"/>
      <c r="AW280" s="192"/>
      <c r="AX280" s="192"/>
      <c r="AY280" s="192"/>
      <c r="AZ280" s="192"/>
      <c r="BA280" s="192"/>
      <c r="BB280" s="192"/>
      <c r="BC280" s="192"/>
      <c r="BD280" s="192"/>
      <c r="BE280" s="192"/>
      <c r="BF280" s="192"/>
      <c r="BG280" s="192"/>
      <c r="BH280" s="192"/>
      <c r="BI280" s="192"/>
      <c r="BJ280" s="192"/>
      <c r="BK280" s="192"/>
      <c r="BL280" s="192"/>
      <c r="BM280" s="192"/>
      <c r="BN280" s="192"/>
      <c r="BO280" s="192"/>
      <c r="BP280" s="192"/>
      <c r="BQ280" s="192"/>
      <c r="BR280" s="192"/>
      <c r="BS280" s="192"/>
      <c r="BT280" s="192"/>
      <c r="BU280" s="192"/>
      <c r="BV280" s="192"/>
      <c r="BW280" s="192"/>
      <c r="BX280" s="192"/>
      <c r="BY280" s="192"/>
      <c r="BZ280" s="192"/>
      <c r="CA280" s="192"/>
      <c r="CB280" s="192"/>
      <c r="CC280" s="192"/>
      <c r="CD280" s="192"/>
      <c r="CE280" s="192"/>
      <c r="CF280" s="192"/>
      <c r="CG280" s="192"/>
      <c r="CH280" s="192"/>
      <c r="CI280" s="192"/>
      <c r="CJ280" s="192"/>
      <c r="CK280" s="192"/>
      <c r="CL280" s="192"/>
      <c r="CM280" s="192"/>
      <c r="CN280" s="192"/>
      <c r="CO280" s="192"/>
      <c r="CP280" s="192"/>
      <c r="CQ280" s="192"/>
      <c r="CR280" s="192"/>
      <c r="CS280" s="192"/>
      <c r="CT280" s="192"/>
      <c r="CU280" s="192"/>
      <c r="CV280" s="192"/>
      <c r="CW280" s="192"/>
      <c r="CX280" s="192"/>
      <c r="CY280" s="192"/>
      <c r="CZ280" s="192"/>
      <c r="DA280" s="192"/>
      <c r="DB280" s="192"/>
      <c r="DC280" s="192"/>
      <c r="DD280" s="192"/>
      <c r="DE280" s="192"/>
      <c r="DF280" s="192"/>
      <c r="DG280" s="192"/>
      <c r="DH280" s="192"/>
      <c r="DI280" s="192"/>
      <c r="DJ280" s="192"/>
      <c r="DK280" s="192"/>
      <c r="DL280" s="192"/>
      <c r="DM280" s="192"/>
      <c r="DN280" s="192"/>
      <c r="DO280" s="192"/>
      <c r="DP280" s="192"/>
      <c r="DQ280" s="192"/>
      <c r="DR280" s="192"/>
      <c r="DS280" s="192"/>
      <c r="DT280" s="192"/>
      <c r="DU280" s="192"/>
      <c r="DV280" s="192"/>
      <c r="DW280" s="192"/>
      <c r="DX280" s="192"/>
      <c r="DY280" s="192"/>
      <c r="DZ280" s="192"/>
      <c r="EA280" s="192"/>
      <c r="EB280" s="192"/>
      <c r="EC280" s="192"/>
      <c r="ED280" s="192"/>
      <c r="EE280" s="192"/>
      <c r="EF280" s="192"/>
      <c r="EG280" s="192"/>
      <c r="EH280" s="192"/>
      <c r="EI280" s="192"/>
      <c r="EJ280" s="192"/>
      <c r="EK280" s="192"/>
      <c r="EL280" s="192"/>
      <c r="EM280" s="192"/>
      <c r="EN280" s="192"/>
      <c r="EO280" s="192"/>
      <c r="EP280" s="192"/>
      <c r="EQ280" s="192"/>
    </row>
    <row r="281" spans="1:147" x14ac:dyDescent="0.2">
      <c r="A281" s="192"/>
      <c r="B281" s="192"/>
      <c r="C281" s="192"/>
      <c r="D281" s="192"/>
      <c r="E281" s="192"/>
      <c r="F281" s="192"/>
      <c r="G281" s="192"/>
      <c r="H281" s="192"/>
      <c r="I281" s="192"/>
      <c r="J281" s="192"/>
      <c r="K281" s="192"/>
      <c r="L281" s="192"/>
      <c r="M281" s="192"/>
      <c r="N281" s="192"/>
      <c r="O281" s="192"/>
      <c r="P281" s="192"/>
      <c r="Q281" s="192"/>
      <c r="R281" s="192"/>
      <c r="S281" s="266"/>
      <c r="T281" s="265"/>
      <c r="U281" s="265"/>
      <c r="V281" s="265"/>
      <c r="W281" s="265"/>
      <c r="X281" s="265"/>
      <c r="Y281" s="265"/>
      <c r="Z281" s="265"/>
      <c r="AA281" s="265"/>
      <c r="AB281" s="265"/>
      <c r="AC281" s="265"/>
      <c r="AD281" s="265"/>
      <c r="AE281" s="265"/>
      <c r="AF281" s="265"/>
      <c r="AG281" s="265"/>
      <c r="AH281" s="265"/>
      <c r="AI281" s="192"/>
      <c r="AJ281" s="192"/>
      <c r="AK281" s="192"/>
      <c r="AL281" s="192"/>
      <c r="AM281" s="192"/>
      <c r="AN281" s="192"/>
      <c r="AO281" s="192"/>
      <c r="AP281" s="192"/>
      <c r="AQ281" s="192"/>
      <c r="AR281" s="192"/>
      <c r="AS281" s="192"/>
      <c r="AT281" s="192"/>
      <c r="AU281" s="192"/>
      <c r="AV281" s="192"/>
      <c r="AW281" s="192"/>
      <c r="AX281" s="192"/>
      <c r="AY281" s="192"/>
      <c r="AZ281" s="192"/>
      <c r="BA281" s="192"/>
      <c r="BB281" s="192"/>
      <c r="BC281" s="192"/>
      <c r="BD281" s="192"/>
      <c r="BE281" s="192"/>
      <c r="BF281" s="192"/>
      <c r="BG281" s="192"/>
      <c r="BH281" s="192"/>
      <c r="BI281" s="192"/>
      <c r="BJ281" s="192"/>
      <c r="BK281" s="192"/>
      <c r="BL281" s="192"/>
      <c r="BM281" s="192"/>
      <c r="BN281" s="192"/>
      <c r="BO281" s="192"/>
      <c r="BP281" s="192"/>
      <c r="BQ281" s="192"/>
      <c r="BR281" s="192"/>
      <c r="BS281" s="192"/>
      <c r="BT281" s="192"/>
      <c r="BU281" s="192"/>
      <c r="BV281" s="192"/>
      <c r="BW281" s="192"/>
      <c r="BX281" s="192"/>
      <c r="BY281" s="192"/>
      <c r="BZ281" s="192"/>
      <c r="CA281" s="192"/>
      <c r="CB281" s="192"/>
      <c r="CC281" s="192"/>
      <c r="CD281" s="192"/>
      <c r="CE281" s="192"/>
      <c r="CF281" s="192"/>
      <c r="CG281" s="192"/>
      <c r="CH281" s="192"/>
      <c r="CI281" s="192"/>
      <c r="CJ281" s="192"/>
      <c r="CK281" s="192"/>
      <c r="CL281" s="192"/>
      <c r="CM281" s="192"/>
      <c r="CN281" s="192"/>
      <c r="CO281" s="192"/>
      <c r="CP281" s="192"/>
      <c r="CQ281" s="192"/>
      <c r="CR281" s="192"/>
      <c r="CS281" s="192"/>
      <c r="CT281" s="192"/>
      <c r="CU281" s="192"/>
      <c r="CV281" s="192"/>
      <c r="CW281" s="192"/>
      <c r="CX281" s="192"/>
      <c r="CY281" s="192"/>
      <c r="CZ281" s="192"/>
      <c r="DA281" s="192"/>
      <c r="DB281" s="192"/>
      <c r="DC281" s="192"/>
      <c r="DD281" s="192"/>
      <c r="DE281" s="192"/>
      <c r="DF281" s="192"/>
      <c r="DG281" s="192"/>
      <c r="DH281" s="192"/>
      <c r="DI281" s="192"/>
      <c r="DJ281" s="192"/>
      <c r="DK281" s="192"/>
      <c r="DL281" s="192"/>
      <c r="DM281" s="192"/>
      <c r="DN281" s="192"/>
      <c r="DO281" s="192"/>
      <c r="DP281" s="192"/>
      <c r="DQ281" s="192"/>
      <c r="DR281" s="192"/>
      <c r="DS281" s="192"/>
      <c r="DT281" s="192"/>
      <c r="DU281" s="192"/>
      <c r="DV281" s="192"/>
      <c r="DW281" s="192"/>
      <c r="DX281" s="192"/>
      <c r="DY281" s="192"/>
      <c r="DZ281" s="192"/>
      <c r="EA281" s="192"/>
      <c r="EB281" s="192"/>
      <c r="EC281" s="192"/>
      <c r="ED281" s="192"/>
      <c r="EE281" s="192"/>
      <c r="EF281" s="192"/>
      <c r="EG281" s="192"/>
      <c r="EH281" s="192"/>
      <c r="EI281" s="192"/>
      <c r="EJ281" s="192"/>
      <c r="EK281" s="192"/>
      <c r="EL281" s="192"/>
      <c r="EM281" s="192"/>
      <c r="EN281" s="192"/>
      <c r="EO281" s="192"/>
      <c r="EP281" s="192"/>
      <c r="EQ281" s="192"/>
    </row>
    <row r="282" spans="1:147" x14ac:dyDescent="0.2">
      <c r="A282" s="192"/>
      <c r="B282" s="192"/>
      <c r="C282" s="192"/>
      <c r="D282" s="192"/>
      <c r="E282" s="192"/>
      <c r="F282" s="192"/>
      <c r="G282" s="192"/>
      <c r="H282" s="192"/>
      <c r="I282" s="192"/>
      <c r="J282" s="192"/>
      <c r="K282" s="192"/>
      <c r="L282" s="192"/>
      <c r="M282" s="192"/>
      <c r="N282" s="192"/>
      <c r="O282" s="192"/>
      <c r="P282" s="192"/>
      <c r="Q282" s="192"/>
      <c r="R282" s="192"/>
      <c r="S282" s="266"/>
      <c r="T282" s="265"/>
      <c r="U282" s="265"/>
      <c r="V282" s="265"/>
      <c r="W282" s="265"/>
      <c r="X282" s="265"/>
      <c r="Y282" s="265"/>
      <c r="Z282" s="265"/>
      <c r="AA282" s="265"/>
      <c r="AB282" s="265"/>
      <c r="AC282" s="265"/>
      <c r="AD282" s="265"/>
      <c r="AE282" s="265"/>
      <c r="AF282" s="265"/>
      <c r="AG282" s="265"/>
      <c r="AH282" s="265"/>
      <c r="AI282" s="192"/>
      <c r="AJ282" s="192"/>
      <c r="AK282" s="192"/>
      <c r="AL282" s="192"/>
      <c r="AM282" s="192"/>
      <c r="AN282" s="192"/>
      <c r="AO282" s="192"/>
      <c r="AP282" s="192"/>
      <c r="AQ282" s="192"/>
      <c r="AR282" s="192"/>
      <c r="AS282" s="192"/>
      <c r="AT282" s="192"/>
      <c r="AU282" s="192"/>
      <c r="AV282" s="192"/>
      <c r="AW282" s="192"/>
      <c r="AX282" s="192"/>
      <c r="AY282" s="192"/>
      <c r="AZ282" s="192"/>
      <c r="BA282" s="192"/>
      <c r="BB282" s="192"/>
      <c r="BC282" s="192"/>
      <c r="BD282" s="192"/>
      <c r="BE282" s="192"/>
      <c r="BF282" s="192"/>
      <c r="BG282" s="192"/>
      <c r="BH282" s="192"/>
      <c r="BI282" s="192"/>
      <c r="BJ282" s="192"/>
      <c r="BK282" s="192"/>
      <c r="BL282" s="192"/>
      <c r="BM282" s="192"/>
      <c r="BN282" s="192"/>
      <c r="BO282" s="192"/>
      <c r="BP282" s="192"/>
      <c r="BQ282" s="192"/>
      <c r="BR282" s="192"/>
      <c r="BS282" s="192"/>
      <c r="BT282" s="192"/>
      <c r="BU282" s="192"/>
      <c r="BV282" s="192"/>
      <c r="BW282" s="192"/>
      <c r="BX282" s="192"/>
      <c r="BY282" s="192"/>
      <c r="BZ282" s="192"/>
      <c r="CA282" s="192"/>
      <c r="CB282" s="192"/>
      <c r="CC282" s="192"/>
      <c r="CD282" s="192"/>
      <c r="CE282" s="192"/>
      <c r="CF282" s="192"/>
      <c r="CG282" s="192"/>
      <c r="CH282" s="192"/>
      <c r="CI282" s="192"/>
      <c r="CJ282" s="192"/>
      <c r="CK282" s="192"/>
      <c r="CL282" s="192"/>
      <c r="CM282" s="192"/>
      <c r="CN282" s="192"/>
      <c r="CO282" s="192"/>
      <c r="CP282" s="192"/>
      <c r="CQ282" s="192"/>
      <c r="CR282" s="192"/>
      <c r="CS282" s="192"/>
      <c r="CT282" s="192"/>
      <c r="CU282" s="192"/>
      <c r="CV282" s="192"/>
      <c r="CW282" s="192"/>
      <c r="CX282" s="192"/>
      <c r="CY282" s="192"/>
      <c r="CZ282" s="192"/>
      <c r="DA282" s="192"/>
      <c r="DB282" s="192"/>
      <c r="DC282" s="192"/>
      <c r="DD282" s="192"/>
      <c r="DE282" s="192"/>
      <c r="DF282" s="192"/>
      <c r="DG282" s="192"/>
      <c r="DH282" s="192"/>
      <c r="DI282" s="192"/>
      <c r="DJ282" s="192"/>
      <c r="DK282" s="192"/>
      <c r="DL282" s="192"/>
      <c r="DM282" s="192"/>
      <c r="DN282" s="192"/>
      <c r="DO282" s="192"/>
      <c r="DP282" s="192"/>
      <c r="DQ282" s="192"/>
      <c r="DR282" s="192"/>
      <c r="DS282" s="192"/>
      <c r="DT282" s="192"/>
      <c r="DU282" s="192"/>
      <c r="DV282" s="192"/>
      <c r="DW282" s="192"/>
      <c r="DX282" s="192"/>
      <c r="DY282" s="192"/>
      <c r="DZ282" s="192"/>
      <c r="EA282" s="192"/>
      <c r="EB282" s="192"/>
      <c r="EC282" s="192"/>
      <c r="ED282" s="192"/>
      <c r="EE282" s="192"/>
      <c r="EF282" s="192"/>
      <c r="EG282" s="192"/>
      <c r="EH282" s="192"/>
      <c r="EI282" s="192"/>
      <c r="EJ282" s="192"/>
      <c r="EK282" s="192"/>
      <c r="EL282" s="192"/>
      <c r="EM282" s="192"/>
      <c r="EN282" s="192"/>
      <c r="EO282" s="192"/>
      <c r="EP282" s="192"/>
      <c r="EQ282" s="192"/>
    </row>
    <row r="283" spans="1:147" x14ac:dyDescent="0.2">
      <c r="A283" s="192"/>
      <c r="B283" s="192"/>
      <c r="C283" s="192"/>
      <c r="D283" s="192"/>
      <c r="E283" s="192"/>
      <c r="F283" s="192"/>
      <c r="G283" s="192"/>
      <c r="H283" s="192"/>
      <c r="I283" s="192"/>
      <c r="J283" s="192"/>
      <c r="K283" s="192"/>
      <c r="L283" s="192"/>
      <c r="M283" s="192"/>
      <c r="N283" s="192"/>
      <c r="O283" s="192"/>
      <c r="P283" s="192"/>
      <c r="Q283" s="192"/>
      <c r="R283" s="192"/>
      <c r="S283" s="266"/>
      <c r="T283" s="265"/>
      <c r="U283" s="265"/>
      <c r="V283" s="265"/>
      <c r="W283" s="265"/>
      <c r="X283" s="265"/>
      <c r="Y283" s="265"/>
      <c r="Z283" s="265"/>
      <c r="AA283" s="265"/>
      <c r="AB283" s="265"/>
      <c r="AC283" s="265"/>
      <c r="AD283" s="265"/>
      <c r="AE283" s="265"/>
      <c r="AF283" s="265"/>
      <c r="AG283" s="265"/>
      <c r="AH283" s="265"/>
      <c r="AI283" s="192"/>
      <c r="AJ283" s="192"/>
      <c r="AK283" s="192"/>
      <c r="AL283" s="192"/>
      <c r="AM283" s="192"/>
      <c r="AN283" s="192"/>
      <c r="AO283" s="192"/>
      <c r="AP283" s="192"/>
      <c r="AQ283" s="192"/>
      <c r="AR283" s="192"/>
      <c r="AS283" s="192"/>
      <c r="AT283" s="192"/>
      <c r="AU283" s="192"/>
      <c r="AV283" s="192"/>
      <c r="AW283" s="192"/>
      <c r="AX283" s="192"/>
      <c r="AY283" s="192"/>
      <c r="AZ283" s="192"/>
      <c r="BA283" s="192"/>
      <c r="BB283" s="192"/>
      <c r="BC283" s="192"/>
      <c r="BD283" s="192"/>
      <c r="BE283" s="192"/>
      <c r="BF283" s="192"/>
      <c r="BG283" s="192"/>
      <c r="BH283" s="192"/>
      <c r="BI283" s="192"/>
      <c r="BJ283" s="192"/>
      <c r="BK283" s="192"/>
      <c r="BL283" s="192"/>
      <c r="BM283" s="192"/>
      <c r="BN283" s="192"/>
      <c r="BO283" s="192"/>
      <c r="BP283" s="192"/>
      <c r="BQ283" s="192"/>
      <c r="BR283" s="192"/>
      <c r="BS283" s="192"/>
      <c r="BT283" s="192"/>
      <c r="BU283" s="192"/>
      <c r="BV283" s="192"/>
      <c r="BW283" s="192"/>
      <c r="BX283" s="192"/>
      <c r="BY283" s="192"/>
      <c r="BZ283" s="192"/>
      <c r="CA283" s="192"/>
      <c r="CB283" s="192"/>
      <c r="CC283" s="192"/>
      <c r="CD283" s="192"/>
      <c r="CE283" s="192"/>
      <c r="CF283" s="192"/>
      <c r="CG283" s="192"/>
      <c r="CH283" s="192"/>
      <c r="CI283" s="192"/>
      <c r="CJ283" s="192"/>
      <c r="CK283" s="192"/>
      <c r="CL283" s="192"/>
      <c r="CM283" s="192"/>
      <c r="CN283" s="192"/>
      <c r="CO283" s="192"/>
      <c r="CP283" s="192"/>
      <c r="CQ283" s="192"/>
      <c r="CR283" s="192"/>
      <c r="CS283" s="192"/>
      <c r="CT283" s="192"/>
      <c r="CU283" s="192"/>
      <c r="CV283" s="192"/>
      <c r="CW283" s="192"/>
      <c r="CX283" s="192"/>
      <c r="CY283" s="192"/>
      <c r="CZ283" s="192"/>
      <c r="DA283" s="192"/>
      <c r="DB283" s="192"/>
      <c r="DC283" s="192"/>
      <c r="DD283" s="192"/>
      <c r="DE283" s="192"/>
      <c r="DF283" s="192"/>
      <c r="DG283" s="192"/>
      <c r="DH283" s="192"/>
      <c r="DI283" s="192"/>
      <c r="DJ283" s="192"/>
      <c r="DK283" s="192"/>
      <c r="DL283" s="192"/>
      <c r="DM283" s="192"/>
      <c r="DN283" s="192"/>
      <c r="DO283" s="192"/>
      <c r="DP283" s="192"/>
      <c r="DQ283" s="192"/>
      <c r="DR283" s="192"/>
      <c r="DS283" s="192"/>
      <c r="DT283" s="192"/>
      <c r="DU283" s="192"/>
      <c r="DV283" s="192"/>
      <c r="DW283" s="192"/>
      <c r="DX283" s="192"/>
      <c r="DY283" s="192"/>
      <c r="DZ283" s="192"/>
      <c r="EA283" s="192"/>
      <c r="EB283" s="192"/>
      <c r="EC283" s="192"/>
      <c r="ED283" s="192"/>
      <c r="EE283" s="192"/>
      <c r="EF283" s="192"/>
      <c r="EG283" s="192"/>
      <c r="EH283" s="192"/>
      <c r="EI283" s="192"/>
      <c r="EJ283" s="192"/>
      <c r="EK283" s="192"/>
      <c r="EL283" s="192"/>
      <c r="EM283" s="192"/>
      <c r="EN283" s="192"/>
      <c r="EO283" s="192"/>
      <c r="EP283" s="192"/>
      <c r="EQ283" s="192"/>
    </row>
    <row r="284" spans="1:147" x14ac:dyDescent="0.2">
      <c r="A284" s="192"/>
      <c r="B284" s="192"/>
      <c r="C284" s="192"/>
      <c r="D284" s="192"/>
      <c r="E284" s="192"/>
      <c r="F284" s="192"/>
      <c r="G284" s="192"/>
      <c r="H284" s="192"/>
      <c r="I284" s="192"/>
      <c r="J284" s="192"/>
      <c r="K284" s="192"/>
      <c r="L284" s="192"/>
      <c r="M284" s="192"/>
      <c r="N284" s="192"/>
      <c r="O284" s="192"/>
      <c r="P284" s="192"/>
      <c r="Q284" s="192"/>
      <c r="R284" s="192"/>
      <c r="S284" s="266"/>
      <c r="T284" s="265"/>
      <c r="U284" s="265"/>
      <c r="V284" s="265"/>
      <c r="W284" s="265"/>
      <c r="X284" s="265"/>
      <c r="Y284" s="265"/>
      <c r="Z284" s="265"/>
      <c r="AA284" s="265"/>
      <c r="AB284" s="265"/>
      <c r="AC284" s="265"/>
      <c r="AD284" s="265"/>
      <c r="AE284" s="265"/>
      <c r="AF284" s="265"/>
      <c r="AG284" s="265"/>
      <c r="AH284" s="265"/>
      <c r="AI284" s="192"/>
      <c r="AJ284" s="192"/>
      <c r="AK284" s="192"/>
      <c r="AL284" s="192"/>
      <c r="AM284" s="192"/>
      <c r="AN284" s="192"/>
      <c r="AO284" s="192"/>
      <c r="AP284" s="192"/>
      <c r="AQ284" s="192"/>
      <c r="AR284" s="192"/>
      <c r="AS284" s="192"/>
      <c r="AT284" s="192"/>
      <c r="AU284" s="192"/>
      <c r="AV284" s="192"/>
      <c r="AW284" s="192"/>
      <c r="AX284" s="192"/>
      <c r="AY284" s="192"/>
      <c r="AZ284" s="192"/>
      <c r="BA284" s="192"/>
      <c r="BB284" s="192"/>
      <c r="BC284" s="192"/>
      <c r="BD284" s="192"/>
      <c r="BE284" s="192"/>
      <c r="BF284" s="192"/>
      <c r="BG284" s="192"/>
      <c r="BH284" s="192"/>
      <c r="BI284" s="192"/>
      <c r="BJ284" s="192"/>
      <c r="BK284" s="192"/>
      <c r="BL284" s="192"/>
      <c r="BM284" s="192"/>
      <c r="BN284" s="192"/>
      <c r="BO284" s="192"/>
      <c r="BP284" s="192"/>
      <c r="BQ284" s="192"/>
      <c r="BR284" s="192"/>
      <c r="BS284" s="192"/>
      <c r="BT284" s="192"/>
      <c r="BU284" s="192"/>
      <c r="BV284" s="192"/>
      <c r="BW284" s="192"/>
      <c r="BX284" s="192"/>
      <c r="BY284" s="192"/>
      <c r="BZ284" s="192"/>
      <c r="CA284" s="192"/>
      <c r="CB284" s="192"/>
      <c r="CC284" s="192"/>
      <c r="CD284" s="192"/>
      <c r="CE284" s="192"/>
      <c r="CF284" s="192"/>
      <c r="CG284" s="192"/>
      <c r="CH284" s="192"/>
      <c r="CI284" s="192"/>
      <c r="CJ284" s="192"/>
      <c r="CK284" s="192"/>
      <c r="CL284" s="192"/>
      <c r="CM284" s="192"/>
      <c r="CN284" s="192"/>
      <c r="CO284" s="192"/>
      <c r="CP284" s="192"/>
      <c r="CQ284" s="192"/>
      <c r="CR284" s="192"/>
      <c r="CS284" s="192"/>
      <c r="CT284" s="192"/>
      <c r="CU284" s="192"/>
      <c r="CV284" s="192"/>
      <c r="CW284" s="192"/>
      <c r="CX284" s="192"/>
      <c r="CY284" s="192"/>
      <c r="CZ284" s="192"/>
      <c r="DA284" s="192"/>
      <c r="DB284" s="192"/>
      <c r="DC284" s="192"/>
      <c r="DD284" s="192"/>
      <c r="DE284" s="192"/>
      <c r="DF284" s="192"/>
      <c r="DG284" s="192"/>
      <c r="DH284" s="192"/>
      <c r="DI284" s="192"/>
      <c r="DJ284" s="192"/>
      <c r="DK284" s="192"/>
      <c r="DL284" s="192"/>
      <c r="DM284" s="192"/>
      <c r="DN284" s="192"/>
      <c r="DO284" s="192"/>
      <c r="DP284" s="192"/>
      <c r="DQ284" s="192"/>
      <c r="DR284" s="192"/>
      <c r="DS284" s="192"/>
      <c r="DT284" s="192"/>
      <c r="DU284" s="192"/>
      <c r="DV284" s="192"/>
      <c r="DW284" s="192"/>
      <c r="DX284" s="192"/>
      <c r="DY284" s="192"/>
      <c r="DZ284" s="192"/>
      <c r="EA284" s="192"/>
      <c r="EB284" s="192"/>
      <c r="EC284" s="192"/>
      <c r="ED284" s="192"/>
      <c r="EE284" s="192"/>
      <c r="EF284" s="192"/>
      <c r="EG284" s="192"/>
      <c r="EH284" s="192"/>
      <c r="EI284" s="192"/>
      <c r="EJ284" s="192"/>
      <c r="EK284" s="192"/>
      <c r="EL284" s="192"/>
      <c r="EM284" s="192"/>
      <c r="EN284" s="192"/>
      <c r="EO284" s="192"/>
      <c r="EP284" s="192"/>
      <c r="EQ284" s="192"/>
    </row>
    <row r="285" spans="1:147" x14ac:dyDescent="0.2">
      <c r="A285" s="192"/>
      <c r="B285" s="192"/>
      <c r="C285" s="192"/>
      <c r="D285" s="192"/>
      <c r="E285" s="192"/>
      <c r="F285" s="192"/>
      <c r="G285" s="192"/>
      <c r="H285" s="192"/>
      <c r="I285" s="192"/>
      <c r="J285" s="192"/>
      <c r="K285" s="192"/>
      <c r="L285" s="192"/>
      <c r="M285" s="192"/>
      <c r="N285" s="192"/>
      <c r="O285" s="192"/>
      <c r="P285" s="192"/>
      <c r="Q285" s="192"/>
      <c r="R285" s="192"/>
      <c r="S285" s="266"/>
      <c r="T285" s="265"/>
      <c r="U285" s="265"/>
      <c r="V285" s="265"/>
      <c r="W285" s="265"/>
      <c r="X285" s="265"/>
      <c r="Y285" s="265"/>
      <c r="Z285" s="265"/>
      <c r="AA285" s="265"/>
      <c r="AB285" s="265"/>
      <c r="AC285" s="265"/>
      <c r="AD285" s="265"/>
      <c r="AE285" s="265"/>
      <c r="AF285" s="265"/>
      <c r="AG285" s="265"/>
      <c r="AH285" s="265"/>
      <c r="AI285" s="192"/>
      <c r="AJ285" s="192"/>
      <c r="AK285" s="192"/>
      <c r="AL285" s="192"/>
      <c r="AM285" s="192"/>
      <c r="AN285" s="192"/>
      <c r="AO285" s="192"/>
      <c r="AP285" s="192"/>
      <c r="AQ285" s="192"/>
      <c r="AR285" s="192"/>
      <c r="AS285" s="192"/>
      <c r="AT285" s="192"/>
      <c r="AU285" s="192"/>
      <c r="AV285" s="192"/>
      <c r="AW285" s="192"/>
      <c r="AX285" s="192"/>
      <c r="AY285" s="192"/>
      <c r="AZ285" s="192"/>
      <c r="BA285" s="192"/>
      <c r="BB285" s="192"/>
      <c r="BC285" s="192"/>
      <c r="BD285" s="192"/>
      <c r="BE285" s="192"/>
      <c r="BF285" s="192"/>
      <c r="BG285" s="192"/>
      <c r="BH285" s="192"/>
      <c r="BI285" s="192"/>
      <c r="BJ285" s="192"/>
      <c r="BK285" s="192"/>
      <c r="BL285" s="192"/>
      <c r="BM285" s="192"/>
      <c r="BN285" s="192"/>
      <c r="BO285" s="192"/>
      <c r="BP285" s="192"/>
      <c r="BQ285" s="192"/>
      <c r="BR285" s="192"/>
      <c r="BS285" s="192"/>
      <c r="BT285" s="192"/>
      <c r="BU285" s="192"/>
      <c r="BV285" s="192"/>
      <c r="BW285" s="192"/>
      <c r="BX285" s="192"/>
      <c r="BY285" s="192"/>
      <c r="BZ285" s="192"/>
      <c r="CA285" s="192"/>
      <c r="CB285" s="192"/>
      <c r="CC285" s="192"/>
      <c r="CD285" s="192"/>
      <c r="CE285" s="192"/>
      <c r="CF285" s="192"/>
      <c r="CG285" s="192"/>
      <c r="CH285" s="192"/>
      <c r="CI285" s="192"/>
      <c r="CJ285" s="192"/>
      <c r="CK285" s="192"/>
      <c r="CL285" s="192"/>
      <c r="CM285" s="192"/>
      <c r="CN285" s="192"/>
      <c r="CO285" s="192"/>
      <c r="CP285" s="192"/>
      <c r="CQ285" s="192"/>
      <c r="CR285" s="192"/>
      <c r="CS285" s="192"/>
      <c r="CT285" s="192"/>
      <c r="CU285" s="192"/>
      <c r="CV285" s="192"/>
      <c r="CW285" s="192"/>
      <c r="CX285" s="192"/>
      <c r="CY285" s="192"/>
      <c r="CZ285" s="192"/>
      <c r="DA285" s="192"/>
      <c r="DB285" s="192"/>
      <c r="DC285" s="192"/>
      <c r="DD285" s="192"/>
      <c r="DE285" s="192"/>
      <c r="DF285" s="192"/>
      <c r="DG285" s="192"/>
      <c r="DH285" s="192"/>
      <c r="DI285" s="192"/>
      <c r="DJ285" s="192"/>
      <c r="DK285" s="192"/>
      <c r="DL285" s="192"/>
      <c r="DM285" s="192"/>
      <c r="DN285" s="192"/>
      <c r="DO285" s="192"/>
      <c r="DP285" s="192"/>
      <c r="DQ285" s="192"/>
      <c r="DR285" s="192"/>
      <c r="DS285" s="192"/>
      <c r="DT285" s="192"/>
      <c r="DU285" s="192"/>
      <c r="DV285" s="192"/>
      <c r="DW285" s="192"/>
      <c r="DX285" s="192"/>
      <c r="DY285" s="192"/>
      <c r="DZ285" s="192"/>
      <c r="EA285" s="192"/>
      <c r="EB285" s="192"/>
      <c r="EC285" s="192"/>
      <c r="ED285" s="192"/>
      <c r="EE285" s="192"/>
      <c r="EF285" s="192"/>
      <c r="EG285" s="192"/>
      <c r="EH285" s="192"/>
      <c r="EI285" s="192"/>
      <c r="EJ285" s="192"/>
      <c r="EK285" s="192"/>
      <c r="EL285" s="192"/>
      <c r="EM285" s="192"/>
      <c r="EN285" s="192"/>
      <c r="EO285" s="192"/>
      <c r="EP285" s="192"/>
      <c r="EQ285" s="192"/>
    </row>
    <row r="286" spans="1:147" x14ac:dyDescent="0.2">
      <c r="A286" s="192"/>
      <c r="B286" s="192"/>
      <c r="C286" s="192"/>
      <c r="D286" s="192"/>
      <c r="E286" s="192"/>
      <c r="F286" s="192"/>
      <c r="G286" s="192"/>
      <c r="H286" s="192"/>
      <c r="I286" s="192"/>
      <c r="J286" s="192"/>
      <c r="K286" s="192"/>
      <c r="L286" s="192"/>
      <c r="M286" s="192"/>
      <c r="N286" s="192"/>
      <c r="O286" s="192"/>
      <c r="P286" s="192"/>
      <c r="Q286" s="192"/>
      <c r="R286" s="192"/>
      <c r="S286" s="266"/>
      <c r="T286" s="265"/>
      <c r="U286" s="265"/>
      <c r="V286" s="265"/>
      <c r="W286" s="265"/>
      <c r="X286" s="265"/>
      <c r="Y286" s="265"/>
      <c r="Z286" s="265"/>
      <c r="AA286" s="265"/>
      <c r="AB286" s="265"/>
      <c r="AC286" s="265"/>
      <c r="AD286" s="265"/>
      <c r="AE286" s="265"/>
      <c r="AF286" s="265"/>
      <c r="AG286" s="265"/>
      <c r="AH286" s="265"/>
      <c r="AI286" s="192"/>
      <c r="AJ286" s="192"/>
      <c r="AK286" s="192"/>
      <c r="AL286" s="192"/>
      <c r="AM286" s="192"/>
      <c r="AN286" s="192"/>
      <c r="AO286" s="192"/>
      <c r="AP286" s="192"/>
      <c r="AQ286" s="192"/>
      <c r="AR286" s="192"/>
      <c r="AS286" s="192"/>
      <c r="AT286" s="192"/>
      <c r="AU286" s="192"/>
      <c r="AV286" s="192"/>
      <c r="AW286" s="192"/>
      <c r="AX286" s="192"/>
      <c r="AY286" s="192"/>
      <c r="AZ286" s="192"/>
      <c r="BA286" s="192"/>
      <c r="BB286" s="192"/>
      <c r="BC286" s="192"/>
      <c r="BD286" s="192"/>
      <c r="BE286" s="192"/>
      <c r="BF286" s="192"/>
      <c r="BG286" s="192"/>
      <c r="BH286" s="192"/>
      <c r="BI286" s="192"/>
      <c r="BJ286" s="192"/>
      <c r="BK286" s="192"/>
      <c r="BL286" s="192"/>
      <c r="BM286" s="192"/>
      <c r="BN286" s="192"/>
      <c r="BO286" s="192"/>
      <c r="BP286" s="192"/>
      <c r="BQ286" s="192"/>
      <c r="BR286" s="192"/>
      <c r="BS286" s="192"/>
      <c r="BT286" s="192"/>
      <c r="BU286" s="192"/>
      <c r="BV286" s="192"/>
      <c r="BW286" s="192"/>
      <c r="BX286" s="192"/>
      <c r="BY286" s="192"/>
      <c r="BZ286" s="192"/>
      <c r="CA286" s="192"/>
      <c r="CB286" s="192"/>
      <c r="CC286" s="192"/>
      <c r="CD286" s="192"/>
      <c r="CE286" s="192"/>
      <c r="CF286" s="192"/>
      <c r="CG286" s="192"/>
      <c r="CH286" s="192"/>
      <c r="CI286" s="192"/>
      <c r="CJ286" s="192"/>
      <c r="CK286" s="192"/>
      <c r="CL286" s="192"/>
      <c r="CM286" s="192"/>
      <c r="CN286" s="192"/>
      <c r="CO286" s="192"/>
      <c r="CP286" s="192"/>
      <c r="CQ286" s="192"/>
      <c r="CR286" s="192"/>
      <c r="CS286" s="192"/>
      <c r="CT286" s="192"/>
      <c r="CU286" s="192"/>
      <c r="CV286" s="192"/>
      <c r="CW286" s="192"/>
      <c r="CX286" s="192"/>
      <c r="CY286" s="192"/>
      <c r="CZ286" s="192"/>
      <c r="DA286" s="192"/>
      <c r="DB286" s="192"/>
      <c r="DC286" s="192"/>
      <c r="DD286" s="192"/>
      <c r="DE286" s="192"/>
      <c r="DF286" s="192"/>
      <c r="DG286" s="192"/>
      <c r="DH286" s="192"/>
      <c r="DI286" s="192"/>
      <c r="DJ286" s="192"/>
      <c r="DK286" s="192"/>
      <c r="DL286" s="192"/>
      <c r="DM286" s="192"/>
      <c r="DN286" s="192"/>
      <c r="DO286" s="192"/>
      <c r="DP286" s="192"/>
      <c r="DQ286" s="192"/>
      <c r="DR286" s="192"/>
      <c r="DS286" s="192"/>
      <c r="DT286" s="192"/>
      <c r="DU286" s="192"/>
      <c r="DV286" s="192"/>
      <c r="DW286" s="192"/>
      <c r="DX286" s="192"/>
      <c r="DY286" s="192"/>
      <c r="DZ286" s="192"/>
      <c r="EA286" s="192"/>
      <c r="EB286" s="192"/>
      <c r="EC286" s="192"/>
      <c r="ED286" s="192"/>
      <c r="EE286" s="192"/>
      <c r="EF286" s="192"/>
      <c r="EG286" s="192"/>
      <c r="EH286" s="192"/>
      <c r="EI286" s="192"/>
      <c r="EJ286" s="192"/>
      <c r="EK286" s="192"/>
      <c r="EL286" s="192"/>
      <c r="EM286" s="192"/>
      <c r="EN286" s="192"/>
      <c r="EO286" s="192"/>
      <c r="EP286" s="192"/>
      <c r="EQ286" s="192"/>
    </row>
    <row r="287" spans="1:147" x14ac:dyDescent="0.2">
      <c r="A287" s="192"/>
      <c r="B287" s="192"/>
      <c r="C287" s="192"/>
      <c r="D287" s="192"/>
      <c r="E287" s="192"/>
      <c r="F287" s="192"/>
      <c r="G287" s="192"/>
      <c r="H287" s="192"/>
      <c r="I287" s="192"/>
      <c r="J287" s="192"/>
      <c r="K287" s="192"/>
      <c r="L287" s="192"/>
      <c r="M287" s="192"/>
      <c r="N287" s="192"/>
      <c r="O287" s="192"/>
      <c r="P287" s="192"/>
      <c r="Q287" s="192"/>
      <c r="R287" s="192"/>
      <c r="S287" s="266"/>
      <c r="T287" s="265"/>
      <c r="U287" s="265"/>
      <c r="V287" s="265"/>
      <c r="W287" s="265"/>
      <c r="X287" s="265"/>
      <c r="Y287" s="265"/>
      <c r="Z287" s="265"/>
      <c r="AA287" s="265"/>
      <c r="AB287" s="265"/>
      <c r="AC287" s="265"/>
      <c r="AD287" s="265"/>
      <c r="AE287" s="265"/>
      <c r="AF287" s="265"/>
      <c r="AG287" s="265"/>
      <c r="AH287" s="265"/>
      <c r="AI287" s="192"/>
      <c r="AJ287" s="192"/>
      <c r="AK287" s="192"/>
      <c r="AL287" s="192"/>
      <c r="AM287" s="192"/>
      <c r="AN287" s="192"/>
      <c r="AO287" s="192"/>
      <c r="AP287" s="192"/>
      <c r="AQ287" s="192"/>
      <c r="AR287" s="192"/>
      <c r="AS287" s="192"/>
      <c r="AT287" s="192"/>
      <c r="AU287" s="192"/>
      <c r="AV287" s="192"/>
      <c r="AW287" s="192"/>
      <c r="AX287" s="192"/>
      <c r="AY287" s="192"/>
      <c r="AZ287" s="192"/>
      <c r="BA287" s="192"/>
      <c r="BB287" s="192"/>
      <c r="BC287" s="192"/>
      <c r="BD287" s="192"/>
      <c r="BE287" s="192"/>
      <c r="BF287" s="192"/>
      <c r="BG287" s="192"/>
      <c r="BH287" s="192"/>
      <c r="BI287" s="192"/>
      <c r="BJ287" s="192"/>
      <c r="BK287" s="192"/>
      <c r="BL287" s="192"/>
      <c r="BM287" s="192"/>
      <c r="BN287" s="192"/>
      <c r="BO287" s="192"/>
      <c r="BP287" s="192"/>
      <c r="BQ287" s="192"/>
      <c r="BR287" s="192"/>
      <c r="BS287" s="192"/>
      <c r="BT287" s="192"/>
      <c r="BU287" s="192"/>
      <c r="BV287" s="192"/>
      <c r="BW287" s="192"/>
      <c r="BX287" s="192"/>
      <c r="BY287" s="192"/>
      <c r="BZ287" s="192"/>
      <c r="CA287" s="192"/>
      <c r="CB287" s="192"/>
      <c r="CC287" s="192"/>
      <c r="CD287" s="192"/>
      <c r="CE287" s="192"/>
      <c r="CF287" s="192"/>
      <c r="CG287" s="192"/>
      <c r="CH287" s="192"/>
      <c r="CI287" s="192"/>
      <c r="CJ287" s="192"/>
      <c r="CK287" s="192"/>
      <c r="CL287" s="192"/>
      <c r="CM287" s="192"/>
      <c r="CN287" s="192"/>
      <c r="CO287" s="192"/>
      <c r="CP287" s="192"/>
      <c r="CQ287" s="192"/>
      <c r="CR287" s="192"/>
      <c r="CS287" s="192"/>
      <c r="CT287" s="192"/>
      <c r="CU287" s="192"/>
      <c r="CV287" s="192"/>
      <c r="CW287" s="192"/>
      <c r="CX287" s="192"/>
      <c r="CY287" s="192"/>
      <c r="CZ287" s="192"/>
      <c r="DA287" s="192"/>
      <c r="DB287" s="192"/>
      <c r="DC287" s="192"/>
      <c r="DD287" s="192"/>
      <c r="DE287" s="192"/>
      <c r="DF287" s="192"/>
      <c r="DG287" s="192"/>
      <c r="DH287" s="192"/>
      <c r="DI287" s="192"/>
      <c r="DJ287" s="192"/>
      <c r="DK287" s="192"/>
      <c r="DL287" s="192"/>
      <c r="DM287" s="192"/>
      <c r="DN287" s="192"/>
      <c r="DO287" s="192"/>
      <c r="DP287" s="192"/>
      <c r="DQ287" s="192"/>
      <c r="DR287" s="192"/>
      <c r="DS287" s="192"/>
      <c r="DT287" s="192"/>
      <c r="DU287" s="192"/>
      <c r="DV287" s="192"/>
      <c r="DW287" s="192"/>
      <c r="DX287" s="192"/>
      <c r="DY287" s="192"/>
      <c r="DZ287" s="192"/>
      <c r="EA287" s="192"/>
      <c r="EB287" s="192"/>
      <c r="EC287" s="192"/>
      <c r="ED287" s="192"/>
      <c r="EE287" s="192"/>
      <c r="EF287" s="192"/>
      <c r="EG287" s="192"/>
      <c r="EH287" s="192"/>
      <c r="EI287" s="192"/>
      <c r="EJ287" s="192"/>
      <c r="EK287" s="192"/>
      <c r="EL287" s="192"/>
      <c r="EM287" s="192"/>
      <c r="EN287" s="192"/>
      <c r="EO287" s="192"/>
      <c r="EP287" s="192"/>
      <c r="EQ287" s="192"/>
    </row>
    <row r="288" spans="1:147" x14ac:dyDescent="0.2">
      <c r="A288" s="192"/>
      <c r="B288" s="192"/>
      <c r="C288" s="192"/>
      <c r="D288" s="192"/>
      <c r="E288" s="192"/>
      <c r="F288" s="192"/>
      <c r="G288" s="192"/>
      <c r="H288" s="192"/>
      <c r="I288" s="192"/>
      <c r="J288" s="192"/>
      <c r="K288" s="192"/>
      <c r="L288" s="192"/>
      <c r="M288" s="192"/>
      <c r="N288" s="192"/>
      <c r="O288" s="192"/>
      <c r="P288" s="192"/>
      <c r="Q288" s="192"/>
      <c r="R288" s="192"/>
      <c r="S288" s="266"/>
      <c r="T288" s="265"/>
      <c r="U288" s="265"/>
      <c r="V288" s="265"/>
      <c r="W288" s="265"/>
      <c r="X288" s="265"/>
      <c r="Y288" s="265"/>
      <c r="Z288" s="265"/>
      <c r="AA288" s="265"/>
      <c r="AB288" s="265"/>
      <c r="AC288" s="265"/>
      <c r="AD288" s="265"/>
      <c r="AE288" s="265"/>
      <c r="AF288" s="265"/>
      <c r="AG288" s="265"/>
      <c r="AH288" s="265"/>
      <c r="AI288" s="192"/>
      <c r="AJ288" s="192"/>
      <c r="AK288" s="192"/>
      <c r="AL288" s="192"/>
      <c r="AM288" s="192"/>
      <c r="AN288" s="192"/>
      <c r="AO288" s="192"/>
      <c r="AP288" s="192"/>
      <c r="AQ288" s="192"/>
      <c r="AR288" s="192"/>
      <c r="AS288" s="192"/>
      <c r="AT288" s="192"/>
      <c r="AU288" s="192"/>
      <c r="AV288" s="192"/>
      <c r="AW288" s="192"/>
      <c r="AX288" s="192"/>
      <c r="AY288" s="192"/>
      <c r="AZ288" s="192"/>
      <c r="BA288" s="192"/>
      <c r="BB288" s="192"/>
      <c r="BC288" s="192"/>
      <c r="BD288" s="192"/>
      <c r="BE288" s="192"/>
      <c r="BF288" s="192"/>
      <c r="BG288" s="192"/>
      <c r="BH288" s="192"/>
      <c r="BI288" s="192"/>
      <c r="BJ288" s="192"/>
      <c r="BK288" s="192"/>
      <c r="BL288" s="192"/>
      <c r="BM288" s="192"/>
      <c r="BN288" s="192"/>
      <c r="BO288" s="192"/>
      <c r="BP288" s="192"/>
      <c r="BQ288" s="192"/>
      <c r="BR288" s="192"/>
      <c r="BS288" s="192"/>
      <c r="BT288" s="192"/>
      <c r="BU288" s="192"/>
      <c r="BV288" s="192"/>
      <c r="BW288" s="192"/>
      <c r="BX288" s="192"/>
      <c r="BY288" s="192"/>
      <c r="BZ288" s="192"/>
      <c r="CA288" s="192"/>
      <c r="CB288" s="192"/>
      <c r="CC288" s="192"/>
      <c r="CD288" s="192"/>
      <c r="CE288" s="192"/>
      <c r="CF288" s="192"/>
      <c r="CG288" s="192"/>
      <c r="CH288" s="192"/>
      <c r="CI288" s="192"/>
      <c r="CJ288" s="192"/>
      <c r="CK288" s="192"/>
      <c r="CL288" s="192"/>
      <c r="CM288" s="192"/>
      <c r="CN288" s="192"/>
      <c r="CO288" s="192"/>
      <c r="CP288" s="192"/>
      <c r="CQ288" s="192"/>
      <c r="CR288" s="192"/>
      <c r="CS288" s="192"/>
      <c r="CT288" s="192"/>
      <c r="CU288" s="192"/>
      <c r="CV288" s="192"/>
      <c r="CW288" s="192"/>
      <c r="CX288" s="192"/>
      <c r="CY288" s="192"/>
      <c r="CZ288" s="192"/>
      <c r="DA288" s="192"/>
      <c r="DB288" s="192"/>
      <c r="DC288" s="192"/>
      <c r="DD288" s="192"/>
      <c r="DE288" s="192"/>
      <c r="DF288" s="192"/>
      <c r="DG288" s="192"/>
      <c r="DH288" s="192"/>
      <c r="DI288" s="192"/>
      <c r="DJ288" s="192"/>
      <c r="DK288" s="192"/>
      <c r="DL288" s="192"/>
      <c r="DM288" s="192"/>
      <c r="DN288" s="192"/>
      <c r="DO288" s="192"/>
      <c r="DP288" s="192"/>
      <c r="DQ288" s="192"/>
      <c r="DR288" s="192"/>
      <c r="DS288" s="192"/>
      <c r="DT288" s="192"/>
      <c r="DU288" s="192"/>
      <c r="DV288" s="192"/>
      <c r="DW288" s="192"/>
      <c r="DX288" s="192"/>
      <c r="DY288" s="192"/>
      <c r="DZ288" s="192"/>
      <c r="EA288" s="192"/>
      <c r="EB288" s="192"/>
      <c r="EC288" s="192"/>
      <c r="ED288" s="192"/>
      <c r="EE288" s="192"/>
      <c r="EF288" s="192"/>
      <c r="EG288" s="192"/>
      <c r="EH288" s="192"/>
      <c r="EI288" s="192"/>
      <c r="EJ288" s="192"/>
      <c r="EK288" s="192"/>
      <c r="EL288" s="192"/>
      <c r="EM288" s="192"/>
      <c r="EN288" s="192"/>
      <c r="EO288" s="192"/>
      <c r="EP288" s="192"/>
      <c r="EQ288" s="192"/>
    </row>
    <row r="289" spans="1:147" x14ac:dyDescent="0.2">
      <c r="A289" s="192"/>
      <c r="B289" s="192"/>
      <c r="C289" s="192"/>
      <c r="D289" s="192"/>
      <c r="E289" s="192"/>
      <c r="F289" s="192"/>
      <c r="G289" s="192"/>
      <c r="H289" s="192"/>
      <c r="I289" s="192"/>
      <c r="J289" s="192"/>
      <c r="K289" s="192"/>
      <c r="L289" s="192"/>
      <c r="M289" s="192"/>
      <c r="N289" s="192"/>
      <c r="O289" s="192"/>
      <c r="P289" s="192"/>
      <c r="Q289" s="192"/>
      <c r="R289" s="192"/>
      <c r="S289" s="266"/>
      <c r="T289" s="265"/>
      <c r="U289" s="265"/>
      <c r="V289" s="265"/>
      <c r="W289" s="265"/>
      <c r="X289" s="265"/>
      <c r="Y289" s="265"/>
      <c r="Z289" s="265"/>
      <c r="AA289" s="265"/>
      <c r="AB289" s="265"/>
      <c r="AC289" s="265"/>
      <c r="AD289" s="265"/>
      <c r="AE289" s="265"/>
      <c r="AF289" s="265"/>
      <c r="AG289" s="265"/>
      <c r="AH289" s="265"/>
      <c r="AI289" s="192"/>
      <c r="AJ289" s="192"/>
      <c r="AK289" s="192"/>
      <c r="AL289" s="192"/>
      <c r="AM289" s="192"/>
      <c r="AN289" s="192"/>
      <c r="AO289" s="192"/>
      <c r="AP289" s="192"/>
      <c r="AQ289" s="192"/>
      <c r="AR289" s="192"/>
      <c r="AS289" s="192"/>
      <c r="AT289" s="192"/>
      <c r="AU289" s="192"/>
      <c r="AV289" s="192"/>
      <c r="AW289" s="192"/>
      <c r="AX289" s="192"/>
      <c r="AY289" s="192"/>
      <c r="AZ289" s="192"/>
      <c r="BA289" s="192"/>
      <c r="BB289" s="192"/>
      <c r="BC289" s="192"/>
      <c r="BD289" s="192"/>
      <c r="BE289" s="192"/>
      <c r="BF289" s="192"/>
      <c r="BG289" s="192"/>
      <c r="BH289" s="192"/>
      <c r="BI289" s="192"/>
      <c r="BJ289" s="192"/>
      <c r="BK289" s="192"/>
      <c r="BL289" s="192"/>
      <c r="BM289" s="192"/>
      <c r="BN289" s="192"/>
      <c r="BO289" s="192"/>
      <c r="BP289" s="192"/>
      <c r="BQ289" s="192"/>
      <c r="BR289" s="192"/>
      <c r="BS289" s="192"/>
      <c r="BT289" s="192"/>
      <c r="BU289" s="192"/>
      <c r="BV289" s="192"/>
      <c r="BW289" s="192"/>
      <c r="BX289" s="192"/>
      <c r="BY289" s="192"/>
      <c r="BZ289" s="192"/>
      <c r="CA289" s="192"/>
      <c r="CB289" s="192"/>
      <c r="CC289" s="192"/>
      <c r="CD289" s="192"/>
      <c r="CE289" s="192"/>
      <c r="CF289" s="192"/>
      <c r="CG289" s="192"/>
      <c r="CH289" s="192"/>
      <c r="CI289" s="192"/>
      <c r="CJ289" s="192"/>
      <c r="CK289" s="192"/>
      <c r="CL289" s="192"/>
      <c r="CM289" s="192"/>
      <c r="CN289" s="192"/>
      <c r="CO289" s="192"/>
      <c r="CP289" s="192"/>
      <c r="CQ289" s="192"/>
      <c r="CR289" s="192"/>
      <c r="CS289" s="192"/>
      <c r="CT289" s="192"/>
      <c r="CU289" s="192"/>
      <c r="CV289" s="192"/>
      <c r="CW289" s="192"/>
      <c r="CX289" s="192"/>
      <c r="CY289" s="192"/>
      <c r="CZ289" s="192"/>
      <c r="DA289" s="192"/>
      <c r="DB289" s="192"/>
      <c r="DC289" s="192"/>
      <c r="DD289" s="192"/>
      <c r="DE289" s="192"/>
      <c r="DF289" s="192"/>
      <c r="DG289" s="192"/>
      <c r="DH289" s="192"/>
      <c r="DI289" s="192"/>
      <c r="DJ289" s="192"/>
      <c r="DK289" s="192"/>
      <c r="DL289" s="192"/>
      <c r="DM289" s="192"/>
      <c r="DN289" s="192"/>
      <c r="DO289" s="192"/>
      <c r="DP289" s="192"/>
      <c r="DQ289" s="192"/>
      <c r="DR289" s="192"/>
      <c r="DS289" s="192"/>
      <c r="DT289" s="192"/>
      <c r="DU289" s="192"/>
      <c r="DV289" s="192"/>
      <c r="DW289" s="192"/>
      <c r="DX289" s="192"/>
      <c r="DY289" s="192"/>
      <c r="DZ289" s="192"/>
      <c r="EA289" s="192"/>
      <c r="EB289" s="192"/>
      <c r="EC289" s="192"/>
      <c r="ED289" s="192"/>
      <c r="EE289" s="192"/>
      <c r="EF289" s="192"/>
      <c r="EG289" s="192"/>
      <c r="EH289" s="192"/>
      <c r="EI289" s="192"/>
      <c r="EJ289" s="192"/>
      <c r="EK289" s="192"/>
      <c r="EL289" s="192"/>
      <c r="EM289" s="192"/>
      <c r="EN289" s="192"/>
      <c r="EO289" s="192"/>
      <c r="EP289" s="192"/>
      <c r="EQ289" s="192"/>
    </row>
    <row r="290" spans="1:147" x14ac:dyDescent="0.2">
      <c r="A290" s="192"/>
      <c r="B290" s="192"/>
      <c r="C290" s="192"/>
      <c r="D290" s="192"/>
      <c r="E290" s="192"/>
      <c r="F290" s="192"/>
      <c r="G290" s="192"/>
      <c r="H290" s="192"/>
      <c r="I290" s="192"/>
      <c r="J290" s="192"/>
      <c r="K290" s="192"/>
      <c r="L290" s="192"/>
      <c r="M290" s="192"/>
      <c r="N290" s="192"/>
      <c r="O290" s="192"/>
      <c r="P290" s="192"/>
      <c r="Q290" s="192"/>
      <c r="R290" s="192"/>
      <c r="S290" s="266"/>
      <c r="T290" s="265"/>
      <c r="U290" s="265"/>
      <c r="V290" s="265"/>
      <c r="W290" s="265"/>
      <c r="X290" s="265"/>
      <c r="Y290" s="265"/>
      <c r="Z290" s="265"/>
      <c r="AA290" s="265"/>
      <c r="AB290" s="265"/>
      <c r="AC290" s="265"/>
      <c r="AD290" s="265"/>
      <c r="AE290" s="265"/>
      <c r="AF290" s="265"/>
      <c r="AG290" s="265"/>
      <c r="AH290" s="265"/>
      <c r="AI290" s="192"/>
      <c r="AJ290" s="192"/>
      <c r="AK290" s="192"/>
      <c r="AL290" s="192"/>
      <c r="AM290" s="192"/>
      <c r="AN290" s="192"/>
      <c r="AO290" s="192"/>
      <c r="AP290" s="192"/>
      <c r="AQ290" s="192"/>
      <c r="AR290" s="192"/>
      <c r="AS290" s="192"/>
      <c r="AT290" s="192"/>
      <c r="AU290" s="192"/>
      <c r="AV290" s="192"/>
      <c r="AW290" s="192"/>
      <c r="AX290" s="192"/>
      <c r="AY290" s="192"/>
      <c r="AZ290" s="192"/>
      <c r="BA290" s="192"/>
      <c r="BB290" s="192"/>
      <c r="BC290" s="192"/>
      <c r="BD290" s="192"/>
      <c r="BE290" s="192"/>
      <c r="BF290" s="192"/>
      <c r="BG290" s="192"/>
      <c r="BH290" s="192"/>
      <c r="BI290" s="192"/>
      <c r="BJ290" s="192"/>
      <c r="BK290" s="192"/>
      <c r="BL290" s="192"/>
      <c r="BM290" s="192"/>
      <c r="BN290" s="192"/>
      <c r="BO290" s="192"/>
      <c r="BP290" s="192"/>
      <c r="BQ290" s="192"/>
      <c r="BR290" s="192"/>
      <c r="BS290" s="192"/>
      <c r="BT290" s="192"/>
      <c r="BU290" s="192"/>
      <c r="BV290" s="192"/>
      <c r="BW290" s="192"/>
      <c r="BX290" s="192"/>
      <c r="BY290" s="192"/>
      <c r="BZ290" s="192"/>
      <c r="CA290" s="192"/>
      <c r="CB290" s="192"/>
      <c r="CC290" s="192"/>
      <c r="CD290" s="192"/>
      <c r="CE290" s="192"/>
      <c r="CF290" s="192"/>
      <c r="CG290" s="192"/>
      <c r="CH290" s="192"/>
      <c r="CI290" s="192"/>
      <c r="CJ290" s="192"/>
      <c r="CK290" s="192"/>
      <c r="CL290" s="192"/>
      <c r="CM290" s="192"/>
      <c r="CN290" s="192"/>
      <c r="CO290" s="192"/>
      <c r="CP290" s="192"/>
      <c r="CQ290" s="192"/>
      <c r="CR290" s="192"/>
      <c r="CS290" s="192"/>
      <c r="CT290" s="192"/>
      <c r="CU290" s="192"/>
      <c r="CV290" s="192"/>
      <c r="CW290" s="192"/>
      <c r="CX290" s="192"/>
      <c r="CY290" s="192"/>
      <c r="CZ290" s="192"/>
      <c r="DA290" s="192"/>
      <c r="DB290" s="192"/>
      <c r="DC290" s="192"/>
      <c r="DD290" s="192"/>
      <c r="DE290" s="192"/>
      <c r="DF290" s="192"/>
      <c r="DG290" s="192"/>
      <c r="DH290" s="192"/>
      <c r="DI290" s="192"/>
      <c r="DJ290" s="192"/>
      <c r="DK290" s="192"/>
      <c r="DL290" s="192"/>
      <c r="DM290" s="192"/>
      <c r="DN290" s="192"/>
      <c r="DO290" s="192"/>
      <c r="DP290" s="192"/>
      <c r="DQ290" s="192"/>
      <c r="DR290" s="192"/>
      <c r="DS290" s="192"/>
      <c r="DT290" s="192"/>
      <c r="DU290" s="192"/>
      <c r="DV290" s="192"/>
      <c r="DW290" s="192"/>
      <c r="DX290" s="192"/>
      <c r="DY290" s="192"/>
      <c r="DZ290" s="192"/>
      <c r="EA290" s="192"/>
      <c r="EB290" s="192"/>
      <c r="EC290" s="192"/>
      <c r="ED290" s="192"/>
      <c r="EE290" s="192"/>
      <c r="EF290" s="192"/>
      <c r="EG290" s="192"/>
      <c r="EH290" s="192"/>
      <c r="EI290" s="192"/>
      <c r="EJ290" s="192"/>
      <c r="EK290" s="192"/>
      <c r="EL290" s="192"/>
      <c r="EM290" s="192"/>
      <c r="EN290" s="192"/>
      <c r="EO290" s="192"/>
      <c r="EP290" s="192"/>
      <c r="EQ290" s="192"/>
    </row>
    <row r="291" spans="1:147" x14ac:dyDescent="0.2">
      <c r="A291" s="192"/>
      <c r="B291" s="192"/>
      <c r="C291" s="192"/>
      <c r="D291" s="192"/>
      <c r="E291" s="192"/>
      <c r="F291" s="192"/>
      <c r="G291" s="192"/>
      <c r="H291" s="192"/>
      <c r="I291" s="192"/>
      <c r="J291" s="192"/>
      <c r="K291" s="192"/>
      <c r="L291" s="192"/>
      <c r="M291" s="192"/>
      <c r="N291" s="192"/>
      <c r="O291" s="192"/>
      <c r="P291" s="192"/>
      <c r="Q291" s="192"/>
      <c r="R291" s="192"/>
      <c r="S291" s="266"/>
      <c r="T291" s="265"/>
      <c r="U291" s="265"/>
      <c r="V291" s="265"/>
      <c r="W291" s="265"/>
      <c r="X291" s="265"/>
      <c r="Y291" s="265"/>
      <c r="Z291" s="265"/>
      <c r="AA291" s="265"/>
      <c r="AB291" s="265"/>
      <c r="AC291" s="265"/>
      <c r="AD291" s="265"/>
      <c r="AE291" s="265"/>
      <c r="AF291" s="265"/>
      <c r="AG291" s="265"/>
      <c r="AH291" s="265"/>
      <c r="AI291" s="192"/>
      <c r="AJ291" s="192"/>
      <c r="AK291" s="192"/>
      <c r="AL291" s="192"/>
      <c r="AM291" s="192"/>
      <c r="AN291" s="192"/>
      <c r="AO291" s="192"/>
      <c r="AP291" s="192"/>
      <c r="AQ291" s="192"/>
      <c r="AR291" s="192"/>
      <c r="AS291" s="192"/>
      <c r="AT291" s="192"/>
      <c r="AU291" s="192"/>
      <c r="AV291" s="192"/>
      <c r="AW291" s="192"/>
      <c r="AX291" s="192"/>
      <c r="AY291" s="192"/>
      <c r="AZ291" s="192"/>
      <c r="BA291" s="192"/>
      <c r="BB291" s="192"/>
      <c r="BC291" s="192"/>
      <c r="BD291" s="192"/>
      <c r="BE291" s="192"/>
      <c r="BF291" s="192"/>
      <c r="BG291" s="192"/>
      <c r="BH291" s="192"/>
      <c r="BI291" s="192"/>
      <c r="BJ291" s="192"/>
      <c r="BK291" s="192"/>
      <c r="BL291" s="192"/>
      <c r="BM291" s="192"/>
      <c r="BN291" s="192"/>
      <c r="BO291" s="192"/>
      <c r="BP291" s="192"/>
      <c r="BQ291" s="192"/>
      <c r="BR291" s="192"/>
      <c r="BS291" s="192"/>
      <c r="BT291" s="192"/>
      <c r="BU291" s="192"/>
      <c r="BV291" s="192"/>
      <c r="BW291" s="192"/>
      <c r="BX291" s="192"/>
      <c r="BY291" s="192"/>
      <c r="BZ291" s="192"/>
      <c r="CA291" s="192"/>
      <c r="CB291" s="192"/>
      <c r="CC291" s="192"/>
      <c r="CD291" s="192"/>
      <c r="CE291" s="192"/>
      <c r="CF291" s="192"/>
      <c r="CG291" s="192"/>
      <c r="CH291" s="192"/>
      <c r="CI291" s="192"/>
      <c r="CJ291" s="192"/>
      <c r="CK291" s="192"/>
      <c r="CL291" s="192"/>
      <c r="CM291" s="192"/>
      <c r="CN291" s="192"/>
      <c r="CO291" s="192"/>
      <c r="CP291" s="192"/>
      <c r="CQ291" s="192"/>
      <c r="CR291" s="192"/>
      <c r="CS291" s="192"/>
      <c r="CT291" s="192"/>
      <c r="CU291" s="192"/>
      <c r="CV291" s="192"/>
      <c r="CW291" s="192"/>
      <c r="CX291" s="192"/>
      <c r="CY291" s="192"/>
      <c r="CZ291" s="192"/>
      <c r="DA291" s="192"/>
      <c r="DB291" s="192"/>
      <c r="DC291" s="192"/>
      <c r="DD291" s="192"/>
      <c r="DE291" s="192"/>
      <c r="DF291" s="192"/>
      <c r="DG291" s="192"/>
      <c r="DH291" s="192"/>
      <c r="DI291" s="192"/>
      <c r="DJ291" s="192"/>
      <c r="DK291" s="192"/>
      <c r="DL291" s="192"/>
      <c r="DM291" s="192"/>
      <c r="DN291" s="192"/>
      <c r="DO291" s="192"/>
      <c r="DP291" s="192"/>
      <c r="DQ291" s="192"/>
      <c r="DR291" s="192"/>
      <c r="DS291" s="192"/>
      <c r="DT291" s="192"/>
      <c r="DU291" s="192"/>
      <c r="DV291" s="192"/>
      <c r="DW291" s="192"/>
      <c r="DX291" s="192"/>
      <c r="DY291" s="192"/>
      <c r="DZ291" s="192"/>
      <c r="EA291" s="192"/>
      <c r="EB291" s="192"/>
      <c r="EC291" s="192"/>
      <c r="ED291" s="192"/>
      <c r="EE291" s="192"/>
      <c r="EF291" s="192"/>
      <c r="EG291" s="192"/>
      <c r="EH291" s="192"/>
      <c r="EI291" s="192"/>
      <c r="EJ291" s="192"/>
      <c r="EK291" s="192"/>
      <c r="EL291" s="192"/>
      <c r="EM291" s="192"/>
      <c r="EN291" s="192"/>
      <c r="EO291" s="192"/>
      <c r="EP291" s="192"/>
      <c r="EQ291" s="192"/>
    </row>
    <row r="292" spans="1:147" x14ac:dyDescent="0.2">
      <c r="A292" s="192"/>
      <c r="B292" s="192"/>
      <c r="C292" s="192"/>
      <c r="D292" s="192"/>
      <c r="E292" s="192"/>
      <c r="F292" s="192"/>
      <c r="G292" s="192"/>
      <c r="H292" s="192"/>
      <c r="I292" s="192"/>
      <c r="J292" s="192"/>
      <c r="K292" s="192"/>
      <c r="L292" s="192"/>
      <c r="M292" s="192"/>
      <c r="N292" s="192"/>
      <c r="O292" s="192"/>
      <c r="P292" s="192"/>
      <c r="Q292" s="192"/>
      <c r="R292" s="192"/>
      <c r="S292" s="266"/>
      <c r="T292" s="265"/>
      <c r="U292" s="265"/>
      <c r="V292" s="265"/>
      <c r="W292" s="265"/>
      <c r="X292" s="265"/>
      <c r="Y292" s="265"/>
      <c r="Z292" s="265"/>
      <c r="AA292" s="265"/>
      <c r="AB292" s="265"/>
      <c r="AC292" s="265"/>
      <c r="AD292" s="265"/>
      <c r="AE292" s="265"/>
      <c r="AF292" s="265"/>
      <c r="AG292" s="265"/>
      <c r="AH292" s="265"/>
      <c r="AI292" s="192"/>
      <c r="AJ292" s="192"/>
      <c r="AK292" s="192"/>
      <c r="AL292" s="192"/>
      <c r="AM292" s="192"/>
      <c r="AN292" s="192"/>
      <c r="AO292" s="192"/>
      <c r="AP292" s="192"/>
      <c r="AQ292" s="192"/>
      <c r="AR292" s="192"/>
      <c r="AS292" s="192"/>
      <c r="AT292" s="192"/>
      <c r="AU292" s="192"/>
      <c r="AV292" s="192"/>
      <c r="AW292" s="192"/>
      <c r="AX292" s="192"/>
      <c r="AY292" s="192"/>
      <c r="AZ292" s="192"/>
      <c r="BA292" s="192"/>
      <c r="BB292" s="192"/>
      <c r="BC292" s="192"/>
      <c r="BD292" s="192"/>
      <c r="BE292" s="192"/>
      <c r="BF292" s="192"/>
      <c r="BG292" s="192"/>
      <c r="BH292" s="192"/>
      <c r="BI292" s="192"/>
      <c r="BJ292" s="192"/>
      <c r="BK292" s="192"/>
      <c r="BL292" s="192"/>
      <c r="BM292" s="192"/>
      <c r="BN292" s="192"/>
      <c r="BO292" s="192"/>
      <c r="BP292" s="192"/>
      <c r="BQ292" s="192"/>
      <c r="BR292" s="192"/>
      <c r="BS292" s="192"/>
      <c r="BT292" s="192"/>
      <c r="BU292" s="192"/>
      <c r="BV292" s="192"/>
      <c r="BW292" s="192"/>
      <c r="BX292" s="192"/>
      <c r="BY292" s="192"/>
      <c r="BZ292" s="192"/>
      <c r="CA292" s="192"/>
      <c r="CB292" s="192"/>
      <c r="CC292" s="192"/>
      <c r="CD292" s="192"/>
      <c r="CE292" s="192"/>
      <c r="CF292" s="192"/>
      <c r="CG292" s="192"/>
      <c r="CH292" s="192"/>
      <c r="CI292" s="192"/>
      <c r="CJ292" s="192"/>
      <c r="CK292" s="192"/>
      <c r="CL292" s="192"/>
      <c r="CM292" s="192"/>
      <c r="CN292" s="192"/>
      <c r="CO292" s="192"/>
      <c r="CP292" s="192"/>
      <c r="CQ292" s="192"/>
      <c r="CR292" s="192"/>
      <c r="CS292" s="192"/>
      <c r="CT292" s="192"/>
      <c r="CU292" s="192"/>
      <c r="CV292" s="192"/>
      <c r="CW292" s="192"/>
      <c r="CX292" s="192"/>
      <c r="CY292" s="192"/>
      <c r="CZ292" s="192"/>
      <c r="DA292" s="192"/>
      <c r="DB292" s="192"/>
      <c r="DC292" s="192"/>
      <c r="DD292" s="192"/>
      <c r="DE292" s="192"/>
      <c r="DF292" s="192"/>
      <c r="DG292" s="192"/>
      <c r="DH292" s="192"/>
      <c r="DI292" s="192"/>
      <c r="DJ292" s="192"/>
      <c r="DK292" s="192"/>
      <c r="DL292" s="192"/>
      <c r="DM292" s="192"/>
      <c r="DN292" s="192"/>
      <c r="DO292" s="192"/>
      <c r="DP292" s="192"/>
      <c r="DQ292" s="192"/>
      <c r="DR292" s="192"/>
      <c r="DS292" s="192"/>
      <c r="DT292" s="192"/>
      <c r="DU292" s="192"/>
      <c r="DV292" s="192"/>
      <c r="DW292" s="192"/>
      <c r="DX292" s="192"/>
      <c r="DY292" s="192"/>
      <c r="DZ292" s="192"/>
      <c r="EA292" s="192"/>
      <c r="EB292" s="192"/>
      <c r="EC292" s="192"/>
      <c r="ED292" s="192"/>
      <c r="EE292" s="192"/>
      <c r="EF292" s="192"/>
      <c r="EG292" s="192"/>
      <c r="EH292" s="192"/>
      <c r="EI292" s="192"/>
      <c r="EJ292" s="192"/>
      <c r="EK292" s="192"/>
      <c r="EL292" s="192"/>
      <c r="EM292" s="192"/>
      <c r="EN292" s="192"/>
      <c r="EO292" s="192"/>
      <c r="EP292" s="192"/>
      <c r="EQ292" s="192"/>
    </row>
    <row r="293" spans="1:147" x14ac:dyDescent="0.2">
      <c r="A293" s="192"/>
      <c r="B293" s="192"/>
      <c r="C293" s="192"/>
      <c r="D293" s="192"/>
      <c r="E293" s="192"/>
      <c r="F293" s="192"/>
      <c r="G293" s="192"/>
      <c r="H293" s="192"/>
      <c r="I293" s="192"/>
      <c r="J293" s="192"/>
      <c r="K293" s="192"/>
      <c r="L293" s="192"/>
      <c r="M293" s="192"/>
      <c r="N293" s="192"/>
      <c r="O293" s="192"/>
      <c r="P293" s="192"/>
      <c r="Q293" s="192"/>
      <c r="R293" s="192"/>
      <c r="S293" s="266"/>
      <c r="T293" s="265"/>
      <c r="U293" s="265"/>
      <c r="V293" s="265"/>
      <c r="W293" s="265"/>
      <c r="X293" s="265"/>
      <c r="Y293" s="265"/>
      <c r="Z293" s="265"/>
      <c r="AA293" s="265"/>
      <c r="AB293" s="265"/>
      <c r="AC293" s="265"/>
      <c r="AD293" s="265"/>
      <c r="AE293" s="265"/>
      <c r="AF293" s="265"/>
      <c r="AG293" s="265"/>
      <c r="AH293" s="265"/>
      <c r="AI293" s="192"/>
      <c r="AJ293" s="192"/>
      <c r="AK293" s="192"/>
      <c r="AL293" s="192"/>
      <c r="AM293" s="192"/>
      <c r="AN293" s="192"/>
      <c r="AO293" s="192"/>
      <c r="AP293" s="192"/>
      <c r="AQ293" s="192"/>
      <c r="AR293" s="192"/>
      <c r="AS293" s="192"/>
      <c r="AT293" s="192"/>
      <c r="AU293" s="192"/>
      <c r="AV293" s="192"/>
      <c r="AW293" s="192"/>
      <c r="AX293" s="192"/>
      <c r="AY293" s="192"/>
      <c r="AZ293" s="192"/>
      <c r="BA293" s="192"/>
      <c r="BB293" s="192"/>
      <c r="BC293" s="192"/>
      <c r="BD293" s="192"/>
      <c r="BE293" s="192"/>
      <c r="BF293" s="192"/>
      <c r="BG293" s="192"/>
      <c r="BH293" s="192"/>
      <c r="BI293" s="192"/>
      <c r="BJ293" s="192"/>
      <c r="BK293" s="192"/>
      <c r="BL293" s="192"/>
      <c r="BM293" s="192"/>
      <c r="BN293" s="192"/>
      <c r="BO293" s="192"/>
      <c r="BP293" s="192"/>
      <c r="BQ293" s="192"/>
      <c r="BR293" s="192"/>
      <c r="BS293" s="192"/>
      <c r="BT293" s="192"/>
      <c r="BU293" s="192"/>
      <c r="BV293" s="192"/>
      <c r="BW293" s="192"/>
      <c r="BX293" s="192"/>
      <c r="BY293" s="192"/>
      <c r="BZ293" s="192"/>
      <c r="CA293" s="192"/>
      <c r="CB293" s="192"/>
      <c r="CC293" s="192"/>
      <c r="CD293" s="192"/>
      <c r="CE293" s="192"/>
      <c r="CF293" s="192"/>
      <c r="CG293" s="192"/>
      <c r="CH293" s="192"/>
      <c r="CI293" s="192"/>
      <c r="CJ293" s="192"/>
      <c r="CK293" s="192"/>
      <c r="CL293" s="192"/>
      <c r="CM293" s="192"/>
      <c r="CN293" s="192"/>
      <c r="CO293" s="192"/>
      <c r="CP293" s="192"/>
      <c r="CQ293" s="192"/>
      <c r="CR293" s="192"/>
      <c r="CS293" s="192"/>
      <c r="CT293" s="192"/>
      <c r="CU293" s="192"/>
      <c r="CV293" s="192"/>
      <c r="CW293" s="192"/>
      <c r="CX293" s="192"/>
      <c r="CY293" s="192"/>
      <c r="CZ293" s="192"/>
      <c r="DA293" s="192"/>
      <c r="DB293" s="192"/>
      <c r="DC293" s="192"/>
      <c r="DD293" s="192"/>
      <c r="DE293" s="192"/>
      <c r="DF293" s="192"/>
      <c r="DG293" s="192"/>
      <c r="DH293" s="192"/>
      <c r="DI293" s="192"/>
      <c r="DJ293" s="192"/>
      <c r="DK293" s="192"/>
      <c r="DL293" s="192"/>
      <c r="DM293" s="192"/>
      <c r="DN293" s="192"/>
      <c r="DO293" s="192"/>
      <c r="DP293" s="192"/>
      <c r="DQ293" s="192"/>
      <c r="DR293" s="192"/>
      <c r="DS293" s="192"/>
      <c r="DT293" s="192"/>
      <c r="DU293" s="192"/>
      <c r="DV293" s="192"/>
      <c r="DW293" s="192"/>
      <c r="DX293" s="192"/>
      <c r="DY293" s="192"/>
      <c r="DZ293" s="192"/>
      <c r="EA293" s="192"/>
      <c r="EB293" s="192"/>
      <c r="EC293" s="192"/>
      <c r="ED293" s="192"/>
      <c r="EE293" s="192"/>
      <c r="EF293" s="192"/>
      <c r="EG293" s="192"/>
      <c r="EH293" s="192"/>
      <c r="EI293" s="192"/>
      <c r="EJ293" s="192"/>
      <c r="EK293" s="192"/>
      <c r="EL293" s="192"/>
      <c r="EM293" s="192"/>
      <c r="EN293" s="192"/>
      <c r="EO293" s="192"/>
      <c r="EP293" s="192"/>
      <c r="EQ293" s="192"/>
    </row>
    <row r="294" spans="1:147" x14ac:dyDescent="0.2">
      <c r="A294" s="192"/>
      <c r="B294" s="192"/>
      <c r="C294" s="192"/>
      <c r="D294" s="192"/>
      <c r="E294" s="192"/>
      <c r="F294" s="192"/>
      <c r="G294" s="192"/>
      <c r="H294" s="192"/>
      <c r="I294" s="192"/>
      <c r="J294" s="192"/>
      <c r="K294" s="192"/>
      <c r="L294" s="192"/>
      <c r="M294" s="192"/>
      <c r="N294" s="192"/>
      <c r="O294" s="192"/>
      <c r="P294" s="192"/>
      <c r="Q294" s="192"/>
      <c r="R294" s="192"/>
      <c r="S294" s="266"/>
      <c r="T294" s="265"/>
      <c r="U294" s="265"/>
      <c r="V294" s="265"/>
      <c r="W294" s="265"/>
      <c r="X294" s="265"/>
      <c r="Y294" s="265"/>
      <c r="Z294" s="265"/>
      <c r="AA294" s="265"/>
      <c r="AB294" s="265"/>
      <c r="AC294" s="265"/>
      <c r="AD294" s="265"/>
      <c r="AE294" s="265"/>
      <c r="AF294" s="265"/>
      <c r="AG294" s="265"/>
      <c r="AH294" s="265"/>
      <c r="AI294" s="192"/>
      <c r="AJ294" s="192"/>
      <c r="AK294" s="192"/>
      <c r="AL294" s="192"/>
      <c r="AM294" s="192"/>
      <c r="AN294" s="192"/>
      <c r="AO294" s="192"/>
      <c r="AP294" s="192"/>
      <c r="AQ294" s="192"/>
      <c r="AR294" s="192"/>
      <c r="AS294" s="192"/>
      <c r="AT294" s="192"/>
      <c r="AU294" s="192"/>
      <c r="AV294" s="192"/>
      <c r="AW294" s="192"/>
      <c r="AX294" s="192"/>
      <c r="AY294" s="192"/>
      <c r="AZ294" s="192"/>
      <c r="BA294" s="192"/>
      <c r="BB294" s="192"/>
      <c r="BC294" s="192"/>
      <c r="BD294" s="192"/>
      <c r="BE294" s="192"/>
      <c r="BF294" s="192"/>
      <c r="BG294" s="192"/>
      <c r="BH294" s="192"/>
      <c r="BI294" s="192"/>
      <c r="BJ294" s="192"/>
      <c r="BK294" s="192"/>
      <c r="BL294" s="192"/>
      <c r="BM294" s="192"/>
      <c r="BN294" s="192"/>
      <c r="BO294" s="192"/>
      <c r="BP294" s="192"/>
      <c r="BQ294" s="192"/>
      <c r="BR294" s="192"/>
      <c r="BS294" s="192"/>
      <c r="BT294" s="192"/>
      <c r="BU294" s="192"/>
      <c r="BV294" s="192"/>
      <c r="BW294" s="192"/>
      <c r="BX294" s="192"/>
      <c r="BY294" s="192"/>
      <c r="BZ294" s="192"/>
      <c r="CA294" s="192"/>
      <c r="CB294" s="192"/>
      <c r="CC294" s="192"/>
      <c r="CD294" s="192"/>
      <c r="CE294" s="192"/>
      <c r="CF294" s="192"/>
      <c r="CG294" s="192"/>
      <c r="CH294" s="192"/>
      <c r="CI294" s="192"/>
      <c r="CJ294" s="192"/>
      <c r="CK294" s="192"/>
      <c r="CL294" s="192"/>
      <c r="CM294" s="192"/>
      <c r="CN294" s="192"/>
      <c r="CO294" s="192"/>
      <c r="CP294" s="192"/>
      <c r="CQ294" s="192"/>
      <c r="CR294" s="192"/>
      <c r="CS294" s="192"/>
      <c r="CT294" s="192"/>
      <c r="CU294" s="192"/>
      <c r="CV294" s="192"/>
      <c r="CW294" s="192"/>
      <c r="CX294" s="192"/>
      <c r="CY294" s="192"/>
      <c r="CZ294" s="192"/>
      <c r="DA294" s="192"/>
      <c r="DB294" s="192"/>
      <c r="DC294" s="192"/>
      <c r="DD294" s="192"/>
      <c r="DE294" s="192"/>
      <c r="DF294" s="192"/>
      <c r="DG294" s="192"/>
      <c r="DH294" s="192"/>
      <c r="DI294" s="192"/>
      <c r="DJ294" s="192"/>
      <c r="DK294" s="192"/>
      <c r="DL294" s="192"/>
      <c r="DM294" s="192"/>
      <c r="DN294" s="192"/>
      <c r="DO294" s="192"/>
      <c r="DP294" s="192"/>
      <c r="DQ294" s="192"/>
      <c r="DR294" s="192"/>
      <c r="DS294" s="192"/>
      <c r="DT294" s="192"/>
      <c r="DU294" s="192"/>
      <c r="DV294" s="192"/>
      <c r="DW294" s="192"/>
      <c r="DX294" s="192"/>
      <c r="DY294" s="192"/>
      <c r="DZ294" s="192"/>
      <c r="EA294" s="192"/>
      <c r="EB294" s="192"/>
      <c r="EC294" s="192"/>
      <c r="ED294" s="192"/>
      <c r="EE294" s="192"/>
      <c r="EF294" s="192"/>
      <c r="EG294" s="192"/>
      <c r="EH294" s="192"/>
      <c r="EI294" s="192"/>
      <c r="EJ294" s="192"/>
      <c r="EK294" s="192"/>
      <c r="EL294" s="192"/>
      <c r="EM294" s="192"/>
      <c r="EN294" s="192"/>
      <c r="EO294" s="192"/>
      <c r="EP294" s="192"/>
      <c r="EQ294" s="192"/>
    </row>
    <row r="295" spans="1:147" x14ac:dyDescent="0.2">
      <c r="A295" s="192"/>
      <c r="B295" s="192"/>
      <c r="C295" s="192"/>
      <c r="D295" s="192"/>
      <c r="E295" s="192"/>
      <c r="F295" s="192"/>
      <c r="G295" s="192"/>
      <c r="H295" s="192"/>
      <c r="I295" s="192"/>
      <c r="J295" s="192"/>
      <c r="K295" s="192"/>
      <c r="L295" s="192"/>
      <c r="M295" s="192"/>
      <c r="N295" s="192"/>
      <c r="O295" s="192"/>
      <c r="P295" s="192"/>
      <c r="Q295" s="192"/>
      <c r="R295" s="192"/>
      <c r="S295" s="266"/>
      <c r="T295" s="265"/>
      <c r="U295" s="265"/>
      <c r="V295" s="265"/>
      <c r="W295" s="265"/>
      <c r="X295" s="265"/>
      <c r="Y295" s="265"/>
      <c r="Z295" s="265"/>
      <c r="AA295" s="265"/>
      <c r="AB295" s="265"/>
      <c r="AC295" s="265"/>
      <c r="AD295" s="265"/>
      <c r="AE295" s="265"/>
      <c r="AF295" s="265"/>
      <c r="AG295" s="265"/>
      <c r="AH295" s="265"/>
      <c r="AI295" s="192"/>
      <c r="AJ295" s="192"/>
      <c r="AK295" s="192"/>
      <c r="AL295" s="192"/>
      <c r="AM295" s="192"/>
      <c r="AN295" s="192"/>
      <c r="AO295" s="192"/>
      <c r="AP295" s="192"/>
      <c r="AQ295" s="192"/>
      <c r="AR295" s="192"/>
      <c r="AS295" s="192"/>
      <c r="AT295" s="192"/>
      <c r="AU295" s="192"/>
      <c r="AV295" s="192"/>
      <c r="AW295" s="192"/>
      <c r="AX295" s="192"/>
      <c r="AY295" s="192"/>
      <c r="AZ295" s="192"/>
      <c r="BA295" s="192"/>
      <c r="BB295" s="192"/>
      <c r="BC295" s="192"/>
      <c r="BD295" s="192"/>
      <c r="BE295" s="192"/>
      <c r="BF295" s="192"/>
      <c r="BG295" s="192"/>
      <c r="BH295" s="192"/>
      <c r="BI295" s="192"/>
      <c r="BJ295" s="192"/>
      <c r="BK295" s="192"/>
      <c r="BL295" s="192"/>
      <c r="BM295" s="192"/>
      <c r="BN295" s="192"/>
      <c r="BO295" s="192"/>
      <c r="BP295" s="192"/>
      <c r="BQ295" s="192"/>
      <c r="BR295" s="192"/>
      <c r="BS295" s="192"/>
      <c r="BT295" s="192"/>
      <c r="BU295" s="192"/>
      <c r="BV295" s="192"/>
      <c r="BW295" s="192"/>
      <c r="BX295" s="192"/>
      <c r="BY295" s="192"/>
      <c r="BZ295" s="192"/>
      <c r="CA295" s="192"/>
      <c r="CB295" s="192"/>
      <c r="CC295" s="192"/>
      <c r="CD295" s="192"/>
      <c r="CE295" s="192"/>
      <c r="CF295" s="192"/>
      <c r="CG295" s="192"/>
      <c r="CH295" s="192"/>
      <c r="CI295" s="192"/>
      <c r="CJ295" s="192"/>
      <c r="CK295" s="192"/>
      <c r="CL295" s="192"/>
      <c r="CM295" s="192"/>
      <c r="CN295" s="192"/>
      <c r="CO295" s="192"/>
      <c r="CP295" s="192"/>
      <c r="CQ295" s="192"/>
      <c r="CR295" s="192"/>
      <c r="CS295" s="192"/>
      <c r="CT295" s="192"/>
      <c r="CU295" s="192"/>
      <c r="CV295" s="192"/>
      <c r="CW295" s="192"/>
      <c r="CX295" s="192"/>
      <c r="CY295" s="192"/>
      <c r="CZ295" s="192"/>
      <c r="DA295" s="192"/>
      <c r="DB295" s="192"/>
      <c r="DC295" s="192"/>
      <c r="DD295" s="192"/>
      <c r="DE295" s="192"/>
      <c r="DF295" s="192"/>
      <c r="DG295" s="192"/>
      <c r="DH295" s="192"/>
      <c r="DI295" s="192"/>
      <c r="DJ295" s="192"/>
      <c r="DK295" s="192"/>
      <c r="DL295" s="192"/>
      <c r="DM295" s="192"/>
      <c r="DN295" s="192"/>
      <c r="DO295" s="192"/>
      <c r="DP295" s="192"/>
      <c r="DQ295" s="192"/>
      <c r="DR295" s="192"/>
      <c r="DS295" s="192"/>
      <c r="DT295" s="192"/>
      <c r="DU295" s="192"/>
      <c r="DV295" s="192"/>
      <c r="DW295" s="192"/>
      <c r="DX295" s="192"/>
      <c r="DY295" s="192"/>
      <c r="DZ295" s="192"/>
      <c r="EA295" s="192"/>
      <c r="EB295" s="192"/>
      <c r="EC295" s="192"/>
      <c r="ED295" s="192"/>
      <c r="EE295" s="192"/>
      <c r="EF295" s="192"/>
      <c r="EG295" s="192"/>
      <c r="EH295" s="192"/>
      <c r="EI295" s="192"/>
      <c r="EJ295" s="192"/>
      <c r="EK295" s="192"/>
      <c r="EL295" s="192"/>
      <c r="EM295" s="192"/>
      <c r="EN295" s="192"/>
      <c r="EO295" s="192"/>
      <c r="EP295" s="192"/>
      <c r="EQ295" s="192"/>
    </row>
    <row r="296" spans="1:147" x14ac:dyDescent="0.2">
      <c r="A296" s="192"/>
      <c r="B296" s="192"/>
      <c r="C296" s="192"/>
      <c r="D296" s="192"/>
      <c r="E296" s="192"/>
      <c r="F296" s="192"/>
      <c r="G296" s="192"/>
      <c r="H296" s="192"/>
      <c r="I296" s="192"/>
      <c r="J296" s="192"/>
      <c r="K296" s="192"/>
      <c r="L296" s="192"/>
      <c r="M296" s="192"/>
      <c r="N296" s="192"/>
      <c r="O296" s="192"/>
      <c r="P296" s="192"/>
      <c r="Q296" s="192"/>
      <c r="R296" s="192"/>
      <c r="S296" s="266"/>
      <c r="T296" s="265"/>
      <c r="U296" s="265"/>
      <c r="V296" s="265"/>
      <c r="W296" s="265"/>
      <c r="X296" s="265"/>
      <c r="Y296" s="265"/>
      <c r="Z296" s="265"/>
      <c r="AA296" s="265"/>
      <c r="AB296" s="265"/>
      <c r="AC296" s="265"/>
      <c r="AD296" s="265"/>
      <c r="AE296" s="265"/>
      <c r="AF296" s="265"/>
      <c r="AG296" s="265"/>
      <c r="AH296" s="265"/>
      <c r="AI296" s="192"/>
      <c r="AJ296" s="192"/>
      <c r="AK296" s="192"/>
      <c r="AL296" s="192"/>
      <c r="AM296" s="192"/>
      <c r="AN296" s="192"/>
      <c r="AO296" s="192"/>
      <c r="AP296" s="192"/>
      <c r="AQ296" s="192"/>
      <c r="AR296" s="192"/>
      <c r="AS296" s="192"/>
      <c r="AT296" s="192"/>
      <c r="AU296" s="192"/>
      <c r="AV296" s="192"/>
      <c r="AW296" s="192"/>
      <c r="AX296" s="192"/>
      <c r="AY296" s="192"/>
      <c r="AZ296" s="192"/>
      <c r="BA296" s="192"/>
      <c r="BB296" s="192"/>
      <c r="BC296" s="192"/>
      <c r="BD296" s="192"/>
      <c r="BE296" s="192"/>
      <c r="BF296" s="192"/>
      <c r="BG296" s="192"/>
      <c r="BH296" s="192"/>
      <c r="BI296" s="192"/>
      <c r="BJ296" s="192"/>
      <c r="BK296" s="192"/>
      <c r="BL296" s="192"/>
      <c r="BM296" s="192"/>
      <c r="BN296" s="192"/>
      <c r="BO296" s="192"/>
      <c r="BP296" s="192"/>
      <c r="BQ296" s="192"/>
      <c r="BR296" s="192"/>
      <c r="BS296" s="192"/>
      <c r="BT296" s="192"/>
      <c r="BU296" s="192"/>
      <c r="BV296" s="192"/>
      <c r="BW296" s="192"/>
      <c r="BX296" s="192"/>
      <c r="BY296" s="192"/>
      <c r="BZ296" s="192"/>
      <c r="CA296" s="192"/>
      <c r="CB296" s="192"/>
      <c r="CC296" s="192"/>
      <c r="CD296" s="192"/>
      <c r="CE296" s="192"/>
      <c r="CF296" s="192"/>
      <c r="CG296" s="192"/>
      <c r="CH296" s="192"/>
      <c r="CI296" s="192"/>
      <c r="CJ296" s="192"/>
      <c r="CK296" s="192"/>
      <c r="CL296" s="192"/>
      <c r="CM296" s="192"/>
      <c r="CN296" s="192"/>
      <c r="CO296" s="192"/>
      <c r="CP296" s="192"/>
      <c r="CQ296" s="192"/>
      <c r="CR296" s="192"/>
      <c r="CS296" s="192"/>
      <c r="CT296" s="192"/>
      <c r="CU296" s="192"/>
      <c r="CV296" s="192"/>
      <c r="CW296" s="192"/>
      <c r="CX296" s="192"/>
      <c r="CY296" s="192"/>
      <c r="CZ296" s="192"/>
      <c r="DA296" s="192"/>
      <c r="DB296" s="192"/>
      <c r="DC296" s="192"/>
      <c r="DD296" s="192"/>
      <c r="DE296" s="192"/>
      <c r="DF296" s="192"/>
      <c r="DG296" s="192"/>
      <c r="DH296" s="192"/>
      <c r="DI296" s="192"/>
      <c r="DJ296" s="192"/>
      <c r="DK296" s="192"/>
      <c r="DL296" s="192"/>
      <c r="DM296" s="192"/>
      <c r="DN296" s="192"/>
      <c r="DO296" s="192"/>
      <c r="DP296" s="192"/>
      <c r="DQ296" s="192"/>
      <c r="DR296" s="192"/>
      <c r="DS296" s="192"/>
      <c r="DT296" s="192"/>
      <c r="DU296" s="192"/>
      <c r="DV296" s="192"/>
      <c r="DW296" s="192"/>
      <c r="DX296" s="192"/>
      <c r="DY296" s="192"/>
      <c r="DZ296" s="192"/>
      <c r="EA296" s="192"/>
      <c r="EB296" s="192"/>
      <c r="EC296" s="192"/>
      <c r="ED296" s="192"/>
      <c r="EE296" s="192"/>
      <c r="EF296" s="192"/>
      <c r="EG296" s="192"/>
      <c r="EH296" s="192"/>
      <c r="EI296" s="192"/>
      <c r="EJ296" s="192"/>
      <c r="EK296" s="192"/>
      <c r="EL296" s="192"/>
      <c r="EM296" s="192"/>
      <c r="EN296" s="192"/>
      <c r="EO296" s="192"/>
      <c r="EP296" s="192"/>
      <c r="EQ296" s="192"/>
    </row>
    <row r="297" spans="1:147" x14ac:dyDescent="0.2">
      <c r="A297" s="192"/>
      <c r="B297" s="192"/>
      <c r="C297" s="192"/>
      <c r="D297" s="192"/>
      <c r="E297" s="192"/>
      <c r="F297" s="192"/>
      <c r="G297" s="192"/>
      <c r="H297" s="192"/>
      <c r="I297" s="192"/>
      <c r="J297" s="192"/>
      <c r="K297" s="192"/>
      <c r="L297" s="192"/>
      <c r="M297" s="192"/>
      <c r="N297" s="192"/>
      <c r="O297" s="192"/>
      <c r="P297" s="192"/>
      <c r="Q297" s="192"/>
      <c r="R297" s="192"/>
      <c r="S297" s="266"/>
      <c r="T297" s="265"/>
      <c r="U297" s="265"/>
      <c r="V297" s="265"/>
      <c r="W297" s="265"/>
      <c r="X297" s="265"/>
      <c r="Y297" s="265"/>
      <c r="Z297" s="265"/>
      <c r="AA297" s="265"/>
      <c r="AB297" s="265"/>
      <c r="AC297" s="265"/>
      <c r="AD297" s="265"/>
      <c r="AE297" s="265"/>
      <c r="AF297" s="265"/>
      <c r="AG297" s="265"/>
      <c r="AH297" s="265"/>
      <c r="AI297" s="192"/>
      <c r="AJ297" s="192"/>
      <c r="AK297" s="192"/>
      <c r="AL297" s="192"/>
      <c r="AM297" s="192"/>
      <c r="AN297" s="192"/>
      <c r="AO297" s="192"/>
      <c r="AP297" s="192"/>
      <c r="AQ297" s="192"/>
      <c r="AR297" s="192"/>
      <c r="AS297" s="192"/>
      <c r="AT297" s="192"/>
      <c r="AU297" s="192"/>
      <c r="AV297" s="192"/>
      <c r="AW297" s="192"/>
      <c r="AX297" s="192"/>
      <c r="AY297" s="192"/>
      <c r="AZ297" s="192"/>
      <c r="BA297" s="192"/>
      <c r="BB297" s="192"/>
      <c r="BC297" s="192"/>
      <c r="BD297" s="192"/>
      <c r="BE297" s="192"/>
      <c r="BF297" s="192"/>
      <c r="BG297" s="192"/>
      <c r="BH297" s="192"/>
      <c r="BI297" s="192"/>
      <c r="BJ297" s="192"/>
      <c r="BK297" s="192"/>
      <c r="BL297" s="192"/>
      <c r="BM297" s="192"/>
      <c r="BN297" s="192"/>
      <c r="BO297" s="192"/>
      <c r="BP297" s="192"/>
      <c r="BQ297" s="192"/>
      <c r="BR297" s="192"/>
      <c r="BS297" s="192"/>
      <c r="BT297" s="192"/>
      <c r="BU297" s="192"/>
      <c r="BV297" s="192"/>
      <c r="BW297" s="192"/>
      <c r="BX297" s="192"/>
      <c r="BY297" s="192"/>
      <c r="BZ297" s="192"/>
      <c r="CA297" s="192"/>
      <c r="CB297" s="192"/>
      <c r="CC297" s="192"/>
      <c r="CD297" s="192"/>
      <c r="CE297" s="192"/>
      <c r="CF297" s="192"/>
      <c r="CG297" s="192"/>
      <c r="CH297" s="192"/>
      <c r="CI297" s="192"/>
      <c r="CJ297" s="192"/>
      <c r="CK297" s="192"/>
      <c r="CL297" s="192"/>
      <c r="CM297" s="192"/>
      <c r="CN297" s="192"/>
      <c r="CO297" s="192"/>
      <c r="CP297" s="192"/>
      <c r="CQ297" s="192"/>
      <c r="CR297" s="192"/>
      <c r="CS297" s="192"/>
      <c r="CT297" s="192"/>
      <c r="CU297" s="192"/>
      <c r="CV297" s="192"/>
      <c r="CW297" s="192"/>
      <c r="CX297" s="192"/>
      <c r="CY297" s="192"/>
      <c r="CZ297" s="192"/>
      <c r="DA297" s="192"/>
      <c r="DB297" s="192"/>
      <c r="DC297" s="192"/>
      <c r="DD297" s="192"/>
      <c r="DE297" s="192"/>
      <c r="DF297" s="192"/>
      <c r="DG297" s="192"/>
      <c r="DH297" s="192"/>
      <c r="DI297" s="192"/>
      <c r="DJ297" s="192"/>
      <c r="DK297" s="192"/>
      <c r="DL297" s="192"/>
      <c r="DM297" s="192"/>
      <c r="DN297" s="192"/>
      <c r="DO297" s="192"/>
      <c r="DP297" s="192"/>
      <c r="DQ297" s="192"/>
      <c r="DR297" s="192"/>
      <c r="DS297" s="192"/>
      <c r="DT297" s="192"/>
      <c r="DU297" s="192"/>
      <c r="DV297" s="192"/>
      <c r="DW297" s="192"/>
      <c r="DX297" s="192"/>
      <c r="DY297" s="192"/>
      <c r="DZ297" s="192"/>
      <c r="EA297" s="192"/>
      <c r="EB297" s="192"/>
      <c r="EC297" s="192"/>
      <c r="ED297" s="192"/>
      <c r="EE297" s="192"/>
      <c r="EF297" s="192"/>
      <c r="EG297" s="192"/>
      <c r="EH297" s="192"/>
      <c r="EI297" s="192"/>
      <c r="EJ297" s="192"/>
      <c r="EK297" s="192"/>
      <c r="EL297" s="192"/>
      <c r="EM297" s="192"/>
      <c r="EN297" s="192"/>
      <c r="EO297" s="192"/>
      <c r="EP297" s="192"/>
      <c r="EQ297" s="192"/>
    </row>
    <row r="298" spans="1:147" x14ac:dyDescent="0.2">
      <c r="A298" s="192"/>
      <c r="B298" s="192"/>
      <c r="C298" s="192"/>
      <c r="D298" s="192"/>
      <c r="E298" s="192"/>
      <c r="F298" s="192"/>
      <c r="G298" s="192"/>
      <c r="H298" s="192"/>
      <c r="I298" s="192"/>
      <c r="J298" s="192"/>
      <c r="K298" s="192"/>
      <c r="L298" s="192"/>
      <c r="M298" s="192"/>
      <c r="N298" s="192"/>
      <c r="O298" s="192"/>
      <c r="P298" s="192"/>
      <c r="Q298" s="192"/>
      <c r="R298" s="192"/>
      <c r="S298" s="266"/>
      <c r="T298" s="265"/>
      <c r="U298" s="265"/>
      <c r="V298" s="265"/>
      <c r="W298" s="265"/>
      <c r="X298" s="265"/>
      <c r="Y298" s="265"/>
      <c r="Z298" s="265"/>
      <c r="AA298" s="265"/>
      <c r="AB298" s="265"/>
      <c r="AC298" s="265"/>
      <c r="AD298" s="265"/>
      <c r="AE298" s="265"/>
      <c r="AF298" s="265"/>
      <c r="AG298" s="265"/>
      <c r="AH298" s="265"/>
      <c r="AI298" s="192"/>
      <c r="AJ298" s="192"/>
      <c r="AK298" s="192"/>
      <c r="AL298" s="192"/>
      <c r="AM298" s="192"/>
      <c r="AN298" s="192"/>
      <c r="AO298" s="192"/>
      <c r="AP298" s="192"/>
      <c r="AQ298" s="192"/>
      <c r="AR298" s="192"/>
      <c r="AS298" s="192"/>
      <c r="AT298" s="192"/>
      <c r="AU298" s="192"/>
      <c r="AV298" s="192"/>
      <c r="AW298" s="192"/>
      <c r="AX298" s="192"/>
      <c r="AY298" s="192"/>
      <c r="AZ298" s="192"/>
      <c r="BA298" s="192"/>
      <c r="BB298" s="192"/>
      <c r="BC298" s="192"/>
      <c r="BD298" s="192"/>
      <c r="BE298" s="192"/>
      <c r="BF298" s="192"/>
      <c r="BG298" s="192"/>
      <c r="BH298" s="192"/>
      <c r="BI298" s="192"/>
      <c r="BJ298" s="192"/>
      <c r="BK298" s="192"/>
      <c r="BL298" s="192"/>
      <c r="BM298" s="192"/>
      <c r="BN298" s="192"/>
      <c r="BO298" s="192"/>
      <c r="BP298" s="192"/>
      <c r="BQ298" s="192"/>
      <c r="BR298" s="192"/>
      <c r="BS298" s="192"/>
      <c r="BT298" s="192"/>
      <c r="BU298" s="192"/>
      <c r="BV298" s="192"/>
      <c r="BW298" s="192"/>
      <c r="BX298" s="192"/>
      <c r="BY298" s="192"/>
      <c r="BZ298" s="192"/>
      <c r="CA298" s="192"/>
      <c r="CB298" s="192"/>
      <c r="CC298" s="192"/>
      <c r="CD298" s="192"/>
      <c r="CE298" s="192"/>
      <c r="CF298" s="192"/>
      <c r="CG298" s="192"/>
      <c r="CH298" s="192"/>
      <c r="CI298" s="192"/>
      <c r="CJ298" s="192"/>
      <c r="CK298" s="192"/>
      <c r="CL298" s="192"/>
      <c r="CM298" s="192"/>
      <c r="CN298" s="192"/>
      <c r="CO298" s="192"/>
      <c r="CP298" s="192"/>
      <c r="CQ298" s="192"/>
      <c r="CR298" s="192"/>
      <c r="CS298" s="192"/>
      <c r="CT298" s="192"/>
      <c r="CU298" s="192"/>
      <c r="CV298" s="192"/>
      <c r="CW298" s="192"/>
      <c r="CX298" s="192"/>
      <c r="CY298" s="192"/>
      <c r="CZ298" s="192"/>
      <c r="DA298" s="192"/>
      <c r="DB298" s="192"/>
      <c r="DC298" s="192"/>
      <c r="DD298" s="192"/>
      <c r="DE298" s="192"/>
      <c r="DF298" s="192"/>
      <c r="DG298" s="192"/>
      <c r="DH298" s="192"/>
      <c r="DI298" s="192"/>
      <c r="DJ298" s="192"/>
      <c r="DK298" s="192"/>
      <c r="DL298" s="192"/>
      <c r="DM298" s="192"/>
      <c r="DN298" s="192"/>
      <c r="DO298" s="192"/>
      <c r="DP298" s="192"/>
      <c r="DQ298" s="192"/>
      <c r="DR298" s="192"/>
      <c r="DS298" s="192"/>
      <c r="DT298" s="192"/>
      <c r="DU298" s="192"/>
      <c r="DV298" s="192"/>
      <c r="DW298" s="192"/>
      <c r="DX298" s="192"/>
      <c r="DY298" s="192"/>
      <c r="DZ298" s="192"/>
      <c r="EA298" s="192"/>
      <c r="EB298" s="192"/>
      <c r="EC298" s="192"/>
      <c r="ED298" s="192"/>
      <c r="EE298" s="192"/>
      <c r="EF298" s="192"/>
      <c r="EG298" s="192"/>
      <c r="EH298" s="192"/>
      <c r="EI298" s="192"/>
      <c r="EJ298" s="192"/>
      <c r="EK298" s="192"/>
      <c r="EL298" s="192"/>
      <c r="EM298" s="192"/>
      <c r="EN298" s="192"/>
      <c r="EO298" s="192"/>
      <c r="EP298" s="192"/>
      <c r="EQ298" s="192"/>
    </row>
    <row r="299" spans="1:147" x14ac:dyDescent="0.2">
      <c r="A299" s="192"/>
      <c r="B299" s="192"/>
      <c r="C299" s="192"/>
      <c r="D299" s="192"/>
      <c r="E299" s="192"/>
      <c r="F299" s="192"/>
      <c r="G299" s="192"/>
      <c r="H299" s="192"/>
      <c r="I299" s="192"/>
      <c r="J299" s="192"/>
      <c r="K299" s="192"/>
      <c r="L299" s="192"/>
      <c r="M299" s="192"/>
      <c r="N299" s="192"/>
      <c r="O299" s="192"/>
      <c r="P299" s="192"/>
      <c r="Q299" s="192"/>
      <c r="R299" s="192"/>
      <c r="S299" s="266"/>
      <c r="T299" s="265"/>
      <c r="U299" s="265"/>
      <c r="V299" s="265"/>
      <c r="W299" s="265"/>
      <c r="X299" s="265"/>
      <c r="Y299" s="265"/>
      <c r="Z299" s="265"/>
      <c r="AA299" s="265"/>
      <c r="AB299" s="265"/>
      <c r="AC299" s="265"/>
      <c r="AD299" s="265"/>
      <c r="AE299" s="265"/>
      <c r="AF299" s="265"/>
      <c r="AG299" s="265"/>
      <c r="AH299" s="265"/>
      <c r="AI299" s="192"/>
      <c r="AJ299" s="192"/>
      <c r="AK299" s="192"/>
      <c r="AL299" s="192"/>
      <c r="AM299" s="192"/>
      <c r="AN299" s="192"/>
      <c r="AO299" s="192"/>
      <c r="AP299" s="192"/>
      <c r="AQ299" s="192"/>
      <c r="AR299" s="192"/>
      <c r="AS299" s="192"/>
      <c r="AT299" s="192"/>
      <c r="AU299" s="192"/>
      <c r="AV299" s="192"/>
      <c r="AW299" s="192"/>
      <c r="AX299" s="192"/>
      <c r="AY299" s="192"/>
      <c r="AZ299" s="192"/>
      <c r="BA299" s="192"/>
      <c r="BB299" s="192"/>
      <c r="BC299" s="192"/>
      <c r="BD299" s="192"/>
      <c r="BE299" s="192"/>
      <c r="BF299" s="192"/>
      <c r="BG299" s="192"/>
      <c r="BH299" s="192"/>
      <c r="BI299" s="192"/>
      <c r="BJ299" s="192"/>
      <c r="BK299" s="192"/>
      <c r="BL299" s="192"/>
      <c r="BM299" s="192"/>
      <c r="BN299" s="192"/>
      <c r="BO299" s="192"/>
      <c r="BP299" s="192"/>
      <c r="BQ299" s="192"/>
      <c r="BR299" s="192"/>
      <c r="BS299" s="192"/>
      <c r="BT299" s="192"/>
      <c r="BU299" s="192"/>
      <c r="BV299" s="192"/>
      <c r="BW299" s="192"/>
      <c r="BX299" s="192"/>
      <c r="BY299" s="192"/>
      <c r="BZ299" s="192"/>
      <c r="CA299" s="192"/>
      <c r="CB299" s="192"/>
      <c r="CC299" s="192"/>
      <c r="CD299" s="192"/>
      <c r="CE299" s="192"/>
      <c r="CF299" s="192"/>
      <c r="CG299" s="192"/>
      <c r="CH299" s="192"/>
      <c r="CI299" s="192"/>
      <c r="CJ299" s="192"/>
      <c r="CK299" s="192"/>
      <c r="CL299" s="192"/>
      <c r="CM299" s="192"/>
      <c r="CN299" s="192"/>
      <c r="CO299" s="192"/>
      <c r="CP299" s="192"/>
      <c r="CQ299" s="192"/>
      <c r="CR299" s="192"/>
      <c r="CS299" s="192"/>
      <c r="CT299" s="192"/>
      <c r="CU299" s="192"/>
      <c r="CV299" s="192"/>
      <c r="CW299" s="192"/>
      <c r="CX299" s="192"/>
      <c r="CY299" s="192"/>
      <c r="CZ299" s="192"/>
      <c r="DA299" s="192"/>
      <c r="DB299" s="192"/>
      <c r="DC299" s="192"/>
      <c r="DD299" s="192"/>
      <c r="DE299" s="192"/>
      <c r="DF299" s="192"/>
      <c r="DG299" s="192"/>
      <c r="DH299" s="192"/>
      <c r="DI299" s="192"/>
      <c r="DJ299" s="192"/>
      <c r="DK299" s="192"/>
      <c r="DL299" s="192"/>
      <c r="DM299" s="192"/>
      <c r="DN299" s="192"/>
      <c r="DO299" s="192"/>
      <c r="DP299" s="192"/>
      <c r="DQ299" s="192"/>
      <c r="DR299" s="192"/>
      <c r="DS299" s="192"/>
      <c r="DT299" s="192"/>
      <c r="DU299" s="192"/>
      <c r="DV299" s="192"/>
      <c r="DW299" s="192"/>
      <c r="DX299" s="192"/>
      <c r="DY299" s="192"/>
      <c r="DZ299" s="192"/>
      <c r="EA299" s="192"/>
      <c r="EB299" s="192"/>
      <c r="EC299" s="192"/>
      <c r="ED299" s="192"/>
      <c r="EE299" s="192"/>
      <c r="EF299" s="192"/>
      <c r="EG299" s="192"/>
      <c r="EH299" s="192"/>
      <c r="EI299" s="192"/>
      <c r="EJ299" s="192"/>
      <c r="EK299" s="192"/>
      <c r="EL299" s="192"/>
      <c r="EM299" s="192"/>
      <c r="EN299" s="192"/>
      <c r="EO299" s="192"/>
      <c r="EP299" s="192"/>
      <c r="EQ299" s="192"/>
    </row>
    <row r="300" spans="1:147" x14ac:dyDescent="0.2">
      <c r="A300" s="192"/>
      <c r="B300" s="192"/>
      <c r="C300" s="192"/>
      <c r="D300" s="192"/>
      <c r="E300" s="192"/>
      <c r="F300" s="192"/>
      <c r="G300" s="192"/>
      <c r="H300" s="192"/>
      <c r="I300" s="192"/>
      <c r="J300" s="192"/>
      <c r="K300" s="192"/>
      <c r="L300" s="192"/>
      <c r="M300" s="192"/>
      <c r="N300" s="192"/>
      <c r="O300" s="192"/>
      <c r="P300" s="192"/>
      <c r="Q300" s="192"/>
      <c r="R300" s="192"/>
      <c r="S300" s="266"/>
      <c r="T300" s="265"/>
      <c r="U300" s="265"/>
      <c r="V300" s="265"/>
      <c r="W300" s="265"/>
      <c r="X300" s="265"/>
      <c r="Y300" s="265"/>
      <c r="Z300" s="265"/>
      <c r="AA300" s="265"/>
      <c r="AB300" s="265"/>
      <c r="AC300" s="265"/>
      <c r="AD300" s="265"/>
      <c r="AE300" s="265"/>
      <c r="AF300" s="265"/>
      <c r="AG300" s="265"/>
      <c r="AH300" s="265"/>
      <c r="AI300" s="192"/>
      <c r="AJ300" s="192"/>
      <c r="AK300" s="192"/>
      <c r="AL300" s="192"/>
      <c r="AM300" s="192"/>
      <c r="AN300" s="192"/>
      <c r="AO300" s="192"/>
      <c r="AP300" s="192"/>
      <c r="AQ300" s="192"/>
      <c r="AR300" s="192"/>
      <c r="AS300" s="192"/>
      <c r="AT300" s="192"/>
      <c r="AU300" s="192"/>
      <c r="AV300" s="192"/>
      <c r="AW300" s="192"/>
      <c r="AX300" s="192"/>
      <c r="AY300" s="192"/>
      <c r="AZ300" s="192"/>
      <c r="BA300" s="192"/>
      <c r="BB300" s="192"/>
      <c r="BC300" s="192"/>
      <c r="BD300" s="192"/>
      <c r="BE300" s="192"/>
      <c r="BF300" s="192"/>
      <c r="BG300" s="192"/>
      <c r="BH300" s="192"/>
      <c r="BI300" s="192"/>
      <c r="BJ300" s="192"/>
      <c r="BK300" s="192"/>
      <c r="BL300" s="192"/>
      <c r="BM300" s="192"/>
      <c r="BN300" s="192"/>
      <c r="BO300" s="192"/>
      <c r="BP300" s="192"/>
      <c r="BQ300" s="192"/>
      <c r="BR300" s="192"/>
      <c r="BS300" s="192"/>
      <c r="BT300" s="192"/>
      <c r="BU300" s="192"/>
      <c r="BV300" s="192"/>
      <c r="BW300" s="192"/>
      <c r="BX300" s="192"/>
      <c r="BY300" s="192"/>
      <c r="BZ300" s="192"/>
      <c r="CA300" s="192"/>
      <c r="CB300" s="192"/>
      <c r="CC300" s="192"/>
      <c r="CD300" s="192"/>
      <c r="CE300" s="192"/>
      <c r="CF300" s="192"/>
      <c r="CG300" s="192"/>
      <c r="CH300" s="192"/>
      <c r="CI300" s="192"/>
      <c r="CJ300" s="192"/>
      <c r="CK300" s="192"/>
      <c r="CL300" s="192"/>
      <c r="CM300" s="192"/>
      <c r="CN300" s="192"/>
      <c r="CO300" s="192"/>
      <c r="CP300" s="192"/>
      <c r="CQ300" s="192"/>
      <c r="CR300" s="192"/>
      <c r="CS300" s="192"/>
      <c r="CT300" s="192"/>
      <c r="CU300" s="192"/>
      <c r="CV300" s="192"/>
      <c r="CW300" s="192"/>
      <c r="CX300" s="192"/>
      <c r="CY300" s="192"/>
      <c r="CZ300" s="192"/>
      <c r="DA300" s="192"/>
      <c r="DB300" s="192"/>
      <c r="DC300" s="192"/>
      <c r="DD300" s="192"/>
      <c r="DE300" s="192"/>
      <c r="DF300" s="192"/>
      <c r="DG300" s="192"/>
      <c r="DH300" s="192"/>
      <c r="DI300" s="192"/>
      <c r="DJ300" s="192"/>
      <c r="DK300" s="192"/>
      <c r="DL300" s="192"/>
      <c r="DM300" s="192"/>
      <c r="DN300" s="192"/>
      <c r="DO300" s="192"/>
      <c r="DP300" s="192"/>
      <c r="DQ300" s="192"/>
      <c r="DR300" s="192"/>
      <c r="DS300" s="192"/>
      <c r="DT300" s="192"/>
      <c r="DU300" s="192"/>
      <c r="DV300" s="192"/>
      <c r="DW300" s="192"/>
      <c r="DX300" s="192"/>
      <c r="DY300" s="192"/>
      <c r="DZ300" s="192"/>
      <c r="EA300" s="192"/>
      <c r="EB300" s="192"/>
      <c r="EC300" s="192"/>
      <c r="ED300" s="192"/>
      <c r="EE300" s="192"/>
      <c r="EF300" s="192"/>
      <c r="EG300" s="192"/>
      <c r="EH300" s="192"/>
      <c r="EI300" s="192"/>
      <c r="EJ300" s="192"/>
      <c r="EK300" s="192"/>
      <c r="EL300" s="192"/>
      <c r="EM300" s="192"/>
      <c r="EN300" s="192"/>
      <c r="EO300" s="192"/>
      <c r="EP300" s="192"/>
      <c r="EQ300" s="192"/>
    </row>
    <row r="301" spans="1:147" x14ac:dyDescent="0.2">
      <c r="A301" s="192"/>
      <c r="B301" s="192"/>
      <c r="C301" s="192"/>
      <c r="D301" s="192"/>
      <c r="E301" s="192"/>
      <c r="F301" s="192"/>
      <c r="G301" s="192"/>
      <c r="H301" s="192"/>
      <c r="I301" s="192"/>
      <c r="J301" s="192"/>
      <c r="K301" s="192"/>
      <c r="L301" s="192"/>
      <c r="M301" s="192"/>
      <c r="N301" s="192"/>
      <c r="O301" s="192"/>
      <c r="P301" s="192"/>
      <c r="Q301" s="192"/>
      <c r="R301" s="192"/>
      <c r="S301" s="266"/>
      <c r="T301" s="265"/>
      <c r="U301" s="265"/>
      <c r="V301" s="265"/>
      <c r="W301" s="265"/>
      <c r="X301" s="265"/>
      <c r="Y301" s="265"/>
      <c r="Z301" s="265"/>
      <c r="AA301" s="265"/>
      <c r="AB301" s="265"/>
      <c r="AC301" s="265"/>
      <c r="AD301" s="265"/>
      <c r="AE301" s="265"/>
      <c r="AF301" s="265"/>
      <c r="AG301" s="265"/>
      <c r="AH301" s="265"/>
      <c r="AI301" s="192"/>
      <c r="AJ301" s="192"/>
      <c r="AK301" s="192"/>
      <c r="AL301" s="192"/>
      <c r="AM301" s="192"/>
      <c r="AN301" s="192"/>
      <c r="AO301" s="192"/>
      <c r="AP301" s="192"/>
      <c r="AQ301" s="192"/>
      <c r="AR301" s="192"/>
      <c r="AS301" s="192"/>
      <c r="AT301" s="192"/>
      <c r="AU301" s="192"/>
      <c r="AV301" s="192"/>
      <c r="AW301" s="192"/>
      <c r="AX301" s="192"/>
      <c r="AY301" s="192"/>
      <c r="AZ301" s="192"/>
      <c r="BA301" s="192"/>
      <c r="BB301" s="192"/>
      <c r="BC301" s="192"/>
      <c r="BD301" s="192"/>
      <c r="BE301" s="192"/>
      <c r="BF301" s="192"/>
      <c r="BG301" s="192"/>
      <c r="BH301" s="192"/>
      <c r="BI301" s="192"/>
      <c r="BJ301" s="192"/>
      <c r="BK301" s="192"/>
      <c r="BL301" s="192"/>
      <c r="BM301" s="192"/>
      <c r="BN301" s="192"/>
      <c r="BO301" s="192"/>
      <c r="BP301" s="192"/>
      <c r="BQ301" s="192"/>
      <c r="BR301" s="192"/>
      <c r="BS301" s="192"/>
      <c r="BT301" s="192"/>
      <c r="BU301" s="192"/>
      <c r="BV301" s="192"/>
      <c r="BW301" s="192"/>
      <c r="BX301" s="192"/>
      <c r="BY301" s="192"/>
      <c r="BZ301" s="192"/>
      <c r="CA301" s="192"/>
      <c r="CB301" s="192"/>
      <c r="CC301" s="192"/>
      <c r="CD301" s="192"/>
      <c r="CE301" s="192"/>
      <c r="CF301" s="192"/>
      <c r="CG301" s="192"/>
      <c r="CH301" s="192"/>
      <c r="CI301" s="192"/>
      <c r="CJ301" s="192"/>
      <c r="CK301" s="192"/>
      <c r="CL301" s="192"/>
      <c r="CM301" s="192"/>
      <c r="CN301" s="192"/>
      <c r="CO301" s="192"/>
      <c r="CP301" s="192"/>
      <c r="CQ301" s="192"/>
      <c r="CR301" s="192"/>
      <c r="CS301" s="192"/>
      <c r="CT301" s="192"/>
      <c r="CU301" s="192"/>
      <c r="CV301" s="192"/>
      <c r="CW301" s="192"/>
      <c r="CX301" s="192"/>
      <c r="CY301" s="192"/>
      <c r="CZ301" s="192"/>
      <c r="DA301" s="192"/>
      <c r="DB301" s="192"/>
      <c r="DC301" s="192"/>
      <c r="DD301" s="192"/>
      <c r="DE301" s="192"/>
      <c r="DF301" s="192"/>
      <c r="DG301" s="192"/>
      <c r="DH301" s="192"/>
      <c r="DI301" s="192"/>
      <c r="DJ301" s="192"/>
      <c r="DK301" s="192"/>
      <c r="DL301" s="192"/>
      <c r="DM301" s="192"/>
      <c r="DN301" s="192"/>
      <c r="DO301" s="192"/>
      <c r="DP301" s="192"/>
      <c r="DQ301" s="192"/>
      <c r="DR301" s="192"/>
      <c r="DS301" s="192"/>
      <c r="DT301" s="192"/>
      <c r="DU301" s="192"/>
      <c r="DV301" s="192"/>
      <c r="DW301" s="192"/>
      <c r="DX301" s="192"/>
      <c r="DY301" s="192"/>
      <c r="DZ301" s="192"/>
      <c r="EA301" s="192"/>
      <c r="EB301" s="192"/>
      <c r="EC301" s="192"/>
      <c r="ED301" s="192"/>
      <c r="EE301" s="192"/>
      <c r="EF301" s="192"/>
      <c r="EG301" s="192"/>
      <c r="EH301" s="192"/>
      <c r="EI301" s="192"/>
      <c r="EJ301" s="192"/>
      <c r="EK301" s="192"/>
      <c r="EL301" s="192"/>
      <c r="EM301" s="192"/>
      <c r="EN301" s="192"/>
      <c r="EO301" s="192"/>
      <c r="EP301" s="192"/>
      <c r="EQ301" s="192"/>
    </row>
    <row r="302" spans="1:147" x14ac:dyDescent="0.2">
      <c r="A302" s="192"/>
      <c r="B302" s="192"/>
      <c r="C302" s="192"/>
      <c r="D302" s="192"/>
      <c r="E302" s="192"/>
      <c r="F302" s="192"/>
      <c r="G302" s="192"/>
      <c r="H302" s="192"/>
      <c r="I302" s="192"/>
      <c r="J302" s="192"/>
      <c r="K302" s="192"/>
      <c r="L302" s="192"/>
      <c r="M302" s="192"/>
      <c r="N302" s="192"/>
      <c r="O302" s="192"/>
      <c r="P302" s="192"/>
      <c r="Q302" s="192"/>
      <c r="R302" s="192"/>
      <c r="S302" s="266"/>
      <c r="T302" s="265"/>
      <c r="U302" s="265"/>
      <c r="V302" s="265"/>
      <c r="W302" s="265"/>
      <c r="X302" s="265"/>
      <c r="Y302" s="265"/>
      <c r="Z302" s="265"/>
      <c r="AA302" s="265"/>
      <c r="AB302" s="265"/>
      <c r="AC302" s="265"/>
      <c r="AD302" s="265"/>
      <c r="AE302" s="265"/>
      <c r="AF302" s="265"/>
      <c r="AG302" s="265"/>
      <c r="AH302" s="265"/>
      <c r="AI302" s="192"/>
      <c r="AJ302" s="192"/>
      <c r="AK302" s="192"/>
      <c r="AL302" s="192"/>
      <c r="AM302" s="192"/>
      <c r="AN302" s="192"/>
      <c r="AO302" s="192"/>
      <c r="AP302" s="192"/>
      <c r="AQ302" s="192"/>
      <c r="AR302" s="192"/>
      <c r="AS302" s="192"/>
      <c r="AT302" s="192"/>
      <c r="AU302" s="192"/>
      <c r="AV302" s="192"/>
      <c r="AW302" s="192"/>
      <c r="AX302" s="192"/>
      <c r="AY302" s="192"/>
      <c r="AZ302" s="192"/>
      <c r="BA302" s="192"/>
      <c r="BB302" s="192"/>
      <c r="BC302" s="192"/>
      <c r="BD302" s="192"/>
      <c r="BE302" s="192"/>
      <c r="BF302" s="192"/>
      <c r="BG302" s="192"/>
      <c r="BH302" s="192"/>
      <c r="BI302" s="192"/>
      <c r="BJ302" s="192"/>
      <c r="BK302" s="192"/>
      <c r="BL302" s="192"/>
      <c r="BM302" s="192"/>
      <c r="BN302" s="192"/>
      <c r="BO302" s="192"/>
      <c r="BP302" s="192"/>
      <c r="BQ302" s="192"/>
      <c r="BR302" s="192"/>
      <c r="BS302" s="192"/>
      <c r="BT302" s="192"/>
      <c r="BU302" s="192"/>
      <c r="BV302" s="192"/>
      <c r="BW302" s="192"/>
      <c r="BX302" s="192"/>
      <c r="BY302" s="192"/>
      <c r="BZ302" s="192"/>
      <c r="CA302" s="192"/>
      <c r="CB302" s="192"/>
      <c r="CC302" s="192"/>
      <c r="CD302" s="192"/>
      <c r="CE302" s="192"/>
      <c r="CF302" s="192"/>
      <c r="CG302" s="192"/>
      <c r="CH302" s="192"/>
      <c r="CI302" s="192"/>
      <c r="CJ302" s="192"/>
      <c r="CK302" s="192"/>
      <c r="CL302" s="192"/>
      <c r="CM302" s="192"/>
      <c r="CN302" s="192"/>
      <c r="CO302" s="192"/>
      <c r="CP302" s="192"/>
      <c r="CQ302" s="192"/>
      <c r="CR302" s="192"/>
      <c r="CS302" s="192"/>
      <c r="CT302" s="192"/>
      <c r="CU302" s="192"/>
      <c r="CV302" s="192"/>
      <c r="CW302" s="192"/>
      <c r="CX302" s="192"/>
      <c r="CY302" s="192"/>
      <c r="CZ302" s="192"/>
      <c r="DA302" s="192"/>
      <c r="DB302" s="192"/>
      <c r="DC302" s="192"/>
      <c r="DD302" s="192"/>
      <c r="DE302" s="192"/>
      <c r="DF302" s="192"/>
      <c r="DG302" s="192"/>
      <c r="DH302" s="192"/>
      <c r="DI302" s="192"/>
      <c r="DJ302" s="192"/>
      <c r="DK302" s="192"/>
      <c r="DL302" s="192"/>
      <c r="DM302" s="192"/>
      <c r="DN302" s="192"/>
      <c r="DO302" s="192"/>
      <c r="DP302" s="192"/>
      <c r="DQ302" s="192"/>
      <c r="DR302" s="192"/>
      <c r="DS302" s="192"/>
      <c r="DT302" s="192"/>
      <c r="DU302" s="192"/>
      <c r="DV302" s="192"/>
      <c r="DW302" s="192"/>
      <c r="DX302" s="192"/>
      <c r="DY302" s="192"/>
      <c r="DZ302" s="192"/>
      <c r="EA302" s="192"/>
      <c r="EB302" s="192"/>
      <c r="EC302" s="192"/>
      <c r="ED302" s="192"/>
      <c r="EE302" s="192"/>
      <c r="EF302" s="192"/>
      <c r="EG302" s="192"/>
      <c r="EH302" s="192"/>
      <c r="EI302" s="192"/>
      <c r="EJ302" s="192"/>
      <c r="EK302" s="192"/>
      <c r="EL302" s="192"/>
      <c r="EM302" s="192"/>
      <c r="EN302" s="192"/>
      <c r="EO302" s="192"/>
      <c r="EP302" s="192"/>
      <c r="EQ302" s="192"/>
    </row>
    <row r="303" spans="1:147" x14ac:dyDescent="0.2">
      <c r="A303" s="192"/>
      <c r="B303" s="192"/>
      <c r="C303" s="192"/>
      <c r="D303" s="192"/>
      <c r="E303" s="192"/>
      <c r="F303" s="192"/>
      <c r="G303" s="192"/>
      <c r="H303" s="192"/>
      <c r="I303" s="192"/>
      <c r="J303" s="192"/>
      <c r="K303" s="192"/>
      <c r="L303" s="192"/>
      <c r="M303" s="192"/>
      <c r="N303" s="192"/>
      <c r="O303" s="192"/>
      <c r="P303" s="192"/>
      <c r="Q303" s="192"/>
      <c r="R303" s="192"/>
      <c r="S303" s="266"/>
      <c r="T303" s="265"/>
      <c r="U303" s="265"/>
      <c r="V303" s="265"/>
      <c r="W303" s="265"/>
      <c r="X303" s="265"/>
      <c r="Y303" s="265"/>
      <c r="Z303" s="265"/>
      <c r="AA303" s="265"/>
      <c r="AB303" s="265"/>
      <c r="AC303" s="265"/>
      <c r="AD303" s="265"/>
      <c r="AE303" s="265"/>
      <c r="AF303" s="265"/>
      <c r="AG303" s="265"/>
      <c r="AH303" s="265"/>
      <c r="AI303" s="192"/>
      <c r="AJ303" s="192"/>
      <c r="AK303" s="192"/>
      <c r="AL303" s="192"/>
      <c r="AM303" s="192"/>
      <c r="AN303" s="192"/>
      <c r="AO303" s="192"/>
      <c r="AP303" s="192"/>
      <c r="AQ303" s="192"/>
      <c r="AR303" s="192"/>
      <c r="AS303" s="192"/>
      <c r="AT303" s="192"/>
      <c r="AU303" s="192"/>
      <c r="AV303" s="192"/>
      <c r="AW303" s="192"/>
      <c r="AX303" s="192"/>
      <c r="AY303" s="192"/>
      <c r="AZ303" s="192"/>
      <c r="BA303" s="192"/>
      <c r="BB303" s="192"/>
      <c r="BC303" s="192"/>
      <c r="BD303" s="192"/>
      <c r="BE303" s="192"/>
      <c r="BF303" s="192"/>
      <c r="BG303" s="192"/>
      <c r="BH303" s="192"/>
      <c r="BI303" s="192"/>
      <c r="BJ303" s="192"/>
      <c r="BK303" s="192"/>
      <c r="BL303" s="192"/>
      <c r="BM303" s="192"/>
      <c r="BN303" s="192"/>
      <c r="BO303" s="192"/>
      <c r="BP303" s="192"/>
      <c r="BQ303" s="192"/>
      <c r="BR303" s="192"/>
      <c r="BS303" s="192"/>
      <c r="BT303" s="192"/>
      <c r="BU303" s="192"/>
      <c r="BV303" s="192"/>
      <c r="BW303" s="192"/>
      <c r="BX303" s="192"/>
      <c r="BY303" s="192"/>
      <c r="BZ303" s="192"/>
      <c r="CA303" s="192"/>
      <c r="CB303" s="192"/>
      <c r="CC303" s="192"/>
      <c r="CD303" s="192"/>
      <c r="CE303" s="192"/>
      <c r="CF303" s="192"/>
      <c r="CG303" s="192"/>
      <c r="CH303" s="192"/>
      <c r="CI303" s="192"/>
      <c r="CJ303" s="192"/>
      <c r="CK303" s="192"/>
      <c r="CL303" s="192"/>
      <c r="CM303" s="192"/>
      <c r="CN303" s="192"/>
      <c r="CO303" s="192"/>
      <c r="CP303" s="192"/>
      <c r="CQ303" s="192"/>
      <c r="CR303" s="192"/>
      <c r="CS303" s="192"/>
      <c r="CT303" s="192"/>
      <c r="CU303" s="192"/>
      <c r="CV303" s="192"/>
      <c r="CW303" s="192"/>
      <c r="CX303" s="192"/>
      <c r="CY303" s="192"/>
      <c r="CZ303" s="192"/>
      <c r="DA303" s="192"/>
      <c r="DB303" s="192"/>
      <c r="DC303" s="192"/>
      <c r="DD303" s="192"/>
      <c r="DE303" s="192"/>
      <c r="DF303" s="192"/>
      <c r="DG303" s="192"/>
      <c r="DH303" s="192"/>
      <c r="DI303" s="192"/>
      <c r="DJ303" s="192"/>
      <c r="DK303" s="192"/>
      <c r="DL303" s="192"/>
      <c r="DM303" s="192"/>
      <c r="DN303" s="192"/>
      <c r="DO303" s="192"/>
      <c r="DP303" s="192"/>
      <c r="DQ303" s="192"/>
      <c r="DR303" s="192"/>
      <c r="DS303" s="192"/>
      <c r="DT303" s="192"/>
      <c r="DU303" s="192"/>
      <c r="DV303" s="192"/>
      <c r="DW303" s="192"/>
      <c r="DX303" s="192"/>
      <c r="DY303" s="192"/>
      <c r="DZ303" s="192"/>
      <c r="EA303" s="192"/>
      <c r="EB303" s="192"/>
      <c r="EC303" s="192"/>
      <c r="ED303" s="192"/>
      <c r="EE303" s="192"/>
      <c r="EF303" s="192"/>
      <c r="EG303" s="192"/>
      <c r="EH303" s="192"/>
      <c r="EI303" s="192"/>
      <c r="EJ303" s="192"/>
      <c r="EK303" s="192"/>
      <c r="EL303" s="192"/>
      <c r="EM303" s="192"/>
      <c r="EN303" s="192"/>
      <c r="EO303" s="192"/>
      <c r="EP303" s="192"/>
      <c r="EQ303" s="192"/>
    </row>
    <row r="304" spans="1:147" x14ac:dyDescent="0.2">
      <c r="A304" s="192"/>
      <c r="B304" s="192"/>
      <c r="C304" s="192"/>
      <c r="D304" s="192"/>
      <c r="E304" s="192"/>
      <c r="F304" s="192"/>
      <c r="G304" s="192"/>
      <c r="H304" s="192"/>
      <c r="I304" s="192"/>
      <c r="J304" s="192"/>
      <c r="K304" s="192"/>
      <c r="L304" s="192"/>
      <c r="M304" s="192"/>
      <c r="N304" s="192"/>
      <c r="O304" s="192"/>
      <c r="P304" s="192"/>
      <c r="Q304" s="192"/>
      <c r="R304" s="192"/>
      <c r="S304" s="266"/>
      <c r="T304" s="265"/>
      <c r="U304" s="265"/>
      <c r="V304" s="265"/>
      <c r="W304" s="265"/>
      <c r="X304" s="265"/>
      <c r="Y304" s="265"/>
      <c r="Z304" s="265"/>
      <c r="AA304" s="265"/>
      <c r="AB304" s="265"/>
      <c r="AC304" s="265"/>
      <c r="AD304" s="265"/>
      <c r="AE304" s="265"/>
      <c r="AF304" s="265"/>
      <c r="AG304" s="265"/>
      <c r="AH304" s="265"/>
      <c r="AI304" s="192"/>
      <c r="AJ304" s="192"/>
      <c r="AK304" s="192"/>
      <c r="AL304" s="192"/>
      <c r="AM304" s="192"/>
      <c r="AN304" s="192"/>
      <c r="AO304" s="192"/>
      <c r="AP304" s="192"/>
      <c r="AQ304" s="192"/>
      <c r="AR304" s="192"/>
      <c r="AS304" s="192"/>
      <c r="AT304" s="192"/>
      <c r="AU304" s="192"/>
      <c r="AV304" s="192"/>
      <c r="AW304" s="192"/>
      <c r="AX304" s="192"/>
      <c r="AY304" s="192"/>
      <c r="AZ304" s="192"/>
      <c r="BA304" s="192"/>
      <c r="BB304" s="192"/>
      <c r="BC304" s="192"/>
      <c r="BD304" s="192"/>
      <c r="BE304" s="192"/>
      <c r="BF304" s="192"/>
      <c r="BG304" s="192"/>
      <c r="BH304" s="192"/>
      <c r="BI304" s="192"/>
      <c r="BJ304" s="192"/>
      <c r="BK304" s="192"/>
      <c r="BL304" s="192"/>
      <c r="BM304" s="192"/>
      <c r="BN304" s="192"/>
      <c r="BO304" s="192"/>
      <c r="BP304" s="192"/>
      <c r="BQ304" s="192"/>
      <c r="BR304" s="192"/>
      <c r="BS304" s="192"/>
      <c r="BT304" s="192"/>
      <c r="BU304" s="192"/>
      <c r="BV304" s="192"/>
      <c r="BW304" s="192"/>
      <c r="BX304" s="192"/>
      <c r="BY304" s="192"/>
      <c r="BZ304" s="192"/>
      <c r="CA304" s="192"/>
      <c r="CB304" s="192"/>
      <c r="CC304" s="192"/>
      <c r="CD304" s="192"/>
      <c r="CE304" s="192"/>
      <c r="CF304" s="192"/>
      <c r="CG304" s="192"/>
      <c r="CH304" s="192"/>
      <c r="CI304" s="192"/>
      <c r="CJ304" s="192"/>
      <c r="CK304" s="192"/>
      <c r="CL304" s="192"/>
      <c r="CM304" s="192"/>
      <c r="CN304" s="192"/>
      <c r="CO304" s="192"/>
      <c r="CP304" s="192"/>
      <c r="CQ304" s="192"/>
      <c r="CR304" s="192"/>
      <c r="CS304" s="192"/>
      <c r="CT304" s="192"/>
      <c r="CU304" s="192"/>
      <c r="CV304" s="192"/>
      <c r="CW304" s="192"/>
      <c r="CX304" s="192"/>
      <c r="CY304" s="192"/>
      <c r="CZ304" s="192"/>
      <c r="DA304" s="192"/>
      <c r="DB304" s="192"/>
      <c r="DC304" s="192"/>
      <c r="DD304" s="192"/>
      <c r="DE304" s="192"/>
      <c r="DF304" s="192"/>
      <c r="DG304" s="192"/>
      <c r="DH304" s="192"/>
      <c r="DI304" s="192"/>
      <c r="DJ304" s="192"/>
      <c r="DK304" s="192"/>
      <c r="DL304" s="192"/>
      <c r="DM304" s="192"/>
      <c r="DN304" s="192"/>
      <c r="DO304" s="192"/>
      <c r="DP304" s="192"/>
      <c r="DQ304" s="192"/>
      <c r="DR304" s="192"/>
      <c r="DS304" s="192"/>
      <c r="DT304" s="192"/>
      <c r="DU304" s="192"/>
      <c r="DV304" s="192"/>
      <c r="DW304" s="192"/>
      <c r="DX304" s="192"/>
      <c r="DY304" s="192"/>
      <c r="DZ304" s="192"/>
      <c r="EA304" s="192"/>
      <c r="EB304" s="192"/>
      <c r="EC304" s="192"/>
      <c r="ED304" s="192"/>
      <c r="EE304" s="192"/>
      <c r="EF304" s="192"/>
      <c r="EG304" s="192"/>
      <c r="EH304" s="192"/>
      <c r="EI304" s="192"/>
      <c r="EJ304" s="192"/>
      <c r="EK304" s="192"/>
      <c r="EL304" s="192"/>
      <c r="EM304" s="192"/>
      <c r="EN304" s="192"/>
      <c r="EO304" s="192"/>
      <c r="EP304" s="192"/>
      <c r="EQ304" s="192"/>
    </row>
    <row r="305" spans="1:147" x14ac:dyDescent="0.2">
      <c r="A305" s="192"/>
      <c r="B305" s="192"/>
      <c r="C305" s="192"/>
      <c r="D305" s="192"/>
      <c r="E305" s="192"/>
      <c r="F305" s="192"/>
      <c r="G305" s="192"/>
      <c r="H305" s="192"/>
      <c r="I305" s="192"/>
      <c r="J305" s="192"/>
      <c r="K305" s="192"/>
      <c r="L305" s="192"/>
      <c r="M305" s="192"/>
      <c r="N305" s="192"/>
      <c r="O305" s="192"/>
      <c r="P305" s="192"/>
      <c r="Q305" s="192"/>
      <c r="R305" s="192"/>
      <c r="S305" s="266"/>
      <c r="T305" s="265"/>
      <c r="U305" s="265"/>
      <c r="V305" s="265"/>
      <c r="W305" s="265"/>
      <c r="X305" s="265"/>
      <c r="Y305" s="265"/>
      <c r="Z305" s="265"/>
      <c r="AA305" s="265"/>
      <c r="AB305" s="265"/>
      <c r="AC305" s="265"/>
      <c r="AD305" s="265"/>
      <c r="AE305" s="265"/>
      <c r="AF305" s="265"/>
      <c r="AG305" s="265"/>
      <c r="AH305" s="265"/>
      <c r="AI305" s="192"/>
      <c r="AJ305" s="192"/>
      <c r="AK305" s="192"/>
      <c r="AL305" s="192"/>
      <c r="AM305" s="192"/>
      <c r="AN305" s="192"/>
      <c r="AO305" s="192"/>
      <c r="AP305" s="192"/>
      <c r="AQ305" s="192"/>
      <c r="AR305" s="192"/>
      <c r="AS305" s="192"/>
      <c r="AT305" s="192"/>
      <c r="AU305" s="192"/>
      <c r="AV305" s="192"/>
      <c r="AW305" s="192"/>
      <c r="AX305" s="192"/>
      <c r="AY305" s="192"/>
      <c r="AZ305" s="192"/>
      <c r="BA305" s="192"/>
      <c r="BB305" s="192"/>
      <c r="BC305" s="192"/>
      <c r="BD305" s="192"/>
      <c r="BE305" s="192"/>
      <c r="BF305" s="192"/>
      <c r="BG305" s="192"/>
      <c r="BH305" s="192"/>
      <c r="BI305" s="192"/>
      <c r="BJ305" s="192"/>
      <c r="BK305" s="192"/>
      <c r="BL305" s="192"/>
      <c r="BM305" s="192"/>
      <c r="BN305" s="192"/>
      <c r="BO305" s="192"/>
      <c r="BP305" s="192"/>
      <c r="BQ305" s="192"/>
      <c r="BR305" s="192"/>
      <c r="BS305" s="192"/>
      <c r="BT305" s="192"/>
      <c r="BU305" s="192"/>
      <c r="BV305" s="192"/>
      <c r="BW305" s="192"/>
      <c r="BX305" s="192"/>
      <c r="BY305" s="192"/>
      <c r="BZ305" s="192"/>
      <c r="CA305" s="192"/>
      <c r="CB305" s="192"/>
      <c r="CC305" s="192"/>
      <c r="CD305" s="192"/>
      <c r="CE305" s="192"/>
      <c r="CF305" s="192"/>
      <c r="CG305" s="192"/>
      <c r="CH305" s="192"/>
      <c r="CI305" s="192"/>
      <c r="CJ305" s="192"/>
      <c r="CK305" s="192"/>
      <c r="CL305" s="192"/>
      <c r="CM305" s="192"/>
      <c r="CN305" s="192"/>
      <c r="CO305" s="192"/>
      <c r="CP305" s="192"/>
      <c r="CQ305" s="192"/>
      <c r="CR305" s="192"/>
      <c r="CS305" s="192"/>
      <c r="CT305" s="192"/>
      <c r="CU305" s="192"/>
      <c r="CV305" s="192"/>
      <c r="CW305" s="192"/>
      <c r="CX305" s="192"/>
      <c r="CY305" s="192"/>
      <c r="CZ305" s="192"/>
      <c r="DA305" s="192"/>
      <c r="DB305" s="192"/>
      <c r="DC305" s="192"/>
      <c r="DD305" s="192"/>
      <c r="DE305" s="192"/>
      <c r="DF305" s="192"/>
      <c r="DG305" s="192"/>
      <c r="DH305" s="192"/>
      <c r="DI305" s="192"/>
      <c r="DJ305" s="192"/>
      <c r="DK305" s="192"/>
      <c r="DL305" s="192"/>
      <c r="DM305" s="192"/>
      <c r="DN305" s="192"/>
      <c r="DO305" s="192"/>
      <c r="DP305" s="192"/>
      <c r="DQ305" s="192"/>
      <c r="DR305" s="192"/>
      <c r="DS305" s="192"/>
      <c r="DT305" s="192"/>
      <c r="DU305" s="192"/>
      <c r="DV305" s="192"/>
      <c r="DW305" s="192"/>
      <c r="DX305" s="192"/>
      <c r="DY305" s="192"/>
      <c r="DZ305" s="192"/>
      <c r="EA305" s="192"/>
      <c r="EB305" s="192"/>
      <c r="EC305" s="192"/>
      <c r="ED305" s="192"/>
      <c r="EE305" s="192"/>
      <c r="EF305" s="192"/>
      <c r="EG305" s="192"/>
      <c r="EH305" s="192"/>
      <c r="EI305" s="192"/>
      <c r="EJ305" s="192"/>
      <c r="EK305" s="192"/>
      <c r="EL305" s="192"/>
      <c r="EM305" s="192"/>
      <c r="EN305" s="192"/>
      <c r="EO305" s="192"/>
      <c r="EP305" s="192"/>
      <c r="EQ305" s="192"/>
    </row>
    <row r="306" spans="1:147" x14ac:dyDescent="0.2">
      <c r="A306" s="192"/>
      <c r="B306" s="192"/>
      <c r="C306" s="192"/>
      <c r="D306" s="192"/>
      <c r="E306" s="192"/>
      <c r="F306" s="192"/>
      <c r="G306" s="192"/>
      <c r="H306" s="192"/>
      <c r="I306" s="192"/>
      <c r="J306" s="192"/>
      <c r="K306" s="192"/>
      <c r="L306" s="192"/>
      <c r="M306" s="192"/>
      <c r="N306" s="192"/>
      <c r="O306" s="192"/>
      <c r="P306" s="192"/>
      <c r="Q306" s="192"/>
      <c r="R306" s="192"/>
      <c r="S306" s="266"/>
      <c r="T306" s="265"/>
      <c r="U306" s="265"/>
      <c r="V306" s="265"/>
      <c r="W306" s="265"/>
      <c r="X306" s="265"/>
      <c r="Y306" s="265"/>
      <c r="Z306" s="265"/>
      <c r="AA306" s="265"/>
      <c r="AB306" s="265"/>
      <c r="AC306" s="265"/>
      <c r="AD306" s="265"/>
      <c r="AE306" s="265"/>
      <c r="AF306" s="265"/>
      <c r="AG306" s="265"/>
      <c r="AH306" s="265"/>
      <c r="AI306" s="192"/>
      <c r="AJ306" s="192"/>
      <c r="AK306" s="192"/>
      <c r="AL306" s="192"/>
      <c r="AM306" s="192"/>
      <c r="AN306" s="192"/>
      <c r="AO306" s="192"/>
      <c r="AP306" s="192"/>
      <c r="AQ306" s="192"/>
      <c r="AR306" s="192"/>
      <c r="AS306" s="192"/>
      <c r="AT306" s="192"/>
      <c r="AU306" s="192"/>
      <c r="AV306" s="192"/>
      <c r="AW306" s="192"/>
      <c r="AX306" s="192"/>
      <c r="AY306" s="192"/>
      <c r="AZ306" s="192"/>
      <c r="BA306" s="192"/>
      <c r="BB306" s="192"/>
      <c r="BC306" s="192"/>
      <c r="BD306" s="192"/>
      <c r="BE306" s="192"/>
      <c r="BF306" s="192"/>
      <c r="BG306" s="192"/>
      <c r="BH306" s="192"/>
      <c r="BI306" s="192"/>
      <c r="BJ306" s="192"/>
      <c r="BK306" s="192"/>
      <c r="BL306" s="192"/>
      <c r="BM306" s="192"/>
      <c r="BN306" s="192"/>
      <c r="BO306" s="192"/>
      <c r="BP306" s="192"/>
      <c r="BQ306" s="192"/>
      <c r="BR306" s="192"/>
      <c r="BS306" s="192"/>
      <c r="BT306" s="192"/>
      <c r="BU306" s="192"/>
      <c r="BV306" s="192"/>
      <c r="BW306" s="192"/>
      <c r="BX306" s="192"/>
      <c r="BY306" s="192"/>
      <c r="BZ306" s="192"/>
      <c r="CA306" s="192"/>
      <c r="CB306" s="192"/>
      <c r="CC306" s="192"/>
      <c r="CD306" s="192"/>
      <c r="CE306" s="192"/>
      <c r="CF306" s="192"/>
      <c r="CG306" s="192"/>
      <c r="CH306" s="192"/>
      <c r="CI306" s="192"/>
      <c r="CJ306" s="192"/>
      <c r="CK306" s="192"/>
      <c r="CL306" s="192"/>
      <c r="CM306" s="192"/>
      <c r="CN306" s="192"/>
      <c r="CO306" s="192"/>
      <c r="CP306" s="192"/>
      <c r="CQ306" s="192"/>
      <c r="CR306" s="192"/>
      <c r="CS306" s="192"/>
      <c r="CT306" s="192"/>
      <c r="CU306" s="192"/>
      <c r="CV306" s="192"/>
      <c r="CW306" s="192"/>
      <c r="CX306" s="192"/>
      <c r="CY306" s="192"/>
      <c r="CZ306" s="192"/>
      <c r="DA306" s="192"/>
      <c r="DB306" s="192"/>
      <c r="DC306" s="192"/>
      <c r="DD306" s="192"/>
      <c r="DE306" s="192"/>
      <c r="DF306" s="192"/>
      <c r="DG306" s="192"/>
      <c r="DH306" s="192"/>
      <c r="DI306" s="192"/>
      <c r="DJ306" s="192"/>
      <c r="DK306" s="192"/>
      <c r="DL306" s="192"/>
      <c r="DM306" s="192"/>
      <c r="DN306" s="192"/>
      <c r="DO306" s="192"/>
      <c r="DP306" s="192"/>
      <c r="DQ306" s="192"/>
      <c r="DR306" s="192"/>
      <c r="DS306" s="192"/>
      <c r="DT306" s="192"/>
      <c r="DU306" s="192"/>
      <c r="DV306" s="192"/>
      <c r="DW306" s="192"/>
      <c r="DX306" s="192"/>
      <c r="DY306" s="192"/>
      <c r="DZ306" s="192"/>
      <c r="EA306" s="192"/>
      <c r="EB306" s="192"/>
      <c r="EC306" s="192"/>
      <c r="ED306" s="192"/>
      <c r="EE306" s="192"/>
      <c r="EF306" s="192"/>
      <c r="EG306" s="192"/>
      <c r="EH306" s="192"/>
      <c r="EI306" s="192"/>
      <c r="EJ306" s="192"/>
      <c r="EK306" s="192"/>
      <c r="EL306" s="192"/>
      <c r="EM306" s="192"/>
      <c r="EN306" s="192"/>
      <c r="EO306" s="192"/>
      <c r="EP306" s="192"/>
      <c r="EQ306" s="192"/>
    </row>
    <row r="307" spans="1:147" x14ac:dyDescent="0.2">
      <c r="A307" s="192"/>
      <c r="B307" s="192"/>
      <c r="C307" s="192"/>
      <c r="D307" s="192"/>
      <c r="E307" s="192"/>
      <c r="F307" s="192"/>
      <c r="G307" s="192"/>
      <c r="H307" s="192"/>
      <c r="I307" s="192"/>
      <c r="J307" s="192"/>
      <c r="K307" s="192"/>
      <c r="L307" s="192"/>
      <c r="M307" s="192"/>
      <c r="N307" s="192"/>
      <c r="O307" s="192"/>
      <c r="P307" s="192"/>
      <c r="Q307" s="192"/>
      <c r="R307" s="192"/>
      <c r="S307" s="266"/>
      <c r="T307" s="265"/>
      <c r="U307" s="265"/>
      <c r="V307" s="265"/>
      <c r="W307" s="265"/>
      <c r="X307" s="265"/>
      <c r="Y307" s="265"/>
      <c r="Z307" s="265"/>
      <c r="AA307" s="265"/>
      <c r="AB307" s="265"/>
      <c r="AC307" s="265"/>
      <c r="AD307" s="265"/>
      <c r="AE307" s="265"/>
      <c r="AF307" s="265"/>
      <c r="AG307" s="265"/>
      <c r="AH307" s="265"/>
      <c r="AI307" s="192"/>
      <c r="AJ307" s="192"/>
      <c r="AK307" s="192"/>
      <c r="AL307" s="192"/>
      <c r="AM307" s="192"/>
      <c r="AN307" s="192"/>
      <c r="AO307" s="192"/>
      <c r="AP307" s="192"/>
      <c r="AQ307" s="192"/>
      <c r="AR307" s="192"/>
      <c r="AS307" s="192"/>
      <c r="AT307" s="192"/>
      <c r="AU307" s="192"/>
      <c r="AV307" s="192"/>
      <c r="AW307" s="192"/>
      <c r="AX307" s="192"/>
      <c r="AY307" s="192"/>
      <c r="AZ307" s="192"/>
      <c r="BA307" s="192"/>
      <c r="BB307" s="192"/>
      <c r="BC307" s="192"/>
      <c r="BD307" s="192"/>
      <c r="BE307" s="192"/>
      <c r="BF307" s="192"/>
      <c r="BG307" s="192"/>
      <c r="BH307" s="192"/>
      <c r="BI307" s="192"/>
      <c r="BJ307" s="192"/>
      <c r="BK307" s="192"/>
      <c r="BL307" s="192"/>
      <c r="BM307" s="192"/>
      <c r="BN307" s="192"/>
      <c r="BO307" s="192"/>
      <c r="BP307" s="192"/>
      <c r="BQ307" s="192"/>
      <c r="BR307" s="192"/>
      <c r="BS307" s="192"/>
      <c r="BT307" s="192"/>
      <c r="BU307" s="192"/>
      <c r="BV307" s="192"/>
      <c r="BW307" s="192"/>
      <c r="BX307" s="192"/>
      <c r="BY307" s="192"/>
      <c r="BZ307" s="192"/>
      <c r="CA307" s="192"/>
      <c r="CB307" s="192"/>
      <c r="CC307" s="192"/>
      <c r="CD307" s="192"/>
      <c r="CE307" s="192"/>
      <c r="CF307" s="192"/>
      <c r="CG307" s="192"/>
      <c r="CH307" s="192"/>
      <c r="CI307" s="192"/>
      <c r="CJ307" s="192"/>
      <c r="CK307" s="192"/>
      <c r="CL307" s="192"/>
      <c r="CM307" s="192"/>
      <c r="CN307" s="192"/>
      <c r="CO307" s="192"/>
      <c r="CP307" s="192"/>
      <c r="CQ307" s="192"/>
      <c r="CR307" s="192"/>
      <c r="CS307" s="192"/>
      <c r="CT307" s="192"/>
      <c r="CU307" s="192"/>
      <c r="CV307" s="192"/>
      <c r="CW307" s="192"/>
      <c r="CX307" s="192"/>
      <c r="CY307" s="192"/>
      <c r="CZ307" s="192"/>
      <c r="DA307" s="192"/>
      <c r="DB307" s="192"/>
      <c r="DC307" s="192"/>
      <c r="DD307" s="192"/>
      <c r="DE307" s="192"/>
      <c r="DF307" s="192"/>
      <c r="DG307" s="192"/>
      <c r="DH307" s="192"/>
      <c r="DI307" s="192"/>
      <c r="DJ307" s="192"/>
      <c r="DK307" s="192"/>
      <c r="DL307" s="192"/>
      <c r="DM307" s="192"/>
      <c r="DN307" s="192"/>
      <c r="DO307" s="192"/>
      <c r="DP307" s="192"/>
      <c r="DQ307" s="192"/>
      <c r="DR307" s="192"/>
      <c r="DS307" s="192"/>
      <c r="DT307" s="192"/>
      <c r="DU307" s="192"/>
      <c r="DV307" s="192"/>
      <c r="DW307" s="192"/>
      <c r="DX307" s="192"/>
      <c r="DY307" s="192"/>
      <c r="DZ307" s="192"/>
      <c r="EA307" s="192"/>
      <c r="EB307" s="192"/>
      <c r="EC307" s="192"/>
      <c r="ED307" s="192"/>
      <c r="EE307" s="192"/>
      <c r="EF307" s="192"/>
      <c r="EG307" s="192"/>
      <c r="EH307" s="192"/>
      <c r="EI307" s="192"/>
      <c r="EJ307" s="192"/>
      <c r="EK307" s="192"/>
      <c r="EL307" s="192"/>
      <c r="EM307" s="192"/>
      <c r="EN307" s="192"/>
      <c r="EO307" s="192"/>
      <c r="EP307" s="192"/>
      <c r="EQ307" s="192"/>
    </row>
    <row r="308" spans="1:147" x14ac:dyDescent="0.2">
      <c r="A308" s="192"/>
      <c r="B308" s="192"/>
      <c r="C308" s="192"/>
      <c r="D308" s="192"/>
      <c r="E308" s="192"/>
      <c r="F308" s="192"/>
      <c r="G308" s="192"/>
      <c r="H308" s="192"/>
      <c r="I308" s="192"/>
      <c r="J308" s="192"/>
      <c r="K308" s="192"/>
      <c r="L308" s="192"/>
      <c r="M308" s="192"/>
      <c r="N308" s="192"/>
      <c r="O308" s="192"/>
      <c r="P308" s="192"/>
      <c r="Q308" s="192"/>
      <c r="R308" s="192"/>
      <c r="S308" s="266"/>
      <c r="T308" s="265"/>
      <c r="U308" s="265"/>
      <c r="V308" s="265"/>
      <c r="W308" s="265"/>
      <c r="X308" s="265"/>
      <c r="Y308" s="265"/>
      <c r="Z308" s="265"/>
      <c r="AA308" s="265"/>
      <c r="AB308" s="265"/>
      <c r="AC308" s="265"/>
      <c r="AD308" s="265"/>
      <c r="AE308" s="265"/>
      <c r="AF308" s="265"/>
      <c r="AG308" s="265"/>
      <c r="AH308" s="265"/>
      <c r="AI308" s="192"/>
      <c r="AJ308" s="192"/>
      <c r="AK308" s="192"/>
      <c r="AL308" s="192"/>
      <c r="AM308" s="192"/>
      <c r="AN308" s="192"/>
      <c r="AO308" s="192"/>
      <c r="AP308" s="192"/>
      <c r="AQ308" s="192"/>
      <c r="AR308" s="192"/>
      <c r="AS308" s="192"/>
      <c r="AT308" s="192"/>
      <c r="AU308" s="192"/>
      <c r="AV308" s="192"/>
      <c r="AW308" s="192"/>
      <c r="AX308" s="192"/>
      <c r="AY308" s="192"/>
      <c r="AZ308" s="192"/>
      <c r="BA308" s="192"/>
      <c r="BB308" s="192"/>
      <c r="BC308" s="192"/>
      <c r="BD308" s="192"/>
      <c r="BE308" s="192"/>
      <c r="BF308" s="192"/>
      <c r="BG308" s="192"/>
      <c r="BH308" s="192"/>
      <c r="BI308" s="192"/>
      <c r="BJ308" s="192"/>
      <c r="BK308" s="192"/>
      <c r="BL308" s="192"/>
      <c r="BM308" s="192"/>
      <c r="BN308" s="192"/>
      <c r="BO308" s="192"/>
      <c r="BP308" s="192"/>
      <c r="BQ308" s="192"/>
      <c r="BR308" s="192"/>
      <c r="BS308" s="192"/>
      <c r="BT308" s="192"/>
      <c r="BU308" s="192"/>
      <c r="BV308" s="192"/>
      <c r="BW308" s="192"/>
      <c r="BX308" s="192"/>
      <c r="BY308" s="192"/>
      <c r="BZ308" s="192"/>
      <c r="CA308" s="192"/>
      <c r="CB308" s="192"/>
      <c r="CC308" s="192"/>
      <c r="CD308" s="192"/>
      <c r="CE308" s="192"/>
      <c r="CF308" s="192"/>
      <c r="CG308" s="192"/>
      <c r="CH308" s="192"/>
      <c r="CI308" s="192"/>
      <c r="CJ308" s="192"/>
      <c r="CK308" s="192"/>
      <c r="CL308" s="192"/>
      <c r="CM308" s="192"/>
      <c r="CN308" s="192"/>
      <c r="CO308" s="192"/>
      <c r="CP308" s="192"/>
      <c r="CQ308" s="192"/>
      <c r="CR308" s="192"/>
      <c r="CS308" s="192"/>
      <c r="CT308" s="192"/>
      <c r="CU308" s="192"/>
      <c r="CV308" s="192"/>
      <c r="CW308" s="192"/>
      <c r="CX308" s="192"/>
      <c r="CY308" s="192"/>
      <c r="CZ308" s="192"/>
      <c r="DA308" s="192"/>
      <c r="DB308" s="192"/>
      <c r="DC308" s="192"/>
      <c r="DD308" s="192"/>
      <c r="DE308" s="192"/>
      <c r="DF308" s="192"/>
      <c r="DG308" s="192"/>
      <c r="DH308" s="192"/>
      <c r="DI308" s="192"/>
      <c r="DJ308" s="192"/>
      <c r="DK308" s="192"/>
      <c r="DL308" s="192"/>
      <c r="DM308" s="192"/>
      <c r="DN308" s="192"/>
      <c r="DO308" s="192"/>
      <c r="DP308" s="192"/>
      <c r="DQ308" s="192"/>
      <c r="DR308" s="192"/>
      <c r="DS308" s="192"/>
      <c r="DT308" s="192"/>
      <c r="DU308" s="192"/>
      <c r="DV308" s="192"/>
      <c r="DW308" s="192"/>
      <c r="DX308" s="192"/>
      <c r="DY308" s="192"/>
      <c r="DZ308" s="192"/>
      <c r="EA308" s="192"/>
      <c r="EB308" s="192"/>
      <c r="EC308" s="192"/>
      <c r="ED308" s="192"/>
      <c r="EE308" s="192"/>
      <c r="EF308" s="192"/>
      <c r="EG308" s="192"/>
      <c r="EH308" s="192"/>
      <c r="EI308" s="192"/>
      <c r="EJ308" s="192"/>
      <c r="EK308" s="192"/>
      <c r="EL308" s="192"/>
      <c r="EM308" s="192"/>
      <c r="EN308" s="192"/>
      <c r="EO308" s="192"/>
      <c r="EP308" s="192"/>
      <c r="EQ308" s="192"/>
    </row>
    <row r="309" spans="1:147" x14ac:dyDescent="0.2">
      <c r="A309" s="192"/>
      <c r="B309" s="192"/>
      <c r="C309" s="192"/>
      <c r="D309" s="192"/>
      <c r="E309" s="192"/>
      <c r="F309" s="192"/>
      <c r="G309" s="192"/>
      <c r="H309" s="192"/>
      <c r="I309" s="192"/>
      <c r="J309" s="192"/>
      <c r="K309" s="192"/>
      <c r="L309" s="192"/>
      <c r="M309" s="192"/>
      <c r="N309" s="192"/>
      <c r="O309" s="192"/>
      <c r="P309" s="192"/>
      <c r="Q309" s="192"/>
      <c r="R309" s="192"/>
      <c r="S309" s="266"/>
      <c r="T309" s="265"/>
      <c r="U309" s="265"/>
      <c r="V309" s="265"/>
      <c r="W309" s="265"/>
      <c r="X309" s="265"/>
      <c r="Y309" s="265"/>
      <c r="Z309" s="265"/>
      <c r="AA309" s="265"/>
      <c r="AB309" s="265"/>
      <c r="AC309" s="265"/>
      <c r="AD309" s="265"/>
      <c r="AE309" s="265"/>
      <c r="AF309" s="265"/>
      <c r="AG309" s="265"/>
      <c r="AH309" s="265"/>
      <c r="AI309" s="192"/>
      <c r="AJ309" s="192"/>
      <c r="AK309" s="192"/>
      <c r="AL309" s="192"/>
      <c r="AM309" s="192"/>
      <c r="AN309" s="192"/>
      <c r="AO309" s="192"/>
      <c r="AP309" s="192"/>
      <c r="AQ309" s="192"/>
      <c r="AR309" s="192"/>
      <c r="AS309" s="192"/>
      <c r="AT309" s="192"/>
      <c r="AU309" s="192"/>
      <c r="AV309" s="192"/>
      <c r="AW309" s="192"/>
      <c r="AX309" s="192"/>
      <c r="AY309" s="192"/>
      <c r="AZ309" s="192"/>
      <c r="BA309" s="192"/>
      <c r="BB309" s="192"/>
      <c r="BC309" s="192"/>
      <c r="BD309" s="192"/>
      <c r="BE309" s="192"/>
      <c r="BF309" s="192"/>
      <c r="BG309" s="192"/>
      <c r="BH309" s="192"/>
      <c r="BI309" s="192"/>
      <c r="BJ309" s="192"/>
      <c r="BK309" s="192"/>
      <c r="BL309" s="192"/>
      <c r="BM309" s="192"/>
      <c r="BN309" s="192"/>
      <c r="BO309" s="192"/>
      <c r="BP309" s="192"/>
      <c r="BQ309" s="192"/>
      <c r="BR309" s="192"/>
      <c r="BS309" s="192"/>
      <c r="BT309" s="192"/>
      <c r="BU309" s="192"/>
      <c r="BV309" s="192"/>
      <c r="BW309" s="192"/>
      <c r="BX309" s="192"/>
      <c r="BY309" s="192"/>
      <c r="BZ309" s="192"/>
      <c r="CA309" s="192"/>
      <c r="CB309" s="192"/>
      <c r="CC309" s="192"/>
      <c r="CD309" s="192"/>
      <c r="CE309" s="192"/>
      <c r="CF309" s="192"/>
      <c r="CG309" s="192"/>
      <c r="CH309" s="192"/>
      <c r="CI309" s="192"/>
      <c r="CJ309" s="192"/>
      <c r="CK309" s="192"/>
      <c r="CL309" s="192"/>
      <c r="CM309" s="192"/>
      <c r="CN309" s="192"/>
      <c r="CO309" s="192"/>
      <c r="CP309" s="192"/>
      <c r="CQ309" s="192"/>
      <c r="CR309" s="192"/>
      <c r="CS309" s="192"/>
      <c r="CT309" s="192"/>
      <c r="CU309" s="192"/>
      <c r="CV309" s="192"/>
      <c r="CW309" s="192"/>
      <c r="CX309" s="192"/>
      <c r="CY309" s="192"/>
      <c r="CZ309" s="192"/>
      <c r="DA309" s="192"/>
      <c r="DB309" s="192"/>
      <c r="DC309" s="192"/>
      <c r="DD309" s="192"/>
      <c r="DE309" s="192"/>
      <c r="DF309" s="192"/>
      <c r="DG309" s="192"/>
      <c r="DH309" s="192"/>
      <c r="DI309" s="192"/>
      <c r="DJ309" s="192"/>
      <c r="DK309" s="192"/>
      <c r="DL309" s="192"/>
      <c r="DM309" s="192"/>
      <c r="DN309" s="192"/>
      <c r="DO309" s="192"/>
      <c r="DP309" s="192"/>
      <c r="DQ309" s="192"/>
      <c r="DR309" s="192"/>
      <c r="DS309" s="192"/>
      <c r="DT309" s="192"/>
      <c r="DU309" s="192"/>
      <c r="DV309" s="192"/>
      <c r="DW309" s="192"/>
      <c r="DX309" s="192"/>
      <c r="DY309" s="192"/>
      <c r="DZ309" s="192"/>
      <c r="EA309" s="192"/>
      <c r="EB309" s="192"/>
      <c r="EC309" s="192"/>
      <c r="ED309" s="192"/>
      <c r="EE309" s="192"/>
      <c r="EF309" s="192"/>
      <c r="EG309" s="192"/>
      <c r="EH309" s="192"/>
      <c r="EI309" s="192"/>
      <c r="EJ309" s="192"/>
      <c r="EK309" s="192"/>
      <c r="EL309" s="192"/>
      <c r="EM309" s="192"/>
      <c r="EN309" s="192"/>
      <c r="EO309" s="192"/>
      <c r="EP309" s="192"/>
      <c r="EQ309" s="192"/>
    </row>
    <row r="310" spans="1:147" x14ac:dyDescent="0.2">
      <c r="A310" s="192"/>
      <c r="B310" s="192"/>
      <c r="C310" s="192"/>
      <c r="D310" s="192"/>
      <c r="E310" s="192"/>
      <c r="F310" s="192"/>
      <c r="G310" s="192"/>
      <c r="H310" s="192"/>
      <c r="I310" s="192"/>
      <c r="J310" s="192"/>
      <c r="K310" s="192"/>
      <c r="L310" s="192"/>
      <c r="M310" s="192"/>
      <c r="N310" s="192"/>
      <c r="O310" s="192"/>
      <c r="P310" s="192"/>
      <c r="Q310" s="192"/>
      <c r="R310" s="192"/>
      <c r="S310" s="266"/>
      <c r="T310" s="265"/>
      <c r="U310" s="265"/>
      <c r="V310" s="265"/>
      <c r="W310" s="265"/>
      <c r="X310" s="265"/>
      <c r="Y310" s="265"/>
      <c r="Z310" s="265"/>
      <c r="AA310" s="265"/>
      <c r="AB310" s="265"/>
      <c r="AC310" s="265"/>
      <c r="AD310" s="265"/>
      <c r="AE310" s="265"/>
      <c r="AF310" s="265"/>
      <c r="AG310" s="265"/>
      <c r="AH310" s="265"/>
      <c r="AI310" s="192"/>
      <c r="AJ310" s="192"/>
      <c r="AK310" s="192"/>
      <c r="AL310" s="192"/>
      <c r="AM310" s="192"/>
      <c r="AN310" s="192"/>
      <c r="AO310" s="192"/>
      <c r="AP310" s="192"/>
      <c r="AQ310" s="192"/>
      <c r="AR310" s="192"/>
      <c r="AS310" s="192"/>
      <c r="AT310" s="192"/>
      <c r="AU310" s="192"/>
      <c r="AV310" s="192"/>
      <c r="AW310" s="192"/>
      <c r="AX310" s="192"/>
      <c r="AY310" s="192"/>
      <c r="AZ310" s="192"/>
      <c r="BA310" s="192"/>
      <c r="BB310" s="192"/>
      <c r="BC310" s="192"/>
      <c r="BD310" s="192"/>
      <c r="BE310" s="192"/>
      <c r="BF310" s="192"/>
      <c r="BG310" s="192"/>
      <c r="BH310" s="192"/>
      <c r="BI310" s="192"/>
      <c r="BJ310" s="192"/>
      <c r="BK310" s="192"/>
      <c r="BL310" s="192"/>
      <c r="BM310" s="192"/>
      <c r="BN310" s="192"/>
      <c r="BO310" s="192"/>
      <c r="BP310" s="192"/>
      <c r="BQ310" s="192"/>
      <c r="BR310" s="192"/>
      <c r="BS310" s="192"/>
      <c r="BT310" s="192"/>
      <c r="BU310" s="192"/>
      <c r="BV310" s="192"/>
      <c r="BW310" s="192"/>
      <c r="BX310" s="192"/>
      <c r="BY310" s="192"/>
      <c r="BZ310" s="192"/>
      <c r="CA310" s="192"/>
      <c r="CB310" s="192"/>
      <c r="CC310" s="192"/>
      <c r="CD310" s="192"/>
      <c r="CE310" s="192"/>
      <c r="CF310" s="192"/>
      <c r="CG310" s="192"/>
      <c r="CH310" s="192"/>
      <c r="CI310" s="192"/>
      <c r="CJ310" s="192"/>
      <c r="CK310" s="192"/>
      <c r="CL310" s="192"/>
      <c r="CM310" s="192"/>
      <c r="CN310" s="192"/>
      <c r="CO310" s="192"/>
      <c r="CP310" s="192"/>
      <c r="CQ310" s="192"/>
      <c r="CR310" s="192"/>
      <c r="CS310" s="192"/>
      <c r="CT310" s="192"/>
      <c r="CU310" s="192"/>
      <c r="CV310" s="192"/>
      <c r="CW310" s="192"/>
      <c r="CX310" s="192"/>
      <c r="CY310" s="192"/>
      <c r="CZ310" s="192"/>
      <c r="DA310" s="192"/>
      <c r="DB310" s="192"/>
      <c r="DC310" s="192"/>
      <c r="DD310" s="192"/>
      <c r="DE310" s="192"/>
      <c r="DF310" s="192"/>
      <c r="DG310" s="192"/>
      <c r="DH310" s="192"/>
      <c r="DI310" s="192"/>
      <c r="DJ310" s="192"/>
      <c r="DK310" s="192"/>
      <c r="DL310" s="192"/>
      <c r="DM310" s="192"/>
      <c r="DN310" s="192"/>
      <c r="DO310" s="192"/>
      <c r="DP310" s="192"/>
      <c r="DQ310" s="192"/>
      <c r="DR310" s="192"/>
      <c r="DS310" s="192"/>
      <c r="DT310" s="192"/>
      <c r="DU310" s="192"/>
      <c r="DV310" s="192"/>
      <c r="DW310" s="192"/>
      <c r="DX310" s="192"/>
      <c r="DY310" s="192"/>
      <c r="DZ310" s="192"/>
      <c r="EA310" s="192"/>
      <c r="EB310" s="192"/>
      <c r="EC310" s="192"/>
      <c r="ED310" s="192"/>
      <c r="EE310" s="192"/>
      <c r="EF310" s="192"/>
      <c r="EG310" s="192"/>
      <c r="EH310" s="192"/>
      <c r="EI310" s="192"/>
      <c r="EJ310" s="192"/>
      <c r="EK310" s="192"/>
      <c r="EL310" s="192"/>
      <c r="EM310" s="192"/>
      <c r="EN310" s="192"/>
      <c r="EO310" s="192"/>
      <c r="EP310" s="192"/>
      <c r="EQ310" s="192"/>
    </row>
    <row r="311" spans="1:147" x14ac:dyDescent="0.2">
      <c r="A311" s="192"/>
      <c r="B311" s="192"/>
      <c r="C311" s="192"/>
      <c r="D311" s="192"/>
      <c r="E311" s="192"/>
      <c r="F311" s="192"/>
      <c r="G311" s="192"/>
      <c r="H311" s="192"/>
      <c r="I311" s="192"/>
      <c r="J311" s="192"/>
      <c r="K311" s="192"/>
      <c r="L311" s="192"/>
      <c r="M311" s="192"/>
      <c r="N311" s="192"/>
      <c r="O311" s="192"/>
      <c r="P311" s="192"/>
      <c r="Q311" s="192"/>
      <c r="R311" s="192"/>
      <c r="S311" s="266"/>
      <c r="T311" s="265"/>
      <c r="U311" s="265"/>
      <c r="V311" s="265"/>
      <c r="W311" s="265"/>
      <c r="X311" s="265"/>
      <c r="Y311" s="265"/>
      <c r="Z311" s="265"/>
      <c r="AA311" s="265"/>
      <c r="AB311" s="265"/>
      <c r="AC311" s="265"/>
      <c r="AD311" s="265"/>
      <c r="AE311" s="265"/>
      <c r="AF311" s="265"/>
      <c r="AG311" s="265"/>
      <c r="AH311" s="265"/>
      <c r="AI311" s="192"/>
      <c r="AJ311" s="192"/>
      <c r="AK311" s="192"/>
      <c r="AL311" s="192"/>
      <c r="AM311" s="192"/>
      <c r="AN311" s="192"/>
      <c r="AO311" s="192"/>
      <c r="AP311" s="192"/>
      <c r="AQ311" s="192"/>
      <c r="AR311" s="192"/>
      <c r="AS311" s="192"/>
      <c r="AT311" s="192"/>
      <c r="AU311" s="192"/>
      <c r="AV311" s="192"/>
      <c r="AW311" s="192"/>
      <c r="AX311" s="192"/>
      <c r="AY311" s="192"/>
      <c r="AZ311" s="192"/>
      <c r="BA311" s="192"/>
      <c r="BB311" s="192"/>
      <c r="BC311" s="192"/>
      <c r="BD311" s="192"/>
      <c r="BE311" s="192"/>
      <c r="BF311" s="192"/>
      <c r="BG311" s="192"/>
      <c r="BH311" s="192"/>
      <c r="BI311" s="192"/>
      <c r="BJ311" s="192"/>
      <c r="BK311" s="192"/>
      <c r="BL311" s="192"/>
      <c r="BM311" s="192"/>
      <c r="BN311" s="192"/>
      <c r="BO311" s="192"/>
      <c r="BP311" s="192"/>
      <c r="BQ311" s="192"/>
      <c r="BR311" s="192"/>
      <c r="BS311" s="192"/>
      <c r="BT311" s="192"/>
      <c r="BU311" s="192"/>
      <c r="BV311" s="192"/>
      <c r="BW311" s="192"/>
      <c r="BX311" s="192"/>
      <c r="BY311" s="192"/>
      <c r="BZ311" s="192"/>
      <c r="CA311" s="192"/>
      <c r="CB311" s="192"/>
      <c r="CC311" s="192"/>
      <c r="CD311" s="192"/>
      <c r="CE311" s="192"/>
      <c r="CF311" s="192"/>
      <c r="CG311" s="192"/>
      <c r="CH311" s="192"/>
      <c r="CI311" s="192"/>
      <c r="CJ311" s="192"/>
      <c r="CK311" s="192"/>
      <c r="CL311" s="192"/>
      <c r="CM311" s="192"/>
      <c r="CN311" s="192"/>
      <c r="CO311" s="192"/>
      <c r="CP311" s="192"/>
      <c r="CQ311" s="192"/>
      <c r="CR311" s="192"/>
      <c r="CS311" s="192"/>
      <c r="CT311" s="192"/>
      <c r="CU311" s="192"/>
      <c r="CV311" s="192"/>
      <c r="CW311" s="192"/>
      <c r="CX311" s="192"/>
      <c r="CY311" s="192"/>
      <c r="CZ311" s="192"/>
      <c r="DA311" s="192"/>
      <c r="DB311" s="192"/>
      <c r="DC311" s="192"/>
      <c r="DD311" s="192"/>
      <c r="DE311" s="192"/>
      <c r="DF311" s="192"/>
      <c r="DG311" s="192"/>
      <c r="DH311" s="192"/>
      <c r="DI311" s="192"/>
      <c r="DJ311" s="192"/>
      <c r="DK311" s="192"/>
      <c r="DL311" s="192"/>
      <c r="DM311" s="192"/>
      <c r="DN311" s="192"/>
      <c r="DO311" s="192"/>
      <c r="DP311" s="192"/>
      <c r="DQ311" s="192"/>
      <c r="DR311" s="192"/>
      <c r="DS311" s="192"/>
      <c r="DT311" s="192"/>
      <c r="DU311" s="192"/>
      <c r="DV311" s="192"/>
      <c r="DW311" s="192"/>
      <c r="DX311" s="192"/>
      <c r="DY311" s="192"/>
      <c r="DZ311" s="192"/>
      <c r="EA311" s="192"/>
      <c r="EB311" s="192"/>
      <c r="EC311" s="192"/>
      <c r="ED311" s="192"/>
      <c r="EE311" s="192"/>
      <c r="EF311" s="192"/>
      <c r="EG311" s="192"/>
      <c r="EH311" s="192"/>
      <c r="EI311" s="192"/>
      <c r="EJ311" s="192"/>
      <c r="EK311" s="192"/>
      <c r="EL311" s="192"/>
      <c r="EM311" s="192"/>
      <c r="EN311" s="192"/>
      <c r="EO311" s="192"/>
      <c r="EP311" s="192"/>
      <c r="EQ311" s="192"/>
    </row>
    <row r="312" spans="1:147" x14ac:dyDescent="0.2">
      <c r="A312" s="192"/>
      <c r="B312" s="192"/>
      <c r="C312" s="192"/>
      <c r="D312" s="192"/>
      <c r="E312" s="192"/>
      <c r="F312" s="192"/>
      <c r="G312" s="192"/>
      <c r="H312" s="192"/>
      <c r="I312" s="192"/>
      <c r="J312" s="192"/>
      <c r="K312" s="192"/>
      <c r="L312" s="192"/>
      <c r="M312" s="192"/>
      <c r="N312" s="192"/>
      <c r="O312" s="192"/>
      <c r="P312" s="192"/>
      <c r="Q312" s="192"/>
      <c r="R312" s="192"/>
      <c r="S312" s="266"/>
      <c r="T312" s="265"/>
      <c r="U312" s="265"/>
      <c r="V312" s="265"/>
      <c r="W312" s="265"/>
      <c r="X312" s="265"/>
      <c r="Y312" s="265"/>
      <c r="Z312" s="265"/>
      <c r="AA312" s="265"/>
      <c r="AB312" s="265"/>
      <c r="AC312" s="265"/>
      <c r="AD312" s="265"/>
      <c r="AE312" s="265"/>
      <c r="AF312" s="265"/>
      <c r="AG312" s="265"/>
      <c r="AH312" s="265"/>
      <c r="AI312" s="192"/>
      <c r="AJ312" s="192"/>
      <c r="AK312" s="192"/>
      <c r="AL312" s="192"/>
      <c r="AM312" s="192"/>
      <c r="AN312" s="192"/>
      <c r="AO312" s="192"/>
      <c r="AP312" s="192"/>
      <c r="AQ312" s="192"/>
      <c r="AR312" s="192"/>
      <c r="AS312" s="192"/>
      <c r="AT312" s="192"/>
      <c r="AU312" s="192"/>
      <c r="AV312" s="192"/>
      <c r="AW312" s="192"/>
      <c r="AX312" s="192"/>
      <c r="AY312" s="192"/>
      <c r="AZ312" s="192"/>
      <c r="BA312" s="192"/>
      <c r="BB312" s="192"/>
      <c r="BC312" s="192"/>
      <c r="BD312" s="192"/>
      <c r="BE312" s="192"/>
      <c r="BF312" s="192"/>
      <c r="BG312" s="192"/>
      <c r="BH312" s="192"/>
      <c r="BI312" s="192"/>
      <c r="BJ312" s="192"/>
      <c r="BK312" s="192"/>
      <c r="BL312" s="192"/>
      <c r="BM312" s="192"/>
      <c r="BN312" s="192"/>
      <c r="BO312" s="192"/>
      <c r="BP312" s="192"/>
      <c r="BQ312" s="192"/>
      <c r="BR312" s="192"/>
      <c r="BS312" s="192"/>
      <c r="BT312" s="192"/>
      <c r="BU312" s="192"/>
      <c r="BV312" s="192"/>
      <c r="BW312" s="192"/>
      <c r="BX312" s="192"/>
      <c r="BY312" s="192"/>
      <c r="BZ312" s="192"/>
      <c r="CA312" s="192"/>
      <c r="CB312" s="192"/>
      <c r="CC312" s="192"/>
      <c r="CD312" s="192"/>
      <c r="CE312" s="192"/>
      <c r="CF312" s="192"/>
      <c r="CG312" s="192"/>
      <c r="CH312" s="192"/>
      <c r="CI312" s="192"/>
      <c r="CJ312" s="192"/>
      <c r="CK312" s="192"/>
      <c r="CL312" s="192"/>
      <c r="CM312" s="192"/>
      <c r="CN312" s="192"/>
      <c r="CO312" s="192"/>
      <c r="CP312" s="192"/>
      <c r="CQ312" s="192"/>
      <c r="CR312" s="192"/>
      <c r="CS312" s="192"/>
      <c r="CT312" s="192"/>
      <c r="CU312" s="192"/>
      <c r="CV312" s="192"/>
      <c r="CW312" s="192"/>
      <c r="CX312" s="192"/>
      <c r="CY312" s="192"/>
      <c r="CZ312" s="192"/>
      <c r="DA312" s="192"/>
      <c r="DB312" s="192"/>
      <c r="DC312" s="192"/>
      <c r="DD312" s="192"/>
      <c r="DE312" s="192"/>
      <c r="DF312" s="192"/>
      <c r="DG312" s="192"/>
      <c r="DH312" s="192"/>
      <c r="DI312" s="192"/>
      <c r="DJ312" s="192"/>
      <c r="DK312" s="192"/>
      <c r="DL312" s="192"/>
      <c r="DM312" s="192"/>
      <c r="DN312" s="192"/>
      <c r="DO312" s="192"/>
      <c r="DP312" s="192"/>
      <c r="DQ312" s="192"/>
      <c r="DR312" s="192"/>
      <c r="DS312" s="192"/>
      <c r="DT312" s="192"/>
      <c r="DU312" s="192"/>
      <c r="DV312" s="192"/>
      <c r="DW312" s="192"/>
      <c r="DX312" s="192"/>
      <c r="DY312" s="192"/>
      <c r="DZ312" s="192"/>
      <c r="EA312" s="192"/>
      <c r="EB312" s="192"/>
      <c r="EC312" s="192"/>
      <c r="ED312" s="192"/>
      <c r="EE312" s="192"/>
      <c r="EF312" s="192"/>
      <c r="EG312" s="192"/>
      <c r="EH312" s="192"/>
      <c r="EI312" s="192"/>
      <c r="EJ312" s="192"/>
      <c r="EK312" s="192"/>
      <c r="EL312" s="192"/>
      <c r="EM312" s="192"/>
      <c r="EN312" s="192"/>
      <c r="EO312" s="192"/>
      <c r="EP312" s="192"/>
      <c r="EQ312" s="192"/>
    </row>
    <row r="313" spans="1:147" x14ac:dyDescent="0.2">
      <c r="A313" s="192"/>
      <c r="B313" s="192"/>
      <c r="C313" s="192"/>
      <c r="D313" s="192"/>
      <c r="E313" s="192"/>
      <c r="F313" s="192"/>
      <c r="G313" s="192"/>
      <c r="H313" s="192"/>
      <c r="I313" s="192"/>
      <c r="J313" s="192"/>
      <c r="K313" s="192"/>
      <c r="L313" s="192"/>
      <c r="M313" s="192"/>
      <c r="N313" s="192"/>
      <c r="O313" s="192"/>
      <c r="P313" s="192"/>
      <c r="Q313" s="192"/>
      <c r="R313" s="192"/>
      <c r="S313" s="266"/>
      <c r="T313" s="265"/>
      <c r="U313" s="265"/>
      <c r="V313" s="265"/>
      <c r="W313" s="265"/>
      <c r="X313" s="265"/>
      <c r="Y313" s="265"/>
      <c r="Z313" s="265"/>
      <c r="AA313" s="265"/>
      <c r="AB313" s="265"/>
      <c r="AC313" s="265"/>
      <c r="AD313" s="265"/>
      <c r="AE313" s="265"/>
      <c r="AF313" s="265"/>
      <c r="AG313" s="265"/>
      <c r="AH313" s="265"/>
      <c r="AI313" s="192"/>
      <c r="AJ313" s="192"/>
      <c r="AK313" s="192"/>
      <c r="AL313" s="192"/>
      <c r="AM313" s="192"/>
      <c r="AN313" s="192"/>
      <c r="AO313" s="192"/>
      <c r="AP313" s="192"/>
      <c r="AQ313" s="192"/>
      <c r="AR313" s="192"/>
      <c r="AS313" s="192"/>
      <c r="AT313" s="192"/>
      <c r="AU313" s="192"/>
      <c r="AV313" s="192"/>
      <c r="AW313" s="192"/>
      <c r="AX313" s="192"/>
      <c r="AY313" s="192"/>
      <c r="AZ313" s="192"/>
      <c r="BA313" s="192"/>
      <c r="BB313" s="192"/>
      <c r="BC313" s="192"/>
      <c r="BD313" s="192"/>
      <c r="BE313" s="192"/>
      <c r="BF313" s="192"/>
      <c r="BG313" s="192"/>
      <c r="BH313" s="192"/>
      <c r="BI313" s="192"/>
      <c r="BJ313" s="192"/>
      <c r="BK313" s="192"/>
      <c r="BL313" s="192"/>
      <c r="BM313" s="192"/>
      <c r="BN313" s="192"/>
      <c r="BO313" s="192"/>
      <c r="BP313" s="192"/>
      <c r="BQ313" s="192"/>
      <c r="BR313" s="192"/>
      <c r="BS313" s="192"/>
      <c r="BT313" s="192"/>
      <c r="BU313" s="192"/>
      <c r="BV313" s="192"/>
      <c r="BW313" s="192"/>
      <c r="BX313" s="192"/>
      <c r="BY313" s="192"/>
      <c r="BZ313" s="192"/>
      <c r="CA313" s="192"/>
      <c r="CB313" s="192"/>
      <c r="CC313" s="192"/>
      <c r="CD313" s="192"/>
      <c r="CE313" s="192"/>
      <c r="CF313" s="192"/>
      <c r="CG313" s="192"/>
      <c r="CH313" s="192"/>
      <c r="CI313" s="192"/>
      <c r="CJ313" s="192"/>
      <c r="CK313" s="192"/>
      <c r="CL313" s="192"/>
      <c r="CM313" s="192"/>
      <c r="CN313" s="192"/>
      <c r="CO313" s="192"/>
      <c r="CP313" s="192"/>
      <c r="CQ313" s="192"/>
      <c r="CR313" s="192"/>
      <c r="CS313" s="192"/>
      <c r="CT313" s="192"/>
      <c r="CU313" s="192"/>
      <c r="CV313" s="192"/>
      <c r="CW313" s="192"/>
      <c r="CX313" s="192"/>
      <c r="CY313" s="192"/>
      <c r="CZ313" s="192"/>
      <c r="DA313" s="192"/>
      <c r="DB313" s="192"/>
      <c r="DC313" s="192"/>
      <c r="DD313" s="192"/>
      <c r="DE313" s="192"/>
      <c r="DF313" s="192"/>
      <c r="DG313" s="192"/>
      <c r="DH313" s="192"/>
      <c r="DI313" s="192"/>
      <c r="DJ313" s="192"/>
      <c r="DK313" s="192"/>
      <c r="DL313" s="192"/>
      <c r="DM313" s="192"/>
      <c r="DN313" s="192"/>
      <c r="DO313" s="192"/>
      <c r="DP313" s="192"/>
      <c r="DQ313" s="192"/>
      <c r="DR313" s="192"/>
      <c r="DS313" s="192"/>
      <c r="DT313" s="192"/>
      <c r="DU313" s="192"/>
      <c r="DV313" s="192"/>
      <c r="DW313" s="192"/>
      <c r="DX313" s="192"/>
      <c r="DY313" s="192"/>
      <c r="DZ313" s="192"/>
      <c r="EA313" s="192"/>
      <c r="EB313" s="192"/>
      <c r="EC313" s="192"/>
      <c r="ED313" s="192"/>
      <c r="EE313" s="192"/>
      <c r="EF313" s="192"/>
      <c r="EG313" s="192"/>
      <c r="EH313" s="192"/>
      <c r="EI313" s="192"/>
      <c r="EJ313" s="192"/>
      <c r="EK313" s="192"/>
      <c r="EL313" s="192"/>
      <c r="EM313" s="192"/>
      <c r="EN313" s="192"/>
      <c r="EO313" s="192"/>
      <c r="EP313" s="192"/>
      <c r="EQ313" s="192"/>
    </row>
    <row r="314" spans="1:147" x14ac:dyDescent="0.2">
      <c r="A314" s="192"/>
      <c r="B314" s="192"/>
      <c r="C314" s="192"/>
      <c r="D314" s="192"/>
      <c r="E314" s="192"/>
      <c r="F314" s="192"/>
      <c r="G314" s="192"/>
      <c r="H314" s="192"/>
      <c r="I314" s="192"/>
      <c r="J314" s="192"/>
      <c r="K314" s="192"/>
      <c r="L314" s="192"/>
      <c r="M314" s="192"/>
      <c r="N314" s="192"/>
      <c r="O314" s="192"/>
      <c r="P314" s="192"/>
      <c r="Q314" s="192"/>
      <c r="R314" s="192"/>
      <c r="S314" s="266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  <c r="AG314" s="265"/>
      <c r="AH314" s="265"/>
      <c r="AI314" s="192"/>
      <c r="AJ314" s="192"/>
      <c r="AK314" s="192"/>
      <c r="AL314" s="192"/>
      <c r="AM314" s="192"/>
      <c r="AN314" s="192"/>
      <c r="AO314" s="192"/>
      <c r="AP314" s="192"/>
      <c r="AQ314" s="192"/>
      <c r="AR314" s="192"/>
      <c r="AS314" s="192"/>
      <c r="AT314" s="192"/>
      <c r="AU314" s="192"/>
      <c r="AV314" s="192"/>
      <c r="AW314" s="192"/>
      <c r="AX314" s="192"/>
      <c r="AY314" s="192"/>
      <c r="AZ314" s="192"/>
      <c r="BA314" s="192"/>
      <c r="BB314" s="192"/>
      <c r="BC314" s="192"/>
      <c r="BD314" s="192"/>
      <c r="BE314" s="192"/>
      <c r="BF314" s="192"/>
      <c r="BG314" s="192"/>
      <c r="BH314" s="192"/>
      <c r="BI314" s="192"/>
      <c r="BJ314" s="192"/>
      <c r="BK314" s="192"/>
      <c r="BL314" s="192"/>
      <c r="BM314" s="192"/>
      <c r="BN314" s="192"/>
      <c r="BO314" s="192"/>
      <c r="BP314" s="192"/>
      <c r="BQ314" s="192"/>
      <c r="BR314" s="192"/>
      <c r="BS314" s="192"/>
      <c r="BT314" s="192"/>
      <c r="BU314" s="192"/>
      <c r="BV314" s="192"/>
      <c r="BW314" s="192"/>
      <c r="BX314" s="192"/>
      <c r="BY314" s="192"/>
      <c r="BZ314" s="192"/>
      <c r="CA314" s="192"/>
      <c r="CB314" s="192"/>
      <c r="CC314" s="192"/>
      <c r="CD314" s="192"/>
      <c r="CE314" s="192"/>
      <c r="CF314" s="192"/>
      <c r="CG314" s="192"/>
      <c r="CH314" s="192"/>
      <c r="CI314" s="192"/>
      <c r="CJ314" s="192"/>
      <c r="CK314" s="192"/>
      <c r="CL314" s="192"/>
      <c r="CM314" s="192"/>
      <c r="CN314" s="192"/>
      <c r="CO314" s="192"/>
      <c r="CP314" s="192"/>
      <c r="CQ314" s="192"/>
      <c r="CR314" s="192"/>
      <c r="CS314" s="192"/>
      <c r="CT314" s="192"/>
      <c r="CU314" s="192"/>
      <c r="CV314" s="192"/>
      <c r="CW314" s="192"/>
      <c r="CX314" s="192"/>
      <c r="CY314" s="192"/>
      <c r="CZ314" s="192"/>
      <c r="DA314" s="192"/>
      <c r="DB314" s="192"/>
      <c r="DC314" s="192"/>
      <c r="DD314" s="192"/>
      <c r="DE314" s="192"/>
      <c r="DF314" s="192"/>
      <c r="DG314" s="192"/>
      <c r="DH314" s="192"/>
      <c r="DI314" s="192"/>
      <c r="DJ314" s="192"/>
      <c r="DK314" s="192"/>
      <c r="DL314" s="192"/>
      <c r="DM314" s="192"/>
      <c r="DN314" s="192"/>
      <c r="DO314" s="192"/>
      <c r="DP314" s="192"/>
      <c r="DQ314" s="192"/>
      <c r="DR314" s="192"/>
      <c r="DS314" s="192"/>
      <c r="DT314" s="192"/>
      <c r="DU314" s="192"/>
      <c r="DV314" s="192"/>
      <c r="DW314" s="192"/>
      <c r="DX314" s="192"/>
      <c r="DY314" s="192"/>
      <c r="DZ314" s="192"/>
      <c r="EA314" s="192"/>
      <c r="EB314" s="192"/>
      <c r="EC314" s="192"/>
      <c r="ED314" s="192"/>
      <c r="EE314" s="192"/>
      <c r="EF314" s="192"/>
      <c r="EG314" s="192"/>
      <c r="EH314" s="192"/>
      <c r="EI314" s="192"/>
      <c r="EJ314" s="192"/>
      <c r="EK314" s="192"/>
      <c r="EL314" s="192"/>
      <c r="EM314" s="192"/>
      <c r="EN314" s="192"/>
      <c r="EO314" s="192"/>
      <c r="EP314" s="192"/>
      <c r="EQ314" s="192"/>
    </row>
    <row r="315" spans="1:147" x14ac:dyDescent="0.2">
      <c r="A315" s="192"/>
      <c r="B315" s="192"/>
      <c r="C315" s="192"/>
      <c r="D315" s="192"/>
      <c r="E315" s="192"/>
      <c r="F315" s="192"/>
      <c r="G315" s="192"/>
      <c r="H315" s="192"/>
      <c r="I315" s="192"/>
      <c r="J315" s="192"/>
      <c r="K315" s="192"/>
      <c r="L315" s="192"/>
      <c r="M315" s="192"/>
      <c r="N315" s="192"/>
      <c r="O315" s="192"/>
      <c r="P315" s="192"/>
      <c r="Q315" s="192"/>
      <c r="R315" s="192"/>
      <c r="S315" s="266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  <c r="AG315" s="265"/>
      <c r="AH315" s="265"/>
      <c r="AI315" s="192"/>
      <c r="AJ315" s="192"/>
      <c r="AK315" s="192"/>
      <c r="AL315" s="192"/>
      <c r="AM315" s="192"/>
      <c r="AN315" s="192"/>
      <c r="AO315" s="192"/>
      <c r="AP315" s="192"/>
      <c r="AQ315" s="192"/>
      <c r="AR315" s="192"/>
      <c r="AS315" s="192"/>
      <c r="AT315" s="192"/>
      <c r="AU315" s="192"/>
      <c r="AV315" s="192"/>
      <c r="AW315" s="192"/>
      <c r="AX315" s="192"/>
      <c r="AY315" s="192"/>
      <c r="AZ315" s="192"/>
      <c r="BA315" s="192"/>
      <c r="BB315" s="192"/>
      <c r="BC315" s="192"/>
      <c r="BD315" s="192"/>
      <c r="BE315" s="192"/>
      <c r="BF315" s="192"/>
      <c r="BG315" s="192"/>
      <c r="BH315" s="192"/>
      <c r="BI315" s="192"/>
      <c r="BJ315" s="192"/>
      <c r="BK315" s="192"/>
      <c r="BL315" s="192"/>
      <c r="BM315" s="192"/>
      <c r="BN315" s="192"/>
      <c r="BO315" s="192"/>
      <c r="BP315" s="192"/>
      <c r="BQ315" s="192"/>
      <c r="BR315" s="192"/>
      <c r="BS315" s="192"/>
      <c r="BT315" s="192"/>
      <c r="BU315" s="192"/>
      <c r="BV315" s="192"/>
      <c r="BW315" s="192"/>
      <c r="BX315" s="192"/>
      <c r="BY315" s="192"/>
      <c r="BZ315" s="192"/>
      <c r="CA315" s="192"/>
      <c r="CB315" s="192"/>
      <c r="CC315" s="192"/>
      <c r="CD315" s="192"/>
      <c r="CE315" s="192"/>
      <c r="CF315" s="192"/>
      <c r="CG315" s="192"/>
      <c r="CH315" s="192"/>
      <c r="CI315" s="192"/>
      <c r="CJ315" s="192"/>
      <c r="CK315" s="192"/>
      <c r="CL315" s="192"/>
      <c r="CM315" s="192"/>
      <c r="CN315" s="192"/>
      <c r="CO315" s="192"/>
      <c r="CP315" s="192"/>
      <c r="CQ315" s="192"/>
      <c r="CR315" s="192"/>
      <c r="CS315" s="192"/>
      <c r="CT315" s="192"/>
      <c r="CU315" s="192"/>
      <c r="CV315" s="192"/>
      <c r="CW315" s="192"/>
      <c r="CX315" s="192"/>
      <c r="CY315" s="192"/>
      <c r="CZ315" s="192"/>
      <c r="DA315" s="192"/>
      <c r="DB315" s="192"/>
      <c r="DC315" s="192"/>
      <c r="DD315" s="192"/>
      <c r="DE315" s="192"/>
      <c r="DF315" s="192"/>
      <c r="DG315" s="192"/>
      <c r="DH315" s="192"/>
      <c r="DI315" s="192"/>
      <c r="DJ315" s="192"/>
      <c r="DK315" s="192"/>
      <c r="DL315" s="192"/>
      <c r="DM315" s="192"/>
      <c r="DN315" s="192"/>
      <c r="DO315" s="192"/>
      <c r="DP315" s="192"/>
      <c r="DQ315" s="192"/>
      <c r="DR315" s="192"/>
      <c r="DS315" s="192"/>
      <c r="DT315" s="192"/>
      <c r="DU315" s="192"/>
      <c r="DV315" s="192"/>
      <c r="DW315" s="192"/>
      <c r="DX315" s="192"/>
      <c r="DY315" s="192"/>
      <c r="DZ315" s="192"/>
      <c r="EA315" s="192"/>
      <c r="EB315" s="192"/>
      <c r="EC315" s="192"/>
      <c r="ED315" s="192"/>
      <c r="EE315" s="192"/>
      <c r="EF315" s="192"/>
      <c r="EG315" s="192"/>
      <c r="EH315" s="192"/>
      <c r="EI315" s="192"/>
      <c r="EJ315" s="192"/>
      <c r="EK315" s="192"/>
      <c r="EL315" s="192"/>
      <c r="EM315" s="192"/>
      <c r="EN315" s="192"/>
      <c r="EO315" s="192"/>
      <c r="EP315" s="192"/>
      <c r="EQ315" s="192"/>
    </row>
    <row r="316" spans="1:147" x14ac:dyDescent="0.2">
      <c r="A316" s="192"/>
      <c r="B316" s="192"/>
      <c r="C316" s="192"/>
      <c r="D316" s="192"/>
      <c r="E316" s="192"/>
      <c r="F316" s="192"/>
      <c r="G316" s="192"/>
      <c r="H316" s="192"/>
      <c r="I316" s="192"/>
      <c r="J316" s="192"/>
      <c r="K316" s="192"/>
      <c r="L316" s="192"/>
      <c r="M316" s="192"/>
      <c r="N316" s="192"/>
      <c r="O316" s="192"/>
      <c r="P316" s="192"/>
      <c r="Q316" s="192"/>
      <c r="R316" s="192"/>
      <c r="S316" s="266"/>
      <c r="T316" s="265"/>
      <c r="U316" s="265"/>
      <c r="V316" s="265"/>
      <c r="W316" s="265"/>
      <c r="X316" s="265"/>
      <c r="Y316" s="265"/>
      <c r="Z316" s="265"/>
      <c r="AA316" s="265"/>
      <c r="AB316" s="265"/>
      <c r="AC316" s="265"/>
      <c r="AD316" s="265"/>
      <c r="AE316" s="265"/>
      <c r="AF316" s="265"/>
      <c r="AG316" s="265"/>
      <c r="AH316" s="265"/>
      <c r="AI316" s="192"/>
      <c r="AJ316" s="192"/>
      <c r="AK316" s="192"/>
      <c r="AL316" s="192"/>
      <c r="AM316" s="192"/>
      <c r="AN316" s="192"/>
      <c r="AO316" s="192"/>
      <c r="AP316" s="192"/>
      <c r="AQ316" s="192"/>
      <c r="AR316" s="192"/>
      <c r="AS316" s="192"/>
      <c r="AT316" s="192"/>
      <c r="AU316" s="192"/>
      <c r="AV316" s="192"/>
      <c r="AW316" s="192"/>
      <c r="AX316" s="192"/>
      <c r="AY316" s="192"/>
      <c r="AZ316" s="192"/>
      <c r="BA316" s="192"/>
      <c r="BB316" s="192"/>
      <c r="BC316" s="192"/>
      <c r="BD316" s="192"/>
      <c r="BE316" s="192"/>
      <c r="BF316" s="192"/>
      <c r="BG316" s="192"/>
      <c r="BH316" s="192"/>
      <c r="BI316" s="192"/>
      <c r="BJ316" s="192"/>
      <c r="BK316" s="192"/>
      <c r="BL316" s="192"/>
      <c r="BM316" s="192"/>
      <c r="BN316" s="192"/>
      <c r="BO316" s="192"/>
      <c r="BP316" s="192"/>
      <c r="BQ316" s="192"/>
      <c r="BR316" s="192"/>
      <c r="BS316" s="192"/>
      <c r="BT316" s="192"/>
      <c r="BU316" s="192"/>
      <c r="BV316" s="192"/>
      <c r="BW316" s="192"/>
      <c r="BX316" s="192"/>
      <c r="BY316" s="192"/>
      <c r="BZ316" s="192"/>
      <c r="CA316" s="192"/>
      <c r="CB316" s="192"/>
      <c r="CC316" s="192"/>
      <c r="CD316" s="192"/>
      <c r="CE316" s="192"/>
      <c r="CF316" s="192"/>
      <c r="CG316" s="192"/>
      <c r="CH316" s="192"/>
      <c r="CI316" s="192"/>
      <c r="CJ316" s="192"/>
      <c r="CK316" s="192"/>
      <c r="CL316" s="192"/>
      <c r="CM316" s="192"/>
      <c r="CN316" s="192"/>
      <c r="CO316" s="192"/>
      <c r="CP316" s="192"/>
      <c r="CQ316" s="192"/>
      <c r="CR316" s="192"/>
      <c r="CS316" s="192"/>
      <c r="CT316" s="192"/>
      <c r="CU316" s="192"/>
      <c r="CV316" s="192"/>
      <c r="CW316" s="192"/>
      <c r="CX316" s="192"/>
      <c r="CY316" s="192"/>
      <c r="CZ316" s="192"/>
      <c r="DA316" s="192"/>
      <c r="DB316" s="192"/>
      <c r="DC316" s="192"/>
      <c r="DD316" s="192"/>
      <c r="DE316" s="192"/>
      <c r="DF316" s="192"/>
      <c r="DG316" s="192"/>
      <c r="DH316" s="192"/>
      <c r="DI316" s="192"/>
      <c r="DJ316" s="192"/>
      <c r="DK316" s="192"/>
      <c r="DL316" s="192"/>
      <c r="DM316" s="192"/>
      <c r="DN316" s="192"/>
      <c r="DO316" s="192"/>
      <c r="DP316" s="192"/>
      <c r="DQ316" s="192"/>
      <c r="DR316" s="192"/>
      <c r="DS316" s="192"/>
      <c r="DT316" s="192"/>
      <c r="DU316" s="192"/>
      <c r="DV316" s="192"/>
      <c r="DW316" s="192"/>
      <c r="DX316" s="192"/>
      <c r="DY316" s="192"/>
      <c r="DZ316" s="192"/>
      <c r="EA316" s="192"/>
      <c r="EB316" s="192"/>
      <c r="EC316" s="192"/>
      <c r="ED316" s="192"/>
      <c r="EE316" s="192"/>
      <c r="EF316" s="192"/>
      <c r="EG316" s="192"/>
      <c r="EH316" s="192"/>
      <c r="EI316" s="192"/>
      <c r="EJ316" s="192"/>
      <c r="EK316" s="192"/>
      <c r="EL316" s="192"/>
      <c r="EM316" s="192"/>
      <c r="EN316" s="192"/>
      <c r="EO316" s="192"/>
      <c r="EP316" s="192"/>
      <c r="EQ316" s="192"/>
    </row>
    <row r="317" spans="1:147" x14ac:dyDescent="0.2">
      <c r="A317" s="192"/>
      <c r="B317" s="192"/>
      <c r="C317" s="192"/>
      <c r="D317" s="192"/>
      <c r="E317" s="192"/>
      <c r="F317" s="192"/>
      <c r="G317" s="192"/>
      <c r="H317" s="192"/>
      <c r="I317" s="192"/>
      <c r="J317" s="192"/>
      <c r="K317" s="192"/>
      <c r="L317" s="192"/>
      <c r="M317" s="192"/>
      <c r="N317" s="192"/>
      <c r="O317" s="192"/>
      <c r="P317" s="192"/>
      <c r="Q317" s="192"/>
      <c r="R317" s="192"/>
      <c r="S317" s="266"/>
      <c r="T317" s="265"/>
      <c r="U317" s="265"/>
      <c r="V317" s="265"/>
      <c r="W317" s="265"/>
      <c r="X317" s="265"/>
      <c r="Y317" s="265"/>
      <c r="Z317" s="265"/>
      <c r="AA317" s="265"/>
      <c r="AB317" s="265"/>
      <c r="AC317" s="265"/>
      <c r="AD317" s="265"/>
      <c r="AE317" s="265"/>
      <c r="AF317" s="265"/>
      <c r="AG317" s="265"/>
      <c r="AH317" s="265"/>
      <c r="AI317" s="192"/>
      <c r="AJ317" s="192"/>
      <c r="AK317" s="192"/>
      <c r="AL317" s="192"/>
      <c r="AM317" s="192"/>
      <c r="AN317" s="192"/>
      <c r="AO317" s="192"/>
      <c r="AP317" s="192"/>
      <c r="AQ317" s="192"/>
      <c r="AR317" s="192"/>
      <c r="AS317" s="192"/>
      <c r="AT317" s="192"/>
      <c r="AU317" s="192"/>
      <c r="AV317" s="192"/>
      <c r="AW317" s="192"/>
      <c r="AX317" s="192"/>
      <c r="AY317" s="192"/>
      <c r="AZ317" s="192"/>
      <c r="BA317" s="192"/>
      <c r="BB317" s="192"/>
      <c r="BC317" s="192"/>
      <c r="BD317" s="192"/>
      <c r="BE317" s="192"/>
      <c r="BF317" s="192"/>
      <c r="BG317" s="192"/>
      <c r="BH317" s="192"/>
      <c r="BI317" s="192"/>
      <c r="BJ317" s="192"/>
      <c r="BK317" s="192"/>
      <c r="BL317" s="192"/>
      <c r="BM317" s="192"/>
      <c r="BN317" s="192"/>
      <c r="BO317" s="192"/>
      <c r="BP317" s="192"/>
      <c r="BQ317" s="192"/>
      <c r="BR317" s="192"/>
      <c r="BS317" s="192"/>
      <c r="BT317" s="192"/>
      <c r="BU317" s="192"/>
      <c r="BV317" s="192"/>
      <c r="BW317" s="192"/>
      <c r="BX317" s="192"/>
      <c r="BY317" s="192"/>
      <c r="BZ317" s="192"/>
      <c r="CA317" s="192"/>
      <c r="CB317" s="192"/>
      <c r="CC317" s="192"/>
      <c r="CD317" s="192"/>
      <c r="CE317" s="192"/>
      <c r="CF317" s="192"/>
      <c r="CG317" s="192"/>
      <c r="CH317" s="192"/>
      <c r="CI317" s="192"/>
      <c r="CJ317" s="192"/>
      <c r="CK317" s="192"/>
      <c r="CL317" s="192"/>
      <c r="CM317" s="192"/>
      <c r="CN317" s="192"/>
      <c r="CO317" s="192"/>
      <c r="CP317" s="192"/>
      <c r="CQ317" s="192"/>
      <c r="CR317" s="192"/>
      <c r="CS317" s="192"/>
      <c r="CT317" s="192"/>
      <c r="CU317" s="192"/>
      <c r="CV317" s="192"/>
      <c r="CW317" s="192"/>
      <c r="CX317" s="192"/>
      <c r="CY317" s="192"/>
      <c r="CZ317" s="192"/>
      <c r="DA317" s="192"/>
      <c r="DB317" s="192"/>
      <c r="DC317" s="192"/>
      <c r="DD317" s="192"/>
      <c r="DE317" s="192"/>
      <c r="DF317" s="192"/>
      <c r="DG317" s="192"/>
      <c r="DH317" s="192"/>
      <c r="DI317" s="192"/>
      <c r="DJ317" s="192"/>
      <c r="DK317" s="192"/>
      <c r="DL317" s="192"/>
      <c r="DM317" s="192"/>
      <c r="DN317" s="192"/>
      <c r="DO317" s="192"/>
      <c r="DP317" s="192"/>
      <c r="DQ317" s="192"/>
      <c r="DR317" s="192"/>
      <c r="DS317" s="192"/>
      <c r="DT317" s="192"/>
      <c r="DU317" s="192"/>
      <c r="DV317" s="192"/>
      <c r="DW317" s="192"/>
      <c r="DX317" s="192"/>
      <c r="DY317" s="192"/>
      <c r="DZ317" s="192"/>
      <c r="EA317" s="192"/>
      <c r="EB317" s="192"/>
      <c r="EC317" s="192"/>
      <c r="ED317" s="192"/>
      <c r="EE317" s="192"/>
      <c r="EF317" s="192"/>
      <c r="EG317" s="192"/>
      <c r="EH317" s="192"/>
      <c r="EI317" s="192"/>
      <c r="EJ317" s="192"/>
      <c r="EK317" s="192"/>
      <c r="EL317" s="192"/>
      <c r="EM317" s="192"/>
      <c r="EN317" s="192"/>
      <c r="EO317" s="192"/>
      <c r="EP317" s="192"/>
      <c r="EQ317" s="192"/>
    </row>
    <row r="318" spans="1:147" x14ac:dyDescent="0.2">
      <c r="A318" s="192"/>
      <c r="B318" s="192"/>
      <c r="C318" s="192"/>
      <c r="D318" s="192"/>
      <c r="E318" s="192"/>
      <c r="F318" s="192"/>
      <c r="G318" s="192"/>
      <c r="H318" s="192"/>
      <c r="I318" s="192"/>
      <c r="J318" s="192"/>
      <c r="K318" s="192"/>
      <c r="L318" s="192"/>
      <c r="M318" s="192"/>
      <c r="N318" s="192"/>
      <c r="O318" s="192"/>
      <c r="P318" s="192"/>
      <c r="Q318" s="192"/>
      <c r="R318" s="192"/>
      <c r="S318" s="266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  <c r="AG318" s="265"/>
      <c r="AH318" s="265"/>
      <c r="AI318" s="192"/>
      <c r="AJ318" s="192"/>
      <c r="AK318" s="192"/>
      <c r="AL318" s="192"/>
      <c r="AM318" s="192"/>
      <c r="AN318" s="192"/>
      <c r="AO318" s="192"/>
      <c r="AP318" s="192"/>
      <c r="AQ318" s="192"/>
      <c r="AR318" s="192"/>
      <c r="AS318" s="192"/>
      <c r="AT318" s="192"/>
      <c r="AU318" s="192"/>
      <c r="AV318" s="192"/>
      <c r="AW318" s="192"/>
      <c r="AX318" s="192"/>
      <c r="AY318" s="192"/>
      <c r="AZ318" s="192"/>
      <c r="BA318" s="192"/>
      <c r="BB318" s="192"/>
      <c r="BC318" s="192"/>
      <c r="BD318" s="192"/>
      <c r="BE318" s="192"/>
      <c r="BF318" s="192"/>
      <c r="BG318" s="192"/>
      <c r="BH318" s="192"/>
      <c r="BI318" s="192"/>
      <c r="BJ318" s="192"/>
      <c r="BK318" s="192"/>
      <c r="BL318" s="192"/>
      <c r="BM318" s="192"/>
      <c r="BN318" s="192"/>
      <c r="BO318" s="192"/>
      <c r="BP318" s="192"/>
      <c r="BQ318" s="192"/>
      <c r="BR318" s="192"/>
      <c r="BS318" s="192"/>
      <c r="BT318" s="192"/>
      <c r="BU318" s="192"/>
      <c r="BV318" s="192"/>
      <c r="BW318" s="192"/>
      <c r="BX318" s="192"/>
      <c r="BY318" s="192"/>
      <c r="BZ318" s="192"/>
      <c r="CA318" s="192"/>
      <c r="CB318" s="192"/>
      <c r="CC318" s="192"/>
      <c r="CD318" s="192"/>
      <c r="CE318" s="192"/>
      <c r="CF318" s="192"/>
      <c r="CG318" s="192"/>
      <c r="CH318" s="192"/>
      <c r="CI318" s="192"/>
      <c r="CJ318" s="192"/>
      <c r="CK318" s="192"/>
      <c r="CL318" s="192"/>
      <c r="CM318" s="192"/>
      <c r="CN318" s="192"/>
      <c r="CO318" s="192"/>
      <c r="CP318" s="192"/>
      <c r="CQ318" s="192"/>
      <c r="CR318" s="192"/>
      <c r="CS318" s="192"/>
      <c r="CT318" s="192"/>
      <c r="CU318" s="192"/>
      <c r="CV318" s="192"/>
      <c r="CW318" s="192"/>
      <c r="CX318" s="192"/>
      <c r="CY318" s="192"/>
      <c r="CZ318" s="192"/>
      <c r="DA318" s="192"/>
      <c r="DB318" s="192"/>
      <c r="DC318" s="192"/>
      <c r="DD318" s="192"/>
      <c r="DE318" s="192"/>
      <c r="DF318" s="192"/>
      <c r="DG318" s="192"/>
      <c r="DH318" s="192"/>
      <c r="DI318" s="192"/>
      <c r="DJ318" s="192"/>
      <c r="DK318" s="192"/>
      <c r="DL318" s="192"/>
      <c r="DM318" s="192"/>
      <c r="DN318" s="192"/>
      <c r="DO318" s="192"/>
      <c r="DP318" s="192"/>
      <c r="DQ318" s="192"/>
      <c r="DR318" s="192"/>
      <c r="DS318" s="192"/>
      <c r="DT318" s="192"/>
      <c r="DU318" s="192"/>
      <c r="DV318" s="192"/>
      <c r="DW318" s="192"/>
      <c r="DX318" s="192"/>
      <c r="DY318" s="192"/>
      <c r="DZ318" s="192"/>
      <c r="EA318" s="192"/>
      <c r="EB318" s="192"/>
      <c r="EC318" s="192"/>
      <c r="ED318" s="192"/>
      <c r="EE318" s="192"/>
      <c r="EF318" s="192"/>
      <c r="EG318" s="192"/>
      <c r="EH318" s="192"/>
      <c r="EI318" s="192"/>
      <c r="EJ318" s="192"/>
      <c r="EK318" s="192"/>
      <c r="EL318" s="192"/>
      <c r="EM318" s="192"/>
      <c r="EN318" s="192"/>
      <c r="EO318" s="192"/>
      <c r="EP318" s="192"/>
      <c r="EQ318" s="192"/>
    </row>
    <row r="319" spans="1:147" x14ac:dyDescent="0.2">
      <c r="A319" s="192"/>
      <c r="B319" s="192"/>
      <c r="C319" s="192"/>
      <c r="D319" s="192"/>
      <c r="E319" s="192"/>
      <c r="F319" s="192"/>
      <c r="G319" s="192"/>
      <c r="H319" s="192"/>
      <c r="I319" s="192"/>
      <c r="J319" s="192"/>
      <c r="K319" s="192"/>
      <c r="L319" s="192"/>
      <c r="M319" s="192"/>
      <c r="N319" s="192"/>
      <c r="O319" s="192"/>
      <c r="P319" s="192"/>
      <c r="Q319" s="192"/>
      <c r="R319" s="192"/>
      <c r="S319" s="266"/>
      <c r="T319" s="265"/>
      <c r="U319" s="265"/>
      <c r="V319" s="265"/>
      <c r="W319" s="265"/>
      <c r="X319" s="265"/>
      <c r="Y319" s="265"/>
      <c r="Z319" s="265"/>
      <c r="AA319" s="265"/>
      <c r="AB319" s="265"/>
      <c r="AC319" s="265"/>
      <c r="AD319" s="265"/>
      <c r="AE319" s="265"/>
      <c r="AF319" s="265"/>
      <c r="AG319" s="265"/>
      <c r="AH319" s="265"/>
      <c r="AI319" s="192"/>
      <c r="AJ319" s="192"/>
      <c r="AK319" s="192"/>
      <c r="AL319" s="192"/>
      <c r="AM319" s="192"/>
      <c r="AN319" s="192"/>
      <c r="AO319" s="192"/>
      <c r="AP319" s="192"/>
      <c r="AQ319" s="192"/>
      <c r="AR319" s="192"/>
      <c r="AS319" s="192"/>
      <c r="AT319" s="192"/>
      <c r="AU319" s="192"/>
      <c r="AV319" s="192"/>
      <c r="AW319" s="192"/>
      <c r="AX319" s="192"/>
      <c r="AY319" s="192"/>
      <c r="AZ319" s="192"/>
      <c r="BA319" s="192"/>
      <c r="BB319" s="192"/>
      <c r="BC319" s="192"/>
      <c r="BD319" s="192"/>
      <c r="BE319" s="192"/>
      <c r="BF319" s="192"/>
      <c r="BG319" s="192"/>
      <c r="BH319" s="192"/>
      <c r="BI319" s="192"/>
      <c r="BJ319" s="192"/>
      <c r="BK319" s="192"/>
      <c r="BL319" s="192"/>
      <c r="BM319" s="192"/>
      <c r="BN319" s="192"/>
      <c r="BO319" s="192"/>
      <c r="BP319" s="192"/>
      <c r="BQ319" s="192"/>
      <c r="BR319" s="192"/>
      <c r="BS319" s="192"/>
      <c r="BT319" s="192"/>
      <c r="BU319" s="192"/>
      <c r="BV319" s="192"/>
      <c r="BW319" s="192"/>
      <c r="BX319" s="192"/>
      <c r="BY319" s="192"/>
      <c r="BZ319" s="192"/>
      <c r="CA319" s="192"/>
      <c r="CB319" s="192"/>
      <c r="CC319" s="192"/>
      <c r="CD319" s="192"/>
      <c r="CE319" s="192"/>
      <c r="CF319" s="192"/>
      <c r="CG319" s="192"/>
      <c r="CH319" s="192"/>
      <c r="CI319" s="192"/>
      <c r="CJ319" s="192"/>
      <c r="CK319" s="192"/>
      <c r="CL319" s="192"/>
      <c r="CM319" s="192"/>
      <c r="CN319" s="192"/>
      <c r="CO319" s="192"/>
      <c r="CP319" s="192"/>
      <c r="CQ319" s="192"/>
      <c r="CR319" s="192"/>
      <c r="CS319" s="192"/>
      <c r="CT319" s="192"/>
      <c r="CU319" s="192"/>
      <c r="CV319" s="192"/>
      <c r="CW319" s="192"/>
      <c r="CX319" s="192"/>
      <c r="CY319" s="192"/>
      <c r="CZ319" s="192"/>
      <c r="DA319" s="192"/>
      <c r="DB319" s="192"/>
      <c r="DC319" s="192"/>
      <c r="DD319" s="192"/>
      <c r="DE319" s="192"/>
      <c r="DF319" s="192"/>
      <c r="DG319" s="192"/>
      <c r="DH319" s="192"/>
      <c r="DI319" s="192"/>
      <c r="DJ319" s="192"/>
      <c r="DK319" s="192"/>
      <c r="DL319" s="192"/>
      <c r="DM319" s="192"/>
      <c r="DN319" s="192"/>
      <c r="DO319" s="192"/>
      <c r="DP319" s="192"/>
      <c r="DQ319" s="192"/>
      <c r="DR319" s="192"/>
      <c r="DS319" s="192"/>
      <c r="DT319" s="192"/>
      <c r="DU319" s="192"/>
      <c r="DV319" s="192"/>
      <c r="DW319" s="192"/>
      <c r="DX319" s="192"/>
      <c r="DY319" s="192"/>
      <c r="DZ319" s="192"/>
      <c r="EA319" s="192"/>
      <c r="EB319" s="192"/>
      <c r="EC319" s="192"/>
      <c r="ED319" s="192"/>
      <c r="EE319" s="192"/>
      <c r="EF319" s="192"/>
      <c r="EG319" s="192"/>
      <c r="EH319" s="192"/>
      <c r="EI319" s="192"/>
      <c r="EJ319" s="192"/>
      <c r="EK319" s="192"/>
      <c r="EL319" s="192"/>
      <c r="EM319" s="192"/>
      <c r="EN319" s="192"/>
      <c r="EO319" s="192"/>
      <c r="EP319" s="192"/>
      <c r="EQ319" s="192"/>
    </row>
    <row r="320" spans="1:147" x14ac:dyDescent="0.2">
      <c r="A320" s="192"/>
      <c r="B320" s="192"/>
      <c r="C320" s="192"/>
      <c r="D320" s="192"/>
      <c r="E320" s="192"/>
      <c r="F320" s="192"/>
      <c r="G320" s="192"/>
      <c r="H320" s="192"/>
      <c r="I320" s="192"/>
      <c r="J320" s="192"/>
      <c r="K320" s="192"/>
      <c r="L320" s="192"/>
      <c r="M320" s="192"/>
      <c r="N320" s="192"/>
      <c r="O320" s="192"/>
      <c r="P320" s="192"/>
      <c r="Q320" s="192"/>
      <c r="R320" s="192"/>
      <c r="S320" s="266"/>
      <c r="T320" s="265"/>
      <c r="U320" s="265"/>
      <c r="V320" s="265"/>
      <c r="W320" s="265"/>
      <c r="X320" s="265"/>
      <c r="Y320" s="265"/>
      <c r="Z320" s="265"/>
      <c r="AA320" s="265"/>
      <c r="AB320" s="265"/>
      <c r="AC320" s="265"/>
      <c r="AD320" s="265"/>
      <c r="AE320" s="265"/>
      <c r="AF320" s="265"/>
      <c r="AG320" s="265"/>
      <c r="AH320" s="265"/>
      <c r="AI320" s="192"/>
      <c r="AJ320" s="192"/>
      <c r="AK320" s="192"/>
      <c r="AL320" s="192"/>
      <c r="AM320" s="192"/>
      <c r="AN320" s="192"/>
      <c r="AO320" s="192"/>
      <c r="AP320" s="192"/>
      <c r="AQ320" s="192"/>
      <c r="AR320" s="192"/>
      <c r="AS320" s="192"/>
      <c r="AT320" s="192"/>
      <c r="AU320" s="192"/>
      <c r="AV320" s="192"/>
      <c r="AW320" s="192"/>
      <c r="AX320" s="192"/>
      <c r="AY320" s="192"/>
      <c r="AZ320" s="192"/>
      <c r="BA320" s="192"/>
      <c r="BB320" s="192"/>
      <c r="BC320" s="192"/>
      <c r="BD320" s="192"/>
      <c r="BE320" s="192"/>
      <c r="BF320" s="192"/>
      <c r="BG320" s="192"/>
      <c r="BH320" s="192"/>
      <c r="BI320" s="192"/>
      <c r="BJ320" s="192"/>
      <c r="BK320" s="192"/>
      <c r="BL320" s="192"/>
      <c r="BM320" s="192"/>
      <c r="BN320" s="192"/>
      <c r="BO320" s="192"/>
      <c r="BP320" s="192"/>
      <c r="BQ320" s="192"/>
      <c r="BR320" s="192"/>
      <c r="BS320" s="192"/>
      <c r="BT320" s="192"/>
      <c r="BU320" s="192"/>
      <c r="BV320" s="192"/>
      <c r="BW320" s="192"/>
      <c r="BX320" s="192"/>
      <c r="BY320" s="192"/>
      <c r="BZ320" s="192"/>
      <c r="CA320" s="192"/>
      <c r="CB320" s="192"/>
      <c r="CC320" s="192"/>
      <c r="CD320" s="192"/>
      <c r="CE320" s="192"/>
      <c r="CF320" s="192"/>
      <c r="CG320" s="192"/>
      <c r="CH320" s="192"/>
      <c r="CI320" s="192"/>
      <c r="CJ320" s="192"/>
      <c r="CK320" s="192"/>
      <c r="CL320" s="192"/>
      <c r="CM320" s="192"/>
      <c r="CN320" s="192"/>
      <c r="CO320" s="192"/>
      <c r="CP320" s="192"/>
      <c r="CQ320" s="192"/>
      <c r="CR320" s="192"/>
      <c r="CS320" s="192"/>
      <c r="CT320" s="192"/>
      <c r="CU320" s="192"/>
      <c r="CV320" s="192"/>
      <c r="CW320" s="192"/>
      <c r="CX320" s="192"/>
      <c r="CY320" s="192"/>
      <c r="CZ320" s="192"/>
      <c r="DA320" s="192"/>
      <c r="DB320" s="192"/>
      <c r="DC320" s="192"/>
      <c r="DD320" s="192"/>
      <c r="DE320" s="192"/>
      <c r="DF320" s="192"/>
      <c r="DG320" s="192"/>
      <c r="DH320" s="192"/>
      <c r="DI320" s="192"/>
      <c r="DJ320" s="192"/>
      <c r="DK320" s="192"/>
      <c r="DL320" s="192"/>
      <c r="DM320" s="192"/>
      <c r="DN320" s="192"/>
      <c r="DO320" s="192"/>
      <c r="DP320" s="192"/>
      <c r="DQ320" s="192"/>
      <c r="DR320" s="192"/>
      <c r="DS320" s="192"/>
      <c r="DT320" s="192"/>
      <c r="DU320" s="192"/>
      <c r="DV320" s="192"/>
      <c r="DW320" s="192"/>
      <c r="DX320" s="192"/>
      <c r="DY320" s="192"/>
      <c r="DZ320" s="192"/>
      <c r="EA320" s="192"/>
      <c r="EB320" s="192"/>
      <c r="EC320" s="192"/>
      <c r="ED320" s="192"/>
      <c r="EE320" s="192"/>
      <c r="EF320" s="192"/>
      <c r="EG320" s="192"/>
      <c r="EH320" s="192"/>
      <c r="EI320" s="192"/>
      <c r="EJ320" s="192"/>
      <c r="EK320" s="192"/>
      <c r="EL320" s="192"/>
      <c r="EM320" s="192"/>
      <c r="EN320" s="192"/>
      <c r="EO320" s="192"/>
      <c r="EP320" s="192"/>
      <c r="EQ320" s="192"/>
    </row>
    <row r="321" spans="1:147" x14ac:dyDescent="0.2">
      <c r="A321" s="192"/>
      <c r="B321" s="192"/>
      <c r="C321" s="192"/>
      <c r="D321" s="192"/>
      <c r="E321" s="192"/>
      <c r="F321" s="192"/>
      <c r="G321" s="192"/>
      <c r="H321" s="192"/>
      <c r="I321" s="192"/>
      <c r="J321" s="192"/>
      <c r="K321" s="192"/>
      <c r="L321" s="192"/>
      <c r="M321" s="192"/>
      <c r="N321" s="192"/>
      <c r="O321" s="192"/>
      <c r="P321" s="192"/>
      <c r="Q321" s="192"/>
      <c r="R321" s="192"/>
      <c r="S321" s="266"/>
      <c r="T321" s="265"/>
      <c r="U321" s="265"/>
      <c r="V321" s="265"/>
      <c r="W321" s="265"/>
      <c r="X321" s="265"/>
      <c r="Y321" s="265"/>
      <c r="Z321" s="265"/>
      <c r="AA321" s="265"/>
      <c r="AB321" s="265"/>
      <c r="AC321" s="265"/>
      <c r="AD321" s="265"/>
      <c r="AE321" s="265"/>
      <c r="AF321" s="265"/>
      <c r="AG321" s="265"/>
      <c r="AH321" s="265"/>
      <c r="AI321" s="192"/>
      <c r="AJ321" s="192"/>
      <c r="AK321" s="192"/>
      <c r="AL321" s="192"/>
      <c r="AM321" s="192"/>
      <c r="AN321" s="192"/>
      <c r="AO321" s="192"/>
      <c r="AP321" s="192"/>
      <c r="AQ321" s="192"/>
      <c r="AR321" s="192"/>
      <c r="AS321" s="192"/>
      <c r="AT321" s="192"/>
      <c r="AU321" s="192"/>
      <c r="AV321" s="192"/>
      <c r="AW321" s="192"/>
      <c r="AX321" s="192"/>
      <c r="AY321" s="192"/>
      <c r="AZ321" s="192"/>
      <c r="BA321" s="192"/>
      <c r="BB321" s="192"/>
      <c r="BC321" s="192"/>
      <c r="BD321" s="192"/>
      <c r="BE321" s="192"/>
      <c r="BF321" s="192"/>
      <c r="BG321" s="192"/>
      <c r="BH321" s="192"/>
      <c r="BI321" s="192"/>
      <c r="BJ321" s="192"/>
      <c r="BK321" s="192"/>
      <c r="BL321" s="192"/>
      <c r="BM321" s="192"/>
      <c r="BN321" s="192"/>
      <c r="BO321" s="192"/>
      <c r="BP321" s="192"/>
      <c r="BQ321" s="192"/>
      <c r="BR321" s="192"/>
      <c r="BS321" s="192"/>
      <c r="BT321" s="192"/>
      <c r="BU321" s="192"/>
      <c r="BV321" s="192"/>
      <c r="BW321" s="192"/>
      <c r="BX321" s="192"/>
      <c r="BY321" s="192"/>
      <c r="BZ321" s="192"/>
      <c r="CA321" s="192"/>
      <c r="CB321" s="192"/>
      <c r="CC321" s="192"/>
      <c r="CD321" s="192"/>
      <c r="CE321" s="192"/>
      <c r="CF321" s="192"/>
      <c r="CG321" s="192"/>
      <c r="CH321" s="192"/>
      <c r="CI321" s="192"/>
      <c r="CJ321" s="192"/>
      <c r="CK321" s="192"/>
      <c r="CL321" s="192"/>
      <c r="CM321" s="192"/>
      <c r="CN321" s="192"/>
      <c r="CO321" s="192"/>
      <c r="CP321" s="192"/>
      <c r="CQ321" s="192"/>
      <c r="CR321" s="192"/>
      <c r="CS321" s="192"/>
      <c r="CT321" s="192"/>
      <c r="CU321" s="192"/>
      <c r="CV321" s="192"/>
      <c r="CW321" s="192"/>
      <c r="CX321" s="192"/>
      <c r="CY321" s="192"/>
      <c r="CZ321" s="192"/>
      <c r="DA321" s="192"/>
      <c r="DB321" s="192"/>
      <c r="DC321" s="192"/>
      <c r="DD321" s="192"/>
      <c r="DE321" s="192"/>
      <c r="DF321" s="192"/>
      <c r="DG321" s="192"/>
      <c r="DH321" s="192"/>
      <c r="DI321" s="192"/>
      <c r="DJ321" s="192"/>
      <c r="DK321" s="192"/>
      <c r="DL321" s="192"/>
      <c r="DM321" s="192"/>
      <c r="DN321" s="192"/>
      <c r="DO321" s="192"/>
      <c r="DP321" s="192"/>
      <c r="DQ321" s="192"/>
      <c r="DR321" s="192"/>
      <c r="DS321" s="192"/>
      <c r="DT321" s="192"/>
      <c r="DU321" s="192"/>
      <c r="DV321" s="192"/>
      <c r="DW321" s="192"/>
      <c r="DX321" s="192"/>
      <c r="DY321" s="192"/>
      <c r="DZ321" s="192"/>
      <c r="EA321" s="192"/>
      <c r="EB321" s="192"/>
      <c r="EC321" s="192"/>
      <c r="ED321" s="192"/>
      <c r="EE321" s="192"/>
      <c r="EF321" s="192"/>
      <c r="EG321" s="192"/>
      <c r="EH321" s="192"/>
      <c r="EI321" s="192"/>
      <c r="EJ321" s="192"/>
      <c r="EK321" s="192"/>
      <c r="EL321" s="192"/>
      <c r="EM321" s="192"/>
      <c r="EN321" s="192"/>
      <c r="EO321" s="192"/>
      <c r="EP321" s="192"/>
      <c r="EQ321" s="192"/>
    </row>
    <row r="322" spans="1:147" x14ac:dyDescent="0.2">
      <c r="A322" s="192"/>
      <c r="B322" s="192"/>
      <c r="C322" s="192"/>
      <c r="D322" s="192"/>
      <c r="E322" s="192"/>
      <c r="F322" s="192"/>
      <c r="G322" s="192"/>
      <c r="H322" s="192"/>
      <c r="I322" s="192"/>
      <c r="J322" s="192"/>
      <c r="K322" s="192"/>
      <c r="L322" s="192"/>
      <c r="M322" s="192"/>
      <c r="N322" s="192"/>
      <c r="O322" s="192"/>
      <c r="P322" s="192"/>
      <c r="Q322" s="192"/>
      <c r="R322" s="192"/>
      <c r="S322" s="266"/>
      <c r="T322" s="265"/>
      <c r="U322" s="265"/>
      <c r="V322" s="265"/>
      <c r="W322" s="265"/>
      <c r="X322" s="265"/>
      <c r="Y322" s="265"/>
      <c r="Z322" s="265"/>
      <c r="AA322" s="265"/>
      <c r="AB322" s="265"/>
      <c r="AC322" s="265"/>
      <c r="AD322" s="265"/>
      <c r="AE322" s="265"/>
      <c r="AF322" s="265"/>
      <c r="AG322" s="265"/>
      <c r="AH322" s="265"/>
      <c r="AI322" s="192"/>
      <c r="AJ322" s="192"/>
      <c r="AK322" s="192"/>
      <c r="AL322" s="192"/>
      <c r="AM322" s="192"/>
      <c r="AN322" s="192"/>
      <c r="AO322" s="192"/>
      <c r="AP322" s="192"/>
      <c r="AQ322" s="192"/>
      <c r="AR322" s="192"/>
      <c r="AS322" s="192"/>
      <c r="AT322" s="192"/>
      <c r="AU322" s="192"/>
      <c r="AV322" s="192"/>
      <c r="AW322" s="192"/>
      <c r="AX322" s="192"/>
      <c r="AY322" s="192"/>
      <c r="AZ322" s="192"/>
      <c r="BA322" s="192"/>
      <c r="BB322" s="192"/>
      <c r="BC322" s="192"/>
      <c r="BD322" s="192"/>
      <c r="BE322" s="192"/>
      <c r="BF322" s="192"/>
      <c r="BG322" s="192"/>
      <c r="BH322" s="192"/>
      <c r="BI322" s="192"/>
      <c r="BJ322" s="192"/>
      <c r="BK322" s="192"/>
      <c r="BL322" s="192"/>
      <c r="BM322" s="192"/>
      <c r="BN322" s="192"/>
      <c r="BO322" s="192"/>
      <c r="BP322" s="192"/>
      <c r="BQ322" s="192"/>
      <c r="BR322" s="192"/>
      <c r="BS322" s="192"/>
      <c r="BT322" s="192"/>
      <c r="BU322" s="192"/>
      <c r="BV322" s="192"/>
      <c r="BW322" s="192"/>
      <c r="BX322" s="192"/>
      <c r="BY322" s="192"/>
      <c r="BZ322" s="192"/>
      <c r="CA322" s="192"/>
      <c r="CB322" s="192"/>
      <c r="CC322" s="192"/>
      <c r="CD322" s="192"/>
      <c r="CE322" s="192"/>
      <c r="CF322" s="192"/>
      <c r="CG322" s="192"/>
      <c r="CH322" s="192"/>
      <c r="CI322" s="192"/>
      <c r="CJ322" s="192"/>
      <c r="CK322" s="192"/>
      <c r="CL322" s="192"/>
      <c r="CM322" s="192"/>
      <c r="CN322" s="192"/>
      <c r="CO322" s="192"/>
      <c r="CP322" s="192"/>
      <c r="CQ322" s="192"/>
      <c r="CR322" s="192"/>
      <c r="CS322" s="192"/>
      <c r="CT322" s="192"/>
      <c r="CU322" s="192"/>
      <c r="CV322" s="192"/>
      <c r="CW322" s="192"/>
      <c r="CX322" s="192"/>
      <c r="CY322" s="192"/>
      <c r="CZ322" s="192"/>
      <c r="DA322" s="192"/>
      <c r="DB322" s="192"/>
      <c r="DC322" s="192"/>
      <c r="DD322" s="192"/>
      <c r="DE322" s="192"/>
      <c r="DF322" s="192"/>
      <c r="DG322" s="192"/>
      <c r="DH322" s="192"/>
      <c r="DI322" s="192"/>
      <c r="DJ322" s="192"/>
      <c r="DK322" s="192"/>
      <c r="DL322" s="192"/>
      <c r="DM322" s="192"/>
      <c r="DN322" s="192"/>
      <c r="DO322" s="192"/>
      <c r="DP322" s="192"/>
      <c r="DQ322" s="192"/>
      <c r="DR322" s="192"/>
      <c r="DS322" s="192"/>
      <c r="DT322" s="192"/>
      <c r="DU322" s="192"/>
      <c r="DV322" s="192"/>
      <c r="DW322" s="192"/>
      <c r="DX322" s="192"/>
      <c r="DY322" s="192"/>
      <c r="DZ322" s="192"/>
      <c r="EA322" s="192"/>
      <c r="EB322" s="192"/>
      <c r="EC322" s="192"/>
      <c r="ED322" s="192"/>
      <c r="EE322" s="192"/>
      <c r="EF322" s="192"/>
      <c r="EG322" s="192"/>
      <c r="EH322" s="192"/>
      <c r="EI322" s="192"/>
      <c r="EJ322" s="192"/>
      <c r="EK322" s="192"/>
      <c r="EL322" s="192"/>
      <c r="EM322" s="192"/>
      <c r="EN322" s="192"/>
      <c r="EO322" s="192"/>
      <c r="EP322" s="192"/>
      <c r="EQ322" s="192"/>
    </row>
    <row r="323" spans="1:147" x14ac:dyDescent="0.2">
      <c r="A323" s="192"/>
      <c r="B323" s="192"/>
      <c r="C323" s="192"/>
      <c r="D323" s="192"/>
      <c r="E323" s="192"/>
      <c r="F323" s="192"/>
      <c r="G323" s="192"/>
      <c r="H323" s="192"/>
      <c r="I323" s="192"/>
      <c r="J323" s="192"/>
      <c r="K323" s="192"/>
      <c r="L323" s="192"/>
      <c r="M323" s="192"/>
      <c r="N323" s="192"/>
      <c r="O323" s="192"/>
      <c r="P323" s="192"/>
      <c r="Q323" s="192"/>
      <c r="R323" s="192"/>
      <c r="S323" s="266"/>
      <c r="T323" s="265"/>
      <c r="U323" s="265"/>
      <c r="V323" s="265"/>
      <c r="W323" s="265"/>
      <c r="X323" s="265"/>
      <c r="Y323" s="265"/>
      <c r="Z323" s="265"/>
      <c r="AA323" s="265"/>
      <c r="AB323" s="265"/>
      <c r="AC323" s="265"/>
      <c r="AD323" s="265"/>
      <c r="AE323" s="265"/>
      <c r="AF323" s="265"/>
      <c r="AG323" s="265"/>
      <c r="AH323" s="265"/>
      <c r="AI323" s="192"/>
      <c r="AJ323" s="192"/>
      <c r="AK323" s="192"/>
      <c r="AL323" s="192"/>
      <c r="AM323" s="192"/>
      <c r="AN323" s="192"/>
      <c r="AO323" s="192"/>
      <c r="AP323" s="192"/>
      <c r="AQ323" s="192"/>
      <c r="AR323" s="192"/>
      <c r="AS323" s="192"/>
      <c r="AT323" s="192"/>
      <c r="AU323" s="192"/>
      <c r="AV323" s="192"/>
      <c r="AW323" s="192"/>
      <c r="AX323" s="192"/>
      <c r="AY323" s="192"/>
      <c r="AZ323" s="192"/>
      <c r="BA323" s="192"/>
      <c r="BB323" s="192"/>
      <c r="BC323" s="192"/>
      <c r="BD323" s="192"/>
      <c r="BE323" s="192"/>
      <c r="BF323" s="192"/>
      <c r="BG323" s="192"/>
      <c r="BH323" s="192"/>
      <c r="BI323" s="192"/>
      <c r="BJ323" s="192"/>
      <c r="BK323" s="192"/>
      <c r="BL323" s="192"/>
      <c r="BM323" s="192"/>
      <c r="BN323" s="192"/>
      <c r="BO323" s="192"/>
      <c r="BP323" s="192"/>
      <c r="BQ323" s="192"/>
      <c r="BR323" s="192"/>
      <c r="BS323" s="192"/>
      <c r="BT323" s="192"/>
      <c r="BU323" s="192"/>
      <c r="BV323" s="192"/>
      <c r="BW323" s="192"/>
      <c r="BX323" s="192"/>
      <c r="BY323" s="192"/>
      <c r="BZ323" s="192"/>
      <c r="CA323" s="192"/>
      <c r="CB323" s="192"/>
      <c r="CC323" s="192"/>
      <c r="CD323" s="192"/>
      <c r="CE323" s="192"/>
      <c r="CF323" s="192"/>
      <c r="CG323" s="192"/>
      <c r="CH323" s="192"/>
      <c r="CI323" s="192"/>
      <c r="CJ323" s="192"/>
      <c r="CK323" s="192"/>
      <c r="CL323" s="192"/>
      <c r="CM323" s="192"/>
      <c r="CN323" s="192"/>
      <c r="CO323" s="192"/>
      <c r="CP323" s="192"/>
      <c r="CQ323" s="192"/>
      <c r="CR323" s="192"/>
      <c r="CS323" s="192"/>
      <c r="CT323" s="192"/>
      <c r="CU323" s="192"/>
      <c r="CV323" s="192"/>
      <c r="CW323" s="192"/>
      <c r="CX323" s="192"/>
      <c r="CY323" s="192"/>
      <c r="CZ323" s="192"/>
      <c r="DA323" s="192"/>
      <c r="DB323" s="192"/>
      <c r="DC323" s="192"/>
      <c r="DD323" s="192"/>
      <c r="DE323" s="192"/>
      <c r="DF323" s="192"/>
      <c r="DG323" s="192"/>
      <c r="DH323" s="192"/>
      <c r="DI323" s="192"/>
      <c r="DJ323" s="192"/>
      <c r="DK323" s="192"/>
      <c r="DL323" s="192"/>
      <c r="DM323" s="192"/>
      <c r="DN323" s="192"/>
      <c r="DO323" s="192"/>
      <c r="DP323" s="192"/>
      <c r="DQ323" s="192"/>
      <c r="DR323" s="192"/>
      <c r="DS323" s="192"/>
      <c r="DT323" s="192"/>
      <c r="DU323" s="192"/>
      <c r="DV323" s="192"/>
      <c r="DW323" s="192"/>
      <c r="DX323" s="192"/>
      <c r="DY323" s="192"/>
      <c r="DZ323" s="192"/>
      <c r="EA323" s="192"/>
      <c r="EB323" s="192"/>
      <c r="EC323" s="192"/>
      <c r="ED323" s="192"/>
      <c r="EE323" s="192"/>
      <c r="EF323" s="192"/>
      <c r="EG323" s="192"/>
      <c r="EH323" s="192"/>
      <c r="EI323" s="192"/>
      <c r="EJ323" s="192"/>
      <c r="EK323" s="192"/>
      <c r="EL323" s="192"/>
      <c r="EM323" s="192"/>
      <c r="EN323" s="192"/>
      <c r="EO323" s="192"/>
      <c r="EP323" s="192"/>
      <c r="EQ323" s="192"/>
    </row>
    <row r="324" spans="1:147" x14ac:dyDescent="0.2">
      <c r="A324" s="192"/>
      <c r="B324" s="192"/>
      <c r="C324" s="192"/>
      <c r="D324" s="192"/>
      <c r="E324" s="192"/>
      <c r="F324" s="192"/>
      <c r="G324" s="192"/>
      <c r="H324" s="192"/>
      <c r="I324" s="192"/>
      <c r="J324" s="192"/>
      <c r="K324" s="192"/>
      <c r="L324" s="192"/>
      <c r="M324" s="192"/>
      <c r="N324" s="192"/>
      <c r="O324" s="192"/>
      <c r="P324" s="192"/>
      <c r="Q324" s="192"/>
      <c r="R324" s="192"/>
      <c r="S324" s="266"/>
      <c r="T324" s="265"/>
      <c r="U324" s="265"/>
      <c r="V324" s="265"/>
      <c r="W324" s="265"/>
      <c r="X324" s="265"/>
      <c r="Y324" s="265"/>
      <c r="Z324" s="265"/>
      <c r="AA324" s="265"/>
      <c r="AB324" s="265"/>
      <c r="AC324" s="265"/>
      <c r="AD324" s="265"/>
      <c r="AE324" s="265"/>
      <c r="AF324" s="265"/>
      <c r="AG324" s="265"/>
      <c r="AH324" s="265"/>
      <c r="AI324" s="192"/>
      <c r="AJ324" s="192"/>
      <c r="AK324" s="192"/>
      <c r="AL324" s="192"/>
      <c r="AM324" s="192"/>
      <c r="AN324" s="192"/>
      <c r="AO324" s="192"/>
      <c r="AP324" s="192"/>
      <c r="AQ324" s="192"/>
      <c r="AR324" s="192"/>
      <c r="AS324" s="192"/>
      <c r="AT324" s="192"/>
      <c r="AU324" s="192"/>
      <c r="AV324" s="192"/>
      <c r="AW324" s="192"/>
      <c r="AX324" s="192"/>
      <c r="AY324" s="192"/>
      <c r="AZ324" s="192"/>
      <c r="BA324" s="192"/>
      <c r="BB324" s="192"/>
      <c r="BC324" s="192"/>
      <c r="BD324" s="192"/>
      <c r="BE324" s="192"/>
      <c r="BF324" s="192"/>
      <c r="BG324" s="192"/>
      <c r="BH324" s="192"/>
      <c r="BI324" s="192"/>
      <c r="BJ324" s="192"/>
      <c r="BK324" s="192"/>
      <c r="BL324" s="192"/>
      <c r="BM324" s="192"/>
      <c r="BN324" s="192"/>
      <c r="BO324" s="192"/>
      <c r="BP324" s="192"/>
      <c r="BQ324" s="192"/>
      <c r="BR324" s="192"/>
      <c r="BS324" s="192"/>
      <c r="BT324" s="192"/>
      <c r="BU324" s="192"/>
      <c r="BV324" s="192"/>
      <c r="BW324" s="192"/>
      <c r="BX324" s="192"/>
      <c r="BY324" s="192"/>
      <c r="BZ324" s="192"/>
      <c r="CA324" s="192"/>
      <c r="CB324" s="192"/>
      <c r="CC324" s="192"/>
      <c r="CD324" s="192"/>
      <c r="CE324" s="192"/>
      <c r="CF324" s="192"/>
      <c r="CG324" s="192"/>
      <c r="CH324" s="192"/>
      <c r="CI324" s="192"/>
      <c r="CJ324" s="192"/>
      <c r="CK324" s="192"/>
      <c r="CL324" s="192"/>
      <c r="CM324" s="192"/>
      <c r="CN324" s="192"/>
      <c r="CO324" s="192"/>
      <c r="CP324" s="192"/>
      <c r="CQ324" s="192"/>
      <c r="CR324" s="192"/>
      <c r="CS324" s="192"/>
      <c r="CT324" s="192"/>
      <c r="CU324" s="192"/>
      <c r="CV324" s="192"/>
      <c r="CW324" s="192"/>
      <c r="CX324" s="192"/>
      <c r="CY324" s="192"/>
      <c r="CZ324" s="192"/>
      <c r="DA324" s="192"/>
      <c r="DB324" s="192"/>
      <c r="DC324" s="192"/>
      <c r="DD324" s="192"/>
      <c r="DE324" s="192"/>
      <c r="DF324" s="192"/>
      <c r="DG324" s="192"/>
      <c r="DH324" s="192"/>
      <c r="DI324" s="192"/>
      <c r="DJ324" s="192"/>
      <c r="DK324" s="192"/>
      <c r="DL324" s="192"/>
      <c r="DM324" s="192"/>
      <c r="DN324" s="192"/>
      <c r="DO324" s="192"/>
      <c r="DP324" s="192"/>
      <c r="DQ324" s="192"/>
      <c r="DR324" s="192"/>
      <c r="DS324" s="192"/>
      <c r="DT324" s="192"/>
      <c r="DU324" s="192"/>
      <c r="DV324" s="192"/>
      <c r="DW324" s="192"/>
      <c r="DX324" s="192"/>
      <c r="DY324" s="192"/>
      <c r="DZ324" s="192"/>
      <c r="EA324" s="192"/>
      <c r="EB324" s="192"/>
      <c r="EC324" s="192"/>
      <c r="ED324" s="192"/>
      <c r="EE324" s="192"/>
      <c r="EF324" s="192"/>
      <c r="EG324" s="192"/>
      <c r="EH324" s="192"/>
      <c r="EI324" s="192"/>
      <c r="EJ324" s="192"/>
      <c r="EK324" s="192"/>
      <c r="EL324" s="192"/>
      <c r="EM324" s="192"/>
      <c r="EN324" s="192"/>
      <c r="EO324" s="192"/>
      <c r="EP324" s="192"/>
      <c r="EQ324" s="192"/>
    </row>
    <row r="325" spans="1:147" x14ac:dyDescent="0.2">
      <c r="A325" s="192"/>
      <c r="B325" s="192"/>
      <c r="C325" s="192"/>
      <c r="D325" s="192"/>
      <c r="E325" s="192"/>
      <c r="F325" s="192"/>
      <c r="G325" s="192"/>
      <c r="H325" s="192"/>
      <c r="I325" s="192"/>
      <c r="J325" s="192"/>
      <c r="K325" s="192"/>
      <c r="L325" s="192"/>
      <c r="M325" s="192"/>
      <c r="N325" s="192"/>
      <c r="O325" s="192"/>
      <c r="P325" s="192"/>
      <c r="Q325" s="192"/>
      <c r="R325" s="192"/>
      <c r="S325" s="266"/>
      <c r="T325" s="265"/>
      <c r="U325" s="265"/>
      <c r="V325" s="265"/>
      <c r="W325" s="265"/>
      <c r="X325" s="265"/>
      <c r="Y325" s="265"/>
      <c r="Z325" s="265"/>
      <c r="AA325" s="265"/>
      <c r="AB325" s="265"/>
      <c r="AC325" s="265"/>
      <c r="AD325" s="265"/>
      <c r="AE325" s="265"/>
      <c r="AF325" s="265"/>
      <c r="AG325" s="265"/>
      <c r="AH325" s="265"/>
      <c r="AI325" s="192"/>
      <c r="AJ325" s="192"/>
      <c r="AK325" s="192"/>
      <c r="AL325" s="192"/>
      <c r="AM325" s="192"/>
      <c r="AN325" s="192"/>
      <c r="AO325" s="192"/>
      <c r="AP325" s="192"/>
      <c r="AQ325" s="192"/>
      <c r="AR325" s="192"/>
      <c r="AS325" s="192"/>
      <c r="AT325" s="192"/>
      <c r="AU325" s="192"/>
      <c r="AV325" s="192"/>
      <c r="AW325" s="192"/>
      <c r="AX325" s="192"/>
      <c r="AY325" s="192"/>
      <c r="AZ325" s="192"/>
      <c r="BA325" s="192"/>
      <c r="BB325" s="192"/>
      <c r="BC325" s="192"/>
      <c r="BD325" s="192"/>
      <c r="BE325" s="192"/>
      <c r="BF325" s="192"/>
      <c r="BG325" s="192"/>
      <c r="BH325" s="192"/>
      <c r="BI325" s="192"/>
      <c r="BJ325" s="192"/>
      <c r="BK325" s="192"/>
      <c r="BL325" s="192"/>
      <c r="BM325" s="192"/>
      <c r="BN325" s="192"/>
      <c r="BO325" s="192"/>
      <c r="BP325" s="192"/>
      <c r="BQ325" s="192"/>
      <c r="BR325" s="192"/>
      <c r="BS325" s="192"/>
      <c r="BT325" s="192"/>
      <c r="BU325" s="192"/>
      <c r="BV325" s="192"/>
      <c r="BW325" s="192"/>
      <c r="BX325" s="192"/>
      <c r="BY325" s="192"/>
      <c r="BZ325" s="192"/>
      <c r="CA325" s="192"/>
      <c r="CB325" s="192"/>
      <c r="CC325" s="192"/>
      <c r="CD325" s="192"/>
      <c r="CE325" s="192"/>
      <c r="CF325" s="192"/>
      <c r="CG325" s="192"/>
      <c r="CH325" s="192"/>
      <c r="CI325" s="192"/>
      <c r="CJ325" s="192"/>
      <c r="CK325" s="192"/>
      <c r="CL325" s="192"/>
      <c r="CM325" s="192"/>
      <c r="CN325" s="192"/>
      <c r="CO325" s="192"/>
      <c r="CP325" s="192"/>
      <c r="CQ325" s="192"/>
      <c r="CR325" s="192"/>
      <c r="CS325" s="192"/>
      <c r="CT325" s="192"/>
      <c r="CU325" s="192"/>
      <c r="CV325" s="192"/>
      <c r="CW325" s="192"/>
      <c r="CX325" s="192"/>
      <c r="CY325" s="192"/>
      <c r="CZ325" s="192"/>
      <c r="DA325" s="192"/>
      <c r="DB325" s="192"/>
      <c r="DC325" s="192"/>
      <c r="DD325" s="192"/>
      <c r="DE325" s="192"/>
      <c r="DF325" s="192"/>
      <c r="DG325" s="192"/>
      <c r="DH325" s="192"/>
      <c r="DI325" s="192"/>
      <c r="DJ325" s="192"/>
      <c r="DK325" s="192"/>
      <c r="DL325" s="192"/>
      <c r="DM325" s="192"/>
      <c r="DN325" s="192"/>
      <c r="DO325" s="192"/>
      <c r="DP325" s="192"/>
      <c r="DQ325" s="192"/>
      <c r="DR325" s="192"/>
      <c r="DS325" s="192"/>
      <c r="DT325" s="192"/>
      <c r="DU325" s="192"/>
      <c r="DV325" s="192"/>
      <c r="DW325" s="192"/>
      <c r="DX325" s="192"/>
      <c r="DY325" s="192"/>
      <c r="DZ325" s="192"/>
      <c r="EA325" s="192"/>
      <c r="EB325" s="192"/>
      <c r="EC325" s="192"/>
      <c r="ED325" s="192"/>
      <c r="EE325" s="192"/>
      <c r="EF325" s="192"/>
      <c r="EG325" s="192"/>
      <c r="EH325" s="192"/>
      <c r="EI325" s="192"/>
      <c r="EJ325" s="192"/>
      <c r="EK325" s="192"/>
      <c r="EL325" s="192"/>
      <c r="EM325" s="192"/>
      <c r="EN325" s="192"/>
      <c r="EO325" s="192"/>
      <c r="EP325" s="192"/>
      <c r="EQ325" s="192"/>
    </row>
    <row r="326" spans="1:147" x14ac:dyDescent="0.2">
      <c r="A326" s="192"/>
      <c r="B326" s="192"/>
      <c r="C326" s="192"/>
      <c r="D326" s="192"/>
      <c r="E326" s="192"/>
      <c r="F326" s="192"/>
      <c r="G326" s="192"/>
      <c r="H326" s="192"/>
      <c r="I326" s="192"/>
      <c r="J326" s="192"/>
      <c r="K326" s="192"/>
      <c r="L326" s="192"/>
      <c r="M326" s="192"/>
      <c r="N326" s="192"/>
      <c r="O326" s="192"/>
      <c r="P326" s="192"/>
      <c r="Q326" s="192"/>
      <c r="R326" s="192"/>
      <c r="S326" s="266"/>
      <c r="T326" s="265"/>
      <c r="U326" s="265"/>
      <c r="V326" s="265"/>
      <c r="W326" s="265"/>
      <c r="X326" s="265"/>
      <c r="Y326" s="265"/>
      <c r="Z326" s="265"/>
      <c r="AA326" s="265"/>
      <c r="AB326" s="265"/>
      <c r="AC326" s="265"/>
      <c r="AD326" s="265"/>
      <c r="AE326" s="265"/>
      <c r="AF326" s="265"/>
      <c r="AG326" s="265"/>
      <c r="AH326" s="265"/>
      <c r="AI326" s="192"/>
      <c r="AJ326" s="192"/>
      <c r="AK326" s="192"/>
      <c r="AL326" s="192"/>
      <c r="AM326" s="192"/>
      <c r="AN326" s="192"/>
      <c r="AO326" s="192"/>
      <c r="AP326" s="192"/>
      <c r="AQ326" s="192"/>
      <c r="AR326" s="192"/>
      <c r="AS326" s="192"/>
      <c r="AT326" s="192"/>
      <c r="AU326" s="192"/>
      <c r="AV326" s="192"/>
      <c r="AW326" s="192"/>
      <c r="AX326" s="192"/>
      <c r="AY326" s="192"/>
      <c r="AZ326" s="192"/>
      <c r="BA326" s="192"/>
      <c r="BB326" s="192"/>
      <c r="BC326" s="192"/>
      <c r="BD326" s="192"/>
      <c r="BE326" s="192"/>
      <c r="BF326" s="192"/>
      <c r="BG326" s="192"/>
      <c r="BH326" s="192"/>
      <c r="BI326" s="192"/>
      <c r="BJ326" s="192"/>
      <c r="BK326" s="192"/>
      <c r="BL326" s="192"/>
      <c r="BM326" s="192"/>
      <c r="BN326" s="192"/>
      <c r="BO326" s="192"/>
      <c r="BP326" s="192"/>
      <c r="BQ326" s="192"/>
      <c r="BR326" s="192"/>
      <c r="BS326" s="192"/>
      <c r="BT326" s="192"/>
      <c r="BU326" s="192"/>
      <c r="BV326" s="192"/>
      <c r="BW326" s="192"/>
      <c r="BX326" s="192"/>
      <c r="BY326" s="192"/>
      <c r="BZ326" s="192"/>
      <c r="CA326" s="192"/>
      <c r="CB326" s="192"/>
      <c r="CC326" s="192"/>
      <c r="CD326" s="192"/>
      <c r="CE326" s="192"/>
      <c r="CF326" s="192"/>
      <c r="CG326" s="192"/>
      <c r="CH326" s="192"/>
      <c r="CI326" s="192"/>
      <c r="CJ326" s="192"/>
      <c r="CK326" s="192"/>
      <c r="CL326" s="192"/>
      <c r="CM326" s="192"/>
      <c r="CN326" s="192"/>
      <c r="CO326" s="192"/>
      <c r="CP326" s="192"/>
      <c r="CQ326" s="192"/>
      <c r="CR326" s="192"/>
      <c r="CS326" s="192"/>
      <c r="CT326" s="192"/>
      <c r="CU326" s="192"/>
      <c r="CV326" s="192"/>
      <c r="CW326" s="192"/>
      <c r="CX326" s="192"/>
      <c r="CY326" s="192"/>
      <c r="CZ326" s="192"/>
      <c r="DA326" s="192"/>
      <c r="DB326" s="192"/>
      <c r="DC326" s="192"/>
      <c r="DD326" s="192"/>
      <c r="DE326" s="192"/>
      <c r="DF326" s="192"/>
      <c r="DG326" s="192"/>
      <c r="DH326" s="192"/>
      <c r="DI326" s="192"/>
      <c r="DJ326" s="192"/>
      <c r="DK326" s="192"/>
      <c r="DL326" s="192"/>
      <c r="DM326" s="192"/>
      <c r="DN326" s="192"/>
      <c r="DO326" s="192"/>
      <c r="DP326" s="192"/>
      <c r="DQ326" s="192"/>
      <c r="DR326" s="192"/>
      <c r="DS326" s="192"/>
      <c r="DT326" s="192"/>
      <c r="DU326" s="192"/>
      <c r="DV326" s="192"/>
      <c r="DW326" s="192"/>
      <c r="DX326" s="192"/>
      <c r="DY326" s="192"/>
      <c r="DZ326" s="192"/>
      <c r="EA326" s="192"/>
      <c r="EB326" s="192"/>
      <c r="EC326" s="192"/>
      <c r="ED326" s="192"/>
      <c r="EE326" s="192"/>
      <c r="EF326" s="192"/>
      <c r="EG326" s="192"/>
      <c r="EH326" s="192"/>
      <c r="EI326" s="192"/>
      <c r="EJ326" s="192"/>
      <c r="EK326" s="192"/>
      <c r="EL326" s="192"/>
      <c r="EM326" s="192"/>
      <c r="EN326" s="192"/>
      <c r="EO326" s="192"/>
      <c r="EP326" s="192"/>
      <c r="EQ326" s="192"/>
    </row>
    <row r="327" spans="1:147" x14ac:dyDescent="0.2">
      <c r="A327" s="192"/>
      <c r="B327" s="192"/>
      <c r="C327" s="192"/>
      <c r="D327" s="192"/>
      <c r="E327" s="192"/>
      <c r="F327" s="192"/>
      <c r="G327" s="192"/>
      <c r="H327" s="192"/>
      <c r="I327" s="192"/>
      <c r="J327" s="192"/>
      <c r="K327" s="192"/>
      <c r="L327" s="192"/>
      <c r="M327" s="192"/>
      <c r="N327" s="192"/>
      <c r="O327" s="192"/>
      <c r="P327" s="192"/>
      <c r="Q327" s="192"/>
      <c r="R327" s="192"/>
      <c r="S327" s="266"/>
      <c r="T327" s="265"/>
      <c r="U327" s="265"/>
      <c r="V327" s="265"/>
      <c r="W327" s="265"/>
      <c r="X327" s="265"/>
      <c r="Y327" s="265"/>
      <c r="Z327" s="265"/>
      <c r="AA327" s="265"/>
      <c r="AB327" s="265"/>
      <c r="AC327" s="265"/>
      <c r="AD327" s="265"/>
      <c r="AE327" s="265"/>
      <c r="AF327" s="265"/>
      <c r="AG327" s="265"/>
      <c r="AH327" s="265"/>
      <c r="AI327" s="192"/>
      <c r="AJ327" s="192"/>
      <c r="AK327" s="192"/>
      <c r="AL327" s="192"/>
      <c r="AM327" s="192"/>
      <c r="AN327" s="192"/>
      <c r="AO327" s="192"/>
      <c r="AP327" s="192"/>
      <c r="AQ327" s="192"/>
      <c r="AR327" s="192"/>
      <c r="AS327" s="192"/>
      <c r="AT327" s="192"/>
      <c r="AU327" s="192"/>
      <c r="AV327" s="192"/>
      <c r="AW327" s="192"/>
      <c r="AX327" s="192"/>
      <c r="AY327" s="192"/>
      <c r="AZ327" s="192"/>
      <c r="BA327" s="192"/>
      <c r="BB327" s="192"/>
      <c r="BC327" s="192"/>
      <c r="BD327" s="192"/>
      <c r="BE327" s="192"/>
      <c r="BF327" s="192"/>
      <c r="BG327" s="192"/>
      <c r="BH327" s="192"/>
      <c r="BI327" s="192"/>
      <c r="BJ327" s="192"/>
      <c r="BK327" s="192"/>
      <c r="BL327" s="192"/>
      <c r="BM327" s="192"/>
      <c r="BN327" s="192"/>
      <c r="BO327" s="192"/>
      <c r="BP327" s="192"/>
      <c r="BQ327" s="192"/>
      <c r="BR327" s="192"/>
      <c r="BS327" s="192"/>
      <c r="BT327" s="192"/>
      <c r="BU327" s="192"/>
      <c r="BV327" s="192"/>
      <c r="BW327" s="192"/>
      <c r="BX327" s="192"/>
      <c r="BY327" s="192"/>
      <c r="BZ327" s="192"/>
      <c r="CA327" s="192"/>
      <c r="CB327" s="192"/>
      <c r="CC327" s="192"/>
      <c r="CD327" s="192"/>
      <c r="CE327" s="192"/>
      <c r="CF327" s="192"/>
      <c r="CG327" s="192"/>
      <c r="CH327" s="192"/>
      <c r="CI327" s="192"/>
      <c r="CJ327" s="192"/>
      <c r="CK327" s="192"/>
      <c r="CL327" s="192"/>
      <c r="CM327" s="192"/>
      <c r="CN327" s="192"/>
      <c r="CO327" s="192"/>
      <c r="CP327" s="192"/>
      <c r="CQ327" s="192"/>
      <c r="CR327" s="192"/>
      <c r="CS327" s="192"/>
      <c r="CT327" s="192"/>
      <c r="CU327" s="192"/>
      <c r="CV327" s="192"/>
      <c r="CW327" s="192"/>
      <c r="CX327" s="192"/>
      <c r="CY327" s="192"/>
      <c r="CZ327" s="192"/>
      <c r="DA327" s="192"/>
      <c r="DB327" s="192"/>
      <c r="DC327" s="192"/>
      <c r="DD327" s="192"/>
      <c r="DE327" s="192"/>
      <c r="DF327" s="192"/>
      <c r="DG327" s="192"/>
      <c r="DH327" s="192"/>
      <c r="DI327" s="192"/>
      <c r="DJ327" s="192"/>
      <c r="DK327" s="192"/>
      <c r="DL327" s="192"/>
      <c r="DM327" s="192"/>
      <c r="DN327" s="192"/>
      <c r="DO327" s="192"/>
      <c r="DP327" s="192"/>
      <c r="DQ327" s="192"/>
      <c r="DR327" s="192"/>
      <c r="DS327" s="192"/>
      <c r="DT327" s="192"/>
      <c r="DU327" s="192"/>
      <c r="DV327" s="192"/>
      <c r="DW327" s="192"/>
      <c r="DX327" s="192"/>
      <c r="DY327" s="192"/>
      <c r="DZ327" s="192"/>
      <c r="EA327" s="192"/>
      <c r="EB327" s="192"/>
      <c r="EC327" s="192"/>
      <c r="ED327" s="192"/>
      <c r="EE327" s="192"/>
      <c r="EF327" s="192"/>
      <c r="EG327" s="192"/>
      <c r="EH327" s="192"/>
      <c r="EI327" s="192"/>
      <c r="EJ327" s="192"/>
      <c r="EK327" s="192"/>
      <c r="EL327" s="192"/>
      <c r="EM327" s="192"/>
      <c r="EN327" s="192"/>
      <c r="EO327" s="192"/>
      <c r="EP327" s="192"/>
      <c r="EQ327" s="192"/>
    </row>
    <row r="328" spans="1:147" x14ac:dyDescent="0.2">
      <c r="A328" s="192"/>
      <c r="B328" s="192"/>
      <c r="C328" s="192"/>
      <c r="D328" s="192"/>
      <c r="E328" s="192"/>
      <c r="F328" s="192"/>
      <c r="G328" s="192"/>
      <c r="H328" s="192"/>
      <c r="I328" s="192"/>
      <c r="J328" s="192"/>
      <c r="K328" s="192"/>
      <c r="L328" s="192"/>
      <c r="M328" s="192"/>
      <c r="N328" s="192"/>
      <c r="O328" s="192"/>
      <c r="P328" s="192"/>
      <c r="Q328" s="192"/>
      <c r="R328" s="192"/>
      <c r="S328" s="266"/>
      <c r="T328" s="265"/>
      <c r="U328" s="265"/>
      <c r="V328" s="265"/>
      <c r="W328" s="265"/>
      <c r="X328" s="265"/>
      <c r="Y328" s="265"/>
      <c r="Z328" s="265"/>
      <c r="AA328" s="265"/>
      <c r="AB328" s="265"/>
      <c r="AC328" s="265"/>
      <c r="AD328" s="265"/>
      <c r="AE328" s="265"/>
      <c r="AF328" s="265"/>
      <c r="AG328" s="265"/>
      <c r="AH328" s="265"/>
      <c r="AI328" s="192"/>
      <c r="AJ328" s="192"/>
      <c r="AK328" s="192"/>
      <c r="AL328" s="192"/>
      <c r="AM328" s="192"/>
      <c r="AN328" s="192"/>
      <c r="AO328" s="192"/>
      <c r="AP328" s="192"/>
      <c r="AQ328" s="192"/>
      <c r="AR328" s="192"/>
      <c r="AS328" s="192"/>
      <c r="AT328" s="192"/>
      <c r="AU328" s="192"/>
      <c r="AV328" s="192"/>
      <c r="AW328" s="192"/>
      <c r="AX328" s="192"/>
      <c r="AY328" s="192"/>
      <c r="AZ328" s="192"/>
      <c r="BA328" s="192"/>
      <c r="BB328" s="192"/>
      <c r="BC328" s="192"/>
      <c r="BD328" s="192"/>
      <c r="BE328" s="192"/>
      <c r="BF328" s="192"/>
      <c r="BG328" s="192"/>
      <c r="BH328" s="192"/>
      <c r="BI328" s="192"/>
      <c r="BJ328" s="192"/>
      <c r="BK328" s="192"/>
      <c r="BL328" s="192"/>
      <c r="BM328" s="192"/>
      <c r="BN328" s="192"/>
      <c r="BO328" s="192"/>
      <c r="BP328" s="192"/>
      <c r="BQ328" s="192"/>
      <c r="BR328" s="192"/>
      <c r="BS328" s="192"/>
      <c r="BT328" s="192"/>
      <c r="BU328" s="192"/>
      <c r="BV328" s="192"/>
      <c r="BW328" s="192"/>
      <c r="BX328" s="192"/>
      <c r="BY328" s="192"/>
      <c r="BZ328" s="192"/>
      <c r="CA328" s="192"/>
      <c r="CB328" s="192"/>
      <c r="CC328" s="192"/>
      <c r="CD328" s="192"/>
      <c r="CE328" s="192"/>
      <c r="CF328" s="192"/>
      <c r="CG328" s="192"/>
      <c r="CH328" s="192"/>
      <c r="CI328" s="192"/>
      <c r="CJ328" s="192"/>
      <c r="CK328" s="192"/>
      <c r="CL328" s="192"/>
      <c r="CM328" s="192"/>
      <c r="CN328" s="192"/>
      <c r="CO328" s="192"/>
      <c r="CP328" s="192"/>
      <c r="CQ328" s="192"/>
      <c r="CR328" s="192"/>
      <c r="CS328" s="192"/>
      <c r="CT328" s="192"/>
      <c r="CU328" s="192"/>
      <c r="CV328" s="192"/>
      <c r="CW328" s="192"/>
      <c r="CX328" s="192"/>
      <c r="CY328" s="192"/>
      <c r="CZ328" s="192"/>
      <c r="DA328" s="192"/>
      <c r="DB328" s="192"/>
      <c r="DC328" s="192"/>
      <c r="DD328" s="192"/>
      <c r="DE328" s="192"/>
      <c r="DF328" s="192"/>
      <c r="DG328" s="192"/>
      <c r="DH328" s="192"/>
      <c r="DI328" s="192"/>
      <c r="DJ328" s="192"/>
      <c r="DK328" s="192"/>
      <c r="DL328" s="192"/>
      <c r="DM328" s="192"/>
      <c r="DN328" s="192"/>
      <c r="DO328" s="192"/>
      <c r="DP328" s="192"/>
      <c r="DQ328" s="192"/>
      <c r="DR328" s="192"/>
      <c r="DS328" s="192"/>
      <c r="DT328" s="192"/>
      <c r="DU328" s="192"/>
      <c r="DV328" s="192"/>
      <c r="DW328" s="192"/>
      <c r="DX328" s="192"/>
      <c r="DY328" s="192"/>
      <c r="DZ328" s="192"/>
      <c r="EA328" s="192"/>
      <c r="EB328" s="192"/>
      <c r="EC328" s="192"/>
      <c r="ED328" s="192"/>
      <c r="EE328" s="192"/>
      <c r="EF328" s="192"/>
      <c r="EG328" s="192"/>
      <c r="EH328" s="192"/>
      <c r="EI328" s="192"/>
      <c r="EJ328" s="192"/>
      <c r="EK328" s="192"/>
      <c r="EL328" s="192"/>
      <c r="EM328" s="192"/>
      <c r="EN328" s="192"/>
      <c r="EO328" s="192"/>
      <c r="EP328" s="192"/>
      <c r="EQ328" s="192"/>
    </row>
    <row r="329" spans="1:147" x14ac:dyDescent="0.2">
      <c r="A329" s="192"/>
      <c r="B329" s="192"/>
      <c r="C329" s="192"/>
      <c r="D329" s="192"/>
      <c r="E329" s="192"/>
      <c r="F329" s="192"/>
      <c r="G329" s="192"/>
      <c r="H329" s="192"/>
      <c r="I329" s="192"/>
      <c r="J329" s="192"/>
      <c r="K329" s="192"/>
      <c r="L329" s="192"/>
      <c r="M329" s="192"/>
      <c r="N329" s="192"/>
      <c r="O329" s="192"/>
      <c r="P329" s="192"/>
      <c r="Q329" s="192"/>
      <c r="R329" s="192"/>
      <c r="S329" s="266"/>
      <c r="T329" s="265"/>
      <c r="U329" s="265"/>
      <c r="V329" s="265"/>
      <c r="W329" s="265"/>
      <c r="X329" s="265"/>
      <c r="Y329" s="265"/>
      <c r="Z329" s="265"/>
      <c r="AA329" s="265"/>
      <c r="AB329" s="265"/>
      <c r="AC329" s="265"/>
      <c r="AD329" s="265"/>
      <c r="AE329" s="265"/>
      <c r="AF329" s="265"/>
      <c r="AG329" s="265"/>
      <c r="AH329" s="265"/>
      <c r="AI329" s="192"/>
      <c r="AJ329" s="192"/>
      <c r="AK329" s="192"/>
      <c r="AL329" s="192"/>
      <c r="AM329" s="192"/>
      <c r="AN329" s="192"/>
      <c r="AO329" s="192"/>
      <c r="AP329" s="192"/>
      <c r="AQ329" s="192"/>
      <c r="AR329" s="192"/>
      <c r="AS329" s="192"/>
      <c r="AT329" s="192"/>
      <c r="AU329" s="192"/>
      <c r="AV329" s="192"/>
      <c r="AW329" s="192"/>
      <c r="AX329" s="192"/>
      <c r="AY329" s="192"/>
      <c r="AZ329" s="192"/>
      <c r="BA329" s="192"/>
      <c r="BB329" s="192"/>
      <c r="BC329" s="192"/>
      <c r="BD329" s="192"/>
      <c r="BE329" s="192"/>
      <c r="BF329" s="192"/>
      <c r="BG329" s="192"/>
      <c r="BH329" s="192"/>
      <c r="BI329" s="192"/>
      <c r="BJ329" s="192"/>
      <c r="BK329" s="192"/>
      <c r="BL329" s="192"/>
      <c r="BM329" s="192"/>
      <c r="BN329" s="192"/>
      <c r="BO329" s="192"/>
      <c r="BP329" s="192"/>
      <c r="BQ329" s="192"/>
      <c r="BR329" s="192"/>
      <c r="BS329" s="192"/>
      <c r="BT329" s="192"/>
      <c r="BU329" s="192"/>
      <c r="BV329" s="192"/>
      <c r="BW329" s="192"/>
      <c r="BX329" s="192"/>
      <c r="BY329" s="192"/>
      <c r="BZ329" s="192"/>
      <c r="CA329" s="192"/>
      <c r="CB329" s="192"/>
      <c r="CC329" s="192"/>
      <c r="CD329" s="192"/>
      <c r="CE329" s="192"/>
      <c r="CF329" s="192"/>
      <c r="CG329" s="192"/>
      <c r="CH329" s="192"/>
      <c r="CI329" s="192"/>
      <c r="CJ329" s="192"/>
      <c r="CK329" s="192"/>
      <c r="CL329" s="192"/>
      <c r="CM329" s="192"/>
      <c r="CN329" s="192"/>
      <c r="CO329" s="192"/>
      <c r="CP329" s="192"/>
      <c r="CQ329" s="192"/>
      <c r="CR329" s="192"/>
      <c r="CS329" s="192"/>
      <c r="CT329" s="192"/>
      <c r="CU329" s="192"/>
      <c r="CV329" s="192"/>
      <c r="CW329" s="192"/>
      <c r="CX329" s="192"/>
      <c r="CY329" s="192"/>
      <c r="CZ329" s="192"/>
      <c r="DA329" s="192"/>
      <c r="DB329" s="192"/>
      <c r="DC329" s="192"/>
      <c r="DD329" s="192"/>
      <c r="DE329" s="192"/>
      <c r="DF329" s="192"/>
      <c r="DG329" s="192"/>
      <c r="DH329" s="192"/>
      <c r="DI329" s="192"/>
      <c r="DJ329" s="192"/>
      <c r="DK329" s="192"/>
      <c r="DL329" s="192"/>
      <c r="DM329" s="192"/>
      <c r="DN329" s="192"/>
      <c r="DO329" s="192"/>
      <c r="DP329" s="192"/>
      <c r="DQ329" s="192"/>
      <c r="DR329" s="192"/>
      <c r="DS329" s="192"/>
      <c r="DT329" s="192"/>
      <c r="DU329" s="192"/>
      <c r="DV329" s="192"/>
      <c r="DW329" s="192"/>
      <c r="DX329" s="192"/>
      <c r="DY329" s="192"/>
      <c r="DZ329" s="192"/>
      <c r="EA329" s="192"/>
      <c r="EB329" s="192"/>
      <c r="EC329" s="192"/>
      <c r="ED329" s="192"/>
      <c r="EE329" s="192"/>
      <c r="EF329" s="192"/>
      <c r="EG329" s="192"/>
      <c r="EH329" s="192"/>
      <c r="EI329" s="192"/>
      <c r="EJ329" s="192"/>
      <c r="EK329" s="192"/>
      <c r="EL329" s="192"/>
      <c r="EM329" s="192"/>
      <c r="EN329" s="192"/>
      <c r="EO329" s="192"/>
      <c r="EP329" s="192"/>
      <c r="EQ329" s="192"/>
    </row>
    <row r="330" spans="1:147" x14ac:dyDescent="0.2">
      <c r="A330" s="192"/>
      <c r="B330" s="192"/>
      <c r="C330" s="192"/>
      <c r="D330" s="192"/>
      <c r="E330" s="192"/>
      <c r="F330" s="192"/>
      <c r="G330" s="192"/>
      <c r="H330" s="192"/>
      <c r="I330" s="192"/>
      <c r="J330" s="192"/>
      <c r="K330" s="192"/>
      <c r="L330" s="192"/>
      <c r="M330" s="192"/>
      <c r="N330" s="192"/>
      <c r="O330" s="192"/>
      <c r="P330" s="192"/>
      <c r="Q330" s="192"/>
      <c r="R330" s="192"/>
      <c r="S330" s="266"/>
      <c r="T330" s="265"/>
      <c r="U330" s="265"/>
      <c r="V330" s="265"/>
      <c r="W330" s="265"/>
      <c r="X330" s="265"/>
      <c r="Y330" s="265"/>
      <c r="Z330" s="265"/>
      <c r="AA330" s="265"/>
      <c r="AB330" s="265"/>
      <c r="AC330" s="265"/>
      <c r="AD330" s="265"/>
      <c r="AE330" s="265"/>
      <c r="AF330" s="265"/>
      <c r="AG330" s="265"/>
      <c r="AH330" s="265"/>
      <c r="AI330" s="192"/>
      <c r="AJ330" s="192"/>
      <c r="AK330" s="192"/>
      <c r="AL330" s="192"/>
      <c r="AM330" s="192"/>
      <c r="AN330" s="192"/>
      <c r="AO330" s="192"/>
      <c r="AP330" s="192"/>
      <c r="AQ330" s="192"/>
      <c r="AR330" s="192"/>
      <c r="AS330" s="192"/>
      <c r="AT330" s="192"/>
      <c r="AU330" s="192"/>
      <c r="AV330" s="192"/>
      <c r="AW330" s="192"/>
      <c r="AX330" s="192"/>
      <c r="AY330" s="192"/>
      <c r="AZ330" s="192"/>
      <c r="BA330" s="192"/>
      <c r="BB330" s="192"/>
      <c r="BC330" s="192"/>
      <c r="BD330" s="192"/>
      <c r="BE330" s="192"/>
      <c r="BF330" s="192"/>
      <c r="BG330" s="192"/>
      <c r="BH330" s="192"/>
      <c r="BI330" s="192"/>
      <c r="BJ330" s="192"/>
      <c r="BK330" s="192"/>
      <c r="BL330" s="192"/>
      <c r="BM330" s="192"/>
      <c r="BN330" s="192"/>
      <c r="BO330" s="192"/>
      <c r="BP330" s="192"/>
      <c r="BQ330" s="192"/>
      <c r="BR330" s="192"/>
      <c r="BS330" s="192"/>
      <c r="BT330" s="192"/>
      <c r="BU330" s="192"/>
      <c r="BV330" s="192"/>
      <c r="BW330" s="192"/>
      <c r="BX330" s="192"/>
      <c r="BY330" s="192"/>
      <c r="BZ330" s="192"/>
      <c r="CA330" s="192"/>
      <c r="CB330" s="192"/>
      <c r="CC330" s="192"/>
      <c r="CD330" s="192"/>
      <c r="CE330" s="192"/>
      <c r="CF330" s="192"/>
      <c r="CG330" s="192"/>
      <c r="CH330" s="192"/>
      <c r="CI330" s="192"/>
      <c r="CJ330" s="192"/>
      <c r="CK330" s="192"/>
      <c r="CL330" s="192"/>
      <c r="CM330" s="192"/>
      <c r="CN330" s="192"/>
      <c r="CO330" s="192"/>
      <c r="CP330" s="192"/>
      <c r="CQ330" s="192"/>
      <c r="CR330" s="192"/>
      <c r="CS330" s="192"/>
      <c r="CT330" s="192"/>
      <c r="CU330" s="192"/>
      <c r="CV330" s="192"/>
      <c r="CW330" s="192"/>
      <c r="CX330" s="192"/>
      <c r="CY330" s="192"/>
      <c r="CZ330" s="192"/>
      <c r="DA330" s="192"/>
      <c r="DB330" s="192"/>
      <c r="DC330" s="192"/>
      <c r="DD330" s="192"/>
      <c r="DE330" s="192"/>
      <c r="DF330" s="192"/>
      <c r="DG330" s="192"/>
      <c r="DH330" s="192"/>
      <c r="DI330" s="192"/>
      <c r="DJ330" s="192"/>
      <c r="DK330" s="192"/>
      <c r="DL330" s="192"/>
      <c r="DM330" s="192"/>
      <c r="DN330" s="192"/>
      <c r="DO330" s="192"/>
      <c r="DP330" s="192"/>
      <c r="DQ330" s="192"/>
      <c r="DR330" s="192"/>
      <c r="DS330" s="192"/>
      <c r="DT330" s="192"/>
      <c r="DU330" s="192"/>
      <c r="DV330" s="192"/>
      <c r="DW330" s="192"/>
      <c r="DX330" s="192"/>
      <c r="DY330" s="192"/>
      <c r="DZ330" s="192"/>
      <c r="EA330" s="192"/>
      <c r="EB330" s="192"/>
      <c r="EC330" s="192"/>
      <c r="ED330" s="192"/>
      <c r="EE330" s="192"/>
      <c r="EF330" s="192"/>
      <c r="EG330" s="192"/>
      <c r="EH330" s="192"/>
      <c r="EI330" s="192"/>
      <c r="EJ330" s="192"/>
      <c r="EK330" s="192"/>
      <c r="EL330" s="192"/>
      <c r="EM330" s="192"/>
      <c r="EN330" s="192"/>
      <c r="EO330" s="192"/>
      <c r="EP330" s="192"/>
      <c r="EQ330" s="192"/>
    </row>
    <row r="331" spans="1:147" x14ac:dyDescent="0.2">
      <c r="A331" s="192"/>
      <c r="B331" s="192"/>
      <c r="C331" s="192"/>
      <c r="D331" s="192"/>
      <c r="E331" s="192"/>
      <c r="F331" s="192"/>
      <c r="G331" s="192"/>
      <c r="H331" s="192"/>
      <c r="I331" s="192"/>
      <c r="J331" s="192"/>
      <c r="K331" s="192"/>
      <c r="L331" s="192"/>
      <c r="M331" s="192"/>
      <c r="N331" s="192"/>
      <c r="O331" s="192"/>
      <c r="P331" s="192"/>
      <c r="Q331" s="192"/>
      <c r="R331" s="192"/>
      <c r="S331" s="266"/>
      <c r="T331" s="265"/>
      <c r="U331" s="265"/>
      <c r="V331" s="265"/>
      <c r="W331" s="265"/>
      <c r="X331" s="265"/>
      <c r="Y331" s="265"/>
      <c r="Z331" s="265"/>
      <c r="AA331" s="265"/>
      <c r="AB331" s="265"/>
      <c r="AC331" s="265"/>
      <c r="AD331" s="265"/>
      <c r="AE331" s="265"/>
      <c r="AF331" s="265"/>
      <c r="AG331" s="265"/>
      <c r="AH331" s="265"/>
      <c r="AI331" s="192"/>
      <c r="AJ331" s="192"/>
      <c r="AK331" s="192"/>
      <c r="AL331" s="192"/>
      <c r="AM331" s="192"/>
      <c r="AN331" s="192"/>
      <c r="AO331" s="192"/>
      <c r="AP331" s="192"/>
      <c r="AQ331" s="192"/>
      <c r="AR331" s="192"/>
      <c r="AS331" s="192"/>
      <c r="AT331" s="192"/>
      <c r="AU331" s="192"/>
      <c r="AV331" s="192"/>
      <c r="AW331" s="192"/>
      <c r="AX331" s="192"/>
      <c r="AY331" s="192"/>
      <c r="AZ331" s="192"/>
      <c r="BA331" s="192"/>
      <c r="BB331" s="192"/>
      <c r="BC331" s="192"/>
      <c r="BD331" s="192"/>
      <c r="BE331" s="192"/>
      <c r="BF331" s="192"/>
      <c r="BG331" s="192"/>
      <c r="BH331" s="192"/>
      <c r="BI331" s="192"/>
      <c r="BJ331" s="192"/>
      <c r="BK331" s="192"/>
      <c r="BL331" s="192"/>
      <c r="BM331" s="192"/>
      <c r="BN331" s="192"/>
      <c r="BO331" s="192"/>
      <c r="BP331" s="192"/>
      <c r="BQ331" s="192"/>
      <c r="BR331" s="192"/>
      <c r="BS331" s="192"/>
      <c r="BT331" s="192"/>
      <c r="BU331" s="192"/>
      <c r="BV331" s="192"/>
      <c r="BW331" s="192"/>
      <c r="BX331" s="192"/>
      <c r="BY331" s="192"/>
      <c r="BZ331" s="192"/>
      <c r="CA331" s="192"/>
      <c r="CB331" s="192"/>
      <c r="CC331" s="192"/>
      <c r="CD331" s="192"/>
      <c r="CE331" s="192"/>
      <c r="CF331" s="192"/>
      <c r="CG331" s="192"/>
      <c r="CH331" s="192"/>
      <c r="CI331" s="192"/>
      <c r="CJ331" s="192"/>
      <c r="CK331" s="192"/>
      <c r="CL331" s="192"/>
      <c r="CM331" s="192"/>
      <c r="CN331" s="192"/>
      <c r="CO331" s="192"/>
      <c r="CP331" s="192"/>
      <c r="CQ331" s="192"/>
      <c r="CR331" s="192"/>
      <c r="CS331" s="192"/>
      <c r="CT331" s="192"/>
      <c r="CU331" s="192"/>
      <c r="CV331" s="192"/>
      <c r="CW331" s="192"/>
      <c r="CX331" s="192"/>
      <c r="CY331" s="192"/>
      <c r="CZ331" s="192"/>
      <c r="DA331" s="192"/>
      <c r="DB331" s="192"/>
      <c r="DC331" s="192"/>
      <c r="DD331" s="192"/>
      <c r="DE331" s="192"/>
      <c r="DF331" s="192"/>
      <c r="DG331" s="192"/>
      <c r="DH331" s="192"/>
      <c r="DI331" s="192"/>
      <c r="DJ331" s="192"/>
      <c r="DK331" s="192"/>
      <c r="DL331" s="192"/>
      <c r="DM331" s="192"/>
      <c r="DN331" s="192"/>
      <c r="DO331" s="192"/>
      <c r="DP331" s="192"/>
      <c r="DQ331" s="192"/>
      <c r="DR331" s="192"/>
      <c r="DS331" s="192"/>
      <c r="DT331" s="192"/>
      <c r="DU331" s="192"/>
      <c r="DV331" s="192"/>
      <c r="DW331" s="192"/>
      <c r="DX331" s="192"/>
      <c r="DY331" s="192"/>
      <c r="DZ331" s="192"/>
      <c r="EA331" s="192"/>
      <c r="EB331" s="192"/>
      <c r="EC331" s="192"/>
      <c r="ED331" s="192"/>
      <c r="EE331" s="192"/>
      <c r="EF331" s="192"/>
      <c r="EG331" s="192"/>
      <c r="EH331" s="192"/>
      <c r="EI331" s="192"/>
      <c r="EJ331" s="192"/>
      <c r="EK331" s="192"/>
      <c r="EL331" s="192"/>
      <c r="EM331" s="192"/>
      <c r="EN331" s="192"/>
      <c r="EO331" s="192"/>
      <c r="EP331" s="192"/>
      <c r="EQ331" s="192"/>
    </row>
    <row r="332" spans="1:147" x14ac:dyDescent="0.2">
      <c r="A332" s="192"/>
      <c r="B332" s="192"/>
      <c r="C332" s="192"/>
      <c r="D332" s="192"/>
      <c r="E332" s="192"/>
      <c r="F332" s="192"/>
      <c r="G332" s="192"/>
      <c r="H332" s="192"/>
      <c r="I332" s="192"/>
      <c r="J332" s="192"/>
      <c r="K332" s="192"/>
      <c r="L332" s="192"/>
      <c r="M332" s="192"/>
      <c r="N332" s="192"/>
      <c r="O332" s="192"/>
      <c r="P332" s="192"/>
      <c r="Q332" s="192"/>
      <c r="R332" s="192"/>
      <c r="S332" s="266"/>
      <c r="T332" s="265"/>
      <c r="U332" s="265"/>
      <c r="V332" s="265"/>
      <c r="W332" s="265"/>
      <c r="X332" s="265"/>
      <c r="Y332" s="265"/>
      <c r="Z332" s="265"/>
      <c r="AA332" s="265"/>
      <c r="AB332" s="265"/>
      <c r="AC332" s="265"/>
      <c r="AD332" s="265"/>
      <c r="AE332" s="265"/>
      <c r="AF332" s="265"/>
      <c r="AG332" s="265"/>
      <c r="AH332" s="265"/>
      <c r="AI332" s="192"/>
      <c r="AJ332" s="192"/>
      <c r="AK332" s="192"/>
      <c r="AL332" s="192"/>
      <c r="AM332" s="192"/>
      <c r="AN332" s="192"/>
      <c r="AO332" s="192"/>
      <c r="AP332" s="192"/>
      <c r="AQ332" s="192"/>
      <c r="AR332" s="192"/>
      <c r="AS332" s="192"/>
      <c r="AT332" s="192"/>
      <c r="AU332" s="192"/>
      <c r="AV332" s="192"/>
      <c r="AW332" s="192"/>
      <c r="AX332" s="192"/>
      <c r="AY332" s="192"/>
      <c r="AZ332" s="192"/>
      <c r="BA332" s="192"/>
      <c r="BB332" s="192"/>
      <c r="BC332" s="192"/>
      <c r="BD332" s="192"/>
      <c r="BE332" s="192"/>
      <c r="BF332" s="192"/>
      <c r="BG332" s="192"/>
      <c r="BH332" s="192"/>
      <c r="BI332" s="192"/>
      <c r="BJ332" s="192"/>
      <c r="BK332" s="192"/>
      <c r="BL332" s="192"/>
      <c r="BM332" s="192"/>
      <c r="BN332" s="192"/>
      <c r="BO332" s="192"/>
      <c r="BP332" s="192"/>
      <c r="BQ332" s="192"/>
      <c r="BR332" s="192"/>
      <c r="BS332" s="192"/>
      <c r="BT332" s="192"/>
      <c r="BU332" s="192"/>
      <c r="BV332" s="192"/>
      <c r="BW332" s="192"/>
      <c r="BX332" s="192"/>
      <c r="BY332" s="192"/>
      <c r="BZ332" s="192"/>
      <c r="CA332" s="192"/>
      <c r="CB332" s="192"/>
      <c r="CC332" s="192"/>
      <c r="CD332" s="192"/>
      <c r="CE332" s="192"/>
      <c r="CF332" s="192"/>
      <c r="CG332" s="192"/>
      <c r="CH332" s="192"/>
      <c r="CI332" s="192"/>
      <c r="CJ332" s="192"/>
      <c r="CK332" s="192"/>
      <c r="CL332" s="192"/>
      <c r="CM332" s="192"/>
      <c r="CN332" s="192"/>
      <c r="CO332" s="192"/>
      <c r="CP332" s="192"/>
      <c r="CQ332" s="192"/>
      <c r="CR332" s="192"/>
      <c r="CS332" s="192"/>
      <c r="CT332" s="192"/>
      <c r="CU332" s="192"/>
      <c r="CV332" s="192"/>
      <c r="CW332" s="192"/>
      <c r="CX332" s="192"/>
      <c r="CY332" s="192"/>
      <c r="CZ332" s="192"/>
      <c r="DA332" s="192"/>
      <c r="DB332" s="192"/>
      <c r="DC332" s="192"/>
      <c r="DD332" s="192"/>
      <c r="DE332" s="192"/>
      <c r="DF332" s="192"/>
      <c r="DG332" s="192"/>
      <c r="DH332" s="192"/>
      <c r="DI332" s="192"/>
      <c r="DJ332" s="192"/>
      <c r="DK332" s="192"/>
      <c r="DL332" s="192"/>
      <c r="DM332" s="192"/>
      <c r="DN332" s="192"/>
      <c r="DO332" s="192"/>
      <c r="DP332" s="192"/>
      <c r="DQ332" s="192"/>
      <c r="DR332" s="192"/>
      <c r="DS332" s="192"/>
      <c r="DT332" s="192"/>
      <c r="DU332" s="192"/>
      <c r="DV332" s="192"/>
      <c r="DW332" s="192"/>
      <c r="DX332" s="192"/>
      <c r="DY332" s="192"/>
      <c r="DZ332" s="192"/>
      <c r="EA332" s="192"/>
      <c r="EB332" s="192"/>
      <c r="EC332" s="192"/>
      <c r="ED332" s="192"/>
      <c r="EE332" s="192"/>
      <c r="EF332" s="192"/>
      <c r="EG332" s="192"/>
      <c r="EH332" s="192"/>
      <c r="EI332" s="192"/>
      <c r="EJ332" s="192"/>
      <c r="EK332" s="192"/>
      <c r="EL332" s="192"/>
      <c r="EM332" s="192"/>
      <c r="EN332" s="192"/>
      <c r="EO332" s="192"/>
      <c r="EP332" s="192"/>
      <c r="EQ332" s="192"/>
    </row>
    <row r="333" spans="1:147" x14ac:dyDescent="0.2">
      <c r="A333" s="192"/>
      <c r="B333" s="192"/>
      <c r="C333" s="192"/>
      <c r="D333" s="192"/>
      <c r="E333" s="192"/>
      <c r="F333" s="192"/>
      <c r="G333" s="192"/>
      <c r="H333" s="192"/>
      <c r="I333" s="192"/>
      <c r="J333" s="192"/>
      <c r="K333" s="192"/>
      <c r="L333" s="192"/>
      <c r="M333" s="192"/>
      <c r="N333" s="192"/>
      <c r="O333" s="192"/>
      <c r="P333" s="192"/>
      <c r="Q333" s="192"/>
      <c r="R333" s="192"/>
      <c r="S333" s="266"/>
      <c r="T333" s="265"/>
      <c r="U333" s="265"/>
      <c r="V333" s="265"/>
      <c r="W333" s="265"/>
      <c r="X333" s="265"/>
      <c r="Y333" s="265"/>
      <c r="Z333" s="265"/>
      <c r="AA333" s="265"/>
      <c r="AB333" s="265"/>
      <c r="AC333" s="265"/>
      <c r="AD333" s="265"/>
      <c r="AE333" s="265"/>
      <c r="AF333" s="265"/>
      <c r="AG333" s="265"/>
      <c r="AH333" s="265"/>
      <c r="AI333" s="192"/>
      <c r="AJ333" s="192"/>
      <c r="AK333" s="192"/>
      <c r="AL333" s="192"/>
      <c r="AM333" s="192"/>
      <c r="AN333" s="192"/>
      <c r="AO333" s="192"/>
      <c r="AP333" s="192"/>
      <c r="AQ333" s="192"/>
      <c r="AR333" s="192"/>
      <c r="AS333" s="192"/>
      <c r="AT333" s="192"/>
      <c r="AU333" s="192"/>
      <c r="AV333" s="192"/>
      <c r="AW333" s="192"/>
      <c r="AX333" s="192"/>
      <c r="AY333" s="192"/>
      <c r="AZ333" s="192"/>
      <c r="BA333" s="192"/>
      <c r="BB333" s="192"/>
      <c r="BC333" s="192"/>
      <c r="BD333" s="192"/>
      <c r="BE333" s="192"/>
      <c r="BF333" s="192"/>
      <c r="BG333" s="192"/>
      <c r="BH333" s="192"/>
      <c r="BI333" s="192"/>
      <c r="BJ333" s="192"/>
      <c r="BK333" s="192"/>
      <c r="BL333" s="192"/>
      <c r="BM333" s="192"/>
      <c r="BN333" s="192"/>
      <c r="BO333" s="192"/>
      <c r="BP333" s="192"/>
      <c r="BQ333" s="192"/>
      <c r="BR333" s="192"/>
      <c r="BS333" s="192"/>
      <c r="BT333" s="192"/>
      <c r="BU333" s="192"/>
      <c r="BV333" s="192"/>
      <c r="BW333" s="192"/>
      <c r="BX333" s="192"/>
      <c r="BY333" s="192"/>
      <c r="BZ333" s="192"/>
      <c r="CA333" s="192"/>
      <c r="CB333" s="192"/>
      <c r="CC333" s="192"/>
      <c r="CD333" s="192"/>
      <c r="CE333" s="192"/>
      <c r="CF333" s="192"/>
      <c r="CG333" s="192"/>
      <c r="CH333" s="192"/>
      <c r="CI333" s="192"/>
      <c r="CJ333" s="192"/>
      <c r="CK333" s="192"/>
      <c r="CL333" s="192"/>
      <c r="CM333" s="192"/>
      <c r="CN333" s="192"/>
      <c r="CO333" s="192"/>
      <c r="CP333" s="192"/>
      <c r="CQ333" s="192"/>
      <c r="CR333" s="192"/>
      <c r="CS333" s="192"/>
      <c r="CT333" s="192"/>
      <c r="CU333" s="192"/>
      <c r="CV333" s="192"/>
      <c r="CW333" s="192"/>
      <c r="CX333" s="192"/>
      <c r="CY333" s="192"/>
      <c r="CZ333" s="192"/>
      <c r="DA333" s="192"/>
      <c r="DB333" s="192"/>
      <c r="DC333" s="192"/>
      <c r="DD333" s="192"/>
      <c r="DE333" s="192"/>
      <c r="DF333" s="192"/>
      <c r="DG333" s="192"/>
      <c r="DH333" s="192"/>
      <c r="DI333" s="192"/>
      <c r="DJ333" s="192"/>
      <c r="DK333" s="192"/>
      <c r="DL333" s="192"/>
      <c r="DM333" s="192"/>
      <c r="DN333" s="192"/>
      <c r="DO333" s="192"/>
      <c r="DP333" s="192"/>
      <c r="DQ333" s="192"/>
      <c r="DR333" s="192"/>
      <c r="DS333" s="192"/>
      <c r="DT333" s="192"/>
      <c r="DU333" s="192"/>
      <c r="DV333" s="192"/>
      <c r="DW333" s="192"/>
      <c r="DX333" s="192"/>
      <c r="DY333" s="192"/>
      <c r="DZ333" s="192"/>
      <c r="EA333" s="192"/>
      <c r="EB333" s="192"/>
      <c r="EC333" s="192"/>
      <c r="ED333" s="192"/>
      <c r="EE333" s="192"/>
      <c r="EF333" s="192"/>
      <c r="EG333" s="192"/>
      <c r="EH333" s="192"/>
      <c r="EI333" s="192"/>
      <c r="EJ333" s="192"/>
      <c r="EK333" s="192"/>
      <c r="EL333" s="192"/>
      <c r="EM333" s="192"/>
      <c r="EN333" s="192"/>
      <c r="EO333" s="192"/>
      <c r="EP333" s="192"/>
      <c r="EQ333" s="192"/>
    </row>
    <row r="334" spans="1:147" x14ac:dyDescent="0.2">
      <c r="A334" s="192"/>
      <c r="B334" s="192"/>
      <c r="C334" s="192"/>
      <c r="D334" s="192"/>
      <c r="E334" s="192"/>
      <c r="F334" s="192"/>
      <c r="G334" s="192"/>
      <c r="H334" s="192"/>
      <c r="I334" s="192"/>
      <c r="J334" s="192"/>
      <c r="K334" s="192"/>
      <c r="L334" s="192"/>
      <c r="M334" s="192"/>
      <c r="N334" s="192"/>
      <c r="O334" s="192"/>
      <c r="P334" s="192"/>
      <c r="Q334" s="192"/>
      <c r="R334" s="192"/>
      <c r="S334" s="266"/>
      <c r="T334" s="265"/>
      <c r="U334" s="265"/>
      <c r="V334" s="265"/>
      <c r="W334" s="265"/>
      <c r="X334" s="265"/>
      <c r="Y334" s="265"/>
      <c r="Z334" s="265"/>
      <c r="AA334" s="265"/>
      <c r="AB334" s="265"/>
      <c r="AC334" s="265"/>
      <c r="AD334" s="265"/>
      <c r="AE334" s="265"/>
      <c r="AF334" s="265"/>
      <c r="AG334" s="265"/>
      <c r="AH334" s="265"/>
      <c r="AI334" s="192"/>
      <c r="AJ334" s="192"/>
      <c r="AK334" s="192"/>
      <c r="AL334" s="192"/>
      <c r="AM334" s="192"/>
      <c r="AN334" s="192"/>
      <c r="AO334" s="192"/>
      <c r="AP334" s="192"/>
      <c r="AQ334" s="192"/>
      <c r="AR334" s="192"/>
      <c r="AS334" s="192"/>
      <c r="AT334" s="192"/>
      <c r="AU334" s="192"/>
      <c r="AV334" s="192"/>
      <c r="AW334" s="192"/>
      <c r="AX334" s="192"/>
      <c r="AY334" s="192"/>
      <c r="AZ334" s="192"/>
      <c r="BA334" s="192"/>
      <c r="BB334" s="192"/>
      <c r="BC334" s="192"/>
      <c r="BD334" s="192"/>
      <c r="BE334" s="192"/>
      <c r="BF334" s="192"/>
      <c r="BG334" s="192"/>
      <c r="BH334" s="192"/>
      <c r="BI334" s="192"/>
      <c r="BJ334" s="192"/>
      <c r="BK334" s="192"/>
      <c r="BL334" s="192"/>
      <c r="BM334" s="192"/>
      <c r="BN334" s="192"/>
      <c r="BO334" s="192"/>
      <c r="BP334" s="192"/>
      <c r="BQ334" s="192"/>
      <c r="BR334" s="192"/>
      <c r="BS334" s="192"/>
      <c r="BT334" s="192"/>
      <c r="BU334" s="192"/>
      <c r="BV334" s="192"/>
      <c r="BW334" s="192"/>
      <c r="BX334" s="192"/>
      <c r="BY334" s="192"/>
      <c r="BZ334" s="192"/>
      <c r="CA334" s="192"/>
      <c r="CB334" s="192"/>
      <c r="CC334" s="192"/>
      <c r="CD334" s="192"/>
      <c r="CE334" s="192"/>
      <c r="CF334" s="192"/>
      <c r="CG334" s="192"/>
      <c r="CH334" s="192"/>
      <c r="CI334" s="192"/>
      <c r="CJ334" s="192"/>
      <c r="CK334" s="192"/>
      <c r="CL334" s="192"/>
      <c r="CM334" s="192"/>
      <c r="CN334" s="192"/>
      <c r="CO334" s="192"/>
      <c r="CP334" s="192"/>
      <c r="CQ334" s="192"/>
      <c r="CR334" s="192"/>
      <c r="CS334" s="192"/>
      <c r="CT334" s="192"/>
      <c r="CU334" s="192"/>
      <c r="CV334" s="192"/>
      <c r="CW334" s="192"/>
      <c r="CX334" s="192"/>
      <c r="CY334" s="192"/>
      <c r="CZ334" s="192"/>
      <c r="DA334" s="192"/>
      <c r="DB334" s="192"/>
      <c r="DC334" s="192"/>
      <c r="DD334" s="192"/>
      <c r="DE334" s="192"/>
      <c r="DF334" s="192"/>
      <c r="DG334" s="192"/>
      <c r="DH334" s="192"/>
      <c r="DI334" s="192"/>
      <c r="DJ334" s="192"/>
      <c r="DK334" s="192"/>
      <c r="DL334" s="192"/>
      <c r="DM334" s="192"/>
      <c r="DN334" s="192"/>
      <c r="DO334" s="192"/>
      <c r="DP334" s="192"/>
      <c r="DQ334" s="192"/>
      <c r="DR334" s="192"/>
      <c r="DS334" s="192"/>
      <c r="DT334" s="192"/>
      <c r="DU334" s="192"/>
      <c r="DV334" s="192"/>
      <c r="DW334" s="192"/>
      <c r="DX334" s="192"/>
      <c r="DY334" s="192"/>
      <c r="DZ334" s="192"/>
      <c r="EA334" s="192"/>
      <c r="EB334" s="192"/>
      <c r="EC334" s="192"/>
      <c r="ED334" s="192"/>
      <c r="EE334" s="192"/>
      <c r="EF334" s="192"/>
      <c r="EG334" s="192"/>
      <c r="EH334" s="192"/>
      <c r="EI334" s="192"/>
      <c r="EJ334" s="192"/>
      <c r="EK334" s="192"/>
      <c r="EL334" s="192"/>
      <c r="EM334" s="192"/>
      <c r="EN334" s="192"/>
      <c r="EO334" s="192"/>
      <c r="EP334" s="192"/>
      <c r="EQ334" s="192"/>
    </row>
    <row r="335" spans="1:147" x14ac:dyDescent="0.2">
      <c r="A335" s="192"/>
      <c r="B335" s="192"/>
      <c r="C335" s="192"/>
      <c r="D335" s="192"/>
      <c r="E335" s="192"/>
      <c r="F335" s="192"/>
      <c r="G335" s="192"/>
      <c r="H335" s="192"/>
      <c r="I335" s="192"/>
      <c r="J335" s="192"/>
      <c r="K335" s="192"/>
      <c r="L335" s="192"/>
      <c r="M335" s="192"/>
      <c r="N335" s="192"/>
      <c r="O335" s="192"/>
      <c r="P335" s="192"/>
      <c r="Q335" s="192"/>
      <c r="R335" s="192"/>
      <c r="S335" s="266"/>
      <c r="T335" s="265"/>
      <c r="U335" s="265"/>
      <c r="V335" s="265"/>
      <c r="W335" s="265"/>
      <c r="X335" s="265"/>
      <c r="Y335" s="265"/>
      <c r="Z335" s="265"/>
      <c r="AA335" s="265"/>
      <c r="AB335" s="265"/>
      <c r="AC335" s="265"/>
      <c r="AD335" s="265"/>
      <c r="AE335" s="265"/>
      <c r="AF335" s="265"/>
      <c r="AG335" s="265"/>
      <c r="AH335" s="265"/>
      <c r="AI335" s="192"/>
      <c r="AJ335" s="192"/>
      <c r="AK335" s="192"/>
      <c r="AL335" s="192"/>
      <c r="AM335" s="192"/>
      <c r="AN335" s="192"/>
      <c r="AO335" s="192"/>
      <c r="AP335" s="192"/>
      <c r="AQ335" s="192"/>
      <c r="AR335" s="192"/>
      <c r="AS335" s="192"/>
      <c r="AT335" s="192"/>
      <c r="AU335" s="192"/>
      <c r="AV335" s="192"/>
      <c r="AW335" s="192"/>
      <c r="AX335" s="192"/>
      <c r="AY335" s="192"/>
      <c r="AZ335" s="192"/>
      <c r="BA335" s="192"/>
      <c r="BB335" s="192"/>
      <c r="BC335" s="192"/>
      <c r="BD335" s="192"/>
      <c r="BE335" s="192"/>
      <c r="BF335" s="192"/>
      <c r="BG335" s="192"/>
      <c r="BH335" s="192"/>
      <c r="BI335" s="192"/>
      <c r="BJ335" s="192"/>
      <c r="BK335" s="192"/>
      <c r="BL335" s="192"/>
      <c r="BM335" s="192"/>
      <c r="BN335" s="192"/>
      <c r="BO335" s="192"/>
      <c r="BP335" s="192"/>
      <c r="BQ335" s="192"/>
      <c r="BR335" s="192"/>
      <c r="BS335" s="192"/>
      <c r="BT335" s="192"/>
      <c r="BU335" s="192"/>
      <c r="BV335" s="192"/>
      <c r="BW335" s="192"/>
      <c r="BX335" s="192"/>
      <c r="BY335" s="192"/>
      <c r="BZ335" s="192"/>
      <c r="CA335" s="192"/>
      <c r="CB335" s="192"/>
      <c r="CC335" s="192"/>
      <c r="CD335" s="192"/>
      <c r="CE335" s="192"/>
      <c r="CF335" s="192"/>
      <c r="CG335" s="192"/>
      <c r="CH335" s="192"/>
      <c r="CI335" s="192"/>
      <c r="CJ335" s="192"/>
      <c r="CK335" s="192"/>
      <c r="CL335" s="192"/>
      <c r="CM335" s="192"/>
      <c r="CN335" s="192"/>
      <c r="CO335" s="192"/>
      <c r="CP335" s="192"/>
      <c r="CQ335" s="192"/>
      <c r="CR335" s="192"/>
      <c r="CS335" s="192"/>
      <c r="CT335" s="192"/>
      <c r="CU335" s="192"/>
      <c r="CV335" s="192"/>
      <c r="CW335" s="192"/>
      <c r="CX335" s="192"/>
      <c r="CY335" s="192"/>
      <c r="CZ335" s="192"/>
      <c r="DA335" s="192"/>
      <c r="DB335" s="192"/>
      <c r="DC335" s="192"/>
      <c r="DD335" s="192"/>
      <c r="DE335" s="192"/>
      <c r="DF335" s="192"/>
      <c r="DG335" s="192"/>
      <c r="DH335" s="192"/>
      <c r="DI335" s="192"/>
      <c r="DJ335" s="192"/>
      <c r="DK335" s="192"/>
      <c r="DL335" s="192"/>
      <c r="DM335" s="192"/>
      <c r="DN335" s="192"/>
      <c r="DO335" s="192"/>
      <c r="DP335" s="192"/>
      <c r="DQ335" s="192"/>
      <c r="DR335" s="192"/>
      <c r="DS335" s="192"/>
      <c r="DT335" s="192"/>
      <c r="DU335" s="192"/>
      <c r="DV335" s="192"/>
      <c r="DW335" s="192"/>
      <c r="DX335" s="192"/>
      <c r="DY335" s="192"/>
      <c r="DZ335" s="192"/>
      <c r="EA335" s="192"/>
      <c r="EB335" s="192"/>
      <c r="EC335" s="192"/>
      <c r="ED335" s="192"/>
      <c r="EE335" s="192"/>
      <c r="EF335" s="192"/>
      <c r="EG335" s="192"/>
      <c r="EH335" s="192"/>
      <c r="EI335" s="192"/>
      <c r="EJ335" s="192"/>
      <c r="EK335" s="192"/>
      <c r="EL335" s="192"/>
      <c r="EM335" s="192"/>
      <c r="EN335" s="192"/>
      <c r="EO335" s="192"/>
      <c r="EP335" s="192"/>
      <c r="EQ335" s="192"/>
    </row>
    <row r="336" spans="1:147" x14ac:dyDescent="0.2">
      <c r="A336" s="192"/>
      <c r="B336" s="192"/>
      <c r="C336" s="192"/>
      <c r="D336" s="192"/>
      <c r="E336" s="192"/>
      <c r="F336" s="192"/>
      <c r="G336" s="192"/>
      <c r="H336" s="192"/>
      <c r="I336" s="192"/>
      <c r="J336" s="192"/>
      <c r="K336" s="192"/>
      <c r="L336" s="192"/>
      <c r="M336" s="192"/>
      <c r="N336" s="192"/>
      <c r="O336" s="192"/>
      <c r="P336" s="192"/>
      <c r="Q336" s="192"/>
      <c r="R336" s="192"/>
      <c r="S336" s="266"/>
      <c r="T336" s="265"/>
      <c r="U336" s="265"/>
      <c r="V336" s="265"/>
      <c r="W336" s="265"/>
      <c r="X336" s="265"/>
      <c r="Y336" s="265"/>
      <c r="Z336" s="265"/>
      <c r="AA336" s="265"/>
      <c r="AB336" s="265"/>
      <c r="AC336" s="265"/>
      <c r="AD336" s="265"/>
      <c r="AE336" s="265"/>
      <c r="AF336" s="265"/>
      <c r="AG336" s="265"/>
      <c r="AH336" s="265"/>
      <c r="AI336" s="192"/>
      <c r="AJ336" s="192"/>
      <c r="AK336" s="192"/>
      <c r="AL336" s="192"/>
      <c r="AM336" s="192"/>
      <c r="AN336" s="192"/>
      <c r="AO336" s="192"/>
      <c r="AP336" s="192"/>
      <c r="AQ336" s="192"/>
      <c r="AR336" s="192"/>
      <c r="AS336" s="192"/>
      <c r="AT336" s="192"/>
      <c r="AU336" s="192"/>
      <c r="AV336" s="192"/>
      <c r="AW336" s="192"/>
      <c r="AX336" s="192"/>
      <c r="AY336" s="192"/>
      <c r="AZ336" s="192"/>
      <c r="BA336" s="192"/>
      <c r="BB336" s="192"/>
      <c r="BC336" s="192"/>
      <c r="BD336" s="192"/>
      <c r="BE336" s="192"/>
      <c r="BF336" s="192"/>
      <c r="BG336" s="192"/>
      <c r="BH336" s="192"/>
      <c r="BI336" s="192"/>
      <c r="BJ336" s="192"/>
      <c r="BK336" s="192"/>
      <c r="BL336" s="192"/>
      <c r="BM336" s="192"/>
      <c r="BN336" s="192"/>
      <c r="BO336" s="192"/>
      <c r="BP336" s="192"/>
      <c r="BQ336" s="192"/>
      <c r="BR336" s="192"/>
      <c r="BS336" s="192"/>
      <c r="BT336" s="192"/>
      <c r="BU336" s="192"/>
      <c r="BV336" s="192"/>
      <c r="BW336" s="192"/>
      <c r="BX336" s="192"/>
      <c r="BY336" s="192"/>
      <c r="BZ336" s="192"/>
      <c r="CA336" s="192"/>
      <c r="CB336" s="192"/>
      <c r="CC336" s="192"/>
      <c r="CD336" s="192"/>
      <c r="CE336" s="192"/>
      <c r="CF336" s="192"/>
      <c r="CG336" s="192"/>
      <c r="CH336" s="192"/>
      <c r="CI336" s="192"/>
      <c r="CJ336" s="192"/>
      <c r="CK336" s="192"/>
      <c r="CL336" s="192"/>
      <c r="CM336" s="192"/>
      <c r="CN336" s="192"/>
      <c r="CO336" s="192"/>
      <c r="CP336" s="192"/>
      <c r="CQ336" s="192"/>
      <c r="CR336" s="192"/>
      <c r="CS336" s="192"/>
      <c r="CT336" s="192"/>
      <c r="CU336" s="192"/>
      <c r="CV336" s="192"/>
      <c r="CW336" s="192"/>
      <c r="CX336" s="192"/>
      <c r="CY336" s="192"/>
      <c r="CZ336" s="192"/>
      <c r="DA336" s="192"/>
      <c r="DB336" s="192"/>
      <c r="DC336" s="192"/>
      <c r="DD336" s="192"/>
      <c r="DE336" s="192"/>
      <c r="DF336" s="192"/>
      <c r="DG336" s="192"/>
      <c r="DH336" s="192"/>
      <c r="DI336" s="192"/>
      <c r="DJ336" s="192"/>
      <c r="DK336" s="192"/>
      <c r="DL336" s="192"/>
      <c r="DM336" s="192"/>
      <c r="DN336" s="192"/>
      <c r="DO336" s="192"/>
      <c r="DP336" s="192"/>
      <c r="DQ336" s="192"/>
      <c r="DR336" s="192"/>
      <c r="DS336" s="192"/>
      <c r="DT336" s="192"/>
      <c r="DU336" s="192"/>
      <c r="DV336" s="192"/>
      <c r="DW336" s="192"/>
      <c r="DX336" s="192"/>
      <c r="DY336" s="192"/>
      <c r="DZ336" s="192"/>
      <c r="EA336" s="192"/>
      <c r="EB336" s="192"/>
      <c r="EC336" s="192"/>
      <c r="ED336" s="192"/>
      <c r="EE336" s="192"/>
      <c r="EF336" s="192"/>
      <c r="EG336" s="192"/>
      <c r="EH336" s="192"/>
      <c r="EI336" s="192"/>
      <c r="EJ336" s="192"/>
      <c r="EK336" s="192"/>
      <c r="EL336" s="192"/>
      <c r="EM336" s="192"/>
      <c r="EN336" s="192"/>
      <c r="EO336" s="192"/>
      <c r="EP336" s="192"/>
      <c r="EQ336" s="192"/>
    </row>
    <row r="337" spans="1:147" x14ac:dyDescent="0.2">
      <c r="A337" s="192"/>
      <c r="B337" s="192"/>
      <c r="C337" s="192"/>
      <c r="D337" s="192"/>
      <c r="E337" s="192"/>
      <c r="F337" s="192"/>
      <c r="G337" s="192"/>
      <c r="H337" s="192"/>
      <c r="I337" s="192"/>
      <c r="J337" s="192"/>
      <c r="K337" s="192"/>
      <c r="L337" s="192"/>
      <c r="M337" s="192"/>
      <c r="N337" s="192"/>
      <c r="O337" s="192"/>
      <c r="P337" s="192"/>
      <c r="Q337" s="192"/>
      <c r="R337" s="192"/>
      <c r="S337" s="266"/>
      <c r="T337" s="265"/>
      <c r="U337" s="265"/>
      <c r="V337" s="265"/>
      <c r="W337" s="265"/>
      <c r="X337" s="265"/>
      <c r="Y337" s="265"/>
      <c r="Z337" s="265"/>
      <c r="AA337" s="265"/>
      <c r="AB337" s="265"/>
      <c r="AC337" s="265"/>
      <c r="AD337" s="265"/>
      <c r="AE337" s="265"/>
      <c r="AF337" s="265"/>
      <c r="AG337" s="265"/>
      <c r="AH337" s="265"/>
      <c r="AI337" s="192"/>
      <c r="AJ337" s="192"/>
      <c r="AK337" s="192"/>
      <c r="AL337" s="192"/>
      <c r="AM337" s="192"/>
      <c r="AN337" s="192"/>
      <c r="AO337" s="192"/>
      <c r="AP337" s="192"/>
      <c r="AQ337" s="192"/>
      <c r="AR337" s="192"/>
      <c r="AS337" s="192"/>
      <c r="AT337" s="192"/>
      <c r="AU337" s="192"/>
      <c r="AV337" s="192"/>
      <c r="AW337" s="192"/>
      <c r="AX337" s="192"/>
      <c r="AY337" s="192"/>
      <c r="AZ337" s="192"/>
      <c r="BA337" s="192"/>
      <c r="BB337" s="192"/>
      <c r="BC337" s="192"/>
      <c r="BD337" s="192"/>
      <c r="BE337" s="192"/>
      <c r="BF337" s="192"/>
      <c r="BG337" s="192"/>
      <c r="BH337" s="192"/>
      <c r="BI337" s="192"/>
      <c r="BJ337" s="192"/>
      <c r="BK337" s="192"/>
      <c r="BL337" s="192"/>
      <c r="BM337" s="192"/>
      <c r="BN337" s="192"/>
      <c r="BO337" s="192"/>
      <c r="BP337" s="192"/>
      <c r="BQ337" s="192"/>
      <c r="BR337" s="192"/>
      <c r="BS337" s="192"/>
      <c r="BT337" s="192"/>
      <c r="BU337" s="192"/>
      <c r="BV337" s="192"/>
      <c r="BW337" s="192"/>
      <c r="BX337" s="192"/>
      <c r="BY337" s="192"/>
      <c r="BZ337" s="192"/>
      <c r="CA337" s="192"/>
      <c r="CB337" s="192"/>
      <c r="CC337" s="192"/>
      <c r="CD337" s="192"/>
      <c r="CE337" s="192"/>
      <c r="CF337" s="192"/>
      <c r="CG337" s="192"/>
      <c r="CH337" s="192"/>
      <c r="CI337" s="192"/>
      <c r="CJ337" s="192"/>
      <c r="CK337" s="192"/>
      <c r="CL337" s="192"/>
      <c r="CM337" s="192"/>
      <c r="CN337" s="192"/>
      <c r="CO337" s="192"/>
      <c r="CP337" s="192"/>
      <c r="CQ337" s="192"/>
      <c r="CR337" s="192"/>
      <c r="CS337" s="192"/>
      <c r="CT337" s="192"/>
      <c r="CU337" s="192"/>
      <c r="CV337" s="192"/>
      <c r="CW337" s="192"/>
      <c r="CX337" s="192"/>
      <c r="CY337" s="192"/>
      <c r="CZ337" s="192"/>
      <c r="DA337" s="192"/>
      <c r="DB337" s="192"/>
      <c r="DC337" s="192"/>
      <c r="DD337" s="192"/>
      <c r="DE337" s="192"/>
      <c r="DF337" s="192"/>
      <c r="DG337" s="192"/>
      <c r="DH337" s="192"/>
      <c r="DI337" s="192"/>
      <c r="DJ337" s="192"/>
      <c r="DK337" s="192"/>
      <c r="DL337" s="192"/>
      <c r="DM337" s="192"/>
      <c r="DN337" s="192"/>
      <c r="DO337" s="192"/>
      <c r="DP337" s="192"/>
      <c r="DQ337" s="192"/>
      <c r="DR337" s="192"/>
      <c r="DS337" s="192"/>
      <c r="DT337" s="192"/>
      <c r="DU337" s="192"/>
      <c r="DV337" s="192"/>
      <c r="DW337" s="192"/>
      <c r="DX337" s="192"/>
      <c r="DY337" s="192"/>
      <c r="DZ337" s="192"/>
      <c r="EA337" s="192"/>
      <c r="EB337" s="192"/>
      <c r="EC337" s="192"/>
      <c r="ED337" s="192"/>
      <c r="EE337" s="192"/>
      <c r="EF337" s="192"/>
      <c r="EG337" s="192"/>
      <c r="EH337" s="192"/>
      <c r="EI337" s="192"/>
      <c r="EJ337" s="192"/>
      <c r="EK337" s="192"/>
      <c r="EL337" s="192"/>
      <c r="EM337" s="192"/>
      <c r="EN337" s="192"/>
      <c r="EO337" s="192"/>
      <c r="EP337" s="192"/>
      <c r="EQ337" s="192"/>
    </row>
    <row r="338" spans="1:147" x14ac:dyDescent="0.2">
      <c r="A338" s="192"/>
      <c r="B338" s="192"/>
      <c r="C338" s="192"/>
      <c r="D338" s="192"/>
      <c r="E338" s="192"/>
      <c r="F338" s="192"/>
      <c r="G338" s="192"/>
      <c r="H338" s="192"/>
      <c r="I338" s="192"/>
      <c r="J338" s="192"/>
      <c r="K338" s="192"/>
      <c r="L338" s="192"/>
      <c r="M338" s="192"/>
      <c r="N338" s="192"/>
      <c r="O338" s="192"/>
      <c r="P338" s="192"/>
      <c r="Q338" s="192"/>
      <c r="R338" s="192"/>
      <c r="S338" s="266"/>
      <c r="T338" s="265"/>
      <c r="U338" s="265"/>
      <c r="V338" s="265"/>
      <c r="W338" s="265"/>
      <c r="X338" s="265"/>
      <c r="Y338" s="265"/>
      <c r="Z338" s="265"/>
      <c r="AA338" s="265"/>
      <c r="AB338" s="265"/>
      <c r="AC338" s="265"/>
      <c r="AD338" s="265"/>
      <c r="AE338" s="265"/>
      <c r="AF338" s="265"/>
      <c r="AG338" s="265"/>
      <c r="AH338" s="265"/>
      <c r="AI338" s="192"/>
      <c r="AJ338" s="192"/>
      <c r="AK338" s="192"/>
      <c r="AL338" s="192"/>
      <c r="AM338" s="192"/>
      <c r="AN338" s="192"/>
      <c r="AO338" s="192"/>
      <c r="AP338" s="192"/>
      <c r="AQ338" s="192"/>
      <c r="AR338" s="192"/>
      <c r="AS338" s="192"/>
      <c r="AT338" s="192"/>
      <c r="AU338" s="192"/>
      <c r="AV338" s="192"/>
      <c r="AW338" s="192"/>
      <c r="AX338" s="192"/>
      <c r="AY338" s="192"/>
      <c r="AZ338" s="192"/>
      <c r="BA338" s="192"/>
      <c r="BB338" s="192"/>
      <c r="BC338" s="192"/>
      <c r="BD338" s="192"/>
      <c r="BE338" s="192"/>
      <c r="BF338" s="192"/>
      <c r="BG338" s="192"/>
      <c r="BH338" s="192"/>
      <c r="BI338" s="192"/>
      <c r="BJ338" s="192"/>
      <c r="BK338" s="192"/>
      <c r="BL338" s="192"/>
      <c r="BM338" s="192"/>
      <c r="BN338" s="192"/>
      <c r="BO338" s="192"/>
      <c r="BP338" s="192"/>
      <c r="BQ338" s="192"/>
      <c r="BR338" s="192"/>
      <c r="BS338" s="192"/>
      <c r="BT338" s="192"/>
      <c r="BU338" s="192"/>
      <c r="BV338" s="192"/>
      <c r="BW338" s="192"/>
      <c r="BX338" s="192"/>
      <c r="BY338" s="192"/>
      <c r="BZ338" s="192"/>
      <c r="CA338" s="192"/>
      <c r="CB338" s="192"/>
      <c r="CC338" s="192"/>
      <c r="CD338" s="192"/>
      <c r="CE338" s="192"/>
      <c r="CF338" s="192"/>
      <c r="CG338" s="192"/>
      <c r="CH338" s="192"/>
      <c r="CI338" s="192"/>
      <c r="CJ338" s="192"/>
      <c r="CK338" s="192"/>
      <c r="CL338" s="192"/>
      <c r="CM338" s="192"/>
      <c r="CN338" s="192"/>
      <c r="CO338" s="192"/>
      <c r="CP338" s="192"/>
      <c r="CQ338" s="192"/>
      <c r="CR338" s="192"/>
      <c r="CS338" s="192"/>
      <c r="CT338" s="192"/>
      <c r="CU338" s="192"/>
      <c r="CV338" s="192"/>
      <c r="CW338" s="192"/>
      <c r="CX338" s="192"/>
      <c r="CY338" s="192"/>
      <c r="CZ338" s="192"/>
      <c r="DA338" s="192"/>
      <c r="DB338" s="192"/>
      <c r="DC338" s="192"/>
      <c r="DD338" s="192"/>
      <c r="DE338" s="192"/>
      <c r="DF338" s="192"/>
      <c r="DG338" s="192"/>
      <c r="DH338" s="192"/>
      <c r="DI338" s="192"/>
      <c r="DJ338" s="192"/>
      <c r="DK338" s="192"/>
      <c r="DL338" s="192"/>
      <c r="DM338" s="192"/>
      <c r="DN338" s="192"/>
      <c r="DO338" s="192"/>
      <c r="DP338" s="192"/>
      <c r="DQ338" s="192"/>
      <c r="DR338" s="192"/>
      <c r="DS338" s="192"/>
      <c r="DT338" s="192"/>
      <c r="DU338" s="192"/>
      <c r="DV338" s="192"/>
      <c r="DW338" s="192"/>
      <c r="DX338" s="192"/>
      <c r="DY338" s="192"/>
      <c r="DZ338" s="192"/>
      <c r="EA338" s="192"/>
      <c r="EB338" s="192"/>
      <c r="EC338" s="192"/>
      <c r="ED338" s="192"/>
      <c r="EE338" s="192"/>
      <c r="EF338" s="192"/>
      <c r="EG338" s="192"/>
      <c r="EH338" s="192"/>
      <c r="EI338" s="192"/>
      <c r="EJ338" s="192"/>
      <c r="EK338" s="192"/>
      <c r="EL338" s="192"/>
      <c r="EM338" s="192"/>
      <c r="EN338" s="192"/>
      <c r="EO338" s="192"/>
      <c r="EP338" s="192"/>
      <c r="EQ338" s="192"/>
    </row>
    <row r="339" spans="1:147" x14ac:dyDescent="0.2">
      <c r="A339" s="192"/>
      <c r="B339" s="192"/>
      <c r="C339" s="192"/>
      <c r="D339" s="192"/>
      <c r="E339" s="192"/>
      <c r="F339" s="192"/>
      <c r="G339" s="192"/>
      <c r="H339" s="192"/>
      <c r="I339" s="192"/>
      <c r="J339" s="192"/>
      <c r="K339" s="192"/>
      <c r="L339" s="192"/>
      <c r="M339" s="192"/>
      <c r="N339" s="192"/>
      <c r="O339" s="192"/>
      <c r="P339" s="192"/>
      <c r="Q339" s="192"/>
      <c r="R339" s="192"/>
      <c r="S339" s="266"/>
      <c r="T339" s="265"/>
      <c r="U339" s="265"/>
      <c r="V339" s="265"/>
      <c r="W339" s="265"/>
      <c r="X339" s="265"/>
      <c r="Y339" s="265"/>
      <c r="Z339" s="265"/>
      <c r="AA339" s="265"/>
      <c r="AB339" s="265"/>
      <c r="AC339" s="265"/>
      <c r="AD339" s="265"/>
      <c r="AE339" s="265"/>
      <c r="AF339" s="265"/>
      <c r="AG339" s="265"/>
      <c r="AH339" s="265"/>
      <c r="AI339" s="192"/>
      <c r="AJ339" s="192"/>
      <c r="AK339" s="192"/>
      <c r="AL339" s="192"/>
      <c r="AM339" s="192"/>
      <c r="AN339" s="192"/>
      <c r="AO339" s="192"/>
      <c r="AP339" s="192"/>
      <c r="AQ339" s="192"/>
      <c r="AR339" s="192"/>
      <c r="AS339" s="192"/>
      <c r="AT339" s="192"/>
      <c r="AU339" s="192"/>
      <c r="AV339" s="192"/>
      <c r="AW339" s="192"/>
      <c r="AX339" s="192"/>
      <c r="AY339" s="192"/>
      <c r="AZ339" s="192"/>
      <c r="BA339" s="192"/>
      <c r="BB339" s="192"/>
      <c r="BC339" s="192"/>
      <c r="BD339" s="192"/>
      <c r="BE339" s="192"/>
      <c r="BF339" s="192"/>
      <c r="BG339" s="192"/>
      <c r="BH339" s="192"/>
      <c r="BI339" s="192"/>
      <c r="BJ339" s="192"/>
      <c r="BK339" s="192"/>
      <c r="BL339" s="192"/>
      <c r="BM339" s="192"/>
      <c r="BN339" s="192"/>
      <c r="BO339" s="192"/>
      <c r="BP339" s="192"/>
      <c r="BQ339" s="192"/>
      <c r="BR339" s="192"/>
      <c r="BS339" s="192"/>
      <c r="BT339" s="192"/>
      <c r="BU339" s="192"/>
      <c r="BV339" s="192"/>
      <c r="BW339" s="192"/>
      <c r="BX339" s="192"/>
      <c r="BY339" s="192"/>
      <c r="BZ339" s="192"/>
      <c r="CA339" s="192"/>
      <c r="CB339" s="192"/>
      <c r="CC339" s="192"/>
      <c r="CD339" s="192"/>
      <c r="CE339" s="192"/>
      <c r="CF339" s="192"/>
      <c r="CG339" s="192"/>
      <c r="CH339" s="192"/>
      <c r="CI339" s="192"/>
      <c r="CJ339" s="192"/>
      <c r="CK339" s="192"/>
      <c r="CL339" s="192"/>
      <c r="CM339" s="192"/>
      <c r="CN339" s="192"/>
      <c r="CO339" s="192"/>
      <c r="CP339" s="192"/>
      <c r="CQ339" s="192"/>
      <c r="CR339" s="192"/>
      <c r="CS339" s="192"/>
      <c r="CT339" s="192"/>
      <c r="CU339" s="192"/>
      <c r="CV339" s="192"/>
      <c r="CW339" s="192"/>
      <c r="CX339" s="192"/>
      <c r="CY339" s="192"/>
      <c r="CZ339" s="192"/>
      <c r="DA339" s="192"/>
      <c r="DB339" s="192"/>
      <c r="DC339" s="192"/>
      <c r="DD339" s="192"/>
      <c r="DE339" s="192"/>
      <c r="DF339" s="192"/>
      <c r="DG339" s="192"/>
      <c r="DH339" s="192"/>
      <c r="DI339" s="192"/>
      <c r="DJ339" s="192"/>
      <c r="DK339" s="192"/>
      <c r="DL339" s="192"/>
      <c r="DM339" s="192"/>
      <c r="DN339" s="192"/>
      <c r="DO339" s="192"/>
      <c r="DP339" s="192"/>
      <c r="DQ339" s="192"/>
      <c r="DR339" s="192"/>
      <c r="DS339" s="192"/>
      <c r="DT339" s="192"/>
      <c r="DU339" s="192"/>
      <c r="DV339" s="192"/>
      <c r="DW339" s="192"/>
      <c r="DX339" s="192"/>
      <c r="DY339" s="192"/>
      <c r="DZ339" s="192"/>
      <c r="EA339" s="192"/>
      <c r="EB339" s="192"/>
      <c r="EC339" s="192"/>
      <c r="ED339" s="192"/>
      <c r="EE339" s="192"/>
      <c r="EF339" s="192"/>
      <c r="EG339" s="192"/>
      <c r="EH339" s="192"/>
      <c r="EI339" s="192"/>
      <c r="EJ339" s="192"/>
      <c r="EK339" s="192"/>
      <c r="EL339" s="192"/>
      <c r="EM339" s="192"/>
      <c r="EN339" s="192"/>
      <c r="EO339" s="192"/>
      <c r="EP339" s="192"/>
      <c r="EQ339" s="192"/>
    </row>
    <row r="340" spans="1:147" x14ac:dyDescent="0.2">
      <c r="A340" s="192"/>
      <c r="B340" s="192"/>
      <c r="C340" s="192"/>
      <c r="D340" s="192"/>
      <c r="E340" s="192"/>
      <c r="F340" s="192"/>
      <c r="G340" s="192"/>
      <c r="H340" s="192"/>
      <c r="I340" s="192"/>
      <c r="J340" s="192"/>
      <c r="K340" s="192"/>
      <c r="L340" s="192"/>
      <c r="M340" s="192"/>
      <c r="N340" s="192"/>
      <c r="O340" s="192"/>
      <c r="P340" s="192"/>
      <c r="Q340" s="192"/>
      <c r="R340" s="192"/>
      <c r="S340" s="266"/>
      <c r="T340" s="265"/>
      <c r="U340" s="265"/>
      <c r="V340" s="265"/>
      <c r="W340" s="265"/>
      <c r="X340" s="265"/>
      <c r="Y340" s="265"/>
      <c r="Z340" s="265"/>
      <c r="AA340" s="265"/>
      <c r="AB340" s="265"/>
      <c r="AC340" s="265"/>
      <c r="AD340" s="265"/>
      <c r="AE340" s="265"/>
      <c r="AF340" s="265"/>
      <c r="AG340" s="265"/>
      <c r="AH340" s="265"/>
      <c r="AI340" s="192"/>
      <c r="AJ340" s="192"/>
      <c r="AK340" s="192"/>
      <c r="AL340" s="192"/>
      <c r="AM340" s="192"/>
      <c r="AN340" s="192"/>
      <c r="AO340" s="192"/>
      <c r="AP340" s="192"/>
      <c r="AQ340" s="192"/>
      <c r="AR340" s="192"/>
      <c r="AS340" s="192"/>
      <c r="AT340" s="192"/>
      <c r="AU340" s="192"/>
      <c r="AV340" s="192"/>
      <c r="AW340" s="192"/>
      <c r="AX340" s="192"/>
      <c r="AY340" s="192"/>
      <c r="AZ340" s="192"/>
      <c r="BA340" s="192"/>
      <c r="BB340" s="192"/>
      <c r="BC340" s="192"/>
      <c r="BD340" s="192"/>
      <c r="BE340" s="192"/>
      <c r="BF340" s="192"/>
      <c r="BG340" s="192"/>
      <c r="BH340" s="192"/>
      <c r="BI340" s="192"/>
      <c r="BJ340" s="192"/>
      <c r="BK340" s="192"/>
      <c r="BL340" s="192"/>
      <c r="BM340" s="192"/>
      <c r="BN340" s="192"/>
      <c r="BO340" s="192"/>
      <c r="BP340" s="192"/>
      <c r="BQ340" s="192"/>
      <c r="BR340" s="192"/>
      <c r="BS340" s="192"/>
      <c r="BT340" s="192"/>
      <c r="BU340" s="192"/>
      <c r="BV340" s="192"/>
      <c r="BW340" s="192"/>
      <c r="BX340" s="192"/>
      <c r="BY340" s="192"/>
      <c r="BZ340" s="192"/>
      <c r="CA340" s="192"/>
      <c r="CB340" s="192"/>
      <c r="CC340" s="192"/>
      <c r="CD340" s="192"/>
      <c r="CE340" s="192"/>
      <c r="CF340" s="192"/>
      <c r="CG340" s="192"/>
      <c r="CH340" s="192"/>
      <c r="CI340" s="192"/>
      <c r="CJ340" s="192"/>
      <c r="CK340" s="192"/>
      <c r="CL340" s="192"/>
      <c r="CM340" s="192"/>
      <c r="CN340" s="192"/>
      <c r="CO340" s="192"/>
      <c r="CP340" s="192"/>
      <c r="CQ340" s="192"/>
      <c r="CR340" s="192"/>
      <c r="CS340" s="192"/>
      <c r="CT340" s="192"/>
      <c r="CU340" s="192"/>
      <c r="CV340" s="192"/>
      <c r="CW340" s="192"/>
      <c r="CX340" s="192"/>
      <c r="CY340" s="192"/>
      <c r="CZ340" s="192"/>
      <c r="DA340" s="192"/>
      <c r="DB340" s="192"/>
      <c r="DC340" s="192"/>
      <c r="DD340" s="192"/>
      <c r="DE340" s="192"/>
      <c r="DF340" s="192"/>
      <c r="DG340" s="192"/>
      <c r="DH340" s="192"/>
      <c r="DI340" s="192"/>
      <c r="DJ340" s="192"/>
      <c r="DK340" s="192"/>
      <c r="DL340" s="192"/>
      <c r="DM340" s="192"/>
      <c r="DN340" s="192"/>
      <c r="DO340" s="192"/>
      <c r="DP340" s="192"/>
      <c r="DQ340" s="192"/>
      <c r="DR340" s="192"/>
      <c r="DS340" s="192"/>
      <c r="DT340" s="192"/>
      <c r="DU340" s="192"/>
      <c r="DV340" s="192"/>
      <c r="DW340" s="192"/>
      <c r="DX340" s="192"/>
      <c r="DY340" s="192"/>
      <c r="DZ340" s="192"/>
      <c r="EA340" s="192"/>
      <c r="EB340" s="192"/>
      <c r="EC340" s="192"/>
      <c r="ED340" s="192"/>
      <c r="EE340" s="192"/>
      <c r="EF340" s="192"/>
      <c r="EG340" s="192"/>
      <c r="EH340" s="192"/>
      <c r="EI340" s="192"/>
      <c r="EJ340" s="192"/>
      <c r="EK340" s="192"/>
      <c r="EL340" s="192"/>
      <c r="EM340" s="192"/>
      <c r="EN340" s="192"/>
      <c r="EO340" s="192"/>
      <c r="EP340" s="192"/>
      <c r="EQ340" s="192"/>
    </row>
    <row r="341" spans="1:147" x14ac:dyDescent="0.2">
      <c r="A341" s="192"/>
      <c r="B341" s="192"/>
      <c r="C341" s="192"/>
      <c r="D341" s="192"/>
      <c r="E341" s="192"/>
      <c r="F341" s="192"/>
      <c r="G341" s="192"/>
      <c r="H341" s="192"/>
      <c r="I341" s="192"/>
      <c r="J341" s="192"/>
      <c r="K341" s="192"/>
      <c r="L341" s="192"/>
      <c r="M341" s="192"/>
      <c r="N341" s="192"/>
      <c r="O341" s="192"/>
      <c r="P341" s="192"/>
      <c r="Q341" s="192"/>
      <c r="R341" s="192"/>
      <c r="S341" s="266"/>
      <c r="T341" s="265"/>
      <c r="U341" s="265"/>
      <c r="V341" s="265"/>
      <c r="W341" s="265"/>
      <c r="X341" s="265"/>
      <c r="Y341" s="265"/>
      <c r="Z341" s="265"/>
      <c r="AA341" s="265"/>
      <c r="AB341" s="265"/>
      <c r="AC341" s="265"/>
      <c r="AD341" s="265"/>
      <c r="AE341" s="265"/>
      <c r="AF341" s="265"/>
      <c r="AG341" s="265"/>
      <c r="AH341" s="265"/>
      <c r="AI341" s="192"/>
      <c r="AJ341" s="192"/>
      <c r="AK341" s="192"/>
      <c r="AL341" s="192"/>
      <c r="AM341" s="192"/>
      <c r="AN341" s="192"/>
      <c r="AO341" s="192"/>
      <c r="AP341" s="192"/>
      <c r="AQ341" s="192"/>
      <c r="AR341" s="192"/>
      <c r="AS341" s="192"/>
      <c r="AT341" s="192"/>
      <c r="AU341" s="192"/>
      <c r="AV341" s="192"/>
      <c r="AW341" s="192"/>
      <c r="AX341" s="192"/>
      <c r="AY341" s="192"/>
      <c r="AZ341" s="192"/>
      <c r="BA341" s="192"/>
      <c r="BB341" s="192"/>
      <c r="BC341" s="192"/>
      <c r="BD341" s="192"/>
      <c r="BE341" s="192"/>
      <c r="BF341" s="192"/>
      <c r="BG341" s="192"/>
      <c r="BH341" s="192"/>
      <c r="BI341" s="192"/>
      <c r="BJ341" s="192"/>
      <c r="BK341" s="192"/>
      <c r="BL341" s="192"/>
      <c r="BM341" s="192"/>
      <c r="BN341" s="192"/>
      <c r="BO341" s="192"/>
      <c r="BP341" s="192"/>
      <c r="BQ341" s="192"/>
      <c r="BR341" s="192"/>
      <c r="BS341" s="192"/>
      <c r="BT341" s="192"/>
      <c r="BU341" s="192"/>
      <c r="BV341" s="192"/>
      <c r="BW341" s="192"/>
      <c r="BX341" s="192"/>
      <c r="BY341" s="192"/>
      <c r="BZ341" s="192"/>
      <c r="CA341" s="192"/>
      <c r="CB341" s="192"/>
      <c r="CC341" s="192"/>
      <c r="CD341" s="192"/>
      <c r="CE341" s="192"/>
      <c r="CF341" s="192"/>
      <c r="CG341" s="192"/>
      <c r="CH341" s="192"/>
      <c r="CI341" s="192"/>
      <c r="CJ341" s="192"/>
      <c r="CK341" s="192"/>
      <c r="CL341" s="192"/>
      <c r="CM341" s="192"/>
      <c r="CN341" s="192"/>
      <c r="CO341" s="192"/>
      <c r="CP341" s="192"/>
      <c r="CQ341" s="192"/>
      <c r="CR341" s="192"/>
      <c r="CS341" s="192"/>
      <c r="CT341" s="192"/>
      <c r="CU341" s="192"/>
      <c r="CV341" s="192"/>
      <c r="CW341" s="192"/>
      <c r="CX341" s="192"/>
      <c r="CY341" s="192"/>
      <c r="CZ341" s="192"/>
      <c r="DA341" s="192"/>
      <c r="DB341" s="192"/>
      <c r="DC341" s="192"/>
      <c r="DD341" s="192"/>
      <c r="DE341" s="192"/>
      <c r="DF341" s="192"/>
      <c r="DG341" s="192"/>
      <c r="DH341" s="192"/>
      <c r="DI341" s="192"/>
      <c r="DJ341" s="192"/>
      <c r="DK341" s="192"/>
      <c r="DL341" s="192"/>
      <c r="DM341" s="192"/>
      <c r="DN341" s="192"/>
      <c r="DO341" s="192"/>
      <c r="DP341" s="192"/>
      <c r="DQ341" s="192"/>
      <c r="DR341" s="192"/>
      <c r="DS341" s="192"/>
      <c r="DT341" s="192"/>
      <c r="DU341" s="192"/>
      <c r="DV341" s="192"/>
      <c r="DW341" s="192"/>
      <c r="DX341" s="192"/>
      <c r="DY341" s="192"/>
      <c r="DZ341" s="192"/>
      <c r="EA341" s="192"/>
      <c r="EB341" s="192"/>
      <c r="EC341" s="192"/>
      <c r="ED341" s="192"/>
      <c r="EE341" s="192"/>
      <c r="EF341" s="192"/>
      <c r="EG341" s="192"/>
      <c r="EH341" s="192"/>
      <c r="EI341" s="192"/>
      <c r="EJ341" s="192"/>
      <c r="EK341" s="192"/>
      <c r="EL341" s="192"/>
      <c r="EM341" s="192"/>
      <c r="EN341" s="192"/>
      <c r="EO341" s="192"/>
      <c r="EP341" s="192"/>
      <c r="EQ341" s="192"/>
    </row>
    <row r="342" spans="1:147" x14ac:dyDescent="0.2">
      <c r="A342" s="192"/>
      <c r="B342" s="192"/>
      <c r="C342" s="192"/>
      <c r="D342" s="192"/>
      <c r="E342" s="192"/>
      <c r="F342" s="192"/>
      <c r="G342" s="192"/>
      <c r="H342" s="192"/>
      <c r="I342" s="192"/>
      <c r="J342" s="192"/>
      <c r="K342" s="192"/>
      <c r="L342" s="192"/>
      <c r="M342" s="192"/>
      <c r="N342" s="192"/>
      <c r="O342" s="192"/>
      <c r="P342" s="192"/>
      <c r="Q342" s="192"/>
      <c r="R342" s="192"/>
      <c r="S342" s="266"/>
      <c r="T342" s="265"/>
      <c r="U342" s="265"/>
      <c r="V342" s="265"/>
      <c r="W342" s="265"/>
      <c r="X342" s="265"/>
      <c r="Y342" s="265"/>
      <c r="Z342" s="265"/>
      <c r="AA342" s="265"/>
      <c r="AB342" s="265"/>
      <c r="AC342" s="265"/>
      <c r="AD342" s="265"/>
      <c r="AE342" s="265"/>
      <c r="AF342" s="265"/>
      <c r="AG342" s="265"/>
      <c r="AH342" s="265"/>
      <c r="AI342" s="192"/>
      <c r="AJ342" s="192"/>
      <c r="AK342" s="192"/>
      <c r="AL342" s="192"/>
      <c r="AM342" s="192"/>
      <c r="AN342" s="192"/>
      <c r="AO342" s="192"/>
      <c r="AP342" s="192"/>
      <c r="AQ342" s="192"/>
      <c r="AR342" s="192"/>
      <c r="AS342" s="192"/>
      <c r="AT342" s="192"/>
      <c r="AU342" s="192"/>
      <c r="AV342" s="192"/>
      <c r="AW342" s="192"/>
      <c r="AX342" s="192"/>
      <c r="AY342" s="192"/>
      <c r="AZ342" s="192"/>
      <c r="BA342" s="192"/>
      <c r="BB342" s="192"/>
      <c r="BC342" s="192"/>
      <c r="BD342" s="192"/>
      <c r="BE342" s="192"/>
      <c r="BF342" s="192"/>
      <c r="BG342" s="192"/>
      <c r="BH342" s="192"/>
      <c r="BI342" s="192"/>
      <c r="BJ342" s="192"/>
      <c r="BK342" s="192"/>
      <c r="BL342" s="192"/>
      <c r="BM342" s="192"/>
      <c r="BN342" s="192"/>
      <c r="BO342" s="192"/>
      <c r="BP342" s="192"/>
      <c r="BQ342" s="192"/>
      <c r="BR342" s="192"/>
      <c r="BS342" s="192"/>
      <c r="BT342" s="192"/>
      <c r="BU342" s="192"/>
      <c r="BV342" s="192"/>
      <c r="BW342" s="192"/>
      <c r="BX342" s="192"/>
      <c r="BY342" s="192"/>
      <c r="BZ342" s="192"/>
      <c r="CA342" s="192"/>
      <c r="CB342" s="192"/>
      <c r="CC342" s="192"/>
      <c r="CD342" s="192"/>
      <c r="CE342" s="192"/>
      <c r="CF342" s="192"/>
      <c r="CG342" s="192"/>
      <c r="CH342" s="192"/>
      <c r="CI342" s="192"/>
      <c r="CJ342" s="192"/>
      <c r="CK342" s="192"/>
      <c r="CL342" s="192"/>
      <c r="CM342" s="192"/>
      <c r="CN342" s="192"/>
      <c r="CO342" s="192"/>
      <c r="CP342" s="192"/>
      <c r="CQ342" s="192"/>
      <c r="CR342" s="192"/>
      <c r="CS342" s="192"/>
      <c r="CT342" s="192"/>
      <c r="CU342" s="192"/>
      <c r="CV342" s="192"/>
      <c r="CW342" s="192"/>
      <c r="CX342" s="192"/>
      <c r="CY342" s="192"/>
      <c r="CZ342" s="192"/>
      <c r="DA342" s="192"/>
      <c r="DB342" s="192"/>
      <c r="DC342" s="192"/>
      <c r="DD342" s="192"/>
      <c r="DE342" s="192"/>
      <c r="DF342" s="192"/>
      <c r="DG342" s="192"/>
      <c r="DH342" s="192"/>
      <c r="DI342" s="192"/>
      <c r="DJ342" s="192"/>
      <c r="DK342" s="192"/>
      <c r="DL342" s="192"/>
      <c r="DM342" s="192"/>
      <c r="DN342" s="192"/>
      <c r="DO342" s="192"/>
      <c r="DP342" s="192"/>
      <c r="DQ342" s="192"/>
      <c r="DR342" s="192"/>
      <c r="DS342" s="192"/>
      <c r="DT342" s="192"/>
      <c r="DU342" s="192"/>
      <c r="DV342" s="192"/>
      <c r="DW342" s="192"/>
      <c r="DX342" s="192"/>
      <c r="DY342" s="192"/>
      <c r="DZ342" s="192"/>
      <c r="EA342" s="192"/>
      <c r="EB342" s="192"/>
      <c r="EC342" s="192"/>
      <c r="ED342" s="192"/>
      <c r="EE342" s="192"/>
      <c r="EF342" s="192"/>
      <c r="EG342" s="192"/>
      <c r="EH342" s="192"/>
      <c r="EI342" s="192"/>
      <c r="EJ342" s="192"/>
      <c r="EK342" s="192"/>
      <c r="EL342" s="192"/>
      <c r="EM342" s="192"/>
      <c r="EN342" s="192"/>
      <c r="EO342" s="192"/>
      <c r="EP342" s="192"/>
      <c r="EQ342" s="192"/>
    </row>
    <row r="343" spans="1:147" x14ac:dyDescent="0.2">
      <c r="A343" s="192"/>
      <c r="B343" s="192"/>
      <c r="C343" s="192"/>
      <c r="D343" s="192"/>
      <c r="E343" s="192"/>
      <c r="F343" s="192"/>
      <c r="G343" s="192"/>
      <c r="H343" s="192"/>
      <c r="I343" s="192"/>
      <c r="J343" s="192"/>
      <c r="K343" s="192"/>
      <c r="L343" s="192"/>
      <c r="M343" s="192"/>
      <c r="N343" s="192"/>
      <c r="O343" s="192"/>
      <c r="P343" s="192"/>
      <c r="Q343" s="192"/>
      <c r="R343" s="192"/>
      <c r="S343" s="266"/>
      <c r="T343" s="265"/>
      <c r="U343" s="265"/>
      <c r="V343" s="265"/>
      <c r="W343" s="265"/>
      <c r="X343" s="265"/>
      <c r="Y343" s="265"/>
      <c r="Z343" s="265"/>
      <c r="AA343" s="265"/>
      <c r="AB343" s="265"/>
      <c r="AC343" s="265"/>
      <c r="AD343" s="265"/>
      <c r="AE343" s="265"/>
      <c r="AF343" s="265"/>
      <c r="AG343" s="265"/>
      <c r="AH343" s="265"/>
      <c r="AI343" s="192"/>
      <c r="AJ343" s="192"/>
      <c r="AK343" s="192"/>
      <c r="AL343" s="192"/>
      <c r="AM343" s="192"/>
      <c r="AN343" s="192"/>
      <c r="AO343" s="192"/>
      <c r="AP343" s="192"/>
      <c r="AQ343" s="192"/>
      <c r="AR343" s="192"/>
      <c r="AS343" s="192"/>
      <c r="AT343" s="192"/>
      <c r="AU343" s="192"/>
      <c r="AV343" s="192"/>
      <c r="AW343" s="192"/>
      <c r="AX343" s="192"/>
      <c r="AY343" s="192"/>
      <c r="AZ343" s="192"/>
      <c r="BA343" s="192"/>
      <c r="BB343" s="192"/>
      <c r="BC343" s="192"/>
      <c r="BD343" s="192"/>
      <c r="BE343" s="192"/>
      <c r="BF343" s="192"/>
      <c r="BG343" s="192"/>
      <c r="BH343" s="192"/>
      <c r="BI343" s="192"/>
      <c r="BJ343" s="192"/>
      <c r="BK343" s="192"/>
      <c r="BL343" s="192"/>
      <c r="BM343" s="192"/>
      <c r="BN343" s="192"/>
      <c r="BO343" s="192"/>
      <c r="BP343" s="192"/>
      <c r="BQ343" s="192"/>
      <c r="BR343" s="192"/>
      <c r="BS343" s="192"/>
      <c r="BT343" s="192"/>
      <c r="BU343" s="192"/>
      <c r="BV343" s="192"/>
      <c r="BW343" s="192"/>
      <c r="BX343" s="192"/>
      <c r="BY343" s="192"/>
      <c r="BZ343" s="192"/>
      <c r="CA343" s="192"/>
      <c r="CB343" s="192"/>
      <c r="CC343" s="192"/>
      <c r="CD343" s="192"/>
      <c r="CE343" s="192"/>
      <c r="CF343" s="192"/>
      <c r="CG343" s="192"/>
      <c r="CH343" s="192"/>
      <c r="CI343" s="192"/>
      <c r="CJ343" s="192"/>
      <c r="CK343" s="192"/>
      <c r="CL343" s="192"/>
      <c r="CM343" s="192"/>
      <c r="CN343" s="192"/>
      <c r="CO343" s="192"/>
      <c r="CP343" s="192"/>
      <c r="CQ343" s="192"/>
      <c r="CR343" s="192"/>
      <c r="CS343" s="192"/>
      <c r="CT343" s="192"/>
      <c r="CU343" s="192"/>
      <c r="CV343" s="192"/>
      <c r="CW343" s="192"/>
      <c r="CX343" s="192"/>
      <c r="CY343" s="192"/>
      <c r="CZ343" s="192"/>
      <c r="DA343" s="192"/>
      <c r="DB343" s="192"/>
      <c r="DC343" s="192"/>
      <c r="DD343" s="192"/>
      <c r="DE343" s="192"/>
      <c r="DF343" s="192"/>
      <c r="DG343" s="192"/>
      <c r="DH343" s="192"/>
      <c r="DI343" s="192"/>
      <c r="DJ343" s="192"/>
      <c r="DK343" s="192"/>
      <c r="DL343" s="192"/>
      <c r="DM343" s="192"/>
      <c r="DN343" s="192"/>
      <c r="DO343" s="192"/>
      <c r="DP343" s="192"/>
      <c r="DQ343" s="192"/>
      <c r="DR343" s="192"/>
      <c r="DS343" s="192"/>
      <c r="DT343" s="192"/>
      <c r="DU343" s="192"/>
      <c r="DV343" s="192"/>
      <c r="DW343" s="192"/>
      <c r="DX343" s="192"/>
      <c r="DY343" s="192"/>
      <c r="DZ343" s="192"/>
      <c r="EA343" s="192"/>
      <c r="EB343" s="192"/>
      <c r="EC343" s="192"/>
      <c r="ED343" s="192"/>
      <c r="EE343" s="192"/>
      <c r="EF343" s="192"/>
      <c r="EG343" s="192"/>
      <c r="EH343" s="192"/>
      <c r="EI343" s="192"/>
      <c r="EJ343" s="192"/>
      <c r="EK343" s="192"/>
      <c r="EL343" s="192"/>
      <c r="EM343" s="192"/>
      <c r="EN343" s="192"/>
      <c r="EO343" s="192"/>
      <c r="EP343" s="192"/>
      <c r="EQ343" s="192"/>
    </row>
    <row r="344" spans="1:147" x14ac:dyDescent="0.2">
      <c r="A344" s="192"/>
      <c r="B344" s="192"/>
      <c r="C344" s="192"/>
      <c r="D344" s="192"/>
      <c r="E344" s="192"/>
      <c r="F344" s="192"/>
      <c r="G344" s="192"/>
      <c r="H344" s="192"/>
      <c r="I344" s="192"/>
      <c r="J344" s="192"/>
      <c r="K344" s="192"/>
      <c r="L344" s="192"/>
      <c r="M344" s="192"/>
      <c r="N344" s="192"/>
      <c r="O344" s="192"/>
      <c r="P344" s="192"/>
      <c r="Q344" s="192"/>
      <c r="R344" s="192"/>
      <c r="S344" s="266"/>
      <c r="T344" s="265"/>
      <c r="U344" s="265"/>
      <c r="V344" s="265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  <c r="AG344" s="265"/>
      <c r="AH344" s="265"/>
      <c r="AI344" s="192"/>
      <c r="AJ344" s="192"/>
      <c r="AK344" s="192"/>
      <c r="AL344" s="192"/>
      <c r="AM344" s="192"/>
      <c r="AN344" s="192"/>
      <c r="AO344" s="192"/>
      <c r="AP344" s="192"/>
      <c r="AQ344" s="192"/>
      <c r="AR344" s="192"/>
      <c r="AS344" s="192"/>
      <c r="AT344" s="192"/>
      <c r="AU344" s="192"/>
      <c r="AV344" s="192"/>
      <c r="AW344" s="192"/>
      <c r="AX344" s="192"/>
      <c r="AY344" s="192"/>
      <c r="AZ344" s="192"/>
      <c r="BA344" s="192"/>
      <c r="BB344" s="192"/>
      <c r="BC344" s="192"/>
      <c r="BD344" s="192"/>
      <c r="BE344" s="192"/>
      <c r="BF344" s="192"/>
      <c r="BG344" s="192"/>
      <c r="BH344" s="192"/>
      <c r="BI344" s="192"/>
      <c r="BJ344" s="192"/>
      <c r="BK344" s="192"/>
      <c r="BL344" s="192"/>
      <c r="BM344" s="192"/>
      <c r="BN344" s="192"/>
      <c r="BO344" s="192"/>
      <c r="BP344" s="192"/>
      <c r="BQ344" s="192"/>
      <c r="BR344" s="192"/>
      <c r="BS344" s="192"/>
      <c r="BT344" s="192"/>
      <c r="BU344" s="192"/>
      <c r="BV344" s="192"/>
      <c r="BW344" s="192"/>
      <c r="BX344" s="192"/>
      <c r="BY344" s="192"/>
      <c r="BZ344" s="192"/>
      <c r="CA344" s="192"/>
      <c r="CB344" s="192"/>
      <c r="CC344" s="192"/>
      <c r="CD344" s="192"/>
      <c r="CE344" s="192"/>
      <c r="CF344" s="192"/>
      <c r="CG344" s="192"/>
      <c r="CH344" s="192"/>
      <c r="CI344" s="192"/>
      <c r="CJ344" s="192"/>
      <c r="CK344" s="192"/>
      <c r="CL344" s="192"/>
      <c r="CM344" s="192"/>
      <c r="CN344" s="192"/>
      <c r="CO344" s="192"/>
      <c r="CP344" s="192"/>
      <c r="CQ344" s="192"/>
      <c r="CR344" s="192"/>
      <c r="CS344" s="192"/>
      <c r="CT344" s="192"/>
      <c r="CU344" s="192"/>
      <c r="CV344" s="192"/>
      <c r="CW344" s="192"/>
      <c r="CX344" s="192"/>
      <c r="CY344" s="192"/>
      <c r="CZ344" s="192"/>
      <c r="DA344" s="192"/>
      <c r="DB344" s="192"/>
      <c r="DC344" s="192"/>
      <c r="DD344" s="192"/>
      <c r="DE344" s="192"/>
      <c r="DF344" s="192"/>
      <c r="DG344" s="192"/>
      <c r="DH344" s="192"/>
      <c r="DI344" s="192"/>
      <c r="DJ344" s="192"/>
      <c r="DK344" s="192"/>
      <c r="DL344" s="192"/>
      <c r="DM344" s="192"/>
      <c r="DN344" s="192"/>
      <c r="DO344" s="192"/>
      <c r="DP344" s="192"/>
      <c r="DQ344" s="192"/>
      <c r="DR344" s="192"/>
      <c r="DS344" s="192"/>
      <c r="DT344" s="192"/>
      <c r="DU344" s="192"/>
      <c r="DV344" s="192"/>
      <c r="DW344" s="192"/>
      <c r="DX344" s="192"/>
      <c r="DY344" s="192"/>
      <c r="DZ344" s="192"/>
      <c r="EA344" s="192"/>
      <c r="EB344" s="192"/>
      <c r="EC344" s="192"/>
      <c r="ED344" s="192"/>
      <c r="EE344" s="192"/>
      <c r="EF344" s="192"/>
      <c r="EG344" s="192"/>
      <c r="EH344" s="192"/>
      <c r="EI344" s="192"/>
      <c r="EJ344" s="192"/>
      <c r="EK344" s="192"/>
      <c r="EL344" s="192"/>
      <c r="EM344" s="192"/>
      <c r="EN344" s="192"/>
      <c r="EO344" s="192"/>
      <c r="EP344" s="192"/>
      <c r="EQ344" s="192"/>
    </row>
    <row r="345" spans="1:147" x14ac:dyDescent="0.2">
      <c r="A345" s="192"/>
      <c r="B345" s="192"/>
      <c r="C345" s="192"/>
      <c r="D345" s="192"/>
      <c r="E345" s="192"/>
      <c r="F345" s="192"/>
      <c r="G345" s="192"/>
      <c r="H345" s="192"/>
      <c r="I345" s="192"/>
      <c r="J345" s="192"/>
      <c r="K345" s="192"/>
      <c r="L345" s="192"/>
      <c r="M345" s="192"/>
      <c r="N345" s="192"/>
      <c r="O345" s="192"/>
      <c r="P345" s="192"/>
      <c r="Q345" s="192"/>
      <c r="R345" s="192"/>
      <c r="S345" s="266"/>
      <c r="T345" s="265"/>
      <c r="U345" s="265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  <c r="AG345" s="265"/>
      <c r="AH345" s="265"/>
      <c r="AI345" s="192"/>
      <c r="AJ345" s="192"/>
      <c r="AK345" s="192"/>
      <c r="AL345" s="192"/>
      <c r="AM345" s="192"/>
      <c r="AN345" s="192"/>
      <c r="AO345" s="192"/>
      <c r="AP345" s="192"/>
      <c r="AQ345" s="192"/>
      <c r="AR345" s="192"/>
      <c r="AS345" s="192"/>
      <c r="AT345" s="192"/>
      <c r="AU345" s="192"/>
      <c r="AV345" s="192"/>
      <c r="AW345" s="192"/>
      <c r="AX345" s="192"/>
      <c r="AY345" s="192"/>
      <c r="AZ345" s="192"/>
      <c r="BA345" s="192"/>
      <c r="BB345" s="192"/>
      <c r="BC345" s="192"/>
      <c r="BD345" s="192"/>
      <c r="BE345" s="192"/>
      <c r="BF345" s="192"/>
      <c r="BG345" s="192"/>
      <c r="BH345" s="192"/>
      <c r="BI345" s="192"/>
      <c r="BJ345" s="192"/>
      <c r="BK345" s="192"/>
      <c r="BL345" s="192"/>
      <c r="BM345" s="192"/>
      <c r="BN345" s="192"/>
      <c r="BO345" s="192"/>
      <c r="BP345" s="192"/>
      <c r="BQ345" s="192"/>
      <c r="BR345" s="192"/>
      <c r="BS345" s="192"/>
      <c r="BT345" s="192"/>
      <c r="BU345" s="192"/>
      <c r="BV345" s="192"/>
      <c r="BW345" s="192"/>
      <c r="BX345" s="192"/>
      <c r="BY345" s="192"/>
      <c r="BZ345" s="192"/>
      <c r="CA345" s="192"/>
      <c r="CB345" s="192"/>
      <c r="CC345" s="192"/>
      <c r="CD345" s="192"/>
      <c r="CE345" s="192"/>
      <c r="CF345" s="192"/>
      <c r="CG345" s="192"/>
      <c r="CH345" s="192"/>
      <c r="CI345" s="192"/>
      <c r="CJ345" s="192"/>
      <c r="CK345" s="192"/>
      <c r="CL345" s="192"/>
      <c r="CM345" s="192"/>
      <c r="CN345" s="192"/>
      <c r="CO345" s="192"/>
      <c r="CP345" s="192"/>
      <c r="CQ345" s="192"/>
      <c r="CR345" s="192"/>
      <c r="CS345" s="192"/>
      <c r="CT345" s="192"/>
      <c r="CU345" s="192"/>
      <c r="CV345" s="192"/>
      <c r="CW345" s="192"/>
      <c r="CX345" s="192"/>
      <c r="CY345" s="192"/>
      <c r="CZ345" s="192"/>
      <c r="DA345" s="192"/>
      <c r="DB345" s="192"/>
      <c r="DC345" s="192"/>
      <c r="DD345" s="192"/>
      <c r="DE345" s="192"/>
      <c r="DF345" s="192"/>
      <c r="DG345" s="192"/>
      <c r="DH345" s="192"/>
      <c r="DI345" s="192"/>
      <c r="DJ345" s="192"/>
      <c r="DK345" s="192"/>
      <c r="DL345" s="192"/>
      <c r="DM345" s="192"/>
      <c r="DN345" s="192"/>
      <c r="DO345" s="192"/>
      <c r="DP345" s="192"/>
      <c r="DQ345" s="192"/>
      <c r="DR345" s="192"/>
      <c r="DS345" s="192"/>
      <c r="DT345" s="192"/>
      <c r="DU345" s="192"/>
      <c r="DV345" s="192"/>
      <c r="DW345" s="192"/>
      <c r="DX345" s="192"/>
      <c r="DY345" s="192"/>
      <c r="DZ345" s="192"/>
      <c r="EA345" s="192"/>
      <c r="EB345" s="192"/>
      <c r="EC345" s="192"/>
      <c r="ED345" s="192"/>
      <c r="EE345" s="192"/>
      <c r="EF345" s="192"/>
      <c r="EG345" s="192"/>
      <c r="EH345" s="192"/>
      <c r="EI345" s="192"/>
      <c r="EJ345" s="192"/>
      <c r="EK345" s="192"/>
      <c r="EL345" s="192"/>
      <c r="EM345" s="192"/>
      <c r="EN345" s="192"/>
      <c r="EO345" s="192"/>
      <c r="EP345" s="192"/>
      <c r="EQ345" s="192"/>
    </row>
    <row r="346" spans="1:147" x14ac:dyDescent="0.2">
      <c r="A346" s="192"/>
      <c r="B346" s="192"/>
      <c r="C346" s="192"/>
      <c r="D346" s="192"/>
      <c r="E346" s="192"/>
      <c r="F346" s="192"/>
      <c r="G346" s="192"/>
      <c r="H346" s="192"/>
      <c r="I346" s="192"/>
      <c r="J346" s="192"/>
      <c r="K346" s="192"/>
      <c r="L346" s="192"/>
      <c r="M346" s="192"/>
      <c r="N346" s="192"/>
      <c r="O346" s="192"/>
      <c r="P346" s="192"/>
      <c r="Q346" s="192"/>
      <c r="R346" s="192"/>
      <c r="S346" s="266"/>
      <c r="T346" s="265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  <c r="AG346" s="265"/>
      <c r="AH346" s="265"/>
      <c r="AI346" s="192"/>
      <c r="AJ346" s="192"/>
      <c r="AK346" s="192"/>
      <c r="AL346" s="192"/>
      <c r="AM346" s="192"/>
      <c r="AN346" s="192"/>
      <c r="AO346" s="192"/>
      <c r="AP346" s="192"/>
      <c r="AQ346" s="192"/>
      <c r="AR346" s="192"/>
      <c r="AS346" s="192"/>
      <c r="AT346" s="192"/>
      <c r="AU346" s="192"/>
      <c r="AV346" s="192"/>
      <c r="AW346" s="192"/>
      <c r="AX346" s="192"/>
      <c r="AY346" s="192"/>
      <c r="AZ346" s="192"/>
      <c r="BA346" s="192"/>
      <c r="BB346" s="192"/>
      <c r="BC346" s="192"/>
      <c r="BD346" s="192"/>
      <c r="BE346" s="192"/>
      <c r="BF346" s="192"/>
      <c r="BG346" s="192"/>
      <c r="BH346" s="192"/>
      <c r="BI346" s="192"/>
      <c r="BJ346" s="192"/>
      <c r="BK346" s="192"/>
      <c r="BL346" s="192"/>
      <c r="BM346" s="192"/>
      <c r="BN346" s="192"/>
      <c r="BO346" s="192"/>
      <c r="BP346" s="192"/>
      <c r="BQ346" s="192"/>
      <c r="BR346" s="192"/>
      <c r="BS346" s="192"/>
      <c r="BT346" s="192"/>
      <c r="BU346" s="192"/>
      <c r="BV346" s="192"/>
      <c r="BW346" s="192"/>
      <c r="BX346" s="192"/>
      <c r="BY346" s="192"/>
      <c r="BZ346" s="192"/>
      <c r="CA346" s="192"/>
      <c r="CB346" s="192"/>
      <c r="CC346" s="192"/>
      <c r="CD346" s="192"/>
      <c r="CE346" s="192"/>
      <c r="CF346" s="192"/>
      <c r="CG346" s="192"/>
      <c r="CH346" s="192"/>
      <c r="CI346" s="192"/>
      <c r="CJ346" s="192"/>
      <c r="CK346" s="192"/>
      <c r="CL346" s="192"/>
      <c r="CM346" s="192"/>
      <c r="CN346" s="192"/>
      <c r="CO346" s="192"/>
      <c r="CP346" s="192"/>
      <c r="CQ346" s="192"/>
      <c r="CR346" s="192"/>
      <c r="CS346" s="192"/>
      <c r="CT346" s="192"/>
      <c r="CU346" s="192"/>
      <c r="CV346" s="192"/>
      <c r="CW346" s="192"/>
      <c r="CX346" s="192"/>
      <c r="CY346" s="192"/>
      <c r="CZ346" s="192"/>
      <c r="DA346" s="192"/>
      <c r="DB346" s="192"/>
      <c r="DC346" s="192"/>
      <c r="DD346" s="192"/>
      <c r="DE346" s="192"/>
      <c r="DF346" s="192"/>
      <c r="DG346" s="192"/>
      <c r="DH346" s="192"/>
      <c r="DI346" s="192"/>
      <c r="DJ346" s="192"/>
      <c r="DK346" s="192"/>
      <c r="DL346" s="192"/>
      <c r="DM346" s="192"/>
      <c r="DN346" s="192"/>
      <c r="DO346" s="192"/>
      <c r="DP346" s="192"/>
      <c r="DQ346" s="192"/>
      <c r="DR346" s="192"/>
      <c r="DS346" s="192"/>
      <c r="DT346" s="192"/>
      <c r="DU346" s="192"/>
      <c r="DV346" s="192"/>
      <c r="DW346" s="192"/>
      <c r="DX346" s="192"/>
      <c r="DY346" s="192"/>
      <c r="DZ346" s="192"/>
      <c r="EA346" s="192"/>
      <c r="EB346" s="192"/>
      <c r="EC346" s="192"/>
      <c r="ED346" s="192"/>
      <c r="EE346" s="192"/>
      <c r="EF346" s="192"/>
      <c r="EG346" s="192"/>
      <c r="EH346" s="192"/>
      <c r="EI346" s="192"/>
      <c r="EJ346" s="192"/>
      <c r="EK346" s="192"/>
      <c r="EL346" s="192"/>
      <c r="EM346" s="192"/>
      <c r="EN346" s="192"/>
      <c r="EO346" s="192"/>
      <c r="EP346" s="192"/>
      <c r="EQ346" s="192"/>
    </row>
    <row r="347" spans="1:147" x14ac:dyDescent="0.2">
      <c r="A347" s="192"/>
      <c r="B347" s="192"/>
      <c r="C347" s="192"/>
      <c r="D347" s="192"/>
      <c r="E347" s="192"/>
      <c r="F347" s="192"/>
      <c r="G347" s="192"/>
      <c r="H347" s="192"/>
      <c r="I347" s="192"/>
      <c r="J347" s="192"/>
      <c r="K347" s="192"/>
      <c r="L347" s="192"/>
      <c r="M347" s="192"/>
      <c r="N347" s="192"/>
      <c r="O347" s="192"/>
      <c r="P347" s="192"/>
      <c r="Q347" s="192"/>
      <c r="R347" s="192"/>
      <c r="S347" s="266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  <c r="AG347" s="265"/>
      <c r="AH347" s="265"/>
      <c r="AI347" s="192"/>
      <c r="AJ347" s="192"/>
      <c r="AK347" s="192"/>
      <c r="AL347" s="192"/>
      <c r="AM347" s="192"/>
      <c r="AN347" s="192"/>
      <c r="AO347" s="192"/>
      <c r="AP347" s="192"/>
      <c r="AQ347" s="192"/>
      <c r="AR347" s="192"/>
      <c r="AS347" s="192"/>
      <c r="AT347" s="192"/>
      <c r="AU347" s="192"/>
      <c r="AV347" s="192"/>
      <c r="AW347" s="192"/>
      <c r="AX347" s="192"/>
      <c r="AY347" s="192"/>
      <c r="AZ347" s="192"/>
      <c r="BA347" s="192"/>
      <c r="BB347" s="192"/>
      <c r="BC347" s="192"/>
      <c r="BD347" s="192"/>
      <c r="BE347" s="192"/>
      <c r="BF347" s="192"/>
      <c r="BG347" s="192"/>
      <c r="BH347" s="192"/>
      <c r="BI347" s="192"/>
      <c r="BJ347" s="192"/>
      <c r="BK347" s="192"/>
      <c r="BL347" s="192"/>
      <c r="BM347" s="192"/>
      <c r="BN347" s="192"/>
      <c r="BO347" s="192"/>
      <c r="BP347" s="192"/>
      <c r="BQ347" s="192"/>
      <c r="BR347" s="192"/>
      <c r="BS347" s="192"/>
      <c r="BT347" s="192"/>
      <c r="BU347" s="192"/>
      <c r="BV347" s="192"/>
      <c r="BW347" s="192"/>
      <c r="BX347" s="192"/>
      <c r="BY347" s="192"/>
      <c r="BZ347" s="192"/>
      <c r="CA347" s="192"/>
      <c r="CB347" s="192"/>
      <c r="CC347" s="192"/>
      <c r="CD347" s="192"/>
      <c r="CE347" s="192"/>
      <c r="CF347" s="192"/>
      <c r="CG347" s="192"/>
      <c r="CH347" s="192"/>
      <c r="CI347" s="192"/>
      <c r="CJ347" s="192"/>
      <c r="CK347" s="192"/>
      <c r="CL347" s="192"/>
      <c r="CM347" s="192"/>
      <c r="CN347" s="192"/>
      <c r="CO347" s="192"/>
      <c r="CP347" s="192"/>
      <c r="CQ347" s="192"/>
      <c r="CR347" s="192"/>
      <c r="CS347" s="192"/>
      <c r="CT347" s="192"/>
      <c r="CU347" s="192"/>
      <c r="CV347" s="192"/>
      <c r="CW347" s="192"/>
      <c r="CX347" s="192"/>
      <c r="CY347" s="192"/>
      <c r="CZ347" s="192"/>
      <c r="DA347" s="192"/>
      <c r="DB347" s="192"/>
      <c r="DC347" s="192"/>
      <c r="DD347" s="192"/>
      <c r="DE347" s="192"/>
      <c r="DF347" s="192"/>
      <c r="DG347" s="192"/>
      <c r="DH347" s="192"/>
      <c r="DI347" s="192"/>
      <c r="DJ347" s="192"/>
      <c r="DK347" s="192"/>
      <c r="DL347" s="192"/>
      <c r="DM347" s="192"/>
      <c r="DN347" s="192"/>
      <c r="DO347" s="192"/>
      <c r="DP347" s="192"/>
      <c r="DQ347" s="192"/>
      <c r="DR347" s="192"/>
      <c r="DS347" s="192"/>
      <c r="DT347" s="192"/>
      <c r="DU347" s="192"/>
      <c r="DV347" s="192"/>
      <c r="DW347" s="192"/>
      <c r="DX347" s="192"/>
      <c r="DY347" s="192"/>
      <c r="DZ347" s="192"/>
      <c r="EA347" s="192"/>
      <c r="EB347" s="192"/>
      <c r="EC347" s="192"/>
      <c r="ED347" s="192"/>
      <c r="EE347" s="192"/>
      <c r="EF347" s="192"/>
      <c r="EG347" s="192"/>
      <c r="EH347" s="192"/>
      <c r="EI347" s="192"/>
      <c r="EJ347" s="192"/>
      <c r="EK347" s="192"/>
      <c r="EL347" s="192"/>
      <c r="EM347" s="192"/>
      <c r="EN347" s="192"/>
      <c r="EO347" s="192"/>
      <c r="EP347" s="192"/>
      <c r="EQ347" s="192"/>
    </row>
    <row r="348" spans="1:147" x14ac:dyDescent="0.2">
      <c r="A348" s="192"/>
      <c r="B348" s="192"/>
      <c r="C348" s="192"/>
      <c r="D348" s="192"/>
      <c r="E348" s="192"/>
      <c r="F348" s="192"/>
      <c r="G348" s="192"/>
      <c r="H348" s="192"/>
      <c r="I348" s="192"/>
      <c r="J348" s="192"/>
      <c r="K348" s="192"/>
      <c r="L348" s="192"/>
      <c r="M348" s="192"/>
      <c r="N348" s="192"/>
      <c r="O348" s="192"/>
      <c r="P348" s="192"/>
      <c r="Q348" s="192"/>
      <c r="R348" s="192"/>
      <c r="S348" s="266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  <c r="AG348" s="265"/>
      <c r="AH348" s="265"/>
      <c r="AI348" s="192"/>
      <c r="AJ348" s="192"/>
      <c r="AK348" s="192"/>
      <c r="AL348" s="192"/>
      <c r="AM348" s="192"/>
      <c r="AN348" s="192"/>
      <c r="AO348" s="192"/>
      <c r="AP348" s="192"/>
      <c r="AQ348" s="192"/>
      <c r="AR348" s="192"/>
      <c r="AS348" s="192"/>
      <c r="AT348" s="192"/>
      <c r="AU348" s="192"/>
      <c r="AV348" s="192"/>
      <c r="AW348" s="192"/>
      <c r="AX348" s="192"/>
      <c r="AY348" s="192"/>
      <c r="AZ348" s="192"/>
      <c r="BA348" s="192"/>
      <c r="BB348" s="192"/>
      <c r="BC348" s="192"/>
      <c r="BD348" s="192"/>
      <c r="BE348" s="192"/>
      <c r="BF348" s="192"/>
      <c r="BG348" s="192"/>
      <c r="BH348" s="192"/>
      <c r="BI348" s="192"/>
      <c r="BJ348" s="192"/>
      <c r="BK348" s="192"/>
      <c r="BL348" s="192"/>
      <c r="BM348" s="192"/>
      <c r="BN348" s="192"/>
      <c r="BO348" s="192"/>
      <c r="BP348" s="192"/>
      <c r="BQ348" s="192"/>
      <c r="BR348" s="192"/>
      <c r="BS348" s="192"/>
      <c r="BT348" s="192"/>
      <c r="BU348" s="192"/>
      <c r="BV348" s="192"/>
      <c r="BW348" s="192"/>
      <c r="BX348" s="192"/>
      <c r="BY348" s="192"/>
      <c r="BZ348" s="192"/>
      <c r="CA348" s="192"/>
      <c r="CB348" s="192"/>
      <c r="CC348" s="192"/>
      <c r="CD348" s="192"/>
      <c r="CE348" s="192"/>
      <c r="CF348" s="192"/>
      <c r="CG348" s="192"/>
      <c r="CH348" s="192"/>
      <c r="CI348" s="192"/>
      <c r="CJ348" s="192"/>
      <c r="CK348" s="192"/>
      <c r="CL348" s="192"/>
      <c r="CM348" s="192"/>
      <c r="CN348" s="192"/>
      <c r="CO348" s="192"/>
      <c r="CP348" s="192"/>
      <c r="CQ348" s="192"/>
      <c r="CR348" s="192"/>
      <c r="CS348" s="192"/>
      <c r="CT348" s="192"/>
      <c r="CU348" s="192"/>
      <c r="CV348" s="192"/>
      <c r="CW348" s="192"/>
      <c r="CX348" s="192"/>
      <c r="CY348" s="192"/>
      <c r="CZ348" s="192"/>
      <c r="DA348" s="192"/>
      <c r="DB348" s="192"/>
      <c r="DC348" s="192"/>
      <c r="DD348" s="192"/>
      <c r="DE348" s="192"/>
      <c r="DF348" s="192"/>
      <c r="DG348" s="192"/>
      <c r="DH348" s="192"/>
      <c r="DI348" s="192"/>
      <c r="DJ348" s="192"/>
      <c r="DK348" s="192"/>
      <c r="DL348" s="192"/>
      <c r="DM348" s="192"/>
      <c r="DN348" s="192"/>
      <c r="DO348" s="192"/>
      <c r="DP348" s="192"/>
      <c r="DQ348" s="192"/>
      <c r="DR348" s="192"/>
      <c r="DS348" s="192"/>
      <c r="DT348" s="192"/>
      <c r="DU348" s="192"/>
      <c r="DV348" s="192"/>
      <c r="DW348" s="192"/>
      <c r="DX348" s="192"/>
      <c r="DY348" s="192"/>
      <c r="DZ348" s="192"/>
      <c r="EA348" s="192"/>
      <c r="EB348" s="192"/>
      <c r="EC348" s="192"/>
      <c r="ED348" s="192"/>
      <c r="EE348" s="192"/>
      <c r="EF348" s="192"/>
      <c r="EG348" s="192"/>
      <c r="EH348" s="192"/>
      <c r="EI348" s="192"/>
      <c r="EJ348" s="192"/>
      <c r="EK348" s="192"/>
      <c r="EL348" s="192"/>
      <c r="EM348" s="192"/>
      <c r="EN348" s="192"/>
      <c r="EO348" s="192"/>
      <c r="EP348" s="192"/>
      <c r="EQ348" s="192"/>
    </row>
    <row r="349" spans="1:147" x14ac:dyDescent="0.2">
      <c r="A349" s="192"/>
      <c r="B349" s="192"/>
      <c r="C349" s="192"/>
      <c r="D349" s="192"/>
      <c r="E349" s="192"/>
      <c r="F349" s="192"/>
      <c r="G349" s="192"/>
      <c r="H349" s="192"/>
      <c r="I349" s="192"/>
      <c r="J349" s="192"/>
      <c r="K349" s="192"/>
      <c r="L349" s="192"/>
      <c r="M349" s="192"/>
      <c r="N349" s="192"/>
      <c r="O349" s="192"/>
      <c r="P349" s="192"/>
      <c r="Q349" s="192"/>
      <c r="R349" s="192"/>
      <c r="S349" s="266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F349" s="265"/>
      <c r="AG349" s="265"/>
      <c r="AH349" s="265"/>
      <c r="AI349" s="192"/>
      <c r="AJ349" s="192"/>
      <c r="AK349" s="192"/>
      <c r="AL349" s="192"/>
      <c r="AM349" s="192"/>
      <c r="AN349" s="192"/>
      <c r="AO349" s="192"/>
      <c r="AP349" s="192"/>
      <c r="AQ349" s="192"/>
      <c r="AR349" s="192"/>
      <c r="AS349" s="192"/>
      <c r="AT349" s="192"/>
      <c r="AU349" s="192"/>
      <c r="AV349" s="192"/>
      <c r="AW349" s="192"/>
      <c r="AX349" s="192"/>
      <c r="AY349" s="192"/>
      <c r="AZ349" s="192"/>
      <c r="BA349" s="192"/>
      <c r="BB349" s="192"/>
      <c r="BC349" s="192"/>
      <c r="BD349" s="192"/>
      <c r="BE349" s="192"/>
      <c r="BF349" s="192"/>
      <c r="BG349" s="192"/>
      <c r="BH349" s="192"/>
      <c r="BI349" s="192"/>
      <c r="BJ349" s="192"/>
      <c r="BK349" s="192"/>
      <c r="BL349" s="192"/>
      <c r="BM349" s="192"/>
      <c r="BN349" s="192"/>
      <c r="BO349" s="192"/>
      <c r="BP349" s="192"/>
      <c r="BQ349" s="192"/>
      <c r="BR349" s="192"/>
      <c r="BS349" s="192"/>
      <c r="BT349" s="192"/>
      <c r="BU349" s="192"/>
      <c r="BV349" s="192"/>
      <c r="BW349" s="192"/>
      <c r="BX349" s="192"/>
      <c r="BY349" s="192"/>
      <c r="BZ349" s="192"/>
      <c r="CA349" s="192"/>
      <c r="CB349" s="192"/>
      <c r="CC349" s="192"/>
      <c r="CD349" s="192"/>
      <c r="CE349" s="192"/>
      <c r="CF349" s="192"/>
      <c r="CG349" s="192"/>
      <c r="CH349" s="192"/>
      <c r="CI349" s="192"/>
      <c r="CJ349" s="192"/>
      <c r="CK349" s="192"/>
      <c r="CL349" s="192"/>
      <c r="CM349" s="192"/>
      <c r="CN349" s="192"/>
      <c r="CO349" s="192"/>
      <c r="CP349" s="192"/>
      <c r="CQ349" s="192"/>
      <c r="CR349" s="192"/>
      <c r="CS349" s="192"/>
      <c r="CT349" s="192"/>
      <c r="CU349" s="192"/>
      <c r="CV349" s="192"/>
      <c r="CW349" s="192"/>
      <c r="CX349" s="192"/>
      <c r="CY349" s="192"/>
      <c r="CZ349" s="192"/>
      <c r="DA349" s="192"/>
      <c r="DB349" s="192"/>
      <c r="DC349" s="192"/>
      <c r="DD349" s="192"/>
      <c r="DE349" s="192"/>
      <c r="DF349" s="192"/>
      <c r="DG349" s="192"/>
      <c r="DH349" s="192"/>
      <c r="DI349" s="192"/>
      <c r="DJ349" s="192"/>
      <c r="DK349" s="192"/>
      <c r="DL349" s="192"/>
      <c r="DM349" s="192"/>
      <c r="DN349" s="192"/>
      <c r="DO349" s="192"/>
      <c r="DP349" s="192"/>
      <c r="DQ349" s="192"/>
      <c r="DR349" s="192"/>
      <c r="DS349" s="192"/>
      <c r="DT349" s="192"/>
      <c r="DU349" s="192"/>
      <c r="DV349" s="192"/>
      <c r="DW349" s="192"/>
      <c r="DX349" s="192"/>
      <c r="DY349" s="192"/>
      <c r="DZ349" s="192"/>
      <c r="EA349" s="192"/>
      <c r="EB349" s="192"/>
      <c r="EC349" s="192"/>
      <c r="ED349" s="192"/>
      <c r="EE349" s="192"/>
      <c r="EF349" s="192"/>
      <c r="EG349" s="192"/>
      <c r="EH349" s="192"/>
      <c r="EI349" s="192"/>
      <c r="EJ349" s="192"/>
      <c r="EK349" s="192"/>
      <c r="EL349" s="192"/>
      <c r="EM349" s="192"/>
      <c r="EN349" s="192"/>
      <c r="EO349" s="192"/>
      <c r="EP349" s="192"/>
      <c r="EQ349" s="192"/>
    </row>
    <row r="350" spans="1:147" x14ac:dyDescent="0.2">
      <c r="A350" s="192"/>
      <c r="B350" s="192"/>
      <c r="C350" s="192"/>
      <c r="D350" s="192"/>
      <c r="E350" s="192"/>
      <c r="F350" s="192"/>
      <c r="G350" s="192"/>
      <c r="H350" s="192"/>
      <c r="I350" s="192"/>
      <c r="J350" s="192"/>
      <c r="K350" s="192"/>
      <c r="L350" s="192"/>
      <c r="M350" s="192"/>
      <c r="N350" s="192"/>
      <c r="O350" s="192"/>
      <c r="P350" s="192"/>
      <c r="Q350" s="192"/>
      <c r="R350" s="192"/>
      <c r="S350" s="266"/>
      <c r="T350" s="265"/>
      <c r="U350" s="265"/>
      <c r="V350" s="265"/>
      <c r="W350" s="265"/>
      <c r="X350" s="265"/>
      <c r="Y350" s="265"/>
      <c r="Z350" s="265"/>
      <c r="AA350" s="265"/>
      <c r="AB350" s="265"/>
      <c r="AC350" s="265"/>
      <c r="AD350" s="265"/>
      <c r="AE350" s="265"/>
      <c r="AF350" s="265"/>
      <c r="AG350" s="265"/>
      <c r="AH350" s="265"/>
      <c r="AI350" s="192"/>
      <c r="AJ350" s="192"/>
      <c r="AK350" s="192"/>
      <c r="AL350" s="192"/>
      <c r="AM350" s="192"/>
      <c r="AN350" s="192"/>
      <c r="AO350" s="192"/>
      <c r="AP350" s="192"/>
      <c r="AQ350" s="192"/>
      <c r="AR350" s="192"/>
      <c r="AS350" s="192"/>
      <c r="AT350" s="192"/>
      <c r="AU350" s="192"/>
      <c r="AV350" s="192"/>
      <c r="AW350" s="192"/>
      <c r="AX350" s="192"/>
      <c r="AY350" s="192"/>
      <c r="AZ350" s="192"/>
      <c r="BA350" s="192"/>
      <c r="BB350" s="192"/>
      <c r="BC350" s="192"/>
      <c r="BD350" s="192"/>
      <c r="BE350" s="192"/>
      <c r="BF350" s="192"/>
      <c r="BG350" s="192"/>
      <c r="BH350" s="192"/>
      <c r="BI350" s="192"/>
      <c r="BJ350" s="192"/>
      <c r="BK350" s="192"/>
      <c r="BL350" s="192"/>
      <c r="BM350" s="192"/>
      <c r="BN350" s="192"/>
      <c r="BO350" s="192"/>
      <c r="BP350" s="192"/>
      <c r="BQ350" s="192"/>
      <c r="BR350" s="192"/>
      <c r="BS350" s="192"/>
      <c r="BT350" s="192"/>
      <c r="BU350" s="192"/>
      <c r="BV350" s="192"/>
      <c r="BW350" s="192"/>
      <c r="BX350" s="192"/>
      <c r="BY350" s="192"/>
      <c r="BZ350" s="192"/>
      <c r="CA350" s="192"/>
      <c r="CB350" s="192"/>
      <c r="CC350" s="192"/>
      <c r="CD350" s="192"/>
      <c r="CE350" s="192"/>
      <c r="CF350" s="192"/>
      <c r="CG350" s="192"/>
      <c r="CH350" s="192"/>
      <c r="CI350" s="192"/>
      <c r="CJ350" s="192"/>
      <c r="CK350" s="192"/>
      <c r="CL350" s="192"/>
      <c r="CM350" s="192"/>
      <c r="CN350" s="192"/>
      <c r="CO350" s="192"/>
      <c r="CP350" s="192"/>
      <c r="CQ350" s="192"/>
      <c r="CR350" s="192"/>
      <c r="CS350" s="192"/>
      <c r="CT350" s="192"/>
      <c r="CU350" s="192"/>
      <c r="CV350" s="192"/>
      <c r="CW350" s="192"/>
      <c r="CX350" s="192"/>
      <c r="CY350" s="192"/>
      <c r="CZ350" s="192"/>
      <c r="DA350" s="192"/>
      <c r="DB350" s="192"/>
      <c r="DC350" s="192"/>
      <c r="DD350" s="192"/>
      <c r="DE350" s="192"/>
      <c r="DF350" s="192"/>
      <c r="DG350" s="192"/>
      <c r="DH350" s="192"/>
      <c r="DI350" s="192"/>
      <c r="DJ350" s="192"/>
      <c r="DK350" s="192"/>
      <c r="DL350" s="192"/>
      <c r="DM350" s="192"/>
      <c r="DN350" s="192"/>
      <c r="DO350" s="192"/>
      <c r="DP350" s="192"/>
      <c r="DQ350" s="192"/>
      <c r="DR350" s="192"/>
      <c r="DS350" s="192"/>
      <c r="DT350" s="192"/>
      <c r="DU350" s="192"/>
      <c r="DV350" s="192"/>
      <c r="DW350" s="192"/>
      <c r="DX350" s="192"/>
      <c r="DY350" s="192"/>
      <c r="DZ350" s="192"/>
      <c r="EA350" s="192"/>
      <c r="EB350" s="192"/>
      <c r="EC350" s="192"/>
      <c r="ED350" s="192"/>
      <c r="EE350" s="192"/>
      <c r="EF350" s="192"/>
      <c r="EG350" s="192"/>
      <c r="EH350" s="192"/>
      <c r="EI350" s="192"/>
      <c r="EJ350" s="192"/>
      <c r="EK350" s="192"/>
      <c r="EL350" s="192"/>
      <c r="EM350" s="192"/>
      <c r="EN350" s="192"/>
      <c r="EO350" s="192"/>
      <c r="EP350" s="192"/>
      <c r="EQ350" s="192"/>
    </row>
    <row r="351" spans="1:147" x14ac:dyDescent="0.2">
      <c r="A351" s="192"/>
      <c r="B351" s="192"/>
      <c r="C351" s="192"/>
      <c r="D351" s="192"/>
      <c r="E351" s="192"/>
      <c r="F351" s="192"/>
      <c r="G351" s="192"/>
      <c r="H351" s="192"/>
      <c r="I351" s="192"/>
      <c r="J351" s="192"/>
      <c r="K351" s="192"/>
      <c r="L351" s="192"/>
      <c r="M351" s="192"/>
      <c r="N351" s="192"/>
      <c r="O351" s="192"/>
      <c r="P351" s="192"/>
      <c r="Q351" s="192"/>
      <c r="R351" s="192"/>
      <c r="S351" s="266"/>
      <c r="T351" s="265"/>
      <c r="U351" s="265"/>
      <c r="V351" s="265"/>
      <c r="W351" s="265"/>
      <c r="X351" s="265"/>
      <c r="Y351" s="265"/>
      <c r="Z351" s="265"/>
      <c r="AA351" s="265"/>
      <c r="AB351" s="265"/>
      <c r="AC351" s="265"/>
      <c r="AD351" s="265"/>
      <c r="AE351" s="265"/>
      <c r="AF351" s="265"/>
      <c r="AG351" s="265"/>
      <c r="AH351" s="265"/>
      <c r="AI351" s="192"/>
      <c r="AJ351" s="192"/>
      <c r="AK351" s="192"/>
      <c r="AL351" s="192"/>
      <c r="AM351" s="192"/>
      <c r="AN351" s="192"/>
      <c r="AO351" s="192"/>
      <c r="AP351" s="192"/>
      <c r="AQ351" s="192"/>
      <c r="AR351" s="192"/>
      <c r="AS351" s="192"/>
      <c r="AT351" s="192"/>
      <c r="AU351" s="192"/>
      <c r="AV351" s="192"/>
      <c r="AW351" s="192"/>
      <c r="AX351" s="192"/>
      <c r="AY351" s="192"/>
      <c r="AZ351" s="192"/>
      <c r="BA351" s="192"/>
      <c r="BB351" s="192"/>
      <c r="BC351" s="192"/>
      <c r="BD351" s="192"/>
      <c r="BE351" s="192"/>
      <c r="BF351" s="192"/>
      <c r="BG351" s="192"/>
      <c r="BH351" s="192"/>
      <c r="BI351" s="192"/>
      <c r="BJ351" s="192"/>
      <c r="BK351" s="192"/>
      <c r="BL351" s="192"/>
      <c r="BM351" s="192"/>
      <c r="BN351" s="192"/>
      <c r="BO351" s="192"/>
      <c r="BP351" s="192"/>
      <c r="BQ351" s="192"/>
      <c r="BR351" s="192"/>
      <c r="BS351" s="192"/>
      <c r="BT351" s="192"/>
      <c r="BU351" s="192"/>
      <c r="BV351" s="192"/>
      <c r="BW351" s="192"/>
      <c r="BX351" s="192"/>
      <c r="BY351" s="192"/>
      <c r="BZ351" s="192"/>
      <c r="CA351" s="192"/>
      <c r="CB351" s="192"/>
      <c r="CC351" s="192"/>
      <c r="CD351" s="192"/>
      <c r="CE351" s="192"/>
      <c r="CF351" s="192"/>
      <c r="CG351" s="192"/>
      <c r="CH351" s="192"/>
      <c r="CI351" s="192"/>
      <c r="CJ351" s="192"/>
      <c r="CK351" s="192"/>
      <c r="CL351" s="192"/>
      <c r="CM351" s="192"/>
      <c r="CN351" s="192"/>
      <c r="CO351" s="192"/>
      <c r="CP351" s="192"/>
      <c r="CQ351" s="192"/>
      <c r="CR351" s="192"/>
      <c r="CS351" s="192"/>
      <c r="CT351" s="192"/>
      <c r="CU351" s="192"/>
      <c r="CV351" s="192"/>
      <c r="CW351" s="192"/>
      <c r="CX351" s="192"/>
      <c r="CY351" s="192"/>
      <c r="CZ351" s="192"/>
      <c r="DA351" s="192"/>
      <c r="DB351" s="192"/>
      <c r="DC351" s="192"/>
      <c r="DD351" s="192"/>
      <c r="DE351" s="192"/>
      <c r="DF351" s="192"/>
      <c r="DG351" s="192"/>
      <c r="DH351" s="192"/>
      <c r="DI351" s="192"/>
      <c r="DJ351" s="192"/>
      <c r="DK351" s="192"/>
      <c r="DL351" s="192"/>
      <c r="DM351" s="192"/>
      <c r="DN351" s="192"/>
      <c r="DO351" s="192"/>
      <c r="DP351" s="192"/>
      <c r="DQ351" s="192"/>
      <c r="DR351" s="192"/>
      <c r="DS351" s="192"/>
      <c r="DT351" s="192"/>
      <c r="DU351" s="192"/>
      <c r="DV351" s="192"/>
      <c r="DW351" s="192"/>
      <c r="DX351" s="192"/>
      <c r="DY351" s="192"/>
      <c r="DZ351" s="192"/>
      <c r="EA351" s="192"/>
      <c r="EB351" s="192"/>
      <c r="EC351" s="192"/>
      <c r="ED351" s="192"/>
      <c r="EE351" s="192"/>
      <c r="EF351" s="192"/>
      <c r="EG351" s="192"/>
      <c r="EH351" s="192"/>
      <c r="EI351" s="192"/>
      <c r="EJ351" s="192"/>
      <c r="EK351" s="192"/>
      <c r="EL351" s="192"/>
      <c r="EM351" s="192"/>
      <c r="EN351" s="192"/>
      <c r="EO351" s="192"/>
      <c r="EP351" s="192"/>
      <c r="EQ351" s="192"/>
    </row>
    <row r="352" spans="1:147" x14ac:dyDescent="0.2">
      <c r="A352" s="192"/>
      <c r="B352" s="192"/>
      <c r="C352" s="192"/>
      <c r="D352" s="192"/>
      <c r="E352" s="192"/>
      <c r="F352" s="192"/>
      <c r="G352" s="192"/>
      <c r="H352" s="192"/>
      <c r="I352" s="192"/>
      <c r="J352" s="192"/>
      <c r="K352" s="192"/>
      <c r="L352" s="192"/>
      <c r="M352" s="192"/>
      <c r="N352" s="192"/>
      <c r="O352" s="192"/>
      <c r="P352" s="192"/>
      <c r="Q352" s="192"/>
      <c r="R352" s="192"/>
      <c r="S352" s="266"/>
      <c r="T352" s="265"/>
      <c r="U352" s="265"/>
      <c r="V352" s="265"/>
      <c r="W352" s="265"/>
      <c r="X352" s="265"/>
      <c r="Y352" s="265"/>
      <c r="Z352" s="265"/>
      <c r="AA352" s="265"/>
      <c r="AB352" s="265"/>
      <c r="AC352" s="265"/>
      <c r="AD352" s="265"/>
      <c r="AE352" s="265"/>
      <c r="AF352" s="265"/>
      <c r="AG352" s="265"/>
      <c r="AH352" s="265"/>
      <c r="AI352" s="192"/>
      <c r="AJ352" s="192"/>
      <c r="AK352" s="192"/>
      <c r="AL352" s="192"/>
      <c r="AM352" s="192"/>
      <c r="AN352" s="192"/>
      <c r="AO352" s="192"/>
      <c r="AP352" s="192"/>
      <c r="AQ352" s="192"/>
      <c r="AR352" s="192"/>
      <c r="AS352" s="192"/>
      <c r="AT352" s="192"/>
      <c r="AU352" s="192"/>
      <c r="AV352" s="192"/>
      <c r="AW352" s="192"/>
      <c r="AX352" s="192"/>
      <c r="AY352" s="192"/>
      <c r="AZ352" s="192"/>
      <c r="BA352" s="192"/>
      <c r="BB352" s="192"/>
      <c r="BC352" s="192"/>
      <c r="BD352" s="192"/>
      <c r="BE352" s="192"/>
      <c r="BF352" s="192"/>
      <c r="BG352" s="192"/>
      <c r="BH352" s="192"/>
      <c r="BI352" s="192"/>
      <c r="BJ352" s="192"/>
      <c r="BK352" s="192"/>
      <c r="BL352" s="192"/>
      <c r="BM352" s="192"/>
      <c r="BN352" s="192"/>
      <c r="BO352" s="192"/>
      <c r="BP352" s="192"/>
      <c r="BQ352" s="192"/>
      <c r="BR352" s="192"/>
      <c r="BS352" s="192"/>
      <c r="BT352" s="192"/>
      <c r="BU352" s="192"/>
      <c r="BV352" s="192"/>
      <c r="BW352" s="192"/>
      <c r="BX352" s="192"/>
      <c r="BY352" s="192"/>
      <c r="BZ352" s="192"/>
      <c r="CA352" s="192"/>
      <c r="CB352" s="192"/>
      <c r="CC352" s="192"/>
      <c r="CD352" s="192"/>
      <c r="CE352" s="192"/>
      <c r="CF352" s="192"/>
      <c r="CG352" s="192"/>
      <c r="CH352" s="192"/>
      <c r="CI352" s="192"/>
      <c r="CJ352" s="192"/>
      <c r="CK352" s="192"/>
      <c r="CL352" s="192"/>
      <c r="CM352" s="192"/>
      <c r="CN352" s="192"/>
      <c r="CO352" s="192"/>
      <c r="CP352" s="192"/>
      <c r="CQ352" s="192"/>
      <c r="CR352" s="192"/>
      <c r="CS352" s="192"/>
      <c r="CT352" s="192"/>
      <c r="CU352" s="192"/>
      <c r="CV352" s="192"/>
      <c r="CW352" s="192"/>
      <c r="CX352" s="192"/>
      <c r="CY352" s="192"/>
      <c r="CZ352" s="192"/>
      <c r="DA352" s="192"/>
      <c r="DB352" s="192"/>
      <c r="DC352" s="192"/>
      <c r="DD352" s="192"/>
      <c r="DE352" s="192"/>
      <c r="DF352" s="192"/>
      <c r="DG352" s="192"/>
      <c r="DH352" s="192"/>
      <c r="DI352" s="192"/>
      <c r="DJ352" s="192"/>
      <c r="DK352" s="192"/>
      <c r="DL352" s="192"/>
      <c r="DM352" s="192"/>
      <c r="DN352" s="192"/>
      <c r="DO352" s="192"/>
      <c r="DP352" s="192"/>
      <c r="DQ352" s="192"/>
      <c r="DR352" s="192"/>
      <c r="DS352" s="192"/>
      <c r="DT352" s="192"/>
      <c r="DU352" s="192"/>
      <c r="DV352" s="192"/>
      <c r="DW352" s="192"/>
      <c r="DX352" s="192"/>
      <c r="DY352" s="192"/>
      <c r="DZ352" s="192"/>
      <c r="EA352" s="192"/>
      <c r="EB352" s="192"/>
      <c r="EC352" s="192"/>
      <c r="ED352" s="192"/>
      <c r="EE352" s="192"/>
      <c r="EF352" s="192"/>
      <c r="EG352" s="192"/>
      <c r="EH352" s="192"/>
      <c r="EI352" s="192"/>
      <c r="EJ352" s="192"/>
      <c r="EK352" s="192"/>
      <c r="EL352" s="192"/>
      <c r="EM352" s="192"/>
      <c r="EN352" s="192"/>
      <c r="EO352" s="192"/>
      <c r="EP352" s="192"/>
      <c r="EQ352" s="192"/>
    </row>
    <row r="353" spans="1:147" x14ac:dyDescent="0.2">
      <c r="A353" s="192"/>
      <c r="B353" s="192"/>
      <c r="C353" s="192"/>
      <c r="D353" s="192"/>
      <c r="E353" s="192"/>
      <c r="F353" s="192"/>
      <c r="G353" s="192"/>
      <c r="H353" s="192"/>
      <c r="I353" s="192"/>
      <c r="J353" s="192"/>
      <c r="K353" s="192"/>
      <c r="L353" s="192"/>
      <c r="M353" s="192"/>
      <c r="N353" s="192"/>
      <c r="O353" s="192"/>
      <c r="P353" s="192"/>
      <c r="Q353" s="192"/>
      <c r="R353" s="192"/>
      <c r="S353" s="266"/>
      <c r="T353" s="265"/>
      <c r="U353" s="265"/>
      <c r="V353" s="265"/>
      <c r="W353" s="265"/>
      <c r="X353" s="265"/>
      <c r="Y353" s="265"/>
      <c r="Z353" s="265"/>
      <c r="AA353" s="265"/>
      <c r="AB353" s="265"/>
      <c r="AC353" s="265"/>
      <c r="AD353" s="265"/>
      <c r="AE353" s="265"/>
      <c r="AF353" s="265"/>
      <c r="AG353" s="265"/>
      <c r="AH353" s="265"/>
      <c r="AI353" s="192"/>
      <c r="AJ353" s="192"/>
      <c r="AK353" s="192"/>
      <c r="AL353" s="192"/>
      <c r="AM353" s="192"/>
      <c r="AN353" s="192"/>
      <c r="AO353" s="192"/>
      <c r="AP353" s="192"/>
      <c r="AQ353" s="192"/>
      <c r="AR353" s="192"/>
      <c r="AS353" s="192"/>
      <c r="AT353" s="192"/>
      <c r="AU353" s="192"/>
      <c r="AV353" s="192"/>
      <c r="AW353" s="192"/>
      <c r="AX353" s="192"/>
      <c r="AY353" s="192"/>
      <c r="AZ353" s="192"/>
      <c r="BA353" s="192"/>
      <c r="BB353" s="192"/>
      <c r="BC353" s="192"/>
      <c r="BD353" s="192"/>
      <c r="BE353" s="192"/>
      <c r="BF353" s="192"/>
      <c r="BG353" s="192"/>
      <c r="BH353" s="192"/>
      <c r="BI353" s="192"/>
      <c r="BJ353" s="192"/>
      <c r="BK353" s="192"/>
      <c r="BL353" s="192"/>
      <c r="BM353" s="192"/>
      <c r="BN353" s="192"/>
      <c r="BO353" s="192"/>
      <c r="BP353" s="192"/>
      <c r="BQ353" s="192"/>
      <c r="BR353" s="192"/>
      <c r="BS353" s="192"/>
      <c r="BT353" s="192"/>
      <c r="BU353" s="192"/>
      <c r="BV353" s="192"/>
      <c r="BW353" s="192"/>
      <c r="BX353" s="192"/>
      <c r="BY353" s="192"/>
      <c r="BZ353" s="192"/>
      <c r="CA353" s="192"/>
      <c r="CB353" s="192"/>
      <c r="CC353" s="192"/>
      <c r="CD353" s="192"/>
      <c r="CE353" s="192"/>
      <c r="CF353" s="192"/>
      <c r="CG353" s="192"/>
      <c r="CH353" s="192"/>
      <c r="CI353" s="192"/>
      <c r="CJ353" s="192"/>
      <c r="CK353" s="192"/>
      <c r="CL353" s="192"/>
      <c r="CM353" s="192"/>
      <c r="CN353" s="192"/>
      <c r="CO353" s="192"/>
      <c r="CP353" s="192"/>
      <c r="CQ353" s="192"/>
      <c r="CR353" s="192"/>
      <c r="CS353" s="192"/>
      <c r="CT353" s="192"/>
      <c r="CU353" s="192"/>
      <c r="CV353" s="192"/>
      <c r="CW353" s="192"/>
      <c r="CX353" s="192"/>
      <c r="CY353" s="192"/>
      <c r="CZ353" s="192"/>
      <c r="DA353" s="192"/>
      <c r="DB353" s="192"/>
      <c r="DC353" s="192"/>
      <c r="DD353" s="192"/>
      <c r="DE353" s="192"/>
      <c r="DF353" s="192"/>
      <c r="DG353" s="192"/>
      <c r="DH353" s="192"/>
      <c r="DI353" s="192"/>
      <c r="DJ353" s="192"/>
      <c r="DK353" s="192"/>
      <c r="DL353" s="192"/>
      <c r="DM353" s="192"/>
      <c r="DN353" s="192"/>
      <c r="DO353" s="192"/>
      <c r="DP353" s="192"/>
      <c r="DQ353" s="192"/>
      <c r="DR353" s="192"/>
      <c r="DS353" s="192"/>
      <c r="DT353" s="192"/>
      <c r="DU353" s="192"/>
      <c r="DV353" s="192"/>
      <c r="DW353" s="192"/>
      <c r="DX353" s="192"/>
      <c r="DY353" s="192"/>
      <c r="DZ353" s="192"/>
      <c r="EA353" s="192"/>
      <c r="EB353" s="192"/>
      <c r="EC353" s="192"/>
      <c r="ED353" s="192"/>
      <c r="EE353" s="192"/>
      <c r="EF353" s="192"/>
      <c r="EG353" s="192"/>
      <c r="EH353" s="192"/>
      <c r="EI353" s="192"/>
      <c r="EJ353" s="192"/>
      <c r="EK353" s="192"/>
      <c r="EL353" s="192"/>
      <c r="EM353" s="192"/>
      <c r="EN353" s="192"/>
      <c r="EO353" s="192"/>
      <c r="EP353" s="192"/>
      <c r="EQ353" s="192"/>
    </row>
    <row r="354" spans="1:147" x14ac:dyDescent="0.2">
      <c r="A354" s="192"/>
      <c r="B354" s="192"/>
      <c r="C354" s="192"/>
      <c r="D354" s="192"/>
      <c r="E354" s="192"/>
      <c r="F354" s="192"/>
      <c r="G354" s="192"/>
      <c r="H354" s="192"/>
      <c r="I354" s="192"/>
      <c r="J354" s="192"/>
      <c r="K354" s="192"/>
      <c r="L354" s="192"/>
      <c r="M354" s="192"/>
      <c r="N354" s="192"/>
      <c r="O354" s="192"/>
      <c r="P354" s="192"/>
      <c r="Q354" s="192"/>
      <c r="R354" s="192"/>
      <c r="S354" s="266"/>
      <c r="T354" s="265"/>
      <c r="U354" s="265"/>
      <c r="V354" s="265"/>
      <c r="W354" s="265"/>
      <c r="X354" s="265"/>
      <c r="Y354" s="265"/>
      <c r="Z354" s="265"/>
      <c r="AA354" s="265"/>
      <c r="AB354" s="265"/>
      <c r="AC354" s="265"/>
      <c r="AD354" s="265"/>
      <c r="AE354" s="265"/>
      <c r="AF354" s="265"/>
      <c r="AG354" s="265"/>
      <c r="AH354" s="265"/>
      <c r="AI354" s="192"/>
      <c r="AJ354" s="192"/>
      <c r="AK354" s="192"/>
      <c r="AL354" s="192"/>
      <c r="AM354" s="192"/>
      <c r="AN354" s="192"/>
      <c r="AO354" s="192"/>
      <c r="AP354" s="192"/>
      <c r="AQ354" s="192"/>
      <c r="AR354" s="192"/>
      <c r="AS354" s="192"/>
      <c r="AT354" s="192"/>
      <c r="AU354" s="192"/>
      <c r="AV354" s="192"/>
      <c r="AW354" s="192"/>
      <c r="AX354" s="192"/>
      <c r="AY354" s="192"/>
      <c r="AZ354" s="192"/>
      <c r="BA354" s="192"/>
      <c r="BB354" s="192"/>
      <c r="BC354" s="192"/>
      <c r="BD354" s="192"/>
      <c r="BE354" s="192"/>
      <c r="BF354" s="192"/>
      <c r="BG354" s="192"/>
      <c r="BH354" s="192"/>
      <c r="BI354" s="192"/>
      <c r="BJ354" s="192"/>
      <c r="BK354" s="192"/>
      <c r="BL354" s="192"/>
      <c r="BM354" s="192"/>
      <c r="BN354" s="192"/>
      <c r="BO354" s="192"/>
      <c r="BP354" s="192"/>
      <c r="BQ354" s="192"/>
      <c r="BR354" s="192"/>
      <c r="BS354" s="192"/>
      <c r="BT354" s="192"/>
      <c r="BU354" s="192"/>
      <c r="BV354" s="192"/>
      <c r="BW354" s="192"/>
      <c r="BX354" s="192"/>
      <c r="BY354" s="192"/>
      <c r="BZ354" s="192"/>
      <c r="CA354" s="192"/>
      <c r="CB354" s="192"/>
      <c r="CC354" s="192"/>
      <c r="CD354" s="192"/>
      <c r="CE354" s="192"/>
      <c r="CF354" s="192"/>
      <c r="CG354" s="192"/>
      <c r="CH354" s="192"/>
      <c r="CI354" s="192"/>
      <c r="CJ354" s="192"/>
      <c r="CK354" s="192"/>
      <c r="CL354" s="192"/>
      <c r="CM354" s="192"/>
      <c r="CN354" s="192"/>
      <c r="CO354" s="192"/>
      <c r="CP354" s="192"/>
      <c r="CQ354" s="192"/>
      <c r="CR354" s="192"/>
      <c r="CS354" s="192"/>
      <c r="CT354" s="192"/>
      <c r="CU354" s="192"/>
      <c r="CV354" s="192"/>
      <c r="CW354" s="192"/>
      <c r="CX354" s="192"/>
      <c r="CY354" s="192"/>
      <c r="CZ354" s="192"/>
      <c r="DA354" s="192"/>
      <c r="DB354" s="192"/>
      <c r="DC354" s="192"/>
      <c r="DD354" s="192"/>
      <c r="DE354" s="192"/>
      <c r="DF354" s="192"/>
      <c r="DG354" s="192"/>
      <c r="DH354" s="192"/>
      <c r="DI354" s="192"/>
      <c r="DJ354" s="192"/>
      <c r="DK354" s="192"/>
      <c r="DL354" s="192"/>
      <c r="DM354" s="192"/>
      <c r="DN354" s="192"/>
      <c r="DO354" s="192"/>
      <c r="DP354" s="192"/>
      <c r="DQ354" s="192"/>
      <c r="DR354" s="192"/>
      <c r="DS354" s="192"/>
      <c r="DT354" s="192"/>
      <c r="DU354" s="192"/>
      <c r="DV354" s="192"/>
      <c r="DW354" s="192"/>
      <c r="DX354" s="192"/>
      <c r="DY354" s="192"/>
      <c r="DZ354" s="192"/>
      <c r="EA354" s="192"/>
      <c r="EB354" s="192"/>
      <c r="EC354" s="192"/>
      <c r="ED354" s="192"/>
      <c r="EE354" s="192"/>
      <c r="EF354" s="192"/>
      <c r="EG354" s="192"/>
      <c r="EH354" s="192"/>
      <c r="EI354" s="192"/>
      <c r="EJ354" s="192"/>
      <c r="EK354" s="192"/>
      <c r="EL354" s="192"/>
      <c r="EM354" s="192"/>
      <c r="EN354" s="192"/>
      <c r="EO354" s="192"/>
      <c r="EP354" s="192"/>
      <c r="EQ354" s="192"/>
    </row>
    <row r="355" spans="1:147" x14ac:dyDescent="0.2">
      <c r="A355" s="192"/>
      <c r="B355" s="192"/>
      <c r="C355" s="192"/>
      <c r="D355" s="192"/>
      <c r="E355" s="192"/>
      <c r="F355" s="192"/>
      <c r="G355" s="192"/>
      <c r="H355" s="192"/>
      <c r="I355" s="192"/>
      <c r="J355" s="192"/>
      <c r="K355" s="192"/>
      <c r="L355" s="192"/>
      <c r="M355" s="192"/>
      <c r="N355" s="192"/>
      <c r="O355" s="192"/>
      <c r="P355" s="192"/>
      <c r="Q355" s="192"/>
      <c r="R355" s="192"/>
      <c r="S355" s="266"/>
      <c r="T355" s="265"/>
      <c r="U355" s="265"/>
      <c r="V355" s="265"/>
      <c r="W355" s="265"/>
      <c r="X355" s="265"/>
      <c r="Y355" s="265"/>
      <c r="Z355" s="265"/>
      <c r="AA355" s="265"/>
      <c r="AB355" s="265"/>
      <c r="AC355" s="265"/>
      <c r="AD355" s="265"/>
      <c r="AE355" s="265"/>
      <c r="AF355" s="265"/>
      <c r="AG355" s="265"/>
      <c r="AH355" s="265"/>
      <c r="AI355" s="192"/>
      <c r="AJ355" s="192"/>
      <c r="AK355" s="192"/>
      <c r="AL355" s="192"/>
      <c r="AM355" s="192"/>
      <c r="AN355" s="192"/>
      <c r="AO355" s="192"/>
      <c r="AP355" s="192"/>
      <c r="AQ355" s="192"/>
      <c r="AR355" s="192"/>
      <c r="AS355" s="192"/>
      <c r="AT355" s="192"/>
      <c r="AU355" s="192"/>
      <c r="AV355" s="192"/>
      <c r="AW355" s="192"/>
      <c r="AX355" s="192"/>
      <c r="AY355" s="192"/>
      <c r="AZ355" s="192"/>
      <c r="BA355" s="192"/>
      <c r="BB355" s="192"/>
      <c r="BC355" s="192"/>
      <c r="BD355" s="192"/>
      <c r="BE355" s="192"/>
      <c r="BF355" s="192"/>
      <c r="BG355" s="192"/>
      <c r="BH355" s="192"/>
      <c r="BI355" s="192"/>
      <c r="BJ355" s="192"/>
      <c r="BK355" s="192"/>
      <c r="BL355" s="192"/>
      <c r="BM355" s="192"/>
      <c r="BN355" s="192"/>
      <c r="BO355" s="192"/>
      <c r="BP355" s="192"/>
      <c r="BQ355" s="192"/>
      <c r="BR355" s="192"/>
      <c r="BS355" s="192"/>
      <c r="BT355" s="192"/>
      <c r="BU355" s="192"/>
      <c r="BV355" s="192"/>
      <c r="BW355" s="192"/>
      <c r="BX355" s="192"/>
      <c r="BY355" s="192"/>
      <c r="BZ355" s="192"/>
      <c r="CA355" s="192"/>
      <c r="CB355" s="192"/>
      <c r="CC355" s="192"/>
      <c r="CD355" s="192"/>
      <c r="CE355" s="192"/>
      <c r="CF355" s="192"/>
      <c r="CG355" s="192"/>
      <c r="CH355" s="192"/>
      <c r="CI355" s="192"/>
      <c r="CJ355" s="192"/>
      <c r="CK355" s="192"/>
      <c r="CL355" s="192"/>
      <c r="CM355" s="192"/>
      <c r="CN355" s="192"/>
      <c r="CO355" s="192"/>
      <c r="CP355" s="192"/>
      <c r="CQ355" s="192"/>
      <c r="CR355" s="192"/>
      <c r="CS355" s="192"/>
      <c r="CT355" s="192"/>
      <c r="CU355" s="192"/>
      <c r="CV355" s="192"/>
      <c r="CW355" s="192"/>
      <c r="CX355" s="192"/>
      <c r="CY355" s="192"/>
      <c r="CZ355" s="192"/>
      <c r="DA355" s="192"/>
      <c r="DB355" s="192"/>
      <c r="DC355" s="192"/>
      <c r="DD355" s="192"/>
      <c r="DE355" s="192"/>
      <c r="DF355" s="192"/>
      <c r="DG355" s="192"/>
      <c r="DH355" s="192"/>
      <c r="DI355" s="192"/>
      <c r="DJ355" s="192"/>
      <c r="DK355" s="192"/>
      <c r="DL355" s="192"/>
      <c r="DM355" s="192"/>
      <c r="DN355" s="192"/>
      <c r="DO355" s="192"/>
      <c r="DP355" s="192"/>
      <c r="DQ355" s="192"/>
      <c r="DR355" s="192"/>
      <c r="DS355" s="192"/>
      <c r="DT355" s="192"/>
      <c r="DU355" s="192"/>
      <c r="DV355" s="192"/>
      <c r="DW355" s="192"/>
      <c r="DX355" s="192"/>
      <c r="DY355" s="192"/>
      <c r="DZ355" s="192"/>
      <c r="EA355" s="192"/>
      <c r="EB355" s="192"/>
      <c r="EC355" s="192"/>
      <c r="ED355" s="192"/>
      <c r="EE355" s="192"/>
      <c r="EF355" s="192"/>
      <c r="EG355" s="192"/>
      <c r="EH355" s="192"/>
      <c r="EI355" s="192"/>
      <c r="EJ355" s="192"/>
      <c r="EK355" s="192"/>
      <c r="EL355" s="192"/>
      <c r="EM355" s="192"/>
      <c r="EN355" s="192"/>
      <c r="EO355" s="192"/>
      <c r="EP355" s="192"/>
      <c r="EQ355" s="192"/>
    </row>
    <row r="356" spans="1:147" x14ac:dyDescent="0.2">
      <c r="A356" s="192"/>
      <c r="B356" s="192"/>
      <c r="C356" s="192"/>
      <c r="D356" s="192"/>
      <c r="E356" s="192"/>
      <c r="F356" s="192"/>
      <c r="G356" s="192"/>
      <c r="H356" s="192"/>
      <c r="I356" s="192"/>
      <c r="J356" s="192"/>
      <c r="K356" s="192"/>
      <c r="L356" s="192"/>
      <c r="M356" s="192"/>
      <c r="N356" s="192"/>
      <c r="O356" s="192"/>
      <c r="P356" s="192"/>
      <c r="Q356" s="192"/>
      <c r="R356" s="192"/>
      <c r="S356" s="266"/>
      <c r="T356" s="265"/>
      <c r="U356" s="265"/>
      <c r="V356" s="265"/>
      <c r="W356" s="265"/>
      <c r="X356" s="265"/>
      <c r="Y356" s="265"/>
      <c r="Z356" s="265"/>
      <c r="AA356" s="265"/>
      <c r="AB356" s="265"/>
      <c r="AC356" s="265"/>
      <c r="AD356" s="265"/>
      <c r="AE356" s="265"/>
      <c r="AF356" s="265"/>
      <c r="AG356" s="265"/>
      <c r="AH356" s="265"/>
      <c r="AI356" s="192"/>
      <c r="AJ356" s="192"/>
      <c r="AK356" s="192"/>
      <c r="AL356" s="192"/>
      <c r="AM356" s="192"/>
      <c r="AN356" s="192"/>
      <c r="AO356" s="192"/>
      <c r="AP356" s="192"/>
      <c r="AQ356" s="192"/>
      <c r="AR356" s="192"/>
      <c r="AS356" s="192"/>
      <c r="AT356" s="192"/>
      <c r="AU356" s="192"/>
      <c r="AV356" s="192"/>
      <c r="AW356" s="192"/>
      <c r="AX356" s="192"/>
      <c r="AY356" s="192"/>
      <c r="AZ356" s="192"/>
      <c r="BA356" s="192"/>
      <c r="BB356" s="192"/>
      <c r="BC356" s="192"/>
      <c r="BD356" s="192"/>
      <c r="BE356" s="192"/>
      <c r="BF356" s="192"/>
      <c r="BG356" s="192"/>
      <c r="BH356" s="192"/>
      <c r="BI356" s="192"/>
      <c r="BJ356" s="192"/>
      <c r="BK356" s="192"/>
      <c r="BL356" s="192"/>
      <c r="BM356" s="192"/>
      <c r="BN356" s="192"/>
      <c r="BO356" s="192"/>
      <c r="BP356" s="192"/>
      <c r="BQ356" s="192"/>
      <c r="BR356" s="192"/>
      <c r="BS356" s="192"/>
      <c r="BT356" s="192"/>
      <c r="BU356" s="192"/>
      <c r="BV356" s="192"/>
      <c r="BW356" s="192"/>
      <c r="BX356" s="192"/>
      <c r="BY356" s="192"/>
      <c r="BZ356" s="192"/>
      <c r="CA356" s="192"/>
      <c r="CB356" s="192"/>
      <c r="CC356" s="192"/>
      <c r="CD356" s="192"/>
      <c r="CE356" s="192"/>
      <c r="CF356" s="192"/>
      <c r="CG356" s="192"/>
      <c r="CH356" s="192"/>
      <c r="CI356" s="192"/>
      <c r="CJ356" s="192"/>
      <c r="CK356" s="192"/>
      <c r="CL356" s="192"/>
      <c r="CM356" s="192"/>
      <c r="CN356" s="192"/>
      <c r="CO356" s="192"/>
      <c r="CP356" s="192"/>
      <c r="CQ356" s="192"/>
      <c r="CR356" s="192"/>
      <c r="CS356" s="192"/>
      <c r="CT356" s="192"/>
      <c r="CU356" s="192"/>
      <c r="CV356" s="192"/>
      <c r="CW356" s="192"/>
      <c r="CX356" s="192"/>
      <c r="CY356" s="192"/>
      <c r="CZ356" s="192"/>
      <c r="DA356" s="192"/>
      <c r="DB356" s="192"/>
      <c r="DC356" s="192"/>
      <c r="DD356" s="192"/>
      <c r="DE356" s="192"/>
      <c r="DF356" s="192"/>
      <c r="DG356" s="192"/>
      <c r="DH356" s="192"/>
      <c r="DI356" s="192"/>
      <c r="DJ356" s="192"/>
      <c r="DK356" s="192"/>
      <c r="DL356" s="192"/>
      <c r="DM356" s="192"/>
      <c r="DN356" s="192"/>
      <c r="DO356" s="192"/>
      <c r="DP356" s="192"/>
      <c r="DQ356" s="192"/>
      <c r="DR356" s="192"/>
      <c r="DS356" s="192"/>
      <c r="DT356" s="192"/>
      <c r="DU356" s="192"/>
      <c r="DV356" s="192"/>
      <c r="DW356" s="192"/>
      <c r="DX356" s="192"/>
      <c r="DY356" s="192"/>
      <c r="DZ356" s="192"/>
      <c r="EA356" s="192"/>
      <c r="EB356" s="192"/>
      <c r="EC356" s="192"/>
      <c r="ED356" s="192"/>
      <c r="EE356" s="192"/>
      <c r="EF356" s="192"/>
      <c r="EG356" s="192"/>
      <c r="EH356" s="192"/>
      <c r="EI356" s="192"/>
      <c r="EJ356" s="192"/>
      <c r="EK356" s="192"/>
      <c r="EL356" s="192"/>
      <c r="EM356" s="192"/>
      <c r="EN356" s="192"/>
      <c r="EO356" s="192"/>
      <c r="EP356" s="192"/>
      <c r="EQ356" s="192"/>
    </row>
    <row r="357" spans="1:147" x14ac:dyDescent="0.2">
      <c r="A357" s="192"/>
      <c r="B357" s="192"/>
      <c r="C357" s="192"/>
      <c r="D357" s="192"/>
      <c r="E357" s="192"/>
      <c r="F357" s="192"/>
      <c r="G357" s="192"/>
      <c r="H357" s="192"/>
      <c r="I357" s="192"/>
      <c r="J357" s="192"/>
      <c r="K357" s="192"/>
      <c r="L357" s="192"/>
      <c r="M357" s="192"/>
      <c r="N357" s="192"/>
      <c r="O357" s="192"/>
      <c r="P357" s="192"/>
      <c r="Q357" s="192"/>
      <c r="R357" s="192"/>
      <c r="S357" s="266"/>
      <c r="T357" s="265"/>
      <c r="U357" s="265"/>
      <c r="V357" s="265"/>
      <c r="W357" s="265"/>
      <c r="X357" s="265"/>
      <c r="Y357" s="265"/>
      <c r="Z357" s="265"/>
      <c r="AA357" s="265"/>
      <c r="AB357" s="265"/>
      <c r="AC357" s="265"/>
      <c r="AD357" s="265"/>
      <c r="AE357" s="265"/>
      <c r="AF357" s="265"/>
      <c r="AG357" s="265"/>
      <c r="AH357" s="265"/>
      <c r="AI357" s="192"/>
      <c r="AJ357" s="192"/>
      <c r="AK357" s="192"/>
      <c r="AL357" s="192"/>
      <c r="AM357" s="192"/>
      <c r="AN357" s="192"/>
      <c r="AO357" s="192"/>
      <c r="AP357" s="192"/>
      <c r="AQ357" s="192"/>
      <c r="AR357" s="192"/>
      <c r="AS357" s="192"/>
      <c r="AT357" s="192"/>
      <c r="AU357" s="192"/>
      <c r="AV357" s="192"/>
      <c r="AW357" s="192"/>
      <c r="AX357" s="192"/>
      <c r="AY357" s="192"/>
      <c r="AZ357" s="192"/>
      <c r="BA357" s="192"/>
      <c r="BB357" s="192"/>
      <c r="BC357" s="192"/>
      <c r="BD357" s="192"/>
      <c r="BE357" s="192"/>
      <c r="BF357" s="192"/>
      <c r="BG357" s="192"/>
      <c r="BH357" s="192"/>
      <c r="BI357" s="192"/>
      <c r="BJ357" s="192"/>
      <c r="BK357" s="192"/>
      <c r="BL357" s="192"/>
      <c r="BM357" s="192"/>
      <c r="BN357" s="192"/>
      <c r="BO357" s="192"/>
      <c r="BP357" s="192"/>
      <c r="BQ357" s="192"/>
      <c r="BR357" s="192"/>
      <c r="BS357" s="192"/>
      <c r="BT357" s="192"/>
      <c r="BU357" s="192"/>
      <c r="BV357" s="192"/>
      <c r="BW357" s="192"/>
      <c r="BX357" s="192"/>
      <c r="BY357" s="192"/>
      <c r="BZ357" s="192"/>
      <c r="CA357" s="192"/>
      <c r="CB357" s="192"/>
      <c r="CC357" s="192"/>
      <c r="CD357" s="192"/>
      <c r="CE357" s="192"/>
      <c r="CF357" s="192"/>
      <c r="CG357" s="192"/>
      <c r="CH357" s="192"/>
      <c r="CI357" s="192"/>
      <c r="CJ357" s="192"/>
      <c r="CK357" s="192"/>
      <c r="CL357" s="192"/>
      <c r="CM357" s="192"/>
      <c r="CN357" s="192"/>
      <c r="CO357" s="192"/>
      <c r="CP357" s="192"/>
      <c r="CQ357" s="192"/>
      <c r="CR357" s="192"/>
      <c r="CS357" s="192"/>
      <c r="CT357" s="192"/>
      <c r="CU357" s="192"/>
      <c r="CV357" s="192"/>
      <c r="CW357" s="192"/>
      <c r="CX357" s="192"/>
      <c r="CY357" s="192"/>
      <c r="CZ357" s="192"/>
      <c r="DA357" s="192"/>
      <c r="DB357" s="192"/>
      <c r="DC357" s="192"/>
      <c r="DD357" s="192"/>
      <c r="DE357" s="192"/>
      <c r="DF357" s="192"/>
      <c r="DG357" s="192"/>
      <c r="DH357" s="192"/>
      <c r="DI357" s="192"/>
      <c r="DJ357" s="192"/>
      <c r="DK357" s="192"/>
      <c r="DL357" s="192"/>
      <c r="DM357" s="192"/>
      <c r="DN357" s="192"/>
      <c r="DO357" s="192"/>
      <c r="DP357" s="192"/>
      <c r="DQ357" s="192"/>
      <c r="DR357" s="192"/>
      <c r="DS357" s="192"/>
      <c r="DT357" s="192"/>
      <c r="DU357" s="192"/>
      <c r="DV357" s="192"/>
      <c r="DW357" s="192"/>
      <c r="DX357" s="192"/>
      <c r="DY357" s="192"/>
      <c r="DZ357" s="192"/>
      <c r="EA357" s="192"/>
      <c r="EB357" s="192"/>
      <c r="EC357" s="192"/>
      <c r="ED357" s="192"/>
      <c r="EE357" s="192"/>
      <c r="EF357" s="192"/>
      <c r="EG357" s="192"/>
      <c r="EH357" s="192"/>
      <c r="EI357" s="192"/>
      <c r="EJ357" s="192"/>
      <c r="EK357" s="192"/>
      <c r="EL357" s="192"/>
      <c r="EM357" s="192"/>
      <c r="EN357" s="192"/>
      <c r="EO357" s="192"/>
      <c r="EP357" s="192"/>
      <c r="EQ357" s="192"/>
    </row>
    <row r="358" spans="1:147" x14ac:dyDescent="0.2">
      <c r="A358" s="192"/>
      <c r="B358" s="192"/>
      <c r="C358" s="192"/>
      <c r="D358" s="192"/>
      <c r="E358" s="192"/>
      <c r="F358" s="192"/>
      <c r="G358" s="192"/>
      <c r="H358" s="192"/>
      <c r="I358" s="192"/>
      <c r="J358" s="192"/>
      <c r="K358" s="192"/>
      <c r="L358" s="192"/>
      <c r="M358" s="192"/>
      <c r="N358" s="192"/>
      <c r="O358" s="192"/>
      <c r="P358" s="192"/>
      <c r="Q358" s="192"/>
      <c r="R358" s="192"/>
      <c r="S358" s="266"/>
      <c r="T358" s="265"/>
      <c r="U358" s="265"/>
      <c r="V358" s="265"/>
      <c r="W358" s="265"/>
      <c r="X358" s="265"/>
      <c r="Y358" s="265"/>
      <c r="Z358" s="265"/>
      <c r="AA358" s="265"/>
      <c r="AB358" s="265"/>
      <c r="AC358" s="265"/>
      <c r="AD358" s="265"/>
      <c r="AE358" s="265"/>
      <c r="AF358" s="265"/>
      <c r="AG358" s="265"/>
      <c r="AH358" s="265"/>
      <c r="AI358" s="192"/>
      <c r="AJ358" s="192"/>
      <c r="AK358" s="192"/>
      <c r="AL358" s="192"/>
      <c r="AM358" s="192"/>
      <c r="AN358" s="192"/>
      <c r="AO358" s="192"/>
      <c r="AP358" s="192"/>
      <c r="AQ358" s="192"/>
      <c r="AR358" s="192"/>
      <c r="AS358" s="192"/>
      <c r="AT358" s="192"/>
      <c r="AU358" s="192"/>
      <c r="AV358" s="192"/>
      <c r="AW358" s="192"/>
      <c r="AX358" s="192"/>
      <c r="AY358" s="192"/>
      <c r="AZ358" s="192"/>
      <c r="BA358" s="192"/>
      <c r="BB358" s="192"/>
      <c r="BC358" s="192"/>
      <c r="BD358" s="192"/>
      <c r="BE358" s="192"/>
      <c r="BF358" s="192"/>
      <c r="BG358" s="192"/>
      <c r="BH358" s="192"/>
      <c r="BI358" s="192"/>
      <c r="BJ358" s="192"/>
      <c r="BK358" s="192"/>
      <c r="BL358" s="192"/>
      <c r="BM358" s="192"/>
      <c r="BN358" s="192"/>
      <c r="BO358" s="192"/>
      <c r="BP358" s="192"/>
      <c r="BQ358" s="192"/>
      <c r="BR358" s="192"/>
      <c r="BS358" s="192"/>
      <c r="BT358" s="192"/>
      <c r="BU358" s="192"/>
      <c r="BV358" s="192"/>
      <c r="BW358" s="192"/>
      <c r="BX358" s="192"/>
      <c r="BY358" s="192"/>
      <c r="BZ358" s="192"/>
      <c r="CA358" s="192"/>
      <c r="CB358" s="192"/>
      <c r="CC358" s="192"/>
      <c r="CD358" s="192"/>
      <c r="CE358" s="192"/>
      <c r="CF358" s="192"/>
      <c r="CG358" s="192"/>
      <c r="CH358" s="192"/>
      <c r="CI358" s="192"/>
      <c r="CJ358" s="192"/>
      <c r="CK358" s="192"/>
      <c r="CL358" s="192"/>
      <c r="CM358" s="192"/>
      <c r="CN358" s="192"/>
      <c r="CO358" s="192"/>
      <c r="CP358" s="192"/>
      <c r="CQ358" s="192"/>
      <c r="CR358" s="192"/>
      <c r="CS358" s="192"/>
      <c r="CT358" s="192"/>
      <c r="CU358" s="192"/>
      <c r="CV358" s="192"/>
      <c r="CW358" s="192"/>
      <c r="CX358" s="192"/>
      <c r="CY358" s="192"/>
      <c r="CZ358" s="192"/>
      <c r="DA358" s="192"/>
      <c r="DB358" s="192"/>
      <c r="DC358" s="192"/>
      <c r="DD358" s="192"/>
      <c r="DE358" s="192"/>
      <c r="DF358" s="192"/>
      <c r="DG358" s="192"/>
      <c r="DH358" s="192"/>
      <c r="DI358" s="192"/>
      <c r="DJ358" s="192"/>
      <c r="DK358" s="192"/>
      <c r="DL358" s="192"/>
      <c r="DM358" s="192"/>
      <c r="DN358" s="192"/>
      <c r="DO358" s="192"/>
      <c r="DP358" s="192"/>
      <c r="DQ358" s="192"/>
      <c r="DR358" s="192"/>
      <c r="DS358" s="192"/>
      <c r="DT358" s="192"/>
      <c r="DU358" s="192"/>
      <c r="DV358" s="192"/>
      <c r="DW358" s="192"/>
      <c r="DX358" s="192"/>
      <c r="DY358" s="192"/>
      <c r="DZ358" s="192"/>
      <c r="EA358" s="192"/>
      <c r="EB358" s="192"/>
      <c r="EC358" s="192"/>
      <c r="ED358" s="192"/>
      <c r="EE358" s="192"/>
      <c r="EF358" s="192"/>
      <c r="EG358" s="192"/>
      <c r="EH358" s="192"/>
      <c r="EI358" s="192"/>
      <c r="EJ358" s="192"/>
      <c r="EK358" s="192"/>
      <c r="EL358" s="192"/>
      <c r="EM358" s="192"/>
      <c r="EN358" s="192"/>
      <c r="EO358" s="192"/>
      <c r="EP358" s="192"/>
      <c r="EQ358" s="192"/>
    </row>
    <row r="359" spans="1:147" x14ac:dyDescent="0.2">
      <c r="A359" s="192"/>
      <c r="B359" s="192"/>
      <c r="C359" s="192"/>
      <c r="D359" s="192"/>
      <c r="E359" s="192"/>
      <c r="F359" s="192"/>
      <c r="G359" s="192"/>
      <c r="H359" s="192"/>
      <c r="I359" s="192"/>
      <c r="J359" s="192"/>
      <c r="K359" s="192"/>
      <c r="L359" s="192"/>
      <c r="M359" s="192"/>
      <c r="N359" s="192"/>
      <c r="O359" s="192"/>
      <c r="P359" s="192"/>
      <c r="Q359" s="192"/>
      <c r="R359" s="192"/>
      <c r="S359" s="266"/>
      <c r="T359" s="265"/>
      <c r="U359" s="265"/>
      <c r="V359" s="265"/>
      <c r="W359" s="265"/>
      <c r="X359" s="265"/>
      <c r="Y359" s="265"/>
      <c r="Z359" s="265"/>
      <c r="AA359" s="265"/>
      <c r="AB359" s="265"/>
      <c r="AC359" s="265"/>
      <c r="AD359" s="265"/>
      <c r="AE359" s="265"/>
      <c r="AF359" s="265"/>
      <c r="AG359" s="265"/>
      <c r="AH359" s="265"/>
      <c r="AI359" s="192"/>
      <c r="AJ359" s="192"/>
      <c r="AK359" s="192"/>
      <c r="AL359" s="192"/>
      <c r="AM359" s="192"/>
      <c r="AN359" s="192"/>
      <c r="AO359" s="192"/>
      <c r="AP359" s="192"/>
      <c r="AQ359" s="192"/>
      <c r="AR359" s="192"/>
      <c r="AS359" s="192"/>
      <c r="AT359" s="192"/>
      <c r="AU359" s="192"/>
      <c r="AV359" s="192"/>
      <c r="AW359" s="192"/>
      <c r="AX359" s="192"/>
      <c r="AY359" s="192"/>
      <c r="AZ359" s="192"/>
      <c r="BA359" s="192"/>
      <c r="BB359" s="192"/>
      <c r="BC359" s="192"/>
      <c r="BD359" s="192"/>
      <c r="BE359" s="192"/>
      <c r="BF359" s="192"/>
      <c r="BG359" s="192"/>
      <c r="BH359" s="192"/>
      <c r="BI359" s="192"/>
      <c r="BJ359" s="192"/>
      <c r="BK359" s="192"/>
      <c r="BL359" s="192"/>
      <c r="BM359" s="192"/>
      <c r="BN359" s="192"/>
      <c r="BO359" s="192"/>
      <c r="BP359" s="192"/>
      <c r="BQ359" s="192"/>
      <c r="BR359" s="192"/>
      <c r="BS359" s="192"/>
      <c r="BT359" s="192"/>
      <c r="BU359" s="192"/>
      <c r="BV359" s="192"/>
      <c r="BW359" s="192"/>
      <c r="BX359" s="192"/>
      <c r="BY359" s="192"/>
      <c r="BZ359" s="192"/>
      <c r="CA359" s="192"/>
      <c r="CB359" s="192"/>
      <c r="CC359" s="192"/>
      <c r="CD359" s="192"/>
      <c r="CE359" s="192"/>
      <c r="CF359" s="192"/>
      <c r="CG359" s="192"/>
      <c r="CH359" s="192"/>
      <c r="CI359" s="192"/>
      <c r="CJ359" s="192"/>
      <c r="CK359" s="192"/>
      <c r="CL359" s="192"/>
      <c r="CM359" s="192"/>
      <c r="CN359" s="192"/>
      <c r="CO359" s="192"/>
      <c r="CP359" s="192"/>
      <c r="CQ359" s="192"/>
      <c r="CR359" s="192"/>
      <c r="CS359" s="192"/>
      <c r="CT359" s="192"/>
      <c r="CU359" s="192"/>
      <c r="CV359" s="192"/>
      <c r="CW359" s="192"/>
      <c r="CX359" s="192"/>
      <c r="CY359" s="192"/>
      <c r="CZ359" s="192"/>
      <c r="DA359" s="192"/>
      <c r="DB359" s="192"/>
      <c r="DC359" s="192"/>
      <c r="DD359" s="192"/>
      <c r="DE359" s="192"/>
      <c r="DF359" s="192"/>
      <c r="DG359" s="192"/>
      <c r="DH359" s="192"/>
      <c r="DI359" s="192"/>
      <c r="DJ359" s="192"/>
      <c r="DK359" s="192"/>
      <c r="DL359" s="192"/>
      <c r="DM359" s="192"/>
      <c r="DN359" s="192"/>
      <c r="DO359" s="192"/>
      <c r="DP359" s="192"/>
      <c r="DQ359" s="192"/>
      <c r="DR359" s="192"/>
      <c r="DS359" s="192"/>
      <c r="DT359" s="192"/>
      <c r="DU359" s="192"/>
      <c r="DV359" s="192"/>
      <c r="DW359" s="192"/>
      <c r="DX359" s="192"/>
      <c r="DY359" s="192"/>
      <c r="DZ359" s="192"/>
      <c r="EA359" s="192"/>
      <c r="EB359" s="192"/>
      <c r="EC359" s="192"/>
      <c r="ED359" s="192"/>
      <c r="EE359" s="192"/>
      <c r="EF359" s="192"/>
      <c r="EG359" s="192"/>
      <c r="EH359" s="192"/>
      <c r="EI359" s="192"/>
      <c r="EJ359" s="192"/>
      <c r="EK359" s="192"/>
      <c r="EL359" s="192"/>
      <c r="EM359" s="192"/>
      <c r="EN359" s="192"/>
      <c r="EO359" s="192"/>
      <c r="EP359" s="192"/>
      <c r="EQ359" s="192"/>
    </row>
    <row r="360" spans="1:147" x14ac:dyDescent="0.2">
      <c r="A360" s="192"/>
      <c r="B360" s="192"/>
      <c r="C360" s="192"/>
      <c r="D360" s="192"/>
      <c r="E360" s="192"/>
      <c r="F360" s="192"/>
      <c r="G360" s="192"/>
      <c r="H360" s="192"/>
      <c r="I360" s="192"/>
      <c r="J360" s="192"/>
      <c r="K360" s="192"/>
      <c r="L360" s="192"/>
      <c r="M360" s="192"/>
      <c r="N360" s="192"/>
      <c r="O360" s="192"/>
      <c r="P360" s="192"/>
      <c r="Q360" s="192"/>
      <c r="R360" s="192"/>
      <c r="S360" s="266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  <c r="AG360" s="265"/>
      <c r="AH360" s="265"/>
      <c r="AI360" s="192"/>
      <c r="AJ360" s="192"/>
      <c r="AK360" s="192"/>
      <c r="AL360" s="192"/>
      <c r="AM360" s="192"/>
      <c r="AN360" s="192"/>
      <c r="AO360" s="192"/>
      <c r="AP360" s="192"/>
      <c r="AQ360" s="192"/>
      <c r="AR360" s="192"/>
      <c r="AS360" s="192"/>
      <c r="AT360" s="192"/>
      <c r="AU360" s="192"/>
      <c r="AV360" s="192"/>
      <c r="AW360" s="192"/>
      <c r="AX360" s="192"/>
      <c r="AY360" s="192"/>
      <c r="AZ360" s="192"/>
      <c r="BA360" s="192"/>
      <c r="BB360" s="192"/>
      <c r="BC360" s="192"/>
      <c r="BD360" s="192"/>
      <c r="BE360" s="192"/>
      <c r="BF360" s="192"/>
      <c r="BG360" s="192"/>
      <c r="BH360" s="192"/>
      <c r="BI360" s="192"/>
      <c r="BJ360" s="192"/>
      <c r="BK360" s="192"/>
      <c r="BL360" s="192"/>
      <c r="BM360" s="192"/>
      <c r="BN360" s="192"/>
      <c r="BO360" s="192"/>
      <c r="BP360" s="192"/>
      <c r="BQ360" s="192"/>
      <c r="BR360" s="192"/>
      <c r="BS360" s="192"/>
      <c r="BT360" s="192"/>
      <c r="BU360" s="192"/>
      <c r="BV360" s="192"/>
      <c r="BW360" s="192"/>
      <c r="BX360" s="192"/>
      <c r="BY360" s="192"/>
      <c r="BZ360" s="192"/>
      <c r="CA360" s="192"/>
      <c r="CB360" s="192"/>
      <c r="CC360" s="192"/>
      <c r="CD360" s="192"/>
      <c r="CE360" s="192"/>
      <c r="CF360" s="192"/>
      <c r="CG360" s="192"/>
      <c r="CH360" s="192"/>
      <c r="CI360" s="192"/>
      <c r="CJ360" s="192"/>
      <c r="CK360" s="192"/>
      <c r="CL360" s="192"/>
      <c r="CM360" s="192"/>
      <c r="CN360" s="192"/>
      <c r="CO360" s="192"/>
      <c r="CP360" s="192"/>
      <c r="CQ360" s="192"/>
      <c r="CR360" s="192"/>
      <c r="CS360" s="192"/>
      <c r="CT360" s="192"/>
      <c r="CU360" s="192"/>
      <c r="CV360" s="192"/>
      <c r="CW360" s="192"/>
      <c r="CX360" s="192"/>
      <c r="CY360" s="192"/>
      <c r="CZ360" s="192"/>
      <c r="DA360" s="192"/>
      <c r="DB360" s="192"/>
      <c r="DC360" s="192"/>
      <c r="DD360" s="192"/>
      <c r="DE360" s="192"/>
      <c r="DF360" s="192"/>
      <c r="DG360" s="192"/>
      <c r="DH360" s="192"/>
      <c r="DI360" s="192"/>
      <c r="DJ360" s="192"/>
      <c r="DK360" s="192"/>
      <c r="DL360" s="192"/>
      <c r="DM360" s="192"/>
      <c r="DN360" s="192"/>
      <c r="DO360" s="192"/>
      <c r="DP360" s="192"/>
      <c r="DQ360" s="192"/>
      <c r="DR360" s="192"/>
      <c r="DS360" s="192"/>
      <c r="DT360" s="192"/>
      <c r="DU360" s="192"/>
      <c r="DV360" s="192"/>
      <c r="DW360" s="192"/>
      <c r="DX360" s="192"/>
      <c r="DY360" s="192"/>
      <c r="DZ360" s="192"/>
      <c r="EA360" s="192"/>
      <c r="EB360" s="192"/>
      <c r="EC360" s="192"/>
      <c r="ED360" s="192"/>
      <c r="EE360" s="192"/>
      <c r="EF360" s="192"/>
      <c r="EG360" s="192"/>
      <c r="EH360" s="192"/>
      <c r="EI360" s="192"/>
      <c r="EJ360" s="192"/>
      <c r="EK360" s="192"/>
      <c r="EL360" s="192"/>
      <c r="EM360" s="192"/>
      <c r="EN360" s="192"/>
      <c r="EO360" s="192"/>
      <c r="EP360" s="192"/>
      <c r="EQ360" s="192"/>
    </row>
    <row r="361" spans="1:147" x14ac:dyDescent="0.2">
      <c r="A361" s="192"/>
      <c r="B361" s="192"/>
      <c r="C361" s="192"/>
      <c r="D361" s="192"/>
      <c r="E361" s="192"/>
      <c r="F361" s="192"/>
      <c r="G361" s="192"/>
      <c r="H361" s="192"/>
      <c r="I361" s="192"/>
      <c r="J361" s="192"/>
      <c r="K361" s="192"/>
      <c r="L361" s="192"/>
      <c r="M361" s="192"/>
      <c r="N361" s="192"/>
      <c r="O361" s="192"/>
      <c r="P361" s="192"/>
      <c r="Q361" s="192"/>
      <c r="R361" s="192"/>
      <c r="S361" s="266"/>
      <c r="T361" s="265"/>
      <c r="U361" s="265"/>
      <c r="V361" s="265"/>
      <c r="W361" s="265"/>
      <c r="X361" s="265"/>
      <c r="Y361" s="265"/>
      <c r="Z361" s="265"/>
      <c r="AA361" s="265"/>
      <c r="AB361" s="265"/>
      <c r="AC361" s="265"/>
      <c r="AD361" s="265"/>
      <c r="AE361" s="265"/>
      <c r="AF361" s="265"/>
      <c r="AG361" s="265"/>
      <c r="AH361" s="265"/>
      <c r="AI361" s="192"/>
      <c r="AJ361" s="192"/>
      <c r="AK361" s="192"/>
      <c r="AL361" s="192"/>
      <c r="AM361" s="192"/>
      <c r="AN361" s="192"/>
      <c r="AO361" s="192"/>
      <c r="AP361" s="192"/>
      <c r="AQ361" s="192"/>
      <c r="AR361" s="192"/>
      <c r="AS361" s="192"/>
      <c r="AT361" s="192"/>
      <c r="AU361" s="192"/>
      <c r="AV361" s="192"/>
      <c r="AW361" s="192"/>
      <c r="AX361" s="192"/>
      <c r="AY361" s="192"/>
      <c r="AZ361" s="192"/>
      <c r="BA361" s="192"/>
      <c r="BB361" s="192"/>
      <c r="BC361" s="192"/>
      <c r="BD361" s="192"/>
      <c r="BE361" s="192"/>
      <c r="BF361" s="192"/>
      <c r="BG361" s="192"/>
      <c r="BH361" s="192"/>
      <c r="BI361" s="192"/>
      <c r="BJ361" s="192"/>
      <c r="BK361" s="192"/>
      <c r="BL361" s="192"/>
      <c r="BM361" s="192"/>
      <c r="BN361" s="192"/>
      <c r="BO361" s="192"/>
      <c r="BP361" s="192"/>
      <c r="BQ361" s="192"/>
      <c r="BR361" s="192"/>
      <c r="BS361" s="192"/>
      <c r="BT361" s="192"/>
      <c r="BU361" s="192"/>
      <c r="BV361" s="192"/>
      <c r="BW361" s="192"/>
      <c r="BX361" s="192"/>
      <c r="BY361" s="192"/>
      <c r="BZ361" s="192"/>
      <c r="CA361" s="192"/>
      <c r="CB361" s="192"/>
      <c r="CC361" s="192"/>
      <c r="CD361" s="192"/>
      <c r="CE361" s="192"/>
      <c r="CF361" s="192"/>
      <c r="CG361" s="192"/>
      <c r="CH361" s="192"/>
      <c r="CI361" s="192"/>
      <c r="CJ361" s="192"/>
      <c r="CK361" s="192"/>
      <c r="CL361" s="192"/>
      <c r="CM361" s="192"/>
      <c r="CN361" s="192"/>
      <c r="CO361" s="192"/>
      <c r="CP361" s="192"/>
      <c r="CQ361" s="192"/>
      <c r="CR361" s="192"/>
      <c r="CS361" s="192"/>
      <c r="CT361" s="192"/>
      <c r="CU361" s="192"/>
      <c r="CV361" s="192"/>
      <c r="CW361" s="192"/>
      <c r="CX361" s="192"/>
      <c r="CY361" s="192"/>
      <c r="CZ361" s="192"/>
      <c r="DA361" s="192"/>
      <c r="DB361" s="192"/>
      <c r="DC361" s="192"/>
      <c r="DD361" s="192"/>
      <c r="DE361" s="192"/>
      <c r="DF361" s="192"/>
      <c r="DG361" s="192"/>
      <c r="DH361" s="192"/>
      <c r="DI361" s="192"/>
      <c r="DJ361" s="192"/>
      <c r="DK361" s="192"/>
      <c r="DL361" s="192"/>
      <c r="DM361" s="192"/>
      <c r="DN361" s="192"/>
      <c r="DO361" s="192"/>
      <c r="DP361" s="192"/>
      <c r="DQ361" s="192"/>
      <c r="DR361" s="192"/>
      <c r="DS361" s="192"/>
      <c r="DT361" s="192"/>
      <c r="DU361" s="192"/>
      <c r="DV361" s="192"/>
      <c r="DW361" s="192"/>
      <c r="DX361" s="192"/>
      <c r="DY361" s="192"/>
      <c r="DZ361" s="192"/>
      <c r="EA361" s="192"/>
      <c r="EB361" s="192"/>
      <c r="EC361" s="192"/>
      <c r="ED361" s="192"/>
      <c r="EE361" s="192"/>
      <c r="EF361" s="192"/>
      <c r="EG361" s="192"/>
      <c r="EH361" s="192"/>
      <c r="EI361" s="192"/>
      <c r="EJ361" s="192"/>
      <c r="EK361" s="192"/>
      <c r="EL361" s="192"/>
      <c r="EM361" s="192"/>
      <c r="EN361" s="192"/>
      <c r="EO361" s="192"/>
      <c r="EP361" s="192"/>
      <c r="EQ361" s="192"/>
    </row>
    <row r="362" spans="1:147" x14ac:dyDescent="0.2">
      <c r="A362" s="192"/>
      <c r="B362" s="192"/>
      <c r="C362" s="192"/>
      <c r="D362" s="192"/>
      <c r="E362" s="192"/>
      <c r="F362" s="192"/>
      <c r="G362" s="192"/>
      <c r="H362" s="192"/>
      <c r="I362" s="192"/>
      <c r="J362" s="192"/>
      <c r="K362" s="192"/>
      <c r="L362" s="192"/>
      <c r="M362" s="192"/>
      <c r="N362" s="192"/>
      <c r="O362" s="192"/>
      <c r="P362" s="192"/>
      <c r="Q362" s="192"/>
      <c r="R362" s="192"/>
      <c r="S362" s="266"/>
      <c r="T362" s="265"/>
      <c r="U362" s="265"/>
      <c r="V362" s="265"/>
      <c r="W362" s="265"/>
      <c r="X362" s="265"/>
      <c r="Y362" s="265"/>
      <c r="Z362" s="265"/>
      <c r="AA362" s="265"/>
      <c r="AB362" s="265"/>
      <c r="AC362" s="265"/>
      <c r="AD362" s="265"/>
      <c r="AE362" s="265"/>
      <c r="AF362" s="265"/>
      <c r="AG362" s="265"/>
      <c r="AH362" s="265"/>
      <c r="AI362" s="192"/>
      <c r="AJ362" s="192"/>
      <c r="AK362" s="192"/>
      <c r="AL362" s="192"/>
      <c r="AM362" s="192"/>
      <c r="AN362" s="192"/>
      <c r="AO362" s="192"/>
      <c r="AP362" s="192"/>
      <c r="AQ362" s="192"/>
      <c r="AR362" s="192"/>
      <c r="AS362" s="192"/>
      <c r="AT362" s="192"/>
      <c r="AU362" s="192"/>
      <c r="AV362" s="192"/>
      <c r="AW362" s="192"/>
      <c r="AX362" s="192"/>
      <c r="AY362" s="192"/>
      <c r="AZ362" s="192"/>
      <c r="BA362" s="192"/>
      <c r="BB362" s="192"/>
      <c r="BC362" s="192"/>
      <c r="BD362" s="192"/>
      <c r="BE362" s="192"/>
      <c r="BF362" s="192"/>
      <c r="BG362" s="192"/>
      <c r="BH362" s="192"/>
      <c r="BI362" s="192"/>
      <c r="BJ362" s="192"/>
      <c r="BK362" s="192"/>
      <c r="BL362" s="192"/>
      <c r="BM362" s="192"/>
      <c r="BN362" s="192"/>
      <c r="BO362" s="192"/>
      <c r="BP362" s="192"/>
      <c r="BQ362" s="192"/>
      <c r="BR362" s="192"/>
      <c r="BS362" s="192"/>
      <c r="BT362" s="192"/>
      <c r="BU362" s="192"/>
      <c r="BV362" s="192"/>
      <c r="BW362" s="192"/>
      <c r="BX362" s="192"/>
      <c r="BY362" s="192"/>
      <c r="BZ362" s="192"/>
      <c r="CA362" s="192"/>
      <c r="CB362" s="192"/>
      <c r="CC362" s="192"/>
      <c r="CD362" s="192"/>
      <c r="CE362" s="192"/>
      <c r="CF362" s="192"/>
      <c r="CG362" s="192"/>
      <c r="CH362" s="192"/>
      <c r="CI362" s="192"/>
      <c r="CJ362" s="192"/>
      <c r="CK362" s="192"/>
      <c r="CL362" s="192"/>
      <c r="CM362" s="192"/>
      <c r="CN362" s="192"/>
      <c r="CO362" s="192"/>
      <c r="CP362" s="192"/>
      <c r="CQ362" s="192"/>
      <c r="CR362" s="192"/>
      <c r="CS362" s="192"/>
      <c r="CT362" s="192"/>
      <c r="CU362" s="192"/>
      <c r="CV362" s="192"/>
      <c r="CW362" s="192"/>
      <c r="CX362" s="192"/>
      <c r="CY362" s="192"/>
      <c r="CZ362" s="192"/>
      <c r="DA362" s="192"/>
      <c r="DB362" s="192"/>
      <c r="DC362" s="192"/>
      <c r="DD362" s="192"/>
      <c r="DE362" s="192"/>
      <c r="DF362" s="192"/>
      <c r="DG362" s="192"/>
      <c r="DH362" s="192"/>
      <c r="DI362" s="192"/>
      <c r="DJ362" s="192"/>
      <c r="DK362" s="192"/>
      <c r="DL362" s="192"/>
      <c r="DM362" s="192"/>
      <c r="DN362" s="192"/>
      <c r="DO362" s="192"/>
      <c r="DP362" s="192"/>
      <c r="DQ362" s="192"/>
      <c r="DR362" s="192"/>
      <c r="DS362" s="192"/>
      <c r="DT362" s="192"/>
      <c r="DU362" s="192"/>
      <c r="DV362" s="192"/>
      <c r="DW362" s="192"/>
      <c r="DX362" s="192"/>
      <c r="DY362" s="192"/>
      <c r="DZ362" s="192"/>
      <c r="EA362" s="192"/>
      <c r="EB362" s="192"/>
      <c r="EC362" s="192"/>
      <c r="ED362" s="192"/>
      <c r="EE362" s="192"/>
      <c r="EF362" s="192"/>
      <c r="EG362" s="192"/>
      <c r="EH362" s="192"/>
      <c r="EI362" s="192"/>
      <c r="EJ362" s="192"/>
      <c r="EK362" s="192"/>
      <c r="EL362" s="192"/>
      <c r="EM362" s="192"/>
      <c r="EN362" s="192"/>
      <c r="EO362" s="192"/>
      <c r="EP362" s="192"/>
      <c r="EQ362" s="192"/>
    </row>
    <row r="363" spans="1:147" x14ac:dyDescent="0.2">
      <c r="A363" s="192"/>
      <c r="B363" s="192"/>
      <c r="C363" s="192"/>
      <c r="D363" s="192"/>
      <c r="E363" s="192"/>
      <c r="F363" s="192"/>
      <c r="G363" s="192"/>
      <c r="H363" s="192"/>
      <c r="I363" s="192"/>
      <c r="J363" s="192"/>
      <c r="K363" s="192"/>
      <c r="L363" s="192"/>
      <c r="M363" s="192"/>
      <c r="N363" s="192"/>
      <c r="O363" s="192"/>
      <c r="P363" s="192"/>
      <c r="Q363" s="192"/>
      <c r="R363" s="192"/>
      <c r="S363" s="266"/>
      <c r="T363" s="265"/>
      <c r="U363" s="265"/>
      <c r="V363" s="265"/>
      <c r="W363" s="265"/>
      <c r="X363" s="265"/>
      <c r="Y363" s="265"/>
      <c r="Z363" s="265"/>
      <c r="AA363" s="265"/>
      <c r="AB363" s="265"/>
      <c r="AC363" s="265"/>
      <c r="AD363" s="265"/>
      <c r="AE363" s="265"/>
      <c r="AF363" s="265"/>
      <c r="AG363" s="265"/>
      <c r="AH363" s="265"/>
      <c r="AI363" s="192"/>
      <c r="AJ363" s="192"/>
      <c r="AK363" s="192"/>
      <c r="AL363" s="192"/>
      <c r="AM363" s="192"/>
      <c r="AN363" s="192"/>
      <c r="AO363" s="192"/>
      <c r="AP363" s="192"/>
      <c r="AQ363" s="192"/>
      <c r="AR363" s="192"/>
      <c r="AS363" s="192"/>
      <c r="AT363" s="192"/>
      <c r="AU363" s="192"/>
      <c r="AV363" s="192"/>
      <c r="AW363" s="192"/>
      <c r="AX363" s="192"/>
      <c r="AY363" s="192"/>
      <c r="AZ363" s="192"/>
      <c r="BA363" s="192"/>
      <c r="BB363" s="192"/>
      <c r="BC363" s="192"/>
      <c r="BD363" s="192"/>
      <c r="BE363" s="192"/>
      <c r="BF363" s="192"/>
      <c r="BG363" s="192"/>
      <c r="BH363" s="192"/>
      <c r="BI363" s="192"/>
      <c r="BJ363" s="192"/>
      <c r="BK363" s="192"/>
      <c r="BL363" s="192"/>
      <c r="BM363" s="192"/>
      <c r="BN363" s="192"/>
      <c r="BO363" s="192"/>
      <c r="BP363" s="192"/>
      <c r="BQ363" s="192"/>
      <c r="BR363" s="192"/>
      <c r="BS363" s="192"/>
      <c r="BT363" s="192"/>
      <c r="BU363" s="192"/>
      <c r="BV363" s="192"/>
      <c r="BW363" s="192"/>
      <c r="BX363" s="192"/>
      <c r="BY363" s="192"/>
      <c r="BZ363" s="192"/>
      <c r="CA363" s="192"/>
      <c r="CB363" s="192"/>
      <c r="CC363" s="192"/>
      <c r="CD363" s="192"/>
      <c r="CE363" s="192"/>
      <c r="CF363" s="192"/>
      <c r="CG363" s="192"/>
      <c r="CH363" s="192"/>
      <c r="CI363" s="192"/>
      <c r="CJ363" s="192"/>
      <c r="CK363" s="192"/>
      <c r="CL363" s="192"/>
      <c r="CM363" s="192"/>
      <c r="CN363" s="192"/>
      <c r="CO363" s="192"/>
      <c r="CP363" s="192"/>
      <c r="CQ363" s="192"/>
      <c r="CR363" s="192"/>
      <c r="CS363" s="192"/>
      <c r="CT363" s="192"/>
      <c r="CU363" s="192"/>
      <c r="CV363" s="192"/>
      <c r="CW363" s="192"/>
      <c r="CX363" s="192"/>
      <c r="CY363" s="192"/>
      <c r="CZ363" s="192"/>
      <c r="DA363" s="192"/>
      <c r="DB363" s="192"/>
      <c r="DC363" s="192"/>
      <c r="DD363" s="192"/>
      <c r="DE363" s="192"/>
      <c r="DF363" s="192"/>
      <c r="DG363" s="192"/>
      <c r="DH363" s="192"/>
      <c r="DI363" s="192"/>
      <c r="DJ363" s="192"/>
      <c r="DK363" s="192"/>
      <c r="DL363" s="192"/>
      <c r="DM363" s="192"/>
      <c r="DN363" s="192"/>
      <c r="DO363" s="192"/>
      <c r="DP363" s="192"/>
      <c r="DQ363" s="192"/>
      <c r="DR363" s="192"/>
      <c r="DS363" s="192"/>
      <c r="DT363" s="192"/>
      <c r="DU363" s="192"/>
      <c r="DV363" s="192"/>
      <c r="DW363" s="192"/>
      <c r="DX363" s="192"/>
      <c r="DY363" s="192"/>
      <c r="DZ363" s="192"/>
      <c r="EA363" s="192"/>
      <c r="EB363" s="192"/>
      <c r="EC363" s="192"/>
      <c r="ED363" s="192"/>
      <c r="EE363" s="192"/>
      <c r="EF363" s="192"/>
      <c r="EG363" s="192"/>
      <c r="EH363" s="192"/>
      <c r="EI363" s="192"/>
      <c r="EJ363" s="192"/>
      <c r="EK363" s="192"/>
      <c r="EL363" s="192"/>
      <c r="EM363" s="192"/>
      <c r="EN363" s="192"/>
      <c r="EO363" s="192"/>
      <c r="EP363" s="192"/>
      <c r="EQ363" s="192"/>
    </row>
    <row r="364" spans="1:147" x14ac:dyDescent="0.2">
      <c r="A364" s="192"/>
      <c r="B364" s="192"/>
      <c r="C364" s="192"/>
      <c r="D364" s="192"/>
      <c r="E364" s="192"/>
      <c r="F364" s="192"/>
      <c r="G364" s="192"/>
      <c r="H364" s="192"/>
      <c r="I364" s="192"/>
      <c r="J364" s="192"/>
      <c r="K364" s="192"/>
      <c r="L364" s="192"/>
      <c r="M364" s="192"/>
      <c r="N364" s="192"/>
      <c r="O364" s="192"/>
      <c r="P364" s="192"/>
      <c r="Q364" s="192"/>
      <c r="R364" s="192"/>
      <c r="S364" s="266"/>
      <c r="T364" s="265"/>
      <c r="U364" s="265"/>
      <c r="V364" s="265"/>
      <c r="W364" s="265"/>
      <c r="X364" s="265"/>
      <c r="Y364" s="265"/>
      <c r="Z364" s="265"/>
      <c r="AA364" s="265"/>
      <c r="AB364" s="265"/>
      <c r="AC364" s="265"/>
      <c r="AD364" s="265"/>
      <c r="AE364" s="265"/>
      <c r="AF364" s="265"/>
      <c r="AG364" s="265"/>
      <c r="AH364" s="265"/>
      <c r="AI364" s="192"/>
      <c r="AJ364" s="192"/>
      <c r="AK364" s="192"/>
      <c r="AL364" s="192"/>
      <c r="AM364" s="192"/>
      <c r="AN364" s="192"/>
      <c r="AO364" s="192"/>
      <c r="AP364" s="192"/>
      <c r="AQ364" s="192"/>
      <c r="AR364" s="192"/>
      <c r="AS364" s="192"/>
      <c r="AT364" s="192"/>
      <c r="AU364" s="192"/>
      <c r="AV364" s="192"/>
      <c r="AW364" s="192"/>
      <c r="AX364" s="192"/>
      <c r="AY364" s="192"/>
      <c r="AZ364" s="192"/>
      <c r="BA364" s="192"/>
      <c r="BB364" s="192"/>
      <c r="BC364" s="192"/>
      <c r="BD364" s="192"/>
      <c r="BE364" s="192"/>
      <c r="BF364" s="192"/>
      <c r="BG364" s="192"/>
      <c r="BH364" s="192"/>
      <c r="BI364" s="192"/>
      <c r="BJ364" s="192"/>
      <c r="BK364" s="192"/>
      <c r="BL364" s="192"/>
      <c r="BM364" s="192"/>
      <c r="BN364" s="192"/>
      <c r="BO364" s="192"/>
      <c r="BP364" s="192"/>
      <c r="BQ364" s="192"/>
      <c r="BR364" s="192"/>
      <c r="BS364" s="192"/>
      <c r="BT364" s="192"/>
      <c r="BU364" s="192"/>
      <c r="BV364" s="192"/>
      <c r="BW364" s="192"/>
      <c r="BX364" s="192"/>
      <c r="BY364" s="192"/>
      <c r="BZ364" s="192"/>
      <c r="CA364" s="192"/>
      <c r="CB364" s="192"/>
      <c r="CC364" s="192"/>
      <c r="CD364" s="192"/>
      <c r="CE364" s="192"/>
      <c r="CF364" s="192"/>
      <c r="CG364" s="192"/>
      <c r="CH364" s="192"/>
      <c r="CI364" s="192"/>
      <c r="CJ364" s="192"/>
      <c r="CK364" s="192"/>
      <c r="CL364" s="192"/>
      <c r="CM364" s="192"/>
      <c r="CN364" s="192"/>
      <c r="CO364" s="192"/>
      <c r="CP364" s="192"/>
      <c r="CQ364" s="192"/>
      <c r="CR364" s="192"/>
      <c r="CS364" s="192"/>
      <c r="CT364" s="192"/>
      <c r="CU364" s="192"/>
      <c r="CV364" s="192"/>
      <c r="CW364" s="192"/>
      <c r="CX364" s="192"/>
      <c r="CY364" s="192"/>
      <c r="CZ364" s="192"/>
      <c r="DA364" s="192"/>
      <c r="DB364" s="192"/>
      <c r="DC364" s="192"/>
      <c r="DD364" s="192"/>
      <c r="DE364" s="192"/>
      <c r="DF364" s="192"/>
      <c r="DG364" s="192"/>
      <c r="DH364" s="192"/>
      <c r="DI364" s="192"/>
      <c r="DJ364" s="192"/>
      <c r="DK364" s="192"/>
      <c r="DL364" s="192"/>
      <c r="DM364" s="192"/>
      <c r="DN364" s="192"/>
      <c r="DO364" s="192"/>
      <c r="DP364" s="192"/>
      <c r="DQ364" s="192"/>
      <c r="DR364" s="192"/>
      <c r="DS364" s="192"/>
      <c r="DT364" s="192"/>
      <c r="DU364" s="192"/>
      <c r="DV364" s="192"/>
      <c r="DW364" s="192"/>
      <c r="DX364" s="192"/>
      <c r="DY364" s="192"/>
      <c r="DZ364" s="192"/>
      <c r="EA364" s="192"/>
      <c r="EB364" s="192"/>
      <c r="EC364" s="192"/>
      <c r="ED364" s="192"/>
      <c r="EE364" s="192"/>
      <c r="EF364" s="192"/>
      <c r="EG364" s="192"/>
      <c r="EH364" s="192"/>
      <c r="EI364" s="192"/>
      <c r="EJ364" s="192"/>
      <c r="EK364" s="192"/>
      <c r="EL364" s="192"/>
      <c r="EM364" s="192"/>
      <c r="EN364" s="192"/>
      <c r="EO364" s="192"/>
      <c r="EP364" s="192"/>
      <c r="EQ364" s="192"/>
    </row>
    <row r="365" spans="1:147" x14ac:dyDescent="0.2">
      <c r="A365" s="192"/>
      <c r="B365" s="192"/>
      <c r="C365" s="192"/>
      <c r="D365" s="192"/>
      <c r="E365" s="192"/>
      <c r="F365" s="192"/>
      <c r="G365" s="192"/>
      <c r="H365" s="192"/>
      <c r="I365" s="192"/>
      <c r="J365" s="192"/>
      <c r="K365" s="192"/>
      <c r="L365" s="192"/>
      <c r="M365" s="192"/>
      <c r="N365" s="192"/>
      <c r="O365" s="192"/>
      <c r="P365" s="192"/>
      <c r="Q365" s="192"/>
      <c r="R365" s="192"/>
      <c r="S365" s="266"/>
      <c r="T365" s="265"/>
      <c r="U365" s="265"/>
      <c r="V365" s="265"/>
      <c r="W365" s="265"/>
      <c r="X365" s="265"/>
      <c r="Y365" s="265"/>
      <c r="Z365" s="265"/>
      <c r="AA365" s="265"/>
      <c r="AB365" s="265"/>
      <c r="AC365" s="265"/>
      <c r="AD365" s="265"/>
      <c r="AE365" s="265"/>
      <c r="AF365" s="265"/>
      <c r="AG365" s="265"/>
      <c r="AH365" s="265"/>
      <c r="AI365" s="192"/>
      <c r="AJ365" s="192"/>
      <c r="AK365" s="192"/>
      <c r="AL365" s="192"/>
      <c r="AM365" s="192"/>
      <c r="AN365" s="192"/>
      <c r="AO365" s="192"/>
      <c r="AP365" s="192"/>
      <c r="AQ365" s="192"/>
      <c r="AR365" s="192"/>
      <c r="AS365" s="192"/>
      <c r="AT365" s="192"/>
      <c r="AU365" s="192"/>
      <c r="AV365" s="192"/>
      <c r="AW365" s="192"/>
      <c r="AX365" s="192"/>
      <c r="AY365" s="192"/>
      <c r="AZ365" s="192"/>
      <c r="BA365" s="192"/>
      <c r="BB365" s="192"/>
      <c r="BC365" s="192"/>
      <c r="BD365" s="192"/>
      <c r="BE365" s="192"/>
      <c r="BF365" s="192"/>
      <c r="BG365" s="192"/>
      <c r="BH365" s="192"/>
      <c r="BI365" s="192"/>
      <c r="BJ365" s="192"/>
      <c r="BK365" s="192"/>
      <c r="BL365" s="192"/>
      <c r="BM365" s="192"/>
      <c r="BN365" s="192"/>
      <c r="BO365" s="192"/>
      <c r="BP365" s="192"/>
      <c r="BQ365" s="192"/>
      <c r="BR365" s="192"/>
      <c r="BS365" s="192"/>
      <c r="BT365" s="192"/>
      <c r="BU365" s="192"/>
      <c r="BV365" s="192"/>
      <c r="BW365" s="192"/>
      <c r="BX365" s="192"/>
      <c r="BY365" s="192"/>
      <c r="BZ365" s="192"/>
      <c r="CA365" s="192"/>
      <c r="CB365" s="192"/>
      <c r="CC365" s="192"/>
      <c r="CD365" s="192"/>
      <c r="CE365" s="192"/>
      <c r="CF365" s="192"/>
      <c r="CG365" s="192"/>
      <c r="CH365" s="192"/>
      <c r="CI365" s="192"/>
      <c r="CJ365" s="192"/>
      <c r="CK365" s="192"/>
      <c r="CL365" s="192"/>
      <c r="CM365" s="192"/>
      <c r="CN365" s="192"/>
      <c r="CO365" s="192"/>
      <c r="CP365" s="192"/>
      <c r="CQ365" s="192"/>
      <c r="CR365" s="192"/>
      <c r="CS365" s="192"/>
      <c r="CT365" s="192"/>
      <c r="CU365" s="192"/>
      <c r="CV365" s="192"/>
      <c r="CW365" s="192"/>
      <c r="CX365" s="192"/>
      <c r="CY365" s="192"/>
      <c r="CZ365" s="192"/>
      <c r="DA365" s="192"/>
      <c r="DB365" s="192"/>
      <c r="DC365" s="192"/>
      <c r="DD365" s="192"/>
      <c r="DE365" s="192"/>
      <c r="DF365" s="192"/>
      <c r="DG365" s="192"/>
      <c r="DH365" s="192"/>
      <c r="DI365" s="192"/>
      <c r="DJ365" s="192"/>
      <c r="DK365" s="192"/>
      <c r="DL365" s="192"/>
      <c r="DM365" s="192"/>
      <c r="DN365" s="192"/>
      <c r="DO365" s="192"/>
      <c r="DP365" s="192"/>
      <c r="DQ365" s="192"/>
      <c r="DR365" s="192"/>
      <c r="DS365" s="192"/>
      <c r="DT365" s="192"/>
      <c r="DU365" s="192"/>
      <c r="DV365" s="192"/>
      <c r="DW365" s="192"/>
      <c r="DX365" s="192"/>
      <c r="DY365" s="192"/>
      <c r="DZ365" s="192"/>
      <c r="EA365" s="192"/>
      <c r="EB365" s="192"/>
      <c r="EC365" s="192"/>
      <c r="ED365" s="192"/>
      <c r="EE365" s="192"/>
      <c r="EF365" s="192"/>
      <c r="EG365" s="192"/>
      <c r="EH365" s="192"/>
      <c r="EI365" s="192"/>
      <c r="EJ365" s="192"/>
      <c r="EK365" s="192"/>
      <c r="EL365" s="192"/>
      <c r="EM365" s="192"/>
      <c r="EN365" s="192"/>
      <c r="EO365" s="192"/>
      <c r="EP365" s="192"/>
      <c r="EQ365" s="192"/>
    </row>
    <row r="366" spans="1:147" x14ac:dyDescent="0.2">
      <c r="A366" s="192"/>
      <c r="B366" s="192"/>
      <c r="C366" s="192"/>
      <c r="D366" s="192"/>
      <c r="E366" s="192"/>
      <c r="F366" s="192"/>
      <c r="G366" s="192"/>
      <c r="H366" s="192"/>
      <c r="I366" s="192"/>
      <c r="J366" s="192"/>
      <c r="K366" s="192"/>
      <c r="L366" s="192"/>
      <c r="M366" s="192"/>
      <c r="N366" s="192"/>
      <c r="O366" s="192"/>
      <c r="P366" s="192"/>
      <c r="Q366" s="192"/>
      <c r="R366" s="192"/>
      <c r="S366" s="266"/>
      <c r="T366" s="265"/>
      <c r="U366" s="265"/>
      <c r="V366" s="265"/>
      <c r="W366" s="265"/>
      <c r="X366" s="265"/>
      <c r="Y366" s="265"/>
      <c r="Z366" s="265"/>
      <c r="AA366" s="265"/>
      <c r="AB366" s="265"/>
      <c r="AC366" s="265"/>
      <c r="AD366" s="265"/>
      <c r="AE366" s="265"/>
      <c r="AF366" s="265"/>
      <c r="AG366" s="265"/>
      <c r="AH366" s="265"/>
      <c r="AI366" s="192"/>
      <c r="AJ366" s="192"/>
      <c r="AK366" s="192"/>
      <c r="AL366" s="192"/>
      <c r="AM366" s="192"/>
      <c r="AN366" s="192"/>
      <c r="AO366" s="192"/>
      <c r="AP366" s="192"/>
      <c r="AQ366" s="192"/>
      <c r="AR366" s="192"/>
      <c r="AS366" s="192"/>
      <c r="AT366" s="192"/>
      <c r="AU366" s="192"/>
      <c r="AV366" s="192"/>
      <c r="AW366" s="192"/>
      <c r="AX366" s="192"/>
      <c r="AY366" s="192"/>
      <c r="AZ366" s="192"/>
      <c r="BA366" s="192"/>
      <c r="BB366" s="192"/>
      <c r="BC366" s="192"/>
      <c r="BD366" s="192"/>
      <c r="BE366" s="192"/>
      <c r="BF366" s="192"/>
      <c r="BG366" s="192"/>
      <c r="BH366" s="192"/>
      <c r="BI366" s="192"/>
      <c r="BJ366" s="192"/>
      <c r="BK366" s="192"/>
      <c r="BL366" s="192"/>
      <c r="BM366" s="192"/>
      <c r="BN366" s="192"/>
      <c r="BO366" s="192"/>
      <c r="BP366" s="192"/>
      <c r="BQ366" s="192"/>
      <c r="BR366" s="192"/>
      <c r="BS366" s="192"/>
      <c r="BT366" s="192"/>
      <c r="BU366" s="192"/>
      <c r="BV366" s="192"/>
      <c r="BW366" s="192"/>
      <c r="BX366" s="192"/>
      <c r="BY366" s="192"/>
      <c r="BZ366" s="192"/>
      <c r="CA366" s="192"/>
      <c r="CB366" s="192"/>
      <c r="CC366" s="192"/>
      <c r="CD366" s="192"/>
      <c r="CE366" s="192"/>
      <c r="CF366" s="192"/>
      <c r="CG366" s="192"/>
      <c r="CH366" s="192"/>
      <c r="CI366" s="192"/>
      <c r="CJ366" s="192"/>
      <c r="CK366" s="192"/>
      <c r="CL366" s="192"/>
      <c r="CM366" s="192"/>
      <c r="CN366" s="192"/>
      <c r="CO366" s="192"/>
      <c r="CP366" s="192"/>
      <c r="CQ366" s="192"/>
      <c r="CR366" s="192"/>
      <c r="CS366" s="192"/>
      <c r="CT366" s="192"/>
      <c r="CU366" s="192"/>
      <c r="CV366" s="192"/>
      <c r="CW366" s="192"/>
      <c r="CX366" s="192"/>
      <c r="CY366" s="192"/>
      <c r="CZ366" s="192"/>
      <c r="DA366" s="192"/>
      <c r="DB366" s="192"/>
      <c r="DC366" s="192"/>
      <c r="DD366" s="192"/>
      <c r="DE366" s="192"/>
      <c r="DF366" s="192"/>
      <c r="DG366" s="192"/>
      <c r="DH366" s="192"/>
      <c r="DI366" s="192"/>
      <c r="DJ366" s="192"/>
      <c r="DK366" s="192"/>
      <c r="DL366" s="192"/>
      <c r="DM366" s="192"/>
      <c r="DN366" s="192"/>
      <c r="DO366" s="192"/>
      <c r="DP366" s="192"/>
      <c r="DQ366" s="192"/>
      <c r="DR366" s="192"/>
      <c r="DS366" s="192"/>
      <c r="DT366" s="192"/>
      <c r="DU366" s="192"/>
      <c r="DV366" s="192"/>
      <c r="DW366" s="192"/>
      <c r="DX366" s="192"/>
      <c r="DY366" s="192"/>
      <c r="DZ366" s="192"/>
      <c r="EA366" s="192"/>
      <c r="EB366" s="192"/>
      <c r="EC366" s="192"/>
      <c r="ED366" s="192"/>
      <c r="EE366" s="192"/>
      <c r="EF366" s="192"/>
      <c r="EG366" s="192"/>
      <c r="EH366" s="192"/>
      <c r="EI366" s="192"/>
      <c r="EJ366" s="192"/>
      <c r="EK366" s="192"/>
      <c r="EL366" s="192"/>
      <c r="EM366" s="192"/>
      <c r="EN366" s="192"/>
      <c r="EO366" s="192"/>
      <c r="EP366" s="192"/>
      <c r="EQ366" s="192"/>
    </row>
    <row r="367" spans="1:147" x14ac:dyDescent="0.2">
      <c r="A367" s="192"/>
      <c r="B367" s="192"/>
      <c r="C367" s="192"/>
      <c r="D367" s="192"/>
      <c r="E367" s="192"/>
      <c r="F367" s="192"/>
      <c r="G367" s="192"/>
      <c r="H367" s="192"/>
      <c r="I367" s="192"/>
      <c r="J367" s="192"/>
      <c r="K367" s="192"/>
      <c r="L367" s="192"/>
      <c r="M367" s="192"/>
      <c r="N367" s="192"/>
      <c r="O367" s="192"/>
      <c r="P367" s="192"/>
      <c r="Q367" s="192"/>
      <c r="R367" s="192"/>
      <c r="S367" s="266"/>
      <c r="T367" s="265"/>
      <c r="U367" s="265"/>
      <c r="V367" s="265"/>
      <c r="W367" s="265"/>
      <c r="X367" s="265"/>
      <c r="Y367" s="265"/>
      <c r="Z367" s="265"/>
      <c r="AA367" s="265"/>
      <c r="AB367" s="265"/>
      <c r="AC367" s="265"/>
      <c r="AD367" s="265"/>
      <c r="AE367" s="265"/>
      <c r="AF367" s="265"/>
      <c r="AG367" s="265"/>
      <c r="AH367" s="265"/>
      <c r="AI367" s="192"/>
      <c r="AJ367" s="192"/>
      <c r="AK367" s="192"/>
      <c r="AL367" s="192"/>
      <c r="AM367" s="192"/>
      <c r="AN367" s="192"/>
      <c r="AO367" s="192"/>
      <c r="AP367" s="192"/>
      <c r="AQ367" s="192"/>
      <c r="AR367" s="192"/>
      <c r="AS367" s="192"/>
      <c r="AT367" s="192"/>
      <c r="AU367" s="192"/>
      <c r="AV367" s="192"/>
      <c r="AW367" s="192"/>
      <c r="AX367" s="192"/>
      <c r="AY367" s="192"/>
      <c r="AZ367" s="192"/>
      <c r="BA367" s="192"/>
      <c r="BB367" s="192"/>
      <c r="BC367" s="192"/>
      <c r="BD367" s="192"/>
      <c r="BE367" s="192"/>
      <c r="BF367" s="192"/>
      <c r="BG367" s="192"/>
      <c r="BH367" s="192"/>
      <c r="BI367" s="192"/>
      <c r="BJ367" s="192"/>
      <c r="BK367" s="192"/>
      <c r="BL367" s="192"/>
      <c r="BM367" s="192"/>
      <c r="BN367" s="192"/>
      <c r="BO367" s="192"/>
      <c r="BP367" s="192"/>
      <c r="BQ367" s="192"/>
      <c r="BR367" s="192"/>
      <c r="BS367" s="192"/>
      <c r="BT367" s="192"/>
      <c r="BU367" s="192"/>
      <c r="BV367" s="192"/>
      <c r="BW367" s="192"/>
      <c r="BX367" s="192"/>
      <c r="BY367" s="192"/>
      <c r="BZ367" s="192"/>
      <c r="CA367" s="192"/>
      <c r="CB367" s="192"/>
      <c r="CC367" s="192"/>
      <c r="CD367" s="192"/>
      <c r="CE367" s="192"/>
      <c r="CF367" s="192"/>
      <c r="CG367" s="192"/>
      <c r="CH367" s="192"/>
      <c r="CI367" s="192"/>
      <c r="CJ367" s="192"/>
      <c r="CK367" s="192"/>
      <c r="CL367" s="192"/>
      <c r="CM367" s="192"/>
      <c r="CN367" s="192"/>
      <c r="CO367" s="192"/>
      <c r="CP367" s="192"/>
      <c r="CQ367" s="192"/>
      <c r="CR367" s="192"/>
      <c r="CS367" s="192"/>
      <c r="CT367" s="192"/>
      <c r="CU367" s="192"/>
      <c r="CV367" s="192"/>
      <c r="CW367" s="192"/>
      <c r="CX367" s="192"/>
      <c r="CY367" s="192"/>
      <c r="CZ367" s="192"/>
      <c r="DA367" s="192"/>
      <c r="DB367" s="192"/>
      <c r="DC367" s="192"/>
      <c r="DD367" s="192"/>
      <c r="DE367" s="192"/>
      <c r="DF367" s="192"/>
      <c r="DG367" s="192"/>
      <c r="DH367" s="192"/>
      <c r="DI367" s="192"/>
      <c r="DJ367" s="192"/>
      <c r="DK367" s="192"/>
      <c r="DL367" s="192"/>
      <c r="DM367" s="192"/>
      <c r="DN367" s="192"/>
      <c r="DO367" s="192"/>
      <c r="DP367" s="192"/>
      <c r="DQ367" s="192"/>
      <c r="DR367" s="192"/>
      <c r="DS367" s="192"/>
      <c r="DT367" s="192"/>
      <c r="DU367" s="192"/>
      <c r="DV367" s="192"/>
      <c r="DW367" s="192"/>
      <c r="DX367" s="192"/>
      <c r="DY367" s="192"/>
      <c r="DZ367" s="192"/>
      <c r="EA367" s="192"/>
      <c r="EB367" s="192"/>
      <c r="EC367" s="192"/>
      <c r="ED367" s="192"/>
      <c r="EE367" s="192"/>
      <c r="EF367" s="192"/>
      <c r="EG367" s="192"/>
      <c r="EH367" s="192"/>
      <c r="EI367" s="192"/>
      <c r="EJ367" s="192"/>
      <c r="EK367" s="192"/>
      <c r="EL367" s="192"/>
      <c r="EM367" s="192"/>
      <c r="EN367" s="192"/>
      <c r="EO367" s="192"/>
      <c r="EP367" s="192"/>
      <c r="EQ367" s="192"/>
    </row>
    <row r="368" spans="1:147" x14ac:dyDescent="0.2">
      <c r="A368" s="192"/>
      <c r="B368" s="192"/>
      <c r="C368" s="192"/>
      <c r="D368" s="192"/>
      <c r="E368" s="192"/>
      <c r="F368" s="192"/>
      <c r="G368" s="192"/>
      <c r="H368" s="192"/>
      <c r="I368" s="192"/>
      <c r="J368" s="192"/>
      <c r="K368" s="192"/>
      <c r="L368" s="192"/>
      <c r="M368" s="192"/>
      <c r="N368" s="192"/>
      <c r="O368" s="192"/>
      <c r="P368" s="192"/>
      <c r="Q368" s="192"/>
      <c r="R368" s="192"/>
      <c r="S368" s="266"/>
      <c r="T368" s="265"/>
      <c r="U368" s="265"/>
      <c r="V368" s="265"/>
      <c r="W368" s="265"/>
      <c r="X368" s="265"/>
      <c r="Y368" s="265"/>
      <c r="Z368" s="265"/>
      <c r="AA368" s="265"/>
      <c r="AB368" s="265"/>
      <c r="AC368" s="265"/>
      <c r="AD368" s="265"/>
      <c r="AE368" s="265"/>
      <c r="AF368" s="265"/>
      <c r="AG368" s="265"/>
      <c r="AH368" s="265"/>
      <c r="AI368" s="192"/>
      <c r="AJ368" s="192"/>
      <c r="AK368" s="192"/>
      <c r="AL368" s="192"/>
      <c r="AM368" s="192"/>
      <c r="AN368" s="192"/>
      <c r="AO368" s="192"/>
      <c r="AP368" s="192"/>
      <c r="AQ368" s="192"/>
      <c r="AR368" s="192"/>
      <c r="AS368" s="192"/>
      <c r="AT368" s="192"/>
      <c r="AU368" s="192"/>
      <c r="AV368" s="192"/>
      <c r="AW368" s="192"/>
      <c r="AX368" s="192"/>
      <c r="AY368" s="192"/>
      <c r="AZ368" s="192"/>
      <c r="BA368" s="192"/>
      <c r="BB368" s="192"/>
      <c r="BC368" s="192"/>
      <c r="BD368" s="192"/>
      <c r="BE368" s="192"/>
      <c r="BF368" s="192"/>
      <c r="BG368" s="192"/>
      <c r="BH368" s="192"/>
      <c r="BI368" s="192"/>
      <c r="BJ368" s="192"/>
      <c r="BK368" s="192"/>
      <c r="BL368" s="192"/>
      <c r="BM368" s="192"/>
      <c r="BN368" s="192"/>
      <c r="BO368" s="192"/>
      <c r="BP368" s="192"/>
      <c r="BQ368" s="192"/>
      <c r="BR368" s="192"/>
      <c r="BS368" s="192"/>
      <c r="BT368" s="192"/>
      <c r="BU368" s="192"/>
      <c r="BV368" s="192"/>
      <c r="BW368" s="192"/>
      <c r="BX368" s="192"/>
      <c r="BY368" s="192"/>
      <c r="BZ368" s="192"/>
      <c r="CA368" s="192"/>
      <c r="CB368" s="192"/>
      <c r="CC368" s="192"/>
      <c r="CD368" s="192"/>
      <c r="CE368" s="192"/>
      <c r="CF368" s="192"/>
      <c r="CG368" s="192"/>
      <c r="CH368" s="192"/>
      <c r="CI368" s="192"/>
      <c r="CJ368" s="192"/>
      <c r="CK368" s="192"/>
      <c r="CL368" s="192"/>
      <c r="CM368" s="192"/>
      <c r="CN368" s="192"/>
      <c r="CO368" s="192"/>
      <c r="CP368" s="192"/>
      <c r="CQ368" s="192"/>
      <c r="CR368" s="192"/>
      <c r="CS368" s="192"/>
      <c r="CT368" s="192"/>
      <c r="CU368" s="192"/>
      <c r="CV368" s="192"/>
      <c r="CW368" s="192"/>
      <c r="CX368" s="192"/>
      <c r="CY368" s="192"/>
      <c r="CZ368" s="192"/>
      <c r="DA368" s="192"/>
      <c r="DB368" s="192"/>
      <c r="DC368" s="192"/>
      <c r="DD368" s="192"/>
      <c r="DE368" s="192"/>
      <c r="DF368" s="192"/>
      <c r="DG368" s="192"/>
      <c r="DH368" s="192"/>
      <c r="DI368" s="192"/>
      <c r="DJ368" s="192"/>
      <c r="DK368" s="192"/>
      <c r="DL368" s="192"/>
      <c r="DM368" s="192"/>
      <c r="DN368" s="192"/>
      <c r="DO368" s="192"/>
      <c r="DP368" s="192"/>
      <c r="DQ368" s="192"/>
      <c r="DR368" s="192"/>
      <c r="DS368" s="192"/>
      <c r="DT368" s="192"/>
      <c r="DU368" s="192"/>
      <c r="DV368" s="192"/>
      <c r="DW368" s="192"/>
      <c r="DX368" s="192"/>
      <c r="DY368" s="192"/>
      <c r="DZ368" s="192"/>
      <c r="EA368" s="192"/>
      <c r="EB368" s="192"/>
      <c r="EC368" s="192"/>
      <c r="ED368" s="192"/>
      <c r="EE368" s="192"/>
      <c r="EF368" s="192"/>
      <c r="EG368" s="192"/>
      <c r="EH368" s="192"/>
      <c r="EI368" s="192"/>
      <c r="EJ368" s="192"/>
      <c r="EK368" s="192"/>
      <c r="EL368" s="192"/>
      <c r="EM368" s="192"/>
      <c r="EN368" s="192"/>
      <c r="EO368" s="192"/>
      <c r="EP368" s="192"/>
      <c r="EQ368" s="192"/>
    </row>
    <row r="369" spans="1:147" x14ac:dyDescent="0.2">
      <c r="A369" s="192"/>
      <c r="B369" s="192"/>
      <c r="C369" s="192"/>
      <c r="D369" s="192"/>
      <c r="E369" s="192"/>
      <c r="F369" s="192"/>
      <c r="G369" s="192"/>
      <c r="H369" s="192"/>
      <c r="I369" s="192"/>
      <c r="J369" s="192"/>
      <c r="K369" s="192"/>
      <c r="L369" s="192"/>
      <c r="M369" s="192"/>
      <c r="N369" s="192"/>
      <c r="O369" s="192"/>
      <c r="P369" s="192"/>
      <c r="Q369" s="192"/>
      <c r="R369" s="192"/>
      <c r="S369" s="266"/>
      <c r="T369" s="265"/>
      <c r="U369" s="265"/>
      <c r="V369" s="265"/>
      <c r="W369" s="265"/>
      <c r="X369" s="265"/>
      <c r="Y369" s="265"/>
      <c r="Z369" s="265"/>
      <c r="AA369" s="265"/>
      <c r="AB369" s="265"/>
      <c r="AC369" s="265"/>
      <c r="AD369" s="265"/>
      <c r="AE369" s="265"/>
      <c r="AF369" s="265"/>
      <c r="AG369" s="265"/>
      <c r="AH369" s="265"/>
      <c r="AI369" s="192"/>
      <c r="AJ369" s="192"/>
      <c r="AK369" s="192"/>
      <c r="AL369" s="192"/>
      <c r="AM369" s="192"/>
      <c r="AN369" s="192"/>
      <c r="AO369" s="192"/>
      <c r="AP369" s="192"/>
      <c r="AQ369" s="192"/>
      <c r="AR369" s="192"/>
      <c r="AS369" s="192"/>
      <c r="AT369" s="192"/>
      <c r="AU369" s="192"/>
      <c r="AV369" s="192"/>
      <c r="AW369" s="192"/>
      <c r="AX369" s="192"/>
      <c r="AY369" s="192"/>
      <c r="AZ369" s="192"/>
      <c r="BA369" s="192"/>
      <c r="BB369" s="192"/>
      <c r="BC369" s="192"/>
      <c r="BD369" s="192"/>
      <c r="BE369" s="192"/>
      <c r="BF369" s="192"/>
      <c r="BG369" s="192"/>
      <c r="BH369" s="192"/>
      <c r="BI369" s="192"/>
      <c r="BJ369" s="192"/>
      <c r="BK369" s="192"/>
      <c r="BL369" s="192"/>
      <c r="BM369" s="192"/>
      <c r="BN369" s="192"/>
      <c r="BO369" s="192"/>
      <c r="BP369" s="192"/>
      <c r="BQ369" s="192"/>
      <c r="BR369" s="192"/>
      <c r="BS369" s="192"/>
      <c r="BT369" s="192"/>
      <c r="BU369" s="192"/>
      <c r="BV369" s="192"/>
      <c r="BW369" s="192"/>
      <c r="BX369" s="192"/>
      <c r="BY369" s="192"/>
      <c r="BZ369" s="192"/>
      <c r="CA369" s="192"/>
      <c r="CB369" s="192"/>
      <c r="CC369" s="192"/>
      <c r="CD369" s="192"/>
      <c r="CE369" s="192"/>
      <c r="CF369" s="192"/>
      <c r="CG369" s="192"/>
      <c r="CH369" s="192"/>
      <c r="CI369" s="192"/>
      <c r="CJ369" s="192"/>
      <c r="CK369" s="192"/>
      <c r="CL369" s="192"/>
      <c r="CM369" s="192"/>
      <c r="CN369" s="192"/>
      <c r="CO369" s="192"/>
      <c r="CP369" s="192"/>
      <c r="CQ369" s="192"/>
      <c r="CR369" s="192"/>
      <c r="CS369" s="192"/>
      <c r="CT369" s="192"/>
      <c r="CU369" s="192"/>
      <c r="CV369" s="192"/>
      <c r="CW369" s="192"/>
      <c r="CX369" s="192"/>
      <c r="CY369" s="192"/>
      <c r="CZ369" s="192"/>
      <c r="DA369" s="192"/>
      <c r="DB369" s="192"/>
      <c r="DC369" s="192"/>
      <c r="DD369" s="192"/>
      <c r="DE369" s="192"/>
      <c r="DF369" s="192"/>
      <c r="DG369" s="192"/>
      <c r="DH369" s="192"/>
      <c r="DI369" s="192"/>
      <c r="DJ369" s="192"/>
      <c r="DK369" s="192"/>
      <c r="DL369" s="192"/>
      <c r="DM369" s="192"/>
      <c r="DN369" s="192"/>
      <c r="DO369" s="192"/>
      <c r="DP369" s="192"/>
      <c r="DQ369" s="192"/>
      <c r="DR369" s="192"/>
      <c r="DS369" s="192"/>
      <c r="DT369" s="192"/>
      <c r="DU369" s="192"/>
      <c r="DV369" s="192"/>
      <c r="DW369" s="192"/>
      <c r="DX369" s="192"/>
      <c r="DY369" s="192"/>
      <c r="DZ369" s="192"/>
      <c r="EA369" s="192"/>
      <c r="EB369" s="192"/>
      <c r="EC369" s="192"/>
      <c r="ED369" s="192"/>
      <c r="EE369" s="192"/>
      <c r="EF369" s="192"/>
      <c r="EG369" s="192"/>
      <c r="EH369" s="192"/>
      <c r="EI369" s="192"/>
      <c r="EJ369" s="192"/>
      <c r="EK369" s="192"/>
      <c r="EL369" s="192"/>
      <c r="EM369" s="192"/>
      <c r="EN369" s="192"/>
      <c r="EO369" s="192"/>
      <c r="EP369" s="192"/>
      <c r="EQ369" s="192"/>
    </row>
    <row r="370" spans="1:147" x14ac:dyDescent="0.2">
      <c r="A370" s="192"/>
      <c r="B370" s="192"/>
      <c r="C370" s="192"/>
      <c r="D370" s="192"/>
      <c r="E370" s="192"/>
      <c r="F370" s="192"/>
      <c r="G370" s="192"/>
      <c r="H370" s="192"/>
      <c r="I370" s="192"/>
      <c r="J370" s="192"/>
      <c r="K370" s="192"/>
      <c r="L370" s="192"/>
      <c r="M370" s="192"/>
      <c r="N370" s="192"/>
      <c r="O370" s="192"/>
      <c r="P370" s="192"/>
      <c r="Q370" s="192"/>
      <c r="R370" s="192"/>
      <c r="S370" s="266"/>
      <c r="T370" s="265"/>
      <c r="U370" s="265"/>
      <c r="V370" s="265"/>
      <c r="W370" s="265"/>
      <c r="X370" s="265"/>
      <c r="Y370" s="265"/>
      <c r="Z370" s="265"/>
      <c r="AA370" s="265"/>
      <c r="AB370" s="265"/>
      <c r="AC370" s="265"/>
      <c r="AD370" s="265"/>
      <c r="AE370" s="265"/>
      <c r="AF370" s="265"/>
      <c r="AG370" s="265"/>
      <c r="AH370" s="265"/>
      <c r="AI370" s="192"/>
      <c r="AJ370" s="192"/>
      <c r="AK370" s="192"/>
      <c r="AL370" s="192"/>
      <c r="AM370" s="192"/>
      <c r="AN370" s="192"/>
      <c r="AO370" s="192"/>
      <c r="AP370" s="192"/>
      <c r="AQ370" s="192"/>
      <c r="AR370" s="192"/>
      <c r="AS370" s="192"/>
      <c r="AT370" s="192"/>
      <c r="AU370" s="192"/>
      <c r="AV370" s="192"/>
      <c r="AW370" s="192"/>
      <c r="AX370" s="192"/>
      <c r="AY370" s="192"/>
      <c r="AZ370" s="192"/>
      <c r="BA370" s="192"/>
      <c r="BB370" s="192"/>
      <c r="BC370" s="192"/>
      <c r="BD370" s="192"/>
      <c r="BE370" s="192"/>
      <c r="BF370" s="192"/>
      <c r="BG370" s="192"/>
      <c r="BH370" s="192"/>
      <c r="BI370" s="192"/>
      <c r="BJ370" s="192"/>
      <c r="BK370" s="192"/>
      <c r="BL370" s="192"/>
      <c r="BM370" s="192"/>
      <c r="BN370" s="192"/>
      <c r="BO370" s="192"/>
      <c r="BP370" s="192"/>
      <c r="BQ370" s="192"/>
      <c r="BR370" s="192"/>
      <c r="BS370" s="192"/>
      <c r="BT370" s="192"/>
      <c r="BU370" s="192"/>
      <c r="BV370" s="192"/>
      <c r="BW370" s="192"/>
      <c r="BX370" s="192"/>
      <c r="BY370" s="192"/>
      <c r="BZ370" s="192"/>
      <c r="CA370" s="192"/>
      <c r="CB370" s="192"/>
      <c r="CC370" s="192"/>
      <c r="CD370" s="192"/>
      <c r="CE370" s="192"/>
      <c r="CF370" s="192"/>
      <c r="CG370" s="192"/>
      <c r="CH370" s="192"/>
      <c r="CI370" s="192"/>
      <c r="CJ370" s="192"/>
      <c r="CK370" s="192"/>
      <c r="CL370" s="192"/>
      <c r="CM370" s="192"/>
      <c r="CN370" s="192"/>
      <c r="CO370" s="192"/>
      <c r="CP370" s="192"/>
      <c r="CQ370" s="192"/>
      <c r="CR370" s="192"/>
      <c r="CS370" s="192"/>
      <c r="CT370" s="192"/>
      <c r="CU370" s="192"/>
      <c r="CV370" s="192"/>
      <c r="CW370" s="192"/>
      <c r="CX370" s="192"/>
      <c r="CY370" s="192"/>
      <c r="CZ370" s="192"/>
      <c r="DA370" s="192"/>
      <c r="DB370" s="192"/>
      <c r="DC370" s="192"/>
      <c r="DD370" s="192"/>
      <c r="DE370" s="192"/>
      <c r="DF370" s="192"/>
      <c r="DG370" s="192"/>
      <c r="DH370" s="192"/>
      <c r="DI370" s="192"/>
      <c r="DJ370" s="192"/>
      <c r="DK370" s="192"/>
      <c r="DL370" s="192"/>
      <c r="DM370" s="192"/>
      <c r="DN370" s="192"/>
      <c r="DO370" s="192"/>
      <c r="DP370" s="192"/>
      <c r="DQ370" s="192"/>
      <c r="DR370" s="192"/>
      <c r="DS370" s="192"/>
      <c r="DT370" s="192"/>
      <c r="DU370" s="192"/>
      <c r="DV370" s="192"/>
      <c r="DW370" s="192"/>
      <c r="DX370" s="192"/>
      <c r="DY370" s="192"/>
      <c r="DZ370" s="192"/>
      <c r="EA370" s="192"/>
      <c r="EB370" s="192"/>
      <c r="EC370" s="192"/>
      <c r="ED370" s="192"/>
      <c r="EE370" s="192"/>
      <c r="EF370" s="192"/>
      <c r="EG370" s="192"/>
      <c r="EH370" s="192"/>
      <c r="EI370" s="192"/>
      <c r="EJ370" s="192"/>
      <c r="EK370" s="192"/>
      <c r="EL370" s="192"/>
      <c r="EM370" s="192"/>
      <c r="EN370" s="192"/>
      <c r="EO370" s="192"/>
      <c r="EP370" s="192"/>
      <c r="EQ370" s="192"/>
    </row>
    <row r="371" spans="1:147" x14ac:dyDescent="0.2">
      <c r="A371" s="192"/>
      <c r="B371" s="192"/>
      <c r="C371" s="192"/>
      <c r="D371" s="192"/>
      <c r="E371" s="192"/>
      <c r="F371" s="192"/>
      <c r="G371" s="192"/>
      <c r="H371" s="192"/>
      <c r="I371" s="192"/>
      <c r="J371" s="192"/>
      <c r="K371" s="192"/>
      <c r="L371" s="192"/>
      <c r="M371" s="192"/>
      <c r="N371" s="192"/>
      <c r="O371" s="192"/>
      <c r="P371" s="192"/>
      <c r="Q371" s="192"/>
      <c r="R371" s="192"/>
      <c r="S371" s="266"/>
      <c r="T371" s="265"/>
      <c r="U371" s="265"/>
      <c r="V371" s="265"/>
      <c r="W371" s="265"/>
      <c r="X371" s="265"/>
      <c r="Y371" s="265"/>
      <c r="Z371" s="265"/>
      <c r="AA371" s="265"/>
      <c r="AB371" s="265"/>
      <c r="AC371" s="265"/>
      <c r="AD371" s="265"/>
      <c r="AE371" s="265"/>
      <c r="AF371" s="265"/>
      <c r="AG371" s="265"/>
      <c r="AH371" s="265"/>
      <c r="AI371" s="192"/>
      <c r="AJ371" s="192"/>
      <c r="AK371" s="192"/>
      <c r="AL371" s="192"/>
      <c r="AM371" s="192"/>
      <c r="AN371" s="192"/>
      <c r="AO371" s="192"/>
      <c r="AP371" s="192"/>
      <c r="AQ371" s="192"/>
      <c r="AR371" s="192"/>
      <c r="AS371" s="192"/>
      <c r="AT371" s="192"/>
      <c r="AU371" s="192"/>
      <c r="AV371" s="192"/>
      <c r="AW371" s="192"/>
      <c r="AX371" s="192"/>
      <c r="AY371" s="192"/>
      <c r="AZ371" s="192"/>
      <c r="BA371" s="192"/>
      <c r="BB371" s="192"/>
      <c r="BC371" s="192"/>
      <c r="BD371" s="192"/>
      <c r="BE371" s="192"/>
      <c r="BF371" s="192"/>
      <c r="BG371" s="192"/>
      <c r="BH371" s="192"/>
      <c r="BI371" s="192"/>
      <c r="BJ371" s="192"/>
      <c r="BK371" s="192"/>
      <c r="BL371" s="192"/>
      <c r="BM371" s="192"/>
      <c r="BN371" s="192"/>
      <c r="BO371" s="192"/>
      <c r="BP371" s="192"/>
      <c r="BQ371" s="192"/>
      <c r="BR371" s="192"/>
      <c r="BS371" s="192"/>
      <c r="BT371" s="192"/>
      <c r="BU371" s="192"/>
      <c r="BV371" s="192"/>
      <c r="BW371" s="192"/>
      <c r="BX371" s="192"/>
      <c r="BY371" s="192"/>
      <c r="BZ371" s="192"/>
      <c r="CA371" s="192"/>
      <c r="CB371" s="192"/>
      <c r="CC371" s="192"/>
      <c r="CD371" s="192"/>
      <c r="CE371" s="192"/>
      <c r="CF371" s="192"/>
      <c r="CG371" s="192"/>
      <c r="CH371" s="192"/>
      <c r="CI371" s="192"/>
      <c r="CJ371" s="192"/>
      <c r="CK371" s="192"/>
      <c r="CL371" s="192"/>
      <c r="CM371" s="192"/>
      <c r="CN371" s="192"/>
      <c r="CO371" s="192"/>
      <c r="CP371" s="192"/>
      <c r="CQ371" s="192"/>
      <c r="CR371" s="192"/>
      <c r="CS371" s="192"/>
      <c r="CT371" s="192"/>
      <c r="CU371" s="192"/>
      <c r="CV371" s="192"/>
      <c r="CW371" s="192"/>
      <c r="CX371" s="192"/>
      <c r="CY371" s="192"/>
      <c r="CZ371" s="192"/>
      <c r="DA371" s="192"/>
      <c r="DB371" s="192"/>
      <c r="DC371" s="192"/>
      <c r="DD371" s="192"/>
      <c r="DE371" s="192"/>
      <c r="DF371" s="192"/>
      <c r="DG371" s="192"/>
      <c r="DH371" s="192"/>
      <c r="DI371" s="192"/>
      <c r="DJ371" s="192"/>
      <c r="DK371" s="192"/>
      <c r="DL371" s="192"/>
      <c r="DM371" s="192"/>
      <c r="DN371" s="192"/>
      <c r="DO371" s="192"/>
      <c r="DP371" s="192"/>
      <c r="DQ371" s="192"/>
      <c r="DR371" s="192"/>
      <c r="DS371" s="192"/>
      <c r="DT371" s="192"/>
      <c r="DU371" s="192"/>
      <c r="DV371" s="192"/>
      <c r="DW371" s="192"/>
      <c r="DX371" s="192"/>
      <c r="DY371" s="192"/>
      <c r="DZ371" s="192"/>
      <c r="EA371" s="192"/>
      <c r="EB371" s="192"/>
      <c r="EC371" s="192"/>
      <c r="ED371" s="192"/>
      <c r="EE371" s="192"/>
      <c r="EF371" s="192"/>
      <c r="EG371" s="192"/>
      <c r="EH371" s="192"/>
      <c r="EI371" s="192"/>
      <c r="EJ371" s="192"/>
      <c r="EK371" s="192"/>
      <c r="EL371" s="192"/>
      <c r="EM371" s="192"/>
      <c r="EN371" s="192"/>
      <c r="EO371" s="192"/>
      <c r="EP371" s="192"/>
      <c r="EQ371" s="192"/>
    </row>
    <row r="372" spans="1:147" x14ac:dyDescent="0.2">
      <c r="A372" s="192"/>
      <c r="B372" s="192"/>
      <c r="C372" s="192"/>
      <c r="D372" s="192"/>
      <c r="E372" s="192"/>
      <c r="F372" s="192"/>
      <c r="G372" s="192"/>
      <c r="H372" s="192"/>
      <c r="I372" s="192"/>
      <c r="J372" s="192"/>
      <c r="K372" s="192"/>
      <c r="L372" s="192"/>
      <c r="M372" s="192"/>
      <c r="N372" s="192"/>
      <c r="O372" s="192"/>
      <c r="P372" s="192"/>
      <c r="Q372" s="192"/>
      <c r="R372" s="192"/>
      <c r="S372" s="266"/>
      <c r="T372" s="265"/>
      <c r="U372" s="265"/>
      <c r="V372" s="265"/>
      <c r="W372" s="265"/>
      <c r="X372" s="265"/>
      <c r="Y372" s="265"/>
      <c r="Z372" s="265"/>
      <c r="AA372" s="265"/>
      <c r="AB372" s="265"/>
      <c r="AC372" s="265"/>
      <c r="AD372" s="265"/>
      <c r="AE372" s="265"/>
      <c r="AF372" s="265"/>
      <c r="AG372" s="265"/>
      <c r="AH372" s="265"/>
      <c r="AI372" s="192"/>
      <c r="AJ372" s="192"/>
      <c r="AK372" s="192"/>
      <c r="AL372" s="192"/>
      <c r="AM372" s="192"/>
      <c r="AN372" s="192"/>
      <c r="AO372" s="192"/>
      <c r="AP372" s="192"/>
      <c r="AQ372" s="192"/>
      <c r="AR372" s="192"/>
      <c r="AS372" s="192"/>
      <c r="AT372" s="192"/>
      <c r="AU372" s="192"/>
      <c r="AV372" s="192"/>
      <c r="AW372" s="192"/>
      <c r="AX372" s="192"/>
      <c r="AY372" s="192"/>
      <c r="AZ372" s="192"/>
      <c r="BA372" s="192"/>
      <c r="BB372" s="192"/>
      <c r="BC372" s="192"/>
      <c r="BD372" s="192"/>
      <c r="BE372" s="192"/>
      <c r="BF372" s="192"/>
      <c r="BG372" s="192"/>
      <c r="BH372" s="192"/>
      <c r="BI372" s="192"/>
      <c r="BJ372" s="192"/>
      <c r="BK372" s="192"/>
      <c r="BL372" s="192"/>
      <c r="BM372" s="192"/>
      <c r="BN372" s="192"/>
      <c r="BO372" s="192"/>
      <c r="BP372" s="192"/>
      <c r="BQ372" s="192"/>
      <c r="BR372" s="192"/>
      <c r="BS372" s="192"/>
      <c r="BT372" s="192"/>
      <c r="BU372" s="192"/>
      <c r="BV372" s="192"/>
      <c r="BW372" s="192"/>
      <c r="BX372" s="192"/>
      <c r="BY372" s="192"/>
      <c r="BZ372" s="192"/>
      <c r="CA372" s="192"/>
      <c r="CB372" s="192"/>
      <c r="CC372" s="192"/>
      <c r="CD372" s="192"/>
      <c r="CE372" s="192"/>
      <c r="CF372" s="192"/>
      <c r="CG372" s="192"/>
      <c r="CH372" s="192"/>
      <c r="CI372" s="192"/>
      <c r="CJ372" s="192"/>
      <c r="CK372" s="192"/>
      <c r="CL372" s="192"/>
      <c r="CM372" s="192"/>
      <c r="CN372" s="192"/>
      <c r="CO372" s="192"/>
      <c r="CP372" s="192"/>
      <c r="CQ372" s="192"/>
      <c r="CR372" s="192"/>
      <c r="CS372" s="192"/>
      <c r="CT372" s="192"/>
      <c r="CU372" s="192"/>
      <c r="CV372" s="192"/>
      <c r="CW372" s="192"/>
      <c r="CX372" s="192"/>
      <c r="CY372" s="192"/>
      <c r="CZ372" s="192"/>
      <c r="DA372" s="192"/>
      <c r="DB372" s="192"/>
      <c r="DC372" s="192"/>
      <c r="DD372" s="192"/>
      <c r="DE372" s="192"/>
      <c r="DF372" s="192"/>
      <c r="DG372" s="192"/>
      <c r="DH372" s="192"/>
      <c r="DI372" s="192"/>
      <c r="DJ372" s="192"/>
      <c r="DK372" s="192"/>
      <c r="DL372" s="192"/>
      <c r="DM372" s="192"/>
      <c r="DN372" s="192"/>
      <c r="DO372" s="192"/>
      <c r="DP372" s="192"/>
      <c r="DQ372" s="192"/>
      <c r="DR372" s="192"/>
      <c r="DS372" s="192"/>
      <c r="DT372" s="192"/>
      <c r="DU372" s="192"/>
      <c r="DV372" s="192"/>
      <c r="DW372" s="192"/>
      <c r="DX372" s="192"/>
      <c r="DY372" s="192"/>
      <c r="DZ372" s="192"/>
      <c r="EA372" s="192"/>
      <c r="EB372" s="192"/>
      <c r="EC372" s="192"/>
      <c r="ED372" s="192"/>
      <c r="EE372" s="192"/>
      <c r="EF372" s="192"/>
      <c r="EG372" s="192"/>
      <c r="EH372" s="192"/>
      <c r="EI372" s="192"/>
      <c r="EJ372" s="192"/>
      <c r="EK372" s="192"/>
      <c r="EL372" s="192"/>
      <c r="EM372" s="192"/>
      <c r="EN372" s="192"/>
      <c r="EO372" s="192"/>
      <c r="EP372" s="192"/>
      <c r="EQ372" s="192"/>
    </row>
    <row r="373" spans="1:147" x14ac:dyDescent="0.2">
      <c r="A373" s="192"/>
      <c r="B373" s="192"/>
      <c r="C373" s="192"/>
      <c r="D373" s="192"/>
      <c r="E373" s="192"/>
      <c r="F373" s="192"/>
      <c r="G373" s="192"/>
      <c r="H373" s="192"/>
      <c r="I373" s="192"/>
      <c r="J373" s="192"/>
      <c r="K373" s="192"/>
      <c r="L373" s="192"/>
      <c r="M373" s="192"/>
      <c r="N373" s="192"/>
      <c r="O373" s="192"/>
      <c r="P373" s="192"/>
      <c r="Q373" s="192"/>
      <c r="R373" s="192"/>
      <c r="S373" s="266"/>
      <c r="T373" s="265"/>
      <c r="U373" s="265"/>
      <c r="V373" s="265"/>
      <c r="W373" s="265"/>
      <c r="X373" s="265"/>
      <c r="Y373" s="265"/>
      <c r="Z373" s="265"/>
      <c r="AA373" s="265"/>
      <c r="AB373" s="265"/>
      <c r="AC373" s="265"/>
      <c r="AD373" s="265"/>
      <c r="AE373" s="265"/>
      <c r="AF373" s="265"/>
      <c r="AG373" s="265"/>
      <c r="AH373" s="265"/>
      <c r="AI373" s="192"/>
      <c r="AJ373" s="192"/>
      <c r="AK373" s="192"/>
      <c r="AL373" s="192"/>
      <c r="AM373" s="192"/>
      <c r="AN373" s="192"/>
      <c r="AO373" s="192"/>
      <c r="AP373" s="192"/>
      <c r="AQ373" s="192"/>
      <c r="AR373" s="192"/>
      <c r="AS373" s="192"/>
      <c r="AT373" s="192"/>
      <c r="AU373" s="192"/>
      <c r="AV373" s="192"/>
      <c r="AW373" s="192"/>
      <c r="AX373" s="192"/>
      <c r="AY373" s="192"/>
      <c r="AZ373" s="192"/>
      <c r="BA373" s="192"/>
      <c r="BB373" s="192"/>
      <c r="BC373" s="192"/>
      <c r="BD373" s="192"/>
      <c r="BE373" s="192"/>
      <c r="BF373" s="192"/>
      <c r="BG373" s="192"/>
      <c r="BH373" s="192"/>
      <c r="BI373" s="192"/>
      <c r="BJ373" s="192"/>
      <c r="BK373" s="192"/>
      <c r="BL373" s="192"/>
      <c r="BM373" s="192"/>
      <c r="BN373" s="192"/>
      <c r="BO373" s="192"/>
      <c r="BP373" s="192"/>
      <c r="BQ373" s="192"/>
      <c r="BR373" s="192"/>
      <c r="BS373" s="192"/>
      <c r="BT373" s="192"/>
      <c r="BU373" s="192"/>
      <c r="BV373" s="192"/>
      <c r="BW373" s="192"/>
      <c r="BX373" s="192"/>
      <c r="BY373" s="192"/>
      <c r="BZ373" s="192"/>
      <c r="CA373" s="192"/>
      <c r="CB373" s="192"/>
      <c r="CC373" s="192"/>
      <c r="CD373" s="192"/>
      <c r="CE373" s="192"/>
      <c r="CF373" s="192"/>
      <c r="CG373" s="192"/>
      <c r="CH373" s="192"/>
      <c r="CI373" s="192"/>
      <c r="CJ373" s="192"/>
      <c r="CK373" s="192"/>
      <c r="CL373" s="192"/>
      <c r="CM373" s="192"/>
      <c r="CN373" s="192"/>
      <c r="CO373" s="192"/>
      <c r="CP373" s="192"/>
      <c r="CQ373" s="192"/>
      <c r="CR373" s="192"/>
      <c r="CS373" s="192"/>
      <c r="CT373" s="192"/>
      <c r="CU373" s="192"/>
      <c r="CV373" s="192"/>
      <c r="CW373" s="192"/>
      <c r="CX373" s="192"/>
      <c r="CY373" s="192"/>
      <c r="CZ373" s="192"/>
      <c r="DA373" s="192"/>
      <c r="DB373" s="192"/>
      <c r="DC373" s="192"/>
      <c r="DD373" s="192"/>
      <c r="DE373" s="192"/>
      <c r="DF373" s="192"/>
      <c r="DG373" s="192"/>
      <c r="DH373" s="192"/>
      <c r="DI373" s="192"/>
      <c r="DJ373" s="192"/>
      <c r="DK373" s="192"/>
      <c r="DL373" s="192"/>
      <c r="DM373" s="192"/>
      <c r="DN373" s="192"/>
      <c r="DO373" s="192"/>
      <c r="DP373" s="192"/>
      <c r="DQ373" s="192"/>
      <c r="DR373" s="192"/>
      <c r="DS373" s="192"/>
      <c r="DT373" s="192"/>
      <c r="DU373" s="192"/>
      <c r="DV373" s="192"/>
      <c r="DW373" s="192"/>
      <c r="DX373" s="192"/>
      <c r="DY373" s="192"/>
      <c r="DZ373" s="192"/>
      <c r="EA373" s="192"/>
      <c r="EB373" s="192"/>
      <c r="EC373" s="192"/>
      <c r="ED373" s="192"/>
      <c r="EE373" s="192"/>
      <c r="EF373" s="192"/>
      <c r="EG373" s="192"/>
      <c r="EH373" s="192"/>
      <c r="EI373" s="192"/>
      <c r="EJ373" s="192"/>
      <c r="EK373" s="192"/>
      <c r="EL373" s="192"/>
      <c r="EM373" s="192"/>
      <c r="EN373" s="192"/>
      <c r="EO373" s="192"/>
      <c r="EP373" s="192"/>
      <c r="EQ373" s="192"/>
    </row>
    <row r="374" spans="1:147" x14ac:dyDescent="0.2">
      <c r="A374" s="192"/>
      <c r="B374" s="192"/>
      <c r="C374" s="192"/>
      <c r="D374" s="192"/>
      <c r="E374" s="192"/>
      <c r="F374" s="192"/>
      <c r="G374" s="192"/>
      <c r="H374" s="192"/>
      <c r="I374" s="192"/>
      <c r="J374" s="192"/>
      <c r="K374" s="192"/>
      <c r="L374" s="192"/>
      <c r="M374" s="192"/>
      <c r="N374" s="192"/>
      <c r="O374" s="192"/>
      <c r="P374" s="192"/>
      <c r="Q374" s="192"/>
      <c r="R374" s="192"/>
      <c r="S374" s="266"/>
      <c r="T374" s="265"/>
      <c r="U374" s="265"/>
      <c r="V374" s="265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  <c r="AG374" s="265"/>
      <c r="AH374" s="265"/>
      <c r="AI374" s="192"/>
      <c r="AJ374" s="192"/>
      <c r="AK374" s="192"/>
      <c r="AL374" s="192"/>
      <c r="AM374" s="192"/>
      <c r="AN374" s="192"/>
      <c r="AO374" s="192"/>
      <c r="AP374" s="192"/>
      <c r="AQ374" s="192"/>
      <c r="AR374" s="192"/>
      <c r="AS374" s="192"/>
      <c r="AT374" s="192"/>
      <c r="AU374" s="192"/>
      <c r="AV374" s="192"/>
      <c r="AW374" s="192"/>
      <c r="AX374" s="192"/>
      <c r="AY374" s="192"/>
      <c r="AZ374" s="192"/>
      <c r="BA374" s="192"/>
      <c r="BB374" s="192"/>
      <c r="BC374" s="192"/>
      <c r="BD374" s="192"/>
      <c r="BE374" s="192"/>
      <c r="BF374" s="192"/>
      <c r="BG374" s="192"/>
      <c r="BH374" s="192"/>
      <c r="BI374" s="192"/>
      <c r="BJ374" s="192"/>
      <c r="BK374" s="192"/>
      <c r="BL374" s="192"/>
      <c r="BM374" s="192"/>
      <c r="BN374" s="192"/>
      <c r="BO374" s="192"/>
      <c r="BP374" s="192"/>
      <c r="BQ374" s="192"/>
      <c r="BR374" s="192"/>
      <c r="BS374" s="192"/>
      <c r="BT374" s="192"/>
      <c r="BU374" s="192"/>
      <c r="BV374" s="192"/>
      <c r="BW374" s="192"/>
      <c r="BX374" s="192"/>
      <c r="BY374" s="192"/>
      <c r="BZ374" s="192"/>
      <c r="CA374" s="192"/>
      <c r="CB374" s="192"/>
      <c r="CC374" s="192"/>
      <c r="CD374" s="192"/>
      <c r="CE374" s="192"/>
      <c r="CF374" s="192"/>
      <c r="CG374" s="192"/>
      <c r="CH374" s="192"/>
      <c r="CI374" s="192"/>
      <c r="CJ374" s="192"/>
      <c r="CK374" s="192"/>
      <c r="CL374" s="192"/>
      <c r="CM374" s="192"/>
      <c r="CN374" s="192"/>
      <c r="CO374" s="192"/>
      <c r="CP374" s="192"/>
      <c r="CQ374" s="192"/>
      <c r="CR374" s="192"/>
      <c r="CS374" s="192"/>
      <c r="CT374" s="192"/>
      <c r="CU374" s="192"/>
      <c r="CV374" s="192"/>
      <c r="CW374" s="192"/>
      <c r="CX374" s="192"/>
      <c r="CY374" s="192"/>
      <c r="CZ374" s="192"/>
      <c r="DA374" s="192"/>
      <c r="DB374" s="192"/>
      <c r="DC374" s="192"/>
      <c r="DD374" s="192"/>
      <c r="DE374" s="192"/>
      <c r="DF374" s="192"/>
      <c r="DG374" s="192"/>
      <c r="DH374" s="192"/>
      <c r="DI374" s="192"/>
      <c r="DJ374" s="192"/>
      <c r="DK374" s="192"/>
      <c r="DL374" s="192"/>
      <c r="DM374" s="192"/>
      <c r="DN374" s="192"/>
      <c r="DO374" s="192"/>
      <c r="DP374" s="192"/>
      <c r="DQ374" s="192"/>
      <c r="DR374" s="192"/>
      <c r="DS374" s="192"/>
      <c r="DT374" s="192"/>
      <c r="DU374" s="192"/>
      <c r="DV374" s="192"/>
      <c r="DW374" s="192"/>
      <c r="DX374" s="192"/>
      <c r="DY374" s="192"/>
      <c r="DZ374" s="192"/>
      <c r="EA374" s="192"/>
      <c r="EB374" s="192"/>
      <c r="EC374" s="192"/>
      <c r="ED374" s="192"/>
      <c r="EE374" s="192"/>
      <c r="EF374" s="192"/>
      <c r="EG374" s="192"/>
      <c r="EH374" s="192"/>
      <c r="EI374" s="192"/>
      <c r="EJ374" s="192"/>
      <c r="EK374" s="192"/>
      <c r="EL374" s="192"/>
      <c r="EM374" s="192"/>
      <c r="EN374" s="192"/>
      <c r="EO374" s="192"/>
      <c r="EP374" s="192"/>
      <c r="EQ374" s="192"/>
    </row>
    <row r="375" spans="1:147" x14ac:dyDescent="0.2">
      <c r="A375" s="192"/>
      <c r="B375" s="192"/>
      <c r="C375" s="192"/>
      <c r="D375" s="192"/>
      <c r="E375" s="192"/>
      <c r="F375" s="192"/>
      <c r="G375" s="192"/>
      <c r="H375" s="192"/>
      <c r="I375" s="192"/>
      <c r="J375" s="192"/>
      <c r="K375" s="192"/>
      <c r="L375" s="192"/>
      <c r="M375" s="192"/>
      <c r="N375" s="192"/>
      <c r="O375" s="192"/>
      <c r="P375" s="192"/>
      <c r="Q375" s="192"/>
      <c r="R375" s="192"/>
      <c r="S375" s="266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  <c r="AG375" s="265"/>
      <c r="AH375" s="265"/>
      <c r="AI375" s="192"/>
      <c r="AJ375" s="192"/>
      <c r="AK375" s="192"/>
      <c r="AL375" s="192"/>
      <c r="AM375" s="192"/>
      <c r="AN375" s="192"/>
      <c r="AO375" s="192"/>
      <c r="AP375" s="192"/>
      <c r="AQ375" s="192"/>
      <c r="AR375" s="192"/>
      <c r="AS375" s="192"/>
      <c r="AT375" s="192"/>
      <c r="AU375" s="192"/>
      <c r="AV375" s="192"/>
      <c r="AW375" s="192"/>
      <c r="AX375" s="192"/>
      <c r="AY375" s="192"/>
      <c r="AZ375" s="192"/>
      <c r="BA375" s="192"/>
      <c r="BB375" s="192"/>
      <c r="BC375" s="192"/>
      <c r="BD375" s="192"/>
      <c r="BE375" s="192"/>
      <c r="BF375" s="192"/>
      <c r="BG375" s="192"/>
      <c r="BH375" s="192"/>
      <c r="BI375" s="192"/>
      <c r="BJ375" s="192"/>
      <c r="BK375" s="192"/>
      <c r="BL375" s="192"/>
      <c r="BM375" s="192"/>
      <c r="BN375" s="192"/>
      <c r="BO375" s="192"/>
      <c r="BP375" s="192"/>
      <c r="BQ375" s="192"/>
      <c r="BR375" s="192"/>
      <c r="BS375" s="192"/>
      <c r="BT375" s="192"/>
      <c r="BU375" s="192"/>
      <c r="BV375" s="192"/>
      <c r="BW375" s="192"/>
      <c r="BX375" s="192"/>
      <c r="BY375" s="192"/>
      <c r="BZ375" s="192"/>
      <c r="CA375" s="192"/>
      <c r="CB375" s="192"/>
      <c r="CC375" s="192"/>
      <c r="CD375" s="192"/>
      <c r="CE375" s="192"/>
      <c r="CF375" s="192"/>
      <c r="CG375" s="192"/>
      <c r="CH375" s="192"/>
      <c r="CI375" s="192"/>
      <c r="CJ375" s="192"/>
      <c r="CK375" s="192"/>
      <c r="CL375" s="192"/>
      <c r="CM375" s="192"/>
      <c r="CN375" s="192"/>
      <c r="CO375" s="192"/>
      <c r="CP375" s="192"/>
      <c r="CQ375" s="192"/>
      <c r="CR375" s="192"/>
      <c r="CS375" s="192"/>
      <c r="CT375" s="192"/>
      <c r="CU375" s="192"/>
      <c r="CV375" s="192"/>
      <c r="CW375" s="192"/>
      <c r="CX375" s="192"/>
      <c r="CY375" s="192"/>
      <c r="CZ375" s="192"/>
      <c r="DA375" s="192"/>
      <c r="DB375" s="192"/>
      <c r="DC375" s="192"/>
      <c r="DD375" s="192"/>
      <c r="DE375" s="192"/>
      <c r="DF375" s="192"/>
      <c r="DG375" s="192"/>
      <c r="DH375" s="192"/>
      <c r="DI375" s="192"/>
      <c r="DJ375" s="192"/>
      <c r="DK375" s="192"/>
      <c r="DL375" s="192"/>
      <c r="DM375" s="192"/>
      <c r="DN375" s="192"/>
      <c r="DO375" s="192"/>
      <c r="DP375" s="192"/>
      <c r="DQ375" s="192"/>
      <c r="DR375" s="192"/>
      <c r="DS375" s="192"/>
      <c r="DT375" s="192"/>
      <c r="DU375" s="192"/>
      <c r="DV375" s="192"/>
      <c r="DW375" s="192"/>
      <c r="DX375" s="192"/>
      <c r="DY375" s="192"/>
      <c r="DZ375" s="192"/>
      <c r="EA375" s="192"/>
      <c r="EB375" s="192"/>
      <c r="EC375" s="192"/>
      <c r="ED375" s="192"/>
      <c r="EE375" s="192"/>
      <c r="EF375" s="192"/>
      <c r="EG375" s="192"/>
      <c r="EH375" s="192"/>
      <c r="EI375" s="192"/>
      <c r="EJ375" s="192"/>
      <c r="EK375" s="192"/>
      <c r="EL375" s="192"/>
      <c r="EM375" s="192"/>
      <c r="EN375" s="192"/>
      <c r="EO375" s="192"/>
      <c r="EP375" s="192"/>
      <c r="EQ375" s="192"/>
    </row>
    <row r="376" spans="1:147" x14ac:dyDescent="0.2">
      <c r="A376" s="192"/>
      <c r="B376" s="192"/>
      <c r="C376" s="192"/>
      <c r="D376" s="192"/>
      <c r="E376" s="192"/>
      <c r="F376" s="192"/>
      <c r="G376" s="192"/>
      <c r="H376" s="192"/>
      <c r="I376" s="192"/>
      <c r="J376" s="192"/>
      <c r="K376" s="192"/>
      <c r="L376" s="192"/>
      <c r="M376" s="192"/>
      <c r="N376" s="192"/>
      <c r="O376" s="192"/>
      <c r="P376" s="192"/>
      <c r="Q376" s="192"/>
      <c r="R376" s="192"/>
      <c r="S376" s="266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  <c r="AG376" s="265"/>
      <c r="AH376" s="265"/>
      <c r="AI376" s="192"/>
      <c r="AJ376" s="192"/>
      <c r="AK376" s="192"/>
      <c r="AL376" s="192"/>
      <c r="AM376" s="192"/>
      <c r="AN376" s="192"/>
      <c r="AO376" s="192"/>
      <c r="AP376" s="192"/>
      <c r="AQ376" s="192"/>
      <c r="AR376" s="192"/>
      <c r="AS376" s="192"/>
      <c r="AT376" s="192"/>
      <c r="AU376" s="192"/>
      <c r="AV376" s="192"/>
      <c r="AW376" s="192"/>
      <c r="AX376" s="192"/>
      <c r="AY376" s="192"/>
      <c r="AZ376" s="192"/>
      <c r="BA376" s="192"/>
      <c r="BB376" s="192"/>
      <c r="BC376" s="192"/>
      <c r="BD376" s="192"/>
      <c r="BE376" s="192"/>
      <c r="BF376" s="192"/>
      <c r="BG376" s="192"/>
      <c r="BH376" s="192"/>
      <c r="BI376" s="192"/>
      <c r="BJ376" s="192"/>
      <c r="BK376" s="192"/>
      <c r="BL376" s="192"/>
      <c r="BM376" s="192"/>
      <c r="BN376" s="192"/>
      <c r="BO376" s="192"/>
      <c r="BP376" s="192"/>
      <c r="BQ376" s="192"/>
      <c r="BR376" s="192"/>
      <c r="BS376" s="192"/>
      <c r="BT376" s="192"/>
      <c r="BU376" s="192"/>
      <c r="BV376" s="192"/>
      <c r="BW376" s="192"/>
      <c r="BX376" s="192"/>
      <c r="BY376" s="192"/>
      <c r="BZ376" s="192"/>
      <c r="CA376" s="192"/>
      <c r="CB376" s="192"/>
      <c r="CC376" s="192"/>
      <c r="CD376" s="192"/>
      <c r="CE376" s="192"/>
      <c r="CF376" s="192"/>
      <c r="CG376" s="192"/>
      <c r="CH376" s="192"/>
      <c r="CI376" s="192"/>
      <c r="CJ376" s="192"/>
      <c r="CK376" s="192"/>
      <c r="CL376" s="192"/>
      <c r="CM376" s="192"/>
      <c r="CN376" s="192"/>
      <c r="CO376" s="192"/>
      <c r="CP376" s="192"/>
      <c r="CQ376" s="192"/>
      <c r="CR376" s="192"/>
      <c r="CS376" s="192"/>
      <c r="CT376" s="192"/>
      <c r="CU376" s="192"/>
      <c r="CV376" s="192"/>
      <c r="CW376" s="192"/>
      <c r="CX376" s="192"/>
      <c r="CY376" s="192"/>
      <c r="CZ376" s="192"/>
      <c r="DA376" s="192"/>
      <c r="DB376" s="192"/>
      <c r="DC376" s="192"/>
      <c r="DD376" s="192"/>
      <c r="DE376" s="192"/>
      <c r="DF376" s="192"/>
      <c r="DG376" s="192"/>
      <c r="DH376" s="192"/>
      <c r="DI376" s="192"/>
      <c r="DJ376" s="192"/>
      <c r="DK376" s="192"/>
      <c r="DL376" s="192"/>
      <c r="DM376" s="192"/>
      <c r="DN376" s="192"/>
      <c r="DO376" s="192"/>
      <c r="DP376" s="192"/>
      <c r="DQ376" s="192"/>
      <c r="DR376" s="192"/>
      <c r="DS376" s="192"/>
      <c r="DT376" s="192"/>
      <c r="DU376" s="192"/>
      <c r="DV376" s="192"/>
      <c r="DW376" s="192"/>
      <c r="DX376" s="192"/>
      <c r="DY376" s="192"/>
      <c r="DZ376" s="192"/>
      <c r="EA376" s="192"/>
      <c r="EB376" s="192"/>
      <c r="EC376" s="192"/>
      <c r="ED376" s="192"/>
      <c r="EE376" s="192"/>
      <c r="EF376" s="192"/>
      <c r="EG376" s="192"/>
      <c r="EH376" s="192"/>
      <c r="EI376" s="192"/>
      <c r="EJ376" s="192"/>
      <c r="EK376" s="192"/>
      <c r="EL376" s="192"/>
      <c r="EM376" s="192"/>
      <c r="EN376" s="192"/>
      <c r="EO376" s="192"/>
      <c r="EP376" s="192"/>
      <c r="EQ376" s="192"/>
    </row>
    <row r="377" spans="1:147" x14ac:dyDescent="0.2">
      <c r="A377" s="192"/>
      <c r="B377" s="192"/>
      <c r="C377" s="192"/>
      <c r="D377" s="192"/>
      <c r="E377" s="192"/>
      <c r="F377" s="192"/>
      <c r="G377" s="192"/>
      <c r="H377" s="192"/>
      <c r="I377" s="192"/>
      <c r="J377" s="192"/>
      <c r="K377" s="192"/>
      <c r="L377" s="192"/>
      <c r="M377" s="192"/>
      <c r="N377" s="192"/>
      <c r="O377" s="192"/>
      <c r="P377" s="192"/>
      <c r="Q377" s="192"/>
      <c r="R377" s="192"/>
      <c r="S377" s="266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  <c r="AG377" s="265"/>
      <c r="AH377" s="265"/>
      <c r="AI377" s="192"/>
      <c r="AJ377" s="192"/>
      <c r="AK377" s="192"/>
      <c r="AL377" s="192"/>
      <c r="AM377" s="192"/>
      <c r="AN377" s="192"/>
      <c r="AO377" s="192"/>
      <c r="AP377" s="192"/>
      <c r="AQ377" s="192"/>
      <c r="AR377" s="192"/>
      <c r="AS377" s="192"/>
      <c r="AT377" s="192"/>
      <c r="AU377" s="192"/>
      <c r="AV377" s="192"/>
      <c r="AW377" s="192"/>
      <c r="AX377" s="192"/>
      <c r="AY377" s="192"/>
      <c r="AZ377" s="192"/>
      <c r="BA377" s="192"/>
      <c r="BB377" s="192"/>
      <c r="BC377" s="192"/>
      <c r="BD377" s="192"/>
      <c r="BE377" s="192"/>
      <c r="BF377" s="192"/>
      <c r="BG377" s="192"/>
      <c r="BH377" s="192"/>
      <c r="BI377" s="192"/>
      <c r="BJ377" s="192"/>
      <c r="BK377" s="192"/>
      <c r="BL377" s="192"/>
      <c r="BM377" s="192"/>
      <c r="BN377" s="192"/>
      <c r="BO377" s="192"/>
      <c r="BP377" s="192"/>
      <c r="BQ377" s="192"/>
      <c r="BR377" s="192"/>
      <c r="BS377" s="192"/>
      <c r="BT377" s="192"/>
      <c r="BU377" s="192"/>
      <c r="BV377" s="192"/>
      <c r="BW377" s="192"/>
      <c r="BX377" s="192"/>
      <c r="BY377" s="192"/>
      <c r="BZ377" s="192"/>
      <c r="CA377" s="192"/>
      <c r="CB377" s="192"/>
      <c r="CC377" s="192"/>
      <c r="CD377" s="192"/>
      <c r="CE377" s="192"/>
      <c r="CF377" s="192"/>
      <c r="CG377" s="192"/>
      <c r="CH377" s="192"/>
      <c r="CI377" s="192"/>
      <c r="CJ377" s="192"/>
      <c r="CK377" s="192"/>
      <c r="CL377" s="192"/>
      <c r="CM377" s="192"/>
      <c r="CN377" s="192"/>
      <c r="CO377" s="192"/>
      <c r="CP377" s="192"/>
      <c r="CQ377" s="192"/>
      <c r="CR377" s="192"/>
      <c r="CS377" s="192"/>
      <c r="CT377" s="192"/>
      <c r="CU377" s="192"/>
      <c r="CV377" s="192"/>
      <c r="CW377" s="192"/>
      <c r="CX377" s="192"/>
      <c r="CY377" s="192"/>
      <c r="CZ377" s="192"/>
      <c r="DA377" s="192"/>
      <c r="DB377" s="192"/>
      <c r="DC377" s="192"/>
      <c r="DD377" s="192"/>
      <c r="DE377" s="192"/>
      <c r="DF377" s="192"/>
      <c r="DG377" s="192"/>
      <c r="DH377" s="192"/>
      <c r="DI377" s="192"/>
      <c r="DJ377" s="192"/>
      <c r="DK377" s="192"/>
      <c r="DL377" s="192"/>
      <c r="DM377" s="192"/>
      <c r="DN377" s="192"/>
      <c r="DO377" s="192"/>
      <c r="DP377" s="192"/>
      <c r="DQ377" s="192"/>
      <c r="DR377" s="192"/>
      <c r="DS377" s="192"/>
      <c r="DT377" s="192"/>
      <c r="DU377" s="192"/>
      <c r="DV377" s="192"/>
      <c r="DW377" s="192"/>
      <c r="DX377" s="192"/>
      <c r="DY377" s="192"/>
      <c r="DZ377" s="192"/>
      <c r="EA377" s="192"/>
      <c r="EB377" s="192"/>
      <c r="EC377" s="192"/>
      <c r="ED377" s="192"/>
      <c r="EE377" s="192"/>
      <c r="EF377" s="192"/>
      <c r="EG377" s="192"/>
      <c r="EH377" s="192"/>
      <c r="EI377" s="192"/>
      <c r="EJ377" s="192"/>
      <c r="EK377" s="192"/>
      <c r="EL377" s="192"/>
      <c r="EM377" s="192"/>
      <c r="EN377" s="192"/>
      <c r="EO377" s="192"/>
      <c r="EP377" s="192"/>
      <c r="EQ377" s="192"/>
    </row>
    <row r="378" spans="1:147" x14ac:dyDescent="0.2">
      <c r="A378" s="192"/>
      <c r="B378" s="192"/>
      <c r="C378" s="192"/>
      <c r="D378" s="192"/>
      <c r="E378" s="192"/>
      <c r="F378" s="192"/>
      <c r="G378" s="192"/>
      <c r="H378" s="192"/>
      <c r="I378" s="192"/>
      <c r="J378" s="192"/>
      <c r="K378" s="192"/>
      <c r="L378" s="192"/>
      <c r="M378" s="192"/>
      <c r="N378" s="192"/>
      <c r="O378" s="192"/>
      <c r="P378" s="192"/>
      <c r="Q378" s="192"/>
      <c r="R378" s="192"/>
      <c r="S378" s="266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  <c r="AG378" s="265"/>
      <c r="AH378" s="265"/>
      <c r="AI378" s="192"/>
      <c r="AJ378" s="192"/>
      <c r="AK378" s="192"/>
      <c r="AL378" s="192"/>
      <c r="AM378" s="192"/>
      <c r="AN378" s="192"/>
      <c r="AO378" s="192"/>
      <c r="AP378" s="192"/>
      <c r="AQ378" s="192"/>
      <c r="AR378" s="192"/>
      <c r="AS378" s="192"/>
      <c r="AT378" s="192"/>
      <c r="AU378" s="192"/>
      <c r="AV378" s="192"/>
      <c r="AW378" s="192"/>
      <c r="AX378" s="192"/>
      <c r="AY378" s="192"/>
      <c r="AZ378" s="192"/>
      <c r="BA378" s="192"/>
      <c r="BB378" s="192"/>
      <c r="BC378" s="192"/>
      <c r="BD378" s="192"/>
      <c r="BE378" s="192"/>
      <c r="BF378" s="192"/>
      <c r="BG378" s="192"/>
      <c r="BH378" s="192"/>
      <c r="BI378" s="192"/>
      <c r="BJ378" s="192"/>
      <c r="BK378" s="192"/>
      <c r="BL378" s="192"/>
      <c r="BM378" s="192"/>
      <c r="BN378" s="192"/>
      <c r="BO378" s="192"/>
      <c r="BP378" s="192"/>
      <c r="BQ378" s="192"/>
      <c r="BR378" s="192"/>
      <c r="BS378" s="192"/>
      <c r="BT378" s="192"/>
      <c r="BU378" s="192"/>
      <c r="BV378" s="192"/>
      <c r="BW378" s="192"/>
      <c r="BX378" s="192"/>
      <c r="BY378" s="192"/>
      <c r="BZ378" s="192"/>
      <c r="CA378" s="192"/>
      <c r="CB378" s="192"/>
      <c r="CC378" s="192"/>
      <c r="CD378" s="192"/>
      <c r="CE378" s="192"/>
      <c r="CF378" s="192"/>
      <c r="CG378" s="192"/>
      <c r="CH378" s="192"/>
      <c r="CI378" s="192"/>
      <c r="CJ378" s="192"/>
      <c r="CK378" s="192"/>
      <c r="CL378" s="192"/>
      <c r="CM378" s="192"/>
      <c r="CN378" s="192"/>
      <c r="CO378" s="192"/>
      <c r="CP378" s="192"/>
      <c r="CQ378" s="192"/>
      <c r="CR378" s="192"/>
      <c r="CS378" s="192"/>
      <c r="CT378" s="192"/>
      <c r="CU378" s="192"/>
      <c r="CV378" s="192"/>
      <c r="CW378" s="192"/>
      <c r="CX378" s="192"/>
      <c r="CY378" s="192"/>
      <c r="CZ378" s="192"/>
      <c r="DA378" s="192"/>
      <c r="DB378" s="192"/>
      <c r="DC378" s="192"/>
      <c r="DD378" s="192"/>
      <c r="DE378" s="192"/>
      <c r="DF378" s="192"/>
      <c r="DG378" s="192"/>
      <c r="DH378" s="192"/>
      <c r="DI378" s="192"/>
      <c r="DJ378" s="192"/>
      <c r="DK378" s="192"/>
      <c r="DL378" s="192"/>
      <c r="DM378" s="192"/>
      <c r="DN378" s="192"/>
      <c r="DO378" s="192"/>
      <c r="DP378" s="192"/>
      <c r="DQ378" s="192"/>
      <c r="DR378" s="192"/>
      <c r="DS378" s="192"/>
      <c r="DT378" s="192"/>
      <c r="DU378" s="192"/>
      <c r="DV378" s="192"/>
      <c r="DW378" s="192"/>
      <c r="DX378" s="192"/>
      <c r="DY378" s="192"/>
      <c r="DZ378" s="192"/>
      <c r="EA378" s="192"/>
      <c r="EB378" s="192"/>
      <c r="EC378" s="192"/>
      <c r="ED378" s="192"/>
      <c r="EE378" s="192"/>
      <c r="EF378" s="192"/>
      <c r="EG378" s="192"/>
      <c r="EH378" s="192"/>
      <c r="EI378" s="192"/>
      <c r="EJ378" s="192"/>
      <c r="EK378" s="192"/>
      <c r="EL378" s="192"/>
      <c r="EM378" s="192"/>
      <c r="EN378" s="192"/>
      <c r="EO378" s="192"/>
      <c r="EP378" s="192"/>
      <c r="EQ378" s="192"/>
    </row>
    <row r="379" spans="1:147" x14ac:dyDescent="0.2">
      <c r="A379" s="192"/>
      <c r="B379" s="192"/>
      <c r="C379" s="192"/>
      <c r="D379" s="192"/>
      <c r="E379" s="192"/>
      <c r="F379" s="192"/>
      <c r="G379" s="192"/>
      <c r="H379" s="192"/>
      <c r="I379" s="192"/>
      <c r="J379" s="192"/>
      <c r="K379" s="192"/>
      <c r="L379" s="192"/>
      <c r="M379" s="192"/>
      <c r="N379" s="192"/>
      <c r="O379" s="192"/>
      <c r="P379" s="192"/>
      <c r="Q379" s="192"/>
      <c r="R379" s="192"/>
      <c r="S379" s="266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  <c r="AG379" s="265"/>
      <c r="AH379" s="265"/>
      <c r="AI379" s="192"/>
      <c r="AJ379" s="192"/>
      <c r="AK379" s="192"/>
      <c r="AL379" s="192"/>
      <c r="AM379" s="192"/>
      <c r="AN379" s="192"/>
      <c r="AO379" s="192"/>
      <c r="AP379" s="192"/>
      <c r="AQ379" s="192"/>
      <c r="AR379" s="192"/>
      <c r="AS379" s="192"/>
      <c r="AT379" s="192"/>
      <c r="AU379" s="192"/>
      <c r="AV379" s="192"/>
      <c r="AW379" s="192"/>
      <c r="AX379" s="192"/>
      <c r="AY379" s="192"/>
      <c r="AZ379" s="192"/>
      <c r="BA379" s="192"/>
      <c r="BB379" s="192"/>
      <c r="BC379" s="192"/>
      <c r="BD379" s="192"/>
      <c r="BE379" s="192"/>
      <c r="BF379" s="192"/>
      <c r="BG379" s="192"/>
      <c r="BH379" s="192"/>
      <c r="BI379" s="192"/>
      <c r="BJ379" s="192"/>
      <c r="BK379" s="192"/>
      <c r="BL379" s="192"/>
      <c r="BM379" s="192"/>
      <c r="BN379" s="192"/>
      <c r="BO379" s="192"/>
      <c r="BP379" s="192"/>
      <c r="BQ379" s="192"/>
      <c r="BR379" s="192"/>
      <c r="BS379" s="192"/>
      <c r="BT379" s="192"/>
      <c r="BU379" s="192"/>
      <c r="BV379" s="192"/>
      <c r="BW379" s="192"/>
      <c r="BX379" s="192"/>
      <c r="BY379" s="192"/>
      <c r="BZ379" s="192"/>
      <c r="CA379" s="192"/>
      <c r="CB379" s="192"/>
      <c r="CC379" s="192"/>
      <c r="CD379" s="192"/>
      <c r="CE379" s="192"/>
      <c r="CF379" s="192"/>
      <c r="CG379" s="192"/>
      <c r="CH379" s="192"/>
      <c r="CI379" s="192"/>
      <c r="CJ379" s="192"/>
      <c r="CK379" s="192"/>
      <c r="CL379" s="192"/>
      <c r="CM379" s="192"/>
      <c r="CN379" s="192"/>
      <c r="CO379" s="192"/>
      <c r="CP379" s="192"/>
      <c r="CQ379" s="192"/>
      <c r="CR379" s="192"/>
      <c r="CS379" s="192"/>
      <c r="CT379" s="192"/>
      <c r="CU379" s="192"/>
      <c r="CV379" s="192"/>
      <c r="CW379" s="192"/>
      <c r="CX379" s="192"/>
      <c r="CY379" s="192"/>
      <c r="CZ379" s="192"/>
      <c r="DA379" s="192"/>
      <c r="DB379" s="192"/>
      <c r="DC379" s="192"/>
      <c r="DD379" s="192"/>
      <c r="DE379" s="192"/>
      <c r="DF379" s="192"/>
      <c r="DG379" s="192"/>
      <c r="DH379" s="192"/>
      <c r="DI379" s="192"/>
      <c r="DJ379" s="192"/>
      <c r="DK379" s="192"/>
      <c r="DL379" s="192"/>
      <c r="DM379" s="192"/>
      <c r="DN379" s="192"/>
      <c r="DO379" s="192"/>
      <c r="DP379" s="192"/>
      <c r="DQ379" s="192"/>
      <c r="DR379" s="192"/>
      <c r="DS379" s="192"/>
      <c r="DT379" s="192"/>
      <c r="DU379" s="192"/>
      <c r="DV379" s="192"/>
      <c r="DW379" s="192"/>
      <c r="DX379" s="192"/>
      <c r="DY379" s="192"/>
      <c r="DZ379" s="192"/>
      <c r="EA379" s="192"/>
      <c r="EB379" s="192"/>
      <c r="EC379" s="192"/>
      <c r="ED379" s="192"/>
      <c r="EE379" s="192"/>
      <c r="EF379" s="192"/>
      <c r="EG379" s="192"/>
      <c r="EH379" s="192"/>
      <c r="EI379" s="192"/>
      <c r="EJ379" s="192"/>
      <c r="EK379" s="192"/>
      <c r="EL379" s="192"/>
      <c r="EM379" s="192"/>
      <c r="EN379" s="192"/>
      <c r="EO379" s="192"/>
      <c r="EP379" s="192"/>
      <c r="EQ379" s="192"/>
    </row>
    <row r="380" spans="1:147" x14ac:dyDescent="0.2">
      <c r="A380" s="192"/>
      <c r="B380" s="192"/>
      <c r="C380" s="192"/>
      <c r="D380" s="192"/>
      <c r="E380" s="192"/>
      <c r="F380" s="192"/>
      <c r="G380" s="192"/>
      <c r="H380" s="192"/>
      <c r="I380" s="192"/>
      <c r="J380" s="192"/>
      <c r="K380" s="192"/>
      <c r="L380" s="192"/>
      <c r="M380" s="192"/>
      <c r="N380" s="192"/>
      <c r="O380" s="192"/>
      <c r="P380" s="192"/>
      <c r="Q380" s="192"/>
      <c r="R380" s="192"/>
      <c r="S380" s="266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  <c r="AG380" s="265"/>
      <c r="AH380" s="265"/>
      <c r="AI380" s="192"/>
      <c r="AJ380" s="192"/>
      <c r="AK380" s="192"/>
      <c r="AL380" s="192"/>
      <c r="AM380" s="192"/>
      <c r="AN380" s="192"/>
      <c r="AO380" s="192"/>
      <c r="AP380" s="192"/>
      <c r="AQ380" s="192"/>
      <c r="AR380" s="192"/>
      <c r="AS380" s="192"/>
      <c r="AT380" s="192"/>
      <c r="AU380" s="192"/>
      <c r="AV380" s="192"/>
      <c r="AW380" s="192"/>
      <c r="AX380" s="192"/>
      <c r="AY380" s="192"/>
      <c r="AZ380" s="192"/>
      <c r="BA380" s="192"/>
      <c r="BB380" s="192"/>
      <c r="BC380" s="192"/>
      <c r="BD380" s="192"/>
      <c r="BE380" s="192"/>
      <c r="BF380" s="192"/>
      <c r="BG380" s="192"/>
      <c r="BH380" s="192"/>
      <c r="BI380" s="192"/>
      <c r="BJ380" s="192"/>
      <c r="BK380" s="192"/>
      <c r="BL380" s="192"/>
      <c r="BM380" s="192"/>
      <c r="BN380" s="192"/>
      <c r="BO380" s="192"/>
      <c r="BP380" s="192"/>
      <c r="BQ380" s="192"/>
      <c r="BR380" s="192"/>
      <c r="BS380" s="192"/>
      <c r="BT380" s="192"/>
      <c r="BU380" s="192"/>
      <c r="BV380" s="192"/>
      <c r="BW380" s="192"/>
      <c r="BX380" s="192"/>
      <c r="BY380" s="192"/>
      <c r="BZ380" s="192"/>
      <c r="CA380" s="192"/>
      <c r="CB380" s="192"/>
      <c r="CC380" s="192"/>
      <c r="CD380" s="192"/>
      <c r="CE380" s="192"/>
      <c r="CF380" s="192"/>
      <c r="CG380" s="192"/>
      <c r="CH380" s="192"/>
      <c r="CI380" s="192"/>
      <c r="CJ380" s="192"/>
      <c r="CK380" s="192"/>
      <c r="CL380" s="192"/>
      <c r="CM380" s="192"/>
      <c r="CN380" s="192"/>
      <c r="CO380" s="192"/>
      <c r="CP380" s="192"/>
      <c r="CQ380" s="192"/>
      <c r="CR380" s="192"/>
      <c r="CS380" s="192"/>
      <c r="CT380" s="192"/>
      <c r="CU380" s="192"/>
      <c r="CV380" s="192"/>
      <c r="CW380" s="192"/>
      <c r="CX380" s="192"/>
      <c r="CY380" s="192"/>
      <c r="CZ380" s="192"/>
      <c r="DA380" s="192"/>
      <c r="DB380" s="192"/>
      <c r="DC380" s="192"/>
      <c r="DD380" s="192"/>
      <c r="DE380" s="192"/>
      <c r="DF380" s="192"/>
      <c r="DG380" s="192"/>
      <c r="DH380" s="192"/>
      <c r="DI380" s="192"/>
      <c r="DJ380" s="192"/>
      <c r="DK380" s="192"/>
      <c r="DL380" s="192"/>
      <c r="DM380" s="192"/>
      <c r="DN380" s="192"/>
      <c r="DO380" s="192"/>
      <c r="DP380" s="192"/>
      <c r="DQ380" s="192"/>
      <c r="DR380" s="192"/>
      <c r="DS380" s="192"/>
      <c r="DT380" s="192"/>
      <c r="DU380" s="192"/>
      <c r="DV380" s="192"/>
      <c r="DW380" s="192"/>
      <c r="DX380" s="192"/>
      <c r="DY380" s="192"/>
      <c r="DZ380" s="192"/>
      <c r="EA380" s="192"/>
      <c r="EB380" s="192"/>
      <c r="EC380" s="192"/>
      <c r="ED380" s="192"/>
      <c r="EE380" s="192"/>
      <c r="EF380" s="192"/>
      <c r="EG380" s="192"/>
      <c r="EH380" s="192"/>
      <c r="EI380" s="192"/>
      <c r="EJ380" s="192"/>
      <c r="EK380" s="192"/>
      <c r="EL380" s="192"/>
      <c r="EM380" s="192"/>
      <c r="EN380" s="192"/>
      <c r="EO380" s="192"/>
      <c r="EP380" s="192"/>
      <c r="EQ380" s="192"/>
    </row>
    <row r="381" spans="1:147" x14ac:dyDescent="0.2">
      <c r="A381" s="192"/>
      <c r="B381" s="192"/>
      <c r="C381" s="192"/>
      <c r="D381" s="192"/>
      <c r="E381" s="192"/>
      <c r="F381" s="192"/>
      <c r="G381" s="192"/>
      <c r="H381" s="192"/>
      <c r="I381" s="192"/>
      <c r="J381" s="192"/>
      <c r="K381" s="192"/>
      <c r="L381" s="192"/>
      <c r="M381" s="192"/>
      <c r="N381" s="192"/>
      <c r="O381" s="192"/>
      <c r="P381" s="192"/>
      <c r="Q381" s="192"/>
      <c r="R381" s="192"/>
      <c r="S381" s="266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265"/>
      <c r="AG381" s="265"/>
      <c r="AH381" s="265"/>
      <c r="AI381" s="192"/>
      <c r="AJ381" s="192"/>
      <c r="AK381" s="192"/>
      <c r="AL381" s="192"/>
      <c r="AM381" s="192"/>
      <c r="AN381" s="192"/>
      <c r="AO381" s="192"/>
      <c r="AP381" s="192"/>
      <c r="AQ381" s="192"/>
      <c r="AR381" s="192"/>
      <c r="AS381" s="192"/>
      <c r="AT381" s="192"/>
      <c r="AU381" s="192"/>
      <c r="AV381" s="192"/>
      <c r="AW381" s="192"/>
      <c r="AX381" s="192"/>
      <c r="AY381" s="192"/>
      <c r="AZ381" s="192"/>
      <c r="BA381" s="192"/>
      <c r="BB381" s="192"/>
      <c r="BC381" s="192"/>
      <c r="BD381" s="192"/>
      <c r="BE381" s="192"/>
      <c r="BF381" s="192"/>
      <c r="BG381" s="192"/>
      <c r="BH381" s="192"/>
      <c r="BI381" s="192"/>
      <c r="BJ381" s="192"/>
      <c r="BK381" s="192"/>
      <c r="BL381" s="192"/>
      <c r="BM381" s="192"/>
      <c r="BN381" s="192"/>
      <c r="BO381" s="192"/>
      <c r="BP381" s="192"/>
      <c r="BQ381" s="192"/>
      <c r="BR381" s="192"/>
      <c r="BS381" s="192"/>
      <c r="BT381" s="192"/>
      <c r="BU381" s="192"/>
      <c r="BV381" s="192"/>
      <c r="BW381" s="192"/>
      <c r="BX381" s="192"/>
      <c r="BY381" s="192"/>
      <c r="BZ381" s="192"/>
      <c r="CA381" s="192"/>
      <c r="CB381" s="192"/>
      <c r="CC381" s="192"/>
      <c r="CD381" s="192"/>
      <c r="CE381" s="192"/>
      <c r="CF381" s="192"/>
      <c r="CG381" s="192"/>
      <c r="CH381" s="192"/>
      <c r="CI381" s="192"/>
      <c r="CJ381" s="192"/>
      <c r="CK381" s="192"/>
      <c r="CL381" s="192"/>
      <c r="CM381" s="192"/>
      <c r="CN381" s="192"/>
      <c r="CO381" s="192"/>
      <c r="CP381" s="192"/>
      <c r="CQ381" s="192"/>
      <c r="CR381" s="192"/>
      <c r="CS381" s="192"/>
      <c r="CT381" s="192"/>
      <c r="CU381" s="192"/>
      <c r="CV381" s="192"/>
      <c r="CW381" s="192"/>
      <c r="CX381" s="192"/>
      <c r="CY381" s="192"/>
      <c r="CZ381" s="192"/>
      <c r="DA381" s="192"/>
      <c r="DB381" s="192"/>
      <c r="DC381" s="192"/>
      <c r="DD381" s="192"/>
      <c r="DE381" s="192"/>
      <c r="DF381" s="192"/>
      <c r="DG381" s="192"/>
      <c r="DH381" s="192"/>
      <c r="DI381" s="192"/>
      <c r="DJ381" s="192"/>
      <c r="DK381" s="192"/>
      <c r="DL381" s="192"/>
      <c r="DM381" s="192"/>
      <c r="DN381" s="192"/>
      <c r="DO381" s="192"/>
      <c r="DP381" s="192"/>
      <c r="DQ381" s="192"/>
      <c r="DR381" s="192"/>
      <c r="DS381" s="192"/>
      <c r="DT381" s="192"/>
      <c r="DU381" s="192"/>
      <c r="DV381" s="192"/>
      <c r="DW381" s="192"/>
      <c r="DX381" s="192"/>
      <c r="DY381" s="192"/>
      <c r="DZ381" s="192"/>
      <c r="EA381" s="192"/>
      <c r="EB381" s="192"/>
      <c r="EC381" s="192"/>
      <c r="ED381" s="192"/>
      <c r="EE381" s="192"/>
      <c r="EF381" s="192"/>
      <c r="EG381" s="192"/>
      <c r="EH381" s="192"/>
      <c r="EI381" s="192"/>
      <c r="EJ381" s="192"/>
      <c r="EK381" s="192"/>
      <c r="EL381" s="192"/>
      <c r="EM381" s="192"/>
      <c r="EN381" s="192"/>
      <c r="EO381" s="192"/>
      <c r="EP381" s="192"/>
      <c r="EQ381" s="192"/>
    </row>
    <row r="382" spans="1:147" x14ac:dyDescent="0.2">
      <c r="A382" s="192"/>
      <c r="B382" s="192"/>
      <c r="C382" s="192"/>
      <c r="D382" s="192"/>
      <c r="E382" s="192"/>
      <c r="F382" s="192"/>
      <c r="G382" s="192"/>
      <c r="H382" s="192"/>
      <c r="I382" s="192"/>
      <c r="J382" s="192"/>
      <c r="K382" s="192"/>
      <c r="L382" s="192"/>
      <c r="M382" s="192"/>
      <c r="N382" s="192"/>
      <c r="O382" s="192"/>
      <c r="P382" s="192"/>
      <c r="Q382" s="192"/>
      <c r="R382" s="192"/>
      <c r="S382" s="266"/>
      <c r="T382" s="265"/>
      <c r="U382" s="265"/>
      <c r="V382" s="265"/>
      <c r="W382" s="265"/>
      <c r="X382" s="265"/>
      <c r="Y382" s="265"/>
      <c r="Z382" s="265"/>
      <c r="AA382" s="265"/>
      <c r="AB382" s="265"/>
      <c r="AC382" s="265"/>
      <c r="AD382" s="265"/>
      <c r="AE382" s="265"/>
      <c r="AF382" s="265"/>
      <c r="AG382" s="265"/>
      <c r="AH382" s="265"/>
      <c r="AI382" s="192"/>
      <c r="AJ382" s="192"/>
      <c r="AK382" s="192"/>
      <c r="AL382" s="192"/>
      <c r="AM382" s="192"/>
      <c r="AN382" s="192"/>
      <c r="AO382" s="192"/>
      <c r="AP382" s="192"/>
      <c r="AQ382" s="192"/>
      <c r="AR382" s="192"/>
      <c r="AS382" s="192"/>
      <c r="AT382" s="192"/>
      <c r="AU382" s="192"/>
      <c r="AV382" s="192"/>
      <c r="AW382" s="192"/>
      <c r="AX382" s="192"/>
      <c r="AY382" s="192"/>
      <c r="AZ382" s="192"/>
      <c r="BA382" s="192"/>
      <c r="BB382" s="192"/>
      <c r="BC382" s="192"/>
      <c r="BD382" s="192"/>
      <c r="BE382" s="192"/>
      <c r="BF382" s="192"/>
      <c r="BG382" s="192"/>
      <c r="BH382" s="192"/>
      <c r="BI382" s="192"/>
      <c r="BJ382" s="192"/>
      <c r="BK382" s="192"/>
      <c r="BL382" s="192"/>
      <c r="BM382" s="192"/>
      <c r="BN382" s="192"/>
      <c r="BO382" s="192"/>
      <c r="BP382" s="192"/>
      <c r="BQ382" s="192"/>
      <c r="BR382" s="192"/>
      <c r="BS382" s="192"/>
      <c r="BT382" s="192"/>
      <c r="BU382" s="192"/>
      <c r="BV382" s="192"/>
      <c r="BW382" s="192"/>
      <c r="BX382" s="192"/>
      <c r="BY382" s="192"/>
      <c r="BZ382" s="192"/>
      <c r="CA382" s="192"/>
      <c r="CB382" s="192"/>
      <c r="CC382" s="192"/>
      <c r="CD382" s="192"/>
      <c r="CE382" s="192"/>
      <c r="CF382" s="192"/>
      <c r="CG382" s="192"/>
      <c r="CH382" s="192"/>
      <c r="CI382" s="192"/>
      <c r="CJ382" s="192"/>
      <c r="CK382" s="192"/>
      <c r="CL382" s="192"/>
      <c r="CM382" s="192"/>
      <c r="CN382" s="192"/>
      <c r="CO382" s="192"/>
      <c r="CP382" s="192"/>
      <c r="CQ382" s="192"/>
      <c r="CR382" s="192"/>
      <c r="CS382" s="192"/>
      <c r="CT382" s="192"/>
      <c r="CU382" s="192"/>
      <c r="CV382" s="192"/>
      <c r="CW382" s="192"/>
      <c r="CX382" s="192"/>
      <c r="CY382" s="192"/>
      <c r="CZ382" s="192"/>
      <c r="DA382" s="192"/>
      <c r="DB382" s="192"/>
      <c r="DC382" s="192"/>
      <c r="DD382" s="192"/>
      <c r="DE382" s="192"/>
      <c r="DF382" s="192"/>
      <c r="DG382" s="192"/>
      <c r="DH382" s="192"/>
      <c r="DI382" s="192"/>
      <c r="DJ382" s="192"/>
      <c r="DK382" s="192"/>
      <c r="DL382" s="192"/>
      <c r="DM382" s="192"/>
      <c r="DN382" s="192"/>
      <c r="DO382" s="192"/>
      <c r="DP382" s="192"/>
      <c r="DQ382" s="192"/>
      <c r="DR382" s="192"/>
      <c r="DS382" s="192"/>
      <c r="DT382" s="192"/>
      <c r="DU382" s="192"/>
      <c r="DV382" s="192"/>
      <c r="DW382" s="192"/>
      <c r="DX382" s="192"/>
      <c r="DY382" s="192"/>
      <c r="DZ382" s="192"/>
      <c r="EA382" s="192"/>
      <c r="EB382" s="192"/>
      <c r="EC382" s="192"/>
      <c r="ED382" s="192"/>
      <c r="EE382" s="192"/>
      <c r="EF382" s="192"/>
      <c r="EG382" s="192"/>
      <c r="EH382" s="192"/>
      <c r="EI382" s="192"/>
      <c r="EJ382" s="192"/>
      <c r="EK382" s="192"/>
      <c r="EL382" s="192"/>
      <c r="EM382" s="192"/>
      <c r="EN382" s="192"/>
      <c r="EO382" s="192"/>
      <c r="EP382" s="192"/>
      <c r="EQ382" s="192"/>
    </row>
    <row r="383" spans="1:147" x14ac:dyDescent="0.2">
      <c r="A383" s="192"/>
      <c r="B383" s="192"/>
      <c r="C383" s="192"/>
      <c r="D383" s="192"/>
      <c r="E383" s="192"/>
      <c r="F383" s="192"/>
      <c r="G383" s="192"/>
      <c r="H383" s="192"/>
      <c r="I383" s="192"/>
      <c r="J383" s="192"/>
      <c r="K383" s="192"/>
      <c r="L383" s="192"/>
      <c r="M383" s="192"/>
      <c r="N383" s="192"/>
      <c r="O383" s="192"/>
      <c r="P383" s="192"/>
      <c r="Q383" s="192"/>
      <c r="R383" s="192"/>
      <c r="S383" s="266"/>
      <c r="T383" s="265"/>
      <c r="U383" s="265"/>
      <c r="V383" s="265"/>
      <c r="W383" s="265"/>
      <c r="X383" s="265"/>
      <c r="Y383" s="265"/>
      <c r="Z383" s="265"/>
      <c r="AA383" s="265"/>
      <c r="AB383" s="265"/>
      <c r="AC383" s="265"/>
      <c r="AD383" s="265"/>
      <c r="AE383" s="265"/>
      <c r="AF383" s="265"/>
      <c r="AG383" s="265"/>
      <c r="AH383" s="265"/>
      <c r="AI383" s="192"/>
      <c r="AJ383" s="192"/>
      <c r="AK383" s="192"/>
      <c r="AL383" s="192"/>
      <c r="AM383" s="192"/>
      <c r="AN383" s="192"/>
      <c r="AO383" s="192"/>
      <c r="AP383" s="192"/>
      <c r="AQ383" s="192"/>
      <c r="AR383" s="192"/>
      <c r="AS383" s="192"/>
      <c r="AT383" s="192"/>
      <c r="AU383" s="192"/>
      <c r="AV383" s="192"/>
      <c r="AW383" s="192"/>
      <c r="AX383" s="192"/>
      <c r="AY383" s="192"/>
      <c r="AZ383" s="192"/>
      <c r="BA383" s="192"/>
      <c r="BB383" s="192"/>
      <c r="BC383" s="192"/>
      <c r="BD383" s="192"/>
      <c r="BE383" s="192"/>
      <c r="BF383" s="192"/>
      <c r="BG383" s="192"/>
      <c r="BH383" s="192"/>
      <c r="BI383" s="192"/>
      <c r="BJ383" s="192"/>
      <c r="BK383" s="192"/>
      <c r="BL383" s="192"/>
      <c r="BM383" s="192"/>
      <c r="BN383" s="192"/>
      <c r="BO383" s="192"/>
      <c r="BP383" s="192"/>
      <c r="BQ383" s="192"/>
      <c r="BR383" s="192"/>
      <c r="BS383" s="192"/>
      <c r="BT383" s="192"/>
      <c r="BU383" s="192"/>
      <c r="BV383" s="192"/>
      <c r="BW383" s="192"/>
      <c r="BX383" s="192"/>
      <c r="BY383" s="192"/>
      <c r="BZ383" s="192"/>
      <c r="CA383" s="192"/>
      <c r="CB383" s="192"/>
      <c r="CC383" s="192"/>
      <c r="CD383" s="192"/>
      <c r="CE383" s="192"/>
      <c r="CF383" s="192"/>
      <c r="CG383" s="192"/>
      <c r="CH383" s="192"/>
      <c r="CI383" s="192"/>
      <c r="CJ383" s="192"/>
      <c r="CK383" s="192"/>
      <c r="CL383" s="192"/>
      <c r="CM383" s="192"/>
      <c r="CN383" s="192"/>
      <c r="CO383" s="192"/>
      <c r="CP383" s="192"/>
      <c r="CQ383" s="192"/>
      <c r="CR383" s="192"/>
      <c r="CS383" s="192"/>
      <c r="CT383" s="192"/>
      <c r="CU383" s="192"/>
      <c r="CV383" s="192"/>
      <c r="CW383" s="192"/>
      <c r="CX383" s="192"/>
      <c r="CY383" s="192"/>
      <c r="CZ383" s="192"/>
      <c r="DA383" s="192"/>
      <c r="DB383" s="192"/>
      <c r="DC383" s="192"/>
      <c r="DD383" s="192"/>
      <c r="DE383" s="192"/>
      <c r="DF383" s="192"/>
      <c r="DG383" s="192"/>
      <c r="DH383" s="192"/>
      <c r="DI383" s="192"/>
      <c r="DJ383" s="192"/>
      <c r="DK383" s="192"/>
      <c r="DL383" s="192"/>
      <c r="DM383" s="192"/>
      <c r="DN383" s="192"/>
      <c r="DO383" s="192"/>
      <c r="DP383" s="192"/>
      <c r="DQ383" s="192"/>
      <c r="DR383" s="192"/>
      <c r="DS383" s="192"/>
      <c r="DT383" s="192"/>
      <c r="DU383" s="192"/>
      <c r="DV383" s="192"/>
      <c r="DW383" s="192"/>
      <c r="DX383" s="192"/>
      <c r="DY383" s="192"/>
      <c r="DZ383" s="192"/>
      <c r="EA383" s="192"/>
      <c r="EB383" s="192"/>
      <c r="EC383" s="192"/>
      <c r="ED383" s="192"/>
      <c r="EE383" s="192"/>
      <c r="EF383" s="192"/>
      <c r="EG383" s="192"/>
      <c r="EH383" s="192"/>
      <c r="EI383" s="192"/>
      <c r="EJ383" s="192"/>
      <c r="EK383" s="192"/>
      <c r="EL383" s="192"/>
      <c r="EM383" s="192"/>
      <c r="EN383" s="192"/>
      <c r="EO383" s="192"/>
      <c r="EP383" s="192"/>
      <c r="EQ383" s="192"/>
    </row>
    <row r="384" spans="1:147" x14ac:dyDescent="0.2">
      <c r="A384" s="192"/>
      <c r="B384" s="192"/>
      <c r="C384" s="192"/>
      <c r="D384" s="192"/>
      <c r="E384" s="192"/>
      <c r="F384" s="192"/>
      <c r="G384" s="192"/>
      <c r="H384" s="192"/>
      <c r="I384" s="192"/>
      <c r="J384" s="192"/>
      <c r="K384" s="192"/>
      <c r="L384" s="192"/>
      <c r="M384" s="192"/>
      <c r="N384" s="192"/>
      <c r="O384" s="192"/>
      <c r="P384" s="192"/>
      <c r="Q384" s="192"/>
      <c r="R384" s="192"/>
      <c r="S384" s="266"/>
      <c r="T384" s="265"/>
      <c r="U384" s="265"/>
      <c r="V384" s="265"/>
      <c r="W384" s="265"/>
      <c r="X384" s="265"/>
      <c r="Y384" s="265"/>
      <c r="Z384" s="265"/>
      <c r="AA384" s="265"/>
      <c r="AB384" s="265"/>
      <c r="AC384" s="265"/>
      <c r="AD384" s="265"/>
      <c r="AE384" s="265"/>
      <c r="AF384" s="265"/>
      <c r="AG384" s="265"/>
      <c r="AH384" s="265"/>
      <c r="AI384" s="192"/>
      <c r="AJ384" s="192"/>
      <c r="AK384" s="192"/>
      <c r="AL384" s="192"/>
      <c r="AM384" s="192"/>
      <c r="AN384" s="192"/>
      <c r="AO384" s="192"/>
      <c r="AP384" s="192"/>
      <c r="AQ384" s="192"/>
      <c r="AR384" s="192"/>
      <c r="AS384" s="192"/>
      <c r="AT384" s="192"/>
      <c r="AU384" s="192"/>
      <c r="AV384" s="192"/>
      <c r="AW384" s="192"/>
      <c r="AX384" s="192"/>
      <c r="AY384" s="192"/>
      <c r="AZ384" s="192"/>
      <c r="BA384" s="192"/>
      <c r="BB384" s="192"/>
      <c r="BC384" s="192"/>
      <c r="BD384" s="192"/>
      <c r="BE384" s="192"/>
      <c r="BF384" s="192"/>
      <c r="BG384" s="192"/>
      <c r="BH384" s="192"/>
      <c r="BI384" s="192"/>
      <c r="BJ384" s="192"/>
      <c r="BK384" s="192"/>
      <c r="BL384" s="192"/>
      <c r="BM384" s="192"/>
      <c r="BN384" s="192"/>
      <c r="BO384" s="192"/>
      <c r="BP384" s="192"/>
      <c r="BQ384" s="192"/>
      <c r="BR384" s="192"/>
      <c r="BS384" s="192"/>
      <c r="BT384" s="192"/>
      <c r="BU384" s="192"/>
      <c r="BV384" s="192"/>
      <c r="BW384" s="192"/>
      <c r="BX384" s="192"/>
      <c r="BY384" s="192"/>
      <c r="BZ384" s="192"/>
      <c r="CA384" s="192"/>
      <c r="CB384" s="192"/>
      <c r="CC384" s="192"/>
      <c r="CD384" s="192"/>
      <c r="CE384" s="192"/>
      <c r="CF384" s="192"/>
      <c r="CG384" s="192"/>
      <c r="CH384" s="192"/>
      <c r="CI384" s="192"/>
      <c r="CJ384" s="192"/>
      <c r="CK384" s="192"/>
      <c r="CL384" s="192"/>
      <c r="CM384" s="192"/>
      <c r="CN384" s="192"/>
      <c r="CO384" s="192"/>
      <c r="CP384" s="192"/>
      <c r="CQ384" s="192"/>
      <c r="CR384" s="192"/>
      <c r="CS384" s="192"/>
      <c r="CT384" s="192"/>
      <c r="CU384" s="192"/>
      <c r="CV384" s="192"/>
      <c r="CW384" s="192"/>
      <c r="CX384" s="192"/>
      <c r="CY384" s="192"/>
      <c r="CZ384" s="192"/>
      <c r="DA384" s="192"/>
      <c r="DB384" s="192"/>
      <c r="DC384" s="192"/>
      <c r="DD384" s="192"/>
      <c r="DE384" s="192"/>
      <c r="DF384" s="192"/>
      <c r="DG384" s="192"/>
      <c r="DH384" s="192"/>
      <c r="DI384" s="192"/>
      <c r="DJ384" s="192"/>
      <c r="DK384" s="192"/>
      <c r="DL384" s="192"/>
      <c r="DM384" s="192"/>
      <c r="DN384" s="192"/>
      <c r="DO384" s="192"/>
      <c r="DP384" s="192"/>
      <c r="DQ384" s="192"/>
      <c r="DR384" s="192"/>
      <c r="DS384" s="192"/>
      <c r="DT384" s="192"/>
      <c r="DU384" s="192"/>
      <c r="DV384" s="192"/>
      <c r="DW384" s="192"/>
      <c r="DX384" s="192"/>
      <c r="DY384" s="192"/>
      <c r="DZ384" s="192"/>
      <c r="EA384" s="192"/>
      <c r="EB384" s="192"/>
      <c r="EC384" s="192"/>
      <c r="ED384" s="192"/>
      <c r="EE384" s="192"/>
      <c r="EF384" s="192"/>
      <c r="EG384" s="192"/>
      <c r="EH384" s="192"/>
      <c r="EI384" s="192"/>
      <c r="EJ384" s="192"/>
      <c r="EK384" s="192"/>
      <c r="EL384" s="192"/>
      <c r="EM384" s="192"/>
      <c r="EN384" s="192"/>
      <c r="EO384" s="192"/>
      <c r="EP384" s="192"/>
      <c r="EQ384" s="192"/>
    </row>
    <row r="385" spans="1:147" x14ac:dyDescent="0.2">
      <c r="A385" s="192"/>
      <c r="B385" s="192"/>
      <c r="C385" s="192"/>
      <c r="D385" s="192"/>
      <c r="E385" s="192"/>
      <c r="F385" s="192"/>
      <c r="G385" s="192"/>
      <c r="H385" s="192"/>
      <c r="I385" s="192"/>
      <c r="J385" s="192"/>
      <c r="K385" s="192"/>
      <c r="L385" s="192"/>
      <c r="M385" s="192"/>
      <c r="N385" s="192"/>
      <c r="O385" s="192"/>
      <c r="P385" s="192"/>
      <c r="Q385" s="192"/>
      <c r="R385" s="192"/>
      <c r="S385" s="266"/>
      <c r="T385" s="265"/>
      <c r="U385" s="265"/>
      <c r="V385" s="265"/>
      <c r="W385" s="265"/>
      <c r="X385" s="265"/>
      <c r="Y385" s="265"/>
      <c r="Z385" s="265"/>
      <c r="AA385" s="265"/>
      <c r="AB385" s="265"/>
      <c r="AC385" s="265"/>
      <c r="AD385" s="265"/>
      <c r="AE385" s="265"/>
      <c r="AF385" s="265"/>
      <c r="AG385" s="265"/>
      <c r="AH385" s="265"/>
      <c r="AI385" s="192"/>
      <c r="AJ385" s="192"/>
      <c r="AK385" s="192"/>
      <c r="AL385" s="192"/>
      <c r="AM385" s="192"/>
      <c r="AN385" s="192"/>
      <c r="AO385" s="192"/>
      <c r="AP385" s="192"/>
      <c r="AQ385" s="192"/>
      <c r="AR385" s="192"/>
      <c r="AS385" s="192"/>
      <c r="AT385" s="192"/>
      <c r="AU385" s="192"/>
      <c r="AV385" s="192"/>
      <c r="AW385" s="192"/>
      <c r="AX385" s="192"/>
      <c r="AY385" s="192"/>
      <c r="AZ385" s="192"/>
      <c r="BA385" s="192"/>
      <c r="BB385" s="192"/>
      <c r="BC385" s="192"/>
      <c r="BD385" s="192"/>
      <c r="BE385" s="192"/>
      <c r="BF385" s="192"/>
      <c r="BG385" s="192"/>
      <c r="BH385" s="192"/>
      <c r="BI385" s="192"/>
      <c r="BJ385" s="192"/>
      <c r="BK385" s="192"/>
      <c r="BL385" s="192"/>
      <c r="BM385" s="192"/>
      <c r="BN385" s="192"/>
      <c r="BO385" s="192"/>
      <c r="BP385" s="192"/>
      <c r="BQ385" s="192"/>
      <c r="BR385" s="192"/>
      <c r="BS385" s="192"/>
      <c r="BT385" s="192"/>
      <c r="BU385" s="192"/>
      <c r="BV385" s="192"/>
      <c r="BW385" s="192"/>
      <c r="BX385" s="192"/>
      <c r="BY385" s="192"/>
      <c r="BZ385" s="192"/>
      <c r="CA385" s="192"/>
      <c r="CB385" s="192"/>
      <c r="CC385" s="192"/>
      <c r="CD385" s="192"/>
      <c r="CE385" s="192"/>
      <c r="CF385" s="192"/>
      <c r="CG385" s="192"/>
      <c r="CH385" s="192"/>
      <c r="CI385" s="192"/>
      <c r="CJ385" s="192"/>
      <c r="CK385" s="192"/>
      <c r="CL385" s="192"/>
      <c r="CM385" s="192"/>
      <c r="CN385" s="192"/>
      <c r="CO385" s="192"/>
      <c r="CP385" s="192"/>
      <c r="CQ385" s="192"/>
      <c r="CR385" s="192"/>
      <c r="CS385" s="192"/>
      <c r="CT385" s="192"/>
      <c r="CU385" s="192"/>
      <c r="CV385" s="192"/>
      <c r="CW385" s="192"/>
      <c r="CX385" s="192"/>
      <c r="CY385" s="192"/>
      <c r="CZ385" s="192"/>
      <c r="DA385" s="192"/>
      <c r="DB385" s="192"/>
      <c r="DC385" s="192"/>
      <c r="DD385" s="192"/>
      <c r="DE385" s="192"/>
      <c r="DF385" s="192"/>
      <c r="DG385" s="192"/>
      <c r="DH385" s="192"/>
      <c r="DI385" s="192"/>
      <c r="DJ385" s="192"/>
      <c r="DK385" s="192"/>
      <c r="DL385" s="192"/>
      <c r="DM385" s="192"/>
      <c r="DN385" s="192"/>
      <c r="DO385" s="192"/>
      <c r="DP385" s="192"/>
      <c r="DQ385" s="192"/>
      <c r="DR385" s="192"/>
      <c r="DS385" s="192"/>
      <c r="DT385" s="192"/>
      <c r="DU385" s="192"/>
      <c r="DV385" s="192"/>
      <c r="DW385" s="192"/>
      <c r="DX385" s="192"/>
      <c r="DY385" s="192"/>
      <c r="DZ385" s="192"/>
      <c r="EA385" s="192"/>
      <c r="EB385" s="192"/>
      <c r="EC385" s="192"/>
      <c r="ED385" s="192"/>
      <c r="EE385" s="192"/>
      <c r="EF385" s="192"/>
      <c r="EG385" s="192"/>
      <c r="EH385" s="192"/>
      <c r="EI385" s="192"/>
      <c r="EJ385" s="192"/>
      <c r="EK385" s="192"/>
      <c r="EL385" s="192"/>
      <c r="EM385" s="192"/>
      <c r="EN385" s="192"/>
      <c r="EO385" s="192"/>
      <c r="EP385" s="192"/>
      <c r="EQ385" s="192"/>
    </row>
    <row r="386" spans="1:147" x14ac:dyDescent="0.2">
      <c r="A386" s="192"/>
      <c r="B386" s="192"/>
      <c r="C386" s="192"/>
      <c r="D386" s="192"/>
      <c r="E386" s="192"/>
      <c r="F386" s="192"/>
      <c r="G386" s="192"/>
      <c r="H386" s="192"/>
      <c r="I386" s="192"/>
      <c r="J386" s="192"/>
      <c r="K386" s="192"/>
      <c r="L386" s="192"/>
      <c r="M386" s="192"/>
      <c r="N386" s="192"/>
      <c r="O386" s="192"/>
      <c r="P386" s="192"/>
      <c r="Q386" s="192"/>
      <c r="R386" s="192"/>
      <c r="S386" s="266"/>
      <c r="T386" s="265"/>
      <c r="U386" s="265"/>
      <c r="V386" s="265"/>
      <c r="W386" s="265"/>
      <c r="X386" s="265"/>
      <c r="Y386" s="265"/>
      <c r="Z386" s="265"/>
      <c r="AA386" s="265"/>
      <c r="AB386" s="265"/>
      <c r="AC386" s="265"/>
      <c r="AD386" s="265"/>
      <c r="AE386" s="265"/>
      <c r="AF386" s="265"/>
      <c r="AG386" s="265"/>
      <c r="AH386" s="265"/>
      <c r="AI386" s="192"/>
      <c r="AJ386" s="192"/>
      <c r="AK386" s="192"/>
      <c r="AL386" s="192"/>
      <c r="AM386" s="192"/>
      <c r="AN386" s="192"/>
      <c r="AO386" s="192"/>
      <c r="AP386" s="192"/>
      <c r="AQ386" s="192"/>
      <c r="AR386" s="192"/>
      <c r="AS386" s="192"/>
      <c r="AT386" s="192"/>
      <c r="AU386" s="192"/>
      <c r="AV386" s="192"/>
      <c r="AW386" s="192"/>
      <c r="AX386" s="192"/>
      <c r="AY386" s="192"/>
      <c r="AZ386" s="192"/>
      <c r="BA386" s="192"/>
      <c r="BB386" s="192"/>
      <c r="BC386" s="192"/>
      <c r="BD386" s="192"/>
      <c r="BE386" s="192"/>
      <c r="BF386" s="192"/>
      <c r="BG386" s="192"/>
      <c r="BH386" s="192"/>
      <c r="BI386" s="192"/>
      <c r="BJ386" s="192"/>
      <c r="BK386" s="192"/>
      <c r="BL386" s="192"/>
      <c r="BM386" s="192"/>
      <c r="BN386" s="192"/>
      <c r="BO386" s="192"/>
      <c r="BP386" s="192"/>
      <c r="BQ386" s="192"/>
      <c r="BR386" s="192"/>
      <c r="BS386" s="192"/>
      <c r="BT386" s="192"/>
      <c r="BU386" s="192"/>
      <c r="BV386" s="192"/>
      <c r="BW386" s="192"/>
      <c r="BX386" s="192"/>
      <c r="BY386" s="192"/>
      <c r="BZ386" s="192"/>
      <c r="CA386" s="192"/>
      <c r="CB386" s="192"/>
      <c r="CC386" s="192"/>
      <c r="CD386" s="192"/>
      <c r="CE386" s="192"/>
      <c r="CF386" s="192"/>
      <c r="CG386" s="192"/>
      <c r="CH386" s="192"/>
      <c r="CI386" s="192"/>
      <c r="CJ386" s="192"/>
      <c r="CK386" s="192"/>
      <c r="CL386" s="192"/>
      <c r="CM386" s="192"/>
      <c r="CN386" s="192"/>
      <c r="CO386" s="192"/>
      <c r="CP386" s="192"/>
      <c r="CQ386" s="192"/>
      <c r="CR386" s="192"/>
      <c r="CS386" s="192"/>
      <c r="CT386" s="192"/>
      <c r="CU386" s="192"/>
      <c r="CV386" s="192"/>
      <c r="CW386" s="192"/>
      <c r="CX386" s="192"/>
      <c r="CY386" s="192"/>
      <c r="CZ386" s="192"/>
      <c r="DA386" s="192"/>
      <c r="DB386" s="192"/>
      <c r="DC386" s="192"/>
      <c r="DD386" s="192"/>
      <c r="DE386" s="192"/>
      <c r="DF386" s="192"/>
      <c r="DG386" s="192"/>
      <c r="DH386" s="192"/>
      <c r="DI386" s="192"/>
      <c r="DJ386" s="192"/>
      <c r="DK386" s="192"/>
      <c r="DL386" s="192"/>
      <c r="DM386" s="192"/>
      <c r="DN386" s="192"/>
      <c r="DO386" s="192"/>
      <c r="DP386" s="192"/>
      <c r="DQ386" s="192"/>
      <c r="DR386" s="192"/>
      <c r="DS386" s="192"/>
      <c r="DT386" s="192"/>
      <c r="DU386" s="192"/>
      <c r="DV386" s="192"/>
      <c r="DW386" s="192"/>
      <c r="DX386" s="192"/>
      <c r="DY386" s="192"/>
      <c r="DZ386" s="192"/>
      <c r="EA386" s="192"/>
      <c r="EB386" s="192"/>
      <c r="EC386" s="192"/>
      <c r="ED386" s="192"/>
      <c r="EE386" s="192"/>
      <c r="EF386" s="192"/>
      <c r="EG386" s="192"/>
      <c r="EH386" s="192"/>
      <c r="EI386" s="192"/>
      <c r="EJ386" s="192"/>
      <c r="EK386" s="192"/>
      <c r="EL386" s="192"/>
      <c r="EM386" s="192"/>
      <c r="EN386" s="192"/>
      <c r="EO386" s="192"/>
      <c r="EP386" s="192"/>
      <c r="EQ386" s="192"/>
    </row>
    <row r="387" spans="1:147" x14ac:dyDescent="0.2">
      <c r="A387" s="192"/>
      <c r="B387" s="192"/>
      <c r="C387" s="192"/>
      <c r="D387" s="192"/>
      <c r="E387" s="192"/>
      <c r="F387" s="192"/>
      <c r="G387" s="192"/>
      <c r="H387" s="192"/>
      <c r="I387" s="192"/>
      <c r="J387" s="192"/>
      <c r="K387" s="192"/>
      <c r="L387" s="192"/>
      <c r="M387" s="192"/>
      <c r="N387" s="192"/>
      <c r="O387" s="192"/>
      <c r="P387" s="192"/>
      <c r="Q387" s="192"/>
      <c r="R387" s="192"/>
      <c r="S387" s="266"/>
      <c r="T387" s="265"/>
      <c r="U387" s="265"/>
      <c r="V387" s="265"/>
      <c r="W387" s="265"/>
      <c r="X387" s="265"/>
      <c r="Y387" s="265"/>
      <c r="Z387" s="265"/>
      <c r="AA387" s="265"/>
      <c r="AB387" s="265"/>
      <c r="AC387" s="265"/>
      <c r="AD387" s="265"/>
      <c r="AE387" s="265"/>
      <c r="AF387" s="265"/>
      <c r="AG387" s="265"/>
      <c r="AH387" s="265"/>
      <c r="AI387" s="192"/>
      <c r="AJ387" s="192"/>
      <c r="AK387" s="192"/>
      <c r="AL387" s="192"/>
      <c r="AM387" s="192"/>
      <c r="AN387" s="192"/>
      <c r="AO387" s="192"/>
      <c r="AP387" s="192"/>
      <c r="AQ387" s="192"/>
      <c r="AR387" s="192"/>
      <c r="AS387" s="192"/>
      <c r="AT387" s="192"/>
      <c r="AU387" s="192"/>
      <c r="AV387" s="192"/>
      <c r="AW387" s="192"/>
      <c r="AX387" s="192"/>
      <c r="AY387" s="192"/>
      <c r="AZ387" s="192"/>
      <c r="BA387" s="192"/>
      <c r="BB387" s="192"/>
      <c r="BC387" s="192"/>
      <c r="BD387" s="192"/>
      <c r="BE387" s="192"/>
      <c r="BF387" s="192"/>
      <c r="BG387" s="192"/>
      <c r="BH387" s="192"/>
      <c r="BI387" s="192"/>
      <c r="BJ387" s="192"/>
      <c r="BK387" s="192"/>
      <c r="BL387" s="192"/>
      <c r="BM387" s="192"/>
      <c r="BN387" s="192"/>
      <c r="BO387" s="192"/>
      <c r="BP387" s="192"/>
      <c r="BQ387" s="192"/>
      <c r="BR387" s="192"/>
      <c r="BS387" s="192"/>
      <c r="BT387" s="192"/>
      <c r="BU387" s="192"/>
      <c r="BV387" s="192"/>
      <c r="BW387" s="192"/>
      <c r="BX387" s="192"/>
      <c r="BY387" s="192"/>
      <c r="BZ387" s="192"/>
      <c r="CA387" s="192"/>
      <c r="CB387" s="192"/>
      <c r="CC387" s="192"/>
      <c r="CD387" s="192"/>
      <c r="CE387" s="192"/>
      <c r="CF387" s="192"/>
      <c r="CG387" s="192"/>
      <c r="CH387" s="192"/>
      <c r="CI387" s="192"/>
      <c r="CJ387" s="192"/>
      <c r="CK387" s="192"/>
      <c r="CL387" s="192"/>
      <c r="CM387" s="192"/>
      <c r="CN387" s="192"/>
      <c r="CO387" s="192"/>
      <c r="CP387" s="192"/>
      <c r="CQ387" s="192"/>
      <c r="CR387" s="192"/>
      <c r="CS387" s="192"/>
      <c r="CT387" s="192"/>
      <c r="CU387" s="192"/>
      <c r="CV387" s="192"/>
      <c r="CW387" s="192"/>
      <c r="CX387" s="192"/>
      <c r="CY387" s="192"/>
      <c r="CZ387" s="192"/>
      <c r="DA387" s="192"/>
      <c r="DB387" s="192"/>
      <c r="DC387" s="192"/>
      <c r="DD387" s="192"/>
      <c r="DE387" s="192"/>
      <c r="DF387" s="192"/>
      <c r="DG387" s="192"/>
      <c r="DH387" s="192"/>
      <c r="DI387" s="192"/>
      <c r="DJ387" s="192"/>
      <c r="DK387" s="192"/>
      <c r="DL387" s="192"/>
      <c r="DM387" s="192"/>
      <c r="DN387" s="192"/>
      <c r="DO387" s="192"/>
      <c r="DP387" s="192"/>
      <c r="DQ387" s="192"/>
      <c r="DR387" s="192"/>
      <c r="DS387" s="192"/>
      <c r="DT387" s="192"/>
      <c r="DU387" s="192"/>
      <c r="DV387" s="192"/>
      <c r="DW387" s="192"/>
      <c r="DX387" s="192"/>
      <c r="DY387" s="192"/>
      <c r="DZ387" s="192"/>
      <c r="EA387" s="192"/>
      <c r="EB387" s="192"/>
      <c r="EC387" s="192"/>
      <c r="ED387" s="192"/>
      <c r="EE387" s="192"/>
      <c r="EF387" s="192"/>
      <c r="EG387" s="192"/>
      <c r="EH387" s="192"/>
      <c r="EI387" s="192"/>
      <c r="EJ387" s="192"/>
      <c r="EK387" s="192"/>
      <c r="EL387" s="192"/>
      <c r="EM387" s="192"/>
      <c r="EN387" s="192"/>
      <c r="EO387" s="192"/>
      <c r="EP387" s="192"/>
      <c r="EQ387" s="192"/>
    </row>
    <row r="388" spans="1:147" x14ac:dyDescent="0.2">
      <c r="A388" s="192"/>
      <c r="B388" s="192"/>
      <c r="C388" s="192"/>
      <c r="D388" s="192"/>
      <c r="E388" s="192"/>
      <c r="F388" s="192"/>
      <c r="G388" s="192"/>
      <c r="H388" s="192"/>
      <c r="I388" s="192"/>
      <c r="J388" s="192"/>
      <c r="K388" s="192"/>
      <c r="L388" s="192"/>
      <c r="M388" s="192"/>
      <c r="N388" s="192"/>
      <c r="O388" s="192"/>
      <c r="P388" s="192"/>
      <c r="Q388" s="192"/>
      <c r="R388" s="192"/>
      <c r="S388" s="266"/>
      <c r="T388" s="265"/>
      <c r="U388" s="265"/>
      <c r="V388" s="265"/>
      <c r="W388" s="265"/>
      <c r="X388" s="265"/>
      <c r="Y388" s="265"/>
      <c r="Z388" s="265"/>
      <c r="AA388" s="265"/>
      <c r="AB388" s="265"/>
      <c r="AC388" s="265"/>
      <c r="AD388" s="265"/>
      <c r="AE388" s="265"/>
      <c r="AF388" s="265"/>
      <c r="AG388" s="265"/>
      <c r="AH388" s="265"/>
      <c r="AI388" s="192"/>
      <c r="AJ388" s="192"/>
      <c r="AK388" s="192"/>
      <c r="AL388" s="192"/>
      <c r="AM388" s="192"/>
      <c r="AN388" s="192"/>
      <c r="AO388" s="192"/>
      <c r="AP388" s="192"/>
      <c r="AQ388" s="192"/>
      <c r="AR388" s="192"/>
      <c r="AS388" s="192"/>
      <c r="AT388" s="192"/>
      <c r="AU388" s="192"/>
      <c r="AV388" s="192"/>
      <c r="AW388" s="192"/>
      <c r="AX388" s="192"/>
      <c r="AY388" s="192"/>
      <c r="AZ388" s="192"/>
      <c r="BA388" s="192"/>
      <c r="BB388" s="192"/>
      <c r="BC388" s="192"/>
      <c r="BD388" s="192"/>
      <c r="BE388" s="192"/>
      <c r="BF388" s="192"/>
      <c r="BG388" s="192"/>
      <c r="BH388" s="192"/>
      <c r="BI388" s="192"/>
      <c r="BJ388" s="192"/>
      <c r="BK388" s="192"/>
      <c r="BL388" s="192"/>
      <c r="BM388" s="192"/>
      <c r="BN388" s="192"/>
      <c r="BO388" s="192"/>
      <c r="BP388" s="192"/>
      <c r="BQ388" s="192"/>
      <c r="BR388" s="192"/>
      <c r="BS388" s="192"/>
      <c r="BT388" s="192"/>
      <c r="BU388" s="192"/>
      <c r="BV388" s="192"/>
      <c r="BW388" s="192"/>
      <c r="BX388" s="192"/>
      <c r="BY388" s="192"/>
      <c r="BZ388" s="192"/>
      <c r="CA388" s="192"/>
      <c r="CB388" s="192"/>
      <c r="CC388" s="192"/>
      <c r="CD388" s="192"/>
      <c r="CE388" s="192"/>
      <c r="CF388" s="192"/>
      <c r="CG388" s="192"/>
      <c r="CH388" s="192"/>
      <c r="CI388" s="192"/>
      <c r="CJ388" s="192"/>
      <c r="CK388" s="192"/>
      <c r="CL388" s="192"/>
      <c r="CM388" s="192"/>
      <c r="CN388" s="192"/>
      <c r="CO388" s="192"/>
      <c r="CP388" s="192"/>
      <c r="CQ388" s="192"/>
      <c r="CR388" s="192"/>
      <c r="CS388" s="192"/>
      <c r="CT388" s="192"/>
      <c r="CU388" s="192"/>
      <c r="CV388" s="192"/>
      <c r="CW388" s="192"/>
      <c r="CX388" s="192"/>
      <c r="CY388" s="192"/>
      <c r="CZ388" s="192"/>
      <c r="DA388" s="192"/>
      <c r="DB388" s="192"/>
      <c r="DC388" s="192"/>
      <c r="DD388" s="192"/>
      <c r="DE388" s="192"/>
      <c r="DF388" s="192"/>
      <c r="DG388" s="192"/>
      <c r="DH388" s="192"/>
      <c r="DI388" s="192"/>
      <c r="DJ388" s="192"/>
      <c r="DK388" s="192"/>
      <c r="DL388" s="192"/>
      <c r="DM388" s="192"/>
      <c r="DN388" s="192"/>
      <c r="DO388" s="192"/>
      <c r="DP388" s="192"/>
      <c r="DQ388" s="192"/>
      <c r="DR388" s="192"/>
      <c r="DS388" s="192"/>
      <c r="DT388" s="192"/>
      <c r="DU388" s="192"/>
      <c r="DV388" s="192"/>
      <c r="DW388" s="192"/>
      <c r="DX388" s="192"/>
      <c r="DY388" s="192"/>
      <c r="DZ388" s="192"/>
      <c r="EA388" s="192"/>
      <c r="EB388" s="192"/>
      <c r="EC388" s="192"/>
      <c r="ED388" s="192"/>
      <c r="EE388" s="192"/>
      <c r="EF388" s="192"/>
      <c r="EG388" s="192"/>
      <c r="EH388" s="192"/>
      <c r="EI388" s="192"/>
      <c r="EJ388" s="192"/>
      <c r="EK388" s="192"/>
      <c r="EL388" s="192"/>
      <c r="EM388" s="192"/>
      <c r="EN388" s="192"/>
      <c r="EO388" s="192"/>
      <c r="EP388" s="192"/>
      <c r="EQ388" s="192"/>
    </row>
    <row r="389" spans="1:147" x14ac:dyDescent="0.2">
      <c r="A389" s="192"/>
      <c r="B389" s="192"/>
      <c r="C389" s="192"/>
      <c r="D389" s="192"/>
      <c r="E389" s="192"/>
      <c r="F389" s="192"/>
      <c r="G389" s="192"/>
      <c r="H389" s="192"/>
      <c r="I389" s="192"/>
      <c r="J389" s="192"/>
      <c r="K389" s="192"/>
      <c r="L389" s="192"/>
      <c r="M389" s="192"/>
      <c r="N389" s="192"/>
      <c r="O389" s="192"/>
      <c r="P389" s="192"/>
      <c r="Q389" s="192"/>
      <c r="R389" s="192"/>
      <c r="S389" s="266"/>
      <c r="T389" s="265"/>
      <c r="U389" s="265"/>
      <c r="V389" s="265"/>
      <c r="W389" s="265"/>
      <c r="X389" s="265"/>
      <c r="Y389" s="265"/>
      <c r="Z389" s="265"/>
      <c r="AA389" s="265"/>
      <c r="AB389" s="265"/>
      <c r="AC389" s="265"/>
      <c r="AD389" s="265"/>
      <c r="AE389" s="265"/>
      <c r="AF389" s="265"/>
      <c r="AG389" s="265"/>
      <c r="AH389" s="265"/>
      <c r="AI389" s="192"/>
      <c r="AJ389" s="192"/>
      <c r="AK389" s="192"/>
      <c r="AL389" s="192"/>
      <c r="AM389" s="192"/>
      <c r="AN389" s="192"/>
      <c r="AO389" s="192"/>
      <c r="AP389" s="192"/>
      <c r="AQ389" s="192"/>
      <c r="AR389" s="192"/>
      <c r="AS389" s="192"/>
      <c r="AT389" s="192"/>
      <c r="AU389" s="192"/>
      <c r="AV389" s="192"/>
      <c r="AW389" s="192"/>
      <c r="AX389" s="192"/>
      <c r="AY389" s="192"/>
      <c r="AZ389" s="192"/>
      <c r="BA389" s="192"/>
      <c r="BB389" s="192"/>
      <c r="BC389" s="192"/>
      <c r="BD389" s="192"/>
      <c r="BE389" s="192"/>
      <c r="BF389" s="192"/>
      <c r="BG389" s="192"/>
      <c r="BH389" s="192"/>
      <c r="BI389" s="192"/>
      <c r="BJ389" s="192"/>
      <c r="BK389" s="192"/>
      <c r="BL389" s="192"/>
      <c r="BM389" s="192"/>
      <c r="BN389" s="192"/>
      <c r="BO389" s="192"/>
      <c r="BP389" s="192"/>
      <c r="BQ389" s="192"/>
      <c r="BR389" s="192"/>
      <c r="BS389" s="192"/>
      <c r="BT389" s="192"/>
      <c r="BU389" s="192"/>
      <c r="BV389" s="192"/>
      <c r="BW389" s="192"/>
      <c r="BX389" s="192"/>
      <c r="BY389" s="192"/>
      <c r="BZ389" s="192"/>
      <c r="CA389" s="192"/>
      <c r="CB389" s="192"/>
      <c r="CC389" s="192"/>
      <c r="CD389" s="192"/>
      <c r="CE389" s="192"/>
      <c r="CF389" s="192"/>
      <c r="CG389" s="192"/>
      <c r="CH389" s="192"/>
      <c r="CI389" s="192"/>
      <c r="CJ389" s="192"/>
      <c r="CK389" s="192"/>
      <c r="CL389" s="192"/>
      <c r="CM389" s="192"/>
      <c r="CN389" s="192"/>
      <c r="CO389" s="192"/>
      <c r="CP389" s="192"/>
      <c r="CQ389" s="192"/>
      <c r="CR389" s="192"/>
      <c r="CS389" s="192"/>
      <c r="CT389" s="192"/>
      <c r="CU389" s="192"/>
      <c r="CV389" s="192"/>
      <c r="CW389" s="192"/>
      <c r="CX389" s="192"/>
      <c r="CY389" s="192"/>
      <c r="CZ389" s="192"/>
      <c r="DA389" s="192"/>
      <c r="DB389" s="192"/>
      <c r="DC389" s="192"/>
      <c r="DD389" s="192"/>
      <c r="DE389" s="192"/>
      <c r="DF389" s="192"/>
      <c r="DG389" s="192"/>
      <c r="DH389" s="192"/>
      <c r="DI389" s="192"/>
      <c r="DJ389" s="192"/>
      <c r="DK389" s="192"/>
      <c r="DL389" s="192"/>
      <c r="DM389" s="192"/>
      <c r="DN389" s="192"/>
      <c r="DO389" s="192"/>
      <c r="DP389" s="192"/>
      <c r="DQ389" s="192"/>
      <c r="DR389" s="192"/>
      <c r="DS389" s="192"/>
      <c r="DT389" s="192"/>
      <c r="DU389" s="192"/>
      <c r="DV389" s="192"/>
      <c r="DW389" s="192"/>
      <c r="DX389" s="192"/>
      <c r="DY389" s="192"/>
      <c r="DZ389" s="192"/>
      <c r="EA389" s="192"/>
      <c r="EB389" s="192"/>
      <c r="EC389" s="192"/>
      <c r="ED389" s="192"/>
      <c r="EE389" s="192"/>
      <c r="EF389" s="192"/>
      <c r="EG389" s="192"/>
      <c r="EH389" s="192"/>
      <c r="EI389" s="192"/>
      <c r="EJ389" s="192"/>
      <c r="EK389" s="192"/>
      <c r="EL389" s="192"/>
      <c r="EM389" s="192"/>
      <c r="EN389" s="192"/>
      <c r="EO389" s="192"/>
      <c r="EP389" s="192"/>
      <c r="EQ389" s="192"/>
    </row>
    <row r="390" spans="1:147" x14ac:dyDescent="0.2">
      <c r="A390" s="192"/>
      <c r="B390" s="192"/>
      <c r="C390" s="192"/>
      <c r="D390" s="192"/>
      <c r="E390" s="192"/>
      <c r="F390" s="192"/>
      <c r="G390" s="192"/>
      <c r="H390" s="192"/>
      <c r="I390" s="192"/>
      <c r="J390" s="192"/>
      <c r="K390" s="192"/>
      <c r="L390" s="192"/>
      <c r="M390" s="192"/>
      <c r="N390" s="192"/>
      <c r="O390" s="192"/>
      <c r="P390" s="192"/>
      <c r="Q390" s="192"/>
      <c r="R390" s="192"/>
      <c r="S390" s="266"/>
      <c r="T390" s="265"/>
      <c r="U390" s="265"/>
      <c r="V390" s="265"/>
      <c r="W390" s="265"/>
      <c r="X390" s="265"/>
      <c r="Y390" s="265"/>
      <c r="Z390" s="265"/>
      <c r="AA390" s="265"/>
      <c r="AB390" s="265"/>
      <c r="AC390" s="265"/>
      <c r="AD390" s="265"/>
      <c r="AE390" s="265"/>
      <c r="AF390" s="265"/>
      <c r="AG390" s="265"/>
      <c r="AH390" s="265"/>
      <c r="AI390" s="192"/>
      <c r="AJ390" s="192"/>
      <c r="AK390" s="192"/>
      <c r="AL390" s="192"/>
      <c r="AM390" s="192"/>
      <c r="AN390" s="192"/>
      <c r="AO390" s="192"/>
      <c r="AP390" s="192"/>
      <c r="AQ390" s="192"/>
      <c r="AR390" s="192"/>
      <c r="AS390" s="192"/>
      <c r="AT390" s="192"/>
      <c r="AU390" s="192"/>
      <c r="AV390" s="192"/>
      <c r="AW390" s="192"/>
      <c r="AX390" s="192"/>
      <c r="AY390" s="192"/>
      <c r="AZ390" s="192"/>
      <c r="BA390" s="192"/>
      <c r="BB390" s="192"/>
      <c r="BC390" s="192"/>
      <c r="BD390" s="192"/>
      <c r="BE390" s="192"/>
      <c r="BF390" s="192"/>
      <c r="BG390" s="192"/>
      <c r="BH390" s="192"/>
      <c r="BI390" s="192"/>
      <c r="BJ390" s="192"/>
      <c r="BK390" s="192"/>
      <c r="BL390" s="192"/>
      <c r="BM390" s="192"/>
      <c r="BN390" s="192"/>
      <c r="BO390" s="192"/>
      <c r="BP390" s="192"/>
      <c r="BQ390" s="192"/>
      <c r="BR390" s="192"/>
      <c r="BS390" s="192"/>
      <c r="BT390" s="192"/>
      <c r="BU390" s="192"/>
      <c r="BV390" s="192"/>
      <c r="BW390" s="192"/>
      <c r="BX390" s="192"/>
      <c r="BY390" s="192"/>
      <c r="BZ390" s="192"/>
      <c r="CA390" s="192"/>
      <c r="CB390" s="192"/>
      <c r="CC390" s="192"/>
      <c r="CD390" s="192"/>
      <c r="CE390" s="192"/>
      <c r="CF390" s="192"/>
      <c r="CG390" s="192"/>
      <c r="CH390" s="192"/>
      <c r="CI390" s="192"/>
      <c r="CJ390" s="192"/>
      <c r="CK390" s="192"/>
      <c r="CL390" s="192"/>
      <c r="CM390" s="192"/>
      <c r="CN390" s="192"/>
      <c r="CO390" s="192"/>
      <c r="CP390" s="192"/>
      <c r="CQ390" s="192"/>
      <c r="CR390" s="192"/>
      <c r="CS390" s="192"/>
      <c r="CT390" s="192"/>
      <c r="CU390" s="192"/>
      <c r="CV390" s="192"/>
      <c r="CW390" s="192"/>
      <c r="CX390" s="192"/>
      <c r="CY390" s="192"/>
      <c r="CZ390" s="192"/>
      <c r="DA390" s="192"/>
      <c r="DB390" s="192"/>
      <c r="DC390" s="192"/>
      <c r="DD390" s="192"/>
      <c r="DE390" s="192"/>
      <c r="DF390" s="192"/>
      <c r="DG390" s="192"/>
      <c r="DH390" s="192"/>
      <c r="DI390" s="192"/>
      <c r="DJ390" s="192"/>
      <c r="DK390" s="192"/>
      <c r="DL390" s="192"/>
      <c r="DM390" s="192"/>
      <c r="DN390" s="192"/>
      <c r="DO390" s="192"/>
      <c r="DP390" s="192"/>
      <c r="DQ390" s="192"/>
      <c r="DR390" s="192"/>
      <c r="DS390" s="192"/>
      <c r="DT390" s="192"/>
      <c r="DU390" s="192"/>
      <c r="DV390" s="192"/>
      <c r="DW390" s="192"/>
      <c r="DX390" s="192"/>
      <c r="DY390" s="192"/>
      <c r="DZ390" s="192"/>
      <c r="EA390" s="192"/>
      <c r="EB390" s="192"/>
      <c r="EC390" s="192"/>
      <c r="ED390" s="192"/>
      <c r="EE390" s="192"/>
      <c r="EF390" s="192"/>
      <c r="EG390" s="192"/>
      <c r="EH390" s="192"/>
      <c r="EI390" s="192"/>
      <c r="EJ390" s="192"/>
      <c r="EK390" s="192"/>
      <c r="EL390" s="192"/>
      <c r="EM390" s="192"/>
      <c r="EN390" s="192"/>
      <c r="EO390" s="192"/>
      <c r="EP390" s="192"/>
      <c r="EQ390" s="192"/>
    </row>
    <row r="391" spans="1:147" x14ac:dyDescent="0.2">
      <c r="A391" s="192"/>
      <c r="B391" s="192"/>
      <c r="C391" s="192"/>
      <c r="D391" s="192"/>
      <c r="E391" s="192"/>
      <c r="F391" s="192"/>
      <c r="G391" s="192"/>
      <c r="H391" s="192"/>
      <c r="I391" s="192"/>
      <c r="J391" s="192"/>
      <c r="K391" s="192"/>
      <c r="L391" s="192"/>
      <c r="M391" s="192"/>
      <c r="N391" s="192"/>
      <c r="O391" s="192"/>
      <c r="P391" s="192"/>
      <c r="Q391" s="192"/>
      <c r="R391" s="192"/>
      <c r="S391" s="266"/>
      <c r="T391" s="265"/>
      <c r="U391" s="265"/>
      <c r="V391" s="265"/>
      <c r="W391" s="265"/>
      <c r="X391" s="265"/>
      <c r="Y391" s="265"/>
      <c r="Z391" s="265"/>
      <c r="AA391" s="265"/>
      <c r="AB391" s="265"/>
      <c r="AC391" s="265"/>
      <c r="AD391" s="265"/>
      <c r="AE391" s="265"/>
      <c r="AF391" s="265"/>
      <c r="AG391" s="265"/>
      <c r="AH391" s="265"/>
      <c r="AI391" s="192"/>
      <c r="AJ391" s="192"/>
      <c r="AK391" s="192"/>
      <c r="AL391" s="192"/>
      <c r="AM391" s="192"/>
      <c r="AN391" s="192"/>
      <c r="AO391" s="192"/>
      <c r="AP391" s="192"/>
      <c r="AQ391" s="192"/>
      <c r="AR391" s="192"/>
      <c r="AS391" s="192"/>
      <c r="AT391" s="192"/>
      <c r="AU391" s="192"/>
      <c r="AV391" s="192"/>
      <c r="AW391" s="192"/>
      <c r="AX391" s="192"/>
      <c r="AY391" s="192"/>
      <c r="AZ391" s="192"/>
      <c r="BA391" s="192"/>
      <c r="BB391" s="192"/>
      <c r="BC391" s="192"/>
      <c r="BD391" s="192"/>
      <c r="BE391" s="192"/>
      <c r="BF391" s="192"/>
      <c r="BG391" s="192"/>
      <c r="BH391" s="192"/>
      <c r="BI391" s="192"/>
      <c r="BJ391" s="192"/>
      <c r="BK391" s="192"/>
      <c r="BL391" s="192"/>
      <c r="BM391" s="192"/>
      <c r="BN391" s="192"/>
      <c r="BO391" s="192"/>
      <c r="BP391" s="192"/>
      <c r="BQ391" s="192"/>
      <c r="BR391" s="192"/>
      <c r="BS391" s="192"/>
      <c r="BT391" s="192"/>
      <c r="BU391" s="192"/>
      <c r="BV391" s="192"/>
      <c r="BW391" s="192"/>
      <c r="BX391" s="192"/>
      <c r="BY391" s="192"/>
      <c r="BZ391" s="192"/>
      <c r="CA391" s="192"/>
      <c r="CB391" s="192"/>
      <c r="CC391" s="192"/>
      <c r="CD391" s="192"/>
      <c r="CE391" s="192"/>
      <c r="CF391" s="192"/>
      <c r="CG391" s="192"/>
      <c r="CH391" s="192"/>
      <c r="CI391" s="192"/>
      <c r="CJ391" s="192"/>
      <c r="CK391" s="192"/>
      <c r="CL391" s="192"/>
      <c r="CM391" s="192"/>
      <c r="CN391" s="192"/>
      <c r="CO391" s="192"/>
      <c r="CP391" s="192"/>
      <c r="CQ391" s="192"/>
      <c r="CR391" s="192"/>
      <c r="CS391" s="192"/>
      <c r="CT391" s="192"/>
      <c r="CU391" s="192"/>
      <c r="CV391" s="192"/>
      <c r="CW391" s="192"/>
      <c r="CX391" s="192"/>
      <c r="CY391" s="192"/>
      <c r="CZ391" s="192"/>
      <c r="DA391" s="192"/>
      <c r="DB391" s="192"/>
      <c r="DC391" s="192"/>
      <c r="DD391" s="192"/>
      <c r="DE391" s="192"/>
      <c r="DF391" s="192"/>
      <c r="DG391" s="192"/>
      <c r="DH391" s="192"/>
      <c r="DI391" s="192"/>
      <c r="DJ391" s="192"/>
      <c r="DK391" s="192"/>
      <c r="DL391" s="192"/>
      <c r="DM391" s="192"/>
      <c r="DN391" s="192"/>
      <c r="DO391" s="192"/>
      <c r="DP391" s="192"/>
      <c r="DQ391" s="192"/>
      <c r="DR391" s="192"/>
      <c r="DS391" s="192"/>
      <c r="DT391" s="192"/>
      <c r="DU391" s="192"/>
      <c r="DV391" s="192"/>
      <c r="DW391" s="192"/>
      <c r="DX391" s="192"/>
      <c r="DY391" s="192"/>
      <c r="DZ391" s="192"/>
      <c r="EA391" s="192"/>
      <c r="EB391" s="192"/>
      <c r="EC391" s="192"/>
      <c r="ED391" s="192"/>
      <c r="EE391" s="192"/>
      <c r="EF391" s="192"/>
      <c r="EG391" s="192"/>
      <c r="EH391" s="192"/>
      <c r="EI391" s="192"/>
      <c r="EJ391" s="192"/>
      <c r="EK391" s="192"/>
      <c r="EL391" s="192"/>
      <c r="EM391" s="192"/>
      <c r="EN391" s="192"/>
      <c r="EO391" s="192"/>
      <c r="EP391" s="192"/>
      <c r="EQ391" s="192"/>
    </row>
    <row r="392" spans="1:147" x14ac:dyDescent="0.2">
      <c r="A392" s="192"/>
      <c r="B392" s="192"/>
      <c r="C392" s="192"/>
      <c r="D392" s="192"/>
      <c r="E392" s="192"/>
      <c r="F392" s="192"/>
      <c r="G392" s="192"/>
      <c r="H392" s="192"/>
      <c r="I392" s="192"/>
      <c r="J392" s="192"/>
      <c r="K392" s="192"/>
      <c r="L392" s="192"/>
      <c r="M392" s="192"/>
      <c r="N392" s="192"/>
      <c r="O392" s="192"/>
      <c r="P392" s="192"/>
      <c r="Q392" s="192"/>
      <c r="R392" s="192"/>
      <c r="S392" s="266"/>
      <c r="T392" s="265"/>
      <c r="U392" s="265"/>
      <c r="V392" s="265"/>
      <c r="W392" s="265"/>
      <c r="X392" s="265"/>
      <c r="Y392" s="265"/>
      <c r="Z392" s="265"/>
      <c r="AA392" s="265"/>
      <c r="AB392" s="265"/>
      <c r="AC392" s="265"/>
      <c r="AD392" s="265"/>
      <c r="AE392" s="265"/>
      <c r="AF392" s="265"/>
      <c r="AG392" s="265"/>
      <c r="AH392" s="265"/>
      <c r="AI392" s="192"/>
      <c r="AJ392" s="192"/>
      <c r="AK392" s="192"/>
      <c r="AL392" s="192"/>
      <c r="AM392" s="192"/>
      <c r="AN392" s="192"/>
      <c r="AO392" s="192"/>
      <c r="AP392" s="192"/>
      <c r="AQ392" s="192"/>
      <c r="AR392" s="192"/>
      <c r="AS392" s="192"/>
      <c r="AT392" s="192"/>
      <c r="AU392" s="192"/>
      <c r="AV392" s="192"/>
      <c r="AW392" s="192"/>
      <c r="AX392" s="192"/>
      <c r="AY392" s="192"/>
      <c r="AZ392" s="192"/>
      <c r="BA392" s="192"/>
      <c r="BB392" s="192"/>
      <c r="BC392" s="192"/>
      <c r="BD392" s="192"/>
      <c r="BE392" s="192"/>
      <c r="BF392" s="192"/>
      <c r="BG392" s="192"/>
      <c r="BH392" s="192"/>
      <c r="BI392" s="192"/>
      <c r="BJ392" s="192"/>
      <c r="BK392" s="192"/>
      <c r="BL392" s="192"/>
      <c r="BM392" s="192"/>
      <c r="BN392" s="192"/>
      <c r="BO392" s="192"/>
      <c r="BP392" s="192"/>
      <c r="BQ392" s="192"/>
      <c r="BR392" s="192"/>
      <c r="BS392" s="192"/>
      <c r="BT392" s="192"/>
      <c r="BU392" s="192"/>
      <c r="BV392" s="192"/>
      <c r="BW392" s="192"/>
      <c r="BX392" s="192"/>
      <c r="BY392" s="192"/>
      <c r="BZ392" s="192"/>
      <c r="CA392" s="192"/>
      <c r="CB392" s="192"/>
      <c r="CC392" s="192"/>
      <c r="CD392" s="192"/>
      <c r="CE392" s="192"/>
      <c r="CF392" s="192"/>
      <c r="CG392" s="192"/>
      <c r="CH392" s="192"/>
      <c r="CI392" s="192"/>
      <c r="CJ392" s="192"/>
      <c r="CK392" s="192"/>
      <c r="CL392" s="192"/>
      <c r="CM392" s="192"/>
      <c r="CN392" s="192"/>
      <c r="CO392" s="192"/>
      <c r="CP392" s="192"/>
      <c r="CQ392" s="192"/>
      <c r="CR392" s="192"/>
      <c r="CS392" s="192"/>
      <c r="CT392" s="192"/>
      <c r="CU392" s="192"/>
      <c r="CV392" s="192"/>
      <c r="CW392" s="192"/>
      <c r="CX392" s="192"/>
      <c r="CY392" s="192"/>
      <c r="CZ392" s="192"/>
      <c r="DA392" s="192"/>
      <c r="DB392" s="192"/>
      <c r="DC392" s="192"/>
      <c r="DD392" s="192"/>
      <c r="DE392" s="192"/>
      <c r="DF392" s="192"/>
      <c r="DG392" s="192"/>
      <c r="DH392" s="192"/>
      <c r="DI392" s="192"/>
      <c r="DJ392" s="192"/>
      <c r="DK392" s="192"/>
      <c r="DL392" s="192"/>
      <c r="DM392" s="192"/>
      <c r="DN392" s="192"/>
      <c r="DO392" s="192"/>
      <c r="DP392" s="192"/>
      <c r="DQ392" s="192"/>
      <c r="DR392" s="192"/>
      <c r="DS392" s="192"/>
      <c r="DT392" s="192"/>
      <c r="DU392" s="192"/>
      <c r="DV392" s="192"/>
      <c r="DW392" s="192"/>
      <c r="DX392" s="192"/>
      <c r="DY392" s="192"/>
      <c r="DZ392" s="192"/>
      <c r="EA392" s="192"/>
      <c r="EB392" s="192"/>
      <c r="EC392" s="192"/>
      <c r="ED392" s="192"/>
      <c r="EE392" s="192"/>
      <c r="EF392" s="192"/>
      <c r="EG392" s="192"/>
      <c r="EH392" s="192"/>
      <c r="EI392" s="192"/>
      <c r="EJ392" s="192"/>
      <c r="EK392" s="192"/>
      <c r="EL392" s="192"/>
      <c r="EM392" s="192"/>
      <c r="EN392" s="192"/>
      <c r="EO392" s="192"/>
      <c r="EP392" s="192"/>
      <c r="EQ392" s="192"/>
    </row>
    <row r="393" spans="1:147" x14ac:dyDescent="0.2">
      <c r="A393" s="192"/>
      <c r="B393" s="192"/>
      <c r="C393" s="192"/>
      <c r="D393" s="192"/>
      <c r="E393" s="192"/>
      <c r="F393" s="192"/>
      <c r="G393" s="192"/>
      <c r="H393" s="192"/>
      <c r="I393" s="192"/>
      <c r="J393" s="192"/>
      <c r="K393" s="192"/>
      <c r="L393" s="192"/>
      <c r="M393" s="192"/>
      <c r="N393" s="192"/>
      <c r="O393" s="192"/>
      <c r="P393" s="192"/>
      <c r="Q393" s="192"/>
      <c r="R393" s="192"/>
      <c r="S393" s="266"/>
      <c r="T393" s="265"/>
      <c r="U393" s="265"/>
      <c r="V393" s="265"/>
      <c r="W393" s="265"/>
      <c r="X393" s="265"/>
      <c r="Y393" s="265"/>
      <c r="Z393" s="265"/>
      <c r="AA393" s="265"/>
      <c r="AB393" s="265"/>
      <c r="AC393" s="265"/>
      <c r="AD393" s="265"/>
      <c r="AE393" s="265"/>
      <c r="AF393" s="265"/>
      <c r="AG393" s="265"/>
      <c r="AH393" s="265"/>
      <c r="AI393" s="192"/>
      <c r="AJ393" s="192"/>
      <c r="AK393" s="192"/>
      <c r="AL393" s="192"/>
      <c r="AM393" s="192"/>
      <c r="AN393" s="192"/>
      <c r="AO393" s="192"/>
      <c r="AP393" s="192"/>
      <c r="AQ393" s="192"/>
      <c r="AR393" s="192"/>
      <c r="AS393" s="192"/>
      <c r="AT393" s="192"/>
      <c r="AU393" s="192"/>
      <c r="AV393" s="192"/>
      <c r="AW393" s="192"/>
      <c r="AX393" s="192"/>
      <c r="AY393" s="192"/>
      <c r="AZ393" s="192"/>
      <c r="BA393" s="192"/>
      <c r="BB393" s="192"/>
      <c r="BC393" s="192"/>
      <c r="BD393" s="192"/>
      <c r="BE393" s="192"/>
      <c r="BF393" s="192"/>
      <c r="BG393" s="192"/>
      <c r="BH393" s="192"/>
      <c r="BI393" s="192"/>
      <c r="BJ393" s="192"/>
      <c r="BK393" s="192"/>
      <c r="BL393" s="192"/>
      <c r="BM393" s="192"/>
      <c r="BN393" s="192"/>
      <c r="BO393" s="192"/>
      <c r="BP393" s="192"/>
      <c r="BQ393" s="192"/>
      <c r="BR393" s="192"/>
      <c r="BS393" s="192"/>
      <c r="BT393" s="192"/>
      <c r="BU393" s="192"/>
      <c r="BV393" s="192"/>
      <c r="BW393" s="192"/>
      <c r="BX393" s="192"/>
      <c r="BY393" s="192"/>
      <c r="BZ393" s="192"/>
      <c r="CA393" s="192"/>
      <c r="CB393" s="192"/>
      <c r="CC393" s="192"/>
      <c r="CD393" s="192"/>
      <c r="CE393" s="192"/>
      <c r="CF393" s="192"/>
      <c r="CG393" s="192"/>
      <c r="CH393" s="192"/>
      <c r="CI393" s="192"/>
      <c r="CJ393" s="192"/>
      <c r="CK393" s="192"/>
      <c r="CL393" s="192"/>
      <c r="CM393" s="192"/>
      <c r="CN393" s="192"/>
      <c r="CO393" s="192"/>
      <c r="CP393" s="192"/>
      <c r="CQ393" s="192"/>
      <c r="CR393" s="192"/>
      <c r="CS393" s="192"/>
      <c r="CT393" s="192"/>
      <c r="CU393" s="192"/>
      <c r="CV393" s="192"/>
      <c r="CW393" s="192"/>
      <c r="CX393" s="192"/>
      <c r="CY393" s="192"/>
      <c r="CZ393" s="192"/>
      <c r="DA393" s="192"/>
      <c r="DB393" s="192"/>
      <c r="DC393" s="192"/>
      <c r="DD393" s="192"/>
      <c r="DE393" s="192"/>
      <c r="DF393" s="192"/>
      <c r="DG393" s="192"/>
      <c r="DH393" s="192"/>
      <c r="DI393" s="192"/>
      <c r="DJ393" s="192"/>
      <c r="DK393" s="192"/>
      <c r="DL393" s="192"/>
      <c r="DM393" s="192"/>
      <c r="DN393" s="192"/>
      <c r="DO393" s="192"/>
      <c r="DP393" s="192"/>
      <c r="DQ393" s="192"/>
      <c r="DR393" s="192"/>
      <c r="DS393" s="192"/>
      <c r="DT393" s="192"/>
      <c r="DU393" s="192"/>
      <c r="DV393" s="192"/>
      <c r="DW393" s="192"/>
      <c r="DX393" s="192"/>
      <c r="DY393" s="192"/>
      <c r="DZ393" s="192"/>
      <c r="EA393" s="192"/>
      <c r="EB393" s="192"/>
      <c r="EC393" s="192"/>
      <c r="ED393" s="192"/>
      <c r="EE393" s="192"/>
      <c r="EF393" s="192"/>
      <c r="EG393" s="192"/>
      <c r="EH393" s="192"/>
      <c r="EI393" s="192"/>
      <c r="EJ393" s="192"/>
      <c r="EK393" s="192"/>
      <c r="EL393" s="192"/>
      <c r="EM393" s="192"/>
      <c r="EN393" s="192"/>
      <c r="EO393" s="192"/>
      <c r="EP393" s="192"/>
      <c r="EQ393" s="192"/>
    </row>
    <row r="394" spans="1:147" x14ac:dyDescent="0.2">
      <c r="A394" s="192"/>
      <c r="B394" s="192"/>
      <c r="C394" s="192"/>
      <c r="D394" s="192"/>
      <c r="E394" s="192"/>
      <c r="F394" s="192"/>
      <c r="G394" s="192"/>
      <c r="H394" s="192"/>
      <c r="I394" s="192"/>
      <c r="J394" s="192"/>
      <c r="K394" s="192"/>
      <c r="L394" s="192"/>
      <c r="M394" s="192"/>
      <c r="N394" s="192"/>
      <c r="O394" s="192"/>
      <c r="P394" s="192"/>
      <c r="Q394" s="192"/>
      <c r="R394" s="192"/>
      <c r="S394" s="266"/>
      <c r="T394" s="265"/>
      <c r="U394" s="265"/>
      <c r="V394" s="265"/>
      <c r="W394" s="265"/>
      <c r="X394" s="265"/>
      <c r="Y394" s="265"/>
      <c r="Z394" s="265"/>
      <c r="AA394" s="265"/>
      <c r="AB394" s="265"/>
      <c r="AC394" s="265"/>
      <c r="AD394" s="265"/>
      <c r="AE394" s="265"/>
      <c r="AF394" s="265"/>
      <c r="AG394" s="265"/>
      <c r="AH394" s="265"/>
      <c r="AI394" s="192"/>
      <c r="AJ394" s="192"/>
      <c r="AK394" s="192"/>
      <c r="AL394" s="192"/>
      <c r="AM394" s="192"/>
      <c r="AN394" s="192"/>
      <c r="AO394" s="192"/>
      <c r="AP394" s="192"/>
      <c r="AQ394" s="192"/>
      <c r="AR394" s="192"/>
      <c r="AS394" s="192"/>
      <c r="AT394" s="192"/>
      <c r="AU394" s="192"/>
      <c r="AV394" s="192"/>
      <c r="AW394" s="192"/>
      <c r="AX394" s="192"/>
      <c r="AY394" s="192"/>
      <c r="AZ394" s="192"/>
      <c r="BA394" s="192"/>
      <c r="BB394" s="192"/>
      <c r="BC394" s="192"/>
      <c r="BD394" s="192"/>
      <c r="BE394" s="192"/>
      <c r="BF394" s="192"/>
      <c r="BG394" s="192"/>
      <c r="BH394" s="192"/>
      <c r="BI394" s="192"/>
      <c r="BJ394" s="192"/>
      <c r="BK394" s="192"/>
      <c r="BL394" s="192"/>
      <c r="BM394" s="192"/>
      <c r="BN394" s="192"/>
      <c r="BO394" s="192"/>
      <c r="BP394" s="192"/>
      <c r="BQ394" s="192"/>
      <c r="BR394" s="192"/>
      <c r="BS394" s="192"/>
      <c r="BT394" s="192"/>
      <c r="BU394" s="192"/>
      <c r="BV394" s="192"/>
      <c r="BW394" s="192"/>
      <c r="BX394" s="192"/>
      <c r="BY394" s="192"/>
      <c r="BZ394" s="192"/>
      <c r="CA394" s="192"/>
      <c r="CB394" s="192"/>
      <c r="CC394" s="192"/>
      <c r="CD394" s="192"/>
      <c r="CE394" s="192"/>
      <c r="CF394" s="192"/>
      <c r="CG394" s="192"/>
      <c r="CH394" s="192"/>
      <c r="CI394" s="192"/>
      <c r="CJ394" s="192"/>
      <c r="CK394" s="192"/>
      <c r="CL394" s="192"/>
      <c r="CM394" s="192"/>
      <c r="CN394" s="192"/>
      <c r="CO394" s="192"/>
      <c r="CP394" s="192"/>
      <c r="CQ394" s="192"/>
      <c r="CR394" s="192"/>
      <c r="CS394" s="192"/>
      <c r="CT394" s="192"/>
      <c r="CU394" s="192"/>
      <c r="CV394" s="192"/>
      <c r="CW394" s="192"/>
      <c r="CX394" s="192"/>
      <c r="CY394" s="192"/>
      <c r="CZ394" s="192"/>
      <c r="DA394" s="192"/>
      <c r="DB394" s="192"/>
      <c r="DC394" s="192"/>
      <c r="DD394" s="192"/>
      <c r="DE394" s="192"/>
      <c r="DF394" s="192"/>
      <c r="DG394" s="192"/>
      <c r="DH394" s="192"/>
      <c r="DI394" s="192"/>
      <c r="DJ394" s="192"/>
      <c r="DK394" s="192"/>
      <c r="DL394" s="192"/>
      <c r="DM394" s="192"/>
      <c r="DN394" s="192"/>
      <c r="DO394" s="192"/>
      <c r="DP394" s="192"/>
      <c r="DQ394" s="192"/>
      <c r="DR394" s="192"/>
      <c r="DS394" s="192"/>
      <c r="DT394" s="192"/>
      <c r="DU394" s="192"/>
      <c r="DV394" s="192"/>
      <c r="DW394" s="192"/>
      <c r="DX394" s="192"/>
      <c r="DY394" s="192"/>
      <c r="DZ394" s="192"/>
      <c r="EA394" s="192"/>
      <c r="EB394" s="192"/>
      <c r="EC394" s="192"/>
      <c r="ED394" s="192"/>
      <c r="EE394" s="192"/>
      <c r="EF394" s="192"/>
      <c r="EG394" s="192"/>
      <c r="EH394" s="192"/>
      <c r="EI394" s="192"/>
      <c r="EJ394" s="192"/>
      <c r="EK394" s="192"/>
      <c r="EL394" s="192"/>
      <c r="EM394" s="192"/>
      <c r="EN394" s="192"/>
      <c r="EO394" s="192"/>
      <c r="EP394" s="192"/>
      <c r="EQ394" s="192"/>
    </row>
    <row r="395" spans="1:147" x14ac:dyDescent="0.2">
      <c r="A395" s="192"/>
      <c r="B395" s="192"/>
      <c r="C395" s="192"/>
      <c r="D395" s="192"/>
      <c r="E395" s="192"/>
      <c r="F395" s="192"/>
      <c r="G395" s="192"/>
      <c r="H395" s="192"/>
      <c r="I395" s="192"/>
      <c r="J395" s="192"/>
      <c r="K395" s="192"/>
      <c r="L395" s="192"/>
      <c r="M395" s="192"/>
      <c r="N395" s="192"/>
      <c r="O395" s="192"/>
      <c r="P395" s="192"/>
      <c r="Q395" s="192"/>
      <c r="R395" s="192"/>
      <c r="S395" s="266"/>
      <c r="T395" s="265"/>
      <c r="U395" s="265"/>
      <c r="V395" s="265"/>
      <c r="W395" s="265"/>
      <c r="X395" s="265"/>
      <c r="Y395" s="265"/>
      <c r="Z395" s="265"/>
      <c r="AA395" s="265"/>
      <c r="AB395" s="265"/>
      <c r="AC395" s="265"/>
      <c r="AD395" s="265"/>
      <c r="AE395" s="265"/>
      <c r="AF395" s="265"/>
      <c r="AG395" s="265"/>
      <c r="AH395" s="265"/>
      <c r="AI395" s="192"/>
      <c r="AJ395" s="192"/>
      <c r="AK395" s="192"/>
      <c r="AL395" s="192"/>
      <c r="AM395" s="192"/>
      <c r="AN395" s="192"/>
      <c r="AO395" s="192"/>
      <c r="AP395" s="192"/>
      <c r="AQ395" s="192"/>
      <c r="AR395" s="192"/>
      <c r="AS395" s="192"/>
      <c r="AT395" s="192"/>
      <c r="AU395" s="192"/>
      <c r="AV395" s="192"/>
      <c r="AW395" s="192"/>
      <c r="AX395" s="192"/>
      <c r="AY395" s="192"/>
      <c r="AZ395" s="192"/>
      <c r="BA395" s="192"/>
      <c r="BB395" s="192"/>
      <c r="BC395" s="192"/>
      <c r="BD395" s="192"/>
      <c r="BE395" s="192"/>
      <c r="BF395" s="192"/>
      <c r="BG395" s="192"/>
      <c r="BH395" s="192"/>
      <c r="BI395" s="192"/>
      <c r="BJ395" s="192"/>
      <c r="BK395" s="192"/>
      <c r="BL395" s="192"/>
      <c r="BM395" s="192"/>
      <c r="BN395" s="192"/>
      <c r="BO395" s="192"/>
      <c r="BP395" s="192"/>
      <c r="BQ395" s="192"/>
      <c r="BR395" s="192"/>
      <c r="BS395" s="192"/>
      <c r="BT395" s="192"/>
      <c r="BU395" s="192"/>
      <c r="BV395" s="192"/>
      <c r="BW395" s="192"/>
      <c r="BX395" s="192"/>
      <c r="BY395" s="192"/>
      <c r="BZ395" s="192"/>
      <c r="CA395" s="192"/>
      <c r="CB395" s="192"/>
      <c r="CC395" s="192"/>
      <c r="CD395" s="192"/>
      <c r="CE395" s="192"/>
      <c r="CF395" s="192"/>
      <c r="CG395" s="192"/>
      <c r="CH395" s="192"/>
      <c r="CI395" s="192"/>
      <c r="CJ395" s="192"/>
      <c r="CK395" s="192"/>
      <c r="CL395" s="192"/>
      <c r="CM395" s="192"/>
      <c r="CN395" s="192"/>
      <c r="CO395" s="192"/>
      <c r="CP395" s="192"/>
      <c r="CQ395" s="192"/>
      <c r="CR395" s="192"/>
      <c r="CS395" s="192"/>
      <c r="CT395" s="192"/>
      <c r="CU395" s="192"/>
      <c r="CV395" s="192"/>
      <c r="CW395" s="192"/>
      <c r="CX395" s="192"/>
      <c r="CY395" s="192"/>
      <c r="CZ395" s="192"/>
      <c r="DA395" s="192"/>
      <c r="DB395" s="192"/>
      <c r="DC395" s="192"/>
      <c r="DD395" s="192"/>
      <c r="DE395" s="192"/>
      <c r="DF395" s="192"/>
      <c r="DG395" s="192"/>
      <c r="DH395" s="192"/>
      <c r="DI395" s="192"/>
      <c r="DJ395" s="192"/>
      <c r="DK395" s="192"/>
      <c r="DL395" s="192"/>
      <c r="DM395" s="192"/>
      <c r="DN395" s="192"/>
      <c r="DO395" s="192"/>
      <c r="DP395" s="192"/>
      <c r="DQ395" s="192"/>
      <c r="DR395" s="192"/>
      <c r="DS395" s="192"/>
      <c r="DT395" s="192"/>
      <c r="DU395" s="192"/>
      <c r="DV395" s="192"/>
      <c r="DW395" s="192"/>
      <c r="DX395" s="192"/>
      <c r="DY395" s="192"/>
      <c r="DZ395" s="192"/>
      <c r="EA395" s="192"/>
      <c r="EB395" s="192"/>
      <c r="EC395" s="192"/>
      <c r="ED395" s="192"/>
      <c r="EE395" s="192"/>
      <c r="EF395" s="192"/>
      <c r="EG395" s="192"/>
      <c r="EH395" s="192"/>
      <c r="EI395" s="192"/>
      <c r="EJ395" s="192"/>
      <c r="EK395" s="192"/>
      <c r="EL395" s="192"/>
      <c r="EM395" s="192"/>
      <c r="EN395" s="192"/>
      <c r="EO395" s="192"/>
      <c r="EP395" s="192"/>
      <c r="EQ395" s="192"/>
    </row>
    <row r="396" spans="1:147" x14ac:dyDescent="0.2">
      <c r="A396" s="192"/>
      <c r="B396" s="192"/>
      <c r="C396" s="192"/>
      <c r="D396" s="192"/>
      <c r="E396" s="192"/>
      <c r="F396" s="192"/>
      <c r="G396" s="192"/>
      <c r="H396" s="192"/>
      <c r="I396" s="192"/>
      <c r="J396" s="192"/>
      <c r="K396" s="192"/>
      <c r="L396" s="192"/>
      <c r="M396" s="192"/>
      <c r="N396" s="192"/>
      <c r="O396" s="192"/>
      <c r="P396" s="192"/>
      <c r="Q396" s="192"/>
      <c r="R396" s="192"/>
      <c r="S396" s="266"/>
      <c r="T396" s="265"/>
      <c r="U396" s="265"/>
      <c r="V396" s="265"/>
      <c r="W396" s="265"/>
      <c r="X396" s="265"/>
      <c r="Y396" s="265"/>
      <c r="Z396" s="265"/>
      <c r="AA396" s="265"/>
      <c r="AB396" s="265"/>
      <c r="AC396" s="265"/>
      <c r="AD396" s="265"/>
      <c r="AE396" s="265"/>
      <c r="AF396" s="265"/>
      <c r="AG396" s="265"/>
      <c r="AH396" s="265"/>
      <c r="AI396" s="192"/>
      <c r="AJ396" s="192"/>
      <c r="AK396" s="192"/>
      <c r="AL396" s="192"/>
      <c r="AM396" s="192"/>
      <c r="AN396" s="192"/>
      <c r="AO396" s="192"/>
      <c r="AP396" s="192"/>
      <c r="AQ396" s="192"/>
      <c r="AR396" s="192"/>
      <c r="AS396" s="192"/>
      <c r="AT396" s="192"/>
      <c r="AU396" s="192"/>
      <c r="AV396" s="192"/>
      <c r="AW396" s="192"/>
      <c r="AX396" s="192"/>
      <c r="AY396" s="192"/>
      <c r="AZ396" s="192"/>
      <c r="BA396" s="192"/>
      <c r="BB396" s="192"/>
      <c r="BC396" s="192"/>
      <c r="BD396" s="192"/>
      <c r="BE396" s="192"/>
      <c r="BF396" s="192"/>
      <c r="BG396" s="192"/>
      <c r="BH396" s="192"/>
      <c r="BI396" s="192"/>
      <c r="BJ396" s="192"/>
      <c r="BK396" s="192"/>
      <c r="BL396" s="192"/>
      <c r="BM396" s="192"/>
      <c r="BN396" s="192"/>
      <c r="BO396" s="192"/>
      <c r="BP396" s="192"/>
      <c r="BQ396" s="192"/>
      <c r="BR396" s="192"/>
      <c r="BS396" s="192"/>
      <c r="BT396" s="192"/>
      <c r="BU396" s="192"/>
      <c r="BV396" s="192"/>
      <c r="BW396" s="192"/>
      <c r="BX396" s="192"/>
      <c r="BY396" s="192"/>
      <c r="BZ396" s="192"/>
      <c r="CA396" s="192"/>
      <c r="CB396" s="192"/>
      <c r="CC396" s="192"/>
      <c r="CD396" s="192"/>
      <c r="CE396" s="192"/>
      <c r="CF396" s="192"/>
      <c r="CG396" s="192"/>
      <c r="CH396" s="192"/>
      <c r="CI396" s="192"/>
      <c r="CJ396" s="192"/>
      <c r="CK396" s="192"/>
      <c r="CL396" s="192"/>
      <c r="CM396" s="192"/>
      <c r="CN396" s="192"/>
      <c r="CO396" s="192"/>
      <c r="CP396" s="192"/>
      <c r="CQ396" s="192"/>
      <c r="CR396" s="192"/>
      <c r="CS396" s="192"/>
      <c r="CT396" s="192"/>
      <c r="CU396" s="192"/>
      <c r="CV396" s="192"/>
      <c r="CW396" s="192"/>
      <c r="CX396" s="192"/>
      <c r="CY396" s="192"/>
      <c r="CZ396" s="192"/>
      <c r="DA396" s="192"/>
      <c r="DB396" s="192"/>
      <c r="DC396" s="192"/>
      <c r="DD396" s="192"/>
      <c r="DE396" s="192"/>
      <c r="DF396" s="192"/>
      <c r="DG396" s="192"/>
      <c r="DH396" s="192"/>
      <c r="DI396" s="192"/>
      <c r="DJ396" s="192"/>
      <c r="DK396" s="192"/>
      <c r="DL396" s="192"/>
      <c r="DM396" s="192"/>
      <c r="DN396" s="192"/>
      <c r="DO396" s="192"/>
      <c r="DP396" s="192"/>
      <c r="DQ396" s="192"/>
      <c r="DR396" s="192"/>
      <c r="DS396" s="192"/>
      <c r="DT396" s="192"/>
      <c r="DU396" s="192"/>
      <c r="DV396" s="192"/>
      <c r="DW396" s="192"/>
      <c r="DX396" s="192"/>
      <c r="DY396" s="192"/>
      <c r="DZ396" s="192"/>
      <c r="EA396" s="192"/>
      <c r="EB396" s="192"/>
      <c r="EC396" s="192"/>
      <c r="ED396" s="192"/>
      <c r="EE396" s="192"/>
      <c r="EF396" s="192"/>
      <c r="EG396" s="192"/>
      <c r="EH396" s="192"/>
      <c r="EI396" s="192"/>
      <c r="EJ396" s="192"/>
      <c r="EK396" s="192"/>
      <c r="EL396" s="192"/>
      <c r="EM396" s="192"/>
      <c r="EN396" s="192"/>
      <c r="EO396" s="192"/>
      <c r="EP396" s="192"/>
      <c r="EQ396" s="192"/>
    </row>
    <row r="397" spans="1:147" x14ac:dyDescent="0.2">
      <c r="A397" s="192"/>
      <c r="B397" s="192"/>
      <c r="C397" s="192"/>
      <c r="D397" s="192"/>
      <c r="E397" s="192"/>
      <c r="F397" s="192"/>
      <c r="G397" s="192"/>
      <c r="H397" s="192"/>
      <c r="I397" s="192"/>
      <c r="J397" s="192"/>
      <c r="K397" s="192"/>
      <c r="L397" s="192"/>
      <c r="M397" s="192"/>
      <c r="N397" s="192"/>
      <c r="O397" s="192"/>
      <c r="P397" s="192"/>
      <c r="Q397" s="192"/>
      <c r="R397" s="192"/>
      <c r="S397" s="266"/>
      <c r="T397" s="265"/>
      <c r="U397" s="265"/>
      <c r="V397" s="265"/>
      <c r="W397" s="265"/>
      <c r="X397" s="265"/>
      <c r="Y397" s="265"/>
      <c r="Z397" s="265"/>
      <c r="AA397" s="265"/>
      <c r="AB397" s="265"/>
      <c r="AC397" s="265"/>
      <c r="AD397" s="265"/>
      <c r="AE397" s="265"/>
      <c r="AF397" s="265"/>
      <c r="AG397" s="265"/>
      <c r="AH397" s="265"/>
      <c r="AI397" s="192"/>
      <c r="AJ397" s="192"/>
      <c r="AK397" s="192"/>
      <c r="AL397" s="192"/>
      <c r="AM397" s="192"/>
      <c r="AN397" s="192"/>
      <c r="AO397" s="192"/>
      <c r="AP397" s="192"/>
      <c r="AQ397" s="192"/>
      <c r="AR397" s="192"/>
      <c r="AS397" s="192"/>
      <c r="AT397" s="192"/>
      <c r="AU397" s="192"/>
      <c r="AV397" s="192"/>
      <c r="AW397" s="192"/>
      <c r="AX397" s="192"/>
      <c r="AY397" s="192"/>
      <c r="AZ397" s="192"/>
      <c r="BA397" s="192"/>
      <c r="BB397" s="192"/>
      <c r="BC397" s="192"/>
      <c r="BD397" s="192"/>
      <c r="BE397" s="192"/>
      <c r="BF397" s="192"/>
      <c r="BG397" s="192"/>
      <c r="BH397" s="192"/>
      <c r="BI397" s="192"/>
      <c r="BJ397" s="192"/>
      <c r="BK397" s="192"/>
      <c r="BL397" s="192"/>
      <c r="BM397" s="192"/>
      <c r="BN397" s="192"/>
      <c r="BO397" s="192"/>
      <c r="BP397" s="192"/>
      <c r="BQ397" s="192"/>
      <c r="BR397" s="192"/>
      <c r="BS397" s="192"/>
      <c r="BT397" s="192"/>
      <c r="BU397" s="192"/>
      <c r="BV397" s="192"/>
      <c r="BW397" s="192"/>
      <c r="BX397" s="192"/>
      <c r="BY397" s="192"/>
      <c r="BZ397" s="192"/>
      <c r="CA397" s="192"/>
      <c r="CB397" s="192"/>
      <c r="CC397" s="192"/>
      <c r="CD397" s="192"/>
      <c r="CE397" s="192"/>
      <c r="CF397" s="192"/>
      <c r="CG397" s="192"/>
      <c r="CH397" s="192"/>
      <c r="CI397" s="192"/>
      <c r="CJ397" s="192"/>
      <c r="CK397" s="192"/>
      <c r="CL397" s="192"/>
      <c r="CM397" s="192"/>
      <c r="CN397" s="192"/>
      <c r="CO397" s="192"/>
      <c r="CP397" s="192"/>
      <c r="CQ397" s="192"/>
      <c r="CR397" s="192"/>
      <c r="CS397" s="192"/>
      <c r="CT397" s="192"/>
      <c r="CU397" s="192"/>
      <c r="CV397" s="192"/>
      <c r="CW397" s="192"/>
      <c r="CX397" s="192"/>
      <c r="CY397" s="192"/>
      <c r="CZ397" s="192"/>
      <c r="DA397" s="192"/>
      <c r="DB397" s="192"/>
      <c r="DC397" s="192"/>
      <c r="DD397" s="192"/>
      <c r="DE397" s="192"/>
      <c r="DF397" s="192"/>
      <c r="DG397" s="192"/>
      <c r="DH397" s="192"/>
      <c r="DI397" s="192"/>
      <c r="DJ397" s="192"/>
      <c r="DK397" s="192"/>
      <c r="DL397" s="192"/>
      <c r="DM397" s="192"/>
      <c r="DN397" s="192"/>
      <c r="DO397" s="192"/>
      <c r="DP397" s="192"/>
      <c r="DQ397" s="192"/>
      <c r="DR397" s="192"/>
      <c r="DS397" s="192"/>
      <c r="DT397" s="192"/>
      <c r="DU397" s="192"/>
      <c r="DV397" s="192"/>
      <c r="DW397" s="192"/>
      <c r="DX397" s="192"/>
      <c r="DY397" s="192"/>
      <c r="DZ397" s="192"/>
      <c r="EA397" s="192"/>
      <c r="EB397" s="192"/>
      <c r="EC397" s="192"/>
      <c r="ED397" s="192"/>
      <c r="EE397" s="192"/>
      <c r="EF397" s="192"/>
      <c r="EG397" s="192"/>
      <c r="EH397" s="192"/>
      <c r="EI397" s="192"/>
      <c r="EJ397" s="192"/>
      <c r="EK397" s="192"/>
      <c r="EL397" s="192"/>
      <c r="EM397" s="192"/>
      <c r="EN397" s="192"/>
      <c r="EO397" s="192"/>
      <c r="EP397" s="192"/>
      <c r="EQ397" s="192"/>
    </row>
    <row r="398" spans="1:147" x14ac:dyDescent="0.2">
      <c r="A398" s="192"/>
      <c r="B398" s="192"/>
      <c r="C398" s="192"/>
      <c r="D398" s="192"/>
      <c r="E398" s="192"/>
      <c r="F398" s="192"/>
      <c r="G398" s="192"/>
      <c r="H398" s="192"/>
      <c r="I398" s="192"/>
      <c r="J398" s="192"/>
      <c r="K398" s="192"/>
      <c r="L398" s="192"/>
      <c r="M398" s="192"/>
      <c r="N398" s="192"/>
      <c r="O398" s="192"/>
      <c r="P398" s="192"/>
      <c r="Q398" s="192"/>
      <c r="R398" s="192"/>
      <c r="S398" s="266"/>
      <c r="T398" s="265"/>
      <c r="U398" s="265"/>
      <c r="V398" s="265"/>
      <c r="W398" s="265"/>
      <c r="X398" s="265"/>
      <c r="Y398" s="265"/>
      <c r="Z398" s="265"/>
      <c r="AA398" s="265"/>
      <c r="AB398" s="265"/>
      <c r="AC398" s="265"/>
      <c r="AD398" s="265"/>
      <c r="AE398" s="265"/>
      <c r="AF398" s="265"/>
      <c r="AG398" s="265"/>
      <c r="AH398" s="265"/>
      <c r="AI398" s="192"/>
      <c r="AJ398" s="192"/>
      <c r="AK398" s="192"/>
      <c r="AL398" s="192"/>
      <c r="AM398" s="192"/>
      <c r="AN398" s="192"/>
      <c r="AO398" s="192"/>
      <c r="AP398" s="192"/>
      <c r="AQ398" s="192"/>
      <c r="AR398" s="192"/>
      <c r="AS398" s="192"/>
      <c r="AT398" s="192"/>
      <c r="AU398" s="192"/>
      <c r="AV398" s="192"/>
      <c r="AW398" s="192"/>
      <c r="AX398" s="192"/>
      <c r="AY398" s="192"/>
      <c r="AZ398" s="192"/>
      <c r="BA398" s="192"/>
      <c r="BB398" s="192"/>
      <c r="BC398" s="192"/>
      <c r="BD398" s="192"/>
      <c r="BE398" s="192"/>
      <c r="BF398" s="192"/>
      <c r="BG398" s="192"/>
      <c r="BH398" s="192"/>
      <c r="BI398" s="192"/>
      <c r="BJ398" s="192"/>
      <c r="BK398" s="192"/>
      <c r="BL398" s="192"/>
      <c r="BM398" s="192"/>
      <c r="BN398" s="192"/>
      <c r="BO398" s="192"/>
      <c r="BP398" s="192"/>
      <c r="BQ398" s="192"/>
      <c r="BR398" s="192"/>
      <c r="BS398" s="192"/>
      <c r="BT398" s="192"/>
      <c r="BU398" s="192"/>
      <c r="BV398" s="192"/>
      <c r="BW398" s="192"/>
      <c r="BX398" s="192"/>
      <c r="BY398" s="192"/>
      <c r="BZ398" s="192"/>
      <c r="CA398" s="192"/>
      <c r="CB398" s="192"/>
      <c r="CC398" s="192"/>
      <c r="CD398" s="192"/>
      <c r="CE398" s="192"/>
      <c r="CF398" s="192"/>
      <c r="CG398" s="192"/>
      <c r="CH398" s="192"/>
      <c r="CI398" s="192"/>
      <c r="CJ398" s="192"/>
      <c r="CK398" s="192"/>
      <c r="CL398" s="192"/>
      <c r="CM398" s="192"/>
      <c r="CN398" s="192"/>
      <c r="CO398" s="192"/>
      <c r="CP398" s="192"/>
      <c r="CQ398" s="192"/>
      <c r="CR398" s="192"/>
      <c r="CS398" s="192"/>
      <c r="CT398" s="192"/>
      <c r="CU398" s="192"/>
      <c r="CV398" s="192"/>
      <c r="CW398" s="192"/>
      <c r="CX398" s="192"/>
      <c r="CY398" s="192"/>
      <c r="CZ398" s="192"/>
      <c r="DA398" s="192"/>
      <c r="DB398" s="192"/>
      <c r="DC398" s="192"/>
      <c r="DD398" s="192"/>
      <c r="DE398" s="192"/>
      <c r="DF398" s="192"/>
      <c r="DG398" s="192"/>
      <c r="DH398" s="192"/>
      <c r="DI398" s="192"/>
      <c r="DJ398" s="192"/>
      <c r="DK398" s="192"/>
      <c r="DL398" s="192"/>
      <c r="DM398" s="192"/>
      <c r="DN398" s="192"/>
      <c r="DO398" s="192"/>
      <c r="DP398" s="192"/>
      <c r="DQ398" s="192"/>
      <c r="DR398" s="192"/>
      <c r="DS398" s="192"/>
      <c r="DT398" s="192"/>
      <c r="DU398" s="192"/>
      <c r="DV398" s="192"/>
      <c r="DW398" s="192"/>
      <c r="DX398" s="192"/>
      <c r="DY398" s="192"/>
      <c r="DZ398" s="192"/>
      <c r="EA398" s="192"/>
      <c r="EB398" s="192"/>
      <c r="EC398" s="192"/>
      <c r="ED398" s="192"/>
      <c r="EE398" s="192"/>
      <c r="EF398" s="192"/>
      <c r="EG398" s="192"/>
      <c r="EH398" s="192"/>
      <c r="EI398" s="192"/>
      <c r="EJ398" s="192"/>
      <c r="EK398" s="192"/>
      <c r="EL398" s="192"/>
      <c r="EM398" s="192"/>
      <c r="EN398" s="192"/>
      <c r="EO398" s="192"/>
      <c r="EP398" s="192"/>
      <c r="EQ398" s="192"/>
    </row>
    <row r="399" spans="1:147" x14ac:dyDescent="0.2">
      <c r="A399" s="192"/>
      <c r="B399" s="192"/>
      <c r="C399" s="192"/>
      <c r="D399" s="192"/>
      <c r="E399" s="192"/>
      <c r="F399" s="192"/>
      <c r="G399" s="192"/>
      <c r="H399" s="192"/>
      <c r="I399" s="192"/>
      <c r="J399" s="192"/>
      <c r="K399" s="192"/>
      <c r="L399" s="192"/>
      <c r="M399" s="192"/>
      <c r="N399" s="192"/>
      <c r="O399" s="192"/>
      <c r="P399" s="192"/>
      <c r="Q399" s="192"/>
      <c r="R399" s="192"/>
      <c r="S399" s="266"/>
      <c r="T399" s="265"/>
      <c r="U399" s="265"/>
      <c r="V399" s="265"/>
      <c r="W399" s="265"/>
      <c r="X399" s="265"/>
      <c r="Y399" s="265"/>
      <c r="Z399" s="265"/>
      <c r="AA399" s="265"/>
      <c r="AB399" s="265"/>
      <c r="AC399" s="265"/>
      <c r="AD399" s="265"/>
      <c r="AE399" s="265"/>
      <c r="AF399" s="265"/>
      <c r="AG399" s="265"/>
      <c r="AH399" s="265"/>
      <c r="AI399" s="192"/>
      <c r="AJ399" s="192"/>
      <c r="AK399" s="192"/>
      <c r="AL399" s="192"/>
      <c r="AM399" s="192"/>
      <c r="AN399" s="192"/>
      <c r="AO399" s="192"/>
      <c r="AP399" s="192"/>
      <c r="AQ399" s="192"/>
      <c r="AR399" s="192"/>
      <c r="AS399" s="192"/>
      <c r="AT399" s="192"/>
      <c r="AU399" s="192"/>
      <c r="AV399" s="192"/>
      <c r="AW399" s="192"/>
      <c r="AX399" s="192"/>
      <c r="AY399" s="192"/>
      <c r="AZ399" s="192"/>
      <c r="BA399" s="192"/>
      <c r="BB399" s="192"/>
      <c r="BC399" s="192"/>
      <c r="BD399" s="192"/>
      <c r="BE399" s="192"/>
      <c r="BF399" s="192"/>
      <c r="BG399" s="192"/>
      <c r="BH399" s="192"/>
      <c r="BI399" s="192"/>
      <c r="BJ399" s="192"/>
      <c r="BK399" s="192"/>
      <c r="BL399" s="192"/>
      <c r="BM399" s="192"/>
      <c r="BN399" s="192"/>
      <c r="BO399" s="192"/>
      <c r="BP399" s="192"/>
      <c r="BQ399" s="192"/>
      <c r="BR399" s="192"/>
      <c r="BS399" s="192"/>
      <c r="BT399" s="192"/>
      <c r="BU399" s="192"/>
      <c r="BV399" s="192"/>
      <c r="BW399" s="192"/>
      <c r="BX399" s="192"/>
      <c r="BY399" s="192"/>
      <c r="BZ399" s="192"/>
      <c r="CA399" s="192"/>
      <c r="CB399" s="192"/>
      <c r="CC399" s="192"/>
      <c r="CD399" s="192"/>
      <c r="CE399" s="192"/>
      <c r="CF399" s="192"/>
      <c r="CG399" s="192"/>
      <c r="CH399" s="192"/>
      <c r="CI399" s="192"/>
      <c r="CJ399" s="192"/>
      <c r="CK399" s="192"/>
      <c r="CL399" s="192"/>
      <c r="CM399" s="192"/>
      <c r="CN399" s="192"/>
      <c r="CO399" s="192"/>
      <c r="CP399" s="192"/>
      <c r="CQ399" s="192"/>
      <c r="CR399" s="192"/>
      <c r="CS399" s="192"/>
      <c r="CT399" s="192"/>
      <c r="CU399" s="192"/>
      <c r="CV399" s="192"/>
      <c r="CW399" s="192"/>
      <c r="CX399" s="192"/>
      <c r="CY399" s="192"/>
      <c r="CZ399" s="192"/>
      <c r="DA399" s="192"/>
      <c r="DB399" s="192"/>
      <c r="DC399" s="192"/>
      <c r="DD399" s="192"/>
      <c r="DE399" s="192"/>
      <c r="DF399" s="192"/>
      <c r="DG399" s="192"/>
      <c r="DH399" s="192"/>
      <c r="DI399" s="192"/>
      <c r="DJ399" s="192"/>
      <c r="DK399" s="192"/>
      <c r="DL399" s="192"/>
      <c r="DM399" s="192"/>
      <c r="DN399" s="192"/>
      <c r="DO399" s="192"/>
      <c r="DP399" s="192"/>
      <c r="DQ399" s="192"/>
      <c r="DR399" s="192"/>
      <c r="DS399" s="192"/>
      <c r="DT399" s="192"/>
      <c r="DU399" s="192"/>
      <c r="DV399" s="192"/>
      <c r="DW399" s="192"/>
      <c r="DX399" s="192"/>
      <c r="DY399" s="192"/>
      <c r="DZ399" s="192"/>
      <c r="EA399" s="192"/>
      <c r="EB399" s="192"/>
      <c r="EC399" s="192"/>
      <c r="ED399" s="192"/>
      <c r="EE399" s="192"/>
      <c r="EF399" s="192"/>
      <c r="EG399" s="192"/>
      <c r="EH399" s="192"/>
      <c r="EI399" s="192"/>
      <c r="EJ399" s="192"/>
      <c r="EK399" s="192"/>
      <c r="EL399" s="192"/>
      <c r="EM399" s="192"/>
      <c r="EN399" s="192"/>
      <c r="EO399" s="192"/>
      <c r="EP399" s="192"/>
      <c r="EQ399" s="192"/>
    </row>
    <row r="400" spans="1:147" x14ac:dyDescent="0.2">
      <c r="A400" s="192"/>
      <c r="B400" s="192"/>
      <c r="C400" s="192"/>
      <c r="D400" s="192"/>
      <c r="E400" s="192"/>
      <c r="F400" s="192"/>
      <c r="G400" s="192"/>
      <c r="H400" s="192"/>
      <c r="I400" s="192"/>
      <c r="J400" s="192"/>
      <c r="K400" s="192"/>
      <c r="L400" s="192"/>
      <c r="M400" s="192"/>
      <c r="N400" s="192"/>
      <c r="O400" s="192"/>
      <c r="P400" s="192"/>
      <c r="Q400" s="192"/>
      <c r="R400" s="192"/>
      <c r="S400" s="266"/>
      <c r="T400" s="265"/>
      <c r="U400" s="265"/>
      <c r="V400" s="265"/>
      <c r="W400" s="265"/>
      <c r="X400" s="265"/>
      <c r="Y400" s="265"/>
      <c r="Z400" s="265"/>
      <c r="AA400" s="265"/>
      <c r="AB400" s="265"/>
      <c r="AC400" s="265"/>
      <c r="AD400" s="265"/>
      <c r="AE400" s="265"/>
      <c r="AF400" s="265"/>
      <c r="AG400" s="265"/>
      <c r="AH400" s="265"/>
      <c r="AI400" s="192"/>
      <c r="AJ400" s="192"/>
      <c r="AK400" s="192"/>
      <c r="AL400" s="192"/>
      <c r="AM400" s="192"/>
      <c r="AN400" s="192"/>
      <c r="AO400" s="192"/>
      <c r="AP400" s="192"/>
      <c r="AQ400" s="192"/>
      <c r="AR400" s="192"/>
      <c r="AS400" s="192"/>
      <c r="AT400" s="192"/>
      <c r="AU400" s="192"/>
      <c r="AV400" s="192"/>
      <c r="AW400" s="192"/>
      <c r="AX400" s="192"/>
      <c r="AY400" s="192"/>
      <c r="AZ400" s="192"/>
      <c r="BA400" s="192"/>
      <c r="BB400" s="192"/>
      <c r="BC400" s="192"/>
      <c r="BD400" s="192"/>
      <c r="BE400" s="192"/>
      <c r="BF400" s="192"/>
      <c r="BG400" s="192"/>
      <c r="BH400" s="192"/>
      <c r="BI400" s="192"/>
      <c r="BJ400" s="192"/>
      <c r="BK400" s="192"/>
      <c r="BL400" s="192"/>
      <c r="BM400" s="192"/>
      <c r="BN400" s="192"/>
      <c r="BO400" s="192"/>
      <c r="BP400" s="192"/>
      <c r="BQ400" s="192"/>
      <c r="BR400" s="192"/>
      <c r="BS400" s="192"/>
      <c r="BT400" s="192"/>
      <c r="BU400" s="192"/>
      <c r="BV400" s="192"/>
      <c r="BW400" s="192"/>
      <c r="BX400" s="192"/>
      <c r="BY400" s="192"/>
      <c r="BZ400" s="192"/>
      <c r="CA400" s="192"/>
      <c r="CB400" s="192"/>
      <c r="CC400" s="192"/>
      <c r="CD400" s="192"/>
      <c r="CE400" s="192"/>
      <c r="CF400" s="192"/>
      <c r="CG400" s="192"/>
      <c r="CH400" s="192"/>
      <c r="CI400" s="192"/>
      <c r="CJ400" s="192"/>
      <c r="CK400" s="192"/>
      <c r="CL400" s="192"/>
      <c r="CM400" s="192"/>
      <c r="CN400" s="192"/>
      <c r="CO400" s="192"/>
      <c r="CP400" s="192"/>
      <c r="CQ400" s="192"/>
      <c r="CR400" s="192"/>
      <c r="CS400" s="192"/>
      <c r="CT400" s="192"/>
      <c r="CU400" s="192"/>
      <c r="CV400" s="192"/>
      <c r="CW400" s="192"/>
      <c r="CX400" s="192"/>
      <c r="CY400" s="192"/>
      <c r="CZ400" s="192"/>
      <c r="DA400" s="192"/>
      <c r="DB400" s="192"/>
      <c r="DC400" s="192"/>
      <c r="DD400" s="192"/>
      <c r="DE400" s="192"/>
      <c r="DF400" s="192"/>
      <c r="DG400" s="192"/>
      <c r="DH400" s="192"/>
      <c r="DI400" s="192"/>
      <c r="DJ400" s="192"/>
      <c r="DK400" s="192"/>
      <c r="DL400" s="192"/>
      <c r="DM400" s="192"/>
      <c r="DN400" s="192"/>
      <c r="DO400" s="192"/>
      <c r="DP400" s="192"/>
      <c r="DQ400" s="192"/>
      <c r="DR400" s="192"/>
      <c r="DS400" s="192"/>
      <c r="DT400" s="192"/>
      <c r="DU400" s="192"/>
      <c r="DV400" s="192"/>
      <c r="DW400" s="192"/>
      <c r="DX400" s="192"/>
      <c r="DY400" s="192"/>
      <c r="DZ400" s="192"/>
      <c r="EA400" s="192"/>
      <c r="EB400" s="192"/>
      <c r="EC400" s="192"/>
      <c r="ED400" s="192"/>
      <c r="EE400" s="192"/>
      <c r="EF400" s="192"/>
      <c r="EG400" s="192"/>
      <c r="EH400" s="192"/>
      <c r="EI400" s="192"/>
      <c r="EJ400" s="192"/>
      <c r="EK400" s="192"/>
      <c r="EL400" s="192"/>
      <c r="EM400" s="192"/>
      <c r="EN400" s="192"/>
      <c r="EO400" s="192"/>
      <c r="EP400" s="192"/>
      <c r="EQ400" s="192"/>
    </row>
    <row r="401" spans="1:147" x14ac:dyDescent="0.2">
      <c r="A401" s="192"/>
      <c r="B401" s="192"/>
      <c r="C401" s="192"/>
      <c r="D401" s="192"/>
      <c r="E401" s="192"/>
      <c r="F401" s="192"/>
      <c r="G401" s="192"/>
      <c r="H401" s="192"/>
      <c r="I401" s="192"/>
      <c r="J401" s="192"/>
      <c r="K401" s="192"/>
      <c r="L401" s="192"/>
      <c r="M401" s="192"/>
      <c r="N401" s="192"/>
      <c r="O401" s="192"/>
      <c r="P401" s="192"/>
      <c r="Q401" s="192"/>
      <c r="R401" s="192"/>
      <c r="S401" s="266"/>
      <c r="T401" s="265"/>
      <c r="U401" s="265"/>
      <c r="V401" s="265"/>
      <c r="W401" s="265"/>
      <c r="X401" s="265"/>
      <c r="Y401" s="265"/>
      <c r="Z401" s="265"/>
      <c r="AA401" s="265"/>
      <c r="AB401" s="265"/>
      <c r="AC401" s="265"/>
      <c r="AD401" s="265"/>
      <c r="AE401" s="265"/>
      <c r="AF401" s="265"/>
      <c r="AG401" s="265"/>
      <c r="AH401" s="265"/>
      <c r="AI401" s="192"/>
      <c r="AJ401" s="192"/>
      <c r="AK401" s="192"/>
      <c r="AL401" s="192"/>
      <c r="AM401" s="192"/>
      <c r="AN401" s="192"/>
      <c r="AO401" s="192"/>
      <c r="AP401" s="192"/>
      <c r="AQ401" s="192"/>
      <c r="AR401" s="192"/>
      <c r="AS401" s="192"/>
      <c r="AT401" s="192"/>
      <c r="AU401" s="192"/>
      <c r="AV401" s="192"/>
      <c r="AW401" s="192"/>
      <c r="AX401" s="192"/>
      <c r="AY401" s="192"/>
      <c r="AZ401" s="192"/>
      <c r="BA401" s="192"/>
      <c r="BB401" s="192"/>
      <c r="BC401" s="192"/>
      <c r="BD401" s="192"/>
      <c r="BE401" s="192"/>
      <c r="BF401" s="192"/>
      <c r="BG401" s="192"/>
      <c r="BH401" s="192"/>
      <c r="BI401" s="192"/>
      <c r="BJ401" s="192"/>
      <c r="BK401" s="192"/>
      <c r="BL401" s="192"/>
      <c r="BM401" s="192"/>
      <c r="BN401" s="192"/>
      <c r="BO401" s="192"/>
      <c r="BP401" s="192"/>
      <c r="BQ401" s="192"/>
      <c r="BR401" s="192"/>
      <c r="BS401" s="192"/>
      <c r="BT401" s="192"/>
      <c r="BU401" s="192"/>
      <c r="BV401" s="192"/>
      <c r="BW401" s="192"/>
      <c r="BX401" s="192"/>
      <c r="BY401" s="192"/>
      <c r="BZ401" s="192"/>
      <c r="CA401" s="192"/>
      <c r="CB401" s="192"/>
      <c r="CC401" s="192"/>
      <c r="CD401" s="192"/>
      <c r="CE401" s="192"/>
      <c r="CF401" s="192"/>
      <c r="CG401" s="192"/>
      <c r="CH401" s="192"/>
      <c r="CI401" s="192"/>
      <c r="CJ401" s="192"/>
      <c r="CK401" s="192"/>
      <c r="CL401" s="192"/>
      <c r="CM401" s="192"/>
      <c r="CN401" s="192"/>
      <c r="CO401" s="192"/>
      <c r="CP401" s="192"/>
      <c r="CQ401" s="192"/>
      <c r="CR401" s="192"/>
      <c r="CS401" s="192"/>
      <c r="CT401" s="192"/>
      <c r="CU401" s="192"/>
      <c r="CV401" s="192"/>
      <c r="CW401" s="192"/>
      <c r="CX401" s="192"/>
      <c r="CY401" s="192"/>
      <c r="CZ401" s="192"/>
      <c r="DA401" s="192"/>
      <c r="DB401" s="192"/>
      <c r="DC401" s="192"/>
      <c r="DD401" s="192"/>
      <c r="DE401" s="192"/>
      <c r="DF401" s="192"/>
      <c r="DG401" s="192"/>
      <c r="DH401" s="192"/>
      <c r="DI401" s="192"/>
      <c r="DJ401" s="192"/>
      <c r="DK401" s="192"/>
      <c r="DL401" s="192"/>
      <c r="DM401" s="192"/>
      <c r="DN401" s="192"/>
      <c r="DO401" s="192"/>
      <c r="DP401" s="192"/>
      <c r="DQ401" s="192"/>
      <c r="DR401" s="192"/>
      <c r="DS401" s="192"/>
      <c r="DT401" s="192"/>
      <c r="DU401" s="192"/>
      <c r="DV401" s="192"/>
      <c r="DW401" s="192"/>
      <c r="DX401" s="192"/>
      <c r="DY401" s="192"/>
      <c r="DZ401" s="192"/>
      <c r="EA401" s="192"/>
      <c r="EB401" s="192"/>
      <c r="EC401" s="192"/>
      <c r="ED401" s="192"/>
      <c r="EE401" s="192"/>
      <c r="EF401" s="192"/>
      <c r="EG401" s="192"/>
      <c r="EH401" s="192"/>
      <c r="EI401" s="192"/>
      <c r="EJ401" s="192"/>
      <c r="EK401" s="192"/>
      <c r="EL401" s="192"/>
      <c r="EM401" s="192"/>
      <c r="EN401" s="192"/>
      <c r="EO401" s="192"/>
      <c r="EP401" s="192"/>
      <c r="EQ401" s="192"/>
    </row>
    <row r="402" spans="1:147" x14ac:dyDescent="0.2">
      <c r="A402" s="192"/>
      <c r="B402" s="192"/>
      <c r="C402" s="192"/>
      <c r="D402" s="192"/>
      <c r="E402" s="192"/>
      <c r="F402" s="192"/>
      <c r="G402" s="192"/>
      <c r="H402" s="192"/>
      <c r="I402" s="192"/>
      <c r="J402" s="192"/>
      <c r="K402" s="192"/>
      <c r="L402" s="192"/>
      <c r="M402" s="192"/>
      <c r="N402" s="192"/>
      <c r="O402" s="192"/>
      <c r="P402" s="192"/>
      <c r="Q402" s="192"/>
      <c r="R402" s="192"/>
      <c r="S402" s="266"/>
      <c r="T402" s="265"/>
      <c r="U402" s="265"/>
      <c r="V402" s="265"/>
      <c r="W402" s="265"/>
      <c r="X402" s="265"/>
      <c r="Y402" s="265"/>
      <c r="Z402" s="265"/>
      <c r="AA402" s="265"/>
      <c r="AB402" s="265"/>
      <c r="AC402" s="265"/>
      <c r="AD402" s="265"/>
      <c r="AE402" s="265"/>
      <c r="AF402" s="265"/>
      <c r="AG402" s="265"/>
      <c r="AH402" s="265"/>
      <c r="AI402" s="192"/>
      <c r="AK402" s="192"/>
      <c r="AL402" s="192"/>
      <c r="AM402" s="192"/>
      <c r="AN402" s="192"/>
      <c r="AO402" s="192"/>
      <c r="AP402" s="192"/>
      <c r="AQ402" s="192"/>
      <c r="AR402" s="192"/>
      <c r="AS402" s="192"/>
      <c r="AT402" s="192"/>
      <c r="AU402" s="192"/>
      <c r="AV402" s="192"/>
      <c r="AW402" s="192"/>
      <c r="AX402" s="192"/>
      <c r="AY402" s="192"/>
      <c r="AZ402" s="192"/>
      <c r="BA402" s="192"/>
      <c r="BB402" s="192"/>
      <c r="BC402" s="192"/>
      <c r="BD402" s="192"/>
      <c r="BE402" s="192"/>
      <c r="BF402" s="192"/>
      <c r="BG402" s="192"/>
      <c r="BH402" s="192"/>
      <c r="BI402" s="192"/>
      <c r="BJ402" s="192"/>
      <c r="BK402" s="192"/>
      <c r="BL402" s="192"/>
      <c r="BM402" s="192"/>
      <c r="BN402" s="192"/>
      <c r="BO402" s="192"/>
      <c r="BP402" s="192"/>
      <c r="BQ402" s="192"/>
      <c r="BR402" s="192"/>
      <c r="BS402" s="192"/>
      <c r="BT402" s="192"/>
      <c r="BU402" s="192"/>
      <c r="BV402" s="192"/>
      <c r="BW402" s="192"/>
      <c r="BX402" s="192"/>
      <c r="BY402" s="192"/>
      <c r="BZ402" s="192"/>
      <c r="CA402" s="192"/>
      <c r="CB402" s="192"/>
      <c r="CC402" s="192"/>
      <c r="CD402" s="192"/>
      <c r="CE402" s="192"/>
      <c r="CF402" s="192"/>
      <c r="CG402" s="192"/>
      <c r="CH402" s="192"/>
      <c r="CI402" s="192"/>
      <c r="CJ402" s="192"/>
      <c r="CK402" s="192"/>
      <c r="CL402" s="192"/>
      <c r="CM402" s="192"/>
      <c r="CN402" s="192"/>
      <c r="CO402" s="192"/>
      <c r="CP402" s="192"/>
      <c r="CQ402" s="192"/>
      <c r="CR402" s="192"/>
      <c r="CS402" s="192"/>
      <c r="CT402" s="192"/>
      <c r="CU402" s="192"/>
      <c r="CV402" s="192"/>
      <c r="CW402" s="192"/>
      <c r="CX402" s="192"/>
      <c r="CY402" s="192"/>
      <c r="CZ402" s="192"/>
      <c r="DA402" s="192"/>
      <c r="DB402" s="192"/>
      <c r="DC402" s="192"/>
      <c r="DD402" s="192"/>
      <c r="DE402" s="192"/>
      <c r="DF402" s="192"/>
      <c r="DG402" s="192"/>
      <c r="DH402" s="192"/>
      <c r="DI402" s="192"/>
      <c r="DJ402" s="192"/>
      <c r="DK402" s="192"/>
      <c r="DL402" s="192"/>
      <c r="DM402" s="192"/>
      <c r="DN402" s="192"/>
      <c r="DO402" s="192"/>
      <c r="DP402" s="192"/>
      <c r="DQ402" s="192"/>
      <c r="DR402" s="192"/>
      <c r="DS402" s="192"/>
      <c r="DT402" s="192"/>
      <c r="DU402" s="192"/>
      <c r="DV402" s="192"/>
      <c r="DW402" s="192"/>
      <c r="DX402" s="192"/>
      <c r="DY402" s="192"/>
      <c r="DZ402" s="192"/>
      <c r="EA402" s="192"/>
      <c r="EB402" s="192"/>
      <c r="EC402" s="192"/>
      <c r="ED402" s="192"/>
      <c r="EE402" s="192"/>
      <c r="EF402" s="192"/>
      <c r="EG402" s="192"/>
      <c r="EH402" s="192"/>
      <c r="EI402" s="192"/>
      <c r="EJ402" s="192"/>
      <c r="EK402" s="192"/>
      <c r="EL402" s="192"/>
    </row>
    <row r="403" spans="1:147" x14ac:dyDescent="0.2">
      <c r="A403" s="192"/>
      <c r="B403" s="192"/>
      <c r="C403" s="192"/>
      <c r="D403" s="192"/>
      <c r="E403" s="192"/>
      <c r="F403" s="192"/>
      <c r="G403" s="192"/>
      <c r="H403" s="192"/>
      <c r="I403" s="192"/>
      <c r="J403" s="192"/>
      <c r="K403" s="192"/>
      <c r="L403" s="192"/>
      <c r="M403" s="192"/>
      <c r="N403" s="192"/>
      <c r="O403" s="192"/>
      <c r="P403" s="192"/>
      <c r="Q403" s="192"/>
      <c r="R403" s="192"/>
      <c r="S403" s="266"/>
      <c r="T403" s="265"/>
      <c r="U403" s="265"/>
      <c r="V403" s="265"/>
      <c r="W403" s="265"/>
      <c r="X403" s="265"/>
      <c r="Y403" s="265"/>
      <c r="Z403" s="265"/>
      <c r="AA403" s="265"/>
      <c r="AB403" s="265"/>
      <c r="AC403" s="265"/>
      <c r="AD403" s="265"/>
      <c r="AE403" s="265"/>
      <c r="AF403" s="265"/>
      <c r="AG403" s="265"/>
      <c r="AH403" s="265"/>
      <c r="AI403" s="192"/>
    </row>
    <row r="404" spans="1:147" x14ac:dyDescent="0.2">
      <c r="A404" s="192"/>
      <c r="B404" s="192"/>
      <c r="C404" s="192"/>
      <c r="D404" s="192"/>
      <c r="E404" s="192"/>
      <c r="F404" s="192"/>
      <c r="G404" s="192"/>
      <c r="H404" s="192"/>
      <c r="I404" s="192"/>
      <c r="J404" s="192"/>
      <c r="K404" s="192"/>
      <c r="L404" s="192"/>
      <c r="M404" s="192"/>
      <c r="N404" s="192"/>
      <c r="O404" s="192"/>
      <c r="P404" s="192"/>
      <c r="Q404" s="192"/>
      <c r="R404" s="192"/>
      <c r="S404" s="266"/>
      <c r="T404" s="265"/>
      <c r="U404" s="265"/>
      <c r="V404" s="265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  <c r="AG404" s="265"/>
      <c r="AH404" s="265"/>
      <c r="AI404" s="192"/>
    </row>
    <row r="405" spans="1:147" x14ac:dyDescent="0.2">
      <c r="A405" s="192"/>
      <c r="B405" s="192"/>
      <c r="C405" s="192"/>
      <c r="D405" s="192"/>
      <c r="E405" s="192"/>
      <c r="F405" s="192"/>
      <c r="G405" s="192"/>
      <c r="H405" s="192"/>
      <c r="I405" s="192"/>
      <c r="J405" s="192"/>
      <c r="K405" s="192"/>
      <c r="L405" s="192"/>
      <c r="M405" s="192"/>
      <c r="N405" s="192"/>
      <c r="O405" s="192"/>
      <c r="P405" s="192"/>
      <c r="Q405" s="192"/>
      <c r="R405" s="192"/>
      <c r="S405" s="266"/>
      <c r="T405" s="265"/>
      <c r="U405" s="265"/>
      <c r="V405" s="265"/>
      <c r="W405" s="265"/>
      <c r="X405" s="265"/>
      <c r="Y405" s="265"/>
      <c r="Z405" s="265"/>
      <c r="AA405" s="265"/>
      <c r="AB405" s="265"/>
      <c r="AC405" s="265"/>
      <c r="AD405" s="265"/>
      <c r="AE405" s="265"/>
      <c r="AF405" s="265"/>
      <c r="AG405" s="265"/>
      <c r="AH405" s="265"/>
      <c r="AI405" s="192"/>
    </row>
    <row r="406" spans="1:147" x14ac:dyDescent="0.2">
      <c r="A406" s="192"/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2"/>
      <c r="N406" s="192"/>
      <c r="O406" s="192"/>
      <c r="P406" s="192"/>
      <c r="Q406" s="192"/>
      <c r="R406" s="192"/>
      <c r="S406" s="266"/>
      <c r="T406" s="265"/>
      <c r="U406" s="265"/>
      <c r="V406" s="265"/>
      <c r="W406" s="265"/>
      <c r="X406" s="265"/>
      <c r="Y406" s="265"/>
      <c r="Z406" s="265"/>
      <c r="AA406" s="265"/>
      <c r="AB406" s="265"/>
      <c r="AC406" s="265"/>
      <c r="AD406" s="265"/>
      <c r="AE406" s="265"/>
      <c r="AF406" s="265"/>
      <c r="AG406" s="265"/>
      <c r="AH406" s="265"/>
      <c r="AI406" s="192"/>
    </row>
    <row r="407" spans="1:147" x14ac:dyDescent="0.2">
      <c r="A407" s="192"/>
      <c r="B407" s="192"/>
      <c r="C407" s="192"/>
      <c r="D407" s="192"/>
      <c r="E407" s="192"/>
      <c r="F407" s="192"/>
      <c r="G407" s="192"/>
      <c r="H407" s="192"/>
      <c r="I407" s="192"/>
      <c r="J407" s="192"/>
      <c r="K407" s="192"/>
      <c r="L407" s="192"/>
      <c r="M407" s="192"/>
      <c r="N407" s="192"/>
      <c r="O407" s="192"/>
      <c r="P407" s="192"/>
      <c r="Q407" s="192"/>
      <c r="R407" s="192"/>
      <c r="S407" s="266"/>
      <c r="T407" s="265"/>
      <c r="U407" s="265"/>
      <c r="V407" s="265"/>
      <c r="W407" s="265"/>
      <c r="X407" s="265"/>
      <c r="Y407" s="265"/>
      <c r="Z407" s="265"/>
      <c r="AA407" s="265"/>
      <c r="AB407" s="265"/>
      <c r="AC407" s="265"/>
      <c r="AD407" s="265"/>
      <c r="AE407" s="265"/>
      <c r="AF407" s="265"/>
      <c r="AG407" s="265"/>
      <c r="AH407" s="265"/>
    </row>
    <row r="408" spans="1:147" x14ac:dyDescent="0.2">
      <c r="A408" s="192"/>
      <c r="B408" s="192"/>
      <c r="C408" s="192"/>
      <c r="D408" s="192"/>
      <c r="E408" s="192"/>
      <c r="F408" s="192"/>
      <c r="G408" s="192"/>
      <c r="H408" s="192"/>
      <c r="I408" s="192"/>
      <c r="J408" s="192"/>
      <c r="K408" s="192"/>
      <c r="L408" s="192"/>
      <c r="M408" s="192"/>
      <c r="N408" s="192"/>
      <c r="O408" s="192"/>
      <c r="P408" s="192"/>
      <c r="Q408" s="192"/>
      <c r="R408" s="192"/>
      <c r="S408" s="266"/>
      <c r="T408" s="265"/>
      <c r="U408" s="265"/>
      <c r="V408" s="265"/>
      <c r="W408" s="265"/>
      <c r="X408" s="265"/>
      <c r="Y408" s="265"/>
      <c r="Z408" s="265"/>
      <c r="AA408" s="265"/>
      <c r="AB408" s="265"/>
      <c r="AC408" s="265"/>
      <c r="AD408" s="265"/>
      <c r="AE408" s="265"/>
      <c r="AF408" s="265"/>
      <c r="AG408" s="265"/>
      <c r="AH408" s="265"/>
    </row>
    <row r="409" spans="1:147" x14ac:dyDescent="0.2">
      <c r="A409" s="192"/>
      <c r="B409" s="192"/>
      <c r="C409" s="192"/>
      <c r="D409" s="192"/>
      <c r="E409" s="192"/>
      <c r="F409" s="192"/>
      <c r="G409" s="192"/>
      <c r="H409" s="192"/>
      <c r="I409" s="192"/>
      <c r="J409" s="192"/>
      <c r="K409" s="192"/>
      <c r="L409" s="192"/>
      <c r="M409" s="192"/>
      <c r="N409" s="192"/>
      <c r="O409" s="192"/>
      <c r="P409" s="192"/>
      <c r="Q409" s="192"/>
      <c r="R409" s="192"/>
      <c r="S409" s="266"/>
      <c r="T409" s="265"/>
      <c r="U409" s="265"/>
      <c r="V409" s="265"/>
      <c r="W409" s="265"/>
      <c r="X409" s="265"/>
      <c r="Y409" s="265"/>
      <c r="Z409" s="265"/>
      <c r="AA409" s="265"/>
      <c r="AB409" s="265"/>
      <c r="AC409" s="265"/>
      <c r="AD409" s="265"/>
      <c r="AE409" s="265"/>
      <c r="AF409" s="265"/>
      <c r="AG409" s="265"/>
      <c r="AH409" s="265"/>
    </row>
  </sheetData>
  <sheetProtection formatCells="0" formatColumns="0" formatRows="0"/>
  <conditionalFormatting sqref="AJ5:AJ31">
    <cfRule type="cellIs" dxfId="15" priority="1" operator="lessThan">
      <formula>1</formula>
    </cfRule>
    <cfRule type="cellIs" dxfId="14" priority="2" operator="greaterThan">
      <formula>1</formula>
    </cfRule>
    <cfRule type="expression" dxfId="13" priority="3">
      <formula>"&lt;&gt;1"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tnPickDataSeries">
              <controlPr defaultSize="0" print="0" autoFill="0" autoPict="0" macro="[0]!btnPickDataSeries_Click">
                <anchor moveWithCells="1" sizeWithCells="1">
                  <from>
                    <xdr:col>6</xdr:col>
                    <xdr:colOff>600075</xdr:colOff>
                    <xdr:row>0</xdr:row>
                    <xdr:rowOff>57150</xdr:rowOff>
                  </from>
                  <to>
                    <xdr:col>11</xdr:col>
                    <xdr:colOff>66675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tnRegenerate">
              <controlPr defaultSize="0" print="0" autoFill="0" autoPict="0" macro="[0]!btnRegenerate_Click">
                <anchor moveWithCells="1" sizeWithCells="1">
                  <from>
                    <xdr:col>11</xdr:col>
                    <xdr:colOff>104775</xdr:colOff>
                    <xdr:row>0</xdr:row>
                    <xdr:rowOff>66675</xdr:rowOff>
                  </from>
                  <to>
                    <xdr:col>15</xdr:col>
                    <xdr:colOff>85725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alculation">
    <tabColor rgb="FF0000CC"/>
    <pageSetUpPr fitToPage="1"/>
  </sheetPr>
  <dimension ref="A1:FQ197"/>
  <sheetViews>
    <sheetView zoomScale="110" zoomScaleNormal="110" workbookViewId="0">
      <pane xSplit="3" ySplit="41" topLeftCell="BK42" activePane="bottomRight" state="frozen"/>
      <selection pane="topRight" activeCell="D1" sqref="D1"/>
      <selection pane="bottomLeft" activeCell="A133" sqref="A133"/>
      <selection pane="bottomRight" activeCell="BK42" sqref="BK42"/>
    </sheetView>
  </sheetViews>
  <sheetFormatPr defaultColWidth="8.85546875" defaultRowHeight="12" outlineLevelRow="1" outlineLevelCol="1" x14ac:dyDescent="0.2"/>
  <cols>
    <col min="1" max="1" width="10.85546875" style="1" customWidth="1"/>
    <col min="2" max="2" width="8.85546875" style="1"/>
    <col min="3" max="3" width="21" style="1" customWidth="1"/>
    <col min="4" max="4" width="8.85546875" style="1"/>
    <col min="5" max="5" width="8.85546875" style="1" customWidth="1"/>
    <col min="6" max="6" width="8.85546875" style="1"/>
    <col min="7" max="7" width="14" style="1" bestFit="1" customWidth="1"/>
    <col min="8" max="13" width="8.85546875" style="1"/>
    <col min="14" max="14" width="4.42578125" style="1" hidden="1" customWidth="1" outlineLevel="1"/>
    <col min="15" max="15" width="4.28515625" style="1" hidden="1" customWidth="1" outlineLevel="1"/>
    <col min="16" max="16" width="8.85546875" style="1" collapsed="1"/>
    <col min="17" max="26" width="8.85546875" style="1"/>
    <col min="27" max="34" width="8.85546875" style="1" customWidth="1" outlineLevel="1"/>
    <col min="35" max="89" width="8.85546875" style="1"/>
    <col min="90" max="90" width="8.85546875" style="1" customWidth="1"/>
    <col min="91" max="113" width="8.85546875" style="1"/>
    <col min="114" max="116" width="9.42578125" style="1" bestFit="1" customWidth="1"/>
    <col min="117" max="16384" width="8.85546875" style="1"/>
  </cols>
  <sheetData>
    <row r="1" spans="1:19" ht="23.25" x14ac:dyDescent="0.35">
      <c r="A1" s="443" t="s">
        <v>86</v>
      </c>
    </row>
    <row r="2" spans="1:19" x14ac:dyDescent="0.2">
      <c r="A2" s="24" t="s">
        <v>60</v>
      </c>
    </row>
    <row r="4" spans="1:19" ht="12.75" x14ac:dyDescent="0.2">
      <c r="A4" s="1" t="s">
        <v>182</v>
      </c>
      <c r="B4" s="432" t="s">
        <v>298</v>
      </c>
      <c r="C4" s="433"/>
      <c r="E4" s="11" t="s">
        <v>189</v>
      </c>
      <c r="G4" s="9">
        <v>29281</v>
      </c>
    </row>
    <row r="5" spans="1:19" ht="12.75" x14ac:dyDescent="0.2">
      <c r="A5" s="1" t="s">
        <v>103</v>
      </c>
      <c r="B5" s="432" t="s">
        <v>299</v>
      </c>
      <c r="C5" s="433"/>
      <c r="E5" s="11" t="s">
        <v>190</v>
      </c>
      <c r="G5" s="9">
        <v>42369</v>
      </c>
    </row>
    <row r="6" spans="1:19" ht="12.75" x14ac:dyDescent="0.2">
      <c r="A6" s="1" t="s">
        <v>57</v>
      </c>
      <c r="B6" s="432" t="s">
        <v>162</v>
      </c>
      <c r="C6" s="433"/>
      <c r="E6" s="196" t="s">
        <v>181</v>
      </c>
      <c r="G6" s="300">
        <f ca="1">date_end_row-date_start_row+1</f>
        <v>144</v>
      </c>
    </row>
    <row r="7" spans="1:19" x14ac:dyDescent="0.2">
      <c r="G7" s="298">
        <f ca="1">MATCH(G4,Historical_Data_Dates,0)</f>
        <v>1</v>
      </c>
    </row>
    <row r="8" spans="1:19" x14ac:dyDescent="0.2">
      <c r="A8" s="11" t="s">
        <v>176</v>
      </c>
      <c r="C8" s="23">
        <v>100</v>
      </c>
      <c r="G8" s="299">
        <f ca="1">MATCH(G5,Historical_Data_Dates,0)</f>
        <v>144</v>
      </c>
      <c r="J8" s="113"/>
    </row>
    <row r="10" spans="1:19" x14ac:dyDescent="0.2">
      <c r="A10" s="1" t="s">
        <v>178</v>
      </c>
      <c r="C10" s="9" t="s">
        <v>175</v>
      </c>
      <c r="E10" s="11" t="s">
        <v>187</v>
      </c>
      <c r="G10" s="220">
        <v>1</v>
      </c>
    </row>
    <row r="11" spans="1:19" x14ac:dyDescent="0.2">
      <c r="A11" s="11" t="s">
        <v>160</v>
      </c>
      <c r="C11" s="223">
        <v>1000</v>
      </c>
      <c r="E11" s="11" t="s">
        <v>243</v>
      </c>
      <c r="G11" s="221">
        <v>0.97499999999999998</v>
      </c>
    </row>
    <row r="12" spans="1:19" x14ac:dyDescent="0.2">
      <c r="A12" s="11" t="s">
        <v>161</v>
      </c>
      <c r="C12" s="223">
        <v>20000</v>
      </c>
      <c r="H12" s="224" t="str">
        <f>ROUND((1-inp_prob_cv)*inp_num_cv,0)&amp;" scen"</f>
        <v>500 scen</v>
      </c>
    </row>
    <row r="13" spans="1:19" x14ac:dyDescent="0.2">
      <c r="A13" s="1" t="s">
        <v>194</v>
      </c>
      <c r="C13" s="223">
        <v>1</v>
      </c>
      <c r="E13" s="1" t="s">
        <v>61</v>
      </c>
      <c r="G13" s="186">
        <f>_num_assets</f>
        <v>27</v>
      </c>
      <c r="N13" s="2"/>
      <c r="O13" s="2"/>
      <c r="Q13" s="69"/>
      <c r="R13" s="69"/>
      <c r="S13" s="2"/>
    </row>
    <row r="14" spans="1:19" ht="12.75" x14ac:dyDescent="0.2">
      <c r="C14"/>
      <c r="E14" s="1" t="s">
        <v>142</v>
      </c>
      <c r="G14" s="187">
        <f>_num_liab</f>
        <v>23</v>
      </c>
      <c r="N14" s="2"/>
      <c r="O14" s="2"/>
      <c r="Q14" s="69"/>
      <c r="R14" s="69"/>
      <c r="S14" s="2"/>
    </row>
    <row r="15" spans="1:19" x14ac:dyDescent="0.2">
      <c r="A15" s="199" t="s">
        <v>179</v>
      </c>
      <c r="C15" s="199" t="str">
        <f ca="1">MID(CELL("filename",C15),FIND("[",CELL("filename",C15))+1,FIND("]",CELL("filename",C15))-FIND("[",CELL("filename",C15))-1)</f>
        <v>EF_Workbook.xlsm</v>
      </c>
      <c r="E15" s="1" t="s">
        <v>62</v>
      </c>
      <c r="G15" s="186">
        <f>G13+G14</f>
        <v>50</v>
      </c>
      <c r="N15" s="2"/>
      <c r="O15" s="2"/>
      <c r="Q15" s="69"/>
      <c r="R15" s="69"/>
      <c r="S15" s="2"/>
    </row>
    <row r="16" spans="1:19" x14ac:dyDescent="0.2">
      <c r="A16" s="199" t="s">
        <v>177</v>
      </c>
      <c r="C16" s="1" t="str">
        <f ca="1">MID(CELL("filename",C16),1, FIND("[",CELL("filename",C16))-1)</f>
        <v>C:\dev\PortfolioAnalyzer\Excel\</v>
      </c>
      <c r="N16" s="2"/>
      <c r="O16" s="2"/>
      <c r="Q16" s="69"/>
      <c r="R16" s="69"/>
      <c r="S16" s="2"/>
    </row>
    <row r="17" spans="1:19" x14ac:dyDescent="0.2">
      <c r="A17" s="199" t="s">
        <v>100</v>
      </c>
      <c r="C17" s="222" t="str">
        <f ca="1">C16&amp;"src\"</f>
        <v>C:\dev\PortfolioAnalyzer\Excel\src\</v>
      </c>
      <c r="E17" s="11" t="s">
        <v>80</v>
      </c>
      <c r="G17" s="380">
        <f ca="1">SUMPRODUCT(OFFSET(curr_wts_start,1,0,_num_assets,1),model_TR_assets)</f>
        <v>7.0735400000000004E-2</v>
      </c>
      <c r="N17" s="2"/>
      <c r="O17" s="2"/>
      <c r="Q17" s="69"/>
      <c r="R17" s="69"/>
      <c r="S17" s="2"/>
    </row>
    <row r="18" spans="1:19" x14ac:dyDescent="0.2">
      <c r="A18" s="1" t="s">
        <v>193</v>
      </c>
      <c r="C18" s="225" t="str">
        <f ca="1">C16&amp;"Data\"</f>
        <v>C:\dev\PortfolioAnalyzer\Excel\Data\</v>
      </c>
      <c r="E18" s="11" t="s">
        <v>53</v>
      </c>
      <c r="G18" s="382">
        <f t="array" aca="1" ref="G18" ca="1">SQRT(MMULT(TRANSPOSE(OFFSET(curr_wts_start,1,0,_num_assets,1)),MMULT(inp_covar_assets,OFFSET(curr_wts_start,1,0,_num_assets,1))))</f>
        <v>5.590887394301991E-2</v>
      </c>
      <c r="N18" s="2"/>
      <c r="O18" s="2"/>
      <c r="Q18" s="69"/>
      <c r="R18" s="69"/>
      <c r="S18" s="2"/>
    </row>
    <row r="19" spans="1:19" x14ac:dyDescent="0.2">
      <c r="A19" s="199" t="s">
        <v>180</v>
      </c>
      <c r="C19" s="200">
        <f ca="1">TODAY()</f>
        <v>43027</v>
      </c>
      <c r="E19" s="11" t="s">
        <v>81</v>
      </c>
      <c r="G19" s="380">
        <f ca="1">SUMPRODUCT(OFFSET(curr_wts_start,1,0,_num_AL,1),model_TR_AL)</f>
        <v>2.0637409999999998E-2</v>
      </c>
      <c r="N19" s="2"/>
      <c r="O19" s="2"/>
      <c r="Q19" s="69"/>
      <c r="R19" s="69"/>
      <c r="S19" s="2"/>
    </row>
    <row r="20" spans="1:19" x14ac:dyDescent="0.2">
      <c r="E20" s="11" t="s">
        <v>54</v>
      </c>
      <c r="G20" s="381">
        <f t="array" aca="1" ref="G20" ca="1">SQRT(MMULT(TRANSPOSE(OFFSET(curr_wts_start,1,0,_num_AL,1)),MMULT(inp_covar_AL,OFFSET(curr_wts_start,1,0,_num_AL,1))))</f>
        <v>6.2223286693266378E-2</v>
      </c>
      <c r="N20" s="2"/>
      <c r="O20" s="2"/>
      <c r="Q20" s="69"/>
      <c r="R20" s="69"/>
      <c r="S20" s="2"/>
    </row>
    <row r="21" spans="1:19" hidden="1" outlineLevel="1" x14ac:dyDescent="0.2">
      <c r="C21" s="2"/>
      <c r="D21" s="2"/>
      <c r="F21" s="69"/>
      <c r="G21" s="69"/>
      <c r="H21" s="2"/>
      <c r="N21" s="2"/>
      <c r="O21" s="2"/>
      <c r="Q21" s="69"/>
      <c r="R21" s="69"/>
      <c r="S21" s="2"/>
    </row>
    <row r="22" spans="1:19" hidden="1" outlineLevel="1" x14ac:dyDescent="0.2">
      <c r="A22" s="1" t="s">
        <v>127</v>
      </c>
      <c r="C22" s="2"/>
      <c r="D22" s="2"/>
      <c r="F22" s="69"/>
      <c r="G22" s="69"/>
      <c r="H22" s="2"/>
      <c r="N22" s="2"/>
      <c r="O22" s="2"/>
      <c r="Q22" s="69"/>
      <c r="R22" s="69"/>
      <c r="S22" s="2"/>
    </row>
    <row r="23" spans="1:19" hidden="1" outlineLevel="1" x14ac:dyDescent="0.2">
      <c r="A23" s="1" t="s">
        <v>128</v>
      </c>
      <c r="C23" s="2"/>
      <c r="D23" s="2"/>
      <c r="F23" s="69"/>
      <c r="G23" s="69"/>
      <c r="H23" s="2"/>
      <c r="N23" s="2"/>
      <c r="O23" s="2"/>
      <c r="Q23" s="69"/>
      <c r="R23" s="69"/>
      <c r="S23" s="2"/>
    </row>
    <row r="24" spans="1:19" hidden="1" outlineLevel="1" x14ac:dyDescent="0.2">
      <c r="A24" s="1" t="s">
        <v>129</v>
      </c>
      <c r="C24" s="2"/>
      <c r="D24" s="2"/>
      <c r="F24" s="69"/>
      <c r="G24" s="69"/>
      <c r="H24" s="2"/>
      <c r="N24" s="2"/>
      <c r="O24" s="2"/>
      <c r="Q24" s="69"/>
      <c r="R24" s="69"/>
      <c r="S24" s="2"/>
    </row>
    <row r="25" spans="1:19" hidden="1" outlineLevel="1" x14ac:dyDescent="0.2">
      <c r="A25" s="1" t="s">
        <v>138</v>
      </c>
      <c r="C25" s="2"/>
      <c r="D25" s="2"/>
      <c r="F25" s="69"/>
      <c r="G25" s="69"/>
      <c r="H25" s="2"/>
      <c r="N25" s="2"/>
      <c r="O25" s="2"/>
      <c r="Q25" s="69"/>
      <c r="R25" s="69"/>
      <c r="S25" s="2"/>
    </row>
    <row r="26" spans="1:19" hidden="1" outlineLevel="1" x14ac:dyDescent="0.2">
      <c r="A26" s="1" t="s">
        <v>141</v>
      </c>
      <c r="C26" s="2"/>
      <c r="D26" s="2"/>
      <c r="F26" s="69"/>
      <c r="G26" s="69"/>
      <c r="H26" s="2"/>
      <c r="N26" s="2"/>
      <c r="O26" s="2"/>
      <c r="Q26" s="69"/>
      <c r="R26" s="69"/>
      <c r="S26" s="2"/>
    </row>
    <row r="27" spans="1:19" hidden="1" outlineLevel="1" x14ac:dyDescent="0.2">
      <c r="A27" s="1" t="s">
        <v>139</v>
      </c>
      <c r="C27" s="2"/>
      <c r="D27" s="2"/>
      <c r="F27" s="69"/>
      <c r="G27" s="69"/>
      <c r="H27" s="2"/>
      <c r="N27" s="2"/>
      <c r="O27" s="2"/>
      <c r="Q27" s="69"/>
      <c r="R27" s="69"/>
      <c r="S27" s="2"/>
    </row>
    <row r="28" spans="1:19" hidden="1" outlineLevel="1" x14ac:dyDescent="0.2">
      <c r="A28" s="1" t="s">
        <v>140</v>
      </c>
      <c r="C28" s="2"/>
      <c r="D28" s="2"/>
      <c r="F28" s="69"/>
      <c r="G28" s="69"/>
      <c r="H28" s="2"/>
      <c r="N28" s="2"/>
      <c r="O28" s="2"/>
      <c r="Q28" s="69"/>
      <c r="R28" s="69"/>
      <c r="S28" s="2"/>
    </row>
    <row r="29" spans="1:19" hidden="1" outlineLevel="1" x14ac:dyDescent="0.2">
      <c r="C29" s="2"/>
      <c r="D29" s="2"/>
      <c r="F29" s="69"/>
      <c r="G29" s="69"/>
      <c r="H29" s="2"/>
      <c r="N29" s="2"/>
      <c r="O29" s="2"/>
      <c r="Q29" s="69"/>
      <c r="R29" s="69"/>
      <c r="S29" s="2"/>
    </row>
    <row r="30" spans="1:19" hidden="1" outlineLevel="1" x14ac:dyDescent="0.2">
      <c r="C30" s="2"/>
      <c r="D30" s="2"/>
      <c r="F30" s="69"/>
      <c r="G30" s="69"/>
      <c r="H30" s="2"/>
      <c r="N30" s="2"/>
      <c r="O30" s="2"/>
      <c r="Q30" s="69"/>
      <c r="R30" s="69"/>
      <c r="S30" s="2"/>
    </row>
    <row r="31" spans="1:19" hidden="1" outlineLevel="1" x14ac:dyDescent="0.2">
      <c r="C31" s="2"/>
      <c r="D31" s="2"/>
      <c r="F31" s="69"/>
      <c r="G31" s="69"/>
      <c r="H31" s="2"/>
      <c r="N31" s="2"/>
      <c r="O31" s="2"/>
      <c r="Q31" s="69"/>
      <c r="R31" s="69"/>
      <c r="S31" s="2"/>
    </row>
    <row r="32" spans="1:19" hidden="1" outlineLevel="1" x14ac:dyDescent="0.2">
      <c r="C32" s="2"/>
      <c r="D32" s="2"/>
      <c r="F32" s="69"/>
      <c r="G32" s="69"/>
      <c r="H32" s="2"/>
      <c r="N32" s="2"/>
      <c r="O32" s="2"/>
      <c r="Q32" s="69"/>
      <c r="R32" s="69"/>
      <c r="S32" s="2"/>
    </row>
    <row r="33" spans="1:173" hidden="1" outlineLevel="1" collapsed="1" x14ac:dyDescent="0.2">
      <c r="C33" s="2"/>
      <c r="D33" s="2"/>
      <c r="F33" s="69"/>
      <c r="G33" s="69"/>
      <c r="H33" s="2"/>
      <c r="N33" s="2"/>
      <c r="O33" s="2"/>
      <c r="Q33" s="69"/>
      <c r="R33" s="69"/>
      <c r="S33" s="2"/>
    </row>
    <row r="34" spans="1:173" hidden="1" outlineLevel="1" x14ac:dyDescent="0.2">
      <c r="D34" s="51"/>
      <c r="E34" s="51"/>
      <c r="N34" s="2"/>
      <c r="O34" s="2"/>
      <c r="Q34" s="69"/>
      <c r="R34" s="69"/>
      <c r="S34" s="2"/>
      <c r="T34" s="110">
        <f t="shared" ref="T34:Y34" si="0">COUNT(T42:T68)</f>
        <v>27</v>
      </c>
      <c r="U34" s="110">
        <f t="shared" si="0"/>
        <v>27</v>
      </c>
      <c r="V34" s="110">
        <f t="shared" si="0"/>
        <v>27</v>
      </c>
      <c r="W34" s="110">
        <f t="shared" si="0"/>
        <v>27</v>
      </c>
      <c r="X34" s="110">
        <f t="shared" si="0"/>
        <v>27</v>
      </c>
      <c r="Y34" s="110">
        <f t="shared" si="0"/>
        <v>27</v>
      </c>
    </row>
    <row r="35" spans="1:173" s="16" customFormat="1" ht="12.75" collapsed="1" thickBot="1" x14ac:dyDescent="0.25">
      <c r="F35" s="25"/>
      <c r="G35" s="26"/>
    </row>
    <row r="36" spans="1:173" s="6" customFormat="1" x14ac:dyDescent="0.2">
      <c r="F36" s="316"/>
      <c r="G36" s="317"/>
      <c r="S36" s="70" t="s">
        <v>244</v>
      </c>
      <c r="T36" s="383">
        <f t="shared" ref="T36:Y36" ca="1" si="1">SUMPRODUCT(OFFSET(T$41,1,0,_num_assets,1),OFFSET(curr_wts_start,1,0,_num_assets,1))</f>
        <v>0.24130000000000001</v>
      </c>
      <c r="U36" s="383">
        <f t="shared" ca="1" si="1"/>
        <v>0.4284</v>
      </c>
      <c r="V36" s="383">
        <f t="shared" ca="1" si="1"/>
        <v>0.17749999999999999</v>
      </c>
      <c r="W36" s="383">
        <f t="shared" ca="1" si="1"/>
        <v>5.2200000000000003E-2</v>
      </c>
      <c r="X36" s="383">
        <f t="shared" ca="1" si="1"/>
        <v>0.3795</v>
      </c>
      <c r="Y36" s="383">
        <f t="shared" ca="1" si="1"/>
        <v>6.3600000000000004E-2</v>
      </c>
    </row>
    <row r="37" spans="1:173" x14ac:dyDescent="0.2">
      <c r="F37" s="10"/>
      <c r="G37" s="7"/>
      <c r="L37" s="97">
        <f ca="1">SUM(OFFSET(curr_wts_start,1,0,_num_assets,1))</f>
        <v>0.99999999999999989</v>
      </c>
    </row>
    <row r="38" spans="1:173" x14ac:dyDescent="0.2">
      <c r="C38" s="1" t="s">
        <v>111</v>
      </c>
      <c r="E38" s="54" t="s">
        <v>65</v>
      </c>
      <c r="G38" s="10"/>
      <c r="H38" s="7"/>
      <c r="I38" s="54" t="s">
        <v>67</v>
      </c>
      <c r="L38" s="5" t="s">
        <v>78</v>
      </c>
      <c r="M38" s="5"/>
      <c r="N38" s="80" t="s">
        <v>85</v>
      </c>
      <c r="P38" s="5" t="s">
        <v>144</v>
      </c>
      <c r="T38" s="5" t="s">
        <v>104</v>
      </c>
      <c r="X38" s="109" t="s">
        <v>101</v>
      </c>
      <c r="Y38" s="72">
        <v>6</v>
      </c>
      <c r="AB38" s="5" t="s">
        <v>79</v>
      </c>
      <c r="AI38" s="5" t="s">
        <v>106</v>
      </c>
      <c r="AL38" s="5" t="s">
        <v>105</v>
      </c>
      <c r="AO38" s="109" t="s">
        <v>107</v>
      </c>
      <c r="AP38" s="72">
        <v>5</v>
      </c>
      <c r="AQ38" s="1" t="s">
        <v>286</v>
      </c>
      <c r="AR38" s="5">
        <v>11</v>
      </c>
      <c r="AU38" s="5" t="s">
        <v>125</v>
      </c>
      <c r="BH38" s="5" t="s">
        <v>90</v>
      </c>
      <c r="BK38" s="5" t="s">
        <v>71</v>
      </c>
      <c r="DJ38" s="5" t="s">
        <v>72</v>
      </c>
      <c r="DL38" s="27">
        <f>COLUMN(DJ42)-COLUMN(C42)</f>
        <v>111</v>
      </c>
      <c r="DM38" s="76" t="s">
        <v>91</v>
      </c>
      <c r="DO38" s="7"/>
      <c r="DQ38" s="7"/>
      <c r="DS38" s="7"/>
    </row>
    <row r="39" spans="1:173" x14ac:dyDescent="0.2">
      <c r="E39" s="54"/>
      <c r="G39" s="10"/>
      <c r="H39" s="7"/>
      <c r="I39" s="54"/>
      <c r="K39" s="11" t="s">
        <v>54</v>
      </c>
      <c r="L39" s="384">
        <f t="array" aca="1" ref="L39" ca="1">SQRT(MMULT(TRANSPOSE(OFFSET(curr_wts_start,1,0,_num_AL,1)),MMULT(inp_covar_AL,OFFSET(curr_wts_start,1,0,_num_AL,1))))</f>
        <v>6.2223286693266378E-2</v>
      </c>
      <c r="M39" s="98"/>
      <c r="N39" s="97" t="e">
        <f ca="1">SUM(OFFSET(calc_weights_start,1,0,_num_assets,1))</f>
        <v>#NAME?</v>
      </c>
      <c r="P39" s="7"/>
      <c r="Q39" s="7"/>
      <c r="S39" s="70" t="s">
        <v>232</v>
      </c>
      <c r="T39" s="103">
        <v>0.1489</v>
      </c>
      <c r="U39" s="104">
        <v>0.31540000000000001</v>
      </c>
      <c r="V39" s="104">
        <v>8.8349999999999998E-2</v>
      </c>
      <c r="W39" s="104">
        <v>4.9570000000000003E-2</v>
      </c>
      <c r="X39" s="104">
        <v>0.50936999999999999</v>
      </c>
      <c r="Y39" s="105">
        <v>0</v>
      </c>
      <c r="AB39" s="5"/>
      <c r="AI39" s="124">
        <v>0</v>
      </c>
      <c r="AJ39" s="125">
        <v>0</v>
      </c>
      <c r="AK39" s="125">
        <v>0</v>
      </c>
      <c r="AL39" s="125">
        <v>0</v>
      </c>
      <c r="AM39" s="125">
        <v>0</v>
      </c>
      <c r="AN39" s="125">
        <v>0</v>
      </c>
      <c r="AO39" s="125">
        <v>0</v>
      </c>
      <c r="AP39" s="125">
        <v>0</v>
      </c>
      <c r="AQ39" s="125">
        <v>0</v>
      </c>
      <c r="AR39" s="125">
        <v>0</v>
      </c>
      <c r="AS39" s="126">
        <v>0</v>
      </c>
      <c r="BH39" s="7"/>
      <c r="BI39" s="7"/>
      <c r="BK39" s="7"/>
      <c r="DJ39" s="7"/>
    </row>
    <row r="40" spans="1:173" x14ac:dyDescent="0.2">
      <c r="D40" s="2"/>
      <c r="F40" s="2"/>
      <c r="G40" s="2"/>
      <c r="H40" s="2"/>
      <c r="J40" s="2"/>
      <c r="K40" s="11" t="s">
        <v>81</v>
      </c>
      <c r="L40" s="385">
        <f ca="1">SUMPRODUCT(OFFSET(curr_wts_start,1,0,_num_AL,1),model_TR_AL)</f>
        <v>2.0637409999999998E-2</v>
      </c>
      <c r="P40" s="2" t="s">
        <v>26</v>
      </c>
      <c r="Q40" s="2" t="s">
        <v>27</v>
      </c>
      <c r="S40" s="70" t="s">
        <v>233</v>
      </c>
      <c r="T40" s="106">
        <v>1</v>
      </c>
      <c r="U40" s="107">
        <v>1</v>
      </c>
      <c r="V40" s="107">
        <v>1</v>
      </c>
      <c r="W40" s="107">
        <v>1</v>
      </c>
      <c r="X40" s="107">
        <v>1</v>
      </c>
      <c r="Y40" s="108">
        <v>5.3179999999999998E-2</v>
      </c>
      <c r="AF40" s="1" t="s">
        <v>93</v>
      </c>
      <c r="AI40" s="121">
        <v>1</v>
      </c>
      <c r="AJ40" s="122">
        <v>0.19551597434895515</v>
      </c>
      <c r="AK40" s="122">
        <v>1</v>
      </c>
      <c r="AL40" s="122">
        <v>0.22093290113989908</v>
      </c>
      <c r="AM40" s="122">
        <v>0.22701464437875163</v>
      </c>
      <c r="AN40" s="122">
        <v>0.15598799040933911</v>
      </c>
      <c r="AO40" s="122">
        <v>6.5801500326622311E-2</v>
      </c>
      <c r="AP40" s="122">
        <v>5.722450526091194E-2</v>
      </c>
      <c r="AQ40" s="122">
        <v>3.1032483561214762E-2</v>
      </c>
      <c r="AR40" s="122">
        <v>0</v>
      </c>
      <c r="AS40" s="123">
        <v>0.2176925929691195</v>
      </c>
      <c r="AT40" s="6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H40" s="2" t="str">
        <f>LEFT(inp_type_tr,6)&amp;" TR"</f>
        <v>Expect TR</v>
      </c>
      <c r="BI40" s="2" t="str">
        <f>LEFT(inp_type_tr,6)&amp;" Vol"</f>
        <v>Expect Vol</v>
      </c>
      <c r="BK40" s="77">
        <v>1</v>
      </c>
      <c r="BL40" s="78">
        <f t="shared" ref="BL40:DH40" si="2">BK40+1</f>
        <v>2</v>
      </c>
      <c r="BM40" s="78">
        <f t="shared" si="2"/>
        <v>3</v>
      </c>
      <c r="BN40" s="78">
        <f t="shared" si="2"/>
        <v>4</v>
      </c>
      <c r="BO40" s="78">
        <f t="shared" si="2"/>
        <v>5</v>
      </c>
      <c r="BP40" s="78">
        <f t="shared" si="2"/>
        <v>6</v>
      </c>
      <c r="BQ40" s="78">
        <f t="shared" si="2"/>
        <v>7</v>
      </c>
      <c r="BR40" s="78">
        <f t="shared" si="2"/>
        <v>8</v>
      </c>
      <c r="BS40" s="78">
        <f t="shared" si="2"/>
        <v>9</v>
      </c>
      <c r="BT40" s="78">
        <f t="shared" si="2"/>
        <v>10</v>
      </c>
      <c r="BU40" s="78">
        <f t="shared" si="2"/>
        <v>11</v>
      </c>
      <c r="BV40" s="78">
        <f t="shared" si="2"/>
        <v>12</v>
      </c>
      <c r="BW40" s="78">
        <f t="shared" si="2"/>
        <v>13</v>
      </c>
      <c r="BX40" s="78">
        <f t="shared" si="2"/>
        <v>14</v>
      </c>
      <c r="BY40" s="78">
        <f t="shared" si="2"/>
        <v>15</v>
      </c>
      <c r="BZ40" s="78">
        <f t="shared" si="2"/>
        <v>16</v>
      </c>
      <c r="CA40" s="78">
        <f t="shared" si="2"/>
        <v>17</v>
      </c>
      <c r="CB40" s="78">
        <f t="shared" si="2"/>
        <v>18</v>
      </c>
      <c r="CC40" s="78">
        <f t="shared" si="2"/>
        <v>19</v>
      </c>
      <c r="CD40" s="78">
        <f t="shared" si="2"/>
        <v>20</v>
      </c>
      <c r="CE40" s="78">
        <f t="shared" si="2"/>
        <v>21</v>
      </c>
      <c r="CF40" s="78">
        <f t="shared" si="2"/>
        <v>22</v>
      </c>
      <c r="CG40" s="78">
        <f t="shared" si="2"/>
        <v>23</v>
      </c>
      <c r="CH40" s="78">
        <f t="shared" si="2"/>
        <v>24</v>
      </c>
      <c r="CI40" s="78">
        <f t="shared" si="2"/>
        <v>25</v>
      </c>
      <c r="CJ40" s="78">
        <f t="shared" si="2"/>
        <v>26</v>
      </c>
      <c r="CK40" s="78">
        <f t="shared" si="2"/>
        <v>27</v>
      </c>
      <c r="CL40" s="78">
        <f t="shared" si="2"/>
        <v>28</v>
      </c>
      <c r="CM40" s="78">
        <f t="shared" si="2"/>
        <v>29</v>
      </c>
      <c r="CN40" s="78">
        <f t="shared" si="2"/>
        <v>30</v>
      </c>
      <c r="CO40" s="78">
        <f t="shared" si="2"/>
        <v>31</v>
      </c>
      <c r="CP40" s="78">
        <f t="shared" si="2"/>
        <v>32</v>
      </c>
      <c r="CQ40" s="78">
        <f t="shared" si="2"/>
        <v>33</v>
      </c>
      <c r="CR40" s="78">
        <f t="shared" si="2"/>
        <v>34</v>
      </c>
      <c r="CS40" s="78">
        <f t="shared" si="2"/>
        <v>35</v>
      </c>
      <c r="CT40" s="78">
        <f t="shared" si="2"/>
        <v>36</v>
      </c>
      <c r="CU40" s="78">
        <f t="shared" si="2"/>
        <v>37</v>
      </c>
      <c r="CV40" s="78">
        <f t="shared" si="2"/>
        <v>38</v>
      </c>
      <c r="CW40" s="78">
        <f t="shared" si="2"/>
        <v>39</v>
      </c>
      <c r="CX40" s="78">
        <f t="shared" si="2"/>
        <v>40</v>
      </c>
      <c r="CY40" s="78">
        <f t="shared" si="2"/>
        <v>41</v>
      </c>
      <c r="CZ40" s="78">
        <f t="shared" si="2"/>
        <v>42</v>
      </c>
      <c r="DA40" s="78">
        <f t="shared" si="2"/>
        <v>43</v>
      </c>
      <c r="DB40" s="78">
        <f t="shared" si="2"/>
        <v>44</v>
      </c>
      <c r="DC40" s="78">
        <f t="shared" si="2"/>
        <v>45</v>
      </c>
      <c r="DD40" s="78">
        <f t="shared" si="2"/>
        <v>46</v>
      </c>
      <c r="DE40" s="78">
        <f t="shared" si="2"/>
        <v>47</v>
      </c>
      <c r="DF40" s="78">
        <f t="shared" si="2"/>
        <v>48</v>
      </c>
      <c r="DG40" s="78">
        <f t="shared" si="2"/>
        <v>49</v>
      </c>
      <c r="DH40" s="79">
        <f t="shared" si="2"/>
        <v>50</v>
      </c>
      <c r="DJ40" s="77">
        <v>1</v>
      </c>
      <c r="DK40" s="78">
        <f t="shared" ref="DK40:FG40" si="3">DJ40+1</f>
        <v>2</v>
      </c>
      <c r="DL40" s="78">
        <f t="shared" si="3"/>
        <v>3</v>
      </c>
      <c r="DM40" s="78">
        <f t="shared" si="3"/>
        <v>4</v>
      </c>
      <c r="DN40" s="78">
        <f t="shared" si="3"/>
        <v>5</v>
      </c>
      <c r="DO40" s="78">
        <f t="shared" si="3"/>
        <v>6</v>
      </c>
      <c r="DP40" s="78">
        <f t="shared" si="3"/>
        <v>7</v>
      </c>
      <c r="DQ40" s="78">
        <f t="shared" si="3"/>
        <v>8</v>
      </c>
      <c r="DR40" s="78">
        <f t="shared" si="3"/>
        <v>9</v>
      </c>
      <c r="DS40" s="78">
        <f t="shared" si="3"/>
        <v>10</v>
      </c>
      <c r="DT40" s="78">
        <f t="shared" si="3"/>
        <v>11</v>
      </c>
      <c r="DU40" s="78">
        <f t="shared" si="3"/>
        <v>12</v>
      </c>
      <c r="DV40" s="78">
        <f t="shared" si="3"/>
        <v>13</v>
      </c>
      <c r="DW40" s="78">
        <f t="shared" si="3"/>
        <v>14</v>
      </c>
      <c r="DX40" s="78">
        <f t="shared" si="3"/>
        <v>15</v>
      </c>
      <c r="DY40" s="78">
        <f t="shared" si="3"/>
        <v>16</v>
      </c>
      <c r="DZ40" s="78">
        <f t="shared" si="3"/>
        <v>17</v>
      </c>
      <c r="EA40" s="78">
        <f t="shared" si="3"/>
        <v>18</v>
      </c>
      <c r="EB40" s="78">
        <f t="shared" si="3"/>
        <v>19</v>
      </c>
      <c r="EC40" s="78">
        <f t="shared" si="3"/>
        <v>20</v>
      </c>
      <c r="ED40" s="78">
        <f t="shared" si="3"/>
        <v>21</v>
      </c>
      <c r="EE40" s="78">
        <f t="shared" si="3"/>
        <v>22</v>
      </c>
      <c r="EF40" s="78">
        <f t="shared" si="3"/>
        <v>23</v>
      </c>
      <c r="EG40" s="78">
        <f t="shared" si="3"/>
        <v>24</v>
      </c>
      <c r="EH40" s="78">
        <f t="shared" si="3"/>
        <v>25</v>
      </c>
      <c r="EI40" s="78">
        <f t="shared" si="3"/>
        <v>26</v>
      </c>
      <c r="EJ40" s="78">
        <f t="shared" si="3"/>
        <v>27</v>
      </c>
      <c r="EK40" s="78">
        <f t="shared" si="3"/>
        <v>28</v>
      </c>
      <c r="EL40" s="78">
        <f t="shared" si="3"/>
        <v>29</v>
      </c>
      <c r="EM40" s="78">
        <f t="shared" si="3"/>
        <v>30</v>
      </c>
      <c r="EN40" s="78">
        <f t="shared" si="3"/>
        <v>31</v>
      </c>
      <c r="EO40" s="78">
        <f t="shared" si="3"/>
        <v>32</v>
      </c>
      <c r="EP40" s="78">
        <f t="shared" si="3"/>
        <v>33</v>
      </c>
      <c r="EQ40" s="78">
        <f t="shared" si="3"/>
        <v>34</v>
      </c>
      <c r="ER40" s="78">
        <f t="shared" si="3"/>
        <v>35</v>
      </c>
      <c r="ES40" s="78">
        <f t="shared" si="3"/>
        <v>36</v>
      </c>
      <c r="ET40" s="78">
        <f t="shared" si="3"/>
        <v>37</v>
      </c>
      <c r="EU40" s="78">
        <f t="shared" si="3"/>
        <v>38</v>
      </c>
      <c r="EV40" s="78">
        <f t="shared" si="3"/>
        <v>39</v>
      </c>
      <c r="EW40" s="78">
        <f t="shared" si="3"/>
        <v>40</v>
      </c>
      <c r="EX40" s="78">
        <f t="shared" si="3"/>
        <v>41</v>
      </c>
      <c r="EY40" s="78">
        <f t="shared" si="3"/>
        <v>42</v>
      </c>
      <c r="EZ40" s="78">
        <f t="shared" si="3"/>
        <v>43</v>
      </c>
      <c r="FA40" s="78">
        <f t="shared" si="3"/>
        <v>44</v>
      </c>
      <c r="FB40" s="78">
        <f t="shared" si="3"/>
        <v>45</v>
      </c>
      <c r="FC40" s="78">
        <f t="shared" si="3"/>
        <v>46</v>
      </c>
      <c r="FD40" s="78">
        <f t="shared" si="3"/>
        <v>47</v>
      </c>
      <c r="FE40" s="78">
        <f t="shared" si="3"/>
        <v>48</v>
      </c>
      <c r="FF40" s="78">
        <f t="shared" si="3"/>
        <v>49</v>
      </c>
      <c r="FG40" s="79">
        <f t="shared" si="3"/>
        <v>50</v>
      </c>
      <c r="FL40" s="24" t="s">
        <v>102</v>
      </c>
    </row>
    <row r="41" spans="1:173" ht="12.75" thickBot="1" x14ac:dyDescent="0.25">
      <c r="A41" s="3" t="s">
        <v>59</v>
      </c>
      <c r="B41" s="3" t="s">
        <v>66</v>
      </c>
      <c r="C41" s="127" t="s">
        <v>112</v>
      </c>
      <c r="D41" s="12"/>
      <c r="E41" s="3" t="s">
        <v>63</v>
      </c>
      <c r="F41" s="3" t="s">
        <v>64</v>
      </c>
      <c r="G41" s="3" t="s">
        <v>69</v>
      </c>
      <c r="I41" s="3" t="s">
        <v>68</v>
      </c>
      <c r="J41" s="3" t="s">
        <v>58</v>
      </c>
      <c r="L41" s="74" t="s">
        <v>145</v>
      </c>
      <c r="M41" s="7"/>
      <c r="N41" s="75" t="s">
        <v>117</v>
      </c>
      <c r="P41" s="73" t="s">
        <v>87</v>
      </c>
      <c r="Q41" s="73" t="s">
        <v>88</v>
      </c>
      <c r="R41" s="52"/>
      <c r="T41" s="425" t="s">
        <v>73</v>
      </c>
      <c r="U41" s="425" t="s">
        <v>74</v>
      </c>
      <c r="V41" s="425" t="s">
        <v>75</v>
      </c>
      <c r="W41" s="425" t="s">
        <v>76</v>
      </c>
      <c r="X41" s="425" t="s">
        <v>28</v>
      </c>
      <c r="Y41" s="425" t="s">
        <v>77</v>
      </c>
      <c r="AB41" s="3" t="s">
        <v>55</v>
      </c>
      <c r="AC41" s="3" t="s">
        <v>52</v>
      </c>
      <c r="AD41" s="3" t="s">
        <v>70</v>
      </c>
      <c r="AE41" s="3" t="s">
        <v>92</v>
      </c>
      <c r="AF41" s="12" t="s">
        <v>94</v>
      </c>
      <c r="AH41" s="74" t="s">
        <v>108</v>
      </c>
      <c r="AI41" s="379" t="str">
        <f ca="1">INDEX($C$42:$C$91,MATCH(1,AI42:AI91,0),0)</f>
        <v>US LC Equ</v>
      </c>
      <c r="AJ41" s="379" t="str">
        <f t="shared" ref="AJ41:AS41" ca="1" si="4">INDEX($C$42:$C$91,MATCH(1,AJ42:AJ91,0),0)</f>
        <v>US S/M Equ</v>
      </c>
      <c r="AK41" s="379" t="str">
        <f t="shared" ca="1" si="4"/>
        <v>Can Equ</v>
      </c>
      <c r="AL41" s="379" t="str">
        <f t="shared" ca="1" si="4"/>
        <v>Jpn Equ</v>
      </c>
      <c r="AM41" s="379" t="str">
        <f t="shared" ca="1" si="4"/>
        <v>EMU Equ</v>
      </c>
      <c r="AN41" s="379" t="str">
        <f t="shared" ca="1" si="4"/>
        <v>UK Equ</v>
      </c>
      <c r="AO41" s="379" t="str">
        <f t="shared" ca="1" si="4"/>
        <v>Swiss Equ</v>
      </c>
      <c r="AP41" s="379" t="str">
        <f t="shared" ca="1" si="4"/>
        <v>Austr Equ</v>
      </c>
      <c r="AQ41" s="379" t="str">
        <f t="shared" ca="1" si="4"/>
        <v>DevAsia Equ</v>
      </c>
      <c r="AR41" s="379" t="str">
        <f t="shared" ca="1" si="4"/>
        <v>EmgAsia Equ</v>
      </c>
      <c r="AS41" s="379" t="str">
        <f t="shared" ca="1" si="4"/>
        <v>EmgWorld Equ</v>
      </c>
      <c r="AT41" s="379"/>
      <c r="AU41" s="379" t="s">
        <v>275</v>
      </c>
      <c r="AV41" s="379" t="s">
        <v>276</v>
      </c>
      <c r="AW41" s="379" t="s">
        <v>277</v>
      </c>
      <c r="AX41" s="379" t="s">
        <v>278</v>
      </c>
      <c r="AY41" s="379" t="s">
        <v>279</v>
      </c>
      <c r="AZ41" s="379" t="s">
        <v>280</v>
      </c>
      <c r="BA41" s="379" t="s">
        <v>281</v>
      </c>
      <c r="BB41" s="379" t="s">
        <v>282</v>
      </c>
      <c r="BC41" s="379" t="s">
        <v>283</v>
      </c>
      <c r="BD41" s="379" t="s">
        <v>284</v>
      </c>
      <c r="BE41" s="379" t="s">
        <v>285</v>
      </c>
      <c r="BH41" s="7" t="s">
        <v>82</v>
      </c>
      <c r="BI41" s="7" t="s">
        <v>89</v>
      </c>
      <c r="BK41" s="7" t="s">
        <v>83</v>
      </c>
      <c r="DJ41" s="7" t="s">
        <v>84</v>
      </c>
    </row>
    <row r="42" spans="1:173" ht="12.75" thickTop="1" x14ac:dyDescent="0.2">
      <c r="A42" s="51" t="str">
        <f t="shared" ref="A42" ca="1" si="5">INDEX(Historical_Data_Names,3,B42)</f>
        <v>A</v>
      </c>
      <c r="B42" s="55">
        <v>1</v>
      </c>
      <c r="C42" s="11" t="str">
        <f t="shared" ref="C42" ca="1" si="6">INDEX(Historical_Data_Names,2,B42)</f>
        <v>Cash</v>
      </c>
      <c r="D42" s="11"/>
      <c r="E42" s="13">
        <f t="shared" ref="E42" ca="1" si="7">AVERAGE(OFFSET(Historical_Data_Start,date_start_row,$B42,date_rows,1))*4</f>
        <v>5.8025348709605483E-2</v>
      </c>
      <c r="F42" s="13">
        <f t="array" aca="1" ref="F42" ca="1">PRODUCT(1+OFFSET(Historical_Data_Start,date_start_row,$B42,date_rows,1))^(4/date_rows)-1</f>
        <v>5.9041375168648935E-2</v>
      </c>
      <c r="G42" s="13">
        <f t="shared" ref="G42" ca="1" si="8">STDEV(OFFSET(Historical_Data_Start,date_start_row,$B42,date_rows,1))*2</f>
        <v>2.2578402730924652E-2</v>
      </c>
      <c r="I42" s="19">
        <v>0.02</v>
      </c>
      <c r="J42" s="19">
        <v>0.01</v>
      </c>
      <c r="K42" s="198"/>
      <c r="L42" s="19">
        <v>5.3200000000000004E-2</v>
      </c>
      <c r="N42" s="81">
        <v>1.06E-2</v>
      </c>
      <c r="P42" s="49">
        <v>1.06E-2</v>
      </c>
      <c r="Q42" s="84">
        <v>1</v>
      </c>
      <c r="R42" s="49"/>
      <c r="S42" s="226"/>
      <c r="T42" s="410">
        <v>0</v>
      </c>
      <c r="U42" s="410">
        <v>1</v>
      </c>
      <c r="V42" s="410">
        <v>1</v>
      </c>
      <c r="W42" s="410">
        <v>0</v>
      </c>
      <c r="X42" s="410">
        <v>0</v>
      </c>
      <c r="Y42" s="410">
        <v>0</v>
      </c>
      <c r="AI42" s="117">
        <v>0</v>
      </c>
      <c r="AJ42" s="117">
        <v>0</v>
      </c>
      <c r="AK42" s="117">
        <v>0</v>
      </c>
      <c r="AL42" s="117">
        <v>0</v>
      </c>
      <c r="AM42" s="117">
        <v>0</v>
      </c>
      <c r="AN42" s="117">
        <v>0</v>
      </c>
      <c r="AO42" s="117">
        <v>0</v>
      </c>
      <c r="AP42" s="117">
        <v>0</v>
      </c>
      <c r="AQ42" s="117">
        <v>0</v>
      </c>
      <c r="AR42" s="117">
        <v>0</v>
      </c>
      <c r="AS42" s="117">
        <v>0</v>
      </c>
      <c r="AU42" s="117">
        <v>0</v>
      </c>
      <c r="AV42" s="117">
        <v>0</v>
      </c>
      <c r="AW42" s="117">
        <v>0</v>
      </c>
      <c r="AX42" s="117">
        <v>0</v>
      </c>
      <c r="AY42" s="117">
        <v>0</v>
      </c>
      <c r="AZ42" s="117">
        <v>0</v>
      </c>
      <c r="BA42" s="117">
        <v>0</v>
      </c>
      <c r="BB42" s="117">
        <v>0</v>
      </c>
      <c r="BC42" s="117">
        <v>0</v>
      </c>
      <c r="BD42" s="117">
        <v>0</v>
      </c>
      <c r="BE42" s="117">
        <v>0</v>
      </c>
      <c r="BG42" s="1" t="str">
        <f t="shared" ref="BG42:BG68" ca="1" si="9">C42</f>
        <v>Cash</v>
      </c>
      <c r="BH42" s="37">
        <f t="shared" ref="BH42:BH73" si="10">IF(LEFT(inp_type_tr,8)="Expected",I42,IF(LEFT(inp_type_tr,10)="Historical",E42,"??"))</f>
        <v>0.02</v>
      </c>
      <c r="BI42" s="37">
        <f t="shared" ref="BI42:BI73" si="11">IF(LEFT(inp_type_tr,8)="Expected",J42,IF(LEFT(inp_type_tr,10)="Historical",G42,"??"))</f>
        <v>0.01</v>
      </c>
      <c r="BK42" s="28">
        <f ca="1">CORREL(OFFSET(Historical_Data_Start,date_start_row,$B42,date_rows,1),OFFSET(Historical_Data_Start,date_start_row,Calculations!BK$40,date_rows,1))</f>
        <v>1.0000000000000002</v>
      </c>
      <c r="BL42" s="29">
        <f ca="1">CORREL(OFFSET(Historical_Data_Start,date_start_row,$B42,date_rows,1),OFFSET(Historical_Data_Start,date_start_row,Calculations!BL$40,date_rows,1))</f>
        <v>0.36596611707604654</v>
      </c>
      <c r="BM42" s="29">
        <f ca="1">CORREL(OFFSET(Historical_Data_Start,date_start_row,$B42,date_rows,1),OFFSET(Historical_Data_Start,date_start_row,Calculations!BM$40,date_rows,1))</f>
        <v>0.11634255493011399</v>
      </c>
      <c r="BN42" s="29">
        <f ca="1">CORREL(OFFSET(Historical_Data_Start,date_start_row,$B42,date_rows,1),OFFSET(Historical_Data_Start,date_start_row,Calculations!BN$40,date_rows,1))</f>
        <v>0.26959608450583117</v>
      </c>
      <c r="BO42" s="29">
        <f ca="1">CORREL(OFFSET(Historical_Data_Start,date_start_row,$B42,date_rows,1),OFFSET(Historical_Data_Start,date_start_row,Calculations!BO$40,date_rows,1))</f>
        <v>0.13077543144256257</v>
      </c>
      <c r="BP42" s="29">
        <f ca="1">CORREL(OFFSET(Historical_Data_Start,date_start_row,$B42,date_rows,1),OFFSET(Historical_Data_Start,date_start_row,Calculations!BP$40,date_rows,1))</f>
        <v>0.19565910680441734</v>
      </c>
      <c r="BQ42" s="29">
        <f ca="1">CORREL(OFFSET(Historical_Data_Start,date_start_row,$B42,date_rows,1),OFFSET(Historical_Data_Start,date_start_row,Calculations!BQ$40,date_rows,1))</f>
        <v>0.11736873326682244</v>
      </c>
      <c r="BR42" s="29">
        <f ca="1">CORREL(OFFSET(Historical_Data_Start,date_start_row,$B42,date_rows,1),OFFSET(Historical_Data_Start,date_start_row,Calculations!BR$40,date_rows,1))</f>
        <v>0.16180689345836685</v>
      </c>
      <c r="BS42" s="29">
        <f ca="1">CORREL(OFFSET(Historical_Data_Start,date_start_row,$B42,date_rows,1),OFFSET(Historical_Data_Start,date_start_row,Calculations!BS$40,date_rows,1))</f>
        <v>8.9073380248520698E-2</v>
      </c>
      <c r="BT42" s="29">
        <f ca="1">CORREL(OFFSET(Historical_Data_Start,date_start_row,$B42,date_rows,1),OFFSET(Historical_Data_Start,date_start_row,Calculations!BT$40,date_rows,1))</f>
        <v>0.20100221422735046</v>
      </c>
      <c r="BU42" s="29">
        <f ca="1">CORREL(OFFSET(Historical_Data_Start,date_start_row,$B42,date_rows,1),OFFSET(Historical_Data_Start,date_start_row,Calculations!BU$40,date_rows,1))</f>
        <v>5.1143212054391311E-2</v>
      </c>
      <c r="BV42" s="29">
        <f ca="1">CORREL(OFFSET(Historical_Data_Start,date_start_row,$B42,date_rows,1),OFFSET(Historical_Data_Start,date_start_row,Calculations!BV$40,date_rows,1))</f>
        <v>2.1310537816824234E-2</v>
      </c>
      <c r="BW42" s="29">
        <f ca="1">CORREL(OFFSET(Historical_Data_Start,date_start_row,$B42,date_rows,1),OFFSET(Historical_Data_Start,date_start_row,Calculations!BW$40,date_rows,1))</f>
        <v>-3.248705088113308E-2</v>
      </c>
      <c r="BX42" s="29">
        <f ca="1">CORREL(OFFSET(Historical_Data_Start,date_start_row,$B42,date_rows,1),OFFSET(Historical_Data_Start,date_start_row,Calculations!BX$40,date_rows,1))</f>
        <v>5.771582069275305E-2</v>
      </c>
      <c r="BY42" s="29">
        <f ca="1">CORREL(OFFSET(Historical_Data_Start,date_start_row,$B42,date_rows,1),OFFSET(Historical_Data_Start,date_start_row,Calculations!BY$40,date_rows,1))</f>
        <v>1.0631955187593535E-2</v>
      </c>
      <c r="BZ42" s="29">
        <f ca="1">CORREL(OFFSET(Historical_Data_Start,date_start_row,$B42,date_rows,1),OFFSET(Historical_Data_Start,date_start_row,Calculations!BZ$40,date_rows,1))</f>
        <v>8.012125430810714E-2</v>
      </c>
      <c r="CA42" s="29">
        <f ca="1">CORREL(OFFSET(Historical_Data_Start,date_start_row,$B42,date_rows,1),OFFSET(Historical_Data_Start,date_start_row,Calculations!CA$40,date_rows,1))</f>
        <v>-3.9269837299391284E-2</v>
      </c>
      <c r="CB42" s="29">
        <f ca="1">CORREL(OFFSET(Historical_Data_Start,date_start_row,$B42,date_rows,1),OFFSET(Historical_Data_Start,date_start_row,Calculations!CB$40,date_rows,1))</f>
        <v>-5.2838858827799276E-2</v>
      </c>
      <c r="CC42" s="29">
        <f ca="1">CORREL(OFFSET(Historical_Data_Start,date_start_row,$B42,date_rows,1),OFFSET(Historical_Data_Start,date_start_row,Calculations!CC$40,date_rows,1))</f>
        <v>2.312244973497558E-2</v>
      </c>
      <c r="CD42" s="29">
        <f ca="1">CORREL(OFFSET(Historical_Data_Start,date_start_row,$B42,date_rows,1),OFFSET(Historical_Data_Start,date_start_row,Calculations!CD$40,date_rows,1))</f>
        <v>-3.2193406837460413E-3</v>
      </c>
      <c r="CE42" s="29">
        <f ca="1">CORREL(OFFSET(Historical_Data_Start,date_start_row,$B42,date_rows,1),OFFSET(Historical_Data_Start,date_start_row,Calculations!CE$40,date_rows,1))</f>
        <v>-2.0912324143534371E-3</v>
      </c>
      <c r="CF42" s="29">
        <f ca="1">CORREL(OFFSET(Historical_Data_Start,date_start_row,$B42,date_rows,1),OFFSET(Historical_Data_Start,date_start_row,Calculations!CF$40,date_rows,1))</f>
        <v>7.767135767991909E-2</v>
      </c>
      <c r="CG42" s="29">
        <f ca="1">CORREL(OFFSET(Historical_Data_Start,date_start_row,$B42,date_rows,1),OFFSET(Historical_Data_Start,date_start_row,Calculations!CG$40,date_rows,1))</f>
        <v>0.26632955210823678</v>
      </c>
      <c r="CH42" s="29">
        <f ca="1">CORREL(OFFSET(Historical_Data_Start,date_start_row,$B42,date_rows,1),OFFSET(Historical_Data_Start,date_start_row,Calculations!CH$40,date_rows,1))</f>
        <v>-0.10624475594294265</v>
      </c>
      <c r="CI42" s="29">
        <f ca="1">CORREL(OFFSET(Historical_Data_Start,date_start_row,$B42,date_rows,1),OFFSET(Historical_Data_Start,date_start_row,Calculations!CI$40,date_rows,1))</f>
        <v>-9.1216923391639781E-2</v>
      </c>
      <c r="CJ42" s="29">
        <f ca="1">CORREL(OFFSET(Historical_Data_Start,date_start_row,$B42,date_rows,1),OFFSET(Historical_Data_Start,date_start_row,Calculations!CJ$40,date_rows,1))</f>
        <v>0.37858070131545463</v>
      </c>
      <c r="CK42" s="29">
        <f ca="1">CORREL(OFFSET(Historical_Data_Start,date_start_row,$B42,date_rows,1),OFFSET(Historical_Data_Start,date_start_row,Calculations!CK$40,date_rows,1))</f>
        <v>-0.35704161670427093</v>
      </c>
      <c r="CL42" s="29">
        <f ca="1">CORREL(OFFSET(Historical_Data_Start,date_start_row,$B42,date_rows,1),OFFSET(Historical_Data_Start,date_start_row,Calculations!CL$40,date_rows,1))</f>
        <v>0.99999998705681237</v>
      </c>
      <c r="CM42" s="29">
        <f ca="1">CORREL(OFFSET(Historical_Data_Start,date_start_row,$B42,date_rows,1),OFFSET(Historical_Data_Start,date_start_row,Calculations!CM$40,date_rows,1))</f>
        <v>0.36596611707604654</v>
      </c>
      <c r="CN42" s="29">
        <f ca="1">CORREL(OFFSET(Historical_Data_Start,date_start_row,$B42,date_rows,1),OFFSET(Historical_Data_Start,date_start_row,Calculations!CN$40,date_rows,1))</f>
        <v>0.11634255493011399</v>
      </c>
      <c r="CO42" s="29">
        <f ca="1">CORREL(OFFSET(Historical_Data_Start,date_start_row,$B42,date_rows,1),OFFSET(Historical_Data_Start,date_start_row,Calculations!CO$40,date_rows,1))</f>
        <v>0.19565910680441734</v>
      </c>
      <c r="CP42" s="29">
        <f ca="1">CORREL(OFFSET(Historical_Data_Start,date_start_row,$B42,date_rows,1),OFFSET(Historical_Data_Start,date_start_row,Calculations!CP$40,date_rows,1))</f>
        <v>0.11736873326682244</v>
      </c>
      <c r="CQ42" s="29">
        <f ca="1">CORREL(OFFSET(Historical_Data_Start,date_start_row,$B42,date_rows,1),OFFSET(Historical_Data_Start,date_start_row,Calculations!CQ$40,date_rows,1))</f>
        <v>3.2837345543849726E-2</v>
      </c>
      <c r="CR42" s="29">
        <f ca="1">CORREL(OFFSET(Historical_Data_Start,date_start_row,$B42,date_rows,1),OFFSET(Historical_Data_Start,date_start_row,Calculations!CR$40,date_rows,1))</f>
        <v>3.7749649570212714E-2</v>
      </c>
      <c r="CS42" s="29">
        <f ca="1">CORREL(OFFSET(Historical_Data_Start,date_start_row,$B42,date_rows,1),OFFSET(Historical_Data_Start,date_start_row,Calculations!CS$40,date_rows,1))</f>
        <v>0.10558814215066664</v>
      </c>
      <c r="CT42" s="29">
        <f ca="1">CORREL(OFFSET(Historical_Data_Start,date_start_row,$B42,date_rows,1),OFFSET(Historical_Data_Start,date_start_row,Calculations!CT$40,date_rows,1))</f>
        <v>-0.27340382817043951</v>
      </c>
      <c r="CU42" s="29">
        <f ca="1">CORREL(OFFSET(Historical_Data_Start,date_start_row,$B42,date_rows,1),OFFSET(Historical_Data_Start,date_start_row,Calculations!CU$40,date_rows,1))</f>
        <v>-0.1765991868937748</v>
      </c>
      <c r="CV42" s="29">
        <f ca="1">CORREL(OFFSET(Historical_Data_Start,date_start_row,$B42,date_rows,1),OFFSET(Historical_Data_Start,date_start_row,Calculations!CV$40,date_rows,1))</f>
        <v>-0.10430298543482437</v>
      </c>
      <c r="CW42" s="29">
        <f ca="1">CORREL(OFFSET(Historical_Data_Start,date_start_row,$B42,date_rows,1),OFFSET(Historical_Data_Start,date_start_row,Calculations!CW$40,date_rows,1))</f>
        <v>-4.4831564924319937E-2</v>
      </c>
      <c r="CX42" s="29">
        <f ca="1">CORREL(OFFSET(Historical_Data_Start,date_start_row,$B42,date_rows,1),OFFSET(Historical_Data_Start,date_start_row,Calculations!CX$40,date_rows,1))</f>
        <v>-1.6668125130691287E-2</v>
      </c>
      <c r="CY42" s="29">
        <f ca="1">CORREL(OFFSET(Historical_Data_Start,date_start_row,$B42,date_rows,1),OFFSET(Historical_Data_Start,date_start_row,Calculations!CY$40,date_rows,1))</f>
        <v>3.248705088113308E-2</v>
      </c>
      <c r="CZ42" s="29">
        <f ca="1">CORREL(OFFSET(Historical_Data_Start,date_start_row,$B42,date_rows,1),OFFSET(Historical_Data_Start,date_start_row,Calculations!CZ$40,date_rows,1))</f>
        <v>-5.7925816900985763E-2</v>
      </c>
      <c r="DA42" s="29">
        <f ca="1">CORREL(OFFSET(Historical_Data_Start,date_start_row,$B42,date_rows,1),OFFSET(Historical_Data_Start,date_start_row,Calculations!DA$40,date_rows,1))</f>
        <v>-7.4304904788299363E-3</v>
      </c>
      <c r="DB42" s="29">
        <f ca="1">CORREL(OFFSET(Historical_Data_Start,date_start_row,$B42,date_rows,1),OFFSET(Historical_Data_Start,date_start_row,Calculations!DB$40,date_rows,1))</f>
        <v>-7.1777945635929347E-2</v>
      </c>
      <c r="DC42" s="29">
        <f ca="1">CORREL(OFFSET(Historical_Data_Start,date_start_row,$B42,date_rows,1),OFFSET(Historical_Data_Start,date_start_row,Calculations!DC$40,date_rows,1))</f>
        <v>4.0018000590091855E-2</v>
      </c>
      <c r="DD42" s="29">
        <f ca="1">CORREL(OFFSET(Historical_Data_Start,date_start_row,$B42,date_rows,1),OFFSET(Historical_Data_Start,date_start_row,Calculations!DD$40,date_rows,1))</f>
        <v>5.2233363806857551E-2</v>
      </c>
      <c r="DE42" s="29">
        <f ca="1">CORREL(OFFSET(Historical_Data_Start,date_start_row,$B42,date_rows,1),OFFSET(Historical_Data_Start,date_start_row,Calculations!DE$40,date_rows,1))</f>
        <v>-1.8531826576917976E-2</v>
      </c>
      <c r="DF42" s="29">
        <f ca="1">CORREL(OFFSET(Historical_Data_Start,date_start_row,$B42,date_rows,1),OFFSET(Historical_Data_Start,date_start_row,Calculations!DF$40,date_rows,1))</f>
        <v>5.4858734399992094E-3</v>
      </c>
      <c r="DG42" s="29">
        <f ca="1">CORREL(OFFSET(Historical_Data_Start,date_start_row,$B42,date_rows,1),OFFSET(Historical_Data_Start,date_start_row,Calculations!DG$40,date_rows,1))</f>
        <v>5.885697181220219E-3</v>
      </c>
      <c r="DH42" s="30">
        <f ca="1">CORREL(OFFSET(Historical_Data_Start,date_start_row,$B42,date_rows,1),OFFSET(Historical_Data_Start,date_start_row,Calculations!DH$40,date_rows,1))</f>
        <v>0.19498514725439217</v>
      </c>
      <c r="DI42" s="2">
        <v>1</v>
      </c>
      <c r="DJ42" s="293">
        <f ca="1">OFFSET(model_Vol_start,$B42,0)*OFFSET(model_Vol_start,DJ$40,0)*BK42</f>
        <v>1.0000000000000003E-4</v>
      </c>
      <c r="DK42" s="294">
        <f t="shared" ref="DK42:DK73" ca="1" si="12">OFFSET(model_Vol_start,$B42,0)*OFFSET(model_Vol_start,DK$40,0)*BL42</f>
        <v>2.3055865375790934E-4</v>
      </c>
      <c r="DL42" s="294">
        <f t="shared" ref="DL42:DL73" ca="1" si="13">OFFSET(model_Vol_start,$B42,0)*OFFSET(model_Vol_start,DL$40,0)*BM42</f>
        <v>1.2564995932452314E-4</v>
      </c>
      <c r="DM42" s="41">
        <f t="shared" ref="DM42:DM73" ca="1" si="14">OFFSET(model_Vol_start,$B42,0)*OFFSET(model_Vol_start,DM$40,0)*BN42</f>
        <v>1.5636572901338208E-4</v>
      </c>
      <c r="DN42" s="41">
        <f t="shared" ref="DN42:DN73" ca="1" si="15">OFFSET(model_Vol_start,$B42,0)*OFFSET(model_Vol_start,DN$40,0)*BO42</f>
        <v>1.281599228137113E-4</v>
      </c>
      <c r="DO42" s="41">
        <f t="shared" ref="DO42:DO73" ca="1" si="16">OFFSET(model_Vol_start,$B42,0)*OFFSET(model_Vol_start,DO$40,0)*BP42</f>
        <v>1.0369932660634119E-4</v>
      </c>
      <c r="DP42" s="41">
        <f t="shared" ref="DP42:DP73" ca="1" si="17">OFFSET(model_Vol_start,$B42,0)*OFFSET(model_Vol_start,DP$40,0)*BQ42</f>
        <v>1.0797923460547665E-4</v>
      </c>
      <c r="DQ42" s="41">
        <f t="shared" ref="DQ42:DQ73" ca="1" si="18">OFFSET(model_Vol_start,$B42,0)*OFFSET(model_Vol_start,DQ$40,0)*BR42</f>
        <v>7.928537779459976E-5</v>
      </c>
      <c r="DR42" s="41">
        <f t="shared" ref="DR42:DR73" ca="1" si="19">OFFSET(model_Vol_start,$B42,0)*OFFSET(model_Vol_start,DR$40,0)*BS42</f>
        <v>7.3930905606272174E-5</v>
      </c>
      <c r="DS42" s="41">
        <f t="shared" ref="DS42:DS73" ca="1" si="20">OFFSET(model_Vol_start,$B42,0)*OFFSET(model_Vol_start,DS$40,0)*BT42</f>
        <v>1.4070154995914533E-4</v>
      </c>
      <c r="DT42" s="41">
        <f t="shared" ref="DT42:DT73" ca="1" si="21">OFFSET(model_Vol_start,$B42,0)*OFFSET(model_Vol_start,DT$40,0)*BU42</f>
        <v>8.1829139287026105E-5</v>
      </c>
      <c r="DU42" s="41">
        <f t="shared" ref="DU42:DU73" ca="1" si="22">OFFSET(model_Vol_start,$B42,0)*OFFSET(model_Vol_start,DU$40,0)*BV42</f>
        <v>4.2621075633648471E-5</v>
      </c>
      <c r="DV42" s="41">
        <f t="shared" ref="DV42:DV73" ca="1" si="23">OFFSET(model_Vol_start,$B42,0)*OFFSET(model_Vol_start,DV$40,0)*BW42</f>
        <v>-5.8476691586039542E-5</v>
      </c>
      <c r="DW42" s="41">
        <f t="shared" ref="DW42:DW73" ca="1" si="24">OFFSET(model_Vol_start,$B42,0)*OFFSET(model_Vol_start,DW$40,0)*BX42</f>
        <v>1.3851796966260732E-4</v>
      </c>
      <c r="DX42" s="41">
        <f t="shared" ref="DX42:DX73" ca="1" si="25">OFFSET(model_Vol_start,$B42,0)*OFFSET(model_Vol_start,DX$40,0)*BY42</f>
        <v>2.2327105893946421E-5</v>
      </c>
      <c r="DY42" s="41">
        <f t="shared" ref="DY42:DY73" ca="1" si="26">OFFSET(model_Vol_start,$B42,0)*OFFSET(model_Vol_start,DY$40,0)*BZ42</f>
        <v>1.6024250861621428E-4</v>
      </c>
      <c r="DZ42" s="41">
        <f t="shared" ref="DZ42:DZ73" ca="1" si="27">OFFSET(model_Vol_start,$B42,0)*OFFSET(model_Vol_start,DZ$40,0)*CA42</f>
        <v>-7.8539674598782571E-5</v>
      </c>
      <c r="EA42" s="41">
        <f t="shared" ref="EA42:EA73" ca="1" si="28">OFFSET(model_Vol_start,$B42,0)*OFFSET(model_Vol_start,EA$40,0)*CB42</f>
        <v>-1.1624548942115841E-4</v>
      </c>
      <c r="EB42" s="41">
        <f t="shared" ref="EB42:EB73" ca="1" si="29">OFFSET(model_Vol_start,$B42,0)*OFFSET(model_Vol_start,EB$40,0)*CC42</f>
        <v>6.0118369310936517E-5</v>
      </c>
      <c r="EC42" s="41">
        <f t="shared" ref="EC42:EC73" ca="1" si="30">OFFSET(model_Vol_start,$B42,0)*OFFSET(model_Vol_start,EC$40,0)*CD42</f>
        <v>-9.658022051238124E-6</v>
      </c>
      <c r="ED42" s="41">
        <f t="shared" ref="ED42:ED73" ca="1" si="31">OFFSET(model_Vol_start,$B42,0)*OFFSET(model_Vol_start,ED$40,0)*CE42</f>
        <v>-5.8554507601896246E-6</v>
      </c>
      <c r="EE42" s="41">
        <f t="shared" ref="EE42:EE73" ca="1" si="32">OFFSET(model_Vol_start,$B42,0)*OFFSET(model_Vol_start,EE$40,0)*CF42</f>
        <v>6.9904221911927175E-5</v>
      </c>
      <c r="EF42" s="41">
        <f t="shared" ref="EF42:EF73" ca="1" si="33">OFFSET(model_Vol_start,$B42,0)*OFFSET(model_Vol_start,EF$40,0)*CG42</f>
        <v>2.3969659689741311E-4</v>
      </c>
      <c r="EG42" s="41">
        <f t="shared" ref="EG42:EG73" ca="1" si="34">OFFSET(model_Vol_start,$B42,0)*OFFSET(model_Vol_start,EG$40,0)*CH42</f>
        <v>-1.8061608510300253E-4</v>
      </c>
      <c r="EH42" s="41">
        <f t="shared" ref="EH42:EH73" ca="1" si="35">OFFSET(model_Vol_start,$B42,0)*OFFSET(model_Vol_start,EH$40,0)*CI42</f>
        <v>-2.1892061613993546E-4</v>
      </c>
      <c r="EI42" s="41">
        <f t="shared" ref="EI42:EI73" ca="1" si="36">OFFSET(model_Vol_start,$B42,0)*OFFSET(model_Vol_start,EI$40,0)*CJ42</f>
        <v>4.5429684157854549E-4</v>
      </c>
      <c r="EJ42" s="42">
        <f t="shared" ref="EJ42:EJ73" ca="1" si="37">OFFSET(model_Vol_start,$B42,0)*OFFSET(model_Vol_start,EJ$40,0)*CK42</f>
        <v>-3.2133745503384382E-4</v>
      </c>
      <c r="EK42" s="41">
        <f t="shared" ref="EK42:EK73" ca="1" si="38">OFFSET(model_Vol_start,$B42,0)*OFFSET(model_Vol_start,EK$40,0)*CL42</f>
        <v>9.999999870568124E-5</v>
      </c>
      <c r="EL42" s="41">
        <f t="shared" ref="EL42:EL73" ca="1" si="39">OFFSET(model_Vol_start,$B42,0)*OFFSET(model_Vol_start,EL$40,0)*CM42</f>
        <v>1.6834441385498141E-4</v>
      </c>
      <c r="EM42" s="41">
        <f t="shared" ref="EM42:EM73" ca="1" si="40">OFFSET(model_Vol_start,$B42,0)*OFFSET(model_Vol_start,EM$40,0)*CN42</f>
        <v>9.4237469493392337E-5</v>
      </c>
      <c r="EN42" s="41">
        <f t="shared" ref="EN42:EN73" ca="1" si="41">OFFSET(model_Vol_start,$B42,0)*OFFSET(model_Vol_start,EN$40,0)*CO42</f>
        <v>8.0220233789811093E-5</v>
      </c>
      <c r="EO42" s="41">
        <f t="shared" ref="EO42:EO73" ca="1" si="42">OFFSET(model_Vol_start,$B42,0)*OFFSET(model_Vol_start,EO$40,0)*CP42</f>
        <v>1.3380035592417761E-4</v>
      </c>
      <c r="EP42" s="41">
        <f t="shared" ref="EP42:EP73" ca="1" si="43">OFFSET(model_Vol_start,$B42,0)*OFFSET(model_Vol_start,EP$40,0)*CQ42</f>
        <v>9.0959447156463733E-5</v>
      </c>
      <c r="EQ42" s="41">
        <f t="shared" ref="EQ42:EQ73" ca="1" si="44">OFFSET(model_Vol_start,$B42,0)*OFFSET(model_Vol_start,EQ$40,0)*CR42</f>
        <v>8.9844165977106261E-5</v>
      </c>
      <c r="ER42" s="41">
        <f t="shared" ref="ER42:ER73" ca="1" si="45">OFFSET(model_Vol_start,$B42,0)*OFFSET(model_Vol_start,ER$40,0)*CS42</f>
        <v>3.3788205488213325E-4</v>
      </c>
      <c r="ES42" s="41">
        <f t="shared" ref="ES42:ES73" ca="1" si="46">OFFSET(model_Vol_start,$B42,0)*OFFSET(model_Vol_start,ES$40,0)*CT42</f>
        <v>-1.7224441174737689E-4</v>
      </c>
      <c r="ET42" s="41">
        <f t="shared" ref="ET42:ET73" ca="1" si="47">OFFSET(model_Vol_start,$B42,0)*OFFSET(model_Vol_start,ET$40,0)*CU42</f>
        <v>-8.8299593446887405E-5</v>
      </c>
      <c r="EU42" s="41">
        <f t="shared" ref="EU42:EU73" ca="1" si="48">OFFSET(model_Vol_start,$B42,0)*OFFSET(model_Vol_start,EU$40,0)*CV42</f>
        <v>-7.3012089804377068E-5</v>
      </c>
      <c r="EV42" s="41">
        <f t="shared" ref="EV42:EV73" ca="1" si="49">OFFSET(model_Vol_start,$B42,0)*OFFSET(model_Vol_start,EV$40,0)*CW42</f>
        <v>-7.1730503878911908E-5</v>
      </c>
      <c r="EW42" s="41">
        <f t="shared" ref="EW42:EW73" ca="1" si="50">OFFSET(model_Vol_start,$B42,0)*OFFSET(model_Vol_start,EW$40,0)*CX42</f>
        <v>-3.3336250261382575E-5</v>
      </c>
      <c r="EX42" s="41">
        <f t="shared" ref="EX42:EX73" ca="1" si="51">OFFSET(model_Vol_start,$B42,0)*OFFSET(model_Vol_start,EX$40,0)*CY42</f>
        <v>5.8476691586039542E-5</v>
      </c>
      <c r="EY42" s="41">
        <f t="shared" ref="EY42:EY73" ca="1" si="52">OFFSET(model_Vol_start,$B42,0)*OFFSET(model_Vol_start,EY$40,0)*CZ42</f>
        <v>-1.3902196056236581E-4</v>
      </c>
      <c r="EZ42" s="41">
        <f t="shared" ref="EZ42:EZ73" ca="1" si="53">OFFSET(model_Vol_start,$B42,0)*OFFSET(model_Vol_start,EZ$40,0)*DA42</f>
        <v>-1.5604030005542865E-5</v>
      </c>
      <c r="FA42" s="41">
        <f t="shared" ref="FA42:FA73" ca="1" si="54">OFFSET(model_Vol_start,$B42,0)*OFFSET(model_Vol_start,FA$40,0)*DB42</f>
        <v>-1.4355589127185869E-4</v>
      </c>
      <c r="FB42" s="41">
        <f t="shared" ref="FB42:FB73" ca="1" si="55">OFFSET(model_Vol_start,$B42,0)*OFFSET(model_Vol_start,FB$40,0)*DC42</f>
        <v>8.0036001180183708E-5</v>
      </c>
      <c r="FC42" s="41">
        <f t="shared" ref="FC42:FC73" ca="1" si="56">OFFSET(model_Vol_start,$B42,0)*OFFSET(model_Vol_start,FC$40,0)*DD42</f>
        <v>1.1491340037508662E-4</v>
      </c>
      <c r="FD42" s="41">
        <f t="shared" ref="FD42:FD73" ca="1" si="57">OFFSET(model_Vol_start,$B42,0)*OFFSET(model_Vol_start,FD$40,0)*DE42</f>
        <v>-4.8182749099986747E-5</v>
      </c>
      <c r="FE42" s="41">
        <f t="shared" ref="FE42:FE73" ca="1" si="58">OFFSET(model_Vol_start,$B42,0)*OFFSET(model_Vol_start,FE$40,0)*DF42</f>
        <v>1.6457620319997627E-5</v>
      </c>
      <c r="FF42" s="41">
        <f t="shared" ref="FF42:FF73" ca="1" si="59">OFFSET(model_Vol_start,$B42,0)*OFFSET(model_Vol_start,FF$40,0)*DG42</f>
        <v>1.6479952107416615E-5</v>
      </c>
      <c r="FG42" s="42">
        <f t="shared" ref="FG42:FG73" ca="1" si="60">OFFSET(model_Vol_start,$B42,0)*OFFSET(model_Vol_start,FG$40,0)*DH42</f>
        <v>9.7492573627196088E-6</v>
      </c>
      <c r="FL42" s="111">
        <v>0</v>
      </c>
      <c r="FM42" s="111">
        <v>0.9</v>
      </c>
      <c r="FN42" s="111">
        <v>0.1</v>
      </c>
      <c r="FO42" s="111">
        <v>0</v>
      </c>
      <c r="FP42" s="111">
        <v>0</v>
      </c>
      <c r="FQ42" s="111">
        <v>0</v>
      </c>
    </row>
    <row r="43" spans="1:173" x14ac:dyDescent="0.2">
      <c r="A43" s="51" t="str">
        <f t="shared" ref="A43" ca="1" si="61">INDEX(Historical_Data_Names,3,B43)</f>
        <v>A</v>
      </c>
      <c r="B43" s="55">
        <f>B42+1</f>
        <v>2</v>
      </c>
      <c r="C43" s="11" t="str">
        <f t="shared" ref="C43" ca="1" si="62">INDEX(Historical_Data_Names,2,B43)</f>
        <v>US Treas</v>
      </c>
      <c r="D43" s="11"/>
      <c r="E43" s="13">
        <f t="shared" ref="E43" ca="1" si="63">AVERAGE(OFFSET(Historical_Data_Start,date_start_row,$B43,date_rows,1))*4</f>
        <v>7.1175197398489723E-2</v>
      </c>
      <c r="F43" s="13">
        <f t="array" aca="1" ref="F43" ca="1">PRODUCT(1+OFFSET(Historical_Data_Start,date_start_row,$B43,date_rows,1))^(4/date_rows)-1</f>
        <v>7.1790283561921076E-2</v>
      </c>
      <c r="G43" s="13">
        <f t="shared" ref="G43" ca="1" si="64">STDEV(OFFSET(Historical_Data_Start,date_start_row,$B43,date_rows,1))*2</f>
        <v>5.0949764792107312E-2</v>
      </c>
      <c r="I43" s="19">
        <v>0.05</v>
      </c>
      <c r="J43" s="19">
        <v>6.3E-2</v>
      </c>
      <c r="K43" s="19"/>
      <c r="L43" s="19">
        <v>0.1082</v>
      </c>
      <c r="N43" s="82">
        <v>0</v>
      </c>
      <c r="P43" s="49">
        <v>0</v>
      </c>
      <c r="Q43" s="84">
        <v>1</v>
      </c>
      <c r="R43" s="49"/>
      <c r="S43" s="226"/>
      <c r="T43" s="410">
        <v>1</v>
      </c>
      <c r="U43" s="410">
        <v>1</v>
      </c>
      <c r="V43" s="410">
        <v>0</v>
      </c>
      <c r="W43" s="410">
        <v>0</v>
      </c>
      <c r="X43" s="410">
        <v>0</v>
      </c>
      <c r="Y43" s="410">
        <v>0</v>
      </c>
      <c r="AI43" s="117">
        <v>0</v>
      </c>
      <c r="AJ43" s="117">
        <v>0</v>
      </c>
      <c r="AK43" s="117">
        <v>0</v>
      </c>
      <c r="AL43" s="117">
        <v>0</v>
      </c>
      <c r="AM43" s="117">
        <v>0</v>
      </c>
      <c r="AN43" s="117">
        <v>0</v>
      </c>
      <c r="AO43" s="117">
        <v>0</v>
      </c>
      <c r="AP43" s="117">
        <v>0</v>
      </c>
      <c r="AQ43" s="117">
        <v>0</v>
      </c>
      <c r="AR43" s="117">
        <v>0</v>
      </c>
      <c r="AS43" s="117">
        <v>0</v>
      </c>
      <c r="AU43" s="117">
        <v>0</v>
      </c>
      <c r="AV43" s="117">
        <v>0</v>
      </c>
      <c r="AW43" s="117">
        <v>0</v>
      </c>
      <c r="AX43" s="117">
        <v>0</v>
      </c>
      <c r="AY43" s="117">
        <v>0</v>
      </c>
      <c r="AZ43" s="117">
        <v>0</v>
      </c>
      <c r="BA43" s="117">
        <v>0</v>
      </c>
      <c r="BB43" s="117">
        <v>0</v>
      </c>
      <c r="BC43" s="117">
        <v>0</v>
      </c>
      <c r="BD43" s="117">
        <v>0</v>
      </c>
      <c r="BE43" s="117">
        <v>0</v>
      </c>
      <c r="BG43" s="1" t="str">
        <f t="shared" ca="1" si="9"/>
        <v>US Treas</v>
      </c>
      <c r="BH43" s="38">
        <f t="shared" si="10"/>
        <v>0.05</v>
      </c>
      <c r="BI43" s="38">
        <f t="shared" si="11"/>
        <v>6.3E-2</v>
      </c>
      <c r="BK43" s="31">
        <f ca="1">CORREL(OFFSET(Historical_Data_Start,date_start_row,$B43,date_rows,1),OFFSET(Historical_Data_Start,date_start_row,Calculations!BK$40,date_rows,1))</f>
        <v>0.36596611707604654</v>
      </c>
      <c r="BL43" s="32">
        <f ca="1">CORREL(OFFSET(Historical_Data_Start,date_start_row,$B43,date_rows,1),OFFSET(Historical_Data_Start,date_start_row,Calculations!BL$40,date_rows,1))</f>
        <v>0.99999999999999978</v>
      </c>
      <c r="BM43" s="32">
        <f ca="1">CORREL(OFFSET(Historical_Data_Start,date_start_row,$B43,date_rows,1),OFFSET(Historical_Data_Start,date_start_row,Calculations!BM$40,date_rows,1))</f>
        <v>0.86553293939880238</v>
      </c>
      <c r="BN43" s="32">
        <f ca="1">CORREL(OFFSET(Historical_Data_Start,date_start_row,$B43,date_rows,1),OFFSET(Historical_Data_Start,date_start_row,Calculations!BN$40,date_rows,1))</f>
        <v>0.88056219636854183</v>
      </c>
      <c r="BO43" s="32">
        <f ca="1">CORREL(OFFSET(Historical_Data_Start,date_start_row,$B43,date_rows,1),OFFSET(Historical_Data_Start,date_start_row,Calculations!BO$40,date_rows,1))</f>
        <v>0.81706246656885284</v>
      </c>
      <c r="BP43" s="32">
        <f ca="1">CORREL(OFFSET(Historical_Data_Start,date_start_row,$B43,date_rows,1),OFFSET(Historical_Data_Start,date_start_row,Calculations!BP$40,date_rows,1))</f>
        <v>0.87700126746587148</v>
      </c>
      <c r="BQ43" s="32">
        <f ca="1">CORREL(OFFSET(Historical_Data_Start,date_start_row,$B43,date_rows,1),OFFSET(Historical_Data_Start,date_start_row,Calculations!BQ$40,date_rows,1))</f>
        <v>0.82072264449189314</v>
      </c>
      <c r="BR43" s="32">
        <f ca="1">CORREL(OFFSET(Historical_Data_Start,date_start_row,$B43,date_rows,1),OFFSET(Historical_Data_Start,date_start_row,Calculations!BR$40,date_rows,1))</f>
        <v>0.77341909804421682</v>
      </c>
      <c r="BS43" s="32">
        <f ca="1">CORREL(OFFSET(Historical_Data_Start,date_start_row,$B43,date_rows,1),OFFSET(Historical_Data_Start,date_start_row,Calculations!BS$40,date_rows,1))</f>
        <v>0.69548802438820811</v>
      </c>
      <c r="BT43" s="32">
        <f ca="1">CORREL(OFFSET(Historical_Data_Start,date_start_row,$B43,date_rows,1),OFFSET(Historical_Data_Start,date_start_row,Calculations!BT$40,date_rows,1))</f>
        <v>0.59218645502484057</v>
      </c>
      <c r="BU43" s="32">
        <f ca="1">CORREL(OFFSET(Historical_Data_Start,date_start_row,$B43,date_rows,1),OFFSET(Historical_Data_Start,date_start_row,Calculations!BU$40,date_rows,1))</f>
        <v>-8.0078708246860506E-3</v>
      </c>
      <c r="BV43" s="32">
        <f ca="1">CORREL(OFFSET(Historical_Data_Start,date_start_row,$B43,date_rows,1),OFFSET(Historical_Data_Start,date_start_row,Calculations!BV$40,date_rows,1))</f>
        <v>-2.661497821119033E-2</v>
      </c>
      <c r="BW43" s="32">
        <f ca="1">CORREL(OFFSET(Historical_Data_Start,date_start_row,$B43,date_rows,1),OFFSET(Historical_Data_Start,date_start_row,Calculations!BW$40,date_rows,1))</f>
        <v>-3.0021457981662256E-2</v>
      </c>
      <c r="BX43" s="32">
        <f ca="1">CORREL(OFFSET(Historical_Data_Start,date_start_row,$B43,date_rows,1),OFFSET(Historical_Data_Start,date_start_row,Calculations!BX$40,date_rows,1))</f>
        <v>2.9560697614562727E-2</v>
      </c>
      <c r="BY43" s="32">
        <f ca="1">CORREL(OFFSET(Historical_Data_Start,date_start_row,$B43,date_rows,1),OFFSET(Historical_Data_Start,date_start_row,Calculations!BY$40,date_rows,1))</f>
        <v>1.1521166359653088E-2</v>
      </c>
      <c r="BZ43" s="32">
        <f ca="1">CORREL(OFFSET(Historical_Data_Start,date_start_row,$B43,date_rows,1),OFFSET(Historical_Data_Start,date_start_row,Calculations!BZ$40,date_rows,1))</f>
        <v>5.4270884415462371E-2</v>
      </c>
      <c r="CA43" s="32">
        <f ca="1">CORREL(OFFSET(Historical_Data_Start,date_start_row,$B43,date_rows,1),OFFSET(Historical_Data_Start,date_start_row,Calculations!CA$40,date_rows,1))</f>
        <v>0.18209536980774493</v>
      </c>
      <c r="CB43" s="32">
        <f ca="1">CORREL(OFFSET(Historical_Data_Start,date_start_row,$B43,date_rows,1),OFFSET(Historical_Data_Start,date_start_row,Calculations!CB$40,date_rows,1))</f>
        <v>-0.12999709636735912</v>
      </c>
      <c r="CC43" s="32">
        <f ca="1">CORREL(OFFSET(Historical_Data_Start,date_start_row,$B43,date_rows,1),OFFSET(Historical_Data_Start,date_start_row,Calculations!CC$40,date_rows,1))</f>
        <v>-0.118925036665703</v>
      </c>
      <c r="CD43" s="32">
        <f ca="1">CORREL(OFFSET(Historical_Data_Start,date_start_row,$B43,date_rows,1),OFFSET(Historical_Data_Start,date_start_row,Calculations!CD$40,date_rows,1))</f>
        <v>-0.17497988369141743</v>
      </c>
      <c r="CE43" s="32">
        <f ca="1">CORREL(OFFSET(Historical_Data_Start,date_start_row,$B43,date_rows,1),OFFSET(Historical_Data_Start,date_start_row,Calculations!CE$40,date_rows,1))</f>
        <v>-0.17897037509287503</v>
      </c>
      <c r="CF43" s="32">
        <f ca="1">CORREL(OFFSET(Historical_Data_Start,date_start_row,$B43,date_rows,1),OFFSET(Historical_Data_Start,date_start_row,Calculations!CF$40,date_rows,1))</f>
        <v>-8.1755010029846226E-2</v>
      </c>
      <c r="CG43" s="32">
        <f ca="1">CORREL(OFFSET(Historical_Data_Start,date_start_row,$B43,date_rows,1),OFFSET(Historical_Data_Start,date_start_row,Calculations!CG$40,date_rows,1))</f>
        <v>4.9814822313906978E-2</v>
      </c>
      <c r="CH43" s="32">
        <f ca="1">CORREL(OFFSET(Historical_Data_Start,date_start_row,$B43,date_rows,1),OFFSET(Historical_Data_Start,date_start_row,Calculations!CH$40,date_rows,1))</f>
        <v>5.8484378680771906E-3</v>
      </c>
      <c r="CI43" s="32">
        <f ca="1">CORREL(OFFSET(Historical_Data_Start,date_start_row,$B43,date_rows,1),OFFSET(Historical_Data_Start,date_start_row,Calculations!CI$40,date_rows,1))</f>
        <v>-5.1448421720381103E-2</v>
      </c>
      <c r="CJ43" s="32">
        <f ca="1">CORREL(OFFSET(Historical_Data_Start,date_start_row,$B43,date_rows,1),OFFSET(Historical_Data_Start,date_start_row,Calculations!CJ$40,date_rows,1))</f>
        <v>0.19058837401807738</v>
      </c>
      <c r="CK43" s="32">
        <f ca="1">CORREL(OFFSET(Historical_Data_Start,date_start_row,$B43,date_rows,1),OFFSET(Historical_Data_Start,date_start_row,Calculations!CK$40,date_rows,1))</f>
        <v>-0.10865175369483758</v>
      </c>
      <c r="CL43" s="32">
        <f ca="1">CORREL(OFFSET(Historical_Data_Start,date_start_row,$B43,date_rows,1),OFFSET(Historical_Data_Start,date_start_row,Calculations!CL$40,date_rows,1))</f>
        <v>0.36596011360480479</v>
      </c>
      <c r="CM43" s="32">
        <f ca="1">CORREL(OFFSET(Historical_Data_Start,date_start_row,$B43,date_rows,1),OFFSET(Historical_Data_Start,date_start_row,Calculations!CM$40,date_rows,1))</f>
        <v>0.99999999999999978</v>
      </c>
      <c r="CN43" s="32">
        <f ca="1">CORREL(OFFSET(Historical_Data_Start,date_start_row,$B43,date_rows,1),OFFSET(Historical_Data_Start,date_start_row,Calculations!CN$40,date_rows,1))</f>
        <v>0.86553293939880238</v>
      </c>
      <c r="CO43" s="32">
        <f ca="1">CORREL(OFFSET(Historical_Data_Start,date_start_row,$B43,date_rows,1),OFFSET(Historical_Data_Start,date_start_row,Calculations!CO$40,date_rows,1))</f>
        <v>0.87700126746587148</v>
      </c>
      <c r="CP43" s="32">
        <f ca="1">CORREL(OFFSET(Historical_Data_Start,date_start_row,$B43,date_rows,1),OFFSET(Historical_Data_Start,date_start_row,Calculations!CP$40,date_rows,1))</f>
        <v>0.82072264449189314</v>
      </c>
      <c r="CQ43" s="32">
        <f ca="1">CORREL(OFFSET(Historical_Data_Start,date_start_row,$B43,date_rows,1),OFFSET(Historical_Data_Start,date_start_row,Calculations!CQ$40,date_rows,1))</f>
        <v>0.76741121292487291</v>
      </c>
      <c r="CR43" s="32">
        <f ca="1">CORREL(OFFSET(Historical_Data_Start,date_start_row,$B43,date_rows,1),OFFSET(Historical_Data_Start,date_start_row,Calculations!CR$40,date_rows,1))</f>
        <v>0.62755996872660513</v>
      </c>
      <c r="CS43" s="32">
        <f ca="1">CORREL(OFFSET(Historical_Data_Start,date_start_row,$B43,date_rows,1),OFFSET(Historical_Data_Start,date_start_row,Calculations!CS$40,date_rows,1))</f>
        <v>0.49531690616781049</v>
      </c>
      <c r="CT43" s="32">
        <f ca="1">CORREL(OFFSET(Historical_Data_Start,date_start_row,$B43,date_rows,1),OFFSET(Historical_Data_Start,date_start_row,Calculations!CT$40,date_rows,1))</f>
        <v>-0.87429445634749281</v>
      </c>
      <c r="CU43" s="32">
        <f ca="1">CORREL(OFFSET(Historical_Data_Start,date_start_row,$B43,date_rows,1),OFFSET(Historical_Data_Start,date_start_row,Calculations!CU$40,date_rows,1))</f>
        <v>-0.76871737035431498</v>
      </c>
      <c r="CV43" s="32">
        <f ca="1">CORREL(OFFSET(Historical_Data_Start,date_start_row,$B43,date_rows,1),OFFSET(Historical_Data_Start,date_start_row,Calculations!CV$40,date_rows,1))</f>
        <v>-0.51300862785050472</v>
      </c>
      <c r="CW43" s="32">
        <f ca="1">CORREL(OFFSET(Historical_Data_Start,date_start_row,$B43,date_rows,1),OFFSET(Historical_Data_Start,date_start_row,Calculations!CW$40,date_rows,1))</f>
        <v>1.186815122988091E-2</v>
      </c>
      <c r="CX43" s="32">
        <f ca="1">CORREL(OFFSET(Historical_Data_Start,date_start_row,$B43,date_rows,1),OFFSET(Historical_Data_Start,date_start_row,Calculations!CX$40,date_rows,1))</f>
        <v>2.5900821871255975E-2</v>
      </c>
      <c r="CY43" s="32">
        <f ca="1">CORREL(OFFSET(Historical_Data_Start,date_start_row,$B43,date_rows,1),OFFSET(Historical_Data_Start,date_start_row,Calculations!CY$40,date_rows,1))</f>
        <v>3.0021457981662256E-2</v>
      </c>
      <c r="CZ43" s="32">
        <f ca="1">CORREL(OFFSET(Historical_Data_Start,date_start_row,$B43,date_rows,1),OFFSET(Historical_Data_Start,date_start_row,Calculations!CZ$40,date_rows,1))</f>
        <v>-2.5241297546517678E-2</v>
      </c>
      <c r="DA43" s="32">
        <f ca="1">CORREL(OFFSET(Historical_Data_Start,date_start_row,$B43,date_rows,1),OFFSET(Historical_Data_Start,date_start_row,Calculations!DA$40,date_rows,1))</f>
        <v>-5.7487079436725564E-3</v>
      </c>
      <c r="DB43" s="32">
        <f ca="1">CORREL(OFFSET(Historical_Data_Start,date_start_row,$B43,date_rows,1),OFFSET(Historical_Data_Start,date_start_row,Calculations!DB$40,date_rows,1))</f>
        <v>-4.8511651442761913E-2</v>
      </c>
      <c r="DC43" s="32">
        <f ca="1">CORREL(OFFSET(Historical_Data_Start,date_start_row,$B43,date_rows,1),OFFSET(Historical_Data_Start,date_start_row,Calculations!DC$40,date_rows,1))</f>
        <v>-0.17258724532400432</v>
      </c>
      <c r="DD43" s="32">
        <f ca="1">CORREL(OFFSET(Historical_Data_Start,date_start_row,$B43,date_rows,1),OFFSET(Historical_Data_Start,date_start_row,Calculations!DD$40,date_rows,1))</f>
        <v>0.1238470166266962</v>
      </c>
      <c r="DE43" s="32">
        <f ca="1">CORREL(OFFSET(Historical_Data_Start,date_start_row,$B43,date_rows,1),OFFSET(Historical_Data_Start,date_start_row,Calculations!DE$40,date_rows,1))</f>
        <v>0.11547446642999978</v>
      </c>
      <c r="DF43" s="32">
        <f ca="1">CORREL(OFFSET(Historical_Data_Start,date_start_row,$B43,date_rows,1),OFFSET(Historical_Data_Start,date_start_row,Calculations!DF$40,date_rows,1))</f>
        <v>0.17058185012778282</v>
      </c>
      <c r="DG43" s="32">
        <f ca="1">CORREL(OFFSET(Historical_Data_Start,date_start_row,$B43,date_rows,1),OFFSET(Historical_Data_Start,date_start_row,Calculations!DG$40,date_rows,1))</f>
        <v>0.17050976635804954</v>
      </c>
      <c r="DH43" s="33">
        <f ca="1">CORREL(OFFSET(Historical_Data_Start,date_start_row,$B43,date_rows,1),OFFSET(Historical_Data_Start,date_start_row,Calculations!DH$40,date_rows,1))</f>
        <v>0.22028096704626007</v>
      </c>
      <c r="DI43" s="2">
        <f>DI42+1</f>
        <v>2</v>
      </c>
      <c r="DJ43" s="295">
        <f t="shared" ref="DJ43:DJ73" ca="1" si="65">OFFSET(model_Vol_start,$B43,0)*OFFSET(model_Vol_start,DJ$40,0)*BK43</f>
        <v>2.3055865375790934E-4</v>
      </c>
      <c r="DK43" s="296">
        <f t="shared" ca="1" si="12"/>
        <v>3.9689999999999994E-3</v>
      </c>
      <c r="DL43" s="296">
        <f t="shared" ca="1" si="13"/>
        <v>5.8890861196694523E-3</v>
      </c>
      <c r="DM43" s="44">
        <f t="shared" ca="1" si="14"/>
        <v>3.2175742655306517E-3</v>
      </c>
      <c r="DN43" s="44">
        <f t="shared" ca="1" si="15"/>
        <v>5.044543668596098E-3</v>
      </c>
      <c r="DO43" s="44">
        <f t="shared" ca="1" si="16"/>
        <v>2.9283072320685447E-3</v>
      </c>
      <c r="DP43" s="44">
        <f t="shared" ca="1" si="17"/>
        <v>4.7569084474750126E-3</v>
      </c>
      <c r="DQ43" s="44">
        <f t="shared" ca="1" si="18"/>
        <v>2.3875447556624975E-3</v>
      </c>
      <c r="DR43" s="44">
        <f t="shared" ca="1" si="19"/>
        <v>3.6367068795259403E-3</v>
      </c>
      <c r="DS43" s="44">
        <f t="shared" ca="1" si="20"/>
        <v>2.6115422666595474E-3</v>
      </c>
      <c r="DT43" s="44">
        <f t="shared" ca="1" si="21"/>
        <v>-8.0719337912835392E-5</v>
      </c>
      <c r="DU43" s="44">
        <f t="shared" ca="1" si="22"/>
        <v>-3.3534872546099815E-4</v>
      </c>
      <c r="DV43" s="44">
        <f t="shared" ca="1" si="23"/>
        <v>-3.4044333351204996E-4</v>
      </c>
      <c r="DW43" s="44">
        <f t="shared" ca="1" si="24"/>
        <v>4.4695774793218846E-4</v>
      </c>
      <c r="DX43" s="44">
        <f t="shared" ca="1" si="25"/>
        <v>1.5242503093821036E-4</v>
      </c>
      <c r="DY43" s="44">
        <f t="shared" ca="1" si="26"/>
        <v>6.8381314363482584E-4</v>
      </c>
      <c r="DZ43" s="44">
        <f t="shared" ca="1" si="27"/>
        <v>2.2944016595775863E-3</v>
      </c>
      <c r="EA43" s="44">
        <f t="shared" ca="1" si="28"/>
        <v>-1.8017597556515975E-3</v>
      </c>
      <c r="EB43" s="44">
        <f t="shared" ca="1" si="29"/>
        <v>-1.9479921005842154E-3</v>
      </c>
      <c r="EC43" s="44">
        <f t="shared" ca="1" si="30"/>
        <v>-3.3071198017677892E-3</v>
      </c>
      <c r="ED43" s="44">
        <f t="shared" ca="1" si="31"/>
        <v>-3.157037416638316E-3</v>
      </c>
      <c r="EE43" s="44">
        <f t="shared" ca="1" si="32"/>
        <v>-4.6355090686922806E-4</v>
      </c>
      <c r="EF43" s="44">
        <f t="shared" ca="1" si="33"/>
        <v>2.8245004251985256E-4</v>
      </c>
      <c r="EG43" s="44">
        <f t="shared" ca="1" si="34"/>
        <v>6.263676956710671E-5</v>
      </c>
      <c r="EH43" s="44">
        <f t="shared" ca="1" si="35"/>
        <v>-7.7790013641216226E-4</v>
      </c>
      <c r="EI43" s="44">
        <f t="shared" ca="1" si="36"/>
        <v>1.440848107576665E-3</v>
      </c>
      <c r="EJ43" s="45">
        <f t="shared" ca="1" si="37"/>
        <v>-6.160554434497291E-4</v>
      </c>
      <c r="EK43" s="44">
        <f t="shared" ca="1" si="38"/>
        <v>2.3055487157102702E-4</v>
      </c>
      <c r="EL43" s="44">
        <f t="shared" ca="1" si="39"/>
        <v>2.8979999999999995E-3</v>
      </c>
      <c r="EM43" s="44">
        <f t="shared" ca="1" si="40"/>
        <v>4.4168145897520881E-3</v>
      </c>
      <c r="EN43" s="44">
        <f t="shared" ca="1" si="41"/>
        <v>2.2652942738643459E-3</v>
      </c>
      <c r="EO43" s="44">
        <f t="shared" ca="1" si="42"/>
        <v>5.8944300327407762E-3</v>
      </c>
      <c r="EP43" s="44">
        <f t="shared" ca="1" si="43"/>
        <v>1.3392093076751956E-2</v>
      </c>
      <c r="EQ43" s="44">
        <f t="shared" ca="1" si="44"/>
        <v>9.4096341710867178E-3</v>
      </c>
      <c r="ER43" s="44">
        <f t="shared" ca="1" si="45"/>
        <v>9.9855888283430592E-3</v>
      </c>
      <c r="ES43" s="44">
        <f t="shared" ca="1" si="46"/>
        <v>-3.470074697243199E-3</v>
      </c>
      <c r="ET43" s="44">
        <f t="shared" ca="1" si="47"/>
        <v>-2.4214597166160924E-3</v>
      </c>
      <c r="EU43" s="44">
        <f t="shared" ca="1" si="48"/>
        <v>-2.2623680488207264E-3</v>
      </c>
      <c r="EV43" s="44">
        <f t="shared" ca="1" si="49"/>
        <v>1.1963096439719958E-4</v>
      </c>
      <c r="EW43" s="44">
        <f t="shared" ca="1" si="50"/>
        <v>3.2635035557782526E-4</v>
      </c>
      <c r="EX43" s="44">
        <f t="shared" ca="1" si="51"/>
        <v>3.4044333351204996E-4</v>
      </c>
      <c r="EY43" s="44">
        <f t="shared" ca="1" si="52"/>
        <v>-3.8164841890334729E-4</v>
      </c>
      <c r="EZ43" s="44">
        <f t="shared" ca="1" si="53"/>
        <v>-7.6055406094787927E-5</v>
      </c>
      <c r="FA43" s="44">
        <f t="shared" ca="1" si="54"/>
        <v>-6.1124680817880011E-4</v>
      </c>
      <c r="FB43" s="44">
        <f t="shared" ca="1" si="55"/>
        <v>-2.1745992910824543E-3</v>
      </c>
      <c r="FC43" s="44">
        <f t="shared" ca="1" si="56"/>
        <v>1.7165196504460095E-3</v>
      </c>
      <c r="FD43" s="44">
        <f t="shared" ca="1" si="57"/>
        <v>1.8914717601233968E-3</v>
      </c>
      <c r="FE43" s="44">
        <f t="shared" ca="1" si="58"/>
        <v>3.2239969674150953E-3</v>
      </c>
      <c r="FF43" s="44">
        <f t="shared" ca="1" si="59"/>
        <v>3.0077922785559943E-3</v>
      </c>
      <c r="FG43" s="45">
        <f t="shared" ca="1" si="60"/>
        <v>6.9388504619571925E-5</v>
      </c>
      <c r="FL43" s="111">
        <v>1</v>
      </c>
      <c r="FM43" s="111">
        <v>1</v>
      </c>
      <c r="FN43" s="111">
        <v>0</v>
      </c>
      <c r="FO43" s="111">
        <v>0</v>
      </c>
      <c r="FP43" s="111">
        <v>0</v>
      </c>
      <c r="FQ43" s="111">
        <v>0</v>
      </c>
    </row>
    <row r="44" spans="1:173" x14ac:dyDescent="0.2">
      <c r="A44" s="51" t="str">
        <f t="shared" ref="A44" ca="1" si="66">INDEX(Historical_Data_Names,3,B44)</f>
        <v>A</v>
      </c>
      <c r="B44" s="55">
        <f t="shared" ref="B44:B68" si="67">B43+1</f>
        <v>3</v>
      </c>
      <c r="C44" s="11" t="str">
        <f t="shared" ref="C44" ca="1" si="68">INDEX(Historical_Data_Names,2,B44)</f>
        <v>US L-Treas</v>
      </c>
      <c r="D44" s="11"/>
      <c r="E44" s="13">
        <f t="shared" ref="E44" ca="1" si="69">AVERAGE(OFFSET(Historical_Data_Start,date_start_row,$B44,date_rows,1))*4</f>
        <v>9.8286565376369178E-2</v>
      </c>
      <c r="F44" s="13">
        <f t="array" aca="1" ref="F44" ca="1">PRODUCT(1+OFFSET(Historical_Data_Start,date_start_row,$B44,date_rows,1))^(4/date_rows)-1</f>
        <v>9.3983749821713536E-2</v>
      </c>
      <c r="G44" s="13">
        <f t="shared" ref="G44" ca="1" si="70">STDEV(OFFSET(Historical_Data_Start,date_start_row,$B44,date_rows,1))*2</f>
        <v>0.12542773499105184</v>
      </c>
      <c r="I44" s="19">
        <v>5.2999999999999999E-2</v>
      </c>
      <c r="J44" s="19">
        <v>0.10800000000000001</v>
      </c>
      <c r="K44" s="19"/>
      <c r="L44" s="19">
        <v>0.1331</v>
      </c>
      <c r="N44" s="82">
        <v>0.1489</v>
      </c>
      <c r="P44" s="49">
        <v>0</v>
      </c>
      <c r="Q44" s="84">
        <v>1</v>
      </c>
      <c r="R44" s="49"/>
      <c r="S44" s="226"/>
      <c r="T44" s="410">
        <v>1</v>
      </c>
      <c r="U44" s="410">
        <v>1</v>
      </c>
      <c r="V44" s="410">
        <v>0</v>
      </c>
      <c r="W44" s="410">
        <v>0</v>
      </c>
      <c r="X44" s="410">
        <v>0</v>
      </c>
      <c r="Y44" s="410">
        <v>0</v>
      </c>
      <c r="AB44" s="102" t="s">
        <v>95</v>
      </c>
      <c r="AI44" s="117">
        <v>0</v>
      </c>
      <c r="AJ44" s="117">
        <v>0</v>
      </c>
      <c r="AK44" s="117">
        <v>0</v>
      </c>
      <c r="AL44" s="117">
        <v>0</v>
      </c>
      <c r="AM44" s="117">
        <v>0</v>
      </c>
      <c r="AN44" s="117">
        <v>0</v>
      </c>
      <c r="AO44" s="117">
        <v>0</v>
      </c>
      <c r="AP44" s="117">
        <v>0</v>
      </c>
      <c r="AQ44" s="117">
        <v>0</v>
      </c>
      <c r="AR44" s="117">
        <v>0</v>
      </c>
      <c r="AS44" s="117">
        <v>0</v>
      </c>
      <c r="AU44" s="117">
        <v>0</v>
      </c>
      <c r="AV44" s="117">
        <v>0</v>
      </c>
      <c r="AW44" s="117">
        <v>0</v>
      </c>
      <c r="AX44" s="117">
        <v>0</v>
      </c>
      <c r="AY44" s="117">
        <v>0</v>
      </c>
      <c r="AZ44" s="117">
        <v>0</v>
      </c>
      <c r="BA44" s="117">
        <v>0</v>
      </c>
      <c r="BB44" s="117">
        <v>0</v>
      </c>
      <c r="BC44" s="117">
        <v>0</v>
      </c>
      <c r="BD44" s="117">
        <v>0</v>
      </c>
      <c r="BE44" s="117">
        <v>0</v>
      </c>
      <c r="BG44" s="51" t="str">
        <f t="shared" ca="1" si="9"/>
        <v>US L-Treas</v>
      </c>
      <c r="BH44" s="38">
        <f t="shared" si="10"/>
        <v>5.2999999999999999E-2</v>
      </c>
      <c r="BI44" s="38">
        <f t="shared" si="11"/>
        <v>0.10800000000000001</v>
      </c>
      <c r="BK44" s="31">
        <f ca="1">CORREL(OFFSET(Historical_Data_Start,date_start_row,$B44,date_rows,1),OFFSET(Historical_Data_Start,date_start_row,Calculations!BK$40,date_rows,1))</f>
        <v>0.11634255493011399</v>
      </c>
      <c r="BL44" s="32">
        <f ca="1">CORREL(OFFSET(Historical_Data_Start,date_start_row,$B44,date_rows,1),OFFSET(Historical_Data_Start,date_start_row,Calculations!BL$40,date_rows,1))</f>
        <v>0.86553293939880238</v>
      </c>
      <c r="BM44" s="32">
        <f ca="1">CORREL(OFFSET(Historical_Data_Start,date_start_row,$B44,date_rows,1),OFFSET(Historical_Data_Start,date_start_row,Calculations!BM$40,date_rows,1))</f>
        <v>1</v>
      </c>
      <c r="BN44" s="32">
        <f ca="1">CORREL(OFFSET(Historical_Data_Start,date_start_row,$B44,date_rows,1),OFFSET(Historical_Data_Start,date_start_row,Calculations!BN$40,date_rows,1))</f>
        <v>0.73868187933891616</v>
      </c>
      <c r="BO44" s="32">
        <f ca="1">CORREL(OFFSET(Historical_Data_Start,date_start_row,$B44,date_rows,1),OFFSET(Historical_Data_Start,date_start_row,Calculations!BO$40,date_rows,1))</f>
        <v>0.83816934919624175</v>
      </c>
      <c r="BP44" s="32">
        <f ca="1">CORREL(OFFSET(Historical_Data_Start,date_start_row,$B44,date_rows,1),OFFSET(Historical_Data_Start,date_start_row,Calculations!BP$40,date_rows,1))</f>
        <v>0.83538434394460326</v>
      </c>
      <c r="BQ44" s="32">
        <f ca="1">CORREL(OFFSET(Historical_Data_Start,date_start_row,$B44,date_rows,1),OFFSET(Historical_Data_Start,date_start_row,Calculations!BQ$40,date_rows,1))</f>
        <v>0.84851608346858287</v>
      </c>
      <c r="BR44" s="32">
        <f ca="1">CORREL(OFFSET(Historical_Data_Start,date_start_row,$B44,date_rows,1),OFFSET(Historical_Data_Start,date_start_row,Calculations!BR$40,date_rows,1))</f>
        <v>0.70168783180357464</v>
      </c>
      <c r="BS44" s="32">
        <f ca="1">CORREL(OFFSET(Historical_Data_Start,date_start_row,$B44,date_rows,1),OFFSET(Historical_Data_Start,date_start_row,Calculations!BS$40,date_rows,1))</f>
        <v>0.69575161700885402</v>
      </c>
      <c r="BT44" s="32">
        <f ca="1">CORREL(OFFSET(Historical_Data_Start,date_start_row,$B44,date_rows,1),OFFSET(Historical_Data_Start,date_start_row,Calculations!BT$40,date_rows,1))</f>
        <v>0.52249396429969952</v>
      </c>
      <c r="BU44" s="32">
        <f ca="1">CORREL(OFFSET(Historical_Data_Start,date_start_row,$B44,date_rows,1),OFFSET(Historical_Data_Start,date_start_row,Calculations!BU$40,date_rows,1))</f>
        <v>7.1002477433001988E-3</v>
      </c>
      <c r="BV44" s="32">
        <f ca="1">CORREL(OFFSET(Historical_Data_Start,date_start_row,$B44,date_rows,1),OFFSET(Historical_Data_Start,date_start_row,Calculations!BV$40,date_rows,1))</f>
        <v>-2.3893830098113588E-2</v>
      </c>
      <c r="BW44" s="32">
        <f ca="1">CORREL(OFFSET(Historical_Data_Start,date_start_row,$B44,date_rows,1),OFFSET(Historical_Data_Start,date_start_row,Calculations!BW$40,date_rows,1))</f>
        <v>-5.9753276192508524E-2</v>
      </c>
      <c r="BX44" s="32">
        <f ca="1">CORREL(OFFSET(Historical_Data_Start,date_start_row,$B44,date_rows,1),OFFSET(Historical_Data_Start,date_start_row,Calculations!BX$40,date_rows,1))</f>
        <v>3.3057009143463309E-2</v>
      </c>
      <c r="BY44" s="32">
        <f ca="1">CORREL(OFFSET(Historical_Data_Start,date_start_row,$B44,date_rows,1),OFFSET(Historical_Data_Start,date_start_row,Calculations!BY$40,date_rows,1))</f>
        <v>-1.5442092531732978E-2</v>
      </c>
      <c r="BZ44" s="32">
        <f ca="1">CORREL(OFFSET(Historical_Data_Start,date_start_row,$B44,date_rows,1),OFFSET(Historical_Data_Start,date_start_row,Calculations!BZ$40,date_rows,1))</f>
        <v>2.61379690303855E-2</v>
      </c>
      <c r="CA44" s="32">
        <f ca="1">CORREL(OFFSET(Historical_Data_Start,date_start_row,$B44,date_rows,1),OFFSET(Historical_Data_Start,date_start_row,Calculations!CA$40,date_rows,1))</f>
        <v>0.14863872668427167</v>
      </c>
      <c r="CB44" s="32">
        <f ca="1">CORREL(OFFSET(Historical_Data_Start,date_start_row,$B44,date_rows,1),OFFSET(Historical_Data_Start,date_start_row,Calculations!CB$40,date_rows,1))</f>
        <v>-0.15947508704875688</v>
      </c>
      <c r="CC44" s="32">
        <f ca="1">CORREL(OFFSET(Historical_Data_Start,date_start_row,$B44,date_rows,1),OFFSET(Historical_Data_Start,date_start_row,Calculations!CC$40,date_rows,1))</f>
        <v>-0.18228468734990064</v>
      </c>
      <c r="CD44" s="32">
        <f ca="1">CORREL(OFFSET(Historical_Data_Start,date_start_row,$B44,date_rows,1),OFFSET(Historical_Data_Start,date_start_row,Calculations!CD$40,date_rows,1))</f>
        <v>-0.21635751626229371</v>
      </c>
      <c r="CE44" s="32">
        <f ca="1">CORREL(OFFSET(Historical_Data_Start,date_start_row,$B44,date_rows,1),OFFSET(Historical_Data_Start,date_start_row,Calculations!CE$40,date_rows,1))</f>
        <v>-0.19993217145668851</v>
      </c>
      <c r="CF44" s="32">
        <f ca="1">CORREL(OFFSET(Historical_Data_Start,date_start_row,$B44,date_rows,1),OFFSET(Historical_Data_Start,date_start_row,Calculations!CF$40,date_rows,1))</f>
        <v>-7.2322484590819053E-2</v>
      </c>
      <c r="CG44" s="32">
        <f ca="1">CORREL(OFFSET(Historical_Data_Start,date_start_row,$B44,date_rows,1),OFFSET(Historical_Data_Start,date_start_row,Calculations!CG$40,date_rows,1))</f>
        <v>-1.5979843134568167E-3</v>
      </c>
      <c r="CH44" s="32">
        <f ca="1">CORREL(OFFSET(Historical_Data_Start,date_start_row,$B44,date_rows,1),OFFSET(Historical_Data_Start,date_start_row,Calculations!CH$40,date_rows,1))</f>
        <v>3.1013881829880866E-3</v>
      </c>
      <c r="CI44" s="32">
        <f ca="1">CORREL(OFFSET(Historical_Data_Start,date_start_row,$B44,date_rows,1),OFFSET(Historical_Data_Start,date_start_row,Calculations!CI$40,date_rows,1))</f>
        <v>-0.12551012230112121</v>
      </c>
      <c r="CJ44" s="32">
        <f ca="1">CORREL(OFFSET(Historical_Data_Start,date_start_row,$B44,date_rows,1),OFFSET(Historical_Data_Start,date_start_row,Calculations!CJ$40,date_rows,1))</f>
        <v>0.17962120688130948</v>
      </c>
      <c r="CK44" s="32">
        <f ca="1">CORREL(OFFSET(Historical_Data_Start,date_start_row,$B44,date_rows,1),OFFSET(Historical_Data_Start,date_start_row,Calculations!CK$40,date_rows,1))</f>
        <v>1.2700820679050647E-2</v>
      </c>
      <c r="CL44" s="32">
        <f ca="1">CORREL(OFFSET(Historical_Data_Start,date_start_row,$B44,date_rows,1),OFFSET(Historical_Data_Start,date_start_row,Calculations!CL$40,date_rows,1))</f>
        <v>0.1163215544832044</v>
      </c>
      <c r="CM44" s="32">
        <f ca="1">CORREL(OFFSET(Historical_Data_Start,date_start_row,$B44,date_rows,1),OFFSET(Historical_Data_Start,date_start_row,Calculations!CM$40,date_rows,1))</f>
        <v>0.86553293939880238</v>
      </c>
      <c r="CN44" s="32">
        <f ca="1">CORREL(OFFSET(Historical_Data_Start,date_start_row,$B44,date_rows,1),OFFSET(Historical_Data_Start,date_start_row,Calculations!CN$40,date_rows,1))</f>
        <v>1</v>
      </c>
      <c r="CO44" s="32">
        <f ca="1">CORREL(OFFSET(Historical_Data_Start,date_start_row,$B44,date_rows,1),OFFSET(Historical_Data_Start,date_start_row,Calculations!CO$40,date_rows,1))</f>
        <v>0.83538434394460326</v>
      </c>
      <c r="CP44" s="32">
        <f ca="1">CORREL(OFFSET(Historical_Data_Start,date_start_row,$B44,date_rows,1),OFFSET(Historical_Data_Start,date_start_row,Calculations!CP$40,date_rows,1))</f>
        <v>0.84851608346858287</v>
      </c>
      <c r="CQ44" s="32">
        <f ca="1">CORREL(OFFSET(Historical_Data_Start,date_start_row,$B44,date_rows,1),OFFSET(Historical_Data_Start,date_start_row,Calculations!CQ$40,date_rows,1))</f>
        <v>0.91737022871993801</v>
      </c>
      <c r="CR44" s="32">
        <f ca="1">CORREL(OFFSET(Historical_Data_Start,date_start_row,$B44,date_rows,1),OFFSET(Historical_Data_Start,date_start_row,Calculations!CR$40,date_rows,1))</f>
        <v>0.65743233025020464</v>
      </c>
      <c r="CS44" s="32">
        <f ca="1">CORREL(OFFSET(Historical_Data_Start,date_start_row,$B44,date_rows,1),OFFSET(Historical_Data_Start,date_start_row,Calculations!CS$40,date_rows,1))</f>
        <v>0.51514315429992008</v>
      </c>
      <c r="CT44" s="32">
        <f ca="1">CORREL(OFFSET(Historical_Data_Start,date_start_row,$B44,date_rows,1),OFFSET(Historical_Data_Start,date_start_row,Calculations!CT$40,date_rows,1))</f>
        <v>-0.72491369602666345</v>
      </c>
      <c r="CU44" s="32">
        <f ca="1">CORREL(OFFSET(Historical_Data_Start,date_start_row,$B44,date_rows,1),OFFSET(Historical_Data_Start,date_start_row,Calculations!CU$40,date_rows,1))</f>
        <v>-0.68623565302627221</v>
      </c>
      <c r="CV44" s="32">
        <f ca="1">CORREL(OFFSET(Historical_Data_Start,date_start_row,$B44,date_rows,1),OFFSET(Historical_Data_Start,date_start_row,Calculations!CV$40,date_rows,1))</f>
        <v>-0.50164681754980001</v>
      </c>
      <c r="CW44" s="32">
        <f ca="1">CORREL(OFFSET(Historical_Data_Start,date_start_row,$B44,date_rows,1),OFFSET(Historical_Data_Start,date_start_row,Calculations!CW$40,date_rows,1))</f>
        <v>4.8619516577579631E-2</v>
      </c>
      <c r="CX44" s="32">
        <f ca="1">CORREL(OFFSET(Historical_Data_Start,date_start_row,$B44,date_rows,1),OFFSET(Historical_Data_Start,date_start_row,Calculations!CX$40,date_rows,1))</f>
        <v>6.2076285254072459E-2</v>
      </c>
      <c r="CY44" s="32">
        <f ca="1">CORREL(OFFSET(Historical_Data_Start,date_start_row,$B44,date_rows,1),OFFSET(Historical_Data_Start,date_start_row,Calculations!CY$40,date_rows,1))</f>
        <v>5.9753276192508524E-2</v>
      </c>
      <c r="CZ44" s="32">
        <f ca="1">CORREL(OFFSET(Historical_Data_Start,date_start_row,$B44,date_rows,1),OFFSET(Historical_Data_Start,date_start_row,Calculations!CZ$40,date_rows,1))</f>
        <v>-6.1712046066886008E-3</v>
      </c>
      <c r="DA44" s="32">
        <f ca="1">CORREL(OFFSET(Historical_Data_Start,date_start_row,$B44,date_rows,1),OFFSET(Historical_Data_Start,date_start_row,Calculations!DA$40,date_rows,1))</f>
        <v>4.1277436417719117E-2</v>
      </c>
      <c r="DB44" s="32">
        <f ca="1">CORREL(OFFSET(Historical_Data_Start,date_start_row,$B44,date_rows,1),OFFSET(Historical_Data_Start,date_start_row,Calculations!DB$40,date_rows,1))</f>
        <v>3.2114635936372369E-3</v>
      </c>
      <c r="DC44" s="32">
        <f ca="1">CORREL(OFFSET(Historical_Data_Start,date_start_row,$B44,date_rows,1),OFFSET(Historical_Data_Start,date_start_row,Calculations!DC$40,date_rows,1))</f>
        <v>-0.11542475964635796</v>
      </c>
      <c r="DD44" s="32">
        <f ca="1">CORREL(OFFSET(Historical_Data_Start,date_start_row,$B44,date_rows,1),OFFSET(Historical_Data_Start,date_start_row,Calculations!DD$40,date_rows,1))</f>
        <v>0.17182770699265476</v>
      </c>
      <c r="DE44" s="32">
        <f ca="1">CORREL(OFFSET(Historical_Data_Start,date_start_row,$B44,date_rows,1),OFFSET(Historical_Data_Start,date_start_row,Calculations!DE$40,date_rows,1))</f>
        <v>0.19322306370315376</v>
      </c>
      <c r="DF44" s="32">
        <f ca="1">CORREL(OFFSET(Historical_Data_Start,date_start_row,$B44,date_rows,1),OFFSET(Historical_Data_Start,date_start_row,Calculations!DF$40,date_rows,1))</f>
        <v>0.22685390671827643</v>
      </c>
      <c r="DG44" s="32">
        <f ca="1">CORREL(OFFSET(Historical_Data_Start,date_start_row,$B44,date_rows,1),OFFSET(Historical_Data_Start,date_start_row,Calculations!DG$40,date_rows,1))</f>
        <v>0.20891771964579511</v>
      </c>
      <c r="DH44" s="33">
        <f ca="1">CORREL(OFFSET(Historical_Data_Start,date_start_row,$B44,date_rows,1),OFFSET(Historical_Data_Start,date_start_row,Calculations!DH$40,date_rows,1))</f>
        <v>0.14180919832926533</v>
      </c>
      <c r="DI44" s="2">
        <f t="shared" ref="DI44:DI91" si="71">DI43+1</f>
        <v>3</v>
      </c>
      <c r="DJ44" s="295">
        <f t="shared" ca="1" si="65"/>
        <v>1.2564995932452314E-4</v>
      </c>
      <c r="DK44" s="296">
        <f t="shared" ca="1" si="12"/>
        <v>5.8890861196694523E-3</v>
      </c>
      <c r="DL44" s="296">
        <f t="shared" ca="1" si="13"/>
        <v>1.1664000000000002E-2</v>
      </c>
      <c r="DM44" s="44">
        <f t="shared" ca="1" si="14"/>
        <v>4.6271032921789716E-3</v>
      </c>
      <c r="DN44" s="44">
        <f t="shared" ca="1" si="15"/>
        <v>8.8711843918930239E-3</v>
      </c>
      <c r="DO44" s="44">
        <f t="shared" ca="1" si="16"/>
        <v>4.7817399847389095E-3</v>
      </c>
      <c r="DP44" s="44">
        <f t="shared" ca="1" si="17"/>
        <v>8.4308558053438395E-3</v>
      </c>
      <c r="DQ44" s="44">
        <f t="shared" ca="1" si="18"/>
        <v>3.7133320059045175E-3</v>
      </c>
      <c r="DR44" s="44">
        <f t="shared" ca="1" si="19"/>
        <v>6.2367174948673686E-3</v>
      </c>
      <c r="DS44" s="44">
        <f t="shared" ca="1" si="20"/>
        <v>3.9500543701057296E-3</v>
      </c>
      <c r="DT44" s="44">
        <f t="shared" ca="1" si="21"/>
        <v>1.2269228100422747E-4</v>
      </c>
      <c r="DU44" s="44">
        <f t="shared" ca="1" si="22"/>
        <v>-5.1610673011925358E-4</v>
      </c>
      <c r="DV44" s="44">
        <f t="shared" ca="1" si="23"/>
        <v>-1.1616036891823659E-3</v>
      </c>
      <c r="DW44" s="44">
        <f t="shared" ca="1" si="24"/>
        <v>8.5683767699856902E-4</v>
      </c>
      <c r="DX44" s="44">
        <f t="shared" ca="1" si="25"/>
        <v>-3.50226658619704E-4</v>
      </c>
      <c r="DY44" s="44">
        <f t="shared" ca="1" si="26"/>
        <v>5.6458013105632689E-4</v>
      </c>
      <c r="DZ44" s="44">
        <f t="shared" ca="1" si="27"/>
        <v>3.2105964963802685E-3</v>
      </c>
      <c r="EA44" s="44">
        <f t="shared" ca="1" si="28"/>
        <v>-3.7891280682784637E-3</v>
      </c>
      <c r="EB44" s="44">
        <f t="shared" ca="1" si="29"/>
        <v>-5.1185540207852103E-3</v>
      </c>
      <c r="EC44" s="44">
        <f t="shared" ca="1" si="30"/>
        <v>-7.0099835268983175E-3</v>
      </c>
      <c r="ED44" s="44">
        <f t="shared" ca="1" si="31"/>
        <v>-6.0459488648502615E-3</v>
      </c>
      <c r="EE44" s="44">
        <f t="shared" ca="1" si="32"/>
        <v>-7.0297455022276132E-4</v>
      </c>
      <c r="EF44" s="44">
        <f t="shared" ca="1" si="33"/>
        <v>-1.5532407526800259E-5</v>
      </c>
      <c r="EG44" s="44">
        <f t="shared" ca="1" si="34"/>
        <v>5.6941487039661282E-5</v>
      </c>
      <c r="EH44" s="44">
        <f t="shared" ca="1" si="35"/>
        <v>-3.2532223700450619E-3</v>
      </c>
      <c r="EI44" s="44">
        <f t="shared" ca="1" si="36"/>
        <v>2.3278908411817709E-3</v>
      </c>
      <c r="EJ44" s="45">
        <f t="shared" ca="1" si="37"/>
        <v>1.2345197700037229E-4</v>
      </c>
      <c r="EK44" s="44">
        <f t="shared" ca="1" si="38"/>
        <v>1.2562727884186077E-4</v>
      </c>
      <c r="EL44" s="44">
        <f t="shared" ca="1" si="39"/>
        <v>4.2999676429332501E-3</v>
      </c>
      <c r="EM44" s="44">
        <f t="shared" ca="1" si="40"/>
        <v>8.7480000000000006E-3</v>
      </c>
      <c r="EN44" s="44">
        <f t="shared" ca="1" si="41"/>
        <v>3.6990818749867028E-3</v>
      </c>
      <c r="EO44" s="44">
        <f t="shared" ca="1" si="42"/>
        <v>1.0446930019665193E-2</v>
      </c>
      <c r="EP44" s="44">
        <f t="shared" ca="1" si="43"/>
        <v>2.7444047762385668E-2</v>
      </c>
      <c r="EQ44" s="44">
        <f t="shared" ca="1" si="44"/>
        <v>1.6898640616751264E-2</v>
      </c>
      <c r="ER44" s="44">
        <f t="shared" ca="1" si="45"/>
        <v>1.7803347412605242E-2</v>
      </c>
      <c r="ES44" s="44">
        <f t="shared" ca="1" si="46"/>
        <v>-4.9323127877654192E-3</v>
      </c>
      <c r="ET44" s="44">
        <f t="shared" ca="1" si="47"/>
        <v>-3.7056725263418708E-3</v>
      </c>
      <c r="EU44" s="44">
        <f t="shared" ca="1" si="48"/>
        <v>-3.7924499406764888E-3</v>
      </c>
      <c r="EV44" s="44">
        <f t="shared" ca="1" si="49"/>
        <v>8.4014524646057616E-4</v>
      </c>
      <c r="EW44" s="44">
        <f t="shared" ca="1" si="50"/>
        <v>1.3408477614879654E-3</v>
      </c>
      <c r="EX44" s="44">
        <f t="shared" ca="1" si="51"/>
        <v>1.1616036891823659E-3</v>
      </c>
      <c r="EY44" s="44">
        <f t="shared" ca="1" si="52"/>
        <v>-1.5995762340536855E-4</v>
      </c>
      <c r="EZ44" s="44">
        <f t="shared" ca="1" si="53"/>
        <v>9.3617225795386962E-4</v>
      </c>
      <c r="FA44" s="44">
        <f t="shared" ca="1" si="54"/>
        <v>6.9367613622564329E-5</v>
      </c>
      <c r="FB44" s="44">
        <f t="shared" ca="1" si="55"/>
        <v>-2.4931748083613322E-3</v>
      </c>
      <c r="FC44" s="44">
        <f t="shared" ca="1" si="56"/>
        <v>4.0826263181454776E-3</v>
      </c>
      <c r="FD44" s="44">
        <f t="shared" ca="1" si="57"/>
        <v>5.4257036287845587E-3</v>
      </c>
      <c r="FE44" s="44">
        <f t="shared" ca="1" si="58"/>
        <v>7.3500665776721572E-3</v>
      </c>
      <c r="FF44" s="44">
        <f t="shared" ca="1" si="59"/>
        <v>6.3176718420888452E-3</v>
      </c>
      <c r="FG44" s="45">
        <f t="shared" ca="1" si="60"/>
        <v>7.6576967097803295E-5</v>
      </c>
      <c r="FL44" s="111">
        <v>1</v>
      </c>
      <c r="FM44" s="111">
        <v>1</v>
      </c>
      <c r="FN44" s="111">
        <v>0</v>
      </c>
      <c r="FO44" s="111">
        <v>0</v>
      </c>
      <c r="FP44" s="111">
        <v>0</v>
      </c>
      <c r="FQ44" s="111">
        <v>0</v>
      </c>
    </row>
    <row r="45" spans="1:173" x14ac:dyDescent="0.2">
      <c r="A45" s="51" t="str">
        <f t="shared" ref="A45" ca="1" si="72">INDEX(Historical_Data_Names,3,B45)</f>
        <v>A</v>
      </c>
      <c r="B45" s="57">
        <f t="shared" si="67"/>
        <v>4</v>
      </c>
      <c r="C45" s="11" t="str">
        <f t="shared" ref="C45" ca="1" si="73">INDEX(Historical_Data_Names,2,B45)</f>
        <v>US Credit</v>
      </c>
      <c r="D45" s="58"/>
      <c r="E45" s="59">
        <f t="shared" ref="E45" ca="1" si="74">AVERAGE(OFFSET(Historical_Data_Start,date_start_row,$B45,date_rows,1))*4</f>
        <v>8.0353365160356863E-2</v>
      </c>
      <c r="F45" s="59">
        <f t="array" aca="1" ref="F45" ca="1">PRODUCT(1+OFFSET(Historical_Data_Start,date_start_row,$B45,date_rows,1))^(4/date_rows)-1</f>
        <v>8.1019797622808198E-2</v>
      </c>
      <c r="G45" s="59">
        <f t="shared" ref="G45" ca="1" si="75">STDEV(OFFSET(Historical_Data_Start,date_start_row,$B45,date_rows,1))*2</f>
        <v>5.9410835431488569E-2</v>
      </c>
      <c r="H45" s="6"/>
      <c r="I45" s="60">
        <v>5.9000000000000004E-2</v>
      </c>
      <c r="J45" s="60">
        <v>5.7999999999999996E-2</v>
      </c>
      <c r="K45" s="60"/>
      <c r="L45" s="60">
        <v>6.1900000000000004E-2</v>
      </c>
      <c r="M45" s="6"/>
      <c r="N45" s="82">
        <v>5.9730115971585708E-2</v>
      </c>
      <c r="O45" s="6"/>
      <c r="P45" s="53">
        <v>0</v>
      </c>
      <c r="Q45" s="85">
        <v>1</v>
      </c>
      <c r="R45" s="53"/>
      <c r="S45" s="226"/>
      <c r="T45" s="410">
        <v>0</v>
      </c>
      <c r="U45" s="410">
        <v>1</v>
      </c>
      <c r="V45" s="410">
        <v>0</v>
      </c>
      <c r="W45" s="410">
        <v>0</v>
      </c>
      <c r="X45" s="410">
        <v>0</v>
      </c>
      <c r="Y45" s="410">
        <v>0</v>
      </c>
      <c r="AB45" s="102" t="s">
        <v>96</v>
      </c>
      <c r="AI45" s="117">
        <v>0</v>
      </c>
      <c r="AJ45" s="117">
        <v>0</v>
      </c>
      <c r="AK45" s="117">
        <v>0</v>
      </c>
      <c r="AL45" s="117">
        <v>0</v>
      </c>
      <c r="AM45" s="117">
        <v>0</v>
      </c>
      <c r="AN45" s="117">
        <v>0</v>
      </c>
      <c r="AO45" s="117">
        <v>0</v>
      </c>
      <c r="AP45" s="117">
        <v>0</v>
      </c>
      <c r="AQ45" s="117">
        <v>0</v>
      </c>
      <c r="AR45" s="117">
        <v>0</v>
      </c>
      <c r="AS45" s="117">
        <v>0</v>
      </c>
      <c r="AU45" s="117">
        <v>0</v>
      </c>
      <c r="AV45" s="117">
        <v>0</v>
      </c>
      <c r="AW45" s="117">
        <v>0</v>
      </c>
      <c r="AX45" s="117">
        <v>0</v>
      </c>
      <c r="AY45" s="117">
        <v>0</v>
      </c>
      <c r="AZ45" s="117">
        <v>0</v>
      </c>
      <c r="BA45" s="117">
        <v>0</v>
      </c>
      <c r="BB45" s="117">
        <v>0</v>
      </c>
      <c r="BC45" s="117">
        <v>0</v>
      </c>
      <c r="BD45" s="117">
        <v>0</v>
      </c>
      <c r="BE45" s="117">
        <v>0</v>
      </c>
      <c r="BG45" s="1" t="str">
        <f t="shared" ca="1" si="9"/>
        <v>US Credit</v>
      </c>
      <c r="BH45" s="38">
        <f t="shared" si="10"/>
        <v>5.9000000000000004E-2</v>
      </c>
      <c r="BI45" s="38">
        <f t="shared" si="11"/>
        <v>5.7999999999999996E-2</v>
      </c>
      <c r="BK45" s="31">
        <f ca="1">CORREL(OFFSET(Historical_Data_Start,date_start_row,$B45,date_rows,1),OFFSET(Historical_Data_Start,date_start_row,Calculations!BK$40,date_rows,1))</f>
        <v>0.26959608450583117</v>
      </c>
      <c r="BL45" s="32">
        <f ca="1">CORREL(OFFSET(Historical_Data_Start,date_start_row,$B45,date_rows,1),OFFSET(Historical_Data_Start,date_start_row,Calculations!BL$40,date_rows,1))</f>
        <v>0.88056219636854183</v>
      </c>
      <c r="BM45" s="32">
        <f ca="1">CORREL(OFFSET(Historical_Data_Start,date_start_row,$B45,date_rows,1),OFFSET(Historical_Data_Start,date_start_row,Calculations!BM$40,date_rows,1))</f>
        <v>0.73868187933891616</v>
      </c>
      <c r="BN45" s="32">
        <f ca="1">CORREL(OFFSET(Historical_Data_Start,date_start_row,$B45,date_rows,1),OFFSET(Historical_Data_Start,date_start_row,Calculations!BN$40,date_rows,1))</f>
        <v>1</v>
      </c>
      <c r="BO45" s="32">
        <f ca="1">CORREL(OFFSET(Historical_Data_Start,date_start_row,$B45,date_rows,1),OFFSET(Historical_Data_Start,date_start_row,Calculations!BO$40,date_rows,1))</f>
        <v>0.93157912018507871</v>
      </c>
      <c r="BP45" s="32">
        <f ca="1">CORREL(OFFSET(Historical_Data_Start,date_start_row,$B45,date_rows,1),OFFSET(Historical_Data_Start,date_start_row,Calculations!BP$40,date_rows,1))</f>
        <v>0.82118144538552351</v>
      </c>
      <c r="BQ45" s="32">
        <f ca="1">CORREL(OFFSET(Historical_Data_Start,date_start_row,$B45,date_rows,1),OFFSET(Historical_Data_Start,date_start_row,Calculations!BQ$40,date_rows,1))</f>
        <v>0.80419272162143229</v>
      </c>
      <c r="BR45" s="32">
        <f ca="1">CORREL(OFFSET(Historical_Data_Start,date_start_row,$B45,date_rows,1),OFFSET(Historical_Data_Start,date_start_row,Calculations!BR$40,date_rows,1))</f>
        <v>0.85670820070269693</v>
      </c>
      <c r="BS45" s="32">
        <f ca="1">CORREL(OFFSET(Historical_Data_Start,date_start_row,$B45,date_rows,1),OFFSET(Historical_Data_Start,date_start_row,Calculations!BS$40,date_rows,1))</f>
        <v>0.81902248798474819</v>
      </c>
      <c r="BT45" s="32">
        <f ca="1">CORREL(OFFSET(Historical_Data_Start,date_start_row,$B45,date_rows,1),OFFSET(Historical_Data_Start,date_start_row,Calculations!BT$40,date_rows,1))</f>
        <v>0.56662855446065408</v>
      </c>
      <c r="BU45" s="32">
        <f ca="1">CORREL(OFFSET(Historical_Data_Start,date_start_row,$B45,date_rows,1),OFFSET(Historical_Data_Start,date_start_row,Calculations!BU$40,date_rows,1))</f>
        <v>0.15795414425008816</v>
      </c>
      <c r="BV45" s="32">
        <f ca="1">CORREL(OFFSET(Historical_Data_Start,date_start_row,$B45,date_rows,1),OFFSET(Historical_Data_Start,date_start_row,Calculations!BV$40,date_rows,1))</f>
        <v>0.16702430467019802</v>
      </c>
      <c r="BW45" s="32">
        <f ca="1">CORREL(OFFSET(Historical_Data_Start,date_start_row,$B45,date_rows,1),OFFSET(Historical_Data_Start,date_start_row,Calculations!BW$40,date_rows,1))</f>
        <v>0.22426122309225852</v>
      </c>
      <c r="BX45" s="32">
        <f ca="1">CORREL(OFFSET(Historical_Data_Start,date_start_row,$B45,date_rows,1),OFFSET(Historical_Data_Start,date_start_row,Calculations!BX$40,date_rows,1))</f>
        <v>0.10375929992938784</v>
      </c>
      <c r="BY45" s="32">
        <f ca="1">CORREL(OFFSET(Historical_Data_Start,date_start_row,$B45,date_rows,1),OFFSET(Historical_Data_Start,date_start_row,Calculations!BY$40,date_rows,1))</f>
        <v>0.21081394484780647</v>
      </c>
      <c r="BZ45" s="32">
        <f ca="1">CORREL(OFFSET(Historical_Data_Start,date_start_row,$B45,date_rows,1),OFFSET(Historical_Data_Start,date_start_row,Calculations!BZ$40,date_rows,1))</f>
        <v>0.25171431849701997</v>
      </c>
      <c r="CA45" s="32">
        <f ca="1">CORREL(OFFSET(Historical_Data_Start,date_start_row,$B45,date_rows,1),OFFSET(Historical_Data_Start,date_start_row,Calculations!CA$40,date_rows,1))</f>
        <v>0.28635432265097249</v>
      </c>
      <c r="CB45" s="32">
        <f ca="1">CORREL(OFFSET(Historical_Data_Start,date_start_row,$B45,date_rows,1),OFFSET(Historical_Data_Start,date_start_row,Calculations!CB$40,date_rows,1))</f>
        <v>0.10121390419439345</v>
      </c>
      <c r="CC45" s="32">
        <f ca="1">CORREL(OFFSET(Historical_Data_Start,date_start_row,$B45,date_rows,1),OFFSET(Historical_Data_Start,date_start_row,Calculations!CC$40,date_rows,1))</f>
        <v>9.2917751584338973E-2</v>
      </c>
      <c r="CD45" s="32">
        <f ca="1">CORREL(OFFSET(Historical_Data_Start,date_start_row,$B45,date_rows,1),OFFSET(Historical_Data_Start,date_start_row,Calculations!CD$40,date_rows,1))</f>
        <v>-2.3255882193698595E-4</v>
      </c>
      <c r="CE45" s="32">
        <f ca="1">CORREL(OFFSET(Historical_Data_Start,date_start_row,$B45,date_rows,1),OFFSET(Historical_Data_Start,date_start_row,Calculations!CE$40,date_rows,1))</f>
        <v>3.5393350776200982E-2</v>
      </c>
      <c r="CF45" s="32">
        <f ca="1">CORREL(OFFSET(Historical_Data_Start,date_start_row,$B45,date_rows,1),OFFSET(Historical_Data_Start,date_start_row,Calculations!CF$40,date_rows,1))</f>
        <v>-0.14985738854464303</v>
      </c>
      <c r="CG45" s="32">
        <f ca="1">CORREL(OFFSET(Historical_Data_Start,date_start_row,$B45,date_rows,1),OFFSET(Historical_Data_Start,date_start_row,Calculations!CG$40,date_rows,1))</f>
        <v>-3.4100440180851004E-2</v>
      </c>
      <c r="CH45" s="32">
        <f ca="1">CORREL(OFFSET(Historical_Data_Start,date_start_row,$B45,date_rows,1),OFFSET(Historical_Data_Start,date_start_row,Calculations!CH$40,date_rows,1))</f>
        <v>0.1955902835342811</v>
      </c>
      <c r="CI45" s="32">
        <f ca="1">CORREL(OFFSET(Historical_Data_Start,date_start_row,$B45,date_rows,1),OFFSET(Historical_Data_Start,date_start_row,Calculations!CI$40,date_rows,1))</f>
        <v>0.14089553620574677</v>
      </c>
      <c r="CJ45" s="32">
        <f ca="1">CORREL(OFFSET(Historical_Data_Start,date_start_row,$B45,date_rows,1),OFFSET(Historical_Data_Start,date_start_row,Calculations!CJ$40,date_rows,1))</f>
        <v>0.11394232624331282</v>
      </c>
      <c r="CK45" s="32">
        <f ca="1">CORREL(OFFSET(Historical_Data_Start,date_start_row,$B45,date_rows,1),OFFSET(Historical_Data_Start,date_start_row,Calculations!CK$40,date_rows,1))</f>
        <v>-8.9352340161175089E-2</v>
      </c>
      <c r="CL45" s="32">
        <f ca="1">CORREL(OFFSET(Historical_Data_Start,date_start_row,$B45,date_rows,1),OFFSET(Historical_Data_Start,date_start_row,Calculations!CL$40,date_rows,1))</f>
        <v>0.26958687320428937</v>
      </c>
      <c r="CM45" s="32">
        <f ca="1">CORREL(OFFSET(Historical_Data_Start,date_start_row,$B45,date_rows,1),OFFSET(Historical_Data_Start,date_start_row,Calculations!CM$40,date_rows,1))</f>
        <v>0.88056219636854183</v>
      </c>
      <c r="CN45" s="32">
        <f ca="1">CORREL(OFFSET(Historical_Data_Start,date_start_row,$B45,date_rows,1),OFFSET(Historical_Data_Start,date_start_row,Calculations!CN$40,date_rows,1))</f>
        <v>0.73868187933891616</v>
      </c>
      <c r="CO45" s="32">
        <f ca="1">CORREL(OFFSET(Historical_Data_Start,date_start_row,$B45,date_rows,1),OFFSET(Historical_Data_Start,date_start_row,Calculations!CO$40,date_rows,1))</f>
        <v>0.82118144538552351</v>
      </c>
      <c r="CP45" s="32">
        <f ca="1">CORREL(OFFSET(Historical_Data_Start,date_start_row,$B45,date_rows,1),OFFSET(Historical_Data_Start,date_start_row,Calculations!CP$40,date_rows,1))</f>
        <v>0.80419272162143229</v>
      </c>
      <c r="CQ45" s="32">
        <f ca="1">CORREL(OFFSET(Historical_Data_Start,date_start_row,$B45,date_rows,1),OFFSET(Historical_Data_Start,date_start_row,Calculations!CQ$40,date_rows,1))</f>
        <v>0.63223861586662666</v>
      </c>
      <c r="CR45" s="32">
        <f ca="1">CORREL(OFFSET(Historical_Data_Start,date_start_row,$B45,date_rows,1),OFFSET(Historical_Data_Start,date_start_row,Calculations!CR$40,date_rows,1))</f>
        <v>0.66078144578030118</v>
      </c>
      <c r="CS45" s="32">
        <f ca="1">CORREL(OFFSET(Historical_Data_Start,date_start_row,$B45,date_rows,1),OFFSET(Historical_Data_Start,date_start_row,Calculations!CS$40,date_rows,1))</f>
        <v>0.461816207799429</v>
      </c>
      <c r="CT45" s="32">
        <f ca="1">CORREL(OFFSET(Historical_Data_Start,date_start_row,$B45,date_rows,1),OFFSET(Historical_Data_Start,date_start_row,Calculations!CT$40,date_rows,1))</f>
        <v>-0.99287852560086309</v>
      </c>
      <c r="CU45" s="32">
        <f ca="1">CORREL(OFFSET(Historical_Data_Start,date_start_row,$B45,date_rows,1),OFFSET(Historical_Data_Start,date_start_row,Calculations!CU$40,date_rows,1))</f>
        <v>-0.84872029415595984</v>
      </c>
      <c r="CV45" s="32">
        <f ca="1">CORREL(OFFSET(Historical_Data_Start,date_start_row,$B45,date_rows,1),OFFSET(Historical_Data_Start,date_start_row,Calculations!CV$40,date_rows,1))</f>
        <v>-0.41185863281878998</v>
      </c>
      <c r="CW45" s="32">
        <f ca="1">CORREL(OFFSET(Historical_Data_Start,date_start_row,$B45,date_rows,1),OFFSET(Historical_Data_Start,date_start_row,Calculations!CW$40,date_rows,1))</f>
        <v>-0.23368530913199881</v>
      </c>
      <c r="CX45" s="32">
        <f ca="1">CORREL(OFFSET(Historical_Data_Start,date_start_row,$B45,date_rows,1),OFFSET(Historical_Data_Start,date_start_row,Calculations!CX$40,date_rows,1))</f>
        <v>-0.22584485771196167</v>
      </c>
      <c r="CY45" s="32">
        <f ca="1">CORREL(OFFSET(Historical_Data_Start,date_start_row,$B45,date_rows,1),OFFSET(Historical_Data_Start,date_start_row,Calculations!CY$40,date_rows,1))</f>
        <v>-0.22426122309225852</v>
      </c>
      <c r="CZ45" s="32">
        <f ca="1">CORREL(OFFSET(Historical_Data_Start,date_start_row,$B45,date_rows,1),OFFSET(Historical_Data_Start,date_start_row,Calculations!CZ$40,date_rows,1))</f>
        <v>-0.1404317808075882</v>
      </c>
      <c r="DA45" s="32">
        <f ca="1">CORREL(OFFSET(Historical_Data_Start,date_start_row,$B45,date_rows,1),OFFSET(Historical_Data_Start,date_start_row,Calculations!DA$40,date_rows,1))</f>
        <v>-0.24276447315211602</v>
      </c>
      <c r="DB45" s="32">
        <f ca="1">CORREL(OFFSET(Historical_Data_Start,date_start_row,$B45,date_rows,1),OFFSET(Historical_Data_Start,date_start_row,Calculations!DB$40,date_rows,1))</f>
        <v>-0.28523980060708631</v>
      </c>
      <c r="DC45" s="32">
        <f ca="1">CORREL(OFFSET(Historical_Data_Start,date_start_row,$B45,date_rows,1),OFFSET(Historical_Data_Start,date_start_row,Calculations!DC$40,date_rows,1))</f>
        <v>-0.32841055014823578</v>
      </c>
      <c r="DD45" s="32">
        <f ca="1">CORREL(OFFSET(Historical_Data_Start,date_start_row,$B45,date_rows,1),OFFSET(Historical_Data_Start,date_start_row,Calculations!DD$40,date_rows,1))</f>
        <v>-0.13379805145560483</v>
      </c>
      <c r="DE45" s="32">
        <f ca="1">CORREL(OFFSET(Historical_Data_Start,date_start_row,$B45,date_rows,1),OFFSET(Historical_Data_Start,date_start_row,Calculations!DE$40,date_rows,1))</f>
        <v>-0.12222067201028437</v>
      </c>
      <c r="DF45" s="32">
        <f ca="1">CORREL(OFFSET(Historical_Data_Start,date_start_row,$B45,date_rows,1),OFFSET(Historical_Data_Start,date_start_row,Calculations!DF$40,date_rows,1))</f>
        <v>-3.1128500505395122E-2</v>
      </c>
      <c r="DG45" s="32">
        <f ca="1">CORREL(OFFSET(Historical_Data_Start,date_start_row,$B45,date_rows,1),OFFSET(Historical_Data_Start,date_start_row,Calculations!DG$40,date_rows,1))</f>
        <v>-7.0887786610123252E-2</v>
      </c>
      <c r="DH45" s="33">
        <f ca="1">CORREL(OFFSET(Historical_Data_Start,date_start_row,$B45,date_rows,1),OFFSET(Historical_Data_Start,date_start_row,Calculations!DH$40,date_rows,1))</f>
        <v>0.17164658240759306</v>
      </c>
      <c r="DI45" s="2">
        <f t="shared" si="71"/>
        <v>4</v>
      </c>
      <c r="DJ45" s="43">
        <f t="shared" ca="1" si="65"/>
        <v>1.5636572901338208E-4</v>
      </c>
      <c r="DK45" s="44">
        <f t="shared" ca="1" si="12"/>
        <v>3.2175742655306517E-3</v>
      </c>
      <c r="DL45" s="44">
        <f t="shared" ca="1" si="13"/>
        <v>4.6271032921789716E-3</v>
      </c>
      <c r="DM45" s="44">
        <f t="shared" ca="1" si="14"/>
        <v>3.3639999999999994E-3</v>
      </c>
      <c r="DN45" s="44">
        <f t="shared" ca="1" si="15"/>
        <v>5.2950957191319871E-3</v>
      </c>
      <c r="DO45" s="44">
        <f t="shared" ca="1" si="16"/>
        <v>2.5243117631150993E-3</v>
      </c>
      <c r="DP45" s="44">
        <f t="shared" ca="1" si="17"/>
        <v>4.2911723625719623E-3</v>
      </c>
      <c r="DQ45" s="44">
        <f t="shared" ca="1" si="18"/>
        <v>2.4347647063970644E-3</v>
      </c>
      <c r="DR45" s="44">
        <f t="shared" ca="1" si="19"/>
        <v>3.9427742571585779E-3</v>
      </c>
      <c r="DS45" s="44">
        <f t="shared" ca="1" si="20"/>
        <v>2.3005119311102556E-3</v>
      </c>
      <c r="DT45" s="44">
        <f t="shared" ca="1" si="21"/>
        <v>1.4658144586408182E-3</v>
      </c>
      <c r="DU45" s="44">
        <f t="shared" ca="1" si="22"/>
        <v>1.937481934174297E-3</v>
      </c>
      <c r="DV45" s="44">
        <f t="shared" ca="1" si="23"/>
        <v>2.3412871690831789E-3</v>
      </c>
      <c r="DW45" s="44">
        <f t="shared" ca="1" si="24"/>
        <v>1.4443294550170785E-3</v>
      </c>
      <c r="DX45" s="44">
        <f t="shared" ca="1" si="25"/>
        <v>2.5677138482462824E-3</v>
      </c>
      <c r="DY45" s="44">
        <f t="shared" ca="1" si="26"/>
        <v>2.9198860945654314E-3</v>
      </c>
      <c r="DZ45" s="44">
        <f t="shared" ca="1" si="27"/>
        <v>3.3217101427512807E-3</v>
      </c>
      <c r="EA45" s="44">
        <f t="shared" ca="1" si="28"/>
        <v>1.2914894175204603E-3</v>
      </c>
      <c r="EB45" s="44">
        <f t="shared" ca="1" si="29"/>
        <v>1.4011996938918317E-3</v>
      </c>
      <c r="EC45" s="44">
        <f t="shared" ca="1" si="30"/>
        <v>-4.0465235017035555E-6</v>
      </c>
      <c r="ED45" s="44">
        <f t="shared" ca="1" si="31"/>
        <v>5.7478801660550399E-4</v>
      </c>
      <c r="EE45" s="44">
        <f t="shared" ca="1" si="32"/>
        <v>-7.8225556820303663E-4</v>
      </c>
      <c r="EF45" s="44">
        <f t="shared" ca="1" si="33"/>
        <v>-1.7800429774404223E-4</v>
      </c>
      <c r="EG45" s="44">
        <f t="shared" ca="1" si="34"/>
        <v>1.9285201956480117E-3</v>
      </c>
      <c r="EH45" s="44">
        <f t="shared" ca="1" si="35"/>
        <v>1.9612658639839948E-3</v>
      </c>
      <c r="EI45" s="44">
        <f t="shared" ca="1" si="36"/>
        <v>7.9303859065345717E-4</v>
      </c>
      <c r="EJ45" s="45">
        <f t="shared" ca="1" si="37"/>
        <v>-4.6641921564133393E-4</v>
      </c>
      <c r="EK45" s="44">
        <f t="shared" ca="1" si="38"/>
        <v>1.5636038645848782E-4</v>
      </c>
      <c r="EL45" s="44">
        <f t="shared" ca="1" si="39"/>
        <v>2.3493399399112692E-3</v>
      </c>
      <c r="EM45" s="44">
        <f t="shared" ca="1" si="40"/>
        <v>3.470327469134228E-3</v>
      </c>
      <c r="EN45" s="44">
        <f t="shared" ca="1" si="41"/>
        <v>1.9527694771267745E-3</v>
      </c>
      <c r="EO45" s="44">
        <f t="shared" ca="1" si="42"/>
        <v>5.3173222753609105E-3</v>
      </c>
      <c r="EP45" s="44">
        <f t="shared" ca="1" si="43"/>
        <v>1.0157545602513222E-2</v>
      </c>
      <c r="EQ45" s="44">
        <f t="shared" ca="1" si="44"/>
        <v>9.1214270775512776E-3</v>
      </c>
      <c r="ER45" s="44">
        <f t="shared" ca="1" si="45"/>
        <v>8.5713088167574027E-3</v>
      </c>
      <c r="ES45" s="44">
        <f t="shared" ca="1" si="46"/>
        <v>-3.6279781325455535E-3</v>
      </c>
      <c r="ET45" s="44">
        <f t="shared" ca="1" si="47"/>
        <v>-2.4612888530522832E-3</v>
      </c>
      <c r="EU45" s="44">
        <f t="shared" ca="1" si="48"/>
        <v>-1.6721460492442875E-3</v>
      </c>
      <c r="EV45" s="44">
        <f t="shared" ca="1" si="49"/>
        <v>-2.168599668744949E-3</v>
      </c>
      <c r="EW45" s="44">
        <f t="shared" ca="1" si="50"/>
        <v>-2.6198003494587552E-3</v>
      </c>
      <c r="EX45" s="44">
        <f t="shared" ca="1" si="51"/>
        <v>-2.3412871690831789E-3</v>
      </c>
      <c r="EY45" s="44">
        <f t="shared" ca="1" si="52"/>
        <v>-1.9548103888416273E-3</v>
      </c>
      <c r="EZ45" s="44">
        <f t="shared" ca="1" si="53"/>
        <v>-2.9568712829927727E-3</v>
      </c>
      <c r="FA45" s="44">
        <f t="shared" ca="1" si="54"/>
        <v>-3.3087816870422011E-3</v>
      </c>
      <c r="FB45" s="44">
        <f t="shared" ca="1" si="55"/>
        <v>-3.8095623817195347E-3</v>
      </c>
      <c r="FC45" s="44">
        <f t="shared" ca="1" si="56"/>
        <v>-1.7072631365735176E-3</v>
      </c>
      <c r="FD45" s="44">
        <f t="shared" ca="1" si="57"/>
        <v>-1.8430877339150884E-3</v>
      </c>
      <c r="FE45" s="44">
        <f t="shared" ca="1" si="58"/>
        <v>-5.4163590879387506E-4</v>
      </c>
      <c r="FF45" s="44">
        <f t="shared" ca="1" si="59"/>
        <v>-1.1512176545484018E-3</v>
      </c>
      <c r="FG45" s="45">
        <f t="shared" ca="1" si="60"/>
        <v>4.9777508898201988E-5</v>
      </c>
      <c r="FL45" s="111">
        <v>0</v>
      </c>
      <c r="FM45" s="111">
        <v>1</v>
      </c>
      <c r="FN45" s="111">
        <v>0</v>
      </c>
      <c r="FO45" s="111">
        <v>0</v>
      </c>
      <c r="FP45" s="111">
        <v>0</v>
      </c>
      <c r="FQ45" s="111">
        <v>0</v>
      </c>
    </row>
    <row r="46" spans="1:173" x14ac:dyDescent="0.2">
      <c r="A46" s="51" t="str">
        <f t="shared" ref="A46" ca="1" si="76">INDEX(Historical_Data_Names,3,B46)</f>
        <v>A</v>
      </c>
      <c r="B46" s="57">
        <f t="shared" si="67"/>
        <v>5</v>
      </c>
      <c r="C46" s="11" t="str">
        <f t="shared" ref="C46" ca="1" si="77">INDEX(Historical_Data_Names,2,B46)</f>
        <v>US L-Cred</v>
      </c>
      <c r="D46" s="58"/>
      <c r="E46" s="59">
        <f t="shared" ref="E46" ca="1" si="78">AVERAGE(OFFSET(Historical_Data_Start,date_start_row,$B46,date_rows,1))*4</f>
        <v>9.5991482862322564E-2</v>
      </c>
      <c r="F46" s="59">
        <f t="array" aca="1" ref="F46" ca="1">PRODUCT(1+OFFSET(Historical_Data_Start,date_start_row,$B46,date_rows,1))^(4/date_rows)-1</f>
        <v>9.3946111180651659E-2</v>
      </c>
      <c r="G46" s="59">
        <f t="shared" ref="G46" ca="1" si="79">STDEV(OFFSET(Historical_Data_Start,date_start_row,$B46,date_rows,1))*2</f>
        <v>0.10403110584646351</v>
      </c>
      <c r="H46" s="6"/>
      <c r="I46" s="60">
        <v>6.5000000000000002E-2</v>
      </c>
      <c r="J46" s="60">
        <v>9.8000000000000004E-2</v>
      </c>
      <c r="K46" s="60"/>
      <c r="L46" s="60">
        <v>5.5800000000000002E-2</v>
      </c>
      <c r="M46" s="6"/>
      <c r="N46" s="82">
        <v>5.5799993150870045E-2</v>
      </c>
      <c r="O46" s="6"/>
      <c r="P46" s="53">
        <v>0</v>
      </c>
      <c r="Q46" s="85">
        <v>5.5800000000000002E-2</v>
      </c>
      <c r="R46" s="53"/>
      <c r="S46" s="226"/>
      <c r="T46" s="410">
        <v>0</v>
      </c>
      <c r="U46" s="410">
        <v>1</v>
      </c>
      <c r="V46" s="410">
        <v>0</v>
      </c>
      <c r="W46" s="410">
        <v>0</v>
      </c>
      <c r="X46" s="410">
        <v>0</v>
      </c>
      <c r="Y46" s="410">
        <v>0</v>
      </c>
      <c r="AB46" s="102" t="s">
        <v>97</v>
      </c>
      <c r="AI46" s="117">
        <v>0</v>
      </c>
      <c r="AJ46" s="117">
        <v>0</v>
      </c>
      <c r="AK46" s="117">
        <v>0</v>
      </c>
      <c r="AL46" s="117">
        <v>0</v>
      </c>
      <c r="AM46" s="117">
        <v>0</v>
      </c>
      <c r="AN46" s="117">
        <v>0</v>
      </c>
      <c r="AO46" s="117">
        <v>0</v>
      </c>
      <c r="AP46" s="117">
        <v>0</v>
      </c>
      <c r="AQ46" s="117">
        <v>0</v>
      </c>
      <c r="AR46" s="117">
        <v>0</v>
      </c>
      <c r="AS46" s="117">
        <v>0</v>
      </c>
      <c r="AU46" s="117">
        <v>0</v>
      </c>
      <c r="AV46" s="117">
        <v>0</v>
      </c>
      <c r="AW46" s="117">
        <v>0</v>
      </c>
      <c r="AX46" s="117">
        <v>0</v>
      </c>
      <c r="AY46" s="117">
        <v>0</v>
      </c>
      <c r="AZ46" s="117">
        <v>0</v>
      </c>
      <c r="BA46" s="117">
        <v>0</v>
      </c>
      <c r="BB46" s="117">
        <v>0</v>
      </c>
      <c r="BC46" s="117">
        <v>0</v>
      </c>
      <c r="BD46" s="117">
        <v>0</v>
      </c>
      <c r="BE46" s="117">
        <v>0</v>
      </c>
      <c r="BG46" s="1" t="str">
        <f t="shared" ca="1" si="9"/>
        <v>US L-Cred</v>
      </c>
      <c r="BH46" s="38">
        <f t="shared" si="10"/>
        <v>6.5000000000000002E-2</v>
      </c>
      <c r="BI46" s="38">
        <f t="shared" si="11"/>
        <v>9.8000000000000004E-2</v>
      </c>
      <c r="BK46" s="31">
        <f ca="1">CORREL(OFFSET(Historical_Data_Start,date_start_row,$B46,date_rows,1),OFFSET(Historical_Data_Start,date_start_row,Calculations!BK$40,date_rows,1))</f>
        <v>0.13077543144256257</v>
      </c>
      <c r="BL46" s="32">
        <f ca="1">CORREL(OFFSET(Historical_Data_Start,date_start_row,$B46,date_rows,1),OFFSET(Historical_Data_Start,date_start_row,Calculations!BL$40,date_rows,1))</f>
        <v>0.81706246656885284</v>
      </c>
      <c r="BM46" s="32">
        <f ca="1">CORREL(OFFSET(Historical_Data_Start,date_start_row,$B46,date_rows,1),OFFSET(Historical_Data_Start,date_start_row,Calculations!BM$40,date_rows,1))</f>
        <v>0.83816934919624175</v>
      </c>
      <c r="BN46" s="32">
        <f ca="1">CORREL(OFFSET(Historical_Data_Start,date_start_row,$B46,date_rows,1),OFFSET(Historical_Data_Start,date_start_row,Calculations!BN$40,date_rows,1))</f>
        <v>0.93157912018507871</v>
      </c>
      <c r="BO46" s="32">
        <f ca="1">CORREL(OFFSET(Historical_Data_Start,date_start_row,$B46,date_rows,1),OFFSET(Historical_Data_Start,date_start_row,Calculations!BO$40,date_rows,1))</f>
        <v>1</v>
      </c>
      <c r="BP46" s="32">
        <f ca="1">CORREL(OFFSET(Historical_Data_Start,date_start_row,$B46,date_rows,1),OFFSET(Historical_Data_Start,date_start_row,Calculations!BP$40,date_rows,1))</f>
        <v>0.81879055940813783</v>
      </c>
      <c r="BQ46" s="32">
        <f ca="1">CORREL(OFFSET(Historical_Data_Start,date_start_row,$B46,date_rows,1),OFFSET(Historical_Data_Start,date_start_row,Calculations!BQ$40,date_rows,1))</f>
        <v>0.85246788515283478</v>
      </c>
      <c r="BR46" s="32">
        <f ca="1">CORREL(OFFSET(Historical_Data_Start,date_start_row,$B46,date_rows,1),OFFSET(Historical_Data_Start,date_start_row,Calculations!BR$40,date_rows,1))</f>
        <v>0.83760610471319741</v>
      </c>
      <c r="BS46" s="32">
        <f ca="1">CORREL(OFFSET(Historical_Data_Start,date_start_row,$B46,date_rows,1),OFFSET(Historical_Data_Start,date_start_row,Calculations!BS$40,date_rows,1))</f>
        <v>0.85227674270460263</v>
      </c>
      <c r="BT46" s="32">
        <f ca="1">CORREL(OFFSET(Historical_Data_Start,date_start_row,$B46,date_rows,1),OFFSET(Historical_Data_Start,date_start_row,Calculations!BT$40,date_rows,1))</f>
        <v>0.52999274242780259</v>
      </c>
      <c r="BU46" s="32">
        <f ca="1">CORREL(OFFSET(Historical_Data_Start,date_start_row,$B46,date_rows,1),OFFSET(Historical_Data_Start,date_start_row,Calculations!BU$40,date_rows,1))</f>
        <v>0.19269819087151371</v>
      </c>
      <c r="BV46" s="32">
        <f ca="1">CORREL(OFFSET(Historical_Data_Start,date_start_row,$B46,date_rows,1),OFFSET(Historical_Data_Start,date_start_row,Calculations!BV$40,date_rows,1))</f>
        <v>0.18879710910666433</v>
      </c>
      <c r="BW46" s="32">
        <f ca="1">CORREL(OFFSET(Historical_Data_Start,date_start_row,$B46,date_rows,1),OFFSET(Historical_Data_Start,date_start_row,Calculations!BW$40,date_rows,1))</f>
        <v>0.22429315966682734</v>
      </c>
      <c r="BX46" s="32">
        <f ca="1">CORREL(OFFSET(Historical_Data_Start,date_start_row,$B46,date_rows,1),OFFSET(Historical_Data_Start,date_start_row,Calculations!BX$40,date_rows,1))</f>
        <v>8.7875182817251263E-2</v>
      </c>
      <c r="BY46" s="32">
        <f ca="1">CORREL(OFFSET(Historical_Data_Start,date_start_row,$B46,date_rows,1),OFFSET(Historical_Data_Start,date_start_row,Calculations!BY$40,date_rows,1))</f>
        <v>0.22085775940326144</v>
      </c>
      <c r="BZ46" s="32">
        <f ca="1">CORREL(OFFSET(Historical_Data_Start,date_start_row,$B46,date_rows,1),OFFSET(Historical_Data_Start,date_start_row,Calculations!BZ$40,date_rows,1))</f>
        <v>0.23989824972723642</v>
      </c>
      <c r="CA46" s="32">
        <f ca="1">CORREL(OFFSET(Historical_Data_Start,date_start_row,$B46,date_rows,1),OFFSET(Historical_Data_Start,date_start_row,Calculations!CA$40,date_rows,1))</f>
        <v>0.2849258306455143</v>
      </c>
      <c r="CB46" s="32">
        <f ca="1">CORREL(OFFSET(Historical_Data_Start,date_start_row,$B46,date_rows,1),OFFSET(Historical_Data_Start,date_start_row,Calculations!CB$40,date_rows,1))</f>
        <v>9.5933811113902659E-2</v>
      </c>
      <c r="CC46" s="32">
        <f ca="1">CORREL(OFFSET(Historical_Data_Start,date_start_row,$B46,date_rows,1),OFFSET(Historical_Data_Start,date_start_row,Calculations!CC$40,date_rows,1))</f>
        <v>6.1296580324565926E-2</v>
      </c>
      <c r="CD46" s="32">
        <f ca="1">CORREL(OFFSET(Historical_Data_Start,date_start_row,$B46,date_rows,1),OFFSET(Historical_Data_Start,date_start_row,Calculations!CD$40,date_rows,1))</f>
        <v>-1.879299617116223E-2</v>
      </c>
      <c r="CE46" s="32">
        <f ca="1">CORREL(OFFSET(Historical_Data_Start,date_start_row,$B46,date_rows,1),OFFSET(Historical_Data_Start,date_start_row,Calculations!CE$40,date_rows,1))</f>
        <v>3.3000333437160502E-2</v>
      </c>
      <c r="CF46" s="32">
        <f ca="1">CORREL(OFFSET(Historical_Data_Start,date_start_row,$B46,date_rows,1),OFFSET(Historical_Data_Start,date_start_row,Calculations!CF$40,date_rows,1))</f>
        <v>-0.15243967952076592</v>
      </c>
      <c r="CG46" s="32">
        <f ca="1">CORREL(OFFSET(Historical_Data_Start,date_start_row,$B46,date_rows,1),OFFSET(Historical_Data_Start,date_start_row,Calculations!CG$40,date_rows,1))</f>
        <v>-4.4626598122383399E-2</v>
      </c>
      <c r="CH46" s="32">
        <f ca="1">CORREL(OFFSET(Historical_Data_Start,date_start_row,$B46,date_rows,1),OFFSET(Historical_Data_Start,date_start_row,Calculations!CH$40,date_rows,1))</f>
        <v>0.19377730725227765</v>
      </c>
      <c r="CI46" s="32">
        <f ca="1">CORREL(OFFSET(Historical_Data_Start,date_start_row,$B46,date_rows,1),OFFSET(Historical_Data_Start,date_start_row,Calculations!CI$40,date_rows,1))</f>
        <v>9.6935712508836785E-2</v>
      </c>
      <c r="CJ46" s="32">
        <f ca="1">CORREL(OFFSET(Historical_Data_Start,date_start_row,$B46,date_rows,1),OFFSET(Historical_Data_Start,date_start_row,Calculations!CJ$40,date_rows,1))</f>
        <v>0.13815536319163557</v>
      </c>
      <c r="CK46" s="32">
        <f ca="1">CORREL(OFFSET(Historical_Data_Start,date_start_row,$B46,date_rows,1),OFFSET(Historical_Data_Start,date_start_row,Calculations!CK$40,date_rows,1))</f>
        <v>3.7312900508450703E-3</v>
      </c>
      <c r="CL46" s="32">
        <f ca="1">CORREL(OFFSET(Historical_Data_Start,date_start_row,$B46,date_rows,1),OFFSET(Historical_Data_Start,date_start_row,Calculations!CL$40,date_rows,1))</f>
        <v>0.1307523065924146</v>
      </c>
      <c r="CM46" s="32">
        <f ca="1">CORREL(OFFSET(Historical_Data_Start,date_start_row,$B46,date_rows,1),OFFSET(Historical_Data_Start,date_start_row,Calculations!CM$40,date_rows,1))</f>
        <v>0.81706246656885284</v>
      </c>
      <c r="CN46" s="32">
        <f ca="1">CORREL(OFFSET(Historical_Data_Start,date_start_row,$B46,date_rows,1),OFFSET(Historical_Data_Start,date_start_row,Calculations!CN$40,date_rows,1))</f>
        <v>0.83816934919624175</v>
      </c>
      <c r="CO46" s="32">
        <f ca="1">CORREL(OFFSET(Historical_Data_Start,date_start_row,$B46,date_rows,1),OFFSET(Historical_Data_Start,date_start_row,Calculations!CO$40,date_rows,1))</f>
        <v>0.81879055940813783</v>
      </c>
      <c r="CP46" s="32">
        <f ca="1">CORREL(OFFSET(Historical_Data_Start,date_start_row,$B46,date_rows,1),OFFSET(Historical_Data_Start,date_start_row,Calculations!CP$40,date_rows,1))</f>
        <v>0.85246788515283478</v>
      </c>
      <c r="CQ46" s="32">
        <f ca="1">CORREL(OFFSET(Historical_Data_Start,date_start_row,$B46,date_rows,1),OFFSET(Historical_Data_Start,date_start_row,Calculations!CQ$40,date_rows,1))</f>
        <v>0.74751224785412662</v>
      </c>
      <c r="CR46" s="32">
        <f ca="1">CORREL(OFFSET(Historical_Data_Start,date_start_row,$B46,date_rows,1),OFFSET(Historical_Data_Start,date_start_row,Calculations!CR$40,date_rows,1))</f>
        <v>0.70316048196660397</v>
      </c>
      <c r="CS46" s="32">
        <f ca="1">CORREL(OFFSET(Historical_Data_Start,date_start_row,$B46,date_rows,1),OFFSET(Historical_Data_Start,date_start_row,Calculations!CS$40,date_rows,1))</f>
        <v>0.47054623002615165</v>
      </c>
      <c r="CT46" s="32">
        <f ca="1">CORREL(OFFSET(Historical_Data_Start,date_start_row,$B46,date_rows,1),OFFSET(Historical_Data_Start,date_start_row,Calculations!CT$40,date_rows,1))</f>
        <v>-0.9193142814648162</v>
      </c>
      <c r="CU46" s="32">
        <f ca="1">CORREL(OFFSET(Historical_Data_Start,date_start_row,$B46,date_rows,1),OFFSET(Historical_Data_Start,date_start_row,Calculations!CU$40,date_rows,1))</f>
        <v>-0.82263227143883055</v>
      </c>
      <c r="CV46" s="32">
        <f ca="1">CORREL(OFFSET(Historical_Data_Start,date_start_row,$B46,date_rows,1),OFFSET(Historical_Data_Start,date_start_row,Calculations!CV$40,date_rows,1))</f>
        <v>-0.40590709869861885</v>
      </c>
      <c r="CW46" s="32">
        <f ca="1">CORREL(OFFSET(Historical_Data_Start,date_start_row,$B46,date_rows,1),OFFSET(Historical_Data_Start,date_start_row,Calculations!CW$40,date_rows,1))</f>
        <v>-0.24112986451766852</v>
      </c>
      <c r="CX46" s="32">
        <f ca="1">CORREL(OFFSET(Historical_Data_Start,date_start_row,$B46,date_rows,1),OFFSET(Historical_Data_Start,date_start_row,Calculations!CX$40,date_rows,1))</f>
        <v>-0.22751054252806005</v>
      </c>
      <c r="CY46" s="32">
        <f ca="1">CORREL(OFFSET(Historical_Data_Start,date_start_row,$B46,date_rows,1),OFFSET(Historical_Data_Start,date_start_row,Calculations!CY$40,date_rows,1))</f>
        <v>-0.22429315966682734</v>
      </c>
      <c r="CZ46" s="32">
        <f ca="1">CORREL(OFFSET(Historical_Data_Start,date_start_row,$B46,date_rows,1),OFFSET(Historical_Data_Start,date_start_row,Calculations!CZ$40,date_rows,1))</f>
        <v>-0.11354912598491122</v>
      </c>
      <c r="DA46" s="32">
        <f ca="1">CORREL(OFFSET(Historical_Data_Start,date_start_row,$B46,date_rows,1),OFFSET(Historical_Data_Start,date_start_row,Calculations!DA$40,date_rows,1))</f>
        <v>-0.24025228248833636</v>
      </c>
      <c r="DB46" s="32">
        <f ca="1">CORREL(OFFSET(Historical_Data_Start,date_start_row,$B46,date_rows,1),OFFSET(Historical_Data_Start,date_start_row,Calculations!DB$40,date_rows,1))</f>
        <v>-0.26276999519190064</v>
      </c>
      <c r="DC46" s="32">
        <f ca="1">CORREL(OFFSET(Historical_Data_Start,date_start_row,$B46,date_rows,1),OFFSET(Historical_Data_Start,date_start_row,Calculations!DC$40,date_rows,1))</f>
        <v>-0.31265209817109496</v>
      </c>
      <c r="DD46" s="32">
        <f ca="1">CORREL(OFFSET(Historical_Data_Start,date_start_row,$B46,date_rows,1),OFFSET(Historical_Data_Start,date_start_row,Calculations!DD$40,date_rows,1))</f>
        <v>-0.11846195422479658</v>
      </c>
      <c r="DE46" s="32">
        <f ca="1">CORREL(OFFSET(Historical_Data_Start,date_start_row,$B46,date_rows,1),OFFSET(Historical_Data_Start,date_start_row,Calculations!DE$40,date_rows,1))</f>
        <v>-8.435356599108404E-2</v>
      </c>
      <c r="DF46" s="32">
        <f ca="1">CORREL(OFFSET(Historical_Data_Start,date_start_row,$B46,date_rows,1),OFFSET(Historical_Data_Start,date_start_row,Calculations!DF$40,date_rows,1))</f>
        <v>-6.5452947426225452E-3</v>
      </c>
      <c r="DG46" s="32">
        <f ca="1">CORREL(OFFSET(Historical_Data_Start,date_start_row,$B46,date_rows,1),OFFSET(Historical_Data_Start,date_start_row,Calculations!DG$40,date_rows,1))</f>
        <v>-6.1228095547967425E-2</v>
      </c>
      <c r="DH46" s="33">
        <f ca="1">CORREL(OFFSET(Historical_Data_Start,date_start_row,$B46,date_rows,1),OFFSET(Historical_Data_Start,date_start_row,Calculations!DH$40,date_rows,1))</f>
        <v>0.1227333555748062</v>
      </c>
      <c r="DI46" s="2">
        <f t="shared" si="71"/>
        <v>5</v>
      </c>
      <c r="DJ46" s="43">
        <f t="shared" ca="1" si="65"/>
        <v>1.281599228137113E-4</v>
      </c>
      <c r="DK46" s="44">
        <f t="shared" ca="1" si="12"/>
        <v>5.044543668596098E-3</v>
      </c>
      <c r="DL46" s="44">
        <f t="shared" ca="1" si="13"/>
        <v>8.8711843918930239E-3</v>
      </c>
      <c r="DM46" s="44">
        <f t="shared" ca="1" si="14"/>
        <v>5.2950957191319871E-3</v>
      </c>
      <c r="DN46" s="44">
        <f t="shared" ca="1" si="15"/>
        <v>9.6040000000000014E-3</v>
      </c>
      <c r="DO46" s="44">
        <f t="shared" ca="1" si="16"/>
        <v>4.2527981655658678E-3</v>
      </c>
      <c r="DP46" s="44">
        <f t="shared" ca="1" si="17"/>
        <v>7.6858504525379578E-3</v>
      </c>
      <c r="DQ46" s="44">
        <f t="shared" ca="1" si="18"/>
        <v>4.0221845148327743E-3</v>
      </c>
      <c r="DR46" s="44">
        <f t="shared" ca="1" si="19"/>
        <v>6.932419025159238E-3</v>
      </c>
      <c r="DS46" s="44">
        <f t="shared" ca="1" si="20"/>
        <v>3.6357502130547263E-3</v>
      </c>
      <c r="DT46" s="44">
        <f t="shared" ca="1" si="21"/>
        <v>3.0215076328653349E-3</v>
      </c>
      <c r="DU46" s="44">
        <f t="shared" ca="1" si="22"/>
        <v>3.7004233384906214E-3</v>
      </c>
      <c r="DV46" s="44">
        <f t="shared" ca="1" si="23"/>
        <v>3.956531336522834E-3</v>
      </c>
      <c r="DW46" s="44">
        <f t="shared" ca="1" si="24"/>
        <v>2.0668242998617497E-3</v>
      </c>
      <c r="DX46" s="44">
        <f t="shared" ca="1" si="25"/>
        <v>4.5452526885191207E-3</v>
      </c>
      <c r="DY46" s="44">
        <f t="shared" ca="1" si="26"/>
        <v>4.7020056946538349E-3</v>
      </c>
      <c r="DZ46" s="44">
        <f t="shared" ca="1" si="27"/>
        <v>5.5845462806520807E-3</v>
      </c>
      <c r="EA46" s="44">
        <f t="shared" ca="1" si="28"/>
        <v>2.0683329676157414E-3</v>
      </c>
      <c r="EB46" s="44">
        <f t="shared" ca="1" si="29"/>
        <v>1.5618368666699401E-3</v>
      </c>
      <c r="EC46" s="44">
        <f t="shared" ca="1" si="30"/>
        <v>-5.5251408743216951E-4</v>
      </c>
      <c r="ED46" s="44">
        <f t="shared" ca="1" si="31"/>
        <v>9.0552914951568431E-4</v>
      </c>
      <c r="EE46" s="44">
        <f t="shared" ca="1" si="32"/>
        <v>-1.3445179733731554E-3</v>
      </c>
      <c r="EF46" s="44">
        <f t="shared" ca="1" si="33"/>
        <v>-3.9360659543942158E-4</v>
      </c>
      <c r="EG46" s="44">
        <f t="shared" ca="1" si="34"/>
        <v>3.2283299388229459E-3</v>
      </c>
      <c r="EH46" s="44">
        <f t="shared" ca="1" si="35"/>
        <v>2.2799279582078409E-3</v>
      </c>
      <c r="EI46" s="44">
        <f t="shared" ca="1" si="36"/>
        <v>1.6247070711336343E-3</v>
      </c>
      <c r="EJ46" s="45">
        <f t="shared" ca="1" si="37"/>
        <v>3.2909978248453522E-5</v>
      </c>
      <c r="EK46" s="44">
        <f t="shared" ca="1" si="38"/>
        <v>1.2813726046056632E-4</v>
      </c>
      <c r="EL46" s="44">
        <f t="shared" ca="1" si="39"/>
        <v>3.6833175992923885E-3</v>
      </c>
      <c r="EM46" s="44">
        <f t="shared" ca="1" si="40"/>
        <v>6.6533882939197675E-3</v>
      </c>
      <c r="EN46" s="44">
        <f t="shared" ca="1" si="41"/>
        <v>3.2899004677018977E-3</v>
      </c>
      <c r="EO46" s="44">
        <f t="shared" ca="1" si="42"/>
        <v>9.5237712129274711E-3</v>
      </c>
      <c r="EP46" s="44">
        <f t="shared" ca="1" si="43"/>
        <v>2.029196748024812E-2</v>
      </c>
      <c r="EQ46" s="44">
        <f t="shared" ca="1" si="44"/>
        <v>1.640051508138907E-2</v>
      </c>
      <c r="ER46" s="44">
        <f t="shared" ca="1" si="45"/>
        <v>1.4756329773620114E-2</v>
      </c>
      <c r="ES46" s="44">
        <f t="shared" ca="1" si="46"/>
        <v>-5.675846373763776E-3</v>
      </c>
      <c r="ET46" s="44">
        <f t="shared" ca="1" si="47"/>
        <v>-4.0308981300502707E-3</v>
      </c>
      <c r="EU46" s="44">
        <f t="shared" ca="1" si="48"/>
        <v>-2.7845226970725258E-3</v>
      </c>
      <c r="EV46" s="44">
        <f t="shared" ca="1" si="49"/>
        <v>-3.7809162756370423E-3</v>
      </c>
      <c r="EW46" s="44">
        <f t="shared" ca="1" si="50"/>
        <v>-4.4592066335499775E-3</v>
      </c>
      <c r="EX46" s="44">
        <f t="shared" ca="1" si="51"/>
        <v>-3.956531336522834E-3</v>
      </c>
      <c r="EY46" s="44">
        <f t="shared" ca="1" si="52"/>
        <v>-2.6706754431651118E-3</v>
      </c>
      <c r="EZ46" s="44">
        <f t="shared" ca="1" si="53"/>
        <v>-4.9443919736099629E-3</v>
      </c>
      <c r="FA46" s="44">
        <f t="shared" ca="1" si="54"/>
        <v>-5.1502919057612529E-3</v>
      </c>
      <c r="FB46" s="44">
        <f t="shared" ca="1" si="55"/>
        <v>-6.127981124153462E-3</v>
      </c>
      <c r="FC46" s="44">
        <f t="shared" ca="1" si="56"/>
        <v>-2.5540397330866141E-3</v>
      </c>
      <c r="FD46" s="44">
        <f t="shared" ca="1" si="57"/>
        <v>-2.1493288614528217E-3</v>
      </c>
      <c r="FE46" s="44">
        <f t="shared" ca="1" si="58"/>
        <v>-1.9243166543310281E-4</v>
      </c>
      <c r="FF46" s="44">
        <f t="shared" ca="1" si="59"/>
        <v>-1.6800989418362263E-3</v>
      </c>
      <c r="FG46" s="45">
        <f t="shared" ca="1" si="60"/>
        <v>6.0139344231655036E-5</v>
      </c>
      <c r="FL46" s="111">
        <v>0</v>
      </c>
      <c r="FM46" s="111">
        <v>1</v>
      </c>
      <c r="FN46" s="111">
        <v>0</v>
      </c>
      <c r="FO46" s="111">
        <v>0</v>
      </c>
      <c r="FP46" s="111">
        <v>0</v>
      </c>
      <c r="FQ46" s="111">
        <v>0</v>
      </c>
    </row>
    <row r="47" spans="1:173" x14ac:dyDescent="0.2">
      <c r="A47" s="51" t="str">
        <f t="shared" ref="A47" ca="1" si="80">INDEX(Historical_Data_Names,3,B47)</f>
        <v>A</v>
      </c>
      <c r="B47" s="57">
        <f t="shared" si="67"/>
        <v>6</v>
      </c>
      <c r="C47" s="11" t="str">
        <f t="shared" ref="C47" ca="1" si="81">INDEX(Historical_Data_Names,2,B47)</f>
        <v>Can GOC</v>
      </c>
      <c r="D47" s="58"/>
      <c r="E47" s="59">
        <f t="shared" ref="E47" ca="1" si="82">AVERAGE(OFFSET(Historical_Data_Start,date_start_row,$B47,date_rows,1))*4</f>
        <v>9.2844215030819841E-2</v>
      </c>
      <c r="F47" s="59">
        <f t="array" aca="1" ref="F47" ca="1">PRODUCT(1+OFFSET(Historical_Data_Start,date_start_row,$B47,date_rows,1))^(4/date_rows)-1</f>
        <v>9.2915172489480335E-2</v>
      </c>
      <c r="G47" s="59">
        <f t="shared" ref="G47" ca="1" si="83">STDEV(OFFSET(Historical_Data_Start,date_start_row,$B47,date_rows,1))*2</f>
        <v>7.9380360055321592E-2</v>
      </c>
      <c r="H47" s="6"/>
      <c r="I47" s="60">
        <v>0.05</v>
      </c>
      <c r="J47" s="60">
        <v>5.2999999999999999E-2</v>
      </c>
      <c r="K47" s="60"/>
      <c r="L47" s="60">
        <v>2.8000000000000004E-3</v>
      </c>
      <c r="M47" s="6"/>
      <c r="N47" s="82">
        <v>0</v>
      </c>
      <c r="O47" s="6"/>
      <c r="P47" s="53">
        <v>0</v>
      </c>
      <c r="Q47" s="85">
        <v>1</v>
      </c>
      <c r="R47" s="53"/>
      <c r="S47" s="226"/>
      <c r="T47" s="410">
        <v>0</v>
      </c>
      <c r="U47" s="410">
        <v>0</v>
      </c>
      <c r="V47" s="410">
        <v>1</v>
      </c>
      <c r="W47" s="410">
        <v>0</v>
      </c>
      <c r="X47" s="410">
        <v>0</v>
      </c>
      <c r="Y47" s="410">
        <v>0</v>
      </c>
      <c r="AB47" s="102" t="s">
        <v>98</v>
      </c>
      <c r="AI47" s="117">
        <v>0</v>
      </c>
      <c r="AJ47" s="117">
        <v>0</v>
      </c>
      <c r="AK47" s="117">
        <v>0</v>
      </c>
      <c r="AL47" s="117">
        <v>0</v>
      </c>
      <c r="AM47" s="117">
        <v>0</v>
      </c>
      <c r="AN47" s="117">
        <v>0</v>
      </c>
      <c r="AO47" s="117">
        <v>0</v>
      </c>
      <c r="AP47" s="117">
        <v>0</v>
      </c>
      <c r="AQ47" s="117">
        <v>0</v>
      </c>
      <c r="AR47" s="117">
        <v>0</v>
      </c>
      <c r="AS47" s="117">
        <v>0</v>
      </c>
      <c r="AU47" s="117">
        <v>0</v>
      </c>
      <c r="AV47" s="117">
        <v>0</v>
      </c>
      <c r="AW47" s="117">
        <v>0</v>
      </c>
      <c r="AX47" s="117">
        <v>0</v>
      </c>
      <c r="AY47" s="117">
        <v>0</v>
      </c>
      <c r="AZ47" s="117">
        <v>0</v>
      </c>
      <c r="BA47" s="117">
        <v>0</v>
      </c>
      <c r="BB47" s="117">
        <v>0</v>
      </c>
      <c r="BC47" s="117">
        <v>0</v>
      </c>
      <c r="BD47" s="117">
        <v>0</v>
      </c>
      <c r="BE47" s="117">
        <v>0</v>
      </c>
      <c r="BG47" s="51" t="str">
        <f t="shared" ca="1" si="9"/>
        <v>Can GOC</v>
      </c>
      <c r="BH47" s="38">
        <f t="shared" si="10"/>
        <v>0.05</v>
      </c>
      <c r="BI47" s="38">
        <f t="shared" si="11"/>
        <v>5.2999999999999999E-2</v>
      </c>
      <c r="BK47" s="31">
        <f ca="1">CORREL(OFFSET(Historical_Data_Start,date_start_row,$B47,date_rows,1),OFFSET(Historical_Data_Start,date_start_row,Calculations!BK$40,date_rows,1))</f>
        <v>0.19565910680441734</v>
      </c>
      <c r="BL47" s="32">
        <f ca="1">CORREL(OFFSET(Historical_Data_Start,date_start_row,$B47,date_rows,1),OFFSET(Historical_Data_Start,date_start_row,Calculations!BL$40,date_rows,1))</f>
        <v>0.87700126746587148</v>
      </c>
      <c r="BM47" s="32">
        <f ca="1">CORREL(OFFSET(Historical_Data_Start,date_start_row,$B47,date_rows,1),OFFSET(Historical_Data_Start,date_start_row,Calculations!BM$40,date_rows,1))</f>
        <v>0.83538434394460326</v>
      </c>
      <c r="BN47" s="32">
        <f ca="1">CORREL(OFFSET(Historical_Data_Start,date_start_row,$B47,date_rows,1),OFFSET(Historical_Data_Start,date_start_row,Calculations!BN$40,date_rows,1))</f>
        <v>0.82118144538552351</v>
      </c>
      <c r="BO47" s="32">
        <f ca="1">CORREL(OFFSET(Historical_Data_Start,date_start_row,$B47,date_rows,1),OFFSET(Historical_Data_Start,date_start_row,Calculations!BO$40,date_rows,1))</f>
        <v>0.81879055940813783</v>
      </c>
      <c r="BP47" s="32">
        <f ca="1">CORREL(OFFSET(Historical_Data_Start,date_start_row,$B47,date_rows,1),OFFSET(Historical_Data_Start,date_start_row,Calculations!BP$40,date_rows,1))</f>
        <v>1.0000000000000002</v>
      </c>
      <c r="BQ47" s="32">
        <f ca="1">CORREL(OFFSET(Historical_Data_Start,date_start_row,$B47,date_rows,1),OFFSET(Historical_Data_Start,date_start_row,Calculations!BQ$40,date_rows,1))</f>
        <v>0.96984264929331221</v>
      </c>
      <c r="BR47" s="32">
        <f ca="1">CORREL(OFFSET(Historical_Data_Start,date_start_row,$B47,date_rows,1),OFFSET(Historical_Data_Start,date_start_row,Calculations!BR$40,date_rows,1))</f>
        <v>0.93311174473490133</v>
      </c>
      <c r="BS47" s="32">
        <f ca="1">CORREL(OFFSET(Historical_Data_Start,date_start_row,$B47,date_rows,1),OFFSET(Historical_Data_Start,date_start_row,Calculations!BS$40,date_rows,1))</f>
        <v>0.88172007363780291</v>
      </c>
      <c r="BT47" s="32">
        <f ca="1">CORREL(OFFSET(Historical_Data_Start,date_start_row,$B47,date_rows,1),OFFSET(Historical_Data_Start,date_start_row,Calculations!BT$40,date_rows,1))</f>
        <v>0.59174653036605551</v>
      </c>
      <c r="BU47" s="32">
        <f ca="1">CORREL(OFFSET(Historical_Data_Start,date_start_row,$B47,date_rows,1),OFFSET(Historical_Data_Start,date_start_row,Calculations!BU$40,date_rows,1))</f>
        <v>0.16772503077756748</v>
      </c>
      <c r="BV47" s="32">
        <f ca="1">CORREL(OFFSET(Historical_Data_Start,date_start_row,$B47,date_rows,1),OFFSET(Historical_Data_Start,date_start_row,Calculations!BV$40,date_rows,1))</f>
        <v>0.15131858613746713</v>
      </c>
      <c r="BW47" s="32">
        <f ca="1">CORREL(OFFSET(Historical_Data_Start,date_start_row,$B47,date_rows,1),OFFSET(Historical_Data_Start,date_start_row,Calculations!BW$40,date_rows,1))</f>
        <v>0.19642100959088482</v>
      </c>
      <c r="BX47" s="32">
        <f ca="1">CORREL(OFFSET(Historical_Data_Start,date_start_row,$B47,date_rows,1),OFFSET(Historical_Data_Start,date_start_row,Calculations!BX$40,date_rows,1))</f>
        <v>6.8200545199341212E-2</v>
      </c>
      <c r="BY47" s="32">
        <f ca="1">CORREL(OFFSET(Historical_Data_Start,date_start_row,$B47,date_rows,1),OFFSET(Historical_Data_Start,date_start_row,Calculations!BY$40,date_rows,1))</f>
        <v>9.0111494466285968E-2</v>
      </c>
      <c r="BZ47" s="32">
        <f ca="1">CORREL(OFFSET(Historical_Data_Start,date_start_row,$B47,date_rows,1),OFFSET(Historical_Data_Start,date_start_row,Calculations!BZ$40,date_rows,1))</f>
        <v>0.22344837792376232</v>
      </c>
      <c r="CA47" s="32">
        <f ca="1">CORREL(OFFSET(Historical_Data_Start,date_start_row,$B47,date_rows,1),OFFSET(Historical_Data_Start,date_start_row,Calculations!CA$40,date_rows,1))</f>
        <v>0.26332265707302038</v>
      </c>
      <c r="CB47" s="32">
        <f ca="1">CORREL(OFFSET(Historical_Data_Start,date_start_row,$B47,date_rows,1),OFFSET(Historical_Data_Start,date_start_row,Calculations!CB$40,date_rows,1))</f>
        <v>8.6264536689943695E-3</v>
      </c>
      <c r="CC47" s="32">
        <f ca="1">CORREL(OFFSET(Historical_Data_Start,date_start_row,$B47,date_rows,1),OFFSET(Historical_Data_Start,date_start_row,Calculations!CC$40,date_rows,1))</f>
        <v>2.6443673660692394E-2</v>
      </c>
      <c r="CD47" s="32">
        <f ca="1">CORREL(OFFSET(Historical_Data_Start,date_start_row,$B47,date_rows,1),OFFSET(Historical_Data_Start,date_start_row,Calculations!CD$40,date_rows,1))</f>
        <v>-3.9272559442104261E-2</v>
      </c>
      <c r="CE47" s="32">
        <f ca="1">CORREL(OFFSET(Historical_Data_Start,date_start_row,$B47,date_rows,1),OFFSET(Historical_Data_Start,date_start_row,Calculations!CE$40,date_rows,1))</f>
        <v>-1.5542455531201311E-2</v>
      </c>
      <c r="CF47" s="32">
        <f ca="1">CORREL(OFFSET(Historical_Data_Start,date_start_row,$B47,date_rows,1),OFFSET(Historical_Data_Start,date_start_row,Calculations!CF$40,date_rows,1))</f>
        <v>-0.11140166067041596</v>
      </c>
      <c r="CG47" s="32">
        <f ca="1">CORREL(OFFSET(Historical_Data_Start,date_start_row,$B47,date_rows,1),OFFSET(Historical_Data_Start,date_start_row,Calculations!CG$40,date_rows,1))</f>
        <v>-4.7851542951269498E-2</v>
      </c>
      <c r="CH47" s="32">
        <f ca="1">CORREL(OFFSET(Historical_Data_Start,date_start_row,$B47,date_rows,1),OFFSET(Historical_Data_Start,date_start_row,Calculations!CH$40,date_rows,1))</f>
        <v>0.18837638455890265</v>
      </c>
      <c r="CI47" s="32">
        <f ca="1">CORREL(OFFSET(Historical_Data_Start,date_start_row,$B47,date_rows,1),OFFSET(Historical_Data_Start,date_start_row,Calculations!CI$40,date_rows,1))</f>
        <v>3.2949430261349513E-2</v>
      </c>
      <c r="CJ47" s="32">
        <f ca="1">CORREL(OFFSET(Historical_Data_Start,date_start_row,$B47,date_rows,1),OFFSET(Historical_Data_Start,date_start_row,Calculations!CJ$40,date_rows,1))</f>
        <v>0.11935955111173342</v>
      </c>
      <c r="CK47" s="32">
        <f ca="1">CORREL(OFFSET(Historical_Data_Start,date_start_row,$B47,date_rows,1),OFFSET(Historical_Data_Start,date_start_row,Calculations!CK$40,date_rows,1))</f>
        <v>-2.1489134550229379E-2</v>
      </c>
      <c r="CL47" s="32">
        <f ca="1">CORREL(OFFSET(Historical_Data_Start,date_start_row,$B47,date_rows,1),OFFSET(Historical_Data_Start,date_start_row,Calculations!CL$40,date_rows,1))</f>
        <v>0.1956499772089467</v>
      </c>
      <c r="CM47" s="32">
        <f ca="1">CORREL(OFFSET(Historical_Data_Start,date_start_row,$B47,date_rows,1),OFFSET(Historical_Data_Start,date_start_row,Calculations!CM$40,date_rows,1))</f>
        <v>0.87700126746587148</v>
      </c>
      <c r="CN47" s="32">
        <f ca="1">CORREL(OFFSET(Historical_Data_Start,date_start_row,$B47,date_rows,1),OFFSET(Historical_Data_Start,date_start_row,Calculations!CN$40,date_rows,1))</f>
        <v>0.83538434394460326</v>
      </c>
      <c r="CO47" s="32">
        <f ca="1">CORREL(OFFSET(Historical_Data_Start,date_start_row,$B47,date_rows,1),OFFSET(Historical_Data_Start,date_start_row,Calculations!CO$40,date_rows,1))</f>
        <v>1.0000000000000002</v>
      </c>
      <c r="CP47" s="32">
        <f ca="1">CORREL(OFFSET(Historical_Data_Start,date_start_row,$B47,date_rows,1),OFFSET(Historical_Data_Start,date_start_row,Calculations!CP$40,date_rows,1))</f>
        <v>0.96984264929331221</v>
      </c>
      <c r="CQ47" s="32">
        <f ca="1">CORREL(OFFSET(Historical_Data_Start,date_start_row,$B47,date_rows,1),OFFSET(Historical_Data_Start,date_start_row,Calculations!CQ$40,date_rows,1))</f>
        <v>0.76833141810734462</v>
      </c>
      <c r="CR47" s="32">
        <f ca="1">CORREL(OFFSET(Historical_Data_Start,date_start_row,$B47,date_rows,1),OFFSET(Historical_Data_Start,date_start_row,Calculations!CR$40,date_rows,1))</f>
        <v>0.79585003693445555</v>
      </c>
      <c r="CS47" s="32">
        <f ca="1">CORREL(OFFSET(Historical_Data_Start,date_start_row,$B47,date_rows,1),OFFSET(Historical_Data_Start,date_start_row,Calculations!CS$40,date_rows,1))</f>
        <v>0.52123125246109059</v>
      </c>
      <c r="CT47" s="32">
        <f ca="1">CORREL(OFFSET(Historical_Data_Start,date_start_row,$B47,date_rows,1),OFFSET(Historical_Data_Start,date_start_row,Calculations!CT$40,date_rows,1))</f>
        <v>-0.81088206046529365</v>
      </c>
      <c r="CU47" s="32">
        <f ca="1">CORREL(OFFSET(Historical_Data_Start,date_start_row,$B47,date_rows,1),OFFSET(Historical_Data_Start,date_start_row,Calculations!CU$40,date_rows,1))</f>
        <v>-0.91470683709987</v>
      </c>
      <c r="CV47" s="32">
        <f ca="1">CORREL(OFFSET(Historical_Data_Start,date_start_row,$B47,date_rows,1),OFFSET(Historical_Data_Start,date_start_row,Calculations!CV$40,date_rows,1))</f>
        <v>-0.46650614537272628</v>
      </c>
      <c r="CW47" s="32">
        <f ca="1">CORREL(OFFSET(Historical_Data_Start,date_start_row,$B47,date_rows,1),OFFSET(Historical_Data_Start,date_start_row,Calculations!CW$40,date_rows,1))</f>
        <v>-0.16914033964276753</v>
      </c>
      <c r="CX47" s="32">
        <f ca="1">CORREL(OFFSET(Historical_Data_Start,date_start_row,$B47,date_rows,1),OFFSET(Historical_Data_Start,date_start_row,Calculations!CX$40,date_rows,1))</f>
        <v>-0.15314763124662245</v>
      </c>
      <c r="CY47" s="32">
        <f ca="1">CORREL(OFFSET(Historical_Data_Start,date_start_row,$B47,date_rows,1),OFFSET(Historical_Data_Start,date_start_row,Calculations!CY$40,date_rows,1))</f>
        <v>-0.19642100959088482</v>
      </c>
      <c r="CZ47" s="32">
        <f ca="1">CORREL(OFFSET(Historical_Data_Start,date_start_row,$B47,date_rows,1),OFFSET(Historical_Data_Start,date_start_row,Calculations!CZ$40,date_rows,1))</f>
        <v>-7.3925880614841746E-2</v>
      </c>
      <c r="DA47" s="32">
        <f ca="1">CORREL(OFFSET(Historical_Data_Start,date_start_row,$B47,date_rows,1),OFFSET(Historical_Data_Start,date_start_row,Calculations!DA$40,date_rows,1))</f>
        <v>-9.2056908516088012E-2</v>
      </c>
      <c r="DB47" s="32">
        <f ca="1">CORREL(OFFSET(Historical_Data_Start,date_start_row,$B47,date_rows,1),OFFSET(Historical_Data_Start,date_start_row,Calculations!DB$40,date_rows,1))</f>
        <v>-0.22031517720634108</v>
      </c>
      <c r="DC47" s="32">
        <f ca="1">CORREL(OFFSET(Historical_Data_Start,date_start_row,$B47,date_rows,1),OFFSET(Historical_Data_Start,date_start_row,Calculations!DC$40,date_rows,1))</f>
        <v>-0.26715406380859025</v>
      </c>
      <c r="DD47" s="32">
        <f ca="1">CORREL(OFFSET(Historical_Data_Start,date_start_row,$B47,date_rows,1),OFFSET(Historical_Data_Start,date_start_row,Calculations!DD$40,date_rows,1))</f>
        <v>-1.4167378526360897E-2</v>
      </c>
      <c r="DE47" s="32">
        <f ca="1">CORREL(OFFSET(Historical_Data_Start,date_start_row,$B47,date_rows,1),OFFSET(Historical_Data_Start,date_start_row,Calculations!DE$40,date_rows,1))</f>
        <v>-3.0611081728208759E-2</v>
      </c>
      <c r="DF47" s="32">
        <f ca="1">CORREL(OFFSET(Historical_Data_Start,date_start_row,$B47,date_rows,1),OFFSET(Historical_Data_Start,date_start_row,Calculations!DF$40,date_rows,1))</f>
        <v>3.2352161106437294E-2</v>
      </c>
      <c r="DG47" s="32">
        <f ca="1">CORREL(OFFSET(Historical_Data_Start,date_start_row,$B47,date_rows,1),OFFSET(Historical_Data_Start,date_start_row,Calculations!DG$40,date_rows,1))</f>
        <v>6.8985532032561662E-3</v>
      </c>
      <c r="DH47" s="33">
        <f ca="1">CORREL(OFFSET(Historical_Data_Start,date_start_row,$B47,date_rows,1),OFFSET(Historical_Data_Start,date_start_row,Calculations!DH$40,date_rows,1))</f>
        <v>0.11547562145633763</v>
      </c>
      <c r="DI47" s="2">
        <f t="shared" si="71"/>
        <v>6</v>
      </c>
      <c r="DJ47" s="43">
        <f t="shared" ca="1" si="65"/>
        <v>1.0369932660634119E-4</v>
      </c>
      <c r="DK47" s="44">
        <f t="shared" ca="1" si="12"/>
        <v>2.9283072320685447E-3</v>
      </c>
      <c r="DL47" s="44">
        <f t="shared" ca="1" si="13"/>
        <v>4.7817399847389095E-3</v>
      </c>
      <c r="DM47" s="44">
        <f t="shared" ca="1" si="14"/>
        <v>2.5243117631150993E-3</v>
      </c>
      <c r="DN47" s="44">
        <f t="shared" ca="1" si="15"/>
        <v>4.2527981655658678E-3</v>
      </c>
      <c r="DO47" s="44">
        <f t="shared" ca="1" si="16"/>
        <v>2.8090000000000003E-3</v>
      </c>
      <c r="DP47" s="44">
        <f t="shared" ca="1" si="17"/>
        <v>4.7289527579541905E-3</v>
      </c>
      <c r="DQ47" s="44">
        <f t="shared" ca="1" si="18"/>
        <v>2.4232912010765388E-3</v>
      </c>
      <c r="DR47" s="44">
        <f t="shared" ca="1" si="19"/>
        <v>3.8786866039326952E-3</v>
      </c>
      <c r="DS47" s="44">
        <f t="shared" ca="1" si="20"/>
        <v>2.1953796276580661E-3</v>
      </c>
      <c r="DT47" s="44">
        <f t="shared" ca="1" si="21"/>
        <v>1.4223082609937721E-3</v>
      </c>
      <c r="DU47" s="44">
        <f t="shared" ca="1" si="22"/>
        <v>1.6039770130571516E-3</v>
      </c>
      <c r="DV47" s="44">
        <f t="shared" ca="1" si="23"/>
        <v>1.8738564314970411E-3</v>
      </c>
      <c r="DW47" s="44">
        <f t="shared" ca="1" si="24"/>
        <v>8.6751093493562007E-4</v>
      </c>
      <c r="DX47" s="44">
        <f t="shared" ca="1" si="25"/>
        <v>1.0029409334097628E-3</v>
      </c>
      <c r="DY47" s="44">
        <f t="shared" ca="1" si="26"/>
        <v>2.3685528059918808E-3</v>
      </c>
      <c r="DZ47" s="44">
        <f t="shared" ca="1" si="27"/>
        <v>2.7912201649740159E-3</v>
      </c>
      <c r="EA47" s="44">
        <f t="shared" ca="1" si="28"/>
        <v>1.0058444978047435E-4</v>
      </c>
      <c r="EB47" s="44">
        <f t="shared" ca="1" si="29"/>
        <v>3.643938230443412E-4</v>
      </c>
      <c r="EC47" s="44">
        <f t="shared" ca="1" si="30"/>
        <v>-6.2443369512945766E-4</v>
      </c>
      <c r="ED47" s="44">
        <f t="shared" ca="1" si="31"/>
        <v>-2.3065004008302747E-4</v>
      </c>
      <c r="EE47" s="44">
        <f t="shared" ca="1" si="32"/>
        <v>-5.3138592139788409E-4</v>
      </c>
      <c r="EF47" s="44">
        <f t="shared" ca="1" si="33"/>
        <v>-2.2825185987755551E-4</v>
      </c>
      <c r="EG47" s="44">
        <f t="shared" ca="1" si="34"/>
        <v>1.6972712248757131E-3</v>
      </c>
      <c r="EH47" s="44">
        <f t="shared" ca="1" si="35"/>
        <v>4.1911675292436579E-4</v>
      </c>
      <c r="EI47" s="44">
        <f t="shared" ca="1" si="36"/>
        <v>7.591267450706245E-4</v>
      </c>
      <c r="EJ47" s="45">
        <f t="shared" ca="1" si="37"/>
        <v>-1.0250317180459414E-4</v>
      </c>
      <c r="EK47" s="44">
        <f t="shared" ca="1" si="38"/>
        <v>1.0369448792074175E-4</v>
      </c>
      <c r="EL47" s="44">
        <f t="shared" ca="1" si="39"/>
        <v>2.1381290900817948E-3</v>
      </c>
      <c r="EM47" s="44">
        <f t="shared" ca="1" si="40"/>
        <v>3.5863049885541819E-3</v>
      </c>
      <c r="EN47" s="44">
        <f t="shared" ca="1" si="41"/>
        <v>2.173E-3</v>
      </c>
      <c r="EO47" s="44">
        <f t="shared" ca="1" si="42"/>
        <v>5.8597892870301919E-3</v>
      </c>
      <c r="EP47" s="44">
        <f t="shared" ca="1" si="43"/>
        <v>1.1279873549233925E-2</v>
      </c>
      <c r="EQ47" s="44">
        <f t="shared" ca="1" si="44"/>
        <v>1.0038852365891223E-2</v>
      </c>
      <c r="ER47" s="44">
        <f t="shared" ca="1" si="45"/>
        <v>8.8400820417400966E-3</v>
      </c>
      <c r="ES47" s="44">
        <f t="shared" ca="1" si="46"/>
        <v>-2.7075351998936156E-3</v>
      </c>
      <c r="ET47" s="44">
        <f t="shared" ca="1" si="47"/>
        <v>-2.4239731183146557E-3</v>
      </c>
      <c r="EU47" s="44">
        <f t="shared" ca="1" si="48"/>
        <v>-1.7307377993328146E-3</v>
      </c>
      <c r="EV47" s="44">
        <f t="shared" ca="1" si="49"/>
        <v>-1.4343100801706686E-3</v>
      </c>
      <c r="EW47" s="44">
        <f t="shared" ca="1" si="50"/>
        <v>-1.6233648912141979E-3</v>
      </c>
      <c r="EX47" s="44">
        <f t="shared" ca="1" si="51"/>
        <v>-1.8738564314970411E-3</v>
      </c>
      <c r="EY47" s="44">
        <f t="shared" ca="1" si="52"/>
        <v>-9.4033720142078692E-4</v>
      </c>
      <c r="EZ47" s="44">
        <f t="shared" ca="1" si="53"/>
        <v>-1.0245933917840595E-3</v>
      </c>
      <c r="FA47" s="44">
        <f t="shared" ca="1" si="54"/>
        <v>-2.3353408783872154E-3</v>
      </c>
      <c r="FB47" s="44">
        <f t="shared" ca="1" si="55"/>
        <v>-2.8318330763710568E-3</v>
      </c>
      <c r="FC47" s="44">
        <f t="shared" ca="1" si="56"/>
        <v>-1.6519163361736807E-4</v>
      </c>
      <c r="FD47" s="44">
        <f t="shared" ca="1" si="57"/>
        <v>-4.2182070621471669E-4</v>
      </c>
      <c r="FE47" s="44">
        <f t="shared" ca="1" si="58"/>
        <v>5.1439936159235287E-4</v>
      </c>
      <c r="FF47" s="44">
        <f t="shared" ca="1" si="59"/>
        <v>1.0237452953632151E-4</v>
      </c>
      <c r="FG47" s="45">
        <f t="shared" ca="1" si="60"/>
        <v>3.060103968592947E-5</v>
      </c>
      <c r="FL47" s="111">
        <v>0</v>
      </c>
      <c r="FM47" s="111">
        <v>0</v>
      </c>
      <c r="FN47" s="111">
        <v>1</v>
      </c>
      <c r="FO47" s="111">
        <v>0</v>
      </c>
      <c r="FP47" s="111">
        <v>0</v>
      </c>
      <c r="FQ47" s="111">
        <v>0</v>
      </c>
    </row>
    <row r="48" spans="1:173" x14ac:dyDescent="0.2">
      <c r="A48" s="51" t="str">
        <f t="shared" ref="A48" ca="1" si="84">INDEX(Historical_Data_Names,3,B48)</f>
        <v>A</v>
      </c>
      <c r="B48" s="57">
        <f t="shared" si="67"/>
        <v>7</v>
      </c>
      <c r="C48" s="11" t="str">
        <f t="shared" ref="C48" ca="1" si="85">INDEX(Historical_Data_Names,2,B48)</f>
        <v>Can L-GOC</v>
      </c>
      <c r="D48" s="58"/>
      <c r="E48" s="59">
        <f t="shared" ref="E48" ca="1" si="86">AVERAGE(OFFSET(Historical_Data_Start,date_start_row,$B48,date_rows,1))*4</f>
        <v>0.10717692015025672</v>
      </c>
      <c r="F48" s="59">
        <f t="array" aca="1" ref="F48" ca="1">PRODUCT(1+OFFSET(Historical_Data_Start,date_start_row,$B48,date_rows,1))^(4/date_rows)-1</f>
        <v>0.10550636509586586</v>
      </c>
      <c r="G48" s="59">
        <f t="shared" ref="G48" ca="1" si="87">STDEV(OFFSET(Historical_Data_Start,date_start_row,$B48,date_rows,1))*2</f>
        <v>0.10859531050779325</v>
      </c>
      <c r="H48" s="6"/>
      <c r="I48" s="60">
        <v>5.2999999999999999E-2</v>
      </c>
      <c r="J48" s="60">
        <v>9.1999999999999998E-2</v>
      </c>
      <c r="K48" s="60"/>
      <c r="L48" s="60">
        <v>3.5000000000000003E-2</v>
      </c>
      <c r="M48" s="6"/>
      <c r="N48" s="82">
        <v>0</v>
      </c>
      <c r="O48" s="6"/>
      <c r="P48" s="53">
        <v>0</v>
      </c>
      <c r="Q48" s="85">
        <v>1</v>
      </c>
      <c r="R48" s="53"/>
      <c r="S48" s="226"/>
      <c r="T48" s="410">
        <v>0</v>
      </c>
      <c r="U48" s="410">
        <v>0</v>
      </c>
      <c r="V48" s="410">
        <v>1</v>
      </c>
      <c r="W48" s="410">
        <v>0</v>
      </c>
      <c r="X48" s="410">
        <v>0</v>
      </c>
      <c r="Y48" s="410">
        <v>0</v>
      </c>
      <c r="AB48" s="102" t="s">
        <v>99</v>
      </c>
      <c r="AI48" s="117">
        <v>0</v>
      </c>
      <c r="AJ48" s="117">
        <v>0</v>
      </c>
      <c r="AK48" s="117">
        <v>0</v>
      </c>
      <c r="AL48" s="117">
        <v>0</v>
      </c>
      <c r="AM48" s="117">
        <v>0</v>
      </c>
      <c r="AN48" s="117">
        <v>0</v>
      </c>
      <c r="AO48" s="117">
        <v>0</v>
      </c>
      <c r="AP48" s="117">
        <v>0</v>
      </c>
      <c r="AQ48" s="117">
        <v>0</v>
      </c>
      <c r="AR48" s="117">
        <v>0</v>
      </c>
      <c r="AS48" s="117">
        <v>0</v>
      </c>
      <c r="AU48" s="117">
        <v>0</v>
      </c>
      <c r="AV48" s="117">
        <v>0</v>
      </c>
      <c r="AW48" s="117">
        <v>0</v>
      </c>
      <c r="AX48" s="117">
        <v>0</v>
      </c>
      <c r="AY48" s="117">
        <v>0</v>
      </c>
      <c r="AZ48" s="117">
        <v>0</v>
      </c>
      <c r="BA48" s="117">
        <v>0</v>
      </c>
      <c r="BB48" s="117">
        <v>0</v>
      </c>
      <c r="BC48" s="117">
        <v>0</v>
      </c>
      <c r="BD48" s="117">
        <v>0</v>
      </c>
      <c r="BE48" s="117">
        <v>0</v>
      </c>
      <c r="BG48" s="51" t="str">
        <f t="shared" ca="1" si="9"/>
        <v>Can L-GOC</v>
      </c>
      <c r="BH48" s="38">
        <f t="shared" si="10"/>
        <v>5.2999999999999999E-2</v>
      </c>
      <c r="BI48" s="38">
        <f t="shared" si="11"/>
        <v>9.1999999999999998E-2</v>
      </c>
      <c r="BK48" s="31">
        <f ca="1">CORREL(OFFSET(Historical_Data_Start,date_start_row,$B48,date_rows,1),OFFSET(Historical_Data_Start,date_start_row,Calculations!BK$40,date_rows,1))</f>
        <v>0.11736873326682244</v>
      </c>
      <c r="BL48" s="32">
        <f ca="1">CORREL(OFFSET(Historical_Data_Start,date_start_row,$B48,date_rows,1),OFFSET(Historical_Data_Start,date_start_row,Calculations!BL$40,date_rows,1))</f>
        <v>0.82072264449189314</v>
      </c>
      <c r="BM48" s="32">
        <f ca="1">CORREL(OFFSET(Historical_Data_Start,date_start_row,$B48,date_rows,1),OFFSET(Historical_Data_Start,date_start_row,Calculations!BM$40,date_rows,1))</f>
        <v>0.84851608346858287</v>
      </c>
      <c r="BN48" s="32">
        <f ca="1">CORREL(OFFSET(Historical_Data_Start,date_start_row,$B48,date_rows,1),OFFSET(Historical_Data_Start,date_start_row,Calculations!BN$40,date_rows,1))</f>
        <v>0.80419272162143229</v>
      </c>
      <c r="BO48" s="32">
        <f ca="1">CORREL(OFFSET(Historical_Data_Start,date_start_row,$B48,date_rows,1),OFFSET(Historical_Data_Start,date_start_row,Calculations!BO$40,date_rows,1))</f>
        <v>0.85246788515283478</v>
      </c>
      <c r="BP48" s="32">
        <f ca="1">CORREL(OFFSET(Historical_Data_Start,date_start_row,$B48,date_rows,1),OFFSET(Historical_Data_Start,date_start_row,Calculations!BP$40,date_rows,1))</f>
        <v>0.96984264929331221</v>
      </c>
      <c r="BQ48" s="32">
        <f ca="1">CORREL(OFFSET(Historical_Data_Start,date_start_row,$B48,date_rows,1),OFFSET(Historical_Data_Start,date_start_row,Calculations!BQ$40,date_rows,1))</f>
        <v>1</v>
      </c>
      <c r="BR48" s="32">
        <f ca="1">CORREL(OFFSET(Historical_Data_Start,date_start_row,$B48,date_rows,1),OFFSET(Historical_Data_Start,date_start_row,Calculations!BR$40,date_rows,1))</f>
        <v>0.92632189922352792</v>
      </c>
      <c r="BS48" s="32">
        <f ca="1">CORREL(OFFSET(Historical_Data_Start,date_start_row,$B48,date_rows,1),OFFSET(Historical_Data_Start,date_start_row,Calculations!BS$40,date_rows,1))</f>
        <v>0.92719410362385968</v>
      </c>
      <c r="BT48" s="32">
        <f ca="1">CORREL(OFFSET(Historical_Data_Start,date_start_row,$B48,date_rows,1),OFFSET(Historical_Data_Start,date_start_row,Calculations!BT$40,date_rows,1))</f>
        <v>0.56263144505599338</v>
      </c>
      <c r="BU48" s="32">
        <f ca="1">CORREL(OFFSET(Historical_Data_Start,date_start_row,$B48,date_rows,1),OFFSET(Historical_Data_Start,date_start_row,Calculations!BU$40,date_rows,1))</f>
        <v>0.23573047278415918</v>
      </c>
      <c r="BV48" s="32">
        <f ca="1">CORREL(OFFSET(Historical_Data_Start,date_start_row,$B48,date_rows,1),OFFSET(Historical_Data_Start,date_start_row,Calculations!BV$40,date_rows,1))</f>
        <v>0.21281568363456338</v>
      </c>
      <c r="BW48" s="32">
        <f ca="1">CORREL(OFFSET(Historical_Data_Start,date_start_row,$B48,date_rows,1),OFFSET(Historical_Data_Start,date_start_row,Calculations!BW$40,date_rows,1))</f>
        <v>0.2580403805639192</v>
      </c>
      <c r="BX48" s="32">
        <f ca="1">CORREL(OFFSET(Historical_Data_Start,date_start_row,$B48,date_rows,1),OFFSET(Historical_Data_Start,date_start_row,Calculations!BX$40,date_rows,1))</f>
        <v>9.534813334848305E-2</v>
      </c>
      <c r="BY48" s="32">
        <f ca="1">CORREL(OFFSET(Historical_Data_Start,date_start_row,$B48,date_rows,1),OFFSET(Historical_Data_Start,date_start_row,Calculations!BY$40,date_rows,1))</f>
        <v>0.15206740663054141</v>
      </c>
      <c r="BZ48" s="32">
        <f ca="1">CORREL(OFFSET(Historical_Data_Start,date_start_row,$B48,date_rows,1),OFFSET(Historical_Data_Start,date_start_row,Calculations!BZ$40,date_rows,1))</f>
        <v>0.26366507993667476</v>
      </c>
      <c r="CA48" s="32">
        <f ca="1">CORREL(OFFSET(Historical_Data_Start,date_start_row,$B48,date_rows,1),OFFSET(Historical_Data_Start,date_start_row,Calculations!CA$40,date_rows,1))</f>
        <v>0.3024348540300566</v>
      </c>
      <c r="CB48" s="32">
        <f ca="1">CORREL(OFFSET(Historical_Data_Start,date_start_row,$B48,date_rows,1),OFFSET(Historical_Data_Start,date_start_row,Calculations!CB$40,date_rows,1))</f>
        <v>3.7768941740659277E-2</v>
      </c>
      <c r="CC48" s="32">
        <f ca="1">CORREL(OFFSET(Historical_Data_Start,date_start_row,$B48,date_rows,1),OFFSET(Historical_Data_Start,date_start_row,Calculations!CC$40,date_rows,1))</f>
        <v>3.6171645933348547E-2</v>
      </c>
      <c r="CD48" s="32">
        <f ca="1">CORREL(OFFSET(Historical_Data_Start,date_start_row,$B48,date_rows,1),OFFSET(Historical_Data_Start,date_start_row,Calculations!CD$40,date_rows,1))</f>
        <v>-2.4103784332453613E-2</v>
      </c>
      <c r="CE48" s="32">
        <f ca="1">CORREL(OFFSET(Historical_Data_Start,date_start_row,$B48,date_rows,1),OFFSET(Historical_Data_Start,date_start_row,Calculations!CE$40,date_rows,1))</f>
        <v>1.7673029027934446E-2</v>
      </c>
      <c r="CF48" s="32">
        <f ca="1">CORREL(OFFSET(Historical_Data_Start,date_start_row,$B48,date_rows,1),OFFSET(Historical_Data_Start,date_start_row,Calculations!CF$40,date_rows,1))</f>
        <v>-7.4121597703046202E-2</v>
      </c>
      <c r="CG48" s="32">
        <f ca="1">CORREL(OFFSET(Historical_Data_Start,date_start_row,$B48,date_rows,1),OFFSET(Historical_Data_Start,date_start_row,Calculations!CG$40,date_rows,1))</f>
        <v>-2.6507791132421049E-2</v>
      </c>
      <c r="CH48" s="32">
        <f ca="1">CORREL(OFFSET(Historical_Data_Start,date_start_row,$B48,date_rows,1),OFFSET(Historical_Data_Start,date_start_row,Calculations!CH$40,date_rows,1))</f>
        <v>0.26890644626176363</v>
      </c>
      <c r="CI48" s="32">
        <f ca="1">CORREL(OFFSET(Historical_Data_Start,date_start_row,$B48,date_rows,1),OFFSET(Historical_Data_Start,date_start_row,Calculations!CI$40,date_rows,1))</f>
        <v>5.7282054395490951E-2</v>
      </c>
      <c r="CJ48" s="32">
        <f ca="1">CORREL(OFFSET(Historical_Data_Start,date_start_row,$B48,date_rows,1),OFFSET(Historical_Data_Start,date_start_row,Calculations!CJ$40,date_rows,1))</f>
        <v>0.12242903445276547</v>
      </c>
      <c r="CK48" s="32">
        <f ca="1">CORREL(OFFSET(Historical_Data_Start,date_start_row,$B48,date_rows,1),OFFSET(Historical_Data_Start,date_start_row,Calculations!CK$40,date_rows,1))</f>
        <v>5.0184426169889738E-2</v>
      </c>
      <c r="CL48" s="32">
        <f ca="1">CORREL(OFFSET(Historical_Data_Start,date_start_row,$B48,date_rows,1),OFFSET(Historical_Data_Start,date_start_row,Calculations!CL$40,date_rows,1))</f>
        <v>0.11735263983698284</v>
      </c>
      <c r="CM48" s="32">
        <f ca="1">CORREL(OFFSET(Historical_Data_Start,date_start_row,$B48,date_rows,1),OFFSET(Historical_Data_Start,date_start_row,Calculations!CM$40,date_rows,1))</f>
        <v>0.82072264449189314</v>
      </c>
      <c r="CN48" s="32">
        <f ca="1">CORREL(OFFSET(Historical_Data_Start,date_start_row,$B48,date_rows,1),OFFSET(Historical_Data_Start,date_start_row,Calculations!CN$40,date_rows,1))</f>
        <v>0.84851608346858287</v>
      </c>
      <c r="CO48" s="32">
        <f ca="1">CORREL(OFFSET(Historical_Data_Start,date_start_row,$B48,date_rows,1),OFFSET(Historical_Data_Start,date_start_row,Calculations!CO$40,date_rows,1))</f>
        <v>0.96984264929331221</v>
      </c>
      <c r="CP48" s="32">
        <f ca="1">CORREL(OFFSET(Historical_Data_Start,date_start_row,$B48,date_rows,1),OFFSET(Historical_Data_Start,date_start_row,Calculations!CP$40,date_rows,1))</f>
        <v>1</v>
      </c>
      <c r="CQ48" s="32">
        <f ca="1">CORREL(OFFSET(Historical_Data_Start,date_start_row,$B48,date_rows,1),OFFSET(Historical_Data_Start,date_start_row,Calculations!CQ$40,date_rows,1))</f>
        <v>0.78849919280581615</v>
      </c>
      <c r="CR48" s="32">
        <f ca="1">CORREL(OFFSET(Historical_Data_Start,date_start_row,$B48,date_rows,1),OFFSET(Historical_Data_Start,date_start_row,Calculations!CR$40,date_rows,1))</f>
        <v>0.85678236828262</v>
      </c>
      <c r="CS48" s="32">
        <f ca="1">CORREL(OFFSET(Historical_Data_Start,date_start_row,$B48,date_rows,1),OFFSET(Historical_Data_Start,date_start_row,Calculations!CS$40,date_rows,1))</f>
        <v>0.50846639914734804</v>
      </c>
      <c r="CT48" s="32">
        <f ca="1">CORREL(OFFSET(Historical_Data_Start,date_start_row,$B48,date_rows,1),OFFSET(Historical_Data_Start,date_start_row,Calculations!CT$40,date_rows,1))</f>
        <v>-0.78981188478590292</v>
      </c>
      <c r="CU48" s="32">
        <f ca="1">CORREL(OFFSET(Historical_Data_Start,date_start_row,$B48,date_rows,1),OFFSET(Historical_Data_Start,date_start_row,Calculations!CU$40,date_rows,1))</f>
        <v>-0.90064643896617913</v>
      </c>
      <c r="CV48" s="32">
        <f ca="1">CORREL(OFFSET(Historical_Data_Start,date_start_row,$B48,date_rows,1),OFFSET(Historical_Data_Start,date_start_row,Calculations!CV$40,date_rows,1))</f>
        <v>-0.42630348712703026</v>
      </c>
      <c r="CW48" s="32">
        <f ca="1">CORREL(OFFSET(Historical_Data_Start,date_start_row,$B48,date_rows,1),OFFSET(Historical_Data_Start,date_start_row,Calculations!CW$40,date_rows,1))</f>
        <v>-0.23243345969706969</v>
      </c>
      <c r="CX48" s="32">
        <f ca="1">CORREL(OFFSET(Historical_Data_Start,date_start_row,$B48,date_rows,1),OFFSET(Historical_Data_Start,date_start_row,Calculations!CX$40,date_rows,1))</f>
        <v>-0.21048164021120899</v>
      </c>
      <c r="CY48" s="32">
        <f ca="1">CORREL(OFFSET(Historical_Data_Start,date_start_row,$B48,date_rows,1),OFFSET(Historical_Data_Start,date_start_row,Calculations!CY$40,date_rows,1))</f>
        <v>-0.2580403805639192</v>
      </c>
      <c r="CZ48" s="32">
        <f ca="1">CORREL(OFFSET(Historical_Data_Start,date_start_row,$B48,date_rows,1),OFFSET(Historical_Data_Start,date_start_row,Calculations!CZ$40,date_rows,1))</f>
        <v>-0.10174959043767511</v>
      </c>
      <c r="DA48" s="32">
        <f ca="1">CORREL(OFFSET(Historical_Data_Start,date_start_row,$B48,date_rows,1),OFFSET(Historical_Data_Start,date_start_row,Calculations!DA$40,date_rows,1))</f>
        <v>-0.15221273763619986</v>
      </c>
      <c r="DB48" s="32">
        <f ca="1">CORREL(OFFSET(Historical_Data_Start,date_start_row,$B48,date_rows,1),OFFSET(Historical_Data_Start,date_start_row,Calculations!DB$40,date_rows,1))</f>
        <v>-0.2594971370758547</v>
      </c>
      <c r="DC48" s="32">
        <f ca="1">CORREL(OFFSET(Historical_Data_Start,date_start_row,$B48,date_rows,1),OFFSET(Historical_Data_Start,date_start_row,Calculations!DC$40,date_rows,1))</f>
        <v>-0.30769124880191606</v>
      </c>
      <c r="DD48" s="32">
        <f ca="1">CORREL(OFFSET(Historical_Data_Start,date_start_row,$B48,date_rows,1),OFFSET(Historical_Data_Start,date_start_row,Calculations!DD$40,date_rows,1))</f>
        <v>-4.2199178854046997E-2</v>
      </c>
      <c r="DE48" s="32">
        <f ca="1">CORREL(OFFSET(Historical_Data_Start,date_start_row,$B48,date_rows,1),OFFSET(Historical_Data_Start,date_start_row,Calculations!DE$40,date_rows,1))</f>
        <v>-4.0931296404514067E-2</v>
      </c>
      <c r="DF48" s="32">
        <f ca="1">CORREL(OFFSET(Historical_Data_Start,date_start_row,$B48,date_rows,1),OFFSET(Historical_Data_Start,date_start_row,Calculations!DF$40,date_rows,1))</f>
        <v>1.6502960377035934E-2</v>
      </c>
      <c r="DG48" s="32">
        <f ca="1">CORREL(OFFSET(Historical_Data_Start,date_start_row,$B48,date_rows,1),OFFSET(Historical_Data_Start,date_start_row,Calculations!DG$40,date_rows,1))</f>
        <v>-2.579117870139629E-2</v>
      </c>
      <c r="DH48" s="33">
        <f ca="1">CORREL(OFFSET(Historical_Data_Start,date_start_row,$B48,date_rows,1),OFFSET(Historical_Data_Start,date_start_row,Calculations!DH$40,date_rows,1))</f>
        <v>6.8392772825053086E-2</v>
      </c>
      <c r="DI48" s="2">
        <f t="shared" si="71"/>
        <v>7</v>
      </c>
      <c r="DJ48" s="43">
        <f t="shared" ca="1" si="65"/>
        <v>1.0797923460547665E-4</v>
      </c>
      <c r="DK48" s="44">
        <f t="shared" ca="1" si="12"/>
        <v>4.7569084474750126E-3</v>
      </c>
      <c r="DL48" s="44">
        <f t="shared" ca="1" si="13"/>
        <v>8.4308558053438395E-3</v>
      </c>
      <c r="DM48" s="44">
        <f t="shared" ca="1" si="14"/>
        <v>4.2911723625719623E-3</v>
      </c>
      <c r="DN48" s="44">
        <f t="shared" ca="1" si="15"/>
        <v>7.6858504525379578E-3</v>
      </c>
      <c r="DO48" s="44">
        <f t="shared" ca="1" si="16"/>
        <v>4.7289527579541905E-3</v>
      </c>
      <c r="DP48" s="44">
        <f t="shared" ca="1" si="17"/>
        <v>8.4639999999999993E-3</v>
      </c>
      <c r="DQ48" s="44">
        <f t="shared" ca="1" si="18"/>
        <v>4.1758591216996639E-3</v>
      </c>
      <c r="DR48" s="44">
        <f t="shared" ca="1" si="19"/>
        <v>7.0800541752717933E-3</v>
      </c>
      <c r="DS48" s="44">
        <f t="shared" ca="1" si="20"/>
        <v>3.6233465061605978E-3</v>
      </c>
      <c r="DT48" s="44">
        <f t="shared" ca="1" si="21"/>
        <v>3.4699525593828232E-3</v>
      </c>
      <c r="DU48" s="44">
        <f t="shared" ca="1" si="22"/>
        <v>3.915808578875966E-3</v>
      </c>
      <c r="DV48" s="44">
        <f t="shared" ca="1" si="23"/>
        <v>4.2731487021385019E-3</v>
      </c>
      <c r="DW48" s="44">
        <f t="shared" ca="1" si="24"/>
        <v>2.1052867843345058E-3</v>
      </c>
      <c r="DX48" s="44">
        <f t="shared" ca="1" si="25"/>
        <v>2.9379422961020602E-3</v>
      </c>
      <c r="DY48" s="44">
        <f t="shared" ca="1" si="26"/>
        <v>4.8514374708348157E-3</v>
      </c>
      <c r="DZ48" s="44">
        <f t="shared" ca="1" si="27"/>
        <v>5.5648013141530416E-3</v>
      </c>
      <c r="EA48" s="44">
        <f t="shared" ca="1" si="28"/>
        <v>7.6444338083094378E-4</v>
      </c>
      <c r="EB48" s="44">
        <f t="shared" ca="1" si="29"/>
        <v>8.652257707256972E-4</v>
      </c>
      <c r="EC48" s="44">
        <f t="shared" ca="1" si="30"/>
        <v>-6.652644475757197E-4</v>
      </c>
      <c r="ED48" s="44">
        <f t="shared" ca="1" si="31"/>
        <v>4.5525722775959139E-4</v>
      </c>
      <c r="EE48" s="44">
        <f t="shared" ca="1" si="32"/>
        <v>-6.1372682898122252E-4</v>
      </c>
      <c r="EF48" s="44">
        <f t="shared" ca="1" si="33"/>
        <v>-2.1948451057644626E-4</v>
      </c>
      <c r="EG48" s="44">
        <f t="shared" ca="1" si="34"/>
        <v>4.2056968195339833E-3</v>
      </c>
      <c r="EH48" s="44">
        <f t="shared" ca="1" si="35"/>
        <v>1.2647877610524401E-3</v>
      </c>
      <c r="EI48" s="44">
        <f t="shared" ca="1" si="36"/>
        <v>1.3516165403585306E-3</v>
      </c>
      <c r="EJ48" s="45">
        <f t="shared" ca="1" si="37"/>
        <v>4.1552704868668701E-4</v>
      </c>
      <c r="EK48" s="44">
        <f t="shared" ca="1" si="38"/>
        <v>1.0796442865002422E-4</v>
      </c>
      <c r="EL48" s="44">
        <f t="shared" ca="1" si="39"/>
        <v>3.4732982314896917E-3</v>
      </c>
      <c r="EM48" s="44">
        <f t="shared" ca="1" si="40"/>
        <v>6.32314185400788E-3</v>
      </c>
      <c r="EN48" s="44">
        <f t="shared" ca="1" si="41"/>
        <v>3.6582464731343728E-3</v>
      </c>
      <c r="EO48" s="44">
        <f t="shared" ca="1" si="42"/>
        <v>1.0488000000000001E-2</v>
      </c>
      <c r="EP48" s="44">
        <f t="shared" ca="1" si="43"/>
        <v>2.0094113429463416E-2</v>
      </c>
      <c r="EQ48" s="44">
        <f t="shared" ca="1" si="44"/>
        <v>1.876010673591625E-2</v>
      </c>
      <c r="ER48" s="44">
        <f t="shared" ca="1" si="45"/>
        <v>1.4969250790897927E-2</v>
      </c>
      <c r="ES48" s="44">
        <f t="shared" ca="1" si="46"/>
        <v>-4.5777496842190936E-3</v>
      </c>
      <c r="ET48" s="44">
        <f t="shared" ca="1" si="47"/>
        <v>-4.1429736192444243E-3</v>
      </c>
      <c r="EU48" s="44">
        <f t="shared" ca="1" si="48"/>
        <v>-2.7453944570980751E-3</v>
      </c>
      <c r="EV48" s="44">
        <f t="shared" ca="1" si="49"/>
        <v>-3.4214205267408659E-3</v>
      </c>
      <c r="EW48" s="44">
        <f t="shared" ca="1" si="50"/>
        <v>-3.8728621798862456E-3</v>
      </c>
      <c r="EX48" s="44">
        <f t="shared" ca="1" si="51"/>
        <v>-4.2731487021385019E-3</v>
      </c>
      <c r="EY48" s="44">
        <f t="shared" ca="1" si="52"/>
        <v>-2.2466309568638662E-3</v>
      </c>
      <c r="EZ48" s="44">
        <f t="shared" ca="1" si="53"/>
        <v>-2.9407500911313813E-3</v>
      </c>
      <c r="FA48" s="44">
        <f t="shared" ca="1" si="54"/>
        <v>-4.774747322195726E-3</v>
      </c>
      <c r="FB48" s="44">
        <f t="shared" ca="1" si="55"/>
        <v>-5.6615189779552558E-3</v>
      </c>
      <c r="FC48" s="44">
        <f t="shared" ca="1" si="56"/>
        <v>-8.5411138000591124E-4</v>
      </c>
      <c r="FD48" s="44">
        <f t="shared" ca="1" si="57"/>
        <v>-9.7907660999597642E-4</v>
      </c>
      <c r="FE48" s="44">
        <f t="shared" ca="1" si="58"/>
        <v>4.5548170640619177E-4</v>
      </c>
      <c r="FF48" s="44">
        <f t="shared" ca="1" si="59"/>
        <v>-6.643807633479685E-4</v>
      </c>
      <c r="FG48" s="45">
        <f t="shared" ca="1" si="60"/>
        <v>3.146067549952442E-5</v>
      </c>
      <c r="FL48" s="111">
        <v>0</v>
      </c>
      <c r="FM48" s="111">
        <v>0</v>
      </c>
      <c r="FN48" s="111">
        <v>1</v>
      </c>
      <c r="FO48" s="111">
        <v>0</v>
      </c>
      <c r="FP48" s="111">
        <v>0</v>
      </c>
      <c r="FQ48" s="111">
        <v>0</v>
      </c>
    </row>
    <row r="49" spans="1:173" x14ac:dyDescent="0.2">
      <c r="A49" s="51" t="str">
        <f t="shared" ref="A49" ca="1" si="88">INDEX(Historical_Data_Names,3,B49)</f>
        <v>A</v>
      </c>
      <c r="B49" s="57">
        <f t="shared" si="67"/>
        <v>8</v>
      </c>
      <c r="C49" s="11" t="str">
        <f t="shared" ref="C49" ca="1" si="89">INDEX(Historical_Data_Names,2,B49)</f>
        <v>Can Credit</v>
      </c>
      <c r="D49" s="58"/>
      <c r="E49" s="59">
        <f t="shared" ref="E49" ca="1" si="90">AVERAGE(OFFSET(Historical_Data_Start,date_start_row,$B49,date_rows,1))*4</f>
        <v>9.8192809437288836E-2</v>
      </c>
      <c r="F49" s="59">
        <f t="array" aca="1" ref="F49" ca="1">PRODUCT(1+OFFSET(Historical_Data_Start,date_start_row,$B49,date_rows,1))^(4/date_rows)-1</f>
        <v>9.877521500117914E-2</v>
      </c>
      <c r="G49" s="59">
        <f t="shared" ref="G49" ca="1" si="91">STDEV(OFFSET(Historical_Data_Start,date_start_row,$B49,date_rows,1))*2</f>
        <v>7.7827191468701595E-2</v>
      </c>
      <c r="H49" s="6"/>
      <c r="I49" s="60">
        <v>5.7000000000000002E-2</v>
      </c>
      <c r="J49" s="60">
        <v>4.9000000000000002E-2</v>
      </c>
      <c r="K49" s="60"/>
      <c r="L49" s="60">
        <v>2.2099999999999998E-2</v>
      </c>
      <c r="M49" s="6"/>
      <c r="N49" s="82">
        <v>4.1590005095262499E-2</v>
      </c>
      <c r="O49" s="6"/>
      <c r="P49" s="53">
        <v>0</v>
      </c>
      <c r="Q49" s="85">
        <v>1</v>
      </c>
      <c r="R49" s="53"/>
      <c r="S49" s="226"/>
      <c r="T49" s="410">
        <v>0</v>
      </c>
      <c r="U49" s="410">
        <v>0</v>
      </c>
      <c r="V49" s="410">
        <v>1</v>
      </c>
      <c r="W49" s="410">
        <v>0</v>
      </c>
      <c r="X49" s="410">
        <v>0</v>
      </c>
      <c r="Y49" s="410">
        <v>0</v>
      </c>
      <c r="AI49" s="117">
        <v>0</v>
      </c>
      <c r="AJ49" s="117">
        <v>0</v>
      </c>
      <c r="AK49" s="117">
        <v>0</v>
      </c>
      <c r="AL49" s="117">
        <v>0</v>
      </c>
      <c r="AM49" s="117">
        <v>0</v>
      </c>
      <c r="AN49" s="117">
        <v>0</v>
      </c>
      <c r="AO49" s="117">
        <v>0</v>
      </c>
      <c r="AP49" s="117">
        <v>0</v>
      </c>
      <c r="AQ49" s="117">
        <v>0</v>
      </c>
      <c r="AR49" s="117">
        <v>0</v>
      </c>
      <c r="AS49" s="117">
        <v>0</v>
      </c>
      <c r="AU49" s="117">
        <v>0</v>
      </c>
      <c r="AV49" s="117">
        <v>0</v>
      </c>
      <c r="AW49" s="117">
        <v>0</v>
      </c>
      <c r="AX49" s="117">
        <v>0</v>
      </c>
      <c r="AY49" s="117">
        <v>0</v>
      </c>
      <c r="AZ49" s="117">
        <v>0</v>
      </c>
      <c r="BA49" s="117">
        <v>0</v>
      </c>
      <c r="BB49" s="117">
        <v>0</v>
      </c>
      <c r="BC49" s="117">
        <v>0</v>
      </c>
      <c r="BD49" s="117">
        <v>0</v>
      </c>
      <c r="BE49" s="117">
        <v>0</v>
      </c>
      <c r="BG49" s="51" t="str">
        <f t="shared" ca="1" si="9"/>
        <v>Can Credit</v>
      </c>
      <c r="BH49" s="38">
        <f t="shared" si="10"/>
        <v>5.7000000000000002E-2</v>
      </c>
      <c r="BI49" s="38">
        <f t="shared" si="11"/>
        <v>4.9000000000000002E-2</v>
      </c>
      <c r="BK49" s="31">
        <f ca="1">CORREL(OFFSET(Historical_Data_Start,date_start_row,$B49,date_rows,1),OFFSET(Historical_Data_Start,date_start_row,Calculations!BK$40,date_rows,1))</f>
        <v>0.16180689345836685</v>
      </c>
      <c r="BL49" s="32">
        <f ca="1">CORREL(OFFSET(Historical_Data_Start,date_start_row,$B49,date_rows,1),OFFSET(Historical_Data_Start,date_start_row,Calculations!BL$40,date_rows,1))</f>
        <v>0.77341909804421682</v>
      </c>
      <c r="BM49" s="32">
        <f ca="1">CORREL(OFFSET(Historical_Data_Start,date_start_row,$B49,date_rows,1),OFFSET(Historical_Data_Start,date_start_row,Calculations!BM$40,date_rows,1))</f>
        <v>0.70168783180357464</v>
      </c>
      <c r="BN49" s="32">
        <f ca="1">CORREL(OFFSET(Historical_Data_Start,date_start_row,$B49,date_rows,1),OFFSET(Historical_Data_Start,date_start_row,Calculations!BN$40,date_rows,1))</f>
        <v>0.85670820070269693</v>
      </c>
      <c r="BO49" s="32">
        <f ca="1">CORREL(OFFSET(Historical_Data_Start,date_start_row,$B49,date_rows,1),OFFSET(Historical_Data_Start,date_start_row,Calculations!BO$40,date_rows,1))</f>
        <v>0.83760610471319741</v>
      </c>
      <c r="BP49" s="32">
        <f ca="1">CORREL(OFFSET(Historical_Data_Start,date_start_row,$B49,date_rows,1),OFFSET(Historical_Data_Start,date_start_row,Calculations!BP$40,date_rows,1))</f>
        <v>0.93311174473490133</v>
      </c>
      <c r="BQ49" s="32">
        <f ca="1">CORREL(OFFSET(Historical_Data_Start,date_start_row,$B49,date_rows,1),OFFSET(Historical_Data_Start,date_start_row,Calculations!BQ$40,date_rows,1))</f>
        <v>0.92632189922352792</v>
      </c>
      <c r="BR49" s="32">
        <f ca="1">CORREL(OFFSET(Historical_Data_Start,date_start_row,$B49,date_rows,1),OFFSET(Historical_Data_Start,date_start_row,Calculations!BR$40,date_rows,1))</f>
        <v>0.99999999999999989</v>
      </c>
      <c r="BS49" s="32">
        <f ca="1">CORREL(OFFSET(Historical_Data_Start,date_start_row,$B49,date_rows,1),OFFSET(Historical_Data_Start,date_start_row,Calculations!BS$40,date_rows,1))</f>
        <v>0.96754448918207014</v>
      </c>
      <c r="BT49" s="32">
        <f ca="1">CORREL(OFFSET(Historical_Data_Start,date_start_row,$B49,date_rows,1),OFFSET(Historical_Data_Start,date_start_row,Calculations!BT$40,date_rows,1))</f>
        <v>0.5403716560965196</v>
      </c>
      <c r="BU49" s="32">
        <f ca="1">CORREL(OFFSET(Historical_Data_Start,date_start_row,$B49,date_rows,1),OFFSET(Historical_Data_Start,date_start_row,Calculations!BU$40,date_rows,1))</f>
        <v>0.26831440928392025</v>
      </c>
      <c r="BV49" s="32">
        <f ca="1">CORREL(OFFSET(Historical_Data_Start,date_start_row,$B49,date_rows,1),OFFSET(Historical_Data_Start,date_start_row,Calculations!BV$40,date_rows,1))</f>
        <v>0.26951259444721876</v>
      </c>
      <c r="BW49" s="32">
        <f ca="1">CORREL(OFFSET(Historical_Data_Start,date_start_row,$B49,date_rows,1),OFFSET(Historical_Data_Start,date_start_row,Calculations!BW$40,date_rows,1))</f>
        <v>0.36232995598426526</v>
      </c>
      <c r="BX49" s="32">
        <f ca="1">CORREL(OFFSET(Historical_Data_Start,date_start_row,$B49,date_rows,1),OFFSET(Historical_Data_Start,date_start_row,Calculations!BX$40,date_rows,1))</f>
        <v>9.7212232875066321E-2</v>
      </c>
      <c r="BY49" s="32">
        <f ca="1">CORREL(OFFSET(Historical_Data_Start,date_start_row,$B49,date_rows,1),OFFSET(Historical_Data_Start,date_start_row,Calculations!BY$40,date_rows,1))</f>
        <v>0.20202515498809953</v>
      </c>
      <c r="BZ49" s="32">
        <f ca="1">CORREL(OFFSET(Historical_Data_Start,date_start_row,$B49,date_rows,1),OFFSET(Historical_Data_Start,date_start_row,Calculations!BZ$40,date_rows,1))</f>
        <v>0.33338161401550803</v>
      </c>
      <c r="CA49" s="32">
        <f ca="1">CORREL(OFFSET(Historical_Data_Start,date_start_row,$B49,date_rows,1),OFFSET(Historical_Data_Start,date_start_row,Calculations!CA$40,date_rows,1))</f>
        <v>0.30156184447490819</v>
      </c>
      <c r="CB49" s="32">
        <f ca="1">CORREL(OFFSET(Historical_Data_Start,date_start_row,$B49,date_rows,1),OFFSET(Historical_Data_Start,date_start_row,Calculations!CB$40,date_rows,1))</f>
        <v>0.11512671075981144</v>
      </c>
      <c r="CC49" s="32">
        <f ca="1">CORREL(OFFSET(Historical_Data_Start,date_start_row,$B49,date_rows,1),OFFSET(Historical_Data_Start,date_start_row,Calculations!CC$40,date_rows,1))</f>
        <v>0.1196363909944481</v>
      </c>
      <c r="CD49" s="32">
        <f ca="1">CORREL(OFFSET(Historical_Data_Start,date_start_row,$B49,date_rows,1),OFFSET(Historical_Data_Start,date_start_row,Calculations!CD$40,date_rows,1))</f>
        <v>4.4998336638630634E-2</v>
      </c>
      <c r="CE49" s="32">
        <f ca="1">CORREL(OFFSET(Historical_Data_Start,date_start_row,$B49,date_rows,1),OFFSET(Historical_Data_Start,date_start_row,Calculations!CE$40,date_rows,1))</f>
        <v>9.8445323281087654E-2</v>
      </c>
      <c r="CF49" s="32">
        <f ca="1">CORREL(OFFSET(Historical_Data_Start,date_start_row,$B49,date_rows,1),OFFSET(Historical_Data_Start,date_start_row,Calculations!CF$40,date_rows,1))</f>
        <v>-0.15821898645107491</v>
      </c>
      <c r="CG49" s="32">
        <f ca="1">CORREL(OFFSET(Historical_Data_Start,date_start_row,$B49,date_rows,1),OFFSET(Historical_Data_Start,date_start_row,Calculations!CG$40,date_rows,1))</f>
        <v>-9.7181090969231262E-2</v>
      </c>
      <c r="CH49" s="32">
        <f ca="1">CORREL(OFFSET(Historical_Data_Start,date_start_row,$B49,date_rows,1),OFFSET(Historical_Data_Start,date_start_row,Calculations!CH$40,date_rows,1))</f>
        <v>0.29508972585774113</v>
      </c>
      <c r="CI49" s="32">
        <f ca="1">CORREL(OFFSET(Historical_Data_Start,date_start_row,$B49,date_rows,1),OFFSET(Historical_Data_Start,date_start_row,Calculations!CI$40,date_rows,1))</f>
        <v>0.15509216389960762</v>
      </c>
      <c r="CJ49" s="32">
        <f ca="1">CORREL(OFFSET(Historical_Data_Start,date_start_row,$B49,date_rows,1),OFFSET(Historical_Data_Start,date_start_row,Calculations!CJ$40,date_rows,1))</f>
        <v>8.6358704443417866E-2</v>
      </c>
      <c r="CK49" s="32">
        <f ca="1">CORREL(OFFSET(Historical_Data_Start,date_start_row,$B49,date_rows,1),OFFSET(Historical_Data_Start,date_start_row,Calculations!CK$40,date_rows,1))</f>
        <v>-4.817287760675245E-2</v>
      </c>
      <c r="CL49" s="32">
        <f ca="1">CORREL(OFFSET(Historical_Data_Start,date_start_row,$B49,date_rows,1),OFFSET(Historical_Data_Start,date_start_row,Calculations!CL$40,date_rows,1))</f>
        <v>0.16179706691791199</v>
      </c>
      <c r="CM49" s="32">
        <f ca="1">CORREL(OFFSET(Historical_Data_Start,date_start_row,$B49,date_rows,1),OFFSET(Historical_Data_Start,date_start_row,Calculations!CM$40,date_rows,1))</f>
        <v>0.77341909804421682</v>
      </c>
      <c r="CN49" s="32">
        <f ca="1">CORREL(OFFSET(Historical_Data_Start,date_start_row,$B49,date_rows,1),OFFSET(Historical_Data_Start,date_start_row,Calculations!CN$40,date_rows,1))</f>
        <v>0.70168783180357464</v>
      </c>
      <c r="CO49" s="32">
        <f ca="1">CORREL(OFFSET(Historical_Data_Start,date_start_row,$B49,date_rows,1),OFFSET(Historical_Data_Start,date_start_row,Calculations!CO$40,date_rows,1))</f>
        <v>0.93311174473490133</v>
      </c>
      <c r="CP49" s="32">
        <f ca="1">CORREL(OFFSET(Historical_Data_Start,date_start_row,$B49,date_rows,1),OFFSET(Historical_Data_Start,date_start_row,Calculations!CP$40,date_rows,1))</f>
        <v>0.92632189922352792</v>
      </c>
      <c r="CQ49" s="32">
        <f ca="1">CORREL(OFFSET(Historical_Data_Start,date_start_row,$B49,date_rows,1),OFFSET(Historical_Data_Start,date_start_row,Calculations!CQ$40,date_rows,1))</f>
        <v>0.61721365227696789</v>
      </c>
      <c r="CR49" s="32">
        <f ca="1">CORREL(OFFSET(Historical_Data_Start,date_start_row,$B49,date_rows,1),OFFSET(Historical_Data_Start,date_start_row,Calculations!CR$40,date_rows,1))</f>
        <v>0.78655729343317848</v>
      </c>
      <c r="CS49" s="32">
        <f ca="1">CORREL(OFFSET(Historical_Data_Start,date_start_row,$B49,date_rows,1),OFFSET(Historical_Data_Start,date_start_row,Calculations!CS$40,date_rows,1))</f>
        <v>0.45256481572292362</v>
      </c>
      <c r="CT49" s="32">
        <f ca="1">CORREL(OFFSET(Historical_Data_Start,date_start_row,$B49,date_rows,1),OFFSET(Historical_Data_Start,date_start_row,Calculations!CT$40,date_rows,1))</f>
        <v>-0.84678778277230371</v>
      </c>
      <c r="CU49" s="32">
        <f ca="1">CORREL(OFFSET(Historical_Data_Start,date_start_row,$B49,date_rows,1),OFFSET(Historical_Data_Start,date_start_row,Calculations!CU$40,date_rows,1))</f>
        <v>-0.98221457563931647</v>
      </c>
      <c r="CV49" s="32">
        <f ca="1">CORREL(OFFSET(Historical_Data_Start,date_start_row,$B49,date_rows,1),OFFSET(Historical_Data_Start,date_start_row,Calculations!CV$40,date_rows,1))</f>
        <v>-0.34217316918370716</v>
      </c>
      <c r="CW49" s="32">
        <f ca="1">CORREL(OFFSET(Historical_Data_Start,date_start_row,$B49,date_rows,1),OFFSET(Historical_Data_Start,date_start_row,Calculations!CW$40,date_rows,1))</f>
        <v>-0.32235789585542118</v>
      </c>
      <c r="CX49" s="32">
        <f ca="1">CORREL(OFFSET(Historical_Data_Start,date_start_row,$B49,date_rows,1),OFFSET(Historical_Data_Start,date_start_row,Calculations!CX$40,date_rows,1))</f>
        <v>-0.30930265380851885</v>
      </c>
      <c r="CY49" s="32">
        <f ca="1">CORREL(OFFSET(Historical_Data_Start,date_start_row,$B49,date_rows,1),OFFSET(Historical_Data_Start,date_start_row,Calculations!CY$40,date_rows,1))</f>
        <v>-0.36232995598426526</v>
      </c>
      <c r="CZ49" s="32">
        <f ca="1">CORREL(OFFSET(Historical_Data_Start,date_start_row,$B49,date_rows,1),OFFSET(Historical_Data_Start,date_start_row,Calculations!CZ$40,date_rows,1))</f>
        <v>-0.13092258928639569</v>
      </c>
      <c r="DA49" s="32">
        <f ca="1">CORREL(OFFSET(Historical_Data_Start,date_start_row,$B49,date_rows,1),OFFSET(Historical_Data_Start,date_start_row,Calculations!DA$40,date_rows,1))</f>
        <v>-0.23059466447557939</v>
      </c>
      <c r="DB49" s="32">
        <f ca="1">CORREL(OFFSET(Historical_Data_Start,date_start_row,$B49,date_rows,1),OFFSET(Historical_Data_Start,date_start_row,Calculations!DB$40,date_rows,1))</f>
        <v>-0.35676649021112961</v>
      </c>
      <c r="DC49" s="32">
        <f ca="1">CORREL(OFFSET(Historical_Data_Start,date_start_row,$B49,date_rows,1),OFFSET(Historical_Data_Start,date_start_row,Calculations!DC$40,date_rows,1))</f>
        <v>-0.34087609540377933</v>
      </c>
      <c r="DD49" s="32">
        <f ca="1">CORREL(OFFSET(Historical_Data_Start,date_start_row,$B49,date_rows,1),OFFSET(Historical_Data_Start,date_start_row,Calculations!DD$40,date_rows,1))</f>
        <v>-0.14143517507388192</v>
      </c>
      <c r="DE49" s="32">
        <f ca="1">CORREL(OFFSET(Historical_Data_Start,date_start_row,$B49,date_rows,1),OFFSET(Historical_Data_Start,date_start_row,Calculations!DE$40,date_rows,1))</f>
        <v>-0.14261655836401568</v>
      </c>
      <c r="DF49" s="32">
        <f ca="1">CORREL(OFFSET(Historical_Data_Start,date_start_row,$B49,date_rows,1),OFFSET(Historical_Data_Start,date_start_row,Calculations!DF$40,date_rows,1))</f>
        <v>-7.0199910383877476E-2</v>
      </c>
      <c r="DG49" s="32">
        <f ca="1">CORREL(OFFSET(Historical_Data_Start,date_start_row,$B49,date_rows,1),OFFSET(Historical_Data_Start,date_start_row,Calculations!DG$40,date_rows,1))</f>
        <v>-0.12525796048411927</v>
      </c>
      <c r="DH49" s="33">
        <f ca="1">CORREL(OFFSET(Historical_Data_Start,date_start_row,$B49,date_rows,1),OFFSET(Historical_Data_Start,date_start_row,Calculations!DH$40,date_rows,1))</f>
        <v>0.11388106230176036</v>
      </c>
      <c r="DI49" s="2">
        <f t="shared" si="71"/>
        <v>8</v>
      </c>
      <c r="DJ49" s="43">
        <f t="shared" ca="1" si="65"/>
        <v>7.928537779459976E-5</v>
      </c>
      <c r="DK49" s="44">
        <f t="shared" ca="1" si="12"/>
        <v>2.3875447556624975E-3</v>
      </c>
      <c r="DL49" s="44">
        <f t="shared" ca="1" si="13"/>
        <v>3.7133320059045175E-3</v>
      </c>
      <c r="DM49" s="44">
        <f t="shared" ca="1" si="14"/>
        <v>2.4347647063970644E-3</v>
      </c>
      <c r="DN49" s="44">
        <f t="shared" ca="1" si="15"/>
        <v>4.0221845148327743E-3</v>
      </c>
      <c r="DO49" s="44">
        <f t="shared" ca="1" si="16"/>
        <v>2.4232912010765388E-3</v>
      </c>
      <c r="DP49" s="44">
        <f t="shared" ca="1" si="17"/>
        <v>4.1758591216996639E-3</v>
      </c>
      <c r="DQ49" s="44">
        <f t="shared" ca="1" si="18"/>
        <v>2.4009999999999999E-3</v>
      </c>
      <c r="DR49" s="44">
        <f t="shared" ca="1" si="19"/>
        <v>3.9350034375034799E-3</v>
      </c>
      <c r="DS49" s="44">
        <f t="shared" ca="1" si="20"/>
        <v>1.8534747804110625E-3</v>
      </c>
      <c r="DT49" s="44">
        <f t="shared" ca="1" si="21"/>
        <v>2.1035849687859346E-3</v>
      </c>
      <c r="DU49" s="44">
        <f t="shared" ca="1" si="22"/>
        <v>2.6412234255827442E-3</v>
      </c>
      <c r="DV49" s="44">
        <f t="shared" ca="1" si="23"/>
        <v>3.1957502117812195E-3</v>
      </c>
      <c r="DW49" s="44">
        <f t="shared" ca="1" si="24"/>
        <v>1.1432158586107799E-3</v>
      </c>
      <c r="DX49" s="44">
        <f t="shared" ca="1" si="25"/>
        <v>2.0788388448275442E-3</v>
      </c>
      <c r="DY49" s="44">
        <f t="shared" ca="1" si="26"/>
        <v>3.2671398173519791E-3</v>
      </c>
      <c r="DZ49" s="44">
        <f t="shared" ca="1" si="27"/>
        <v>2.9553060758541008E-3</v>
      </c>
      <c r="EA49" s="44">
        <f t="shared" ca="1" si="28"/>
        <v>1.2410659419907673E-3</v>
      </c>
      <c r="EB49" s="44">
        <f t="shared" ca="1" si="29"/>
        <v>1.524167621269269E-3</v>
      </c>
      <c r="EC49" s="44">
        <f t="shared" ca="1" si="30"/>
        <v>6.6147554858787035E-4</v>
      </c>
      <c r="ED49" s="44">
        <f t="shared" ca="1" si="31"/>
        <v>1.3506698354165227E-3</v>
      </c>
      <c r="EE49" s="44">
        <f t="shared" ca="1" si="32"/>
        <v>-6.9774573024924036E-4</v>
      </c>
      <c r="EF49" s="44">
        <f t="shared" ca="1" si="33"/>
        <v>-4.2856861117430983E-4</v>
      </c>
      <c r="EG49" s="44">
        <f t="shared" ca="1" si="34"/>
        <v>2.4580974163949838E-3</v>
      </c>
      <c r="EH49" s="44">
        <f t="shared" ca="1" si="35"/>
        <v>1.8238838474593855E-3</v>
      </c>
      <c r="EI49" s="44">
        <f t="shared" ca="1" si="36"/>
        <v>5.0778918212729699E-4</v>
      </c>
      <c r="EJ49" s="45">
        <f t="shared" ca="1" si="37"/>
        <v>-2.1244239024577829E-4</v>
      </c>
      <c r="EK49" s="44">
        <f t="shared" ca="1" si="38"/>
        <v>7.9280562789776871E-5</v>
      </c>
      <c r="EL49" s="44">
        <f t="shared" ca="1" si="39"/>
        <v>1.7432866469916646E-3</v>
      </c>
      <c r="EM49" s="44">
        <f t="shared" ca="1" si="40"/>
        <v>2.784999004428388E-3</v>
      </c>
      <c r="EN49" s="44">
        <f t="shared" ca="1" si="41"/>
        <v>1.8746214951724167E-3</v>
      </c>
      <c r="EO49" s="44">
        <f t="shared" ca="1" si="42"/>
        <v>5.1744341290626272E-3</v>
      </c>
      <c r="EP49" s="44">
        <f t="shared" ca="1" si="43"/>
        <v>8.3774409023552841E-3</v>
      </c>
      <c r="EQ49" s="44">
        <f t="shared" ca="1" si="44"/>
        <v>9.1728311560177276E-3</v>
      </c>
      <c r="ER49" s="44">
        <f t="shared" ca="1" si="45"/>
        <v>7.0962163105354418E-3</v>
      </c>
      <c r="ES49" s="44">
        <f t="shared" ca="1" si="46"/>
        <v>-2.6140338854181017E-3</v>
      </c>
      <c r="ET49" s="44">
        <f t="shared" ca="1" si="47"/>
        <v>-2.4064257103163255E-3</v>
      </c>
      <c r="EU49" s="44">
        <f t="shared" ca="1" si="48"/>
        <v>-1.1736539703001156E-3</v>
      </c>
      <c r="EV49" s="44">
        <f t="shared" ca="1" si="49"/>
        <v>-2.527285903506502E-3</v>
      </c>
      <c r="EW49" s="44">
        <f t="shared" ca="1" si="50"/>
        <v>-3.0311660073234852E-3</v>
      </c>
      <c r="EX49" s="44">
        <f t="shared" ca="1" si="51"/>
        <v>-3.1957502117812195E-3</v>
      </c>
      <c r="EY49" s="44">
        <f t="shared" ca="1" si="52"/>
        <v>-1.5396496500080133E-3</v>
      </c>
      <c r="EZ49" s="44">
        <f t="shared" ca="1" si="53"/>
        <v>-2.3728190974537122E-3</v>
      </c>
      <c r="FA49" s="44">
        <f t="shared" ca="1" si="54"/>
        <v>-3.4963116040690706E-3</v>
      </c>
      <c r="FB49" s="44">
        <f t="shared" ca="1" si="55"/>
        <v>-3.340585734957038E-3</v>
      </c>
      <c r="FC49" s="44">
        <f t="shared" ca="1" si="56"/>
        <v>-1.524671187296447E-3</v>
      </c>
      <c r="FD49" s="44">
        <f t="shared" ca="1" si="57"/>
        <v>-1.81693495355756E-3</v>
      </c>
      <c r="FE49" s="44">
        <f t="shared" ca="1" si="58"/>
        <v>-1.0319386826429988E-3</v>
      </c>
      <c r="FF49" s="44">
        <f t="shared" ca="1" si="59"/>
        <v>-1.7185392178421166E-3</v>
      </c>
      <c r="FG49" s="45">
        <f t="shared" ca="1" si="60"/>
        <v>2.7900860263931285E-5</v>
      </c>
      <c r="FL49" s="111">
        <v>0</v>
      </c>
      <c r="FM49" s="111">
        <v>0</v>
      </c>
      <c r="FN49" s="111">
        <v>1</v>
      </c>
      <c r="FO49" s="111">
        <v>0</v>
      </c>
      <c r="FP49" s="111">
        <v>0</v>
      </c>
      <c r="FQ49" s="111">
        <v>0</v>
      </c>
    </row>
    <row r="50" spans="1:173" x14ac:dyDescent="0.2">
      <c r="A50" s="51" t="str">
        <f t="shared" ref="A50" ca="1" si="92">INDEX(Historical_Data_Names,3,B50)</f>
        <v>A</v>
      </c>
      <c r="B50" s="57">
        <f t="shared" si="67"/>
        <v>9</v>
      </c>
      <c r="C50" s="11" t="str">
        <f t="shared" ref="C50" ca="1" si="93">INDEX(Historical_Data_Names,2,B50)</f>
        <v>Can L-Cred</v>
      </c>
      <c r="D50" s="58"/>
      <c r="E50" s="59">
        <f t="shared" ref="E50" ca="1" si="94">AVERAGE(OFFSET(Historical_Data_Start,date_start_row,$B50,date_rows,1))*4</f>
        <v>0.10850834923651605</v>
      </c>
      <c r="F50" s="59">
        <f t="array" aca="1" ref="F50" ca="1">PRODUCT(1+OFFSET(Historical_Data_Start,date_start_row,$B50,date_rows,1))^(4/date_rows)-1</f>
        <v>0.10745561013598781</v>
      </c>
      <c r="G50" s="59">
        <f t="shared" ref="G50" ca="1" si="95">STDEV(OFFSET(Historical_Data_Start,date_start_row,$B50,date_rows,1))*2</f>
        <v>0.10378272379099306</v>
      </c>
      <c r="H50" s="6"/>
      <c r="I50" s="60">
        <v>5.9000000000000004E-2</v>
      </c>
      <c r="J50" s="60">
        <v>8.3000000000000004E-2</v>
      </c>
      <c r="K50" s="60"/>
      <c r="L50" s="60">
        <v>4.5700000000000005E-2</v>
      </c>
      <c r="M50" s="6"/>
      <c r="N50" s="82">
        <v>4.5699994904737494E-2</v>
      </c>
      <c r="O50" s="6"/>
      <c r="P50" s="53">
        <v>0</v>
      </c>
      <c r="Q50" s="85">
        <v>4.5700000000000005E-2</v>
      </c>
      <c r="R50" s="53"/>
      <c r="S50" s="226"/>
      <c r="T50" s="410">
        <v>0</v>
      </c>
      <c r="U50" s="410">
        <v>0</v>
      </c>
      <c r="V50" s="410">
        <v>1</v>
      </c>
      <c r="W50" s="410">
        <v>0</v>
      </c>
      <c r="X50" s="410">
        <v>0</v>
      </c>
      <c r="Y50" s="410">
        <v>0</v>
      </c>
      <c r="AD50" s="8"/>
      <c r="AI50" s="117">
        <v>0</v>
      </c>
      <c r="AJ50" s="117">
        <v>0</v>
      </c>
      <c r="AK50" s="117">
        <v>0</v>
      </c>
      <c r="AL50" s="117">
        <v>0</v>
      </c>
      <c r="AM50" s="117">
        <v>0</v>
      </c>
      <c r="AN50" s="117">
        <v>0</v>
      </c>
      <c r="AO50" s="117">
        <v>0</v>
      </c>
      <c r="AP50" s="117">
        <v>0</v>
      </c>
      <c r="AQ50" s="117">
        <v>0</v>
      </c>
      <c r="AR50" s="117">
        <v>0</v>
      </c>
      <c r="AS50" s="117">
        <v>0</v>
      </c>
      <c r="AU50" s="117">
        <v>0</v>
      </c>
      <c r="AV50" s="117">
        <v>0</v>
      </c>
      <c r="AW50" s="117">
        <v>0</v>
      </c>
      <c r="AX50" s="117">
        <v>0</v>
      </c>
      <c r="AY50" s="117">
        <v>0</v>
      </c>
      <c r="AZ50" s="117">
        <v>0</v>
      </c>
      <c r="BA50" s="117">
        <v>0</v>
      </c>
      <c r="BB50" s="117">
        <v>0</v>
      </c>
      <c r="BC50" s="117">
        <v>0</v>
      </c>
      <c r="BD50" s="117">
        <v>0</v>
      </c>
      <c r="BE50" s="117">
        <v>0</v>
      </c>
      <c r="BG50" s="51" t="str">
        <f t="shared" ca="1" si="9"/>
        <v>Can L-Cred</v>
      </c>
      <c r="BH50" s="38">
        <f t="shared" si="10"/>
        <v>5.9000000000000004E-2</v>
      </c>
      <c r="BI50" s="38">
        <f t="shared" si="11"/>
        <v>8.3000000000000004E-2</v>
      </c>
      <c r="BK50" s="31">
        <f ca="1">CORREL(OFFSET(Historical_Data_Start,date_start_row,$B50,date_rows,1),OFFSET(Historical_Data_Start,date_start_row,Calculations!BK$40,date_rows,1))</f>
        <v>8.9073380248520698E-2</v>
      </c>
      <c r="BL50" s="32">
        <f ca="1">CORREL(OFFSET(Historical_Data_Start,date_start_row,$B50,date_rows,1),OFFSET(Historical_Data_Start,date_start_row,Calculations!BL$40,date_rows,1))</f>
        <v>0.69548802438820811</v>
      </c>
      <c r="BM50" s="32">
        <f ca="1">CORREL(OFFSET(Historical_Data_Start,date_start_row,$B50,date_rows,1),OFFSET(Historical_Data_Start,date_start_row,Calculations!BM$40,date_rows,1))</f>
        <v>0.69575161700885402</v>
      </c>
      <c r="BN50" s="32">
        <f ca="1">CORREL(OFFSET(Historical_Data_Start,date_start_row,$B50,date_rows,1),OFFSET(Historical_Data_Start,date_start_row,Calculations!BN$40,date_rows,1))</f>
        <v>0.81902248798474819</v>
      </c>
      <c r="BO50" s="32">
        <f ca="1">CORREL(OFFSET(Historical_Data_Start,date_start_row,$B50,date_rows,1),OFFSET(Historical_Data_Start,date_start_row,Calculations!BO$40,date_rows,1))</f>
        <v>0.85227674270460263</v>
      </c>
      <c r="BP50" s="32">
        <f ca="1">CORREL(OFFSET(Historical_Data_Start,date_start_row,$B50,date_rows,1),OFFSET(Historical_Data_Start,date_start_row,Calculations!BP$40,date_rows,1))</f>
        <v>0.88172007363780291</v>
      </c>
      <c r="BQ50" s="32">
        <f ca="1">CORREL(OFFSET(Historical_Data_Start,date_start_row,$B50,date_rows,1),OFFSET(Historical_Data_Start,date_start_row,Calculations!BQ$40,date_rows,1))</f>
        <v>0.92719410362385968</v>
      </c>
      <c r="BR50" s="32">
        <f ca="1">CORREL(OFFSET(Historical_Data_Start,date_start_row,$B50,date_rows,1),OFFSET(Historical_Data_Start,date_start_row,Calculations!BR$40,date_rows,1))</f>
        <v>0.96754448918207014</v>
      </c>
      <c r="BS50" s="32">
        <f ca="1">CORREL(OFFSET(Historical_Data_Start,date_start_row,$B50,date_rows,1),OFFSET(Historical_Data_Start,date_start_row,Calculations!BS$40,date_rows,1))</f>
        <v>1</v>
      </c>
      <c r="BT50" s="32">
        <f ca="1">CORREL(OFFSET(Historical_Data_Start,date_start_row,$B50,date_rows,1),OFFSET(Historical_Data_Start,date_start_row,Calculations!BT$40,date_rows,1))</f>
        <v>0.50165543771313059</v>
      </c>
      <c r="BU50" s="32">
        <f ca="1">CORREL(OFFSET(Historical_Data_Start,date_start_row,$B50,date_rows,1),OFFSET(Historical_Data_Start,date_start_row,Calculations!BU$40,date_rows,1))</f>
        <v>0.3353791270786704</v>
      </c>
      <c r="BV50" s="32">
        <f ca="1">CORREL(OFFSET(Historical_Data_Start,date_start_row,$B50,date_rows,1),OFFSET(Historical_Data_Start,date_start_row,Calculations!BV$40,date_rows,1))</f>
        <v>0.33051022725673446</v>
      </c>
      <c r="BW50" s="32">
        <f ca="1">CORREL(OFFSET(Historical_Data_Start,date_start_row,$B50,date_rows,1),OFFSET(Historical_Data_Start,date_start_row,Calculations!BW$40,date_rows,1))</f>
        <v>0.42134212433666218</v>
      </c>
      <c r="BX50" s="32">
        <f ca="1">CORREL(OFFSET(Historical_Data_Start,date_start_row,$B50,date_rows,1),OFFSET(Historical_Data_Start,date_start_row,Calculations!BX$40,date_rows,1))</f>
        <v>0.13405553811510798</v>
      </c>
      <c r="BY50" s="32">
        <f ca="1">CORREL(OFFSET(Historical_Data_Start,date_start_row,$B50,date_rows,1),OFFSET(Historical_Data_Start,date_start_row,Calculations!BY$40,date_rows,1))</f>
        <v>0.25042799204393462</v>
      </c>
      <c r="BZ50" s="32">
        <f ca="1">CORREL(OFFSET(Historical_Data_Start,date_start_row,$B50,date_rows,1),OFFSET(Historical_Data_Start,date_start_row,Calculations!BZ$40,date_rows,1))</f>
        <v>0.37478549329495597</v>
      </c>
      <c r="CA50" s="32">
        <f ca="1">CORREL(OFFSET(Historical_Data_Start,date_start_row,$B50,date_rows,1),OFFSET(Historical_Data_Start,date_start_row,Calculations!CA$40,date_rows,1))</f>
        <v>0.3354261626997127</v>
      </c>
      <c r="CB50" s="32">
        <f ca="1">CORREL(OFFSET(Historical_Data_Start,date_start_row,$B50,date_rows,1),OFFSET(Historical_Data_Start,date_start_row,Calculations!CB$40,date_rows,1))</f>
        <v>0.15487705391077564</v>
      </c>
      <c r="CC50" s="32">
        <f ca="1">CORREL(OFFSET(Historical_Data_Start,date_start_row,$B50,date_rows,1),OFFSET(Historical_Data_Start,date_start_row,Calculations!CC$40,date_rows,1))</f>
        <v>0.15304061076588865</v>
      </c>
      <c r="CD50" s="32">
        <f ca="1">CORREL(OFFSET(Historical_Data_Start,date_start_row,$B50,date_rows,1),OFFSET(Historical_Data_Start,date_start_row,Calculations!CD$40,date_rows,1))</f>
        <v>7.9894229847806975E-2</v>
      </c>
      <c r="CE50" s="32">
        <f ca="1">CORREL(OFFSET(Historical_Data_Start,date_start_row,$B50,date_rows,1),OFFSET(Historical_Data_Start,date_start_row,Calculations!CE$40,date_rows,1))</f>
        <v>0.16404570666860041</v>
      </c>
      <c r="CF50" s="32">
        <f ca="1">CORREL(OFFSET(Historical_Data_Start,date_start_row,$B50,date_rows,1),OFFSET(Historical_Data_Start,date_start_row,Calculations!CF$40,date_rows,1))</f>
        <v>-0.1042938960734438</v>
      </c>
      <c r="CG50" s="32">
        <f ca="1">CORREL(OFFSET(Historical_Data_Start,date_start_row,$B50,date_rows,1),OFFSET(Historical_Data_Start,date_start_row,Calculations!CG$40,date_rows,1))</f>
        <v>-6.2485033480592173E-2</v>
      </c>
      <c r="CH50" s="32">
        <f ca="1">CORREL(OFFSET(Historical_Data_Start,date_start_row,$B50,date_rows,1),OFFSET(Historical_Data_Start,date_start_row,Calculations!CH$40,date_rows,1))</f>
        <v>0.35756344942890333</v>
      </c>
      <c r="CI50" s="32">
        <f ca="1">CORREL(OFFSET(Historical_Data_Start,date_start_row,$B50,date_rows,1),OFFSET(Historical_Data_Start,date_start_row,Calculations!CI$40,date_rows,1))</f>
        <v>0.17452674081580496</v>
      </c>
      <c r="CJ50" s="32">
        <f ca="1">CORREL(OFFSET(Historical_Data_Start,date_start_row,$B50,date_rows,1),OFFSET(Historical_Data_Start,date_start_row,Calculations!CJ$40,date_rows,1))</f>
        <v>8.2331735458500935E-2</v>
      </c>
      <c r="CK50" s="32">
        <f ca="1">CORREL(OFFSET(Historical_Data_Start,date_start_row,$B50,date_rows,1),OFFSET(Historical_Data_Start,date_start_row,Calculations!CK$40,date_rows,1))</f>
        <v>9.9112802833659953E-3</v>
      </c>
      <c r="CL50" s="32">
        <f ca="1">CORREL(OFFSET(Historical_Data_Start,date_start_row,$B50,date_rows,1),OFFSET(Historical_Data_Start,date_start_row,Calculations!CL$40,date_rows,1))</f>
        <v>8.9055331766664469E-2</v>
      </c>
      <c r="CM50" s="32">
        <f ca="1">CORREL(OFFSET(Historical_Data_Start,date_start_row,$B50,date_rows,1),OFFSET(Historical_Data_Start,date_start_row,Calculations!CM$40,date_rows,1))</f>
        <v>0.69548802438820811</v>
      </c>
      <c r="CN50" s="32">
        <f ca="1">CORREL(OFFSET(Historical_Data_Start,date_start_row,$B50,date_rows,1),OFFSET(Historical_Data_Start,date_start_row,Calculations!CN$40,date_rows,1))</f>
        <v>0.69575161700885402</v>
      </c>
      <c r="CO50" s="32">
        <f ca="1">CORREL(OFFSET(Historical_Data_Start,date_start_row,$B50,date_rows,1),OFFSET(Historical_Data_Start,date_start_row,Calculations!CO$40,date_rows,1))</f>
        <v>0.88172007363780291</v>
      </c>
      <c r="CP50" s="32">
        <f ca="1">CORREL(OFFSET(Historical_Data_Start,date_start_row,$B50,date_rows,1),OFFSET(Historical_Data_Start,date_start_row,Calculations!CP$40,date_rows,1))</f>
        <v>0.92719410362385968</v>
      </c>
      <c r="CQ50" s="32">
        <f ca="1">CORREL(OFFSET(Historical_Data_Start,date_start_row,$B50,date_rows,1),OFFSET(Historical_Data_Start,date_start_row,Calculations!CQ$40,date_rows,1))</f>
        <v>0.61657309006137773</v>
      </c>
      <c r="CR50" s="32">
        <f ca="1">CORREL(OFFSET(Historical_Data_Start,date_start_row,$B50,date_rows,1),OFFSET(Historical_Data_Start,date_start_row,Calculations!CR$40,date_rows,1))</f>
        <v>0.817874517593843</v>
      </c>
      <c r="CS50" s="32">
        <f ca="1">CORREL(OFFSET(Historical_Data_Start,date_start_row,$B50,date_rows,1),OFFSET(Historical_Data_Start,date_start_row,Calculations!CS$40,date_rows,1))</f>
        <v>0.42402256288930518</v>
      </c>
      <c r="CT50" s="32">
        <f ca="1">CORREL(OFFSET(Historical_Data_Start,date_start_row,$B50,date_rows,1),OFFSET(Historical_Data_Start,date_start_row,Calculations!CT$40,date_rows,1))</f>
        <v>-0.80526511849747651</v>
      </c>
      <c r="CU50" s="32">
        <f ca="1">CORREL(OFFSET(Historical_Data_Start,date_start_row,$B50,date_rows,1),OFFSET(Historical_Data_Start,date_start_row,Calculations!CU$40,date_rows,1))</f>
        <v>-0.94446300032720465</v>
      </c>
      <c r="CV50" s="32">
        <f ca="1">CORREL(OFFSET(Historical_Data_Start,date_start_row,$B50,date_rows,1),OFFSET(Historical_Data_Start,date_start_row,Calculations!CV$40,date_rows,1))</f>
        <v>-0.29776815870070439</v>
      </c>
      <c r="CW50" s="32">
        <f ca="1">CORREL(OFFSET(Historical_Data_Start,date_start_row,$B50,date_rows,1),OFFSET(Historical_Data_Start,date_start_row,Calculations!CW$40,date_rows,1))</f>
        <v>-0.38575575650677596</v>
      </c>
      <c r="CX50" s="32">
        <f ca="1">CORREL(OFFSET(Historical_Data_Start,date_start_row,$B50,date_rows,1),OFFSET(Historical_Data_Start,date_start_row,Calculations!CX$40,date_rows,1))</f>
        <v>-0.36699165040971021</v>
      </c>
      <c r="CY50" s="32">
        <f ca="1">CORREL(OFFSET(Historical_Data_Start,date_start_row,$B50,date_rows,1),OFFSET(Historical_Data_Start,date_start_row,Calculations!CY$40,date_rows,1))</f>
        <v>-0.42134212433666218</v>
      </c>
      <c r="CZ50" s="32">
        <f ca="1">CORREL(OFFSET(Historical_Data_Start,date_start_row,$B50,date_rows,1),OFFSET(Historical_Data_Start,date_start_row,Calculations!CZ$40,date_rows,1))</f>
        <v>-0.16900717920660657</v>
      </c>
      <c r="DA50" s="32">
        <f ca="1">CORREL(OFFSET(Historical_Data_Start,date_start_row,$B50,date_rows,1),OFFSET(Historical_Data_Start,date_start_row,Calculations!DA$40,date_rows,1))</f>
        <v>-0.2792425684900674</v>
      </c>
      <c r="DB50" s="32">
        <f ca="1">CORREL(OFFSET(Historical_Data_Start,date_start_row,$B50,date_rows,1),OFFSET(Historical_Data_Start,date_start_row,Calculations!DB$40,date_rows,1))</f>
        <v>-0.39765512099910549</v>
      </c>
      <c r="DC50" s="32">
        <f ca="1">CORREL(OFFSET(Historical_Data_Start,date_start_row,$B50,date_rows,1),OFFSET(Historical_Data_Start,date_start_row,Calculations!DC$40,date_rows,1))</f>
        <v>-0.37779004684204476</v>
      </c>
      <c r="DD50" s="32">
        <f ca="1">CORREL(OFFSET(Historical_Data_Start,date_start_row,$B50,date_rows,1),OFFSET(Historical_Data_Start,date_start_row,Calculations!DD$40,date_rows,1))</f>
        <v>-0.18004646923545986</v>
      </c>
      <c r="DE50" s="32">
        <f ca="1">CORREL(OFFSET(Historical_Data_Start,date_start_row,$B50,date_rows,1),OFFSET(Historical_Data_Start,date_start_row,Calculations!DE$40,date_rows,1))</f>
        <v>-0.17602018584394152</v>
      </c>
      <c r="DF50" s="32">
        <f ca="1">CORREL(OFFSET(Historical_Data_Start,date_start_row,$B50,date_rows,1),OFFSET(Historical_Data_Start,date_start_row,Calculations!DF$40,date_rows,1))</f>
        <v>-0.10545936414263633</v>
      </c>
      <c r="DG50" s="32">
        <f ca="1">CORREL(OFFSET(Historical_Data_Start,date_start_row,$B50,date_rows,1),OFFSET(Historical_Data_Start,date_start_row,Calculations!DG$40,date_rows,1))</f>
        <v>-0.18892739370164419</v>
      </c>
      <c r="DH50" s="33">
        <f ca="1">CORREL(OFFSET(Historical_Data_Start,date_start_row,$B50,date_rows,1),OFFSET(Historical_Data_Start,date_start_row,Calculations!DH$40,date_rows,1))</f>
        <v>4.3213186976431422E-2</v>
      </c>
      <c r="DI50" s="2">
        <f t="shared" si="71"/>
        <v>9</v>
      </c>
      <c r="DJ50" s="43">
        <f t="shared" ca="1" si="65"/>
        <v>7.3930905606272174E-5</v>
      </c>
      <c r="DK50" s="44">
        <f t="shared" ca="1" si="12"/>
        <v>3.6367068795259403E-3</v>
      </c>
      <c r="DL50" s="44">
        <f t="shared" ca="1" si="13"/>
        <v>6.2367174948673686E-3</v>
      </c>
      <c r="DM50" s="44">
        <f t="shared" ca="1" si="14"/>
        <v>3.9427742571585779E-3</v>
      </c>
      <c r="DN50" s="44">
        <f t="shared" ca="1" si="15"/>
        <v>6.932419025159238E-3</v>
      </c>
      <c r="DO50" s="44">
        <f t="shared" ca="1" si="16"/>
        <v>3.8786866039326952E-3</v>
      </c>
      <c r="DP50" s="44">
        <f t="shared" ca="1" si="17"/>
        <v>7.0800541752717933E-3</v>
      </c>
      <c r="DQ50" s="44">
        <f t="shared" ca="1" si="18"/>
        <v>3.9350034375034799E-3</v>
      </c>
      <c r="DR50" s="44">
        <f t="shared" ca="1" si="19"/>
        <v>6.889000000000001E-3</v>
      </c>
      <c r="DS50" s="44">
        <f t="shared" ca="1" si="20"/>
        <v>2.9146180931132891E-3</v>
      </c>
      <c r="DT50" s="44">
        <f t="shared" ca="1" si="21"/>
        <v>4.4538348076047429E-3</v>
      </c>
      <c r="DU50" s="44">
        <f t="shared" ca="1" si="22"/>
        <v>5.4864697724617923E-3</v>
      </c>
      <c r="DV50" s="44">
        <f t="shared" ca="1" si="23"/>
        <v>6.2948513375897328E-3</v>
      </c>
      <c r="DW50" s="44">
        <f t="shared" ca="1" si="24"/>
        <v>2.6703863192529512E-3</v>
      </c>
      <c r="DX50" s="44">
        <f t="shared" ca="1" si="25"/>
        <v>4.3649599013257804E-3</v>
      </c>
      <c r="DY50" s="44">
        <f t="shared" ca="1" si="26"/>
        <v>6.2214391886962692E-3</v>
      </c>
      <c r="DZ50" s="44">
        <f t="shared" ca="1" si="27"/>
        <v>5.5680743008152313E-3</v>
      </c>
      <c r="EA50" s="44">
        <f t="shared" ca="1" si="28"/>
        <v>2.8280550044107633E-3</v>
      </c>
      <c r="EB50" s="44">
        <f t="shared" ca="1" si="29"/>
        <v>3.3026163803278772E-3</v>
      </c>
      <c r="EC50" s="44">
        <f t="shared" ca="1" si="30"/>
        <v>1.989366323210394E-3</v>
      </c>
      <c r="ED50" s="44">
        <f t="shared" ca="1" si="31"/>
        <v>3.8124222229782741E-3</v>
      </c>
      <c r="EE50" s="44">
        <f t="shared" ca="1" si="32"/>
        <v>-7.7907540366862517E-4</v>
      </c>
      <c r="EF50" s="44">
        <f t="shared" ca="1" si="33"/>
        <v>-4.6676320010002355E-4</v>
      </c>
      <c r="EG50" s="44">
        <f t="shared" ca="1" si="34"/>
        <v>5.045220271441826E-3</v>
      </c>
      <c r="EH50" s="44">
        <f t="shared" ca="1" si="35"/>
        <v>3.4765726770508349E-3</v>
      </c>
      <c r="EI50" s="44">
        <f t="shared" ca="1" si="36"/>
        <v>8.2002408516666932E-4</v>
      </c>
      <c r="EJ50" s="45">
        <f t="shared" ca="1" si="37"/>
        <v>7.4037263716743981E-5</v>
      </c>
      <c r="EK50" s="44">
        <f t="shared" ca="1" si="38"/>
        <v>7.3915925366331507E-5</v>
      </c>
      <c r="EL50" s="44">
        <f t="shared" ca="1" si="39"/>
        <v>2.6553732771141788E-3</v>
      </c>
      <c r="EM50" s="44">
        <f t="shared" ca="1" si="40"/>
        <v>4.6775381211505264E-3</v>
      </c>
      <c r="EN50" s="44">
        <f t="shared" ca="1" si="41"/>
        <v>3.000493410589443E-3</v>
      </c>
      <c r="EO50" s="44">
        <f t="shared" ca="1" si="42"/>
        <v>8.7731106084889612E-3</v>
      </c>
      <c r="EP50" s="44">
        <f t="shared" ca="1" si="43"/>
        <v>1.4175631913601133E-2</v>
      </c>
      <c r="EQ50" s="44">
        <f t="shared" ca="1" si="44"/>
        <v>1.6156293220548776E-2</v>
      </c>
      <c r="ER50" s="44">
        <f t="shared" ca="1" si="45"/>
        <v>1.1262039270339946E-2</v>
      </c>
      <c r="ES50" s="44">
        <f t="shared" ca="1" si="46"/>
        <v>-4.2107313046233046E-3</v>
      </c>
      <c r="ET50" s="44">
        <f t="shared" ca="1" si="47"/>
        <v>-3.9195214513578994E-3</v>
      </c>
      <c r="EU50" s="44">
        <f t="shared" ca="1" si="48"/>
        <v>-1.7300330020510928E-3</v>
      </c>
      <c r="EV50" s="44">
        <f t="shared" ca="1" si="49"/>
        <v>-5.1228364464099849E-3</v>
      </c>
      <c r="EW50" s="44">
        <f t="shared" ca="1" si="50"/>
        <v>-6.0920613968011893E-3</v>
      </c>
      <c r="EX50" s="44">
        <f t="shared" ca="1" si="51"/>
        <v>-6.2948513375897328E-3</v>
      </c>
      <c r="EY50" s="44">
        <f t="shared" ca="1" si="52"/>
        <v>-3.3666230097956031E-3</v>
      </c>
      <c r="EZ50" s="44">
        <f t="shared" ca="1" si="53"/>
        <v>-4.8671979687818752E-3</v>
      </c>
      <c r="FA50" s="44">
        <f t="shared" ca="1" si="54"/>
        <v>-6.6010750085851513E-3</v>
      </c>
      <c r="FB50" s="44">
        <f t="shared" ca="1" si="55"/>
        <v>-6.2713147775779431E-3</v>
      </c>
      <c r="FC50" s="44">
        <f t="shared" ca="1" si="56"/>
        <v>-3.2876485282394975E-3</v>
      </c>
      <c r="FD50" s="44">
        <f t="shared" ca="1" si="57"/>
        <v>-3.7985156105122585E-3</v>
      </c>
      <c r="FE50" s="44">
        <f t="shared" ca="1" si="58"/>
        <v>-2.6259381671516449E-3</v>
      </c>
      <c r="FF50" s="44">
        <f t="shared" ca="1" si="59"/>
        <v>-4.3906726296262114E-3</v>
      </c>
      <c r="FG50" s="45">
        <f t="shared" ca="1" si="60"/>
        <v>1.7933472595219041E-5</v>
      </c>
      <c r="FL50" s="111">
        <v>0</v>
      </c>
      <c r="FM50" s="111">
        <v>0</v>
      </c>
      <c r="FN50" s="111">
        <v>1</v>
      </c>
      <c r="FO50" s="111">
        <v>0</v>
      </c>
      <c r="FP50" s="111">
        <v>0</v>
      </c>
      <c r="FQ50" s="111">
        <v>0</v>
      </c>
    </row>
    <row r="51" spans="1:173" x14ac:dyDescent="0.2">
      <c r="A51" s="51" t="str">
        <f t="shared" ref="A51" ca="1" si="96">INDEX(Historical_Data_Names,3,B51)</f>
        <v>A</v>
      </c>
      <c r="B51" s="57">
        <f t="shared" si="67"/>
        <v>10</v>
      </c>
      <c r="C51" s="11" t="str">
        <f t="shared" ref="C51" ca="1" si="97">INDEX(Historical_Data_Names,2,B51)</f>
        <v>Jpn Bond</v>
      </c>
      <c r="D51" s="58"/>
      <c r="E51" s="59">
        <f t="shared" ref="E51" ca="1" si="98">AVERAGE(OFFSET(Historical_Data_Start,date_start_row,$B51,date_rows,1))*4</f>
        <v>5.8202364679510045E-2</v>
      </c>
      <c r="F51" s="59">
        <f t="array" aca="1" ref="F51" ca="1">PRODUCT(1+OFFSET(Historical_Data_Start,date_start_row,$B51,date_rows,1))^(4/date_rows)-1</f>
        <v>5.7428374844100905E-2</v>
      </c>
      <c r="G51" s="59">
        <f t="shared" ref="G51" ca="1" si="99">STDEV(OFFSET(Historical_Data_Start,date_start_row,$B51,date_rows,1))*2</f>
        <v>6.3551182344661117E-2</v>
      </c>
      <c r="H51" s="6"/>
      <c r="I51" s="60">
        <v>0.03</v>
      </c>
      <c r="J51" s="60">
        <v>7.0000000000000007E-2</v>
      </c>
      <c r="K51" s="60"/>
      <c r="L51" s="60">
        <v>3.9100000000000003E-2</v>
      </c>
      <c r="M51" s="6"/>
      <c r="N51" s="82">
        <v>3.7820788317382406E-2</v>
      </c>
      <c r="O51" s="96"/>
      <c r="P51" s="53">
        <v>1.7000000000000001E-2</v>
      </c>
      <c r="Q51" s="85">
        <v>1</v>
      </c>
      <c r="R51" s="53"/>
      <c r="S51" s="226"/>
      <c r="T51" s="410">
        <v>0</v>
      </c>
      <c r="U51" s="410">
        <v>0</v>
      </c>
      <c r="V51" s="410">
        <v>0</v>
      </c>
      <c r="W51" s="410">
        <v>1</v>
      </c>
      <c r="X51" s="410">
        <v>0</v>
      </c>
      <c r="Y51" s="410">
        <v>0</v>
      </c>
      <c r="AB51" s="6"/>
      <c r="AC51" s="52"/>
      <c r="AD51" s="64"/>
      <c r="AI51" s="119">
        <v>0</v>
      </c>
      <c r="AJ51" s="119">
        <v>0</v>
      </c>
      <c r="AK51" s="119">
        <v>0</v>
      </c>
      <c r="AL51" s="119">
        <v>0</v>
      </c>
      <c r="AM51" s="119">
        <v>0</v>
      </c>
      <c r="AN51" s="119">
        <v>0</v>
      </c>
      <c r="AO51" s="119">
        <v>0</v>
      </c>
      <c r="AP51" s="119">
        <v>0</v>
      </c>
      <c r="AQ51" s="119">
        <v>0</v>
      </c>
      <c r="AR51" s="119">
        <v>0</v>
      </c>
      <c r="AS51" s="119">
        <v>0</v>
      </c>
      <c r="AU51" s="119">
        <v>0</v>
      </c>
      <c r="AV51" s="119">
        <v>0</v>
      </c>
      <c r="AW51" s="119">
        <v>0</v>
      </c>
      <c r="AX51" s="119">
        <v>0</v>
      </c>
      <c r="AY51" s="119">
        <v>0</v>
      </c>
      <c r="AZ51" s="119">
        <v>0</v>
      </c>
      <c r="BA51" s="119">
        <v>0</v>
      </c>
      <c r="BB51" s="119">
        <v>0</v>
      </c>
      <c r="BC51" s="119">
        <v>0</v>
      </c>
      <c r="BD51" s="119">
        <v>0</v>
      </c>
      <c r="BE51" s="119">
        <v>0</v>
      </c>
      <c r="BG51" s="51" t="str">
        <f t="shared" ca="1" si="9"/>
        <v>Jpn Bond</v>
      </c>
      <c r="BH51" s="38">
        <f t="shared" si="10"/>
        <v>0.03</v>
      </c>
      <c r="BI51" s="38">
        <f t="shared" si="11"/>
        <v>7.0000000000000007E-2</v>
      </c>
      <c r="BK51" s="31">
        <f ca="1">CORREL(OFFSET(Historical_Data_Start,date_start_row,$B51,date_rows,1),OFFSET(Historical_Data_Start,date_start_row,Calculations!BK$40,date_rows,1))</f>
        <v>0.20100221422735046</v>
      </c>
      <c r="BL51" s="32">
        <f ca="1">CORREL(OFFSET(Historical_Data_Start,date_start_row,$B51,date_rows,1),OFFSET(Historical_Data_Start,date_start_row,Calculations!BL$40,date_rows,1))</f>
        <v>0.59218645502484057</v>
      </c>
      <c r="BM51" s="32">
        <f ca="1">CORREL(OFFSET(Historical_Data_Start,date_start_row,$B51,date_rows,1),OFFSET(Historical_Data_Start,date_start_row,Calculations!BM$40,date_rows,1))</f>
        <v>0.52249396429969952</v>
      </c>
      <c r="BN51" s="32">
        <f ca="1">CORREL(OFFSET(Historical_Data_Start,date_start_row,$B51,date_rows,1),OFFSET(Historical_Data_Start,date_start_row,Calculations!BN$40,date_rows,1))</f>
        <v>0.56662855446065408</v>
      </c>
      <c r="BO51" s="32">
        <f ca="1">CORREL(OFFSET(Historical_Data_Start,date_start_row,$B51,date_rows,1),OFFSET(Historical_Data_Start,date_start_row,Calculations!BO$40,date_rows,1))</f>
        <v>0.52999274242780259</v>
      </c>
      <c r="BP51" s="32">
        <f ca="1">CORREL(OFFSET(Historical_Data_Start,date_start_row,$B51,date_rows,1),OFFSET(Historical_Data_Start,date_start_row,Calculations!BP$40,date_rows,1))</f>
        <v>0.59174653036605551</v>
      </c>
      <c r="BQ51" s="32">
        <f ca="1">CORREL(OFFSET(Historical_Data_Start,date_start_row,$B51,date_rows,1),OFFSET(Historical_Data_Start,date_start_row,Calculations!BQ$40,date_rows,1))</f>
        <v>0.56263144505599338</v>
      </c>
      <c r="BR51" s="32">
        <f ca="1">CORREL(OFFSET(Historical_Data_Start,date_start_row,$B51,date_rows,1),OFFSET(Historical_Data_Start,date_start_row,Calculations!BR$40,date_rows,1))</f>
        <v>0.5403716560965196</v>
      </c>
      <c r="BS51" s="32">
        <f ca="1">CORREL(OFFSET(Historical_Data_Start,date_start_row,$B51,date_rows,1),OFFSET(Historical_Data_Start,date_start_row,Calculations!BS$40,date_rows,1))</f>
        <v>0.50165543771313059</v>
      </c>
      <c r="BT51" s="32">
        <f ca="1">CORREL(OFFSET(Historical_Data_Start,date_start_row,$B51,date_rows,1),OFFSET(Historical_Data_Start,date_start_row,Calculations!BT$40,date_rows,1))</f>
        <v>1</v>
      </c>
      <c r="BU51" s="32">
        <f ca="1">CORREL(OFFSET(Historical_Data_Start,date_start_row,$B51,date_rows,1),OFFSET(Historical_Data_Start,date_start_row,Calculations!BU$40,date_rows,1))</f>
        <v>2.0906905316373008E-2</v>
      </c>
      <c r="BV51" s="32">
        <f ca="1">CORREL(OFFSET(Historical_Data_Start,date_start_row,$B51,date_rows,1),OFFSET(Historical_Data_Start,date_start_row,Calculations!BV$40,date_rows,1))</f>
        <v>3.3867920729984673E-2</v>
      </c>
      <c r="BW51" s="32">
        <f ca="1">CORREL(OFFSET(Historical_Data_Start,date_start_row,$B51,date_rows,1),OFFSET(Historical_Data_Start,date_start_row,Calculations!BW$40,date_rows,1))</f>
        <v>5.8407560166742071E-3</v>
      </c>
      <c r="BX51" s="32">
        <f ca="1">CORREL(OFFSET(Historical_Data_Start,date_start_row,$B51,date_rows,1),OFFSET(Historical_Data_Start,date_start_row,Calculations!BX$40,date_rows,1))</f>
        <v>9.2261231637199209E-2</v>
      </c>
      <c r="BY51" s="32">
        <f ca="1">CORREL(OFFSET(Historical_Data_Start,date_start_row,$B51,date_rows,1),OFFSET(Historical_Data_Start,date_start_row,Calculations!BY$40,date_rows,1))</f>
        <v>5.1347567185750356E-2</v>
      </c>
      <c r="BZ51" s="32">
        <f ca="1">CORREL(OFFSET(Historical_Data_Start,date_start_row,$B51,date_rows,1),OFFSET(Historical_Data_Start,date_start_row,Calculations!BZ$40,date_rows,1))</f>
        <v>0.15944837453566457</v>
      </c>
      <c r="CA51" s="32">
        <f ca="1">CORREL(OFFSET(Historical_Data_Start,date_start_row,$B51,date_rows,1),OFFSET(Historical_Data_Start,date_start_row,Calculations!CA$40,date_rows,1))</f>
        <v>0.13373358382090039</v>
      </c>
      <c r="CB51" s="32">
        <f ca="1">CORREL(OFFSET(Historical_Data_Start,date_start_row,$B51,date_rows,1),OFFSET(Historical_Data_Start,date_start_row,Calculations!CB$40,date_rows,1))</f>
        <v>-4.9451930576236286E-2</v>
      </c>
      <c r="CC51" s="32">
        <f ca="1">CORREL(OFFSET(Historical_Data_Start,date_start_row,$B51,date_rows,1),OFFSET(Historical_Data_Start,date_start_row,Calculations!CC$40,date_rows,1))</f>
        <v>-2.7960402693105315E-2</v>
      </c>
      <c r="CD51" s="32">
        <f ca="1">CORREL(OFFSET(Historical_Data_Start,date_start_row,$B51,date_rows,1),OFFSET(Historical_Data_Start,date_start_row,Calculations!CD$40,date_rows,1))</f>
        <v>-9.4006414070983549E-2</v>
      </c>
      <c r="CE51" s="32">
        <f ca="1">CORREL(OFFSET(Historical_Data_Start,date_start_row,$B51,date_rows,1),OFFSET(Historical_Data_Start,date_start_row,Calculations!CE$40,date_rows,1))</f>
        <v>-1.8193356700283683E-2</v>
      </c>
      <c r="CF51" s="32">
        <f ca="1">CORREL(OFFSET(Historical_Data_Start,date_start_row,$B51,date_rows,1),OFFSET(Historical_Data_Start,date_start_row,Calculations!CF$40,date_rows,1))</f>
        <v>-0.11270792348968264</v>
      </c>
      <c r="CG51" s="32">
        <f ca="1">CORREL(OFFSET(Historical_Data_Start,date_start_row,$B51,date_rows,1),OFFSET(Historical_Data_Start,date_start_row,Calculations!CG$40,date_rows,1))</f>
        <v>-3.5313455689863368E-2</v>
      </c>
      <c r="CH51" s="32">
        <f ca="1">CORREL(OFFSET(Historical_Data_Start,date_start_row,$B51,date_rows,1),OFFSET(Historical_Data_Start,date_start_row,Calculations!CH$40,date_rows,1))</f>
        <v>6.3228299066513793E-3</v>
      </c>
      <c r="CI51" s="32">
        <f ca="1">CORREL(OFFSET(Historical_Data_Start,date_start_row,$B51,date_rows,1),OFFSET(Historical_Data_Start,date_start_row,Calculations!CI$40,date_rows,1))</f>
        <v>-9.074581687786272E-2</v>
      </c>
      <c r="CJ51" s="32">
        <f ca="1">CORREL(OFFSET(Historical_Data_Start,date_start_row,$B51,date_rows,1),OFFSET(Historical_Data_Start,date_start_row,Calculations!CJ$40,date_rows,1))</f>
        <v>3.0481896690323401E-2</v>
      </c>
      <c r="CK51" s="32">
        <f ca="1">CORREL(OFFSET(Historical_Data_Start,date_start_row,$B51,date_rows,1),OFFSET(Historical_Data_Start,date_start_row,Calculations!CK$40,date_rows,1))</f>
        <v>2.4833396474974932E-2</v>
      </c>
      <c r="CL51" s="32">
        <f ca="1">CORREL(OFFSET(Historical_Data_Start,date_start_row,$B51,date_rows,1),OFFSET(Historical_Data_Start,date_start_row,Calculations!CL$40,date_rows,1))</f>
        <v>0.20099847919316929</v>
      </c>
      <c r="CM51" s="32">
        <f ca="1">CORREL(OFFSET(Historical_Data_Start,date_start_row,$B51,date_rows,1),OFFSET(Historical_Data_Start,date_start_row,Calculations!CM$40,date_rows,1))</f>
        <v>0.59218645502484057</v>
      </c>
      <c r="CN51" s="32">
        <f ca="1">CORREL(OFFSET(Historical_Data_Start,date_start_row,$B51,date_rows,1),OFFSET(Historical_Data_Start,date_start_row,Calculations!CN$40,date_rows,1))</f>
        <v>0.52249396429969952</v>
      </c>
      <c r="CO51" s="32">
        <f ca="1">CORREL(OFFSET(Historical_Data_Start,date_start_row,$B51,date_rows,1),OFFSET(Historical_Data_Start,date_start_row,Calculations!CO$40,date_rows,1))</f>
        <v>0.59174653036605551</v>
      </c>
      <c r="CP51" s="32">
        <f ca="1">CORREL(OFFSET(Historical_Data_Start,date_start_row,$B51,date_rows,1),OFFSET(Historical_Data_Start,date_start_row,Calculations!CP$40,date_rows,1))</f>
        <v>0.56263144505599338</v>
      </c>
      <c r="CQ51" s="32">
        <f ca="1">CORREL(OFFSET(Historical_Data_Start,date_start_row,$B51,date_rows,1),OFFSET(Historical_Data_Start,date_start_row,Calculations!CQ$40,date_rows,1))</f>
        <v>0.45577504033208405</v>
      </c>
      <c r="CR51" s="32">
        <f ca="1">CORREL(OFFSET(Historical_Data_Start,date_start_row,$B51,date_rows,1),OFFSET(Historical_Data_Start,date_start_row,Calculations!CR$40,date_rows,1))</f>
        <v>0.54508905740020186</v>
      </c>
      <c r="CS51" s="32">
        <f ca="1">CORREL(OFFSET(Historical_Data_Start,date_start_row,$B51,date_rows,1),OFFSET(Historical_Data_Start,date_start_row,Calculations!CS$40,date_rows,1))</f>
        <v>0.91603753128156484</v>
      </c>
      <c r="CT51" s="32">
        <f ca="1">CORREL(OFFSET(Historical_Data_Start,date_start_row,$B51,date_rows,1),OFFSET(Historical_Data_Start,date_start_row,Calculations!CT$40,date_rows,1))</f>
        <v>-0.56745664930864115</v>
      </c>
      <c r="CU51" s="32">
        <f ca="1">CORREL(OFFSET(Historical_Data_Start,date_start_row,$B51,date_rows,1),OFFSET(Historical_Data_Start,date_start_row,Calculations!CU$40,date_rows,1))</f>
        <v>-0.54312116908732011</v>
      </c>
      <c r="CV51" s="32">
        <f ca="1">CORREL(OFFSET(Historical_Data_Start,date_start_row,$B51,date_rows,1),OFFSET(Historical_Data_Start,date_start_row,Calculations!CV$40,date_rows,1))</f>
        <v>-0.58387055762945517</v>
      </c>
      <c r="CW51" s="32">
        <f ca="1">CORREL(OFFSET(Historical_Data_Start,date_start_row,$B51,date_rows,1),OFFSET(Historical_Data_Start,date_start_row,Calculations!CW$40,date_rows,1))</f>
        <v>-3.773777431023919E-2</v>
      </c>
      <c r="CX51" s="32">
        <f ca="1">CORREL(OFFSET(Historical_Data_Start,date_start_row,$B51,date_rows,1),OFFSET(Historical_Data_Start,date_start_row,Calculations!CX$40,date_rows,1))</f>
        <v>-4.625329826306479E-2</v>
      </c>
      <c r="CY51" s="32">
        <f ca="1">CORREL(OFFSET(Historical_Data_Start,date_start_row,$B51,date_rows,1),OFFSET(Historical_Data_Start,date_start_row,Calculations!CY$40,date_rows,1))</f>
        <v>-5.8407560166742071E-3</v>
      </c>
      <c r="CZ51" s="32">
        <f ca="1">CORREL(OFFSET(Historical_Data_Start,date_start_row,$B51,date_rows,1),OFFSET(Historical_Data_Start,date_start_row,Calculations!CZ$40,date_rows,1))</f>
        <v>-9.9565524540137881E-2</v>
      </c>
      <c r="DA51" s="32">
        <f ca="1">CORREL(OFFSET(Historical_Data_Start,date_start_row,$B51,date_rows,1),OFFSET(Historical_Data_Start,date_start_row,Calculations!DA$40,date_rows,1))</f>
        <v>-5.7793176393089563E-2</v>
      </c>
      <c r="DB51" s="32">
        <f ca="1">CORREL(OFFSET(Historical_Data_Start,date_start_row,$B51,date_rows,1),OFFSET(Historical_Data_Start,date_start_row,Calculations!DB$40,date_rows,1))</f>
        <v>-0.16020394182256079</v>
      </c>
      <c r="DC51" s="32">
        <f ca="1">CORREL(OFFSET(Historical_Data_Start,date_start_row,$B51,date_rows,1),OFFSET(Historical_Data_Start,date_start_row,Calculations!DC$40,date_rows,1))</f>
        <v>-0.14261913012959987</v>
      </c>
      <c r="DD51" s="32">
        <f ca="1">CORREL(OFFSET(Historical_Data_Start,date_start_row,$B51,date_rows,1),OFFSET(Historical_Data_Start,date_start_row,Calculations!DD$40,date_rows,1))</f>
        <v>3.6995827575639288E-2</v>
      </c>
      <c r="DE51" s="32">
        <f ca="1">CORREL(OFFSET(Historical_Data_Start,date_start_row,$B51,date_rows,1),OFFSET(Historical_Data_Start,date_start_row,Calculations!DE$40,date_rows,1))</f>
        <v>1.9497193470620074E-2</v>
      </c>
      <c r="DF51" s="32">
        <f ca="1">CORREL(OFFSET(Historical_Data_Start,date_start_row,$B51,date_rows,1),OFFSET(Historical_Data_Start,date_start_row,Calculations!DF$40,date_rows,1))</f>
        <v>8.5271045738311374E-2</v>
      </c>
      <c r="DG51" s="32">
        <f ca="1">CORREL(OFFSET(Historical_Data_Start,date_start_row,$B51,date_rows,1),OFFSET(Historical_Data_Start,date_start_row,Calculations!DG$40,date_rows,1))</f>
        <v>1.0275394428698417E-2</v>
      </c>
      <c r="DH51" s="33">
        <f ca="1">CORREL(OFFSET(Historical_Data_Start,date_start_row,$B51,date_rows,1),OFFSET(Historical_Data_Start,date_start_row,Calculations!DH$40,date_rows,1))</f>
        <v>-8.0698712931067083E-3</v>
      </c>
      <c r="DI51" s="2">
        <f t="shared" si="71"/>
        <v>10</v>
      </c>
      <c r="DJ51" s="43">
        <f t="shared" ca="1" si="65"/>
        <v>1.4070154995914533E-4</v>
      </c>
      <c r="DK51" s="44">
        <f t="shared" ca="1" si="12"/>
        <v>2.6115422666595474E-3</v>
      </c>
      <c r="DL51" s="44">
        <f t="shared" ca="1" si="13"/>
        <v>3.9500543701057296E-3</v>
      </c>
      <c r="DM51" s="44">
        <f t="shared" ca="1" si="14"/>
        <v>2.3005119311102556E-3</v>
      </c>
      <c r="DN51" s="44">
        <f t="shared" ca="1" si="15"/>
        <v>3.6357502130547263E-3</v>
      </c>
      <c r="DO51" s="44">
        <f t="shared" ca="1" si="16"/>
        <v>2.1953796276580661E-3</v>
      </c>
      <c r="DP51" s="44">
        <f t="shared" ca="1" si="17"/>
        <v>3.6233465061605978E-3</v>
      </c>
      <c r="DQ51" s="44">
        <f t="shared" ca="1" si="18"/>
        <v>1.8534747804110625E-3</v>
      </c>
      <c r="DR51" s="44">
        <f t="shared" ca="1" si="19"/>
        <v>2.9146180931132891E-3</v>
      </c>
      <c r="DS51" s="44">
        <f t="shared" ca="1" si="20"/>
        <v>4.9000000000000007E-3</v>
      </c>
      <c r="DT51" s="44">
        <f t="shared" ca="1" si="21"/>
        <v>2.3415733954337771E-4</v>
      </c>
      <c r="DU51" s="44">
        <f t="shared" ca="1" si="22"/>
        <v>4.7415089021978548E-4</v>
      </c>
      <c r="DV51" s="44">
        <f t="shared" ca="1" si="23"/>
        <v>7.3593525810095007E-5</v>
      </c>
      <c r="DW51" s="44">
        <f t="shared" ca="1" si="24"/>
        <v>1.549988691504947E-3</v>
      </c>
      <c r="DX51" s="44">
        <f t="shared" ca="1" si="25"/>
        <v>7.5480923763053033E-4</v>
      </c>
      <c r="DY51" s="44">
        <f t="shared" ca="1" si="26"/>
        <v>2.2322772434993044E-3</v>
      </c>
      <c r="DZ51" s="44">
        <f t="shared" ca="1" si="27"/>
        <v>1.8722701734926058E-3</v>
      </c>
      <c r="EA51" s="44">
        <f t="shared" ca="1" si="28"/>
        <v>-7.6155973087403889E-4</v>
      </c>
      <c r="EB51" s="44">
        <f t="shared" ca="1" si="29"/>
        <v>-5.0887932901451675E-4</v>
      </c>
      <c r="EC51" s="44">
        <f t="shared" ca="1" si="30"/>
        <v>-1.9741346954906544E-3</v>
      </c>
      <c r="ED51" s="44">
        <f t="shared" ca="1" si="31"/>
        <v>-3.5658979132556024E-4</v>
      </c>
      <c r="EE51" s="44">
        <f t="shared" ca="1" si="32"/>
        <v>-7.100599179850007E-4</v>
      </c>
      <c r="EF51" s="44">
        <f t="shared" ca="1" si="33"/>
        <v>-2.2247477084613921E-4</v>
      </c>
      <c r="EG51" s="44">
        <f t="shared" ca="1" si="34"/>
        <v>7.524167588915143E-5</v>
      </c>
      <c r="EH51" s="44">
        <f t="shared" ca="1" si="35"/>
        <v>-1.524529723548094E-3</v>
      </c>
      <c r="EI51" s="44">
        <f t="shared" ca="1" si="36"/>
        <v>2.5604793219871663E-4</v>
      </c>
      <c r="EJ51" s="45">
        <f t="shared" ca="1" si="37"/>
        <v>1.5645039779234207E-4</v>
      </c>
      <c r="EK51" s="44">
        <f t="shared" ca="1" si="38"/>
        <v>1.4069893543521852E-4</v>
      </c>
      <c r="EL51" s="44">
        <f t="shared" ca="1" si="39"/>
        <v>1.9068403851799868E-3</v>
      </c>
      <c r="EM51" s="44">
        <f t="shared" ca="1" si="40"/>
        <v>2.9625407775792966E-3</v>
      </c>
      <c r="EN51" s="44">
        <f t="shared" ca="1" si="41"/>
        <v>1.6983125421505792E-3</v>
      </c>
      <c r="EO51" s="44">
        <f t="shared" ca="1" si="42"/>
        <v>4.4897989315468281E-3</v>
      </c>
      <c r="EP51" s="44">
        <f t="shared" ca="1" si="43"/>
        <v>8.8374780320391103E-3</v>
      </c>
      <c r="EQ51" s="44">
        <f t="shared" ca="1" si="44"/>
        <v>9.0811836962873642E-3</v>
      </c>
      <c r="ER51" s="44">
        <f t="shared" ca="1" si="45"/>
        <v>2.0519240700707056E-2</v>
      </c>
      <c r="ES51" s="44">
        <f t="shared" ca="1" si="46"/>
        <v>-2.5024838234511079E-3</v>
      </c>
      <c r="ET51" s="44">
        <f t="shared" ca="1" si="47"/>
        <v>-1.9009240918056206E-3</v>
      </c>
      <c r="EU51" s="44">
        <f t="shared" ca="1" si="48"/>
        <v>-2.8609657323843307E-3</v>
      </c>
      <c r="EV51" s="44">
        <f t="shared" ca="1" si="49"/>
        <v>-4.2266307227467901E-4</v>
      </c>
      <c r="EW51" s="44">
        <f t="shared" ca="1" si="50"/>
        <v>-6.4754617568290717E-4</v>
      </c>
      <c r="EX51" s="44">
        <f t="shared" ca="1" si="51"/>
        <v>-7.3593525810095007E-5</v>
      </c>
      <c r="EY51" s="44">
        <f t="shared" ca="1" si="52"/>
        <v>-1.6727008122743167E-3</v>
      </c>
      <c r="EZ51" s="44">
        <f t="shared" ca="1" si="53"/>
        <v>-8.4955969297841668E-4</v>
      </c>
      <c r="FA51" s="44">
        <f t="shared" ca="1" si="54"/>
        <v>-2.2428551855158511E-3</v>
      </c>
      <c r="FB51" s="44">
        <f t="shared" ca="1" si="55"/>
        <v>-1.9966678218143984E-3</v>
      </c>
      <c r="FC51" s="44">
        <f t="shared" ca="1" si="56"/>
        <v>5.6973574466484512E-4</v>
      </c>
      <c r="FD51" s="44">
        <f t="shared" ca="1" si="57"/>
        <v>3.5484892116528538E-4</v>
      </c>
      <c r="FE51" s="44">
        <f t="shared" ca="1" si="58"/>
        <v>1.790691960504539E-3</v>
      </c>
      <c r="FF51" s="44">
        <f t="shared" ca="1" si="59"/>
        <v>2.01397730802489E-4</v>
      </c>
      <c r="FG51" s="45">
        <f t="shared" ca="1" si="60"/>
        <v>-2.8244549525873482E-6</v>
      </c>
      <c r="FL51" s="111">
        <v>0</v>
      </c>
      <c r="FM51" s="111">
        <v>0</v>
      </c>
      <c r="FN51" s="111">
        <v>0</v>
      </c>
      <c r="FO51" s="111">
        <v>1</v>
      </c>
      <c r="FP51" s="111">
        <v>0</v>
      </c>
      <c r="FQ51" s="111">
        <v>0</v>
      </c>
    </row>
    <row r="52" spans="1:173" x14ac:dyDescent="0.2">
      <c r="A52" s="51" t="str">
        <f t="shared" ref="A52" ca="1" si="100">INDEX(Historical_Data_Names,3,B52)</f>
        <v>A</v>
      </c>
      <c r="B52" s="57">
        <f t="shared" si="67"/>
        <v>11</v>
      </c>
      <c r="C52" s="11" t="str">
        <f t="shared" ref="C52" ca="1" si="101">INDEX(Historical_Data_Names,2,B52)</f>
        <v>US LC Equ</v>
      </c>
      <c r="D52" s="58"/>
      <c r="E52" s="59">
        <f t="shared" ref="E52" ca="1" si="102">AVERAGE(OFFSET(Historical_Data_Start,date_start_row,$B52,date_rows,1))*4</f>
        <v>0.12571577430788489</v>
      </c>
      <c r="F52" s="59">
        <f t="array" aca="1" ref="F52" ca="1">PRODUCT(1+OFFSET(Historical_Data_Start,date_start_row,$B52,date_rows,1))^(4/date_rows)-1</f>
        <v>0.12048323078720324</v>
      </c>
      <c r="G52" s="59">
        <f t="shared" ref="G52" ca="1" si="103">STDEV(OFFSET(Historical_Data_Start,date_start_row,$B52,date_rows,1))*2</f>
        <v>0.14404777848589734</v>
      </c>
      <c r="H52" s="197"/>
      <c r="I52" s="60">
        <v>0.1</v>
      </c>
      <c r="J52" s="60">
        <v>0.16</v>
      </c>
      <c r="K52" s="60"/>
      <c r="L52" s="60">
        <v>9.7999999999999997E-3</v>
      </c>
      <c r="M52" s="6"/>
      <c r="N52" s="82">
        <v>3.10322359361908E-2</v>
      </c>
      <c r="O52" s="6"/>
      <c r="P52" s="53">
        <v>0</v>
      </c>
      <c r="Q52" s="85">
        <v>1</v>
      </c>
      <c r="R52" s="53">
        <v>1</v>
      </c>
      <c r="S52" s="226"/>
      <c r="T52" s="410">
        <v>0</v>
      </c>
      <c r="U52" s="410">
        <v>1</v>
      </c>
      <c r="V52" s="410">
        <v>0</v>
      </c>
      <c r="W52" s="410">
        <v>0</v>
      </c>
      <c r="X52" s="410">
        <v>0</v>
      </c>
      <c r="Y52" s="410">
        <v>1</v>
      </c>
      <c r="AB52" s="65">
        <v>0.3910319486979103</v>
      </c>
      <c r="AC52" s="87" t="s">
        <v>56</v>
      </c>
      <c r="AD52" s="88">
        <f>IF(AC52="na",1,AB52*AC52)</f>
        <v>1</v>
      </c>
      <c r="AE52" s="93">
        <f>N52/SUM($N$52:$N$62)</f>
        <v>0.5835342728113545</v>
      </c>
      <c r="AF52" s="101">
        <f>(AD52-1)*N52+AD52*($N$53+$N$54+$N$55+$N$56+$N$57+$N$58+$N$59+$N$60+$N$61+$N$62)</f>
        <v>2.2147564089407573E-2</v>
      </c>
      <c r="AH52" s="95"/>
      <c r="AI52" s="117">
        <v>1</v>
      </c>
      <c r="AJ52" s="117">
        <v>0</v>
      </c>
      <c r="AK52" s="117">
        <v>0</v>
      </c>
      <c r="AL52" s="117">
        <v>0</v>
      </c>
      <c r="AM52" s="117">
        <v>0</v>
      </c>
      <c r="AN52" s="117">
        <v>0</v>
      </c>
      <c r="AO52" s="117">
        <v>0</v>
      </c>
      <c r="AP52" s="117">
        <v>0</v>
      </c>
      <c r="AQ52" s="117">
        <v>0</v>
      </c>
      <c r="AR52" s="117">
        <v>0</v>
      </c>
      <c r="AS52" s="117">
        <v>0</v>
      </c>
      <c r="AU52" s="117">
        <v>1</v>
      </c>
      <c r="AV52" s="117">
        <v>1</v>
      </c>
      <c r="AW52" s="117">
        <v>1</v>
      </c>
      <c r="AX52" s="117">
        <v>1</v>
      </c>
      <c r="AY52" s="117">
        <v>1</v>
      </c>
      <c r="AZ52" s="117">
        <v>1</v>
      </c>
      <c r="BA52" s="117">
        <v>1</v>
      </c>
      <c r="BB52" s="117">
        <v>1</v>
      </c>
      <c r="BC52" s="117">
        <v>1</v>
      </c>
      <c r="BD52" s="117">
        <v>1</v>
      </c>
      <c r="BE52" s="117">
        <v>1</v>
      </c>
      <c r="BF52" s="4"/>
      <c r="BG52" s="1" t="str">
        <f t="shared" ca="1" si="9"/>
        <v>US LC Equ</v>
      </c>
      <c r="BH52" s="38">
        <f t="shared" si="10"/>
        <v>0.1</v>
      </c>
      <c r="BI52" s="38">
        <f t="shared" si="11"/>
        <v>0.16</v>
      </c>
      <c r="BK52" s="31">
        <f ca="1">CORREL(OFFSET(Historical_Data_Start,date_start_row,$B52,date_rows,1),OFFSET(Historical_Data_Start,date_start_row,Calculations!BK$40,date_rows,1))</f>
        <v>5.1143212054391311E-2</v>
      </c>
      <c r="BL52" s="32">
        <f ca="1">CORREL(OFFSET(Historical_Data_Start,date_start_row,$B52,date_rows,1),OFFSET(Historical_Data_Start,date_start_row,Calculations!BL$40,date_rows,1))</f>
        <v>-8.0078708246860506E-3</v>
      </c>
      <c r="BM52" s="32">
        <f ca="1">CORREL(OFFSET(Historical_Data_Start,date_start_row,$B52,date_rows,1),OFFSET(Historical_Data_Start,date_start_row,Calculations!BM$40,date_rows,1))</f>
        <v>7.1002477433001988E-3</v>
      </c>
      <c r="BN52" s="32">
        <f ca="1">CORREL(OFFSET(Historical_Data_Start,date_start_row,$B52,date_rows,1),OFFSET(Historical_Data_Start,date_start_row,Calculations!BN$40,date_rows,1))</f>
        <v>0.15795414425008816</v>
      </c>
      <c r="BO52" s="32">
        <f ca="1">CORREL(OFFSET(Historical_Data_Start,date_start_row,$B52,date_rows,1),OFFSET(Historical_Data_Start,date_start_row,Calculations!BO$40,date_rows,1))</f>
        <v>0.19269819087151371</v>
      </c>
      <c r="BP52" s="32">
        <f ca="1">CORREL(OFFSET(Historical_Data_Start,date_start_row,$B52,date_rows,1),OFFSET(Historical_Data_Start,date_start_row,Calculations!BP$40,date_rows,1))</f>
        <v>0.16772503077756748</v>
      </c>
      <c r="BQ52" s="32">
        <f ca="1">CORREL(OFFSET(Historical_Data_Start,date_start_row,$B52,date_rows,1),OFFSET(Historical_Data_Start,date_start_row,Calculations!BQ$40,date_rows,1))</f>
        <v>0.23573047278415918</v>
      </c>
      <c r="BR52" s="32">
        <f ca="1">CORREL(OFFSET(Historical_Data_Start,date_start_row,$B52,date_rows,1),OFFSET(Historical_Data_Start,date_start_row,Calculations!BR$40,date_rows,1))</f>
        <v>0.26831440928392025</v>
      </c>
      <c r="BS52" s="32">
        <f ca="1">CORREL(OFFSET(Historical_Data_Start,date_start_row,$B52,date_rows,1),OFFSET(Historical_Data_Start,date_start_row,Calculations!BS$40,date_rows,1))</f>
        <v>0.3353791270786704</v>
      </c>
      <c r="BT52" s="32">
        <f ca="1">CORREL(OFFSET(Historical_Data_Start,date_start_row,$B52,date_rows,1),OFFSET(Historical_Data_Start,date_start_row,Calculations!BT$40,date_rows,1))</f>
        <v>2.0906905316373008E-2</v>
      </c>
      <c r="BU52" s="32">
        <f ca="1">CORREL(OFFSET(Historical_Data_Start,date_start_row,$B52,date_rows,1),OFFSET(Historical_Data_Start,date_start_row,Calculations!BU$40,date_rows,1))</f>
        <v>0.99999999999999978</v>
      </c>
      <c r="BV52" s="32">
        <f ca="1">CORREL(OFFSET(Historical_Data_Start,date_start_row,$B52,date_rows,1),OFFSET(Historical_Data_Start,date_start_row,Calculations!BV$40,date_rows,1))</f>
        <v>0.89193011185881399</v>
      </c>
      <c r="BW52" s="32">
        <f ca="1">CORREL(OFFSET(Historical_Data_Start,date_start_row,$B52,date_rows,1),OFFSET(Historical_Data_Start,date_start_row,Calculations!BW$40,date_rows,1))</f>
        <v>0.70180695517434455</v>
      </c>
      <c r="BX52" s="32">
        <f ca="1">CORREL(OFFSET(Historical_Data_Start,date_start_row,$B52,date_rows,1),OFFSET(Historical_Data_Start,date_start_row,Calculations!BX$40,date_rows,1))</f>
        <v>0.42775775223034929</v>
      </c>
      <c r="BY52" s="32">
        <f ca="1">CORREL(OFFSET(Historical_Data_Start,date_start_row,$B52,date_rows,1),OFFSET(Historical_Data_Start,date_start_row,Calculations!BY$40,date_rows,1))</f>
        <v>0.69042446078502606</v>
      </c>
      <c r="BZ52" s="32">
        <f ca="1">CORREL(OFFSET(Historical_Data_Start,date_start_row,$B52,date_rows,1),OFFSET(Historical_Data_Start,date_start_row,Calculations!BZ$40,date_rows,1))</f>
        <v>0.70457003823545561</v>
      </c>
      <c r="CA52" s="32">
        <f ca="1">CORREL(OFFSET(Historical_Data_Start,date_start_row,$B52,date_rows,1),OFFSET(Historical_Data_Start,date_start_row,Calculations!CA$40,date_rows,1))</f>
        <v>0.61846399616019632</v>
      </c>
      <c r="CB52" s="32">
        <f ca="1">CORREL(OFFSET(Historical_Data_Start,date_start_row,$B52,date_rows,1),OFFSET(Historical_Data_Start,date_start_row,Calculations!CB$40,date_rows,1))</f>
        <v>0.53536190572175635</v>
      </c>
      <c r="CC52" s="32">
        <f ca="1">CORREL(OFFSET(Historical_Data_Start,date_start_row,$B52,date_rows,1),OFFSET(Historical_Data_Start,date_start_row,Calculations!CC$40,date_rows,1))</f>
        <v>0.52107069217047075</v>
      </c>
      <c r="CD52" s="32">
        <f ca="1">CORREL(OFFSET(Historical_Data_Start,date_start_row,$B52,date_rows,1),OFFSET(Historical_Data_Start,date_start_row,Calculations!CD$40,date_rows,1))</f>
        <v>0.47455006814303674</v>
      </c>
      <c r="CE52" s="32">
        <f ca="1">CORREL(OFFSET(Historical_Data_Start,date_start_row,$B52,date_rows,1),OFFSET(Historical_Data_Start,date_start_row,Calculations!CE$40,date_rows,1))</f>
        <v>0.46612544896640928</v>
      </c>
      <c r="CF52" s="32">
        <f ca="1">CORREL(OFFSET(Historical_Data_Start,date_start_row,$B52,date_rows,1),OFFSET(Historical_Data_Start,date_start_row,Calculations!CF$40,date_rows,1))</f>
        <v>6.5736895900016121E-2</v>
      </c>
      <c r="CG52" s="32">
        <f ca="1">CORREL(OFFSET(Historical_Data_Start,date_start_row,$B52,date_rows,1),OFFSET(Historical_Data_Start,date_start_row,Calculations!CG$40,date_rows,1))</f>
        <v>-5.9829098812293265E-2</v>
      </c>
      <c r="CH52" s="32">
        <f ca="1">CORREL(OFFSET(Historical_Data_Start,date_start_row,$B52,date_rows,1),OFFSET(Historical_Data_Start,date_start_row,Calculations!CH$40,date_rows,1))</f>
        <v>0.61235355769411304</v>
      </c>
      <c r="CI52" s="32">
        <f ca="1">CORREL(OFFSET(Historical_Data_Start,date_start_row,$B52,date_rows,1),OFFSET(Historical_Data_Start,date_start_row,Calculations!CI$40,date_rows,1))</f>
        <v>0.20542380375909347</v>
      </c>
      <c r="CJ52" s="32">
        <f ca="1">CORREL(OFFSET(Historical_Data_Start,date_start_row,$B52,date_rows,1),OFFSET(Historical_Data_Start,date_start_row,Calculations!CJ$40,date_rows,1))</f>
        <v>0.1066517597055552</v>
      </c>
      <c r="CK52" s="32">
        <f ca="1">CORREL(OFFSET(Historical_Data_Start,date_start_row,$B52,date_rows,1),OFFSET(Historical_Data_Start,date_start_row,Calculations!CK$40,date_rows,1))</f>
        <v>0.11185765515547527</v>
      </c>
      <c r="CL52" s="32">
        <f ca="1">CORREL(OFFSET(Historical_Data_Start,date_start_row,$B52,date_rows,1),OFFSET(Historical_Data_Start,date_start_row,Calculations!CL$40,date_rows,1))</f>
        <v>5.1135762235609991E-2</v>
      </c>
      <c r="CM52" s="32">
        <f ca="1">CORREL(OFFSET(Historical_Data_Start,date_start_row,$B52,date_rows,1),OFFSET(Historical_Data_Start,date_start_row,Calculations!CM$40,date_rows,1))</f>
        <v>-8.0078708246860506E-3</v>
      </c>
      <c r="CN52" s="32">
        <f ca="1">CORREL(OFFSET(Historical_Data_Start,date_start_row,$B52,date_rows,1),OFFSET(Historical_Data_Start,date_start_row,Calculations!CN$40,date_rows,1))</f>
        <v>7.1002477433001988E-3</v>
      </c>
      <c r="CO52" s="32">
        <f ca="1">CORREL(OFFSET(Historical_Data_Start,date_start_row,$B52,date_rows,1),OFFSET(Historical_Data_Start,date_start_row,Calculations!CO$40,date_rows,1))</f>
        <v>0.16772503077756748</v>
      </c>
      <c r="CP52" s="32">
        <f ca="1">CORREL(OFFSET(Historical_Data_Start,date_start_row,$B52,date_rows,1),OFFSET(Historical_Data_Start,date_start_row,Calculations!CP$40,date_rows,1))</f>
        <v>0.23573047278415918</v>
      </c>
      <c r="CQ52" s="32">
        <f ca="1">CORREL(OFFSET(Historical_Data_Start,date_start_row,$B52,date_rows,1),OFFSET(Historical_Data_Start,date_start_row,Calculations!CQ$40,date_rows,1))</f>
        <v>5.6215747283495501E-2</v>
      </c>
      <c r="CR52" s="32">
        <f ca="1">CORREL(OFFSET(Historical_Data_Start,date_start_row,$B52,date_rows,1),OFFSET(Historical_Data_Start,date_start_row,Calculations!CR$40,date_rows,1))</f>
        <v>0.28670256604810013</v>
      </c>
      <c r="CS52" s="32">
        <f ca="1">CORREL(OFFSET(Historical_Data_Start,date_start_row,$B52,date_rows,1),OFFSET(Historical_Data_Start,date_start_row,Calculations!CS$40,date_rows,1))</f>
        <v>2.4242854003526319E-2</v>
      </c>
      <c r="CT52" s="32">
        <f ca="1">CORREL(OFFSET(Historical_Data_Start,date_start_row,$B52,date_rows,1),OFFSET(Historical_Data_Start,date_start_row,Calculations!CT$40,date_rows,1))</f>
        <v>-0.15027136017004664</v>
      </c>
      <c r="CU52" s="32">
        <f ca="1">CORREL(OFFSET(Historical_Data_Start,date_start_row,$B52,date_rows,1),OFFSET(Historical_Data_Start,date_start_row,Calculations!CU$40,date_rows,1))</f>
        <v>-0.24679244151273155</v>
      </c>
      <c r="CV52" s="32">
        <f ca="1">CORREL(OFFSET(Historical_Data_Start,date_start_row,$B52,date_rows,1),OFFSET(Historical_Data_Start,date_start_row,Calculations!CV$40,date_rows,1))</f>
        <v>5.1447901735135533E-2</v>
      </c>
      <c r="CW52" s="32">
        <f ca="1">CORREL(OFFSET(Historical_Data_Start,date_start_row,$B52,date_rows,1),OFFSET(Historical_Data_Start,date_start_row,Calculations!CW$40,date_rows,1))</f>
        <v>-0.90777038452163872</v>
      </c>
      <c r="CX52" s="32">
        <f ca="1">CORREL(OFFSET(Historical_Data_Start,date_start_row,$B52,date_rows,1),OFFSET(Historical_Data_Start,date_start_row,Calculations!CX$40,date_rows,1))</f>
        <v>-0.8117026111267861</v>
      </c>
      <c r="CY52" s="32">
        <f ca="1">CORREL(OFFSET(Historical_Data_Start,date_start_row,$B52,date_rows,1),OFFSET(Historical_Data_Start,date_start_row,Calculations!CY$40,date_rows,1))</f>
        <v>-0.70180695517434455</v>
      </c>
      <c r="CZ52" s="32">
        <f ca="1">CORREL(OFFSET(Historical_Data_Start,date_start_row,$B52,date_rows,1),OFFSET(Historical_Data_Start,date_start_row,Calculations!CZ$40,date_rows,1))</f>
        <v>-0.42951982521245352</v>
      </c>
      <c r="DA52" s="32">
        <f ca="1">CORREL(OFFSET(Historical_Data_Start,date_start_row,$B52,date_rows,1),OFFSET(Historical_Data_Start,date_start_row,Calculations!DA$40,date_rows,1))</f>
        <v>-0.65659216213815275</v>
      </c>
      <c r="DB52" s="32">
        <f ca="1">CORREL(OFFSET(Historical_Data_Start,date_start_row,$B52,date_rows,1),OFFSET(Historical_Data_Start,date_start_row,Calculations!DB$40,date_rows,1))</f>
        <v>-0.6659826522373129</v>
      </c>
      <c r="DC52" s="32">
        <f ca="1">CORREL(OFFSET(Historical_Data_Start,date_start_row,$B52,date_rows,1),OFFSET(Historical_Data_Start,date_start_row,Calculations!DC$40,date_rows,1))</f>
        <v>-0.60956347517198239</v>
      </c>
      <c r="DD52" s="32">
        <f ca="1">CORREL(OFFSET(Historical_Data_Start,date_start_row,$B52,date_rows,1),OFFSET(Historical_Data_Start,date_start_row,Calculations!DD$40,date_rows,1))</f>
        <v>-0.49703792003903119</v>
      </c>
      <c r="DE52" s="32">
        <f ca="1">CORREL(OFFSET(Historical_Data_Start,date_start_row,$B52,date_rows,1),OFFSET(Historical_Data_Start,date_start_row,Calculations!DE$40,date_rows,1))</f>
        <v>-0.49886224657915468</v>
      </c>
      <c r="DF52" s="32">
        <f ca="1">CORREL(OFFSET(Historical_Data_Start,date_start_row,$B52,date_rows,1),OFFSET(Historical_Data_Start,date_start_row,Calculations!DF$40,date_rows,1))</f>
        <v>-0.46251789483711142</v>
      </c>
      <c r="DG52" s="32">
        <f ca="1">CORREL(OFFSET(Historical_Data_Start,date_start_row,$B52,date_rows,1),OFFSET(Historical_Data_Start,date_start_row,Calculations!DG$40,date_rows,1))</f>
        <v>-0.4462874567043138</v>
      </c>
      <c r="DH52" s="33">
        <f ca="1">CORREL(OFFSET(Historical_Data_Start,date_start_row,$B52,date_rows,1),OFFSET(Historical_Data_Start,date_start_row,Calculations!DH$40,date_rows,1))</f>
        <v>-0.22912833113000711</v>
      </c>
      <c r="DI52" s="2">
        <f t="shared" si="71"/>
        <v>11</v>
      </c>
      <c r="DJ52" s="43">
        <f t="shared" ca="1" si="65"/>
        <v>8.1829139287026105E-5</v>
      </c>
      <c r="DK52" s="44">
        <f t="shared" ca="1" si="12"/>
        <v>-8.0719337912835392E-5</v>
      </c>
      <c r="DL52" s="44">
        <f t="shared" ca="1" si="13"/>
        <v>1.2269228100422747E-4</v>
      </c>
      <c r="DM52" s="44">
        <f t="shared" ca="1" si="14"/>
        <v>1.4658144586408182E-3</v>
      </c>
      <c r="DN52" s="44">
        <f t="shared" ca="1" si="15"/>
        <v>3.0215076328653349E-3</v>
      </c>
      <c r="DO52" s="44">
        <f t="shared" ca="1" si="16"/>
        <v>1.4223082609937721E-3</v>
      </c>
      <c r="DP52" s="44">
        <f t="shared" ca="1" si="17"/>
        <v>3.4699525593828232E-3</v>
      </c>
      <c r="DQ52" s="44">
        <f t="shared" ca="1" si="18"/>
        <v>2.1035849687859346E-3</v>
      </c>
      <c r="DR52" s="44">
        <f t="shared" ca="1" si="19"/>
        <v>4.4538348076047429E-3</v>
      </c>
      <c r="DS52" s="44">
        <f t="shared" ca="1" si="20"/>
        <v>2.3415733954337771E-4</v>
      </c>
      <c r="DT52" s="44">
        <f t="shared" ca="1" si="21"/>
        <v>2.5599999999999994E-2</v>
      </c>
      <c r="DU52" s="44">
        <f t="shared" ca="1" si="22"/>
        <v>2.8541763579482047E-2</v>
      </c>
      <c r="DV52" s="44">
        <f t="shared" ca="1" si="23"/>
        <v>2.0212040309021122E-2</v>
      </c>
      <c r="DW52" s="44">
        <f t="shared" ca="1" si="24"/>
        <v>1.642589768564541E-2</v>
      </c>
      <c r="DX52" s="44">
        <f t="shared" ca="1" si="25"/>
        <v>2.3198261882376874E-2</v>
      </c>
      <c r="DY52" s="44">
        <f t="shared" ca="1" si="26"/>
        <v>2.2546241223534581E-2</v>
      </c>
      <c r="DZ52" s="44">
        <f t="shared" ca="1" si="27"/>
        <v>1.9790847877126282E-2</v>
      </c>
      <c r="EA52" s="44">
        <f t="shared" ca="1" si="28"/>
        <v>1.8844739081405826E-2</v>
      </c>
      <c r="EB52" s="44">
        <f t="shared" ca="1" si="29"/>
        <v>2.1676540794291585E-2</v>
      </c>
      <c r="EC52" s="44">
        <f t="shared" ca="1" si="30"/>
        <v>2.2778403270865763E-2</v>
      </c>
      <c r="ED52" s="44">
        <f t="shared" ca="1" si="31"/>
        <v>2.0882420113695139E-2</v>
      </c>
      <c r="EE52" s="44">
        <f t="shared" ca="1" si="32"/>
        <v>9.4661130096023208E-4</v>
      </c>
      <c r="EF52" s="44">
        <f t="shared" ca="1" si="33"/>
        <v>-8.6153902289702296E-4</v>
      </c>
      <c r="EG52" s="44">
        <f t="shared" ca="1" si="34"/>
        <v>1.6656016769279875E-2</v>
      </c>
      <c r="EH52" s="44">
        <f t="shared" ca="1" si="35"/>
        <v>7.8882740643491881E-3</v>
      </c>
      <c r="EI52" s="44">
        <f t="shared" ca="1" si="36"/>
        <v>2.0477137863466597E-3</v>
      </c>
      <c r="EJ52" s="45">
        <f t="shared" ca="1" si="37"/>
        <v>1.6107502342388438E-3</v>
      </c>
      <c r="EK52" s="44">
        <f t="shared" ca="1" si="38"/>
        <v>8.1817219576975993E-5</v>
      </c>
      <c r="EL52" s="44">
        <f t="shared" ca="1" si="39"/>
        <v>-5.8937929269689337E-5</v>
      </c>
      <c r="EM52" s="44">
        <f t="shared" ca="1" si="40"/>
        <v>9.2019210753170586E-5</v>
      </c>
      <c r="EN52" s="44">
        <f t="shared" ca="1" si="41"/>
        <v>1.1002762019008425E-3</v>
      </c>
      <c r="EO52" s="44">
        <f t="shared" ca="1" si="42"/>
        <v>4.2997238235830638E-3</v>
      </c>
      <c r="EP52" s="44">
        <f t="shared" ca="1" si="43"/>
        <v>2.4914819196045204E-3</v>
      </c>
      <c r="EQ52" s="44">
        <f t="shared" ca="1" si="44"/>
        <v>1.0917633715111653E-2</v>
      </c>
      <c r="ER52" s="44">
        <f t="shared" ca="1" si="45"/>
        <v>1.2412341249805475E-3</v>
      </c>
      <c r="ES52" s="44">
        <f t="shared" ca="1" si="46"/>
        <v>-1.5147353105140701E-3</v>
      </c>
      <c r="ET52" s="44">
        <f t="shared" ca="1" si="47"/>
        <v>-1.9743395321018525E-3</v>
      </c>
      <c r="EU52" s="44">
        <f t="shared" ca="1" si="48"/>
        <v>5.7621649943351803E-4</v>
      </c>
      <c r="EV52" s="44">
        <f t="shared" ca="1" si="49"/>
        <v>-2.3238921843753951E-2</v>
      </c>
      <c r="EW52" s="44">
        <f t="shared" ca="1" si="50"/>
        <v>-2.5974483556057155E-2</v>
      </c>
      <c r="EX52" s="44">
        <f t="shared" ca="1" si="51"/>
        <v>-2.0212040309021122E-2</v>
      </c>
      <c r="EY52" s="44">
        <f t="shared" ca="1" si="52"/>
        <v>-1.6493561288158213E-2</v>
      </c>
      <c r="EZ52" s="44">
        <f t="shared" ca="1" si="53"/>
        <v>-2.2061496647841929E-2</v>
      </c>
      <c r="FA52" s="44">
        <f t="shared" ca="1" si="54"/>
        <v>-2.1311444871594015E-2</v>
      </c>
      <c r="FB52" s="44">
        <f t="shared" ca="1" si="55"/>
        <v>-1.9506031205503437E-2</v>
      </c>
      <c r="FC52" s="44">
        <f t="shared" ca="1" si="56"/>
        <v>-1.74957347853739E-2</v>
      </c>
      <c r="FD52" s="44">
        <f t="shared" ca="1" si="57"/>
        <v>-2.0752669457692836E-2</v>
      </c>
      <c r="FE52" s="44">
        <f t="shared" ca="1" si="58"/>
        <v>-2.2200858952181348E-2</v>
      </c>
      <c r="FF52" s="44">
        <f t="shared" ca="1" si="59"/>
        <v>-1.9993678060353261E-2</v>
      </c>
      <c r="FG52" s="45">
        <f t="shared" ca="1" si="60"/>
        <v>-1.833026649040057E-4</v>
      </c>
      <c r="FL52" s="111">
        <v>0</v>
      </c>
      <c r="FM52" s="111">
        <v>1</v>
      </c>
      <c r="FN52" s="111">
        <v>0</v>
      </c>
      <c r="FO52" s="111">
        <v>0</v>
      </c>
      <c r="FP52" s="111">
        <v>0</v>
      </c>
      <c r="FQ52" s="111">
        <v>1</v>
      </c>
    </row>
    <row r="53" spans="1:173" x14ac:dyDescent="0.2">
      <c r="A53" s="51" t="str">
        <f t="shared" ref="A53" ca="1" si="104">INDEX(Historical_Data_Names,3,B53)</f>
        <v>A</v>
      </c>
      <c r="B53" s="57">
        <f t="shared" si="67"/>
        <v>12</v>
      </c>
      <c r="C53" s="11" t="str">
        <f t="shared" ref="C53" ca="1" si="105">INDEX(Historical_Data_Names,2,B53)</f>
        <v>US S/M Equ</v>
      </c>
      <c r="D53" s="58"/>
      <c r="E53" s="59">
        <f t="shared" ref="E53" ca="1" si="106">AVERAGE(OFFSET(Historical_Data_Start,date_start_row,$B53,date_rows,1))*4</f>
        <v>0.13678678157857524</v>
      </c>
      <c r="F53" s="59">
        <f t="array" aca="1" ref="F53" ca="1">PRODUCT(1+OFFSET(Historical_Data_Start,date_start_row,$B53,date_rows,1))^(4/date_rows)-1</f>
        <v>0.12583872566535059</v>
      </c>
      <c r="G53" s="59">
        <f t="shared" ref="G53" ca="1" si="107">STDEV(OFFSET(Historical_Data_Start,date_start_row,$B53,date_rows,1))*2</f>
        <v>0.18205985813047221</v>
      </c>
      <c r="H53" s="6"/>
      <c r="I53" s="60">
        <v>0.105</v>
      </c>
      <c r="J53" s="60">
        <v>0.2</v>
      </c>
      <c r="K53" s="60"/>
      <c r="L53" s="60">
        <v>6.4000000000000003E-3</v>
      </c>
      <c r="M53" s="6"/>
      <c r="N53" s="82">
        <v>1.0397539515872875E-2</v>
      </c>
      <c r="O53" s="6"/>
      <c r="P53" s="53">
        <v>0</v>
      </c>
      <c r="Q53" s="85">
        <v>1</v>
      </c>
      <c r="R53" s="53">
        <v>0.19551597434895515</v>
      </c>
      <c r="S53" s="226"/>
      <c r="T53" s="410">
        <v>0</v>
      </c>
      <c r="U53" s="410">
        <v>1</v>
      </c>
      <c r="V53" s="410">
        <v>0</v>
      </c>
      <c r="W53" s="410">
        <v>0</v>
      </c>
      <c r="X53" s="410">
        <v>0</v>
      </c>
      <c r="Y53" s="410">
        <v>1</v>
      </c>
      <c r="AB53" s="66">
        <v>9.7757987174477576E-2</v>
      </c>
      <c r="AC53" s="89">
        <v>2</v>
      </c>
      <c r="AD53" s="90">
        <f>IF(AC53="na",1,AB53*AC53)</f>
        <v>0.19551597434895515</v>
      </c>
      <c r="AE53" s="62">
        <f t="shared" ref="AE53:AE62" si="108">N53/SUM($N$52:$N$62)</f>
        <v>0.19551670955640985</v>
      </c>
      <c r="AF53" s="101">
        <f>(AD53-1)*N53+AD53*($N$52+$N$54+$N$55+$N$56+$N$57+$N$58+$N$59+$N$60+$N$61+$N$62)</f>
        <v>-3.9098185416683306E-8</v>
      </c>
      <c r="AH53" s="95"/>
      <c r="AI53" s="117">
        <v>0</v>
      </c>
      <c r="AJ53" s="117">
        <v>1</v>
      </c>
      <c r="AK53" s="117">
        <v>0</v>
      </c>
      <c r="AL53" s="117">
        <v>0</v>
      </c>
      <c r="AM53" s="117">
        <v>0</v>
      </c>
      <c r="AN53" s="117">
        <v>0</v>
      </c>
      <c r="AO53" s="117">
        <v>0</v>
      </c>
      <c r="AP53" s="117">
        <v>0</v>
      </c>
      <c r="AQ53" s="117">
        <v>0</v>
      </c>
      <c r="AR53" s="117">
        <v>0</v>
      </c>
      <c r="AS53" s="117">
        <v>0</v>
      </c>
      <c r="AU53" s="117">
        <v>1</v>
      </c>
      <c r="AV53" s="117">
        <v>1</v>
      </c>
      <c r="AW53" s="117">
        <v>1</v>
      </c>
      <c r="AX53" s="117">
        <v>1</v>
      </c>
      <c r="AY53" s="117">
        <v>1</v>
      </c>
      <c r="AZ53" s="117">
        <v>1</v>
      </c>
      <c r="BA53" s="117">
        <v>1</v>
      </c>
      <c r="BB53" s="117">
        <v>1</v>
      </c>
      <c r="BC53" s="117">
        <v>1</v>
      </c>
      <c r="BD53" s="117">
        <v>1</v>
      </c>
      <c r="BE53" s="117">
        <v>1</v>
      </c>
      <c r="BF53" s="4"/>
      <c r="BG53" s="51" t="str">
        <f t="shared" ca="1" si="9"/>
        <v>US S/M Equ</v>
      </c>
      <c r="BH53" s="38">
        <f t="shared" si="10"/>
        <v>0.105</v>
      </c>
      <c r="BI53" s="38">
        <f t="shared" si="11"/>
        <v>0.2</v>
      </c>
      <c r="BK53" s="31">
        <f ca="1">CORREL(OFFSET(Historical_Data_Start,date_start_row,$B53,date_rows,1),OFFSET(Historical_Data_Start,date_start_row,Calculations!BK$40,date_rows,1))</f>
        <v>2.1310537816824234E-2</v>
      </c>
      <c r="BL53" s="32">
        <f ca="1">CORREL(OFFSET(Historical_Data_Start,date_start_row,$B53,date_rows,1),OFFSET(Historical_Data_Start,date_start_row,Calculations!BL$40,date_rows,1))</f>
        <v>-2.661497821119033E-2</v>
      </c>
      <c r="BM53" s="32">
        <f ca="1">CORREL(OFFSET(Historical_Data_Start,date_start_row,$B53,date_rows,1),OFFSET(Historical_Data_Start,date_start_row,Calculations!BM$40,date_rows,1))</f>
        <v>-2.3893830098113588E-2</v>
      </c>
      <c r="BN53" s="32">
        <f ca="1">CORREL(OFFSET(Historical_Data_Start,date_start_row,$B53,date_rows,1),OFFSET(Historical_Data_Start,date_start_row,Calculations!BN$40,date_rows,1))</f>
        <v>0.16702430467019802</v>
      </c>
      <c r="BO53" s="32">
        <f ca="1">CORREL(OFFSET(Historical_Data_Start,date_start_row,$B53,date_rows,1),OFFSET(Historical_Data_Start,date_start_row,Calculations!BO$40,date_rows,1))</f>
        <v>0.18879710910666433</v>
      </c>
      <c r="BP53" s="32">
        <f ca="1">CORREL(OFFSET(Historical_Data_Start,date_start_row,$B53,date_rows,1),OFFSET(Historical_Data_Start,date_start_row,Calculations!BP$40,date_rows,1))</f>
        <v>0.15131858613746713</v>
      </c>
      <c r="BQ53" s="32">
        <f ca="1">CORREL(OFFSET(Historical_Data_Start,date_start_row,$B53,date_rows,1),OFFSET(Historical_Data_Start,date_start_row,Calculations!BQ$40,date_rows,1))</f>
        <v>0.21281568363456338</v>
      </c>
      <c r="BR53" s="32">
        <f ca="1">CORREL(OFFSET(Historical_Data_Start,date_start_row,$B53,date_rows,1),OFFSET(Historical_Data_Start,date_start_row,Calculations!BR$40,date_rows,1))</f>
        <v>0.26951259444721876</v>
      </c>
      <c r="BS53" s="32">
        <f ca="1">CORREL(OFFSET(Historical_Data_Start,date_start_row,$B53,date_rows,1),OFFSET(Historical_Data_Start,date_start_row,Calculations!BS$40,date_rows,1))</f>
        <v>0.33051022725673446</v>
      </c>
      <c r="BT53" s="32">
        <f ca="1">CORREL(OFFSET(Historical_Data_Start,date_start_row,$B53,date_rows,1),OFFSET(Historical_Data_Start,date_start_row,Calculations!BT$40,date_rows,1))</f>
        <v>3.3867920729984673E-2</v>
      </c>
      <c r="BU53" s="32">
        <f ca="1">CORREL(OFFSET(Historical_Data_Start,date_start_row,$B53,date_rows,1),OFFSET(Historical_Data_Start,date_start_row,Calculations!BU$40,date_rows,1))</f>
        <v>0.89193011185881399</v>
      </c>
      <c r="BV53" s="32">
        <f ca="1">CORREL(OFFSET(Historical_Data_Start,date_start_row,$B53,date_rows,1),OFFSET(Historical_Data_Start,date_start_row,Calculations!BV$40,date_rows,1))</f>
        <v>1</v>
      </c>
      <c r="BW53" s="32">
        <f ca="1">CORREL(OFFSET(Historical_Data_Start,date_start_row,$B53,date_rows,1),OFFSET(Historical_Data_Start,date_start_row,Calculations!BW$40,date_rows,1))</f>
        <v>0.74872466234453816</v>
      </c>
      <c r="BX53" s="32">
        <f ca="1">CORREL(OFFSET(Historical_Data_Start,date_start_row,$B53,date_rows,1),OFFSET(Historical_Data_Start,date_start_row,Calculations!BX$40,date_rows,1))</f>
        <v>0.40954019906982625</v>
      </c>
      <c r="BY53" s="32">
        <f ca="1">CORREL(OFFSET(Historical_Data_Start,date_start_row,$B53,date_rows,1),OFFSET(Historical_Data_Start,date_start_row,Calculations!BY$40,date_rows,1))</f>
        <v>0.63352571191589646</v>
      </c>
      <c r="BZ53" s="32">
        <f ca="1">CORREL(OFFSET(Historical_Data_Start,date_start_row,$B53,date_rows,1),OFFSET(Historical_Data_Start,date_start_row,Calculations!BZ$40,date_rows,1))</f>
        <v>0.60824102045074924</v>
      </c>
      <c r="CA53" s="32">
        <f ca="1">CORREL(OFFSET(Historical_Data_Start,date_start_row,$B53,date_rows,1),OFFSET(Historical_Data_Start,date_start_row,Calculations!CA$40,date_rows,1))</f>
        <v>0.5283993008135951</v>
      </c>
      <c r="CB53" s="32">
        <f ca="1">CORREL(OFFSET(Historical_Data_Start,date_start_row,$B53,date_rows,1),OFFSET(Historical_Data_Start,date_start_row,Calculations!CB$40,date_rows,1))</f>
        <v>0.54159429886606103</v>
      </c>
      <c r="CC53" s="32">
        <f ca="1">CORREL(OFFSET(Historical_Data_Start,date_start_row,$B53,date_rows,1),OFFSET(Historical_Data_Start,date_start_row,Calculations!CC$40,date_rows,1))</f>
        <v>0.55439824203813293</v>
      </c>
      <c r="CD53" s="32">
        <f ca="1">CORREL(OFFSET(Historical_Data_Start,date_start_row,$B53,date_rows,1),OFFSET(Historical_Data_Start,date_start_row,Calculations!CD$40,date_rows,1))</f>
        <v>0.51653503376529719</v>
      </c>
      <c r="CE53" s="32">
        <f ca="1">CORREL(OFFSET(Historical_Data_Start,date_start_row,$B53,date_rows,1),OFFSET(Historical_Data_Start,date_start_row,Calculations!CE$40,date_rows,1))</f>
        <v>0.53870243695881559</v>
      </c>
      <c r="CF53" s="32">
        <f ca="1">CORREL(OFFSET(Historical_Data_Start,date_start_row,$B53,date_rows,1),OFFSET(Historical_Data_Start,date_start_row,Calculations!CF$40,date_rows,1))</f>
        <v>1.7237453842736436E-3</v>
      </c>
      <c r="CG53" s="32">
        <f ca="1">CORREL(OFFSET(Historical_Data_Start,date_start_row,$B53,date_rows,1),OFFSET(Historical_Data_Start,date_start_row,Calculations!CG$40,date_rows,1))</f>
        <v>-0.12489419238470915</v>
      </c>
      <c r="CH53" s="32">
        <f ca="1">CORREL(OFFSET(Historical_Data_Start,date_start_row,$B53,date_rows,1),OFFSET(Historical_Data_Start,date_start_row,Calculations!CH$40,date_rows,1))</f>
        <v>0.66389965105325177</v>
      </c>
      <c r="CI53" s="32">
        <f ca="1">CORREL(OFFSET(Historical_Data_Start,date_start_row,$B53,date_rows,1),OFFSET(Historical_Data_Start,date_start_row,Calculations!CI$40,date_rows,1))</f>
        <v>0.31224410784070838</v>
      </c>
      <c r="CJ53" s="32">
        <f ca="1">CORREL(OFFSET(Historical_Data_Start,date_start_row,$B53,date_rows,1),OFFSET(Historical_Data_Start,date_start_row,Calculations!CJ$40,date_rows,1))</f>
        <v>5.0361080844352341E-2</v>
      </c>
      <c r="CK53" s="32">
        <f ca="1">CORREL(OFFSET(Historical_Data_Start,date_start_row,$B53,date_rows,1),OFFSET(Historical_Data_Start,date_start_row,Calculations!CK$40,date_rows,1))</f>
        <v>0.1037172523100733</v>
      </c>
      <c r="CL53" s="32">
        <f ca="1">CORREL(OFFSET(Historical_Data_Start,date_start_row,$B53,date_rows,1),OFFSET(Historical_Data_Start,date_start_row,Calculations!CL$40,date_rows,1))</f>
        <v>2.1303018873055666E-2</v>
      </c>
      <c r="CM53" s="32">
        <f ca="1">CORREL(OFFSET(Historical_Data_Start,date_start_row,$B53,date_rows,1),OFFSET(Historical_Data_Start,date_start_row,Calculations!CM$40,date_rows,1))</f>
        <v>-2.661497821119033E-2</v>
      </c>
      <c r="CN53" s="32">
        <f ca="1">CORREL(OFFSET(Historical_Data_Start,date_start_row,$B53,date_rows,1),OFFSET(Historical_Data_Start,date_start_row,Calculations!CN$40,date_rows,1))</f>
        <v>-2.3893830098113588E-2</v>
      </c>
      <c r="CO53" s="32">
        <f ca="1">CORREL(OFFSET(Historical_Data_Start,date_start_row,$B53,date_rows,1),OFFSET(Historical_Data_Start,date_start_row,Calculations!CO$40,date_rows,1))</f>
        <v>0.15131858613746713</v>
      </c>
      <c r="CP53" s="32">
        <f ca="1">CORREL(OFFSET(Historical_Data_Start,date_start_row,$B53,date_rows,1),OFFSET(Historical_Data_Start,date_start_row,Calculations!CP$40,date_rows,1))</f>
        <v>0.21281568363456338</v>
      </c>
      <c r="CQ53" s="32">
        <f ca="1">CORREL(OFFSET(Historical_Data_Start,date_start_row,$B53,date_rows,1),OFFSET(Historical_Data_Start,date_start_row,Calculations!CQ$40,date_rows,1))</f>
        <v>2.888805365916132E-2</v>
      </c>
      <c r="CR53" s="32">
        <f ca="1">CORREL(OFFSET(Historical_Data_Start,date_start_row,$B53,date_rows,1),OFFSET(Historical_Data_Start,date_start_row,Calculations!CR$40,date_rows,1))</f>
        <v>0.26983914515213703</v>
      </c>
      <c r="CS53" s="32">
        <f ca="1">CORREL(OFFSET(Historical_Data_Start,date_start_row,$B53,date_rows,1),OFFSET(Historical_Data_Start,date_start_row,Calculations!CS$40,date_rows,1))</f>
        <v>2.8745236869471585E-2</v>
      </c>
      <c r="CT53" s="32">
        <f ca="1">CORREL(OFFSET(Historical_Data_Start,date_start_row,$B53,date_rows,1),OFFSET(Historical_Data_Start,date_start_row,Calculations!CT$40,date_rows,1))</f>
        <v>-0.15667301830891223</v>
      </c>
      <c r="CU53" s="32">
        <f ca="1">CORREL(OFFSET(Historical_Data_Start,date_start_row,$B53,date_rows,1),OFFSET(Historical_Data_Start,date_start_row,Calculations!CU$40,date_rows,1))</f>
        <v>-0.24600872894586731</v>
      </c>
      <c r="CV53" s="32">
        <f ca="1">CORREL(OFFSET(Historical_Data_Start,date_start_row,$B53,date_rows,1),OFFSET(Historical_Data_Start,date_start_row,Calculations!CV$40,date_rows,1))</f>
        <v>8.5927853793390505E-2</v>
      </c>
      <c r="CW53" s="32">
        <f ca="1">CORREL(OFFSET(Historical_Data_Start,date_start_row,$B53,date_rows,1),OFFSET(Historical_Data_Start,date_start_row,Calculations!CW$40,date_rows,1))</f>
        <v>-0.85473135283291035</v>
      </c>
      <c r="CX53" s="32">
        <f ca="1">CORREL(OFFSET(Historical_Data_Start,date_start_row,$B53,date_rows,1),OFFSET(Historical_Data_Start,date_start_row,Calculations!CX$40,date_rows,1))</f>
        <v>-0.9431592051839004</v>
      </c>
      <c r="CY53" s="32">
        <f ca="1">CORREL(OFFSET(Historical_Data_Start,date_start_row,$B53,date_rows,1),OFFSET(Historical_Data_Start,date_start_row,Calculations!CY$40,date_rows,1))</f>
        <v>-0.74872466234453816</v>
      </c>
      <c r="CZ53" s="32">
        <f ca="1">CORREL(OFFSET(Historical_Data_Start,date_start_row,$B53,date_rows,1),OFFSET(Historical_Data_Start,date_start_row,Calculations!CZ$40,date_rows,1))</f>
        <v>-0.43047828328506044</v>
      </c>
      <c r="DA53" s="32">
        <f ca="1">CORREL(OFFSET(Historical_Data_Start,date_start_row,$B53,date_rows,1),OFFSET(Historical_Data_Start,date_start_row,Calculations!DA$40,date_rows,1))</f>
        <v>-0.62356869717958996</v>
      </c>
      <c r="DB53" s="32">
        <f ca="1">CORREL(OFFSET(Historical_Data_Start,date_start_row,$B53,date_rows,1),OFFSET(Historical_Data_Start,date_start_row,Calculations!DB$40,date_rows,1))</f>
        <v>-0.59966950836158328</v>
      </c>
      <c r="DC53" s="32">
        <f ca="1">CORREL(OFFSET(Historical_Data_Start,date_start_row,$B53,date_rows,1),OFFSET(Historical_Data_Start,date_start_row,Calculations!DC$40,date_rows,1))</f>
        <v>-0.54629795081674459</v>
      </c>
      <c r="DD53" s="32">
        <f ca="1">CORREL(OFFSET(Historical_Data_Start,date_start_row,$B53,date_rows,1),OFFSET(Historical_Data_Start,date_start_row,Calculations!DD$40,date_rows,1))</f>
        <v>-0.52232617488373301</v>
      </c>
      <c r="DE53" s="32">
        <f ca="1">CORREL(OFFSET(Historical_Data_Start,date_start_row,$B53,date_rows,1),OFFSET(Historical_Data_Start,date_start_row,Calculations!DE$40,date_rows,1))</f>
        <v>-0.54611770589500352</v>
      </c>
      <c r="DF53" s="32">
        <f ca="1">CORREL(OFFSET(Historical_Data_Start,date_start_row,$B53,date_rows,1),OFFSET(Historical_Data_Start,date_start_row,Calculations!DF$40,date_rows,1))</f>
        <v>-0.51684863282040006</v>
      </c>
      <c r="DG53" s="32">
        <f ca="1">CORREL(OFFSET(Historical_Data_Start,date_start_row,$B53,date_rows,1),OFFSET(Historical_Data_Start,date_start_row,Calculations!DG$40,date_rows,1))</f>
        <v>-0.53150581744804859</v>
      </c>
      <c r="DH53" s="33">
        <f ca="1">CORREL(OFFSET(Historical_Data_Start,date_start_row,$B53,date_rows,1),OFFSET(Historical_Data_Start,date_start_row,Calculations!DH$40,date_rows,1))</f>
        <v>-0.17138011995017871</v>
      </c>
      <c r="DI53" s="2">
        <f t="shared" si="71"/>
        <v>12</v>
      </c>
      <c r="DJ53" s="43">
        <f t="shared" ca="1" si="65"/>
        <v>4.2621075633648471E-5</v>
      </c>
      <c r="DK53" s="44">
        <f t="shared" ca="1" si="12"/>
        <v>-3.3534872546099815E-4</v>
      </c>
      <c r="DL53" s="44">
        <f t="shared" ca="1" si="13"/>
        <v>-5.1610673011925358E-4</v>
      </c>
      <c r="DM53" s="44">
        <f t="shared" ca="1" si="14"/>
        <v>1.937481934174297E-3</v>
      </c>
      <c r="DN53" s="44">
        <f t="shared" ca="1" si="15"/>
        <v>3.7004233384906214E-3</v>
      </c>
      <c r="DO53" s="44">
        <f t="shared" ca="1" si="16"/>
        <v>1.6039770130571516E-3</v>
      </c>
      <c r="DP53" s="44">
        <f t="shared" ca="1" si="17"/>
        <v>3.915808578875966E-3</v>
      </c>
      <c r="DQ53" s="44">
        <f t="shared" ca="1" si="18"/>
        <v>2.6412234255827442E-3</v>
      </c>
      <c r="DR53" s="44">
        <f t="shared" ca="1" si="19"/>
        <v>5.4864697724617923E-3</v>
      </c>
      <c r="DS53" s="44">
        <f t="shared" ca="1" si="20"/>
        <v>4.7415089021978548E-4</v>
      </c>
      <c r="DT53" s="44">
        <f t="shared" ca="1" si="21"/>
        <v>2.8541763579482047E-2</v>
      </c>
      <c r="DU53" s="44">
        <f t="shared" ca="1" si="22"/>
        <v>4.0000000000000008E-2</v>
      </c>
      <c r="DV53" s="44">
        <f t="shared" ca="1" si="23"/>
        <v>2.6954087844403372E-2</v>
      </c>
      <c r="DW53" s="44">
        <f t="shared" ca="1" si="24"/>
        <v>1.9657929555351662E-2</v>
      </c>
      <c r="DX53" s="44">
        <f t="shared" ca="1" si="25"/>
        <v>2.6608079900467652E-2</v>
      </c>
      <c r="DY53" s="44">
        <f t="shared" ca="1" si="26"/>
        <v>2.4329640818029973E-2</v>
      </c>
      <c r="DZ53" s="44">
        <f t="shared" ca="1" si="27"/>
        <v>2.1135972032543807E-2</v>
      </c>
      <c r="EA53" s="44">
        <f t="shared" ca="1" si="28"/>
        <v>2.3830149150106689E-2</v>
      </c>
      <c r="EB53" s="44">
        <f t="shared" ca="1" si="29"/>
        <v>2.8828708585982913E-2</v>
      </c>
      <c r="EC53" s="44">
        <f t="shared" ca="1" si="30"/>
        <v>3.0992102025917831E-2</v>
      </c>
      <c r="ED53" s="44">
        <f t="shared" ca="1" si="31"/>
        <v>3.0167336469693676E-2</v>
      </c>
      <c r="EE53" s="44">
        <f t="shared" ca="1" si="32"/>
        <v>3.1027416916925584E-5</v>
      </c>
      <c r="EF53" s="44">
        <f t="shared" ca="1" si="33"/>
        <v>-2.2480954629247648E-3</v>
      </c>
      <c r="EG53" s="44">
        <f t="shared" ca="1" si="34"/>
        <v>2.2572588135810562E-2</v>
      </c>
      <c r="EH53" s="44">
        <f t="shared" ca="1" si="35"/>
        <v>1.4987717176354002E-2</v>
      </c>
      <c r="EI53" s="44">
        <f t="shared" ca="1" si="36"/>
        <v>1.2086659402644562E-3</v>
      </c>
      <c r="EJ53" s="45">
        <f t="shared" ca="1" si="37"/>
        <v>1.8669105415813191E-3</v>
      </c>
      <c r="EK53" s="44">
        <f t="shared" ca="1" si="38"/>
        <v>4.2606037746111336E-5</v>
      </c>
      <c r="EL53" s="44">
        <f t="shared" ca="1" si="39"/>
        <v>-2.4485779954295102E-4</v>
      </c>
      <c r="EM53" s="44">
        <f t="shared" ca="1" si="40"/>
        <v>-3.8708004758944019E-4</v>
      </c>
      <c r="EN53" s="44">
        <f t="shared" ca="1" si="41"/>
        <v>1.2408124063272303E-3</v>
      </c>
      <c r="EO53" s="44">
        <f t="shared" ca="1" si="42"/>
        <v>4.8521975868680454E-3</v>
      </c>
      <c r="EP53" s="44">
        <f t="shared" ca="1" si="43"/>
        <v>1.6003981727175369E-3</v>
      </c>
      <c r="EQ53" s="44">
        <f t="shared" ca="1" si="44"/>
        <v>1.2844343309241724E-2</v>
      </c>
      <c r="ER53" s="44">
        <f t="shared" ca="1" si="45"/>
        <v>1.8396951596461816E-3</v>
      </c>
      <c r="ES53" s="44">
        <f t="shared" ca="1" si="46"/>
        <v>-1.9740800306922942E-3</v>
      </c>
      <c r="ET53" s="44">
        <f t="shared" ca="1" si="47"/>
        <v>-2.4600872894586737E-3</v>
      </c>
      <c r="EU53" s="44">
        <f t="shared" ca="1" si="48"/>
        <v>1.2029899531074673E-3</v>
      </c>
      <c r="EV53" s="44">
        <f t="shared" ca="1" si="49"/>
        <v>-2.7351403290653133E-2</v>
      </c>
      <c r="EW53" s="44">
        <f t="shared" ca="1" si="50"/>
        <v>-3.7726368207356024E-2</v>
      </c>
      <c r="EX53" s="44">
        <f t="shared" ca="1" si="51"/>
        <v>-2.6954087844403372E-2</v>
      </c>
      <c r="EY53" s="44">
        <f t="shared" ca="1" si="52"/>
        <v>-2.0662957597682902E-2</v>
      </c>
      <c r="EZ53" s="44">
        <f t="shared" ca="1" si="53"/>
        <v>-2.6189885281542778E-2</v>
      </c>
      <c r="FA53" s="44">
        <f t="shared" ca="1" si="54"/>
        <v>-2.3986780334463335E-2</v>
      </c>
      <c r="FB53" s="44">
        <f t="shared" ca="1" si="55"/>
        <v>-2.1851918032669788E-2</v>
      </c>
      <c r="FC53" s="44">
        <f t="shared" ca="1" si="56"/>
        <v>-2.2982351694884256E-2</v>
      </c>
      <c r="FD53" s="44">
        <f t="shared" ca="1" si="57"/>
        <v>-2.8398120706540186E-2</v>
      </c>
      <c r="FE53" s="44">
        <f t="shared" ca="1" si="58"/>
        <v>-3.1010917969224002E-2</v>
      </c>
      <c r="FF53" s="44">
        <f t="shared" ca="1" si="59"/>
        <v>-2.9764325777090726E-2</v>
      </c>
      <c r="FG53" s="45">
        <f t="shared" ca="1" si="60"/>
        <v>-1.7138011995017873E-4</v>
      </c>
      <c r="FL53" s="111">
        <v>0</v>
      </c>
      <c r="FM53" s="111">
        <v>1</v>
      </c>
      <c r="FN53" s="111">
        <v>0</v>
      </c>
      <c r="FO53" s="111">
        <v>0</v>
      </c>
      <c r="FP53" s="111">
        <v>0</v>
      </c>
      <c r="FQ53" s="111">
        <v>1</v>
      </c>
    </row>
    <row r="54" spans="1:173" x14ac:dyDescent="0.2">
      <c r="A54" s="51" t="str">
        <f t="shared" ref="A54" ca="1" si="109">INDEX(Historical_Data_Names,3,B54)</f>
        <v>A</v>
      </c>
      <c r="B54" s="57">
        <f t="shared" si="67"/>
        <v>13</v>
      </c>
      <c r="C54" s="11" t="str">
        <f t="shared" ref="C54" ca="1" si="110">INDEX(Historical_Data_Names,2,B54)</f>
        <v>Can Equ</v>
      </c>
      <c r="D54" s="58"/>
      <c r="E54" s="59">
        <f t="shared" ref="E54" ca="1" si="111">AVERAGE(OFFSET(Historical_Data_Start,date_start_row,$B54,date_rows,1))*4</f>
        <v>9.8010911625946717E-2</v>
      </c>
      <c r="F54" s="59">
        <f t="array" aca="1" ref="F54" ca="1">PRODUCT(1+OFFSET(Historical_Data_Start,date_start_row,$B54,date_rows,1))^(4/date_rows)-1</f>
        <v>8.6209850340703387E-2</v>
      </c>
      <c r="G54" s="59">
        <f t="shared" ref="G54" ca="1" si="112">STDEV(OFFSET(Historical_Data_Start,date_start_row,$B54,date_rows,1))*2</f>
        <v>0.16909526121936749</v>
      </c>
      <c r="H54" s="6"/>
      <c r="I54" s="60">
        <v>0.1</v>
      </c>
      <c r="J54" s="60">
        <v>0.18</v>
      </c>
      <c r="K54" s="60"/>
      <c r="L54" s="60">
        <v>1.8700000000000001E-2</v>
      </c>
      <c r="M54" s="6"/>
      <c r="N54" s="82">
        <v>0</v>
      </c>
      <c r="O54" s="6"/>
      <c r="P54" s="53">
        <v>0</v>
      </c>
      <c r="Q54" s="85">
        <v>1</v>
      </c>
      <c r="R54" s="53">
        <v>1</v>
      </c>
      <c r="S54" s="226"/>
      <c r="T54" s="410">
        <v>0</v>
      </c>
      <c r="U54" s="410">
        <v>0</v>
      </c>
      <c r="V54" s="410">
        <v>1</v>
      </c>
      <c r="W54" s="410">
        <v>0</v>
      </c>
      <c r="X54" s="410">
        <v>0</v>
      </c>
      <c r="Y54" s="410">
        <v>1</v>
      </c>
      <c r="AB54" s="66">
        <v>3.8613176643796918E-2</v>
      </c>
      <c r="AC54" s="89" t="s">
        <v>56</v>
      </c>
      <c r="AD54" s="90">
        <f t="shared" ref="AD54:AD62" si="113">IF(AC54="na",1,AB54*AC54)</f>
        <v>1</v>
      </c>
      <c r="AE54" s="62">
        <f t="shared" si="108"/>
        <v>0</v>
      </c>
      <c r="AF54" s="101">
        <f>(AD54-1)*N54+AD54*($N$52+$N$53+$N$55+$N$56+$N$57+$N$58+$N$59+$N$60+$N$61+$N$62)</f>
        <v>5.3179800025598377E-2</v>
      </c>
      <c r="AH54" s="95"/>
      <c r="AI54" s="117">
        <v>0</v>
      </c>
      <c r="AJ54" s="117">
        <v>0</v>
      </c>
      <c r="AK54" s="117">
        <v>1</v>
      </c>
      <c r="AL54" s="117">
        <v>0</v>
      </c>
      <c r="AM54" s="117">
        <v>0</v>
      </c>
      <c r="AN54" s="117">
        <v>0</v>
      </c>
      <c r="AO54" s="117">
        <v>0</v>
      </c>
      <c r="AP54" s="117">
        <v>0</v>
      </c>
      <c r="AQ54" s="117">
        <v>0</v>
      </c>
      <c r="AR54" s="117">
        <v>0</v>
      </c>
      <c r="AS54" s="117">
        <v>0</v>
      </c>
      <c r="AU54" s="117">
        <v>1</v>
      </c>
      <c r="AV54" s="117">
        <v>1</v>
      </c>
      <c r="AW54" s="117">
        <v>1</v>
      </c>
      <c r="AX54" s="117">
        <v>1</v>
      </c>
      <c r="AY54" s="117">
        <v>1</v>
      </c>
      <c r="AZ54" s="117">
        <v>1</v>
      </c>
      <c r="BA54" s="117">
        <v>1</v>
      </c>
      <c r="BB54" s="117">
        <v>1</v>
      </c>
      <c r="BC54" s="117">
        <v>1</v>
      </c>
      <c r="BD54" s="117">
        <v>1</v>
      </c>
      <c r="BE54" s="117">
        <v>1</v>
      </c>
      <c r="BF54" s="4"/>
      <c r="BG54" s="1" t="str">
        <f t="shared" ca="1" si="9"/>
        <v>Can Equ</v>
      </c>
      <c r="BH54" s="38">
        <f t="shared" si="10"/>
        <v>0.1</v>
      </c>
      <c r="BI54" s="38">
        <f t="shared" si="11"/>
        <v>0.18</v>
      </c>
      <c r="BK54" s="31">
        <f ca="1">CORREL(OFFSET(Historical_Data_Start,date_start_row,$B54,date_rows,1),OFFSET(Historical_Data_Start,date_start_row,Calculations!BK$40,date_rows,1))</f>
        <v>-3.248705088113308E-2</v>
      </c>
      <c r="BL54" s="32">
        <f ca="1">CORREL(OFFSET(Historical_Data_Start,date_start_row,$B54,date_rows,1),OFFSET(Historical_Data_Start,date_start_row,Calculations!BL$40,date_rows,1))</f>
        <v>-3.0021457981662256E-2</v>
      </c>
      <c r="BM54" s="32">
        <f ca="1">CORREL(OFFSET(Historical_Data_Start,date_start_row,$B54,date_rows,1),OFFSET(Historical_Data_Start,date_start_row,Calculations!BM$40,date_rows,1))</f>
        <v>-5.9753276192508524E-2</v>
      </c>
      <c r="BN54" s="32">
        <f ca="1">CORREL(OFFSET(Historical_Data_Start,date_start_row,$B54,date_rows,1),OFFSET(Historical_Data_Start,date_start_row,Calculations!BN$40,date_rows,1))</f>
        <v>0.22426122309225852</v>
      </c>
      <c r="BO54" s="32">
        <f ca="1">CORREL(OFFSET(Historical_Data_Start,date_start_row,$B54,date_rows,1),OFFSET(Historical_Data_Start,date_start_row,Calculations!BO$40,date_rows,1))</f>
        <v>0.22429315966682734</v>
      </c>
      <c r="BP54" s="32">
        <f ca="1">CORREL(OFFSET(Historical_Data_Start,date_start_row,$B54,date_rows,1),OFFSET(Historical_Data_Start,date_start_row,Calculations!BP$40,date_rows,1))</f>
        <v>0.19642100959088482</v>
      </c>
      <c r="BQ54" s="32">
        <f ca="1">CORREL(OFFSET(Historical_Data_Start,date_start_row,$B54,date_rows,1),OFFSET(Historical_Data_Start,date_start_row,Calculations!BQ$40,date_rows,1))</f>
        <v>0.2580403805639192</v>
      </c>
      <c r="BR54" s="32">
        <f ca="1">CORREL(OFFSET(Historical_Data_Start,date_start_row,$B54,date_rows,1),OFFSET(Historical_Data_Start,date_start_row,Calculations!BR$40,date_rows,1))</f>
        <v>0.36232995598426526</v>
      </c>
      <c r="BS54" s="32">
        <f ca="1">CORREL(OFFSET(Historical_Data_Start,date_start_row,$B54,date_rows,1),OFFSET(Historical_Data_Start,date_start_row,Calculations!BS$40,date_rows,1))</f>
        <v>0.42134212433666218</v>
      </c>
      <c r="BT54" s="32">
        <f ca="1">CORREL(OFFSET(Historical_Data_Start,date_start_row,$B54,date_rows,1),OFFSET(Historical_Data_Start,date_start_row,Calculations!BT$40,date_rows,1))</f>
        <v>5.8407560166742071E-3</v>
      </c>
      <c r="BU54" s="32">
        <f ca="1">CORREL(OFFSET(Historical_Data_Start,date_start_row,$B54,date_rows,1),OFFSET(Historical_Data_Start,date_start_row,Calculations!BU$40,date_rows,1))</f>
        <v>0.70180695517434455</v>
      </c>
      <c r="BV54" s="32">
        <f ca="1">CORREL(OFFSET(Historical_Data_Start,date_start_row,$B54,date_rows,1),OFFSET(Historical_Data_Start,date_start_row,Calculations!BV$40,date_rows,1))</f>
        <v>0.74872466234453816</v>
      </c>
      <c r="BW54" s="32">
        <f ca="1">CORREL(OFFSET(Historical_Data_Start,date_start_row,$B54,date_rows,1),OFFSET(Historical_Data_Start,date_start_row,Calculations!BW$40,date_rows,1))</f>
        <v>1</v>
      </c>
      <c r="BX54" s="32">
        <f ca="1">CORREL(OFFSET(Historical_Data_Start,date_start_row,$B54,date_rows,1),OFFSET(Historical_Data_Start,date_start_row,Calculations!BX$40,date_rows,1))</f>
        <v>0.36854232617870181</v>
      </c>
      <c r="BY54" s="32">
        <f ca="1">CORREL(OFFSET(Historical_Data_Start,date_start_row,$B54,date_rows,1),OFFSET(Historical_Data_Start,date_start_row,Calculations!BY$40,date_rows,1))</f>
        <v>0.59727014363222353</v>
      </c>
      <c r="BZ54" s="32">
        <f ca="1">CORREL(OFFSET(Historical_Data_Start,date_start_row,$B54,date_rows,1),OFFSET(Historical_Data_Start,date_start_row,Calculations!BZ$40,date_rows,1))</f>
        <v>0.5990690715804855</v>
      </c>
      <c r="CA54" s="32">
        <f ca="1">CORREL(OFFSET(Historical_Data_Start,date_start_row,$B54,date_rows,1),OFFSET(Historical_Data_Start,date_start_row,Calculations!CA$40,date_rows,1))</f>
        <v>0.43760575649719013</v>
      </c>
      <c r="CB54" s="32">
        <f ca="1">CORREL(OFFSET(Historical_Data_Start,date_start_row,$B54,date_rows,1),OFFSET(Historical_Data_Start,date_start_row,Calculations!CB$40,date_rows,1))</f>
        <v>0.61412596171758516</v>
      </c>
      <c r="CC54" s="32">
        <f ca="1">CORREL(OFFSET(Historical_Data_Start,date_start_row,$B54,date_rows,1),OFFSET(Historical_Data_Start,date_start_row,Calculations!CC$40,date_rows,1))</f>
        <v>0.56117427701609912</v>
      </c>
      <c r="CD54" s="32">
        <f ca="1">CORREL(OFFSET(Historical_Data_Start,date_start_row,$B54,date_rows,1),OFFSET(Historical_Data_Start,date_start_row,Calculations!CD$40,date_rows,1))</f>
        <v>0.51952193834803351</v>
      </c>
      <c r="CE54" s="32">
        <f ca="1">CORREL(OFFSET(Historical_Data_Start,date_start_row,$B54,date_rows,1),OFFSET(Historical_Data_Start,date_start_row,Calculations!CE$40,date_rows,1))</f>
        <v>0.56113318437615189</v>
      </c>
      <c r="CF54" s="32">
        <f ca="1">CORREL(OFFSET(Historical_Data_Start,date_start_row,$B54,date_rows,1),OFFSET(Historical_Data_Start,date_start_row,Calculations!CF$40,date_rows,1))</f>
        <v>5.7833412004068212E-2</v>
      </c>
      <c r="CG54" s="32">
        <f ca="1">CORREL(OFFSET(Historical_Data_Start,date_start_row,$B54,date_rows,1),OFFSET(Historical_Data_Start,date_start_row,Calculations!CG$40,date_rows,1))</f>
        <v>-5.1790780564377005E-2</v>
      </c>
      <c r="CH54" s="32">
        <f ca="1">CORREL(OFFSET(Historical_Data_Start,date_start_row,$B54,date_rows,1),OFFSET(Historical_Data_Start,date_start_row,Calculations!CH$40,date_rows,1))</f>
        <v>0.72807943289601873</v>
      </c>
      <c r="CI54" s="32">
        <f ca="1">CORREL(OFFSET(Historical_Data_Start,date_start_row,$B54,date_rows,1),OFFSET(Historical_Data_Start,date_start_row,Calculations!CI$40,date_rows,1))</f>
        <v>0.60590933907755706</v>
      </c>
      <c r="CJ54" s="32">
        <f ca="1">CORREL(OFFSET(Historical_Data_Start,date_start_row,$B54,date_rows,1),OFFSET(Historical_Data_Start,date_start_row,Calculations!CJ$40,date_rows,1))</f>
        <v>6.5829120304916916E-2</v>
      </c>
      <c r="CK54" s="32">
        <f ca="1">CORREL(OFFSET(Historical_Data_Start,date_start_row,$B54,date_rows,1),OFFSET(Historical_Data_Start,date_start_row,Calculations!CK$40,date_rows,1))</f>
        <v>9.4242881083180796E-2</v>
      </c>
      <c r="CL54" s="32">
        <f ca="1">CORREL(OFFSET(Historical_Data_Start,date_start_row,$B54,date_rows,1),OFFSET(Historical_Data_Start,date_start_row,Calculations!CL$40,date_rows,1))</f>
        <v>-3.2493901238497859E-2</v>
      </c>
      <c r="CM54" s="32">
        <f ca="1">CORREL(OFFSET(Historical_Data_Start,date_start_row,$B54,date_rows,1),OFFSET(Historical_Data_Start,date_start_row,Calculations!CM$40,date_rows,1))</f>
        <v>-3.0021457981662256E-2</v>
      </c>
      <c r="CN54" s="32">
        <f ca="1">CORREL(OFFSET(Historical_Data_Start,date_start_row,$B54,date_rows,1),OFFSET(Historical_Data_Start,date_start_row,Calculations!CN$40,date_rows,1))</f>
        <v>-5.9753276192508524E-2</v>
      </c>
      <c r="CO54" s="32">
        <f ca="1">CORREL(OFFSET(Historical_Data_Start,date_start_row,$B54,date_rows,1),OFFSET(Historical_Data_Start,date_start_row,Calculations!CO$40,date_rows,1))</f>
        <v>0.19642100959088482</v>
      </c>
      <c r="CP54" s="32">
        <f ca="1">CORREL(OFFSET(Historical_Data_Start,date_start_row,$B54,date_rows,1),OFFSET(Historical_Data_Start,date_start_row,Calculations!CP$40,date_rows,1))</f>
        <v>0.2580403805639192</v>
      </c>
      <c r="CQ54" s="32">
        <f ca="1">CORREL(OFFSET(Historical_Data_Start,date_start_row,$B54,date_rows,1),OFFSET(Historical_Data_Start,date_start_row,Calculations!CQ$40,date_rows,1))</f>
        <v>-3.9161130004140302E-2</v>
      </c>
      <c r="CR54" s="32">
        <f ca="1">CORREL(OFFSET(Historical_Data_Start,date_start_row,$B54,date_rows,1),OFFSET(Historical_Data_Start,date_start_row,Calculations!CR$40,date_rows,1))</f>
        <v>0.28985192005965332</v>
      </c>
      <c r="CS54" s="32">
        <f ca="1">CORREL(OFFSET(Historical_Data_Start,date_start_row,$B54,date_rows,1),OFFSET(Historical_Data_Start,date_start_row,Calculations!CS$40,date_rows,1))</f>
        <v>-3.2691473142536148E-2</v>
      </c>
      <c r="CT54" s="32">
        <f ca="1">CORREL(OFFSET(Historical_Data_Start,date_start_row,$B54,date_rows,1),OFFSET(Historical_Data_Start,date_start_row,Calculations!CT$40,date_rows,1))</f>
        <v>-0.22403602931330793</v>
      </c>
      <c r="CU54" s="32">
        <f ca="1">CORREL(OFFSET(Historical_Data_Start,date_start_row,$B54,date_rows,1),OFFSET(Historical_Data_Start,date_start_row,Calculations!CU$40,date_rows,1))</f>
        <v>-0.35963918492472058</v>
      </c>
      <c r="CV54" s="32">
        <f ca="1">CORREL(OFFSET(Historical_Data_Start,date_start_row,$B54,date_rows,1),OFFSET(Historical_Data_Start,date_start_row,Calculations!CV$40,date_rows,1))</f>
        <v>5.7650095737454325E-2</v>
      </c>
      <c r="CW54" s="32">
        <f ca="1">CORREL(OFFSET(Historical_Data_Start,date_start_row,$B54,date_rows,1),OFFSET(Historical_Data_Start,date_start_row,Calculations!CW$40,date_rows,1))</f>
        <v>-0.82863785918411037</v>
      </c>
      <c r="CX54" s="32">
        <f ca="1">CORREL(OFFSET(Historical_Data_Start,date_start_row,$B54,date_rows,1),OFFSET(Historical_Data_Start,date_start_row,Calculations!CX$40,date_rows,1))</f>
        <v>-0.83174264186043567</v>
      </c>
      <c r="CY54" s="32">
        <f ca="1">CORREL(OFFSET(Historical_Data_Start,date_start_row,$B54,date_rows,1),OFFSET(Historical_Data_Start,date_start_row,Calculations!CY$40,date_rows,1))</f>
        <v>-1</v>
      </c>
      <c r="CZ54" s="32">
        <f ca="1">CORREL(OFFSET(Historical_Data_Start,date_start_row,$B54,date_rows,1),OFFSET(Historical_Data_Start,date_start_row,Calculations!CZ$40,date_rows,1))</f>
        <v>-0.45038709082487594</v>
      </c>
      <c r="DA54" s="32">
        <f ca="1">CORREL(OFFSET(Historical_Data_Start,date_start_row,$B54,date_rows,1),OFFSET(Historical_Data_Start,date_start_row,Calculations!DA$40,date_rows,1))</f>
        <v>-0.65939990224439327</v>
      </c>
      <c r="DB54" s="32">
        <f ca="1">CORREL(OFFSET(Historical_Data_Start,date_start_row,$B54,date_rows,1),OFFSET(Historical_Data_Start,date_start_row,Calculations!DB$40,date_rows,1))</f>
        <v>-0.66727293799496379</v>
      </c>
      <c r="DC54" s="32">
        <f ca="1">CORREL(OFFSET(Historical_Data_Start,date_start_row,$B54,date_rows,1),OFFSET(Historical_Data_Start,date_start_row,Calculations!DC$40,date_rows,1))</f>
        <v>-0.53247239960983217</v>
      </c>
      <c r="DD54" s="32">
        <f ca="1">CORREL(OFFSET(Historical_Data_Start,date_start_row,$B54,date_rows,1),OFFSET(Historical_Data_Start,date_start_row,Calculations!DD$40,date_rows,1))</f>
        <v>-0.65386991136779138</v>
      </c>
      <c r="DE54" s="32">
        <f ca="1">CORREL(OFFSET(Historical_Data_Start,date_start_row,$B54,date_rows,1),OFFSET(Historical_Data_Start,date_start_row,Calculations!DE$40,date_rows,1))</f>
        <v>-0.60570994492197405</v>
      </c>
      <c r="DF54" s="32">
        <f ca="1">CORREL(OFFSET(Historical_Data_Start,date_start_row,$B54,date_rows,1),OFFSET(Historical_Data_Start,date_start_row,Calculations!DF$40,date_rows,1))</f>
        <v>-0.56975701248072164</v>
      </c>
      <c r="DG54" s="32">
        <f ca="1">CORREL(OFFSET(Historical_Data_Start,date_start_row,$B54,date_rows,1),OFFSET(Historical_Data_Start,date_start_row,Calculations!DG$40,date_rows,1))</f>
        <v>-0.60985468680367716</v>
      </c>
      <c r="DH54" s="33">
        <f ca="1">CORREL(OFFSET(Historical_Data_Start,date_start_row,$B54,date_rows,1),OFFSET(Historical_Data_Start,date_start_row,Calculations!DH$40,date_rows,1))</f>
        <v>-0.24854821686519263</v>
      </c>
      <c r="DI54" s="2">
        <f t="shared" si="71"/>
        <v>13</v>
      </c>
      <c r="DJ54" s="43">
        <f t="shared" ca="1" si="65"/>
        <v>-5.8476691586039542E-5</v>
      </c>
      <c r="DK54" s="44">
        <f t="shared" ca="1" si="12"/>
        <v>-3.4044333351204996E-4</v>
      </c>
      <c r="DL54" s="44">
        <f t="shared" ca="1" si="13"/>
        <v>-1.1616036891823659E-3</v>
      </c>
      <c r="DM54" s="44">
        <f t="shared" ca="1" si="14"/>
        <v>2.3412871690831789E-3</v>
      </c>
      <c r="DN54" s="44">
        <f t="shared" ca="1" si="15"/>
        <v>3.956531336522834E-3</v>
      </c>
      <c r="DO54" s="44">
        <f t="shared" ca="1" si="16"/>
        <v>1.8738564314970411E-3</v>
      </c>
      <c r="DP54" s="44">
        <f t="shared" ca="1" si="17"/>
        <v>4.2731487021385019E-3</v>
      </c>
      <c r="DQ54" s="44">
        <f t="shared" ca="1" si="18"/>
        <v>3.1957502117812195E-3</v>
      </c>
      <c r="DR54" s="44">
        <f t="shared" ca="1" si="19"/>
        <v>6.2948513375897328E-3</v>
      </c>
      <c r="DS54" s="44">
        <f t="shared" ca="1" si="20"/>
        <v>7.3593525810095007E-5</v>
      </c>
      <c r="DT54" s="44">
        <f t="shared" ca="1" si="21"/>
        <v>2.0212040309021122E-2</v>
      </c>
      <c r="DU54" s="44">
        <f t="shared" ca="1" si="22"/>
        <v>2.6954087844403372E-2</v>
      </c>
      <c r="DV54" s="44">
        <f t="shared" ca="1" si="23"/>
        <v>3.2399999999999998E-2</v>
      </c>
      <c r="DW54" s="44">
        <f t="shared" ca="1" si="24"/>
        <v>1.5921028490919916E-2</v>
      </c>
      <c r="DX54" s="44">
        <f t="shared" ca="1" si="25"/>
        <v>2.2576811429298051E-2</v>
      </c>
      <c r="DY54" s="44">
        <f t="shared" ca="1" si="26"/>
        <v>2.1566486576897477E-2</v>
      </c>
      <c r="DZ54" s="44">
        <f t="shared" ca="1" si="27"/>
        <v>1.5753807233898843E-2</v>
      </c>
      <c r="EA54" s="44">
        <f t="shared" ca="1" si="28"/>
        <v>2.4319388084016371E-2</v>
      </c>
      <c r="EB54" s="44">
        <f t="shared" ca="1" si="29"/>
        <v>2.6262956164353441E-2</v>
      </c>
      <c r="EC54" s="44">
        <f t="shared" ca="1" si="30"/>
        <v>2.8054184670793809E-2</v>
      </c>
      <c r="ED54" s="44">
        <f t="shared" ca="1" si="31"/>
        <v>2.8281112492558054E-2</v>
      </c>
      <c r="EE54" s="44">
        <f t="shared" ca="1" si="32"/>
        <v>9.3690127446590494E-4</v>
      </c>
      <c r="EF54" s="44">
        <f t="shared" ca="1" si="33"/>
        <v>-8.3901064514290747E-4</v>
      </c>
      <c r="EG54" s="44">
        <f t="shared" ca="1" si="34"/>
        <v>2.2279230646618176E-2</v>
      </c>
      <c r="EH54" s="44">
        <f t="shared" ca="1" si="35"/>
        <v>2.6175283448150462E-2</v>
      </c>
      <c r="EI54" s="44">
        <f t="shared" ca="1" si="36"/>
        <v>1.4219089985862052E-3</v>
      </c>
      <c r="EJ54" s="45">
        <f t="shared" ca="1" si="37"/>
        <v>1.5267346735475288E-3</v>
      </c>
      <c r="EK54" s="44">
        <f t="shared" ca="1" si="38"/>
        <v>-5.8489022229296144E-5</v>
      </c>
      <c r="EL54" s="44">
        <f t="shared" ca="1" si="39"/>
        <v>-2.4857767208816343E-4</v>
      </c>
      <c r="EM54" s="44">
        <f t="shared" ca="1" si="40"/>
        <v>-8.712027668867742E-4</v>
      </c>
      <c r="EN54" s="44">
        <f t="shared" ca="1" si="41"/>
        <v>1.4495870507807297E-3</v>
      </c>
      <c r="EO54" s="44">
        <f t="shared" ca="1" si="42"/>
        <v>5.2949886091716225E-3</v>
      </c>
      <c r="EP54" s="44">
        <f t="shared" ca="1" si="43"/>
        <v>-1.9525739420064353E-3</v>
      </c>
      <c r="EQ54" s="44">
        <f t="shared" ca="1" si="44"/>
        <v>1.2417256255355549E-2</v>
      </c>
      <c r="ER54" s="44">
        <f t="shared" ca="1" si="45"/>
        <v>-1.8830288530100822E-3</v>
      </c>
      <c r="ES54" s="44">
        <f t="shared" ca="1" si="46"/>
        <v>-2.5405685724129118E-3</v>
      </c>
      <c r="ET54" s="44">
        <f t="shared" ca="1" si="47"/>
        <v>-3.2367526643224849E-3</v>
      </c>
      <c r="EU54" s="44">
        <f t="shared" ca="1" si="48"/>
        <v>7.2639120629192447E-4</v>
      </c>
      <c r="EV54" s="44">
        <f t="shared" ca="1" si="49"/>
        <v>-2.3864770344502378E-2</v>
      </c>
      <c r="EW54" s="44">
        <f t="shared" ca="1" si="50"/>
        <v>-2.9942735106975683E-2</v>
      </c>
      <c r="EX54" s="44">
        <f t="shared" ca="1" si="51"/>
        <v>-3.2399999999999998E-2</v>
      </c>
      <c r="EY54" s="44">
        <f t="shared" ca="1" si="52"/>
        <v>-1.9456722323634639E-2</v>
      </c>
      <c r="EZ54" s="44">
        <f t="shared" ca="1" si="53"/>
        <v>-2.4925316304838064E-2</v>
      </c>
      <c r="FA54" s="44">
        <f t="shared" ca="1" si="54"/>
        <v>-2.4021825767818694E-2</v>
      </c>
      <c r="FB54" s="44">
        <f t="shared" ca="1" si="55"/>
        <v>-1.9169006385953955E-2</v>
      </c>
      <c r="FC54" s="44">
        <f t="shared" ca="1" si="56"/>
        <v>-2.5893248490164535E-2</v>
      </c>
      <c r="FD54" s="44">
        <f t="shared" ca="1" si="57"/>
        <v>-2.8347225422348386E-2</v>
      </c>
      <c r="FE54" s="44">
        <f t="shared" ca="1" si="58"/>
        <v>-3.0766878673958969E-2</v>
      </c>
      <c r="FF54" s="44">
        <f t="shared" ca="1" si="59"/>
        <v>-3.0736676214905331E-2</v>
      </c>
      <c r="FG54" s="45">
        <f t="shared" ca="1" si="60"/>
        <v>-2.2369339517867336E-4</v>
      </c>
      <c r="FL54" s="111">
        <v>0</v>
      </c>
      <c r="FM54" s="111">
        <v>0</v>
      </c>
      <c r="FN54" s="111">
        <v>1</v>
      </c>
      <c r="FO54" s="111">
        <v>0</v>
      </c>
      <c r="FP54" s="111">
        <v>0</v>
      </c>
      <c r="FQ54" s="111">
        <v>1</v>
      </c>
    </row>
    <row r="55" spans="1:173" x14ac:dyDescent="0.2">
      <c r="A55" s="51" t="str">
        <f t="shared" ref="A55" ca="1" si="114">INDEX(Historical_Data_Names,3,B55)</f>
        <v>A</v>
      </c>
      <c r="B55" s="57">
        <f t="shared" si="67"/>
        <v>14</v>
      </c>
      <c r="C55" s="11" t="str">
        <f t="shared" ref="C55" ca="1" si="115">INDEX(Historical_Data_Names,2,B55)</f>
        <v>Jpn Equ</v>
      </c>
      <c r="D55" s="58"/>
      <c r="E55" s="59">
        <f t="shared" ref="E55" ca="1" si="116">AVERAGE(OFFSET(Historical_Data_Start,date_start_row,$B55,date_rows,1))*4</f>
        <v>9.5517129106722692E-2</v>
      </c>
      <c r="F55" s="59">
        <f t="array" aca="1" ref="F55" ca="1">PRODUCT(1+OFFSET(Historical_Data_Start,date_start_row,$B55,date_rows,1))^(4/date_rows)-1</f>
        <v>7.2420790822328218E-2</v>
      </c>
      <c r="G55" s="59">
        <f t="shared" ref="G55" ca="1" si="117">STDEV(OFFSET(Historical_Data_Start,date_start_row,$B55,date_rows,1))*2</f>
        <v>0.22632372079117416</v>
      </c>
      <c r="H55" s="6"/>
      <c r="I55" s="60">
        <v>0.1</v>
      </c>
      <c r="J55" s="60">
        <v>0.24</v>
      </c>
      <c r="K55" s="60"/>
      <c r="L55" s="60">
        <v>1.3100000000000001E-2</v>
      </c>
      <c r="M55" s="6"/>
      <c r="N55" s="82">
        <v>1.1749211682617597E-2</v>
      </c>
      <c r="O55" s="6"/>
      <c r="P55" s="53">
        <v>0</v>
      </c>
      <c r="Q55" s="85">
        <v>1</v>
      </c>
      <c r="R55" s="53">
        <v>0.22093290113989908</v>
      </c>
      <c r="S55" s="226"/>
      <c r="T55" s="410">
        <v>0</v>
      </c>
      <c r="U55" s="410">
        <v>0</v>
      </c>
      <c r="V55" s="410">
        <v>0</v>
      </c>
      <c r="W55" s="410">
        <v>1</v>
      </c>
      <c r="X55" s="410">
        <v>0</v>
      </c>
      <c r="Y55" s="410">
        <v>1</v>
      </c>
      <c r="AB55" s="66">
        <v>7.364430037996636E-2</v>
      </c>
      <c r="AC55" s="89">
        <v>3</v>
      </c>
      <c r="AD55" s="90">
        <f t="shared" si="113"/>
        <v>0.22093290113989908</v>
      </c>
      <c r="AE55" s="62">
        <f t="shared" si="108"/>
        <v>0.22093373192381416</v>
      </c>
      <c r="AF55" s="101">
        <f>(AD55-1)*N55+AD55*($N$52+$N$53+$N$54+$N$56+$N$57+$N$58+$N$59+$N$60+$N$61+$N$62)</f>
        <v>-4.4180922469105877E-8</v>
      </c>
      <c r="AH55" s="95"/>
      <c r="AI55" s="117">
        <v>0</v>
      </c>
      <c r="AJ55" s="117">
        <v>0</v>
      </c>
      <c r="AK55" s="117">
        <v>0</v>
      </c>
      <c r="AL55" s="117">
        <v>1</v>
      </c>
      <c r="AM55" s="117">
        <v>0</v>
      </c>
      <c r="AN55" s="117">
        <v>0</v>
      </c>
      <c r="AO55" s="117">
        <v>0</v>
      </c>
      <c r="AP55" s="117">
        <v>0</v>
      </c>
      <c r="AQ55" s="117">
        <v>0</v>
      </c>
      <c r="AR55" s="117">
        <v>0</v>
      </c>
      <c r="AS55" s="117">
        <v>0</v>
      </c>
      <c r="AU55" s="117">
        <v>1</v>
      </c>
      <c r="AV55" s="117">
        <v>1</v>
      </c>
      <c r="AW55" s="117">
        <v>1</v>
      </c>
      <c r="AX55" s="117">
        <v>1</v>
      </c>
      <c r="AY55" s="117">
        <v>1</v>
      </c>
      <c r="AZ55" s="117">
        <v>1</v>
      </c>
      <c r="BA55" s="117">
        <v>1</v>
      </c>
      <c r="BB55" s="117">
        <v>1</v>
      </c>
      <c r="BC55" s="117">
        <v>1</v>
      </c>
      <c r="BD55" s="117">
        <v>1</v>
      </c>
      <c r="BE55" s="117">
        <v>1</v>
      </c>
      <c r="BF55" s="4"/>
      <c r="BG55" s="51" t="str">
        <f t="shared" ca="1" si="9"/>
        <v>Jpn Equ</v>
      </c>
      <c r="BH55" s="38">
        <f t="shared" si="10"/>
        <v>0.1</v>
      </c>
      <c r="BI55" s="38">
        <f t="shared" si="11"/>
        <v>0.24</v>
      </c>
      <c r="BK55" s="31">
        <f ca="1">CORREL(OFFSET(Historical_Data_Start,date_start_row,$B55,date_rows,1),OFFSET(Historical_Data_Start,date_start_row,Calculations!BK$40,date_rows,1))</f>
        <v>5.771582069275305E-2</v>
      </c>
      <c r="BL55" s="32">
        <f ca="1">CORREL(OFFSET(Historical_Data_Start,date_start_row,$B55,date_rows,1),OFFSET(Historical_Data_Start,date_start_row,Calculations!BL$40,date_rows,1))</f>
        <v>2.9560697614562727E-2</v>
      </c>
      <c r="BM55" s="32">
        <f ca="1">CORREL(OFFSET(Historical_Data_Start,date_start_row,$B55,date_rows,1),OFFSET(Historical_Data_Start,date_start_row,Calculations!BM$40,date_rows,1))</f>
        <v>3.3057009143463309E-2</v>
      </c>
      <c r="BN55" s="32">
        <f ca="1">CORREL(OFFSET(Historical_Data_Start,date_start_row,$B55,date_rows,1),OFFSET(Historical_Data_Start,date_start_row,Calculations!BN$40,date_rows,1))</f>
        <v>0.10375929992938784</v>
      </c>
      <c r="BO55" s="32">
        <f ca="1">CORREL(OFFSET(Historical_Data_Start,date_start_row,$B55,date_rows,1),OFFSET(Historical_Data_Start,date_start_row,Calculations!BO$40,date_rows,1))</f>
        <v>8.7875182817251263E-2</v>
      </c>
      <c r="BP55" s="32">
        <f ca="1">CORREL(OFFSET(Historical_Data_Start,date_start_row,$B55,date_rows,1),OFFSET(Historical_Data_Start,date_start_row,Calculations!BP$40,date_rows,1))</f>
        <v>6.8200545199341212E-2</v>
      </c>
      <c r="BQ55" s="32">
        <f ca="1">CORREL(OFFSET(Historical_Data_Start,date_start_row,$B55,date_rows,1),OFFSET(Historical_Data_Start,date_start_row,Calculations!BQ$40,date_rows,1))</f>
        <v>9.534813334848305E-2</v>
      </c>
      <c r="BR55" s="32">
        <f ca="1">CORREL(OFFSET(Historical_Data_Start,date_start_row,$B55,date_rows,1),OFFSET(Historical_Data_Start,date_start_row,Calculations!BR$40,date_rows,1))</f>
        <v>9.7212232875066321E-2</v>
      </c>
      <c r="BS55" s="32">
        <f ca="1">CORREL(OFFSET(Historical_Data_Start,date_start_row,$B55,date_rows,1),OFFSET(Historical_Data_Start,date_start_row,Calculations!BS$40,date_rows,1))</f>
        <v>0.13405553811510798</v>
      </c>
      <c r="BT55" s="32">
        <f ca="1">CORREL(OFFSET(Historical_Data_Start,date_start_row,$B55,date_rows,1),OFFSET(Historical_Data_Start,date_start_row,Calculations!BT$40,date_rows,1))</f>
        <v>9.2261231637199209E-2</v>
      </c>
      <c r="BU55" s="32">
        <f ca="1">CORREL(OFFSET(Historical_Data_Start,date_start_row,$B55,date_rows,1),OFFSET(Historical_Data_Start,date_start_row,Calculations!BU$40,date_rows,1))</f>
        <v>0.42775775223034929</v>
      </c>
      <c r="BV55" s="32">
        <f ca="1">CORREL(OFFSET(Historical_Data_Start,date_start_row,$B55,date_rows,1),OFFSET(Historical_Data_Start,date_start_row,Calculations!BV$40,date_rows,1))</f>
        <v>0.40954019906982625</v>
      </c>
      <c r="BW55" s="32">
        <f ca="1">CORREL(OFFSET(Historical_Data_Start,date_start_row,$B55,date_rows,1),OFFSET(Historical_Data_Start,date_start_row,Calculations!BW$40,date_rows,1))</f>
        <v>0.36854232617870181</v>
      </c>
      <c r="BX55" s="32">
        <f ca="1">CORREL(OFFSET(Historical_Data_Start,date_start_row,$B55,date_rows,1),OFFSET(Historical_Data_Start,date_start_row,Calculations!BX$40,date_rows,1))</f>
        <v>0.99999999999999989</v>
      </c>
      <c r="BY55" s="32">
        <f ca="1">CORREL(OFFSET(Historical_Data_Start,date_start_row,$B55,date_rows,1),OFFSET(Historical_Data_Start,date_start_row,Calculations!BY$40,date_rows,1))</f>
        <v>0.44030345024466483</v>
      </c>
      <c r="BZ55" s="32">
        <f ca="1">CORREL(OFFSET(Historical_Data_Start,date_start_row,$B55,date_rows,1),OFFSET(Historical_Data_Start,date_start_row,Calculations!BZ$40,date_rows,1))</f>
        <v>0.39715931514938735</v>
      </c>
      <c r="CA55" s="32">
        <f ca="1">CORREL(OFFSET(Historical_Data_Start,date_start_row,$B55,date_rows,1),OFFSET(Historical_Data_Start,date_start_row,Calculations!CA$40,date_rows,1))</f>
        <v>0.4187263786179104</v>
      </c>
      <c r="CB55" s="32">
        <f ca="1">CORREL(OFFSET(Historical_Data_Start,date_start_row,$B55,date_rows,1),OFFSET(Historical_Data_Start,date_start_row,Calculations!CB$40,date_rows,1))</f>
        <v>0.34322468233680509</v>
      </c>
      <c r="CC55" s="32">
        <f ca="1">CORREL(OFFSET(Historical_Data_Start,date_start_row,$B55,date_rows,1),OFFSET(Historical_Data_Start,date_start_row,Calculations!CC$40,date_rows,1))</f>
        <v>0.33777205348963363</v>
      </c>
      <c r="CD55" s="32">
        <f ca="1">CORREL(OFFSET(Historical_Data_Start,date_start_row,$B55,date_rows,1),OFFSET(Historical_Data_Start,date_start_row,Calculations!CD$40,date_rows,1))</f>
        <v>0.34300206508308356</v>
      </c>
      <c r="CE55" s="32">
        <f ca="1">CORREL(OFFSET(Historical_Data_Start,date_start_row,$B55,date_rows,1),OFFSET(Historical_Data_Start,date_start_row,Calculations!CE$40,date_rows,1))</f>
        <v>0.38167149888250618</v>
      </c>
      <c r="CF55" s="32">
        <f ca="1">CORREL(OFFSET(Historical_Data_Start,date_start_row,$B55,date_rows,1),OFFSET(Historical_Data_Start,date_start_row,Calculations!CF$40,date_rows,1))</f>
        <v>1.7821572104719456E-2</v>
      </c>
      <c r="CG55" s="32">
        <f ca="1">CORREL(OFFSET(Historical_Data_Start,date_start_row,$B55,date_rows,1),OFFSET(Historical_Data_Start,date_start_row,Calculations!CG$40,date_rows,1))</f>
        <v>-1.3503049909783679E-2</v>
      </c>
      <c r="CH55" s="32">
        <f ca="1">CORREL(OFFSET(Historical_Data_Start,date_start_row,$B55,date_rows,1),OFFSET(Historical_Data_Start,date_start_row,Calculations!CH$40,date_rows,1))</f>
        <v>0.27363192740828551</v>
      </c>
      <c r="CI55" s="32">
        <f ca="1">CORREL(OFFSET(Historical_Data_Start,date_start_row,$B55,date_rows,1),OFFSET(Historical_Data_Start,date_start_row,Calculations!CI$40,date_rows,1))</f>
        <v>0.13933707683694152</v>
      </c>
      <c r="CJ55" s="32">
        <f ca="1">CORREL(OFFSET(Historical_Data_Start,date_start_row,$B55,date_rows,1),OFFSET(Historical_Data_Start,date_start_row,Calculations!CJ$40,date_rows,1))</f>
        <v>4.3868991298753615E-2</v>
      </c>
      <c r="CK55" s="32">
        <f ca="1">CORREL(OFFSET(Historical_Data_Start,date_start_row,$B55,date_rows,1),OFFSET(Historical_Data_Start,date_start_row,Calculations!CK$40,date_rows,1))</f>
        <v>0.20423301736979541</v>
      </c>
      <c r="CL55" s="32">
        <f ca="1">CORREL(OFFSET(Historical_Data_Start,date_start_row,$B55,date_rows,1),OFFSET(Historical_Data_Start,date_start_row,Calculations!CL$40,date_rows,1))</f>
        <v>5.7716526608282567E-2</v>
      </c>
      <c r="CM55" s="32">
        <f ca="1">CORREL(OFFSET(Historical_Data_Start,date_start_row,$B55,date_rows,1),OFFSET(Historical_Data_Start,date_start_row,Calculations!CM$40,date_rows,1))</f>
        <v>2.9560697614562727E-2</v>
      </c>
      <c r="CN55" s="32">
        <f ca="1">CORREL(OFFSET(Historical_Data_Start,date_start_row,$B55,date_rows,1),OFFSET(Historical_Data_Start,date_start_row,Calculations!CN$40,date_rows,1))</f>
        <v>3.3057009143463309E-2</v>
      </c>
      <c r="CO55" s="32">
        <f ca="1">CORREL(OFFSET(Historical_Data_Start,date_start_row,$B55,date_rows,1),OFFSET(Historical_Data_Start,date_start_row,Calculations!CO$40,date_rows,1))</f>
        <v>6.8200545199341212E-2</v>
      </c>
      <c r="CP55" s="32">
        <f ca="1">CORREL(OFFSET(Historical_Data_Start,date_start_row,$B55,date_rows,1),OFFSET(Historical_Data_Start,date_start_row,Calculations!CP$40,date_rows,1))</f>
        <v>9.534813334848305E-2</v>
      </c>
      <c r="CQ55" s="32">
        <f ca="1">CORREL(OFFSET(Historical_Data_Start,date_start_row,$B55,date_rows,1),OFFSET(Historical_Data_Start,date_start_row,Calculations!CQ$40,date_rows,1))</f>
        <v>6.648640114450316E-2</v>
      </c>
      <c r="CR55" s="32">
        <f ca="1">CORREL(OFFSET(Historical_Data_Start,date_start_row,$B55,date_rows,1),OFFSET(Historical_Data_Start,date_start_row,Calculations!CR$40,date_rows,1))</f>
        <v>0.19154172965205243</v>
      </c>
      <c r="CS55" s="32">
        <f ca="1">CORREL(OFFSET(Historical_Data_Start,date_start_row,$B55,date_rows,1),OFFSET(Historical_Data_Start,date_start_row,Calculations!CS$40,date_rows,1))</f>
        <v>6.9486504275473995E-2</v>
      </c>
      <c r="CT55" s="32">
        <f ca="1">CORREL(OFFSET(Historical_Data_Start,date_start_row,$B55,date_rows,1),OFFSET(Historical_Data_Start,date_start_row,Calculations!CT$40,date_rows,1))</f>
        <v>-9.4086009772661183E-2</v>
      </c>
      <c r="CU55" s="32">
        <f ca="1">CORREL(OFFSET(Historical_Data_Start,date_start_row,$B55,date_rows,1),OFFSET(Historical_Data_Start,date_start_row,Calculations!CU$40,date_rows,1))</f>
        <v>-7.1055259339844246E-2</v>
      </c>
      <c r="CV55" s="32">
        <f ca="1">CORREL(OFFSET(Historical_Data_Start,date_start_row,$B55,date_rows,1),OFFSET(Historical_Data_Start,date_start_row,Calculations!CV$40,date_rows,1))</f>
        <v>-0.39734153437430497</v>
      </c>
      <c r="CW55" s="32">
        <f ca="1">CORREL(OFFSET(Historical_Data_Start,date_start_row,$B55,date_rows,1),OFFSET(Historical_Data_Start,date_start_row,Calculations!CW$40,date_rows,1))</f>
        <v>-0.37731842347196104</v>
      </c>
      <c r="CX55" s="32">
        <f ca="1">CORREL(OFFSET(Historical_Data_Start,date_start_row,$B55,date_rows,1),OFFSET(Historical_Data_Start,date_start_row,Calculations!CX$40,date_rows,1))</f>
        <v>-0.36480379622471998</v>
      </c>
      <c r="CY55" s="32">
        <f ca="1">CORREL(OFFSET(Historical_Data_Start,date_start_row,$B55,date_rows,1),OFFSET(Historical_Data_Start,date_start_row,Calculations!CY$40,date_rows,1))</f>
        <v>-0.36854232617870181</v>
      </c>
      <c r="CZ55" s="32">
        <f ca="1">CORREL(OFFSET(Historical_Data_Start,date_start_row,$B55,date_rows,1),OFFSET(Historical_Data_Start,date_start_row,Calculations!CZ$40,date_rows,1))</f>
        <v>-0.98363395305334733</v>
      </c>
      <c r="DA55" s="32">
        <f ca="1">CORREL(OFFSET(Historical_Data_Start,date_start_row,$B55,date_rows,1),OFFSET(Historical_Data_Start,date_start_row,Calculations!DA$40,date_rows,1))</f>
        <v>-0.41415779315177154</v>
      </c>
      <c r="DB55" s="32">
        <f ca="1">CORREL(OFFSET(Historical_Data_Start,date_start_row,$B55,date_rows,1),OFFSET(Historical_Data_Start,date_start_row,Calculations!DB$40,date_rows,1))</f>
        <v>-0.36830692712530311</v>
      </c>
      <c r="DC55" s="32">
        <f ca="1">CORREL(OFFSET(Historical_Data_Start,date_start_row,$B55,date_rows,1),OFFSET(Historical_Data_Start,date_start_row,Calculations!DC$40,date_rows,1))</f>
        <v>-0.41243738422015874</v>
      </c>
      <c r="DD55" s="32">
        <f ca="1">CORREL(OFFSET(Historical_Data_Start,date_start_row,$B55,date_rows,1),OFFSET(Historical_Data_Start,date_start_row,Calculations!DD$40,date_rows,1))</f>
        <v>-0.31325718339759123</v>
      </c>
      <c r="DE55" s="32">
        <f ca="1">CORREL(OFFSET(Historical_Data_Start,date_start_row,$B55,date_rows,1),OFFSET(Historical_Data_Start,date_start_row,Calculations!DE$40,date_rows,1))</f>
        <v>-0.31903070170281927</v>
      </c>
      <c r="DF55" s="32">
        <f ca="1">CORREL(OFFSET(Historical_Data_Start,date_start_row,$B55,date_rows,1),OFFSET(Historical_Data_Start,date_start_row,Calculations!DF$40,date_rows,1))</f>
        <v>-0.3276918016145563</v>
      </c>
      <c r="DG55" s="32">
        <f ca="1">CORREL(OFFSET(Historical_Data_Start,date_start_row,$B55,date_rows,1),OFFSET(Historical_Data_Start,date_start_row,Calculations!DG$40,date_rows,1))</f>
        <v>-0.35810633425220517</v>
      </c>
      <c r="DH55" s="33">
        <f ca="1">CORREL(OFFSET(Historical_Data_Start,date_start_row,$B55,date_rows,1),OFFSET(Historical_Data_Start,date_start_row,Calculations!DH$40,date_rows,1))</f>
        <v>-7.4890528170501777E-2</v>
      </c>
      <c r="DI55" s="2">
        <f t="shared" si="71"/>
        <v>14</v>
      </c>
      <c r="DJ55" s="43">
        <f t="shared" ca="1" si="65"/>
        <v>1.3851796966260732E-4</v>
      </c>
      <c r="DK55" s="44">
        <f t="shared" ca="1" si="12"/>
        <v>4.4695774793218846E-4</v>
      </c>
      <c r="DL55" s="44">
        <f t="shared" ca="1" si="13"/>
        <v>8.5683767699856902E-4</v>
      </c>
      <c r="DM55" s="44">
        <f t="shared" ca="1" si="14"/>
        <v>1.4443294550170785E-3</v>
      </c>
      <c r="DN55" s="44">
        <f t="shared" ca="1" si="15"/>
        <v>2.0668242998617497E-3</v>
      </c>
      <c r="DO55" s="44">
        <f t="shared" ca="1" si="16"/>
        <v>8.6751093493562007E-4</v>
      </c>
      <c r="DP55" s="44">
        <f t="shared" ca="1" si="17"/>
        <v>2.1052867843345058E-3</v>
      </c>
      <c r="DQ55" s="44">
        <f t="shared" ca="1" si="18"/>
        <v>1.1432158586107799E-3</v>
      </c>
      <c r="DR55" s="44">
        <f t="shared" ca="1" si="19"/>
        <v>2.6703863192529512E-3</v>
      </c>
      <c r="DS55" s="44">
        <f t="shared" ca="1" si="20"/>
        <v>1.549988691504947E-3</v>
      </c>
      <c r="DT55" s="44">
        <f t="shared" ca="1" si="21"/>
        <v>1.642589768564541E-2</v>
      </c>
      <c r="DU55" s="44">
        <f t="shared" ca="1" si="22"/>
        <v>1.9657929555351662E-2</v>
      </c>
      <c r="DV55" s="44">
        <f t="shared" ca="1" si="23"/>
        <v>1.5921028490919916E-2</v>
      </c>
      <c r="DW55" s="44">
        <f t="shared" ca="1" si="24"/>
        <v>5.7599999999999991E-2</v>
      </c>
      <c r="DX55" s="44">
        <f t="shared" ca="1" si="25"/>
        <v>2.2191293892331106E-2</v>
      </c>
      <c r="DY55" s="44">
        <f t="shared" ca="1" si="26"/>
        <v>1.9063647127170593E-2</v>
      </c>
      <c r="DZ55" s="44">
        <f t="shared" ca="1" si="27"/>
        <v>2.0098866173659701E-2</v>
      </c>
      <c r="EA55" s="44">
        <f t="shared" ca="1" si="28"/>
        <v>1.812226322738331E-2</v>
      </c>
      <c r="EB55" s="44">
        <f t="shared" ca="1" si="29"/>
        <v>2.1076976137753136E-2</v>
      </c>
      <c r="EC55" s="44">
        <f t="shared" ca="1" si="30"/>
        <v>2.4696148685982015E-2</v>
      </c>
      <c r="ED55" s="44">
        <f t="shared" ca="1" si="31"/>
        <v>2.5648324724904418E-2</v>
      </c>
      <c r="EE55" s="44">
        <f t="shared" ca="1" si="32"/>
        <v>3.8494595746194023E-4</v>
      </c>
      <c r="EF55" s="44">
        <f t="shared" ca="1" si="33"/>
        <v>-2.9166587805132743E-4</v>
      </c>
      <c r="EG55" s="44">
        <f t="shared" ca="1" si="34"/>
        <v>1.1164182638258051E-2</v>
      </c>
      <c r="EH55" s="44">
        <f t="shared" ca="1" si="35"/>
        <v>8.0258156258078313E-3</v>
      </c>
      <c r="EI55" s="44">
        <f t="shared" ca="1" si="36"/>
        <v>1.2634269494041042E-3</v>
      </c>
      <c r="EJ55" s="45">
        <f t="shared" ca="1" si="37"/>
        <v>4.4114331751875799E-3</v>
      </c>
      <c r="EK55" s="44">
        <f t="shared" ca="1" si="38"/>
        <v>1.3851966385987815E-4</v>
      </c>
      <c r="EL55" s="44">
        <f t="shared" ca="1" si="39"/>
        <v>3.2635010166477251E-4</v>
      </c>
      <c r="EM55" s="44">
        <f t="shared" ca="1" si="40"/>
        <v>6.4262825774892671E-4</v>
      </c>
      <c r="EN55" s="44">
        <f t="shared" ca="1" si="41"/>
        <v>6.7109336476151743E-4</v>
      </c>
      <c r="EO55" s="44">
        <f t="shared" ca="1" si="42"/>
        <v>2.6087249284144961E-3</v>
      </c>
      <c r="EP55" s="44">
        <f t="shared" ca="1" si="43"/>
        <v>4.4200159480865687E-3</v>
      </c>
      <c r="EQ55" s="44">
        <f t="shared" ca="1" si="44"/>
        <v>1.0940863597725236E-2</v>
      </c>
      <c r="ER55" s="44">
        <f t="shared" ca="1" si="45"/>
        <v>5.3365635283564028E-3</v>
      </c>
      <c r="ES55" s="44">
        <f t="shared" ca="1" si="46"/>
        <v>-1.4225804677626371E-3</v>
      </c>
      <c r="ET55" s="44">
        <f t="shared" ca="1" si="47"/>
        <v>-8.5266311207813099E-4</v>
      </c>
      <c r="EU55" s="44">
        <f t="shared" ca="1" si="48"/>
        <v>-6.6753377774883245E-3</v>
      </c>
      <c r="EV55" s="44">
        <f t="shared" ca="1" si="49"/>
        <v>-1.4489027461323302E-2</v>
      </c>
      <c r="EW55" s="44">
        <f t="shared" ca="1" si="50"/>
        <v>-1.7510582218786559E-2</v>
      </c>
      <c r="EX55" s="44">
        <f t="shared" ca="1" si="51"/>
        <v>-1.5921028490919916E-2</v>
      </c>
      <c r="EY55" s="44">
        <f t="shared" ca="1" si="52"/>
        <v>-5.6657315695872804E-2</v>
      </c>
      <c r="EZ55" s="44">
        <f t="shared" ca="1" si="53"/>
        <v>-2.0873552774849282E-2</v>
      </c>
      <c r="FA55" s="44">
        <f t="shared" ca="1" si="54"/>
        <v>-1.7678732502014551E-2</v>
      </c>
      <c r="FB55" s="44">
        <f t="shared" ca="1" si="55"/>
        <v>-1.979699444256762E-2</v>
      </c>
      <c r="FC55" s="44">
        <f t="shared" ca="1" si="56"/>
        <v>-1.6539979283392816E-2</v>
      </c>
      <c r="FD55" s="44">
        <f t="shared" ca="1" si="57"/>
        <v>-1.9907515786255922E-2</v>
      </c>
      <c r="FE55" s="44">
        <f t="shared" ca="1" si="58"/>
        <v>-2.3593809716248051E-2</v>
      </c>
      <c r="FF55" s="44">
        <f t="shared" ca="1" si="59"/>
        <v>-2.4064745661748189E-2</v>
      </c>
      <c r="FG55" s="45">
        <f t="shared" ca="1" si="60"/>
        <v>-8.9868633804602118E-5</v>
      </c>
      <c r="FL55" s="111">
        <v>0</v>
      </c>
      <c r="FM55" s="111">
        <v>0</v>
      </c>
      <c r="FN55" s="111">
        <v>0</v>
      </c>
      <c r="FO55" s="111">
        <v>1</v>
      </c>
      <c r="FP55" s="111">
        <v>0</v>
      </c>
      <c r="FQ55" s="111">
        <v>1</v>
      </c>
    </row>
    <row r="56" spans="1:173" x14ac:dyDescent="0.2">
      <c r="A56" s="51" t="str">
        <f t="shared" ref="A56" ca="1" si="118">INDEX(Historical_Data_Names,3,B56)</f>
        <v>A</v>
      </c>
      <c r="B56" s="57">
        <f t="shared" si="67"/>
        <v>15</v>
      </c>
      <c r="C56" s="11" t="str">
        <f t="shared" ref="C56" ca="1" si="119">INDEX(Historical_Data_Names,2,B56)</f>
        <v>EMU Equ</v>
      </c>
      <c r="D56" s="58"/>
      <c r="E56" s="59">
        <f t="shared" ref="E56" ca="1" si="120">AVERAGE(OFFSET(Historical_Data_Start,date_start_row,$B56,date_rows,1))*4</f>
        <v>0.12216700692845202</v>
      </c>
      <c r="F56" s="59">
        <f t="array" aca="1" ref="F56" ca="1">PRODUCT(1+OFFSET(Historical_Data_Start,date_start_row,$B56,date_rows,1))^(4/date_rows)-1</f>
        <v>0.10745888755927346</v>
      </c>
      <c r="G56" s="59">
        <f t="shared" ref="G56" ca="1" si="121">STDEV(OFFSET(Historical_Data_Start,date_start_row,$B56,date_rows,1))*2</f>
        <v>0.19555148564159683</v>
      </c>
      <c r="H56" s="6"/>
      <c r="I56" s="60">
        <v>0.1</v>
      </c>
      <c r="J56" s="60">
        <v>0.21</v>
      </c>
      <c r="K56" s="60"/>
      <c r="L56" s="60">
        <v>5.1999999999999998E-3</v>
      </c>
      <c r="M56" s="6"/>
      <c r="N56" s="82">
        <v>0</v>
      </c>
      <c r="O56" s="6"/>
      <c r="P56" s="53">
        <v>0</v>
      </c>
      <c r="Q56" s="85">
        <v>1</v>
      </c>
      <c r="R56" s="53">
        <v>0.22701464437875163</v>
      </c>
      <c r="S56" s="226"/>
      <c r="T56" s="410">
        <v>0</v>
      </c>
      <c r="U56" s="410">
        <v>0</v>
      </c>
      <c r="V56" s="410">
        <v>0</v>
      </c>
      <c r="W56" s="410">
        <v>0</v>
      </c>
      <c r="X56" s="410">
        <v>0</v>
      </c>
      <c r="Y56" s="410">
        <v>1</v>
      </c>
      <c r="AB56" s="66">
        <v>0.11350732218937581</v>
      </c>
      <c r="AC56" s="89">
        <v>2</v>
      </c>
      <c r="AD56" s="90">
        <f t="shared" si="113"/>
        <v>0.22701464437875163</v>
      </c>
      <c r="AE56" s="62">
        <f t="shared" si="108"/>
        <v>0</v>
      </c>
      <c r="AF56" s="101">
        <f>(AD56-1)*N56+AD56*($N$52+$N$53+$N$54+$N$55+$N$57+$N$58+$N$59+$N$60+$N$61+$N$62)</f>
        <v>1.2072593390944342E-2</v>
      </c>
      <c r="AH56" s="95"/>
      <c r="AI56" s="117">
        <v>0</v>
      </c>
      <c r="AJ56" s="117">
        <v>0</v>
      </c>
      <c r="AK56" s="117">
        <v>0</v>
      </c>
      <c r="AL56" s="117">
        <v>0</v>
      </c>
      <c r="AM56" s="117">
        <v>1</v>
      </c>
      <c r="AN56" s="117">
        <v>0</v>
      </c>
      <c r="AO56" s="117">
        <v>0</v>
      </c>
      <c r="AP56" s="117">
        <v>0</v>
      </c>
      <c r="AQ56" s="117">
        <v>0</v>
      </c>
      <c r="AR56" s="117">
        <v>0</v>
      </c>
      <c r="AS56" s="117">
        <v>0</v>
      </c>
      <c r="AU56" s="117">
        <v>1</v>
      </c>
      <c r="AV56" s="117">
        <v>1</v>
      </c>
      <c r="AW56" s="117">
        <v>1</v>
      </c>
      <c r="AX56" s="117">
        <v>1</v>
      </c>
      <c r="AY56" s="117">
        <v>1</v>
      </c>
      <c r="AZ56" s="117">
        <v>1</v>
      </c>
      <c r="BA56" s="117">
        <v>1</v>
      </c>
      <c r="BB56" s="117">
        <v>1</v>
      </c>
      <c r="BC56" s="117">
        <v>1</v>
      </c>
      <c r="BD56" s="117">
        <v>1</v>
      </c>
      <c r="BE56" s="117">
        <v>1</v>
      </c>
      <c r="BF56" s="4"/>
      <c r="BG56" s="51" t="str">
        <f t="shared" ca="1" si="9"/>
        <v>EMU Equ</v>
      </c>
      <c r="BH56" s="38">
        <f t="shared" si="10"/>
        <v>0.1</v>
      </c>
      <c r="BI56" s="38">
        <f t="shared" si="11"/>
        <v>0.21</v>
      </c>
      <c r="BK56" s="31">
        <f ca="1">CORREL(OFFSET(Historical_Data_Start,date_start_row,$B56,date_rows,1),OFFSET(Historical_Data_Start,date_start_row,Calculations!BK$40,date_rows,1))</f>
        <v>1.0631955187593535E-2</v>
      </c>
      <c r="BL56" s="32">
        <f ca="1">CORREL(OFFSET(Historical_Data_Start,date_start_row,$B56,date_rows,1),OFFSET(Historical_Data_Start,date_start_row,Calculations!BL$40,date_rows,1))</f>
        <v>1.1521166359653088E-2</v>
      </c>
      <c r="BM56" s="32">
        <f ca="1">CORREL(OFFSET(Historical_Data_Start,date_start_row,$B56,date_rows,1),OFFSET(Historical_Data_Start,date_start_row,Calculations!BM$40,date_rows,1))</f>
        <v>-1.5442092531732978E-2</v>
      </c>
      <c r="BN56" s="32">
        <f ca="1">CORREL(OFFSET(Historical_Data_Start,date_start_row,$B56,date_rows,1),OFFSET(Historical_Data_Start,date_start_row,Calculations!BN$40,date_rows,1))</f>
        <v>0.21081394484780647</v>
      </c>
      <c r="BO56" s="32">
        <f ca="1">CORREL(OFFSET(Historical_Data_Start,date_start_row,$B56,date_rows,1),OFFSET(Historical_Data_Start,date_start_row,Calculations!BO$40,date_rows,1))</f>
        <v>0.22085775940326144</v>
      </c>
      <c r="BP56" s="32">
        <f ca="1">CORREL(OFFSET(Historical_Data_Start,date_start_row,$B56,date_rows,1),OFFSET(Historical_Data_Start,date_start_row,Calculations!BP$40,date_rows,1))</f>
        <v>9.0111494466285968E-2</v>
      </c>
      <c r="BQ56" s="32">
        <f ca="1">CORREL(OFFSET(Historical_Data_Start,date_start_row,$B56,date_rows,1),OFFSET(Historical_Data_Start,date_start_row,Calculations!BQ$40,date_rows,1))</f>
        <v>0.15206740663054141</v>
      </c>
      <c r="BR56" s="32">
        <f ca="1">CORREL(OFFSET(Historical_Data_Start,date_start_row,$B56,date_rows,1),OFFSET(Historical_Data_Start,date_start_row,Calculations!BR$40,date_rows,1))</f>
        <v>0.20202515498809953</v>
      </c>
      <c r="BS56" s="32">
        <f ca="1">CORREL(OFFSET(Historical_Data_Start,date_start_row,$B56,date_rows,1),OFFSET(Historical_Data_Start,date_start_row,Calculations!BS$40,date_rows,1))</f>
        <v>0.25042799204393462</v>
      </c>
      <c r="BT56" s="32">
        <f ca="1">CORREL(OFFSET(Historical_Data_Start,date_start_row,$B56,date_rows,1),OFFSET(Historical_Data_Start,date_start_row,Calculations!BT$40,date_rows,1))</f>
        <v>5.1347567185750356E-2</v>
      </c>
      <c r="BU56" s="32">
        <f ca="1">CORREL(OFFSET(Historical_Data_Start,date_start_row,$B56,date_rows,1),OFFSET(Historical_Data_Start,date_start_row,Calculations!BU$40,date_rows,1))</f>
        <v>0.69042446078502606</v>
      </c>
      <c r="BV56" s="32">
        <f ca="1">CORREL(OFFSET(Historical_Data_Start,date_start_row,$B56,date_rows,1),OFFSET(Historical_Data_Start,date_start_row,Calculations!BV$40,date_rows,1))</f>
        <v>0.63352571191589646</v>
      </c>
      <c r="BW56" s="32">
        <f ca="1">CORREL(OFFSET(Historical_Data_Start,date_start_row,$B56,date_rows,1),OFFSET(Historical_Data_Start,date_start_row,Calculations!BW$40,date_rows,1))</f>
        <v>0.59727014363222353</v>
      </c>
      <c r="BX56" s="32">
        <f ca="1">CORREL(OFFSET(Historical_Data_Start,date_start_row,$B56,date_rows,1),OFFSET(Historical_Data_Start,date_start_row,Calculations!BX$40,date_rows,1))</f>
        <v>0.44030345024466483</v>
      </c>
      <c r="BY56" s="32">
        <f ca="1">CORREL(OFFSET(Historical_Data_Start,date_start_row,$B56,date_rows,1),OFFSET(Historical_Data_Start,date_start_row,Calculations!BY$40,date_rows,1))</f>
        <v>1</v>
      </c>
      <c r="BZ56" s="32">
        <f ca="1">CORREL(OFFSET(Historical_Data_Start,date_start_row,$B56,date_rows,1),OFFSET(Historical_Data_Start,date_start_row,Calculations!BZ$40,date_rows,1))</f>
        <v>0.72215012312611704</v>
      </c>
      <c r="CA56" s="32">
        <f ca="1">CORREL(OFFSET(Historical_Data_Start,date_start_row,$B56,date_rows,1),OFFSET(Historical_Data_Start,date_start_row,Calculations!CA$40,date_rows,1))</f>
        <v>0.77174751415349807</v>
      </c>
      <c r="CB56" s="32">
        <f ca="1">CORREL(OFFSET(Historical_Data_Start,date_start_row,$B56,date_rows,1),OFFSET(Historical_Data_Start,date_start_row,Calculations!CB$40,date_rows,1))</f>
        <v>0.53319020825490693</v>
      </c>
      <c r="CC56" s="32">
        <f ca="1">CORREL(OFFSET(Historical_Data_Start,date_start_row,$B56,date_rows,1),OFFSET(Historical_Data_Start,date_start_row,Calculations!CC$40,date_rows,1))</f>
        <v>0.44942534713200005</v>
      </c>
      <c r="CD56" s="32">
        <f ca="1">CORREL(OFFSET(Historical_Data_Start,date_start_row,$B56,date_rows,1),OFFSET(Historical_Data_Start,date_start_row,Calculations!CD$40,date_rows,1))</f>
        <v>0.42373552506471457</v>
      </c>
      <c r="CE56" s="32">
        <f ca="1">CORREL(OFFSET(Historical_Data_Start,date_start_row,$B56,date_rows,1),OFFSET(Historical_Data_Start,date_start_row,Calculations!CE$40,date_rows,1))</f>
        <v>0.50402697984424116</v>
      </c>
      <c r="CF56" s="32">
        <f ca="1">CORREL(OFFSET(Historical_Data_Start,date_start_row,$B56,date_rows,1),OFFSET(Historical_Data_Start,date_start_row,Calculations!CF$40,date_rows,1))</f>
        <v>5.458448769473466E-2</v>
      </c>
      <c r="CG56" s="32">
        <f ca="1">CORREL(OFFSET(Historical_Data_Start,date_start_row,$B56,date_rows,1),OFFSET(Historical_Data_Start,date_start_row,Calculations!CG$40,date_rows,1))</f>
        <v>-4.8816569419032681E-2</v>
      </c>
      <c r="CH56" s="32">
        <f ca="1">CORREL(OFFSET(Historical_Data_Start,date_start_row,$B56,date_rows,1),OFFSET(Historical_Data_Start,date_start_row,Calculations!CH$40,date_rows,1))</f>
        <v>0.4680420667070852</v>
      </c>
      <c r="CI56" s="32">
        <f ca="1">CORREL(OFFSET(Historical_Data_Start,date_start_row,$B56,date_rows,1),OFFSET(Historical_Data_Start,date_start_row,Calculations!CI$40,date_rows,1))</f>
        <v>0.16724680220755084</v>
      </c>
      <c r="CJ56" s="32">
        <f ca="1">CORREL(OFFSET(Historical_Data_Start,date_start_row,$B56,date_rows,1),OFFSET(Historical_Data_Start,date_start_row,Calculations!CJ$40,date_rows,1))</f>
        <v>7.2626393659069907E-2</v>
      </c>
      <c r="CK56" s="32">
        <f ca="1">CORREL(OFFSET(Historical_Data_Start,date_start_row,$B56,date_rows,1),OFFSET(Historical_Data_Start,date_start_row,Calculations!CK$40,date_rows,1))</f>
        <v>0.23468402163125535</v>
      </c>
      <c r="CL56" s="32">
        <f ca="1">CORREL(OFFSET(Historical_Data_Start,date_start_row,$B56,date_rows,1),OFFSET(Historical_Data_Start,date_start_row,Calculations!CL$40,date_rows,1))</f>
        <v>1.0624744198707877E-2</v>
      </c>
      <c r="CM56" s="32">
        <f ca="1">CORREL(OFFSET(Historical_Data_Start,date_start_row,$B56,date_rows,1),OFFSET(Historical_Data_Start,date_start_row,Calculations!CM$40,date_rows,1))</f>
        <v>1.1521166359653088E-2</v>
      </c>
      <c r="CN56" s="32">
        <f ca="1">CORREL(OFFSET(Historical_Data_Start,date_start_row,$B56,date_rows,1),OFFSET(Historical_Data_Start,date_start_row,Calculations!CN$40,date_rows,1))</f>
        <v>-1.5442092531732978E-2</v>
      </c>
      <c r="CO56" s="32">
        <f ca="1">CORREL(OFFSET(Historical_Data_Start,date_start_row,$B56,date_rows,1),OFFSET(Historical_Data_Start,date_start_row,Calculations!CO$40,date_rows,1))</f>
        <v>9.0111494466285968E-2</v>
      </c>
      <c r="CP56" s="32">
        <f ca="1">CORREL(OFFSET(Historical_Data_Start,date_start_row,$B56,date_rows,1),OFFSET(Historical_Data_Start,date_start_row,Calculations!CP$40,date_rows,1))</f>
        <v>0.15206740663054141</v>
      </c>
      <c r="CQ56" s="32">
        <f ca="1">CORREL(OFFSET(Historical_Data_Start,date_start_row,$B56,date_rows,1),OFFSET(Historical_Data_Start,date_start_row,Calculations!CQ$40,date_rows,1))</f>
        <v>4.2511544199452744E-2</v>
      </c>
      <c r="CR56" s="32">
        <f ca="1">CORREL(OFFSET(Historical_Data_Start,date_start_row,$B56,date_rows,1),OFFSET(Historical_Data_Start,date_start_row,Calculations!CR$40,date_rows,1))</f>
        <v>0.23073697579580604</v>
      </c>
      <c r="CS56" s="32">
        <f ca="1">CORREL(OFFSET(Historical_Data_Start,date_start_row,$B56,date_rows,1),OFFSET(Historical_Data_Start,date_start_row,Calculations!CS$40,date_rows,1))</f>
        <v>2.4539598977865132E-2</v>
      </c>
      <c r="CT56" s="32">
        <f ca="1">CORREL(OFFSET(Historical_Data_Start,date_start_row,$B56,date_rows,1),OFFSET(Historical_Data_Start,date_start_row,Calculations!CT$40,date_rows,1))</f>
        <v>-0.19960201988889539</v>
      </c>
      <c r="CU56" s="32">
        <f ca="1">CORREL(OFFSET(Historical_Data_Start,date_start_row,$B56,date_rows,1),OFFSET(Historical_Data_Start,date_start_row,Calculations!CU$40,date_rows,1))</f>
        <v>-0.17842229844256102</v>
      </c>
      <c r="CV56" s="32">
        <f ca="1">CORREL(OFFSET(Historical_Data_Start,date_start_row,$B56,date_rows,1),OFFSET(Historical_Data_Start,date_start_row,Calculations!CV$40,date_rows,1))</f>
        <v>-7.7618775461665096E-2</v>
      </c>
      <c r="CW56" s="32">
        <f ca="1">CORREL(OFFSET(Historical_Data_Start,date_start_row,$B56,date_rows,1),OFFSET(Historical_Data_Start,date_start_row,Calculations!CW$40,date_rows,1))</f>
        <v>-0.68952750928883255</v>
      </c>
      <c r="CX56" s="32">
        <f ca="1">CORREL(OFFSET(Historical_Data_Start,date_start_row,$B56,date_rows,1),OFFSET(Historical_Data_Start,date_start_row,Calculations!CX$40,date_rows,1))</f>
        <v>-0.6260959938377666</v>
      </c>
      <c r="CY56" s="32">
        <f ca="1">CORREL(OFFSET(Historical_Data_Start,date_start_row,$B56,date_rows,1),OFFSET(Historical_Data_Start,date_start_row,Calculations!CY$40,date_rows,1))</f>
        <v>-0.59727014363222353</v>
      </c>
      <c r="CZ56" s="32">
        <f ca="1">CORREL(OFFSET(Historical_Data_Start,date_start_row,$B56,date_rows,1),OFFSET(Historical_Data_Start,date_start_row,Calculations!CZ$40,date_rows,1))</f>
        <v>-0.46595187232159219</v>
      </c>
      <c r="DA56" s="32">
        <f ca="1">CORREL(OFFSET(Historical_Data_Start,date_start_row,$B56,date_rows,1),OFFSET(Historical_Data_Start,date_start_row,Calculations!DA$40,date_rows,1))</f>
        <v>-0.97988343514919707</v>
      </c>
      <c r="DB56" s="32">
        <f ca="1">CORREL(OFFSET(Historical_Data_Start,date_start_row,$B56,date_rows,1),OFFSET(Historical_Data_Start,date_start_row,Calculations!DB$40,date_rows,1))</f>
        <v>-0.71271696433739851</v>
      </c>
      <c r="DC56" s="32">
        <f ca="1">CORREL(OFFSET(Historical_Data_Start,date_start_row,$B56,date_rows,1),OFFSET(Historical_Data_Start,date_start_row,Calculations!DC$40,date_rows,1))</f>
        <v>-0.79214322696147699</v>
      </c>
      <c r="DD56" s="32">
        <f ca="1">CORREL(OFFSET(Historical_Data_Start,date_start_row,$B56,date_rows,1),OFFSET(Historical_Data_Start,date_start_row,Calculations!DD$40,date_rows,1))</f>
        <v>-0.52121555530553176</v>
      </c>
      <c r="DE56" s="32">
        <f ca="1">CORREL(OFFSET(Historical_Data_Start,date_start_row,$B56,date_rows,1),OFFSET(Historical_Data_Start,date_start_row,Calculations!DE$40,date_rows,1))</f>
        <v>-0.45414255211025012</v>
      </c>
      <c r="DF56" s="32">
        <f ca="1">CORREL(OFFSET(Historical_Data_Start,date_start_row,$B56,date_rows,1),OFFSET(Historical_Data_Start,date_start_row,Calculations!DF$40,date_rows,1))</f>
        <v>-0.4352486400364558</v>
      </c>
      <c r="DG56" s="32">
        <f ca="1">CORREL(OFFSET(Historical_Data_Start,date_start_row,$B56,date_rows,1),OFFSET(Historical_Data_Start,date_start_row,Calculations!DG$40,date_rows,1))</f>
        <v>-0.50689878967188473</v>
      </c>
      <c r="DH56" s="33">
        <f ca="1">CORREL(OFFSET(Historical_Data_Start,date_start_row,$B56,date_rows,1),OFFSET(Historical_Data_Start,date_start_row,Calculations!DH$40,date_rows,1))</f>
        <v>-0.19302004533607578</v>
      </c>
      <c r="DI56" s="2">
        <f t="shared" si="71"/>
        <v>15</v>
      </c>
      <c r="DJ56" s="43">
        <f t="shared" ca="1" si="65"/>
        <v>2.2327105893946421E-5</v>
      </c>
      <c r="DK56" s="44">
        <f t="shared" ca="1" si="12"/>
        <v>1.5242503093821036E-4</v>
      </c>
      <c r="DL56" s="44">
        <f t="shared" ca="1" si="13"/>
        <v>-3.50226658619704E-4</v>
      </c>
      <c r="DM56" s="44">
        <f t="shared" ca="1" si="14"/>
        <v>2.5677138482462824E-3</v>
      </c>
      <c r="DN56" s="44">
        <f t="shared" ca="1" si="15"/>
        <v>4.5452526885191207E-3</v>
      </c>
      <c r="DO56" s="44">
        <f t="shared" ca="1" si="16"/>
        <v>1.0029409334097628E-3</v>
      </c>
      <c r="DP56" s="44">
        <f t="shared" ca="1" si="17"/>
        <v>2.9379422961020602E-3</v>
      </c>
      <c r="DQ56" s="44">
        <f t="shared" ca="1" si="18"/>
        <v>2.0788388448275442E-3</v>
      </c>
      <c r="DR56" s="44">
        <f t="shared" ca="1" si="19"/>
        <v>4.3649599013257804E-3</v>
      </c>
      <c r="DS56" s="44">
        <f t="shared" ca="1" si="20"/>
        <v>7.5480923763053033E-4</v>
      </c>
      <c r="DT56" s="44">
        <f t="shared" ca="1" si="21"/>
        <v>2.3198261882376874E-2</v>
      </c>
      <c r="DU56" s="44">
        <f t="shared" ca="1" si="22"/>
        <v>2.6608079900467652E-2</v>
      </c>
      <c r="DV56" s="44">
        <f t="shared" ca="1" si="23"/>
        <v>2.2576811429298051E-2</v>
      </c>
      <c r="DW56" s="44">
        <f t="shared" ca="1" si="24"/>
        <v>2.2191293892331106E-2</v>
      </c>
      <c r="DX56" s="44">
        <f t="shared" ca="1" si="25"/>
        <v>4.4099999999999993E-2</v>
      </c>
      <c r="DY56" s="44">
        <f t="shared" ca="1" si="26"/>
        <v>3.0330305171296916E-2</v>
      </c>
      <c r="DZ56" s="44">
        <f t="shared" ca="1" si="27"/>
        <v>3.241339559444692E-2</v>
      </c>
      <c r="EA56" s="44">
        <f t="shared" ca="1" si="28"/>
        <v>2.46333876213767E-2</v>
      </c>
      <c r="EB56" s="44">
        <f t="shared" ca="1" si="29"/>
        <v>2.4538623953407203E-2</v>
      </c>
      <c r="EC56" s="44">
        <f t="shared" ca="1" si="30"/>
        <v>2.6695338079077018E-2</v>
      </c>
      <c r="ED56" s="44">
        <f t="shared" ca="1" si="31"/>
        <v>2.9636786414841382E-2</v>
      </c>
      <c r="EE56" s="44">
        <f t="shared" ca="1" si="32"/>
        <v>1.0316468174304851E-3</v>
      </c>
      <c r="EF56" s="44">
        <f t="shared" ca="1" si="33"/>
        <v>-9.226331620197177E-4</v>
      </c>
      <c r="EG56" s="44">
        <f t="shared" ca="1" si="34"/>
        <v>1.6709101781442942E-2</v>
      </c>
      <c r="EH56" s="44">
        <f t="shared" ca="1" si="35"/>
        <v>8.4292388312605607E-3</v>
      </c>
      <c r="EI56" s="44">
        <f t="shared" ca="1" si="36"/>
        <v>1.8301851202085614E-3</v>
      </c>
      <c r="EJ56" s="45">
        <f t="shared" ca="1" si="37"/>
        <v>4.4355280088307263E-3</v>
      </c>
      <c r="EK56" s="44">
        <f t="shared" ca="1" si="38"/>
        <v>2.2311962817286541E-5</v>
      </c>
      <c r="EL56" s="44">
        <f t="shared" ca="1" si="39"/>
        <v>1.1129446703424883E-4</v>
      </c>
      <c r="EM56" s="44">
        <f t="shared" ca="1" si="40"/>
        <v>-2.6266999396477799E-4</v>
      </c>
      <c r="EN56" s="44">
        <f t="shared" ca="1" si="41"/>
        <v>7.7585996735472199E-4</v>
      </c>
      <c r="EO56" s="44">
        <f t="shared" ca="1" si="42"/>
        <v>3.6404937147351615E-3</v>
      </c>
      <c r="EP56" s="44">
        <f t="shared" ca="1" si="43"/>
        <v>2.4728965260821657E-3</v>
      </c>
      <c r="EQ56" s="44">
        <f t="shared" ca="1" si="44"/>
        <v>1.1532234050274388E-2</v>
      </c>
      <c r="ER56" s="44">
        <f t="shared" ca="1" si="45"/>
        <v>1.6490610513125367E-3</v>
      </c>
      <c r="ES56" s="44">
        <f t="shared" ca="1" si="46"/>
        <v>-2.6407347231300862E-3</v>
      </c>
      <c r="ET56" s="44">
        <f t="shared" ca="1" si="47"/>
        <v>-1.8734341336468909E-3</v>
      </c>
      <c r="EU56" s="44">
        <f t="shared" ca="1" si="48"/>
        <v>-1.140995999286477E-3</v>
      </c>
      <c r="EV56" s="44">
        <f t="shared" ca="1" si="49"/>
        <v>-2.3168124312104771E-2</v>
      </c>
      <c r="EW56" s="44">
        <f t="shared" ca="1" si="50"/>
        <v>-2.62960317411862E-2</v>
      </c>
      <c r="EX56" s="44">
        <f t="shared" ca="1" si="51"/>
        <v>-2.2576811429298051E-2</v>
      </c>
      <c r="EY56" s="44">
        <f t="shared" ca="1" si="52"/>
        <v>-2.3483974365008244E-2</v>
      </c>
      <c r="EZ56" s="44">
        <f t="shared" ca="1" si="53"/>
        <v>-4.3212859490079587E-2</v>
      </c>
      <c r="FA56" s="44">
        <f t="shared" ca="1" si="54"/>
        <v>-2.9934112502170738E-2</v>
      </c>
      <c r="FB56" s="44">
        <f t="shared" ca="1" si="55"/>
        <v>-3.3270015532382034E-2</v>
      </c>
      <c r="FC56" s="44">
        <f t="shared" ca="1" si="56"/>
        <v>-2.4080158655115567E-2</v>
      </c>
      <c r="FD56" s="44">
        <f t="shared" ca="1" si="57"/>
        <v>-2.4796183345219658E-2</v>
      </c>
      <c r="FE56" s="44">
        <f t="shared" ca="1" si="58"/>
        <v>-2.7420664322296714E-2</v>
      </c>
      <c r="FF56" s="44">
        <f t="shared" ca="1" si="59"/>
        <v>-2.9805648832706824E-2</v>
      </c>
      <c r="FG56" s="45">
        <f t="shared" ca="1" si="60"/>
        <v>-2.0267104760287956E-4</v>
      </c>
      <c r="FL56" s="111">
        <v>0</v>
      </c>
      <c r="FM56" s="111">
        <v>0</v>
      </c>
      <c r="FN56" s="111">
        <v>0</v>
      </c>
      <c r="FO56" s="111">
        <v>0</v>
      </c>
      <c r="FP56" s="111">
        <v>0</v>
      </c>
      <c r="FQ56" s="111">
        <v>1</v>
      </c>
    </row>
    <row r="57" spans="1:173" x14ac:dyDescent="0.2">
      <c r="A57" s="51" t="str">
        <f t="shared" ref="A57" ca="1" si="122">INDEX(Historical_Data_Names,3,B57)</f>
        <v>A</v>
      </c>
      <c r="B57" s="57">
        <f t="shared" si="67"/>
        <v>16</v>
      </c>
      <c r="C57" s="11" t="str">
        <f t="shared" ref="C57" ca="1" si="123">INDEX(Historical_Data_Names,2,B57)</f>
        <v>UK Equ</v>
      </c>
      <c r="D57" s="58"/>
      <c r="E57" s="59">
        <f t="shared" ref="E57" ca="1" si="124">AVERAGE(OFFSET(Historical_Data_Start,date_start_row,$B57,date_rows,1))*4</f>
        <v>0.11654491186345739</v>
      </c>
      <c r="F57" s="59">
        <f t="array" aca="1" ref="F57" ca="1">PRODUCT(1+OFFSET(Historical_Data_Start,date_start_row,$B57,date_rows,1))^(4/date_rows)-1</f>
        <v>0.10690578581491339</v>
      </c>
      <c r="G57" s="59">
        <f t="shared" ref="G57" ca="1" si="125">STDEV(OFFSET(Historical_Data_Start,date_start_row,$B57,date_rows,1))*2</f>
        <v>0.16790129561587447</v>
      </c>
      <c r="H57" s="6"/>
      <c r="I57" s="60">
        <v>0.1</v>
      </c>
      <c r="J57" s="60">
        <v>0.2</v>
      </c>
      <c r="K57" s="60"/>
      <c r="L57" s="60">
        <v>4.1999999999999997E-3</v>
      </c>
      <c r="M57" s="6"/>
      <c r="N57" s="82">
        <v>0</v>
      </c>
      <c r="O57" s="6"/>
      <c r="P57" s="53">
        <v>0</v>
      </c>
      <c r="Q57" s="85">
        <v>1</v>
      </c>
      <c r="R57" s="53">
        <v>0.15598799040933911</v>
      </c>
      <c r="S57" s="226"/>
      <c r="T57" s="410">
        <v>0</v>
      </c>
      <c r="U57" s="410">
        <v>0</v>
      </c>
      <c r="V57" s="410">
        <v>0</v>
      </c>
      <c r="W57" s="410">
        <v>0</v>
      </c>
      <c r="X57" s="410">
        <v>0</v>
      </c>
      <c r="Y57" s="410">
        <v>1</v>
      </c>
      <c r="AB57" s="66">
        <v>7.7993995204669556E-2</v>
      </c>
      <c r="AC57" s="89">
        <v>2</v>
      </c>
      <c r="AD57" s="90">
        <f t="shared" si="113"/>
        <v>0.15598799040933911</v>
      </c>
      <c r="AE57" s="62">
        <f t="shared" si="108"/>
        <v>0</v>
      </c>
      <c r="AF57" s="101">
        <f>(AD57-1)*N57+AD57*($N$52+$N$53+$N$54+$N$55+$N$56+$N$58+$N$59+$N$60+$N$61+$N$62)</f>
        <v>8.295410136363611E-3</v>
      </c>
      <c r="AH57" s="95"/>
      <c r="AI57" s="117">
        <v>0</v>
      </c>
      <c r="AJ57" s="117">
        <v>0</v>
      </c>
      <c r="AK57" s="117">
        <v>0</v>
      </c>
      <c r="AL57" s="117">
        <v>0</v>
      </c>
      <c r="AM57" s="117">
        <v>0</v>
      </c>
      <c r="AN57" s="117">
        <v>1</v>
      </c>
      <c r="AO57" s="117">
        <v>0</v>
      </c>
      <c r="AP57" s="117">
        <v>0</v>
      </c>
      <c r="AQ57" s="117">
        <v>0</v>
      </c>
      <c r="AR57" s="117">
        <v>0</v>
      </c>
      <c r="AS57" s="117">
        <v>0</v>
      </c>
      <c r="AU57" s="117">
        <v>1</v>
      </c>
      <c r="AV57" s="117">
        <v>1</v>
      </c>
      <c r="AW57" s="117">
        <v>1</v>
      </c>
      <c r="AX57" s="117">
        <v>1</v>
      </c>
      <c r="AY57" s="117">
        <v>1</v>
      </c>
      <c r="AZ57" s="117">
        <v>1</v>
      </c>
      <c r="BA57" s="117">
        <v>1</v>
      </c>
      <c r="BB57" s="117">
        <v>1</v>
      </c>
      <c r="BC57" s="117">
        <v>1</v>
      </c>
      <c r="BD57" s="117">
        <v>1</v>
      </c>
      <c r="BE57" s="117">
        <v>1</v>
      </c>
      <c r="BF57" s="4"/>
      <c r="BG57" s="51" t="str">
        <f t="shared" ca="1" si="9"/>
        <v>UK Equ</v>
      </c>
      <c r="BH57" s="38">
        <f t="shared" si="10"/>
        <v>0.1</v>
      </c>
      <c r="BI57" s="38">
        <f t="shared" si="11"/>
        <v>0.2</v>
      </c>
      <c r="BK57" s="31">
        <f ca="1">CORREL(OFFSET(Historical_Data_Start,date_start_row,$B57,date_rows,1),OFFSET(Historical_Data_Start,date_start_row,Calculations!BK$40,date_rows,1))</f>
        <v>8.012125430810714E-2</v>
      </c>
      <c r="BL57" s="32">
        <f ca="1">CORREL(OFFSET(Historical_Data_Start,date_start_row,$B57,date_rows,1),OFFSET(Historical_Data_Start,date_start_row,Calculations!BL$40,date_rows,1))</f>
        <v>5.4270884415462371E-2</v>
      </c>
      <c r="BM57" s="32">
        <f ca="1">CORREL(OFFSET(Historical_Data_Start,date_start_row,$B57,date_rows,1),OFFSET(Historical_Data_Start,date_start_row,Calculations!BM$40,date_rows,1))</f>
        <v>2.61379690303855E-2</v>
      </c>
      <c r="BN57" s="32">
        <f ca="1">CORREL(OFFSET(Historical_Data_Start,date_start_row,$B57,date_rows,1),OFFSET(Historical_Data_Start,date_start_row,Calculations!BN$40,date_rows,1))</f>
        <v>0.25171431849701997</v>
      </c>
      <c r="BO57" s="32">
        <f ca="1">CORREL(OFFSET(Historical_Data_Start,date_start_row,$B57,date_rows,1),OFFSET(Historical_Data_Start,date_start_row,Calculations!BO$40,date_rows,1))</f>
        <v>0.23989824972723642</v>
      </c>
      <c r="BP57" s="32">
        <f ca="1">CORREL(OFFSET(Historical_Data_Start,date_start_row,$B57,date_rows,1),OFFSET(Historical_Data_Start,date_start_row,Calculations!BP$40,date_rows,1))</f>
        <v>0.22344837792376232</v>
      </c>
      <c r="BQ57" s="32">
        <f ca="1">CORREL(OFFSET(Historical_Data_Start,date_start_row,$B57,date_rows,1),OFFSET(Historical_Data_Start,date_start_row,Calculations!BQ$40,date_rows,1))</f>
        <v>0.26366507993667476</v>
      </c>
      <c r="BR57" s="32">
        <f ca="1">CORREL(OFFSET(Historical_Data_Start,date_start_row,$B57,date_rows,1),OFFSET(Historical_Data_Start,date_start_row,Calculations!BR$40,date_rows,1))</f>
        <v>0.33338161401550803</v>
      </c>
      <c r="BS57" s="32">
        <f ca="1">CORREL(OFFSET(Historical_Data_Start,date_start_row,$B57,date_rows,1),OFFSET(Historical_Data_Start,date_start_row,Calculations!BS$40,date_rows,1))</f>
        <v>0.37478549329495597</v>
      </c>
      <c r="BT57" s="32">
        <f ca="1">CORREL(OFFSET(Historical_Data_Start,date_start_row,$B57,date_rows,1),OFFSET(Historical_Data_Start,date_start_row,Calculations!BT$40,date_rows,1))</f>
        <v>0.15944837453566457</v>
      </c>
      <c r="BU57" s="32">
        <f ca="1">CORREL(OFFSET(Historical_Data_Start,date_start_row,$B57,date_rows,1),OFFSET(Historical_Data_Start,date_start_row,Calculations!BU$40,date_rows,1))</f>
        <v>0.70457003823545561</v>
      </c>
      <c r="BV57" s="32">
        <f ca="1">CORREL(OFFSET(Historical_Data_Start,date_start_row,$B57,date_rows,1),OFFSET(Historical_Data_Start,date_start_row,Calculations!BV$40,date_rows,1))</f>
        <v>0.60824102045074924</v>
      </c>
      <c r="BW57" s="32">
        <f ca="1">CORREL(OFFSET(Historical_Data_Start,date_start_row,$B57,date_rows,1),OFFSET(Historical_Data_Start,date_start_row,Calculations!BW$40,date_rows,1))</f>
        <v>0.5990690715804855</v>
      </c>
      <c r="BX57" s="32">
        <f ca="1">CORREL(OFFSET(Historical_Data_Start,date_start_row,$B57,date_rows,1),OFFSET(Historical_Data_Start,date_start_row,Calculations!BX$40,date_rows,1))</f>
        <v>0.39715931514938735</v>
      </c>
      <c r="BY57" s="32">
        <f ca="1">CORREL(OFFSET(Historical_Data_Start,date_start_row,$B57,date_rows,1),OFFSET(Historical_Data_Start,date_start_row,Calculations!BY$40,date_rows,1))</f>
        <v>0.72215012312611704</v>
      </c>
      <c r="BZ57" s="32">
        <f ca="1">CORREL(OFFSET(Historical_Data_Start,date_start_row,$B57,date_rows,1),OFFSET(Historical_Data_Start,date_start_row,Calculations!BZ$40,date_rows,1))</f>
        <v>0.99999999999999989</v>
      </c>
      <c r="CA57" s="32">
        <f ca="1">CORREL(OFFSET(Historical_Data_Start,date_start_row,$B57,date_rows,1),OFFSET(Historical_Data_Start,date_start_row,Calculations!CA$40,date_rows,1))</f>
        <v>0.58933052451013068</v>
      </c>
      <c r="CB57" s="32">
        <f ca="1">CORREL(OFFSET(Historical_Data_Start,date_start_row,$B57,date_rows,1),OFFSET(Historical_Data_Start,date_start_row,Calculations!CB$40,date_rows,1))</f>
        <v>0.61315461063393739</v>
      </c>
      <c r="CC57" s="32">
        <f ca="1">CORREL(OFFSET(Historical_Data_Start,date_start_row,$B57,date_rows,1),OFFSET(Historical_Data_Start,date_start_row,Calculations!CC$40,date_rows,1))</f>
        <v>0.52252798303620629</v>
      </c>
      <c r="CD57" s="32">
        <f ca="1">CORREL(OFFSET(Historical_Data_Start,date_start_row,$B57,date_rows,1),OFFSET(Historical_Data_Start,date_start_row,Calculations!CD$40,date_rows,1))</f>
        <v>0.41060900044773985</v>
      </c>
      <c r="CE57" s="32">
        <f ca="1">CORREL(OFFSET(Historical_Data_Start,date_start_row,$B57,date_rows,1),OFFSET(Historical_Data_Start,date_start_row,Calculations!CE$40,date_rows,1))</f>
        <v>0.49442469813938178</v>
      </c>
      <c r="CF57" s="32">
        <f ca="1">CORREL(OFFSET(Historical_Data_Start,date_start_row,$B57,date_rows,1),OFFSET(Historical_Data_Start,date_start_row,Calculations!CF$40,date_rows,1))</f>
        <v>7.4202497201896964E-2</v>
      </c>
      <c r="CG57" s="32">
        <f ca="1">CORREL(OFFSET(Historical_Data_Start,date_start_row,$B57,date_rows,1),OFFSET(Historical_Data_Start,date_start_row,Calculations!CG$40,date_rows,1))</f>
        <v>-3.6391935544066271E-2</v>
      </c>
      <c r="CH57" s="32">
        <f ca="1">CORREL(OFFSET(Historical_Data_Start,date_start_row,$B57,date_rows,1),OFFSET(Historical_Data_Start,date_start_row,Calculations!CH$40,date_rows,1))</f>
        <v>0.48261254852383828</v>
      </c>
      <c r="CI57" s="32">
        <f ca="1">CORREL(OFFSET(Historical_Data_Start,date_start_row,$B57,date_rows,1),OFFSET(Historical_Data_Start,date_start_row,Calculations!CI$40,date_rows,1))</f>
        <v>0.32684569711470174</v>
      </c>
      <c r="CJ57" s="32">
        <f ca="1">CORREL(OFFSET(Historical_Data_Start,date_start_row,$B57,date_rows,1),OFFSET(Historical_Data_Start,date_start_row,Calculations!CJ$40,date_rows,1))</f>
        <v>5.9135711656619315E-3</v>
      </c>
      <c r="CK57" s="32">
        <f ca="1">CORREL(OFFSET(Historical_Data_Start,date_start_row,$B57,date_rows,1),OFFSET(Historical_Data_Start,date_start_row,Calculations!CK$40,date_rows,1))</f>
        <v>0.11664106150717857</v>
      </c>
      <c r="CL57" s="32">
        <f ca="1">CORREL(OFFSET(Historical_Data_Start,date_start_row,$B57,date_rows,1),OFFSET(Historical_Data_Start,date_start_row,Calculations!CL$40,date_rows,1))</f>
        <v>8.0120133632887641E-2</v>
      </c>
      <c r="CM57" s="32">
        <f ca="1">CORREL(OFFSET(Historical_Data_Start,date_start_row,$B57,date_rows,1),OFFSET(Historical_Data_Start,date_start_row,Calculations!CM$40,date_rows,1))</f>
        <v>5.4270884415462371E-2</v>
      </c>
      <c r="CN57" s="32">
        <f ca="1">CORREL(OFFSET(Historical_Data_Start,date_start_row,$B57,date_rows,1),OFFSET(Historical_Data_Start,date_start_row,Calculations!CN$40,date_rows,1))</f>
        <v>2.61379690303855E-2</v>
      </c>
      <c r="CO57" s="32">
        <f ca="1">CORREL(OFFSET(Historical_Data_Start,date_start_row,$B57,date_rows,1),OFFSET(Historical_Data_Start,date_start_row,Calculations!CO$40,date_rows,1))</f>
        <v>0.22344837792376232</v>
      </c>
      <c r="CP57" s="32">
        <f ca="1">CORREL(OFFSET(Historical_Data_Start,date_start_row,$B57,date_rows,1),OFFSET(Historical_Data_Start,date_start_row,Calculations!CP$40,date_rows,1))</f>
        <v>0.26366507993667476</v>
      </c>
      <c r="CQ57" s="32">
        <f ca="1">CORREL(OFFSET(Historical_Data_Start,date_start_row,$B57,date_rows,1),OFFSET(Historical_Data_Start,date_start_row,Calculations!CQ$40,date_rows,1))</f>
        <v>3.456356711792536E-2</v>
      </c>
      <c r="CR57" s="32">
        <f ca="1">CORREL(OFFSET(Historical_Data_Start,date_start_row,$B57,date_rows,1),OFFSET(Historical_Data_Start,date_start_row,Calculations!CR$40,date_rows,1))</f>
        <v>0.27502133153235014</v>
      </c>
      <c r="CS57" s="32">
        <f ca="1">CORREL(OFFSET(Historical_Data_Start,date_start_row,$B57,date_rows,1),OFFSET(Historical_Data_Start,date_start_row,Calculations!CS$40,date_rows,1))</f>
        <v>0.12283716834581594</v>
      </c>
      <c r="CT57" s="32">
        <f ca="1">CORREL(OFFSET(Historical_Data_Start,date_start_row,$B57,date_rows,1),OFFSET(Historical_Data_Start,date_start_row,Calculations!CT$40,date_rows,1))</f>
        <v>-0.24760545898678191</v>
      </c>
      <c r="CU57" s="32">
        <f ca="1">CORREL(OFFSET(Historical_Data_Start,date_start_row,$B57,date_rows,1),OFFSET(Historical_Data_Start,date_start_row,Calculations!CU$40,date_rows,1))</f>
        <v>-0.32081160485287041</v>
      </c>
      <c r="CV57" s="32">
        <f ca="1">CORREL(OFFSET(Historical_Data_Start,date_start_row,$B57,date_rows,1),OFFSET(Historical_Data_Start,date_start_row,Calculations!CV$40,date_rows,1))</f>
        <v>-9.4285499617928537E-2</v>
      </c>
      <c r="CW57" s="32">
        <f ca="1">CORREL(OFFSET(Historical_Data_Start,date_start_row,$B57,date_rows,1),OFFSET(Historical_Data_Start,date_start_row,Calculations!CW$40,date_rows,1))</f>
        <v>-0.70776865767942043</v>
      </c>
      <c r="CX57" s="32">
        <f ca="1">CORREL(OFFSET(Historical_Data_Start,date_start_row,$B57,date_rows,1),OFFSET(Historical_Data_Start,date_start_row,Calculations!CX$40,date_rows,1))</f>
        <v>-0.60838313992342152</v>
      </c>
      <c r="CY57" s="32">
        <f ca="1">CORREL(OFFSET(Historical_Data_Start,date_start_row,$B57,date_rows,1),OFFSET(Historical_Data_Start,date_start_row,Calculations!CY$40,date_rows,1))</f>
        <v>-0.5990690715804855</v>
      </c>
      <c r="CZ57" s="32">
        <f ca="1">CORREL(OFFSET(Historical_Data_Start,date_start_row,$B57,date_rows,1),OFFSET(Historical_Data_Start,date_start_row,Calculations!CZ$40,date_rows,1))</f>
        <v>-0.42608546078136522</v>
      </c>
      <c r="DA57" s="32">
        <f ca="1">CORREL(OFFSET(Historical_Data_Start,date_start_row,$B57,date_rows,1),OFFSET(Historical_Data_Start,date_start_row,Calculations!DA$40,date_rows,1))</f>
        <v>-0.72157901640118993</v>
      </c>
      <c r="DB57" s="32">
        <f ca="1">CORREL(OFFSET(Historical_Data_Start,date_start_row,$B57,date_rows,1),OFFSET(Historical_Data_Start,date_start_row,Calculations!DB$40,date_rows,1))</f>
        <v>-0.97513894745238971</v>
      </c>
      <c r="DC57" s="32">
        <f ca="1">CORREL(OFFSET(Historical_Data_Start,date_start_row,$B57,date_rows,1),OFFSET(Historical_Data_Start,date_start_row,Calculations!DC$40,date_rows,1))</f>
        <v>-0.61960395894582398</v>
      </c>
      <c r="DD57" s="32">
        <f ca="1">CORREL(OFFSET(Historical_Data_Start,date_start_row,$B57,date_rows,1),OFFSET(Historical_Data_Start,date_start_row,Calculations!DD$40,date_rows,1))</f>
        <v>-0.59936815805941668</v>
      </c>
      <c r="DE57" s="32">
        <f ca="1">CORREL(OFFSET(Historical_Data_Start,date_start_row,$B57,date_rows,1),OFFSET(Historical_Data_Start,date_start_row,Calculations!DE$40,date_rows,1))</f>
        <v>-0.52386723483120878</v>
      </c>
      <c r="DF57" s="32">
        <f ca="1">CORREL(OFFSET(Historical_Data_Start,date_start_row,$B57,date_rows,1),OFFSET(Historical_Data_Start,date_start_row,Calculations!DF$40,date_rows,1))</f>
        <v>-0.4219988928802742</v>
      </c>
      <c r="DG57" s="32">
        <f ca="1">CORREL(OFFSET(Historical_Data_Start,date_start_row,$B57,date_rows,1),OFFSET(Historical_Data_Start,date_start_row,Calculations!DG$40,date_rows,1))</f>
        <v>-0.49695517846102694</v>
      </c>
      <c r="DH57" s="33">
        <f ca="1">CORREL(OFFSET(Historical_Data_Start,date_start_row,$B57,date_rows,1),OFFSET(Historical_Data_Start,date_start_row,Calculations!DH$40,date_rows,1))</f>
        <v>-0.17057542956355437</v>
      </c>
      <c r="DI57" s="2">
        <f t="shared" si="71"/>
        <v>16</v>
      </c>
      <c r="DJ57" s="43">
        <f t="shared" ca="1" si="65"/>
        <v>1.6024250861621428E-4</v>
      </c>
      <c r="DK57" s="44">
        <f t="shared" ca="1" si="12"/>
        <v>6.8381314363482584E-4</v>
      </c>
      <c r="DL57" s="44">
        <f t="shared" ca="1" si="13"/>
        <v>5.6458013105632689E-4</v>
      </c>
      <c r="DM57" s="44">
        <f t="shared" ca="1" si="14"/>
        <v>2.9198860945654314E-3</v>
      </c>
      <c r="DN57" s="44">
        <f t="shared" ca="1" si="15"/>
        <v>4.7020056946538349E-3</v>
      </c>
      <c r="DO57" s="44">
        <f t="shared" ca="1" si="16"/>
        <v>2.3685528059918808E-3</v>
      </c>
      <c r="DP57" s="44">
        <f t="shared" ca="1" si="17"/>
        <v>4.8514374708348157E-3</v>
      </c>
      <c r="DQ57" s="44">
        <f t="shared" ca="1" si="18"/>
        <v>3.2671398173519791E-3</v>
      </c>
      <c r="DR57" s="44">
        <f t="shared" ca="1" si="19"/>
        <v>6.2214391886962692E-3</v>
      </c>
      <c r="DS57" s="44">
        <f t="shared" ca="1" si="20"/>
        <v>2.2322772434993044E-3</v>
      </c>
      <c r="DT57" s="44">
        <f t="shared" ca="1" si="21"/>
        <v>2.2546241223534581E-2</v>
      </c>
      <c r="DU57" s="44">
        <f t="shared" ca="1" si="22"/>
        <v>2.4329640818029973E-2</v>
      </c>
      <c r="DV57" s="44">
        <f t="shared" ca="1" si="23"/>
        <v>2.1566486576897477E-2</v>
      </c>
      <c r="DW57" s="44">
        <f t="shared" ca="1" si="24"/>
        <v>1.9063647127170593E-2</v>
      </c>
      <c r="DX57" s="44">
        <f t="shared" ca="1" si="25"/>
        <v>3.0330305171296916E-2</v>
      </c>
      <c r="DY57" s="44">
        <f t="shared" ca="1" si="26"/>
        <v>0.04</v>
      </c>
      <c r="DZ57" s="44">
        <f t="shared" ca="1" si="27"/>
        <v>2.3573220980405232E-2</v>
      </c>
      <c r="EA57" s="44">
        <f t="shared" ca="1" si="28"/>
        <v>2.6978802867893246E-2</v>
      </c>
      <c r="EB57" s="44">
        <f t="shared" ca="1" si="29"/>
        <v>2.7171455117882728E-2</v>
      </c>
      <c r="EC57" s="44">
        <f t="shared" ca="1" si="30"/>
        <v>2.4636540026864391E-2</v>
      </c>
      <c r="ED57" s="44">
        <f t="shared" ca="1" si="31"/>
        <v>2.7687783095805385E-2</v>
      </c>
      <c r="EE57" s="44">
        <f t="shared" ca="1" si="32"/>
        <v>1.3356449496341452E-3</v>
      </c>
      <c r="EF57" s="44">
        <f t="shared" ca="1" si="33"/>
        <v>-6.5505483979319285E-4</v>
      </c>
      <c r="EG57" s="44">
        <f t="shared" ca="1" si="34"/>
        <v>1.6408826649810502E-2</v>
      </c>
      <c r="EH57" s="44">
        <f t="shared" ca="1" si="35"/>
        <v>1.5688593461505685E-2</v>
      </c>
      <c r="EI57" s="44">
        <f t="shared" ca="1" si="36"/>
        <v>1.4192570797588635E-4</v>
      </c>
      <c r="EJ57" s="45">
        <f t="shared" ca="1" si="37"/>
        <v>2.099539107129214E-3</v>
      </c>
      <c r="EK57" s="44">
        <f t="shared" ca="1" si="38"/>
        <v>1.6024026726577529E-4</v>
      </c>
      <c r="EL57" s="44">
        <f t="shared" ca="1" si="39"/>
        <v>4.992921366222538E-4</v>
      </c>
      <c r="EM57" s="44">
        <f t="shared" ca="1" si="40"/>
        <v>4.2343509829224517E-4</v>
      </c>
      <c r="EN57" s="44">
        <f t="shared" ca="1" si="41"/>
        <v>1.8322766989748507E-3</v>
      </c>
      <c r="EO57" s="44">
        <f t="shared" ca="1" si="42"/>
        <v>6.0115638225561848E-3</v>
      </c>
      <c r="EP57" s="44">
        <f t="shared" ca="1" si="43"/>
        <v>1.9148216183330648E-3</v>
      </c>
      <c r="EQ57" s="44">
        <f t="shared" ca="1" si="44"/>
        <v>1.3091015380939867E-2</v>
      </c>
      <c r="ER57" s="44">
        <f t="shared" ca="1" si="45"/>
        <v>7.8615787741322211E-3</v>
      </c>
      <c r="ES57" s="44">
        <f t="shared" ca="1" si="46"/>
        <v>-3.1198287832334519E-3</v>
      </c>
      <c r="ET57" s="44">
        <f t="shared" ca="1" si="47"/>
        <v>-3.2081160485287049E-3</v>
      </c>
      <c r="EU57" s="44">
        <f t="shared" ca="1" si="48"/>
        <v>-1.3199969946509997E-3</v>
      </c>
      <c r="EV57" s="44">
        <f t="shared" ca="1" si="49"/>
        <v>-2.2648597045741455E-2</v>
      </c>
      <c r="EW57" s="44">
        <f t="shared" ca="1" si="50"/>
        <v>-2.4335325596936866E-2</v>
      </c>
      <c r="EX57" s="44">
        <f t="shared" ca="1" si="51"/>
        <v>-2.1566486576897477E-2</v>
      </c>
      <c r="EY57" s="44">
        <f t="shared" ca="1" si="52"/>
        <v>-2.0452102117505529E-2</v>
      </c>
      <c r="EZ57" s="44">
        <f t="shared" ca="1" si="53"/>
        <v>-3.0306318688849979E-2</v>
      </c>
      <c r="FA57" s="44">
        <f t="shared" ca="1" si="54"/>
        <v>-3.9005557898095594E-2</v>
      </c>
      <c r="FB57" s="44">
        <f t="shared" ca="1" si="55"/>
        <v>-2.4784158357832965E-2</v>
      </c>
      <c r="FC57" s="44">
        <f t="shared" ca="1" si="56"/>
        <v>-2.6372198954614335E-2</v>
      </c>
      <c r="FD57" s="44">
        <f t="shared" ca="1" si="57"/>
        <v>-2.7241096211222858E-2</v>
      </c>
      <c r="FE57" s="44">
        <f t="shared" ca="1" si="58"/>
        <v>-2.531993357281645E-2</v>
      </c>
      <c r="FF57" s="44">
        <f t="shared" ca="1" si="59"/>
        <v>-2.7829489993817513E-2</v>
      </c>
      <c r="FG57" s="45">
        <f t="shared" ca="1" si="60"/>
        <v>-1.7057542956355436E-4</v>
      </c>
      <c r="FL57" s="111">
        <v>0</v>
      </c>
      <c r="FM57" s="111">
        <v>0</v>
      </c>
      <c r="FN57" s="111">
        <v>0</v>
      </c>
      <c r="FO57" s="111">
        <v>0</v>
      </c>
      <c r="FP57" s="111">
        <v>0</v>
      </c>
      <c r="FQ57" s="111">
        <v>1</v>
      </c>
    </row>
    <row r="58" spans="1:173" x14ac:dyDescent="0.2">
      <c r="A58" s="51" t="str">
        <f t="shared" ref="A58" ca="1" si="126">INDEX(Historical_Data_Names,3,B58)</f>
        <v>A</v>
      </c>
      <c r="B58" s="57">
        <f t="shared" si="67"/>
        <v>17</v>
      </c>
      <c r="C58" s="11" t="str">
        <f t="shared" ref="C58" ca="1" si="127">INDEX(Historical_Data_Names,2,B58)</f>
        <v>Swiss Equ</v>
      </c>
      <c r="D58" s="58"/>
      <c r="E58" s="59">
        <f t="shared" ref="E58" ca="1" si="128">AVERAGE(OFFSET(Historical_Data_Start,date_start_row,$B58,date_rows,1))*4</f>
        <v>0.12813618457256912</v>
      </c>
      <c r="F58" s="59">
        <f t="array" aca="1" ref="F58" ca="1">PRODUCT(1+OFFSET(Historical_Data_Start,date_start_row,$B58,date_rows,1))^(4/date_rows)-1</f>
        <v>0.11603306317681539</v>
      </c>
      <c r="G58" s="59">
        <f t="shared" ref="G58" ca="1" si="129">STDEV(OFFSET(Historical_Data_Start,date_start_row,$B58,date_rows,1))*2</f>
        <v>0.18744480292943663</v>
      </c>
      <c r="H58" s="6"/>
      <c r="I58" s="60">
        <v>0.1</v>
      </c>
      <c r="J58" s="60">
        <v>0.2</v>
      </c>
      <c r="K58" s="60"/>
      <c r="L58" s="60">
        <v>1.7000000000000001E-3</v>
      </c>
      <c r="M58" s="6"/>
      <c r="N58" s="82">
        <v>1.2993004450931364E-8</v>
      </c>
      <c r="O58" s="6"/>
      <c r="P58" s="53">
        <v>0</v>
      </c>
      <c r="Q58" s="85">
        <v>1</v>
      </c>
      <c r="R58" s="53">
        <v>6.5801500326622311E-2</v>
      </c>
      <c r="S58" s="226"/>
      <c r="T58" s="410">
        <v>0</v>
      </c>
      <c r="U58" s="410">
        <v>0</v>
      </c>
      <c r="V58" s="410">
        <v>0</v>
      </c>
      <c r="W58" s="410">
        <v>0</v>
      </c>
      <c r="X58" s="410">
        <v>0</v>
      </c>
      <c r="Y58" s="410">
        <v>1</v>
      </c>
      <c r="AB58" s="66">
        <v>3.2900750163311156E-2</v>
      </c>
      <c r="AC58" s="89">
        <v>2</v>
      </c>
      <c r="AD58" s="90">
        <f t="shared" si="113"/>
        <v>6.5801500326622311E-2</v>
      </c>
      <c r="AE58" s="62">
        <f t="shared" si="108"/>
        <v>2.4432217580128381E-7</v>
      </c>
      <c r="AF58" s="101">
        <f>(AD58-1)*N58+AD58*($N$52+$N$53+$N$54+$N$55+$N$56+$N$57+$N$59+$N$60+$N$61+$N$62)</f>
        <v>3.4992976357496701E-3</v>
      </c>
      <c r="AH58" s="95"/>
      <c r="AI58" s="117">
        <v>0</v>
      </c>
      <c r="AJ58" s="117">
        <v>0</v>
      </c>
      <c r="AK58" s="117">
        <v>0</v>
      </c>
      <c r="AL58" s="117">
        <v>0</v>
      </c>
      <c r="AM58" s="117">
        <v>0</v>
      </c>
      <c r="AN58" s="117">
        <v>0</v>
      </c>
      <c r="AO58" s="117">
        <v>1</v>
      </c>
      <c r="AP58" s="117">
        <v>0</v>
      </c>
      <c r="AQ58" s="117">
        <v>0</v>
      </c>
      <c r="AR58" s="117">
        <v>0</v>
      </c>
      <c r="AS58" s="117">
        <v>0</v>
      </c>
      <c r="AU58" s="117">
        <v>1</v>
      </c>
      <c r="AV58" s="117">
        <v>1</v>
      </c>
      <c r="AW58" s="117">
        <v>1</v>
      </c>
      <c r="AX58" s="117">
        <v>1</v>
      </c>
      <c r="AY58" s="117">
        <v>1</v>
      </c>
      <c r="AZ58" s="117">
        <v>1</v>
      </c>
      <c r="BA58" s="117">
        <v>1</v>
      </c>
      <c r="BB58" s="117">
        <v>1</v>
      </c>
      <c r="BC58" s="117">
        <v>1</v>
      </c>
      <c r="BD58" s="117">
        <v>1</v>
      </c>
      <c r="BE58" s="117">
        <v>1</v>
      </c>
      <c r="BF58" s="4"/>
      <c r="BG58" s="51" t="str">
        <f t="shared" ca="1" si="9"/>
        <v>Swiss Equ</v>
      </c>
      <c r="BH58" s="38">
        <f t="shared" si="10"/>
        <v>0.1</v>
      </c>
      <c r="BI58" s="38">
        <f t="shared" si="11"/>
        <v>0.2</v>
      </c>
      <c r="BK58" s="31">
        <f ca="1">CORREL(OFFSET(Historical_Data_Start,date_start_row,$B58,date_rows,1),OFFSET(Historical_Data_Start,date_start_row,Calculations!BK$40,date_rows,1))</f>
        <v>-3.9269837299391284E-2</v>
      </c>
      <c r="BL58" s="32">
        <f ca="1">CORREL(OFFSET(Historical_Data_Start,date_start_row,$B58,date_rows,1),OFFSET(Historical_Data_Start,date_start_row,Calculations!BL$40,date_rows,1))</f>
        <v>0.18209536980774493</v>
      </c>
      <c r="BM58" s="32">
        <f ca="1">CORREL(OFFSET(Historical_Data_Start,date_start_row,$B58,date_rows,1),OFFSET(Historical_Data_Start,date_start_row,Calculations!BM$40,date_rows,1))</f>
        <v>0.14863872668427167</v>
      </c>
      <c r="BN58" s="32">
        <f ca="1">CORREL(OFFSET(Historical_Data_Start,date_start_row,$B58,date_rows,1),OFFSET(Historical_Data_Start,date_start_row,Calculations!BN$40,date_rows,1))</f>
        <v>0.28635432265097249</v>
      </c>
      <c r="BO58" s="32">
        <f ca="1">CORREL(OFFSET(Historical_Data_Start,date_start_row,$B58,date_rows,1),OFFSET(Historical_Data_Start,date_start_row,Calculations!BO$40,date_rows,1))</f>
        <v>0.2849258306455143</v>
      </c>
      <c r="BP58" s="32">
        <f ca="1">CORREL(OFFSET(Historical_Data_Start,date_start_row,$B58,date_rows,1),OFFSET(Historical_Data_Start,date_start_row,Calculations!BP$40,date_rows,1))</f>
        <v>0.26332265707302038</v>
      </c>
      <c r="BQ58" s="32">
        <f ca="1">CORREL(OFFSET(Historical_Data_Start,date_start_row,$B58,date_rows,1),OFFSET(Historical_Data_Start,date_start_row,Calculations!BQ$40,date_rows,1))</f>
        <v>0.3024348540300566</v>
      </c>
      <c r="BR58" s="32">
        <f ca="1">CORREL(OFFSET(Historical_Data_Start,date_start_row,$B58,date_rows,1),OFFSET(Historical_Data_Start,date_start_row,Calculations!BR$40,date_rows,1))</f>
        <v>0.30156184447490819</v>
      </c>
      <c r="BS58" s="32">
        <f ca="1">CORREL(OFFSET(Historical_Data_Start,date_start_row,$B58,date_rows,1),OFFSET(Historical_Data_Start,date_start_row,Calculations!BS$40,date_rows,1))</f>
        <v>0.3354261626997127</v>
      </c>
      <c r="BT58" s="32">
        <f ca="1">CORREL(OFFSET(Historical_Data_Start,date_start_row,$B58,date_rows,1),OFFSET(Historical_Data_Start,date_start_row,Calculations!BT$40,date_rows,1))</f>
        <v>0.13373358382090039</v>
      </c>
      <c r="BU58" s="32">
        <f ca="1">CORREL(OFFSET(Historical_Data_Start,date_start_row,$B58,date_rows,1),OFFSET(Historical_Data_Start,date_start_row,Calculations!BU$40,date_rows,1))</f>
        <v>0.61846399616019632</v>
      </c>
      <c r="BV58" s="32">
        <f ca="1">CORREL(OFFSET(Historical_Data_Start,date_start_row,$B58,date_rows,1),OFFSET(Historical_Data_Start,date_start_row,Calculations!BV$40,date_rows,1))</f>
        <v>0.5283993008135951</v>
      </c>
      <c r="BW58" s="32">
        <f ca="1">CORREL(OFFSET(Historical_Data_Start,date_start_row,$B58,date_rows,1),OFFSET(Historical_Data_Start,date_start_row,Calculations!BW$40,date_rows,1))</f>
        <v>0.43760575649719013</v>
      </c>
      <c r="BX58" s="32">
        <f ca="1">CORREL(OFFSET(Historical_Data_Start,date_start_row,$B58,date_rows,1),OFFSET(Historical_Data_Start,date_start_row,Calculations!BX$40,date_rows,1))</f>
        <v>0.4187263786179104</v>
      </c>
      <c r="BY58" s="32">
        <f ca="1">CORREL(OFFSET(Historical_Data_Start,date_start_row,$B58,date_rows,1),OFFSET(Historical_Data_Start,date_start_row,Calculations!BY$40,date_rows,1))</f>
        <v>0.77174751415349807</v>
      </c>
      <c r="BZ58" s="32">
        <f ca="1">CORREL(OFFSET(Historical_Data_Start,date_start_row,$B58,date_rows,1),OFFSET(Historical_Data_Start,date_start_row,Calculations!BZ$40,date_rows,1))</f>
        <v>0.58933052451013068</v>
      </c>
      <c r="CA58" s="32">
        <f ca="1">CORREL(OFFSET(Historical_Data_Start,date_start_row,$B58,date_rows,1),OFFSET(Historical_Data_Start,date_start_row,Calculations!CA$40,date_rows,1))</f>
        <v>1.0000000000000002</v>
      </c>
      <c r="CB58" s="32">
        <f ca="1">CORREL(OFFSET(Historical_Data_Start,date_start_row,$B58,date_rows,1),OFFSET(Historical_Data_Start,date_start_row,Calculations!CB$40,date_rows,1))</f>
        <v>0.42579133822061899</v>
      </c>
      <c r="CC58" s="32">
        <f ca="1">CORREL(OFFSET(Historical_Data_Start,date_start_row,$B58,date_rows,1),OFFSET(Historical_Data_Start,date_start_row,Calculations!CC$40,date_rows,1))</f>
        <v>0.35444772274777009</v>
      </c>
      <c r="CD58" s="32">
        <f ca="1">CORREL(OFFSET(Historical_Data_Start,date_start_row,$B58,date_rows,1),OFFSET(Historical_Data_Start,date_start_row,Calculations!CD$40,date_rows,1))</f>
        <v>0.33897691269472691</v>
      </c>
      <c r="CE58" s="32">
        <f ca="1">CORREL(OFFSET(Historical_Data_Start,date_start_row,$B58,date_rows,1),OFFSET(Historical_Data_Start,date_start_row,Calculations!CE$40,date_rows,1))</f>
        <v>0.32074381595202012</v>
      </c>
      <c r="CF58" s="32">
        <f ca="1">CORREL(OFFSET(Historical_Data_Start,date_start_row,$B58,date_rows,1),OFFSET(Historical_Data_Start,date_start_row,Calculations!CF$40,date_rows,1))</f>
        <v>-1.5505753947845695E-2</v>
      </c>
      <c r="CG58" s="32">
        <f ca="1">CORREL(OFFSET(Historical_Data_Start,date_start_row,$B58,date_rows,1),OFFSET(Historical_Data_Start,date_start_row,Calculations!CG$40,date_rows,1))</f>
        <v>-0.11521829606775465</v>
      </c>
      <c r="CH58" s="32">
        <f ca="1">CORREL(OFFSET(Historical_Data_Start,date_start_row,$B58,date_rows,1),OFFSET(Historical_Data_Start,date_start_row,Calculations!CH$40,date_rows,1))</f>
        <v>0.40667099685833014</v>
      </c>
      <c r="CI58" s="32">
        <f ca="1">CORREL(OFFSET(Historical_Data_Start,date_start_row,$B58,date_rows,1),OFFSET(Historical_Data_Start,date_start_row,Calculations!CI$40,date_rows,1))</f>
        <v>9.3383138537101021E-2</v>
      </c>
      <c r="CJ58" s="32">
        <f ca="1">CORREL(OFFSET(Historical_Data_Start,date_start_row,$B58,date_rows,1),OFFSET(Historical_Data_Start,date_start_row,Calculations!CJ$40,date_rows,1))</f>
        <v>6.2141852446521567E-2</v>
      </c>
      <c r="CK58" s="32">
        <f ca="1">CORREL(OFFSET(Historical_Data_Start,date_start_row,$B58,date_rows,1),OFFSET(Historical_Data_Start,date_start_row,Calculations!CK$40,date_rows,1))</f>
        <v>0.23932908165706107</v>
      </c>
      <c r="CL58" s="32">
        <f ca="1">CORREL(OFFSET(Historical_Data_Start,date_start_row,$B58,date_rows,1),OFFSET(Historical_Data_Start,date_start_row,Calculations!CL$40,date_rows,1))</f>
        <v>-3.9275347465272871E-2</v>
      </c>
      <c r="CM58" s="32">
        <f ca="1">CORREL(OFFSET(Historical_Data_Start,date_start_row,$B58,date_rows,1),OFFSET(Historical_Data_Start,date_start_row,Calculations!CM$40,date_rows,1))</f>
        <v>0.18209536980774493</v>
      </c>
      <c r="CN58" s="32">
        <f ca="1">CORREL(OFFSET(Historical_Data_Start,date_start_row,$B58,date_rows,1),OFFSET(Historical_Data_Start,date_start_row,Calculations!CN$40,date_rows,1))</f>
        <v>0.14863872668427167</v>
      </c>
      <c r="CO58" s="32">
        <f ca="1">CORREL(OFFSET(Historical_Data_Start,date_start_row,$B58,date_rows,1),OFFSET(Historical_Data_Start,date_start_row,Calculations!CO$40,date_rows,1))</f>
        <v>0.26332265707302038</v>
      </c>
      <c r="CP58" s="32">
        <f ca="1">CORREL(OFFSET(Historical_Data_Start,date_start_row,$B58,date_rows,1),OFFSET(Historical_Data_Start,date_start_row,Calculations!CP$40,date_rows,1))</f>
        <v>0.3024348540300566</v>
      </c>
      <c r="CQ58" s="32">
        <f ca="1">CORREL(OFFSET(Historical_Data_Start,date_start_row,$B58,date_rows,1),OFFSET(Historical_Data_Start,date_start_row,Calculations!CQ$40,date_rows,1))</f>
        <v>0.19859609073469783</v>
      </c>
      <c r="CR58" s="32">
        <f ca="1">CORREL(OFFSET(Historical_Data_Start,date_start_row,$B58,date_rows,1),OFFSET(Historical_Data_Start,date_start_row,Calculations!CR$40,date_rows,1))</f>
        <v>0.38124270775428726</v>
      </c>
      <c r="CS58" s="32">
        <f ca="1">CORREL(OFFSET(Historical_Data_Start,date_start_row,$B58,date_rows,1),OFFSET(Historical_Data_Start,date_start_row,Calculations!CS$40,date_rows,1))</f>
        <v>5.5842863550716708E-2</v>
      </c>
      <c r="CT58" s="32">
        <f ca="1">CORREL(OFFSET(Historical_Data_Start,date_start_row,$B58,date_rows,1),OFFSET(Historical_Data_Start,date_start_row,Calculations!CT$40,date_rows,1))</f>
        <v>-0.2754024647114377</v>
      </c>
      <c r="CU58" s="32">
        <f ca="1">CORREL(OFFSET(Historical_Data_Start,date_start_row,$B58,date_rows,1),OFFSET(Historical_Data_Start,date_start_row,Calculations!CU$40,date_rows,1))</f>
        <v>-0.278650474074076</v>
      </c>
      <c r="CV58" s="32">
        <f ca="1">CORREL(OFFSET(Historical_Data_Start,date_start_row,$B58,date_rows,1),OFFSET(Historical_Data_Start,date_start_row,Calculations!CV$40,date_rows,1))</f>
        <v>-0.22864780647118707</v>
      </c>
      <c r="CW58" s="32">
        <f ca="1">CORREL(OFFSET(Historical_Data_Start,date_start_row,$B58,date_rows,1),OFFSET(Historical_Data_Start,date_start_row,Calculations!CW$40,date_rows,1))</f>
        <v>-0.55237219931934245</v>
      </c>
      <c r="CX58" s="32">
        <f ca="1">CORREL(OFFSET(Historical_Data_Start,date_start_row,$B58,date_rows,1),OFFSET(Historical_Data_Start,date_start_row,Calculations!CX$40,date_rows,1))</f>
        <v>-0.47375188965271048</v>
      </c>
      <c r="CY58" s="32">
        <f ca="1">CORREL(OFFSET(Historical_Data_Start,date_start_row,$B58,date_rows,1),OFFSET(Historical_Data_Start,date_start_row,Calculations!CY$40,date_rows,1))</f>
        <v>-0.43760575649719013</v>
      </c>
      <c r="CZ58" s="32">
        <f ca="1">CORREL(OFFSET(Historical_Data_Start,date_start_row,$B58,date_rows,1),OFFSET(Historical_Data_Start,date_start_row,Calculations!CZ$40,date_rows,1))</f>
        <v>-0.41311951920582551</v>
      </c>
      <c r="DA58" s="32">
        <f ca="1">CORREL(OFFSET(Historical_Data_Start,date_start_row,$B58,date_rows,1),OFFSET(Historical_Data_Start,date_start_row,Calculations!DA$40,date_rows,1))</f>
        <v>-0.72685620544194918</v>
      </c>
      <c r="DB58" s="32">
        <f ca="1">CORREL(OFFSET(Historical_Data_Start,date_start_row,$B58,date_rows,1),OFFSET(Historical_Data_Start,date_start_row,Calculations!DB$40,date_rows,1))</f>
        <v>-0.55052727150442116</v>
      </c>
      <c r="DC58" s="32">
        <f ca="1">CORREL(OFFSET(Historical_Data_Start,date_start_row,$B58,date_rows,1),OFFSET(Historical_Data_Start,date_start_row,Calculations!DC$40,date_rows,1))</f>
        <v>-0.97353931964622831</v>
      </c>
      <c r="DD58" s="32">
        <f ca="1">CORREL(OFFSET(Historical_Data_Start,date_start_row,$B58,date_rows,1),OFFSET(Historical_Data_Start,date_start_row,Calculations!DD$40,date_rows,1))</f>
        <v>-0.38983869777678865</v>
      </c>
      <c r="DE58" s="32">
        <f ca="1">CORREL(OFFSET(Historical_Data_Start,date_start_row,$B58,date_rows,1),OFFSET(Historical_Data_Start,date_start_row,Calculations!DE$40,date_rows,1))</f>
        <v>-0.33743268366272133</v>
      </c>
      <c r="DF58" s="32">
        <f ca="1">CORREL(OFFSET(Historical_Data_Start,date_start_row,$B58,date_rows,1),OFFSET(Historical_Data_Start,date_start_row,Calculations!DF$40,date_rows,1))</f>
        <v>-0.32851649747213391</v>
      </c>
      <c r="DG58" s="32">
        <f ca="1">CORREL(OFFSET(Historical_Data_Start,date_start_row,$B58,date_rows,1),OFFSET(Historical_Data_Start,date_start_row,Calculations!DG$40,date_rows,1))</f>
        <v>-0.30477525535352229</v>
      </c>
      <c r="DH58" s="33">
        <f ca="1">CORREL(OFFSET(Historical_Data_Start,date_start_row,$B58,date_rows,1),OFFSET(Historical_Data_Start,date_start_row,Calculations!DH$40,date_rows,1))</f>
        <v>-0.14140924522648579</v>
      </c>
      <c r="DI58" s="2">
        <f t="shared" si="71"/>
        <v>17</v>
      </c>
      <c r="DJ58" s="43">
        <f t="shared" ca="1" si="65"/>
        <v>-7.8539674598782571E-5</v>
      </c>
      <c r="DK58" s="44">
        <f t="shared" ca="1" si="12"/>
        <v>2.2944016595775863E-3</v>
      </c>
      <c r="DL58" s="44">
        <f t="shared" ca="1" si="13"/>
        <v>3.2105964963802685E-3</v>
      </c>
      <c r="DM58" s="44">
        <f t="shared" ca="1" si="14"/>
        <v>3.3217101427512807E-3</v>
      </c>
      <c r="DN58" s="44">
        <f t="shared" ca="1" si="15"/>
        <v>5.5845462806520807E-3</v>
      </c>
      <c r="DO58" s="44">
        <f t="shared" ca="1" si="16"/>
        <v>2.7912201649740159E-3</v>
      </c>
      <c r="DP58" s="44">
        <f t="shared" ca="1" si="17"/>
        <v>5.5648013141530416E-3</v>
      </c>
      <c r="DQ58" s="44">
        <f t="shared" ca="1" si="18"/>
        <v>2.9553060758541008E-3</v>
      </c>
      <c r="DR58" s="44">
        <f t="shared" ca="1" si="19"/>
        <v>5.5680743008152313E-3</v>
      </c>
      <c r="DS58" s="44">
        <f t="shared" ca="1" si="20"/>
        <v>1.8722701734926058E-3</v>
      </c>
      <c r="DT58" s="44">
        <f t="shared" ca="1" si="21"/>
        <v>1.9790847877126282E-2</v>
      </c>
      <c r="DU58" s="44">
        <f t="shared" ca="1" si="22"/>
        <v>2.1135972032543807E-2</v>
      </c>
      <c r="DV58" s="44">
        <f t="shared" ca="1" si="23"/>
        <v>1.5753807233898843E-2</v>
      </c>
      <c r="DW58" s="44">
        <f t="shared" ca="1" si="24"/>
        <v>2.0098866173659701E-2</v>
      </c>
      <c r="DX58" s="44">
        <f t="shared" ca="1" si="25"/>
        <v>3.241339559444692E-2</v>
      </c>
      <c r="DY58" s="44">
        <f t="shared" ca="1" si="26"/>
        <v>2.3573220980405232E-2</v>
      </c>
      <c r="DZ58" s="44">
        <f t="shared" ca="1" si="27"/>
        <v>4.0000000000000015E-2</v>
      </c>
      <c r="EA58" s="44">
        <f t="shared" ca="1" si="28"/>
        <v>1.8734818881707239E-2</v>
      </c>
      <c r="EB58" s="44">
        <f t="shared" ca="1" si="29"/>
        <v>1.8431281582884047E-2</v>
      </c>
      <c r="EC58" s="44">
        <f t="shared" ca="1" si="30"/>
        <v>2.0338614761683613E-2</v>
      </c>
      <c r="ED58" s="44">
        <f t="shared" ca="1" si="31"/>
        <v>1.796165369331313E-2</v>
      </c>
      <c r="EE58" s="44">
        <f t="shared" ca="1" si="32"/>
        <v>-2.7910357106122251E-4</v>
      </c>
      <c r="EF58" s="44">
        <f t="shared" ca="1" si="33"/>
        <v>-2.0739293292195834E-3</v>
      </c>
      <c r="EG58" s="44">
        <f t="shared" ca="1" si="34"/>
        <v>1.3826813893183226E-2</v>
      </c>
      <c r="EH58" s="44">
        <f t="shared" ca="1" si="35"/>
        <v>4.4823906497808491E-3</v>
      </c>
      <c r="EI58" s="44">
        <f t="shared" ca="1" si="36"/>
        <v>1.4914044587165177E-3</v>
      </c>
      <c r="EJ58" s="45">
        <f t="shared" ca="1" si="37"/>
        <v>4.3079234698270991E-3</v>
      </c>
      <c r="EK58" s="44">
        <f t="shared" ca="1" si="38"/>
        <v>-7.8550694930545737E-5</v>
      </c>
      <c r="EL58" s="44">
        <f t="shared" ca="1" si="39"/>
        <v>1.6752774022312533E-3</v>
      </c>
      <c r="EM58" s="44">
        <f t="shared" ca="1" si="40"/>
        <v>2.4079473722852015E-3</v>
      </c>
      <c r="EN58" s="44">
        <f t="shared" ca="1" si="41"/>
        <v>2.1592457879987667E-3</v>
      </c>
      <c r="EO58" s="44">
        <f t="shared" ca="1" si="42"/>
        <v>6.8955146718852906E-3</v>
      </c>
      <c r="EP58" s="44">
        <f t="shared" ca="1" si="43"/>
        <v>1.1002223426702259E-2</v>
      </c>
      <c r="EQ58" s="44">
        <f t="shared" ca="1" si="44"/>
        <v>1.8147152889104075E-2</v>
      </c>
      <c r="ER58" s="44">
        <f t="shared" ca="1" si="45"/>
        <v>3.5739432672458695E-3</v>
      </c>
      <c r="ES58" s="44">
        <f t="shared" ca="1" si="46"/>
        <v>-3.4700710553641151E-3</v>
      </c>
      <c r="ET58" s="44">
        <f t="shared" ca="1" si="47"/>
        <v>-2.7865047407407604E-3</v>
      </c>
      <c r="EU58" s="44">
        <f t="shared" ca="1" si="48"/>
        <v>-3.2010692905966196E-3</v>
      </c>
      <c r="EV58" s="44">
        <f t="shared" ca="1" si="49"/>
        <v>-1.7675910378218959E-2</v>
      </c>
      <c r="EW58" s="44">
        <f t="shared" ca="1" si="50"/>
        <v>-1.8950075586108422E-2</v>
      </c>
      <c r="EX58" s="44">
        <f t="shared" ca="1" si="51"/>
        <v>-1.5753807233898843E-2</v>
      </c>
      <c r="EY58" s="44">
        <f t="shared" ca="1" si="52"/>
        <v>-1.9829736921879625E-2</v>
      </c>
      <c r="EZ58" s="44">
        <f t="shared" ca="1" si="53"/>
        <v>-3.0527960628561869E-2</v>
      </c>
      <c r="FA58" s="44">
        <f t="shared" ca="1" si="54"/>
        <v>-2.202109086017685E-2</v>
      </c>
      <c r="FB58" s="44">
        <f t="shared" ca="1" si="55"/>
        <v>-3.8941572785849136E-2</v>
      </c>
      <c r="FC58" s="44">
        <f t="shared" ca="1" si="56"/>
        <v>-1.7152902702178702E-2</v>
      </c>
      <c r="FD58" s="44">
        <f t="shared" ca="1" si="57"/>
        <v>-1.754649955046151E-2</v>
      </c>
      <c r="FE58" s="44">
        <f t="shared" ca="1" si="58"/>
        <v>-1.9710989848328034E-2</v>
      </c>
      <c r="FF58" s="44">
        <f t="shared" ca="1" si="59"/>
        <v>-1.7067414299797249E-2</v>
      </c>
      <c r="FG58" s="45">
        <f t="shared" ca="1" si="60"/>
        <v>-1.4140924522648579E-4</v>
      </c>
      <c r="FL58" s="111">
        <v>0</v>
      </c>
      <c r="FM58" s="111">
        <v>0</v>
      </c>
      <c r="FN58" s="111">
        <v>0</v>
      </c>
      <c r="FO58" s="111">
        <v>0</v>
      </c>
      <c r="FP58" s="111">
        <v>0</v>
      </c>
      <c r="FQ58" s="111">
        <v>1</v>
      </c>
    </row>
    <row r="59" spans="1:173" x14ac:dyDescent="0.2">
      <c r="A59" s="51" t="str">
        <f t="shared" ref="A59" ca="1" si="130">INDEX(Historical_Data_Names,3,B59)</f>
        <v>A</v>
      </c>
      <c r="B59" s="57">
        <f t="shared" si="67"/>
        <v>18</v>
      </c>
      <c r="C59" s="11" t="str">
        <f t="shared" ref="C59" ca="1" si="131">INDEX(Historical_Data_Names,2,B59)</f>
        <v>Austr Equ</v>
      </c>
      <c r="D59" s="58"/>
      <c r="E59" s="59">
        <f t="shared" ref="E59" ca="1" si="132">AVERAGE(OFFSET(Historical_Data_Start,date_start_row,$B59,date_rows,1))*4</f>
        <v>0.12291393148456159</v>
      </c>
      <c r="F59" s="59">
        <f t="array" aca="1" ref="F59" ca="1">PRODUCT(1+OFFSET(Historical_Data_Start,date_start_row,$B59,date_rows,1))^(4/date_rows)-1</f>
        <v>0.10597241001499302</v>
      </c>
      <c r="G59" s="59">
        <f t="shared" ref="G59" ca="1" si="133">STDEV(OFFSET(Historical_Data_Start,date_start_row,$B59,date_rows,1))*2</f>
        <v>0.20364050884133952</v>
      </c>
      <c r="H59" s="6"/>
      <c r="I59" s="60">
        <v>0.105</v>
      </c>
      <c r="J59" s="60">
        <v>0.22</v>
      </c>
      <c r="K59" s="60"/>
      <c r="L59" s="60">
        <v>7.000000000000001E-4</v>
      </c>
      <c r="M59" s="6"/>
      <c r="N59" s="82">
        <v>1.9997451910081393E-7</v>
      </c>
      <c r="O59" s="6"/>
      <c r="P59" s="53">
        <v>0</v>
      </c>
      <c r="Q59" s="85">
        <v>1</v>
      </c>
      <c r="R59" s="53">
        <v>5.722450526091194E-2</v>
      </c>
      <c r="S59" s="226"/>
      <c r="T59" s="410">
        <v>0</v>
      </c>
      <c r="U59" s="410">
        <v>0</v>
      </c>
      <c r="V59" s="410">
        <v>0</v>
      </c>
      <c r="W59" s="410">
        <v>0</v>
      </c>
      <c r="X59" s="410">
        <v>0</v>
      </c>
      <c r="Y59" s="410">
        <v>1</v>
      </c>
      <c r="AB59" s="66">
        <v>2.861225263045597E-2</v>
      </c>
      <c r="AC59" s="89">
        <v>2</v>
      </c>
      <c r="AD59" s="90">
        <f t="shared" si="113"/>
        <v>5.722450526091194E-2</v>
      </c>
      <c r="AE59" s="62">
        <f t="shared" si="108"/>
        <v>3.7603473312151443E-6</v>
      </c>
      <c r="AF59" s="101">
        <f>(AD59-1)*N59+AD59*($N$52+$N$53+$N$54+$N$55+$N$56+$N$57+$N$58+$N$60+$N$61+$N$62)</f>
        <v>3.0429877718199986E-3</v>
      </c>
      <c r="AH59" s="95"/>
      <c r="AI59" s="117">
        <v>0</v>
      </c>
      <c r="AJ59" s="117">
        <v>0</v>
      </c>
      <c r="AK59" s="117">
        <v>0</v>
      </c>
      <c r="AL59" s="117">
        <v>0</v>
      </c>
      <c r="AM59" s="117">
        <v>0</v>
      </c>
      <c r="AN59" s="117">
        <v>0</v>
      </c>
      <c r="AO59" s="117">
        <v>0</v>
      </c>
      <c r="AP59" s="117">
        <v>1</v>
      </c>
      <c r="AQ59" s="117">
        <v>0</v>
      </c>
      <c r="AR59" s="117">
        <v>0</v>
      </c>
      <c r="AS59" s="117">
        <v>0</v>
      </c>
      <c r="AU59" s="117">
        <v>1</v>
      </c>
      <c r="AV59" s="117">
        <v>1</v>
      </c>
      <c r="AW59" s="117">
        <v>1</v>
      </c>
      <c r="AX59" s="117">
        <v>1</v>
      </c>
      <c r="AY59" s="117">
        <v>1</v>
      </c>
      <c r="AZ59" s="117">
        <v>1</v>
      </c>
      <c r="BA59" s="117">
        <v>1</v>
      </c>
      <c r="BB59" s="117">
        <v>1</v>
      </c>
      <c r="BC59" s="117">
        <v>1</v>
      </c>
      <c r="BD59" s="117">
        <v>1</v>
      </c>
      <c r="BE59" s="117">
        <v>1</v>
      </c>
      <c r="BF59" s="4"/>
      <c r="BG59" s="51" t="str">
        <f t="shared" ca="1" si="9"/>
        <v>Austr Equ</v>
      </c>
      <c r="BH59" s="38">
        <f t="shared" si="10"/>
        <v>0.105</v>
      </c>
      <c r="BI59" s="38">
        <f t="shared" si="11"/>
        <v>0.22</v>
      </c>
      <c r="BK59" s="31">
        <f ca="1">CORREL(OFFSET(Historical_Data_Start,date_start_row,$B59,date_rows,1),OFFSET(Historical_Data_Start,date_start_row,Calculations!BK$40,date_rows,1))</f>
        <v>-5.2838858827799276E-2</v>
      </c>
      <c r="BL59" s="32">
        <f ca="1">CORREL(OFFSET(Historical_Data_Start,date_start_row,$B59,date_rows,1),OFFSET(Historical_Data_Start,date_start_row,Calculations!BL$40,date_rows,1))</f>
        <v>-0.12999709636735912</v>
      </c>
      <c r="BM59" s="32">
        <f ca="1">CORREL(OFFSET(Historical_Data_Start,date_start_row,$B59,date_rows,1),OFFSET(Historical_Data_Start,date_start_row,Calculations!BM$40,date_rows,1))</f>
        <v>-0.15947508704875688</v>
      </c>
      <c r="BN59" s="32">
        <f ca="1">CORREL(OFFSET(Historical_Data_Start,date_start_row,$B59,date_rows,1),OFFSET(Historical_Data_Start,date_start_row,Calculations!BN$40,date_rows,1))</f>
        <v>0.10121390419439345</v>
      </c>
      <c r="BO59" s="32">
        <f ca="1">CORREL(OFFSET(Historical_Data_Start,date_start_row,$B59,date_rows,1),OFFSET(Historical_Data_Start,date_start_row,Calculations!BO$40,date_rows,1))</f>
        <v>9.5933811113902659E-2</v>
      </c>
      <c r="BP59" s="32">
        <f ca="1">CORREL(OFFSET(Historical_Data_Start,date_start_row,$B59,date_rows,1),OFFSET(Historical_Data_Start,date_start_row,Calculations!BP$40,date_rows,1))</f>
        <v>8.6264536689943695E-3</v>
      </c>
      <c r="BQ59" s="32">
        <f ca="1">CORREL(OFFSET(Historical_Data_Start,date_start_row,$B59,date_rows,1),OFFSET(Historical_Data_Start,date_start_row,Calculations!BQ$40,date_rows,1))</f>
        <v>3.7768941740659277E-2</v>
      </c>
      <c r="BR59" s="32">
        <f ca="1">CORREL(OFFSET(Historical_Data_Start,date_start_row,$B59,date_rows,1),OFFSET(Historical_Data_Start,date_start_row,Calculations!BR$40,date_rows,1))</f>
        <v>0.11512671075981144</v>
      </c>
      <c r="BS59" s="32">
        <f ca="1">CORREL(OFFSET(Historical_Data_Start,date_start_row,$B59,date_rows,1),OFFSET(Historical_Data_Start,date_start_row,Calculations!BS$40,date_rows,1))</f>
        <v>0.15487705391077564</v>
      </c>
      <c r="BT59" s="32">
        <f ca="1">CORREL(OFFSET(Historical_Data_Start,date_start_row,$B59,date_rows,1),OFFSET(Historical_Data_Start,date_start_row,Calculations!BT$40,date_rows,1))</f>
        <v>-4.9451930576236286E-2</v>
      </c>
      <c r="BU59" s="32">
        <f ca="1">CORREL(OFFSET(Historical_Data_Start,date_start_row,$B59,date_rows,1),OFFSET(Historical_Data_Start,date_start_row,Calculations!BU$40,date_rows,1))</f>
        <v>0.53536190572175635</v>
      </c>
      <c r="BV59" s="32">
        <f ca="1">CORREL(OFFSET(Historical_Data_Start,date_start_row,$B59,date_rows,1),OFFSET(Historical_Data_Start,date_start_row,Calculations!BV$40,date_rows,1))</f>
        <v>0.54159429886606103</v>
      </c>
      <c r="BW59" s="32">
        <f ca="1">CORREL(OFFSET(Historical_Data_Start,date_start_row,$B59,date_rows,1),OFFSET(Historical_Data_Start,date_start_row,Calculations!BW$40,date_rows,1))</f>
        <v>0.61412596171758516</v>
      </c>
      <c r="BX59" s="32">
        <f ca="1">CORREL(OFFSET(Historical_Data_Start,date_start_row,$B59,date_rows,1),OFFSET(Historical_Data_Start,date_start_row,Calculations!BX$40,date_rows,1))</f>
        <v>0.34322468233680509</v>
      </c>
      <c r="BY59" s="32">
        <f ca="1">CORREL(OFFSET(Historical_Data_Start,date_start_row,$B59,date_rows,1),OFFSET(Historical_Data_Start,date_start_row,Calculations!BY$40,date_rows,1))</f>
        <v>0.53319020825490693</v>
      </c>
      <c r="BZ59" s="32">
        <f ca="1">CORREL(OFFSET(Historical_Data_Start,date_start_row,$B59,date_rows,1),OFFSET(Historical_Data_Start,date_start_row,Calculations!BZ$40,date_rows,1))</f>
        <v>0.61315461063393739</v>
      </c>
      <c r="CA59" s="32">
        <f ca="1">CORREL(OFFSET(Historical_Data_Start,date_start_row,$B59,date_rows,1),OFFSET(Historical_Data_Start,date_start_row,Calculations!CA$40,date_rows,1))</f>
        <v>0.42579133822061899</v>
      </c>
      <c r="CB59" s="32">
        <f ca="1">CORREL(OFFSET(Historical_Data_Start,date_start_row,$B59,date_rows,1),OFFSET(Historical_Data_Start,date_start_row,Calculations!CB$40,date_rows,1))</f>
        <v>1.0000000000000002</v>
      </c>
      <c r="CC59" s="32">
        <f ca="1">CORREL(OFFSET(Historical_Data_Start,date_start_row,$B59,date_rows,1),OFFSET(Historical_Data_Start,date_start_row,Calculations!CC$40,date_rows,1))</f>
        <v>0.6167321847257109</v>
      </c>
      <c r="CD59" s="32">
        <f ca="1">CORREL(OFFSET(Historical_Data_Start,date_start_row,$B59,date_rows,1),OFFSET(Historical_Data_Start,date_start_row,Calculations!CD$40,date_rows,1))</f>
        <v>0.58782387402280112</v>
      </c>
      <c r="CE59" s="32">
        <f ca="1">CORREL(OFFSET(Historical_Data_Start,date_start_row,$B59,date_rows,1),OFFSET(Historical_Data_Start,date_start_row,Calculations!CE$40,date_rows,1))</f>
        <v>0.59682409519037871</v>
      </c>
      <c r="CF59" s="32">
        <f ca="1">CORREL(OFFSET(Historical_Data_Start,date_start_row,$B59,date_rows,1),OFFSET(Historical_Data_Start,date_start_row,Calculations!CF$40,date_rows,1))</f>
        <v>1.9122068455479622E-3</v>
      </c>
      <c r="CG59" s="32">
        <f ca="1">CORREL(OFFSET(Historical_Data_Start,date_start_row,$B59,date_rows,1),OFFSET(Historical_Data_Start,date_start_row,Calculations!CG$40,date_rows,1))</f>
        <v>-0.13787528926908157</v>
      </c>
      <c r="CH59" s="32">
        <f ca="1">CORREL(OFFSET(Historical_Data_Start,date_start_row,$B59,date_rows,1),OFFSET(Historical_Data_Start,date_start_row,Calculations!CH$40,date_rows,1))</f>
        <v>0.42782014148205416</v>
      </c>
      <c r="CI59" s="32">
        <f ca="1">CORREL(OFFSET(Historical_Data_Start,date_start_row,$B59,date_rows,1),OFFSET(Historical_Data_Start,date_start_row,Calculations!CI$40,date_rows,1))</f>
        <v>0.46159439090052229</v>
      </c>
      <c r="CJ59" s="32">
        <f ca="1">CORREL(OFFSET(Historical_Data_Start,date_start_row,$B59,date_rows,1),OFFSET(Historical_Data_Start,date_start_row,Calculations!CJ$40,date_rows,1))</f>
        <v>-4.3194846762264913E-2</v>
      </c>
      <c r="CK59" s="32">
        <f ca="1">CORREL(OFFSET(Historical_Data_Start,date_start_row,$B59,date_rows,1),OFFSET(Historical_Data_Start,date_start_row,Calculations!CK$40,date_rows,1))</f>
        <v>0.11509386839881695</v>
      </c>
      <c r="CL59" s="32">
        <f ca="1">CORREL(OFFSET(Historical_Data_Start,date_start_row,$B59,date_rows,1),OFFSET(Historical_Data_Start,date_start_row,Calculations!CL$40,date_rows,1))</f>
        <v>-5.2853847707470793E-2</v>
      </c>
      <c r="CM59" s="32">
        <f ca="1">CORREL(OFFSET(Historical_Data_Start,date_start_row,$B59,date_rows,1),OFFSET(Historical_Data_Start,date_start_row,Calculations!CM$40,date_rows,1))</f>
        <v>-0.12999709636735912</v>
      </c>
      <c r="CN59" s="32">
        <f ca="1">CORREL(OFFSET(Historical_Data_Start,date_start_row,$B59,date_rows,1),OFFSET(Historical_Data_Start,date_start_row,Calculations!CN$40,date_rows,1))</f>
        <v>-0.15947508704875688</v>
      </c>
      <c r="CO59" s="32">
        <f ca="1">CORREL(OFFSET(Historical_Data_Start,date_start_row,$B59,date_rows,1),OFFSET(Historical_Data_Start,date_start_row,Calculations!CO$40,date_rows,1))</f>
        <v>8.6264536689943695E-3</v>
      </c>
      <c r="CP59" s="32">
        <f ca="1">CORREL(OFFSET(Historical_Data_Start,date_start_row,$B59,date_rows,1),OFFSET(Historical_Data_Start,date_start_row,Calculations!CP$40,date_rows,1))</f>
        <v>3.7768941740659277E-2</v>
      </c>
      <c r="CQ59" s="32">
        <f ca="1">CORREL(OFFSET(Historical_Data_Start,date_start_row,$B59,date_rows,1),OFFSET(Historical_Data_Start,date_start_row,Calculations!CQ$40,date_rows,1))</f>
        <v>-0.15416732052445337</v>
      </c>
      <c r="CR59" s="32">
        <f ca="1">CORREL(OFFSET(Historical_Data_Start,date_start_row,$B59,date_rows,1),OFFSET(Historical_Data_Start,date_start_row,Calculations!CR$40,date_rows,1))</f>
        <v>3.8889110094528605E-2</v>
      </c>
      <c r="CS59" s="32">
        <f ca="1">CORREL(OFFSET(Historical_Data_Start,date_start_row,$B59,date_rows,1),OFFSET(Historical_Data_Start,date_start_row,Calculations!CS$40,date_rows,1))</f>
        <v>-5.7630585987841543E-2</v>
      </c>
      <c r="CT59" s="32">
        <f ca="1">CORREL(OFFSET(Historical_Data_Start,date_start_row,$B59,date_rows,1),OFFSET(Historical_Data_Start,date_start_row,Calculations!CT$40,date_rows,1))</f>
        <v>-9.4089757712323668E-2</v>
      </c>
      <c r="CU59" s="32">
        <f ca="1">CORREL(OFFSET(Historical_Data_Start,date_start_row,$B59,date_rows,1),OFFSET(Historical_Data_Start,date_start_row,Calculations!CU$40,date_rows,1))</f>
        <v>-9.4936707460638134E-2</v>
      </c>
      <c r="CV59" s="32">
        <f ca="1">CORREL(OFFSET(Historical_Data_Start,date_start_row,$B59,date_rows,1),OFFSET(Historical_Data_Start,date_start_row,Calculations!CV$40,date_rows,1))</f>
        <v>6.9108952652530933E-2</v>
      </c>
      <c r="CW59" s="32">
        <f ca="1">CORREL(OFFSET(Historical_Data_Start,date_start_row,$B59,date_rows,1),OFFSET(Historical_Data_Start,date_start_row,Calculations!CW$40,date_rows,1))</f>
        <v>-0.6135465698159881</v>
      </c>
      <c r="CX59" s="32">
        <f ca="1">CORREL(OFFSET(Historical_Data_Start,date_start_row,$B59,date_rows,1),OFFSET(Historical_Data_Start,date_start_row,Calculations!CX$40,date_rows,1))</f>
        <v>-0.593555843669068</v>
      </c>
      <c r="CY59" s="32">
        <f ca="1">CORREL(OFFSET(Historical_Data_Start,date_start_row,$B59,date_rows,1),OFFSET(Historical_Data_Start,date_start_row,Calculations!CY$40,date_rows,1))</f>
        <v>-0.61412596171758516</v>
      </c>
      <c r="CZ59" s="32">
        <f ca="1">CORREL(OFFSET(Historical_Data_Start,date_start_row,$B59,date_rows,1),OFFSET(Historical_Data_Start,date_start_row,Calculations!CZ$40,date_rows,1))</f>
        <v>-0.39564093943981943</v>
      </c>
      <c r="DA59" s="32">
        <f ca="1">CORREL(OFFSET(Historical_Data_Start,date_start_row,$B59,date_rows,1),OFFSET(Historical_Data_Start,date_start_row,Calculations!DA$40,date_rows,1))</f>
        <v>-0.57066312904843719</v>
      </c>
      <c r="DB59" s="32">
        <f ca="1">CORREL(OFFSET(Historical_Data_Start,date_start_row,$B59,date_rows,1),OFFSET(Historical_Data_Start,date_start_row,Calculations!DB$40,date_rows,1))</f>
        <v>-0.6444888579731185</v>
      </c>
      <c r="DC59" s="32">
        <f ca="1">CORREL(OFFSET(Historical_Data_Start,date_start_row,$B59,date_rows,1),OFFSET(Historical_Data_Start,date_start_row,Calculations!DC$40,date_rows,1))</f>
        <v>-0.49762705315900613</v>
      </c>
      <c r="DD59" s="32">
        <f ca="1">CORREL(OFFSET(Historical_Data_Start,date_start_row,$B59,date_rows,1),OFFSET(Historical_Data_Start,date_start_row,Calculations!DD$40,date_rows,1))</f>
        <v>-0.98397887793608252</v>
      </c>
      <c r="DE59" s="32">
        <f ca="1">CORREL(OFFSET(Historical_Data_Start,date_start_row,$B59,date_rows,1),OFFSET(Historical_Data_Start,date_start_row,Calculations!DE$40,date_rows,1))</f>
        <v>-0.63440079829796259</v>
      </c>
      <c r="DF59" s="32">
        <f ca="1">CORREL(OFFSET(Historical_Data_Start,date_start_row,$B59,date_rows,1),OFFSET(Historical_Data_Start,date_start_row,Calculations!DF$40,date_rows,1))</f>
        <v>-0.61106401497431062</v>
      </c>
      <c r="DG59" s="32">
        <f ca="1">CORREL(OFFSET(Historical_Data_Start,date_start_row,$B59,date_rows,1),OFFSET(Historical_Data_Start,date_start_row,Calculations!DG$40,date_rows,1))</f>
        <v>-0.61507964553993044</v>
      </c>
      <c r="DH59" s="33">
        <f ca="1">CORREL(OFFSET(Historical_Data_Start,date_start_row,$B59,date_rows,1),OFFSET(Historical_Data_Start,date_start_row,Calculations!DH$40,date_rows,1))</f>
        <v>-0.14361028855941049</v>
      </c>
      <c r="DI59" s="2">
        <f t="shared" si="71"/>
        <v>18</v>
      </c>
      <c r="DJ59" s="43">
        <f t="shared" ca="1" si="65"/>
        <v>-1.1624548942115841E-4</v>
      </c>
      <c r="DK59" s="44">
        <f t="shared" ca="1" si="12"/>
        <v>-1.8017597556515975E-3</v>
      </c>
      <c r="DL59" s="44">
        <f t="shared" ca="1" si="13"/>
        <v>-3.7891280682784637E-3</v>
      </c>
      <c r="DM59" s="44">
        <f t="shared" ca="1" si="14"/>
        <v>1.2914894175204603E-3</v>
      </c>
      <c r="DN59" s="44">
        <f t="shared" ca="1" si="15"/>
        <v>2.0683329676157414E-3</v>
      </c>
      <c r="DO59" s="44">
        <f t="shared" ca="1" si="16"/>
        <v>1.0058444978047435E-4</v>
      </c>
      <c r="DP59" s="44">
        <f t="shared" ca="1" si="17"/>
        <v>7.6444338083094378E-4</v>
      </c>
      <c r="DQ59" s="44">
        <f t="shared" ca="1" si="18"/>
        <v>1.2410659419907673E-3</v>
      </c>
      <c r="DR59" s="44">
        <f t="shared" ca="1" si="19"/>
        <v>2.8280550044107633E-3</v>
      </c>
      <c r="DS59" s="44">
        <f t="shared" ca="1" si="20"/>
        <v>-7.6155973087403889E-4</v>
      </c>
      <c r="DT59" s="44">
        <f t="shared" ca="1" si="21"/>
        <v>1.8844739081405826E-2</v>
      </c>
      <c r="DU59" s="44">
        <f t="shared" ca="1" si="22"/>
        <v>2.3830149150106689E-2</v>
      </c>
      <c r="DV59" s="44">
        <f t="shared" ca="1" si="23"/>
        <v>2.4319388084016371E-2</v>
      </c>
      <c r="DW59" s="44">
        <f t="shared" ca="1" si="24"/>
        <v>1.812226322738331E-2</v>
      </c>
      <c r="DX59" s="44">
        <f t="shared" ca="1" si="25"/>
        <v>2.46333876213767E-2</v>
      </c>
      <c r="DY59" s="44">
        <f t="shared" ca="1" si="26"/>
        <v>2.6978802867893246E-2</v>
      </c>
      <c r="DZ59" s="44">
        <f t="shared" ca="1" si="27"/>
        <v>1.8734818881707239E-2</v>
      </c>
      <c r="EA59" s="44">
        <f t="shared" ca="1" si="28"/>
        <v>4.8400000000000012E-2</v>
      </c>
      <c r="EB59" s="44">
        <f t="shared" ca="1" si="29"/>
        <v>3.5277080966310666E-2</v>
      </c>
      <c r="EC59" s="44">
        <f t="shared" ca="1" si="30"/>
        <v>3.8796375685504876E-2</v>
      </c>
      <c r="ED59" s="44">
        <f t="shared" ca="1" si="31"/>
        <v>3.6764364263727332E-2</v>
      </c>
      <c r="EE59" s="44">
        <f t="shared" ca="1" si="32"/>
        <v>3.786169554184965E-5</v>
      </c>
      <c r="EF59" s="44">
        <f t="shared" ca="1" si="33"/>
        <v>-2.7299307275278151E-3</v>
      </c>
      <c r="EG59" s="44">
        <f t="shared" ca="1" si="34"/>
        <v>1.6000473291428827E-2</v>
      </c>
      <c r="EH59" s="44">
        <f t="shared" ca="1" si="35"/>
        <v>2.4372183839547576E-2</v>
      </c>
      <c r="EI59" s="44">
        <f t="shared" ca="1" si="36"/>
        <v>-1.1403439545237936E-3</v>
      </c>
      <c r="EJ59" s="45">
        <f t="shared" ca="1" si="37"/>
        <v>2.2788585942965754E-3</v>
      </c>
      <c r="EK59" s="44">
        <f t="shared" ca="1" si="38"/>
        <v>-1.1627846495643575E-4</v>
      </c>
      <c r="EL59" s="44">
        <f t="shared" ca="1" si="39"/>
        <v>-1.3155706152376745E-3</v>
      </c>
      <c r="EM59" s="44">
        <f t="shared" ca="1" si="40"/>
        <v>-2.8418460512088474E-3</v>
      </c>
      <c r="EN59" s="44">
        <f t="shared" ca="1" si="41"/>
        <v>7.7810612094329204E-5</v>
      </c>
      <c r="EO59" s="44">
        <f t="shared" ca="1" si="42"/>
        <v>9.4724505885573473E-4</v>
      </c>
      <c r="EP59" s="44">
        <f t="shared" ca="1" si="43"/>
        <v>-9.3949565127601879E-3</v>
      </c>
      <c r="EQ59" s="44">
        <f t="shared" ca="1" si="44"/>
        <v>2.0362338045495179E-3</v>
      </c>
      <c r="ER59" s="44">
        <f t="shared" ca="1" si="45"/>
        <v>-4.0571932535440449E-3</v>
      </c>
      <c r="ES59" s="44">
        <f t="shared" ca="1" si="46"/>
        <v>-1.3040840418928061E-3</v>
      </c>
      <c r="ET59" s="44">
        <f t="shared" ca="1" si="47"/>
        <v>-1.0443037820670195E-3</v>
      </c>
      <c r="EU59" s="44">
        <f t="shared" ca="1" si="48"/>
        <v>1.0642778708489765E-3</v>
      </c>
      <c r="EV59" s="44">
        <f t="shared" ca="1" si="49"/>
        <v>-2.1596839257522784E-2</v>
      </c>
      <c r="EW59" s="44">
        <f t="shared" ca="1" si="50"/>
        <v>-2.6116457121438993E-2</v>
      </c>
      <c r="EX59" s="44">
        <f t="shared" ca="1" si="51"/>
        <v>-2.4319388084016371E-2</v>
      </c>
      <c r="EY59" s="44">
        <f t="shared" ca="1" si="52"/>
        <v>-2.0889841602422465E-2</v>
      </c>
      <c r="EZ59" s="44">
        <f t="shared" ca="1" si="53"/>
        <v>-2.6364636562037799E-2</v>
      </c>
      <c r="FA59" s="44">
        <f t="shared" ca="1" si="54"/>
        <v>-2.8357509750817217E-2</v>
      </c>
      <c r="FB59" s="44">
        <f t="shared" ca="1" si="55"/>
        <v>-2.1895590338996272E-2</v>
      </c>
      <c r="FC59" s="44">
        <f t="shared" ca="1" si="56"/>
        <v>-4.7624577692106394E-2</v>
      </c>
      <c r="FD59" s="44">
        <f t="shared" ca="1" si="57"/>
        <v>-3.6287725662643461E-2</v>
      </c>
      <c r="FE59" s="44">
        <f t="shared" ca="1" si="58"/>
        <v>-4.0330224988304506E-2</v>
      </c>
      <c r="FF59" s="44">
        <f t="shared" ca="1" si="59"/>
        <v>-3.7888906165259723E-2</v>
      </c>
      <c r="FG59" s="45">
        <f t="shared" ca="1" si="60"/>
        <v>-1.5797131741535154E-4</v>
      </c>
      <c r="FL59" s="111">
        <v>0</v>
      </c>
      <c r="FM59" s="111">
        <v>0</v>
      </c>
      <c r="FN59" s="111">
        <v>0</v>
      </c>
      <c r="FO59" s="111">
        <v>0</v>
      </c>
      <c r="FP59" s="111">
        <v>0</v>
      </c>
      <c r="FQ59" s="111">
        <v>1</v>
      </c>
    </row>
    <row r="60" spans="1:173" x14ac:dyDescent="0.2">
      <c r="A60" s="51" t="str">
        <f t="shared" ref="A60" ca="1" si="134">INDEX(Historical_Data_Names,3,B60)</f>
        <v>A</v>
      </c>
      <c r="B60" s="57">
        <f t="shared" si="67"/>
        <v>19</v>
      </c>
      <c r="C60" s="11" t="str">
        <f t="shared" ref="C60" ca="1" si="135">INDEX(Historical_Data_Names,2,B60)</f>
        <v>DevAsia Equ</v>
      </c>
      <c r="D60" s="58"/>
      <c r="E60" s="59">
        <f t="shared" ref="E60" ca="1" si="136">AVERAGE(OFFSET(Historical_Data_Start,date_start_row,$B60,date_rows,1))*4</f>
        <v>0.13200891457905806</v>
      </c>
      <c r="F60" s="59">
        <f t="array" aca="1" ref="F60" ca="1">PRODUCT(1+OFFSET(Historical_Data_Start,date_start_row,$B60,date_rows,1))^(4/date_rows)-1</f>
        <v>0.10433424428837368</v>
      </c>
      <c r="G60" s="59">
        <f t="shared" ref="G60" ca="1" si="137">STDEV(OFFSET(Historical_Data_Start,date_start_row,$B60,date_rows,1))*2</f>
        <v>0.25030671861286313</v>
      </c>
      <c r="H60" s="6"/>
      <c r="I60" s="60">
        <v>0.105</v>
      </c>
      <c r="J60" s="60">
        <v>0.26</v>
      </c>
      <c r="K60" s="60"/>
      <c r="L60" s="60">
        <v>2.9999999999999997E-4</v>
      </c>
      <c r="M60" s="6"/>
      <c r="N60" s="82">
        <v>1.9997451910081393E-7</v>
      </c>
      <c r="O60" s="6"/>
      <c r="P60" s="53">
        <v>0</v>
      </c>
      <c r="Q60" s="85">
        <v>1</v>
      </c>
      <c r="R60" s="53">
        <v>3.1032483561214762E-2</v>
      </c>
      <c r="S60" s="226"/>
      <c r="T60" s="410">
        <v>0</v>
      </c>
      <c r="U60" s="410">
        <v>0</v>
      </c>
      <c r="V60" s="410">
        <v>0</v>
      </c>
      <c r="W60" s="410">
        <v>0</v>
      </c>
      <c r="X60" s="410">
        <v>0</v>
      </c>
      <c r="Y60" s="410">
        <v>1</v>
      </c>
      <c r="AB60" s="66">
        <v>1.5516241780607381E-2</v>
      </c>
      <c r="AC60" s="89">
        <v>2</v>
      </c>
      <c r="AD60" s="90">
        <f t="shared" si="113"/>
        <v>3.1032483561214762E-2</v>
      </c>
      <c r="AE60" s="62">
        <f t="shared" si="108"/>
        <v>3.7603473312151443E-6</v>
      </c>
      <c r="AF60" s="101">
        <f>(AD60-1)*N60+AD60*($N$52+$N$53+$N$54+$N$55+$N$56+$N$57+$N$58+$N$59+$N$61+$N$62)</f>
        <v>1.6501012955639691E-3</v>
      </c>
      <c r="AH60" s="95"/>
      <c r="AI60" s="117">
        <v>0</v>
      </c>
      <c r="AJ60" s="117">
        <v>0</v>
      </c>
      <c r="AK60" s="117">
        <v>0</v>
      </c>
      <c r="AL60" s="117">
        <v>0</v>
      </c>
      <c r="AM60" s="117">
        <v>0</v>
      </c>
      <c r="AN60" s="117">
        <v>0</v>
      </c>
      <c r="AO60" s="117">
        <v>0</v>
      </c>
      <c r="AP60" s="117">
        <v>0</v>
      </c>
      <c r="AQ60" s="117">
        <v>1</v>
      </c>
      <c r="AR60" s="117">
        <v>0</v>
      </c>
      <c r="AS60" s="117">
        <v>0</v>
      </c>
      <c r="AU60" s="117">
        <v>1</v>
      </c>
      <c r="AV60" s="117">
        <v>1</v>
      </c>
      <c r="AW60" s="117">
        <v>1</v>
      </c>
      <c r="AX60" s="117">
        <v>1</v>
      </c>
      <c r="AY60" s="117">
        <v>1</v>
      </c>
      <c r="AZ60" s="117">
        <v>1</v>
      </c>
      <c r="BA60" s="117">
        <v>1</v>
      </c>
      <c r="BB60" s="117">
        <v>1</v>
      </c>
      <c r="BC60" s="117">
        <v>1</v>
      </c>
      <c r="BD60" s="117">
        <v>1</v>
      </c>
      <c r="BE60" s="117">
        <v>1</v>
      </c>
      <c r="BF60" s="4"/>
      <c r="BG60" s="51" t="str">
        <f t="shared" ca="1" si="9"/>
        <v>DevAsia Equ</v>
      </c>
      <c r="BH60" s="38">
        <f t="shared" si="10"/>
        <v>0.105</v>
      </c>
      <c r="BI60" s="38">
        <f t="shared" si="11"/>
        <v>0.26</v>
      </c>
      <c r="BK60" s="31">
        <f ca="1">CORREL(OFFSET(Historical_Data_Start,date_start_row,$B60,date_rows,1),OFFSET(Historical_Data_Start,date_start_row,Calculations!BK$40,date_rows,1))</f>
        <v>2.312244973497558E-2</v>
      </c>
      <c r="BL60" s="32">
        <f ca="1">CORREL(OFFSET(Historical_Data_Start,date_start_row,$B60,date_rows,1),OFFSET(Historical_Data_Start,date_start_row,Calculations!BL$40,date_rows,1))</f>
        <v>-0.118925036665703</v>
      </c>
      <c r="BM60" s="32">
        <f ca="1">CORREL(OFFSET(Historical_Data_Start,date_start_row,$B60,date_rows,1),OFFSET(Historical_Data_Start,date_start_row,Calculations!BM$40,date_rows,1))</f>
        <v>-0.18228468734990064</v>
      </c>
      <c r="BN60" s="32">
        <f ca="1">CORREL(OFFSET(Historical_Data_Start,date_start_row,$B60,date_rows,1),OFFSET(Historical_Data_Start,date_start_row,Calculations!BN$40,date_rows,1))</f>
        <v>9.2917751584338973E-2</v>
      </c>
      <c r="BO60" s="32">
        <f ca="1">CORREL(OFFSET(Historical_Data_Start,date_start_row,$B60,date_rows,1),OFFSET(Historical_Data_Start,date_start_row,Calculations!BO$40,date_rows,1))</f>
        <v>6.1296580324565926E-2</v>
      </c>
      <c r="BP60" s="32">
        <f ca="1">CORREL(OFFSET(Historical_Data_Start,date_start_row,$B60,date_rows,1),OFFSET(Historical_Data_Start,date_start_row,Calculations!BP$40,date_rows,1))</f>
        <v>2.6443673660692394E-2</v>
      </c>
      <c r="BQ60" s="32">
        <f ca="1">CORREL(OFFSET(Historical_Data_Start,date_start_row,$B60,date_rows,1),OFFSET(Historical_Data_Start,date_start_row,Calculations!BQ$40,date_rows,1))</f>
        <v>3.6171645933348547E-2</v>
      </c>
      <c r="BR60" s="32">
        <f ca="1">CORREL(OFFSET(Historical_Data_Start,date_start_row,$B60,date_rows,1),OFFSET(Historical_Data_Start,date_start_row,Calculations!BR$40,date_rows,1))</f>
        <v>0.1196363909944481</v>
      </c>
      <c r="BS60" s="32">
        <f ca="1">CORREL(OFFSET(Historical_Data_Start,date_start_row,$B60,date_rows,1),OFFSET(Historical_Data_Start,date_start_row,Calculations!BS$40,date_rows,1))</f>
        <v>0.15304061076588865</v>
      </c>
      <c r="BT60" s="32">
        <f ca="1">CORREL(OFFSET(Historical_Data_Start,date_start_row,$B60,date_rows,1),OFFSET(Historical_Data_Start,date_start_row,Calculations!BT$40,date_rows,1))</f>
        <v>-2.7960402693105315E-2</v>
      </c>
      <c r="BU60" s="32">
        <f ca="1">CORREL(OFFSET(Historical_Data_Start,date_start_row,$B60,date_rows,1),OFFSET(Historical_Data_Start,date_start_row,Calculations!BU$40,date_rows,1))</f>
        <v>0.52107069217047075</v>
      </c>
      <c r="BV60" s="32">
        <f ca="1">CORREL(OFFSET(Historical_Data_Start,date_start_row,$B60,date_rows,1),OFFSET(Historical_Data_Start,date_start_row,Calculations!BV$40,date_rows,1))</f>
        <v>0.55439824203813293</v>
      </c>
      <c r="BW60" s="32">
        <f ca="1">CORREL(OFFSET(Historical_Data_Start,date_start_row,$B60,date_rows,1),OFFSET(Historical_Data_Start,date_start_row,Calculations!BW$40,date_rows,1))</f>
        <v>0.56117427701609912</v>
      </c>
      <c r="BX60" s="32">
        <f ca="1">CORREL(OFFSET(Historical_Data_Start,date_start_row,$B60,date_rows,1),OFFSET(Historical_Data_Start,date_start_row,Calculations!BX$40,date_rows,1))</f>
        <v>0.33777205348963363</v>
      </c>
      <c r="BY60" s="32">
        <f ca="1">CORREL(OFFSET(Historical_Data_Start,date_start_row,$B60,date_rows,1),OFFSET(Historical_Data_Start,date_start_row,Calculations!BY$40,date_rows,1))</f>
        <v>0.44942534713200005</v>
      </c>
      <c r="BZ60" s="32">
        <f ca="1">CORREL(OFFSET(Historical_Data_Start,date_start_row,$B60,date_rows,1),OFFSET(Historical_Data_Start,date_start_row,Calculations!BZ$40,date_rows,1))</f>
        <v>0.52252798303620629</v>
      </c>
      <c r="CA60" s="32">
        <f ca="1">CORREL(OFFSET(Historical_Data_Start,date_start_row,$B60,date_rows,1),OFFSET(Historical_Data_Start,date_start_row,Calculations!CA$40,date_rows,1))</f>
        <v>0.35444772274777009</v>
      </c>
      <c r="CB60" s="32">
        <f ca="1">CORREL(OFFSET(Historical_Data_Start,date_start_row,$B60,date_rows,1),OFFSET(Historical_Data_Start,date_start_row,Calculations!CB$40,date_rows,1))</f>
        <v>0.6167321847257109</v>
      </c>
      <c r="CC60" s="32">
        <f ca="1">CORREL(OFFSET(Historical_Data_Start,date_start_row,$B60,date_rows,1),OFFSET(Historical_Data_Start,date_start_row,Calculations!CC$40,date_rows,1))</f>
        <v>1</v>
      </c>
      <c r="CD60" s="32">
        <f ca="1">CORREL(OFFSET(Historical_Data_Start,date_start_row,$B60,date_rows,1),OFFSET(Historical_Data_Start,date_start_row,Calculations!CD$40,date_rows,1))</f>
        <v>0.84896631737949158</v>
      </c>
      <c r="CE60" s="32">
        <f ca="1">CORREL(OFFSET(Historical_Data_Start,date_start_row,$B60,date_rows,1),OFFSET(Historical_Data_Start,date_start_row,Calculations!CE$40,date_rows,1))</f>
        <v>0.72843952536715906</v>
      </c>
      <c r="CF60" s="32">
        <f ca="1">CORREL(OFFSET(Historical_Data_Start,date_start_row,$B60,date_rows,1),OFFSET(Historical_Data_Start,date_start_row,Calculations!CF$40,date_rows,1))</f>
        <v>-6.6382397014100356E-2</v>
      </c>
      <c r="CG60" s="32">
        <f ca="1">CORREL(OFFSET(Historical_Data_Start,date_start_row,$B60,date_rows,1),OFFSET(Historical_Data_Start,date_start_row,Calculations!CG$40,date_rows,1))</f>
        <v>-0.12959621212718991</v>
      </c>
      <c r="CH60" s="32">
        <f ca="1">CORREL(OFFSET(Historical_Data_Start,date_start_row,$B60,date_rows,1),OFFSET(Historical_Data_Start,date_start_row,Calculations!CH$40,date_rows,1))</f>
        <v>0.42882044256655882</v>
      </c>
      <c r="CI60" s="32">
        <f ca="1">CORREL(OFFSET(Historical_Data_Start,date_start_row,$B60,date_rows,1),OFFSET(Historical_Data_Start,date_start_row,Calculations!CI$40,date_rows,1))</f>
        <v>0.34794769320478824</v>
      </c>
      <c r="CJ60" s="32">
        <f ca="1">CORREL(OFFSET(Historical_Data_Start,date_start_row,$B60,date_rows,1),OFFSET(Historical_Data_Start,date_start_row,Calculations!CJ$40,date_rows,1))</f>
        <v>-5.6178977563478762E-2</v>
      </c>
      <c r="CK60" s="32">
        <f ca="1">CORREL(OFFSET(Historical_Data_Start,date_start_row,$B60,date_rows,1),OFFSET(Historical_Data_Start,date_start_row,Calculations!CK$40,date_rows,1))</f>
        <v>4.8602566890103033E-2</v>
      </c>
      <c r="CL60" s="32">
        <f ca="1">CORREL(OFFSET(Historical_Data_Start,date_start_row,$B60,date_rows,1),OFFSET(Historical_Data_Start,date_start_row,Calculations!CL$40,date_rows,1))</f>
        <v>2.3120541121785042E-2</v>
      </c>
      <c r="CM60" s="32">
        <f ca="1">CORREL(OFFSET(Historical_Data_Start,date_start_row,$B60,date_rows,1),OFFSET(Historical_Data_Start,date_start_row,Calculations!CM$40,date_rows,1))</f>
        <v>-0.118925036665703</v>
      </c>
      <c r="CN60" s="32">
        <f ca="1">CORREL(OFFSET(Historical_Data_Start,date_start_row,$B60,date_rows,1),OFFSET(Historical_Data_Start,date_start_row,Calculations!CN$40,date_rows,1))</f>
        <v>-0.18228468734990064</v>
      </c>
      <c r="CO60" s="32">
        <f ca="1">CORREL(OFFSET(Historical_Data_Start,date_start_row,$B60,date_rows,1),OFFSET(Historical_Data_Start,date_start_row,Calculations!CO$40,date_rows,1))</f>
        <v>2.6443673660692394E-2</v>
      </c>
      <c r="CP60" s="32">
        <f ca="1">CORREL(OFFSET(Historical_Data_Start,date_start_row,$B60,date_rows,1),OFFSET(Historical_Data_Start,date_start_row,Calculations!CP$40,date_rows,1))</f>
        <v>3.6171645933348547E-2</v>
      </c>
      <c r="CQ60" s="32">
        <f ca="1">CORREL(OFFSET(Historical_Data_Start,date_start_row,$B60,date_rows,1),OFFSET(Historical_Data_Start,date_start_row,Calculations!CQ$40,date_rows,1))</f>
        <v>-0.17874164646539067</v>
      </c>
      <c r="CR60" s="32">
        <f ca="1">CORREL(OFFSET(Historical_Data_Start,date_start_row,$B60,date_rows,1),OFFSET(Historical_Data_Start,date_start_row,Calculations!CR$40,date_rows,1))</f>
        <v>7.6566956361990457E-2</v>
      </c>
      <c r="CS60" s="32">
        <f ca="1">CORREL(OFFSET(Historical_Data_Start,date_start_row,$B60,date_rows,1),OFFSET(Historical_Data_Start,date_start_row,Calculations!CS$40,date_rows,1))</f>
        <v>-4.8326671368153183E-2</v>
      </c>
      <c r="CT60" s="32">
        <f ca="1">CORREL(OFFSET(Historical_Data_Start,date_start_row,$B60,date_rows,1),OFFSET(Historical_Data_Start,date_start_row,Calculations!CT$40,date_rows,1))</f>
        <v>-9.0711648929442432E-2</v>
      </c>
      <c r="CU60" s="32">
        <f ca="1">CORREL(OFFSET(Historical_Data_Start,date_start_row,$B60,date_rows,1),OFFSET(Historical_Data_Start,date_start_row,Calculations!CU$40,date_rows,1))</f>
        <v>-0.10854495696102502</v>
      </c>
      <c r="CV60" s="32">
        <f ca="1">CORREL(OFFSET(Historical_Data_Start,date_start_row,$B60,date_rows,1),OFFSET(Historical_Data_Start,date_start_row,Calculations!CV$40,date_rows,1))</f>
        <v>9.4032787814132504E-2</v>
      </c>
      <c r="CW60" s="32">
        <f ca="1">CORREL(OFFSET(Historical_Data_Start,date_start_row,$B60,date_rows,1),OFFSET(Historical_Data_Start,date_start_row,Calculations!CW$40,date_rows,1))</f>
        <v>-0.57186526233855761</v>
      </c>
      <c r="CX60" s="32">
        <f ca="1">CORREL(OFFSET(Historical_Data_Start,date_start_row,$B60,date_rows,1),OFFSET(Historical_Data_Start,date_start_row,Calculations!CX$40,date_rows,1))</f>
        <v>-0.5813346819870614</v>
      </c>
      <c r="CY60" s="32">
        <f ca="1">CORREL(OFFSET(Historical_Data_Start,date_start_row,$B60,date_rows,1),OFFSET(Historical_Data_Start,date_start_row,Calculations!CY$40,date_rows,1))</f>
        <v>-0.56117427701609912</v>
      </c>
      <c r="CZ60" s="32">
        <f ca="1">CORREL(OFFSET(Historical_Data_Start,date_start_row,$B60,date_rows,1),OFFSET(Historical_Data_Start,date_start_row,Calculations!CZ$40,date_rows,1))</f>
        <v>-0.3795466101025704</v>
      </c>
      <c r="DA60" s="32">
        <f ca="1">CORREL(OFFSET(Historical_Data_Start,date_start_row,$B60,date_rows,1),OFFSET(Historical_Data_Start,date_start_row,Calculations!DA$40,date_rows,1))</f>
        <v>-0.47710654692428045</v>
      </c>
      <c r="DB60" s="32">
        <f ca="1">CORREL(OFFSET(Historical_Data_Start,date_start_row,$B60,date_rows,1),OFFSET(Historical_Data_Start,date_start_row,Calculations!DB$40,date_rows,1))</f>
        <v>-0.54489101690581032</v>
      </c>
      <c r="DC60" s="32">
        <f ca="1">CORREL(OFFSET(Historical_Data_Start,date_start_row,$B60,date_rows,1),OFFSET(Historical_Data_Start,date_start_row,Calculations!DC$40,date_rows,1))</f>
        <v>-0.4066877377618926</v>
      </c>
      <c r="DD60" s="32">
        <f ca="1">CORREL(OFFSET(Historical_Data_Start,date_start_row,$B60,date_rows,1),OFFSET(Historical_Data_Start,date_start_row,Calculations!DD$40,date_rows,1))</f>
        <v>-0.61600230195505845</v>
      </c>
      <c r="DE60" s="32">
        <f ca="1">CORREL(OFFSET(Historical_Data_Start,date_start_row,$B60,date_rows,1),OFFSET(Historical_Data_Start,date_start_row,Calculations!DE$40,date_rows,1))</f>
        <v>-0.98857892959455929</v>
      </c>
      <c r="DF60" s="32">
        <f ca="1">CORREL(OFFSET(Historical_Data_Start,date_start_row,$B60,date_rows,1),OFFSET(Historical_Data_Start,date_start_row,Calculations!DF$40,date_rows,1))</f>
        <v>-0.85250032369616024</v>
      </c>
      <c r="DG60" s="32">
        <f ca="1">CORREL(OFFSET(Historical_Data_Start,date_start_row,$B60,date_rows,1),OFFSET(Historical_Data_Start,date_start_row,Calculations!DG$40,date_rows,1))</f>
        <v>-0.72940913509769856</v>
      </c>
      <c r="DH60" s="33">
        <f ca="1">CORREL(OFFSET(Historical_Data_Start,date_start_row,$B60,date_rows,1),OFFSET(Historical_Data_Start,date_start_row,Calculations!DH$40,date_rows,1))</f>
        <v>-0.12501885649002129</v>
      </c>
      <c r="DI60" s="2">
        <f t="shared" si="71"/>
        <v>19</v>
      </c>
      <c r="DJ60" s="43">
        <f t="shared" ca="1" si="65"/>
        <v>6.0118369310936517E-5</v>
      </c>
      <c r="DK60" s="44">
        <f t="shared" ca="1" si="12"/>
        <v>-1.9479921005842154E-3</v>
      </c>
      <c r="DL60" s="44">
        <f t="shared" ca="1" si="13"/>
        <v>-5.1185540207852103E-3</v>
      </c>
      <c r="DM60" s="44">
        <f t="shared" ca="1" si="14"/>
        <v>1.4011996938918317E-3</v>
      </c>
      <c r="DN60" s="44">
        <f t="shared" ca="1" si="15"/>
        <v>1.5618368666699401E-3</v>
      </c>
      <c r="DO60" s="44">
        <f t="shared" ca="1" si="16"/>
        <v>3.643938230443412E-4</v>
      </c>
      <c r="DP60" s="44">
        <f t="shared" ca="1" si="17"/>
        <v>8.652257707256972E-4</v>
      </c>
      <c r="DQ60" s="44">
        <f t="shared" ca="1" si="18"/>
        <v>1.524167621269269E-3</v>
      </c>
      <c r="DR60" s="44">
        <f t="shared" ca="1" si="19"/>
        <v>3.3026163803278772E-3</v>
      </c>
      <c r="DS60" s="44">
        <f t="shared" ca="1" si="20"/>
        <v>-5.0887932901451675E-4</v>
      </c>
      <c r="DT60" s="44">
        <f t="shared" ca="1" si="21"/>
        <v>2.1676540794291585E-2</v>
      </c>
      <c r="DU60" s="44">
        <f t="shared" ca="1" si="22"/>
        <v>2.8828708585982913E-2</v>
      </c>
      <c r="DV60" s="44">
        <f t="shared" ca="1" si="23"/>
        <v>2.6262956164353441E-2</v>
      </c>
      <c r="DW60" s="44">
        <f t="shared" ca="1" si="24"/>
        <v>2.1076976137753136E-2</v>
      </c>
      <c r="DX60" s="44">
        <f t="shared" ca="1" si="25"/>
        <v>2.4538623953407203E-2</v>
      </c>
      <c r="DY60" s="44">
        <f t="shared" ca="1" si="26"/>
        <v>2.7171455117882728E-2</v>
      </c>
      <c r="DZ60" s="44">
        <f t="shared" ca="1" si="27"/>
        <v>1.8431281582884047E-2</v>
      </c>
      <c r="EA60" s="44">
        <f t="shared" ca="1" si="28"/>
        <v>3.5277080966310666E-2</v>
      </c>
      <c r="EB60" s="44">
        <f t="shared" ca="1" si="29"/>
        <v>6.7600000000000007E-2</v>
      </c>
      <c r="EC60" s="44">
        <f t="shared" ca="1" si="30"/>
        <v>6.6219372755600345E-2</v>
      </c>
      <c r="ED60" s="44">
        <f t="shared" ca="1" si="31"/>
        <v>5.3030397446729181E-2</v>
      </c>
      <c r="EE60" s="44">
        <f t="shared" ca="1" si="32"/>
        <v>-1.5533480901299484E-3</v>
      </c>
      <c r="EF60" s="44">
        <f t="shared" ca="1" si="33"/>
        <v>-3.032551363776244E-3</v>
      </c>
      <c r="EG60" s="44">
        <f t="shared" ca="1" si="34"/>
        <v>1.8953863561441901E-2</v>
      </c>
      <c r="EH60" s="44">
        <f t="shared" ca="1" si="35"/>
        <v>2.1711936055978785E-2</v>
      </c>
      <c r="EI60" s="44">
        <f t="shared" ca="1" si="36"/>
        <v>-1.7527840999805374E-3</v>
      </c>
      <c r="EJ60" s="45">
        <f t="shared" ca="1" si="37"/>
        <v>1.1373000652284109E-3</v>
      </c>
      <c r="EK60" s="44">
        <f t="shared" ca="1" si="38"/>
        <v>6.0113406916641115E-5</v>
      </c>
      <c r="EL60" s="44">
        <f t="shared" ca="1" si="39"/>
        <v>-1.422343438521808E-3</v>
      </c>
      <c r="EM60" s="44">
        <f t="shared" ca="1" si="40"/>
        <v>-3.838915515588908E-3</v>
      </c>
      <c r="EN60" s="44">
        <f t="shared" ca="1" si="41"/>
        <v>2.8188956122298091E-4</v>
      </c>
      <c r="EO60" s="44">
        <f t="shared" ca="1" si="42"/>
        <v>1.072127585464451E-3</v>
      </c>
      <c r="EP60" s="44">
        <f t="shared" ca="1" si="43"/>
        <v>-1.2872973378437437E-2</v>
      </c>
      <c r="EQ60" s="44">
        <f t="shared" ca="1" si="44"/>
        <v>4.7379632596799698E-3</v>
      </c>
      <c r="ER60" s="44">
        <f t="shared" ca="1" si="45"/>
        <v>-4.020779057830345E-3</v>
      </c>
      <c r="ES60" s="44">
        <f t="shared" ca="1" si="46"/>
        <v>-1.4858568094642671E-3</v>
      </c>
      <c r="ET60" s="44">
        <f t="shared" ca="1" si="47"/>
        <v>-1.4110844404933254E-3</v>
      </c>
      <c r="EU60" s="44">
        <f t="shared" ca="1" si="48"/>
        <v>1.7113967382172118E-3</v>
      </c>
      <c r="EV60" s="44">
        <f t="shared" ca="1" si="49"/>
        <v>-2.3789594913284001E-2</v>
      </c>
      <c r="EW60" s="44">
        <f t="shared" ca="1" si="50"/>
        <v>-3.0229403463327194E-2</v>
      </c>
      <c r="EX60" s="44">
        <f t="shared" ca="1" si="51"/>
        <v>-2.6262956164353441E-2</v>
      </c>
      <c r="EY60" s="44">
        <f t="shared" ca="1" si="52"/>
        <v>-2.3683708470400393E-2</v>
      </c>
      <c r="EZ60" s="44">
        <f t="shared" ca="1" si="53"/>
        <v>-2.6050017462065714E-2</v>
      </c>
      <c r="FA60" s="44">
        <f t="shared" ca="1" si="54"/>
        <v>-2.8334332879102139E-2</v>
      </c>
      <c r="FB60" s="44">
        <f t="shared" ca="1" si="55"/>
        <v>-2.1147762363618417E-2</v>
      </c>
      <c r="FC60" s="44">
        <f t="shared" ca="1" si="56"/>
        <v>-3.5235331671829344E-2</v>
      </c>
      <c r="FD60" s="44">
        <f t="shared" ca="1" si="57"/>
        <v>-6.6827935640592209E-2</v>
      </c>
      <c r="FE60" s="44">
        <f t="shared" ca="1" si="58"/>
        <v>-6.6495025248300504E-2</v>
      </c>
      <c r="FF60" s="44">
        <f t="shared" ca="1" si="59"/>
        <v>-5.3100985035112458E-2</v>
      </c>
      <c r="FG60" s="45">
        <f t="shared" ca="1" si="60"/>
        <v>-1.6252451343702769E-4</v>
      </c>
      <c r="FL60" s="111">
        <v>0</v>
      </c>
      <c r="FM60" s="111">
        <v>0</v>
      </c>
      <c r="FN60" s="111">
        <v>0</v>
      </c>
      <c r="FO60" s="111">
        <v>0</v>
      </c>
      <c r="FP60" s="111">
        <v>0</v>
      </c>
      <c r="FQ60" s="111">
        <v>1</v>
      </c>
    </row>
    <row r="61" spans="1:173" x14ac:dyDescent="0.2">
      <c r="A61" s="51" t="str">
        <f t="shared" ref="A61" ca="1" si="138">INDEX(Historical_Data_Names,3,B61)</f>
        <v>A</v>
      </c>
      <c r="B61" s="57">
        <f t="shared" si="67"/>
        <v>20</v>
      </c>
      <c r="C61" s="11" t="str">
        <f t="shared" ref="C61" ca="1" si="139">INDEX(Historical_Data_Names,2,B61)</f>
        <v>EmgAsia Equ</v>
      </c>
      <c r="D61" s="58"/>
      <c r="E61" s="59">
        <f t="shared" ref="E61" ca="1" si="140">AVERAGE(OFFSET(Historical_Data_Start,date_start_row,$B61,date_rows,1))*4</f>
        <v>0.11531835291699331</v>
      </c>
      <c r="F61" s="59">
        <f t="array" aca="1" ref="F61" ca="1">PRODUCT(1+OFFSET(Historical_Data_Start,date_start_row,$B61,date_rows,1))^(4/date_rows)-1</f>
        <v>8.2665693293085818E-2</v>
      </c>
      <c r="G61" s="59">
        <f t="shared" ref="G61" ca="1" si="141">STDEV(OFFSET(Historical_Data_Start,date_start_row,$B61,date_rows,1))*2</f>
        <v>0.26619609370741554</v>
      </c>
      <c r="H61" s="6"/>
      <c r="I61" s="60">
        <v>0.11</v>
      </c>
      <c r="J61" s="60">
        <v>0.3</v>
      </c>
      <c r="K61" s="60"/>
      <c r="L61" s="60">
        <v>3.0999999999999999E-3</v>
      </c>
      <c r="M61" s="6"/>
      <c r="N61" s="82">
        <v>0</v>
      </c>
      <c r="O61" s="6"/>
      <c r="P61" s="53">
        <v>0</v>
      </c>
      <c r="Q61" s="85">
        <v>0</v>
      </c>
      <c r="R61" s="53">
        <v>0</v>
      </c>
      <c r="S61" s="226"/>
      <c r="T61" s="410">
        <v>0</v>
      </c>
      <c r="U61" s="410">
        <v>0</v>
      </c>
      <c r="V61" s="410">
        <v>0</v>
      </c>
      <c r="W61" s="410">
        <v>0</v>
      </c>
      <c r="X61" s="410">
        <v>0</v>
      </c>
      <c r="Y61" s="410">
        <v>1</v>
      </c>
      <c r="AB61" s="66">
        <f>0.6*AB62</f>
        <v>6.5307777890735844E-2</v>
      </c>
      <c r="AC61" s="89">
        <v>0</v>
      </c>
      <c r="AD61" s="90">
        <f t="shared" si="113"/>
        <v>0</v>
      </c>
      <c r="AE61" s="62">
        <f t="shared" si="108"/>
        <v>0</v>
      </c>
      <c r="AF61" s="101">
        <f>(AD61-1)*N61+AD61*($N$52+$N$53+$N$54+$N$55+$N$56+$N$57+$N$58+$N$59+$N$60+$N$62)</f>
        <v>0</v>
      </c>
      <c r="AH61" s="95"/>
      <c r="AI61" s="117">
        <v>0</v>
      </c>
      <c r="AJ61" s="117">
        <v>0</v>
      </c>
      <c r="AK61" s="117">
        <v>0</v>
      </c>
      <c r="AL61" s="117">
        <v>0</v>
      </c>
      <c r="AM61" s="117">
        <v>0</v>
      </c>
      <c r="AN61" s="117">
        <v>0</v>
      </c>
      <c r="AO61" s="117">
        <v>0</v>
      </c>
      <c r="AP61" s="117">
        <v>0</v>
      </c>
      <c r="AQ61" s="117">
        <v>0</v>
      </c>
      <c r="AR61" s="117">
        <v>1</v>
      </c>
      <c r="AS61" s="117">
        <v>0</v>
      </c>
      <c r="AU61" s="117">
        <v>1</v>
      </c>
      <c r="AV61" s="117">
        <v>1</v>
      </c>
      <c r="AW61" s="117">
        <v>1</v>
      </c>
      <c r="AX61" s="117">
        <v>1</v>
      </c>
      <c r="AY61" s="117">
        <v>1</v>
      </c>
      <c r="AZ61" s="117">
        <v>1</v>
      </c>
      <c r="BA61" s="117">
        <v>1</v>
      </c>
      <c r="BB61" s="117">
        <v>1</v>
      </c>
      <c r="BC61" s="117">
        <v>1</v>
      </c>
      <c r="BD61" s="117">
        <v>1</v>
      </c>
      <c r="BE61" s="117">
        <v>1</v>
      </c>
      <c r="BF61" s="4"/>
      <c r="BG61" s="51" t="str">
        <f t="shared" ca="1" si="9"/>
        <v>EmgAsia Equ</v>
      </c>
      <c r="BH61" s="38">
        <f t="shared" si="10"/>
        <v>0.11</v>
      </c>
      <c r="BI61" s="38">
        <f t="shared" si="11"/>
        <v>0.3</v>
      </c>
      <c r="BK61" s="31">
        <f ca="1">CORREL(OFFSET(Historical_Data_Start,date_start_row,$B61,date_rows,1),OFFSET(Historical_Data_Start,date_start_row,Calculations!BK$40,date_rows,1))</f>
        <v>-3.2193406837460413E-3</v>
      </c>
      <c r="BL61" s="32">
        <f ca="1">CORREL(OFFSET(Historical_Data_Start,date_start_row,$B61,date_rows,1),OFFSET(Historical_Data_Start,date_start_row,Calculations!BL$40,date_rows,1))</f>
        <v>-0.17497988369141743</v>
      </c>
      <c r="BM61" s="32">
        <f ca="1">CORREL(OFFSET(Historical_Data_Start,date_start_row,$B61,date_rows,1),OFFSET(Historical_Data_Start,date_start_row,Calculations!BM$40,date_rows,1))</f>
        <v>-0.21635751626229371</v>
      </c>
      <c r="BN61" s="32">
        <f ca="1">CORREL(OFFSET(Historical_Data_Start,date_start_row,$B61,date_rows,1),OFFSET(Historical_Data_Start,date_start_row,Calculations!BN$40,date_rows,1))</f>
        <v>-2.3255882193698595E-4</v>
      </c>
      <c r="BO61" s="32">
        <f ca="1">CORREL(OFFSET(Historical_Data_Start,date_start_row,$B61,date_rows,1),OFFSET(Historical_Data_Start,date_start_row,Calculations!BO$40,date_rows,1))</f>
        <v>-1.879299617116223E-2</v>
      </c>
      <c r="BP61" s="32">
        <f ca="1">CORREL(OFFSET(Historical_Data_Start,date_start_row,$B61,date_rows,1),OFFSET(Historical_Data_Start,date_start_row,Calculations!BP$40,date_rows,1))</f>
        <v>-3.9272559442104261E-2</v>
      </c>
      <c r="BQ61" s="32">
        <f ca="1">CORREL(OFFSET(Historical_Data_Start,date_start_row,$B61,date_rows,1),OFFSET(Historical_Data_Start,date_start_row,Calculations!BQ$40,date_rows,1))</f>
        <v>-2.4103784332453613E-2</v>
      </c>
      <c r="BR61" s="32">
        <f ca="1">CORREL(OFFSET(Historical_Data_Start,date_start_row,$B61,date_rows,1),OFFSET(Historical_Data_Start,date_start_row,Calculations!BR$40,date_rows,1))</f>
        <v>4.4998336638630634E-2</v>
      </c>
      <c r="BS61" s="32">
        <f ca="1">CORREL(OFFSET(Historical_Data_Start,date_start_row,$B61,date_rows,1),OFFSET(Historical_Data_Start,date_start_row,Calculations!BS$40,date_rows,1))</f>
        <v>7.9894229847806975E-2</v>
      </c>
      <c r="BT61" s="32">
        <f ca="1">CORREL(OFFSET(Historical_Data_Start,date_start_row,$B61,date_rows,1),OFFSET(Historical_Data_Start,date_start_row,Calculations!BT$40,date_rows,1))</f>
        <v>-9.4006414070983549E-2</v>
      </c>
      <c r="BU61" s="32">
        <f ca="1">CORREL(OFFSET(Historical_Data_Start,date_start_row,$B61,date_rows,1),OFFSET(Historical_Data_Start,date_start_row,Calculations!BU$40,date_rows,1))</f>
        <v>0.47455006814303674</v>
      </c>
      <c r="BV61" s="32">
        <f ca="1">CORREL(OFFSET(Historical_Data_Start,date_start_row,$B61,date_rows,1),OFFSET(Historical_Data_Start,date_start_row,Calculations!BV$40,date_rows,1))</f>
        <v>0.51653503376529719</v>
      </c>
      <c r="BW61" s="32">
        <f ca="1">CORREL(OFFSET(Historical_Data_Start,date_start_row,$B61,date_rows,1),OFFSET(Historical_Data_Start,date_start_row,Calculations!BW$40,date_rows,1))</f>
        <v>0.51952193834803351</v>
      </c>
      <c r="BX61" s="32">
        <f ca="1">CORREL(OFFSET(Historical_Data_Start,date_start_row,$B61,date_rows,1),OFFSET(Historical_Data_Start,date_start_row,Calculations!BX$40,date_rows,1))</f>
        <v>0.34300206508308356</v>
      </c>
      <c r="BY61" s="32">
        <f ca="1">CORREL(OFFSET(Historical_Data_Start,date_start_row,$B61,date_rows,1),OFFSET(Historical_Data_Start,date_start_row,Calculations!BY$40,date_rows,1))</f>
        <v>0.42373552506471457</v>
      </c>
      <c r="BZ61" s="32">
        <f ca="1">CORREL(OFFSET(Historical_Data_Start,date_start_row,$B61,date_rows,1),OFFSET(Historical_Data_Start,date_start_row,Calculations!BZ$40,date_rows,1))</f>
        <v>0.41060900044773985</v>
      </c>
      <c r="CA61" s="32">
        <f ca="1">CORREL(OFFSET(Historical_Data_Start,date_start_row,$B61,date_rows,1),OFFSET(Historical_Data_Start,date_start_row,Calculations!CA$40,date_rows,1))</f>
        <v>0.33897691269472691</v>
      </c>
      <c r="CB61" s="32">
        <f ca="1">CORREL(OFFSET(Historical_Data_Start,date_start_row,$B61,date_rows,1),OFFSET(Historical_Data_Start,date_start_row,Calculations!CB$40,date_rows,1))</f>
        <v>0.58782387402280112</v>
      </c>
      <c r="CC61" s="32">
        <f ca="1">CORREL(OFFSET(Historical_Data_Start,date_start_row,$B61,date_rows,1),OFFSET(Historical_Data_Start,date_start_row,Calculations!CC$40,date_rows,1))</f>
        <v>0.84896631737949158</v>
      </c>
      <c r="CD61" s="32">
        <f ca="1">CORREL(OFFSET(Historical_Data_Start,date_start_row,$B61,date_rows,1),OFFSET(Historical_Data_Start,date_start_row,Calculations!CD$40,date_rows,1))</f>
        <v>1.0000000000000002</v>
      </c>
      <c r="CE61" s="32">
        <f ca="1">CORREL(OFFSET(Historical_Data_Start,date_start_row,$B61,date_rows,1),OFFSET(Historical_Data_Start,date_start_row,Calculations!CE$40,date_rows,1))</f>
        <v>0.78582486357010262</v>
      </c>
      <c r="CF61" s="32">
        <f ca="1">CORREL(OFFSET(Historical_Data_Start,date_start_row,$B61,date_rows,1),OFFSET(Historical_Data_Start,date_start_row,Calculations!CF$40,date_rows,1))</f>
        <v>-0.12482928518743999</v>
      </c>
      <c r="CG61" s="32">
        <f ca="1">CORREL(OFFSET(Historical_Data_Start,date_start_row,$B61,date_rows,1),OFFSET(Historical_Data_Start,date_start_row,Calculations!CG$40,date_rows,1))</f>
        <v>-0.18839816530297307</v>
      </c>
      <c r="CH61" s="32">
        <f ca="1">CORREL(OFFSET(Historical_Data_Start,date_start_row,$B61,date_rows,1),OFFSET(Historical_Data_Start,date_start_row,Calculations!CH$40,date_rows,1))</f>
        <v>0.38526004041781808</v>
      </c>
      <c r="CI61" s="32">
        <f ca="1">CORREL(OFFSET(Historical_Data_Start,date_start_row,$B61,date_rows,1),OFFSET(Historical_Data_Start,date_start_row,Calculations!CI$40,date_rows,1))</f>
        <v>0.27959788490254839</v>
      </c>
      <c r="CJ61" s="32">
        <f ca="1">CORREL(OFFSET(Historical_Data_Start,date_start_row,$B61,date_rows,1),OFFSET(Historical_Data_Start,date_start_row,Calculations!CJ$40,date_rows,1))</f>
        <v>2.3368154610535034E-2</v>
      </c>
      <c r="CK61" s="32">
        <f ca="1">CORREL(OFFSET(Historical_Data_Start,date_start_row,$B61,date_rows,1),OFFSET(Historical_Data_Start,date_start_row,Calculations!CK$40,date_rows,1))</f>
        <v>0.10979871235790896</v>
      </c>
      <c r="CL61" s="32">
        <f ca="1">CORREL(OFFSET(Historical_Data_Start,date_start_row,$B61,date_rows,1),OFFSET(Historical_Data_Start,date_start_row,Calculations!CL$40,date_rows,1))</f>
        <v>-3.2239118690665673E-3</v>
      </c>
      <c r="CM61" s="32">
        <f ca="1">CORREL(OFFSET(Historical_Data_Start,date_start_row,$B61,date_rows,1),OFFSET(Historical_Data_Start,date_start_row,Calculations!CM$40,date_rows,1))</f>
        <v>-0.17497988369141743</v>
      </c>
      <c r="CN61" s="32">
        <f ca="1">CORREL(OFFSET(Historical_Data_Start,date_start_row,$B61,date_rows,1),OFFSET(Historical_Data_Start,date_start_row,Calculations!CN$40,date_rows,1))</f>
        <v>-0.21635751626229371</v>
      </c>
      <c r="CO61" s="32">
        <f ca="1">CORREL(OFFSET(Historical_Data_Start,date_start_row,$B61,date_rows,1),OFFSET(Historical_Data_Start,date_start_row,Calculations!CO$40,date_rows,1))</f>
        <v>-3.9272559442104261E-2</v>
      </c>
      <c r="CP61" s="32">
        <f ca="1">CORREL(OFFSET(Historical_Data_Start,date_start_row,$B61,date_rows,1),OFFSET(Historical_Data_Start,date_start_row,Calculations!CP$40,date_rows,1))</f>
        <v>-2.4103784332453613E-2</v>
      </c>
      <c r="CQ61" s="32">
        <f ca="1">CORREL(OFFSET(Historical_Data_Start,date_start_row,$B61,date_rows,1),OFFSET(Historical_Data_Start,date_start_row,Calculations!CQ$40,date_rows,1))</f>
        <v>-0.20360508959153961</v>
      </c>
      <c r="CR61" s="32">
        <f ca="1">CORREL(OFFSET(Historical_Data_Start,date_start_row,$B61,date_rows,1),OFFSET(Historical_Data_Start,date_start_row,Calculations!CR$40,date_rows,1))</f>
        <v>1.9177424163182726E-2</v>
      </c>
      <c r="CS61" s="32">
        <f ca="1">CORREL(OFFSET(Historical_Data_Start,date_start_row,$B61,date_rows,1),OFFSET(Historical_Data_Start,date_start_row,Calculations!CS$40,date_rows,1))</f>
        <v>-9.8571538333841358E-2</v>
      </c>
      <c r="CT61" s="32">
        <f ca="1">CORREL(OFFSET(Historical_Data_Start,date_start_row,$B61,date_rows,1),OFFSET(Historical_Data_Start,date_start_row,Calculations!CT$40,date_rows,1))</f>
        <v>5.7442849498931204E-3</v>
      </c>
      <c r="CU61" s="32">
        <f ca="1">CORREL(OFFSET(Historical_Data_Start,date_start_row,$B61,date_rows,1),OFFSET(Historical_Data_Start,date_start_row,Calculations!CU$40,date_rows,1))</f>
        <v>-3.0141082227471146E-2</v>
      </c>
      <c r="CV61" s="32">
        <f ca="1">CORREL(OFFSET(Historical_Data_Start,date_start_row,$B61,date_rows,1),OFFSET(Historical_Data_Start,date_start_row,Calculations!CV$40,date_rows,1))</f>
        <v>0.11440918901730472</v>
      </c>
      <c r="CW61" s="32">
        <f ca="1">CORREL(OFFSET(Historical_Data_Start,date_start_row,$B61,date_rows,1),OFFSET(Historical_Data_Start,date_start_row,Calculations!CW$40,date_rows,1))</f>
        <v>-0.50815813903897833</v>
      </c>
      <c r="CX61" s="32">
        <f ca="1">CORREL(OFFSET(Historical_Data_Start,date_start_row,$B61,date_rows,1),OFFSET(Historical_Data_Start,date_start_row,Calculations!CX$40,date_rows,1))</f>
        <v>-0.52921974096127222</v>
      </c>
      <c r="CY61" s="32">
        <f ca="1">CORREL(OFFSET(Historical_Data_Start,date_start_row,$B61,date_rows,1),OFFSET(Historical_Data_Start,date_start_row,Calculations!CY$40,date_rows,1))</f>
        <v>-0.51952193834803351</v>
      </c>
      <c r="CZ61" s="32">
        <f ca="1">CORREL(OFFSET(Historical_Data_Start,date_start_row,$B61,date_rows,1),OFFSET(Historical_Data_Start,date_start_row,Calculations!CZ$40,date_rows,1))</f>
        <v>-0.37385310148773787</v>
      </c>
      <c r="DA61" s="32">
        <f ca="1">CORREL(OFFSET(Historical_Data_Start,date_start_row,$B61,date_rows,1),OFFSET(Historical_Data_Start,date_start_row,Calculations!DA$40,date_rows,1))</f>
        <v>-0.44133611305886361</v>
      </c>
      <c r="DB61" s="32">
        <f ca="1">CORREL(OFFSET(Historical_Data_Start,date_start_row,$B61,date_rows,1),OFFSET(Historical_Data_Start,date_start_row,Calculations!DB$40,date_rows,1))</f>
        <v>-0.42838190685503769</v>
      </c>
      <c r="DC61" s="32">
        <f ca="1">CORREL(OFFSET(Historical_Data_Start,date_start_row,$B61,date_rows,1),OFFSET(Historical_Data_Start,date_start_row,Calculations!DC$40,date_rows,1))</f>
        <v>-0.37869804674133245</v>
      </c>
      <c r="DD61" s="32">
        <f ca="1">CORREL(OFFSET(Historical_Data_Start,date_start_row,$B61,date_rows,1),OFFSET(Historical_Data_Start,date_start_row,Calculations!DD$40,date_rows,1))</f>
        <v>-0.57896397396322108</v>
      </c>
      <c r="DE61" s="32">
        <f ca="1">CORREL(OFFSET(Historical_Data_Start,date_start_row,$B61,date_rows,1),OFFSET(Historical_Data_Start,date_start_row,Calculations!DE$40,date_rows,1))</f>
        <v>-0.83643517642106369</v>
      </c>
      <c r="DF61" s="32">
        <f ca="1">CORREL(OFFSET(Historical_Data_Start,date_start_row,$B61,date_rows,1),OFFSET(Historical_Data_Start,date_start_row,Calculations!DF$40,date_rows,1))</f>
        <v>-0.98912800690014702</v>
      </c>
      <c r="DG61" s="32">
        <f ca="1">CORREL(OFFSET(Historical_Data_Start,date_start_row,$B61,date_rows,1),OFFSET(Historical_Data_Start,date_start_row,Calculations!DG$40,date_rows,1))</f>
        <v>-0.77335900738970142</v>
      </c>
      <c r="DH61" s="33">
        <f ca="1">CORREL(OFFSET(Historical_Data_Start,date_start_row,$B61,date_rows,1),OFFSET(Historical_Data_Start,date_start_row,Calculations!DH$40,date_rows,1))</f>
        <v>-0.10620093106478189</v>
      </c>
      <c r="DI61" s="2">
        <f t="shared" si="71"/>
        <v>20</v>
      </c>
      <c r="DJ61" s="43">
        <f t="shared" ca="1" si="65"/>
        <v>-9.658022051238124E-6</v>
      </c>
      <c r="DK61" s="44">
        <f t="shared" ca="1" si="12"/>
        <v>-3.3071198017677892E-3</v>
      </c>
      <c r="DL61" s="44">
        <f t="shared" ca="1" si="13"/>
        <v>-7.0099835268983175E-3</v>
      </c>
      <c r="DM61" s="44">
        <f t="shared" ca="1" si="14"/>
        <v>-4.0465235017035555E-6</v>
      </c>
      <c r="DN61" s="44">
        <f t="shared" ca="1" si="15"/>
        <v>-5.5251408743216951E-4</v>
      </c>
      <c r="DO61" s="44">
        <f t="shared" ca="1" si="16"/>
        <v>-6.2443369512945766E-4</v>
      </c>
      <c r="DP61" s="44">
        <f t="shared" ca="1" si="17"/>
        <v>-6.652644475757197E-4</v>
      </c>
      <c r="DQ61" s="44">
        <f t="shared" ca="1" si="18"/>
        <v>6.6147554858787035E-4</v>
      </c>
      <c r="DR61" s="44">
        <f t="shared" ca="1" si="19"/>
        <v>1.989366323210394E-3</v>
      </c>
      <c r="DS61" s="44">
        <f t="shared" ca="1" si="20"/>
        <v>-1.9741346954906544E-3</v>
      </c>
      <c r="DT61" s="44">
        <f t="shared" ca="1" si="21"/>
        <v>2.2778403270865763E-2</v>
      </c>
      <c r="DU61" s="44">
        <f t="shared" ca="1" si="22"/>
        <v>3.0992102025917831E-2</v>
      </c>
      <c r="DV61" s="44">
        <f t="shared" ca="1" si="23"/>
        <v>2.8054184670793809E-2</v>
      </c>
      <c r="DW61" s="44">
        <f t="shared" ca="1" si="24"/>
        <v>2.4696148685982015E-2</v>
      </c>
      <c r="DX61" s="44">
        <f t="shared" ca="1" si="25"/>
        <v>2.6695338079077018E-2</v>
      </c>
      <c r="DY61" s="44">
        <f t="shared" ca="1" si="26"/>
        <v>2.4636540026864391E-2</v>
      </c>
      <c r="DZ61" s="44">
        <f t="shared" ca="1" si="27"/>
        <v>2.0338614761683613E-2</v>
      </c>
      <c r="EA61" s="44">
        <f t="shared" ca="1" si="28"/>
        <v>3.8796375685504876E-2</v>
      </c>
      <c r="EB61" s="44">
        <f t="shared" ca="1" si="29"/>
        <v>6.6219372755600345E-2</v>
      </c>
      <c r="EC61" s="44">
        <f t="shared" ca="1" si="30"/>
        <v>9.0000000000000011E-2</v>
      </c>
      <c r="ED61" s="44">
        <f t="shared" ca="1" si="31"/>
        <v>6.6009288539888619E-2</v>
      </c>
      <c r="EE61" s="44">
        <f t="shared" ca="1" si="32"/>
        <v>-3.3703907000608799E-3</v>
      </c>
      <c r="EF61" s="44">
        <f t="shared" ca="1" si="33"/>
        <v>-5.0867504631802729E-3</v>
      </c>
      <c r="EG61" s="44">
        <f t="shared" ca="1" si="34"/>
        <v>1.9648262061308725E-2</v>
      </c>
      <c r="EH61" s="44">
        <f t="shared" ca="1" si="35"/>
        <v>2.0131047712983484E-2</v>
      </c>
      <c r="EI61" s="44">
        <f t="shared" ca="1" si="36"/>
        <v>8.4125356597926121E-4</v>
      </c>
      <c r="EJ61" s="45">
        <f t="shared" ca="1" si="37"/>
        <v>2.9645652336635418E-3</v>
      </c>
      <c r="EK61" s="44">
        <f t="shared" ca="1" si="38"/>
        <v>-9.6717356071997017E-6</v>
      </c>
      <c r="EL61" s="44">
        <f t="shared" ca="1" si="39"/>
        <v>-2.4147223949415606E-3</v>
      </c>
      <c r="EM61" s="44">
        <f t="shared" ca="1" si="40"/>
        <v>-5.2574876451737373E-3</v>
      </c>
      <c r="EN61" s="44">
        <f t="shared" ca="1" si="41"/>
        <v>-4.8305248113788234E-4</v>
      </c>
      <c r="EO61" s="44">
        <f t="shared" ca="1" si="42"/>
        <v>-8.2434942416991354E-4</v>
      </c>
      <c r="EP61" s="44">
        <f t="shared" ca="1" si="43"/>
        <v>-1.6919582945056941E-2</v>
      </c>
      <c r="EQ61" s="44">
        <f t="shared" ca="1" si="44"/>
        <v>1.3692680852512467E-3</v>
      </c>
      <c r="ER61" s="44">
        <f t="shared" ca="1" si="45"/>
        <v>-9.4628676800487706E-3</v>
      </c>
      <c r="ES61" s="44">
        <f t="shared" ca="1" si="46"/>
        <v>1.0856698555297998E-4</v>
      </c>
      <c r="ET61" s="44">
        <f t="shared" ca="1" si="47"/>
        <v>-4.5211623341206715E-4</v>
      </c>
      <c r="EU61" s="44">
        <f t="shared" ca="1" si="48"/>
        <v>2.4025929693633993E-3</v>
      </c>
      <c r="EV61" s="44">
        <f t="shared" ca="1" si="49"/>
        <v>-2.439159067387096E-2</v>
      </c>
      <c r="EW61" s="44">
        <f t="shared" ca="1" si="50"/>
        <v>-3.1753184457676331E-2</v>
      </c>
      <c r="EX61" s="44">
        <f t="shared" ca="1" si="51"/>
        <v>-2.8054184670793809E-2</v>
      </c>
      <c r="EY61" s="44">
        <f t="shared" ca="1" si="52"/>
        <v>-2.6917423307117126E-2</v>
      </c>
      <c r="EZ61" s="44">
        <f t="shared" ca="1" si="53"/>
        <v>-2.7804175122708406E-2</v>
      </c>
      <c r="FA61" s="44">
        <f t="shared" ca="1" si="54"/>
        <v>-2.570291441130226E-2</v>
      </c>
      <c r="FB61" s="44">
        <f t="shared" ca="1" si="55"/>
        <v>-2.2721882804479947E-2</v>
      </c>
      <c r="FC61" s="44">
        <f t="shared" ca="1" si="56"/>
        <v>-3.8211622281572592E-2</v>
      </c>
      <c r="FD61" s="44">
        <f t="shared" ca="1" si="57"/>
        <v>-6.5241943760842969E-2</v>
      </c>
      <c r="FE61" s="44">
        <f t="shared" ca="1" si="58"/>
        <v>-8.9021520621013234E-2</v>
      </c>
      <c r="FF61" s="44">
        <f t="shared" ca="1" si="59"/>
        <v>-6.4962156620734929E-2</v>
      </c>
      <c r="FG61" s="45">
        <f t="shared" ca="1" si="60"/>
        <v>-1.5930139659717284E-4</v>
      </c>
      <c r="FL61" s="111">
        <v>0</v>
      </c>
      <c r="FM61" s="111">
        <v>0</v>
      </c>
      <c r="FN61" s="111">
        <v>0</v>
      </c>
      <c r="FO61" s="111">
        <v>0</v>
      </c>
      <c r="FP61" s="111">
        <v>0</v>
      </c>
      <c r="FQ61" s="111">
        <v>1</v>
      </c>
    </row>
    <row r="62" spans="1:173" x14ac:dyDescent="0.2">
      <c r="A62" s="51" t="str">
        <f t="shared" ref="A62" ca="1" si="142">INDEX(Historical_Data_Names,3,B62)</f>
        <v>A</v>
      </c>
      <c r="B62" s="57">
        <f t="shared" si="67"/>
        <v>21</v>
      </c>
      <c r="C62" s="11" t="str">
        <f t="shared" ref="C62" ca="1" si="143">INDEX(Historical_Data_Names,2,B62)</f>
        <v>EmgWorld Equ</v>
      </c>
      <c r="D62" s="58"/>
      <c r="E62" s="59">
        <f t="shared" ref="E62" ca="1" si="144">AVERAGE(OFFSET(Historical_Data_Start,date_start_row,$B62,date_rows,1))*4</f>
        <v>0.12234772096926269</v>
      </c>
      <c r="F62" s="59">
        <f t="array" aca="1" ref="F62" ca="1">PRODUCT(1+OFFSET(Historical_Data_Start,date_start_row,$B62,date_rows,1))^(4/date_rows)-1</f>
        <v>0.10147096724572413</v>
      </c>
      <c r="G62" s="59">
        <f t="shared" ref="G62" ca="1" si="145">STDEV(OFFSET(Historical_Data_Start,date_start_row,$B62,date_rows,1))*2</f>
        <v>0.22408304911587412</v>
      </c>
      <c r="H62" s="6"/>
      <c r="I62" s="60">
        <v>0.11</v>
      </c>
      <c r="J62" s="60">
        <v>0.28000000000000003</v>
      </c>
      <c r="K62" s="60"/>
      <c r="L62" s="60">
        <v>4.0000000000000002E-4</v>
      </c>
      <c r="M62" s="6"/>
      <c r="N62" s="82">
        <v>3.9994887445056628E-7</v>
      </c>
      <c r="O62" s="6"/>
      <c r="P62" s="53">
        <v>0</v>
      </c>
      <c r="Q62" s="85">
        <v>1</v>
      </c>
      <c r="R62" s="53">
        <v>0.2176925929691195</v>
      </c>
      <c r="S62" s="226"/>
      <c r="T62" s="410">
        <v>0</v>
      </c>
      <c r="U62" s="410">
        <v>0</v>
      </c>
      <c r="V62" s="410">
        <v>0</v>
      </c>
      <c r="W62" s="410">
        <v>0</v>
      </c>
      <c r="X62" s="410">
        <v>0</v>
      </c>
      <c r="Y62" s="410">
        <v>1</v>
      </c>
      <c r="AB62" s="67">
        <v>0.10884629648455975</v>
      </c>
      <c r="AC62" s="91">
        <v>2</v>
      </c>
      <c r="AD62" s="92">
        <f t="shared" si="113"/>
        <v>0.2176925929691195</v>
      </c>
      <c r="AE62" s="63">
        <f t="shared" si="108"/>
        <v>7.5206915832336484E-6</v>
      </c>
      <c r="AF62" s="101">
        <f>(AD62-1)*N62+AD62*($N$52+$N$53+$N$54+$N$55+$N$56+$N$57+$N$58+$N$59+$N$60+$N$61)</f>
        <v>1.1576448612277307E-2</v>
      </c>
      <c r="AH62" s="95"/>
      <c r="AI62" s="119">
        <v>0</v>
      </c>
      <c r="AJ62" s="119">
        <v>0</v>
      </c>
      <c r="AK62" s="119">
        <v>0</v>
      </c>
      <c r="AL62" s="119">
        <v>0</v>
      </c>
      <c r="AM62" s="119">
        <v>0</v>
      </c>
      <c r="AN62" s="119">
        <v>0</v>
      </c>
      <c r="AO62" s="119">
        <v>0</v>
      </c>
      <c r="AP62" s="119">
        <v>0</v>
      </c>
      <c r="AQ62" s="119">
        <v>0</v>
      </c>
      <c r="AR62" s="119">
        <v>0</v>
      </c>
      <c r="AS62" s="119">
        <v>1</v>
      </c>
      <c r="AU62" s="119">
        <v>1</v>
      </c>
      <c r="AV62" s="119">
        <v>1</v>
      </c>
      <c r="AW62" s="119">
        <v>1</v>
      </c>
      <c r="AX62" s="119">
        <v>1</v>
      </c>
      <c r="AY62" s="119">
        <v>1</v>
      </c>
      <c r="AZ62" s="119">
        <v>1</v>
      </c>
      <c r="BA62" s="119">
        <v>1</v>
      </c>
      <c r="BB62" s="119">
        <v>1</v>
      </c>
      <c r="BC62" s="119">
        <v>1</v>
      </c>
      <c r="BD62" s="119">
        <v>1</v>
      </c>
      <c r="BE62" s="119">
        <v>1</v>
      </c>
      <c r="BF62" s="4"/>
      <c r="BG62" s="51" t="str">
        <f t="shared" ca="1" si="9"/>
        <v>EmgWorld Equ</v>
      </c>
      <c r="BH62" s="38">
        <f t="shared" si="10"/>
        <v>0.11</v>
      </c>
      <c r="BI62" s="38">
        <f t="shared" si="11"/>
        <v>0.28000000000000003</v>
      </c>
      <c r="BK62" s="31">
        <f ca="1">CORREL(OFFSET(Historical_Data_Start,date_start_row,$B62,date_rows,1),OFFSET(Historical_Data_Start,date_start_row,Calculations!BK$40,date_rows,1))</f>
        <v>-2.0912324143534371E-3</v>
      </c>
      <c r="BL62" s="32">
        <f ca="1">CORREL(OFFSET(Historical_Data_Start,date_start_row,$B62,date_rows,1),OFFSET(Historical_Data_Start,date_start_row,Calculations!BL$40,date_rows,1))</f>
        <v>-0.17897037509287503</v>
      </c>
      <c r="BM62" s="32">
        <f ca="1">CORREL(OFFSET(Historical_Data_Start,date_start_row,$B62,date_rows,1),OFFSET(Historical_Data_Start,date_start_row,Calculations!BM$40,date_rows,1))</f>
        <v>-0.19993217145668851</v>
      </c>
      <c r="BN62" s="32">
        <f ca="1">CORREL(OFFSET(Historical_Data_Start,date_start_row,$B62,date_rows,1),OFFSET(Historical_Data_Start,date_start_row,Calculations!BN$40,date_rows,1))</f>
        <v>3.5393350776200982E-2</v>
      </c>
      <c r="BO62" s="32">
        <f ca="1">CORREL(OFFSET(Historical_Data_Start,date_start_row,$B62,date_rows,1),OFFSET(Historical_Data_Start,date_start_row,Calculations!BO$40,date_rows,1))</f>
        <v>3.3000333437160502E-2</v>
      </c>
      <c r="BP62" s="32">
        <f ca="1">CORREL(OFFSET(Historical_Data_Start,date_start_row,$B62,date_rows,1),OFFSET(Historical_Data_Start,date_start_row,Calculations!BP$40,date_rows,1))</f>
        <v>-1.5542455531201311E-2</v>
      </c>
      <c r="BQ62" s="32">
        <f ca="1">CORREL(OFFSET(Historical_Data_Start,date_start_row,$B62,date_rows,1),OFFSET(Historical_Data_Start,date_start_row,Calculations!BQ$40,date_rows,1))</f>
        <v>1.7673029027934446E-2</v>
      </c>
      <c r="BR62" s="32">
        <f ca="1">CORREL(OFFSET(Historical_Data_Start,date_start_row,$B62,date_rows,1),OFFSET(Historical_Data_Start,date_start_row,Calculations!BR$40,date_rows,1))</f>
        <v>9.8445323281087654E-2</v>
      </c>
      <c r="BS62" s="32">
        <f ca="1">CORREL(OFFSET(Historical_Data_Start,date_start_row,$B62,date_rows,1),OFFSET(Historical_Data_Start,date_start_row,Calculations!BS$40,date_rows,1))</f>
        <v>0.16404570666860041</v>
      </c>
      <c r="BT62" s="32">
        <f ca="1">CORREL(OFFSET(Historical_Data_Start,date_start_row,$B62,date_rows,1),OFFSET(Historical_Data_Start,date_start_row,Calculations!BT$40,date_rows,1))</f>
        <v>-1.8193356700283683E-2</v>
      </c>
      <c r="BU62" s="32">
        <f ca="1">CORREL(OFFSET(Historical_Data_Start,date_start_row,$B62,date_rows,1),OFFSET(Historical_Data_Start,date_start_row,Calculations!BU$40,date_rows,1))</f>
        <v>0.46612544896640928</v>
      </c>
      <c r="BV62" s="32">
        <f ca="1">CORREL(OFFSET(Historical_Data_Start,date_start_row,$B62,date_rows,1),OFFSET(Historical_Data_Start,date_start_row,Calculations!BV$40,date_rows,1))</f>
        <v>0.53870243695881559</v>
      </c>
      <c r="BW62" s="32">
        <f ca="1">CORREL(OFFSET(Historical_Data_Start,date_start_row,$B62,date_rows,1),OFFSET(Historical_Data_Start,date_start_row,Calculations!BW$40,date_rows,1))</f>
        <v>0.56113318437615189</v>
      </c>
      <c r="BX62" s="32">
        <f ca="1">CORREL(OFFSET(Historical_Data_Start,date_start_row,$B62,date_rows,1),OFFSET(Historical_Data_Start,date_start_row,Calculations!BX$40,date_rows,1))</f>
        <v>0.38167149888250618</v>
      </c>
      <c r="BY62" s="32">
        <f ca="1">CORREL(OFFSET(Historical_Data_Start,date_start_row,$B62,date_rows,1),OFFSET(Historical_Data_Start,date_start_row,Calculations!BY$40,date_rows,1))</f>
        <v>0.50402697984424116</v>
      </c>
      <c r="BZ62" s="32">
        <f ca="1">CORREL(OFFSET(Historical_Data_Start,date_start_row,$B62,date_rows,1),OFFSET(Historical_Data_Start,date_start_row,Calculations!BZ$40,date_rows,1))</f>
        <v>0.49442469813938178</v>
      </c>
      <c r="CA62" s="32">
        <f ca="1">CORREL(OFFSET(Historical_Data_Start,date_start_row,$B62,date_rows,1),OFFSET(Historical_Data_Start,date_start_row,Calculations!CA$40,date_rows,1))</f>
        <v>0.32074381595202012</v>
      </c>
      <c r="CB62" s="32">
        <f ca="1">CORREL(OFFSET(Historical_Data_Start,date_start_row,$B62,date_rows,1),OFFSET(Historical_Data_Start,date_start_row,Calculations!CB$40,date_rows,1))</f>
        <v>0.59682409519037871</v>
      </c>
      <c r="CC62" s="32">
        <f ca="1">CORREL(OFFSET(Historical_Data_Start,date_start_row,$B62,date_rows,1),OFFSET(Historical_Data_Start,date_start_row,Calculations!CC$40,date_rows,1))</f>
        <v>0.72843952536715906</v>
      </c>
      <c r="CD62" s="32">
        <f ca="1">CORREL(OFFSET(Historical_Data_Start,date_start_row,$B62,date_rows,1),OFFSET(Historical_Data_Start,date_start_row,Calculations!CD$40,date_rows,1))</f>
        <v>0.78582486357010262</v>
      </c>
      <c r="CE62" s="32">
        <f ca="1">CORREL(OFFSET(Historical_Data_Start,date_start_row,$B62,date_rows,1),OFFSET(Historical_Data_Start,date_start_row,Calculations!CE$40,date_rows,1))</f>
        <v>1</v>
      </c>
      <c r="CF62" s="32">
        <f ca="1">CORREL(OFFSET(Historical_Data_Start,date_start_row,$B62,date_rows,1),OFFSET(Historical_Data_Start,date_start_row,Calculations!CF$40,date_rows,1))</f>
        <v>-0.10186363375344705</v>
      </c>
      <c r="CG62" s="32">
        <f ca="1">CORREL(OFFSET(Historical_Data_Start,date_start_row,$B62,date_rows,1),OFFSET(Historical_Data_Start,date_start_row,Calculations!CG$40,date_rows,1))</f>
        <v>-0.14794869413621259</v>
      </c>
      <c r="CH62" s="32">
        <f ca="1">CORREL(OFFSET(Historical_Data_Start,date_start_row,$B62,date_rows,1),OFFSET(Historical_Data_Start,date_start_row,Calculations!CH$40,date_rows,1))</f>
        <v>0.37058836833402509</v>
      </c>
      <c r="CI62" s="32">
        <f ca="1">CORREL(OFFSET(Historical_Data_Start,date_start_row,$B62,date_rows,1),OFFSET(Historical_Data_Start,date_start_row,Calculations!CI$40,date_rows,1))</f>
        <v>0.26264621893373247</v>
      </c>
      <c r="CJ62" s="32">
        <f ca="1">CORREL(OFFSET(Historical_Data_Start,date_start_row,$B62,date_rows,1),OFFSET(Historical_Data_Start,date_start_row,Calculations!CJ$40,date_rows,1))</f>
        <v>-5.5279435832687455E-2</v>
      </c>
      <c r="CK62" s="32">
        <f ca="1">CORREL(OFFSET(Historical_Data_Start,date_start_row,$B62,date_rows,1),OFFSET(Historical_Data_Start,date_start_row,Calculations!CK$40,date_rows,1))</f>
        <v>0.11849613903830972</v>
      </c>
      <c r="CL62" s="32">
        <f ca="1">CORREL(OFFSET(Historical_Data_Start,date_start_row,$B62,date_rows,1),OFFSET(Historical_Data_Start,date_start_row,Calculations!CL$40,date_rows,1))</f>
        <v>-2.0958276019297332E-3</v>
      </c>
      <c r="CM62" s="32">
        <f ca="1">CORREL(OFFSET(Historical_Data_Start,date_start_row,$B62,date_rows,1),OFFSET(Historical_Data_Start,date_start_row,Calculations!CM$40,date_rows,1))</f>
        <v>-0.17897037509287503</v>
      </c>
      <c r="CN62" s="32">
        <f ca="1">CORREL(OFFSET(Historical_Data_Start,date_start_row,$B62,date_rows,1),OFFSET(Historical_Data_Start,date_start_row,Calculations!CN$40,date_rows,1))</f>
        <v>-0.19993217145668851</v>
      </c>
      <c r="CO62" s="32">
        <f ca="1">CORREL(OFFSET(Historical_Data_Start,date_start_row,$B62,date_rows,1),OFFSET(Historical_Data_Start,date_start_row,Calculations!CO$40,date_rows,1))</f>
        <v>-1.5542455531201311E-2</v>
      </c>
      <c r="CP62" s="32">
        <f ca="1">CORREL(OFFSET(Historical_Data_Start,date_start_row,$B62,date_rows,1),OFFSET(Historical_Data_Start,date_start_row,Calculations!CP$40,date_rows,1))</f>
        <v>1.7673029027934446E-2</v>
      </c>
      <c r="CQ62" s="32">
        <f ca="1">CORREL(OFFSET(Historical_Data_Start,date_start_row,$B62,date_rows,1),OFFSET(Historical_Data_Start,date_start_row,Calculations!CQ$40,date_rows,1))</f>
        <v>-0.15651588907756592</v>
      </c>
      <c r="CR62" s="32">
        <f ca="1">CORREL(OFFSET(Historical_Data_Start,date_start_row,$B62,date_rows,1),OFFSET(Historical_Data_Start,date_start_row,Calculations!CR$40,date_rows,1))</f>
        <v>6.029248876398359E-2</v>
      </c>
      <c r="CS62" s="32">
        <f ca="1">CORREL(OFFSET(Historical_Data_Start,date_start_row,$B62,date_rows,1),OFFSET(Historical_Data_Start,date_start_row,Calculations!CS$40,date_rows,1))</f>
        <v>-4.6934533648266222E-3</v>
      </c>
      <c r="CT62" s="32">
        <f ca="1">CORREL(OFFSET(Historical_Data_Start,date_start_row,$B62,date_rows,1),OFFSET(Historical_Data_Start,date_start_row,Calculations!CT$40,date_rows,1))</f>
        <v>-3.1217130546131403E-2</v>
      </c>
      <c r="CU62" s="32">
        <f ca="1">CORREL(OFFSET(Historical_Data_Start,date_start_row,$B62,date_rows,1),OFFSET(Historical_Data_Start,date_start_row,Calculations!CU$40,date_rows,1))</f>
        <v>-8.5960950543018125E-2</v>
      </c>
      <c r="CV62" s="32">
        <f ca="1">CORREL(OFFSET(Historical_Data_Start,date_start_row,$B62,date_rows,1),OFFSET(Historical_Data_Start,date_start_row,Calculations!CV$40,date_rows,1))</f>
        <v>7.4193529146009352E-2</v>
      </c>
      <c r="CW62" s="32">
        <f ca="1">CORREL(OFFSET(Historical_Data_Start,date_start_row,$B62,date_rows,1),OFFSET(Historical_Data_Start,date_start_row,Calculations!CW$40,date_rows,1))</f>
        <v>-0.52906053010118315</v>
      </c>
      <c r="CX62" s="32">
        <f ca="1">CORREL(OFFSET(Historical_Data_Start,date_start_row,$B62,date_rows,1),OFFSET(Historical_Data_Start,date_start_row,Calculations!CX$40,date_rows,1))</f>
        <v>-0.57175194666069051</v>
      </c>
      <c r="CY62" s="32">
        <f ca="1">CORREL(OFFSET(Historical_Data_Start,date_start_row,$B62,date_rows,1),OFFSET(Historical_Data_Start,date_start_row,Calculations!CY$40,date_rows,1))</f>
        <v>-0.56113318437615189</v>
      </c>
      <c r="CZ62" s="32">
        <f ca="1">CORREL(OFFSET(Historical_Data_Start,date_start_row,$B62,date_rows,1),OFFSET(Historical_Data_Start,date_start_row,Calculations!CZ$40,date_rows,1))</f>
        <v>-0.4251403649276479</v>
      </c>
      <c r="DA62" s="32">
        <f ca="1">CORREL(OFFSET(Historical_Data_Start,date_start_row,$B62,date_rows,1),OFFSET(Historical_Data_Start,date_start_row,Calculations!DA$40,date_rows,1))</f>
        <v>-0.53333766501876634</v>
      </c>
      <c r="DB62" s="32">
        <f ca="1">CORREL(OFFSET(Historical_Data_Start,date_start_row,$B62,date_rows,1),OFFSET(Historical_Data_Start,date_start_row,Calculations!DB$40,date_rows,1))</f>
        <v>-0.52113057448824496</v>
      </c>
      <c r="DC62" s="32">
        <f ca="1">CORREL(OFFSET(Historical_Data_Start,date_start_row,$B62,date_rows,1),OFFSET(Historical_Data_Start,date_start_row,Calculations!DC$40,date_rows,1))</f>
        <v>-0.38157594290082342</v>
      </c>
      <c r="DD62" s="32">
        <f ca="1">CORREL(OFFSET(Historical_Data_Start,date_start_row,$B62,date_rows,1),OFFSET(Historical_Data_Start,date_start_row,Calculations!DD$40,date_rows,1))</f>
        <v>-0.59976807418454436</v>
      </c>
      <c r="DE62" s="32">
        <f ca="1">CORREL(OFFSET(Historical_Data_Start,date_start_row,$B62,date_rows,1),OFFSET(Historical_Data_Start,date_start_row,Calculations!DE$40,date_rows,1))</f>
        <v>-0.73209249055566661</v>
      </c>
      <c r="DF62" s="32">
        <f ca="1">CORREL(OFFSET(Historical_Data_Start,date_start_row,$B62,date_rows,1),OFFSET(Historical_Data_Start,date_start_row,Calculations!DF$40,date_rows,1))</f>
        <v>-0.79203537440176552</v>
      </c>
      <c r="DG62" s="32">
        <f ca="1">CORREL(OFFSET(Historical_Data_Start,date_start_row,$B62,date_rows,1),OFFSET(Historical_Data_Start,date_start_row,Calculations!DG$40,date_rows,1))</f>
        <v>-0.98578787258820622</v>
      </c>
      <c r="DH62" s="33">
        <f ca="1">CORREL(OFFSET(Historical_Data_Start,date_start_row,$B62,date_rows,1),OFFSET(Historical_Data_Start,date_start_row,Calculations!DH$40,date_rows,1))</f>
        <v>-0.1314310881510676</v>
      </c>
      <c r="DI62" s="2">
        <f t="shared" si="71"/>
        <v>21</v>
      </c>
      <c r="DJ62" s="43">
        <f t="shared" ca="1" si="65"/>
        <v>-5.8554507601896246E-6</v>
      </c>
      <c r="DK62" s="44">
        <f t="shared" ca="1" si="12"/>
        <v>-3.157037416638316E-3</v>
      </c>
      <c r="DL62" s="44">
        <f t="shared" ca="1" si="13"/>
        <v>-6.0459488648502615E-3</v>
      </c>
      <c r="DM62" s="44">
        <f t="shared" ca="1" si="14"/>
        <v>5.7478801660550399E-4</v>
      </c>
      <c r="DN62" s="44">
        <f t="shared" ca="1" si="15"/>
        <v>9.0552914951568431E-4</v>
      </c>
      <c r="DO62" s="44">
        <f t="shared" ca="1" si="16"/>
        <v>-2.3065004008302747E-4</v>
      </c>
      <c r="DP62" s="44">
        <f t="shared" ca="1" si="17"/>
        <v>4.5525722775959139E-4</v>
      </c>
      <c r="DQ62" s="44">
        <f t="shared" ca="1" si="18"/>
        <v>1.3506698354165227E-3</v>
      </c>
      <c r="DR62" s="44">
        <f t="shared" ca="1" si="19"/>
        <v>3.8124222229782741E-3</v>
      </c>
      <c r="DS62" s="44">
        <f t="shared" ca="1" si="20"/>
        <v>-3.5658979132556024E-4</v>
      </c>
      <c r="DT62" s="44">
        <f t="shared" ca="1" si="21"/>
        <v>2.0882420113695139E-2</v>
      </c>
      <c r="DU62" s="44">
        <f t="shared" ca="1" si="22"/>
        <v>3.0167336469693676E-2</v>
      </c>
      <c r="DV62" s="44">
        <f t="shared" ca="1" si="23"/>
        <v>2.8281112492558054E-2</v>
      </c>
      <c r="DW62" s="44">
        <f t="shared" ca="1" si="24"/>
        <v>2.5648324724904418E-2</v>
      </c>
      <c r="DX62" s="44">
        <f t="shared" ca="1" si="25"/>
        <v>2.9636786414841382E-2</v>
      </c>
      <c r="DY62" s="44">
        <f t="shared" ca="1" si="26"/>
        <v>2.7687783095805385E-2</v>
      </c>
      <c r="DZ62" s="44">
        <f t="shared" ca="1" si="27"/>
        <v>1.796165369331313E-2</v>
      </c>
      <c r="EA62" s="44">
        <f t="shared" ca="1" si="28"/>
        <v>3.6764364263727332E-2</v>
      </c>
      <c r="EB62" s="44">
        <f t="shared" ca="1" si="29"/>
        <v>5.3030397446729181E-2</v>
      </c>
      <c r="EC62" s="44">
        <f t="shared" ca="1" si="30"/>
        <v>6.6009288539888619E-2</v>
      </c>
      <c r="ED62" s="44">
        <f t="shared" ca="1" si="31"/>
        <v>7.8400000000000011E-2</v>
      </c>
      <c r="EE62" s="44">
        <f t="shared" ca="1" si="32"/>
        <v>-2.5669635705868657E-3</v>
      </c>
      <c r="EF62" s="44">
        <f t="shared" ca="1" si="33"/>
        <v>-3.7283070922325572E-3</v>
      </c>
      <c r="EG62" s="44">
        <f t="shared" ca="1" si="34"/>
        <v>1.7640006332699597E-2</v>
      </c>
      <c r="EH62" s="44">
        <f t="shared" ca="1" si="35"/>
        <v>1.7649825912346824E-2</v>
      </c>
      <c r="EI62" s="44">
        <f t="shared" ca="1" si="36"/>
        <v>-1.8573890439782987E-3</v>
      </c>
      <c r="EJ62" s="45">
        <f t="shared" ca="1" si="37"/>
        <v>2.9861027037654049E-3</v>
      </c>
      <c r="EK62" s="44">
        <f t="shared" ca="1" si="38"/>
        <v>-5.8683172854032539E-6</v>
      </c>
      <c r="EL62" s="44">
        <f t="shared" ca="1" si="39"/>
        <v>-2.3051384311962306E-3</v>
      </c>
      <c r="EM62" s="44">
        <f t="shared" ca="1" si="40"/>
        <v>-4.5344616486376957E-3</v>
      </c>
      <c r="EN62" s="44">
        <f t="shared" ca="1" si="41"/>
        <v>-1.7842738949819102E-4</v>
      </c>
      <c r="EO62" s="44">
        <f t="shared" ca="1" si="42"/>
        <v>5.6412308657166762E-4</v>
      </c>
      <c r="EP62" s="44">
        <f t="shared" ca="1" si="43"/>
        <v>-1.2139372356856012E-2</v>
      </c>
      <c r="EQ62" s="44">
        <f t="shared" ca="1" si="44"/>
        <v>4.017891451231867E-3</v>
      </c>
      <c r="ER62" s="44">
        <f t="shared" ca="1" si="45"/>
        <v>-4.2053342148846539E-4</v>
      </c>
      <c r="ES62" s="44">
        <f t="shared" ca="1" si="46"/>
        <v>-5.5067018283375807E-4</v>
      </c>
      <c r="ET62" s="44">
        <f t="shared" ca="1" si="47"/>
        <v>-1.2034533076022539E-3</v>
      </c>
      <c r="EU62" s="44">
        <f t="shared" ca="1" si="48"/>
        <v>1.4541931712617835E-3</v>
      </c>
      <c r="EV62" s="44">
        <f t="shared" ca="1" si="49"/>
        <v>-2.3701911748533009E-2</v>
      </c>
      <c r="EW62" s="44">
        <f t="shared" ca="1" si="50"/>
        <v>-3.2018109012998675E-2</v>
      </c>
      <c r="EX62" s="44">
        <f t="shared" ca="1" si="51"/>
        <v>-2.8281112492558054E-2</v>
      </c>
      <c r="EY62" s="44">
        <f t="shared" ca="1" si="52"/>
        <v>-2.8569432523137941E-2</v>
      </c>
      <c r="EZ62" s="44">
        <f t="shared" ca="1" si="53"/>
        <v>-3.1360254703103461E-2</v>
      </c>
      <c r="FA62" s="44">
        <f t="shared" ca="1" si="54"/>
        <v>-2.9183312171341722E-2</v>
      </c>
      <c r="FB62" s="44">
        <f t="shared" ca="1" si="55"/>
        <v>-2.1368252802446114E-2</v>
      </c>
      <c r="FC62" s="44">
        <f t="shared" ca="1" si="56"/>
        <v>-3.6945713369767937E-2</v>
      </c>
      <c r="FD62" s="44">
        <f t="shared" ca="1" si="57"/>
        <v>-5.329633331245253E-2</v>
      </c>
      <c r="FE62" s="44">
        <f t="shared" ca="1" si="58"/>
        <v>-6.6530971449748302E-2</v>
      </c>
      <c r="FF62" s="44">
        <f t="shared" ca="1" si="59"/>
        <v>-7.7285769210915373E-2</v>
      </c>
      <c r="FG62" s="45">
        <f t="shared" ca="1" si="60"/>
        <v>-1.8400352341149467E-4</v>
      </c>
      <c r="FL62" s="111">
        <v>0</v>
      </c>
      <c r="FM62" s="111">
        <v>0</v>
      </c>
      <c r="FN62" s="111">
        <v>0</v>
      </c>
      <c r="FO62" s="111">
        <v>0</v>
      </c>
      <c r="FP62" s="111">
        <v>0</v>
      </c>
      <c r="FQ62" s="111">
        <v>1</v>
      </c>
    </row>
    <row r="63" spans="1:173" x14ac:dyDescent="0.2">
      <c r="A63" s="51" t="str">
        <f t="shared" ref="A63" ca="1" si="146">INDEX(Historical_Data_Names,3,B63)</f>
        <v>A</v>
      </c>
      <c r="B63" s="57">
        <f t="shared" si="67"/>
        <v>22</v>
      </c>
      <c r="C63" s="11" t="str">
        <f t="shared" ref="C63" ca="1" si="147">INDEX(Historical_Data_Names,2,B63)</f>
        <v>US RE</v>
      </c>
      <c r="D63" s="58"/>
      <c r="E63" s="59">
        <f t="shared" ref="E63" ca="1" si="148">AVERAGE(OFFSET(Historical_Data_Start,date_start_row,$B63,date_rows,1))*4</f>
        <v>7.8713888952418723E-2</v>
      </c>
      <c r="F63" s="59">
        <f t="array" aca="1" ref="F63" ca="1">PRODUCT(1+OFFSET(Historical_Data_Start,date_start_row,$B63,date_rows,1))^(4/date_rows)-1</f>
        <v>7.9508350936713157E-2</v>
      </c>
      <c r="G63" s="59">
        <f t="shared" ref="G63" ca="1" si="149">STDEV(OFFSET(Historical_Data_Start,date_start_row,$B63,date_rows,1))*2</f>
        <v>5.4260713176203929E-2</v>
      </c>
      <c r="H63" s="6"/>
      <c r="I63" s="60">
        <v>0.08</v>
      </c>
      <c r="J63" s="60">
        <v>0.09</v>
      </c>
      <c r="K63" s="60"/>
      <c r="L63" s="60">
        <v>9.4200000000000006E-2</v>
      </c>
      <c r="M63" s="6"/>
      <c r="N63" s="82">
        <v>5.5209090999256855E-8</v>
      </c>
      <c r="O63" s="6"/>
      <c r="P63" s="53">
        <v>0</v>
      </c>
      <c r="Q63" s="85">
        <v>1</v>
      </c>
      <c r="R63" s="53"/>
      <c r="S63" s="226"/>
      <c r="T63" s="410">
        <v>0</v>
      </c>
      <c r="U63" s="410">
        <v>0</v>
      </c>
      <c r="V63" s="410">
        <v>0</v>
      </c>
      <c r="W63" s="410">
        <v>0</v>
      </c>
      <c r="X63" s="410">
        <v>1</v>
      </c>
      <c r="Y63" s="410">
        <v>0</v>
      </c>
      <c r="AI63" s="117">
        <v>0</v>
      </c>
      <c r="AJ63" s="117">
        <v>0</v>
      </c>
      <c r="AK63" s="117">
        <v>0</v>
      </c>
      <c r="AL63" s="117">
        <v>0</v>
      </c>
      <c r="AM63" s="117">
        <v>0</v>
      </c>
      <c r="AN63" s="117">
        <v>0</v>
      </c>
      <c r="AO63" s="117">
        <v>0</v>
      </c>
      <c r="AP63" s="117">
        <v>0</v>
      </c>
      <c r="AQ63" s="117">
        <v>0</v>
      </c>
      <c r="AR63" s="117">
        <v>0</v>
      </c>
      <c r="AS63" s="117">
        <v>0</v>
      </c>
      <c r="AU63" s="117">
        <v>0</v>
      </c>
      <c r="AV63" s="117">
        <v>0</v>
      </c>
      <c r="AW63" s="117">
        <v>0</v>
      </c>
      <c r="AX63" s="117">
        <v>0</v>
      </c>
      <c r="AY63" s="117">
        <v>0</v>
      </c>
      <c r="AZ63" s="117">
        <v>0</v>
      </c>
      <c r="BA63" s="117">
        <v>0</v>
      </c>
      <c r="BB63" s="117">
        <v>0</v>
      </c>
      <c r="BC63" s="117">
        <v>0</v>
      </c>
      <c r="BD63" s="117">
        <v>0</v>
      </c>
      <c r="BE63" s="117">
        <v>0</v>
      </c>
      <c r="BG63" s="1" t="str">
        <f t="shared" ca="1" si="9"/>
        <v>US RE</v>
      </c>
      <c r="BH63" s="38">
        <f t="shared" si="10"/>
        <v>0.08</v>
      </c>
      <c r="BI63" s="38">
        <f t="shared" si="11"/>
        <v>0.09</v>
      </c>
      <c r="BK63" s="31">
        <f ca="1">CORREL(OFFSET(Historical_Data_Start,date_start_row,$B63,date_rows,1),OFFSET(Historical_Data_Start,date_start_row,Calculations!BK$40,date_rows,1))</f>
        <v>7.767135767991909E-2</v>
      </c>
      <c r="BL63" s="32">
        <f ca="1">CORREL(OFFSET(Historical_Data_Start,date_start_row,$B63,date_rows,1),OFFSET(Historical_Data_Start,date_start_row,Calculations!BL$40,date_rows,1))</f>
        <v>-8.1755010029846226E-2</v>
      </c>
      <c r="BM63" s="32">
        <f ca="1">CORREL(OFFSET(Historical_Data_Start,date_start_row,$B63,date_rows,1),OFFSET(Historical_Data_Start,date_start_row,Calculations!BM$40,date_rows,1))</f>
        <v>-7.2322484590819053E-2</v>
      </c>
      <c r="BN63" s="32">
        <f ca="1">CORREL(OFFSET(Historical_Data_Start,date_start_row,$B63,date_rows,1),OFFSET(Historical_Data_Start,date_start_row,Calculations!BN$40,date_rows,1))</f>
        <v>-0.14985738854464303</v>
      </c>
      <c r="BO63" s="32">
        <f ca="1">CORREL(OFFSET(Historical_Data_Start,date_start_row,$B63,date_rows,1),OFFSET(Historical_Data_Start,date_start_row,Calculations!BO$40,date_rows,1))</f>
        <v>-0.15243967952076592</v>
      </c>
      <c r="BP63" s="32">
        <f ca="1">CORREL(OFFSET(Historical_Data_Start,date_start_row,$B63,date_rows,1),OFFSET(Historical_Data_Start,date_start_row,Calculations!BP$40,date_rows,1))</f>
        <v>-0.11140166067041596</v>
      </c>
      <c r="BQ63" s="32">
        <f ca="1">CORREL(OFFSET(Historical_Data_Start,date_start_row,$B63,date_rows,1),OFFSET(Historical_Data_Start,date_start_row,Calculations!BQ$40,date_rows,1))</f>
        <v>-7.4121597703046202E-2</v>
      </c>
      <c r="BR63" s="32">
        <f ca="1">CORREL(OFFSET(Historical_Data_Start,date_start_row,$B63,date_rows,1),OFFSET(Historical_Data_Start,date_start_row,Calculations!BR$40,date_rows,1))</f>
        <v>-0.15821898645107491</v>
      </c>
      <c r="BS63" s="32">
        <f ca="1">CORREL(OFFSET(Historical_Data_Start,date_start_row,$B63,date_rows,1),OFFSET(Historical_Data_Start,date_start_row,Calculations!BS$40,date_rows,1))</f>
        <v>-0.1042938960734438</v>
      </c>
      <c r="BT63" s="32">
        <f ca="1">CORREL(OFFSET(Historical_Data_Start,date_start_row,$B63,date_rows,1),OFFSET(Historical_Data_Start,date_start_row,Calculations!BT$40,date_rows,1))</f>
        <v>-0.11270792348968264</v>
      </c>
      <c r="BU63" s="32">
        <f ca="1">CORREL(OFFSET(Historical_Data_Start,date_start_row,$B63,date_rows,1),OFFSET(Historical_Data_Start,date_start_row,Calculations!BU$40,date_rows,1))</f>
        <v>6.5736895900016121E-2</v>
      </c>
      <c r="BV63" s="32">
        <f ca="1">CORREL(OFFSET(Historical_Data_Start,date_start_row,$B63,date_rows,1),OFFSET(Historical_Data_Start,date_start_row,Calculations!BV$40,date_rows,1))</f>
        <v>1.7237453842736436E-3</v>
      </c>
      <c r="BW63" s="32">
        <f ca="1">CORREL(OFFSET(Historical_Data_Start,date_start_row,$B63,date_rows,1),OFFSET(Historical_Data_Start,date_start_row,Calculations!BW$40,date_rows,1))</f>
        <v>5.7833412004068212E-2</v>
      </c>
      <c r="BX63" s="32">
        <f ca="1">CORREL(OFFSET(Historical_Data_Start,date_start_row,$B63,date_rows,1),OFFSET(Historical_Data_Start,date_start_row,Calculations!BX$40,date_rows,1))</f>
        <v>1.7821572104719456E-2</v>
      </c>
      <c r="BY63" s="32">
        <f ca="1">CORREL(OFFSET(Historical_Data_Start,date_start_row,$B63,date_rows,1),OFFSET(Historical_Data_Start,date_start_row,Calculations!BY$40,date_rows,1))</f>
        <v>5.458448769473466E-2</v>
      </c>
      <c r="BZ63" s="32">
        <f ca="1">CORREL(OFFSET(Historical_Data_Start,date_start_row,$B63,date_rows,1),OFFSET(Historical_Data_Start,date_start_row,Calculations!BZ$40,date_rows,1))</f>
        <v>7.4202497201896964E-2</v>
      </c>
      <c r="CA63" s="32">
        <f ca="1">CORREL(OFFSET(Historical_Data_Start,date_start_row,$B63,date_rows,1),OFFSET(Historical_Data_Start,date_start_row,Calculations!CA$40,date_rows,1))</f>
        <v>-1.5505753947845695E-2</v>
      </c>
      <c r="CB63" s="32">
        <f ca="1">CORREL(OFFSET(Historical_Data_Start,date_start_row,$B63,date_rows,1),OFFSET(Historical_Data_Start,date_start_row,Calculations!CB$40,date_rows,1))</f>
        <v>1.9122068455479622E-3</v>
      </c>
      <c r="CC63" s="32">
        <f ca="1">CORREL(OFFSET(Historical_Data_Start,date_start_row,$B63,date_rows,1),OFFSET(Historical_Data_Start,date_start_row,Calculations!CC$40,date_rows,1))</f>
        <v>-6.6382397014100356E-2</v>
      </c>
      <c r="CD63" s="32">
        <f ca="1">CORREL(OFFSET(Historical_Data_Start,date_start_row,$B63,date_rows,1),OFFSET(Historical_Data_Start,date_start_row,Calculations!CD$40,date_rows,1))</f>
        <v>-0.12482928518743999</v>
      </c>
      <c r="CE63" s="32">
        <f ca="1">CORREL(OFFSET(Historical_Data_Start,date_start_row,$B63,date_rows,1),OFFSET(Historical_Data_Start,date_start_row,Calculations!CE$40,date_rows,1))</f>
        <v>-0.10186363375344705</v>
      </c>
      <c r="CF63" s="32">
        <f ca="1">CORREL(OFFSET(Historical_Data_Start,date_start_row,$B63,date_rows,1),OFFSET(Historical_Data_Start,date_start_row,Calculations!CF$40,date_rows,1))</f>
        <v>1.0000000000000002</v>
      </c>
      <c r="CG63" s="32">
        <f ca="1">CORREL(OFFSET(Historical_Data_Start,date_start_row,$B63,date_rows,1),OFFSET(Historical_Data_Start,date_start_row,Calculations!CG$40,date_rows,1))</f>
        <v>0.64643268160053902</v>
      </c>
      <c r="CH63" s="32">
        <f ca="1">CORREL(OFFSET(Historical_Data_Start,date_start_row,$B63,date_rows,1),OFFSET(Historical_Data_Start,date_start_row,Calculations!CH$40,date_rows,1))</f>
        <v>0.16857870982084483</v>
      </c>
      <c r="CI63" s="32">
        <f ca="1">CORREL(OFFSET(Historical_Data_Start,date_start_row,$B63,date_rows,1),OFFSET(Historical_Data_Start,date_start_row,Calculations!CI$40,date_rows,1))</f>
        <v>7.1485266989122262E-2</v>
      </c>
      <c r="CJ63" s="32">
        <f ca="1">CORREL(OFFSET(Historical_Data_Start,date_start_row,$B63,date_rows,1),OFFSET(Historical_Data_Start,date_start_row,Calculations!CJ$40,date_rows,1))</f>
        <v>-9.9913715085155702E-2</v>
      </c>
      <c r="CK63" s="32">
        <f ca="1">CORREL(OFFSET(Historical_Data_Start,date_start_row,$B63,date_rows,1),OFFSET(Historical_Data_Start,date_start_row,Calculations!CK$40,date_rows,1))</f>
        <v>0.1364531206990644</v>
      </c>
      <c r="CL63" s="32">
        <f ca="1">CORREL(OFFSET(Historical_Data_Start,date_start_row,$B63,date_rows,1),OFFSET(Historical_Data_Start,date_start_row,Calculations!CL$40,date_rows,1))</f>
        <v>7.7678291085420209E-2</v>
      </c>
      <c r="CM63" s="32">
        <f ca="1">CORREL(OFFSET(Historical_Data_Start,date_start_row,$B63,date_rows,1),OFFSET(Historical_Data_Start,date_start_row,Calculations!CM$40,date_rows,1))</f>
        <v>-8.1755010029846226E-2</v>
      </c>
      <c r="CN63" s="32">
        <f ca="1">CORREL(OFFSET(Historical_Data_Start,date_start_row,$B63,date_rows,1),OFFSET(Historical_Data_Start,date_start_row,Calculations!CN$40,date_rows,1))</f>
        <v>-7.2322484590819053E-2</v>
      </c>
      <c r="CO63" s="32">
        <f ca="1">CORREL(OFFSET(Historical_Data_Start,date_start_row,$B63,date_rows,1),OFFSET(Historical_Data_Start,date_start_row,Calculations!CO$40,date_rows,1))</f>
        <v>-0.11140166067041596</v>
      </c>
      <c r="CP63" s="32">
        <f ca="1">CORREL(OFFSET(Historical_Data_Start,date_start_row,$B63,date_rows,1),OFFSET(Historical_Data_Start,date_start_row,Calculations!CP$40,date_rows,1))</f>
        <v>-7.4121597703046202E-2</v>
      </c>
      <c r="CQ63" s="32">
        <f ca="1">CORREL(OFFSET(Historical_Data_Start,date_start_row,$B63,date_rows,1),OFFSET(Historical_Data_Start,date_start_row,Calculations!CQ$40,date_rows,1))</f>
        <v>-9.2717604722630173E-2</v>
      </c>
      <c r="CR63" s="32">
        <f ca="1">CORREL(OFFSET(Historical_Data_Start,date_start_row,$B63,date_rows,1),OFFSET(Historical_Data_Start,date_start_row,Calculations!CR$40,date_rows,1))</f>
        <v>-3.723947258076855E-3</v>
      </c>
      <c r="CS63" s="32">
        <f ca="1">CORREL(OFFSET(Historical_Data_Start,date_start_row,$B63,date_rows,1),OFFSET(Historical_Data_Start,date_start_row,Calculations!CS$40,date_rows,1))</f>
        <v>-9.2355273244269592E-2</v>
      </c>
      <c r="CT63" s="32">
        <f ca="1">CORREL(OFFSET(Historical_Data_Start,date_start_row,$B63,date_rows,1),OFFSET(Historical_Data_Start,date_start_row,Calculations!CT$40,date_rows,1))</f>
        <v>0.15210724043721185</v>
      </c>
      <c r="CU63" s="32">
        <f ca="1">CORREL(OFFSET(Historical_Data_Start,date_start_row,$B63,date_rows,1),OFFSET(Historical_Data_Start,date_start_row,Calculations!CU$40,date_rows,1))</f>
        <v>0.16347899154810697</v>
      </c>
      <c r="CV63" s="32">
        <f ca="1">CORREL(OFFSET(Historical_Data_Start,date_start_row,$B63,date_rows,1),OFFSET(Historical_Data_Start,date_start_row,Calculations!CV$40,date_rows,1))</f>
        <v>0.16798009401489811</v>
      </c>
      <c r="CW63" s="32">
        <f ca="1">CORREL(OFFSET(Historical_Data_Start,date_start_row,$B63,date_rows,1),OFFSET(Historical_Data_Start,date_start_row,Calculations!CW$40,date_rows,1))</f>
        <v>-7.5936383181661488E-2</v>
      </c>
      <c r="CX63" s="32">
        <f ca="1">CORREL(OFFSET(Historical_Data_Start,date_start_row,$B63,date_rows,1),OFFSET(Historical_Data_Start,date_start_row,Calculations!CX$40,date_rows,1))</f>
        <v>-1.35296022189383E-2</v>
      </c>
      <c r="CY63" s="32">
        <f ca="1">CORREL(OFFSET(Historical_Data_Start,date_start_row,$B63,date_rows,1),OFFSET(Historical_Data_Start,date_start_row,Calculations!CY$40,date_rows,1))</f>
        <v>-5.7833412004068212E-2</v>
      </c>
      <c r="CZ63" s="32">
        <f ca="1">CORREL(OFFSET(Historical_Data_Start,date_start_row,$B63,date_rows,1),OFFSET(Historical_Data_Start,date_start_row,Calculations!CZ$40,date_rows,1))</f>
        <v>-2.8084161734072112E-2</v>
      </c>
      <c r="DA63" s="32">
        <f ca="1">CORREL(OFFSET(Historical_Data_Start,date_start_row,$B63,date_rows,1),OFFSET(Historical_Data_Start,date_start_row,Calculations!DA$40,date_rows,1))</f>
        <v>-5.8343704776488155E-2</v>
      </c>
      <c r="DB63" s="32">
        <f ca="1">CORREL(OFFSET(Historical_Data_Start,date_start_row,$B63,date_rows,1),OFFSET(Historical_Data_Start,date_start_row,Calculations!DB$40,date_rows,1))</f>
        <v>-7.633387065708469E-2</v>
      </c>
      <c r="DC63" s="32">
        <f ca="1">CORREL(OFFSET(Historical_Data_Start,date_start_row,$B63,date_rows,1),OFFSET(Historical_Data_Start,date_start_row,Calculations!DC$40,date_rows,1))</f>
        <v>1.8732994454365918E-3</v>
      </c>
      <c r="DD63" s="32">
        <f ca="1">CORREL(OFFSET(Historical_Data_Start,date_start_row,$B63,date_rows,1),OFFSET(Historical_Data_Start,date_start_row,Calculations!DD$40,date_rows,1))</f>
        <v>-6.6766366873629041E-3</v>
      </c>
      <c r="DE63" s="32">
        <f ca="1">CORREL(OFFSET(Historical_Data_Start,date_start_row,$B63,date_rows,1),OFFSET(Historical_Data_Start,date_start_row,Calculations!DE$40,date_rows,1))</f>
        <v>5.8347655283997518E-2</v>
      </c>
      <c r="DF63" s="32">
        <f ca="1">CORREL(OFFSET(Historical_Data_Start,date_start_row,$B63,date_rows,1),OFFSET(Historical_Data_Start,date_start_row,Calculations!DF$40,date_rows,1))</f>
        <v>0.11221436863102828</v>
      </c>
      <c r="DG63" s="32">
        <f ca="1">CORREL(OFFSET(Historical_Data_Start,date_start_row,$B63,date_rows,1),OFFSET(Historical_Data_Start,date_start_row,Calculations!DG$40,date_rows,1))</f>
        <v>8.9389618079199387E-2</v>
      </c>
      <c r="DH63" s="33">
        <f ca="1">CORREL(OFFSET(Historical_Data_Start,date_start_row,$B63,date_rows,1),OFFSET(Historical_Data_Start,date_start_row,Calculations!DH$40,date_rows,1))</f>
        <v>-0.42022395848689947</v>
      </c>
      <c r="DI63" s="2">
        <f t="shared" si="71"/>
        <v>22</v>
      </c>
      <c r="DJ63" s="43">
        <f t="shared" ca="1" si="65"/>
        <v>6.9904221911927175E-5</v>
      </c>
      <c r="DK63" s="44">
        <f t="shared" ca="1" si="12"/>
        <v>-4.6355090686922806E-4</v>
      </c>
      <c r="DL63" s="44">
        <f t="shared" ca="1" si="13"/>
        <v>-7.0297455022276132E-4</v>
      </c>
      <c r="DM63" s="44">
        <f t="shared" ca="1" si="14"/>
        <v>-7.8225556820303663E-4</v>
      </c>
      <c r="DN63" s="44">
        <f t="shared" ca="1" si="15"/>
        <v>-1.3445179733731554E-3</v>
      </c>
      <c r="DO63" s="44">
        <f t="shared" ca="1" si="16"/>
        <v>-5.3138592139788409E-4</v>
      </c>
      <c r="DP63" s="44">
        <f t="shared" ca="1" si="17"/>
        <v>-6.1372682898122252E-4</v>
      </c>
      <c r="DQ63" s="44">
        <f t="shared" ca="1" si="18"/>
        <v>-6.9774573024924036E-4</v>
      </c>
      <c r="DR63" s="44">
        <f t="shared" ca="1" si="19"/>
        <v>-7.7907540366862517E-4</v>
      </c>
      <c r="DS63" s="44">
        <f t="shared" ca="1" si="20"/>
        <v>-7.100599179850007E-4</v>
      </c>
      <c r="DT63" s="44">
        <f t="shared" ca="1" si="21"/>
        <v>9.4661130096023208E-4</v>
      </c>
      <c r="DU63" s="44">
        <f t="shared" ca="1" si="22"/>
        <v>3.1027416916925584E-5</v>
      </c>
      <c r="DV63" s="44">
        <f t="shared" ca="1" si="23"/>
        <v>9.3690127446590494E-4</v>
      </c>
      <c r="DW63" s="44">
        <f t="shared" ca="1" si="24"/>
        <v>3.8494595746194023E-4</v>
      </c>
      <c r="DX63" s="44">
        <f t="shared" ca="1" si="25"/>
        <v>1.0316468174304851E-3</v>
      </c>
      <c r="DY63" s="44">
        <f t="shared" ca="1" si="26"/>
        <v>1.3356449496341452E-3</v>
      </c>
      <c r="DZ63" s="44">
        <f t="shared" ca="1" si="27"/>
        <v>-2.7910357106122251E-4</v>
      </c>
      <c r="EA63" s="44">
        <f t="shared" ca="1" si="28"/>
        <v>3.786169554184965E-5</v>
      </c>
      <c r="EB63" s="44">
        <f t="shared" ca="1" si="29"/>
        <v>-1.5533480901299484E-3</v>
      </c>
      <c r="EC63" s="44">
        <f t="shared" ca="1" si="30"/>
        <v>-3.3703907000608799E-3</v>
      </c>
      <c r="ED63" s="44">
        <f t="shared" ca="1" si="31"/>
        <v>-2.5669635705868657E-3</v>
      </c>
      <c r="EE63" s="44">
        <f t="shared" ca="1" si="32"/>
        <v>8.1000000000000013E-3</v>
      </c>
      <c r="EF63" s="44">
        <f t="shared" ca="1" si="33"/>
        <v>5.2361047209643656E-3</v>
      </c>
      <c r="EG63" s="44">
        <f t="shared" ca="1" si="34"/>
        <v>2.579254260258926E-3</v>
      </c>
      <c r="EH63" s="44">
        <f t="shared" ca="1" si="35"/>
        <v>1.5440817669650406E-3</v>
      </c>
      <c r="EI63" s="44">
        <f t="shared" ca="1" si="36"/>
        <v>-1.0790681229196815E-3</v>
      </c>
      <c r="EJ63" s="45">
        <f t="shared" ca="1" si="37"/>
        <v>1.1052702776624217E-3</v>
      </c>
      <c r="EK63" s="44">
        <f t="shared" ca="1" si="38"/>
        <v>6.9910461976878193E-5</v>
      </c>
      <c r="EL63" s="44">
        <f t="shared" ca="1" si="39"/>
        <v>-3.3846574152356334E-4</v>
      </c>
      <c r="EM63" s="44">
        <f t="shared" ca="1" si="40"/>
        <v>-5.2723091266707088E-4</v>
      </c>
      <c r="EN63" s="44">
        <f t="shared" ca="1" si="41"/>
        <v>-4.110721278738348E-4</v>
      </c>
      <c r="EO63" s="44">
        <f t="shared" ca="1" si="42"/>
        <v>-7.6048759243325405E-4</v>
      </c>
      <c r="EP63" s="44">
        <f t="shared" ca="1" si="43"/>
        <v>-2.3114498857351698E-3</v>
      </c>
      <c r="EQ63" s="44">
        <f t="shared" ca="1" si="44"/>
        <v>-7.9766950268006246E-5</v>
      </c>
      <c r="ER63" s="44">
        <f t="shared" ca="1" si="45"/>
        <v>-2.6598318694349642E-3</v>
      </c>
      <c r="ES63" s="44">
        <f t="shared" ca="1" si="46"/>
        <v>8.6244805327899117E-4</v>
      </c>
      <c r="ET63" s="44">
        <f t="shared" ca="1" si="47"/>
        <v>7.3565546196648133E-4</v>
      </c>
      <c r="EU63" s="44">
        <f t="shared" ca="1" si="48"/>
        <v>1.0582745922938582E-3</v>
      </c>
      <c r="EV63" s="44">
        <f t="shared" ca="1" si="49"/>
        <v>-1.0934839178159254E-3</v>
      </c>
      <c r="EW63" s="44">
        <f t="shared" ca="1" si="50"/>
        <v>-2.4353283994088938E-4</v>
      </c>
      <c r="EX63" s="44">
        <f t="shared" ca="1" si="51"/>
        <v>-9.3690127446590494E-4</v>
      </c>
      <c r="EY63" s="44">
        <f t="shared" ca="1" si="52"/>
        <v>-6.066178934559576E-4</v>
      </c>
      <c r="EZ63" s="44">
        <f t="shared" ca="1" si="53"/>
        <v>-1.102696020275626E-3</v>
      </c>
      <c r="FA63" s="44">
        <f t="shared" ca="1" si="54"/>
        <v>-1.3740096718275244E-3</v>
      </c>
      <c r="FB63" s="44">
        <f t="shared" ca="1" si="55"/>
        <v>3.3719390017858653E-5</v>
      </c>
      <c r="FC63" s="44">
        <f t="shared" ca="1" si="56"/>
        <v>-1.3219740640978549E-4</v>
      </c>
      <c r="FD63" s="44">
        <f t="shared" ca="1" si="57"/>
        <v>1.365335133645542E-3</v>
      </c>
      <c r="FE63" s="44">
        <f t="shared" ca="1" si="58"/>
        <v>3.0297879530377637E-3</v>
      </c>
      <c r="FF63" s="44">
        <f t="shared" ca="1" si="59"/>
        <v>2.2526183755958245E-3</v>
      </c>
      <c r="FG63" s="45">
        <f t="shared" ca="1" si="60"/>
        <v>-1.8910078131910475E-4</v>
      </c>
      <c r="FL63" s="111">
        <v>0</v>
      </c>
      <c r="FM63" s="111">
        <v>0</v>
      </c>
      <c r="FN63" s="111">
        <v>0</v>
      </c>
      <c r="FO63" s="111">
        <v>0</v>
      </c>
      <c r="FP63" s="111">
        <v>1</v>
      </c>
      <c r="FQ63" s="111">
        <v>0</v>
      </c>
    </row>
    <row r="64" spans="1:173" x14ac:dyDescent="0.2">
      <c r="A64" s="51" t="str">
        <f t="shared" ref="A64" ca="1" si="150">INDEX(Historical_Data_Names,3,B64)</f>
        <v>A</v>
      </c>
      <c r="B64" s="57">
        <f t="shared" si="67"/>
        <v>23</v>
      </c>
      <c r="C64" s="11" t="str">
        <f t="shared" ref="C64" ca="1" si="151">INDEX(Historical_Data_Names,2,B64)</f>
        <v>Can RE</v>
      </c>
      <c r="D64" s="58"/>
      <c r="E64" s="59">
        <f t="shared" ref="E64" ca="1" si="152">AVERAGE(OFFSET(Historical_Data_Start,date_start_row,$B64,date_rows,1))*4</f>
        <v>0.10455926694444449</v>
      </c>
      <c r="F64" s="59">
        <f t="array" aca="1" ref="F64" ca="1">PRODUCT(1+OFFSET(Historical_Data_Start,date_start_row,$B64,date_rows,1))^(4/date_rows)-1</f>
        <v>0.10717129182128082</v>
      </c>
      <c r="G64" s="59">
        <f t="shared" ref="G64" ca="1" si="153">STDEV(OFFSET(Historical_Data_Start,date_start_row,$B64,date_rows,1))*2</f>
        <v>5.4683517701620145E-2</v>
      </c>
      <c r="H64" s="6"/>
      <c r="I64" s="60">
        <v>0.08</v>
      </c>
      <c r="J64" s="60">
        <v>0.09</v>
      </c>
      <c r="K64" s="60"/>
      <c r="L64" s="60">
        <v>5.3699999999999998E-2</v>
      </c>
      <c r="M64" s="6"/>
      <c r="N64" s="82">
        <v>6.7351277031130583E-8</v>
      </c>
      <c r="O64" s="6"/>
      <c r="P64" s="53">
        <v>0</v>
      </c>
      <c r="Q64" s="85">
        <v>1</v>
      </c>
      <c r="R64" s="53"/>
      <c r="S64" s="226"/>
      <c r="T64" s="410">
        <v>0</v>
      </c>
      <c r="U64" s="410">
        <v>0</v>
      </c>
      <c r="V64" s="410">
        <v>0</v>
      </c>
      <c r="W64" s="410">
        <v>0</v>
      </c>
      <c r="X64" s="410">
        <v>1</v>
      </c>
      <c r="Y64" s="410">
        <v>0</v>
      </c>
      <c r="AI64" s="117">
        <v>0</v>
      </c>
      <c r="AJ64" s="117">
        <v>0</v>
      </c>
      <c r="AK64" s="117">
        <v>0</v>
      </c>
      <c r="AL64" s="117">
        <v>0</v>
      </c>
      <c r="AM64" s="117">
        <v>0</v>
      </c>
      <c r="AN64" s="117">
        <v>0</v>
      </c>
      <c r="AO64" s="117">
        <v>0</v>
      </c>
      <c r="AP64" s="117">
        <v>0</v>
      </c>
      <c r="AQ64" s="117">
        <v>0</v>
      </c>
      <c r="AR64" s="117">
        <v>0</v>
      </c>
      <c r="AS64" s="117">
        <v>0</v>
      </c>
      <c r="AU64" s="117">
        <v>0</v>
      </c>
      <c r="AV64" s="117">
        <v>0</v>
      </c>
      <c r="AW64" s="117">
        <v>0</v>
      </c>
      <c r="AX64" s="117">
        <v>0</v>
      </c>
      <c r="AY64" s="117">
        <v>0</v>
      </c>
      <c r="AZ64" s="117">
        <v>0</v>
      </c>
      <c r="BA64" s="117">
        <v>0</v>
      </c>
      <c r="BB64" s="117">
        <v>0</v>
      </c>
      <c r="BC64" s="117">
        <v>0</v>
      </c>
      <c r="BD64" s="117">
        <v>0</v>
      </c>
      <c r="BE64" s="117">
        <v>0</v>
      </c>
      <c r="BG64" s="1" t="str">
        <f t="shared" ca="1" si="9"/>
        <v>Can RE</v>
      </c>
      <c r="BH64" s="38">
        <f t="shared" si="10"/>
        <v>0.08</v>
      </c>
      <c r="BI64" s="38">
        <f t="shared" si="11"/>
        <v>0.09</v>
      </c>
      <c r="BK64" s="31">
        <f ca="1">CORREL(OFFSET(Historical_Data_Start,date_start_row,$B64,date_rows,1),OFFSET(Historical_Data_Start,date_start_row,Calculations!BK$40,date_rows,1))</f>
        <v>0.26632955210823678</v>
      </c>
      <c r="BL64" s="32">
        <f ca="1">CORREL(OFFSET(Historical_Data_Start,date_start_row,$B64,date_rows,1),OFFSET(Historical_Data_Start,date_start_row,Calculations!BL$40,date_rows,1))</f>
        <v>4.9814822313906978E-2</v>
      </c>
      <c r="BM64" s="32">
        <f ca="1">CORREL(OFFSET(Historical_Data_Start,date_start_row,$B64,date_rows,1),OFFSET(Historical_Data_Start,date_start_row,Calculations!BM$40,date_rows,1))</f>
        <v>-1.5979843134568167E-3</v>
      </c>
      <c r="BN64" s="32">
        <f ca="1">CORREL(OFFSET(Historical_Data_Start,date_start_row,$B64,date_rows,1),OFFSET(Historical_Data_Start,date_start_row,Calculations!BN$40,date_rows,1))</f>
        <v>-3.4100440180851004E-2</v>
      </c>
      <c r="BO64" s="32">
        <f ca="1">CORREL(OFFSET(Historical_Data_Start,date_start_row,$B64,date_rows,1),OFFSET(Historical_Data_Start,date_start_row,Calculations!BO$40,date_rows,1))</f>
        <v>-4.4626598122383399E-2</v>
      </c>
      <c r="BP64" s="32">
        <f ca="1">CORREL(OFFSET(Historical_Data_Start,date_start_row,$B64,date_rows,1),OFFSET(Historical_Data_Start,date_start_row,Calculations!BP$40,date_rows,1))</f>
        <v>-4.7851542951269498E-2</v>
      </c>
      <c r="BQ64" s="32">
        <f ca="1">CORREL(OFFSET(Historical_Data_Start,date_start_row,$B64,date_rows,1),OFFSET(Historical_Data_Start,date_start_row,Calculations!BQ$40,date_rows,1))</f>
        <v>-2.6507791132421049E-2</v>
      </c>
      <c r="BR64" s="32">
        <f ca="1">CORREL(OFFSET(Historical_Data_Start,date_start_row,$B64,date_rows,1),OFFSET(Historical_Data_Start,date_start_row,Calculations!BR$40,date_rows,1))</f>
        <v>-9.7181090969231262E-2</v>
      </c>
      <c r="BS64" s="32">
        <f ca="1">CORREL(OFFSET(Historical_Data_Start,date_start_row,$B64,date_rows,1),OFFSET(Historical_Data_Start,date_start_row,Calculations!BS$40,date_rows,1))</f>
        <v>-6.2485033480592173E-2</v>
      </c>
      <c r="BT64" s="32">
        <f ca="1">CORREL(OFFSET(Historical_Data_Start,date_start_row,$B64,date_rows,1),OFFSET(Historical_Data_Start,date_start_row,Calculations!BT$40,date_rows,1))</f>
        <v>-3.5313455689863368E-2</v>
      </c>
      <c r="BU64" s="32">
        <f ca="1">CORREL(OFFSET(Historical_Data_Start,date_start_row,$B64,date_rows,1),OFFSET(Historical_Data_Start,date_start_row,Calculations!BU$40,date_rows,1))</f>
        <v>-5.9829098812293265E-2</v>
      </c>
      <c r="BV64" s="32">
        <f ca="1">CORREL(OFFSET(Historical_Data_Start,date_start_row,$B64,date_rows,1),OFFSET(Historical_Data_Start,date_start_row,Calculations!BV$40,date_rows,1))</f>
        <v>-0.12489419238470915</v>
      </c>
      <c r="BW64" s="32">
        <f ca="1">CORREL(OFFSET(Historical_Data_Start,date_start_row,$B64,date_rows,1),OFFSET(Historical_Data_Start,date_start_row,Calculations!BW$40,date_rows,1))</f>
        <v>-5.1790780564377005E-2</v>
      </c>
      <c r="BX64" s="32">
        <f ca="1">CORREL(OFFSET(Historical_Data_Start,date_start_row,$B64,date_rows,1),OFFSET(Historical_Data_Start,date_start_row,Calculations!BX$40,date_rows,1))</f>
        <v>-1.3503049909783679E-2</v>
      </c>
      <c r="BY64" s="32">
        <f ca="1">CORREL(OFFSET(Historical_Data_Start,date_start_row,$B64,date_rows,1),OFFSET(Historical_Data_Start,date_start_row,Calculations!BY$40,date_rows,1))</f>
        <v>-4.8816569419032681E-2</v>
      </c>
      <c r="BZ64" s="32">
        <f ca="1">CORREL(OFFSET(Historical_Data_Start,date_start_row,$B64,date_rows,1),OFFSET(Historical_Data_Start,date_start_row,Calculations!BZ$40,date_rows,1))</f>
        <v>-3.6391935544066271E-2</v>
      </c>
      <c r="CA64" s="32">
        <f ca="1">CORREL(OFFSET(Historical_Data_Start,date_start_row,$B64,date_rows,1),OFFSET(Historical_Data_Start,date_start_row,Calculations!CA$40,date_rows,1))</f>
        <v>-0.11521829606775465</v>
      </c>
      <c r="CB64" s="32">
        <f ca="1">CORREL(OFFSET(Historical_Data_Start,date_start_row,$B64,date_rows,1),OFFSET(Historical_Data_Start,date_start_row,Calculations!CB$40,date_rows,1))</f>
        <v>-0.13787528926908157</v>
      </c>
      <c r="CC64" s="32">
        <f ca="1">CORREL(OFFSET(Historical_Data_Start,date_start_row,$B64,date_rows,1),OFFSET(Historical_Data_Start,date_start_row,Calculations!CC$40,date_rows,1))</f>
        <v>-0.12959621212718991</v>
      </c>
      <c r="CD64" s="32">
        <f ca="1">CORREL(OFFSET(Historical_Data_Start,date_start_row,$B64,date_rows,1),OFFSET(Historical_Data_Start,date_start_row,Calculations!CD$40,date_rows,1))</f>
        <v>-0.18839816530297307</v>
      </c>
      <c r="CE64" s="32">
        <f ca="1">CORREL(OFFSET(Historical_Data_Start,date_start_row,$B64,date_rows,1),OFFSET(Historical_Data_Start,date_start_row,Calculations!CE$40,date_rows,1))</f>
        <v>-0.14794869413621259</v>
      </c>
      <c r="CF64" s="32">
        <f ca="1">CORREL(OFFSET(Historical_Data_Start,date_start_row,$B64,date_rows,1),OFFSET(Historical_Data_Start,date_start_row,Calculations!CF$40,date_rows,1))</f>
        <v>0.64643268160053902</v>
      </c>
      <c r="CG64" s="32">
        <f ca="1">CORREL(OFFSET(Historical_Data_Start,date_start_row,$B64,date_rows,1),OFFSET(Historical_Data_Start,date_start_row,Calculations!CG$40,date_rows,1))</f>
        <v>1</v>
      </c>
      <c r="CH64" s="32">
        <f ca="1">CORREL(OFFSET(Historical_Data_Start,date_start_row,$B64,date_rows,1),OFFSET(Historical_Data_Start,date_start_row,Calculations!CH$40,date_rows,1))</f>
        <v>-7.7181410766747213E-2</v>
      </c>
      <c r="CI64" s="32">
        <f ca="1">CORREL(OFFSET(Historical_Data_Start,date_start_row,$B64,date_rows,1),OFFSET(Historical_Data_Start,date_start_row,Calculations!CI$40,date_rows,1))</f>
        <v>-5.347450002902307E-2</v>
      </c>
      <c r="CJ64" s="32">
        <f ca="1">CORREL(OFFSET(Historical_Data_Start,date_start_row,$B64,date_rows,1),OFFSET(Historical_Data_Start,date_start_row,Calculations!CJ$40,date_rows,1))</f>
        <v>0.13478418331674608</v>
      </c>
      <c r="CK64" s="32">
        <f ca="1">CORREL(OFFSET(Historical_Data_Start,date_start_row,$B64,date_rows,1),OFFSET(Historical_Data_Start,date_start_row,Calculations!CK$40,date_rows,1))</f>
        <v>0.21743066094814228</v>
      </c>
      <c r="CL64" s="32">
        <f ca="1">CORREL(OFFSET(Historical_Data_Start,date_start_row,$B64,date_rows,1),OFFSET(Historical_Data_Start,date_start_row,Calculations!CL$40,date_rows,1))</f>
        <v>0.26632776952416892</v>
      </c>
      <c r="CM64" s="32">
        <f ca="1">CORREL(OFFSET(Historical_Data_Start,date_start_row,$B64,date_rows,1),OFFSET(Historical_Data_Start,date_start_row,Calculations!CM$40,date_rows,1))</f>
        <v>4.9814822313906978E-2</v>
      </c>
      <c r="CN64" s="32">
        <f ca="1">CORREL(OFFSET(Historical_Data_Start,date_start_row,$B64,date_rows,1),OFFSET(Historical_Data_Start,date_start_row,Calculations!CN$40,date_rows,1))</f>
        <v>-1.5979843134568167E-3</v>
      </c>
      <c r="CO64" s="32">
        <f ca="1">CORREL(OFFSET(Historical_Data_Start,date_start_row,$B64,date_rows,1),OFFSET(Historical_Data_Start,date_start_row,Calculations!CO$40,date_rows,1))</f>
        <v>-4.7851542951269498E-2</v>
      </c>
      <c r="CP64" s="32">
        <f ca="1">CORREL(OFFSET(Historical_Data_Start,date_start_row,$B64,date_rows,1),OFFSET(Historical_Data_Start,date_start_row,Calculations!CP$40,date_rows,1))</f>
        <v>-2.6507791132421049E-2</v>
      </c>
      <c r="CQ64" s="32">
        <f ca="1">CORREL(OFFSET(Historical_Data_Start,date_start_row,$B64,date_rows,1),OFFSET(Historical_Data_Start,date_start_row,Calculations!CQ$40,date_rows,1))</f>
        <v>1.010473600241309E-2</v>
      </c>
      <c r="CR64" s="32">
        <f ca="1">CORREL(OFFSET(Historical_Data_Start,date_start_row,$B64,date_rows,1),OFFSET(Historical_Data_Start,date_start_row,Calculations!CR$40,date_rows,1))</f>
        <v>-5.9714853331225993E-3</v>
      </c>
      <c r="CS64" s="32">
        <f ca="1">CORREL(OFFSET(Historical_Data_Start,date_start_row,$B64,date_rows,1),OFFSET(Historical_Data_Start,date_start_row,Calculations!CS$40,date_rows,1))</f>
        <v>-6.741021126113074E-2</v>
      </c>
      <c r="CT64" s="32">
        <f ca="1">CORREL(OFFSET(Historical_Data_Start,date_start_row,$B64,date_rows,1),OFFSET(Historical_Data_Start,date_start_row,Calculations!CT$40,date_rows,1))</f>
        <v>3.2753738220597108E-2</v>
      </c>
      <c r="CU64" s="32">
        <f ca="1">CORREL(OFFSET(Historical_Data_Start,date_start_row,$B64,date_rows,1),OFFSET(Historical_Data_Start,date_start_row,Calculations!CU$40,date_rows,1))</f>
        <v>9.2556829350631711E-2</v>
      </c>
      <c r="CV64" s="32">
        <f ca="1">CORREL(OFFSET(Historical_Data_Start,date_start_row,$B64,date_rows,1),OFFSET(Historical_Data_Start,date_start_row,Calculations!CV$40,date_rows,1))</f>
        <v>5.721221796971545E-2</v>
      </c>
      <c r="CW64" s="32">
        <f ca="1">CORREL(OFFSET(Historical_Data_Start,date_start_row,$B64,date_rows,1),OFFSET(Historical_Data_Start,date_start_row,Calculations!CW$40,date_rows,1))</f>
        <v>3.385700350471265E-2</v>
      </c>
      <c r="CX64" s="32">
        <f ca="1">CORREL(OFFSET(Historical_Data_Start,date_start_row,$B64,date_rows,1),OFFSET(Historical_Data_Start,date_start_row,Calculations!CX$40,date_rows,1))</f>
        <v>9.6940537515788655E-2</v>
      </c>
      <c r="CY64" s="32">
        <f ca="1">CORREL(OFFSET(Historical_Data_Start,date_start_row,$B64,date_rows,1),OFFSET(Historical_Data_Start,date_start_row,Calculations!CY$40,date_rows,1))</f>
        <v>5.1790780564377005E-2</v>
      </c>
      <c r="CZ64" s="32">
        <f ca="1">CORREL(OFFSET(Historical_Data_Start,date_start_row,$B64,date_rows,1),OFFSET(Historical_Data_Start,date_start_row,Calculations!CZ$40,date_rows,1))</f>
        <v>2.6601484947795192E-3</v>
      </c>
      <c r="DA64" s="32">
        <f ca="1">CORREL(OFFSET(Historical_Data_Start,date_start_row,$B64,date_rows,1),OFFSET(Historical_Data_Start,date_start_row,Calculations!DA$40,date_rows,1))</f>
        <v>3.9876551343070825E-2</v>
      </c>
      <c r="DB64" s="32">
        <f ca="1">CORREL(OFFSET(Historical_Data_Start,date_start_row,$B64,date_rows,1),OFFSET(Historical_Data_Start,date_start_row,Calculations!DB$40,date_rows,1))</f>
        <v>2.4812411980156417E-2</v>
      </c>
      <c r="DC64" s="32">
        <f ca="1">CORREL(OFFSET(Historical_Data_Start,date_start_row,$B64,date_rows,1),OFFSET(Historical_Data_Start,date_start_row,Calculations!DC$40,date_rows,1))</f>
        <v>0.10507044252775762</v>
      </c>
      <c r="DD64" s="32">
        <f ca="1">CORREL(OFFSET(Historical_Data_Start,date_start_row,$B64,date_rows,1),OFFSET(Historical_Data_Start,date_start_row,Calculations!DD$40,date_rows,1))</f>
        <v>0.12169087702694339</v>
      </c>
      <c r="DE64" s="32">
        <f ca="1">CORREL(OFFSET(Historical_Data_Start,date_start_row,$B64,date_rows,1),OFFSET(Historical_Data_Start,date_start_row,Calculations!DE$40,date_rows,1))</f>
        <v>0.11720895982184865</v>
      </c>
      <c r="DF64" s="32">
        <f ca="1">CORREL(OFFSET(Historical_Data_Start,date_start_row,$B64,date_rows,1),OFFSET(Historical_Data_Start,date_start_row,Calculations!DF$40,date_rows,1))</f>
        <v>0.17299472956393208</v>
      </c>
      <c r="DG64" s="32">
        <f ca="1">CORREL(OFFSET(Historical_Data_Start,date_start_row,$B64,date_rows,1),OFFSET(Historical_Data_Start,date_start_row,Calculations!DG$40,date_rows,1))</f>
        <v>0.13200903665532429</v>
      </c>
      <c r="DH64" s="33">
        <f ca="1">CORREL(OFFSET(Historical_Data_Start,date_start_row,$B64,date_rows,1),OFFSET(Historical_Data_Start,date_start_row,Calculations!DH$40,date_rows,1))</f>
        <v>-5.012011086938855E-2</v>
      </c>
      <c r="DI64" s="2">
        <f t="shared" si="71"/>
        <v>23</v>
      </c>
      <c r="DJ64" s="43">
        <f t="shared" ca="1" si="65"/>
        <v>2.3969659689741311E-4</v>
      </c>
      <c r="DK64" s="44">
        <f t="shared" ca="1" si="12"/>
        <v>2.8245004251985256E-4</v>
      </c>
      <c r="DL64" s="44">
        <f t="shared" ca="1" si="13"/>
        <v>-1.5532407526800259E-5</v>
      </c>
      <c r="DM64" s="44">
        <f t="shared" ca="1" si="14"/>
        <v>-1.7800429774404223E-4</v>
      </c>
      <c r="DN64" s="44">
        <f t="shared" ca="1" si="15"/>
        <v>-3.9360659543942158E-4</v>
      </c>
      <c r="DO64" s="44">
        <f t="shared" ca="1" si="16"/>
        <v>-2.2825185987755551E-4</v>
      </c>
      <c r="DP64" s="44">
        <f t="shared" ca="1" si="17"/>
        <v>-2.1948451057644626E-4</v>
      </c>
      <c r="DQ64" s="44">
        <f t="shared" ca="1" si="18"/>
        <v>-4.2856861117430983E-4</v>
      </c>
      <c r="DR64" s="44">
        <f t="shared" ca="1" si="19"/>
        <v>-4.6676320010002355E-4</v>
      </c>
      <c r="DS64" s="44">
        <f t="shared" ca="1" si="20"/>
        <v>-2.2247477084613921E-4</v>
      </c>
      <c r="DT64" s="44">
        <f t="shared" ca="1" si="21"/>
        <v>-8.6153902289702296E-4</v>
      </c>
      <c r="DU64" s="44">
        <f t="shared" ca="1" si="22"/>
        <v>-2.2480954629247648E-3</v>
      </c>
      <c r="DV64" s="44">
        <f t="shared" ca="1" si="23"/>
        <v>-8.3901064514290747E-4</v>
      </c>
      <c r="DW64" s="44">
        <f t="shared" ca="1" si="24"/>
        <v>-2.9166587805132743E-4</v>
      </c>
      <c r="DX64" s="44">
        <f t="shared" ca="1" si="25"/>
        <v>-9.226331620197177E-4</v>
      </c>
      <c r="DY64" s="44">
        <f t="shared" ca="1" si="26"/>
        <v>-6.5505483979319285E-4</v>
      </c>
      <c r="DZ64" s="44">
        <f t="shared" ca="1" si="27"/>
        <v>-2.0739293292195834E-3</v>
      </c>
      <c r="EA64" s="44">
        <f t="shared" ca="1" si="28"/>
        <v>-2.7299307275278151E-3</v>
      </c>
      <c r="EB64" s="44">
        <f t="shared" ca="1" si="29"/>
        <v>-3.032551363776244E-3</v>
      </c>
      <c r="EC64" s="44">
        <f t="shared" ca="1" si="30"/>
        <v>-5.0867504631802729E-3</v>
      </c>
      <c r="ED64" s="44">
        <f t="shared" ca="1" si="31"/>
        <v>-3.7283070922325572E-3</v>
      </c>
      <c r="EE64" s="44">
        <f t="shared" ca="1" si="32"/>
        <v>5.2361047209643656E-3</v>
      </c>
      <c r="EF64" s="44">
        <f t="shared" ca="1" si="33"/>
        <v>8.0999999999999996E-3</v>
      </c>
      <c r="EG64" s="44">
        <f t="shared" ca="1" si="34"/>
        <v>-1.1808755847312325E-3</v>
      </c>
      <c r="EH64" s="44">
        <f t="shared" ca="1" si="35"/>
        <v>-1.1550492006268981E-3</v>
      </c>
      <c r="EI64" s="44">
        <f t="shared" ca="1" si="36"/>
        <v>1.4556691798208574E-3</v>
      </c>
      <c r="EJ64" s="45">
        <f t="shared" ca="1" si="37"/>
        <v>1.7611883536799524E-3</v>
      </c>
      <c r="EK64" s="44">
        <f t="shared" ca="1" si="38"/>
        <v>2.3969499257175202E-4</v>
      </c>
      <c r="EL64" s="44">
        <f t="shared" ca="1" si="39"/>
        <v>2.0623336437957488E-4</v>
      </c>
      <c r="EM64" s="44">
        <f t="shared" ca="1" si="40"/>
        <v>-1.1649305645100193E-5</v>
      </c>
      <c r="EN64" s="44">
        <f t="shared" ca="1" si="41"/>
        <v>-1.7657219349018441E-4</v>
      </c>
      <c r="EO64" s="44">
        <f t="shared" ca="1" si="42"/>
        <v>-2.7196993701863998E-4</v>
      </c>
      <c r="EP64" s="44">
        <f t="shared" ca="1" si="43"/>
        <v>2.5191106854015831E-4</v>
      </c>
      <c r="EQ64" s="44">
        <f t="shared" ca="1" si="44"/>
        <v>-1.2790921583548609E-4</v>
      </c>
      <c r="ER64" s="44">
        <f t="shared" ca="1" si="45"/>
        <v>-1.9414140843205653E-3</v>
      </c>
      <c r="ES64" s="44">
        <f t="shared" ca="1" si="46"/>
        <v>1.8571369571078559E-4</v>
      </c>
      <c r="ET64" s="44">
        <f t="shared" ca="1" si="47"/>
        <v>4.1650573207784269E-4</v>
      </c>
      <c r="EU64" s="44">
        <f t="shared" ca="1" si="48"/>
        <v>3.6043697320920734E-4</v>
      </c>
      <c r="EV64" s="44">
        <f t="shared" ca="1" si="49"/>
        <v>4.8754085046786216E-4</v>
      </c>
      <c r="EW64" s="44">
        <f t="shared" ca="1" si="50"/>
        <v>1.7449296752841956E-3</v>
      </c>
      <c r="EX64" s="44">
        <f t="shared" ca="1" si="51"/>
        <v>8.3901064514290747E-4</v>
      </c>
      <c r="EY64" s="44">
        <f t="shared" ca="1" si="52"/>
        <v>5.745920748723761E-5</v>
      </c>
      <c r="EZ64" s="44">
        <f t="shared" ca="1" si="53"/>
        <v>7.5366682038403865E-4</v>
      </c>
      <c r="FA64" s="44">
        <f t="shared" ca="1" si="54"/>
        <v>4.4662341564281546E-4</v>
      </c>
      <c r="FB64" s="44">
        <f t="shared" ca="1" si="55"/>
        <v>1.8912679654996369E-3</v>
      </c>
      <c r="FC64" s="44">
        <f t="shared" ca="1" si="56"/>
        <v>2.409479365133479E-3</v>
      </c>
      <c r="FD64" s="44">
        <f t="shared" ca="1" si="57"/>
        <v>2.7426896598312582E-3</v>
      </c>
      <c r="FE64" s="44">
        <f t="shared" ca="1" si="58"/>
        <v>4.6708576982261657E-3</v>
      </c>
      <c r="FF64" s="44">
        <f t="shared" ca="1" si="59"/>
        <v>3.3266277237141723E-3</v>
      </c>
      <c r="FG64" s="45">
        <f t="shared" ca="1" si="60"/>
        <v>-2.2554049891224847E-5</v>
      </c>
      <c r="FL64" s="111">
        <v>0</v>
      </c>
      <c r="FM64" s="111">
        <v>0</v>
      </c>
      <c r="FN64" s="111">
        <v>0</v>
      </c>
      <c r="FO64" s="111">
        <v>0</v>
      </c>
      <c r="FP64" s="111">
        <v>1</v>
      </c>
      <c r="FQ64" s="111">
        <v>0</v>
      </c>
    </row>
    <row r="65" spans="1:173" x14ac:dyDescent="0.2">
      <c r="A65" s="51" t="str">
        <f t="shared" ref="A65" ca="1" si="154">INDEX(Historical_Data_Names,3,B65)</f>
        <v>A</v>
      </c>
      <c r="B65" s="57">
        <f t="shared" si="67"/>
        <v>24</v>
      </c>
      <c r="C65" s="11" t="str">
        <f t="shared" ref="C65" ca="1" si="155">INDEX(Historical_Data_Names,2,B65)</f>
        <v>Priv Equ</v>
      </c>
      <c r="D65" s="58"/>
      <c r="E65" s="59">
        <f t="shared" ref="E65" ca="1" si="156">AVERAGE(OFFSET(Historical_Data_Start,date_start_row,$B65,date_rows,1))*4</f>
        <v>0.12701567592290253</v>
      </c>
      <c r="F65" s="59">
        <f t="array" aca="1" ref="F65" ca="1">PRODUCT(1+OFFSET(Historical_Data_Start,date_start_row,$B65,date_rows,1))^(4/date_rows)-1</f>
        <v>0.12518466161816733</v>
      </c>
      <c r="G65" s="59">
        <f t="shared" ref="G65" ca="1" si="157">STDEV(OFFSET(Historical_Data_Start,date_start_row,$B65,date_rows,1))*2</f>
        <v>0.12282974810379396</v>
      </c>
      <c r="H65" s="6"/>
      <c r="I65" s="60">
        <v>0.11</v>
      </c>
      <c r="J65" s="60">
        <v>0.17</v>
      </c>
      <c r="K65" s="60"/>
      <c r="L65" s="60">
        <v>0.12659999999999999</v>
      </c>
      <c r="M65" s="6"/>
      <c r="N65" s="82">
        <v>0.14419035626553106</v>
      </c>
      <c r="O65" s="6"/>
      <c r="P65" s="53">
        <v>0</v>
      </c>
      <c r="Q65" s="85">
        <v>1</v>
      </c>
      <c r="R65" s="53"/>
      <c r="S65" s="226"/>
      <c r="T65" s="410">
        <v>0</v>
      </c>
      <c r="U65" s="410">
        <v>0</v>
      </c>
      <c r="V65" s="410">
        <v>0</v>
      </c>
      <c r="W65" s="410">
        <v>0</v>
      </c>
      <c r="X65" s="410">
        <v>1</v>
      </c>
      <c r="Y65" s="410">
        <v>0</v>
      </c>
      <c r="AF65" s="99">
        <f>-(1-AD53)*N53+AD53*(SUM($N$52:$N$62)-N53)</f>
        <v>-3.9098185416683306E-8</v>
      </c>
      <c r="AI65" s="117">
        <v>0</v>
      </c>
      <c r="AJ65" s="117">
        <v>0</v>
      </c>
      <c r="AK65" s="117">
        <v>0</v>
      </c>
      <c r="AL65" s="117">
        <v>0</v>
      </c>
      <c r="AM65" s="117">
        <v>0</v>
      </c>
      <c r="AN65" s="117">
        <v>0</v>
      </c>
      <c r="AO65" s="117">
        <v>0</v>
      </c>
      <c r="AP65" s="117">
        <v>0</v>
      </c>
      <c r="AQ65" s="117">
        <v>0</v>
      </c>
      <c r="AR65" s="117">
        <v>0</v>
      </c>
      <c r="AS65" s="117">
        <v>0</v>
      </c>
      <c r="AU65" s="117">
        <v>0</v>
      </c>
      <c r="AV65" s="117">
        <v>0</v>
      </c>
      <c r="AW65" s="117">
        <v>0</v>
      </c>
      <c r="AX65" s="117">
        <v>0</v>
      </c>
      <c r="AY65" s="117">
        <v>0</v>
      </c>
      <c r="AZ65" s="117">
        <v>0</v>
      </c>
      <c r="BA65" s="117">
        <v>0</v>
      </c>
      <c r="BB65" s="117">
        <v>0</v>
      </c>
      <c r="BC65" s="117">
        <v>0</v>
      </c>
      <c r="BD65" s="117">
        <v>0</v>
      </c>
      <c r="BE65" s="117">
        <v>0</v>
      </c>
      <c r="BG65" s="1" t="str">
        <f t="shared" ca="1" si="9"/>
        <v>Priv Equ</v>
      </c>
      <c r="BH65" s="38">
        <f t="shared" si="10"/>
        <v>0.11</v>
      </c>
      <c r="BI65" s="38">
        <f t="shared" si="11"/>
        <v>0.17</v>
      </c>
      <c r="BK65" s="31">
        <f ca="1">CORREL(OFFSET(Historical_Data_Start,date_start_row,$B65,date_rows,1),OFFSET(Historical_Data_Start,date_start_row,Calculations!BK$40,date_rows,1))</f>
        <v>-0.10624475594294265</v>
      </c>
      <c r="BL65" s="32">
        <f ca="1">CORREL(OFFSET(Historical_Data_Start,date_start_row,$B65,date_rows,1),OFFSET(Historical_Data_Start,date_start_row,Calculations!BL$40,date_rows,1))</f>
        <v>5.8484378680771906E-3</v>
      </c>
      <c r="BM65" s="32">
        <f ca="1">CORREL(OFFSET(Historical_Data_Start,date_start_row,$B65,date_rows,1),OFFSET(Historical_Data_Start,date_start_row,Calculations!BM$40,date_rows,1))</f>
        <v>3.1013881829880866E-3</v>
      </c>
      <c r="BN65" s="32">
        <f ca="1">CORREL(OFFSET(Historical_Data_Start,date_start_row,$B65,date_rows,1),OFFSET(Historical_Data_Start,date_start_row,Calculations!BN$40,date_rows,1))</f>
        <v>0.1955902835342811</v>
      </c>
      <c r="BO65" s="32">
        <f ca="1">CORREL(OFFSET(Historical_Data_Start,date_start_row,$B65,date_rows,1),OFFSET(Historical_Data_Start,date_start_row,Calculations!BO$40,date_rows,1))</f>
        <v>0.19377730725227765</v>
      </c>
      <c r="BP65" s="32">
        <f ca="1">CORREL(OFFSET(Historical_Data_Start,date_start_row,$B65,date_rows,1),OFFSET(Historical_Data_Start,date_start_row,Calculations!BP$40,date_rows,1))</f>
        <v>0.18837638455890265</v>
      </c>
      <c r="BQ65" s="32">
        <f ca="1">CORREL(OFFSET(Historical_Data_Start,date_start_row,$B65,date_rows,1),OFFSET(Historical_Data_Start,date_start_row,Calculations!BQ$40,date_rows,1))</f>
        <v>0.26890644626176363</v>
      </c>
      <c r="BR65" s="32">
        <f ca="1">CORREL(OFFSET(Historical_Data_Start,date_start_row,$B65,date_rows,1),OFFSET(Historical_Data_Start,date_start_row,Calculations!BR$40,date_rows,1))</f>
        <v>0.29508972585774113</v>
      </c>
      <c r="BS65" s="32">
        <f ca="1">CORREL(OFFSET(Historical_Data_Start,date_start_row,$B65,date_rows,1),OFFSET(Historical_Data_Start,date_start_row,Calculations!BS$40,date_rows,1))</f>
        <v>0.35756344942890333</v>
      </c>
      <c r="BT65" s="32">
        <f ca="1">CORREL(OFFSET(Historical_Data_Start,date_start_row,$B65,date_rows,1),OFFSET(Historical_Data_Start,date_start_row,Calculations!BT$40,date_rows,1))</f>
        <v>6.3228299066513793E-3</v>
      </c>
      <c r="BU65" s="32">
        <f ca="1">CORREL(OFFSET(Historical_Data_Start,date_start_row,$B65,date_rows,1),OFFSET(Historical_Data_Start,date_start_row,Calculations!BU$40,date_rows,1))</f>
        <v>0.61235355769411304</v>
      </c>
      <c r="BV65" s="32">
        <f ca="1">CORREL(OFFSET(Historical_Data_Start,date_start_row,$B65,date_rows,1),OFFSET(Historical_Data_Start,date_start_row,Calculations!BV$40,date_rows,1))</f>
        <v>0.66389965105325177</v>
      </c>
      <c r="BW65" s="32">
        <f ca="1">CORREL(OFFSET(Historical_Data_Start,date_start_row,$B65,date_rows,1),OFFSET(Historical_Data_Start,date_start_row,Calculations!BW$40,date_rows,1))</f>
        <v>0.72807943289601873</v>
      </c>
      <c r="BX65" s="32">
        <f ca="1">CORREL(OFFSET(Historical_Data_Start,date_start_row,$B65,date_rows,1),OFFSET(Historical_Data_Start,date_start_row,Calculations!BX$40,date_rows,1))</f>
        <v>0.27363192740828551</v>
      </c>
      <c r="BY65" s="32">
        <f ca="1">CORREL(OFFSET(Historical_Data_Start,date_start_row,$B65,date_rows,1),OFFSET(Historical_Data_Start,date_start_row,Calculations!BY$40,date_rows,1))</f>
        <v>0.4680420667070852</v>
      </c>
      <c r="BZ65" s="32">
        <f ca="1">CORREL(OFFSET(Historical_Data_Start,date_start_row,$B65,date_rows,1),OFFSET(Historical_Data_Start,date_start_row,Calculations!BZ$40,date_rows,1))</f>
        <v>0.48261254852383828</v>
      </c>
      <c r="CA65" s="32">
        <f ca="1">CORREL(OFFSET(Historical_Data_Start,date_start_row,$B65,date_rows,1),OFFSET(Historical_Data_Start,date_start_row,Calculations!CA$40,date_rows,1))</f>
        <v>0.40667099685833014</v>
      </c>
      <c r="CB65" s="32">
        <f ca="1">CORREL(OFFSET(Historical_Data_Start,date_start_row,$B65,date_rows,1),OFFSET(Historical_Data_Start,date_start_row,Calculations!CB$40,date_rows,1))</f>
        <v>0.42782014148205416</v>
      </c>
      <c r="CC65" s="32">
        <f ca="1">CORREL(OFFSET(Historical_Data_Start,date_start_row,$B65,date_rows,1),OFFSET(Historical_Data_Start,date_start_row,Calculations!CC$40,date_rows,1))</f>
        <v>0.42882044256655882</v>
      </c>
      <c r="CD65" s="32">
        <f ca="1">CORREL(OFFSET(Historical_Data_Start,date_start_row,$B65,date_rows,1),OFFSET(Historical_Data_Start,date_start_row,Calculations!CD$40,date_rows,1))</f>
        <v>0.38526004041781808</v>
      </c>
      <c r="CE65" s="32">
        <f ca="1">CORREL(OFFSET(Historical_Data_Start,date_start_row,$B65,date_rows,1),OFFSET(Historical_Data_Start,date_start_row,Calculations!CE$40,date_rows,1))</f>
        <v>0.37058836833402509</v>
      </c>
      <c r="CF65" s="32">
        <f ca="1">CORREL(OFFSET(Historical_Data_Start,date_start_row,$B65,date_rows,1),OFFSET(Historical_Data_Start,date_start_row,Calculations!CF$40,date_rows,1))</f>
        <v>0.16857870982084483</v>
      </c>
      <c r="CG65" s="32">
        <f ca="1">CORREL(OFFSET(Historical_Data_Start,date_start_row,$B65,date_rows,1),OFFSET(Historical_Data_Start,date_start_row,Calculations!CG$40,date_rows,1))</f>
        <v>-7.7181410766747213E-2</v>
      </c>
      <c r="CH65" s="32">
        <f ca="1">CORREL(OFFSET(Historical_Data_Start,date_start_row,$B65,date_rows,1),OFFSET(Historical_Data_Start,date_start_row,Calculations!CH$40,date_rows,1))</f>
        <v>1</v>
      </c>
      <c r="CI65" s="32">
        <f ca="1">CORREL(OFFSET(Historical_Data_Start,date_start_row,$B65,date_rows,1),OFFSET(Historical_Data_Start,date_start_row,Calculations!CI$40,date_rows,1))</f>
        <v>0.4235403108514178</v>
      </c>
      <c r="CJ65" s="32">
        <f ca="1">CORREL(OFFSET(Historical_Data_Start,date_start_row,$B65,date_rows,1),OFFSET(Historical_Data_Start,date_start_row,Calculations!CJ$40,date_rows,1))</f>
        <v>9.9327973458751898E-2</v>
      </c>
      <c r="CK65" s="32">
        <f ca="1">CORREL(OFFSET(Historical_Data_Start,date_start_row,$B65,date_rows,1),OFFSET(Historical_Data_Start,date_start_row,Calculations!CK$40,date_rows,1))</f>
        <v>0.19895209991005919</v>
      </c>
      <c r="CL65" s="32">
        <f ca="1">CORREL(OFFSET(Historical_Data_Start,date_start_row,$B65,date_rows,1),OFFSET(Historical_Data_Start,date_start_row,Calculations!CL$40,date_rows,1))</f>
        <v>-0.10624511444329837</v>
      </c>
      <c r="CM65" s="32">
        <f ca="1">CORREL(OFFSET(Historical_Data_Start,date_start_row,$B65,date_rows,1),OFFSET(Historical_Data_Start,date_start_row,Calculations!CM$40,date_rows,1))</f>
        <v>5.8484378680771906E-3</v>
      </c>
      <c r="CN65" s="32">
        <f ca="1">CORREL(OFFSET(Historical_Data_Start,date_start_row,$B65,date_rows,1),OFFSET(Historical_Data_Start,date_start_row,Calculations!CN$40,date_rows,1))</f>
        <v>3.1013881829880866E-3</v>
      </c>
      <c r="CO65" s="32">
        <f ca="1">CORREL(OFFSET(Historical_Data_Start,date_start_row,$B65,date_rows,1),OFFSET(Historical_Data_Start,date_start_row,Calculations!CO$40,date_rows,1))</f>
        <v>0.18837638455890265</v>
      </c>
      <c r="CP65" s="32">
        <f ca="1">CORREL(OFFSET(Historical_Data_Start,date_start_row,$B65,date_rows,1),OFFSET(Historical_Data_Start,date_start_row,Calculations!CP$40,date_rows,1))</f>
        <v>0.26890644626176363</v>
      </c>
      <c r="CQ65" s="32">
        <f ca="1">CORREL(OFFSET(Historical_Data_Start,date_start_row,$B65,date_rows,1),OFFSET(Historical_Data_Start,date_start_row,Calculations!CQ$40,date_rows,1))</f>
        <v>1.2681586910908553E-2</v>
      </c>
      <c r="CR65" s="32">
        <f ca="1">CORREL(OFFSET(Historical_Data_Start,date_start_row,$B65,date_rows,1),OFFSET(Historical_Data_Start,date_start_row,Calculations!CR$40,date_rows,1))</f>
        <v>0.36488200628004369</v>
      </c>
      <c r="CS65" s="32">
        <f ca="1">CORREL(OFFSET(Historical_Data_Start,date_start_row,$B65,date_rows,1),OFFSET(Historical_Data_Start,date_start_row,Calculations!CS$40,date_rows,1))</f>
        <v>-3.1036187293115292E-2</v>
      </c>
      <c r="CT65" s="32">
        <f ca="1">CORREL(OFFSET(Historical_Data_Start,date_start_row,$B65,date_rows,1),OFFSET(Historical_Data_Start,date_start_row,Calculations!CT$40,date_rows,1))</f>
        <v>-0.19873701620235171</v>
      </c>
      <c r="CU65" s="32">
        <f ca="1">CORREL(OFFSET(Historical_Data_Start,date_start_row,$B65,date_rows,1),OFFSET(Historical_Data_Start,date_start_row,Calculations!CU$40,date_rows,1))</f>
        <v>-0.29427717123350233</v>
      </c>
      <c r="CV65" s="32">
        <f ca="1">CORREL(OFFSET(Historical_Data_Start,date_start_row,$B65,date_rows,1),OFFSET(Historical_Data_Start,date_start_row,Calculations!CV$40,date_rows,1))</f>
        <v>-1.6679922324126718E-2</v>
      </c>
      <c r="CW65" s="32">
        <f ca="1">CORREL(OFFSET(Historical_Data_Start,date_start_row,$B65,date_rows,1),OFFSET(Historical_Data_Start,date_start_row,Calculations!CW$40,date_rows,1))</f>
        <v>-0.68243830875280165</v>
      </c>
      <c r="CX65" s="32">
        <f ca="1">CORREL(OFFSET(Historical_Data_Start,date_start_row,$B65,date_rows,1),OFFSET(Historical_Data_Start,date_start_row,Calculations!CX$40,date_rows,1))</f>
        <v>-0.70300211836441473</v>
      </c>
      <c r="CY65" s="32">
        <f ca="1">CORREL(OFFSET(Historical_Data_Start,date_start_row,$B65,date_rows,1),OFFSET(Historical_Data_Start,date_start_row,Calculations!CY$40,date_rows,1))</f>
        <v>-0.72807943289601873</v>
      </c>
      <c r="CZ65" s="32">
        <f ca="1">CORREL(OFFSET(Historical_Data_Start,date_start_row,$B65,date_rows,1),OFFSET(Historical_Data_Start,date_start_row,Calculations!CZ$40,date_rows,1))</f>
        <v>-0.32966620487750781</v>
      </c>
      <c r="DA65" s="32">
        <f ca="1">CORREL(OFFSET(Historical_Data_Start,date_start_row,$B65,date_rows,1),OFFSET(Historical_Data_Start,date_start_row,Calculations!DA$40,date_rows,1))</f>
        <v>-0.50766837720716596</v>
      </c>
      <c r="DB65" s="32">
        <f ca="1">CORREL(OFFSET(Historical_Data_Start,date_start_row,$B65,date_rows,1),OFFSET(Historical_Data_Start,date_start_row,Calculations!DB$40,date_rows,1))</f>
        <v>-0.52335746618375467</v>
      </c>
      <c r="DC65" s="32">
        <f ca="1">CORREL(OFFSET(Historical_Data_Start,date_start_row,$B65,date_rows,1),OFFSET(Historical_Data_Start,date_start_row,Calculations!DC$40,date_rows,1))</f>
        <v>-0.46747057973227307</v>
      </c>
      <c r="DD65" s="32">
        <f ca="1">CORREL(OFFSET(Historical_Data_Start,date_start_row,$B65,date_rows,1),OFFSET(Historical_Data_Start,date_start_row,Calculations!DD$40,date_rows,1))</f>
        <v>-0.45342542100486777</v>
      </c>
      <c r="DE65" s="32">
        <f ca="1">CORREL(OFFSET(Historical_Data_Start,date_start_row,$B65,date_rows,1),OFFSET(Historical_Data_Start,date_start_row,Calculations!DE$40,date_rows,1))</f>
        <v>-0.45606577377958102</v>
      </c>
      <c r="DF65" s="32">
        <f ca="1">CORREL(OFFSET(Historical_Data_Start,date_start_row,$B65,date_rows,1),OFFSET(Historical_Data_Start,date_start_row,Calculations!DF$40,date_rows,1))</f>
        <v>-0.41818043735504329</v>
      </c>
      <c r="DG65" s="32">
        <f ca="1">CORREL(OFFSET(Historical_Data_Start,date_start_row,$B65,date_rows,1),OFFSET(Historical_Data_Start,date_start_row,Calculations!DG$40,date_rows,1))</f>
        <v>-0.40432470661278369</v>
      </c>
      <c r="DH65" s="33">
        <f ca="1">CORREL(OFFSET(Historical_Data_Start,date_start_row,$B65,date_rows,1),OFFSET(Historical_Data_Start,date_start_row,Calculations!DH$40,date_rows,1))</f>
        <v>-0.31901360639795689</v>
      </c>
      <c r="DI65" s="2">
        <f t="shared" si="71"/>
        <v>24</v>
      </c>
      <c r="DJ65" s="43">
        <f t="shared" ca="1" si="65"/>
        <v>-1.8061608510300253E-4</v>
      </c>
      <c r="DK65" s="44">
        <f t="shared" ca="1" si="12"/>
        <v>6.263676956710671E-5</v>
      </c>
      <c r="DL65" s="44">
        <f t="shared" ca="1" si="13"/>
        <v>5.6941487039661282E-5</v>
      </c>
      <c r="DM65" s="44">
        <f t="shared" ca="1" si="14"/>
        <v>1.9285201956480117E-3</v>
      </c>
      <c r="DN65" s="44">
        <f t="shared" ca="1" si="15"/>
        <v>3.2283299388229459E-3</v>
      </c>
      <c r="DO65" s="44">
        <f t="shared" ca="1" si="16"/>
        <v>1.6972712248757131E-3</v>
      </c>
      <c r="DP65" s="44">
        <f t="shared" ca="1" si="17"/>
        <v>4.2056968195339833E-3</v>
      </c>
      <c r="DQ65" s="44">
        <f t="shared" ca="1" si="18"/>
        <v>2.4580974163949838E-3</v>
      </c>
      <c r="DR65" s="44">
        <f t="shared" ca="1" si="19"/>
        <v>5.045220271441826E-3</v>
      </c>
      <c r="DS65" s="44">
        <f t="shared" ca="1" si="20"/>
        <v>7.524167588915143E-5</v>
      </c>
      <c r="DT65" s="44">
        <f t="shared" ca="1" si="21"/>
        <v>1.6656016769279875E-2</v>
      </c>
      <c r="DU65" s="44">
        <f t="shared" ca="1" si="22"/>
        <v>2.2572588135810562E-2</v>
      </c>
      <c r="DV65" s="44">
        <f t="shared" ca="1" si="23"/>
        <v>2.2279230646618176E-2</v>
      </c>
      <c r="DW65" s="44">
        <f t="shared" ca="1" si="24"/>
        <v>1.1164182638258051E-2</v>
      </c>
      <c r="DX65" s="44">
        <f t="shared" ca="1" si="25"/>
        <v>1.6709101781442942E-2</v>
      </c>
      <c r="DY65" s="44">
        <f t="shared" ca="1" si="26"/>
        <v>1.6408826649810502E-2</v>
      </c>
      <c r="DZ65" s="44">
        <f t="shared" ca="1" si="27"/>
        <v>1.3826813893183226E-2</v>
      </c>
      <c r="EA65" s="44">
        <f t="shared" ca="1" si="28"/>
        <v>1.6000473291428827E-2</v>
      </c>
      <c r="EB65" s="44">
        <f t="shared" ca="1" si="29"/>
        <v>1.8953863561441901E-2</v>
      </c>
      <c r="EC65" s="44">
        <f t="shared" ca="1" si="30"/>
        <v>1.9648262061308725E-2</v>
      </c>
      <c r="ED65" s="44">
        <f t="shared" ca="1" si="31"/>
        <v>1.7640006332699597E-2</v>
      </c>
      <c r="EE65" s="44">
        <f t="shared" ca="1" si="32"/>
        <v>2.579254260258926E-3</v>
      </c>
      <c r="EF65" s="44">
        <f t="shared" ca="1" si="33"/>
        <v>-1.1808755847312325E-3</v>
      </c>
      <c r="EG65" s="44">
        <f t="shared" ca="1" si="34"/>
        <v>2.8900000000000006E-2</v>
      </c>
      <c r="EH65" s="44">
        <f t="shared" ca="1" si="35"/>
        <v>1.7280444682737848E-2</v>
      </c>
      <c r="EI65" s="44">
        <f t="shared" ca="1" si="36"/>
        <v>2.0262906585585389E-3</v>
      </c>
      <c r="EJ65" s="45">
        <f t="shared" ca="1" si="37"/>
        <v>3.0439671286239057E-3</v>
      </c>
      <c r="EK65" s="44">
        <f t="shared" ca="1" si="38"/>
        <v>-1.8061669455360723E-4</v>
      </c>
      <c r="EL65" s="44">
        <f t="shared" ca="1" si="39"/>
        <v>4.5734784128363633E-5</v>
      </c>
      <c r="EM65" s="44">
        <f t="shared" ca="1" si="40"/>
        <v>4.2706115279745955E-5</v>
      </c>
      <c r="EN65" s="44">
        <f t="shared" ca="1" si="41"/>
        <v>1.3129834003755515E-3</v>
      </c>
      <c r="EO65" s="44">
        <f t="shared" ca="1" si="42"/>
        <v>5.2114069285529793E-3</v>
      </c>
      <c r="EP65" s="44">
        <f t="shared" ca="1" si="43"/>
        <v>5.9717592763468383E-4</v>
      </c>
      <c r="EQ65" s="44">
        <f t="shared" ca="1" si="44"/>
        <v>1.4763125974090569E-2</v>
      </c>
      <c r="ER65" s="44">
        <f t="shared" ca="1" si="45"/>
        <v>-1.6883685887454721E-3</v>
      </c>
      <c r="ES65" s="44">
        <f t="shared" ca="1" si="46"/>
        <v>-2.1284734435271868E-3</v>
      </c>
      <c r="ET65" s="44">
        <f t="shared" ca="1" si="47"/>
        <v>-2.5013559554847701E-3</v>
      </c>
      <c r="EU65" s="44">
        <f t="shared" ca="1" si="48"/>
        <v>-1.9849107565710799E-4</v>
      </c>
      <c r="EV65" s="44">
        <f t="shared" ca="1" si="49"/>
        <v>-1.8562321998076205E-2</v>
      </c>
      <c r="EW65" s="44">
        <f t="shared" ca="1" si="50"/>
        <v>-2.3902072024390101E-2</v>
      </c>
      <c r="EX65" s="44">
        <f t="shared" ca="1" si="51"/>
        <v>-2.2279230646618176E-2</v>
      </c>
      <c r="EY65" s="44">
        <f t="shared" ca="1" si="52"/>
        <v>-1.3450381159002319E-2</v>
      </c>
      <c r="EZ65" s="44">
        <f t="shared" ca="1" si="53"/>
        <v>-1.8123761066295825E-2</v>
      </c>
      <c r="FA65" s="44">
        <f t="shared" ca="1" si="54"/>
        <v>-1.7794153850247661E-2</v>
      </c>
      <c r="FB65" s="44">
        <f t="shared" ca="1" si="55"/>
        <v>-1.5893999710897284E-2</v>
      </c>
      <c r="FC65" s="44">
        <f t="shared" ca="1" si="56"/>
        <v>-1.6958110745582056E-2</v>
      </c>
      <c r="FD65" s="44">
        <f t="shared" ca="1" si="57"/>
        <v>-2.0158107201057481E-2</v>
      </c>
      <c r="FE65" s="44">
        <f t="shared" ca="1" si="58"/>
        <v>-2.132720230510721E-2</v>
      </c>
      <c r="FF65" s="44">
        <f t="shared" ca="1" si="59"/>
        <v>-1.9245856034768506E-2</v>
      </c>
      <c r="FG65" s="45">
        <f t="shared" ca="1" si="60"/>
        <v>-2.7116156543826339E-4</v>
      </c>
      <c r="FL65" s="111">
        <v>0</v>
      </c>
      <c r="FM65" s="111">
        <v>0</v>
      </c>
      <c r="FN65" s="111">
        <v>0</v>
      </c>
      <c r="FO65" s="111">
        <v>0</v>
      </c>
      <c r="FP65" s="111">
        <v>1</v>
      </c>
      <c r="FQ65" s="111">
        <v>0</v>
      </c>
    </row>
    <row r="66" spans="1:173" x14ac:dyDescent="0.2">
      <c r="A66" s="51" t="str">
        <f t="shared" ref="A66" ca="1" si="158">INDEX(Historical_Data_Names,3,B66)</f>
        <v>A</v>
      </c>
      <c r="B66" s="55">
        <f t="shared" si="67"/>
        <v>25</v>
      </c>
      <c r="C66" s="11" t="str">
        <f t="shared" ref="C66" ca="1" si="159">INDEX(Historical_Data_Names,2,B66)</f>
        <v>Oil/Gas</v>
      </c>
      <c r="D66" s="11"/>
      <c r="E66" s="13">
        <f t="shared" ref="E66" ca="1" si="160">AVERAGE(OFFSET(Historical_Data_Start,date_start_row,$B66,date_rows,1))*4</f>
        <v>8.9154407289700421E-2</v>
      </c>
      <c r="F66" s="13">
        <f t="array" aca="1" ref="F66" ca="1">PRODUCT(1+OFFSET(Historical_Data_Start,date_start_row,$B66,date_rows,1))^(4/date_rows)-1</f>
        <v>6.6013264811686234E-2</v>
      </c>
      <c r="G66" s="13">
        <f t="shared" ref="G66" ca="1" si="161">STDEV(OFFSET(Historical_Data_Start,date_start_row,$B66,date_rows,1))*2</f>
        <v>0.22220240043783962</v>
      </c>
      <c r="I66" s="19">
        <v>0.12</v>
      </c>
      <c r="J66" s="19">
        <v>0.24</v>
      </c>
      <c r="K66" s="19"/>
      <c r="L66" s="19">
        <v>3.8800000000000001E-2</v>
      </c>
      <c r="N66" s="82">
        <v>0.33628952727670675</v>
      </c>
      <c r="P66" s="49">
        <v>0</v>
      </c>
      <c r="Q66" s="84">
        <v>1</v>
      </c>
      <c r="R66" s="49"/>
      <c r="S66" s="226"/>
      <c r="T66" s="410">
        <v>0</v>
      </c>
      <c r="U66" s="410">
        <v>0</v>
      </c>
      <c r="V66" s="410">
        <v>0</v>
      </c>
      <c r="W66" s="410">
        <v>0</v>
      </c>
      <c r="X66" s="410">
        <v>1</v>
      </c>
      <c r="Y66" s="410">
        <v>0</v>
      </c>
      <c r="AF66" s="99">
        <f>-(1-AD53)*N53</f>
        <v>-8.3646544465952252E-3</v>
      </c>
      <c r="AI66" s="117">
        <v>0</v>
      </c>
      <c r="AJ66" s="117">
        <v>0</v>
      </c>
      <c r="AK66" s="117">
        <v>0</v>
      </c>
      <c r="AL66" s="117">
        <v>0</v>
      </c>
      <c r="AM66" s="117">
        <v>0</v>
      </c>
      <c r="AN66" s="117">
        <v>0</v>
      </c>
      <c r="AO66" s="117">
        <v>0</v>
      </c>
      <c r="AP66" s="117">
        <v>0</v>
      </c>
      <c r="AQ66" s="117">
        <v>0</v>
      </c>
      <c r="AR66" s="117">
        <v>0</v>
      </c>
      <c r="AS66" s="117">
        <v>0</v>
      </c>
      <c r="AU66" s="117">
        <v>0</v>
      </c>
      <c r="AV66" s="117">
        <v>0</v>
      </c>
      <c r="AW66" s="117">
        <v>0</v>
      </c>
      <c r="AX66" s="117">
        <v>0</v>
      </c>
      <c r="AY66" s="117">
        <v>0</v>
      </c>
      <c r="AZ66" s="117">
        <v>0</v>
      </c>
      <c r="BA66" s="117">
        <v>0</v>
      </c>
      <c r="BB66" s="117">
        <v>0</v>
      </c>
      <c r="BC66" s="117">
        <v>0</v>
      </c>
      <c r="BD66" s="117">
        <v>0</v>
      </c>
      <c r="BE66" s="117">
        <v>0</v>
      </c>
      <c r="BG66" s="1" t="str">
        <f t="shared" ca="1" si="9"/>
        <v>Oil/Gas</v>
      </c>
      <c r="BH66" s="38">
        <f t="shared" si="10"/>
        <v>0.12</v>
      </c>
      <c r="BI66" s="38">
        <f t="shared" si="11"/>
        <v>0.24</v>
      </c>
      <c r="BK66" s="31">
        <f ca="1">CORREL(OFFSET(Historical_Data_Start,date_start_row,$B66,date_rows,1),OFFSET(Historical_Data_Start,date_start_row,Calculations!BK$40,date_rows,1))</f>
        <v>-9.1216923391639781E-2</v>
      </c>
      <c r="BL66" s="32">
        <f ca="1">CORREL(OFFSET(Historical_Data_Start,date_start_row,$B66,date_rows,1),OFFSET(Historical_Data_Start,date_start_row,Calculations!BL$40,date_rows,1))</f>
        <v>-5.1448421720381103E-2</v>
      </c>
      <c r="BM66" s="32">
        <f ca="1">CORREL(OFFSET(Historical_Data_Start,date_start_row,$B66,date_rows,1),OFFSET(Historical_Data_Start,date_start_row,Calculations!BM$40,date_rows,1))</f>
        <v>-0.12551012230112121</v>
      </c>
      <c r="BN66" s="32">
        <f ca="1">CORREL(OFFSET(Historical_Data_Start,date_start_row,$B66,date_rows,1),OFFSET(Historical_Data_Start,date_start_row,Calculations!BN$40,date_rows,1))</f>
        <v>0.14089553620574677</v>
      </c>
      <c r="BO66" s="32">
        <f ca="1">CORREL(OFFSET(Historical_Data_Start,date_start_row,$B66,date_rows,1),OFFSET(Historical_Data_Start,date_start_row,Calculations!BO$40,date_rows,1))</f>
        <v>9.6935712508836785E-2</v>
      </c>
      <c r="BP66" s="32">
        <f ca="1">CORREL(OFFSET(Historical_Data_Start,date_start_row,$B66,date_rows,1),OFFSET(Historical_Data_Start,date_start_row,Calculations!BP$40,date_rows,1))</f>
        <v>3.2949430261349513E-2</v>
      </c>
      <c r="BQ66" s="32">
        <f ca="1">CORREL(OFFSET(Historical_Data_Start,date_start_row,$B66,date_rows,1),OFFSET(Historical_Data_Start,date_start_row,Calculations!BQ$40,date_rows,1))</f>
        <v>5.7282054395490951E-2</v>
      </c>
      <c r="BR66" s="32">
        <f ca="1">CORREL(OFFSET(Historical_Data_Start,date_start_row,$B66,date_rows,1),OFFSET(Historical_Data_Start,date_start_row,Calculations!BR$40,date_rows,1))</f>
        <v>0.15509216389960762</v>
      </c>
      <c r="BS66" s="32">
        <f ca="1">CORREL(OFFSET(Historical_Data_Start,date_start_row,$B66,date_rows,1),OFFSET(Historical_Data_Start,date_start_row,Calculations!BS$40,date_rows,1))</f>
        <v>0.17452674081580496</v>
      </c>
      <c r="BT66" s="32">
        <f ca="1">CORREL(OFFSET(Historical_Data_Start,date_start_row,$B66,date_rows,1),OFFSET(Historical_Data_Start,date_start_row,Calculations!BT$40,date_rows,1))</f>
        <v>-9.074581687786272E-2</v>
      </c>
      <c r="BU66" s="32">
        <f ca="1">CORREL(OFFSET(Historical_Data_Start,date_start_row,$B66,date_rows,1),OFFSET(Historical_Data_Start,date_start_row,Calculations!BU$40,date_rows,1))</f>
        <v>0.20542380375909347</v>
      </c>
      <c r="BV66" s="32">
        <f ca="1">CORREL(OFFSET(Historical_Data_Start,date_start_row,$B66,date_rows,1),OFFSET(Historical_Data_Start,date_start_row,Calculations!BV$40,date_rows,1))</f>
        <v>0.31224410784070838</v>
      </c>
      <c r="BW66" s="32">
        <f ca="1">CORREL(OFFSET(Historical_Data_Start,date_start_row,$B66,date_rows,1),OFFSET(Historical_Data_Start,date_start_row,Calculations!BW$40,date_rows,1))</f>
        <v>0.60590933907755706</v>
      </c>
      <c r="BX66" s="32">
        <f ca="1">CORREL(OFFSET(Historical_Data_Start,date_start_row,$B66,date_rows,1),OFFSET(Historical_Data_Start,date_start_row,Calculations!BX$40,date_rows,1))</f>
        <v>0.13933707683694152</v>
      </c>
      <c r="BY66" s="32">
        <f ca="1">CORREL(OFFSET(Historical_Data_Start,date_start_row,$B66,date_rows,1),OFFSET(Historical_Data_Start,date_start_row,Calculations!BY$40,date_rows,1))</f>
        <v>0.16724680220755084</v>
      </c>
      <c r="BZ66" s="32">
        <f ca="1">CORREL(OFFSET(Historical_Data_Start,date_start_row,$B66,date_rows,1),OFFSET(Historical_Data_Start,date_start_row,Calculations!BZ$40,date_rows,1))</f>
        <v>0.32684569711470174</v>
      </c>
      <c r="CA66" s="32">
        <f ca="1">CORREL(OFFSET(Historical_Data_Start,date_start_row,$B66,date_rows,1),OFFSET(Historical_Data_Start,date_start_row,Calculations!CA$40,date_rows,1))</f>
        <v>9.3383138537101021E-2</v>
      </c>
      <c r="CB66" s="32">
        <f ca="1">CORREL(OFFSET(Historical_Data_Start,date_start_row,$B66,date_rows,1),OFFSET(Historical_Data_Start,date_start_row,Calculations!CB$40,date_rows,1))</f>
        <v>0.46159439090052229</v>
      </c>
      <c r="CC66" s="32">
        <f ca="1">CORREL(OFFSET(Historical_Data_Start,date_start_row,$B66,date_rows,1),OFFSET(Historical_Data_Start,date_start_row,Calculations!CC$40,date_rows,1))</f>
        <v>0.34794769320478824</v>
      </c>
      <c r="CD66" s="32">
        <f ca="1">CORREL(OFFSET(Historical_Data_Start,date_start_row,$B66,date_rows,1),OFFSET(Historical_Data_Start,date_start_row,Calculations!CD$40,date_rows,1))</f>
        <v>0.27959788490254839</v>
      </c>
      <c r="CE66" s="32">
        <f ca="1">CORREL(OFFSET(Historical_Data_Start,date_start_row,$B66,date_rows,1),OFFSET(Historical_Data_Start,date_start_row,Calculations!CE$40,date_rows,1))</f>
        <v>0.26264621893373247</v>
      </c>
      <c r="CF66" s="32">
        <f ca="1">CORREL(OFFSET(Historical_Data_Start,date_start_row,$B66,date_rows,1),OFFSET(Historical_Data_Start,date_start_row,Calculations!CF$40,date_rows,1))</f>
        <v>7.1485266989122262E-2</v>
      </c>
      <c r="CG66" s="32">
        <f ca="1">CORREL(OFFSET(Historical_Data_Start,date_start_row,$B66,date_rows,1),OFFSET(Historical_Data_Start,date_start_row,Calculations!CG$40,date_rows,1))</f>
        <v>-5.347450002902307E-2</v>
      </c>
      <c r="CH66" s="32">
        <f ca="1">CORREL(OFFSET(Historical_Data_Start,date_start_row,$B66,date_rows,1),OFFSET(Historical_Data_Start,date_start_row,Calculations!CH$40,date_rows,1))</f>
        <v>0.4235403108514178</v>
      </c>
      <c r="CI66" s="32">
        <f ca="1">CORREL(OFFSET(Historical_Data_Start,date_start_row,$B66,date_rows,1),OFFSET(Historical_Data_Start,date_start_row,Calculations!CI$40,date_rows,1))</f>
        <v>1</v>
      </c>
      <c r="CJ66" s="32">
        <f ca="1">CORREL(OFFSET(Historical_Data_Start,date_start_row,$B66,date_rows,1),OFFSET(Historical_Data_Start,date_start_row,Calculations!CJ$40,date_rows,1))</f>
        <v>-1.3883291858455767E-2</v>
      </c>
      <c r="CK66" s="32">
        <f ca="1">CORREL(OFFSET(Historical_Data_Start,date_start_row,$B66,date_rows,1),OFFSET(Historical_Data_Start,date_start_row,Calculations!CK$40,date_rows,1))</f>
        <v>-2.0143914021275282E-2</v>
      </c>
      <c r="CL66" s="32">
        <f ca="1">CORREL(OFFSET(Historical_Data_Start,date_start_row,$B66,date_rows,1),OFFSET(Historical_Data_Start,date_start_row,Calculations!CL$40,date_rows,1))</f>
        <v>-9.1226866686927463E-2</v>
      </c>
      <c r="CM66" s="32">
        <f ca="1">CORREL(OFFSET(Historical_Data_Start,date_start_row,$B66,date_rows,1),OFFSET(Historical_Data_Start,date_start_row,Calculations!CM$40,date_rows,1))</f>
        <v>-5.1448421720381103E-2</v>
      </c>
      <c r="CN66" s="32">
        <f ca="1">CORREL(OFFSET(Historical_Data_Start,date_start_row,$B66,date_rows,1),OFFSET(Historical_Data_Start,date_start_row,Calculations!CN$40,date_rows,1))</f>
        <v>-0.12551012230112121</v>
      </c>
      <c r="CO66" s="32">
        <f ca="1">CORREL(OFFSET(Historical_Data_Start,date_start_row,$B66,date_rows,1),OFFSET(Historical_Data_Start,date_start_row,Calculations!CO$40,date_rows,1))</f>
        <v>3.2949430261349513E-2</v>
      </c>
      <c r="CP66" s="32">
        <f ca="1">CORREL(OFFSET(Historical_Data_Start,date_start_row,$B66,date_rows,1),OFFSET(Historical_Data_Start,date_start_row,Calculations!CP$40,date_rows,1))</f>
        <v>5.7282054395490951E-2</v>
      </c>
      <c r="CQ66" s="32">
        <f ca="1">CORREL(OFFSET(Historical_Data_Start,date_start_row,$B66,date_rows,1),OFFSET(Historical_Data_Start,date_start_row,Calculations!CQ$40,date_rows,1))</f>
        <v>-0.18184478785161734</v>
      </c>
      <c r="CR66" s="32">
        <f ca="1">CORREL(OFFSET(Historical_Data_Start,date_start_row,$B66,date_rows,1),OFFSET(Historical_Data_Start,date_start_row,Calculations!CR$40,date_rows,1))</f>
        <v>5.6221464101296907E-2</v>
      </c>
      <c r="CS66" s="32">
        <f ca="1">CORREL(OFFSET(Historical_Data_Start,date_start_row,$B66,date_rows,1),OFFSET(Historical_Data_Start,date_start_row,Calculations!CS$40,date_rows,1))</f>
        <v>-0.12326722557712552</v>
      </c>
      <c r="CT66" s="32">
        <f ca="1">CORREL(OFFSET(Historical_Data_Start,date_start_row,$B66,date_rows,1),OFFSET(Historical_Data_Start,date_start_row,Calculations!CT$40,date_rows,1))</f>
        <v>-0.14485278130661705</v>
      </c>
      <c r="CU66" s="32">
        <f ca="1">CORREL(OFFSET(Historical_Data_Start,date_start_row,$B66,date_rows,1),OFFSET(Historical_Data_Start,date_start_row,Calculations!CU$40,date_rows,1))</f>
        <v>-0.15954958900238952</v>
      </c>
      <c r="CV66" s="32">
        <f ca="1">CORREL(OFFSET(Historical_Data_Start,date_start_row,$B66,date_rows,1),OFFSET(Historical_Data_Start,date_start_row,Calculations!CV$40,date_rows,1))</f>
        <v>0.1667249293713616</v>
      </c>
      <c r="CW66" s="32">
        <f ca="1">CORREL(OFFSET(Historical_Data_Start,date_start_row,$B66,date_rows,1),OFFSET(Historical_Data_Start,date_start_row,Calculations!CW$40,date_rows,1))</f>
        <v>-0.3557960237447732</v>
      </c>
      <c r="CX66" s="32">
        <f ca="1">CORREL(OFFSET(Historical_Data_Start,date_start_row,$B66,date_rows,1),OFFSET(Historical_Data_Start,date_start_row,Calculations!CX$40,date_rows,1))</f>
        <v>-0.41663004933189079</v>
      </c>
      <c r="CY66" s="32">
        <f ca="1">CORREL(OFFSET(Historical_Data_Start,date_start_row,$B66,date_rows,1),OFFSET(Historical_Data_Start,date_start_row,Calculations!CY$40,date_rows,1))</f>
        <v>-0.60590933907755706</v>
      </c>
      <c r="CZ66" s="32">
        <f ca="1">CORREL(OFFSET(Historical_Data_Start,date_start_row,$B66,date_rows,1),OFFSET(Historical_Data_Start,date_start_row,Calculations!CZ$40,date_rows,1))</f>
        <v>-0.21134871298831875</v>
      </c>
      <c r="DA66" s="32">
        <f ca="1">CORREL(OFFSET(Historical_Data_Start,date_start_row,$B66,date_rows,1),OFFSET(Historical_Data_Start,date_start_row,Calculations!DA$40,date_rows,1))</f>
        <v>-0.24005004028086491</v>
      </c>
      <c r="DB66" s="32">
        <f ca="1">CORREL(OFFSET(Historical_Data_Start,date_start_row,$B66,date_rows,1),OFFSET(Historical_Data_Start,date_start_row,Calculations!DB$40,date_rows,1))</f>
        <v>-0.39634158447917389</v>
      </c>
      <c r="DC66" s="32">
        <f ca="1">CORREL(OFFSET(Historical_Data_Start,date_start_row,$B66,date_rows,1),OFFSET(Historical_Data_Start,date_start_row,Calculations!DC$40,date_rows,1))</f>
        <v>-0.17912164303700628</v>
      </c>
      <c r="DD66" s="32">
        <f ca="1">CORREL(OFFSET(Historical_Data_Start,date_start_row,$B66,date_rows,1),OFFSET(Historical_Data_Start,date_start_row,Calculations!DD$40,date_rows,1))</f>
        <v>-0.50225405299042625</v>
      </c>
      <c r="DE66" s="32">
        <f ca="1">CORREL(OFFSET(Historical_Data_Start,date_start_row,$B66,date_rows,1),OFFSET(Historical_Data_Start,date_start_row,Calculations!DE$40,date_rows,1))</f>
        <v>-0.39208896799091364</v>
      </c>
      <c r="DF66" s="32">
        <f ca="1">CORREL(OFFSET(Historical_Data_Start,date_start_row,$B66,date_rows,1),OFFSET(Historical_Data_Start,date_start_row,Calculations!DF$40,date_rows,1))</f>
        <v>-0.32675204738881491</v>
      </c>
      <c r="DG66" s="32">
        <f ca="1">CORREL(OFFSET(Historical_Data_Start,date_start_row,$B66,date_rows,1),OFFSET(Historical_Data_Start,date_start_row,Calculations!DG$40,date_rows,1))</f>
        <v>-0.3147523209641212</v>
      </c>
      <c r="DH66" s="33">
        <f ca="1">CORREL(OFFSET(Historical_Data_Start,date_start_row,$B66,date_rows,1),OFFSET(Historical_Data_Start,date_start_row,Calculations!DH$40,date_rows,1))</f>
        <v>-0.17424344070037856</v>
      </c>
      <c r="DI66" s="2">
        <f t="shared" si="71"/>
        <v>25</v>
      </c>
      <c r="DJ66" s="43">
        <f t="shared" ca="1" si="65"/>
        <v>-2.1892061613993546E-4</v>
      </c>
      <c r="DK66" s="44">
        <f t="shared" ca="1" si="12"/>
        <v>-7.7790013641216226E-4</v>
      </c>
      <c r="DL66" s="44">
        <f t="shared" ca="1" si="13"/>
        <v>-3.2532223700450619E-3</v>
      </c>
      <c r="DM66" s="44">
        <f t="shared" ca="1" si="14"/>
        <v>1.9612658639839948E-3</v>
      </c>
      <c r="DN66" s="44">
        <f t="shared" ca="1" si="15"/>
        <v>2.2799279582078409E-3</v>
      </c>
      <c r="DO66" s="44">
        <f t="shared" ca="1" si="16"/>
        <v>4.1911675292436579E-4</v>
      </c>
      <c r="DP66" s="44">
        <f t="shared" ca="1" si="17"/>
        <v>1.2647877610524401E-3</v>
      </c>
      <c r="DQ66" s="44">
        <f t="shared" ca="1" si="18"/>
        <v>1.8238838474593855E-3</v>
      </c>
      <c r="DR66" s="44">
        <f t="shared" ca="1" si="19"/>
        <v>3.4765726770508349E-3</v>
      </c>
      <c r="DS66" s="44">
        <f t="shared" ca="1" si="20"/>
        <v>-1.524529723548094E-3</v>
      </c>
      <c r="DT66" s="44">
        <f t="shared" ca="1" si="21"/>
        <v>7.8882740643491881E-3</v>
      </c>
      <c r="DU66" s="44">
        <f t="shared" ca="1" si="22"/>
        <v>1.4987717176354002E-2</v>
      </c>
      <c r="DV66" s="44">
        <f t="shared" ca="1" si="23"/>
        <v>2.6175283448150462E-2</v>
      </c>
      <c r="DW66" s="44">
        <f t="shared" ca="1" si="24"/>
        <v>8.0258156258078313E-3</v>
      </c>
      <c r="DX66" s="44">
        <f t="shared" ca="1" si="25"/>
        <v>8.4292388312605607E-3</v>
      </c>
      <c r="DY66" s="44">
        <f t="shared" ca="1" si="26"/>
        <v>1.5688593461505685E-2</v>
      </c>
      <c r="DZ66" s="44">
        <f t="shared" ca="1" si="27"/>
        <v>4.4823906497808491E-3</v>
      </c>
      <c r="EA66" s="44">
        <f t="shared" ca="1" si="28"/>
        <v>2.4372183839547576E-2</v>
      </c>
      <c r="EB66" s="44">
        <f t="shared" ca="1" si="29"/>
        <v>2.1711936055978785E-2</v>
      </c>
      <c r="EC66" s="44">
        <f t="shared" ca="1" si="30"/>
        <v>2.0131047712983484E-2</v>
      </c>
      <c r="ED66" s="44">
        <f t="shared" ca="1" si="31"/>
        <v>1.7649825912346824E-2</v>
      </c>
      <c r="EE66" s="44">
        <f t="shared" ca="1" si="32"/>
        <v>1.5440817669650406E-3</v>
      </c>
      <c r="EF66" s="44">
        <f t="shared" ca="1" si="33"/>
        <v>-1.1550492006268981E-3</v>
      </c>
      <c r="EG66" s="44">
        <f t="shared" ca="1" si="34"/>
        <v>1.7280444682737848E-2</v>
      </c>
      <c r="EH66" s="44">
        <f t="shared" ca="1" si="35"/>
        <v>5.7599999999999998E-2</v>
      </c>
      <c r="EI66" s="44">
        <f t="shared" ca="1" si="36"/>
        <v>-3.998388055235261E-4</v>
      </c>
      <c r="EJ66" s="45">
        <f t="shared" ca="1" si="37"/>
        <v>-4.3510854285954607E-4</v>
      </c>
      <c r="EK66" s="44">
        <f t="shared" ca="1" si="38"/>
        <v>-2.189444800486259E-4</v>
      </c>
      <c r="EL66" s="44">
        <f t="shared" ca="1" si="39"/>
        <v>-5.6799057579300734E-4</v>
      </c>
      <c r="EM66" s="44">
        <f t="shared" ca="1" si="40"/>
        <v>-2.4399167775337963E-3</v>
      </c>
      <c r="EN66" s="44">
        <f t="shared" ca="1" si="41"/>
        <v>3.2422239377167915E-4</v>
      </c>
      <c r="EO66" s="44">
        <f t="shared" ca="1" si="42"/>
        <v>1.5672370082606324E-3</v>
      </c>
      <c r="EP66" s="44">
        <f t="shared" ca="1" si="43"/>
        <v>-1.2089041496375517E-2</v>
      </c>
      <c r="EQ66" s="44">
        <f t="shared" ca="1" si="44"/>
        <v>3.2113700294660796E-3</v>
      </c>
      <c r="ER66" s="44">
        <f t="shared" ca="1" si="45"/>
        <v>-9.4669229243232386E-3</v>
      </c>
      <c r="ES66" s="44">
        <f t="shared" ca="1" si="46"/>
        <v>-2.1901740533560496E-3</v>
      </c>
      <c r="ET66" s="44">
        <f t="shared" ca="1" si="47"/>
        <v>-1.9145950680286743E-3</v>
      </c>
      <c r="EU66" s="44">
        <f t="shared" ca="1" si="48"/>
        <v>2.8009788134388753E-3</v>
      </c>
      <c r="EV66" s="44">
        <f t="shared" ca="1" si="49"/>
        <v>-1.366256731179929E-2</v>
      </c>
      <c r="EW66" s="44">
        <f t="shared" ca="1" si="50"/>
        <v>-1.9998242367930758E-2</v>
      </c>
      <c r="EX66" s="44">
        <f t="shared" ca="1" si="51"/>
        <v>-2.6175283448150462E-2</v>
      </c>
      <c r="EY66" s="44">
        <f t="shared" ca="1" si="52"/>
        <v>-1.217368586812716E-2</v>
      </c>
      <c r="EZ66" s="44">
        <f t="shared" ca="1" si="53"/>
        <v>-1.209852203015559E-2</v>
      </c>
      <c r="FA66" s="44">
        <f t="shared" ca="1" si="54"/>
        <v>-1.9024396055000347E-2</v>
      </c>
      <c r="FB66" s="44">
        <f t="shared" ca="1" si="55"/>
        <v>-8.5978388657763014E-3</v>
      </c>
      <c r="FC66" s="44">
        <f t="shared" ca="1" si="56"/>
        <v>-2.6519013997894504E-2</v>
      </c>
      <c r="FD66" s="44">
        <f t="shared" ca="1" si="57"/>
        <v>-2.446635160263301E-2</v>
      </c>
      <c r="FE66" s="44">
        <f t="shared" ca="1" si="58"/>
        <v>-2.3526147411994672E-2</v>
      </c>
      <c r="FF66" s="44">
        <f t="shared" ca="1" si="59"/>
        <v>-2.1151355968788949E-2</v>
      </c>
      <c r="FG66" s="45">
        <f t="shared" ca="1" si="60"/>
        <v>-2.0909212884045425E-4</v>
      </c>
      <c r="FL66" s="111">
        <v>0</v>
      </c>
      <c r="FM66" s="111">
        <v>0</v>
      </c>
      <c r="FN66" s="111">
        <v>0</v>
      </c>
      <c r="FO66" s="111">
        <v>0</v>
      </c>
      <c r="FP66" s="111">
        <v>1</v>
      </c>
      <c r="FQ66" s="111">
        <v>0</v>
      </c>
    </row>
    <row r="67" spans="1:173" x14ac:dyDescent="0.2">
      <c r="A67" s="51" t="str">
        <f t="shared" ref="A67" ca="1" si="162">INDEX(Historical_Data_Names,3,B67)</f>
        <v>A</v>
      </c>
      <c r="B67" s="55">
        <f t="shared" si="67"/>
        <v>26</v>
      </c>
      <c r="C67" s="11" t="str">
        <f t="shared" ref="C67" ca="1" si="163">INDEX(Historical_Data_Names,2,B67)</f>
        <v>Timber</v>
      </c>
      <c r="D67" s="11"/>
      <c r="E67" s="13">
        <f t="shared" ref="E67" ca="1" si="164">AVERAGE(OFFSET(Historical_Data_Start,date_start_row,$B67,date_rows,1))*4</f>
        <v>0.13425833329454737</v>
      </c>
      <c r="F67" s="13">
        <f t="array" aca="1" ref="F67" ca="1">PRODUCT(1+OFFSET(Historical_Data_Start,date_start_row,$B67,date_rows,1))^(4/date_rows)-1</f>
        <v>0.13796400903713901</v>
      </c>
      <c r="G67" s="13">
        <f t="shared" ref="G67" ca="1" si="165">STDEV(OFFSET(Historical_Data_Start,date_start_row,$B67,date_rows,1))*2</f>
        <v>7.9231979403741201E-2</v>
      </c>
      <c r="I67" s="19">
        <v>0.09</v>
      </c>
      <c r="J67" s="19">
        <v>0.12</v>
      </c>
      <c r="K67" s="19"/>
      <c r="L67" s="19">
        <v>4.4600000000000001E-2</v>
      </c>
      <c r="N67" s="82">
        <v>4.4600000000000001E-2</v>
      </c>
      <c r="P67" s="49">
        <v>4.4600000000000001E-2</v>
      </c>
      <c r="Q67" s="84">
        <v>6.8499999999999991E-2</v>
      </c>
      <c r="R67" s="49"/>
      <c r="S67" s="226"/>
      <c r="T67" s="410">
        <v>0</v>
      </c>
      <c r="U67" s="410">
        <v>0</v>
      </c>
      <c r="V67" s="410">
        <v>0</v>
      </c>
      <c r="W67" s="410">
        <v>0</v>
      </c>
      <c r="X67" s="410">
        <v>1</v>
      </c>
      <c r="Y67" s="410">
        <v>0</v>
      </c>
      <c r="AB67" s="94"/>
      <c r="AF67" s="99">
        <f>AD53*(SUM($N$52:$N$62)-N53)</f>
        <v>8.3646153484098085E-3</v>
      </c>
      <c r="AI67" s="117">
        <v>0</v>
      </c>
      <c r="AJ67" s="117">
        <v>0</v>
      </c>
      <c r="AK67" s="117">
        <v>0</v>
      </c>
      <c r="AL67" s="117">
        <v>0</v>
      </c>
      <c r="AM67" s="117">
        <v>0</v>
      </c>
      <c r="AN67" s="117">
        <v>0</v>
      </c>
      <c r="AO67" s="117">
        <v>0</v>
      </c>
      <c r="AP67" s="117">
        <v>0</v>
      </c>
      <c r="AQ67" s="117">
        <v>0</v>
      </c>
      <c r="AR67" s="117">
        <v>0</v>
      </c>
      <c r="AS67" s="117">
        <v>0</v>
      </c>
      <c r="AU67" s="117">
        <v>0</v>
      </c>
      <c r="AV67" s="117">
        <v>0</v>
      </c>
      <c r="AW67" s="117">
        <v>0</v>
      </c>
      <c r="AX67" s="117">
        <v>0</v>
      </c>
      <c r="AY67" s="117">
        <v>0</v>
      </c>
      <c r="AZ67" s="117">
        <v>0</v>
      </c>
      <c r="BA67" s="117">
        <v>0</v>
      </c>
      <c r="BB67" s="117">
        <v>0</v>
      </c>
      <c r="BC67" s="117">
        <v>0</v>
      </c>
      <c r="BD67" s="117">
        <v>0</v>
      </c>
      <c r="BE67" s="117">
        <v>0</v>
      </c>
      <c r="BG67" s="1" t="str">
        <f t="shared" ca="1" si="9"/>
        <v>Timber</v>
      </c>
      <c r="BH67" s="38">
        <f t="shared" si="10"/>
        <v>0.09</v>
      </c>
      <c r="BI67" s="38">
        <f t="shared" si="11"/>
        <v>0.12</v>
      </c>
      <c r="BK67" s="31">
        <f ca="1">CORREL(OFFSET(Historical_Data_Start,date_start_row,$B67,date_rows,1),OFFSET(Historical_Data_Start,date_start_row,Calculations!BK$40,date_rows,1))</f>
        <v>0.37858070131545463</v>
      </c>
      <c r="BL67" s="32">
        <f ca="1">CORREL(OFFSET(Historical_Data_Start,date_start_row,$B67,date_rows,1),OFFSET(Historical_Data_Start,date_start_row,Calculations!BL$40,date_rows,1))</f>
        <v>0.19058837401807738</v>
      </c>
      <c r="BM67" s="32">
        <f ca="1">CORREL(OFFSET(Historical_Data_Start,date_start_row,$B67,date_rows,1),OFFSET(Historical_Data_Start,date_start_row,Calculations!BM$40,date_rows,1))</f>
        <v>0.17962120688130948</v>
      </c>
      <c r="BN67" s="32">
        <f ca="1">CORREL(OFFSET(Historical_Data_Start,date_start_row,$B67,date_rows,1),OFFSET(Historical_Data_Start,date_start_row,Calculations!BN$40,date_rows,1))</f>
        <v>0.11394232624331282</v>
      </c>
      <c r="BO67" s="32">
        <f ca="1">CORREL(OFFSET(Historical_Data_Start,date_start_row,$B67,date_rows,1),OFFSET(Historical_Data_Start,date_start_row,Calculations!BO$40,date_rows,1))</f>
        <v>0.13815536319163557</v>
      </c>
      <c r="BP67" s="32">
        <f ca="1">CORREL(OFFSET(Historical_Data_Start,date_start_row,$B67,date_rows,1),OFFSET(Historical_Data_Start,date_start_row,Calculations!BP$40,date_rows,1))</f>
        <v>0.11935955111173342</v>
      </c>
      <c r="BQ67" s="32">
        <f ca="1">CORREL(OFFSET(Historical_Data_Start,date_start_row,$B67,date_rows,1),OFFSET(Historical_Data_Start,date_start_row,Calculations!BQ$40,date_rows,1))</f>
        <v>0.12242903445276547</v>
      </c>
      <c r="BR67" s="32">
        <f ca="1">CORREL(OFFSET(Historical_Data_Start,date_start_row,$B67,date_rows,1),OFFSET(Historical_Data_Start,date_start_row,Calculations!BR$40,date_rows,1))</f>
        <v>8.6358704443417866E-2</v>
      </c>
      <c r="BS67" s="32">
        <f ca="1">CORREL(OFFSET(Historical_Data_Start,date_start_row,$B67,date_rows,1),OFFSET(Historical_Data_Start,date_start_row,Calculations!BS$40,date_rows,1))</f>
        <v>8.2331735458500935E-2</v>
      </c>
      <c r="BT67" s="32">
        <f ca="1">CORREL(OFFSET(Historical_Data_Start,date_start_row,$B67,date_rows,1),OFFSET(Historical_Data_Start,date_start_row,Calculations!BT$40,date_rows,1))</f>
        <v>3.0481896690323401E-2</v>
      </c>
      <c r="BU67" s="32">
        <f ca="1">CORREL(OFFSET(Historical_Data_Start,date_start_row,$B67,date_rows,1),OFFSET(Historical_Data_Start,date_start_row,Calculations!BU$40,date_rows,1))</f>
        <v>0.1066517597055552</v>
      </c>
      <c r="BV67" s="32">
        <f ca="1">CORREL(OFFSET(Historical_Data_Start,date_start_row,$B67,date_rows,1),OFFSET(Historical_Data_Start,date_start_row,Calculations!BV$40,date_rows,1))</f>
        <v>5.0361080844352341E-2</v>
      </c>
      <c r="BW67" s="32">
        <f ca="1">CORREL(OFFSET(Historical_Data_Start,date_start_row,$B67,date_rows,1),OFFSET(Historical_Data_Start,date_start_row,Calculations!BW$40,date_rows,1))</f>
        <v>6.5829120304916916E-2</v>
      </c>
      <c r="BX67" s="32">
        <f ca="1">CORREL(OFFSET(Historical_Data_Start,date_start_row,$B67,date_rows,1),OFFSET(Historical_Data_Start,date_start_row,Calculations!BX$40,date_rows,1))</f>
        <v>4.3868991298753615E-2</v>
      </c>
      <c r="BY67" s="32">
        <f ca="1">CORREL(OFFSET(Historical_Data_Start,date_start_row,$B67,date_rows,1),OFFSET(Historical_Data_Start,date_start_row,Calculations!BY$40,date_rows,1))</f>
        <v>7.2626393659069907E-2</v>
      </c>
      <c r="BZ67" s="32">
        <f ca="1">CORREL(OFFSET(Historical_Data_Start,date_start_row,$B67,date_rows,1),OFFSET(Historical_Data_Start,date_start_row,Calculations!BZ$40,date_rows,1))</f>
        <v>5.9135711656619315E-3</v>
      </c>
      <c r="CA67" s="32">
        <f ca="1">CORREL(OFFSET(Historical_Data_Start,date_start_row,$B67,date_rows,1),OFFSET(Historical_Data_Start,date_start_row,Calculations!CA$40,date_rows,1))</f>
        <v>6.2141852446521567E-2</v>
      </c>
      <c r="CB67" s="32">
        <f ca="1">CORREL(OFFSET(Historical_Data_Start,date_start_row,$B67,date_rows,1),OFFSET(Historical_Data_Start,date_start_row,Calculations!CB$40,date_rows,1))</f>
        <v>-4.3194846762264913E-2</v>
      </c>
      <c r="CC67" s="32">
        <f ca="1">CORREL(OFFSET(Historical_Data_Start,date_start_row,$B67,date_rows,1),OFFSET(Historical_Data_Start,date_start_row,Calculations!CC$40,date_rows,1))</f>
        <v>-5.6178977563478762E-2</v>
      </c>
      <c r="CD67" s="32">
        <f ca="1">CORREL(OFFSET(Historical_Data_Start,date_start_row,$B67,date_rows,1),OFFSET(Historical_Data_Start,date_start_row,Calculations!CD$40,date_rows,1))</f>
        <v>2.3368154610535034E-2</v>
      </c>
      <c r="CE67" s="32">
        <f ca="1">CORREL(OFFSET(Historical_Data_Start,date_start_row,$B67,date_rows,1),OFFSET(Historical_Data_Start,date_start_row,Calculations!CE$40,date_rows,1))</f>
        <v>-5.5279435832687455E-2</v>
      </c>
      <c r="CF67" s="32">
        <f ca="1">CORREL(OFFSET(Historical_Data_Start,date_start_row,$B67,date_rows,1),OFFSET(Historical_Data_Start,date_start_row,Calculations!CF$40,date_rows,1))</f>
        <v>-9.9913715085155702E-2</v>
      </c>
      <c r="CG67" s="32">
        <f ca="1">CORREL(OFFSET(Historical_Data_Start,date_start_row,$B67,date_rows,1),OFFSET(Historical_Data_Start,date_start_row,Calculations!CG$40,date_rows,1))</f>
        <v>0.13478418331674608</v>
      </c>
      <c r="CH67" s="32">
        <f ca="1">CORREL(OFFSET(Historical_Data_Start,date_start_row,$B67,date_rows,1),OFFSET(Historical_Data_Start,date_start_row,Calculations!CH$40,date_rows,1))</f>
        <v>9.9327973458751898E-2</v>
      </c>
      <c r="CI67" s="32">
        <f ca="1">CORREL(OFFSET(Historical_Data_Start,date_start_row,$B67,date_rows,1),OFFSET(Historical_Data_Start,date_start_row,Calculations!CI$40,date_rows,1))</f>
        <v>-1.3883291858455767E-2</v>
      </c>
      <c r="CJ67" s="32">
        <f ca="1">CORREL(OFFSET(Historical_Data_Start,date_start_row,$B67,date_rows,1),OFFSET(Historical_Data_Start,date_start_row,Calculations!CJ$40,date_rows,1))</f>
        <v>1</v>
      </c>
      <c r="CK67" s="32">
        <f ca="1">CORREL(OFFSET(Historical_Data_Start,date_start_row,$B67,date_rows,1),OFFSET(Historical_Data_Start,date_start_row,Calculations!CK$40,date_rows,1))</f>
        <v>0.21220263248263085</v>
      </c>
      <c r="CL67" s="32">
        <f ca="1">CORREL(OFFSET(Historical_Data_Start,date_start_row,$B67,date_rows,1),OFFSET(Historical_Data_Start,date_start_row,Calculations!CL$40,date_rows,1))</f>
        <v>0.37857691157117618</v>
      </c>
      <c r="CM67" s="32">
        <f ca="1">CORREL(OFFSET(Historical_Data_Start,date_start_row,$B67,date_rows,1),OFFSET(Historical_Data_Start,date_start_row,Calculations!CM$40,date_rows,1))</f>
        <v>0.19058837401807738</v>
      </c>
      <c r="CN67" s="32">
        <f ca="1">CORREL(OFFSET(Historical_Data_Start,date_start_row,$B67,date_rows,1),OFFSET(Historical_Data_Start,date_start_row,Calculations!CN$40,date_rows,1))</f>
        <v>0.17962120688130948</v>
      </c>
      <c r="CO67" s="32">
        <f ca="1">CORREL(OFFSET(Historical_Data_Start,date_start_row,$B67,date_rows,1),OFFSET(Historical_Data_Start,date_start_row,Calculations!CO$40,date_rows,1))</f>
        <v>0.11935955111173342</v>
      </c>
      <c r="CP67" s="32">
        <f ca="1">CORREL(OFFSET(Historical_Data_Start,date_start_row,$B67,date_rows,1),OFFSET(Historical_Data_Start,date_start_row,Calculations!CP$40,date_rows,1))</f>
        <v>0.12242903445276547</v>
      </c>
      <c r="CQ67" s="32">
        <f ca="1">CORREL(OFFSET(Historical_Data_Start,date_start_row,$B67,date_rows,1),OFFSET(Historical_Data_Start,date_start_row,Calculations!CQ$40,date_rows,1))</f>
        <v>0.127399244037256</v>
      </c>
      <c r="CR67" s="32">
        <f ca="1">CORREL(OFFSET(Historical_Data_Start,date_start_row,$B67,date_rows,1),OFFSET(Historical_Data_Start,date_start_row,Calculations!CR$40,date_rows,1))</f>
        <v>-2.4071565900702879E-3</v>
      </c>
      <c r="CS67" s="32">
        <f ca="1">CORREL(OFFSET(Historical_Data_Start,date_start_row,$B67,date_rows,1),OFFSET(Historical_Data_Start,date_start_row,Calculations!CS$40,date_rows,1))</f>
        <v>1.4642192226224289E-2</v>
      </c>
      <c r="CT67" s="32">
        <f ca="1">CORREL(OFFSET(Historical_Data_Start,date_start_row,$B67,date_rows,1),OFFSET(Historical_Data_Start,date_start_row,Calculations!CT$40,date_rows,1))</f>
        <v>-0.11466683806222935</v>
      </c>
      <c r="CU67" s="32">
        <f ca="1">CORREL(OFFSET(Historical_Data_Start,date_start_row,$B67,date_rows,1),OFFSET(Historical_Data_Start,date_start_row,Calculations!CU$40,date_rows,1))</f>
        <v>-9.0488664536772151E-2</v>
      </c>
      <c r="CV67" s="32">
        <f ca="1">CORREL(OFFSET(Historical_Data_Start,date_start_row,$B67,date_rows,1),OFFSET(Historical_Data_Start,date_start_row,Calculations!CV$40,date_rows,1))</f>
        <v>-2.2419578484924065E-2</v>
      </c>
      <c r="CW67" s="32">
        <f ca="1">CORREL(OFFSET(Historical_Data_Start,date_start_row,$B67,date_rows,1),OFFSET(Historical_Data_Start,date_start_row,Calculations!CW$40,date_rows,1))</f>
        <v>-6.156296282660266E-2</v>
      </c>
      <c r="CX67" s="32">
        <f ca="1">CORREL(OFFSET(Historical_Data_Start,date_start_row,$B67,date_rows,1),OFFSET(Historical_Data_Start,date_start_row,Calculations!CX$40,date_rows,1))</f>
        <v>-1.6094691129241882E-2</v>
      </c>
      <c r="CY67" s="32">
        <f ca="1">CORREL(OFFSET(Historical_Data_Start,date_start_row,$B67,date_rows,1),OFFSET(Historical_Data_Start,date_start_row,Calculations!CY$40,date_rows,1))</f>
        <v>-6.5829120304916916E-2</v>
      </c>
      <c r="CZ67" s="32">
        <f ca="1">CORREL(OFFSET(Historical_Data_Start,date_start_row,$B67,date_rows,1),OFFSET(Historical_Data_Start,date_start_row,Calculations!CZ$40,date_rows,1))</f>
        <v>-2.9666570197209099E-2</v>
      </c>
      <c r="DA67" s="32">
        <f ca="1">CORREL(OFFSET(Historical_Data_Start,date_start_row,$B67,date_rows,1),OFFSET(Historical_Data_Start,date_start_row,Calculations!DA$40,date_rows,1))</f>
        <v>-5.128889681395115E-2</v>
      </c>
      <c r="DB67" s="32">
        <f ca="1">CORREL(OFFSET(Historical_Data_Start,date_start_row,$B67,date_rows,1),OFFSET(Historical_Data_Start,date_start_row,Calculations!DB$40,date_rows,1))</f>
        <v>1.290475738184961E-2</v>
      </c>
      <c r="DC67" s="32">
        <f ca="1">CORREL(OFFSET(Historical_Data_Start,date_start_row,$B67,date_rows,1),OFFSET(Historical_Data_Start,date_start_row,Calculations!DC$40,date_rows,1))</f>
        <v>-3.9829227493180339E-2</v>
      </c>
      <c r="DD67" s="32">
        <f ca="1">CORREL(OFFSET(Historical_Data_Start,date_start_row,$B67,date_rows,1),OFFSET(Historical_Data_Start,date_start_row,Calculations!DD$40,date_rows,1))</f>
        <v>5.6794613228207315E-2</v>
      </c>
      <c r="DE67" s="32">
        <f ca="1">CORREL(OFFSET(Historical_Data_Start,date_start_row,$B67,date_rows,1),OFFSET(Historical_Data_Start,date_start_row,Calculations!DE$40,date_rows,1))</f>
        <v>6.7830232167023038E-2</v>
      </c>
      <c r="DF67" s="32">
        <f ca="1">CORREL(OFFSET(Historical_Data_Start,date_start_row,$B67,date_rows,1),OFFSET(Historical_Data_Start,date_start_row,Calculations!DF$40,date_rows,1))</f>
        <v>-1.0337796712430423E-2</v>
      </c>
      <c r="DG67" s="32">
        <f ca="1">CORREL(OFFSET(Historical_Data_Start,date_start_row,$B67,date_rows,1),OFFSET(Historical_Data_Start,date_start_row,Calculations!DG$40,date_rows,1))</f>
        <v>6.7193571443694936E-2</v>
      </c>
      <c r="DH67" s="33">
        <f ca="1">CORREL(OFFSET(Historical_Data_Start,date_start_row,$B67,date_rows,1),OFFSET(Historical_Data_Start,date_start_row,Calculations!DH$40,date_rows,1))</f>
        <v>-8.4586518919629802E-2</v>
      </c>
      <c r="DI67" s="2">
        <f t="shared" si="71"/>
        <v>26</v>
      </c>
      <c r="DJ67" s="43">
        <f t="shared" ca="1" si="65"/>
        <v>4.5429684157854549E-4</v>
      </c>
      <c r="DK67" s="44">
        <f t="shared" ca="1" si="12"/>
        <v>1.440848107576665E-3</v>
      </c>
      <c r="DL67" s="44">
        <f t="shared" ca="1" si="13"/>
        <v>2.3278908411817709E-3</v>
      </c>
      <c r="DM67" s="44">
        <f t="shared" ca="1" si="14"/>
        <v>7.9303859065345717E-4</v>
      </c>
      <c r="DN67" s="44">
        <f t="shared" ca="1" si="15"/>
        <v>1.6247070711336343E-3</v>
      </c>
      <c r="DO67" s="44">
        <f t="shared" ca="1" si="16"/>
        <v>7.591267450706245E-4</v>
      </c>
      <c r="DP67" s="44">
        <f t="shared" ca="1" si="17"/>
        <v>1.3516165403585306E-3</v>
      </c>
      <c r="DQ67" s="44">
        <f t="shared" ca="1" si="18"/>
        <v>5.0778918212729699E-4</v>
      </c>
      <c r="DR67" s="44">
        <f t="shared" ca="1" si="19"/>
        <v>8.2002408516666932E-4</v>
      </c>
      <c r="DS67" s="44">
        <f t="shared" ca="1" si="20"/>
        <v>2.5604793219871663E-4</v>
      </c>
      <c r="DT67" s="44">
        <f t="shared" ca="1" si="21"/>
        <v>2.0477137863466597E-3</v>
      </c>
      <c r="DU67" s="44">
        <f t="shared" ca="1" si="22"/>
        <v>1.2086659402644562E-3</v>
      </c>
      <c r="DV67" s="44">
        <f t="shared" ca="1" si="23"/>
        <v>1.4219089985862052E-3</v>
      </c>
      <c r="DW67" s="44">
        <f t="shared" ca="1" si="24"/>
        <v>1.2634269494041042E-3</v>
      </c>
      <c r="DX67" s="44">
        <f t="shared" ca="1" si="25"/>
        <v>1.8301851202085614E-3</v>
      </c>
      <c r="DY67" s="44">
        <f t="shared" ca="1" si="26"/>
        <v>1.4192570797588635E-4</v>
      </c>
      <c r="DZ67" s="44">
        <f t="shared" ca="1" si="27"/>
        <v>1.4914044587165177E-3</v>
      </c>
      <c r="EA67" s="44">
        <f t="shared" ca="1" si="28"/>
        <v>-1.1403439545237936E-3</v>
      </c>
      <c r="EB67" s="44">
        <f t="shared" ca="1" si="29"/>
        <v>-1.7527840999805374E-3</v>
      </c>
      <c r="EC67" s="44">
        <f t="shared" ca="1" si="30"/>
        <v>8.4125356597926121E-4</v>
      </c>
      <c r="ED67" s="44">
        <f t="shared" ca="1" si="31"/>
        <v>-1.8573890439782987E-3</v>
      </c>
      <c r="EE67" s="44">
        <f t="shared" ca="1" si="32"/>
        <v>-1.0790681229196815E-3</v>
      </c>
      <c r="EF67" s="44">
        <f t="shared" ca="1" si="33"/>
        <v>1.4556691798208574E-3</v>
      </c>
      <c r="EG67" s="44">
        <f t="shared" ca="1" si="34"/>
        <v>2.0262906585585389E-3</v>
      </c>
      <c r="EH67" s="44">
        <f t="shared" ca="1" si="35"/>
        <v>-3.998388055235261E-4</v>
      </c>
      <c r="EI67" s="44">
        <f t="shared" ca="1" si="36"/>
        <v>1.44E-2</v>
      </c>
      <c r="EJ67" s="45">
        <f t="shared" ca="1" si="37"/>
        <v>2.291788430812413E-3</v>
      </c>
      <c r="EK67" s="44">
        <f t="shared" ca="1" si="38"/>
        <v>4.5429229388541136E-4</v>
      </c>
      <c r="EL67" s="44">
        <f t="shared" ca="1" si="39"/>
        <v>1.052047824579787E-3</v>
      </c>
      <c r="EM67" s="44">
        <f t="shared" ca="1" si="40"/>
        <v>1.745918130886328E-3</v>
      </c>
      <c r="EN67" s="44">
        <f t="shared" ca="1" si="41"/>
        <v>5.8724899146972832E-4</v>
      </c>
      <c r="EO67" s="44">
        <f t="shared" ca="1" si="42"/>
        <v>1.6748291913138316E-3</v>
      </c>
      <c r="EP67" s="44">
        <f t="shared" ca="1" si="43"/>
        <v>4.2347508717983885E-3</v>
      </c>
      <c r="EQ67" s="44">
        <f t="shared" ca="1" si="44"/>
        <v>-6.8748392212407422E-5</v>
      </c>
      <c r="ER67" s="44">
        <f t="shared" ca="1" si="45"/>
        <v>5.6226018148701267E-4</v>
      </c>
      <c r="ES67" s="44">
        <f t="shared" ca="1" si="46"/>
        <v>-8.6688129575045387E-4</v>
      </c>
      <c r="ET67" s="44">
        <f t="shared" ca="1" si="47"/>
        <v>-5.429319872206329E-4</v>
      </c>
      <c r="EU67" s="44">
        <f t="shared" ca="1" si="48"/>
        <v>-1.8832445927336217E-4</v>
      </c>
      <c r="EV67" s="44">
        <f t="shared" ca="1" si="49"/>
        <v>-1.182008886270771E-3</v>
      </c>
      <c r="EW67" s="44">
        <f t="shared" ca="1" si="50"/>
        <v>-3.8627258710180516E-4</v>
      </c>
      <c r="EX67" s="44">
        <f t="shared" ca="1" si="51"/>
        <v>-1.4219089985862052E-3</v>
      </c>
      <c r="EY67" s="44">
        <f t="shared" ca="1" si="52"/>
        <v>-8.5439722167962205E-4</v>
      </c>
      <c r="EZ67" s="44">
        <f t="shared" ca="1" si="53"/>
        <v>-1.2924801997115688E-3</v>
      </c>
      <c r="FA67" s="44">
        <f t="shared" ca="1" si="54"/>
        <v>3.0971417716439063E-4</v>
      </c>
      <c r="FB67" s="44">
        <f t="shared" ca="1" si="55"/>
        <v>-9.5590145983632819E-4</v>
      </c>
      <c r="FC67" s="44">
        <f t="shared" ca="1" si="56"/>
        <v>1.4993777892246731E-3</v>
      </c>
      <c r="FD67" s="44">
        <f t="shared" ca="1" si="57"/>
        <v>2.1163032436111186E-3</v>
      </c>
      <c r="FE67" s="44">
        <f t="shared" ca="1" si="58"/>
        <v>-3.7216068164749519E-4</v>
      </c>
      <c r="FF67" s="44">
        <f t="shared" ca="1" si="59"/>
        <v>2.2577040005081501E-3</v>
      </c>
      <c r="FG67" s="45">
        <f t="shared" ca="1" si="60"/>
        <v>-5.075191135177788E-5</v>
      </c>
      <c r="FL67" s="111">
        <v>0</v>
      </c>
      <c r="FM67" s="111">
        <v>0</v>
      </c>
      <c r="FN67" s="111">
        <v>0</v>
      </c>
      <c r="FO67" s="111">
        <v>0</v>
      </c>
      <c r="FP67" s="111">
        <v>1</v>
      </c>
      <c r="FQ67" s="111">
        <v>0</v>
      </c>
    </row>
    <row r="68" spans="1:173" ht="12.75" thickBot="1" x14ac:dyDescent="0.25">
      <c r="A68" s="51" t="str">
        <f t="shared" ref="A68" ca="1" si="166">INDEX(Historical_Data_Names,3,B68)</f>
        <v>A</v>
      </c>
      <c r="B68" s="56">
        <f t="shared" si="67"/>
        <v>27</v>
      </c>
      <c r="C68" s="11" t="str">
        <f t="shared" ref="C68" ca="1" si="167">INDEX(Historical_Data_Names,2,B68)</f>
        <v>Farms</v>
      </c>
      <c r="D68" s="15"/>
      <c r="E68" s="17">
        <f t="shared" ref="E68" ca="1" si="168">AVERAGE(OFFSET(Historical_Data_Start,date_start_row,$B68,date_rows,1))*4</f>
        <v>9.1825001274570481E-2</v>
      </c>
      <c r="F68" s="17">
        <f t="array" aca="1" ref="F68" ca="1">PRODUCT(1+OFFSET(Historical_Data_Start,date_start_row,$B68,date_rows,1))^(4/date_rows)-1</f>
        <v>9.321842472816555E-2</v>
      </c>
      <c r="G68" s="17">
        <f t="shared" ref="G68" ca="1" si="169">STDEV(OFFSET(Historical_Data_Start,date_start_row,$B68,date_rows,1))*2</f>
        <v>6.069661659480869E-2</v>
      </c>
      <c r="I68" s="20">
        <v>0.09</v>
      </c>
      <c r="J68" s="20">
        <v>0.09</v>
      </c>
      <c r="L68" s="20">
        <v>2.1600000000000001E-2</v>
      </c>
      <c r="N68" s="83">
        <v>2.1600000000000001E-2</v>
      </c>
      <c r="P68" s="50">
        <v>2.1600000000000001E-2</v>
      </c>
      <c r="Q68" s="86">
        <v>3.2300000000000002E-2</v>
      </c>
      <c r="R68" s="53"/>
      <c r="S68" s="226"/>
      <c r="T68" s="410">
        <v>0</v>
      </c>
      <c r="U68" s="410">
        <v>0</v>
      </c>
      <c r="V68" s="410">
        <v>0</v>
      </c>
      <c r="W68" s="410">
        <v>0</v>
      </c>
      <c r="X68" s="410">
        <v>1</v>
      </c>
      <c r="Y68" s="410">
        <v>0</v>
      </c>
      <c r="AF68" s="100">
        <f>AD53</f>
        <v>0.19551597434895515</v>
      </c>
      <c r="AI68" s="118">
        <v>0</v>
      </c>
      <c r="AJ68" s="118">
        <v>0</v>
      </c>
      <c r="AK68" s="118">
        <v>0</v>
      </c>
      <c r="AL68" s="118">
        <v>0</v>
      </c>
      <c r="AM68" s="118">
        <v>0</v>
      </c>
      <c r="AN68" s="118">
        <v>0</v>
      </c>
      <c r="AO68" s="118">
        <v>0</v>
      </c>
      <c r="AP68" s="118">
        <v>0</v>
      </c>
      <c r="AQ68" s="118">
        <v>0</v>
      </c>
      <c r="AR68" s="118">
        <v>0</v>
      </c>
      <c r="AS68" s="118">
        <v>0</v>
      </c>
      <c r="AU68" s="118">
        <v>0</v>
      </c>
      <c r="AV68" s="118">
        <v>0</v>
      </c>
      <c r="AW68" s="118">
        <v>0</v>
      </c>
      <c r="AX68" s="118">
        <v>0</v>
      </c>
      <c r="AY68" s="118">
        <v>0</v>
      </c>
      <c r="AZ68" s="118">
        <v>0</v>
      </c>
      <c r="BA68" s="118">
        <v>0</v>
      </c>
      <c r="BB68" s="118">
        <v>0</v>
      </c>
      <c r="BC68" s="118">
        <v>0</v>
      </c>
      <c r="BD68" s="118">
        <v>0</v>
      </c>
      <c r="BE68" s="118">
        <v>0</v>
      </c>
      <c r="BG68" s="1" t="str">
        <f t="shared" ca="1" si="9"/>
        <v>Farms</v>
      </c>
      <c r="BH68" s="38">
        <f t="shared" si="10"/>
        <v>0.09</v>
      </c>
      <c r="BI68" s="38">
        <f t="shared" si="11"/>
        <v>0.09</v>
      </c>
      <c r="BK68" s="31">
        <f ca="1">CORREL(OFFSET(Historical_Data_Start,date_start_row,$B68,date_rows,1),OFFSET(Historical_Data_Start,date_start_row,Calculations!BK$40,date_rows,1))</f>
        <v>-0.35704161670427093</v>
      </c>
      <c r="BL68" s="32">
        <f ca="1">CORREL(OFFSET(Historical_Data_Start,date_start_row,$B68,date_rows,1),OFFSET(Historical_Data_Start,date_start_row,Calculations!BL$40,date_rows,1))</f>
        <v>-0.10865175369483758</v>
      </c>
      <c r="BM68" s="32">
        <f ca="1">CORREL(OFFSET(Historical_Data_Start,date_start_row,$B68,date_rows,1),OFFSET(Historical_Data_Start,date_start_row,Calculations!BM$40,date_rows,1))</f>
        <v>1.2700820679050647E-2</v>
      </c>
      <c r="BN68" s="32">
        <f ca="1">CORREL(OFFSET(Historical_Data_Start,date_start_row,$B68,date_rows,1),OFFSET(Historical_Data_Start,date_start_row,Calculations!BN$40,date_rows,1))</f>
        <v>-8.9352340161175089E-2</v>
      </c>
      <c r="BO68" s="32">
        <f ca="1">CORREL(OFFSET(Historical_Data_Start,date_start_row,$B68,date_rows,1),OFFSET(Historical_Data_Start,date_start_row,Calculations!BO$40,date_rows,1))</f>
        <v>3.7312900508450703E-3</v>
      </c>
      <c r="BP68" s="32">
        <f ca="1">CORREL(OFFSET(Historical_Data_Start,date_start_row,$B68,date_rows,1),OFFSET(Historical_Data_Start,date_start_row,Calculations!BP$40,date_rows,1))</f>
        <v>-2.1489134550229379E-2</v>
      </c>
      <c r="BQ68" s="32">
        <f ca="1">CORREL(OFFSET(Historical_Data_Start,date_start_row,$B68,date_rows,1),OFFSET(Historical_Data_Start,date_start_row,Calculations!BQ$40,date_rows,1))</f>
        <v>5.0184426169889738E-2</v>
      </c>
      <c r="BR68" s="32">
        <f ca="1">CORREL(OFFSET(Historical_Data_Start,date_start_row,$B68,date_rows,1),OFFSET(Historical_Data_Start,date_start_row,Calculations!BR$40,date_rows,1))</f>
        <v>-4.817287760675245E-2</v>
      </c>
      <c r="BS68" s="32">
        <f ca="1">CORREL(OFFSET(Historical_Data_Start,date_start_row,$B68,date_rows,1),OFFSET(Historical_Data_Start,date_start_row,Calculations!BS$40,date_rows,1))</f>
        <v>9.9112802833659953E-3</v>
      </c>
      <c r="BT68" s="32">
        <f ca="1">CORREL(OFFSET(Historical_Data_Start,date_start_row,$B68,date_rows,1),OFFSET(Historical_Data_Start,date_start_row,Calculations!BT$40,date_rows,1))</f>
        <v>2.4833396474974932E-2</v>
      </c>
      <c r="BU68" s="32">
        <f ca="1">CORREL(OFFSET(Historical_Data_Start,date_start_row,$B68,date_rows,1),OFFSET(Historical_Data_Start,date_start_row,Calculations!BU$40,date_rows,1))</f>
        <v>0.11185765515547527</v>
      </c>
      <c r="BV68" s="32">
        <f ca="1">CORREL(OFFSET(Historical_Data_Start,date_start_row,$B68,date_rows,1),OFFSET(Historical_Data_Start,date_start_row,Calculations!BV$40,date_rows,1))</f>
        <v>0.1037172523100733</v>
      </c>
      <c r="BW68" s="32">
        <f ca="1">CORREL(OFFSET(Historical_Data_Start,date_start_row,$B68,date_rows,1),OFFSET(Historical_Data_Start,date_start_row,Calculations!BW$40,date_rows,1))</f>
        <v>9.4242881083180796E-2</v>
      </c>
      <c r="BX68" s="32">
        <f ca="1">CORREL(OFFSET(Historical_Data_Start,date_start_row,$B68,date_rows,1),OFFSET(Historical_Data_Start,date_start_row,Calculations!BX$40,date_rows,1))</f>
        <v>0.20423301736979541</v>
      </c>
      <c r="BY68" s="32">
        <f ca="1">CORREL(OFFSET(Historical_Data_Start,date_start_row,$B68,date_rows,1),OFFSET(Historical_Data_Start,date_start_row,Calculations!BY$40,date_rows,1))</f>
        <v>0.23468402163125535</v>
      </c>
      <c r="BZ68" s="32">
        <f ca="1">CORREL(OFFSET(Historical_Data_Start,date_start_row,$B68,date_rows,1),OFFSET(Historical_Data_Start,date_start_row,Calculations!BZ$40,date_rows,1))</f>
        <v>0.11664106150717857</v>
      </c>
      <c r="CA68" s="32">
        <f ca="1">CORREL(OFFSET(Historical_Data_Start,date_start_row,$B68,date_rows,1),OFFSET(Historical_Data_Start,date_start_row,Calculations!CA$40,date_rows,1))</f>
        <v>0.23932908165706107</v>
      </c>
      <c r="CB68" s="32">
        <f ca="1">CORREL(OFFSET(Historical_Data_Start,date_start_row,$B68,date_rows,1),OFFSET(Historical_Data_Start,date_start_row,Calculations!CB$40,date_rows,1))</f>
        <v>0.11509386839881695</v>
      </c>
      <c r="CC68" s="32">
        <f ca="1">CORREL(OFFSET(Historical_Data_Start,date_start_row,$B68,date_rows,1),OFFSET(Historical_Data_Start,date_start_row,Calculations!CC$40,date_rows,1))</f>
        <v>4.8602566890103033E-2</v>
      </c>
      <c r="CD68" s="32">
        <f ca="1">CORREL(OFFSET(Historical_Data_Start,date_start_row,$B68,date_rows,1),OFFSET(Historical_Data_Start,date_start_row,Calculations!CD$40,date_rows,1))</f>
        <v>0.10979871235790896</v>
      </c>
      <c r="CE68" s="32">
        <f ca="1">CORREL(OFFSET(Historical_Data_Start,date_start_row,$B68,date_rows,1),OFFSET(Historical_Data_Start,date_start_row,Calculations!CE$40,date_rows,1))</f>
        <v>0.11849613903830972</v>
      </c>
      <c r="CF68" s="32">
        <f ca="1">CORREL(OFFSET(Historical_Data_Start,date_start_row,$B68,date_rows,1),OFFSET(Historical_Data_Start,date_start_row,Calculations!CF$40,date_rows,1))</f>
        <v>0.1364531206990644</v>
      </c>
      <c r="CG68" s="32">
        <f ca="1">CORREL(OFFSET(Historical_Data_Start,date_start_row,$B68,date_rows,1),OFFSET(Historical_Data_Start,date_start_row,Calculations!CG$40,date_rows,1))</f>
        <v>0.21743066094814228</v>
      </c>
      <c r="CH68" s="32">
        <f ca="1">CORREL(OFFSET(Historical_Data_Start,date_start_row,$B68,date_rows,1),OFFSET(Historical_Data_Start,date_start_row,Calculations!CH$40,date_rows,1))</f>
        <v>0.19895209991005919</v>
      </c>
      <c r="CI68" s="32">
        <f ca="1">CORREL(OFFSET(Historical_Data_Start,date_start_row,$B68,date_rows,1),OFFSET(Historical_Data_Start,date_start_row,Calculations!CI$40,date_rows,1))</f>
        <v>-2.0143914021275282E-2</v>
      </c>
      <c r="CJ68" s="32">
        <f ca="1">CORREL(OFFSET(Historical_Data_Start,date_start_row,$B68,date_rows,1),OFFSET(Historical_Data_Start,date_start_row,Calculations!CJ$40,date_rows,1))</f>
        <v>0.21220263248263085</v>
      </c>
      <c r="CK68" s="32">
        <f ca="1">CORREL(OFFSET(Historical_Data_Start,date_start_row,$B68,date_rows,1),OFFSET(Historical_Data_Start,date_start_row,Calculations!CK$40,date_rows,1))</f>
        <v>1</v>
      </c>
      <c r="CL68" s="32">
        <f ca="1">CORREL(OFFSET(Historical_Data_Start,date_start_row,$B68,date_rows,1),OFFSET(Historical_Data_Start,date_start_row,Calculations!CL$40,date_rows,1))</f>
        <v>-0.35705231169497459</v>
      </c>
      <c r="CM68" s="32">
        <f ca="1">CORREL(OFFSET(Historical_Data_Start,date_start_row,$B68,date_rows,1),OFFSET(Historical_Data_Start,date_start_row,Calculations!CM$40,date_rows,1))</f>
        <v>-0.10865175369483758</v>
      </c>
      <c r="CN68" s="32">
        <f ca="1">CORREL(OFFSET(Historical_Data_Start,date_start_row,$B68,date_rows,1),OFFSET(Historical_Data_Start,date_start_row,Calculations!CN$40,date_rows,1))</f>
        <v>1.2700820679050647E-2</v>
      </c>
      <c r="CO68" s="32">
        <f ca="1">CORREL(OFFSET(Historical_Data_Start,date_start_row,$B68,date_rows,1),OFFSET(Historical_Data_Start,date_start_row,Calculations!CO$40,date_rows,1))</f>
        <v>-2.1489134550229379E-2</v>
      </c>
      <c r="CP68" s="32">
        <f ca="1">CORREL(OFFSET(Historical_Data_Start,date_start_row,$B68,date_rows,1),OFFSET(Historical_Data_Start,date_start_row,Calculations!CP$40,date_rows,1))</f>
        <v>5.0184426169889738E-2</v>
      </c>
      <c r="CQ68" s="32">
        <f ca="1">CORREL(OFFSET(Historical_Data_Start,date_start_row,$B68,date_rows,1),OFFSET(Historical_Data_Start,date_start_row,Calculations!CQ$40,date_rows,1))</f>
        <v>7.6727978041592634E-2</v>
      </c>
      <c r="CR68" s="32">
        <f ca="1">CORREL(OFFSET(Historical_Data_Start,date_start_row,$B68,date_rows,1),OFFSET(Historical_Data_Start,date_start_row,Calculations!CR$40,date_rows,1))</f>
        <v>0.11755706904475814</v>
      </c>
      <c r="CS68" s="32">
        <f ca="1">CORREL(OFFSET(Historical_Data_Start,date_start_row,$B68,date_rows,1),OFFSET(Historical_Data_Start,date_start_row,Calculations!CS$40,date_rows,1))</f>
        <v>8.8975248108282654E-2</v>
      </c>
      <c r="CT68" s="32">
        <f ca="1">CORREL(OFFSET(Historical_Data_Start,date_start_row,$B68,date_rows,1),OFFSET(Historical_Data_Start,date_start_row,Calculations!CT$40,date_rows,1))</f>
        <v>8.8870117918603095E-2</v>
      </c>
      <c r="CU68" s="32">
        <f ca="1">CORREL(OFFSET(Historical_Data_Start,date_start_row,$B68,date_rows,1),OFFSET(Historical_Data_Start,date_start_row,Calculations!CU$40,date_rows,1))</f>
        <v>4.9655602147589135E-2</v>
      </c>
      <c r="CV68" s="32">
        <f ca="1">CORREL(OFFSET(Historical_Data_Start,date_start_row,$B68,date_rows,1),OFFSET(Historical_Data_Start,date_start_row,Calculations!CV$40,date_rows,1))</f>
        <v>-2.4861713730939816E-2</v>
      </c>
      <c r="CW68" s="32">
        <f ca="1">CORREL(OFFSET(Historical_Data_Start,date_start_row,$B68,date_rows,1),OFFSET(Historical_Data_Start,date_start_row,Calculations!CW$40,date_rows,1))</f>
        <v>-9.4261974433732534E-2</v>
      </c>
      <c r="CX68" s="32">
        <f ca="1">CORREL(OFFSET(Historical_Data_Start,date_start_row,$B68,date_rows,1),OFFSET(Historical_Data_Start,date_start_row,Calculations!CX$40,date_rows,1))</f>
        <v>-8.9884078193222194E-2</v>
      </c>
      <c r="CY68" s="32">
        <f ca="1">CORREL(OFFSET(Historical_Data_Start,date_start_row,$B68,date_rows,1),OFFSET(Historical_Data_Start,date_start_row,Calculations!CY$40,date_rows,1))</f>
        <v>-9.4242881083180796E-2</v>
      </c>
      <c r="CZ68" s="32">
        <f ca="1">CORREL(OFFSET(Historical_Data_Start,date_start_row,$B68,date_rows,1),OFFSET(Historical_Data_Start,date_start_row,Calculations!CZ$40,date_rows,1))</f>
        <v>-0.19847981001307191</v>
      </c>
      <c r="DA68" s="32">
        <f ca="1">CORREL(OFFSET(Historical_Data_Start,date_start_row,$B68,date_rows,1),OFFSET(Historical_Data_Start,date_start_row,Calculations!DA$40,date_rows,1))</f>
        <v>-0.2181604311536052</v>
      </c>
      <c r="DB68" s="32">
        <f ca="1">CORREL(OFFSET(Historical_Data_Start,date_start_row,$B68,date_rows,1),OFFSET(Historical_Data_Start,date_start_row,Calculations!DB$40,date_rows,1))</f>
        <v>-0.1067609409472858</v>
      </c>
      <c r="DC68" s="32">
        <f ca="1">CORREL(OFFSET(Historical_Data_Start,date_start_row,$B68,date_rows,1),OFFSET(Historical_Data_Start,date_start_row,Calculations!DC$40,date_rows,1))</f>
        <v>-0.23097189777731866</v>
      </c>
      <c r="DD68" s="32">
        <f ca="1">CORREL(OFFSET(Historical_Data_Start,date_start_row,$B68,date_rows,1),OFFSET(Historical_Data_Start,date_start_row,Calculations!DD$40,date_rows,1))</f>
        <v>-0.10227831905862081</v>
      </c>
      <c r="DE68" s="32">
        <f ca="1">CORREL(OFFSET(Historical_Data_Start,date_start_row,$B68,date_rows,1),OFFSET(Historical_Data_Start,date_start_row,Calculations!DE$40,date_rows,1))</f>
        <v>-4.4387804777381482E-2</v>
      </c>
      <c r="DF68" s="32">
        <f ca="1">CORREL(OFFSET(Historical_Data_Start,date_start_row,$B68,date_rows,1),OFFSET(Historical_Data_Start,date_start_row,Calculations!DF$40,date_rows,1))</f>
        <v>-0.10520058526350656</v>
      </c>
      <c r="DG68" s="32">
        <f ca="1">CORREL(OFFSET(Historical_Data_Start,date_start_row,$B68,date_rows,1),OFFSET(Historical_Data_Start,date_start_row,Calculations!DG$40,date_rows,1))</f>
        <v>-0.1116340519929513</v>
      </c>
      <c r="DH68" s="33">
        <f ca="1">CORREL(OFFSET(Historical_Data_Start,date_start_row,$B68,date_rows,1),OFFSET(Historical_Data_Start,date_start_row,Calculations!DH$40,date_rows,1))</f>
        <v>-0.24395292078935107</v>
      </c>
      <c r="DI68" s="2">
        <f t="shared" si="71"/>
        <v>27</v>
      </c>
      <c r="DJ68" s="46">
        <f t="shared" ca="1" si="65"/>
        <v>-3.2133745503384382E-4</v>
      </c>
      <c r="DK68" s="47">
        <f t="shared" ca="1" si="12"/>
        <v>-6.160554434497291E-4</v>
      </c>
      <c r="DL68" s="47">
        <f t="shared" ca="1" si="13"/>
        <v>1.2345197700037229E-4</v>
      </c>
      <c r="DM68" s="47">
        <f t="shared" ca="1" si="14"/>
        <v>-4.6641921564133393E-4</v>
      </c>
      <c r="DN68" s="47">
        <f t="shared" ca="1" si="15"/>
        <v>3.2909978248453522E-5</v>
      </c>
      <c r="DO68" s="47">
        <f t="shared" ca="1" si="16"/>
        <v>-1.0250317180459414E-4</v>
      </c>
      <c r="DP68" s="47">
        <f t="shared" ca="1" si="17"/>
        <v>4.1552704868668701E-4</v>
      </c>
      <c r="DQ68" s="47">
        <f t="shared" ca="1" si="18"/>
        <v>-2.1244239024577829E-4</v>
      </c>
      <c r="DR68" s="47">
        <f t="shared" ca="1" si="19"/>
        <v>7.4037263716743981E-5</v>
      </c>
      <c r="DS68" s="47">
        <f t="shared" ca="1" si="20"/>
        <v>1.5645039779234207E-4</v>
      </c>
      <c r="DT68" s="47">
        <f t="shared" ca="1" si="21"/>
        <v>1.6107502342388438E-3</v>
      </c>
      <c r="DU68" s="47">
        <f t="shared" ca="1" si="22"/>
        <v>1.8669105415813191E-3</v>
      </c>
      <c r="DV68" s="47">
        <f t="shared" ca="1" si="23"/>
        <v>1.5267346735475288E-3</v>
      </c>
      <c r="DW68" s="47">
        <f t="shared" ca="1" si="24"/>
        <v>4.4114331751875799E-3</v>
      </c>
      <c r="DX68" s="47">
        <f t="shared" ca="1" si="25"/>
        <v>4.4355280088307263E-3</v>
      </c>
      <c r="DY68" s="47">
        <f t="shared" ca="1" si="26"/>
        <v>2.099539107129214E-3</v>
      </c>
      <c r="DZ68" s="47">
        <f t="shared" ca="1" si="27"/>
        <v>4.3079234698270991E-3</v>
      </c>
      <c r="EA68" s="47">
        <f t="shared" ca="1" si="28"/>
        <v>2.2788585942965754E-3</v>
      </c>
      <c r="EB68" s="47">
        <f t="shared" ca="1" si="29"/>
        <v>1.1373000652284109E-3</v>
      </c>
      <c r="EC68" s="47">
        <f t="shared" ca="1" si="30"/>
        <v>2.9645652336635418E-3</v>
      </c>
      <c r="ED68" s="47">
        <f t="shared" ca="1" si="31"/>
        <v>2.9861027037654049E-3</v>
      </c>
      <c r="EE68" s="47">
        <f t="shared" ca="1" si="32"/>
        <v>1.1052702776624217E-3</v>
      </c>
      <c r="EF68" s="47">
        <f t="shared" ca="1" si="33"/>
        <v>1.7611883536799524E-3</v>
      </c>
      <c r="EG68" s="47">
        <f t="shared" ca="1" si="34"/>
        <v>3.0439671286239057E-3</v>
      </c>
      <c r="EH68" s="47">
        <f t="shared" ca="1" si="35"/>
        <v>-4.3510854285954607E-4</v>
      </c>
      <c r="EI68" s="47">
        <f t="shared" ca="1" si="36"/>
        <v>2.291788430812413E-3</v>
      </c>
      <c r="EJ68" s="48">
        <f t="shared" ca="1" si="37"/>
        <v>8.0999999999999996E-3</v>
      </c>
      <c r="EK68" s="44">
        <f t="shared" ca="1" si="38"/>
        <v>-3.2134708052547711E-4</v>
      </c>
      <c r="EL68" s="44">
        <f t="shared" ca="1" si="39"/>
        <v>-4.4981826029662751E-4</v>
      </c>
      <c r="EM68" s="44">
        <f t="shared" ca="1" si="40"/>
        <v>9.2588982750279214E-5</v>
      </c>
      <c r="EN68" s="44">
        <f t="shared" ca="1" si="41"/>
        <v>-7.9294906490346399E-5</v>
      </c>
      <c r="EO68" s="44">
        <f t="shared" ca="1" si="42"/>
        <v>5.1489221250306872E-4</v>
      </c>
      <c r="EP68" s="44">
        <f t="shared" ca="1" si="43"/>
        <v>1.9128284925769041E-3</v>
      </c>
      <c r="EQ68" s="44">
        <f t="shared" ca="1" si="44"/>
        <v>2.5180724189387198E-3</v>
      </c>
      <c r="ER68" s="44">
        <f t="shared" ca="1" si="45"/>
        <v>2.5624871455185404E-3</v>
      </c>
      <c r="ES68" s="44">
        <f t="shared" ca="1" si="46"/>
        <v>5.0389356859847955E-4</v>
      </c>
      <c r="ET68" s="44">
        <f t="shared" ca="1" si="47"/>
        <v>2.234502096641511E-4</v>
      </c>
      <c r="EU68" s="44">
        <f t="shared" ca="1" si="48"/>
        <v>-1.5662879650492085E-4</v>
      </c>
      <c r="EV68" s="44">
        <f t="shared" ca="1" si="49"/>
        <v>-1.3573724318457485E-3</v>
      </c>
      <c r="EW68" s="44">
        <f t="shared" ca="1" si="50"/>
        <v>-1.6179134074779994E-3</v>
      </c>
      <c r="EX68" s="44">
        <f t="shared" ca="1" si="51"/>
        <v>-1.5267346735475288E-3</v>
      </c>
      <c r="EY68" s="44">
        <f t="shared" ca="1" si="52"/>
        <v>-4.2871638962823531E-3</v>
      </c>
      <c r="EZ68" s="44">
        <f t="shared" ca="1" si="53"/>
        <v>-4.1232321488031383E-3</v>
      </c>
      <c r="FA68" s="44">
        <f t="shared" ca="1" si="54"/>
        <v>-1.9216969370511442E-3</v>
      </c>
      <c r="FB68" s="44">
        <f t="shared" ca="1" si="55"/>
        <v>-4.1574941599917354E-3</v>
      </c>
      <c r="FC68" s="44">
        <f t="shared" ca="1" si="56"/>
        <v>-2.0251107173606918E-3</v>
      </c>
      <c r="FD68" s="44">
        <f t="shared" ca="1" si="57"/>
        <v>-1.0386746317907268E-3</v>
      </c>
      <c r="FE68" s="44">
        <f t="shared" ca="1" si="58"/>
        <v>-2.840415802114677E-3</v>
      </c>
      <c r="FF68" s="44">
        <f t="shared" ca="1" si="59"/>
        <v>-2.8131781102223728E-3</v>
      </c>
      <c r="FG68" s="45">
        <f t="shared" ca="1" si="60"/>
        <v>-1.0977881435520797E-4</v>
      </c>
      <c r="FL68" s="112">
        <v>0</v>
      </c>
      <c r="FM68" s="112">
        <v>0</v>
      </c>
      <c r="FN68" s="112">
        <v>0</v>
      </c>
      <c r="FO68" s="112">
        <v>0</v>
      </c>
      <c r="FP68" s="112">
        <v>1</v>
      </c>
      <c r="FQ68" s="112">
        <v>0</v>
      </c>
    </row>
    <row r="69" spans="1:173" x14ac:dyDescent="0.2">
      <c r="A69" s="51" t="str">
        <f t="shared" ref="A69" ca="1" si="170">INDEX(Historical_Data_Names,3,B69)</f>
        <v>L</v>
      </c>
      <c r="B69" s="55">
        <f>B68+1</f>
        <v>28</v>
      </c>
      <c r="C69" s="11" t="str">
        <f t="shared" ref="C69" ca="1" si="171">INDEX(Historical_Data_Names,2,B69)</f>
        <v>Float Debt</v>
      </c>
      <c r="D69" s="11"/>
      <c r="E69" s="13">
        <f t="shared" ref="E69" ca="1" si="172">AVERAGE(OFFSET(Historical_Data_Start,date_start_row,$B69,date_rows,1))*4</f>
        <v>5.8025957042938815E-2</v>
      </c>
      <c r="F69" s="13">
        <f t="array" aca="1" ref="F69" ca="1">PRODUCT(1+OFFSET(Historical_Data_Start,date_start_row,$B69,date_rows,1))^(4/date_rows)-1</f>
        <v>5.9042018511290317E-2</v>
      </c>
      <c r="G69" s="13">
        <f t="shared" ref="G69" ca="1" si="173">STDEV(OFFSET(Historical_Data_Start,date_start_row,$B69,date_rows,1))*2</f>
        <v>2.2578047427710968E-2</v>
      </c>
      <c r="I69" s="21">
        <v>0.02</v>
      </c>
      <c r="J69" s="21">
        <v>0.01</v>
      </c>
      <c r="L69" s="19">
        <v>-5.1500000000000004E-2</v>
      </c>
      <c r="M69" s="19"/>
      <c r="N69" s="14">
        <f t="shared" ref="N69:N91" si="174">$L69</f>
        <v>-5.1500000000000004E-2</v>
      </c>
      <c r="P69" s="114">
        <f t="shared" ref="P69:Q91" si="175">$L69</f>
        <v>-5.1500000000000004E-2</v>
      </c>
      <c r="Q69" s="114">
        <f t="shared" si="175"/>
        <v>-5.1500000000000004E-2</v>
      </c>
      <c r="S69" s="226"/>
      <c r="T69" s="410">
        <v>0</v>
      </c>
      <c r="U69" s="410">
        <v>0</v>
      </c>
      <c r="V69" s="410">
        <v>0</v>
      </c>
      <c r="W69" s="410">
        <v>0</v>
      </c>
      <c r="X69" s="410">
        <v>0</v>
      </c>
      <c r="Y69" s="410">
        <v>0</v>
      </c>
      <c r="AF69" s="100">
        <f>(SUM($N$52:$N$62)-N53)</f>
        <v>4.27822605097255E-2</v>
      </c>
      <c r="AI69" s="117">
        <v>0</v>
      </c>
      <c r="AJ69" s="117">
        <v>0</v>
      </c>
      <c r="AK69" s="117">
        <v>0</v>
      </c>
      <c r="AL69" s="117">
        <v>0</v>
      </c>
      <c r="AM69" s="117">
        <v>0</v>
      </c>
      <c r="AN69" s="117">
        <v>0</v>
      </c>
      <c r="AO69" s="117">
        <v>0</v>
      </c>
      <c r="AP69" s="117">
        <v>0</v>
      </c>
      <c r="AQ69" s="117">
        <v>0</v>
      </c>
      <c r="AR69" s="117">
        <v>0</v>
      </c>
      <c r="AS69" s="117">
        <v>0</v>
      </c>
      <c r="AU69" s="117">
        <v>0</v>
      </c>
      <c r="AV69" s="117">
        <v>0</v>
      </c>
      <c r="AW69" s="117">
        <v>0</v>
      </c>
      <c r="AX69" s="117">
        <v>0</v>
      </c>
      <c r="AY69" s="117">
        <v>0</v>
      </c>
      <c r="AZ69" s="117">
        <v>0</v>
      </c>
      <c r="BA69" s="117">
        <v>0</v>
      </c>
      <c r="BB69" s="117">
        <v>0</v>
      </c>
      <c r="BC69" s="117">
        <v>0</v>
      </c>
      <c r="BD69" s="117">
        <v>0</v>
      </c>
      <c r="BE69" s="117">
        <v>0</v>
      </c>
      <c r="BG69" s="51" t="str">
        <f t="shared" ref="BG69:BG91" ca="1" si="176">C69</f>
        <v>Float Debt</v>
      </c>
      <c r="BH69" s="38">
        <f t="shared" si="10"/>
        <v>0.02</v>
      </c>
      <c r="BI69" s="38">
        <f t="shared" si="11"/>
        <v>0.01</v>
      </c>
      <c r="BK69" s="31">
        <f ca="1">CORREL(OFFSET(Historical_Data_Start,date_start_row,$B69,date_rows,1),OFFSET(Historical_Data_Start,date_start_row,Calculations!BK$40,date_rows,1))</f>
        <v>0.99999998705681237</v>
      </c>
      <c r="BL69" s="32">
        <f ca="1">CORREL(OFFSET(Historical_Data_Start,date_start_row,$B69,date_rows,1),OFFSET(Historical_Data_Start,date_start_row,Calculations!BL$40,date_rows,1))</f>
        <v>0.36596011360480479</v>
      </c>
      <c r="BM69" s="32">
        <f ca="1">CORREL(OFFSET(Historical_Data_Start,date_start_row,$B69,date_rows,1),OFFSET(Historical_Data_Start,date_start_row,Calculations!BM$40,date_rows,1))</f>
        <v>0.1163215544832044</v>
      </c>
      <c r="BN69" s="32">
        <f ca="1">CORREL(OFFSET(Historical_Data_Start,date_start_row,$B69,date_rows,1),OFFSET(Historical_Data_Start,date_start_row,Calculations!BN$40,date_rows,1))</f>
        <v>0.26958687320428937</v>
      </c>
      <c r="BO69" s="32">
        <f ca="1">CORREL(OFFSET(Historical_Data_Start,date_start_row,$B69,date_rows,1),OFFSET(Historical_Data_Start,date_start_row,Calculations!BO$40,date_rows,1))</f>
        <v>0.1307523065924146</v>
      </c>
      <c r="BP69" s="32">
        <f ca="1">CORREL(OFFSET(Historical_Data_Start,date_start_row,$B69,date_rows,1),OFFSET(Historical_Data_Start,date_start_row,Calculations!BP$40,date_rows,1))</f>
        <v>0.1956499772089467</v>
      </c>
      <c r="BQ69" s="32">
        <f ca="1">CORREL(OFFSET(Historical_Data_Start,date_start_row,$B69,date_rows,1),OFFSET(Historical_Data_Start,date_start_row,Calculations!BQ$40,date_rows,1))</f>
        <v>0.11735263983698284</v>
      </c>
      <c r="BR69" s="32">
        <f ca="1">CORREL(OFFSET(Historical_Data_Start,date_start_row,$B69,date_rows,1),OFFSET(Historical_Data_Start,date_start_row,Calculations!BR$40,date_rows,1))</f>
        <v>0.16179706691791199</v>
      </c>
      <c r="BS69" s="32">
        <f ca="1">CORREL(OFFSET(Historical_Data_Start,date_start_row,$B69,date_rows,1),OFFSET(Historical_Data_Start,date_start_row,Calculations!BS$40,date_rows,1))</f>
        <v>8.9055331766664469E-2</v>
      </c>
      <c r="BT69" s="32">
        <f ca="1">CORREL(OFFSET(Historical_Data_Start,date_start_row,$B69,date_rows,1),OFFSET(Historical_Data_Start,date_start_row,Calculations!BT$40,date_rows,1))</f>
        <v>0.20099847919316929</v>
      </c>
      <c r="BU69" s="32">
        <f ca="1">CORREL(OFFSET(Historical_Data_Start,date_start_row,$B69,date_rows,1),OFFSET(Historical_Data_Start,date_start_row,Calculations!BU$40,date_rows,1))</f>
        <v>5.1135762235609991E-2</v>
      </c>
      <c r="BV69" s="32">
        <f ca="1">CORREL(OFFSET(Historical_Data_Start,date_start_row,$B69,date_rows,1),OFFSET(Historical_Data_Start,date_start_row,Calculations!BV$40,date_rows,1))</f>
        <v>2.1303018873055666E-2</v>
      </c>
      <c r="BW69" s="32">
        <f ca="1">CORREL(OFFSET(Historical_Data_Start,date_start_row,$B69,date_rows,1),OFFSET(Historical_Data_Start,date_start_row,Calculations!BW$40,date_rows,1))</f>
        <v>-3.2493901238497859E-2</v>
      </c>
      <c r="BX69" s="32">
        <f ca="1">CORREL(OFFSET(Historical_Data_Start,date_start_row,$B69,date_rows,1),OFFSET(Historical_Data_Start,date_start_row,Calculations!BX$40,date_rows,1))</f>
        <v>5.7716526608282567E-2</v>
      </c>
      <c r="BY69" s="32">
        <f ca="1">CORREL(OFFSET(Historical_Data_Start,date_start_row,$B69,date_rows,1),OFFSET(Historical_Data_Start,date_start_row,Calculations!BY$40,date_rows,1))</f>
        <v>1.0624744198707877E-2</v>
      </c>
      <c r="BZ69" s="32">
        <f ca="1">CORREL(OFFSET(Historical_Data_Start,date_start_row,$B69,date_rows,1),OFFSET(Historical_Data_Start,date_start_row,Calculations!BZ$40,date_rows,1))</f>
        <v>8.0120133632887641E-2</v>
      </c>
      <c r="CA69" s="32">
        <f ca="1">CORREL(OFFSET(Historical_Data_Start,date_start_row,$B69,date_rows,1),OFFSET(Historical_Data_Start,date_start_row,Calculations!CA$40,date_rows,1))</f>
        <v>-3.9275347465272871E-2</v>
      </c>
      <c r="CB69" s="32">
        <f ca="1">CORREL(OFFSET(Historical_Data_Start,date_start_row,$B69,date_rows,1),OFFSET(Historical_Data_Start,date_start_row,Calculations!CB$40,date_rows,1))</f>
        <v>-5.2853847707470793E-2</v>
      </c>
      <c r="CC69" s="32">
        <f ca="1">CORREL(OFFSET(Historical_Data_Start,date_start_row,$B69,date_rows,1),OFFSET(Historical_Data_Start,date_start_row,Calculations!CC$40,date_rows,1))</f>
        <v>2.3120541121785042E-2</v>
      </c>
      <c r="CD69" s="32">
        <f ca="1">CORREL(OFFSET(Historical_Data_Start,date_start_row,$B69,date_rows,1),OFFSET(Historical_Data_Start,date_start_row,Calculations!CD$40,date_rows,1))</f>
        <v>-3.2239118690665673E-3</v>
      </c>
      <c r="CE69" s="32">
        <f ca="1">CORREL(OFFSET(Historical_Data_Start,date_start_row,$B69,date_rows,1),OFFSET(Historical_Data_Start,date_start_row,Calculations!CE$40,date_rows,1))</f>
        <v>-2.0958276019297332E-3</v>
      </c>
      <c r="CF69" s="32">
        <f ca="1">CORREL(OFFSET(Historical_Data_Start,date_start_row,$B69,date_rows,1),OFFSET(Historical_Data_Start,date_start_row,Calculations!CF$40,date_rows,1))</f>
        <v>7.7678291085420209E-2</v>
      </c>
      <c r="CG69" s="32">
        <f ca="1">CORREL(OFFSET(Historical_Data_Start,date_start_row,$B69,date_rows,1),OFFSET(Historical_Data_Start,date_start_row,Calculations!CG$40,date_rows,1))</f>
        <v>0.26632776952416892</v>
      </c>
      <c r="CH69" s="32">
        <f ca="1">CORREL(OFFSET(Historical_Data_Start,date_start_row,$B69,date_rows,1),OFFSET(Historical_Data_Start,date_start_row,Calculations!CH$40,date_rows,1))</f>
        <v>-0.10624511444329837</v>
      </c>
      <c r="CI69" s="32">
        <f ca="1">CORREL(OFFSET(Historical_Data_Start,date_start_row,$B69,date_rows,1),OFFSET(Historical_Data_Start,date_start_row,Calculations!CI$40,date_rows,1))</f>
        <v>-9.1226866686927463E-2</v>
      </c>
      <c r="CJ69" s="32">
        <f ca="1">CORREL(OFFSET(Historical_Data_Start,date_start_row,$B69,date_rows,1),OFFSET(Historical_Data_Start,date_start_row,Calculations!CJ$40,date_rows,1))</f>
        <v>0.37857691157117618</v>
      </c>
      <c r="CK69" s="32">
        <f ca="1">CORREL(OFFSET(Historical_Data_Start,date_start_row,$B69,date_rows,1),OFFSET(Historical_Data_Start,date_start_row,Calculations!CK$40,date_rows,1))</f>
        <v>-0.35705231169497459</v>
      </c>
      <c r="CL69" s="32">
        <f ca="1">CORREL(OFFSET(Historical_Data_Start,date_start_row,$B69,date_rows,1),OFFSET(Historical_Data_Start,date_start_row,Calculations!CL$40,date_rows,1))</f>
        <v>1</v>
      </c>
      <c r="CM69" s="32">
        <f ca="1">CORREL(OFFSET(Historical_Data_Start,date_start_row,$B69,date_rows,1),OFFSET(Historical_Data_Start,date_start_row,Calculations!CM$40,date_rows,1))</f>
        <v>0.36596011360480479</v>
      </c>
      <c r="CN69" s="32">
        <f ca="1">CORREL(OFFSET(Historical_Data_Start,date_start_row,$B69,date_rows,1),OFFSET(Historical_Data_Start,date_start_row,Calculations!CN$40,date_rows,1))</f>
        <v>0.1163215544832044</v>
      </c>
      <c r="CO69" s="32">
        <f ca="1">CORREL(OFFSET(Historical_Data_Start,date_start_row,$B69,date_rows,1),OFFSET(Historical_Data_Start,date_start_row,Calculations!CO$40,date_rows,1))</f>
        <v>0.1956499772089467</v>
      </c>
      <c r="CP69" s="32">
        <f ca="1">CORREL(OFFSET(Historical_Data_Start,date_start_row,$B69,date_rows,1),OFFSET(Historical_Data_Start,date_start_row,Calculations!CP$40,date_rows,1))</f>
        <v>0.11735263983698284</v>
      </c>
      <c r="CQ69" s="32">
        <f ca="1">CORREL(OFFSET(Historical_Data_Start,date_start_row,$B69,date_rows,1),OFFSET(Historical_Data_Start,date_start_row,Calculations!CQ$40,date_rows,1))</f>
        <v>3.2825050207821199E-2</v>
      </c>
      <c r="CR69" s="32">
        <f ca="1">CORREL(OFFSET(Historical_Data_Start,date_start_row,$B69,date_rows,1),OFFSET(Historical_Data_Start,date_start_row,Calculations!CR$40,date_rows,1))</f>
        <v>3.7738673551424642E-2</v>
      </c>
      <c r="CS69" s="32">
        <f ca="1">CORREL(OFFSET(Historical_Data_Start,date_start_row,$B69,date_rows,1),OFFSET(Historical_Data_Start,date_start_row,Calculations!CS$40,date_rows,1))</f>
        <v>0.10557677571395281</v>
      </c>
      <c r="CT69" s="32">
        <f ca="1">CORREL(OFFSET(Historical_Data_Start,date_start_row,$B69,date_rows,1),OFFSET(Historical_Data_Start,date_start_row,Calculations!CT$40,date_rows,1))</f>
        <v>-0.27340330876831936</v>
      </c>
      <c r="CU69" s="32">
        <f ca="1">CORREL(OFFSET(Historical_Data_Start,date_start_row,$B69,date_rows,1),OFFSET(Historical_Data_Start,date_start_row,Calculations!CU$40,date_rows,1))</f>
        <v>-0.17659746193583375</v>
      </c>
      <c r="CV69" s="32">
        <f ca="1">CORREL(OFFSET(Historical_Data_Start,date_start_row,$B69,date_rows,1),OFFSET(Historical_Data_Start,date_start_row,Calculations!CV$40,date_rows,1))</f>
        <v>-0.10429599626383669</v>
      </c>
      <c r="CW69" s="32">
        <f ca="1">CORREL(OFFSET(Historical_Data_Start,date_start_row,$B69,date_rows,1),OFFSET(Historical_Data_Start,date_start_row,Calculations!CW$40,date_rows,1))</f>
        <v>-4.4827539542507018E-2</v>
      </c>
      <c r="CX69" s="32">
        <f ca="1">CORREL(OFFSET(Historical_Data_Start,date_start_row,$B69,date_rows,1),OFFSET(Historical_Data_Start,date_start_row,Calculations!CX$40,date_rows,1))</f>
        <v>-1.6663374303583597E-2</v>
      </c>
      <c r="CY69" s="32">
        <f ca="1">CORREL(OFFSET(Historical_Data_Start,date_start_row,$B69,date_rows,1),OFFSET(Historical_Data_Start,date_start_row,Calculations!CY$40,date_rows,1))</f>
        <v>3.2493901238497859E-2</v>
      </c>
      <c r="CZ69" s="32">
        <f ca="1">CORREL(OFFSET(Historical_Data_Start,date_start_row,$B69,date_rows,1),OFFSET(Historical_Data_Start,date_start_row,Calculations!CZ$40,date_rows,1))</f>
        <v>-5.7927691445236663E-2</v>
      </c>
      <c r="DA69" s="32">
        <f ca="1">CORREL(OFFSET(Historical_Data_Start,date_start_row,$B69,date_rows,1),OFFSET(Historical_Data_Start,date_start_row,Calculations!DA$40,date_rows,1))</f>
        <v>-7.4246285432485459E-3</v>
      </c>
      <c r="DB69" s="32">
        <f ca="1">CORREL(OFFSET(Historical_Data_Start,date_start_row,$B69,date_rows,1),OFFSET(Historical_Data_Start,date_start_row,Calculations!DB$40,date_rows,1))</f>
        <v>-7.1778265285987686E-2</v>
      </c>
      <c r="DC69" s="32">
        <f ca="1">CORREL(OFFSET(Historical_Data_Start,date_start_row,$B69,date_rows,1),OFFSET(Historical_Data_Start,date_start_row,Calculations!DC$40,date_rows,1))</f>
        <v>4.0022072409637337E-2</v>
      </c>
      <c r="DD69" s="32">
        <f ca="1">CORREL(OFFSET(Historical_Data_Start,date_start_row,$B69,date_rows,1),OFFSET(Historical_Data_Start,date_start_row,Calculations!DD$40,date_rows,1))</f>
        <v>5.2246288476986188E-2</v>
      </c>
      <c r="DE69" s="32">
        <f ca="1">CORREL(OFFSET(Historical_Data_Start,date_start_row,$B69,date_rows,1),OFFSET(Historical_Data_Start,date_start_row,Calculations!DE$40,date_rows,1))</f>
        <v>-1.8530893741567946E-2</v>
      </c>
      <c r="DF69" s="32">
        <f ca="1">CORREL(OFFSET(Historical_Data_Start,date_start_row,$B69,date_rows,1),OFFSET(Historical_Data_Start,date_start_row,Calculations!DF$40,date_rows,1))</f>
        <v>5.4894270080461617E-3</v>
      </c>
      <c r="DG69" s="32">
        <f ca="1">CORREL(OFFSET(Historical_Data_Start,date_start_row,$B69,date_rows,1),OFFSET(Historical_Data_Start,date_start_row,Calculations!DG$40,date_rows,1))</f>
        <v>5.8890696995796523E-3</v>
      </c>
      <c r="DH69" s="33">
        <f ca="1">CORREL(OFFSET(Historical_Data_Start,date_start_row,$B69,date_rows,1),OFFSET(Historical_Data_Start,date_start_row,Calculations!DH$40,date_rows,1))</f>
        <v>0.19498687969593456</v>
      </c>
      <c r="DI69" s="2">
        <f t="shared" si="71"/>
        <v>28</v>
      </c>
      <c r="DJ69" s="43">
        <f t="shared" ca="1" si="65"/>
        <v>9.999999870568124E-5</v>
      </c>
      <c r="DK69" s="44">
        <f t="shared" ca="1" si="12"/>
        <v>2.3055487157102702E-4</v>
      </c>
      <c r="DL69" s="44">
        <f t="shared" ca="1" si="13"/>
        <v>1.2562727884186077E-4</v>
      </c>
      <c r="DM69" s="44">
        <f t="shared" ca="1" si="14"/>
        <v>1.5636038645848782E-4</v>
      </c>
      <c r="DN69" s="44">
        <f t="shared" ca="1" si="15"/>
        <v>1.2813726046056632E-4</v>
      </c>
      <c r="DO69" s="44">
        <f t="shared" ca="1" si="16"/>
        <v>1.0369448792074175E-4</v>
      </c>
      <c r="DP69" s="44">
        <f t="shared" ca="1" si="17"/>
        <v>1.0796442865002422E-4</v>
      </c>
      <c r="DQ69" s="44">
        <f t="shared" ca="1" si="18"/>
        <v>7.9280562789776871E-5</v>
      </c>
      <c r="DR69" s="44">
        <f t="shared" ca="1" si="19"/>
        <v>7.3915925366331507E-5</v>
      </c>
      <c r="DS69" s="44">
        <f t="shared" ca="1" si="20"/>
        <v>1.4069893543521852E-4</v>
      </c>
      <c r="DT69" s="44">
        <f t="shared" ca="1" si="21"/>
        <v>8.1817219576975993E-5</v>
      </c>
      <c r="DU69" s="44">
        <f t="shared" ca="1" si="22"/>
        <v>4.2606037746111336E-5</v>
      </c>
      <c r="DV69" s="44">
        <f t="shared" ca="1" si="23"/>
        <v>-5.8489022229296144E-5</v>
      </c>
      <c r="DW69" s="44">
        <f t="shared" ca="1" si="24"/>
        <v>1.3851966385987815E-4</v>
      </c>
      <c r="DX69" s="44">
        <f t="shared" ca="1" si="25"/>
        <v>2.2311962817286541E-5</v>
      </c>
      <c r="DY69" s="44">
        <f t="shared" ca="1" si="26"/>
        <v>1.6024026726577529E-4</v>
      </c>
      <c r="DZ69" s="44">
        <f t="shared" ca="1" si="27"/>
        <v>-7.8550694930545737E-5</v>
      </c>
      <c r="EA69" s="44">
        <f t="shared" ca="1" si="28"/>
        <v>-1.1627846495643575E-4</v>
      </c>
      <c r="EB69" s="44">
        <f t="shared" ca="1" si="29"/>
        <v>6.0113406916641115E-5</v>
      </c>
      <c r="EC69" s="44">
        <f t="shared" ca="1" si="30"/>
        <v>-9.6717356071997017E-6</v>
      </c>
      <c r="ED69" s="44">
        <f t="shared" ca="1" si="31"/>
        <v>-5.8683172854032539E-6</v>
      </c>
      <c r="EE69" s="44">
        <f t="shared" ca="1" si="32"/>
        <v>6.9910461976878193E-5</v>
      </c>
      <c r="EF69" s="44">
        <f t="shared" ca="1" si="33"/>
        <v>2.3969499257175202E-4</v>
      </c>
      <c r="EG69" s="44">
        <f t="shared" ca="1" si="34"/>
        <v>-1.8061669455360723E-4</v>
      </c>
      <c r="EH69" s="44">
        <f t="shared" ca="1" si="35"/>
        <v>-2.189444800486259E-4</v>
      </c>
      <c r="EI69" s="44">
        <f t="shared" ca="1" si="36"/>
        <v>4.5429229388541136E-4</v>
      </c>
      <c r="EJ69" s="44">
        <f t="shared" ca="1" si="37"/>
        <v>-3.2134708052547711E-4</v>
      </c>
      <c r="EK69" s="40">
        <f t="shared" ca="1" si="38"/>
        <v>1E-4</v>
      </c>
      <c r="EL69" s="41">
        <f t="shared" ca="1" si="39"/>
        <v>1.6834165225821022E-4</v>
      </c>
      <c r="EM69" s="41">
        <f t="shared" ca="1" si="40"/>
        <v>9.4220459131395571E-5</v>
      </c>
      <c r="EN69" s="41">
        <f t="shared" ca="1" si="41"/>
        <v>8.0216490655668133E-5</v>
      </c>
      <c r="EO69" s="41">
        <f t="shared" ca="1" si="42"/>
        <v>1.3378200941416046E-4</v>
      </c>
      <c r="EP69" s="41">
        <f t="shared" ca="1" si="43"/>
        <v>9.0925389075664713E-5</v>
      </c>
      <c r="EQ69" s="41">
        <f t="shared" ca="1" si="44"/>
        <v>8.9818043052390659E-5</v>
      </c>
      <c r="ER69" s="41">
        <f t="shared" ca="1" si="45"/>
        <v>3.37845682284649E-4</v>
      </c>
      <c r="ES69" s="41">
        <f t="shared" ca="1" si="46"/>
        <v>-1.7224408452404119E-4</v>
      </c>
      <c r="ET69" s="41">
        <f t="shared" ca="1" si="47"/>
        <v>-8.8298730967916879E-5</v>
      </c>
      <c r="EU69" s="41">
        <f t="shared" ca="1" si="48"/>
        <v>-7.3007197384685691E-5</v>
      </c>
      <c r="EV69" s="41">
        <f t="shared" ca="1" si="49"/>
        <v>-7.1724063268011239E-5</v>
      </c>
      <c r="EW69" s="41">
        <f t="shared" ca="1" si="50"/>
        <v>-3.3326748607167195E-5</v>
      </c>
      <c r="EX69" s="41">
        <f t="shared" ca="1" si="51"/>
        <v>5.8489022229296144E-5</v>
      </c>
      <c r="EY69" s="41">
        <f t="shared" ca="1" si="52"/>
        <v>-1.3902645946856798E-4</v>
      </c>
      <c r="EZ69" s="41">
        <f t="shared" ca="1" si="53"/>
        <v>-1.5591719940821945E-5</v>
      </c>
      <c r="FA69" s="41">
        <f t="shared" ca="1" si="54"/>
        <v>-1.4355653057197538E-4</v>
      </c>
      <c r="FB69" s="41">
        <f t="shared" ca="1" si="55"/>
        <v>8.0044144819274677E-5</v>
      </c>
      <c r="FC69" s="41">
        <f t="shared" ca="1" si="56"/>
        <v>1.1494183464936962E-4</v>
      </c>
      <c r="FD69" s="41">
        <f t="shared" ca="1" si="57"/>
        <v>-4.8180323728076663E-5</v>
      </c>
      <c r="FE69" s="41">
        <f t="shared" ca="1" si="58"/>
        <v>1.6468281024138485E-5</v>
      </c>
      <c r="FF69" s="41">
        <f t="shared" ca="1" si="59"/>
        <v>1.6489395158823029E-5</v>
      </c>
      <c r="FG69" s="42">
        <f t="shared" ca="1" si="60"/>
        <v>9.749343984796728E-6</v>
      </c>
    </row>
    <row r="70" spans="1:173" x14ac:dyDescent="0.2">
      <c r="A70" s="51" t="str">
        <f t="shared" ref="A70" ca="1" si="177">INDEX(Historical_Data_Names,3,B70)</f>
        <v>L</v>
      </c>
      <c r="B70" s="55">
        <f t="shared" ref="B70:B91" si="178">B69+1</f>
        <v>29</v>
      </c>
      <c r="C70" s="11" t="str">
        <f t="shared" ref="C70" ca="1" si="179">INDEX(Historical_Data_Names,2,B70)</f>
        <v>US Int. Debt</v>
      </c>
      <c r="D70" s="11"/>
      <c r="E70" s="13">
        <f t="shared" ref="E70" ca="1" si="180">AVERAGE(OFFSET(Historical_Data_Start,date_start_row,$B70,date_rows,1))*4</f>
        <v>7.1175197398489723E-2</v>
      </c>
      <c r="F70" s="13">
        <f t="array" aca="1" ref="F70" ca="1">PRODUCT(1+OFFSET(Historical_Data_Start,date_start_row,$B70,date_rows,1))^(4/date_rows)-1</f>
        <v>7.1790283561921076E-2</v>
      </c>
      <c r="G70" s="13">
        <f t="shared" ref="G70" ca="1" si="181">STDEV(OFFSET(Historical_Data_Start,date_start_row,$B70,date_rows,1))*2</f>
        <v>5.0949764792107312E-2</v>
      </c>
      <c r="I70" s="21">
        <v>0.05</v>
      </c>
      <c r="J70" s="21">
        <v>4.5999999999999999E-2</v>
      </c>
      <c r="L70" s="19">
        <v>-3.85E-2</v>
      </c>
      <c r="M70" s="19"/>
      <c r="N70" s="14">
        <f t="shared" si="174"/>
        <v>-3.85E-2</v>
      </c>
      <c r="P70" s="114">
        <f t="shared" si="175"/>
        <v>-3.85E-2</v>
      </c>
      <c r="Q70" s="114">
        <f t="shared" si="175"/>
        <v>-3.85E-2</v>
      </c>
      <c r="S70" s="226"/>
      <c r="T70" s="410">
        <v>0</v>
      </c>
      <c r="U70" s="410">
        <v>0</v>
      </c>
      <c r="V70" s="410">
        <v>0</v>
      </c>
      <c r="W70" s="410">
        <v>0</v>
      </c>
      <c r="X70" s="410">
        <v>0</v>
      </c>
      <c r="Y70" s="410">
        <v>0</v>
      </c>
      <c r="AI70" s="117">
        <v>0</v>
      </c>
      <c r="AJ70" s="117">
        <v>0</v>
      </c>
      <c r="AK70" s="117">
        <v>0</v>
      </c>
      <c r="AL70" s="117">
        <v>0</v>
      </c>
      <c r="AM70" s="117">
        <v>0</v>
      </c>
      <c r="AN70" s="117">
        <v>0</v>
      </c>
      <c r="AO70" s="117">
        <v>0</v>
      </c>
      <c r="AP70" s="117">
        <v>0</v>
      </c>
      <c r="AQ70" s="117">
        <v>0</v>
      </c>
      <c r="AR70" s="117">
        <v>0</v>
      </c>
      <c r="AS70" s="117">
        <v>0</v>
      </c>
      <c r="AU70" s="117">
        <v>0</v>
      </c>
      <c r="AV70" s="117">
        <v>0</v>
      </c>
      <c r="AW70" s="117">
        <v>0</v>
      </c>
      <c r="AX70" s="117">
        <v>0</v>
      </c>
      <c r="AY70" s="117">
        <v>0</v>
      </c>
      <c r="AZ70" s="117">
        <v>0</v>
      </c>
      <c r="BA70" s="117">
        <v>0</v>
      </c>
      <c r="BB70" s="117">
        <v>0</v>
      </c>
      <c r="BC70" s="117">
        <v>0</v>
      </c>
      <c r="BD70" s="117">
        <v>0</v>
      </c>
      <c r="BE70" s="117">
        <v>0</v>
      </c>
      <c r="BG70" s="51" t="str">
        <f t="shared" ca="1" si="176"/>
        <v>US Int. Debt</v>
      </c>
      <c r="BH70" s="38">
        <f t="shared" si="10"/>
        <v>0.05</v>
      </c>
      <c r="BI70" s="38">
        <f t="shared" si="11"/>
        <v>4.5999999999999999E-2</v>
      </c>
      <c r="BK70" s="31">
        <f ca="1">CORREL(OFFSET(Historical_Data_Start,date_start_row,$B70,date_rows,1),OFFSET(Historical_Data_Start,date_start_row,Calculations!BK$40,date_rows,1))</f>
        <v>0.36596611707604654</v>
      </c>
      <c r="BL70" s="32">
        <f ca="1">CORREL(OFFSET(Historical_Data_Start,date_start_row,$B70,date_rows,1),OFFSET(Historical_Data_Start,date_start_row,Calculations!BL$40,date_rows,1))</f>
        <v>0.99999999999999978</v>
      </c>
      <c r="BM70" s="32">
        <f ca="1">CORREL(OFFSET(Historical_Data_Start,date_start_row,$B70,date_rows,1),OFFSET(Historical_Data_Start,date_start_row,Calculations!BM$40,date_rows,1))</f>
        <v>0.86553293939880238</v>
      </c>
      <c r="BN70" s="32">
        <f ca="1">CORREL(OFFSET(Historical_Data_Start,date_start_row,$B70,date_rows,1),OFFSET(Historical_Data_Start,date_start_row,Calculations!BN$40,date_rows,1))</f>
        <v>0.88056219636854183</v>
      </c>
      <c r="BO70" s="32">
        <f ca="1">CORREL(OFFSET(Historical_Data_Start,date_start_row,$B70,date_rows,1),OFFSET(Historical_Data_Start,date_start_row,Calculations!BO$40,date_rows,1))</f>
        <v>0.81706246656885284</v>
      </c>
      <c r="BP70" s="32">
        <f ca="1">CORREL(OFFSET(Historical_Data_Start,date_start_row,$B70,date_rows,1),OFFSET(Historical_Data_Start,date_start_row,Calculations!BP$40,date_rows,1))</f>
        <v>0.87700126746587148</v>
      </c>
      <c r="BQ70" s="32">
        <f ca="1">CORREL(OFFSET(Historical_Data_Start,date_start_row,$B70,date_rows,1),OFFSET(Historical_Data_Start,date_start_row,Calculations!BQ$40,date_rows,1))</f>
        <v>0.82072264449189314</v>
      </c>
      <c r="BR70" s="32">
        <f ca="1">CORREL(OFFSET(Historical_Data_Start,date_start_row,$B70,date_rows,1),OFFSET(Historical_Data_Start,date_start_row,Calculations!BR$40,date_rows,1))</f>
        <v>0.77341909804421682</v>
      </c>
      <c r="BS70" s="32">
        <f ca="1">CORREL(OFFSET(Historical_Data_Start,date_start_row,$B70,date_rows,1),OFFSET(Historical_Data_Start,date_start_row,Calculations!BS$40,date_rows,1))</f>
        <v>0.69548802438820811</v>
      </c>
      <c r="BT70" s="32">
        <f ca="1">CORREL(OFFSET(Historical_Data_Start,date_start_row,$B70,date_rows,1),OFFSET(Historical_Data_Start,date_start_row,Calculations!BT$40,date_rows,1))</f>
        <v>0.59218645502484057</v>
      </c>
      <c r="BU70" s="32">
        <f ca="1">CORREL(OFFSET(Historical_Data_Start,date_start_row,$B70,date_rows,1),OFFSET(Historical_Data_Start,date_start_row,Calculations!BU$40,date_rows,1))</f>
        <v>-8.0078708246860506E-3</v>
      </c>
      <c r="BV70" s="32">
        <f ca="1">CORREL(OFFSET(Historical_Data_Start,date_start_row,$B70,date_rows,1),OFFSET(Historical_Data_Start,date_start_row,Calculations!BV$40,date_rows,1))</f>
        <v>-2.661497821119033E-2</v>
      </c>
      <c r="BW70" s="32">
        <f ca="1">CORREL(OFFSET(Historical_Data_Start,date_start_row,$B70,date_rows,1),OFFSET(Historical_Data_Start,date_start_row,Calculations!BW$40,date_rows,1))</f>
        <v>-3.0021457981662256E-2</v>
      </c>
      <c r="BX70" s="32">
        <f ca="1">CORREL(OFFSET(Historical_Data_Start,date_start_row,$B70,date_rows,1),OFFSET(Historical_Data_Start,date_start_row,Calculations!BX$40,date_rows,1))</f>
        <v>2.9560697614562727E-2</v>
      </c>
      <c r="BY70" s="32">
        <f ca="1">CORREL(OFFSET(Historical_Data_Start,date_start_row,$B70,date_rows,1),OFFSET(Historical_Data_Start,date_start_row,Calculations!BY$40,date_rows,1))</f>
        <v>1.1521166359653088E-2</v>
      </c>
      <c r="BZ70" s="32">
        <f ca="1">CORREL(OFFSET(Historical_Data_Start,date_start_row,$B70,date_rows,1),OFFSET(Historical_Data_Start,date_start_row,Calculations!BZ$40,date_rows,1))</f>
        <v>5.4270884415462371E-2</v>
      </c>
      <c r="CA70" s="32">
        <f ca="1">CORREL(OFFSET(Historical_Data_Start,date_start_row,$B70,date_rows,1),OFFSET(Historical_Data_Start,date_start_row,Calculations!CA$40,date_rows,1))</f>
        <v>0.18209536980774493</v>
      </c>
      <c r="CB70" s="32">
        <f ca="1">CORREL(OFFSET(Historical_Data_Start,date_start_row,$B70,date_rows,1),OFFSET(Historical_Data_Start,date_start_row,Calculations!CB$40,date_rows,1))</f>
        <v>-0.12999709636735912</v>
      </c>
      <c r="CC70" s="32">
        <f ca="1">CORREL(OFFSET(Historical_Data_Start,date_start_row,$B70,date_rows,1),OFFSET(Historical_Data_Start,date_start_row,Calculations!CC$40,date_rows,1))</f>
        <v>-0.118925036665703</v>
      </c>
      <c r="CD70" s="32">
        <f ca="1">CORREL(OFFSET(Historical_Data_Start,date_start_row,$B70,date_rows,1),OFFSET(Historical_Data_Start,date_start_row,Calculations!CD$40,date_rows,1))</f>
        <v>-0.17497988369141743</v>
      </c>
      <c r="CE70" s="32">
        <f ca="1">CORREL(OFFSET(Historical_Data_Start,date_start_row,$B70,date_rows,1),OFFSET(Historical_Data_Start,date_start_row,Calculations!CE$40,date_rows,1))</f>
        <v>-0.17897037509287503</v>
      </c>
      <c r="CF70" s="32">
        <f ca="1">CORREL(OFFSET(Historical_Data_Start,date_start_row,$B70,date_rows,1),OFFSET(Historical_Data_Start,date_start_row,Calculations!CF$40,date_rows,1))</f>
        <v>-8.1755010029846226E-2</v>
      </c>
      <c r="CG70" s="32">
        <f ca="1">CORREL(OFFSET(Historical_Data_Start,date_start_row,$B70,date_rows,1),OFFSET(Historical_Data_Start,date_start_row,Calculations!CG$40,date_rows,1))</f>
        <v>4.9814822313906978E-2</v>
      </c>
      <c r="CH70" s="32">
        <f ca="1">CORREL(OFFSET(Historical_Data_Start,date_start_row,$B70,date_rows,1),OFFSET(Historical_Data_Start,date_start_row,Calculations!CH$40,date_rows,1))</f>
        <v>5.8484378680771906E-3</v>
      </c>
      <c r="CI70" s="32">
        <f ca="1">CORREL(OFFSET(Historical_Data_Start,date_start_row,$B70,date_rows,1),OFFSET(Historical_Data_Start,date_start_row,Calculations!CI$40,date_rows,1))</f>
        <v>-5.1448421720381103E-2</v>
      </c>
      <c r="CJ70" s="32">
        <f ca="1">CORREL(OFFSET(Historical_Data_Start,date_start_row,$B70,date_rows,1),OFFSET(Historical_Data_Start,date_start_row,Calculations!CJ$40,date_rows,1))</f>
        <v>0.19058837401807738</v>
      </c>
      <c r="CK70" s="32">
        <f ca="1">CORREL(OFFSET(Historical_Data_Start,date_start_row,$B70,date_rows,1),OFFSET(Historical_Data_Start,date_start_row,Calculations!CK$40,date_rows,1))</f>
        <v>-0.10865175369483758</v>
      </c>
      <c r="CL70" s="32">
        <f ca="1">CORREL(OFFSET(Historical_Data_Start,date_start_row,$B70,date_rows,1),OFFSET(Historical_Data_Start,date_start_row,Calculations!CL$40,date_rows,1))</f>
        <v>0.36596011360480479</v>
      </c>
      <c r="CM70" s="32">
        <f ca="1">CORREL(OFFSET(Historical_Data_Start,date_start_row,$B70,date_rows,1),OFFSET(Historical_Data_Start,date_start_row,Calculations!CM$40,date_rows,1))</f>
        <v>0.99999999999999978</v>
      </c>
      <c r="CN70" s="32">
        <f ca="1">CORREL(OFFSET(Historical_Data_Start,date_start_row,$B70,date_rows,1),OFFSET(Historical_Data_Start,date_start_row,Calculations!CN$40,date_rows,1))</f>
        <v>0.86553293939880238</v>
      </c>
      <c r="CO70" s="32">
        <f ca="1">CORREL(OFFSET(Historical_Data_Start,date_start_row,$B70,date_rows,1),OFFSET(Historical_Data_Start,date_start_row,Calculations!CO$40,date_rows,1))</f>
        <v>0.87700126746587148</v>
      </c>
      <c r="CP70" s="32">
        <f ca="1">CORREL(OFFSET(Historical_Data_Start,date_start_row,$B70,date_rows,1),OFFSET(Historical_Data_Start,date_start_row,Calculations!CP$40,date_rows,1))</f>
        <v>0.82072264449189314</v>
      </c>
      <c r="CQ70" s="32">
        <f ca="1">CORREL(OFFSET(Historical_Data_Start,date_start_row,$B70,date_rows,1),OFFSET(Historical_Data_Start,date_start_row,Calculations!CQ$40,date_rows,1))</f>
        <v>0.76741121292487291</v>
      </c>
      <c r="CR70" s="32">
        <f ca="1">CORREL(OFFSET(Historical_Data_Start,date_start_row,$B70,date_rows,1),OFFSET(Historical_Data_Start,date_start_row,Calculations!CR$40,date_rows,1))</f>
        <v>0.62755996872660513</v>
      </c>
      <c r="CS70" s="32">
        <f ca="1">CORREL(OFFSET(Historical_Data_Start,date_start_row,$B70,date_rows,1),OFFSET(Historical_Data_Start,date_start_row,Calculations!CS$40,date_rows,1))</f>
        <v>0.49531690616781049</v>
      </c>
      <c r="CT70" s="32">
        <f ca="1">CORREL(OFFSET(Historical_Data_Start,date_start_row,$B70,date_rows,1),OFFSET(Historical_Data_Start,date_start_row,Calculations!CT$40,date_rows,1))</f>
        <v>-0.87429445634749281</v>
      </c>
      <c r="CU70" s="32">
        <f ca="1">CORREL(OFFSET(Historical_Data_Start,date_start_row,$B70,date_rows,1),OFFSET(Historical_Data_Start,date_start_row,Calculations!CU$40,date_rows,1))</f>
        <v>-0.76871737035431498</v>
      </c>
      <c r="CV70" s="32">
        <f ca="1">CORREL(OFFSET(Historical_Data_Start,date_start_row,$B70,date_rows,1),OFFSET(Historical_Data_Start,date_start_row,Calculations!CV$40,date_rows,1))</f>
        <v>-0.51300862785050472</v>
      </c>
      <c r="CW70" s="32">
        <f ca="1">CORREL(OFFSET(Historical_Data_Start,date_start_row,$B70,date_rows,1),OFFSET(Historical_Data_Start,date_start_row,Calculations!CW$40,date_rows,1))</f>
        <v>1.186815122988091E-2</v>
      </c>
      <c r="CX70" s="32">
        <f ca="1">CORREL(OFFSET(Historical_Data_Start,date_start_row,$B70,date_rows,1),OFFSET(Historical_Data_Start,date_start_row,Calculations!CX$40,date_rows,1))</f>
        <v>2.5900821871255975E-2</v>
      </c>
      <c r="CY70" s="32">
        <f ca="1">CORREL(OFFSET(Historical_Data_Start,date_start_row,$B70,date_rows,1),OFFSET(Historical_Data_Start,date_start_row,Calculations!CY$40,date_rows,1))</f>
        <v>3.0021457981662256E-2</v>
      </c>
      <c r="CZ70" s="32">
        <f ca="1">CORREL(OFFSET(Historical_Data_Start,date_start_row,$B70,date_rows,1),OFFSET(Historical_Data_Start,date_start_row,Calculations!CZ$40,date_rows,1))</f>
        <v>-2.5241297546517678E-2</v>
      </c>
      <c r="DA70" s="32">
        <f ca="1">CORREL(OFFSET(Historical_Data_Start,date_start_row,$B70,date_rows,1),OFFSET(Historical_Data_Start,date_start_row,Calculations!DA$40,date_rows,1))</f>
        <v>-5.7487079436725564E-3</v>
      </c>
      <c r="DB70" s="32">
        <f ca="1">CORREL(OFFSET(Historical_Data_Start,date_start_row,$B70,date_rows,1),OFFSET(Historical_Data_Start,date_start_row,Calculations!DB$40,date_rows,1))</f>
        <v>-4.8511651442761913E-2</v>
      </c>
      <c r="DC70" s="32">
        <f ca="1">CORREL(OFFSET(Historical_Data_Start,date_start_row,$B70,date_rows,1),OFFSET(Historical_Data_Start,date_start_row,Calculations!DC$40,date_rows,1))</f>
        <v>-0.17258724532400432</v>
      </c>
      <c r="DD70" s="32">
        <f ca="1">CORREL(OFFSET(Historical_Data_Start,date_start_row,$B70,date_rows,1),OFFSET(Historical_Data_Start,date_start_row,Calculations!DD$40,date_rows,1))</f>
        <v>0.1238470166266962</v>
      </c>
      <c r="DE70" s="32">
        <f ca="1">CORREL(OFFSET(Historical_Data_Start,date_start_row,$B70,date_rows,1),OFFSET(Historical_Data_Start,date_start_row,Calculations!DE$40,date_rows,1))</f>
        <v>0.11547446642999978</v>
      </c>
      <c r="DF70" s="32">
        <f ca="1">CORREL(OFFSET(Historical_Data_Start,date_start_row,$B70,date_rows,1),OFFSET(Historical_Data_Start,date_start_row,Calculations!DF$40,date_rows,1))</f>
        <v>0.17058185012778282</v>
      </c>
      <c r="DG70" s="32">
        <f ca="1">CORREL(OFFSET(Historical_Data_Start,date_start_row,$B70,date_rows,1),OFFSET(Historical_Data_Start,date_start_row,Calculations!DG$40,date_rows,1))</f>
        <v>0.17050976635804954</v>
      </c>
      <c r="DH70" s="33">
        <f ca="1">CORREL(OFFSET(Historical_Data_Start,date_start_row,$B70,date_rows,1),OFFSET(Historical_Data_Start,date_start_row,Calculations!DH$40,date_rows,1))</f>
        <v>0.22028096704626007</v>
      </c>
      <c r="DI70" s="2">
        <f t="shared" si="71"/>
        <v>29</v>
      </c>
      <c r="DJ70" s="43">
        <f t="shared" ca="1" si="65"/>
        <v>1.6834441385498141E-4</v>
      </c>
      <c r="DK70" s="44">
        <f t="shared" ca="1" si="12"/>
        <v>2.8979999999999995E-3</v>
      </c>
      <c r="DL70" s="44">
        <f t="shared" ca="1" si="13"/>
        <v>4.2999676429332501E-3</v>
      </c>
      <c r="DM70" s="44">
        <f t="shared" ca="1" si="14"/>
        <v>2.3493399399112692E-3</v>
      </c>
      <c r="DN70" s="44">
        <f t="shared" ca="1" si="15"/>
        <v>3.6833175992923885E-3</v>
      </c>
      <c r="DO70" s="44">
        <f t="shared" ca="1" si="16"/>
        <v>2.1381290900817948E-3</v>
      </c>
      <c r="DP70" s="44">
        <f t="shared" ca="1" si="17"/>
        <v>3.4732982314896917E-3</v>
      </c>
      <c r="DQ70" s="44">
        <f t="shared" ca="1" si="18"/>
        <v>1.7432866469916646E-3</v>
      </c>
      <c r="DR70" s="44">
        <f t="shared" ca="1" si="19"/>
        <v>2.6553732771141788E-3</v>
      </c>
      <c r="DS70" s="44">
        <f t="shared" ca="1" si="20"/>
        <v>1.9068403851799868E-3</v>
      </c>
      <c r="DT70" s="44">
        <f t="shared" ca="1" si="21"/>
        <v>-5.8937929269689337E-5</v>
      </c>
      <c r="DU70" s="44">
        <f t="shared" ca="1" si="22"/>
        <v>-2.4485779954295102E-4</v>
      </c>
      <c r="DV70" s="44">
        <f t="shared" ca="1" si="23"/>
        <v>-2.4857767208816343E-4</v>
      </c>
      <c r="DW70" s="44">
        <f t="shared" ca="1" si="24"/>
        <v>3.2635010166477251E-4</v>
      </c>
      <c r="DX70" s="44">
        <f t="shared" ca="1" si="25"/>
        <v>1.1129446703424883E-4</v>
      </c>
      <c r="DY70" s="44">
        <f t="shared" ca="1" si="26"/>
        <v>4.992921366222538E-4</v>
      </c>
      <c r="DZ70" s="44">
        <f t="shared" ca="1" si="27"/>
        <v>1.6752774022312533E-3</v>
      </c>
      <c r="EA70" s="44">
        <f t="shared" ca="1" si="28"/>
        <v>-1.3155706152376745E-3</v>
      </c>
      <c r="EB70" s="44">
        <f t="shared" ca="1" si="29"/>
        <v>-1.422343438521808E-3</v>
      </c>
      <c r="EC70" s="44">
        <f t="shared" ca="1" si="30"/>
        <v>-2.4147223949415606E-3</v>
      </c>
      <c r="ED70" s="44">
        <f t="shared" ca="1" si="31"/>
        <v>-2.3051384311962306E-3</v>
      </c>
      <c r="EE70" s="44">
        <f t="shared" ca="1" si="32"/>
        <v>-3.3846574152356334E-4</v>
      </c>
      <c r="EF70" s="44">
        <f t="shared" ca="1" si="33"/>
        <v>2.0623336437957488E-4</v>
      </c>
      <c r="EG70" s="44">
        <f t="shared" ca="1" si="34"/>
        <v>4.5734784128363633E-5</v>
      </c>
      <c r="EH70" s="44">
        <f t="shared" ca="1" si="35"/>
        <v>-5.6799057579300734E-4</v>
      </c>
      <c r="EI70" s="44">
        <f t="shared" ca="1" si="36"/>
        <v>1.052047824579787E-3</v>
      </c>
      <c r="EJ70" s="44">
        <f t="shared" ca="1" si="37"/>
        <v>-4.4981826029662751E-4</v>
      </c>
      <c r="EK70" s="43">
        <f t="shared" ca="1" si="38"/>
        <v>1.6834165225821022E-4</v>
      </c>
      <c r="EL70" s="44">
        <f t="shared" ca="1" si="39"/>
        <v>2.1159999999999994E-3</v>
      </c>
      <c r="EM70" s="44">
        <f t="shared" ca="1" si="40"/>
        <v>3.224975732199938E-3</v>
      </c>
      <c r="EN70" s="44">
        <f t="shared" ca="1" si="41"/>
        <v>1.6540243904406334E-3</v>
      </c>
      <c r="EO70" s="44">
        <f t="shared" ca="1" si="42"/>
        <v>4.3038695477154876E-3</v>
      </c>
      <c r="EP70" s="44">
        <f t="shared" ca="1" si="43"/>
        <v>9.7783536750887298E-3</v>
      </c>
      <c r="EQ70" s="44">
        <f t="shared" ca="1" si="44"/>
        <v>6.870526537618874E-3</v>
      </c>
      <c r="ER70" s="44">
        <f t="shared" ca="1" si="45"/>
        <v>7.2910648587901708E-3</v>
      </c>
      <c r="ES70" s="44">
        <f t="shared" ca="1" si="46"/>
        <v>-2.5337053344950343E-3</v>
      </c>
      <c r="ET70" s="44">
        <f t="shared" ca="1" si="47"/>
        <v>-1.7680499518149245E-3</v>
      </c>
      <c r="EU70" s="44">
        <f t="shared" ca="1" si="48"/>
        <v>-1.6518877816786254E-3</v>
      </c>
      <c r="EV70" s="44">
        <f t="shared" ca="1" si="49"/>
        <v>8.7349593051923495E-5</v>
      </c>
      <c r="EW70" s="44">
        <f t="shared" ca="1" si="50"/>
        <v>2.3828756121555496E-4</v>
      </c>
      <c r="EX70" s="44">
        <f t="shared" ca="1" si="51"/>
        <v>2.4857767208816343E-4</v>
      </c>
      <c r="EY70" s="44">
        <f t="shared" ca="1" si="52"/>
        <v>-2.7866392491355515E-4</v>
      </c>
      <c r="EZ70" s="44">
        <f t="shared" ca="1" si="53"/>
        <v>-5.5532518735876895E-5</v>
      </c>
      <c r="FA70" s="44">
        <f t="shared" ca="1" si="54"/>
        <v>-4.463071932734096E-4</v>
      </c>
      <c r="FB70" s="44">
        <f t="shared" ca="1" si="55"/>
        <v>-1.5878026569808397E-3</v>
      </c>
      <c r="FC70" s="44">
        <f t="shared" ca="1" si="56"/>
        <v>1.2533318082621656E-3</v>
      </c>
      <c r="FD70" s="44">
        <f t="shared" ca="1" si="57"/>
        <v>1.3810746185027975E-3</v>
      </c>
      <c r="FE70" s="44">
        <f t="shared" ca="1" si="58"/>
        <v>2.3540295317634029E-3</v>
      </c>
      <c r="FF70" s="44">
        <f t="shared" ca="1" si="59"/>
        <v>2.1961657906916783E-3</v>
      </c>
      <c r="FG70" s="45">
        <f t="shared" ca="1" si="60"/>
        <v>5.0664622420639817E-5</v>
      </c>
    </row>
    <row r="71" spans="1:173" x14ac:dyDescent="0.2">
      <c r="A71" s="51" t="str">
        <f t="shared" ref="A71" ca="1" si="182">INDEX(Historical_Data_Names,3,B71)</f>
        <v>L</v>
      </c>
      <c r="B71" s="55">
        <f t="shared" si="178"/>
        <v>30</v>
      </c>
      <c r="C71" s="11" t="str">
        <f t="shared" ref="C71" ca="1" si="183">INDEX(Historical_Data_Names,2,B71)</f>
        <v>US Long Debt</v>
      </c>
      <c r="D71" s="11"/>
      <c r="E71" s="13">
        <f t="shared" ref="E71" ca="1" si="184">AVERAGE(OFFSET(Historical_Data_Start,date_start_row,$B71,date_rows,1))*4</f>
        <v>9.8286565376369178E-2</v>
      </c>
      <c r="F71" s="13">
        <f t="array" aca="1" ref="F71" ca="1">PRODUCT(1+OFFSET(Historical_Data_Start,date_start_row,$B71,date_rows,1))^(4/date_rows)-1</f>
        <v>9.3983749821713536E-2</v>
      </c>
      <c r="G71" s="13">
        <f t="shared" ref="G71" ca="1" si="185">STDEV(OFFSET(Historical_Data_Start,date_start_row,$B71,date_rows,1))*2</f>
        <v>0.12542773499105184</v>
      </c>
      <c r="I71" s="21">
        <v>0.05</v>
      </c>
      <c r="J71" s="21">
        <v>8.1000000000000003E-2</v>
      </c>
      <c r="L71" s="19">
        <v>-9.9999999999999995E-7</v>
      </c>
      <c r="M71" s="19"/>
      <c r="N71" s="14">
        <f t="shared" si="174"/>
        <v>-9.9999999999999995E-7</v>
      </c>
      <c r="P71" s="114">
        <f t="shared" si="175"/>
        <v>-9.9999999999999995E-7</v>
      </c>
      <c r="Q71" s="114">
        <f t="shared" si="175"/>
        <v>-9.9999999999999995E-7</v>
      </c>
      <c r="S71" s="226"/>
      <c r="T71" s="410">
        <v>0</v>
      </c>
      <c r="U71" s="410">
        <v>0</v>
      </c>
      <c r="V71" s="410">
        <v>0</v>
      </c>
      <c r="W71" s="410">
        <v>0</v>
      </c>
      <c r="X71" s="410">
        <v>0</v>
      </c>
      <c r="Y71" s="410">
        <v>0</v>
      </c>
      <c r="AI71" s="117">
        <v>0</v>
      </c>
      <c r="AJ71" s="117">
        <v>0</v>
      </c>
      <c r="AK71" s="117">
        <v>0</v>
      </c>
      <c r="AL71" s="117">
        <v>0</v>
      </c>
      <c r="AM71" s="117">
        <v>0</v>
      </c>
      <c r="AN71" s="117">
        <v>0</v>
      </c>
      <c r="AO71" s="117">
        <v>0</v>
      </c>
      <c r="AP71" s="117">
        <v>0</v>
      </c>
      <c r="AQ71" s="117">
        <v>0</v>
      </c>
      <c r="AR71" s="117">
        <v>0</v>
      </c>
      <c r="AS71" s="117">
        <v>0</v>
      </c>
      <c r="AU71" s="117">
        <v>0</v>
      </c>
      <c r="AV71" s="117">
        <v>0</v>
      </c>
      <c r="AW71" s="117">
        <v>0</v>
      </c>
      <c r="AX71" s="117">
        <v>0</v>
      </c>
      <c r="AY71" s="117">
        <v>0</v>
      </c>
      <c r="AZ71" s="117">
        <v>0</v>
      </c>
      <c r="BA71" s="117">
        <v>0</v>
      </c>
      <c r="BB71" s="117">
        <v>0</v>
      </c>
      <c r="BC71" s="117">
        <v>0</v>
      </c>
      <c r="BD71" s="117">
        <v>0</v>
      </c>
      <c r="BE71" s="117">
        <v>0</v>
      </c>
      <c r="BG71" s="51" t="str">
        <f t="shared" ca="1" si="176"/>
        <v>US Long Debt</v>
      </c>
      <c r="BH71" s="38">
        <f t="shared" si="10"/>
        <v>0.05</v>
      </c>
      <c r="BI71" s="38">
        <f t="shared" si="11"/>
        <v>8.1000000000000003E-2</v>
      </c>
      <c r="BK71" s="31">
        <f ca="1">CORREL(OFFSET(Historical_Data_Start,date_start_row,$B71,date_rows,1),OFFSET(Historical_Data_Start,date_start_row,Calculations!BK$40,date_rows,1))</f>
        <v>0.11634255493011399</v>
      </c>
      <c r="BL71" s="32">
        <f ca="1">CORREL(OFFSET(Historical_Data_Start,date_start_row,$B71,date_rows,1),OFFSET(Historical_Data_Start,date_start_row,Calculations!BL$40,date_rows,1))</f>
        <v>0.86553293939880238</v>
      </c>
      <c r="BM71" s="32">
        <f ca="1">CORREL(OFFSET(Historical_Data_Start,date_start_row,$B71,date_rows,1),OFFSET(Historical_Data_Start,date_start_row,Calculations!BM$40,date_rows,1))</f>
        <v>1</v>
      </c>
      <c r="BN71" s="32">
        <f ca="1">CORREL(OFFSET(Historical_Data_Start,date_start_row,$B71,date_rows,1),OFFSET(Historical_Data_Start,date_start_row,Calculations!BN$40,date_rows,1))</f>
        <v>0.73868187933891616</v>
      </c>
      <c r="BO71" s="32">
        <f ca="1">CORREL(OFFSET(Historical_Data_Start,date_start_row,$B71,date_rows,1),OFFSET(Historical_Data_Start,date_start_row,Calculations!BO$40,date_rows,1))</f>
        <v>0.83816934919624175</v>
      </c>
      <c r="BP71" s="32">
        <f ca="1">CORREL(OFFSET(Historical_Data_Start,date_start_row,$B71,date_rows,1),OFFSET(Historical_Data_Start,date_start_row,Calculations!BP$40,date_rows,1))</f>
        <v>0.83538434394460326</v>
      </c>
      <c r="BQ71" s="32">
        <f ca="1">CORREL(OFFSET(Historical_Data_Start,date_start_row,$B71,date_rows,1),OFFSET(Historical_Data_Start,date_start_row,Calculations!BQ$40,date_rows,1))</f>
        <v>0.84851608346858287</v>
      </c>
      <c r="BR71" s="32">
        <f ca="1">CORREL(OFFSET(Historical_Data_Start,date_start_row,$B71,date_rows,1),OFFSET(Historical_Data_Start,date_start_row,Calculations!BR$40,date_rows,1))</f>
        <v>0.70168783180357464</v>
      </c>
      <c r="BS71" s="32">
        <f ca="1">CORREL(OFFSET(Historical_Data_Start,date_start_row,$B71,date_rows,1),OFFSET(Historical_Data_Start,date_start_row,Calculations!BS$40,date_rows,1))</f>
        <v>0.69575161700885402</v>
      </c>
      <c r="BT71" s="32">
        <f ca="1">CORREL(OFFSET(Historical_Data_Start,date_start_row,$B71,date_rows,1),OFFSET(Historical_Data_Start,date_start_row,Calculations!BT$40,date_rows,1))</f>
        <v>0.52249396429969952</v>
      </c>
      <c r="BU71" s="32">
        <f ca="1">CORREL(OFFSET(Historical_Data_Start,date_start_row,$B71,date_rows,1),OFFSET(Historical_Data_Start,date_start_row,Calculations!BU$40,date_rows,1))</f>
        <v>7.1002477433001988E-3</v>
      </c>
      <c r="BV71" s="32">
        <f ca="1">CORREL(OFFSET(Historical_Data_Start,date_start_row,$B71,date_rows,1),OFFSET(Historical_Data_Start,date_start_row,Calculations!BV$40,date_rows,1))</f>
        <v>-2.3893830098113588E-2</v>
      </c>
      <c r="BW71" s="32">
        <f ca="1">CORREL(OFFSET(Historical_Data_Start,date_start_row,$B71,date_rows,1),OFFSET(Historical_Data_Start,date_start_row,Calculations!BW$40,date_rows,1))</f>
        <v>-5.9753276192508524E-2</v>
      </c>
      <c r="BX71" s="32">
        <f ca="1">CORREL(OFFSET(Historical_Data_Start,date_start_row,$B71,date_rows,1),OFFSET(Historical_Data_Start,date_start_row,Calculations!BX$40,date_rows,1))</f>
        <v>3.3057009143463309E-2</v>
      </c>
      <c r="BY71" s="32">
        <f ca="1">CORREL(OFFSET(Historical_Data_Start,date_start_row,$B71,date_rows,1),OFFSET(Historical_Data_Start,date_start_row,Calculations!BY$40,date_rows,1))</f>
        <v>-1.5442092531732978E-2</v>
      </c>
      <c r="BZ71" s="32">
        <f ca="1">CORREL(OFFSET(Historical_Data_Start,date_start_row,$B71,date_rows,1),OFFSET(Historical_Data_Start,date_start_row,Calculations!BZ$40,date_rows,1))</f>
        <v>2.61379690303855E-2</v>
      </c>
      <c r="CA71" s="32">
        <f ca="1">CORREL(OFFSET(Historical_Data_Start,date_start_row,$B71,date_rows,1),OFFSET(Historical_Data_Start,date_start_row,Calculations!CA$40,date_rows,1))</f>
        <v>0.14863872668427167</v>
      </c>
      <c r="CB71" s="32">
        <f ca="1">CORREL(OFFSET(Historical_Data_Start,date_start_row,$B71,date_rows,1),OFFSET(Historical_Data_Start,date_start_row,Calculations!CB$40,date_rows,1))</f>
        <v>-0.15947508704875688</v>
      </c>
      <c r="CC71" s="32">
        <f ca="1">CORREL(OFFSET(Historical_Data_Start,date_start_row,$B71,date_rows,1),OFFSET(Historical_Data_Start,date_start_row,Calculations!CC$40,date_rows,1))</f>
        <v>-0.18228468734990064</v>
      </c>
      <c r="CD71" s="32">
        <f ca="1">CORREL(OFFSET(Historical_Data_Start,date_start_row,$B71,date_rows,1),OFFSET(Historical_Data_Start,date_start_row,Calculations!CD$40,date_rows,1))</f>
        <v>-0.21635751626229371</v>
      </c>
      <c r="CE71" s="32">
        <f ca="1">CORREL(OFFSET(Historical_Data_Start,date_start_row,$B71,date_rows,1),OFFSET(Historical_Data_Start,date_start_row,Calculations!CE$40,date_rows,1))</f>
        <v>-0.19993217145668851</v>
      </c>
      <c r="CF71" s="32">
        <f ca="1">CORREL(OFFSET(Historical_Data_Start,date_start_row,$B71,date_rows,1),OFFSET(Historical_Data_Start,date_start_row,Calculations!CF$40,date_rows,1))</f>
        <v>-7.2322484590819053E-2</v>
      </c>
      <c r="CG71" s="32">
        <f ca="1">CORREL(OFFSET(Historical_Data_Start,date_start_row,$B71,date_rows,1),OFFSET(Historical_Data_Start,date_start_row,Calculations!CG$40,date_rows,1))</f>
        <v>-1.5979843134568167E-3</v>
      </c>
      <c r="CH71" s="32">
        <f ca="1">CORREL(OFFSET(Historical_Data_Start,date_start_row,$B71,date_rows,1),OFFSET(Historical_Data_Start,date_start_row,Calculations!CH$40,date_rows,1))</f>
        <v>3.1013881829880866E-3</v>
      </c>
      <c r="CI71" s="32">
        <f ca="1">CORREL(OFFSET(Historical_Data_Start,date_start_row,$B71,date_rows,1),OFFSET(Historical_Data_Start,date_start_row,Calculations!CI$40,date_rows,1))</f>
        <v>-0.12551012230112121</v>
      </c>
      <c r="CJ71" s="32">
        <f ca="1">CORREL(OFFSET(Historical_Data_Start,date_start_row,$B71,date_rows,1),OFFSET(Historical_Data_Start,date_start_row,Calculations!CJ$40,date_rows,1))</f>
        <v>0.17962120688130948</v>
      </c>
      <c r="CK71" s="32">
        <f ca="1">CORREL(OFFSET(Historical_Data_Start,date_start_row,$B71,date_rows,1),OFFSET(Historical_Data_Start,date_start_row,Calculations!CK$40,date_rows,1))</f>
        <v>1.2700820679050647E-2</v>
      </c>
      <c r="CL71" s="32">
        <f ca="1">CORREL(OFFSET(Historical_Data_Start,date_start_row,$B71,date_rows,1),OFFSET(Historical_Data_Start,date_start_row,Calculations!CL$40,date_rows,1))</f>
        <v>0.1163215544832044</v>
      </c>
      <c r="CM71" s="32">
        <f ca="1">CORREL(OFFSET(Historical_Data_Start,date_start_row,$B71,date_rows,1),OFFSET(Historical_Data_Start,date_start_row,Calculations!CM$40,date_rows,1))</f>
        <v>0.86553293939880238</v>
      </c>
      <c r="CN71" s="32">
        <f ca="1">CORREL(OFFSET(Historical_Data_Start,date_start_row,$B71,date_rows,1),OFFSET(Historical_Data_Start,date_start_row,Calculations!CN$40,date_rows,1))</f>
        <v>1</v>
      </c>
      <c r="CO71" s="32">
        <f ca="1">CORREL(OFFSET(Historical_Data_Start,date_start_row,$B71,date_rows,1),OFFSET(Historical_Data_Start,date_start_row,Calculations!CO$40,date_rows,1))</f>
        <v>0.83538434394460326</v>
      </c>
      <c r="CP71" s="32">
        <f ca="1">CORREL(OFFSET(Historical_Data_Start,date_start_row,$B71,date_rows,1),OFFSET(Historical_Data_Start,date_start_row,Calculations!CP$40,date_rows,1))</f>
        <v>0.84851608346858287</v>
      </c>
      <c r="CQ71" s="32">
        <f ca="1">CORREL(OFFSET(Historical_Data_Start,date_start_row,$B71,date_rows,1),OFFSET(Historical_Data_Start,date_start_row,Calculations!CQ$40,date_rows,1))</f>
        <v>0.91737022871993801</v>
      </c>
      <c r="CR71" s="32">
        <f ca="1">CORREL(OFFSET(Historical_Data_Start,date_start_row,$B71,date_rows,1),OFFSET(Historical_Data_Start,date_start_row,Calculations!CR$40,date_rows,1))</f>
        <v>0.65743233025020464</v>
      </c>
      <c r="CS71" s="32">
        <f ca="1">CORREL(OFFSET(Historical_Data_Start,date_start_row,$B71,date_rows,1),OFFSET(Historical_Data_Start,date_start_row,Calculations!CS$40,date_rows,1))</f>
        <v>0.51514315429992008</v>
      </c>
      <c r="CT71" s="32">
        <f ca="1">CORREL(OFFSET(Historical_Data_Start,date_start_row,$B71,date_rows,1),OFFSET(Historical_Data_Start,date_start_row,Calculations!CT$40,date_rows,1))</f>
        <v>-0.72491369602666345</v>
      </c>
      <c r="CU71" s="32">
        <f ca="1">CORREL(OFFSET(Historical_Data_Start,date_start_row,$B71,date_rows,1),OFFSET(Historical_Data_Start,date_start_row,Calculations!CU$40,date_rows,1))</f>
        <v>-0.68623565302627221</v>
      </c>
      <c r="CV71" s="32">
        <f ca="1">CORREL(OFFSET(Historical_Data_Start,date_start_row,$B71,date_rows,1),OFFSET(Historical_Data_Start,date_start_row,Calculations!CV$40,date_rows,1))</f>
        <v>-0.50164681754980001</v>
      </c>
      <c r="CW71" s="32">
        <f ca="1">CORREL(OFFSET(Historical_Data_Start,date_start_row,$B71,date_rows,1),OFFSET(Historical_Data_Start,date_start_row,Calculations!CW$40,date_rows,1))</f>
        <v>4.8619516577579631E-2</v>
      </c>
      <c r="CX71" s="32">
        <f ca="1">CORREL(OFFSET(Historical_Data_Start,date_start_row,$B71,date_rows,1),OFFSET(Historical_Data_Start,date_start_row,Calculations!CX$40,date_rows,1))</f>
        <v>6.2076285254072459E-2</v>
      </c>
      <c r="CY71" s="32">
        <f ca="1">CORREL(OFFSET(Historical_Data_Start,date_start_row,$B71,date_rows,1),OFFSET(Historical_Data_Start,date_start_row,Calculations!CY$40,date_rows,1))</f>
        <v>5.9753276192508524E-2</v>
      </c>
      <c r="CZ71" s="32">
        <f ca="1">CORREL(OFFSET(Historical_Data_Start,date_start_row,$B71,date_rows,1),OFFSET(Historical_Data_Start,date_start_row,Calculations!CZ$40,date_rows,1))</f>
        <v>-6.1712046066886008E-3</v>
      </c>
      <c r="DA71" s="32">
        <f ca="1">CORREL(OFFSET(Historical_Data_Start,date_start_row,$B71,date_rows,1),OFFSET(Historical_Data_Start,date_start_row,Calculations!DA$40,date_rows,1))</f>
        <v>4.1277436417719117E-2</v>
      </c>
      <c r="DB71" s="32">
        <f ca="1">CORREL(OFFSET(Historical_Data_Start,date_start_row,$B71,date_rows,1),OFFSET(Historical_Data_Start,date_start_row,Calculations!DB$40,date_rows,1))</f>
        <v>3.2114635936372369E-3</v>
      </c>
      <c r="DC71" s="32">
        <f ca="1">CORREL(OFFSET(Historical_Data_Start,date_start_row,$B71,date_rows,1),OFFSET(Historical_Data_Start,date_start_row,Calculations!DC$40,date_rows,1))</f>
        <v>-0.11542475964635796</v>
      </c>
      <c r="DD71" s="32">
        <f ca="1">CORREL(OFFSET(Historical_Data_Start,date_start_row,$B71,date_rows,1),OFFSET(Historical_Data_Start,date_start_row,Calculations!DD$40,date_rows,1))</f>
        <v>0.17182770699265476</v>
      </c>
      <c r="DE71" s="32">
        <f ca="1">CORREL(OFFSET(Historical_Data_Start,date_start_row,$B71,date_rows,1),OFFSET(Historical_Data_Start,date_start_row,Calculations!DE$40,date_rows,1))</f>
        <v>0.19322306370315376</v>
      </c>
      <c r="DF71" s="32">
        <f ca="1">CORREL(OFFSET(Historical_Data_Start,date_start_row,$B71,date_rows,1),OFFSET(Historical_Data_Start,date_start_row,Calculations!DF$40,date_rows,1))</f>
        <v>0.22685390671827643</v>
      </c>
      <c r="DG71" s="32">
        <f ca="1">CORREL(OFFSET(Historical_Data_Start,date_start_row,$B71,date_rows,1),OFFSET(Historical_Data_Start,date_start_row,Calculations!DG$40,date_rows,1))</f>
        <v>0.20891771964579511</v>
      </c>
      <c r="DH71" s="33">
        <f ca="1">CORREL(OFFSET(Historical_Data_Start,date_start_row,$B71,date_rows,1),OFFSET(Historical_Data_Start,date_start_row,Calculations!DH$40,date_rows,1))</f>
        <v>0.14180919832926533</v>
      </c>
      <c r="DI71" s="2">
        <f t="shared" si="71"/>
        <v>30</v>
      </c>
      <c r="DJ71" s="43">
        <f t="shared" ca="1" si="65"/>
        <v>9.4237469493392337E-5</v>
      </c>
      <c r="DK71" s="44">
        <f t="shared" ca="1" si="12"/>
        <v>4.4168145897520881E-3</v>
      </c>
      <c r="DL71" s="44">
        <f t="shared" ca="1" si="13"/>
        <v>8.7480000000000006E-3</v>
      </c>
      <c r="DM71" s="44">
        <f t="shared" ca="1" si="14"/>
        <v>3.470327469134228E-3</v>
      </c>
      <c r="DN71" s="44">
        <f t="shared" ca="1" si="15"/>
        <v>6.6533882939197675E-3</v>
      </c>
      <c r="DO71" s="44">
        <f t="shared" ca="1" si="16"/>
        <v>3.5863049885541819E-3</v>
      </c>
      <c r="DP71" s="44">
        <f t="shared" ca="1" si="17"/>
        <v>6.32314185400788E-3</v>
      </c>
      <c r="DQ71" s="44">
        <f t="shared" ca="1" si="18"/>
        <v>2.784999004428388E-3</v>
      </c>
      <c r="DR71" s="44">
        <f t="shared" ca="1" si="19"/>
        <v>4.6775381211505264E-3</v>
      </c>
      <c r="DS71" s="44">
        <f t="shared" ca="1" si="20"/>
        <v>2.9625407775792966E-3</v>
      </c>
      <c r="DT71" s="44">
        <f t="shared" ca="1" si="21"/>
        <v>9.2019210753170586E-5</v>
      </c>
      <c r="DU71" s="44">
        <f t="shared" ca="1" si="22"/>
        <v>-3.8708004758944019E-4</v>
      </c>
      <c r="DV71" s="44">
        <f t="shared" ca="1" si="23"/>
        <v>-8.712027668867742E-4</v>
      </c>
      <c r="DW71" s="44">
        <f t="shared" ca="1" si="24"/>
        <v>6.4262825774892671E-4</v>
      </c>
      <c r="DX71" s="44">
        <f t="shared" ca="1" si="25"/>
        <v>-2.6266999396477799E-4</v>
      </c>
      <c r="DY71" s="44">
        <f t="shared" ca="1" si="26"/>
        <v>4.2343509829224517E-4</v>
      </c>
      <c r="DZ71" s="44">
        <f t="shared" ca="1" si="27"/>
        <v>2.4079473722852015E-3</v>
      </c>
      <c r="EA71" s="44">
        <f t="shared" ca="1" si="28"/>
        <v>-2.8418460512088474E-3</v>
      </c>
      <c r="EB71" s="44">
        <f t="shared" ca="1" si="29"/>
        <v>-3.838915515588908E-3</v>
      </c>
      <c r="EC71" s="44">
        <f t="shared" ca="1" si="30"/>
        <v>-5.2574876451737373E-3</v>
      </c>
      <c r="ED71" s="44">
        <f t="shared" ca="1" si="31"/>
        <v>-4.5344616486376957E-3</v>
      </c>
      <c r="EE71" s="44">
        <f t="shared" ca="1" si="32"/>
        <v>-5.2723091266707088E-4</v>
      </c>
      <c r="EF71" s="44">
        <f t="shared" ca="1" si="33"/>
        <v>-1.1649305645100193E-5</v>
      </c>
      <c r="EG71" s="44">
        <f t="shared" ca="1" si="34"/>
        <v>4.2706115279745955E-5</v>
      </c>
      <c r="EH71" s="44">
        <f t="shared" ca="1" si="35"/>
        <v>-2.4399167775337963E-3</v>
      </c>
      <c r="EI71" s="44">
        <f t="shared" ca="1" si="36"/>
        <v>1.745918130886328E-3</v>
      </c>
      <c r="EJ71" s="44">
        <f t="shared" ca="1" si="37"/>
        <v>9.2588982750279214E-5</v>
      </c>
      <c r="EK71" s="43">
        <f t="shared" ca="1" si="38"/>
        <v>9.4220459131395571E-5</v>
      </c>
      <c r="EL71" s="44">
        <f t="shared" ca="1" si="39"/>
        <v>3.224975732199938E-3</v>
      </c>
      <c r="EM71" s="44">
        <f t="shared" ca="1" si="40"/>
        <v>6.561E-3</v>
      </c>
      <c r="EN71" s="44">
        <f t="shared" ca="1" si="41"/>
        <v>2.7743114062400271E-3</v>
      </c>
      <c r="EO71" s="44">
        <f t="shared" ca="1" si="42"/>
        <v>7.8351975147488949E-3</v>
      </c>
      <c r="EP71" s="44">
        <f t="shared" ca="1" si="43"/>
        <v>2.0583035821789247E-2</v>
      </c>
      <c r="EQ71" s="44">
        <f t="shared" ca="1" si="44"/>
        <v>1.2673980462563447E-2</v>
      </c>
      <c r="ER71" s="44">
        <f t="shared" ca="1" si="45"/>
        <v>1.3352510559453929E-2</v>
      </c>
      <c r="ES71" s="44">
        <f t="shared" ca="1" si="46"/>
        <v>-3.6992345908240633E-3</v>
      </c>
      <c r="ET71" s="44">
        <f t="shared" ca="1" si="47"/>
        <v>-2.779254394756403E-3</v>
      </c>
      <c r="EU71" s="44">
        <f t="shared" ca="1" si="48"/>
        <v>-2.8443374555073664E-3</v>
      </c>
      <c r="EV71" s="44">
        <f t="shared" ca="1" si="49"/>
        <v>6.3010893484543207E-4</v>
      </c>
      <c r="EW71" s="44">
        <f t="shared" ca="1" si="50"/>
        <v>1.005635821115974E-3</v>
      </c>
      <c r="EX71" s="44">
        <f t="shared" ca="1" si="51"/>
        <v>8.712027668867742E-4</v>
      </c>
      <c r="EY71" s="44">
        <f t="shared" ca="1" si="52"/>
        <v>-1.1996821755402639E-4</v>
      </c>
      <c r="EZ71" s="44">
        <f t="shared" ca="1" si="53"/>
        <v>7.0212919346540224E-4</v>
      </c>
      <c r="FA71" s="44">
        <f t="shared" ca="1" si="54"/>
        <v>5.2025710216923247E-5</v>
      </c>
      <c r="FB71" s="44">
        <f t="shared" ca="1" si="55"/>
        <v>-1.8698811062709993E-3</v>
      </c>
      <c r="FC71" s="44">
        <f t="shared" ca="1" si="56"/>
        <v>3.0619697386091078E-3</v>
      </c>
      <c r="FD71" s="44">
        <f t="shared" ca="1" si="57"/>
        <v>4.0692777215884188E-3</v>
      </c>
      <c r="FE71" s="44">
        <f t="shared" ca="1" si="58"/>
        <v>5.5125499332541166E-3</v>
      </c>
      <c r="FF71" s="44">
        <f t="shared" ca="1" si="59"/>
        <v>4.7382538815666335E-3</v>
      </c>
      <c r="FG71" s="45">
        <f t="shared" ca="1" si="60"/>
        <v>5.7432725323352468E-5</v>
      </c>
    </row>
    <row r="72" spans="1:173" x14ac:dyDescent="0.2">
      <c r="A72" s="51" t="str">
        <f t="shared" ref="A72" ca="1" si="186">INDEX(Historical_Data_Names,3,B72)</f>
        <v>L</v>
      </c>
      <c r="B72" s="55">
        <f t="shared" si="178"/>
        <v>31</v>
      </c>
      <c r="C72" s="11" t="str">
        <f t="shared" ref="C72" ca="1" si="187">INDEX(Historical_Data_Names,2,B72)</f>
        <v>CAN Int. Debt</v>
      </c>
      <c r="D72" s="11"/>
      <c r="E72" s="13">
        <f t="shared" ref="E72" ca="1" si="188">AVERAGE(OFFSET(Historical_Data_Start,date_start_row,$B72,date_rows,1))*4</f>
        <v>9.2844215030819841E-2</v>
      </c>
      <c r="F72" s="13">
        <f t="array" aca="1" ref="F72" ca="1">PRODUCT(1+OFFSET(Historical_Data_Start,date_start_row,$B72,date_rows,1))^(4/date_rows)-1</f>
        <v>9.2915172489480335E-2</v>
      </c>
      <c r="G72" s="13">
        <f t="shared" ref="G72" ca="1" si="189">STDEV(OFFSET(Historical_Data_Start,date_start_row,$B72,date_rows,1))*2</f>
        <v>7.9380360055321592E-2</v>
      </c>
      <c r="I72" s="21">
        <v>0.05</v>
      </c>
      <c r="J72" s="21">
        <v>4.0999999999999995E-2</v>
      </c>
      <c r="L72" s="19">
        <v>-0.18859999999999999</v>
      </c>
      <c r="M72" s="19"/>
      <c r="N72" s="14">
        <f t="shared" si="174"/>
        <v>-0.18859999999999999</v>
      </c>
      <c r="P72" s="114">
        <f t="shared" si="175"/>
        <v>-0.18859999999999999</v>
      </c>
      <c r="Q72" s="114">
        <f t="shared" si="175"/>
        <v>-0.18859999999999999</v>
      </c>
      <c r="S72" s="226"/>
      <c r="T72" s="410">
        <v>0</v>
      </c>
      <c r="U72" s="410">
        <v>0</v>
      </c>
      <c r="V72" s="410">
        <v>0</v>
      </c>
      <c r="W72" s="410">
        <v>0</v>
      </c>
      <c r="X72" s="410">
        <v>0</v>
      </c>
      <c r="Y72" s="410">
        <v>0</v>
      </c>
      <c r="AB72" s="94"/>
      <c r="AI72" s="117">
        <v>0</v>
      </c>
      <c r="AJ72" s="117">
        <v>0</v>
      </c>
      <c r="AK72" s="117">
        <v>0</v>
      </c>
      <c r="AL72" s="117">
        <v>0</v>
      </c>
      <c r="AM72" s="117">
        <v>0</v>
      </c>
      <c r="AN72" s="117">
        <v>0</v>
      </c>
      <c r="AO72" s="117">
        <v>0</v>
      </c>
      <c r="AP72" s="117">
        <v>0</v>
      </c>
      <c r="AQ72" s="117">
        <v>0</v>
      </c>
      <c r="AR72" s="117">
        <v>0</v>
      </c>
      <c r="AS72" s="117">
        <v>0</v>
      </c>
      <c r="AU72" s="117">
        <v>0</v>
      </c>
      <c r="AV72" s="117">
        <v>0</v>
      </c>
      <c r="AW72" s="117">
        <v>0</v>
      </c>
      <c r="AX72" s="117">
        <v>0</v>
      </c>
      <c r="AY72" s="117">
        <v>0</v>
      </c>
      <c r="AZ72" s="117">
        <v>0</v>
      </c>
      <c r="BA72" s="117">
        <v>0</v>
      </c>
      <c r="BB72" s="117">
        <v>0</v>
      </c>
      <c r="BC72" s="117">
        <v>0</v>
      </c>
      <c r="BD72" s="117">
        <v>0</v>
      </c>
      <c r="BE72" s="117">
        <v>0</v>
      </c>
      <c r="BG72" s="51" t="str">
        <f t="shared" ca="1" si="176"/>
        <v>CAN Int. Debt</v>
      </c>
      <c r="BH72" s="38">
        <f t="shared" si="10"/>
        <v>0.05</v>
      </c>
      <c r="BI72" s="38">
        <f t="shared" si="11"/>
        <v>4.0999999999999995E-2</v>
      </c>
      <c r="BK72" s="31">
        <f ca="1">CORREL(OFFSET(Historical_Data_Start,date_start_row,$B72,date_rows,1),OFFSET(Historical_Data_Start,date_start_row,Calculations!BK$40,date_rows,1))</f>
        <v>0.19565910680441734</v>
      </c>
      <c r="BL72" s="32">
        <f ca="1">CORREL(OFFSET(Historical_Data_Start,date_start_row,$B72,date_rows,1),OFFSET(Historical_Data_Start,date_start_row,Calculations!BL$40,date_rows,1))</f>
        <v>0.87700126746587148</v>
      </c>
      <c r="BM72" s="32">
        <f ca="1">CORREL(OFFSET(Historical_Data_Start,date_start_row,$B72,date_rows,1),OFFSET(Historical_Data_Start,date_start_row,Calculations!BM$40,date_rows,1))</f>
        <v>0.83538434394460326</v>
      </c>
      <c r="BN72" s="32">
        <f ca="1">CORREL(OFFSET(Historical_Data_Start,date_start_row,$B72,date_rows,1),OFFSET(Historical_Data_Start,date_start_row,Calculations!BN$40,date_rows,1))</f>
        <v>0.82118144538552351</v>
      </c>
      <c r="BO72" s="32">
        <f ca="1">CORREL(OFFSET(Historical_Data_Start,date_start_row,$B72,date_rows,1),OFFSET(Historical_Data_Start,date_start_row,Calculations!BO$40,date_rows,1))</f>
        <v>0.81879055940813783</v>
      </c>
      <c r="BP72" s="32">
        <f ca="1">CORREL(OFFSET(Historical_Data_Start,date_start_row,$B72,date_rows,1),OFFSET(Historical_Data_Start,date_start_row,Calculations!BP$40,date_rows,1))</f>
        <v>1.0000000000000002</v>
      </c>
      <c r="BQ72" s="32">
        <f ca="1">CORREL(OFFSET(Historical_Data_Start,date_start_row,$B72,date_rows,1),OFFSET(Historical_Data_Start,date_start_row,Calculations!BQ$40,date_rows,1))</f>
        <v>0.96984264929331221</v>
      </c>
      <c r="BR72" s="32">
        <f ca="1">CORREL(OFFSET(Historical_Data_Start,date_start_row,$B72,date_rows,1),OFFSET(Historical_Data_Start,date_start_row,Calculations!BR$40,date_rows,1))</f>
        <v>0.93311174473490133</v>
      </c>
      <c r="BS72" s="32">
        <f ca="1">CORREL(OFFSET(Historical_Data_Start,date_start_row,$B72,date_rows,1),OFFSET(Historical_Data_Start,date_start_row,Calculations!BS$40,date_rows,1))</f>
        <v>0.88172007363780291</v>
      </c>
      <c r="BT72" s="32">
        <f ca="1">CORREL(OFFSET(Historical_Data_Start,date_start_row,$B72,date_rows,1),OFFSET(Historical_Data_Start,date_start_row,Calculations!BT$40,date_rows,1))</f>
        <v>0.59174653036605551</v>
      </c>
      <c r="BU72" s="32">
        <f ca="1">CORREL(OFFSET(Historical_Data_Start,date_start_row,$B72,date_rows,1),OFFSET(Historical_Data_Start,date_start_row,Calculations!BU$40,date_rows,1))</f>
        <v>0.16772503077756748</v>
      </c>
      <c r="BV72" s="32">
        <f ca="1">CORREL(OFFSET(Historical_Data_Start,date_start_row,$B72,date_rows,1),OFFSET(Historical_Data_Start,date_start_row,Calculations!BV$40,date_rows,1))</f>
        <v>0.15131858613746713</v>
      </c>
      <c r="BW72" s="32">
        <f ca="1">CORREL(OFFSET(Historical_Data_Start,date_start_row,$B72,date_rows,1),OFFSET(Historical_Data_Start,date_start_row,Calculations!BW$40,date_rows,1))</f>
        <v>0.19642100959088482</v>
      </c>
      <c r="BX72" s="32">
        <f ca="1">CORREL(OFFSET(Historical_Data_Start,date_start_row,$B72,date_rows,1),OFFSET(Historical_Data_Start,date_start_row,Calculations!BX$40,date_rows,1))</f>
        <v>6.8200545199341212E-2</v>
      </c>
      <c r="BY72" s="32">
        <f ca="1">CORREL(OFFSET(Historical_Data_Start,date_start_row,$B72,date_rows,1),OFFSET(Historical_Data_Start,date_start_row,Calculations!BY$40,date_rows,1))</f>
        <v>9.0111494466285968E-2</v>
      </c>
      <c r="BZ72" s="32">
        <f ca="1">CORREL(OFFSET(Historical_Data_Start,date_start_row,$B72,date_rows,1),OFFSET(Historical_Data_Start,date_start_row,Calculations!BZ$40,date_rows,1))</f>
        <v>0.22344837792376232</v>
      </c>
      <c r="CA72" s="32">
        <f ca="1">CORREL(OFFSET(Historical_Data_Start,date_start_row,$B72,date_rows,1),OFFSET(Historical_Data_Start,date_start_row,Calculations!CA$40,date_rows,1))</f>
        <v>0.26332265707302038</v>
      </c>
      <c r="CB72" s="32">
        <f ca="1">CORREL(OFFSET(Historical_Data_Start,date_start_row,$B72,date_rows,1),OFFSET(Historical_Data_Start,date_start_row,Calculations!CB$40,date_rows,1))</f>
        <v>8.6264536689943695E-3</v>
      </c>
      <c r="CC72" s="32">
        <f ca="1">CORREL(OFFSET(Historical_Data_Start,date_start_row,$B72,date_rows,1),OFFSET(Historical_Data_Start,date_start_row,Calculations!CC$40,date_rows,1))</f>
        <v>2.6443673660692394E-2</v>
      </c>
      <c r="CD72" s="32">
        <f ca="1">CORREL(OFFSET(Historical_Data_Start,date_start_row,$B72,date_rows,1),OFFSET(Historical_Data_Start,date_start_row,Calculations!CD$40,date_rows,1))</f>
        <v>-3.9272559442104261E-2</v>
      </c>
      <c r="CE72" s="32">
        <f ca="1">CORREL(OFFSET(Historical_Data_Start,date_start_row,$B72,date_rows,1),OFFSET(Historical_Data_Start,date_start_row,Calculations!CE$40,date_rows,1))</f>
        <v>-1.5542455531201311E-2</v>
      </c>
      <c r="CF72" s="32">
        <f ca="1">CORREL(OFFSET(Historical_Data_Start,date_start_row,$B72,date_rows,1),OFFSET(Historical_Data_Start,date_start_row,Calculations!CF$40,date_rows,1))</f>
        <v>-0.11140166067041596</v>
      </c>
      <c r="CG72" s="32">
        <f ca="1">CORREL(OFFSET(Historical_Data_Start,date_start_row,$B72,date_rows,1),OFFSET(Historical_Data_Start,date_start_row,Calculations!CG$40,date_rows,1))</f>
        <v>-4.7851542951269498E-2</v>
      </c>
      <c r="CH72" s="32">
        <f ca="1">CORREL(OFFSET(Historical_Data_Start,date_start_row,$B72,date_rows,1),OFFSET(Historical_Data_Start,date_start_row,Calculations!CH$40,date_rows,1))</f>
        <v>0.18837638455890265</v>
      </c>
      <c r="CI72" s="32">
        <f ca="1">CORREL(OFFSET(Historical_Data_Start,date_start_row,$B72,date_rows,1),OFFSET(Historical_Data_Start,date_start_row,Calculations!CI$40,date_rows,1))</f>
        <v>3.2949430261349513E-2</v>
      </c>
      <c r="CJ72" s="32">
        <f ca="1">CORREL(OFFSET(Historical_Data_Start,date_start_row,$B72,date_rows,1),OFFSET(Historical_Data_Start,date_start_row,Calculations!CJ$40,date_rows,1))</f>
        <v>0.11935955111173342</v>
      </c>
      <c r="CK72" s="32">
        <f ca="1">CORREL(OFFSET(Historical_Data_Start,date_start_row,$B72,date_rows,1),OFFSET(Historical_Data_Start,date_start_row,Calculations!CK$40,date_rows,1))</f>
        <v>-2.1489134550229379E-2</v>
      </c>
      <c r="CL72" s="32">
        <f ca="1">CORREL(OFFSET(Historical_Data_Start,date_start_row,$B72,date_rows,1),OFFSET(Historical_Data_Start,date_start_row,Calculations!CL$40,date_rows,1))</f>
        <v>0.1956499772089467</v>
      </c>
      <c r="CM72" s="32">
        <f ca="1">CORREL(OFFSET(Historical_Data_Start,date_start_row,$B72,date_rows,1),OFFSET(Historical_Data_Start,date_start_row,Calculations!CM$40,date_rows,1))</f>
        <v>0.87700126746587148</v>
      </c>
      <c r="CN72" s="32">
        <f ca="1">CORREL(OFFSET(Historical_Data_Start,date_start_row,$B72,date_rows,1),OFFSET(Historical_Data_Start,date_start_row,Calculations!CN$40,date_rows,1))</f>
        <v>0.83538434394460326</v>
      </c>
      <c r="CO72" s="32">
        <f ca="1">CORREL(OFFSET(Historical_Data_Start,date_start_row,$B72,date_rows,1),OFFSET(Historical_Data_Start,date_start_row,Calculations!CO$40,date_rows,1))</f>
        <v>1.0000000000000002</v>
      </c>
      <c r="CP72" s="32">
        <f ca="1">CORREL(OFFSET(Historical_Data_Start,date_start_row,$B72,date_rows,1),OFFSET(Historical_Data_Start,date_start_row,Calculations!CP$40,date_rows,1))</f>
        <v>0.96984264929331221</v>
      </c>
      <c r="CQ72" s="32">
        <f ca="1">CORREL(OFFSET(Historical_Data_Start,date_start_row,$B72,date_rows,1),OFFSET(Historical_Data_Start,date_start_row,Calculations!CQ$40,date_rows,1))</f>
        <v>0.76833141810734462</v>
      </c>
      <c r="CR72" s="32">
        <f ca="1">CORREL(OFFSET(Historical_Data_Start,date_start_row,$B72,date_rows,1),OFFSET(Historical_Data_Start,date_start_row,Calculations!CR$40,date_rows,1))</f>
        <v>0.79585003693445555</v>
      </c>
      <c r="CS72" s="32">
        <f ca="1">CORREL(OFFSET(Historical_Data_Start,date_start_row,$B72,date_rows,1),OFFSET(Historical_Data_Start,date_start_row,Calculations!CS$40,date_rows,1))</f>
        <v>0.52123125246109059</v>
      </c>
      <c r="CT72" s="32">
        <f ca="1">CORREL(OFFSET(Historical_Data_Start,date_start_row,$B72,date_rows,1),OFFSET(Historical_Data_Start,date_start_row,Calculations!CT$40,date_rows,1))</f>
        <v>-0.81088206046529365</v>
      </c>
      <c r="CU72" s="32">
        <f ca="1">CORREL(OFFSET(Historical_Data_Start,date_start_row,$B72,date_rows,1),OFFSET(Historical_Data_Start,date_start_row,Calculations!CU$40,date_rows,1))</f>
        <v>-0.91470683709987</v>
      </c>
      <c r="CV72" s="32">
        <f ca="1">CORREL(OFFSET(Historical_Data_Start,date_start_row,$B72,date_rows,1),OFFSET(Historical_Data_Start,date_start_row,Calculations!CV$40,date_rows,1))</f>
        <v>-0.46650614537272628</v>
      </c>
      <c r="CW72" s="32">
        <f ca="1">CORREL(OFFSET(Historical_Data_Start,date_start_row,$B72,date_rows,1),OFFSET(Historical_Data_Start,date_start_row,Calculations!CW$40,date_rows,1))</f>
        <v>-0.16914033964276753</v>
      </c>
      <c r="CX72" s="32">
        <f ca="1">CORREL(OFFSET(Historical_Data_Start,date_start_row,$B72,date_rows,1),OFFSET(Historical_Data_Start,date_start_row,Calculations!CX$40,date_rows,1))</f>
        <v>-0.15314763124662245</v>
      </c>
      <c r="CY72" s="32">
        <f ca="1">CORREL(OFFSET(Historical_Data_Start,date_start_row,$B72,date_rows,1),OFFSET(Historical_Data_Start,date_start_row,Calculations!CY$40,date_rows,1))</f>
        <v>-0.19642100959088482</v>
      </c>
      <c r="CZ72" s="32">
        <f ca="1">CORREL(OFFSET(Historical_Data_Start,date_start_row,$B72,date_rows,1),OFFSET(Historical_Data_Start,date_start_row,Calculations!CZ$40,date_rows,1))</f>
        <v>-7.3925880614841746E-2</v>
      </c>
      <c r="DA72" s="32">
        <f ca="1">CORREL(OFFSET(Historical_Data_Start,date_start_row,$B72,date_rows,1),OFFSET(Historical_Data_Start,date_start_row,Calculations!DA$40,date_rows,1))</f>
        <v>-9.2056908516088012E-2</v>
      </c>
      <c r="DB72" s="32">
        <f ca="1">CORREL(OFFSET(Historical_Data_Start,date_start_row,$B72,date_rows,1),OFFSET(Historical_Data_Start,date_start_row,Calculations!DB$40,date_rows,1))</f>
        <v>-0.22031517720634108</v>
      </c>
      <c r="DC72" s="32">
        <f ca="1">CORREL(OFFSET(Historical_Data_Start,date_start_row,$B72,date_rows,1),OFFSET(Historical_Data_Start,date_start_row,Calculations!DC$40,date_rows,1))</f>
        <v>-0.26715406380859025</v>
      </c>
      <c r="DD72" s="32">
        <f ca="1">CORREL(OFFSET(Historical_Data_Start,date_start_row,$B72,date_rows,1),OFFSET(Historical_Data_Start,date_start_row,Calculations!DD$40,date_rows,1))</f>
        <v>-1.4167378526360897E-2</v>
      </c>
      <c r="DE72" s="32">
        <f ca="1">CORREL(OFFSET(Historical_Data_Start,date_start_row,$B72,date_rows,1),OFFSET(Historical_Data_Start,date_start_row,Calculations!DE$40,date_rows,1))</f>
        <v>-3.0611081728208759E-2</v>
      </c>
      <c r="DF72" s="32">
        <f ca="1">CORREL(OFFSET(Historical_Data_Start,date_start_row,$B72,date_rows,1),OFFSET(Historical_Data_Start,date_start_row,Calculations!DF$40,date_rows,1))</f>
        <v>3.2352161106437294E-2</v>
      </c>
      <c r="DG72" s="32">
        <f ca="1">CORREL(OFFSET(Historical_Data_Start,date_start_row,$B72,date_rows,1),OFFSET(Historical_Data_Start,date_start_row,Calculations!DG$40,date_rows,1))</f>
        <v>6.8985532032561662E-3</v>
      </c>
      <c r="DH72" s="33">
        <f ca="1">CORREL(OFFSET(Historical_Data_Start,date_start_row,$B72,date_rows,1),OFFSET(Historical_Data_Start,date_start_row,Calculations!DH$40,date_rows,1))</f>
        <v>0.11547562145633763</v>
      </c>
      <c r="DI72" s="2">
        <f t="shared" si="71"/>
        <v>31</v>
      </c>
      <c r="DJ72" s="43">
        <f t="shared" ca="1" si="65"/>
        <v>8.0220233789811093E-5</v>
      </c>
      <c r="DK72" s="44">
        <f t="shared" ca="1" si="12"/>
        <v>2.2652942738643459E-3</v>
      </c>
      <c r="DL72" s="44">
        <f t="shared" ca="1" si="13"/>
        <v>3.6990818749867028E-3</v>
      </c>
      <c r="DM72" s="44">
        <f t="shared" ca="1" si="14"/>
        <v>1.9527694771267745E-3</v>
      </c>
      <c r="DN72" s="44">
        <f t="shared" ca="1" si="15"/>
        <v>3.2899004677018977E-3</v>
      </c>
      <c r="DO72" s="44">
        <f t="shared" ca="1" si="16"/>
        <v>2.173E-3</v>
      </c>
      <c r="DP72" s="44">
        <f t="shared" ca="1" si="17"/>
        <v>3.6582464731343728E-3</v>
      </c>
      <c r="DQ72" s="44">
        <f t="shared" ca="1" si="18"/>
        <v>1.8746214951724167E-3</v>
      </c>
      <c r="DR72" s="44">
        <f t="shared" ca="1" si="19"/>
        <v>3.000493410589443E-3</v>
      </c>
      <c r="DS72" s="44">
        <f t="shared" ca="1" si="20"/>
        <v>1.6983125421505792E-3</v>
      </c>
      <c r="DT72" s="44">
        <f t="shared" ca="1" si="21"/>
        <v>1.1002762019008425E-3</v>
      </c>
      <c r="DU72" s="44">
        <f t="shared" ca="1" si="22"/>
        <v>1.2408124063272303E-3</v>
      </c>
      <c r="DV72" s="44">
        <f t="shared" ca="1" si="23"/>
        <v>1.4495870507807297E-3</v>
      </c>
      <c r="DW72" s="44">
        <f t="shared" ca="1" si="24"/>
        <v>6.7109336476151743E-4</v>
      </c>
      <c r="DX72" s="44">
        <f t="shared" ca="1" si="25"/>
        <v>7.7585996735472199E-4</v>
      </c>
      <c r="DY72" s="44">
        <f t="shared" ca="1" si="26"/>
        <v>1.8322766989748507E-3</v>
      </c>
      <c r="DZ72" s="44">
        <f t="shared" ca="1" si="27"/>
        <v>2.1592457879987667E-3</v>
      </c>
      <c r="EA72" s="44">
        <f t="shared" ca="1" si="28"/>
        <v>7.7810612094329204E-5</v>
      </c>
      <c r="EB72" s="44">
        <f t="shared" ca="1" si="29"/>
        <v>2.8188956122298091E-4</v>
      </c>
      <c r="EC72" s="44">
        <f t="shared" ca="1" si="30"/>
        <v>-4.8305248113788234E-4</v>
      </c>
      <c r="ED72" s="44">
        <f t="shared" ca="1" si="31"/>
        <v>-1.7842738949819102E-4</v>
      </c>
      <c r="EE72" s="44">
        <f t="shared" ca="1" si="32"/>
        <v>-4.110721278738348E-4</v>
      </c>
      <c r="EF72" s="44">
        <f t="shared" ca="1" si="33"/>
        <v>-1.7657219349018441E-4</v>
      </c>
      <c r="EG72" s="44">
        <f t="shared" ca="1" si="34"/>
        <v>1.3129834003755515E-3</v>
      </c>
      <c r="EH72" s="44">
        <f t="shared" ca="1" si="35"/>
        <v>3.2422239377167915E-4</v>
      </c>
      <c r="EI72" s="44">
        <f t="shared" ca="1" si="36"/>
        <v>5.8724899146972832E-4</v>
      </c>
      <c r="EJ72" s="44">
        <f t="shared" ca="1" si="37"/>
        <v>-7.9294906490346399E-5</v>
      </c>
      <c r="EK72" s="43">
        <f t="shared" ca="1" si="38"/>
        <v>8.0216490655668133E-5</v>
      </c>
      <c r="EL72" s="44">
        <f t="shared" ca="1" si="39"/>
        <v>1.6540243904406334E-3</v>
      </c>
      <c r="EM72" s="44">
        <f t="shared" ca="1" si="40"/>
        <v>2.7743114062400271E-3</v>
      </c>
      <c r="EN72" s="44">
        <f t="shared" ca="1" si="41"/>
        <v>1.681E-3</v>
      </c>
      <c r="EO72" s="44">
        <f t="shared" ca="1" si="42"/>
        <v>4.533044542796941E-3</v>
      </c>
      <c r="EP72" s="44">
        <f t="shared" ca="1" si="43"/>
        <v>8.7259399154451106E-3</v>
      </c>
      <c r="EQ72" s="44">
        <f t="shared" ca="1" si="44"/>
        <v>7.7659046604064167E-3</v>
      </c>
      <c r="ER72" s="44">
        <f t="shared" ca="1" si="45"/>
        <v>6.8385540322895072E-3</v>
      </c>
      <c r="ES72" s="44">
        <f t="shared" ca="1" si="46"/>
        <v>-2.0945083621818532E-3</v>
      </c>
      <c r="ET72" s="44">
        <f t="shared" ca="1" si="47"/>
        <v>-1.8751490160547333E-3</v>
      </c>
      <c r="EU72" s="44">
        <f t="shared" ca="1" si="48"/>
        <v>-1.3388726372197243E-3</v>
      </c>
      <c r="EV72" s="44">
        <f t="shared" ca="1" si="49"/>
        <v>-1.1095606280565548E-3</v>
      </c>
      <c r="EW72" s="44">
        <f t="shared" ca="1" si="50"/>
        <v>-1.255810576222304E-3</v>
      </c>
      <c r="EX72" s="44">
        <f t="shared" ca="1" si="51"/>
        <v>-1.4495870507807297E-3</v>
      </c>
      <c r="EY72" s="44">
        <f t="shared" ca="1" si="52"/>
        <v>-7.274306652500426E-4</v>
      </c>
      <c r="EZ72" s="44">
        <f t="shared" ca="1" si="53"/>
        <v>-7.9260998232351756E-4</v>
      </c>
      <c r="FA72" s="44">
        <f t="shared" ca="1" si="54"/>
        <v>-1.8065844530919966E-3</v>
      </c>
      <c r="FB72" s="44">
        <f t="shared" ca="1" si="55"/>
        <v>-2.1906633232304396E-3</v>
      </c>
      <c r="FC72" s="44">
        <f t="shared" ca="1" si="56"/>
        <v>-1.2778975430777526E-4</v>
      </c>
      <c r="FD72" s="44">
        <f t="shared" ca="1" si="57"/>
        <v>-3.2631413122270536E-4</v>
      </c>
      <c r="FE72" s="44">
        <f t="shared" ca="1" si="58"/>
        <v>3.9793158160917865E-4</v>
      </c>
      <c r="FF72" s="44">
        <f t="shared" ca="1" si="59"/>
        <v>7.919539077338078E-5</v>
      </c>
      <c r="FG72" s="45">
        <f t="shared" ca="1" si="60"/>
        <v>2.3672502398549211E-5</v>
      </c>
    </row>
    <row r="73" spans="1:173" x14ac:dyDescent="0.2">
      <c r="A73" s="51" t="str">
        <f t="shared" ref="A73" ca="1" si="190">INDEX(Historical_Data_Names,3,B73)</f>
        <v>L</v>
      </c>
      <c r="B73" s="55">
        <f t="shared" si="178"/>
        <v>32</v>
      </c>
      <c r="C73" s="11" t="str">
        <f t="shared" ref="C73" ca="1" si="191">INDEX(Historical_Data_Names,2,B73)</f>
        <v>CAN Long Debt</v>
      </c>
      <c r="D73" s="11"/>
      <c r="E73" s="13">
        <f t="shared" ref="E73" ca="1" si="192">AVERAGE(OFFSET(Historical_Data_Start,date_start_row,$B73,date_rows,1))*4</f>
        <v>0.10717692015025672</v>
      </c>
      <c r="F73" s="13">
        <f t="array" aca="1" ref="F73" ca="1">PRODUCT(1+OFFSET(Historical_Data_Start,date_start_row,$B73,date_rows,1))^(4/date_rows)-1</f>
        <v>0.10550636509586586</v>
      </c>
      <c r="G73" s="13">
        <f t="shared" ref="G73" ca="1" si="193">STDEV(OFFSET(Historical_Data_Start,date_start_row,$B73,date_rows,1))*2</f>
        <v>0.10859531050779325</v>
      </c>
      <c r="I73" s="21">
        <v>0.05</v>
      </c>
      <c r="J73" s="21">
        <v>0.114</v>
      </c>
      <c r="L73" s="19">
        <v>-2.7699999999999999E-2</v>
      </c>
      <c r="M73" s="19"/>
      <c r="N73" s="14">
        <f t="shared" si="174"/>
        <v>-2.7699999999999999E-2</v>
      </c>
      <c r="P73" s="114">
        <f t="shared" si="175"/>
        <v>-2.7699999999999999E-2</v>
      </c>
      <c r="Q73" s="114">
        <f t="shared" si="175"/>
        <v>-2.7699999999999999E-2</v>
      </c>
      <c r="S73" s="226"/>
      <c r="T73" s="410">
        <v>0</v>
      </c>
      <c r="U73" s="410">
        <v>0</v>
      </c>
      <c r="V73" s="410">
        <v>0</v>
      </c>
      <c r="W73" s="410">
        <v>0</v>
      </c>
      <c r="X73" s="410">
        <v>0</v>
      </c>
      <c r="Y73" s="410">
        <v>0</v>
      </c>
      <c r="AI73" s="117">
        <v>0</v>
      </c>
      <c r="AJ73" s="117">
        <v>0</v>
      </c>
      <c r="AK73" s="117">
        <v>0</v>
      </c>
      <c r="AL73" s="117">
        <v>0</v>
      </c>
      <c r="AM73" s="117">
        <v>0</v>
      </c>
      <c r="AN73" s="117">
        <v>0</v>
      </c>
      <c r="AO73" s="117">
        <v>0</v>
      </c>
      <c r="AP73" s="117">
        <v>0</v>
      </c>
      <c r="AQ73" s="117">
        <v>0</v>
      </c>
      <c r="AR73" s="117">
        <v>0</v>
      </c>
      <c r="AS73" s="117">
        <v>0</v>
      </c>
      <c r="AU73" s="117">
        <v>0</v>
      </c>
      <c r="AV73" s="117">
        <v>0</v>
      </c>
      <c r="AW73" s="117">
        <v>0</v>
      </c>
      <c r="AX73" s="117">
        <v>0</v>
      </c>
      <c r="AY73" s="117">
        <v>0</v>
      </c>
      <c r="AZ73" s="117">
        <v>0</v>
      </c>
      <c r="BA73" s="117">
        <v>0</v>
      </c>
      <c r="BB73" s="117">
        <v>0</v>
      </c>
      <c r="BC73" s="117">
        <v>0</v>
      </c>
      <c r="BD73" s="117">
        <v>0</v>
      </c>
      <c r="BE73" s="117">
        <v>0</v>
      </c>
      <c r="BG73" s="51" t="str">
        <f t="shared" ca="1" si="176"/>
        <v>CAN Long Debt</v>
      </c>
      <c r="BH73" s="38">
        <f t="shared" si="10"/>
        <v>0.05</v>
      </c>
      <c r="BI73" s="38">
        <f t="shared" si="11"/>
        <v>0.114</v>
      </c>
      <c r="BK73" s="31">
        <f ca="1">CORREL(OFFSET(Historical_Data_Start,date_start_row,$B73,date_rows,1),OFFSET(Historical_Data_Start,date_start_row,Calculations!BK$40,date_rows,1))</f>
        <v>0.11736873326682244</v>
      </c>
      <c r="BL73" s="32">
        <f ca="1">CORREL(OFFSET(Historical_Data_Start,date_start_row,$B73,date_rows,1),OFFSET(Historical_Data_Start,date_start_row,Calculations!BL$40,date_rows,1))</f>
        <v>0.82072264449189314</v>
      </c>
      <c r="BM73" s="32">
        <f ca="1">CORREL(OFFSET(Historical_Data_Start,date_start_row,$B73,date_rows,1),OFFSET(Historical_Data_Start,date_start_row,Calculations!BM$40,date_rows,1))</f>
        <v>0.84851608346858287</v>
      </c>
      <c r="BN73" s="32">
        <f ca="1">CORREL(OFFSET(Historical_Data_Start,date_start_row,$B73,date_rows,1),OFFSET(Historical_Data_Start,date_start_row,Calculations!BN$40,date_rows,1))</f>
        <v>0.80419272162143229</v>
      </c>
      <c r="BO73" s="32">
        <f ca="1">CORREL(OFFSET(Historical_Data_Start,date_start_row,$B73,date_rows,1),OFFSET(Historical_Data_Start,date_start_row,Calculations!BO$40,date_rows,1))</f>
        <v>0.85246788515283478</v>
      </c>
      <c r="BP73" s="32">
        <f ca="1">CORREL(OFFSET(Historical_Data_Start,date_start_row,$B73,date_rows,1),OFFSET(Historical_Data_Start,date_start_row,Calculations!BP$40,date_rows,1))</f>
        <v>0.96984264929331221</v>
      </c>
      <c r="BQ73" s="32">
        <f ca="1">CORREL(OFFSET(Historical_Data_Start,date_start_row,$B73,date_rows,1),OFFSET(Historical_Data_Start,date_start_row,Calculations!BQ$40,date_rows,1))</f>
        <v>1</v>
      </c>
      <c r="BR73" s="32">
        <f ca="1">CORREL(OFFSET(Historical_Data_Start,date_start_row,$B73,date_rows,1),OFFSET(Historical_Data_Start,date_start_row,Calculations!BR$40,date_rows,1))</f>
        <v>0.92632189922352792</v>
      </c>
      <c r="BS73" s="32">
        <f ca="1">CORREL(OFFSET(Historical_Data_Start,date_start_row,$B73,date_rows,1),OFFSET(Historical_Data_Start,date_start_row,Calculations!BS$40,date_rows,1))</f>
        <v>0.92719410362385968</v>
      </c>
      <c r="BT73" s="32">
        <f ca="1">CORREL(OFFSET(Historical_Data_Start,date_start_row,$B73,date_rows,1),OFFSET(Historical_Data_Start,date_start_row,Calculations!BT$40,date_rows,1))</f>
        <v>0.56263144505599338</v>
      </c>
      <c r="BU73" s="32">
        <f ca="1">CORREL(OFFSET(Historical_Data_Start,date_start_row,$B73,date_rows,1),OFFSET(Historical_Data_Start,date_start_row,Calculations!BU$40,date_rows,1))</f>
        <v>0.23573047278415918</v>
      </c>
      <c r="BV73" s="32">
        <f ca="1">CORREL(OFFSET(Historical_Data_Start,date_start_row,$B73,date_rows,1),OFFSET(Historical_Data_Start,date_start_row,Calculations!BV$40,date_rows,1))</f>
        <v>0.21281568363456338</v>
      </c>
      <c r="BW73" s="32">
        <f ca="1">CORREL(OFFSET(Historical_Data_Start,date_start_row,$B73,date_rows,1),OFFSET(Historical_Data_Start,date_start_row,Calculations!BW$40,date_rows,1))</f>
        <v>0.2580403805639192</v>
      </c>
      <c r="BX73" s="32">
        <f ca="1">CORREL(OFFSET(Historical_Data_Start,date_start_row,$B73,date_rows,1),OFFSET(Historical_Data_Start,date_start_row,Calculations!BX$40,date_rows,1))</f>
        <v>9.534813334848305E-2</v>
      </c>
      <c r="BY73" s="32">
        <f ca="1">CORREL(OFFSET(Historical_Data_Start,date_start_row,$B73,date_rows,1),OFFSET(Historical_Data_Start,date_start_row,Calculations!BY$40,date_rows,1))</f>
        <v>0.15206740663054141</v>
      </c>
      <c r="BZ73" s="32">
        <f ca="1">CORREL(OFFSET(Historical_Data_Start,date_start_row,$B73,date_rows,1),OFFSET(Historical_Data_Start,date_start_row,Calculations!BZ$40,date_rows,1))</f>
        <v>0.26366507993667476</v>
      </c>
      <c r="CA73" s="32">
        <f ca="1">CORREL(OFFSET(Historical_Data_Start,date_start_row,$B73,date_rows,1),OFFSET(Historical_Data_Start,date_start_row,Calculations!CA$40,date_rows,1))</f>
        <v>0.3024348540300566</v>
      </c>
      <c r="CB73" s="32">
        <f ca="1">CORREL(OFFSET(Historical_Data_Start,date_start_row,$B73,date_rows,1),OFFSET(Historical_Data_Start,date_start_row,Calculations!CB$40,date_rows,1))</f>
        <v>3.7768941740659277E-2</v>
      </c>
      <c r="CC73" s="32">
        <f ca="1">CORREL(OFFSET(Historical_Data_Start,date_start_row,$B73,date_rows,1),OFFSET(Historical_Data_Start,date_start_row,Calculations!CC$40,date_rows,1))</f>
        <v>3.6171645933348547E-2</v>
      </c>
      <c r="CD73" s="32">
        <f ca="1">CORREL(OFFSET(Historical_Data_Start,date_start_row,$B73,date_rows,1),OFFSET(Historical_Data_Start,date_start_row,Calculations!CD$40,date_rows,1))</f>
        <v>-2.4103784332453613E-2</v>
      </c>
      <c r="CE73" s="32">
        <f ca="1">CORREL(OFFSET(Historical_Data_Start,date_start_row,$B73,date_rows,1),OFFSET(Historical_Data_Start,date_start_row,Calculations!CE$40,date_rows,1))</f>
        <v>1.7673029027934446E-2</v>
      </c>
      <c r="CF73" s="32">
        <f ca="1">CORREL(OFFSET(Historical_Data_Start,date_start_row,$B73,date_rows,1),OFFSET(Historical_Data_Start,date_start_row,Calculations!CF$40,date_rows,1))</f>
        <v>-7.4121597703046202E-2</v>
      </c>
      <c r="CG73" s="32">
        <f ca="1">CORREL(OFFSET(Historical_Data_Start,date_start_row,$B73,date_rows,1),OFFSET(Historical_Data_Start,date_start_row,Calculations!CG$40,date_rows,1))</f>
        <v>-2.6507791132421049E-2</v>
      </c>
      <c r="CH73" s="32">
        <f ca="1">CORREL(OFFSET(Historical_Data_Start,date_start_row,$B73,date_rows,1),OFFSET(Historical_Data_Start,date_start_row,Calculations!CH$40,date_rows,1))</f>
        <v>0.26890644626176363</v>
      </c>
      <c r="CI73" s="32">
        <f ca="1">CORREL(OFFSET(Historical_Data_Start,date_start_row,$B73,date_rows,1),OFFSET(Historical_Data_Start,date_start_row,Calculations!CI$40,date_rows,1))</f>
        <v>5.7282054395490951E-2</v>
      </c>
      <c r="CJ73" s="32">
        <f ca="1">CORREL(OFFSET(Historical_Data_Start,date_start_row,$B73,date_rows,1),OFFSET(Historical_Data_Start,date_start_row,Calculations!CJ$40,date_rows,1))</f>
        <v>0.12242903445276547</v>
      </c>
      <c r="CK73" s="32">
        <f ca="1">CORREL(OFFSET(Historical_Data_Start,date_start_row,$B73,date_rows,1),OFFSET(Historical_Data_Start,date_start_row,Calculations!CK$40,date_rows,1))</f>
        <v>5.0184426169889738E-2</v>
      </c>
      <c r="CL73" s="32">
        <f ca="1">CORREL(OFFSET(Historical_Data_Start,date_start_row,$B73,date_rows,1),OFFSET(Historical_Data_Start,date_start_row,Calculations!CL$40,date_rows,1))</f>
        <v>0.11735263983698284</v>
      </c>
      <c r="CM73" s="32">
        <f ca="1">CORREL(OFFSET(Historical_Data_Start,date_start_row,$B73,date_rows,1),OFFSET(Historical_Data_Start,date_start_row,Calculations!CM$40,date_rows,1))</f>
        <v>0.82072264449189314</v>
      </c>
      <c r="CN73" s="32">
        <f ca="1">CORREL(OFFSET(Historical_Data_Start,date_start_row,$B73,date_rows,1),OFFSET(Historical_Data_Start,date_start_row,Calculations!CN$40,date_rows,1))</f>
        <v>0.84851608346858287</v>
      </c>
      <c r="CO73" s="32">
        <f ca="1">CORREL(OFFSET(Historical_Data_Start,date_start_row,$B73,date_rows,1),OFFSET(Historical_Data_Start,date_start_row,Calculations!CO$40,date_rows,1))</f>
        <v>0.96984264929331221</v>
      </c>
      <c r="CP73" s="32">
        <f ca="1">CORREL(OFFSET(Historical_Data_Start,date_start_row,$B73,date_rows,1),OFFSET(Historical_Data_Start,date_start_row,Calculations!CP$40,date_rows,1))</f>
        <v>1</v>
      </c>
      <c r="CQ73" s="32">
        <f ca="1">CORREL(OFFSET(Historical_Data_Start,date_start_row,$B73,date_rows,1),OFFSET(Historical_Data_Start,date_start_row,Calculations!CQ$40,date_rows,1))</f>
        <v>0.78849919280581615</v>
      </c>
      <c r="CR73" s="32">
        <f ca="1">CORREL(OFFSET(Historical_Data_Start,date_start_row,$B73,date_rows,1),OFFSET(Historical_Data_Start,date_start_row,Calculations!CR$40,date_rows,1))</f>
        <v>0.85678236828262</v>
      </c>
      <c r="CS73" s="32">
        <f ca="1">CORREL(OFFSET(Historical_Data_Start,date_start_row,$B73,date_rows,1),OFFSET(Historical_Data_Start,date_start_row,Calculations!CS$40,date_rows,1))</f>
        <v>0.50846639914734804</v>
      </c>
      <c r="CT73" s="32">
        <f ca="1">CORREL(OFFSET(Historical_Data_Start,date_start_row,$B73,date_rows,1),OFFSET(Historical_Data_Start,date_start_row,Calculations!CT$40,date_rows,1))</f>
        <v>-0.78981188478590292</v>
      </c>
      <c r="CU73" s="32">
        <f ca="1">CORREL(OFFSET(Historical_Data_Start,date_start_row,$B73,date_rows,1),OFFSET(Historical_Data_Start,date_start_row,Calculations!CU$40,date_rows,1))</f>
        <v>-0.90064643896617913</v>
      </c>
      <c r="CV73" s="32">
        <f ca="1">CORREL(OFFSET(Historical_Data_Start,date_start_row,$B73,date_rows,1),OFFSET(Historical_Data_Start,date_start_row,Calculations!CV$40,date_rows,1))</f>
        <v>-0.42630348712703026</v>
      </c>
      <c r="CW73" s="32">
        <f ca="1">CORREL(OFFSET(Historical_Data_Start,date_start_row,$B73,date_rows,1),OFFSET(Historical_Data_Start,date_start_row,Calculations!CW$40,date_rows,1))</f>
        <v>-0.23243345969706969</v>
      </c>
      <c r="CX73" s="32">
        <f ca="1">CORREL(OFFSET(Historical_Data_Start,date_start_row,$B73,date_rows,1),OFFSET(Historical_Data_Start,date_start_row,Calculations!CX$40,date_rows,1))</f>
        <v>-0.21048164021120899</v>
      </c>
      <c r="CY73" s="32">
        <f ca="1">CORREL(OFFSET(Historical_Data_Start,date_start_row,$B73,date_rows,1),OFFSET(Historical_Data_Start,date_start_row,Calculations!CY$40,date_rows,1))</f>
        <v>-0.2580403805639192</v>
      </c>
      <c r="CZ73" s="32">
        <f ca="1">CORREL(OFFSET(Historical_Data_Start,date_start_row,$B73,date_rows,1),OFFSET(Historical_Data_Start,date_start_row,Calculations!CZ$40,date_rows,1))</f>
        <v>-0.10174959043767511</v>
      </c>
      <c r="DA73" s="32">
        <f ca="1">CORREL(OFFSET(Historical_Data_Start,date_start_row,$B73,date_rows,1),OFFSET(Historical_Data_Start,date_start_row,Calculations!DA$40,date_rows,1))</f>
        <v>-0.15221273763619986</v>
      </c>
      <c r="DB73" s="32">
        <f ca="1">CORREL(OFFSET(Historical_Data_Start,date_start_row,$B73,date_rows,1),OFFSET(Historical_Data_Start,date_start_row,Calculations!DB$40,date_rows,1))</f>
        <v>-0.2594971370758547</v>
      </c>
      <c r="DC73" s="32">
        <f ca="1">CORREL(OFFSET(Historical_Data_Start,date_start_row,$B73,date_rows,1),OFFSET(Historical_Data_Start,date_start_row,Calculations!DC$40,date_rows,1))</f>
        <v>-0.30769124880191606</v>
      </c>
      <c r="DD73" s="32">
        <f ca="1">CORREL(OFFSET(Historical_Data_Start,date_start_row,$B73,date_rows,1),OFFSET(Historical_Data_Start,date_start_row,Calculations!DD$40,date_rows,1))</f>
        <v>-4.2199178854046997E-2</v>
      </c>
      <c r="DE73" s="32">
        <f ca="1">CORREL(OFFSET(Historical_Data_Start,date_start_row,$B73,date_rows,1),OFFSET(Historical_Data_Start,date_start_row,Calculations!DE$40,date_rows,1))</f>
        <v>-4.0931296404514067E-2</v>
      </c>
      <c r="DF73" s="32">
        <f ca="1">CORREL(OFFSET(Historical_Data_Start,date_start_row,$B73,date_rows,1),OFFSET(Historical_Data_Start,date_start_row,Calculations!DF$40,date_rows,1))</f>
        <v>1.6502960377035934E-2</v>
      </c>
      <c r="DG73" s="32">
        <f ca="1">CORREL(OFFSET(Historical_Data_Start,date_start_row,$B73,date_rows,1),OFFSET(Historical_Data_Start,date_start_row,Calculations!DG$40,date_rows,1))</f>
        <v>-2.579117870139629E-2</v>
      </c>
      <c r="DH73" s="33">
        <f ca="1">CORREL(OFFSET(Historical_Data_Start,date_start_row,$B73,date_rows,1),OFFSET(Historical_Data_Start,date_start_row,Calculations!DH$40,date_rows,1))</f>
        <v>6.8392772825053086E-2</v>
      </c>
      <c r="DI73" s="2">
        <f t="shared" si="71"/>
        <v>32</v>
      </c>
      <c r="DJ73" s="43">
        <f t="shared" ca="1" si="65"/>
        <v>1.3380035592417761E-4</v>
      </c>
      <c r="DK73" s="44">
        <f t="shared" ca="1" si="12"/>
        <v>5.8944300327407762E-3</v>
      </c>
      <c r="DL73" s="44">
        <f t="shared" ca="1" si="13"/>
        <v>1.0446930019665193E-2</v>
      </c>
      <c r="DM73" s="44">
        <f t="shared" ca="1" si="14"/>
        <v>5.3173222753609105E-3</v>
      </c>
      <c r="DN73" s="44">
        <f t="shared" ca="1" si="15"/>
        <v>9.5237712129274711E-3</v>
      </c>
      <c r="DO73" s="44">
        <f t="shared" ca="1" si="16"/>
        <v>5.8597892870301919E-3</v>
      </c>
      <c r="DP73" s="44">
        <f t="shared" ca="1" si="17"/>
        <v>1.0488000000000001E-2</v>
      </c>
      <c r="DQ73" s="44">
        <f t="shared" ca="1" si="18"/>
        <v>5.1744341290626272E-3</v>
      </c>
      <c r="DR73" s="44">
        <f t="shared" ca="1" si="19"/>
        <v>8.7731106084889612E-3</v>
      </c>
      <c r="DS73" s="44">
        <f t="shared" ca="1" si="20"/>
        <v>4.4897989315468281E-3</v>
      </c>
      <c r="DT73" s="44">
        <f t="shared" ca="1" si="21"/>
        <v>4.2997238235830638E-3</v>
      </c>
      <c r="DU73" s="44">
        <f t="shared" ca="1" si="22"/>
        <v>4.8521975868680454E-3</v>
      </c>
      <c r="DV73" s="44">
        <f t="shared" ca="1" si="23"/>
        <v>5.2949886091716225E-3</v>
      </c>
      <c r="DW73" s="44">
        <f t="shared" ca="1" si="24"/>
        <v>2.6087249284144961E-3</v>
      </c>
      <c r="DX73" s="44">
        <f t="shared" ca="1" si="25"/>
        <v>3.6404937147351615E-3</v>
      </c>
      <c r="DY73" s="44">
        <f t="shared" ca="1" si="26"/>
        <v>6.0115638225561848E-3</v>
      </c>
      <c r="DZ73" s="44">
        <f t="shared" ca="1" si="27"/>
        <v>6.8955146718852906E-3</v>
      </c>
      <c r="EA73" s="44">
        <f t="shared" ca="1" si="28"/>
        <v>9.4724505885573473E-4</v>
      </c>
      <c r="EB73" s="44">
        <f t="shared" ca="1" si="29"/>
        <v>1.072127585464451E-3</v>
      </c>
      <c r="EC73" s="44">
        <f t="shared" ca="1" si="30"/>
        <v>-8.2434942416991354E-4</v>
      </c>
      <c r="ED73" s="44">
        <f t="shared" ca="1" si="31"/>
        <v>5.6412308657166762E-4</v>
      </c>
      <c r="EE73" s="44">
        <f t="shared" ca="1" si="32"/>
        <v>-7.6048759243325405E-4</v>
      </c>
      <c r="EF73" s="44">
        <f t="shared" ca="1" si="33"/>
        <v>-2.7196993701863998E-4</v>
      </c>
      <c r="EG73" s="44">
        <f t="shared" ca="1" si="34"/>
        <v>5.2114069285529793E-3</v>
      </c>
      <c r="EH73" s="44">
        <f t="shared" ca="1" si="35"/>
        <v>1.5672370082606324E-3</v>
      </c>
      <c r="EI73" s="44">
        <f t="shared" ca="1" si="36"/>
        <v>1.6748291913138316E-3</v>
      </c>
      <c r="EJ73" s="44">
        <f t="shared" ca="1" si="37"/>
        <v>5.1489221250306872E-4</v>
      </c>
      <c r="EK73" s="43">
        <f t="shared" ca="1" si="38"/>
        <v>1.3378200941416046E-4</v>
      </c>
      <c r="EL73" s="44">
        <f t="shared" ca="1" si="39"/>
        <v>4.3038695477154876E-3</v>
      </c>
      <c r="EM73" s="44">
        <f t="shared" ca="1" si="40"/>
        <v>7.8351975147488949E-3</v>
      </c>
      <c r="EN73" s="44">
        <f t="shared" ca="1" si="41"/>
        <v>4.533044542796941E-3</v>
      </c>
      <c r="EO73" s="44">
        <f t="shared" ca="1" si="42"/>
        <v>1.2996000000000001E-2</v>
      </c>
      <c r="EP73" s="44">
        <f t="shared" ca="1" si="43"/>
        <v>2.4899227510422058E-2</v>
      </c>
      <c r="EQ73" s="44">
        <f t="shared" ca="1" si="44"/>
        <v>2.3246219216244049E-2</v>
      </c>
      <c r="ER73" s="44">
        <f t="shared" ca="1" si="45"/>
        <v>1.8548854240895259E-2</v>
      </c>
      <c r="ES73" s="44">
        <f t="shared" ca="1" si="46"/>
        <v>-5.6724289565323544E-3</v>
      </c>
      <c r="ET73" s="44">
        <f t="shared" ca="1" si="47"/>
        <v>-5.1336847021072217E-3</v>
      </c>
      <c r="EU73" s="44">
        <f t="shared" ca="1" si="48"/>
        <v>-3.4019018272737019E-3</v>
      </c>
      <c r="EV73" s="44">
        <f t="shared" ca="1" si="49"/>
        <v>-4.2395863048745519E-3</v>
      </c>
      <c r="EW73" s="44">
        <f t="shared" ca="1" si="50"/>
        <v>-4.7989813968155656E-3</v>
      </c>
      <c r="EX73" s="44">
        <f t="shared" ca="1" si="51"/>
        <v>-5.2949886091716225E-3</v>
      </c>
      <c r="EY73" s="44">
        <f t="shared" ca="1" si="52"/>
        <v>-2.7838687943747909E-3</v>
      </c>
      <c r="EZ73" s="44">
        <f t="shared" ca="1" si="53"/>
        <v>-3.6439729390106246E-3</v>
      </c>
      <c r="FA73" s="44">
        <f t="shared" ca="1" si="54"/>
        <v>-5.9165347253294876E-3</v>
      </c>
      <c r="FB73" s="44">
        <f t="shared" ca="1" si="55"/>
        <v>-7.0153604726836865E-3</v>
      </c>
      <c r="FC73" s="44">
        <f t="shared" ca="1" si="56"/>
        <v>-1.0583554056594988E-3</v>
      </c>
      <c r="FD73" s="44">
        <f t="shared" ca="1" si="57"/>
        <v>-1.2132036254297971E-3</v>
      </c>
      <c r="FE73" s="44">
        <f t="shared" ca="1" si="58"/>
        <v>5.6440124489462895E-4</v>
      </c>
      <c r="FF73" s="44">
        <f t="shared" ca="1" si="59"/>
        <v>-8.2325442414856972E-4</v>
      </c>
      <c r="FG73" s="45">
        <f t="shared" ca="1" si="60"/>
        <v>3.8983880510280264E-5</v>
      </c>
    </row>
    <row r="74" spans="1:173" x14ac:dyDescent="0.2">
      <c r="A74" s="51" t="str">
        <f t="shared" ref="A74" ca="1" si="194">INDEX(Historical_Data_Names,3,B74)</f>
        <v>L</v>
      </c>
      <c r="B74" s="57">
        <f t="shared" si="178"/>
        <v>33</v>
      </c>
      <c r="C74" s="11" t="str">
        <f t="shared" ref="C74" ca="1" si="195">INDEX(Historical_Data_Names,2,B74)</f>
        <v>US Long Liab</v>
      </c>
      <c r="D74" s="58"/>
      <c r="E74" s="59">
        <f t="shared" ref="E74" ca="1" si="196">AVERAGE(OFFSET(Historical_Data_Start,date_start_row,$B74,date_rows,1))*4</f>
        <v>0.10782401182116491</v>
      </c>
      <c r="F74" s="59">
        <f t="array" aca="1" ref="F74" ca="1">PRODUCT(1+OFFSET(Historical_Data_Start,date_start_row,$B74,date_rows,1))^(4/date_rows)-1</f>
        <v>3.3567603873892127E-2</v>
      </c>
      <c r="G74" s="59">
        <f t="shared" ref="G74" ca="1" si="197">STDEV(OFFSET(Historical_Data_Start,date_start_row,$B74,date_rows,1))*2</f>
        <v>0.39819044166623463</v>
      </c>
      <c r="H74" s="6"/>
      <c r="I74" s="61">
        <v>7.0000000000000007E-2</v>
      </c>
      <c r="J74" s="61">
        <v>0.27699999999999997</v>
      </c>
      <c r="K74" s="6"/>
      <c r="L74" s="60">
        <v>-9.9999999999999995E-7</v>
      </c>
      <c r="M74" s="60"/>
      <c r="N74" s="14">
        <f t="shared" si="174"/>
        <v>-9.9999999999999995E-7</v>
      </c>
      <c r="O74" s="6"/>
      <c r="P74" s="115">
        <f t="shared" si="175"/>
        <v>-9.9999999999999995E-7</v>
      </c>
      <c r="Q74" s="115">
        <f t="shared" si="175"/>
        <v>-9.9999999999999995E-7</v>
      </c>
      <c r="R74" s="6"/>
      <c r="S74" s="226"/>
      <c r="T74" s="410">
        <v>0</v>
      </c>
      <c r="U74" s="410">
        <v>0</v>
      </c>
      <c r="V74" s="410">
        <v>0</v>
      </c>
      <c r="W74" s="410">
        <v>0</v>
      </c>
      <c r="X74" s="410">
        <v>0</v>
      </c>
      <c r="Y74" s="410">
        <v>0</v>
      </c>
      <c r="Z74" s="6"/>
      <c r="AI74" s="117">
        <v>0</v>
      </c>
      <c r="AJ74" s="117">
        <v>0</v>
      </c>
      <c r="AK74" s="117">
        <v>0</v>
      </c>
      <c r="AL74" s="117">
        <v>0</v>
      </c>
      <c r="AM74" s="117">
        <v>0</v>
      </c>
      <c r="AN74" s="117">
        <v>0</v>
      </c>
      <c r="AO74" s="117">
        <v>0</v>
      </c>
      <c r="AP74" s="117">
        <v>0</v>
      </c>
      <c r="AQ74" s="117">
        <v>0</v>
      </c>
      <c r="AR74" s="117">
        <v>0</v>
      </c>
      <c r="AS74" s="117">
        <v>0</v>
      </c>
      <c r="AU74" s="117">
        <v>0</v>
      </c>
      <c r="AV74" s="117">
        <v>0</v>
      </c>
      <c r="AW74" s="117">
        <v>0</v>
      </c>
      <c r="AX74" s="117">
        <v>0</v>
      </c>
      <c r="AY74" s="117">
        <v>0</v>
      </c>
      <c r="AZ74" s="117">
        <v>0</v>
      </c>
      <c r="BA74" s="117">
        <v>0</v>
      </c>
      <c r="BB74" s="117">
        <v>0</v>
      </c>
      <c r="BC74" s="117">
        <v>0</v>
      </c>
      <c r="BD74" s="117">
        <v>0</v>
      </c>
      <c r="BE74" s="117">
        <v>0</v>
      </c>
      <c r="BG74" s="51" t="str">
        <f t="shared" ca="1" si="176"/>
        <v>US Long Liab</v>
      </c>
      <c r="BH74" s="38">
        <f t="shared" ref="BH74:BH91" si="198">IF(LEFT(inp_type_tr,8)="Expected",I74,IF(LEFT(inp_type_tr,10)="Historical",E74,"??"))</f>
        <v>7.0000000000000007E-2</v>
      </c>
      <c r="BI74" s="38">
        <f t="shared" ref="BI74:BI91" si="199">IF(LEFT(inp_type_tr,8)="Expected",J74,IF(LEFT(inp_type_tr,10)="Historical",G74,"??"))</f>
        <v>0.27699999999999997</v>
      </c>
      <c r="BK74" s="31">
        <f ca="1">CORREL(OFFSET(Historical_Data_Start,date_start_row,$B74,date_rows,1),OFFSET(Historical_Data_Start,date_start_row,Calculations!BK$40,date_rows,1))</f>
        <v>3.2837345543849726E-2</v>
      </c>
      <c r="BL74" s="32">
        <f ca="1">CORREL(OFFSET(Historical_Data_Start,date_start_row,$B74,date_rows,1),OFFSET(Historical_Data_Start,date_start_row,Calculations!BL$40,date_rows,1))</f>
        <v>0.76741121292487291</v>
      </c>
      <c r="BM74" s="32">
        <f ca="1">CORREL(OFFSET(Historical_Data_Start,date_start_row,$B74,date_rows,1),OFFSET(Historical_Data_Start,date_start_row,Calculations!BM$40,date_rows,1))</f>
        <v>0.91737022871993801</v>
      </c>
      <c r="BN74" s="32">
        <f ca="1">CORREL(OFFSET(Historical_Data_Start,date_start_row,$B74,date_rows,1),OFFSET(Historical_Data_Start,date_start_row,Calculations!BN$40,date_rows,1))</f>
        <v>0.63223861586662666</v>
      </c>
      <c r="BO74" s="32">
        <f ca="1">CORREL(OFFSET(Historical_Data_Start,date_start_row,$B74,date_rows,1),OFFSET(Historical_Data_Start,date_start_row,Calculations!BO$40,date_rows,1))</f>
        <v>0.74751224785412662</v>
      </c>
      <c r="BP74" s="32">
        <f ca="1">CORREL(OFFSET(Historical_Data_Start,date_start_row,$B74,date_rows,1),OFFSET(Historical_Data_Start,date_start_row,Calculations!BP$40,date_rows,1))</f>
        <v>0.76833141810734462</v>
      </c>
      <c r="BQ74" s="32">
        <f ca="1">CORREL(OFFSET(Historical_Data_Start,date_start_row,$B74,date_rows,1),OFFSET(Historical_Data_Start,date_start_row,Calculations!BQ$40,date_rows,1))</f>
        <v>0.78849919280581615</v>
      </c>
      <c r="BR74" s="32">
        <f ca="1">CORREL(OFFSET(Historical_Data_Start,date_start_row,$B74,date_rows,1),OFFSET(Historical_Data_Start,date_start_row,Calculations!BR$40,date_rows,1))</f>
        <v>0.61721365227696789</v>
      </c>
      <c r="BS74" s="32">
        <f ca="1">CORREL(OFFSET(Historical_Data_Start,date_start_row,$B74,date_rows,1),OFFSET(Historical_Data_Start,date_start_row,Calculations!BS$40,date_rows,1))</f>
        <v>0.61657309006137773</v>
      </c>
      <c r="BT74" s="32">
        <f ca="1">CORREL(OFFSET(Historical_Data_Start,date_start_row,$B74,date_rows,1),OFFSET(Historical_Data_Start,date_start_row,Calculations!BT$40,date_rows,1))</f>
        <v>0.45577504033208405</v>
      </c>
      <c r="BU74" s="32">
        <f ca="1">CORREL(OFFSET(Historical_Data_Start,date_start_row,$B74,date_rows,1),OFFSET(Historical_Data_Start,date_start_row,Calculations!BU$40,date_rows,1))</f>
        <v>5.6215747283495501E-2</v>
      </c>
      <c r="BV74" s="32">
        <f ca="1">CORREL(OFFSET(Historical_Data_Start,date_start_row,$B74,date_rows,1),OFFSET(Historical_Data_Start,date_start_row,Calculations!BV$40,date_rows,1))</f>
        <v>2.888805365916132E-2</v>
      </c>
      <c r="BW74" s="32">
        <f ca="1">CORREL(OFFSET(Historical_Data_Start,date_start_row,$B74,date_rows,1),OFFSET(Historical_Data_Start,date_start_row,Calculations!BW$40,date_rows,1))</f>
        <v>-3.9161130004140302E-2</v>
      </c>
      <c r="BX74" s="32">
        <f ca="1">CORREL(OFFSET(Historical_Data_Start,date_start_row,$B74,date_rows,1),OFFSET(Historical_Data_Start,date_start_row,Calculations!BX$40,date_rows,1))</f>
        <v>6.648640114450316E-2</v>
      </c>
      <c r="BY74" s="32">
        <f ca="1">CORREL(OFFSET(Historical_Data_Start,date_start_row,$B74,date_rows,1),OFFSET(Historical_Data_Start,date_start_row,Calculations!BY$40,date_rows,1))</f>
        <v>4.2511544199452744E-2</v>
      </c>
      <c r="BZ74" s="32">
        <f ca="1">CORREL(OFFSET(Historical_Data_Start,date_start_row,$B74,date_rows,1),OFFSET(Historical_Data_Start,date_start_row,Calculations!BZ$40,date_rows,1))</f>
        <v>3.456356711792536E-2</v>
      </c>
      <c r="CA74" s="32">
        <f ca="1">CORREL(OFFSET(Historical_Data_Start,date_start_row,$B74,date_rows,1),OFFSET(Historical_Data_Start,date_start_row,Calculations!CA$40,date_rows,1))</f>
        <v>0.19859609073469783</v>
      </c>
      <c r="CB74" s="32">
        <f ca="1">CORREL(OFFSET(Historical_Data_Start,date_start_row,$B74,date_rows,1),OFFSET(Historical_Data_Start,date_start_row,Calculations!CB$40,date_rows,1))</f>
        <v>-0.15416732052445337</v>
      </c>
      <c r="CC74" s="32">
        <f ca="1">CORREL(OFFSET(Historical_Data_Start,date_start_row,$B74,date_rows,1),OFFSET(Historical_Data_Start,date_start_row,Calculations!CC$40,date_rows,1))</f>
        <v>-0.17874164646539067</v>
      </c>
      <c r="CD74" s="32">
        <f ca="1">CORREL(OFFSET(Historical_Data_Start,date_start_row,$B74,date_rows,1),OFFSET(Historical_Data_Start,date_start_row,Calculations!CD$40,date_rows,1))</f>
        <v>-0.20360508959153961</v>
      </c>
      <c r="CE74" s="32">
        <f ca="1">CORREL(OFFSET(Historical_Data_Start,date_start_row,$B74,date_rows,1),OFFSET(Historical_Data_Start,date_start_row,Calculations!CE$40,date_rows,1))</f>
        <v>-0.15651588907756592</v>
      </c>
      <c r="CF74" s="32">
        <f ca="1">CORREL(OFFSET(Historical_Data_Start,date_start_row,$B74,date_rows,1),OFFSET(Historical_Data_Start,date_start_row,Calculations!CF$40,date_rows,1))</f>
        <v>-9.2717604722630173E-2</v>
      </c>
      <c r="CG74" s="32">
        <f ca="1">CORREL(OFFSET(Historical_Data_Start,date_start_row,$B74,date_rows,1),OFFSET(Historical_Data_Start,date_start_row,Calculations!CG$40,date_rows,1))</f>
        <v>1.010473600241309E-2</v>
      </c>
      <c r="CH74" s="32">
        <f ca="1">CORREL(OFFSET(Historical_Data_Start,date_start_row,$B74,date_rows,1),OFFSET(Historical_Data_Start,date_start_row,Calculations!CH$40,date_rows,1))</f>
        <v>1.2681586910908553E-2</v>
      </c>
      <c r="CI74" s="32">
        <f ca="1">CORREL(OFFSET(Historical_Data_Start,date_start_row,$B74,date_rows,1),OFFSET(Historical_Data_Start,date_start_row,Calculations!CI$40,date_rows,1))</f>
        <v>-0.18184478785161734</v>
      </c>
      <c r="CJ74" s="32">
        <f ca="1">CORREL(OFFSET(Historical_Data_Start,date_start_row,$B74,date_rows,1),OFFSET(Historical_Data_Start,date_start_row,Calculations!CJ$40,date_rows,1))</f>
        <v>0.127399244037256</v>
      </c>
      <c r="CK74" s="32">
        <f ca="1">CORREL(OFFSET(Historical_Data_Start,date_start_row,$B74,date_rows,1),OFFSET(Historical_Data_Start,date_start_row,Calculations!CK$40,date_rows,1))</f>
        <v>7.6727978041592634E-2</v>
      </c>
      <c r="CL74" s="32">
        <f ca="1">CORREL(OFFSET(Historical_Data_Start,date_start_row,$B74,date_rows,1),OFFSET(Historical_Data_Start,date_start_row,Calculations!CL$40,date_rows,1))</f>
        <v>3.2825050207821199E-2</v>
      </c>
      <c r="CM74" s="32">
        <f ca="1">CORREL(OFFSET(Historical_Data_Start,date_start_row,$B74,date_rows,1),OFFSET(Historical_Data_Start,date_start_row,Calculations!CM$40,date_rows,1))</f>
        <v>0.76741121292487291</v>
      </c>
      <c r="CN74" s="32">
        <f ca="1">CORREL(OFFSET(Historical_Data_Start,date_start_row,$B74,date_rows,1),OFFSET(Historical_Data_Start,date_start_row,Calculations!CN$40,date_rows,1))</f>
        <v>0.91737022871993801</v>
      </c>
      <c r="CO74" s="32">
        <f ca="1">CORREL(OFFSET(Historical_Data_Start,date_start_row,$B74,date_rows,1),OFFSET(Historical_Data_Start,date_start_row,Calculations!CO$40,date_rows,1))</f>
        <v>0.76833141810734462</v>
      </c>
      <c r="CP74" s="32">
        <f ca="1">CORREL(OFFSET(Historical_Data_Start,date_start_row,$B74,date_rows,1),OFFSET(Historical_Data_Start,date_start_row,Calculations!CP$40,date_rows,1))</f>
        <v>0.78849919280581615</v>
      </c>
      <c r="CQ74" s="32">
        <f ca="1">CORREL(OFFSET(Historical_Data_Start,date_start_row,$B74,date_rows,1),OFFSET(Historical_Data_Start,date_start_row,Calculations!CQ$40,date_rows,1))</f>
        <v>0.99999999999999978</v>
      </c>
      <c r="CR74" s="32">
        <f ca="1">CORREL(OFFSET(Historical_Data_Start,date_start_row,$B74,date_rows,1),OFFSET(Historical_Data_Start,date_start_row,Calculations!CR$40,date_rows,1))</f>
        <v>0.65359905470901247</v>
      </c>
      <c r="CS74" s="32">
        <f ca="1">CORREL(OFFSET(Historical_Data_Start,date_start_row,$B74,date_rows,1),OFFSET(Historical_Data_Start,date_start_row,Calculations!CS$40,date_rows,1))</f>
        <v>0.45155114285156089</v>
      </c>
      <c r="CT74" s="32">
        <f ca="1">CORREL(OFFSET(Historical_Data_Start,date_start_row,$B74,date_rows,1),OFFSET(Historical_Data_Start,date_start_row,Calculations!CT$40,date_rows,1))</f>
        <v>-0.6211248729740535</v>
      </c>
      <c r="CU74" s="32">
        <f ca="1">CORREL(OFFSET(Historical_Data_Start,date_start_row,$B74,date_rows,1),OFFSET(Historical_Data_Start,date_start_row,Calculations!CU$40,date_rows,1))</f>
        <v>-0.60214025545277616</v>
      </c>
      <c r="CV74" s="32">
        <f ca="1">CORREL(OFFSET(Historical_Data_Start,date_start_row,$B74,date_rows,1),OFFSET(Historical_Data_Start,date_start_row,Calculations!CV$40,date_rows,1))</f>
        <v>-0.49728900338866694</v>
      </c>
      <c r="CW74" s="32">
        <f ca="1">CORREL(OFFSET(Historical_Data_Start,date_start_row,$B74,date_rows,1),OFFSET(Historical_Data_Start,date_start_row,Calculations!CW$40,date_rows,1))</f>
        <v>2.4146022210088571E-2</v>
      </c>
      <c r="CX74" s="32">
        <f ca="1">CORREL(OFFSET(Historical_Data_Start,date_start_row,$B74,date_rows,1),OFFSET(Historical_Data_Start,date_start_row,Calculations!CX$40,date_rows,1))</f>
        <v>3.0087792628131212E-2</v>
      </c>
      <c r="CY74" s="32">
        <f ca="1">CORREL(OFFSET(Historical_Data_Start,date_start_row,$B74,date_rows,1),OFFSET(Historical_Data_Start,date_start_row,Calculations!CY$40,date_rows,1))</f>
        <v>3.9161130004140302E-2</v>
      </c>
      <c r="CZ74" s="32">
        <f ca="1">CORREL(OFFSET(Historical_Data_Start,date_start_row,$B74,date_rows,1),OFFSET(Historical_Data_Start,date_start_row,Calculations!CZ$40,date_rows,1))</f>
        <v>-3.013121228967611E-2</v>
      </c>
      <c r="DA74" s="32">
        <f ca="1">CORREL(OFFSET(Historical_Data_Start,date_start_row,$B74,date_rows,1),OFFSET(Historical_Data_Start,date_start_row,Calculations!DA$40,date_rows,1))</f>
        <v>-2.6341079803468689E-3</v>
      </c>
      <c r="DB74" s="32">
        <f ca="1">CORREL(OFFSET(Historical_Data_Start,date_start_row,$B74,date_rows,1),OFFSET(Historical_Data_Start,date_start_row,Calculations!DB$40,date_rows,1))</f>
        <v>5.8346386574920361E-3</v>
      </c>
      <c r="DC74" s="32">
        <f ca="1">CORREL(OFFSET(Historical_Data_Start,date_start_row,$B74,date_rows,1),OFFSET(Historical_Data_Start,date_start_row,Calculations!DC$40,date_rows,1))</f>
        <v>-0.15057663140886049</v>
      </c>
      <c r="DD74" s="32">
        <f ca="1">CORREL(OFFSET(Historical_Data_Start,date_start_row,$B74,date_rows,1),OFFSET(Historical_Data_Start,date_start_row,Calculations!DD$40,date_rows,1))</f>
        <v>0.17594712759019845</v>
      </c>
      <c r="DE74" s="32">
        <f ca="1">CORREL(OFFSET(Historical_Data_Start,date_start_row,$B74,date_rows,1),OFFSET(Historical_Data_Start,date_start_row,Calculations!DE$40,date_rows,1))</f>
        <v>0.19603218319582785</v>
      </c>
      <c r="DF74" s="32">
        <f ca="1">CORREL(OFFSET(Historical_Data_Start,date_start_row,$B74,date_rows,1),OFFSET(Historical_Data_Start,date_start_row,Calculations!DF$40,date_rows,1))</f>
        <v>0.2203780561613097</v>
      </c>
      <c r="DG74" s="32">
        <f ca="1">CORREL(OFFSET(Historical_Data_Start,date_start_row,$B74,date_rows,1),OFFSET(Historical_Data_Start,date_start_row,Calculations!DG$40,date_rows,1))</f>
        <v>0.17449624008885228</v>
      </c>
      <c r="DH74" s="33">
        <f ca="1">CORREL(OFFSET(Historical_Data_Start,date_start_row,$B74,date_rows,1),OFFSET(Historical_Data_Start,date_start_row,Calculations!DH$40,date_rows,1))</f>
        <v>0.15968410423360865</v>
      </c>
      <c r="DI74" s="2">
        <f t="shared" si="71"/>
        <v>33</v>
      </c>
      <c r="DJ74" s="43">
        <f t="shared" ref="DJ74:DJ91" ca="1" si="200">OFFSET(model_Vol_start,$B74,0)*OFFSET(model_Vol_start,DJ$40,0)*BK74</f>
        <v>9.0959447156463733E-5</v>
      </c>
      <c r="DK74" s="44">
        <f t="shared" ref="DK74:DK91" ca="1" si="201">OFFSET(model_Vol_start,$B74,0)*OFFSET(model_Vol_start,DK$40,0)*BL74</f>
        <v>1.3392093076751956E-2</v>
      </c>
      <c r="DL74" s="44">
        <f t="shared" ref="DL74:DL91" ca="1" si="202">OFFSET(model_Vol_start,$B74,0)*OFFSET(model_Vol_start,DL$40,0)*BM74</f>
        <v>2.7444047762385668E-2</v>
      </c>
      <c r="DM74" s="44">
        <f t="shared" ref="DM74:DM91" ca="1" si="203">OFFSET(model_Vol_start,$B74,0)*OFFSET(model_Vol_start,DM$40,0)*BN74</f>
        <v>1.0157545602513222E-2</v>
      </c>
      <c r="DN74" s="44">
        <f t="shared" ref="DN74:DN91" ca="1" si="204">OFFSET(model_Vol_start,$B74,0)*OFFSET(model_Vol_start,DN$40,0)*BO74</f>
        <v>2.029196748024812E-2</v>
      </c>
      <c r="DO74" s="44">
        <f t="shared" ref="DO74:DO91" ca="1" si="205">OFFSET(model_Vol_start,$B74,0)*OFFSET(model_Vol_start,DO$40,0)*BP74</f>
        <v>1.1279873549233925E-2</v>
      </c>
      <c r="DP74" s="44">
        <f t="shared" ref="DP74:DP91" ca="1" si="206">OFFSET(model_Vol_start,$B74,0)*OFFSET(model_Vol_start,DP$40,0)*BQ74</f>
        <v>2.0094113429463416E-2</v>
      </c>
      <c r="DQ74" s="44">
        <f t="shared" ref="DQ74:DQ91" ca="1" si="207">OFFSET(model_Vol_start,$B74,0)*OFFSET(model_Vol_start,DQ$40,0)*BR74</f>
        <v>8.3774409023552841E-3</v>
      </c>
      <c r="DR74" s="44">
        <f t="shared" ref="DR74:DR91" ca="1" si="208">OFFSET(model_Vol_start,$B74,0)*OFFSET(model_Vol_start,DR$40,0)*BS74</f>
        <v>1.4175631913601133E-2</v>
      </c>
      <c r="DS74" s="44">
        <f t="shared" ref="DS74:DS91" ca="1" si="209">OFFSET(model_Vol_start,$B74,0)*OFFSET(model_Vol_start,DS$40,0)*BT74</f>
        <v>8.8374780320391103E-3</v>
      </c>
      <c r="DT74" s="44">
        <f t="shared" ref="DT74:DT91" ca="1" si="210">OFFSET(model_Vol_start,$B74,0)*OFFSET(model_Vol_start,DT$40,0)*BU74</f>
        <v>2.4914819196045204E-3</v>
      </c>
      <c r="DU74" s="44">
        <f t="shared" ref="DU74:DU91" ca="1" si="211">OFFSET(model_Vol_start,$B74,0)*OFFSET(model_Vol_start,DU$40,0)*BV74</f>
        <v>1.6003981727175369E-3</v>
      </c>
      <c r="DV74" s="44">
        <f t="shared" ref="DV74:DV91" ca="1" si="212">OFFSET(model_Vol_start,$B74,0)*OFFSET(model_Vol_start,DV$40,0)*BW74</f>
        <v>-1.9525739420064353E-3</v>
      </c>
      <c r="DW74" s="44">
        <f t="shared" ref="DW74:DW91" ca="1" si="213">OFFSET(model_Vol_start,$B74,0)*OFFSET(model_Vol_start,DW$40,0)*BX74</f>
        <v>4.4200159480865687E-3</v>
      </c>
      <c r="DX74" s="44">
        <f t="shared" ref="DX74:DX91" ca="1" si="214">OFFSET(model_Vol_start,$B74,0)*OFFSET(model_Vol_start,DX$40,0)*BY74</f>
        <v>2.4728965260821657E-3</v>
      </c>
      <c r="DY74" s="44">
        <f t="shared" ref="DY74:DY91" ca="1" si="215">OFFSET(model_Vol_start,$B74,0)*OFFSET(model_Vol_start,DY$40,0)*BZ74</f>
        <v>1.9148216183330648E-3</v>
      </c>
      <c r="DZ74" s="44">
        <f t="shared" ref="DZ74:DZ91" ca="1" si="216">OFFSET(model_Vol_start,$B74,0)*OFFSET(model_Vol_start,DZ$40,0)*CA74</f>
        <v>1.1002223426702259E-2</v>
      </c>
      <c r="EA74" s="44">
        <f t="shared" ref="EA74:EA91" ca="1" si="217">OFFSET(model_Vol_start,$B74,0)*OFFSET(model_Vol_start,EA$40,0)*CB74</f>
        <v>-9.3949565127601879E-3</v>
      </c>
      <c r="EB74" s="44">
        <f t="shared" ref="EB74:EB91" ca="1" si="218">OFFSET(model_Vol_start,$B74,0)*OFFSET(model_Vol_start,EB$40,0)*CC74</f>
        <v>-1.2872973378437437E-2</v>
      </c>
      <c r="EC74" s="44">
        <f t="shared" ref="EC74:EC91" ca="1" si="219">OFFSET(model_Vol_start,$B74,0)*OFFSET(model_Vol_start,EC$40,0)*CD74</f>
        <v>-1.6919582945056941E-2</v>
      </c>
      <c r="ED74" s="44">
        <f t="shared" ref="ED74:ED91" ca="1" si="220">OFFSET(model_Vol_start,$B74,0)*OFFSET(model_Vol_start,ED$40,0)*CE74</f>
        <v>-1.2139372356856012E-2</v>
      </c>
      <c r="EE74" s="44">
        <f t="shared" ref="EE74:EE91" ca="1" si="221">OFFSET(model_Vol_start,$B74,0)*OFFSET(model_Vol_start,EE$40,0)*CF74</f>
        <v>-2.3114498857351698E-3</v>
      </c>
      <c r="EF74" s="44">
        <f t="shared" ref="EF74:EF91" ca="1" si="222">OFFSET(model_Vol_start,$B74,0)*OFFSET(model_Vol_start,EF$40,0)*CG74</f>
        <v>2.5191106854015831E-4</v>
      </c>
      <c r="EG74" s="44">
        <f t="shared" ref="EG74:EG91" ca="1" si="223">OFFSET(model_Vol_start,$B74,0)*OFFSET(model_Vol_start,EG$40,0)*CH74</f>
        <v>5.9717592763468383E-4</v>
      </c>
      <c r="EH74" s="44">
        <f t="shared" ref="EH74:EH91" ca="1" si="224">OFFSET(model_Vol_start,$B74,0)*OFFSET(model_Vol_start,EH$40,0)*CI74</f>
        <v>-1.2089041496375517E-2</v>
      </c>
      <c r="EI74" s="44">
        <f t="shared" ref="EI74:EI91" ca="1" si="225">OFFSET(model_Vol_start,$B74,0)*OFFSET(model_Vol_start,EI$40,0)*CJ74</f>
        <v>4.2347508717983885E-3</v>
      </c>
      <c r="EJ74" s="44">
        <f t="shared" ref="EJ74:EJ91" ca="1" si="226">OFFSET(model_Vol_start,$B74,0)*OFFSET(model_Vol_start,EJ$40,0)*CK74</f>
        <v>1.9128284925769041E-3</v>
      </c>
      <c r="EK74" s="43">
        <f t="shared" ref="EK74:EK91" ca="1" si="227">OFFSET(model_Vol_start,$B74,0)*OFFSET(model_Vol_start,EK$40,0)*CL74</f>
        <v>9.0925389075664713E-5</v>
      </c>
      <c r="EL74" s="44">
        <f t="shared" ref="EL74:EL91" ca="1" si="228">OFFSET(model_Vol_start,$B74,0)*OFFSET(model_Vol_start,EL$40,0)*CM74</f>
        <v>9.7783536750887298E-3</v>
      </c>
      <c r="EM74" s="44">
        <f t="shared" ref="EM74:EM91" ca="1" si="229">OFFSET(model_Vol_start,$B74,0)*OFFSET(model_Vol_start,EM$40,0)*CN74</f>
        <v>2.0583035821789247E-2</v>
      </c>
      <c r="EN74" s="44">
        <f t="shared" ref="EN74:EN91" ca="1" si="230">OFFSET(model_Vol_start,$B74,0)*OFFSET(model_Vol_start,EN$40,0)*CO74</f>
        <v>8.7259399154451106E-3</v>
      </c>
      <c r="EO74" s="44">
        <f t="shared" ref="EO74:EO91" ca="1" si="231">OFFSET(model_Vol_start,$B74,0)*OFFSET(model_Vol_start,EO$40,0)*CP74</f>
        <v>2.4899227510422058E-2</v>
      </c>
      <c r="EP74" s="44">
        <f t="shared" ref="EP74:EP91" ca="1" si="232">OFFSET(model_Vol_start,$B74,0)*OFFSET(model_Vol_start,EP$40,0)*CQ74</f>
        <v>7.6728999999999964E-2</v>
      </c>
      <c r="EQ74" s="44">
        <f t="shared" ref="EQ74:EQ91" ca="1" si="233">OFFSET(model_Vol_start,$B74,0)*OFFSET(model_Vol_start,EQ$40,0)*CR74</f>
        <v>4.3089171280746352E-2</v>
      </c>
      <c r="ER74" s="44">
        <f t="shared" ref="ER74:ER91" ca="1" si="234">OFFSET(model_Vol_start,$B74,0)*OFFSET(model_Vol_start,ER$40,0)*CS74</f>
        <v>4.0025493302362353E-2</v>
      </c>
      <c r="ES74" s="44">
        <f t="shared" ref="ES74:ES91" ca="1" si="235">OFFSET(model_Vol_start,$B74,0)*OFFSET(model_Vol_start,ES$40,0)*CT74</f>
        <v>-1.0839250158270206E-2</v>
      </c>
      <c r="ET74" s="44">
        <f t="shared" ref="ET74:ET91" ca="1" si="236">OFFSET(model_Vol_start,$B74,0)*OFFSET(model_Vol_start,ET$40,0)*CU74</f>
        <v>-8.3396425380209502E-3</v>
      </c>
      <c r="EU74" s="44">
        <f t="shared" ref="EU74:EU91" ca="1" si="237">OFFSET(model_Vol_start,$B74,0)*OFFSET(model_Vol_start,EU$40,0)*CV74</f>
        <v>-9.6424337757062533E-3</v>
      </c>
      <c r="EV74" s="44">
        <f t="shared" ref="EV74:EV91" ca="1" si="238">OFFSET(model_Vol_start,$B74,0)*OFFSET(model_Vol_start,EV$40,0)*CW74</f>
        <v>1.0701517043511255E-3</v>
      </c>
      <c r="EW74" s="44">
        <f t="shared" ref="EW74:EW91" ca="1" si="239">OFFSET(model_Vol_start,$B74,0)*OFFSET(model_Vol_start,EW$40,0)*CX74</f>
        <v>1.6668637115984692E-3</v>
      </c>
      <c r="EX74" s="44">
        <f t="shared" ref="EX74:EX91" ca="1" si="240">OFFSET(model_Vol_start,$B74,0)*OFFSET(model_Vol_start,EX$40,0)*CY74</f>
        <v>1.9525739420064353E-3</v>
      </c>
      <c r="EY74" s="44">
        <f t="shared" ref="EY74:EY91" ca="1" si="241">OFFSET(model_Vol_start,$B74,0)*OFFSET(model_Vol_start,EY$40,0)*CZ74</f>
        <v>-2.0031229930176672E-3</v>
      </c>
      <c r="EZ74" s="44">
        <f t="shared" ref="EZ74:EZ91" ca="1" si="242">OFFSET(model_Vol_start,$B74,0)*OFFSET(model_Vol_start,EZ$40,0)*DA74</f>
        <v>-1.5322606121677735E-4</v>
      </c>
      <c r="FA74" s="44">
        <f t="shared" ref="FA74:FA91" ca="1" si="243">OFFSET(model_Vol_start,$B74,0)*OFFSET(model_Vol_start,FA$40,0)*DB74</f>
        <v>3.232389816250588E-4</v>
      </c>
      <c r="FB74" s="44">
        <f t="shared" ref="FB74:FB91" ca="1" si="244">OFFSET(model_Vol_start,$B74,0)*OFFSET(model_Vol_start,FB$40,0)*DC74</f>
        <v>-8.3419453800508709E-3</v>
      </c>
      <c r="FC74" s="44">
        <f t="shared" ref="FC74:FC91" ca="1" si="245">OFFSET(model_Vol_start,$B74,0)*OFFSET(model_Vol_start,FC$40,0)*DD74</f>
        <v>1.0722217955346693E-2</v>
      </c>
      <c r="FD74" s="44">
        <f t="shared" ref="FD74:FD91" ca="1" si="246">OFFSET(model_Vol_start,$B74,0)*OFFSET(model_Vol_start,FD$40,0)*DE74</f>
        <v>1.4118237833763522E-2</v>
      </c>
      <c r="FE74" s="44">
        <f t="shared" ref="FE74:FE91" ca="1" si="247">OFFSET(model_Vol_start,$B74,0)*OFFSET(model_Vol_start,FE$40,0)*DF74</f>
        <v>1.8313416467004837E-2</v>
      </c>
      <c r="FF74" s="44">
        <f t="shared" ref="FF74:FF91" ca="1" si="248">OFFSET(model_Vol_start,$B74,0)*OFFSET(model_Vol_start,FF$40,0)*DG74</f>
        <v>1.3533928381291385E-2</v>
      </c>
      <c r="FG74" s="45">
        <f t="shared" ref="FG74:FG91" ca="1" si="249">OFFSET(model_Vol_start,$B74,0)*OFFSET(model_Vol_start,FG$40,0)*DH74</f>
        <v>2.2116248436354798E-4</v>
      </c>
    </row>
    <row r="75" spans="1:173" x14ac:dyDescent="0.2">
      <c r="A75" s="51" t="str">
        <f t="shared" ref="A75" ca="1" si="250">INDEX(Historical_Data_Names,3,B75)</f>
        <v>L</v>
      </c>
      <c r="B75" s="57">
        <f t="shared" si="178"/>
        <v>34</v>
      </c>
      <c r="C75" s="11" t="str">
        <f t="shared" ref="C75" ca="1" si="251">INDEX(Historical_Data_Names,2,B75)</f>
        <v>CAN Long Liab</v>
      </c>
      <c r="D75" s="58"/>
      <c r="E75" s="59">
        <f t="shared" ref="E75" ca="1" si="252">AVERAGE(OFFSET(Historical_Data_Start,date_start_row,$B75,date_rows,1))*4</f>
        <v>0.13229453529951532</v>
      </c>
      <c r="F75" s="59">
        <f t="array" aca="1" ref="F75" ca="1">PRODUCT(1+OFFSET(Historical_Data_Start,date_start_row,$B75,date_rows,1))^(4/date_rows)-1</f>
        <v>7.2621579427921912E-2</v>
      </c>
      <c r="G75" s="59">
        <f t="shared" ref="G75" ca="1" si="253">STDEV(OFFSET(Historical_Data_Start,date_start_row,$B75,date_rows,1))*2</f>
        <v>0.36157632387480038</v>
      </c>
      <c r="H75" s="6"/>
      <c r="I75" s="61">
        <v>7.0000000000000007E-2</v>
      </c>
      <c r="J75" s="61">
        <v>0.23800000000000002</v>
      </c>
      <c r="K75" s="6"/>
      <c r="L75" s="60">
        <v>-9.9999999999999995E-7</v>
      </c>
      <c r="M75" s="60"/>
      <c r="N75" s="14">
        <f t="shared" si="174"/>
        <v>-9.9999999999999995E-7</v>
      </c>
      <c r="O75" s="6"/>
      <c r="P75" s="115">
        <f t="shared" si="175"/>
        <v>-9.9999999999999995E-7</v>
      </c>
      <c r="Q75" s="115">
        <f t="shared" si="175"/>
        <v>-9.9999999999999995E-7</v>
      </c>
      <c r="R75" s="6"/>
      <c r="S75" s="226"/>
      <c r="T75" s="410">
        <v>0</v>
      </c>
      <c r="U75" s="410">
        <v>0</v>
      </c>
      <c r="V75" s="410">
        <v>0</v>
      </c>
      <c r="W75" s="410">
        <v>0</v>
      </c>
      <c r="X75" s="410">
        <v>0</v>
      </c>
      <c r="Y75" s="410">
        <v>0</v>
      </c>
      <c r="Z75" s="6"/>
      <c r="AI75" s="117">
        <v>0</v>
      </c>
      <c r="AJ75" s="117">
        <v>0</v>
      </c>
      <c r="AK75" s="117">
        <v>0</v>
      </c>
      <c r="AL75" s="117">
        <v>0</v>
      </c>
      <c r="AM75" s="117">
        <v>0</v>
      </c>
      <c r="AN75" s="117">
        <v>0</v>
      </c>
      <c r="AO75" s="117">
        <v>0</v>
      </c>
      <c r="AP75" s="117">
        <v>0</v>
      </c>
      <c r="AQ75" s="117">
        <v>0</v>
      </c>
      <c r="AR75" s="117">
        <v>0</v>
      </c>
      <c r="AS75" s="117">
        <v>0</v>
      </c>
      <c r="AU75" s="117">
        <v>0</v>
      </c>
      <c r="AV75" s="117">
        <v>0</v>
      </c>
      <c r="AW75" s="117">
        <v>0</v>
      </c>
      <c r="AX75" s="117">
        <v>0</v>
      </c>
      <c r="AY75" s="117">
        <v>0</v>
      </c>
      <c r="AZ75" s="117">
        <v>0</v>
      </c>
      <c r="BA75" s="117">
        <v>0</v>
      </c>
      <c r="BB75" s="117">
        <v>0</v>
      </c>
      <c r="BC75" s="117">
        <v>0</v>
      </c>
      <c r="BD75" s="117">
        <v>0</v>
      </c>
      <c r="BE75" s="117">
        <v>0</v>
      </c>
      <c r="BG75" s="51" t="str">
        <f t="shared" ca="1" si="176"/>
        <v>CAN Long Liab</v>
      </c>
      <c r="BH75" s="38">
        <f t="shared" si="198"/>
        <v>7.0000000000000007E-2</v>
      </c>
      <c r="BI75" s="38">
        <f t="shared" si="199"/>
        <v>0.23800000000000002</v>
      </c>
      <c r="BK75" s="31">
        <f ca="1">CORREL(OFFSET(Historical_Data_Start,date_start_row,$B75,date_rows,1),OFFSET(Historical_Data_Start,date_start_row,Calculations!BK$40,date_rows,1))</f>
        <v>3.7749649570212714E-2</v>
      </c>
      <c r="BL75" s="32">
        <f ca="1">CORREL(OFFSET(Historical_Data_Start,date_start_row,$B75,date_rows,1),OFFSET(Historical_Data_Start,date_start_row,Calculations!BL$40,date_rows,1))</f>
        <v>0.62755996872660513</v>
      </c>
      <c r="BM75" s="32">
        <f ca="1">CORREL(OFFSET(Historical_Data_Start,date_start_row,$B75,date_rows,1),OFFSET(Historical_Data_Start,date_start_row,Calculations!BM$40,date_rows,1))</f>
        <v>0.65743233025020464</v>
      </c>
      <c r="BN75" s="32">
        <f ca="1">CORREL(OFFSET(Historical_Data_Start,date_start_row,$B75,date_rows,1),OFFSET(Historical_Data_Start,date_start_row,Calculations!BN$40,date_rows,1))</f>
        <v>0.66078144578030118</v>
      </c>
      <c r="BO75" s="32">
        <f ca="1">CORREL(OFFSET(Historical_Data_Start,date_start_row,$B75,date_rows,1),OFFSET(Historical_Data_Start,date_start_row,Calculations!BO$40,date_rows,1))</f>
        <v>0.70316048196660397</v>
      </c>
      <c r="BP75" s="32">
        <f ca="1">CORREL(OFFSET(Historical_Data_Start,date_start_row,$B75,date_rows,1),OFFSET(Historical_Data_Start,date_start_row,Calculations!BP$40,date_rows,1))</f>
        <v>0.79585003693445555</v>
      </c>
      <c r="BQ75" s="32">
        <f ca="1">CORREL(OFFSET(Historical_Data_Start,date_start_row,$B75,date_rows,1),OFFSET(Historical_Data_Start,date_start_row,Calculations!BQ$40,date_rows,1))</f>
        <v>0.85678236828262</v>
      </c>
      <c r="BR75" s="32">
        <f ca="1">CORREL(OFFSET(Historical_Data_Start,date_start_row,$B75,date_rows,1),OFFSET(Historical_Data_Start,date_start_row,Calculations!BR$40,date_rows,1))</f>
        <v>0.78655729343317848</v>
      </c>
      <c r="BS75" s="32">
        <f ca="1">CORREL(OFFSET(Historical_Data_Start,date_start_row,$B75,date_rows,1),OFFSET(Historical_Data_Start,date_start_row,Calculations!BS$40,date_rows,1))</f>
        <v>0.817874517593843</v>
      </c>
      <c r="BT75" s="32">
        <f ca="1">CORREL(OFFSET(Historical_Data_Start,date_start_row,$B75,date_rows,1),OFFSET(Historical_Data_Start,date_start_row,Calculations!BT$40,date_rows,1))</f>
        <v>0.54508905740020186</v>
      </c>
      <c r="BU75" s="32">
        <f ca="1">CORREL(OFFSET(Historical_Data_Start,date_start_row,$B75,date_rows,1),OFFSET(Historical_Data_Start,date_start_row,Calculations!BU$40,date_rows,1))</f>
        <v>0.28670256604810013</v>
      </c>
      <c r="BV75" s="32">
        <f ca="1">CORREL(OFFSET(Historical_Data_Start,date_start_row,$B75,date_rows,1),OFFSET(Historical_Data_Start,date_start_row,Calculations!BV$40,date_rows,1))</f>
        <v>0.26983914515213703</v>
      </c>
      <c r="BW75" s="32">
        <f ca="1">CORREL(OFFSET(Historical_Data_Start,date_start_row,$B75,date_rows,1),OFFSET(Historical_Data_Start,date_start_row,Calculations!BW$40,date_rows,1))</f>
        <v>0.28985192005965332</v>
      </c>
      <c r="BX75" s="32">
        <f ca="1">CORREL(OFFSET(Historical_Data_Start,date_start_row,$B75,date_rows,1),OFFSET(Historical_Data_Start,date_start_row,Calculations!BX$40,date_rows,1))</f>
        <v>0.19154172965205243</v>
      </c>
      <c r="BY75" s="32">
        <f ca="1">CORREL(OFFSET(Historical_Data_Start,date_start_row,$B75,date_rows,1),OFFSET(Historical_Data_Start,date_start_row,Calculations!BY$40,date_rows,1))</f>
        <v>0.23073697579580604</v>
      </c>
      <c r="BZ75" s="32">
        <f ca="1">CORREL(OFFSET(Historical_Data_Start,date_start_row,$B75,date_rows,1),OFFSET(Historical_Data_Start,date_start_row,Calculations!BZ$40,date_rows,1))</f>
        <v>0.27502133153235014</v>
      </c>
      <c r="CA75" s="32">
        <f ca="1">CORREL(OFFSET(Historical_Data_Start,date_start_row,$B75,date_rows,1),OFFSET(Historical_Data_Start,date_start_row,Calculations!CA$40,date_rows,1))</f>
        <v>0.38124270775428726</v>
      </c>
      <c r="CB75" s="32">
        <f ca="1">CORREL(OFFSET(Historical_Data_Start,date_start_row,$B75,date_rows,1),OFFSET(Historical_Data_Start,date_start_row,Calculations!CB$40,date_rows,1))</f>
        <v>3.8889110094528605E-2</v>
      </c>
      <c r="CC75" s="32">
        <f ca="1">CORREL(OFFSET(Historical_Data_Start,date_start_row,$B75,date_rows,1),OFFSET(Historical_Data_Start,date_start_row,Calculations!CC$40,date_rows,1))</f>
        <v>7.6566956361990457E-2</v>
      </c>
      <c r="CD75" s="32">
        <f ca="1">CORREL(OFFSET(Historical_Data_Start,date_start_row,$B75,date_rows,1),OFFSET(Historical_Data_Start,date_start_row,Calculations!CD$40,date_rows,1))</f>
        <v>1.9177424163182726E-2</v>
      </c>
      <c r="CE75" s="32">
        <f ca="1">CORREL(OFFSET(Historical_Data_Start,date_start_row,$B75,date_rows,1),OFFSET(Historical_Data_Start,date_start_row,Calculations!CE$40,date_rows,1))</f>
        <v>6.029248876398359E-2</v>
      </c>
      <c r="CF75" s="32">
        <f ca="1">CORREL(OFFSET(Historical_Data_Start,date_start_row,$B75,date_rows,1),OFFSET(Historical_Data_Start,date_start_row,Calculations!CF$40,date_rows,1))</f>
        <v>-3.723947258076855E-3</v>
      </c>
      <c r="CG75" s="32">
        <f ca="1">CORREL(OFFSET(Historical_Data_Start,date_start_row,$B75,date_rows,1),OFFSET(Historical_Data_Start,date_start_row,Calculations!CG$40,date_rows,1))</f>
        <v>-5.9714853331225993E-3</v>
      </c>
      <c r="CH75" s="32">
        <f ca="1">CORREL(OFFSET(Historical_Data_Start,date_start_row,$B75,date_rows,1),OFFSET(Historical_Data_Start,date_start_row,Calculations!CH$40,date_rows,1))</f>
        <v>0.36488200628004369</v>
      </c>
      <c r="CI75" s="32">
        <f ca="1">CORREL(OFFSET(Historical_Data_Start,date_start_row,$B75,date_rows,1),OFFSET(Historical_Data_Start,date_start_row,Calculations!CI$40,date_rows,1))</f>
        <v>5.6221464101296907E-2</v>
      </c>
      <c r="CJ75" s="32">
        <f ca="1">CORREL(OFFSET(Historical_Data_Start,date_start_row,$B75,date_rows,1),OFFSET(Historical_Data_Start,date_start_row,Calculations!CJ$40,date_rows,1))</f>
        <v>-2.4071565900702879E-3</v>
      </c>
      <c r="CK75" s="32">
        <f ca="1">CORREL(OFFSET(Historical_Data_Start,date_start_row,$B75,date_rows,1),OFFSET(Historical_Data_Start,date_start_row,Calculations!CK$40,date_rows,1))</f>
        <v>0.11755706904475814</v>
      </c>
      <c r="CL75" s="32">
        <f ca="1">CORREL(OFFSET(Historical_Data_Start,date_start_row,$B75,date_rows,1),OFFSET(Historical_Data_Start,date_start_row,Calculations!CL$40,date_rows,1))</f>
        <v>3.7738673551424642E-2</v>
      </c>
      <c r="CM75" s="32">
        <f ca="1">CORREL(OFFSET(Historical_Data_Start,date_start_row,$B75,date_rows,1),OFFSET(Historical_Data_Start,date_start_row,Calculations!CM$40,date_rows,1))</f>
        <v>0.62755996872660513</v>
      </c>
      <c r="CN75" s="32">
        <f ca="1">CORREL(OFFSET(Historical_Data_Start,date_start_row,$B75,date_rows,1),OFFSET(Historical_Data_Start,date_start_row,Calculations!CN$40,date_rows,1))</f>
        <v>0.65743233025020464</v>
      </c>
      <c r="CO75" s="32">
        <f ca="1">CORREL(OFFSET(Historical_Data_Start,date_start_row,$B75,date_rows,1),OFFSET(Historical_Data_Start,date_start_row,Calculations!CO$40,date_rows,1))</f>
        <v>0.79585003693445555</v>
      </c>
      <c r="CP75" s="32">
        <f ca="1">CORREL(OFFSET(Historical_Data_Start,date_start_row,$B75,date_rows,1),OFFSET(Historical_Data_Start,date_start_row,Calculations!CP$40,date_rows,1))</f>
        <v>0.85678236828262</v>
      </c>
      <c r="CQ75" s="32">
        <f ca="1">CORREL(OFFSET(Historical_Data_Start,date_start_row,$B75,date_rows,1),OFFSET(Historical_Data_Start,date_start_row,Calculations!CQ$40,date_rows,1))</f>
        <v>0.65359905470901247</v>
      </c>
      <c r="CR75" s="32">
        <f ca="1">CORREL(OFFSET(Historical_Data_Start,date_start_row,$B75,date_rows,1),OFFSET(Historical_Data_Start,date_start_row,Calculations!CR$40,date_rows,1))</f>
        <v>1</v>
      </c>
      <c r="CS75" s="32">
        <f ca="1">CORREL(OFFSET(Historical_Data_Start,date_start_row,$B75,date_rows,1),OFFSET(Historical_Data_Start,date_start_row,Calculations!CS$40,date_rows,1))</f>
        <v>0.46931386192829166</v>
      </c>
      <c r="CT75" s="32">
        <f ca="1">CORREL(OFFSET(Historical_Data_Start,date_start_row,$B75,date_rows,1),OFFSET(Historical_Data_Start,date_start_row,Calculations!CT$40,date_rows,1))</f>
        <v>-0.65266244199437473</v>
      </c>
      <c r="CU75" s="32">
        <f ca="1">CORREL(OFFSET(Historical_Data_Start,date_start_row,$B75,date_rows,1),OFFSET(Historical_Data_Start,date_start_row,Calculations!CU$40,date_rows,1))</f>
        <v>-0.77073227632700159</v>
      </c>
      <c r="CV75" s="32">
        <f ca="1">CORREL(OFFSET(Historical_Data_Start,date_start_row,$B75,date_rows,1),OFFSET(Historical_Data_Start,date_start_row,Calculations!CV$40,date_rows,1))</f>
        <v>-0.42273816703824046</v>
      </c>
      <c r="CW75" s="32">
        <f ca="1">CORREL(OFFSET(Historical_Data_Start,date_start_row,$B75,date_rows,1),OFFSET(Historical_Data_Start,date_start_row,Calculations!CW$40,date_rows,1))</f>
        <v>-0.28878267640035526</v>
      </c>
      <c r="CX75" s="32">
        <f ca="1">CORREL(OFFSET(Historical_Data_Start,date_start_row,$B75,date_rows,1),OFFSET(Historical_Data_Start,date_start_row,Calculations!CX$40,date_rows,1))</f>
        <v>-0.26968060727079446</v>
      </c>
      <c r="CY75" s="32">
        <f ca="1">CORREL(OFFSET(Historical_Data_Start,date_start_row,$B75,date_rows,1),OFFSET(Historical_Data_Start,date_start_row,Calculations!CY$40,date_rows,1))</f>
        <v>-0.28985192005965332</v>
      </c>
      <c r="CZ75" s="32">
        <f ca="1">CORREL(OFFSET(Historical_Data_Start,date_start_row,$B75,date_rows,1),OFFSET(Historical_Data_Start,date_start_row,Calculations!CZ$40,date_rows,1))</f>
        <v>-0.20244510450201569</v>
      </c>
      <c r="DA75" s="32">
        <f ca="1">CORREL(OFFSET(Historical_Data_Start,date_start_row,$B75,date_rows,1),OFFSET(Historical_Data_Start,date_start_row,Calculations!DA$40,date_rows,1))</f>
        <v>-0.23287504015370453</v>
      </c>
      <c r="DB75" s="32">
        <f ca="1">CORREL(OFFSET(Historical_Data_Start,date_start_row,$B75,date_rows,1),OFFSET(Historical_Data_Start,date_start_row,Calculations!DB$40,date_rows,1))</f>
        <v>-0.27563164279096303</v>
      </c>
      <c r="DC75" s="32">
        <f ca="1">CORREL(OFFSET(Historical_Data_Start,date_start_row,$B75,date_rows,1),OFFSET(Historical_Data_Start,date_start_row,Calculations!DC$40,date_rows,1))</f>
        <v>-0.38958157245214264</v>
      </c>
      <c r="DD75" s="32">
        <f ca="1">CORREL(OFFSET(Historical_Data_Start,date_start_row,$B75,date_rows,1),OFFSET(Historical_Data_Start,date_start_row,Calculations!DD$40,date_rows,1))</f>
        <v>-4.8399504600851732E-2</v>
      </c>
      <c r="DE75" s="32">
        <f ca="1">CORREL(OFFSET(Historical_Data_Start,date_start_row,$B75,date_rows,1),OFFSET(Historical_Data_Start,date_start_row,Calculations!DE$40,date_rows,1))</f>
        <v>-8.4844633158569382E-2</v>
      </c>
      <c r="DF75" s="32">
        <f ca="1">CORREL(OFFSET(Historical_Data_Start,date_start_row,$B75,date_rows,1),OFFSET(Historical_Data_Start,date_start_row,Calculations!DF$40,date_rows,1))</f>
        <v>-3.0073163762681664E-2</v>
      </c>
      <c r="DG75" s="32">
        <f ca="1">CORREL(OFFSET(Historical_Data_Start,date_start_row,$B75,date_rows,1),OFFSET(Historical_Data_Start,date_start_row,Calculations!DG$40,date_rows,1))</f>
        <v>-7.1174205171341168E-2</v>
      </c>
      <c r="DH75" s="33">
        <f ca="1">CORREL(OFFSET(Historical_Data_Start,date_start_row,$B75,date_rows,1),OFFSET(Historical_Data_Start,date_start_row,Calculations!DH$40,date_rows,1))</f>
        <v>6.5089249002530415E-3</v>
      </c>
      <c r="DI75" s="2">
        <f t="shared" si="71"/>
        <v>34</v>
      </c>
      <c r="DJ75" s="43">
        <f t="shared" ca="1" si="200"/>
        <v>8.9844165977106261E-5</v>
      </c>
      <c r="DK75" s="44">
        <f t="shared" ca="1" si="201"/>
        <v>9.4096341710867178E-3</v>
      </c>
      <c r="DL75" s="44">
        <f t="shared" ca="1" si="202"/>
        <v>1.6898640616751264E-2</v>
      </c>
      <c r="DM75" s="44">
        <f t="shared" ca="1" si="203"/>
        <v>9.1214270775512776E-3</v>
      </c>
      <c r="DN75" s="44">
        <f t="shared" ca="1" si="204"/>
        <v>1.640051508138907E-2</v>
      </c>
      <c r="DO75" s="44">
        <f t="shared" ca="1" si="205"/>
        <v>1.0038852365891223E-2</v>
      </c>
      <c r="DP75" s="44">
        <f t="shared" ca="1" si="206"/>
        <v>1.876010673591625E-2</v>
      </c>
      <c r="DQ75" s="44">
        <f t="shared" ca="1" si="207"/>
        <v>9.1728311560177276E-3</v>
      </c>
      <c r="DR75" s="44">
        <f t="shared" ca="1" si="208"/>
        <v>1.6156293220548776E-2</v>
      </c>
      <c r="DS75" s="44">
        <f t="shared" ca="1" si="209"/>
        <v>9.0811836962873642E-3</v>
      </c>
      <c r="DT75" s="44">
        <f t="shared" ca="1" si="210"/>
        <v>1.0917633715111653E-2</v>
      </c>
      <c r="DU75" s="44">
        <f t="shared" ca="1" si="211"/>
        <v>1.2844343309241724E-2</v>
      </c>
      <c r="DV75" s="44">
        <f t="shared" ca="1" si="212"/>
        <v>1.2417256255355549E-2</v>
      </c>
      <c r="DW75" s="44">
        <f t="shared" ca="1" si="213"/>
        <v>1.0940863597725236E-2</v>
      </c>
      <c r="DX75" s="44">
        <f t="shared" ca="1" si="214"/>
        <v>1.1532234050274388E-2</v>
      </c>
      <c r="DY75" s="44">
        <f t="shared" ca="1" si="215"/>
        <v>1.3091015380939867E-2</v>
      </c>
      <c r="DZ75" s="44">
        <f t="shared" ca="1" si="216"/>
        <v>1.8147152889104075E-2</v>
      </c>
      <c r="EA75" s="44">
        <f t="shared" ca="1" si="217"/>
        <v>2.0362338045495179E-3</v>
      </c>
      <c r="EB75" s="44">
        <f t="shared" ca="1" si="218"/>
        <v>4.7379632596799698E-3</v>
      </c>
      <c r="EC75" s="44">
        <f t="shared" ca="1" si="219"/>
        <v>1.3692680852512467E-3</v>
      </c>
      <c r="ED75" s="44">
        <f t="shared" ca="1" si="220"/>
        <v>4.017891451231867E-3</v>
      </c>
      <c r="EE75" s="44">
        <f t="shared" ca="1" si="221"/>
        <v>-7.9766950268006246E-5</v>
      </c>
      <c r="EF75" s="44">
        <f t="shared" ca="1" si="222"/>
        <v>-1.2790921583548609E-4</v>
      </c>
      <c r="EG75" s="44">
        <f t="shared" ca="1" si="223"/>
        <v>1.4763125974090569E-2</v>
      </c>
      <c r="EH75" s="44">
        <f t="shared" ca="1" si="224"/>
        <v>3.2113700294660796E-3</v>
      </c>
      <c r="EI75" s="44">
        <f t="shared" ca="1" si="225"/>
        <v>-6.8748392212407422E-5</v>
      </c>
      <c r="EJ75" s="44">
        <f t="shared" ca="1" si="226"/>
        <v>2.5180724189387198E-3</v>
      </c>
      <c r="EK75" s="43">
        <f t="shared" ca="1" si="227"/>
        <v>8.9818043052390659E-5</v>
      </c>
      <c r="EL75" s="44">
        <f t="shared" ca="1" si="228"/>
        <v>6.870526537618874E-3</v>
      </c>
      <c r="EM75" s="44">
        <f t="shared" ca="1" si="229"/>
        <v>1.2673980462563447E-2</v>
      </c>
      <c r="EN75" s="44">
        <f t="shared" ca="1" si="230"/>
        <v>7.7659046604064167E-3</v>
      </c>
      <c r="EO75" s="44">
        <f t="shared" ca="1" si="231"/>
        <v>2.3246219216244049E-2</v>
      </c>
      <c r="EP75" s="44">
        <f t="shared" ca="1" si="232"/>
        <v>4.3089171280746352E-2</v>
      </c>
      <c r="EQ75" s="44">
        <f t="shared" ca="1" si="233"/>
        <v>5.6644000000000007E-2</v>
      </c>
      <c r="ER75" s="44">
        <f t="shared" ca="1" si="234"/>
        <v>3.5742943724458694E-2</v>
      </c>
      <c r="ES75" s="44">
        <f t="shared" ca="1" si="235"/>
        <v>-9.7860206552636553E-3</v>
      </c>
      <c r="ET75" s="44">
        <f t="shared" ca="1" si="236"/>
        <v>-9.1717140882913196E-3</v>
      </c>
      <c r="EU75" s="44">
        <f t="shared" ca="1" si="237"/>
        <v>-7.0428178628570868E-3</v>
      </c>
      <c r="EV75" s="44">
        <f t="shared" ca="1" si="238"/>
        <v>-1.0996844317325529E-2</v>
      </c>
      <c r="EW75" s="44">
        <f t="shared" ca="1" si="239"/>
        <v>-1.2836796906089817E-2</v>
      </c>
      <c r="EX75" s="44">
        <f t="shared" ca="1" si="240"/>
        <v>-1.2417256255355549E-2</v>
      </c>
      <c r="EY75" s="44">
        <f t="shared" ca="1" si="241"/>
        <v>-1.1563664369155137E-2</v>
      </c>
      <c r="EZ75" s="44">
        <f t="shared" ca="1" si="242"/>
        <v>-1.1639094506882153E-2</v>
      </c>
      <c r="FA75" s="44">
        <f t="shared" ca="1" si="243"/>
        <v>-1.3120066196849842E-2</v>
      </c>
      <c r="FB75" s="44">
        <f t="shared" ca="1" si="244"/>
        <v>-1.8544082848721992E-2</v>
      </c>
      <c r="FC75" s="44">
        <f t="shared" ca="1" si="245"/>
        <v>-2.5341980609005967E-3</v>
      </c>
      <c r="FD75" s="44">
        <f t="shared" ca="1" si="246"/>
        <v>-5.2501858998522735E-3</v>
      </c>
      <c r="FE75" s="44">
        <f t="shared" ca="1" si="247"/>
        <v>-2.147223892655471E-3</v>
      </c>
      <c r="FF75" s="44">
        <f t="shared" ca="1" si="248"/>
        <v>-4.7430490326181756E-3</v>
      </c>
      <c r="FG75" s="45">
        <f t="shared" ca="1" si="249"/>
        <v>7.7456206313011202E-6</v>
      </c>
    </row>
    <row r="76" spans="1:173" x14ac:dyDescent="0.2">
      <c r="A76" s="51" t="str">
        <f t="shared" ref="A76" ca="1" si="254">INDEX(Historical_Data_Names,3,B76)</f>
        <v>L</v>
      </c>
      <c r="B76" s="57">
        <f t="shared" si="178"/>
        <v>35</v>
      </c>
      <c r="C76" s="11" t="str">
        <f t="shared" ref="C76" ca="1" si="255">INDEX(Historical_Data_Names,2,B76)</f>
        <v>JPN Long Liab</v>
      </c>
      <c r="D76" s="58"/>
      <c r="E76" s="59">
        <f t="shared" ref="E76" ca="1" si="256">AVERAGE(OFFSET(Historical_Data_Start,date_start_row,$B76,date_rows,1))*4</f>
        <v>7.3719100069877294E-2</v>
      </c>
      <c r="F76" s="59">
        <f t="array" aca="1" ref="F76" ca="1">PRODUCT(1+OFFSET(Historical_Data_Start,date_start_row,$B76,date_rows,1))^(4/date_rows)-1</f>
        <v>7.1198926404963503E-2</v>
      </c>
      <c r="G76" s="59">
        <f t="shared" ref="G76" ca="1" si="257">STDEV(OFFSET(Historical_Data_Start,date_start_row,$B76,date_rows,1))*2</f>
        <v>9.3711957128237655E-2</v>
      </c>
      <c r="H76" s="6"/>
      <c r="I76" s="61">
        <v>0.03</v>
      </c>
      <c r="J76" s="61">
        <v>0.32</v>
      </c>
      <c r="K76" s="6"/>
      <c r="L76" s="60">
        <v>-9.9999999999999995E-7</v>
      </c>
      <c r="M76" s="60"/>
      <c r="N76" s="14">
        <f t="shared" si="174"/>
        <v>-9.9999999999999995E-7</v>
      </c>
      <c r="O76" s="6"/>
      <c r="P76" s="115">
        <f t="shared" si="175"/>
        <v>-9.9999999999999995E-7</v>
      </c>
      <c r="Q76" s="115">
        <f t="shared" si="175"/>
        <v>-9.9999999999999995E-7</v>
      </c>
      <c r="R76" s="6"/>
      <c r="S76" s="226"/>
      <c r="T76" s="410">
        <v>0</v>
      </c>
      <c r="U76" s="410">
        <v>0</v>
      </c>
      <c r="V76" s="410">
        <v>0</v>
      </c>
      <c r="W76" s="410">
        <v>0</v>
      </c>
      <c r="X76" s="410">
        <v>0</v>
      </c>
      <c r="Y76" s="410">
        <v>0</v>
      </c>
      <c r="Z76" s="6"/>
      <c r="AI76" s="117">
        <v>0</v>
      </c>
      <c r="AJ76" s="117">
        <v>0</v>
      </c>
      <c r="AK76" s="117">
        <v>0</v>
      </c>
      <c r="AL76" s="117">
        <v>0</v>
      </c>
      <c r="AM76" s="117">
        <v>0</v>
      </c>
      <c r="AN76" s="117">
        <v>0</v>
      </c>
      <c r="AO76" s="117">
        <v>0</v>
      </c>
      <c r="AP76" s="117">
        <v>0</v>
      </c>
      <c r="AQ76" s="117">
        <v>0</v>
      </c>
      <c r="AR76" s="117">
        <v>0</v>
      </c>
      <c r="AS76" s="117">
        <v>0</v>
      </c>
      <c r="AU76" s="117">
        <v>0</v>
      </c>
      <c r="AV76" s="117">
        <v>0</v>
      </c>
      <c r="AW76" s="117">
        <v>0</v>
      </c>
      <c r="AX76" s="117">
        <v>0</v>
      </c>
      <c r="AY76" s="117">
        <v>0</v>
      </c>
      <c r="AZ76" s="117">
        <v>0</v>
      </c>
      <c r="BA76" s="117">
        <v>0</v>
      </c>
      <c r="BB76" s="117">
        <v>0</v>
      </c>
      <c r="BC76" s="117">
        <v>0</v>
      </c>
      <c r="BD76" s="117">
        <v>0</v>
      </c>
      <c r="BE76" s="117">
        <v>0</v>
      </c>
      <c r="BG76" s="51" t="str">
        <f t="shared" ca="1" si="176"/>
        <v>JPN Long Liab</v>
      </c>
      <c r="BH76" s="38">
        <f t="shared" si="198"/>
        <v>0.03</v>
      </c>
      <c r="BI76" s="38">
        <f t="shared" si="199"/>
        <v>0.32</v>
      </c>
      <c r="BK76" s="31">
        <f ca="1">CORREL(OFFSET(Historical_Data_Start,date_start_row,$B76,date_rows,1),OFFSET(Historical_Data_Start,date_start_row,Calculations!BK$40,date_rows,1))</f>
        <v>0.10558814215066664</v>
      </c>
      <c r="BL76" s="32">
        <f ca="1">CORREL(OFFSET(Historical_Data_Start,date_start_row,$B76,date_rows,1),OFFSET(Historical_Data_Start,date_start_row,Calculations!BL$40,date_rows,1))</f>
        <v>0.49531690616781049</v>
      </c>
      <c r="BM76" s="32">
        <f ca="1">CORREL(OFFSET(Historical_Data_Start,date_start_row,$B76,date_rows,1),OFFSET(Historical_Data_Start,date_start_row,Calculations!BM$40,date_rows,1))</f>
        <v>0.51514315429992008</v>
      </c>
      <c r="BN76" s="32">
        <f ca="1">CORREL(OFFSET(Historical_Data_Start,date_start_row,$B76,date_rows,1),OFFSET(Historical_Data_Start,date_start_row,Calculations!BN$40,date_rows,1))</f>
        <v>0.461816207799429</v>
      </c>
      <c r="BO76" s="32">
        <f ca="1">CORREL(OFFSET(Historical_Data_Start,date_start_row,$B76,date_rows,1),OFFSET(Historical_Data_Start,date_start_row,Calculations!BO$40,date_rows,1))</f>
        <v>0.47054623002615165</v>
      </c>
      <c r="BP76" s="32">
        <f ca="1">CORREL(OFFSET(Historical_Data_Start,date_start_row,$B76,date_rows,1),OFFSET(Historical_Data_Start,date_start_row,Calculations!BP$40,date_rows,1))</f>
        <v>0.52123125246109059</v>
      </c>
      <c r="BQ76" s="32">
        <f ca="1">CORREL(OFFSET(Historical_Data_Start,date_start_row,$B76,date_rows,1),OFFSET(Historical_Data_Start,date_start_row,Calculations!BQ$40,date_rows,1))</f>
        <v>0.50846639914734804</v>
      </c>
      <c r="BR76" s="32">
        <f ca="1">CORREL(OFFSET(Historical_Data_Start,date_start_row,$B76,date_rows,1),OFFSET(Historical_Data_Start,date_start_row,Calculations!BR$40,date_rows,1))</f>
        <v>0.45256481572292362</v>
      </c>
      <c r="BS76" s="32">
        <f ca="1">CORREL(OFFSET(Historical_Data_Start,date_start_row,$B76,date_rows,1),OFFSET(Historical_Data_Start,date_start_row,Calculations!BS$40,date_rows,1))</f>
        <v>0.42402256288930518</v>
      </c>
      <c r="BT76" s="32">
        <f ca="1">CORREL(OFFSET(Historical_Data_Start,date_start_row,$B76,date_rows,1),OFFSET(Historical_Data_Start,date_start_row,Calculations!BT$40,date_rows,1))</f>
        <v>0.91603753128156484</v>
      </c>
      <c r="BU76" s="32">
        <f ca="1">CORREL(OFFSET(Historical_Data_Start,date_start_row,$B76,date_rows,1),OFFSET(Historical_Data_Start,date_start_row,Calculations!BU$40,date_rows,1))</f>
        <v>2.4242854003526319E-2</v>
      </c>
      <c r="BV76" s="32">
        <f ca="1">CORREL(OFFSET(Historical_Data_Start,date_start_row,$B76,date_rows,1),OFFSET(Historical_Data_Start,date_start_row,Calculations!BV$40,date_rows,1))</f>
        <v>2.8745236869471585E-2</v>
      </c>
      <c r="BW76" s="32">
        <f ca="1">CORREL(OFFSET(Historical_Data_Start,date_start_row,$B76,date_rows,1),OFFSET(Historical_Data_Start,date_start_row,Calculations!BW$40,date_rows,1))</f>
        <v>-3.2691473142536148E-2</v>
      </c>
      <c r="BX76" s="32">
        <f ca="1">CORREL(OFFSET(Historical_Data_Start,date_start_row,$B76,date_rows,1),OFFSET(Historical_Data_Start,date_start_row,Calculations!BX$40,date_rows,1))</f>
        <v>6.9486504275473995E-2</v>
      </c>
      <c r="BY76" s="32">
        <f ca="1">CORREL(OFFSET(Historical_Data_Start,date_start_row,$B76,date_rows,1),OFFSET(Historical_Data_Start,date_start_row,Calculations!BY$40,date_rows,1))</f>
        <v>2.4539598977865132E-2</v>
      </c>
      <c r="BZ76" s="32">
        <f ca="1">CORREL(OFFSET(Historical_Data_Start,date_start_row,$B76,date_rows,1),OFFSET(Historical_Data_Start,date_start_row,Calculations!BZ$40,date_rows,1))</f>
        <v>0.12283716834581594</v>
      </c>
      <c r="CA76" s="32">
        <f ca="1">CORREL(OFFSET(Historical_Data_Start,date_start_row,$B76,date_rows,1),OFFSET(Historical_Data_Start,date_start_row,Calculations!CA$40,date_rows,1))</f>
        <v>5.5842863550716708E-2</v>
      </c>
      <c r="CB76" s="32">
        <f ca="1">CORREL(OFFSET(Historical_Data_Start,date_start_row,$B76,date_rows,1),OFFSET(Historical_Data_Start,date_start_row,Calculations!CB$40,date_rows,1))</f>
        <v>-5.7630585987841543E-2</v>
      </c>
      <c r="CC76" s="32">
        <f ca="1">CORREL(OFFSET(Historical_Data_Start,date_start_row,$B76,date_rows,1),OFFSET(Historical_Data_Start,date_start_row,Calculations!CC$40,date_rows,1))</f>
        <v>-4.8326671368153183E-2</v>
      </c>
      <c r="CD76" s="32">
        <f ca="1">CORREL(OFFSET(Historical_Data_Start,date_start_row,$B76,date_rows,1),OFFSET(Historical_Data_Start,date_start_row,Calculations!CD$40,date_rows,1))</f>
        <v>-9.8571538333841358E-2</v>
      </c>
      <c r="CE76" s="32">
        <f ca="1">CORREL(OFFSET(Historical_Data_Start,date_start_row,$B76,date_rows,1),OFFSET(Historical_Data_Start,date_start_row,Calculations!CE$40,date_rows,1))</f>
        <v>-4.6934533648266222E-3</v>
      </c>
      <c r="CF76" s="32">
        <f ca="1">CORREL(OFFSET(Historical_Data_Start,date_start_row,$B76,date_rows,1),OFFSET(Historical_Data_Start,date_start_row,Calculations!CF$40,date_rows,1))</f>
        <v>-9.2355273244269592E-2</v>
      </c>
      <c r="CG76" s="32">
        <f ca="1">CORREL(OFFSET(Historical_Data_Start,date_start_row,$B76,date_rows,1),OFFSET(Historical_Data_Start,date_start_row,Calculations!CG$40,date_rows,1))</f>
        <v>-6.741021126113074E-2</v>
      </c>
      <c r="CH76" s="32">
        <f ca="1">CORREL(OFFSET(Historical_Data_Start,date_start_row,$B76,date_rows,1),OFFSET(Historical_Data_Start,date_start_row,Calculations!CH$40,date_rows,1))</f>
        <v>-3.1036187293115292E-2</v>
      </c>
      <c r="CI76" s="32">
        <f ca="1">CORREL(OFFSET(Historical_Data_Start,date_start_row,$B76,date_rows,1),OFFSET(Historical_Data_Start,date_start_row,Calculations!CI$40,date_rows,1))</f>
        <v>-0.12326722557712552</v>
      </c>
      <c r="CJ76" s="32">
        <f ca="1">CORREL(OFFSET(Historical_Data_Start,date_start_row,$B76,date_rows,1),OFFSET(Historical_Data_Start,date_start_row,Calculations!CJ$40,date_rows,1))</f>
        <v>1.4642192226224289E-2</v>
      </c>
      <c r="CK76" s="32">
        <f ca="1">CORREL(OFFSET(Historical_Data_Start,date_start_row,$B76,date_rows,1),OFFSET(Historical_Data_Start,date_start_row,Calculations!CK$40,date_rows,1))</f>
        <v>8.8975248108282654E-2</v>
      </c>
      <c r="CL76" s="32">
        <f ca="1">CORREL(OFFSET(Historical_Data_Start,date_start_row,$B76,date_rows,1),OFFSET(Historical_Data_Start,date_start_row,Calculations!CL$40,date_rows,1))</f>
        <v>0.10557677571395281</v>
      </c>
      <c r="CM76" s="32">
        <f ca="1">CORREL(OFFSET(Historical_Data_Start,date_start_row,$B76,date_rows,1),OFFSET(Historical_Data_Start,date_start_row,Calculations!CM$40,date_rows,1))</f>
        <v>0.49531690616781049</v>
      </c>
      <c r="CN76" s="32">
        <f ca="1">CORREL(OFFSET(Historical_Data_Start,date_start_row,$B76,date_rows,1),OFFSET(Historical_Data_Start,date_start_row,Calculations!CN$40,date_rows,1))</f>
        <v>0.51514315429992008</v>
      </c>
      <c r="CO76" s="32">
        <f ca="1">CORREL(OFFSET(Historical_Data_Start,date_start_row,$B76,date_rows,1),OFFSET(Historical_Data_Start,date_start_row,Calculations!CO$40,date_rows,1))</f>
        <v>0.52123125246109059</v>
      </c>
      <c r="CP76" s="32">
        <f ca="1">CORREL(OFFSET(Historical_Data_Start,date_start_row,$B76,date_rows,1),OFFSET(Historical_Data_Start,date_start_row,Calculations!CP$40,date_rows,1))</f>
        <v>0.50846639914734804</v>
      </c>
      <c r="CQ76" s="32">
        <f ca="1">CORREL(OFFSET(Historical_Data_Start,date_start_row,$B76,date_rows,1),OFFSET(Historical_Data_Start,date_start_row,Calculations!CQ$40,date_rows,1))</f>
        <v>0.45155114285156089</v>
      </c>
      <c r="CR76" s="32">
        <f ca="1">CORREL(OFFSET(Historical_Data_Start,date_start_row,$B76,date_rows,1),OFFSET(Historical_Data_Start,date_start_row,Calculations!CR$40,date_rows,1))</f>
        <v>0.46931386192829166</v>
      </c>
      <c r="CS76" s="32">
        <f ca="1">CORREL(OFFSET(Historical_Data_Start,date_start_row,$B76,date_rows,1),OFFSET(Historical_Data_Start,date_start_row,Calculations!CS$40,date_rows,1))</f>
        <v>1</v>
      </c>
      <c r="CT76" s="32">
        <f ca="1">CORREL(OFFSET(Historical_Data_Start,date_start_row,$B76,date_rows,1),OFFSET(Historical_Data_Start,date_start_row,Calculations!CT$40,date_rows,1))</f>
        <v>-0.46639400015247878</v>
      </c>
      <c r="CU76" s="32">
        <f ca="1">CORREL(OFFSET(Historical_Data_Start,date_start_row,$B76,date_rows,1),OFFSET(Historical_Data_Start,date_start_row,Calculations!CU$40,date_rows,1))</f>
        <v>-0.45960872187769147</v>
      </c>
      <c r="CV76" s="32">
        <f ca="1">CORREL(OFFSET(Historical_Data_Start,date_start_row,$B76,date_rows,1),OFFSET(Historical_Data_Start,date_start_row,Calculations!CV$40,date_rows,1))</f>
        <v>-0.49283832382789072</v>
      </c>
      <c r="CW76" s="32">
        <f ca="1">CORREL(OFFSET(Historical_Data_Start,date_start_row,$B76,date_rows,1),OFFSET(Historical_Data_Start,date_start_row,Calculations!CW$40,date_rows,1))</f>
        <v>-2.1862126581687468E-2</v>
      </c>
      <c r="CX76" s="32">
        <f ca="1">CORREL(OFFSET(Historical_Data_Start,date_start_row,$B76,date_rows,1),OFFSET(Historical_Data_Start,date_start_row,Calculations!CX$40,date_rows,1))</f>
        <v>-2.7314724811517383E-2</v>
      </c>
      <c r="CY76" s="32">
        <f ca="1">CORREL(OFFSET(Historical_Data_Start,date_start_row,$B76,date_rows,1),OFFSET(Historical_Data_Start,date_start_row,Calculations!CY$40,date_rows,1))</f>
        <v>3.2691473142536148E-2</v>
      </c>
      <c r="CZ76" s="32">
        <f ca="1">CORREL(OFFSET(Historical_Data_Start,date_start_row,$B76,date_rows,1),OFFSET(Historical_Data_Start,date_start_row,Calculations!CZ$40,date_rows,1))</f>
        <v>-6.9437677495029632E-2</v>
      </c>
      <c r="DA76" s="32">
        <f ca="1">CORREL(OFFSET(Historical_Data_Start,date_start_row,$B76,date_rows,1),OFFSET(Historical_Data_Start,date_start_row,Calculations!DA$40,date_rows,1))</f>
        <v>-2.548787382888713E-2</v>
      </c>
      <c r="DB76" s="32">
        <f ca="1">CORREL(OFFSET(Historical_Data_Start,date_start_row,$B76,date_rows,1),OFFSET(Historical_Data_Start,date_start_row,Calculations!DB$40,date_rows,1))</f>
        <v>-0.11705193428457317</v>
      </c>
      <c r="DC76" s="32">
        <f ca="1">CORREL(OFFSET(Historical_Data_Start,date_start_row,$B76,date_rows,1),OFFSET(Historical_Data_Start,date_start_row,Calculations!DC$40,date_rows,1))</f>
        <v>-5.8465329938425438E-2</v>
      </c>
      <c r="DD76" s="32">
        <f ca="1">CORREL(OFFSET(Historical_Data_Start,date_start_row,$B76,date_rows,1),OFFSET(Historical_Data_Start,date_start_row,Calculations!DD$40,date_rows,1))</f>
        <v>5.2102272967175393E-2</v>
      </c>
      <c r="DE76" s="32">
        <f ca="1">CORREL(OFFSET(Historical_Data_Start,date_start_row,$B76,date_rows,1),OFFSET(Historical_Data_Start,date_start_row,Calculations!DE$40,date_rows,1))</f>
        <v>4.6011439404052182E-2</v>
      </c>
      <c r="DF76" s="32">
        <f ca="1">CORREL(OFFSET(Historical_Data_Start,date_start_row,$B76,date_rows,1),OFFSET(Historical_Data_Start,date_start_row,Calculations!DF$40,date_rows,1))</f>
        <v>9.667860146124338E-2</v>
      </c>
      <c r="DG76" s="32">
        <f ca="1">CORREL(OFFSET(Historical_Data_Start,date_start_row,$B76,date_rows,1),OFFSET(Historical_Data_Start,date_start_row,Calculations!DG$40,date_rows,1))</f>
        <v>4.8477059372281457E-3</v>
      </c>
      <c r="DH76" s="33">
        <f ca="1">CORREL(OFFSET(Historical_Data_Start,date_start_row,$B76,date_rows,1),OFFSET(Historical_Data_Start,date_start_row,Calculations!DH$40,date_rows,1))</f>
        <v>-2.4658661088034075E-2</v>
      </c>
      <c r="DI76" s="2">
        <f t="shared" si="71"/>
        <v>35</v>
      </c>
      <c r="DJ76" s="43">
        <f t="shared" ca="1" si="200"/>
        <v>3.3788205488213325E-4</v>
      </c>
      <c r="DK76" s="44">
        <f t="shared" ca="1" si="201"/>
        <v>9.9855888283430592E-3</v>
      </c>
      <c r="DL76" s="44">
        <f t="shared" ca="1" si="202"/>
        <v>1.7803347412605242E-2</v>
      </c>
      <c r="DM76" s="44">
        <f t="shared" ca="1" si="203"/>
        <v>8.5713088167574027E-3</v>
      </c>
      <c r="DN76" s="44">
        <f t="shared" ca="1" si="204"/>
        <v>1.4756329773620114E-2</v>
      </c>
      <c r="DO76" s="44">
        <f t="shared" ca="1" si="205"/>
        <v>8.8400820417400966E-3</v>
      </c>
      <c r="DP76" s="44">
        <f t="shared" ca="1" si="206"/>
        <v>1.4969250790897927E-2</v>
      </c>
      <c r="DQ76" s="44">
        <f t="shared" ca="1" si="207"/>
        <v>7.0962163105354418E-3</v>
      </c>
      <c r="DR76" s="44">
        <f t="shared" ca="1" si="208"/>
        <v>1.1262039270339946E-2</v>
      </c>
      <c r="DS76" s="44">
        <f t="shared" ca="1" si="209"/>
        <v>2.0519240700707056E-2</v>
      </c>
      <c r="DT76" s="44">
        <f t="shared" ca="1" si="210"/>
        <v>1.2412341249805475E-3</v>
      </c>
      <c r="DU76" s="44">
        <f t="shared" ca="1" si="211"/>
        <v>1.8396951596461816E-3</v>
      </c>
      <c r="DV76" s="44">
        <f t="shared" ca="1" si="212"/>
        <v>-1.8830288530100822E-3</v>
      </c>
      <c r="DW76" s="44">
        <f t="shared" ca="1" si="213"/>
        <v>5.3365635283564028E-3</v>
      </c>
      <c r="DX76" s="44">
        <f t="shared" ca="1" si="214"/>
        <v>1.6490610513125367E-3</v>
      </c>
      <c r="DY76" s="44">
        <f t="shared" ca="1" si="215"/>
        <v>7.8615787741322211E-3</v>
      </c>
      <c r="DZ76" s="44">
        <f t="shared" ca="1" si="216"/>
        <v>3.5739432672458695E-3</v>
      </c>
      <c r="EA76" s="44">
        <f t="shared" ca="1" si="217"/>
        <v>-4.0571932535440449E-3</v>
      </c>
      <c r="EB76" s="44">
        <f t="shared" ca="1" si="218"/>
        <v>-4.020779057830345E-3</v>
      </c>
      <c r="EC76" s="44">
        <f t="shared" ca="1" si="219"/>
        <v>-9.4628676800487706E-3</v>
      </c>
      <c r="ED76" s="44">
        <f t="shared" ca="1" si="220"/>
        <v>-4.2053342148846539E-4</v>
      </c>
      <c r="EE76" s="44">
        <f t="shared" ca="1" si="221"/>
        <v>-2.6598318694349642E-3</v>
      </c>
      <c r="EF76" s="44">
        <f t="shared" ca="1" si="222"/>
        <v>-1.9414140843205653E-3</v>
      </c>
      <c r="EG76" s="44">
        <f t="shared" ca="1" si="223"/>
        <v>-1.6883685887454721E-3</v>
      </c>
      <c r="EH76" s="44">
        <f t="shared" ca="1" si="224"/>
        <v>-9.4669229243232386E-3</v>
      </c>
      <c r="EI76" s="44">
        <f t="shared" ca="1" si="225"/>
        <v>5.6226018148701267E-4</v>
      </c>
      <c r="EJ76" s="44">
        <f t="shared" ca="1" si="226"/>
        <v>2.5624871455185404E-3</v>
      </c>
      <c r="EK76" s="43">
        <f t="shared" ca="1" si="227"/>
        <v>3.37845682284649E-4</v>
      </c>
      <c r="EL76" s="44">
        <f t="shared" ca="1" si="228"/>
        <v>7.2910648587901708E-3</v>
      </c>
      <c r="EM76" s="44">
        <f t="shared" ca="1" si="229"/>
        <v>1.3352510559453929E-2</v>
      </c>
      <c r="EN76" s="44">
        <f t="shared" ca="1" si="230"/>
        <v>6.8385540322895072E-3</v>
      </c>
      <c r="EO76" s="44">
        <f t="shared" ca="1" si="231"/>
        <v>1.8548854240895259E-2</v>
      </c>
      <c r="EP76" s="44">
        <f t="shared" ca="1" si="232"/>
        <v>4.0025493302362353E-2</v>
      </c>
      <c r="EQ76" s="44">
        <f t="shared" ca="1" si="233"/>
        <v>3.5742943724458694E-2</v>
      </c>
      <c r="ER76" s="44">
        <f t="shared" ca="1" si="234"/>
        <v>0.1024</v>
      </c>
      <c r="ES76" s="44">
        <f t="shared" ca="1" si="235"/>
        <v>-9.4025030430739728E-3</v>
      </c>
      <c r="ET76" s="44">
        <f t="shared" ca="1" si="236"/>
        <v>-7.3537395500430638E-3</v>
      </c>
      <c r="EU76" s="44">
        <f t="shared" ca="1" si="237"/>
        <v>-1.1039578453744753E-2</v>
      </c>
      <c r="EV76" s="44">
        <f t="shared" ca="1" si="238"/>
        <v>-1.1193408809823985E-3</v>
      </c>
      <c r="EW76" s="44">
        <f t="shared" ca="1" si="239"/>
        <v>-1.7481423879371126E-3</v>
      </c>
      <c r="EX76" s="44">
        <f t="shared" ca="1" si="240"/>
        <v>1.8830288530100822E-3</v>
      </c>
      <c r="EY76" s="44">
        <f t="shared" ca="1" si="241"/>
        <v>-5.3328136316182755E-3</v>
      </c>
      <c r="EZ76" s="44">
        <f t="shared" ca="1" si="242"/>
        <v>-1.712785121301215E-3</v>
      </c>
      <c r="FA76" s="44">
        <f t="shared" ca="1" si="243"/>
        <v>-7.4913237942126829E-3</v>
      </c>
      <c r="FB76" s="44">
        <f t="shared" ca="1" si="244"/>
        <v>-3.7417811160592282E-3</v>
      </c>
      <c r="FC76" s="44">
        <f t="shared" ca="1" si="245"/>
        <v>3.6680000168891479E-3</v>
      </c>
      <c r="FD76" s="44">
        <f t="shared" ca="1" si="246"/>
        <v>3.8281517584171421E-3</v>
      </c>
      <c r="FE76" s="44">
        <f t="shared" ca="1" si="247"/>
        <v>9.2811457402793649E-3</v>
      </c>
      <c r="FF76" s="44">
        <f t="shared" ca="1" si="248"/>
        <v>4.3435445197564194E-4</v>
      </c>
      <c r="FG76" s="45">
        <f t="shared" ca="1" si="249"/>
        <v>-3.9453857740854522E-5</v>
      </c>
    </row>
    <row r="77" spans="1:173" x14ac:dyDescent="0.2">
      <c r="A77" s="51" t="str">
        <f t="shared" ref="A77" ca="1" si="258">INDEX(Historical_Data_Names,3,B77)</f>
        <v>L</v>
      </c>
      <c r="B77" s="57">
        <f t="shared" si="178"/>
        <v>36</v>
      </c>
      <c r="C77" s="11" t="str">
        <f t="shared" ref="C77" ca="1" si="259">INDEX(Historical_Data_Names,2,B77)</f>
        <v>US Bond Off B/S</v>
      </c>
      <c r="D77" s="58"/>
      <c r="E77" s="59">
        <f t="shared" ref="E77" ca="1" si="260">AVERAGE(OFFSET(Historical_Data_Start,date_start_row,$B77,date_rows,1))*4</f>
        <v>-7.9842731827023547E-2</v>
      </c>
      <c r="F77" s="59">
        <f t="array" aca="1" ref="F77" ca="1">PRODUCT(1+OFFSET(Historical_Data_Start,date_start_row,$B77,date_rows,1))^(4/date_rows)-1</f>
        <v>-7.9221807385020493E-2</v>
      </c>
      <c r="G77" s="59">
        <f t="shared" ref="G77" ca="1" si="261">STDEV(OFFSET(Historical_Data_Start,date_start_row,$B77,date_rows,1))*2</f>
        <v>5.9583896674965865E-2</v>
      </c>
      <c r="H77" s="6"/>
      <c r="I77" s="61">
        <v>0.06</v>
      </c>
      <c r="J77" s="61">
        <v>6.3E-2</v>
      </c>
      <c r="K77" s="6"/>
      <c r="L77" s="60">
        <v>-9.9999999999999995E-7</v>
      </c>
      <c r="M77" s="60"/>
      <c r="N77" s="14">
        <f t="shared" si="174"/>
        <v>-9.9999999999999995E-7</v>
      </c>
      <c r="O77" s="6"/>
      <c r="P77" s="115">
        <f t="shared" si="175"/>
        <v>-9.9999999999999995E-7</v>
      </c>
      <c r="Q77" s="115">
        <f t="shared" si="175"/>
        <v>-9.9999999999999995E-7</v>
      </c>
      <c r="R77" s="6"/>
      <c r="S77" s="226"/>
      <c r="T77" s="410">
        <v>0</v>
      </c>
      <c r="U77" s="410">
        <v>0</v>
      </c>
      <c r="V77" s="410">
        <v>0</v>
      </c>
      <c r="W77" s="410">
        <v>0</v>
      </c>
      <c r="X77" s="410">
        <v>0</v>
      </c>
      <c r="Y77" s="410">
        <v>0</v>
      </c>
      <c r="Z77" s="6"/>
      <c r="AI77" s="117">
        <v>0</v>
      </c>
      <c r="AJ77" s="117">
        <v>0</v>
      </c>
      <c r="AK77" s="117">
        <v>0</v>
      </c>
      <c r="AL77" s="117">
        <v>0</v>
      </c>
      <c r="AM77" s="117">
        <v>0</v>
      </c>
      <c r="AN77" s="117">
        <v>0</v>
      </c>
      <c r="AO77" s="117">
        <v>0</v>
      </c>
      <c r="AP77" s="117">
        <v>0</v>
      </c>
      <c r="AQ77" s="117">
        <v>0</v>
      </c>
      <c r="AR77" s="117">
        <v>0</v>
      </c>
      <c r="AS77" s="117">
        <v>0</v>
      </c>
      <c r="AU77" s="117">
        <v>0</v>
      </c>
      <c r="AV77" s="117">
        <v>0</v>
      </c>
      <c r="AW77" s="117">
        <v>0</v>
      </c>
      <c r="AX77" s="117">
        <v>0</v>
      </c>
      <c r="AY77" s="117">
        <v>0</v>
      </c>
      <c r="AZ77" s="117">
        <v>0</v>
      </c>
      <c r="BA77" s="117">
        <v>0</v>
      </c>
      <c r="BB77" s="117">
        <v>0</v>
      </c>
      <c r="BC77" s="117">
        <v>0</v>
      </c>
      <c r="BD77" s="117">
        <v>0</v>
      </c>
      <c r="BE77" s="117">
        <v>0</v>
      </c>
      <c r="BG77" s="51" t="str">
        <f t="shared" ca="1" si="176"/>
        <v>US Bond Off B/S</v>
      </c>
      <c r="BH77" s="38">
        <f t="shared" si="198"/>
        <v>0.06</v>
      </c>
      <c r="BI77" s="38">
        <f t="shared" si="199"/>
        <v>6.3E-2</v>
      </c>
      <c r="BK77" s="31">
        <f ca="1">CORREL(OFFSET(Historical_Data_Start,date_start_row,$B77,date_rows,1),OFFSET(Historical_Data_Start,date_start_row,Calculations!BK$40,date_rows,1))</f>
        <v>-0.27340382817043951</v>
      </c>
      <c r="BL77" s="32">
        <f ca="1">CORREL(OFFSET(Historical_Data_Start,date_start_row,$B77,date_rows,1),OFFSET(Historical_Data_Start,date_start_row,Calculations!BL$40,date_rows,1))</f>
        <v>-0.87429445634749281</v>
      </c>
      <c r="BM77" s="32">
        <f ca="1">CORREL(OFFSET(Historical_Data_Start,date_start_row,$B77,date_rows,1),OFFSET(Historical_Data_Start,date_start_row,Calculations!BM$40,date_rows,1))</f>
        <v>-0.72491369602666345</v>
      </c>
      <c r="BN77" s="32">
        <f ca="1">CORREL(OFFSET(Historical_Data_Start,date_start_row,$B77,date_rows,1),OFFSET(Historical_Data_Start,date_start_row,Calculations!BN$40,date_rows,1))</f>
        <v>-0.99287852560086309</v>
      </c>
      <c r="BO77" s="32">
        <f ca="1">CORREL(OFFSET(Historical_Data_Start,date_start_row,$B77,date_rows,1),OFFSET(Historical_Data_Start,date_start_row,Calculations!BO$40,date_rows,1))</f>
        <v>-0.9193142814648162</v>
      </c>
      <c r="BP77" s="32">
        <f ca="1">CORREL(OFFSET(Historical_Data_Start,date_start_row,$B77,date_rows,1),OFFSET(Historical_Data_Start,date_start_row,Calculations!BP$40,date_rows,1))</f>
        <v>-0.81088206046529365</v>
      </c>
      <c r="BQ77" s="32">
        <f ca="1">CORREL(OFFSET(Historical_Data_Start,date_start_row,$B77,date_rows,1),OFFSET(Historical_Data_Start,date_start_row,Calculations!BQ$40,date_rows,1))</f>
        <v>-0.78981188478590292</v>
      </c>
      <c r="BR77" s="32">
        <f ca="1">CORREL(OFFSET(Historical_Data_Start,date_start_row,$B77,date_rows,1),OFFSET(Historical_Data_Start,date_start_row,Calculations!BR$40,date_rows,1))</f>
        <v>-0.84678778277230371</v>
      </c>
      <c r="BS77" s="32">
        <f ca="1">CORREL(OFFSET(Historical_Data_Start,date_start_row,$B77,date_rows,1),OFFSET(Historical_Data_Start,date_start_row,Calculations!BS$40,date_rows,1))</f>
        <v>-0.80526511849747651</v>
      </c>
      <c r="BT77" s="32">
        <f ca="1">CORREL(OFFSET(Historical_Data_Start,date_start_row,$B77,date_rows,1),OFFSET(Historical_Data_Start,date_start_row,Calculations!BT$40,date_rows,1))</f>
        <v>-0.56745664930864115</v>
      </c>
      <c r="BU77" s="32">
        <f ca="1">CORREL(OFFSET(Historical_Data_Start,date_start_row,$B77,date_rows,1),OFFSET(Historical_Data_Start,date_start_row,Calculations!BU$40,date_rows,1))</f>
        <v>-0.15027136017004664</v>
      </c>
      <c r="BV77" s="32">
        <f ca="1">CORREL(OFFSET(Historical_Data_Start,date_start_row,$B77,date_rows,1),OFFSET(Historical_Data_Start,date_start_row,Calculations!BV$40,date_rows,1))</f>
        <v>-0.15667301830891223</v>
      </c>
      <c r="BW77" s="32">
        <f ca="1">CORREL(OFFSET(Historical_Data_Start,date_start_row,$B77,date_rows,1),OFFSET(Historical_Data_Start,date_start_row,Calculations!BW$40,date_rows,1))</f>
        <v>-0.22403602931330793</v>
      </c>
      <c r="BX77" s="32">
        <f ca="1">CORREL(OFFSET(Historical_Data_Start,date_start_row,$B77,date_rows,1),OFFSET(Historical_Data_Start,date_start_row,Calculations!BX$40,date_rows,1))</f>
        <v>-9.4086009772661183E-2</v>
      </c>
      <c r="BY77" s="32">
        <f ca="1">CORREL(OFFSET(Historical_Data_Start,date_start_row,$B77,date_rows,1),OFFSET(Historical_Data_Start,date_start_row,Calculations!BY$40,date_rows,1))</f>
        <v>-0.19960201988889539</v>
      </c>
      <c r="BZ77" s="32">
        <f ca="1">CORREL(OFFSET(Historical_Data_Start,date_start_row,$B77,date_rows,1),OFFSET(Historical_Data_Start,date_start_row,Calculations!BZ$40,date_rows,1))</f>
        <v>-0.24760545898678191</v>
      </c>
      <c r="CA77" s="32">
        <f ca="1">CORREL(OFFSET(Historical_Data_Start,date_start_row,$B77,date_rows,1),OFFSET(Historical_Data_Start,date_start_row,Calculations!CA$40,date_rows,1))</f>
        <v>-0.2754024647114377</v>
      </c>
      <c r="CB77" s="32">
        <f ca="1">CORREL(OFFSET(Historical_Data_Start,date_start_row,$B77,date_rows,1),OFFSET(Historical_Data_Start,date_start_row,Calculations!CB$40,date_rows,1))</f>
        <v>-9.4089757712323668E-2</v>
      </c>
      <c r="CC77" s="32">
        <f ca="1">CORREL(OFFSET(Historical_Data_Start,date_start_row,$B77,date_rows,1),OFFSET(Historical_Data_Start,date_start_row,Calculations!CC$40,date_rows,1))</f>
        <v>-9.0711648929442432E-2</v>
      </c>
      <c r="CD77" s="32">
        <f ca="1">CORREL(OFFSET(Historical_Data_Start,date_start_row,$B77,date_rows,1),OFFSET(Historical_Data_Start,date_start_row,Calculations!CD$40,date_rows,1))</f>
        <v>5.7442849498931204E-3</v>
      </c>
      <c r="CE77" s="32">
        <f ca="1">CORREL(OFFSET(Historical_Data_Start,date_start_row,$B77,date_rows,1),OFFSET(Historical_Data_Start,date_start_row,Calculations!CE$40,date_rows,1))</f>
        <v>-3.1217130546131403E-2</v>
      </c>
      <c r="CF77" s="32">
        <f ca="1">CORREL(OFFSET(Historical_Data_Start,date_start_row,$B77,date_rows,1),OFFSET(Historical_Data_Start,date_start_row,Calculations!CF$40,date_rows,1))</f>
        <v>0.15210724043721185</v>
      </c>
      <c r="CG77" s="32">
        <f ca="1">CORREL(OFFSET(Historical_Data_Start,date_start_row,$B77,date_rows,1),OFFSET(Historical_Data_Start,date_start_row,Calculations!CG$40,date_rows,1))</f>
        <v>3.2753738220597108E-2</v>
      </c>
      <c r="CH77" s="32">
        <f ca="1">CORREL(OFFSET(Historical_Data_Start,date_start_row,$B77,date_rows,1),OFFSET(Historical_Data_Start,date_start_row,Calculations!CH$40,date_rows,1))</f>
        <v>-0.19873701620235171</v>
      </c>
      <c r="CI77" s="32">
        <f ca="1">CORREL(OFFSET(Historical_Data_Start,date_start_row,$B77,date_rows,1),OFFSET(Historical_Data_Start,date_start_row,Calculations!CI$40,date_rows,1))</f>
        <v>-0.14485278130661705</v>
      </c>
      <c r="CJ77" s="32">
        <f ca="1">CORREL(OFFSET(Historical_Data_Start,date_start_row,$B77,date_rows,1),OFFSET(Historical_Data_Start,date_start_row,Calculations!CJ$40,date_rows,1))</f>
        <v>-0.11466683806222935</v>
      </c>
      <c r="CK77" s="32">
        <f ca="1">CORREL(OFFSET(Historical_Data_Start,date_start_row,$B77,date_rows,1),OFFSET(Historical_Data_Start,date_start_row,Calculations!CK$40,date_rows,1))</f>
        <v>8.8870117918603095E-2</v>
      </c>
      <c r="CL77" s="32">
        <f ca="1">CORREL(OFFSET(Historical_Data_Start,date_start_row,$B77,date_rows,1),OFFSET(Historical_Data_Start,date_start_row,Calculations!CL$40,date_rows,1))</f>
        <v>-0.27340330876831936</v>
      </c>
      <c r="CM77" s="32">
        <f ca="1">CORREL(OFFSET(Historical_Data_Start,date_start_row,$B77,date_rows,1),OFFSET(Historical_Data_Start,date_start_row,Calculations!CM$40,date_rows,1))</f>
        <v>-0.87429445634749281</v>
      </c>
      <c r="CN77" s="32">
        <f ca="1">CORREL(OFFSET(Historical_Data_Start,date_start_row,$B77,date_rows,1),OFFSET(Historical_Data_Start,date_start_row,Calculations!CN$40,date_rows,1))</f>
        <v>-0.72491369602666345</v>
      </c>
      <c r="CO77" s="32">
        <f ca="1">CORREL(OFFSET(Historical_Data_Start,date_start_row,$B77,date_rows,1),OFFSET(Historical_Data_Start,date_start_row,Calculations!CO$40,date_rows,1))</f>
        <v>-0.81088206046529365</v>
      </c>
      <c r="CP77" s="32">
        <f ca="1">CORREL(OFFSET(Historical_Data_Start,date_start_row,$B77,date_rows,1),OFFSET(Historical_Data_Start,date_start_row,Calculations!CP$40,date_rows,1))</f>
        <v>-0.78981188478590292</v>
      </c>
      <c r="CQ77" s="32">
        <f ca="1">CORREL(OFFSET(Historical_Data_Start,date_start_row,$B77,date_rows,1),OFFSET(Historical_Data_Start,date_start_row,Calculations!CQ$40,date_rows,1))</f>
        <v>-0.6211248729740535</v>
      </c>
      <c r="CR77" s="32">
        <f ca="1">CORREL(OFFSET(Historical_Data_Start,date_start_row,$B77,date_rows,1),OFFSET(Historical_Data_Start,date_start_row,Calculations!CR$40,date_rows,1))</f>
        <v>-0.65266244199437473</v>
      </c>
      <c r="CS77" s="32">
        <f ca="1">CORREL(OFFSET(Historical_Data_Start,date_start_row,$B77,date_rows,1),OFFSET(Historical_Data_Start,date_start_row,Calculations!CS$40,date_rows,1))</f>
        <v>-0.46639400015247878</v>
      </c>
      <c r="CT77" s="32">
        <f ca="1">CORREL(OFFSET(Historical_Data_Start,date_start_row,$B77,date_rows,1),OFFSET(Historical_Data_Start,date_start_row,Calculations!CT$40,date_rows,1))</f>
        <v>1.0000000000000002</v>
      </c>
      <c r="CU77" s="32">
        <f ca="1">CORREL(OFFSET(Historical_Data_Start,date_start_row,$B77,date_rows,1),OFFSET(Historical_Data_Start,date_start_row,Calculations!CU$40,date_rows,1))</f>
        <v>0.85895261780314502</v>
      </c>
      <c r="CV77" s="32">
        <f ca="1">CORREL(OFFSET(Historical_Data_Start,date_start_row,$B77,date_rows,1),OFFSET(Historical_Data_Start,date_start_row,Calculations!CV$40,date_rows,1))</f>
        <v>0.40605777323028969</v>
      </c>
      <c r="CW77" s="32">
        <f ca="1">CORREL(OFFSET(Historical_Data_Start,date_start_row,$B77,date_rows,1),OFFSET(Historical_Data_Start,date_start_row,Calculations!CW$40,date_rows,1))</f>
        <v>0.23770365609458549</v>
      </c>
      <c r="CX77" s="32">
        <f ca="1">CORREL(OFFSET(Historical_Data_Start,date_start_row,$B77,date_rows,1),OFFSET(Historical_Data_Start,date_start_row,Calculations!CX$40,date_rows,1))</f>
        <v>0.22549372764389147</v>
      </c>
      <c r="CY77" s="32">
        <f ca="1">CORREL(OFFSET(Historical_Data_Start,date_start_row,$B77,date_rows,1),OFFSET(Historical_Data_Start,date_start_row,Calculations!CY$40,date_rows,1))</f>
        <v>0.22403602931330793</v>
      </c>
      <c r="CZ77" s="32">
        <f ca="1">CORREL(OFFSET(Historical_Data_Start,date_start_row,$B77,date_rows,1),OFFSET(Historical_Data_Start,date_start_row,Calculations!CZ$40,date_rows,1))</f>
        <v>0.13580432887235319</v>
      </c>
      <c r="DA77" s="32">
        <f ca="1">CORREL(OFFSET(Historical_Data_Start,date_start_row,$B77,date_rows,1),OFFSET(Historical_Data_Start,date_start_row,Calculations!DA$40,date_rows,1))</f>
        <v>0.23775845580294644</v>
      </c>
      <c r="DB77" s="32">
        <f ca="1">CORREL(OFFSET(Historical_Data_Start,date_start_row,$B77,date_rows,1),OFFSET(Historical_Data_Start,date_start_row,Calculations!DB$40,date_rows,1))</f>
        <v>0.28718152625861831</v>
      </c>
      <c r="DC77" s="32">
        <f ca="1">CORREL(OFFSET(Historical_Data_Start,date_start_row,$B77,date_rows,1),OFFSET(Historical_Data_Start,date_start_row,Calculations!DC$40,date_rows,1))</f>
        <v>0.32334978134112441</v>
      </c>
      <c r="DD77" s="32">
        <f ca="1">CORREL(OFFSET(Historical_Data_Start,date_start_row,$B77,date_rows,1),OFFSET(Historical_Data_Start,date_start_row,Calculations!DD$40,date_rows,1))</f>
        <v>0.13198654210654112</v>
      </c>
      <c r="DE77" s="32">
        <f ca="1">CORREL(OFFSET(Historical_Data_Start,date_start_row,$B77,date_rows,1),OFFSET(Historical_Data_Start,date_start_row,Calculations!DE$40,date_rows,1))</f>
        <v>0.12410608419031866</v>
      </c>
      <c r="DF77" s="32">
        <f ca="1">CORREL(OFFSET(Historical_Data_Start,date_start_row,$B77,date_rows,1),OFFSET(Historical_Data_Start,date_start_row,Calculations!DF$40,date_rows,1))</f>
        <v>2.9731652520375726E-2</v>
      </c>
      <c r="DG77" s="32">
        <f ca="1">CORREL(OFFSET(Historical_Data_Start,date_start_row,$B77,date_rows,1),OFFSET(Historical_Data_Start,date_start_row,Calculations!DG$40,date_rows,1))</f>
        <v>7.1384930683857109E-2</v>
      </c>
      <c r="DH77" s="33">
        <f ca="1">CORREL(OFFSET(Historical_Data_Start,date_start_row,$B77,date_rows,1),OFFSET(Historical_Data_Start,date_start_row,Calculations!DH$40,date_rows,1))</f>
        <v>-0.17048530470173645</v>
      </c>
      <c r="DI77" s="2">
        <f t="shared" si="71"/>
        <v>36</v>
      </c>
      <c r="DJ77" s="43">
        <f t="shared" ca="1" si="200"/>
        <v>-1.7224441174737689E-4</v>
      </c>
      <c r="DK77" s="44">
        <f t="shared" ca="1" si="201"/>
        <v>-3.470074697243199E-3</v>
      </c>
      <c r="DL77" s="44">
        <f t="shared" ca="1" si="202"/>
        <v>-4.9323127877654192E-3</v>
      </c>
      <c r="DM77" s="44">
        <f t="shared" ca="1" si="203"/>
        <v>-3.6279781325455535E-3</v>
      </c>
      <c r="DN77" s="44">
        <f t="shared" ca="1" si="204"/>
        <v>-5.675846373763776E-3</v>
      </c>
      <c r="DO77" s="44">
        <f t="shared" ca="1" si="205"/>
        <v>-2.7075351998936156E-3</v>
      </c>
      <c r="DP77" s="44">
        <f t="shared" ca="1" si="206"/>
        <v>-4.5777496842190936E-3</v>
      </c>
      <c r="DQ77" s="44">
        <f t="shared" ca="1" si="207"/>
        <v>-2.6140338854181017E-3</v>
      </c>
      <c r="DR77" s="44">
        <f t="shared" ca="1" si="208"/>
        <v>-4.2107313046233046E-3</v>
      </c>
      <c r="DS77" s="44">
        <f t="shared" ca="1" si="209"/>
        <v>-2.5024838234511079E-3</v>
      </c>
      <c r="DT77" s="44">
        <f t="shared" ca="1" si="210"/>
        <v>-1.5147353105140701E-3</v>
      </c>
      <c r="DU77" s="44">
        <f t="shared" ca="1" si="211"/>
        <v>-1.9740800306922942E-3</v>
      </c>
      <c r="DV77" s="44">
        <f t="shared" ca="1" si="212"/>
        <v>-2.5405685724129118E-3</v>
      </c>
      <c r="DW77" s="44">
        <f t="shared" ca="1" si="213"/>
        <v>-1.4225804677626371E-3</v>
      </c>
      <c r="DX77" s="44">
        <f t="shared" ca="1" si="214"/>
        <v>-2.6407347231300862E-3</v>
      </c>
      <c r="DY77" s="44">
        <f t="shared" ca="1" si="215"/>
        <v>-3.1198287832334519E-3</v>
      </c>
      <c r="DZ77" s="44">
        <f t="shared" ca="1" si="216"/>
        <v>-3.4700710553641151E-3</v>
      </c>
      <c r="EA77" s="44">
        <f t="shared" ca="1" si="217"/>
        <v>-1.3040840418928061E-3</v>
      </c>
      <c r="EB77" s="44">
        <f t="shared" ca="1" si="218"/>
        <v>-1.4858568094642671E-3</v>
      </c>
      <c r="EC77" s="44">
        <f t="shared" ca="1" si="219"/>
        <v>1.0856698555297998E-4</v>
      </c>
      <c r="ED77" s="44">
        <f t="shared" ca="1" si="220"/>
        <v>-5.5067018283375807E-4</v>
      </c>
      <c r="EE77" s="44">
        <f t="shared" ca="1" si="221"/>
        <v>8.6244805327899117E-4</v>
      </c>
      <c r="EF77" s="44">
        <f t="shared" ca="1" si="222"/>
        <v>1.8571369571078559E-4</v>
      </c>
      <c r="EG77" s="44">
        <f t="shared" ca="1" si="223"/>
        <v>-2.1284734435271868E-3</v>
      </c>
      <c r="EH77" s="44">
        <f t="shared" ca="1" si="224"/>
        <v>-2.1901740533560496E-3</v>
      </c>
      <c r="EI77" s="44">
        <f t="shared" ca="1" si="225"/>
        <v>-8.6688129575045387E-4</v>
      </c>
      <c r="EJ77" s="44">
        <f t="shared" ca="1" si="226"/>
        <v>5.0389356859847955E-4</v>
      </c>
      <c r="EK77" s="43">
        <f t="shared" ca="1" si="227"/>
        <v>-1.7224408452404119E-4</v>
      </c>
      <c r="EL77" s="44">
        <f t="shared" ca="1" si="228"/>
        <v>-2.5337053344950343E-3</v>
      </c>
      <c r="EM77" s="44">
        <f t="shared" ca="1" si="229"/>
        <v>-3.6992345908240633E-3</v>
      </c>
      <c r="EN77" s="44">
        <f t="shared" ca="1" si="230"/>
        <v>-2.0945083621818532E-3</v>
      </c>
      <c r="EO77" s="44">
        <f t="shared" ca="1" si="231"/>
        <v>-5.6724289565323544E-3</v>
      </c>
      <c r="EP77" s="44">
        <f t="shared" ca="1" si="232"/>
        <v>-1.0839250158270206E-2</v>
      </c>
      <c r="EQ77" s="44">
        <f t="shared" ca="1" si="233"/>
        <v>-9.7860206552636553E-3</v>
      </c>
      <c r="ER77" s="44">
        <f t="shared" ca="1" si="234"/>
        <v>-9.4025030430739728E-3</v>
      </c>
      <c r="ES77" s="44">
        <f t="shared" ca="1" si="235"/>
        <v>3.9690000000000012E-3</v>
      </c>
      <c r="ET77" s="44">
        <f t="shared" ca="1" si="236"/>
        <v>2.7057007460799067E-3</v>
      </c>
      <c r="EU77" s="44">
        <f t="shared" ca="1" si="237"/>
        <v>1.7907147799455778E-3</v>
      </c>
      <c r="EV77" s="44">
        <f t="shared" ca="1" si="238"/>
        <v>2.3960528534334217E-3</v>
      </c>
      <c r="EW77" s="44">
        <f t="shared" ca="1" si="239"/>
        <v>2.8412209683130324E-3</v>
      </c>
      <c r="EX77" s="44">
        <f t="shared" ca="1" si="240"/>
        <v>2.5405685724129118E-3</v>
      </c>
      <c r="EY77" s="44">
        <f t="shared" ca="1" si="241"/>
        <v>2.0533614525499802E-3</v>
      </c>
      <c r="EZ77" s="44">
        <f t="shared" ca="1" si="242"/>
        <v>3.1455443702729817E-3</v>
      </c>
      <c r="FA77" s="44">
        <f t="shared" ca="1" si="243"/>
        <v>3.6184872308585906E-3</v>
      </c>
      <c r="FB77" s="44">
        <f t="shared" ca="1" si="244"/>
        <v>4.0742072448981675E-3</v>
      </c>
      <c r="FC77" s="44">
        <f t="shared" ca="1" si="245"/>
        <v>1.82933347359666E-3</v>
      </c>
      <c r="FD77" s="44">
        <f t="shared" ca="1" si="246"/>
        <v>2.03285765903742E-3</v>
      </c>
      <c r="FE77" s="44">
        <f t="shared" ca="1" si="247"/>
        <v>5.6192823263510124E-4</v>
      </c>
      <c r="FF77" s="44">
        <f t="shared" ca="1" si="248"/>
        <v>1.2592301772632395E-3</v>
      </c>
      <c r="FG77" s="45">
        <f t="shared" ca="1" si="249"/>
        <v>-5.3702870981046985E-5</v>
      </c>
    </row>
    <row r="78" spans="1:173" x14ac:dyDescent="0.2">
      <c r="A78" s="51" t="str">
        <f t="shared" ref="A78" ca="1" si="262">INDEX(Historical_Data_Names,3,B78)</f>
        <v>L</v>
      </c>
      <c r="B78" s="57">
        <f t="shared" si="178"/>
        <v>37</v>
      </c>
      <c r="C78" s="11" t="str">
        <f t="shared" ref="C78" ca="1" si="263">INDEX(Historical_Data_Names,2,B78)</f>
        <v>CAD Bond Off B/S</v>
      </c>
      <c r="D78" s="58"/>
      <c r="E78" s="59">
        <f t="shared" ref="E78" ca="1" si="264">AVERAGE(OFFSET(Historical_Data_Start,date_start_row,$B78,date_rows,1))*4</f>
        <v>-9.5921562776155628E-2</v>
      </c>
      <c r="F78" s="59">
        <f t="array" aca="1" ref="F78" ca="1">PRODUCT(1+OFFSET(Historical_Data_Start,date_start_row,$B78,date_rows,1))^(4/date_rows)-1</f>
        <v>-9.5524843055346698E-2</v>
      </c>
      <c r="G78" s="59">
        <f t="shared" ref="G78" ca="1" si="265">STDEV(OFFSET(Historical_Data_Start,date_start_row,$B78,date_rows,1))*2</f>
        <v>7.8537016170150034E-2</v>
      </c>
      <c r="H78" s="6"/>
      <c r="I78" s="61">
        <v>0.06</v>
      </c>
      <c r="J78" s="61">
        <v>0.05</v>
      </c>
      <c r="K78" s="6"/>
      <c r="L78" s="60">
        <v>-9.9999999999999995E-7</v>
      </c>
      <c r="M78" s="60"/>
      <c r="N78" s="14">
        <f t="shared" si="174"/>
        <v>-9.9999999999999995E-7</v>
      </c>
      <c r="O78" s="6"/>
      <c r="P78" s="115">
        <f t="shared" si="175"/>
        <v>-9.9999999999999995E-7</v>
      </c>
      <c r="Q78" s="115">
        <f t="shared" si="175"/>
        <v>-9.9999999999999995E-7</v>
      </c>
      <c r="R78" s="6"/>
      <c r="S78" s="226"/>
      <c r="T78" s="410">
        <v>0</v>
      </c>
      <c r="U78" s="410">
        <v>0</v>
      </c>
      <c r="V78" s="410">
        <v>0</v>
      </c>
      <c r="W78" s="410">
        <v>0</v>
      </c>
      <c r="X78" s="410">
        <v>0</v>
      </c>
      <c r="Y78" s="410">
        <v>0</v>
      </c>
      <c r="Z78" s="6"/>
      <c r="AI78" s="117">
        <v>0</v>
      </c>
      <c r="AJ78" s="117">
        <v>0</v>
      </c>
      <c r="AK78" s="117">
        <v>0</v>
      </c>
      <c r="AL78" s="117">
        <v>0</v>
      </c>
      <c r="AM78" s="117">
        <v>0</v>
      </c>
      <c r="AN78" s="117">
        <v>0</v>
      </c>
      <c r="AO78" s="117">
        <v>0</v>
      </c>
      <c r="AP78" s="117">
        <v>0</v>
      </c>
      <c r="AQ78" s="117">
        <v>0</v>
      </c>
      <c r="AR78" s="117">
        <v>0</v>
      </c>
      <c r="AS78" s="117">
        <v>0</v>
      </c>
      <c r="AU78" s="117">
        <v>0</v>
      </c>
      <c r="AV78" s="117">
        <v>0</v>
      </c>
      <c r="AW78" s="117">
        <v>0</v>
      </c>
      <c r="AX78" s="117">
        <v>0</v>
      </c>
      <c r="AY78" s="117">
        <v>0</v>
      </c>
      <c r="AZ78" s="117">
        <v>0</v>
      </c>
      <c r="BA78" s="117">
        <v>0</v>
      </c>
      <c r="BB78" s="117">
        <v>0</v>
      </c>
      <c r="BC78" s="117">
        <v>0</v>
      </c>
      <c r="BD78" s="117">
        <v>0</v>
      </c>
      <c r="BE78" s="117">
        <v>0</v>
      </c>
      <c r="BG78" s="51" t="str">
        <f t="shared" ca="1" si="176"/>
        <v>CAD Bond Off B/S</v>
      </c>
      <c r="BH78" s="38">
        <f t="shared" si="198"/>
        <v>0.06</v>
      </c>
      <c r="BI78" s="38">
        <f t="shared" si="199"/>
        <v>0.05</v>
      </c>
      <c r="BK78" s="31">
        <f ca="1">CORREL(OFFSET(Historical_Data_Start,date_start_row,$B78,date_rows,1),OFFSET(Historical_Data_Start,date_start_row,Calculations!BK$40,date_rows,1))</f>
        <v>-0.1765991868937748</v>
      </c>
      <c r="BL78" s="32">
        <f ca="1">CORREL(OFFSET(Historical_Data_Start,date_start_row,$B78,date_rows,1),OFFSET(Historical_Data_Start,date_start_row,Calculations!BL$40,date_rows,1))</f>
        <v>-0.76871737035431498</v>
      </c>
      <c r="BM78" s="32">
        <f ca="1">CORREL(OFFSET(Historical_Data_Start,date_start_row,$B78,date_rows,1),OFFSET(Historical_Data_Start,date_start_row,Calculations!BM$40,date_rows,1))</f>
        <v>-0.68623565302627221</v>
      </c>
      <c r="BN78" s="32">
        <f ca="1">CORREL(OFFSET(Historical_Data_Start,date_start_row,$B78,date_rows,1),OFFSET(Historical_Data_Start,date_start_row,Calculations!BN$40,date_rows,1))</f>
        <v>-0.84872029415595984</v>
      </c>
      <c r="BO78" s="32">
        <f ca="1">CORREL(OFFSET(Historical_Data_Start,date_start_row,$B78,date_rows,1),OFFSET(Historical_Data_Start,date_start_row,Calculations!BO$40,date_rows,1))</f>
        <v>-0.82263227143883055</v>
      </c>
      <c r="BP78" s="32">
        <f ca="1">CORREL(OFFSET(Historical_Data_Start,date_start_row,$B78,date_rows,1),OFFSET(Historical_Data_Start,date_start_row,Calculations!BP$40,date_rows,1))</f>
        <v>-0.91470683709987</v>
      </c>
      <c r="BQ78" s="32">
        <f ca="1">CORREL(OFFSET(Historical_Data_Start,date_start_row,$B78,date_rows,1),OFFSET(Historical_Data_Start,date_start_row,Calculations!BQ$40,date_rows,1))</f>
        <v>-0.90064643896617913</v>
      </c>
      <c r="BR78" s="32">
        <f ca="1">CORREL(OFFSET(Historical_Data_Start,date_start_row,$B78,date_rows,1),OFFSET(Historical_Data_Start,date_start_row,Calculations!BR$40,date_rows,1))</f>
        <v>-0.98221457563931647</v>
      </c>
      <c r="BS78" s="32">
        <f ca="1">CORREL(OFFSET(Historical_Data_Start,date_start_row,$B78,date_rows,1),OFFSET(Historical_Data_Start,date_start_row,Calculations!BS$40,date_rows,1))</f>
        <v>-0.94446300032720465</v>
      </c>
      <c r="BT78" s="32">
        <f ca="1">CORREL(OFFSET(Historical_Data_Start,date_start_row,$B78,date_rows,1),OFFSET(Historical_Data_Start,date_start_row,Calculations!BT$40,date_rows,1))</f>
        <v>-0.54312116908732011</v>
      </c>
      <c r="BU78" s="32">
        <f ca="1">CORREL(OFFSET(Historical_Data_Start,date_start_row,$B78,date_rows,1),OFFSET(Historical_Data_Start,date_start_row,Calculations!BU$40,date_rows,1))</f>
        <v>-0.24679244151273155</v>
      </c>
      <c r="BV78" s="32">
        <f ca="1">CORREL(OFFSET(Historical_Data_Start,date_start_row,$B78,date_rows,1),OFFSET(Historical_Data_Start,date_start_row,Calculations!BV$40,date_rows,1))</f>
        <v>-0.24600872894586731</v>
      </c>
      <c r="BW78" s="32">
        <f ca="1">CORREL(OFFSET(Historical_Data_Start,date_start_row,$B78,date_rows,1),OFFSET(Historical_Data_Start,date_start_row,Calculations!BW$40,date_rows,1))</f>
        <v>-0.35963918492472058</v>
      </c>
      <c r="BX78" s="32">
        <f ca="1">CORREL(OFFSET(Historical_Data_Start,date_start_row,$B78,date_rows,1),OFFSET(Historical_Data_Start,date_start_row,Calculations!BX$40,date_rows,1))</f>
        <v>-7.1055259339844246E-2</v>
      </c>
      <c r="BY78" s="32">
        <f ca="1">CORREL(OFFSET(Historical_Data_Start,date_start_row,$B78,date_rows,1),OFFSET(Historical_Data_Start,date_start_row,Calculations!BY$40,date_rows,1))</f>
        <v>-0.17842229844256102</v>
      </c>
      <c r="BZ78" s="32">
        <f ca="1">CORREL(OFFSET(Historical_Data_Start,date_start_row,$B78,date_rows,1),OFFSET(Historical_Data_Start,date_start_row,Calculations!BZ$40,date_rows,1))</f>
        <v>-0.32081160485287041</v>
      </c>
      <c r="CA78" s="32">
        <f ca="1">CORREL(OFFSET(Historical_Data_Start,date_start_row,$B78,date_rows,1),OFFSET(Historical_Data_Start,date_start_row,Calculations!CA$40,date_rows,1))</f>
        <v>-0.278650474074076</v>
      </c>
      <c r="CB78" s="32">
        <f ca="1">CORREL(OFFSET(Historical_Data_Start,date_start_row,$B78,date_rows,1),OFFSET(Historical_Data_Start,date_start_row,Calculations!CB$40,date_rows,1))</f>
        <v>-9.4936707460638134E-2</v>
      </c>
      <c r="CC78" s="32">
        <f ca="1">CORREL(OFFSET(Historical_Data_Start,date_start_row,$B78,date_rows,1),OFFSET(Historical_Data_Start,date_start_row,Calculations!CC$40,date_rows,1))</f>
        <v>-0.10854495696102502</v>
      </c>
      <c r="CD78" s="32">
        <f ca="1">CORREL(OFFSET(Historical_Data_Start,date_start_row,$B78,date_rows,1),OFFSET(Historical_Data_Start,date_start_row,Calculations!CD$40,date_rows,1))</f>
        <v>-3.0141082227471146E-2</v>
      </c>
      <c r="CE78" s="32">
        <f ca="1">CORREL(OFFSET(Historical_Data_Start,date_start_row,$B78,date_rows,1),OFFSET(Historical_Data_Start,date_start_row,Calculations!CE$40,date_rows,1))</f>
        <v>-8.5960950543018125E-2</v>
      </c>
      <c r="CF78" s="32">
        <f ca="1">CORREL(OFFSET(Historical_Data_Start,date_start_row,$B78,date_rows,1),OFFSET(Historical_Data_Start,date_start_row,Calculations!CF$40,date_rows,1))</f>
        <v>0.16347899154810697</v>
      </c>
      <c r="CG78" s="32">
        <f ca="1">CORREL(OFFSET(Historical_Data_Start,date_start_row,$B78,date_rows,1),OFFSET(Historical_Data_Start,date_start_row,Calculations!CG$40,date_rows,1))</f>
        <v>9.2556829350631711E-2</v>
      </c>
      <c r="CH78" s="32">
        <f ca="1">CORREL(OFFSET(Historical_Data_Start,date_start_row,$B78,date_rows,1),OFFSET(Historical_Data_Start,date_start_row,Calculations!CH$40,date_rows,1))</f>
        <v>-0.29427717123350233</v>
      </c>
      <c r="CI78" s="32">
        <f ca="1">CORREL(OFFSET(Historical_Data_Start,date_start_row,$B78,date_rows,1),OFFSET(Historical_Data_Start,date_start_row,Calculations!CI$40,date_rows,1))</f>
        <v>-0.15954958900238952</v>
      </c>
      <c r="CJ78" s="32">
        <f ca="1">CORREL(OFFSET(Historical_Data_Start,date_start_row,$B78,date_rows,1),OFFSET(Historical_Data_Start,date_start_row,Calculations!CJ$40,date_rows,1))</f>
        <v>-9.0488664536772151E-2</v>
      </c>
      <c r="CK78" s="32">
        <f ca="1">CORREL(OFFSET(Historical_Data_Start,date_start_row,$B78,date_rows,1),OFFSET(Historical_Data_Start,date_start_row,Calculations!CK$40,date_rows,1))</f>
        <v>4.9655602147589135E-2</v>
      </c>
      <c r="CL78" s="32">
        <f ca="1">CORREL(OFFSET(Historical_Data_Start,date_start_row,$B78,date_rows,1),OFFSET(Historical_Data_Start,date_start_row,Calculations!CL$40,date_rows,1))</f>
        <v>-0.17659746193583375</v>
      </c>
      <c r="CM78" s="32">
        <f ca="1">CORREL(OFFSET(Historical_Data_Start,date_start_row,$B78,date_rows,1),OFFSET(Historical_Data_Start,date_start_row,Calculations!CM$40,date_rows,1))</f>
        <v>-0.76871737035431498</v>
      </c>
      <c r="CN78" s="32">
        <f ca="1">CORREL(OFFSET(Historical_Data_Start,date_start_row,$B78,date_rows,1),OFFSET(Historical_Data_Start,date_start_row,Calculations!CN$40,date_rows,1))</f>
        <v>-0.68623565302627221</v>
      </c>
      <c r="CO78" s="32">
        <f ca="1">CORREL(OFFSET(Historical_Data_Start,date_start_row,$B78,date_rows,1),OFFSET(Historical_Data_Start,date_start_row,Calculations!CO$40,date_rows,1))</f>
        <v>-0.91470683709987</v>
      </c>
      <c r="CP78" s="32">
        <f ca="1">CORREL(OFFSET(Historical_Data_Start,date_start_row,$B78,date_rows,1),OFFSET(Historical_Data_Start,date_start_row,Calculations!CP$40,date_rows,1))</f>
        <v>-0.90064643896617913</v>
      </c>
      <c r="CQ78" s="32">
        <f ca="1">CORREL(OFFSET(Historical_Data_Start,date_start_row,$B78,date_rows,1),OFFSET(Historical_Data_Start,date_start_row,Calculations!CQ$40,date_rows,1))</f>
        <v>-0.60214025545277616</v>
      </c>
      <c r="CR78" s="32">
        <f ca="1">CORREL(OFFSET(Historical_Data_Start,date_start_row,$B78,date_rows,1),OFFSET(Historical_Data_Start,date_start_row,Calculations!CR$40,date_rows,1))</f>
        <v>-0.77073227632700159</v>
      </c>
      <c r="CS78" s="32">
        <f ca="1">CORREL(OFFSET(Historical_Data_Start,date_start_row,$B78,date_rows,1),OFFSET(Historical_Data_Start,date_start_row,Calculations!CS$40,date_rows,1))</f>
        <v>-0.45960872187769147</v>
      </c>
      <c r="CT78" s="32">
        <f ca="1">CORREL(OFFSET(Historical_Data_Start,date_start_row,$B78,date_rows,1),OFFSET(Historical_Data_Start,date_start_row,Calculations!CT$40,date_rows,1))</f>
        <v>0.85895261780314502</v>
      </c>
      <c r="CU78" s="32">
        <f ca="1">CORREL(OFFSET(Historical_Data_Start,date_start_row,$B78,date_rows,1),OFFSET(Historical_Data_Start,date_start_row,Calculations!CU$40,date_rows,1))</f>
        <v>1</v>
      </c>
      <c r="CV78" s="32">
        <f ca="1">CORREL(OFFSET(Historical_Data_Start,date_start_row,$B78,date_rows,1),OFFSET(Historical_Data_Start,date_start_row,Calculations!CV$40,date_rows,1))</f>
        <v>0.33521167881702518</v>
      </c>
      <c r="CW78" s="32">
        <f ca="1">CORREL(OFFSET(Historical_Data_Start,date_start_row,$B78,date_rows,1),OFFSET(Historical_Data_Start,date_start_row,Calculations!CW$40,date_rows,1))</f>
        <v>0.32236540842577965</v>
      </c>
      <c r="CX78" s="32">
        <f ca="1">CORREL(OFFSET(Historical_Data_Start,date_start_row,$B78,date_rows,1),OFFSET(Historical_Data_Start,date_start_row,Calculations!CX$40,date_rows,1))</f>
        <v>0.30403521496256647</v>
      </c>
      <c r="CY78" s="32">
        <f ca="1">CORREL(OFFSET(Historical_Data_Start,date_start_row,$B78,date_rows,1),OFFSET(Historical_Data_Start,date_start_row,Calculations!CY$40,date_rows,1))</f>
        <v>0.35963918492472058</v>
      </c>
      <c r="CZ78" s="32">
        <f ca="1">CORREL(OFFSET(Historical_Data_Start,date_start_row,$B78,date_rows,1),OFFSET(Historical_Data_Start,date_start_row,Calculations!CZ$40,date_rows,1))</f>
        <v>0.11387619475807936</v>
      </c>
      <c r="DA78" s="32">
        <f ca="1">CORREL(OFFSET(Historical_Data_Start,date_start_row,$B78,date_rows,1),OFFSET(Historical_Data_Start,date_start_row,Calculations!DA$40,date_rows,1))</f>
        <v>0.21818413673536238</v>
      </c>
      <c r="DB78" s="32">
        <f ca="1">CORREL(OFFSET(Historical_Data_Start,date_start_row,$B78,date_rows,1),OFFSET(Historical_Data_Start,date_start_row,Calculations!DB$40,date_rows,1))</f>
        <v>0.355198369514029</v>
      </c>
      <c r="DC78" s="32">
        <f ca="1">CORREL(OFFSET(Historical_Data_Start,date_start_row,$B78,date_rows,1),OFFSET(Historical_Data_Start,date_start_row,Calculations!DC$40,date_rows,1))</f>
        <v>0.32831618099493759</v>
      </c>
      <c r="DD78" s="32">
        <f ca="1">CORREL(OFFSET(Historical_Data_Start,date_start_row,$B78,date_rows,1),OFFSET(Historical_Data_Start,date_start_row,Calculations!DD$40,date_rows,1))</f>
        <v>0.13140837023130278</v>
      </c>
      <c r="DE78" s="32">
        <f ca="1">CORREL(OFFSET(Historical_Data_Start,date_start_row,$B78,date_rows,1),OFFSET(Historical_Data_Start,date_start_row,Calculations!DE$40,date_rows,1))</f>
        <v>0.13924858992716541</v>
      </c>
      <c r="DF78" s="32">
        <f ca="1">CORREL(OFFSET(Historical_Data_Start,date_start_row,$B78,date_rows,1),OFFSET(Historical_Data_Start,date_start_row,Calculations!DF$40,date_rows,1))</f>
        <v>6.2926710435216485E-2</v>
      </c>
      <c r="DG78" s="32">
        <f ca="1">CORREL(OFFSET(Historical_Data_Start,date_start_row,$B78,date_rows,1),OFFSET(Historical_Data_Start,date_start_row,Calculations!DG$40,date_rows,1))</f>
        <v>0.12142051885267062</v>
      </c>
      <c r="DH78" s="33">
        <f ca="1">CORREL(OFFSET(Historical_Data_Start,date_start_row,$B78,date_rows,1),OFFSET(Historical_Data_Start,date_start_row,Calculations!DH$40,date_rows,1))</f>
        <v>-0.11277965732782048</v>
      </c>
      <c r="DI78" s="2">
        <f t="shared" si="71"/>
        <v>37</v>
      </c>
      <c r="DJ78" s="43">
        <f t="shared" ca="1" si="200"/>
        <v>-8.8299593446887405E-5</v>
      </c>
      <c r="DK78" s="44">
        <f t="shared" ca="1" si="201"/>
        <v>-2.4214597166160924E-3</v>
      </c>
      <c r="DL78" s="44">
        <f t="shared" ca="1" si="202"/>
        <v>-3.7056725263418708E-3</v>
      </c>
      <c r="DM78" s="44">
        <f t="shared" ca="1" si="203"/>
        <v>-2.4612888530522832E-3</v>
      </c>
      <c r="DN78" s="44">
        <f t="shared" ca="1" si="204"/>
        <v>-4.0308981300502707E-3</v>
      </c>
      <c r="DO78" s="44">
        <f t="shared" ca="1" si="205"/>
        <v>-2.4239731183146557E-3</v>
      </c>
      <c r="DP78" s="44">
        <f t="shared" ca="1" si="206"/>
        <v>-4.1429736192444243E-3</v>
      </c>
      <c r="DQ78" s="44">
        <f t="shared" ca="1" si="207"/>
        <v>-2.4064257103163255E-3</v>
      </c>
      <c r="DR78" s="44">
        <f t="shared" ca="1" si="208"/>
        <v>-3.9195214513578994E-3</v>
      </c>
      <c r="DS78" s="44">
        <f t="shared" ca="1" si="209"/>
        <v>-1.9009240918056206E-3</v>
      </c>
      <c r="DT78" s="44">
        <f t="shared" ca="1" si="210"/>
        <v>-1.9743395321018525E-3</v>
      </c>
      <c r="DU78" s="44">
        <f t="shared" ca="1" si="211"/>
        <v>-2.4600872894586737E-3</v>
      </c>
      <c r="DV78" s="44">
        <f t="shared" ca="1" si="212"/>
        <v>-3.2367526643224849E-3</v>
      </c>
      <c r="DW78" s="44">
        <f t="shared" ca="1" si="213"/>
        <v>-8.5266311207813099E-4</v>
      </c>
      <c r="DX78" s="44">
        <f t="shared" ca="1" si="214"/>
        <v>-1.8734341336468909E-3</v>
      </c>
      <c r="DY78" s="44">
        <f t="shared" ca="1" si="215"/>
        <v>-3.2081160485287049E-3</v>
      </c>
      <c r="DZ78" s="44">
        <f t="shared" ca="1" si="216"/>
        <v>-2.7865047407407604E-3</v>
      </c>
      <c r="EA78" s="44">
        <f t="shared" ca="1" si="217"/>
        <v>-1.0443037820670195E-3</v>
      </c>
      <c r="EB78" s="44">
        <f t="shared" ca="1" si="218"/>
        <v>-1.4110844404933254E-3</v>
      </c>
      <c r="EC78" s="44">
        <f t="shared" ca="1" si="219"/>
        <v>-4.5211623341206715E-4</v>
      </c>
      <c r="ED78" s="44">
        <f t="shared" ca="1" si="220"/>
        <v>-1.2034533076022539E-3</v>
      </c>
      <c r="EE78" s="44">
        <f t="shared" ca="1" si="221"/>
        <v>7.3565546196648133E-4</v>
      </c>
      <c r="EF78" s="44">
        <f t="shared" ca="1" si="222"/>
        <v>4.1650573207784269E-4</v>
      </c>
      <c r="EG78" s="44">
        <f t="shared" ca="1" si="223"/>
        <v>-2.5013559554847701E-3</v>
      </c>
      <c r="EH78" s="44">
        <f t="shared" ca="1" si="224"/>
        <v>-1.9145950680286743E-3</v>
      </c>
      <c r="EI78" s="44">
        <f t="shared" ca="1" si="225"/>
        <v>-5.429319872206329E-4</v>
      </c>
      <c r="EJ78" s="44">
        <f t="shared" ca="1" si="226"/>
        <v>2.234502096641511E-4</v>
      </c>
      <c r="EK78" s="43">
        <f t="shared" ca="1" si="227"/>
        <v>-8.8298730967916879E-5</v>
      </c>
      <c r="EL78" s="44">
        <f t="shared" ca="1" si="228"/>
        <v>-1.7680499518149245E-3</v>
      </c>
      <c r="EM78" s="44">
        <f t="shared" ca="1" si="229"/>
        <v>-2.779254394756403E-3</v>
      </c>
      <c r="EN78" s="44">
        <f t="shared" ca="1" si="230"/>
        <v>-1.8751490160547333E-3</v>
      </c>
      <c r="EO78" s="44">
        <f t="shared" ca="1" si="231"/>
        <v>-5.1336847021072217E-3</v>
      </c>
      <c r="EP78" s="44">
        <f t="shared" ca="1" si="232"/>
        <v>-8.3396425380209502E-3</v>
      </c>
      <c r="EQ78" s="44">
        <f t="shared" ca="1" si="233"/>
        <v>-9.1717140882913196E-3</v>
      </c>
      <c r="ER78" s="44">
        <f t="shared" ca="1" si="234"/>
        <v>-7.3537395500430638E-3</v>
      </c>
      <c r="ES78" s="44">
        <f t="shared" ca="1" si="235"/>
        <v>2.7057007460799067E-3</v>
      </c>
      <c r="ET78" s="44">
        <f t="shared" ca="1" si="236"/>
        <v>2.5000000000000005E-3</v>
      </c>
      <c r="EU78" s="44">
        <f t="shared" ca="1" si="237"/>
        <v>1.1732408758595883E-3</v>
      </c>
      <c r="EV78" s="44">
        <f t="shared" ca="1" si="238"/>
        <v>2.5789232674062372E-3</v>
      </c>
      <c r="EW78" s="44">
        <f t="shared" ca="1" si="239"/>
        <v>3.0403521496256652E-3</v>
      </c>
      <c r="EX78" s="44">
        <f t="shared" ca="1" si="240"/>
        <v>3.2367526643224849E-3</v>
      </c>
      <c r="EY78" s="44">
        <f t="shared" ca="1" si="241"/>
        <v>1.3665143370969524E-3</v>
      </c>
      <c r="EZ78" s="44">
        <f t="shared" ca="1" si="242"/>
        <v>2.2909334357213052E-3</v>
      </c>
      <c r="FA78" s="44">
        <f t="shared" ca="1" si="243"/>
        <v>3.5519836951402907E-3</v>
      </c>
      <c r="FB78" s="44">
        <f t="shared" ca="1" si="244"/>
        <v>3.2831618099493764E-3</v>
      </c>
      <c r="FC78" s="44">
        <f t="shared" ca="1" si="245"/>
        <v>1.4454920725443306E-3</v>
      </c>
      <c r="FD78" s="44">
        <f t="shared" ca="1" si="246"/>
        <v>1.8102316690531504E-3</v>
      </c>
      <c r="FE78" s="44">
        <f t="shared" ca="1" si="247"/>
        <v>9.4390065652824725E-4</v>
      </c>
      <c r="FF78" s="44">
        <f t="shared" ca="1" si="248"/>
        <v>1.6998872639373888E-3</v>
      </c>
      <c r="FG78" s="45">
        <f t="shared" ca="1" si="249"/>
        <v>-2.8194914331955121E-5</v>
      </c>
    </row>
    <row r="79" spans="1:173" x14ac:dyDescent="0.2">
      <c r="A79" s="51" t="str">
        <f t="shared" ref="A79" ca="1" si="266">INDEX(Historical_Data_Names,3,B79)</f>
        <v>L</v>
      </c>
      <c r="B79" s="57">
        <f t="shared" si="178"/>
        <v>38</v>
      </c>
      <c r="C79" s="11" t="str">
        <f t="shared" ref="C79" ca="1" si="267">INDEX(Historical_Data_Names,2,B79)</f>
        <v>Jpn Bond Off B/S</v>
      </c>
      <c r="D79" s="58"/>
      <c r="E79" s="59">
        <f t="shared" ref="E79" ca="1" si="268">AVERAGE(OFFSET(Historical_Data_Start,date_start_row,$B79,date_rows,1))*4</f>
        <v>-9.3462162411908148E-2</v>
      </c>
      <c r="F79" s="59">
        <f t="array" aca="1" ref="F79" ca="1">PRODUCT(1+OFFSET(Historical_Data_Start,date_start_row,$B79,date_rows,1))^(4/date_rows)-1</f>
        <v>-0.10278657498137311</v>
      </c>
      <c r="G79" s="59">
        <f t="shared" ref="G79" ca="1" si="269">STDEV(OFFSET(Historical_Data_Start,date_start_row,$B79,date_rows,1))*2</f>
        <v>0.15784687338144873</v>
      </c>
      <c r="H79" s="6"/>
      <c r="I79" s="61">
        <v>0.03</v>
      </c>
      <c r="J79" s="61">
        <v>7.0000000000000007E-2</v>
      </c>
      <c r="K79" s="6"/>
      <c r="L79" s="60">
        <v>-9.9999999999999995E-7</v>
      </c>
      <c r="M79" s="60"/>
      <c r="N79" s="14">
        <f t="shared" si="174"/>
        <v>-9.9999999999999995E-7</v>
      </c>
      <c r="O79" s="6"/>
      <c r="P79" s="115">
        <f t="shared" si="175"/>
        <v>-9.9999999999999995E-7</v>
      </c>
      <c r="Q79" s="115">
        <f t="shared" si="175"/>
        <v>-9.9999999999999995E-7</v>
      </c>
      <c r="R79" s="6"/>
      <c r="S79" s="226"/>
      <c r="T79" s="410">
        <v>0</v>
      </c>
      <c r="U79" s="410">
        <v>0</v>
      </c>
      <c r="V79" s="410">
        <v>0</v>
      </c>
      <c r="W79" s="410">
        <v>0</v>
      </c>
      <c r="X79" s="410">
        <v>0</v>
      </c>
      <c r="Y79" s="410">
        <v>0</v>
      </c>
      <c r="Z79" s="6"/>
      <c r="AI79" s="117">
        <v>0</v>
      </c>
      <c r="AJ79" s="117">
        <v>0</v>
      </c>
      <c r="AK79" s="117">
        <v>0</v>
      </c>
      <c r="AL79" s="117">
        <v>0</v>
      </c>
      <c r="AM79" s="117">
        <v>0</v>
      </c>
      <c r="AN79" s="117">
        <v>0</v>
      </c>
      <c r="AO79" s="117">
        <v>0</v>
      </c>
      <c r="AP79" s="117">
        <v>0</v>
      </c>
      <c r="AQ79" s="117">
        <v>0</v>
      </c>
      <c r="AR79" s="117">
        <v>0</v>
      </c>
      <c r="AS79" s="117">
        <v>0</v>
      </c>
      <c r="AU79" s="117">
        <v>0</v>
      </c>
      <c r="AV79" s="117">
        <v>0</v>
      </c>
      <c r="AW79" s="117">
        <v>0</v>
      </c>
      <c r="AX79" s="117">
        <v>0</v>
      </c>
      <c r="AY79" s="117">
        <v>0</v>
      </c>
      <c r="AZ79" s="117">
        <v>0</v>
      </c>
      <c r="BA79" s="117">
        <v>0</v>
      </c>
      <c r="BB79" s="117">
        <v>0</v>
      </c>
      <c r="BC79" s="117">
        <v>0</v>
      </c>
      <c r="BD79" s="117">
        <v>0</v>
      </c>
      <c r="BE79" s="117">
        <v>0</v>
      </c>
      <c r="BG79" s="51" t="str">
        <f t="shared" ca="1" si="176"/>
        <v>Jpn Bond Off B/S</v>
      </c>
      <c r="BH79" s="38">
        <f t="shared" si="198"/>
        <v>0.03</v>
      </c>
      <c r="BI79" s="38">
        <f t="shared" si="199"/>
        <v>7.0000000000000007E-2</v>
      </c>
      <c r="BK79" s="31">
        <f ca="1">CORREL(OFFSET(Historical_Data_Start,date_start_row,$B79,date_rows,1),OFFSET(Historical_Data_Start,date_start_row,Calculations!BK$40,date_rows,1))</f>
        <v>-0.10430298543482437</v>
      </c>
      <c r="BL79" s="32">
        <f ca="1">CORREL(OFFSET(Historical_Data_Start,date_start_row,$B79,date_rows,1),OFFSET(Historical_Data_Start,date_start_row,Calculations!BL$40,date_rows,1))</f>
        <v>-0.51300862785050472</v>
      </c>
      <c r="BM79" s="32">
        <f ca="1">CORREL(OFFSET(Historical_Data_Start,date_start_row,$B79,date_rows,1),OFFSET(Historical_Data_Start,date_start_row,Calculations!BM$40,date_rows,1))</f>
        <v>-0.50164681754980001</v>
      </c>
      <c r="BN79" s="32">
        <f ca="1">CORREL(OFFSET(Historical_Data_Start,date_start_row,$B79,date_rows,1),OFFSET(Historical_Data_Start,date_start_row,Calculations!BN$40,date_rows,1))</f>
        <v>-0.41185863281878998</v>
      </c>
      <c r="BO79" s="32">
        <f ca="1">CORREL(OFFSET(Historical_Data_Start,date_start_row,$B79,date_rows,1),OFFSET(Historical_Data_Start,date_start_row,Calculations!BO$40,date_rows,1))</f>
        <v>-0.40590709869861885</v>
      </c>
      <c r="BP79" s="32">
        <f ca="1">CORREL(OFFSET(Historical_Data_Start,date_start_row,$B79,date_rows,1),OFFSET(Historical_Data_Start,date_start_row,Calculations!BP$40,date_rows,1))</f>
        <v>-0.46650614537272628</v>
      </c>
      <c r="BQ79" s="32">
        <f ca="1">CORREL(OFFSET(Historical_Data_Start,date_start_row,$B79,date_rows,1),OFFSET(Historical_Data_Start,date_start_row,Calculations!BQ$40,date_rows,1))</f>
        <v>-0.42630348712703026</v>
      </c>
      <c r="BR79" s="32">
        <f ca="1">CORREL(OFFSET(Historical_Data_Start,date_start_row,$B79,date_rows,1),OFFSET(Historical_Data_Start,date_start_row,Calculations!BR$40,date_rows,1))</f>
        <v>-0.34217316918370716</v>
      </c>
      <c r="BS79" s="32">
        <f ca="1">CORREL(OFFSET(Historical_Data_Start,date_start_row,$B79,date_rows,1),OFFSET(Historical_Data_Start,date_start_row,Calculations!BS$40,date_rows,1))</f>
        <v>-0.29776815870070439</v>
      </c>
      <c r="BT79" s="32">
        <f ca="1">CORREL(OFFSET(Historical_Data_Start,date_start_row,$B79,date_rows,1),OFFSET(Historical_Data_Start,date_start_row,Calculations!BT$40,date_rows,1))</f>
        <v>-0.58387055762945517</v>
      </c>
      <c r="BU79" s="32">
        <f ca="1">CORREL(OFFSET(Historical_Data_Start,date_start_row,$B79,date_rows,1),OFFSET(Historical_Data_Start,date_start_row,Calculations!BU$40,date_rows,1))</f>
        <v>5.1447901735135533E-2</v>
      </c>
      <c r="BV79" s="32">
        <f ca="1">CORREL(OFFSET(Historical_Data_Start,date_start_row,$B79,date_rows,1),OFFSET(Historical_Data_Start,date_start_row,Calculations!BV$40,date_rows,1))</f>
        <v>8.5927853793390505E-2</v>
      </c>
      <c r="BW79" s="32">
        <f ca="1">CORREL(OFFSET(Historical_Data_Start,date_start_row,$B79,date_rows,1),OFFSET(Historical_Data_Start,date_start_row,Calculations!BW$40,date_rows,1))</f>
        <v>5.7650095737454325E-2</v>
      </c>
      <c r="BX79" s="32">
        <f ca="1">CORREL(OFFSET(Historical_Data_Start,date_start_row,$B79,date_rows,1),OFFSET(Historical_Data_Start,date_start_row,Calculations!BX$40,date_rows,1))</f>
        <v>-0.39734153437430497</v>
      </c>
      <c r="BY79" s="32">
        <f ca="1">CORREL(OFFSET(Historical_Data_Start,date_start_row,$B79,date_rows,1),OFFSET(Historical_Data_Start,date_start_row,Calculations!BY$40,date_rows,1))</f>
        <v>-7.7618775461665096E-2</v>
      </c>
      <c r="BZ79" s="32">
        <f ca="1">CORREL(OFFSET(Historical_Data_Start,date_start_row,$B79,date_rows,1),OFFSET(Historical_Data_Start,date_start_row,Calculations!BZ$40,date_rows,1))</f>
        <v>-9.4285499617928537E-2</v>
      </c>
      <c r="CA79" s="32">
        <f ca="1">CORREL(OFFSET(Historical_Data_Start,date_start_row,$B79,date_rows,1),OFFSET(Historical_Data_Start,date_start_row,Calculations!CA$40,date_rows,1))</f>
        <v>-0.22864780647118707</v>
      </c>
      <c r="CB79" s="32">
        <f ca="1">CORREL(OFFSET(Historical_Data_Start,date_start_row,$B79,date_rows,1),OFFSET(Historical_Data_Start,date_start_row,Calculations!CB$40,date_rows,1))</f>
        <v>6.9108952652530933E-2</v>
      </c>
      <c r="CC79" s="32">
        <f ca="1">CORREL(OFFSET(Historical_Data_Start,date_start_row,$B79,date_rows,1),OFFSET(Historical_Data_Start,date_start_row,Calculations!CC$40,date_rows,1))</f>
        <v>9.4032787814132504E-2</v>
      </c>
      <c r="CD79" s="32">
        <f ca="1">CORREL(OFFSET(Historical_Data_Start,date_start_row,$B79,date_rows,1),OFFSET(Historical_Data_Start,date_start_row,Calculations!CD$40,date_rows,1))</f>
        <v>0.11440918901730472</v>
      </c>
      <c r="CE79" s="32">
        <f ca="1">CORREL(OFFSET(Historical_Data_Start,date_start_row,$B79,date_rows,1),OFFSET(Historical_Data_Start,date_start_row,Calculations!CE$40,date_rows,1))</f>
        <v>7.4193529146009352E-2</v>
      </c>
      <c r="CF79" s="32">
        <f ca="1">CORREL(OFFSET(Historical_Data_Start,date_start_row,$B79,date_rows,1),OFFSET(Historical_Data_Start,date_start_row,Calculations!CF$40,date_rows,1))</f>
        <v>0.16798009401489811</v>
      </c>
      <c r="CG79" s="32">
        <f ca="1">CORREL(OFFSET(Historical_Data_Start,date_start_row,$B79,date_rows,1),OFFSET(Historical_Data_Start,date_start_row,Calculations!CG$40,date_rows,1))</f>
        <v>5.721221796971545E-2</v>
      </c>
      <c r="CH79" s="32">
        <f ca="1">CORREL(OFFSET(Historical_Data_Start,date_start_row,$B79,date_rows,1),OFFSET(Historical_Data_Start,date_start_row,Calculations!CH$40,date_rows,1))</f>
        <v>-1.6679922324126718E-2</v>
      </c>
      <c r="CI79" s="32">
        <f ca="1">CORREL(OFFSET(Historical_Data_Start,date_start_row,$B79,date_rows,1),OFFSET(Historical_Data_Start,date_start_row,Calculations!CI$40,date_rows,1))</f>
        <v>0.1667249293713616</v>
      </c>
      <c r="CJ79" s="32">
        <f ca="1">CORREL(OFFSET(Historical_Data_Start,date_start_row,$B79,date_rows,1),OFFSET(Historical_Data_Start,date_start_row,Calculations!CJ$40,date_rows,1))</f>
        <v>-2.2419578484924065E-2</v>
      </c>
      <c r="CK79" s="32">
        <f ca="1">CORREL(OFFSET(Historical_Data_Start,date_start_row,$B79,date_rows,1),OFFSET(Historical_Data_Start,date_start_row,Calculations!CK$40,date_rows,1))</f>
        <v>-2.4861713730939816E-2</v>
      </c>
      <c r="CL79" s="32">
        <f ca="1">CORREL(OFFSET(Historical_Data_Start,date_start_row,$B79,date_rows,1),OFFSET(Historical_Data_Start,date_start_row,Calculations!CL$40,date_rows,1))</f>
        <v>-0.10429599626383669</v>
      </c>
      <c r="CM79" s="32">
        <f ca="1">CORREL(OFFSET(Historical_Data_Start,date_start_row,$B79,date_rows,1),OFFSET(Historical_Data_Start,date_start_row,Calculations!CM$40,date_rows,1))</f>
        <v>-0.51300862785050472</v>
      </c>
      <c r="CN79" s="32">
        <f ca="1">CORREL(OFFSET(Historical_Data_Start,date_start_row,$B79,date_rows,1),OFFSET(Historical_Data_Start,date_start_row,Calculations!CN$40,date_rows,1))</f>
        <v>-0.50164681754980001</v>
      </c>
      <c r="CO79" s="32">
        <f ca="1">CORREL(OFFSET(Historical_Data_Start,date_start_row,$B79,date_rows,1),OFFSET(Historical_Data_Start,date_start_row,Calculations!CO$40,date_rows,1))</f>
        <v>-0.46650614537272628</v>
      </c>
      <c r="CP79" s="32">
        <f ca="1">CORREL(OFFSET(Historical_Data_Start,date_start_row,$B79,date_rows,1),OFFSET(Historical_Data_Start,date_start_row,Calculations!CP$40,date_rows,1))</f>
        <v>-0.42630348712703026</v>
      </c>
      <c r="CQ79" s="32">
        <f ca="1">CORREL(OFFSET(Historical_Data_Start,date_start_row,$B79,date_rows,1),OFFSET(Historical_Data_Start,date_start_row,Calculations!CQ$40,date_rows,1))</f>
        <v>-0.49728900338866694</v>
      </c>
      <c r="CR79" s="32">
        <f ca="1">CORREL(OFFSET(Historical_Data_Start,date_start_row,$B79,date_rows,1),OFFSET(Historical_Data_Start,date_start_row,Calculations!CR$40,date_rows,1))</f>
        <v>-0.42273816703824046</v>
      </c>
      <c r="CS79" s="32">
        <f ca="1">CORREL(OFFSET(Historical_Data_Start,date_start_row,$B79,date_rows,1),OFFSET(Historical_Data_Start,date_start_row,Calculations!CS$40,date_rows,1))</f>
        <v>-0.49283832382789072</v>
      </c>
      <c r="CT79" s="32">
        <f ca="1">CORREL(OFFSET(Historical_Data_Start,date_start_row,$B79,date_rows,1),OFFSET(Historical_Data_Start,date_start_row,Calculations!CT$40,date_rows,1))</f>
        <v>0.40605777323028969</v>
      </c>
      <c r="CU79" s="32">
        <f ca="1">CORREL(OFFSET(Historical_Data_Start,date_start_row,$B79,date_rows,1),OFFSET(Historical_Data_Start,date_start_row,Calculations!CU$40,date_rows,1))</f>
        <v>0.33521167881702518</v>
      </c>
      <c r="CV79" s="32">
        <f ca="1">CORREL(OFFSET(Historical_Data_Start,date_start_row,$B79,date_rows,1),OFFSET(Historical_Data_Start,date_start_row,Calculations!CV$40,date_rows,1))</f>
        <v>1.0000000000000002</v>
      </c>
      <c r="CW79" s="32">
        <f ca="1">CORREL(OFFSET(Historical_Data_Start,date_start_row,$B79,date_rows,1),OFFSET(Historical_Data_Start,date_start_row,Calculations!CW$40,date_rows,1))</f>
        <v>-8.789509945197857E-2</v>
      </c>
      <c r="CX79" s="32">
        <f ca="1">CORREL(OFFSET(Historical_Data_Start,date_start_row,$B79,date_rows,1),OFFSET(Historical_Data_Start,date_start_row,Calculations!CX$40,date_rows,1))</f>
        <v>-0.10864126147962627</v>
      </c>
      <c r="CY79" s="32">
        <f ca="1">CORREL(OFFSET(Historical_Data_Start,date_start_row,$B79,date_rows,1),OFFSET(Historical_Data_Start,date_start_row,Calculations!CY$40,date_rows,1))</f>
        <v>-5.7650095737454325E-2</v>
      </c>
      <c r="CZ79" s="32">
        <f ca="1">CORREL(OFFSET(Historical_Data_Start,date_start_row,$B79,date_rows,1),OFFSET(Historical_Data_Start,date_start_row,Calculations!CZ$40,date_rows,1))</f>
        <v>0.37144264089408685</v>
      </c>
      <c r="DA79" s="32">
        <f ca="1">CORREL(OFFSET(Historical_Data_Start,date_start_row,$B79,date_rows,1),OFFSET(Historical_Data_Start,date_start_row,Calculations!DA$40,date_rows,1))</f>
        <v>5.1509359117289079E-2</v>
      </c>
      <c r="DB79" s="32">
        <f ca="1">CORREL(OFFSET(Historical_Data_Start,date_start_row,$B79,date_rows,1),OFFSET(Historical_Data_Start,date_start_row,Calculations!DB$40,date_rows,1))</f>
        <v>6.7230210221971232E-2</v>
      </c>
      <c r="DC79" s="32">
        <f ca="1">CORREL(OFFSET(Historical_Data_Start,date_start_row,$B79,date_rows,1),OFFSET(Historical_Data_Start,date_start_row,Calculations!DC$40,date_rows,1))</f>
        <v>0.2005876165884044</v>
      </c>
      <c r="DD79" s="32">
        <f ca="1">CORREL(OFFSET(Historical_Data_Start,date_start_row,$B79,date_rows,1),OFFSET(Historical_Data_Start,date_start_row,Calculations!DD$40,date_rows,1))</f>
        <v>-8.2938419867412225E-2</v>
      </c>
      <c r="DE79" s="32">
        <f ca="1">CORREL(OFFSET(Historical_Data_Start,date_start_row,$B79,date_rows,1),OFFSET(Historical_Data_Start,date_start_row,Calculations!DE$40,date_rows,1))</f>
        <v>-0.10359708081421214</v>
      </c>
      <c r="DF79" s="32">
        <f ca="1">CORREL(OFFSET(Historical_Data_Start,date_start_row,$B79,date_rows,1),OFFSET(Historical_Data_Start,date_start_row,Calculations!DF$40,date_rows,1))</f>
        <v>-0.12411616747228804</v>
      </c>
      <c r="DG79" s="32">
        <f ca="1">CORREL(OFFSET(Historical_Data_Start,date_start_row,$B79,date_rows,1),OFFSET(Historical_Data_Start,date_start_row,Calculations!DG$40,date_rows,1))</f>
        <v>-8.5296168171952014E-2</v>
      </c>
      <c r="DH79" s="33">
        <f ca="1">CORREL(OFFSET(Historical_Data_Start,date_start_row,$B79,date_rows,1),OFFSET(Historical_Data_Start,date_start_row,Calculations!DH$40,date_rows,1))</f>
        <v>-9.2214375266803636E-2</v>
      </c>
      <c r="DI79" s="2">
        <f t="shared" si="71"/>
        <v>38</v>
      </c>
      <c r="DJ79" s="43">
        <f t="shared" ca="1" si="200"/>
        <v>-7.3012089804377068E-5</v>
      </c>
      <c r="DK79" s="44">
        <f t="shared" ca="1" si="201"/>
        <v>-2.2623680488207264E-3</v>
      </c>
      <c r="DL79" s="44">
        <f t="shared" ca="1" si="202"/>
        <v>-3.7924499406764888E-3</v>
      </c>
      <c r="DM79" s="44">
        <f t="shared" ca="1" si="203"/>
        <v>-1.6721460492442875E-3</v>
      </c>
      <c r="DN79" s="44">
        <f t="shared" ca="1" si="204"/>
        <v>-2.7845226970725258E-3</v>
      </c>
      <c r="DO79" s="44">
        <f t="shared" ca="1" si="205"/>
        <v>-1.7307377993328146E-3</v>
      </c>
      <c r="DP79" s="44">
        <f t="shared" ca="1" si="206"/>
        <v>-2.7453944570980751E-3</v>
      </c>
      <c r="DQ79" s="44">
        <f t="shared" ca="1" si="207"/>
        <v>-1.1736539703001156E-3</v>
      </c>
      <c r="DR79" s="44">
        <f t="shared" ca="1" si="208"/>
        <v>-1.7300330020510928E-3</v>
      </c>
      <c r="DS79" s="44">
        <f t="shared" ca="1" si="209"/>
        <v>-2.8609657323843307E-3</v>
      </c>
      <c r="DT79" s="44">
        <f t="shared" ca="1" si="210"/>
        <v>5.7621649943351803E-4</v>
      </c>
      <c r="DU79" s="44">
        <f t="shared" ca="1" si="211"/>
        <v>1.2029899531074673E-3</v>
      </c>
      <c r="DV79" s="44">
        <f t="shared" ca="1" si="212"/>
        <v>7.2639120629192447E-4</v>
      </c>
      <c r="DW79" s="44">
        <f t="shared" ca="1" si="213"/>
        <v>-6.6753377774883245E-3</v>
      </c>
      <c r="DX79" s="44">
        <f t="shared" ca="1" si="214"/>
        <v>-1.140995999286477E-3</v>
      </c>
      <c r="DY79" s="44">
        <f t="shared" ca="1" si="215"/>
        <v>-1.3199969946509997E-3</v>
      </c>
      <c r="DZ79" s="44">
        <f t="shared" ca="1" si="216"/>
        <v>-3.2010692905966196E-3</v>
      </c>
      <c r="EA79" s="44">
        <f t="shared" ca="1" si="217"/>
        <v>1.0642778708489765E-3</v>
      </c>
      <c r="EB79" s="44">
        <f t="shared" ca="1" si="218"/>
        <v>1.7113967382172118E-3</v>
      </c>
      <c r="EC79" s="44">
        <f t="shared" ca="1" si="219"/>
        <v>2.4025929693633993E-3</v>
      </c>
      <c r="ED79" s="44">
        <f t="shared" ca="1" si="220"/>
        <v>1.4541931712617835E-3</v>
      </c>
      <c r="EE79" s="44">
        <f t="shared" ca="1" si="221"/>
        <v>1.0582745922938582E-3</v>
      </c>
      <c r="EF79" s="44">
        <f t="shared" ca="1" si="222"/>
        <v>3.6043697320920734E-4</v>
      </c>
      <c r="EG79" s="44">
        <f t="shared" ca="1" si="223"/>
        <v>-1.9849107565710799E-4</v>
      </c>
      <c r="EH79" s="44">
        <f t="shared" ca="1" si="224"/>
        <v>2.8009788134388753E-3</v>
      </c>
      <c r="EI79" s="44">
        <f t="shared" ca="1" si="225"/>
        <v>-1.8832445927336217E-4</v>
      </c>
      <c r="EJ79" s="44">
        <f t="shared" ca="1" si="226"/>
        <v>-1.5662879650492085E-4</v>
      </c>
      <c r="EK79" s="43">
        <f t="shared" ca="1" si="227"/>
        <v>-7.3007197384685691E-5</v>
      </c>
      <c r="EL79" s="44">
        <f t="shared" ca="1" si="228"/>
        <v>-1.6518877816786254E-3</v>
      </c>
      <c r="EM79" s="44">
        <f t="shared" ca="1" si="229"/>
        <v>-2.8443374555073664E-3</v>
      </c>
      <c r="EN79" s="44">
        <f t="shared" ca="1" si="230"/>
        <v>-1.3388726372197243E-3</v>
      </c>
      <c r="EO79" s="44">
        <f t="shared" ca="1" si="231"/>
        <v>-3.4019018272737019E-3</v>
      </c>
      <c r="EP79" s="44">
        <f t="shared" ca="1" si="232"/>
        <v>-9.6424337757062533E-3</v>
      </c>
      <c r="EQ79" s="44">
        <f t="shared" ca="1" si="233"/>
        <v>-7.0428178628570868E-3</v>
      </c>
      <c r="ER79" s="44">
        <f t="shared" ca="1" si="234"/>
        <v>-1.1039578453744753E-2</v>
      </c>
      <c r="ES79" s="44">
        <f t="shared" ca="1" si="235"/>
        <v>1.7907147799455778E-3</v>
      </c>
      <c r="ET79" s="44">
        <f t="shared" ca="1" si="236"/>
        <v>1.1732408758595883E-3</v>
      </c>
      <c r="EU79" s="44">
        <f t="shared" ca="1" si="237"/>
        <v>4.9000000000000016E-3</v>
      </c>
      <c r="EV79" s="44">
        <f t="shared" ca="1" si="238"/>
        <v>-9.8442511386216008E-4</v>
      </c>
      <c r="EW79" s="44">
        <f t="shared" ca="1" si="239"/>
        <v>-1.520977660714768E-3</v>
      </c>
      <c r="EX79" s="44">
        <f t="shared" ca="1" si="240"/>
        <v>-7.2639120629192447E-4</v>
      </c>
      <c r="EY79" s="44">
        <f t="shared" ca="1" si="241"/>
        <v>6.2402363670206601E-3</v>
      </c>
      <c r="EZ79" s="44">
        <f t="shared" ca="1" si="242"/>
        <v>7.5718757902414958E-4</v>
      </c>
      <c r="FA79" s="44">
        <f t="shared" ca="1" si="243"/>
        <v>9.4122294310759736E-4</v>
      </c>
      <c r="FB79" s="44">
        <f t="shared" ca="1" si="244"/>
        <v>2.808226632237662E-3</v>
      </c>
      <c r="FC79" s="44">
        <f t="shared" ca="1" si="245"/>
        <v>-1.2772516659581485E-3</v>
      </c>
      <c r="FD79" s="44">
        <f t="shared" ca="1" si="246"/>
        <v>-1.885466870818661E-3</v>
      </c>
      <c r="FE79" s="44">
        <f t="shared" ca="1" si="247"/>
        <v>-2.6064395169180491E-3</v>
      </c>
      <c r="FF79" s="44">
        <f t="shared" ca="1" si="248"/>
        <v>-1.6718048961702598E-3</v>
      </c>
      <c r="FG79" s="45">
        <f t="shared" ca="1" si="249"/>
        <v>-3.2275031343381278E-5</v>
      </c>
    </row>
    <row r="80" spans="1:173" x14ac:dyDescent="0.2">
      <c r="A80" s="51" t="str">
        <f t="shared" ref="A80" ca="1" si="270">INDEX(Historical_Data_Names,3,B80)</f>
        <v>L</v>
      </c>
      <c r="B80" s="57">
        <f t="shared" si="178"/>
        <v>39</v>
      </c>
      <c r="C80" s="11" t="str">
        <f t="shared" ref="C80" ca="1" si="271">INDEX(Historical_Data_Names,2,B80)</f>
        <v>USLC Eq Off B/S</v>
      </c>
      <c r="D80" s="58"/>
      <c r="E80" s="59">
        <f t="shared" ref="E80" ca="1" si="272">AVERAGE(OFFSET(Historical_Data_Start,date_start_row,$B80,date_rows,1))*4</f>
        <v>-0.12358265611111111</v>
      </c>
      <c r="F80" s="59">
        <f t="array" aca="1" ref="F80" ca="1">PRODUCT(1+OFFSET(Historical_Data_Start,date_start_row,$B80,date_rows,1))^(4/date_rows)-1</f>
        <v>-0.12977770896410268</v>
      </c>
      <c r="G80" s="59">
        <f t="shared" ref="G80" ca="1" si="273">STDEV(OFFSET(Historical_Data_Start,date_start_row,$B80,date_rows,1))*2</f>
        <v>0.16124162844580378</v>
      </c>
      <c r="H80" s="6"/>
      <c r="I80" s="61">
        <v>0.1</v>
      </c>
      <c r="J80" s="61">
        <v>0.16</v>
      </c>
      <c r="K80" s="6"/>
      <c r="L80" s="60">
        <v>-2.9500000000000002E-2</v>
      </c>
      <c r="M80" s="60"/>
      <c r="N80" s="14">
        <f t="shared" si="174"/>
        <v>-2.9500000000000002E-2</v>
      </c>
      <c r="O80" s="6"/>
      <c r="P80" s="115">
        <f t="shared" si="175"/>
        <v>-2.9500000000000002E-2</v>
      </c>
      <c r="Q80" s="115">
        <f t="shared" si="175"/>
        <v>-2.9500000000000002E-2</v>
      </c>
      <c r="R80" s="6"/>
      <c r="S80" s="226"/>
      <c r="T80" s="410">
        <v>0</v>
      </c>
      <c r="U80" s="410">
        <v>0</v>
      </c>
      <c r="V80" s="410">
        <v>0</v>
      </c>
      <c r="W80" s="410">
        <v>0</v>
      </c>
      <c r="X80" s="410">
        <v>0</v>
      </c>
      <c r="Y80" s="410">
        <v>0</v>
      </c>
      <c r="Z80" s="6"/>
      <c r="AI80" s="117">
        <v>0</v>
      </c>
      <c r="AJ80" s="117">
        <v>0</v>
      </c>
      <c r="AK80" s="117">
        <v>0</v>
      </c>
      <c r="AL80" s="117">
        <v>0</v>
      </c>
      <c r="AM80" s="117">
        <v>0</v>
      </c>
      <c r="AN80" s="117">
        <v>0</v>
      </c>
      <c r="AO80" s="117">
        <v>0</v>
      </c>
      <c r="AP80" s="117">
        <v>0</v>
      </c>
      <c r="AQ80" s="117">
        <v>0</v>
      </c>
      <c r="AR80" s="117">
        <v>0</v>
      </c>
      <c r="AS80" s="117">
        <v>0</v>
      </c>
      <c r="AU80" s="117">
        <v>0</v>
      </c>
      <c r="AV80" s="117">
        <v>0</v>
      </c>
      <c r="AW80" s="117">
        <v>0</v>
      </c>
      <c r="AX80" s="117">
        <v>0</v>
      </c>
      <c r="AY80" s="117">
        <v>0</v>
      </c>
      <c r="AZ80" s="117">
        <v>0</v>
      </c>
      <c r="BA80" s="117">
        <v>0</v>
      </c>
      <c r="BB80" s="117">
        <v>0</v>
      </c>
      <c r="BC80" s="117">
        <v>0</v>
      </c>
      <c r="BD80" s="117">
        <v>0</v>
      </c>
      <c r="BE80" s="117">
        <v>0</v>
      </c>
      <c r="BG80" s="51" t="str">
        <f t="shared" ca="1" si="176"/>
        <v>USLC Eq Off B/S</v>
      </c>
      <c r="BH80" s="38">
        <f t="shared" si="198"/>
        <v>0.1</v>
      </c>
      <c r="BI80" s="38">
        <f t="shared" si="199"/>
        <v>0.16</v>
      </c>
      <c r="BK80" s="31">
        <f ca="1">CORREL(OFFSET(Historical_Data_Start,date_start_row,$B80,date_rows,1),OFFSET(Historical_Data_Start,date_start_row,Calculations!BK$40,date_rows,1))</f>
        <v>-4.4831564924319937E-2</v>
      </c>
      <c r="BL80" s="32">
        <f ca="1">CORREL(OFFSET(Historical_Data_Start,date_start_row,$B80,date_rows,1),OFFSET(Historical_Data_Start,date_start_row,Calculations!BL$40,date_rows,1))</f>
        <v>1.186815122988091E-2</v>
      </c>
      <c r="BM80" s="32">
        <f ca="1">CORREL(OFFSET(Historical_Data_Start,date_start_row,$B80,date_rows,1),OFFSET(Historical_Data_Start,date_start_row,Calculations!BM$40,date_rows,1))</f>
        <v>4.8619516577579631E-2</v>
      </c>
      <c r="BN80" s="32">
        <f ca="1">CORREL(OFFSET(Historical_Data_Start,date_start_row,$B80,date_rows,1),OFFSET(Historical_Data_Start,date_start_row,Calculations!BN$40,date_rows,1))</f>
        <v>-0.23368530913199881</v>
      </c>
      <c r="BO80" s="32">
        <f ca="1">CORREL(OFFSET(Historical_Data_Start,date_start_row,$B80,date_rows,1),OFFSET(Historical_Data_Start,date_start_row,Calculations!BO$40,date_rows,1))</f>
        <v>-0.24112986451766852</v>
      </c>
      <c r="BP80" s="32">
        <f ca="1">CORREL(OFFSET(Historical_Data_Start,date_start_row,$B80,date_rows,1),OFFSET(Historical_Data_Start,date_start_row,Calculations!BP$40,date_rows,1))</f>
        <v>-0.16914033964276753</v>
      </c>
      <c r="BQ80" s="32">
        <f ca="1">CORREL(OFFSET(Historical_Data_Start,date_start_row,$B80,date_rows,1),OFFSET(Historical_Data_Start,date_start_row,Calculations!BQ$40,date_rows,1))</f>
        <v>-0.23243345969706969</v>
      </c>
      <c r="BR80" s="32">
        <f ca="1">CORREL(OFFSET(Historical_Data_Start,date_start_row,$B80,date_rows,1),OFFSET(Historical_Data_Start,date_start_row,Calculations!BR$40,date_rows,1))</f>
        <v>-0.32235789585542118</v>
      </c>
      <c r="BS80" s="32">
        <f ca="1">CORREL(OFFSET(Historical_Data_Start,date_start_row,$B80,date_rows,1),OFFSET(Historical_Data_Start,date_start_row,Calculations!BS$40,date_rows,1))</f>
        <v>-0.38575575650677596</v>
      </c>
      <c r="BT80" s="32">
        <f ca="1">CORREL(OFFSET(Historical_Data_Start,date_start_row,$B80,date_rows,1),OFFSET(Historical_Data_Start,date_start_row,Calculations!BT$40,date_rows,1))</f>
        <v>-3.773777431023919E-2</v>
      </c>
      <c r="BU80" s="32">
        <f ca="1">CORREL(OFFSET(Historical_Data_Start,date_start_row,$B80,date_rows,1),OFFSET(Historical_Data_Start,date_start_row,Calculations!BU$40,date_rows,1))</f>
        <v>-0.90777038452163872</v>
      </c>
      <c r="BV80" s="32">
        <f ca="1">CORREL(OFFSET(Historical_Data_Start,date_start_row,$B80,date_rows,1),OFFSET(Historical_Data_Start,date_start_row,Calculations!BV$40,date_rows,1))</f>
        <v>-0.85473135283291035</v>
      </c>
      <c r="BW80" s="32">
        <f ca="1">CORREL(OFFSET(Historical_Data_Start,date_start_row,$B80,date_rows,1),OFFSET(Historical_Data_Start,date_start_row,Calculations!BW$40,date_rows,1))</f>
        <v>-0.82863785918411037</v>
      </c>
      <c r="BX80" s="32">
        <f ca="1">CORREL(OFFSET(Historical_Data_Start,date_start_row,$B80,date_rows,1),OFFSET(Historical_Data_Start,date_start_row,Calculations!BX$40,date_rows,1))</f>
        <v>-0.37731842347196104</v>
      </c>
      <c r="BY80" s="32">
        <f ca="1">CORREL(OFFSET(Historical_Data_Start,date_start_row,$B80,date_rows,1),OFFSET(Historical_Data_Start,date_start_row,Calculations!BY$40,date_rows,1))</f>
        <v>-0.68952750928883255</v>
      </c>
      <c r="BZ80" s="32">
        <f ca="1">CORREL(OFFSET(Historical_Data_Start,date_start_row,$B80,date_rows,1),OFFSET(Historical_Data_Start,date_start_row,Calculations!BZ$40,date_rows,1))</f>
        <v>-0.70776865767942043</v>
      </c>
      <c r="CA80" s="32">
        <f ca="1">CORREL(OFFSET(Historical_Data_Start,date_start_row,$B80,date_rows,1),OFFSET(Historical_Data_Start,date_start_row,Calculations!CA$40,date_rows,1))</f>
        <v>-0.55237219931934245</v>
      </c>
      <c r="CB80" s="32">
        <f ca="1">CORREL(OFFSET(Historical_Data_Start,date_start_row,$B80,date_rows,1),OFFSET(Historical_Data_Start,date_start_row,Calculations!CB$40,date_rows,1))</f>
        <v>-0.6135465698159881</v>
      </c>
      <c r="CC80" s="32">
        <f ca="1">CORREL(OFFSET(Historical_Data_Start,date_start_row,$B80,date_rows,1),OFFSET(Historical_Data_Start,date_start_row,Calculations!CC$40,date_rows,1))</f>
        <v>-0.57186526233855761</v>
      </c>
      <c r="CD80" s="32">
        <f ca="1">CORREL(OFFSET(Historical_Data_Start,date_start_row,$B80,date_rows,1),OFFSET(Historical_Data_Start,date_start_row,Calculations!CD$40,date_rows,1))</f>
        <v>-0.50815813903897833</v>
      </c>
      <c r="CE80" s="32">
        <f ca="1">CORREL(OFFSET(Historical_Data_Start,date_start_row,$B80,date_rows,1),OFFSET(Historical_Data_Start,date_start_row,Calculations!CE$40,date_rows,1))</f>
        <v>-0.52906053010118315</v>
      </c>
      <c r="CF80" s="32">
        <f ca="1">CORREL(OFFSET(Historical_Data_Start,date_start_row,$B80,date_rows,1),OFFSET(Historical_Data_Start,date_start_row,Calculations!CF$40,date_rows,1))</f>
        <v>-7.5936383181661488E-2</v>
      </c>
      <c r="CG80" s="32">
        <f ca="1">CORREL(OFFSET(Historical_Data_Start,date_start_row,$B80,date_rows,1),OFFSET(Historical_Data_Start,date_start_row,Calculations!CG$40,date_rows,1))</f>
        <v>3.385700350471265E-2</v>
      </c>
      <c r="CH80" s="32">
        <f ca="1">CORREL(OFFSET(Historical_Data_Start,date_start_row,$B80,date_rows,1),OFFSET(Historical_Data_Start,date_start_row,Calculations!CH$40,date_rows,1))</f>
        <v>-0.68243830875280165</v>
      </c>
      <c r="CI80" s="32">
        <f ca="1">CORREL(OFFSET(Historical_Data_Start,date_start_row,$B80,date_rows,1),OFFSET(Historical_Data_Start,date_start_row,Calculations!CI$40,date_rows,1))</f>
        <v>-0.3557960237447732</v>
      </c>
      <c r="CJ80" s="32">
        <f ca="1">CORREL(OFFSET(Historical_Data_Start,date_start_row,$B80,date_rows,1),OFFSET(Historical_Data_Start,date_start_row,Calculations!CJ$40,date_rows,1))</f>
        <v>-6.156296282660266E-2</v>
      </c>
      <c r="CK80" s="32">
        <f ca="1">CORREL(OFFSET(Historical_Data_Start,date_start_row,$B80,date_rows,1),OFFSET(Historical_Data_Start,date_start_row,Calculations!CK$40,date_rows,1))</f>
        <v>-9.4261974433732534E-2</v>
      </c>
      <c r="CL80" s="32">
        <f ca="1">CORREL(OFFSET(Historical_Data_Start,date_start_row,$B80,date_rows,1),OFFSET(Historical_Data_Start,date_start_row,Calculations!CL$40,date_rows,1))</f>
        <v>-4.4827539542507018E-2</v>
      </c>
      <c r="CM80" s="32">
        <f ca="1">CORREL(OFFSET(Historical_Data_Start,date_start_row,$B80,date_rows,1),OFFSET(Historical_Data_Start,date_start_row,Calculations!CM$40,date_rows,1))</f>
        <v>1.186815122988091E-2</v>
      </c>
      <c r="CN80" s="32">
        <f ca="1">CORREL(OFFSET(Historical_Data_Start,date_start_row,$B80,date_rows,1),OFFSET(Historical_Data_Start,date_start_row,Calculations!CN$40,date_rows,1))</f>
        <v>4.8619516577579631E-2</v>
      </c>
      <c r="CO80" s="32">
        <f ca="1">CORREL(OFFSET(Historical_Data_Start,date_start_row,$B80,date_rows,1),OFFSET(Historical_Data_Start,date_start_row,Calculations!CO$40,date_rows,1))</f>
        <v>-0.16914033964276753</v>
      </c>
      <c r="CP80" s="32">
        <f ca="1">CORREL(OFFSET(Historical_Data_Start,date_start_row,$B80,date_rows,1),OFFSET(Historical_Data_Start,date_start_row,Calculations!CP$40,date_rows,1))</f>
        <v>-0.23243345969706969</v>
      </c>
      <c r="CQ80" s="32">
        <f ca="1">CORREL(OFFSET(Historical_Data_Start,date_start_row,$B80,date_rows,1),OFFSET(Historical_Data_Start,date_start_row,Calculations!CQ$40,date_rows,1))</f>
        <v>2.4146022210088571E-2</v>
      </c>
      <c r="CR80" s="32">
        <f ca="1">CORREL(OFFSET(Historical_Data_Start,date_start_row,$B80,date_rows,1),OFFSET(Historical_Data_Start,date_start_row,Calculations!CR$40,date_rows,1))</f>
        <v>-0.28878267640035526</v>
      </c>
      <c r="CS80" s="32">
        <f ca="1">CORREL(OFFSET(Historical_Data_Start,date_start_row,$B80,date_rows,1),OFFSET(Historical_Data_Start,date_start_row,Calculations!CS$40,date_rows,1))</f>
        <v>-2.1862126581687468E-2</v>
      </c>
      <c r="CT80" s="32">
        <f ca="1">CORREL(OFFSET(Historical_Data_Start,date_start_row,$B80,date_rows,1),OFFSET(Historical_Data_Start,date_start_row,Calculations!CT$40,date_rows,1))</f>
        <v>0.23770365609458549</v>
      </c>
      <c r="CU80" s="32">
        <f ca="1">CORREL(OFFSET(Historical_Data_Start,date_start_row,$B80,date_rows,1),OFFSET(Historical_Data_Start,date_start_row,Calculations!CU$40,date_rows,1))</f>
        <v>0.32236540842577965</v>
      </c>
      <c r="CV80" s="32">
        <f ca="1">CORREL(OFFSET(Historical_Data_Start,date_start_row,$B80,date_rows,1),OFFSET(Historical_Data_Start,date_start_row,Calculations!CV$40,date_rows,1))</f>
        <v>-8.789509945197857E-2</v>
      </c>
      <c r="CW80" s="32">
        <f ca="1">CORREL(OFFSET(Historical_Data_Start,date_start_row,$B80,date_rows,1),OFFSET(Historical_Data_Start,date_start_row,Calculations!CW$40,date_rows,1))</f>
        <v>1.0000000000000002</v>
      </c>
      <c r="CX80" s="32">
        <f ca="1">CORREL(OFFSET(Historical_Data_Start,date_start_row,$B80,date_rows,1),OFFSET(Historical_Data_Start,date_start_row,Calculations!CX$40,date_rows,1))</f>
        <v>0.91779871171585781</v>
      </c>
      <c r="CY80" s="32">
        <f ca="1">CORREL(OFFSET(Historical_Data_Start,date_start_row,$B80,date_rows,1),OFFSET(Historical_Data_Start,date_start_row,Calculations!CY$40,date_rows,1))</f>
        <v>0.82863785918411037</v>
      </c>
      <c r="CZ80" s="32">
        <f ca="1">CORREL(OFFSET(Historical_Data_Start,date_start_row,$B80,date_rows,1),OFFSET(Historical_Data_Start,date_start_row,Calculations!CZ$40,date_rows,1))</f>
        <v>0.45424951417053089</v>
      </c>
      <c r="DA80" s="32">
        <f ca="1">CORREL(OFFSET(Historical_Data_Start,date_start_row,$B80,date_rows,1),OFFSET(Historical_Data_Start,date_start_row,Calculations!DA$40,date_rows,1))</f>
        <v>0.73892445178209565</v>
      </c>
      <c r="DB80" s="32">
        <f ca="1">CORREL(OFFSET(Historical_Data_Start,date_start_row,$B80,date_rows,1),OFFSET(Historical_Data_Start,date_start_row,Calculations!DB$40,date_rows,1))</f>
        <v>0.7625434704717946</v>
      </c>
      <c r="DC80" s="32">
        <f ca="1">CORREL(OFFSET(Historical_Data_Start,date_start_row,$B80,date_rows,1),OFFSET(Historical_Data_Start,date_start_row,Calculations!DC$40,date_rows,1))</f>
        <v>0.63648244020836453</v>
      </c>
      <c r="DD80" s="32">
        <f ca="1">CORREL(OFFSET(Historical_Data_Start,date_start_row,$B80,date_rows,1),OFFSET(Historical_Data_Start,date_start_row,Calculations!DD$40,date_rows,1))</f>
        <v>0.64742420964482983</v>
      </c>
      <c r="DE80" s="32">
        <f ca="1">CORREL(OFFSET(Historical_Data_Start,date_start_row,$B80,date_rows,1),OFFSET(Historical_Data_Start,date_start_row,Calculations!DE$40,date_rows,1))</f>
        <v>0.61169385704152113</v>
      </c>
      <c r="DF80" s="32">
        <f ca="1">CORREL(OFFSET(Historical_Data_Start,date_start_row,$B80,date_rows,1),OFFSET(Historical_Data_Start,date_start_row,Calculations!DF$40,date_rows,1))</f>
        <v>0.55652764405867072</v>
      </c>
      <c r="DG80" s="32">
        <f ca="1">CORREL(OFFSET(Historical_Data_Start,date_start_row,$B80,date_rows,1),OFFSET(Historical_Data_Start,date_start_row,Calculations!DG$40,date_rows,1))</f>
        <v>0.57716263218450337</v>
      </c>
      <c r="DH80" s="33">
        <f ca="1">CORREL(OFFSET(Historical_Data_Start,date_start_row,$B80,date_rows,1),OFFSET(Historical_Data_Start,date_start_row,Calculations!DH$40,date_rows,1))</f>
        <v>0.21436326518155679</v>
      </c>
      <c r="DI80" s="2">
        <f t="shared" si="71"/>
        <v>39</v>
      </c>
      <c r="DJ80" s="43">
        <f t="shared" ca="1" si="200"/>
        <v>-7.1730503878911908E-5</v>
      </c>
      <c r="DK80" s="44">
        <f t="shared" ca="1" si="201"/>
        <v>1.1963096439719958E-4</v>
      </c>
      <c r="DL80" s="44">
        <f t="shared" ca="1" si="202"/>
        <v>8.4014524646057616E-4</v>
      </c>
      <c r="DM80" s="44">
        <f t="shared" ca="1" si="203"/>
        <v>-2.168599668744949E-3</v>
      </c>
      <c r="DN80" s="44">
        <f t="shared" ca="1" si="204"/>
        <v>-3.7809162756370423E-3</v>
      </c>
      <c r="DO80" s="44">
        <f t="shared" ca="1" si="205"/>
        <v>-1.4343100801706686E-3</v>
      </c>
      <c r="DP80" s="44">
        <f t="shared" ca="1" si="206"/>
        <v>-3.4214205267408659E-3</v>
      </c>
      <c r="DQ80" s="44">
        <f t="shared" ca="1" si="207"/>
        <v>-2.527285903506502E-3</v>
      </c>
      <c r="DR80" s="44">
        <f t="shared" ca="1" si="208"/>
        <v>-5.1228364464099849E-3</v>
      </c>
      <c r="DS80" s="44">
        <f t="shared" ca="1" si="209"/>
        <v>-4.2266307227467901E-4</v>
      </c>
      <c r="DT80" s="44">
        <f t="shared" ca="1" si="210"/>
        <v>-2.3238921843753951E-2</v>
      </c>
      <c r="DU80" s="44">
        <f t="shared" ca="1" si="211"/>
        <v>-2.7351403290653133E-2</v>
      </c>
      <c r="DV80" s="44">
        <f t="shared" ca="1" si="212"/>
        <v>-2.3864770344502378E-2</v>
      </c>
      <c r="DW80" s="44">
        <f t="shared" ca="1" si="213"/>
        <v>-1.4489027461323302E-2</v>
      </c>
      <c r="DX80" s="44">
        <f t="shared" ca="1" si="214"/>
        <v>-2.3168124312104771E-2</v>
      </c>
      <c r="DY80" s="44">
        <f t="shared" ca="1" si="215"/>
        <v>-2.2648597045741455E-2</v>
      </c>
      <c r="DZ80" s="44">
        <f t="shared" ca="1" si="216"/>
        <v>-1.7675910378218959E-2</v>
      </c>
      <c r="EA80" s="44">
        <f t="shared" ca="1" si="217"/>
        <v>-2.1596839257522784E-2</v>
      </c>
      <c r="EB80" s="44">
        <f t="shared" ca="1" si="218"/>
        <v>-2.3789594913284001E-2</v>
      </c>
      <c r="EC80" s="44">
        <f t="shared" ca="1" si="219"/>
        <v>-2.439159067387096E-2</v>
      </c>
      <c r="ED80" s="44">
        <f t="shared" ca="1" si="220"/>
        <v>-2.3701911748533009E-2</v>
      </c>
      <c r="EE80" s="44">
        <f t="shared" ca="1" si="221"/>
        <v>-1.0934839178159254E-3</v>
      </c>
      <c r="EF80" s="44">
        <f t="shared" ca="1" si="222"/>
        <v>4.8754085046786216E-4</v>
      </c>
      <c r="EG80" s="44">
        <f t="shared" ca="1" si="223"/>
        <v>-1.8562321998076205E-2</v>
      </c>
      <c r="EH80" s="44">
        <f t="shared" ca="1" si="224"/>
        <v>-1.366256731179929E-2</v>
      </c>
      <c r="EI80" s="44">
        <f t="shared" ca="1" si="225"/>
        <v>-1.182008886270771E-3</v>
      </c>
      <c r="EJ80" s="44">
        <f t="shared" ca="1" si="226"/>
        <v>-1.3573724318457485E-3</v>
      </c>
      <c r="EK80" s="43">
        <f t="shared" ca="1" si="227"/>
        <v>-7.1724063268011239E-5</v>
      </c>
      <c r="EL80" s="44">
        <f t="shared" ca="1" si="228"/>
        <v>8.7349593051923495E-5</v>
      </c>
      <c r="EM80" s="44">
        <f t="shared" ca="1" si="229"/>
        <v>6.3010893484543207E-4</v>
      </c>
      <c r="EN80" s="44">
        <f t="shared" ca="1" si="230"/>
        <v>-1.1095606280565548E-3</v>
      </c>
      <c r="EO80" s="44">
        <f t="shared" ca="1" si="231"/>
        <v>-4.2395863048745519E-3</v>
      </c>
      <c r="EP80" s="44">
        <f t="shared" ca="1" si="232"/>
        <v>1.0701517043511255E-3</v>
      </c>
      <c r="EQ80" s="44">
        <f t="shared" ca="1" si="233"/>
        <v>-1.0996844317325529E-2</v>
      </c>
      <c r="ER80" s="44">
        <f t="shared" ca="1" si="234"/>
        <v>-1.1193408809823985E-3</v>
      </c>
      <c r="ES80" s="44">
        <f t="shared" ca="1" si="235"/>
        <v>2.3960528534334217E-3</v>
      </c>
      <c r="ET80" s="44">
        <f t="shared" ca="1" si="236"/>
        <v>2.5789232674062372E-3</v>
      </c>
      <c r="EU80" s="44">
        <f t="shared" ca="1" si="237"/>
        <v>-9.8442511386216008E-4</v>
      </c>
      <c r="EV80" s="44">
        <f t="shared" ca="1" si="238"/>
        <v>2.5600000000000008E-2</v>
      </c>
      <c r="EW80" s="44">
        <f t="shared" ca="1" si="239"/>
        <v>2.9369558774907451E-2</v>
      </c>
      <c r="EX80" s="44">
        <f t="shared" ca="1" si="240"/>
        <v>2.3864770344502378E-2</v>
      </c>
      <c r="EY80" s="44">
        <f t="shared" ca="1" si="241"/>
        <v>1.7443181344148385E-2</v>
      </c>
      <c r="EZ80" s="44">
        <f t="shared" ca="1" si="242"/>
        <v>2.4827861579878412E-2</v>
      </c>
      <c r="FA80" s="44">
        <f t="shared" ca="1" si="243"/>
        <v>2.4401391055097428E-2</v>
      </c>
      <c r="FB80" s="44">
        <f t="shared" ca="1" si="244"/>
        <v>2.0367438086667664E-2</v>
      </c>
      <c r="FC80" s="44">
        <f t="shared" ca="1" si="245"/>
        <v>2.2789332179498013E-2</v>
      </c>
      <c r="FD80" s="44">
        <f t="shared" ca="1" si="246"/>
        <v>2.5446464452927281E-2</v>
      </c>
      <c r="FE80" s="44">
        <f t="shared" ca="1" si="247"/>
        <v>2.6713326914816194E-2</v>
      </c>
      <c r="FF80" s="44">
        <f t="shared" ca="1" si="248"/>
        <v>2.5856885921865753E-2</v>
      </c>
      <c r="FG80" s="45">
        <f t="shared" ca="1" si="249"/>
        <v>1.7149061214524544E-4</v>
      </c>
    </row>
    <row r="81" spans="1:163" x14ac:dyDescent="0.2">
      <c r="A81" s="51" t="str">
        <f t="shared" ref="A81" ca="1" si="274">INDEX(Historical_Data_Names,3,B81)</f>
        <v>L</v>
      </c>
      <c r="B81" s="57">
        <f t="shared" si="178"/>
        <v>40</v>
      </c>
      <c r="C81" s="11" t="str">
        <f t="shared" ref="C81" ca="1" si="275">INDEX(Historical_Data_Names,2,B81)</f>
        <v>USSM Eq Off B/S</v>
      </c>
      <c r="D81" s="58"/>
      <c r="E81" s="59">
        <f t="shared" ref="E81" ca="1" si="276">AVERAGE(OFFSET(Historical_Data_Start,date_start_row,$B81,date_rows,1))*4</f>
        <v>-0.13600374361111103</v>
      </c>
      <c r="F81" s="59">
        <f t="array" aca="1" ref="F81" ca="1">PRODUCT(1+OFFSET(Historical_Data_Start,date_start_row,$B81,date_rows,1))^(4/date_rows)-1</f>
        <v>-0.14780567209855455</v>
      </c>
      <c r="G81" s="59">
        <f t="shared" ref="G81" ca="1" si="277">STDEV(OFFSET(Historical_Data_Start,date_start_row,$B81,date_rows,1))*2</f>
        <v>0.20255026353049718</v>
      </c>
      <c r="H81" s="6"/>
      <c r="I81" s="61">
        <v>0.105</v>
      </c>
      <c r="J81" s="61">
        <v>0.2</v>
      </c>
      <c r="K81" s="6"/>
      <c r="L81" s="60">
        <v>-9.9999999999999995E-7</v>
      </c>
      <c r="M81" s="60"/>
      <c r="N81" s="14">
        <f t="shared" si="174"/>
        <v>-9.9999999999999995E-7</v>
      </c>
      <c r="O81" s="6"/>
      <c r="P81" s="115">
        <f t="shared" si="175"/>
        <v>-9.9999999999999995E-7</v>
      </c>
      <c r="Q81" s="115">
        <f t="shared" si="175"/>
        <v>-9.9999999999999995E-7</v>
      </c>
      <c r="R81" s="6"/>
      <c r="S81" s="226"/>
      <c r="T81" s="410">
        <v>0</v>
      </c>
      <c r="U81" s="410">
        <v>0</v>
      </c>
      <c r="V81" s="410">
        <v>0</v>
      </c>
      <c r="W81" s="410">
        <v>0</v>
      </c>
      <c r="X81" s="410">
        <v>0</v>
      </c>
      <c r="Y81" s="410">
        <v>0</v>
      </c>
      <c r="Z81" s="6"/>
      <c r="AI81" s="117">
        <v>0</v>
      </c>
      <c r="AJ81" s="117">
        <v>0</v>
      </c>
      <c r="AK81" s="117">
        <v>0</v>
      </c>
      <c r="AL81" s="117">
        <v>0</v>
      </c>
      <c r="AM81" s="117">
        <v>0</v>
      </c>
      <c r="AN81" s="117">
        <v>0</v>
      </c>
      <c r="AO81" s="117">
        <v>0</v>
      </c>
      <c r="AP81" s="117">
        <v>0</v>
      </c>
      <c r="AQ81" s="117">
        <v>0</v>
      </c>
      <c r="AR81" s="117">
        <v>0</v>
      </c>
      <c r="AS81" s="117">
        <v>0</v>
      </c>
      <c r="AU81" s="117">
        <v>0</v>
      </c>
      <c r="AV81" s="117">
        <v>0</v>
      </c>
      <c r="AW81" s="117">
        <v>0</v>
      </c>
      <c r="AX81" s="117">
        <v>0</v>
      </c>
      <c r="AY81" s="117">
        <v>0</v>
      </c>
      <c r="AZ81" s="117">
        <v>0</v>
      </c>
      <c r="BA81" s="117">
        <v>0</v>
      </c>
      <c r="BB81" s="117">
        <v>0</v>
      </c>
      <c r="BC81" s="117">
        <v>0</v>
      </c>
      <c r="BD81" s="117">
        <v>0</v>
      </c>
      <c r="BE81" s="117">
        <v>0</v>
      </c>
      <c r="BG81" s="51" t="str">
        <f t="shared" ca="1" si="176"/>
        <v>USSM Eq Off B/S</v>
      </c>
      <c r="BH81" s="38">
        <f t="shared" si="198"/>
        <v>0.105</v>
      </c>
      <c r="BI81" s="38">
        <f t="shared" si="199"/>
        <v>0.2</v>
      </c>
      <c r="BK81" s="31">
        <f ca="1">CORREL(OFFSET(Historical_Data_Start,date_start_row,$B81,date_rows,1),OFFSET(Historical_Data_Start,date_start_row,Calculations!BK$40,date_rows,1))</f>
        <v>-1.6668125130691287E-2</v>
      </c>
      <c r="BL81" s="32">
        <f ca="1">CORREL(OFFSET(Historical_Data_Start,date_start_row,$B81,date_rows,1),OFFSET(Historical_Data_Start,date_start_row,Calculations!BL$40,date_rows,1))</f>
        <v>2.5900821871255975E-2</v>
      </c>
      <c r="BM81" s="32">
        <f ca="1">CORREL(OFFSET(Historical_Data_Start,date_start_row,$B81,date_rows,1),OFFSET(Historical_Data_Start,date_start_row,Calculations!BM$40,date_rows,1))</f>
        <v>6.2076285254072459E-2</v>
      </c>
      <c r="BN81" s="32">
        <f ca="1">CORREL(OFFSET(Historical_Data_Start,date_start_row,$B81,date_rows,1),OFFSET(Historical_Data_Start,date_start_row,Calculations!BN$40,date_rows,1))</f>
        <v>-0.22584485771196167</v>
      </c>
      <c r="BO81" s="32">
        <f ca="1">CORREL(OFFSET(Historical_Data_Start,date_start_row,$B81,date_rows,1),OFFSET(Historical_Data_Start,date_start_row,Calculations!BO$40,date_rows,1))</f>
        <v>-0.22751054252806005</v>
      </c>
      <c r="BP81" s="32">
        <f ca="1">CORREL(OFFSET(Historical_Data_Start,date_start_row,$B81,date_rows,1),OFFSET(Historical_Data_Start,date_start_row,Calculations!BP$40,date_rows,1))</f>
        <v>-0.15314763124662245</v>
      </c>
      <c r="BQ81" s="32">
        <f ca="1">CORREL(OFFSET(Historical_Data_Start,date_start_row,$B81,date_rows,1),OFFSET(Historical_Data_Start,date_start_row,Calculations!BQ$40,date_rows,1))</f>
        <v>-0.21048164021120899</v>
      </c>
      <c r="BR81" s="32">
        <f ca="1">CORREL(OFFSET(Historical_Data_Start,date_start_row,$B81,date_rows,1),OFFSET(Historical_Data_Start,date_start_row,Calculations!BR$40,date_rows,1))</f>
        <v>-0.30930265380851885</v>
      </c>
      <c r="BS81" s="32">
        <f ca="1">CORREL(OFFSET(Historical_Data_Start,date_start_row,$B81,date_rows,1),OFFSET(Historical_Data_Start,date_start_row,Calculations!BS$40,date_rows,1))</f>
        <v>-0.36699165040971021</v>
      </c>
      <c r="BT81" s="32">
        <f ca="1">CORREL(OFFSET(Historical_Data_Start,date_start_row,$B81,date_rows,1),OFFSET(Historical_Data_Start,date_start_row,Calculations!BT$40,date_rows,1))</f>
        <v>-4.625329826306479E-2</v>
      </c>
      <c r="BU81" s="32">
        <f ca="1">CORREL(OFFSET(Historical_Data_Start,date_start_row,$B81,date_rows,1),OFFSET(Historical_Data_Start,date_start_row,Calculations!BU$40,date_rows,1))</f>
        <v>-0.8117026111267861</v>
      </c>
      <c r="BV81" s="32">
        <f ca="1">CORREL(OFFSET(Historical_Data_Start,date_start_row,$B81,date_rows,1),OFFSET(Historical_Data_Start,date_start_row,Calculations!BV$40,date_rows,1))</f>
        <v>-0.9431592051839004</v>
      </c>
      <c r="BW81" s="32">
        <f ca="1">CORREL(OFFSET(Historical_Data_Start,date_start_row,$B81,date_rows,1),OFFSET(Historical_Data_Start,date_start_row,Calculations!BW$40,date_rows,1))</f>
        <v>-0.83174264186043567</v>
      </c>
      <c r="BX81" s="32">
        <f ca="1">CORREL(OFFSET(Historical_Data_Start,date_start_row,$B81,date_rows,1),OFFSET(Historical_Data_Start,date_start_row,Calculations!BX$40,date_rows,1))</f>
        <v>-0.36480379622471998</v>
      </c>
      <c r="BY81" s="32">
        <f ca="1">CORREL(OFFSET(Historical_Data_Start,date_start_row,$B81,date_rows,1),OFFSET(Historical_Data_Start,date_start_row,Calculations!BY$40,date_rows,1))</f>
        <v>-0.6260959938377666</v>
      </c>
      <c r="BZ81" s="32">
        <f ca="1">CORREL(OFFSET(Historical_Data_Start,date_start_row,$B81,date_rows,1),OFFSET(Historical_Data_Start,date_start_row,Calculations!BZ$40,date_rows,1))</f>
        <v>-0.60838313992342152</v>
      </c>
      <c r="CA81" s="32">
        <f ca="1">CORREL(OFFSET(Historical_Data_Start,date_start_row,$B81,date_rows,1),OFFSET(Historical_Data_Start,date_start_row,Calculations!CA$40,date_rows,1))</f>
        <v>-0.47375188965271048</v>
      </c>
      <c r="CB81" s="32">
        <f ca="1">CORREL(OFFSET(Historical_Data_Start,date_start_row,$B81,date_rows,1),OFFSET(Historical_Data_Start,date_start_row,Calculations!CB$40,date_rows,1))</f>
        <v>-0.593555843669068</v>
      </c>
      <c r="CC81" s="32">
        <f ca="1">CORREL(OFFSET(Historical_Data_Start,date_start_row,$B81,date_rows,1),OFFSET(Historical_Data_Start,date_start_row,Calculations!CC$40,date_rows,1))</f>
        <v>-0.5813346819870614</v>
      </c>
      <c r="CD81" s="32">
        <f ca="1">CORREL(OFFSET(Historical_Data_Start,date_start_row,$B81,date_rows,1),OFFSET(Historical_Data_Start,date_start_row,Calculations!CD$40,date_rows,1))</f>
        <v>-0.52921974096127222</v>
      </c>
      <c r="CE81" s="32">
        <f ca="1">CORREL(OFFSET(Historical_Data_Start,date_start_row,$B81,date_rows,1),OFFSET(Historical_Data_Start,date_start_row,Calculations!CE$40,date_rows,1))</f>
        <v>-0.57175194666069051</v>
      </c>
      <c r="CF81" s="32">
        <f ca="1">CORREL(OFFSET(Historical_Data_Start,date_start_row,$B81,date_rows,1),OFFSET(Historical_Data_Start,date_start_row,Calculations!CF$40,date_rows,1))</f>
        <v>-1.35296022189383E-2</v>
      </c>
      <c r="CG81" s="32">
        <f ca="1">CORREL(OFFSET(Historical_Data_Start,date_start_row,$B81,date_rows,1),OFFSET(Historical_Data_Start,date_start_row,Calculations!CG$40,date_rows,1))</f>
        <v>9.6940537515788655E-2</v>
      </c>
      <c r="CH81" s="32">
        <f ca="1">CORREL(OFFSET(Historical_Data_Start,date_start_row,$B81,date_rows,1),OFFSET(Historical_Data_Start,date_start_row,Calculations!CH$40,date_rows,1))</f>
        <v>-0.70300211836441473</v>
      </c>
      <c r="CI81" s="32">
        <f ca="1">CORREL(OFFSET(Historical_Data_Start,date_start_row,$B81,date_rows,1),OFFSET(Historical_Data_Start,date_start_row,Calculations!CI$40,date_rows,1))</f>
        <v>-0.41663004933189079</v>
      </c>
      <c r="CJ81" s="32">
        <f ca="1">CORREL(OFFSET(Historical_Data_Start,date_start_row,$B81,date_rows,1),OFFSET(Historical_Data_Start,date_start_row,Calculations!CJ$40,date_rows,1))</f>
        <v>-1.6094691129241882E-2</v>
      </c>
      <c r="CK81" s="32">
        <f ca="1">CORREL(OFFSET(Historical_Data_Start,date_start_row,$B81,date_rows,1),OFFSET(Historical_Data_Start,date_start_row,Calculations!CK$40,date_rows,1))</f>
        <v>-8.9884078193222194E-2</v>
      </c>
      <c r="CL81" s="32">
        <f ca="1">CORREL(OFFSET(Historical_Data_Start,date_start_row,$B81,date_rows,1),OFFSET(Historical_Data_Start,date_start_row,Calculations!CL$40,date_rows,1))</f>
        <v>-1.6663374303583597E-2</v>
      </c>
      <c r="CM81" s="32">
        <f ca="1">CORREL(OFFSET(Historical_Data_Start,date_start_row,$B81,date_rows,1),OFFSET(Historical_Data_Start,date_start_row,Calculations!CM$40,date_rows,1))</f>
        <v>2.5900821871255975E-2</v>
      </c>
      <c r="CN81" s="32">
        <f ca="1">CORREL(OFFSET(Historical_Data_Start,date_start_row,$B81,date_rows,1),OFFSET(Historical_Data_Start,date_start_row,Calculations!CN$40,date_rows,1))</f>
        <v>6.2076285254072459E-2</v>
      </c>
      <c r="CO81" s="32">
        <f ca="1">CORREL(OFFSET(Historical_Data_Start,date_start_row,$B81,date_rows,1),OFFSET(Historical_Data_Start,date_start_row,Calculations!CO$40,date_rows,1))</f>
        <v>-0.15314763124662245</v>
      </c>
      <c r="CP81" s="32">
        <f ca="1">CORREL(OFFSET(Historical_Data_Start,date_start_row,$B81,date_rows,1),OFFSET(Historical_Data_Start,date_start_row,Calculations!CP$40,date_rows,1))</f>
        <v>-0.21048164021120899</v>
      </c>
      <c r="CQ81" s="32">
        <f ca="1">CORREL(OFFSET(Historical_Data_Start,date_start_row,$B81,date_rows,1),OFFSET(Historical_Data_Start,date_start_row,Calculations!CQ$40,date_rows,1))</f>
        <v>3.0087792628131212E-2</v>
      </c>
      <c r="CR81" s="32">
        <f ca="1">CORREL(OFFSET(Historical_Data_Start,date_start_row,$B81,date_rows,1),OFFSET(Historical_Data_Start,date_start_row,Calculations!CR$40,date_rows,1))</f>
        <v>-0.26968060727079446</v>
      </c>
      <c r="CS81" s="32">
        <f ca="1">CORREL(OFFSET(Historical_Data_Start,date_start_row,$B81,date_rows,1),OFFSET(Historical_Data_Start,date_start_row,Calculations!CS$40,date_rows,1))</f>
        <v>-2.7314724811517383E-2</v>
      </c>
      <c r="CT81" s="32">
        <f ca="1">CORREL(OFFSET(Historical_Data_Start,date_start_row,$B81,date_rows,1),OFFSET(Historical_Data_Start,date_start_row,Calculations!CT$40,date_rows,1))</f>
        <v>0.22549372764389147</v>
      </c>
      <c r="CU81" s="32">
        <f ca="1">CORREL(OFFSET(Historical_Data_Start,date_start_row,$B81,date_rows,1),OFFSET(Historical_Data_Start,date_start_row,Calculations!CU$40,date_rows,1))</f>
        <v>0.30403521496256647</v>
      </c>
      <c r="CV81" s="32">
        <f ca="1">CORREL(OFFSET(Historical_Data_Start,date_start_row,$B81,date_rows,1),OFFSET(Historical_Data_Start,date_start_row,Calculations!CV$40,date_rows,1))</f>
        <v>-0.10864126147962627</v>
      </c>
      <c r="CW81" s="32">
        <f ca="1">CORREL(OFFSET(Historical_Data_Start,date_start_row,$B81,date_rows,1),OFFSET(Historical_Data_Start,date_start_row,Calculations!CW$40,date_rows,1))</f>
        <v>0.91779871171585781</v>
      </c>
      <c r="CX81" s="32">
        <f ca="1">CORREL(OFFSET(Historical_Data_Start,date_start_row,$B81,date_rows,1),OFFSET(Historical_Data_Start,date_start_row,Calculations!CX$40,date_rows,1))</f>
        <v>1.0000000000000002</v>
      </c>
      <c r="CY81" s="32">
        <f ca="1">CORREL(OFFSET(Historical_Data_Start,date_start_row,$B81,date_rows,1),OFFSET(Historical_Data_Start,date_start_row,Calculations!CY$40,date_rows,1))</f>
        <v>0.83174264186043567</v>
      </c>
      <c r="CZ81" s="32">
        <f ca="1">CORREL(OFFSET(Historical_Data_Start,date_start_row,$B81,date_rows,1),OFFSET(Historical_Data_Start,date_start_row,Calculations!CZ$40,date_rows,1))</f>
        <v>0.44374114402502723</v>
      </c>
      <c r="DA81" s="32">
        <f ca="1">CORREL(OFFSET(Historical_Data_Start,date_start_row,$B81,date_rows,1),OFFSET(Historical_Data_Start,date_start_row,Calculations!DA$40,date_rows,1))</f>
        <v>0.68079519625155427</v>
      </c>
      <c r="DB81" s="32">
        <f ca="1">CORREL(OFFSET(Historical_Data_Start,date_start_row,$B81,date_rows,1),OFFSET(Historical_Data_Start,date_start_row,Calculations!DB$40,date_rows,1))</f>
        <v>0.67199130668472573</v>
      </c>
      <c r="DC81" s="32">
        <f ca="1">CORREL(OFFSET(Historical_Data_Start,date_start_row,$B81,date_rows,1),OFFSET(Historical_Data_Start,date_start_row,Calculations!DC$40,date_rows,1))</f>
        <v>0.56331030510359192</v>
      </c>
      <c r="DD81" s="32">
        <f ca="1">CORREL(OFFSET(Historical_Data_Start,date_start_row,$B81,date_rows,1),OFFSET(Historical_Data_Start,date_start_row,Calculations!DD$40,date_rows,1))</f>
        <v>0.63073615062762522</v>
      </c>
      <c r="DE81" s="32">
        <f ca="1">CORREL(OFFSET(Historical_Data_Start,date_start_row,$B81,date_rows,1),OFFSET(Historical_Data_Start,date_start_row,Calculations!DE$40,date_rows,1))</f>
        <v>0.62167538663655741</v>
      </c>
      <c r="DF81" s="32">
        <f ca="1">CORREL(OFFSET(Historical_Data_Start,date_start_row,$B81,date_rows,1),OFFSET(Historical_Data_Start,date_start_row,Calculations!DF$40,date_rows,1))</f>
        <v>0.57685726557869366</v>
      </c>
      <c r="DG81" s="32">
        <f ca="1">CORREL(OFFSET(Historical_Data_Start,date_start_row,$B81,date_rows,1),OFFSET(Historical_Data_Start,date_start_row,Calculations!DG$40,date_rows,1))</f>
        <v>0.61808284596674157</v>
      </c>
      <c r="DH81" s="33">
        <f ca="1">CORREL(OFFSET(Historical_Data_Start,date_start_row,$B81,date_rows,1),OFFSET(Historical_Data_Start,date_start_row,Calculations!DH$40,date_rows,1))</f>
        <v>0.16011177499970022</v>
      </c>
      <c r="DI81" s="2">
        <f t="shared" si="71"/>
        <v>40</v>
      </c>
      <c r="DJ81" s="43">
        <f t="shared" ca="1" si="200"/>
        <v>-3.3336250261382575E-5</v>
      </c>
      <c r="DK81" s="44">
        <f t="shared" ca="1" si="201"/>
        <v>3.2635035557782526E-4</v>
      </c>
      <c r="DL81" s="44">
        <f t="shared" ca="1" si="202"/>
        <v>1.3408477614879654E-3</v>
      </c>
      <c r="DM81" s="44">
        <f t="shared" ca="1" si="203"/>
        <v>-2.6198003494587552E-3</v>
      </c>
      <c r="DN81" s="44">
        <f t="shared" ca="1" si="204"/>
        <v>-4.4592066335499775E-3</v>
      </c>
      <c r="DO81" s="44">
        <f t="shared" ca="1" si="205"/>
        <v>-1.6233648912141979E-3</v>
      </c>
      <c r="DP81" s="44">
        <f t="shared" ca="1" si="206"/>
        <v>-3.8728621798862456E-3</v>
      </c>
      <c r="DQ81" s="44">
        <f t="shared" ca="1" si="207"/>
        <v>-3.0311660073234852E-3</v>
      </c>
      <c r="DR81" s="44">
        <f t="shared" ca="1" si="208"/>
        <v>-6.0920613968011893E-3</v>
      </c>
      <c r="DS81" s="44">
        <f t="shared" ca="1" si="209"/>
        <v>-6.4754617568290717E-4</v>
      </c>
      <c r="DT81" s="44">
        <f t="shared" ca="1" si="210"/>
        <v>-2.5974483556057155E-2</v>
      </c>
      <c r="DU81" s="44">
        <f t="shared" ca="1" si="211"/>
        <v>-3.7726368207356024E-2</v>
      </c>
      <c r="DV81" s="44">
        <f t="shared" ca="1" si="212"/>
        <v>-2.9942735106975683E-2</v>
      </c>
      <c r="DW81" s="44">
        <f t="shared" ca="1" si="213"/>
        <v>-1.7510582218786559E-2</v>
      </c>
      <c r="DX81" s="44">
        <f t="shared" ca="1" si="214"/>
        <v>-2.62960317411862E-2</v>
      </c>
      <c r="DY81" s="44">
        <f t="shared" ca="1" si="215"/>
        <v>-2.4335325596936866E-2</v>
      </c>
      <c r="DZ81" s="44">
        <f t="shared" ca="1" si="216"/>
        <v>-1.8950075586108422E-2</v>
      </c>
      <c r="EA81" s="44">
        <f t="shared" ca="1" si="217"/>
        <v>-2.6116457121438993E-2</v>
      </c>
      <c r="EB81" s="44">
        <f t="shared" ca="1" si="218"/>
        <v>-3.0229403463327194E-2</v>
      </c>
      <c r="EC81" s="44">
        <f t="shared" ca="1" si="219"/>
        <v>-3.1753184457676331E-2</v>
      </c>
      <c r="ED81" s="44">
        <f t="shared" ca="1" si="220"/>
        <v>-3.2018109012998675E-2</v>
      </c>
      <c r="EE81" s="44">
        <f t="shared" ca="1" si="221"/>
        <v>-2.4353283994088938E-4</v>
      </c>
      <c r="EF81" s="44">
        <f t="shared" ca="1" si="222"/>
        <v>1.7449296752841956E-3</v>
      </c>
      <c r="EG81" s="44">
        <f t="shared" ca="1" si="223"/>
        <v>-2.3902072024390101E-2</v>
      </c>
      <c r="EH81" s="44">
        <f t="shared" ca="1" si="224"/>
        <v>-1.9998242367930758E-2</v>
      </c>
      <c r="EI81" s="44">
        <f t="shared" ca="1" si="225"/>
        <v>-3.8627258710180516E-4</v>
      </c>
      <c r="EJ81" s="44">
        <f t="shared" ca="1" si="226"/>
        <v>-1.6179134074779994E-3</v>
      </c>
      <c r="EK81" s="43">
        <f t="shared" ca="1" si="227"/>
        <v>-3.3326748607167195E-5</v>
      </c>
      <c r="EL81" s="44">
        <f t="shared" ca="1" si="228"/>
        <v>2.3828756121555496E-4</v>
      </c>
      <c r="EM81" s="44">
        <f t="shared" ca="1" si="229"/>
        <v>1.005635821115974E-3</v>
      </c>
      <c r="EN81" s="44">
        <f t="shared" ca="1" si="230"/>
        <v>-1.255810576222304E-3</v>
      </c>
      <c r="EO81" s="44">
        <f t="shared" ca="1" si="231"/>
        <v>-4.7989813968155656E-3</v>
      </c>
      <c r="EP81" s="44">
        <f t="shared" ca="1" si="232"/>
        <v>1.6668637115984692E-3</v>
      </c>
      <c r="EQ81" s="44">
        <f t="shared" ca="1" si="233"/>
        <v>-1.2836796906089817E-2</v>
      </c>
      <c r="ER81" s="44">
        <f t="shared" ca="1" si="234"/>
        <v>-1.7481423879371126E-3</v>
      </c>
      <c r="ES81" s="44">
        <f t="shared" ca="1" si="235"/>
        <v>2.8412209683130324E-3</v>
      </c>
      <c r="ET81" s="44">
        <f t="shared" ca="1" si="236"/>
        <v>3.0403521496256652E-3</v>
      </c>
      <c r="EU81" s="44">
        <f t="shared" ca="1" si="237"/>
        <v>-1.520977660714768E-3</v>
      </c>
      <c r="EV81" s="44">
        <f t="shared" ca="1" si="238"/>
        <v>2.9369558774907451E-2</v>
      </c>
      <c r="EW81" s="44">
        <f t="shared" ca="1" si="239"/>
        <v>4.0000000000000015E-2</v>
      </c>
      <c r="EX81" s="44">
        <f t="shared" ca="1" si="240"/>
        <v>2.9942735106975683E-2</v>
      </c>
      <c r="EY81" s="44">
        <f t="shared" ca="1" si="241"/>
        <v>2.1299574913201308E-2</v>
      </c>
      <c r="EZ81" s="44">
        <f t="shared" ca="1" si="242"/>
        <v>2.8593398242565279E-2</v>
      </c>
      <c r="FA81" s="44">
        <f t="shared" ca="1" si="243"/>
        <v>2.6879652267389035E-2</v>
      </c>
      <c r="FB81" s="44">
        <f t="shared" ca="1" si="244"/>
        <v>2.2532412204143683E-2</v>
      </c>
      <c r="FC81" s="44">
        <f t="shared" ca="1" si="245"/>
        <v>2.7752390627615513E-2</v>
      </c>
      <c r="FD81" s="44">
        <f t="shared" ca="1" si="246"/>
        <v>3.2327120105100991E-2</v>
      </c>
      <c r="FE81" s="44">
        <f t="shared" ca="1" si="247"/>
        <v>3.4611435934721616E-2</v>
      </c>
      <c r="FF81" s="44">
        <f t="shared" ca="1" si="248"/>
        <v>3.4612639374137534E-2</v>
      </c>
      <c r="FG81" s="45">
        <f t="shared" ca="1" si="249"/>
        <v>1.6011177499970024E-4</v>
      </c>
    </row>
    <row r="82" spans="1:163" x14ac:dyDescent="0.2">
      <c r="A82" s="51" t="str">
        <f t="shared" ref="A82" ca="1" si="278">INDEX(Historical_Data_Names,3,B82)</f>
        <v>L</v>
      </c>
      <c r="B82" s="57">
        <f t="shared" si="178"/>
        <v>41</v>
      </c>
      <c r="C82" s="11" t="str">
        <f t="shared" ref="C82" ca="1" si="279">INDEX(Historical_Data_Names,2,B82)</f>
        <v>CAD Eq Off B/S</v>
      </c>
      <c r="D82" s="58"/>
      <c r="E82" s="59">
        <f t="shared" ref="E82" ca="1" si="280">AVERAGE(OFFSET(Historical_Data_Start,date_start_row,$B82,date_rows,1))*4</f>
        <v>-9.8010911625946717E-2</v>
      </c>
      <c r="F82" s="59">
        <f t="array" aca="1" ref="F82" ca="1">PRODUCT(1+OFFSET(Historical_Data_Start,date_start_row,$B82,date_rows,1))^(4/date_rows)-1</f>
        <v>-0.10765067962833652</v>
      </c>
      <c r="G82" s="59">
        <f t="shared" ref="G82" ca="1" si="281">STDEV(OFFSET(Historical_Data_Start,date_start_row,$B82,date_rows,1))*2</f>
        <v>0.16909526121936749</v>
      </c>
      <c r="H82" s="6"/>
      <c r="I82" s="61">
        <v>0.1</v>
      </c>
      <c r="J82" s="61">
        <v>0.18</v>
      </c>
      <c r="K82" s="6"/>
      <c r="L82" s="60">
        <v>-1.3100000000000001E-2</v>
      </c>
      <c r="M82" s="60"/>
      <c r="N82" s="14">
        <f t="shared" si="174"/>
        <v>-1.3100000000000001E-2</v>
      </c>
      <c r="O82" s="6"/>
      <c r="P82" s="115">
        <f t="shared" si="175"/>
        <v>-1.3100000000000001E-2</v>
      </c>
      <c r="Q82" s="115">
        <f t="shared" si="175"/>
        <v>-1.3100000000000001E-2</v>
      </c>
      <c r="R82" s="6"/>
      <c r="S82" s="226"/>
      <c r="T82" s="410">
        <v>0</v>
      </c>
      <c r="U82" s="410">
        <v>0</v>
      </c>
      <c r="V82" s="410">
        <v>0</v>
      </c>
      <c r="W82" s="410">
        <v>0</v>
      </c>
      <c r="X82" s="410">
        <v>0</v>
      </c>
      <c r="Y82" s="410">
        <v>0</v>
      </c>
      <c r="Z82" s="6"/>
      <c r="AI82" s="117">
        <v>0</v>
      </c>
      <c r="AJ82" s="117">
        <v>0</v>
      </c>
      <c r="AK82" s="117">
        <v>0</v>
      </c>
      <c r="AL82" s="117">
        <v>0</v>
      </c>
      <c r="AM82" s="117">
        <v>0</v>
      </c>
      <c r="AN82" s="117">
        <v>0</v>
      </c>
      <c r="AO82" s="117">
        <v>0</v>
      </c>
      <c r="AP82" s="117">
        <v>0</v>
      </c>
      <c r="AQ82" s="117">
        <v>0</v>
      </c>
      <c r="AR82" s="117">
        <v>0</v>
      </c>
      <c r="AS82" s="117">
        <v>0</v>
      </c>
      <c r="AU82" s="117">
        <v>0</v>
      </c>
      <c r="AV82" s="117">
        <v>0</v>
      </c>
      <c r="AW82" s="117">
        <v>0</v>
      </c>
      <c r="AX82" s="117">
        <v>0</v>
      </c>
      <c r="AY82" s="117">
        <v>0</v>
      </c>
      <c r="AZ82" s="117">
        <v>0</v>
      </c>
      <c r="BA82" s="117">
        <v>0</v>
      </c>
      <c r="BB82" s="117">
        <v>0</v>
      </c>
      <c r="BC82" s="117">
        <v>0</v>
      </c>
      <c r="BD82" s="117">
        <v>0</v>
      </c>
      <c r="BE82" s="117">
        <v>0</v>
      </c>
      <c r="BG82" s="51" t="str">
        <f t="shared" ca="1" si="176"/>
        <v>CAD Eq Off B/S</v>
      </c>
      <c r="BH82" s="38">
        <f t="shared" si="198"/>
        <v>0.1</v>
      </c>
      <c r="BI82" s="38">
        <f t="shared" si="199"/>
        <v>0.18</v>
      </c>
      <c r="BK82" s="31">
        <f ca="1">CORREL(OFFSET(Historical_Data_Start,date_start_row,$B82,date_rows,1),OFFSET(Historical_Data_Start,date_start_row,Calculations!BK$40,date_rows,1))</f>
        <v>3.248705088113308E-2</v>
      </c>
      <c r="BL82" s="32">
        <f ca="1">CORREL(OFFSET(Historical_Data_Start,date_start_row,$B82,date_rows,1),OFFSET(Historical_Data_Start,date_start_row,Calculations!BL$40,date_rows,1))</f>
        <v>3.0021457981662256E-2</v>
      </c>
      <c r="BM82" s="32">
        <f ca="1">CORREL(OFFSET(Historical_Data_Start,date_start_row,$B82,date_rows,1),OFFSET(Historical_Data_Start,date_start_row,Calculations!BM$40,date_rows,1))</f>
        <v>5.9753276192508524E-2</v>
      </c>
      <c r="BN82" s="32">
        <f ca="1">CORREL(OFFSET(Historical_Data_Start,date_start_row,$B82,date_rows,1),OFFSET(Historical_Data_Start,date_start_row,Calculations!BN$40,date_rows,1))</f>
        <v>-0.22426122309225852</v>
      </c>
      <c r="BO82" s="32">
        <f ca="1">CORREL(OFFSET(Historical_Data_Start,date_start_row,$B82,date_rows,1),OFFSET(Historical_Data_Start,date_start_row,Calculations!BO$40,date_rows,1))</f>
        <v>-0.22429315966682734</v>
      </c>
      <c r="BP82" s="32">
        <f ca="1">CORREL(OFFSET(Historical_Data_Start,date_start_row,$B82,date_rows,1),OFFSET(Historical_Data_Start,date_start_row,Calculations!BP$40,date_rows,1))</f>
        <v>-0.19642100959088482</v>
      </c>
      <c r="BQ82" s="32">
        <f ca="1">CORREL(OFFSET(Historical_Data_Start,date_start_row,$B82,date_rows,1),OFFSET(Historical_Data_Start,date_start_row,Calculations!BQ$40,date_rows,1))</f>
        <v>-0.2580403805639192</v>
      </c>
      <c r="BR82" s="32">
        <f ca="1">CORREL(OFFSET(Historical_Data_Start,date_start_row,$B82,date_rows,1),OFFSET(Historical_Data_Start,date_start_row,Calculations!BR$40,date_rows,1))</f>
        <v>-0.36232995598426526</v>
      </c>
      <c r="BS82" s="32">
        <f ca="1">CORREL(OFFSET(Historical_Data_Start,date_start_row,$B82,date_rows,1),OFFSET(Historical_Data_Start,date_start_row,Calculations!BS$40,date_rows,1))</f>
        <v>-0.42134212433666218</v>
      </c>
      <c r="BT82" s="32">
        <f ca="1">CORREL(OFFSET(Historical_Data_Start,date_start_row,$B82,date_rows,1),OFFSET(Historical_Data_Start,date_start_row,Calculations!BT$40,date_rows,1))</f>
        <v>-5.8407560166742071E-3</v>
      </c>
      <c r="BU82" s="32">
        <f ca="1">CORREL(OFFSET(Historical_Data_Start,date_start_row,$B82,date_rows,1),OFFSET(Historical_Data_Start,date_start_row,Calculations!BU$40,date_rows,1))</f>
        <v>-0.70180695517434455</v>
      </c>
      <c r="BV82" s="32">
        <f ca="1">CORREL(OFFSET(Historical_Data_Start,date_start_row,$B82,date_rows,1),OFFSET(Historical_Data_Start,date_start_row,Calculations!BV$40,date_rows,1))</f>
        <v>-0.74872466234453816</v>
      </c>
      <c r="BW82" s="32">
        <f ca="1">CORREL(OFFSET(Historical_Data_Start,date_start_row,$B82,date_rows,1),OFFSET(Historical_Data_Start,date_start_row,Calculations!BW$40,date_rows,1))</f>
        <v>-1</v>
      </c>
      <c r="BX82" s="32">
        <f ca="1">CORREL(OFFSET(Historical_Data_Start,date_start_row,$B82,date_rows,1),OFFSET(Historical_Data_Start,date_start_row,Calculations!BX$40,date_rows,1))</f>
        <v>-0.36854232617870181</v>
      </c>
      <c r="BY82" s="32">
        <f ca="1">CORREL(OFFSET(Historical_Data_Start,date_start_row,$B82,date_rows,1),OFFSET(Historical_Data_Start,date_start_row,Calculations!BY$40,date_rows,1))</f>
        <v>-0.59727014363222353</v>
      </c>
      <c r="BZ82" s="32">
        <f ca="1">CORREL(OFFSET(Historical_Data_Start,date_start_row,$B82,date_rows,1),OFFSET(Historical_Data_Start,date_start_row,Calculations!BZ$40,date_rows,1))</f>
        <v>-0.5990690715804855</v>
      </c>
      <c r="CA82" s="32">
        <f ca="1">CORREL(OFFSET(Historical_Data_Start,date_start_row,$B82,date_rows,1),OFFSET(Historical_Data_Start,date_start_row,Calculations!CA$40,date_rows,1))</f>
        <v>-0.43760575649719013</v>
      </c>
      <c r="CB82" s="32">
        <f ca="1">CORREL(OFFSET(Historical_Data_Start,date_start_row,$B82,date_rows,1),OFFSET(Historical_Data_Start,date_start_row,Calculations!CB$40,date_rows,1))</f>
        <v>-0.61412596171758516</v>
      </c>
      <c r="CC82" s="32">
        <f ca="1">CORREL(OFFSET(Historical_Data_Start,date_start_row,$B82,date_rows,1),OFFSET(Historical_Data_Start,date_start_row,Calculations!CC$40,date_rows,1))</f>
        <v>-0.56117427701609912</v>
      </c>
      <c r="CD82" s="32">
        <f ca="1">CORREL(OFFSET(Historical_Data_Start,date_start_row,$B82,date_rows,1),OFFSET(Historical_Data_Start,date_start_row,Calculations!CD$40,date_rows,1))</f>
        <v>-0.51952193834803351</v>
      </c>
      <c r="CE82" s="32">
        <f ca="1">CORREL(OFFSET(Historical_Data_Start,date_start_row,$B82,date_rows,1),OFFSET(Historical_Data_Start,date_start_row,Calculations!CE$40,date_rows,1))</f>
        <v>-0.56113318437615189</v>
      </c>
      <c r="CF82" s="32">
        <f ca="1">CORREL(OFFSET(Historical_Data_Start,date_start_row,$B82,date_rows,1),OFFSET(Historical_Data_Start,date_start_row,Calculations!CF$40,date_rows,1))</f>
        <v>-5.7833412004068212E-2</v>
      </c>
      <c r="CG82" s="32">
        <f ca="1">CORREL(OFFSET(Historical_Data_Start,date_start_row,$B82,date_rows,1),OFFSET(Historical_Data_Start,date_start_row,Calculations!CG$40,date_rows,1))</f>
        <v>5.1790780564377005E-2</v>
      </c>
      <c r="CH82" s="32">
        <f ca="1">CORREL(OFFSET(Historical_Data_Start,date_start_row,$B82,date_rows,1),OFFSET(Historical_Data_Start,date_start_row,Calculations!CH$40,date_rows,1))</f>
        <v>-0.72807943289601873</v>
      </c>
      <c r="CI82" s="32">
        <f ca="1">CORREL(OFFSET(Historical_Data_Start,date_start_row,$B82,date_rows,1),OFFSET(Historical_Data_Start,date_start_row,Calculations!CI$40,date_rows,1))</f>
        <v>-0.60590933907755706</v>
      </c>
      <c r="CJ82" s="32">
        <f ca="1">CORREL(OFFSET(Historical_Data_Start,date_start_row,$B82,date_rows,1),OFFSET(Historical_Data_Start,date_start_row,Calculations!CJ$40,date_rows,1))</f>
        <v>-6.5829120304916916E-2</v>
      </c>
      <c r="CK82" s="32">
        <f ca="1">CORREL(OFFSET(Historical_Data_Start,date_start_row,$B82,date_rows,1),OFFSET(Historical_Data_Start,date_start_row,Calculations!CK$40,date_rows,1))</f>
        <v>-9.4242881083180796E-2</v>
      </c>
      <c r="CL82" s="32">
        <f ca="1">CORREL(OFFSET(Historical_Data_Start,date_start_row,$B82,date_rows,1),OFFSET(Historical_Data_Start,date_start_row,Calculations!CL$40,date_rows,1))</f>
        <v>3.2493901238497859E-2</v>
      </c>
      <c r="CM82" s="32">
        <f ca="1">CORREL(OFFSET(Historical_Data_Start,date_start_row,$B82,date_rows,1),OFFSET(Historical_Data_Start,date_start_row,Calculations!CM$40,date_rows,1))</f>
        <v>3.0021457981662256E-2</v>
      </c>
      <c r="CN82" s="32">
        <f ca="1">CORREL(OFFSET(Historical_Data_Start,date_start_row,$B82,date_rows,1),OFFSET(Historical_Data_Start,date_start_row,Calculations!CN$40,date_rows,1))</f>
        <v>5.9753276192508524E-2</v>
      </c>
      <c r="CO82" s="32">
        <f ca="1">CORREL(OFFSET(Historical_Data_Start,date_start_row,$B82,date_rows,1),OFFSET(Historical_Data_Start,date_start_row,Calculations!CO$40,date_rows,1))</f>
        <v>-0.19642100959088482</v>
      </c>
      <c r="CP82" s="32">
        <f ca="1">CORREL(OFFSET(Historical_Data_Start,date_start_row,$B82,date_rows,1),OFFSET(Historical_Data_Start,date_start_row,Calculations!CP$40,date_rows,1))</f>
        <v>-0.2580403805639192</v>
      </c>
      <c r="CQ82" s="32">
        <f ca="1">CORREL(OFFSET(Historical_Data_Start,date_start_row,$B82,date_rows,1),OFFSET(Historical_Data_Start,date_start_row,Calculations!CQ$40,date_rows,1))</f>
        <v>3.9161130004140302E-2</v>
      </c>
      <c r="CR82" s="32">
        <f ca="1">CORREL(OFFSET(Historical_Data_Start,date_start_row,$B82,date_rows,1),OFFSET(Historical_Data_Start,date_start_row,Calculations!CR$40,date_rows,1))</f>
        <v>-0.28985192005965332</v>
      </c>
      <c r="CS82" s="32">
        <f ca="1">CORREL(OFFSET(Historical_Data_Start,date_start_row,$B82,date_rows,1),OFFSET(Historical_Data_Start,date_start_row,Calculations!CS$40,date_rows,1))</f>
        <v>3.2691473142536148E-2</v>
      </c>
      <c r="CT82" s="32">
        <f ca="1">CORREL(OFFSET(Historical_Data_Start,date_start_row,$B82,date_rows,1),OFFSET(Historical_Data_Start,date_start_row,Calculations!CT$40,date_rows,1))</f>
        <v>0.22403602931330793</v>
      </c>
      <c r="CU82" s="32">
        <f ca="1">CORREL(OFFSET(Historical_Data_Start,date_start_row,$B82,date_rows,1),OFFSET(Historical_Data_Start,date_start_row,Calculations!CU$40,date_rows,1))</f>
        <v>0.35963918492472058</v>
      </c>
      <c r="CV82" s="32">
        <f ca="1">CORREL(OFFSET(Historical_Data_Start,date_start_row,$B82,date_rows,1),OFFSET(Historical_Data_Start,date_start_row,Calculations!CV$40,date_rows,1))</f>
        <v>-5.7650095737454325E-2</v>
      </c>
      <c r="CW82" s="32">
        <f ca="1">CORREL(OFFSET(Historical_Data_Start,date_start_row,$B82,date_rows,1),OFFSET(Historical_Data_Start,date_start_row,Calculations!CW$40,date_rows,1))</f>
        <v>0.82863785918411037</v>
      </c>
      <c r="CX82" s="32">
        <f ca="1">CORREL(OFFSET(Historical_Data_Start,date_start_row,$B82,date_rows,1),OFFSET(Historical_Data_Start,date_start_row,Calculations!CX$40,date_rows,1))</f>
        <v>0.83174264186043567</v>
      </c>
      <c r="CY82" s="32">
        <f ca="1">CORREL(OFFSET(Historical_Data_Start,date_start_row,$B82,date_rows,1),OFFSET(Historical_Data_Start,date_start_row,Calculations!CY$40,date_rows,1))</f>
        <v>1</v>
      </c>
      <c r="CZ82" s="32">
        <f ca="1">CORREL(OFFSET(Historical_Data_Start,date_start_row,$B82,date_rows,1),OFFSET(Historical_Data_Start,date_start_row,Calculations!CZ$40,date_rows,1))</f>
        <v>0.45038709082487594</v>
      </c>
      <c r="DA82" s="32">
        <f ca="1">CORREL(OFFSET(Historical_Data_Start,date_start_row,$B82,date_rows,1),OFFSET(Historical_Data_Start,date_start_row,Calculations!DA$40,date_rows,1))</f>
        <v>0.65939990224439327</v>
      </c>
      <c r="DB82" s="32">
        <f ca="1">CORREL(OFFSET(Historical_Data_Start,date_start_row,$B82,date_rows,1),OFFSET(Historical_Data_Start,date_start_row,Calculations!DB$40,date_rows,1))</f>
        <v>0.66727293799496379</v>
      </c>
      <c r="DC82" s="32">
        <f ca="1">CORREL(OFFSET(Historical_Data_Start,date_start_row,$B82,date_rows,1),OFFSET(Historical_Data_Start,date_start_row,Calculations!DC$40,date_rows,1))</f>
        <v>0.53247239960983217</v>
      </c>
      <c r="DD82" s="32">
        <f ca="1">CORREL(OFFSET(Historical_Data_Start,date_start_row,$B82,date_rows,1),OFFSET(Historical_Data_Start,date_start_row,Calculations!DD$40,date_rows,1))</f>
        <v>0.65386991136779138</v>
      </c>
      <c r="DE82" s="32">
        <f ca="1">CORREL(OFFSET(Historical_Data_Start,date_start_row,$B82,date_rows,1),OFFSET(Historical_Data_Start,date_start_row,Calculations!DE$40,date_rows,1))</f>
        <v>0.60570994492197405</v>
      </c>
      <c r="DF82" s="32">
        <f ca="1">CORREL(OFFSET(Historical_Data_Start,date_start_row,$B82,date_rows,1),OFFSET(Historical_Data_Start,date_start_row,Calculations!DF$40,date_rows,1))</f>
        <v>0.56975701248072164</v>
      </c>
      <c r="DG82" s="32">
        <f ca="1">CORREL(OFFSET(Historical_Data_Start,date_start_row,$B82,date_rows,1),OFFSET(Historical_Data_Start,date_start_row,Calculations!DG$40,date_rows,1))</f>
        <v>0.60985468680367716</v>
      </c>
      <c r="DH82" s="33">
        <f ca="1">CORREL(OFFSET(Historical_Data_Start,date_start_row,$B82,date_rows,1),OFFSET(Historical_Data_Start,date_start_row,Calculations!DH$40,date_rows,1))</f>
        <v>0.24854821686519263</v>
      </c>
      <c r="DI82" s="2">
        <f t="shared" si="71"/>
        <v>41</v>
      </c>
      <c r="DJ82" s="43">
        <f t="shared" ca="1" si="200"/>
        <v>5.8476691586039542E-5</v>
      </c>
      <c r="DK82" s="44">
        <f t="shared" ca="1" si="201"/>
        <v>3.4044333351204996E-4</v>
      </c>
      <c r="DL82" s="44">
        <f t="shared" ca="1" si="202"/>
        <v>1.1616036891823659E-3</v>
      </c>
      <c r="DM82" s="44">
        <f t="shared" ca="1" si="203"/>
        <v>-2.3412871690831789E-3</v>
      </c>
      <c r="DN82" s="44">
        <f t="shared" ca="1" si="204"/>
        <v>-3.956531336522834E-3</v>
      </c>
      <c r="DO82" s="44">
        <f t="shared" ca="1" si="205"/>
        <v>-1.8738564314970411E-3</v>
      </c>
      <c r="DP82" s="44">
        <f t="shared" ca="1" si="206"/>
        <v>-4.2731487021385019E-3</v>
      </c>
      <c r="DQ82" s="44">
        <f t="shared" ca="1" si="207"/>
        <v>-3.1957502117812195E-3</v>
      </c>
      <c r="DR82" s="44">
        <f t="shared" ca="1" si="208"/>
        <v>-6.2948513375897328E-3</v>
      </c>
      <c r="DS82" s="44">
        <f t="shared" ca="1" si="209"/>
        <v>-7.3593525810095007E-5</v>
      </c>
      <c r="DT82" s="44">
        <f t="shared" ca="1" si="210"/>
        <v>-2.0212040309021122E-2</v>
      </c>
      <c r="DU82" s="44">
        <f t="shared" ca="1" si="211"/>
        <v>-2.6954087844403372E-2</v>
      </c>
      <c r="DV82" s="44">
        <f t="shared" ca="1" si="212"/>
        <v>-3.2399999999999998E-2</v>
      </c>
      <c r="DW82" s="44">
        <f t="shared" ca="1" si="213"/>
        <v>-1.5921028490919916E-2</v>
      </c>
      <c r="DX82" s="44">
        <f t="shared" ca="1" si="214"/>
        <v>-2.2576811429298051E-2</v>
      </c>
      <c r="DY82" s="44">
        <f t="shared" ca="1" si="215"/>
        <v>-2.1566486576897477E-2</v>
      </c>
      <c r="DZ82" s="44">
        <f t="shared" ca="1" si="216"/>
        <v>-1.5753807233898843E-2</v>
      </c>
      <c r="EA82" s="44">
        <f t="shared" ca="1" si="217"/>
        <v>-2.4319388084016371E-2</v>
      </c>
      <c r="EB82" s="44">
        <f t="shared" ca="1" si="218"/>
        <v>-2.6262956164353441E-2</v>
      </c>
      <c r="EC82" s="44">
        <f t="shared" ca="1" si="219"/>
        <v>-2.8054184670793809E-2</v>
      </c>
      <c r="ED82" s="44">
        <f t="shared" ca="1" si="220"/>
        <v>-2.8281112492558054E-2</v>
      </c>
      <c r="EE82" s="44">
        <f t="shared" ca="1" si="221"/>
        <v>-9.3690127446590494E-4</v>
      </c>
      <c r="EF82" s="44">
        <f t="shared" ca="1" si="222"/>
        <v>8.3901064514290747E-4</v>
      </c>
      <c r="EG82" s="44">
        <f t="shared" ca="1" si="223"/>
        <v>-2.2279230646618176E-2</v>
      </c>
      <c r="EH82" s="44">
        <f t="shared" ca="1" si="224"/>
        <v>-2.6175283448150462E-2</v>
      </c>
      <c r="EI82" s="44">
        <f t="shared" ca="1" si="225"/>
        <v>-1.4219089985862052E-3</v>
      </c>
      <c r="EJ82" s="44">
        <f t="shared" ca="1" si="226"/>
        <v>-1.5267346735475288E-3</v>
      </c>
      <c r="EK82" s="43">
        <f t="shared" ca="1" si="227"/>
        <v>5.8489022229296144E-5</v>
      </c>
      <c r="EL82" s="44">
        <f t="shared" ca="1" si="228"/>
        <v>2.4857767208816343E-4</v>
      </c>
      <c r="EM82" s="44">
        <f t="shared" ca="1" si="229"/>
        <v>8.712027668867742E-4</v>
      </c>
      <c r="EN82" s="44">
        <f t="shared" ca="1" si="230"/>
        <v>-1.4495870507807297E-3</v>
      </c>
      <c r="EO82" s="44">
        <f t="shared" ca="1" si="231"/>
        <v>-5.2949886091716225E-3</v>
      </c>
      <c r="EP82" s="44">
        <f t="shared" ca="1" si="232"/>
        <v>1.9525739420064353E-3</v>
      </c>
      <c r="EQ82" s="44">
        <f t="shared" ca="1" si="233"/>
        <v>-1.2417256255355549E-2</v>
      </c>
      <c r="ER82" s="44">
        <f t="shared" ca="1" si="234"/>
        <v>1.8830288530100822E-3</v>
      </c>
      <c r="ES82" s="44">
        <f t="shared" ca="1" si="235"/>
        <v>2.5405685724129118E-3</v>
      </c>
      <c r="ET82" s="44">
        <f t="shared" ca="1" si="236"/>
        <v>3.2367526643224849E-3</v>
      </c>
      <c r="EU82" s="44">
        <f t="shared" ca="1" si="237"/>
        <v>-7.2639120629192447E-4</v>
      </c>
      <c r="EV82" s="44">
        <f t="shared" ca="1" si="238"/>
        <v>2.3864770344502378E-2</v>
      </c>
      <c r="EW82" s="44">
        <f t="shared" ca="1" si="239"/>
        <v>2.9942735106975683E-2</v>
      </c>
      <c r="EX82" s="44">
        <f t="shared" ca="1" si="240"/>
        <v>3.2399999999999998E-2</v>
      </c>
      <c r="EY82" s="44">
        <f t="shared" ca="1" si="241"/>
        <v>1.9456722323634639E-2</v>
      </c>
      <c r="EZ82" s="44">
        <f t="shared" ca="1" si="242"/>
        <v>2.4925316304838064E-2</v>
      </c>
      <c r="FA82" s="44">
        <f t="shared" ca="1" si="243"/>
        <v>2.4021825767818694E-2</v>
      </c>
      <c r="FB82" s="44">
        <f t="shared" ca="1" si="244"/>
        <v>1.9169006385953955E-2</v>
      </c>
      <c r="FC82" s="44">
        <f t="shared" ca="1" si="245"/>
        <v>2.5893248490164535E-2</v>
      </c>
      <c r="FD82" s="44">
        <f t="shared" ca="1" si="246"/>
        <v>2.8347225422348386E-2</v>
      </c>
      <c r="FE82" s="44">
        <f t="shared" ca="1" si="247"/>
        <v>3.0766878673958969E-2</v>
      </c>
      <c r="FF82" s="44">
        <f t="shared" ca="1" si="248"/>
        <v>3.0736676214905331E-2</v>
      </c>
      <c r="FG82" s="45">
        <f t="shared" ca="1" si="249"/>
        <v>2.2369339517867336E-4</v>
      </c>
    </row>
    <row r="83" spans="1:163" x14ac:dyDescent="0.2">
      <c r="A83" s="51" t="str">
        <f t="shared" ref="A83" ca="1" si="282">INDEX(Historical_Data_Names,3,B83)</f>
        <v>L</v>
      </c>
      <c r="B83" s="57">
        <f t="shared" si="178"/>
        <v>42</v>
      </c>
      <c r="C83" s="11" t="str">
        <f t="shared" ref="C83" ca="1" si="283">INDEX(Historical_Data_Names,2,B83)</f>
        <v>Jpn Eq Off B/S</v>
      </c>
      <c r="D83" s="58"/>
      <c r="E83" s="59">
        <f t="shared" ref="E83" ca="1" si="284">AVERAGE(OFFSET(Historical_Data_Start,date_start_row,$B83,date_rows,1))*4</f>
        <v>-9.3912382314431594E-2</v>
      </c>
      <c r="F83" s="59">
        <f t="array" aca="1" ref="F83" ca="1">PRODUCT(1+OFFSET(Historical_Data_Start,date_start_row,$B83,date_rows,1))^(4/date_rows)-1</f>
        <v>-0.11598595459994876</v>
      </c>
      <c r="G83" s="59">
        <f t="shared" ref="G83" ca="1" si="285">STDEV(OFFSET(Historical_Data_Start,date_start_row,$B83,date_rows,1))*2</f>
        <v>0.229298470508459</v>
      </c>
      <c r="H83" s="6"/>
      <c r="I83" s="61">
        <v>0.1</v>
      </c>
      <c r="J83" s="61">
        <v>0.24</v>
      </c>
      <c r="K83" s="6"/>
      <c r="L83" s="60">
        <v>-8.199999999999999E-3</v>
      </c>
      <c r="M83" s="60"/>
      <c r="N83" s="14">
        <f t="shared" si="174"/>
        <v>-8.199999999999999E-3</v>
      </c>
      <c r="O83" s="6"/>
      <c r="P83" s="115">
        <f t="shared" si="175"/>
        <v>-8.199999999999999E-3</v>
      </c>
      <c r="Q83" s="115">
        <f t="shared" si="175"/>
        <v>-8.199999999999999E-3</v>
      </c>
      <c r="R83" s="6"/>
      <c r="S83" s="226"/>
      <c r="T83" s="410">
        <v>0</v>
      </c>
      <c r="U83" s="410">
        <v>0</v>
      </c>
      <c r="V83" s="410">
        <v>0</v>
      </c>
      <c r="W83" s="410">
        <v>0</v>
      </c>
      <c r="X83" s="410">
        <v>0</v>
      </c>
      <c r="Y83" s="410">
        <v>0</v>
      </c>
      <c r="Z83" s="6"/>
      <c r="AI83" s="117">
        <v>0</v>
      </c>
      <c r="AJ83" s="117">
        <v>0</v>
      </c>
      <c r="AK83" s="117">
        <v>0</v>
      </c>
      <c r="AL83" s="117">
        <v>0</v>
      </c>
      <c r="AM83" s="117">
        <v>0</v>
      </c>
      <c r="AN83" s="117">
        <v>0</v>
      </c>
      <c r="AO83" s="117">
        <v>0</v>
      </c>
      <c r="AP83" s="117">
        <v>0</v>
      </c>
      <c r="AQ83" s="117">
        <v>0</v>
      </c>
      <c r="AR83" s="117">
        <v>0</v>
      </c>
      <c r="AS83" s="117">
        <v>0</v>
      </c>
      <c r="AU83" s="117">
        <v>0</v>
      </c>
      <c r="AV83" s="117">
        <v>0</v>
      </c>
      <c r="AW83" s="117">
        <v>0</v>
      </c>
      <c r="AX83" s="117">
        <v>0</v>
      </c>
      <c r="AY83" s="117">
        <v>0</v>
      </c>
      <c r="AZ83" s="117">
        <v>0</v>
      </c>
      <c r="BA83" s="117">
        <v>0</v>
      </c>
      <c r="BB83" s="117">
        <v>0</v>
      </c>
      <c r="BC83" s="117">
        <v>0</v>
      </c>
      <c r="BD83" s="117">
        <v>0</v>
      </c>
      <c r="BE83" s="117">
        <v>0</v>
      </c>
      <c r="BG83" s="51" t="str">
        <f t="shared" ca="1" si="176"/>
        <v>Jpn Eq Off B/S</v>
      </c>
      <c r="BH83" s="38">
        <f t="shared" si="198"/>
        <v>0.1</v>
      </c>
      <c r="BI83" s="38">
        <f t="shared" si="199"/>
        <v>0.24</v>
      </c>
      <c r="BK83" s="31">
        <f ca="1">CORREL(OFFSET(Historical_Data_Start,date_start_row,$B83,date_rows,1),OFFSET(Historical_Data_Start,date_start_row,Calculations!BK$40,date_rows,1))</f>
        <v>-5.7925816900985763E-2</v>
      </c>
      <c r="BL83" s="32">
        <f ca="1">CORREL(OFFSET(Historical_Data_Start,date_start_row,$B83,date_rows,1),OFFSET(Historical_Data_Start,date_start_row,Calculations!BL$40,date_rows,1))</f>
        <v>-2.5241297546517678E-2</v>
      </c>
      <c r="BM83" s="32">
        <f ca="1">CORREL(OFFSET(Historical_Data_Start,date_start_row,$B83,date_rows,1),OFFSET(Historical_Data_Start,date_start_row,Calculations!BM$40,date_rows,1))</f>
        <v>-6.1712046066886008E-3</v>
      </c>
      <c r="BN83" s="32">
        <f ca="1">CORREL(OFFSET(Historical_Data_Start,date_start_row,$B83,date_rows,1),OFFSET(Historical_Data_Start,date_start_row,Calculations!BN$40,date_rows,1))</f>
        <v>-0.1404317808075882</v>
      </c>
      <c r="BO83" s="32">
        <f ca="1">CORREL(OFFSET(Historical_Data_Start,date_start_row,$B83,date_rows,1),OFFSET(Historical_Data_Start,date_start_row,Calculations!BO$40,date_rows,1))</f>
        <v>-0.11354912598491122</v>
      </c>
      <c r="BP83" s="32">
        <f ca="1">CORREL(OFFSET(Historical_Data_Start,date_start_row,$B83,date_rows,1),OFFSET(Historical_Data_Start,date_start_row,Calculations!BP$40,date_rows,1))</f>
        <v>-7.3925880614841746E-2</v>
      </c>
      <c r="BQ83" s="32">
        <f ca="1">CORREL(OFFSET(Historical_Data_Start,date_start_row,$B83,date_rows,1),OFFSET(Historical_Data_Start,date_start_row,Calculations!BQ$40,date_rows,1))</f>
        <v>-0.10174959043767511</v>
      </c>
      <c r="BR83" s="32">
        <f ca="1">CORREL(OFFSET(Historical_Data_Start,date_start_row,$B83,date_rows,1),OFFSET(Historical_Data_Start,date_start_row,Calculations!BR$40,date_rows,1))</f>
        <v>-0.13092258928639569</v>
      </c>
      <c r="BS83" s="32">
        <f ca="1">CORREL(OFFSET(Historical_Data_Start,date_start_row,$B83,date_rows,1),OFFSET(Historical_Data_Start,date_start_row,Calculations!BS$40,date_rows,1))</f>
        <v>-0.16900717920660657</v>
      </c>
      <c r="BT83" s="32">
        <f ca="1">CORREL(OFFSET(Historical_Data_Start,date_start_row,$B83,date_rows,1),OFFSET(Historical_Data_Start,date_start_row,Calculations!BT$40,date_rows,1))</f>
        <v>-9.9565524540137881E-2</v>
      </c>
      <c r="BU83" s="32">
        <f ca="1">CORREL(OFFSET(Historical_Data_Start,date_start_row,$B83,date_rows,1),OFFSET(Historical_Data_Start,date_start_row,Calculations!BU$40,date_rows,1))</f>
        <v>-0.42951982521245352</v>
      </c>
      <c r="BV83" s="32">
        <f ca="1">CORREL(OFFSET(Historical_Data_Start,date_start_row,$B83,date_rows,1),OFFSET(Historical_Data_Start,date_start_row,Calculations!BV$40,date_rows,1))</f>
        <v>-0.43047828328506044</v>
      </c>
      <c r="BW83" s="32">
        <f ca="1">CORREL(OFFSET(Historical_Data_Start,date_start_row,$B83,date_rows,1),OFFSET(Historical_Data_Start,date_start_row,Calculations!BW$40,date_rows,1))</f>
        <v>-0.45038709082487594</v>
      </c>
      <c r="BX83" s="32">
        <f ca="1">CORREL(OFFSET(Historical_Data_Start,date_start_row,$B83,date_rows,1),OFFSET(Historical_Data_Start,date_start_row,Calculations!BX$40,date_rows,1))</f>
        <v>-0.98363395305334733</v>
      </c>
      <c r="BY83" s="32">
        <f ca="1">CORREL(OFFSET(Historical_Data_Start,date_start_row,$B83,date_rows,1),OFFSET(Historical_Data_Start,date_start_row,Calculations!BY$40,date_rows,1))</f>
        <v>-0.46595187232159219</v>
      </c>
      <c r="BZ83" s="32">
        <f ca="1">CORREL(OFFSET(Historical_Data_Start,date_start_row,$B83,date_rows,1),OFFSET(Historical_Data_Start,date_start_row,Calculations!BZ$40,date_rows,1))</f>
        <v>-0.42608546078136522</v>
      </c>
      <c r="CA83" s="32">
        <f ca="1">CORREL(OFFSET(Historical_Data_Start,date_start_row,$B83,date_rows,1),OFFSET(Historical_Data_Start,date_start_row,Calculations!CA$40,date_rows,1))</f>
        <v>-0.41311951920582551</v>
      </c>
      <c r="CB83" s="32">
        <f ca="1">CORREL(OFFSET(Historical_Data_Start,date_start_row,$B83,date_rows,1),OFFSET(Historical_Data_Start,date_start_row,Calculations!CB$40,date_rows,1))</f>
        <v>-0.39564093943981943</v>
      </c>
      <c r="CC83" s="32">
        <f ca="1">CORREL(OFFSET(Historical_Data_Start,date_start_row,$B83,date_rows,1),OFFSET(Historical_Data_Start,date_start_row,Calculations!CC$40,date_rows,1))</f>
        <v>-0.3795466101025704</v>
      </c>
      <c r="CD83" s="32">
        <f ca="1">CORREL(OFFSET(Historical_Data_Start,date_start_row,$B83,date_rows,1),OFFSET(Historical_Data_Start,date_start_row,Calculations!CD$40,date_rows,1))</f>
        <v>-0.37385310148773787</v>
      </c>
      <c r="CE83" s="32">
        <f ca="1">CORREL(OFFSET(Historical_Data_Start,date_start_row,$B83,date_rows,1),OFFSET(Historical_Data_Start,date_start_row,Calculations!CE$40,date_rows,1))</f>
        <v>-0.4251403649276479</v>
      </c>
      <c r="CF83" s="32">
        <f ca="1">CORREL(OFFSET(Historical_Data_Start,date_start_row,$B83,date_rows,1),OFFSET(Historical_Data_Start,date_start_row,Calculations!CF$40,date_rows,1))</f>
        <v>-2.8084161734072112E-2</v>
      </c>
      <c r="CG83" s="32">
        <f ca="1">CORREL(OFFSET(Historical_Data_Start,date_start_row,$B83,date_rows,1),OFFSET(Historical_Data_Start,date_start_row,Calculations!CG$40,date_rows,1))</f>
        <v>2.6601484947795192E-3</v>
      </c>
      <c r="CH83" s="32">
        <f ca="1">CORREL(OFFSET(Historical_Data_Start,date_start_row,$B83,date_rows,1),OFFSET(Historical_Data_Start,date_start_row,Calculations!CH$40,date_rows,1))</f>
        <v>-0.32966620487750781</v>
      </c>
      <c r="CI83" s="32">
        <f ca="1">CORREL(OFFSET(Historical_Data_Start,date_start_row,$B83,date_rows,1),OFFSET(Historical_Data_Start,date_start_row,Calculations!CI$40,date_rows,1))</f>
        <v>-0.21134871298831875</v>
      </c>
      <c r="CJ83" s="32">
        <f ca="1">CORREL(OFFSET(Historical_Data_Start,date_start_row,$B83,date_rows,1),OFFSET(Historical_Data_Start,date_start_row,Calculations!CJ$40,date_rows,1))</f>
        <v>-2.9666570197209099E-2</v>
      </c>
      <c r="CK83" s="32">
        <f ca="1">CORREL(OFFSET(Historical_Data_Start,date_start_row,$B83,date_rows,1),OFFSET(Historical_Data_Start,date_start_row,Calculations!CK$40,date_rows,1))</f>
        <v>-0.19847981001307191</v>
      </c>
      <c r="CL83" s="32">
        <f ca="1">CORREL(OFFSET(Historical_Data_Start,date_start_row,$B83,date_rows,1),OFFSET(Historical_Data_Start,date_start_row,Calculations!CL$40,date_rows,1))</f>
        <v>-5.7927691445236663E-2</v>
      </c>
      <c r="CM83" s="32">
        <f ca="1">CORREL(OFFSET(Historical_Data_Start,date_start_row,$B83,date_rows,1),OFFSET(Historical_Data_Start,date_start_row,Calculations!CM$40,date_rows,1))</f>
        <v>-2.5241297546517678E-2</v>
      </c>
      <c r="CN83" s="32">
        <f ca="1">CORREL(OFFSET(Historical_Data_Start,date_start_row,$B83,date_rows,1),OFFSET(Historical_Data_Start,date_start_row,Calculations!CN$40,date_rows,1))</f>
        <v>-6.1712046066886008E-3</v>
      </c>
      <c r="CO83" s="32">
        <f ca="1">CORREL(OFFSET(Historical_Data_Start,date_start_row,$B83,date_rows,1),OFFSET(Historical_Data_Start,date_start_row,Calculations!CO$40,date_rows,1))</f>
        <v>-7.3925880614841746E-2</v>
      </c>
      <c r="CP83" s="32">
        <f ca="1">CORREL(OFFSET(Historical_Data_Start,date_start_row,$B83,date_rows,1),OFFSET(Historical_Data_Start,date_start_row,Calculations!CP$40,date_rows,1))</f>
        <v>-0.10174959043767511</v>
      </c>
      <c r="CQ83" s="32">
        <f ca="1">CORREL(OFFSET(Historical_Data_Start,date_start_row,$B83,date_rows,1),OFFSET(Historical_Data_Start,date_start_row,Calculations!CQ$40,date_rows,1))</f>
        <v>-3.013121228967611E-2</v>
      </c>
      <c r="CR83" s="32">
        <f ca="1">CORREL(OFFSET(Historical_Data_Start,date_start_row,$B83,date_rows,1),OFFSET(Historical_Data_Start,date_start_row,Calculations!CR$40,date_rows,1))</f>
        <v>-0.20244510450201569</v>
      </c>
      <c r="CS83" s="32">
        <f ca="1">CORREL(OFFSET(Historical_Data_Start,date_start_row,$B83,date_rows,1),OFFSET(Historical_Data_Start,date_start_row,Calculations!CS$40,date_rows,1))</f>
        <v>-6.9437677495029632E-2</v>
      </c>
      <c r="CT83" s="32">
        <f ca="1">CORREL(OFFSET(Historical_Data_Start,date_start_row,$B83,date_rows,1),OFFSET(Historical_Data_Start,date_start_row,Calculations!CT$40,date_rows,1))</f>
        <v>0.13580432887235319</v>
      </c>
      <c r="CU83" s="32">
        <f ca="1">CORREL(OFFSET(Historical_Data_Start,date_start_row,$B83,date_rows,1),OFFSET(Historical_Data_Start,date_start_row,Calculations!CU$40,date_rows,1))</f>
        <v>0.11387619475807936</v>
      </c>
      <c r="CV83" s="32">
        <f ca="1">CORREL(OFFSET(Historical_Data_Start,date_start_row,$B83,date_rows,1),OFFSET(Historical_Data_Start,date_start_row,Calculations!CV$40,date_rows,1))</f>
        <v>0.37144264089408685</v>
      </c>
      <c r="CW83" s="32">
        <f ca="1">CORREL(OFFSET(Historical_Data_Start,date_start_row,$B83,date_rows,1),OFFSET(Historical_Data_Start,date_start_row,Calculations!CW$40,date_rows,1))</f>
        <v>0.45424951417053089</v>
      </c>
      <c r="CX83" s="32">
        <f ca="1">CORREL(OFFSET(Historical_Data_Start,date_start_row,$B83,date_rows,1),OFFSET(Historical_Data_Start,date_start_row,Calculations!CX$40,date_rows,1))</f>
        <v>0.44374114402502723</v>
      </c>
      <c r="CY83" s="32">
        <f ca="1">CORREL(OFFSET(Historical_Data_Start,date_start_row,$B83,date_rows,1),OFFSET(Historical_Data_Start,date_start_row,Calculations!CY$40,date_rows,1))</f>
        <v>0.45038709082487594</v>
      </c>
      <c r="CZ83" s="32">
        <f ca="1">CORREL(OFFSET(Historical_Data_Start,date_start_row,$B83,date_rows,1),OFFSET(Historical_Data_Start,date_start_row,Calculations!CZ$40,date_rows,1))</f>
        <v>0.99999999999999989</v>
      </c>
      <c r="DA83" s="32">
        <f ca="1">CORREL(OFFSET(Historical_Data_Start,date_start_row,$B83,date_rows,1),OFFSET(Historical_Data_Start,date_start_row,Calculations!DA$40,date_rows,1))</f>
        <v>0.47431479792804532</v>
      </c>
      <c r="DB83" s="32">
        <f ca="1">CORREL(OFFSET(Historical_Data_Start,date_start_row,$B83,date_rows,1),OFFSET(Historical_Data_Start,date_start_row,Calculations!DB$40,date_rows,1))</f>
        <v>0.4357387802682629</v>
      </c>
      <c r="DC83" s="32">
        <f ca="1">CORREL(OFFSET(Historical_Data_Start,date_start_row,$B83,date_rows,1),OFFSET(Historical_Data_Start,date_start_row,Calculations!DC$40,date_rows,1))</f>
        <v>0.44648455985096336</v>
      </c>
      <c r="DD83" s="32">
        <f ca="1">CORREL(OFFSET(Historical_Data_Start,date_start_row,$B83,date_rows,1),OFFSET(Historical_Data_Start,date_start_row,Calculations!DD$40,date_rows,1))</f>
        <v>0.39532349102040792</v>
      </c>
      <c r="DE83" s="32">
        <f ca="1">CORREL(OFFSET(Historical_Data_Start,date_start_row,$B83,date_rows,1),OFFSET(Historical_Data_Start,date_start_row,Calculations!DE$40,date_rows,1))</f>
        <v>0.3865415372947717</v>
      </c>
      <c r="DF83" s="32">
        <f ca="1">CORREL(OFFSET(Historical_Data_Start,date_start_row,$B83,date_rows,1),OFFSET(Historical_Data_Start,date_start_row,Calculations!DF$40,date_rows,1))</f>
        <v>0.3840475296529125</v>
      </c>
      <c r="DG83" s="32">
        <f ca="1">CORREL(OFFSET(Historical_Data_Start,date_start_row,$B83,date_rows,1),OFFSET(Historical_Data_Start,date_start_row,Calculations!DG$40,date_rows,1))</f>
        <v>0.429982292557194</v>
      </c>
      <c r="DH83" s="33">
        <f ca="1">CORREL(OFFSET(Historical_Data_Start,date_start_row,$B83,date_rows,1),OFFSET(Historical_Data_Start,date_start_row,Calculations!DH$40,date_rows,1))</f>
        <v>7.7434403150261649E-2</v>
      </c>
      <c r="DI83" s="2">
        <f t="shared" si="71"/>
        <v>42</v>
      </c>
      <c r="DJ83" s="43">
        <f t="shared" ca="1" si="200"/>
        <v>-1.3902196056236581E-4</v>
      </c>
      <c r="DK83" s="44">
        <f t="shared" ca="1" si="201"/>
        <v>-3.8164841890334729E-4</v>
      </c>
      <c r="DL83" s="44">
        <f t="shared" ca="1" si="202"/>
        <v>-1.5995762340536855E-4</v>
      </c>
      <c r="DM83" s="44">
        <f t="shared" ca="1" si="203"/>
        <v>-1.9548103888416273E-3</v>
      </c>
      <c r="DN83" s="44">
        <f t="shared" ca="1" si="204"/>
        <v>-2.6706754431651118E-3</v>
      </c>
      <c r="DO83" s="44">
        <f t="shared" ca="1" si="205"/>
        <v>-9.4033720142078692E-4</v>
      </c>
      <c r="DP83" s="44">
        <f t="shared" ca="1" si="206"/>
        <v>-2.2466309568638662E-3</v>
      </c>
      <c r="DQ83" s="44">
        <f t="shared" ca="1" si="207"/>
        <v>-1.5396496500080133E-3</v>
      </c>
      <c r="DR83" s="44">
        <f t="shared" ca="1" si="208"/>
        <v>-3.3666230097956031E-3</v>
      </c>
      <c r="DS83" s="44">
        <f t="shared" ca="1" si="209"/>
        <v>-1.6727008122743167E-3</v>
      </c>
      <c r="DT83" s="44">
        <f t="shared" ca="1" si="210"/>
        <v>-1.6493561288158213E-2</v>
      </c>
      <c r="DU83" s="44">
        <f t="shared" ca="1" si="211"/>
        <v>-2.0662957597682902E-2</v>
      </c>
      <c r="DV83" s="44">
        <f t="shared" ca="1" si="212"/>
        <v>-1.9456722323634639E-2</v>
      </c>
      <c r="DW83" s="44">
        <f t="shared" ca="1" si="213"/>
        <v>-5.6657315695872804E-2</v>
      </c>
      <c r="DX83" s="44">
        <f t="shared" ca="1" si="214"/>
        <v>-2.3483974365008244E-2</v>
      </c>
      <c r="DY83" s="44">
        <f t="shared" ca="1" si="215"/>
        <v>-2.0452102117505529E-2</v>
      </c>
      <c r="DZ83" s="44">
        <f t="shared" ca="1" si="216"/>
        <v>-1.9829736921879625E-2</v>
      </c>
      <c r="EA83" s="44">
        <f t="shared" ca="1" si="217"/>
        <v>-2.0889841602422465E-2</v>
      </c>
      <c r="EB83" s="44">
        <f t="shared" ca="1" si="218"/>
        <v>-2.3683708470400393E-2</v>
      </c>
      <c r="EC83" s="44">
        <f t="shared" ca="1" si="219"/>
        <v>-2.6917423307117126E-2</v>
      </c>
      <c r="ED83" s="44">
        <f t="shared" ca="1" si="220"/>
        <v>-2.8569432523137941E-2</v>
      </c>
      <c r="EE83" s="44">
        <f t="shared" ca="1" si="221"/>
        <v>-6.066178934559576E-4</v>
      </c>
      <c r="EF83" s="44">
        <f t="shared" ca="1" si="222"/>
        <v>5.745920748723761E-5</v>
      </c>
      <c r="EG83" s="44">
        <f t="shared" ca="1" si="223"/>
        <v>-1.3450381159002319E-2</v>
      </c>
      <c r="EH83" s="44">
        <f t="shared" ca="1" si="224"/>
        <v>-1.217368586812716E-2</v>
      </c>
      <c r="EI83" s="44">
        <f t="shared" ca="1" si="225"/>
        <v>-8.5439722167962205E-4</v>
      </c>
      <c r="EJ83" s="44">
        <f t="shared" ca="1" si="226"/>
        <v>-4.2871638962823531E-3</v>
      </c>
      <c r="EK83" s="43">
        <f t="shared" ca="1" si="227"/>
        <v>-1.3902645946856798E-4</v>
      </c>
      <c r="EL83" s="44">
        <f t="shared" ca="1" si="228"/>
        <v>-2.7866392491355515E-4</v>
      </c>
      <c r="EM83" s="44">
        <f t="shared" ca="1" si="229"/>
        <v>-1.1996821755402639E-4</v>
      </c>
      <c r="EN83" s="44">
        <f t="shared" ca="1" si="230"/>
        <v>-7.274306652500426E-4</v>
      </c>
      <c r="EO83" s="44">
        <f t="shared" ca="1" si="231"/>
        <v>-2.7838687943747909E-3</v>
      </c>
      <c r="EP83" s="44">
        <f t="shared" ca="1" si="232"/>
        <v>-2.0031229930176672E-3</v>
      </c>
      <c r="EQ83" s="44">
        <f t="shared" ca="1" si="233"/>
        <v>-1.1563664369155137E-2</v>
      </c>
      <c r="ER83" s="44">
        <f t="shared" ca="1" si="234"/>
        <v>-5.3328136316182755E-3</v>
      </c>
      <c r="ES83" s="44">
        <f t="shared" ca="1" si="235"/>
        <v>2.0533614525499802E-3</v>
      </c>
      <c r="ET83" s="44">
        <f t="shared" ca="1" si="236"/>
        <v>1.3665143370969524E-3</v>
      </c>
      <c r="EU83" s="44">
        <f t="shared" ca="1" si="237"/>
        <v>6.2402363670206601E-3</v>
      </c>
      <c r="EV83" s="44">
        <f t="shared" ca="1" si="238"/>
        <v>1.7443181344148385E-2</v>
      </c>
      <c r="EW83" s="44">
        <f t="shared" ca="1" si="239"/>
        <v>2.1299574913201308E-2</v>
      </c>
      <c r="EX83" s="44">
        <f t="shared" ca="1" si="240"/>
        <v>1.9456722323634639E-2</v>
      </c>
      <c r="EY83" s="44">
        <f t="shared" ca="1" si="241"/>
        <v>5.7599999999999991E-2</v>
      </c>
      <c r="EZ83" s="44">
        <f t="shared" ca="1" si="242"/>
        <v>2.3905465815573481E-2</v>
      </c>
      <c r="FA83" s="44">
        <f t="shared" ca="1" si="243"/>
        <v>2.0915461452876621E-2</v>
      </c>
      <c r="FB83" s="44">
        <f t="shared" ca="1" si="244"/>
        <v>2.1431258872846241E-2</v>
      </c>
      <c r="FC83" s="44">
        <f t="shared" ca="1" si="245"/>
        <v>2.0873080325877539E-2</v>
      </c>
      <c r="FD83" s="44">
        <f t="shared" ca="1" si="246"/>
        <v>2.4120191927193751E-2</v>
      </c>
      <c r="FE83" s="44">
        <f t="shared" ca="1" si="247"/>
        <v>2.7651422135009696E-2</v>
      </c>
      <c r="FF83" s="44">
        <f t="shared" ca="1" si="248"/>
        <v>2.8894810059843443E-2</v>
      </c>
      <c r="FG83" s="45">
        <f t="shared" ca="1" si="249"/>
        <v>9.2921283780313972E-5</v>
      </c>
    </row>
    <row r="84" spans="1:163" x14ac:dyDescent="0.2">
      <c r="A84" s="51" t="str">
        <f t="shared" ref="A84" ca="1" si="286">INDEX(Historical_Data_Names,3,B84)</f>
        <v>L</v>
      </c>
      <c r="B84" s="57">
        <f t="shared" si="178"/>
        <v>43</v>
      </c>
      <c r="C84" s="11" t="str">
        <f t="shared" ref="C84" ca="1" si="287">INDEX(Historical_Data_Names,2,B84)</f>
        <v>Eur Eq Off B/S</v>
      </c>
      <c r="D84" s="58"/>
      <c r="E84" s="59">
        <f t="shared" ref="E84" ca="1" si="288">AVERAGE(OFFSET(Historical_Data_Start,date_start_row,$B84,date_rows,1))*4</f>
        <v>-0.12166786301318479</v>
      </c>
      <c r="F84" s="59">
        <f t="array" aca="1" ref="F84" ca="1">PRODUCT(1+OFFSET(Historical_Data_Start,date_start_row,$B84,date_rows,1))^(4/date_rows)-1</f>
        <v>-0.13575699247380302</v>
      </c>
      <c r="G84" s="59">
        <f t="shared" ref="G84" ca="1" si="289">STDEV(OFFSET(Historical_Data_Start,date_start_row,$B84,date_rows,1))*2</f>
        <v>0.2047357429650733</v>
      </c>
      <c r="H84" s="6"/>
      <c r="I84" s="61">
        <v>0.1</v>
      </c>
      <c r="J84" s="61">
        <v>0.21</v>
      </c>
      <c r="K84" s="6"/>
      <c r="L84" s="60">
        <v>-9.9999999999999995E-7</v>
      </c>
      <c r="M84" s="60"/>
      <c r="N84" s="14">
        <f t="shared" si="174"/>
        <v>-9.9999999999999995E-7</v>
      </c>
      <c r="O84" s="6"/>
      <c r="P84" s="115">
        <f t="shared" si="175"/>
        <v>-9.9999999999999995E-7</v>
      </c>
      <c r="Q84" s="115">
        <f t="shared" si="175"/>
        <v>-9.9999999999999995E-7</v>
      </c>
      <c r="R84" s="6"/>
      <c r="S84" s="226"/>
      <c r="T84" s="410">
        <v>0</v>
      </c>
      <c r="U84" s="410">
        <v>0</v>
      </c>
      <c r="V84" s="410">
        <v>0</v>
      </c>
      <c r="W84" s="410">
        <v>0</v>
      </c>
      <c r="X84" s="410">
        <v>0</v>
      </c>
      <c r="Y84" s="410">
        <v>0</v>
      </c>
      <c r="Z84" s="6"/>
      <c r="AI84" s="117">
        <v>0</v>
      </c>
      <c r="AJ84" s="117">
        <v>0</v>
      </c>
      <c r="AK84" s="117">
        <v>0</v>
      </c>
      <c r="AL84" s="117">
        <v>0</v>
      </c>
      <c r="AM84" s="117">
        <v>0</v>
      </c>
      <c r="AN84" s="117">
        <v>0</v>
      </c>
      <c r="AO84" s="117">
        <v>0</v>
      </c>
      <c r="AP84" s="117">
        <v>0</v>
      </c>
      <c r="AQ84" s="117">
        <v>0</v>
      </c>
      <c r="AR84" s="117">
        <v>0</v>
      </c>
      <c r="AS84" s="117">
        <v>0</v>
      </c>
      <c r="AU84" s="117">
        <v>0</v>
      </c>
      <c r="AV84" s="117">
        <v>0</v>
      </c>
      <c r="AW84" s="117">
        <v>0</v>
      </c>
      <c r="AX84" s="117">
        <v>0</v>
      </c>
      <c r="AY84" s="117">
        <v>0</v>
      </c>
      <c r="AZ84" s="117">
        <v>0</v>
      </c>
      <c r="BA84" s="117">
        <v>0</v>
      </c>
      <c r="BB84" s="117">
        <v>0</v>
      </c>
      <c r="BC84" s="117">
        <v>0</v>
      </c>
      <c r="BD84" s="117">
        <v>0</v>
      </c>
      <c r="BE84" s="117">
        <v>0</v>
      </c>
      <c r="BG84" s="51" t="str">
        <f t="shared" ca="1" si="176"/>
        <v>Eur Eq Off B/S</v>
      </c>
      <c r="BH84" s="38">
        <f t="shared" si="198"/>
        <v>0.1</v>
      </c>
      <c r="BI84" s="38">
        <f t="shared" si="199"/>
        <v>0.21</v>
      </c>
      <c r="BK84" s="31">
        <f ca="1">CORREL(OFFSET(Historical_Data_Start,date_start_row,$B84,date_rows,1),OFFSET(Historical_Data_Start,date_start_row,Calculations!BK$40,date_rows,1))</f>
        <v>-7.4304904788299363E-3</v>
      </c>
      <c r="BL84" s="32">
        <f ca="1">CORREL(OFFSET(Historical_Data_Start,date_start_row,$B84,date_rows,1),OFFSET(Historical_Data_Start,date_start_row,Calculations!BL$40,date_rows,1))</f>
        <v>-5.7487079436725564E-3</v>
      </c>
      <c r="BM84" s="32">
        <f ca="1">CORREL(OFFSET(Historical_Data_Start,date_start_row,$B84,date_rows,1),OFFSET(Historical_Data_Start,date_start_row,Calculations!BM$40,date_rows,1))</f>
        <v>4.1277436417719117E-2</v>
      </c>
      <c r="BN84" s="32">
        <f ca="1">CORREL(OFFSET(Historical_Data_Start,date_start_row,$B84,date_rows,1),OFFSET(Historical_Data_Start,date_start_row,Calculations!BN$40,date_rows,1))</f>
        <v>-0.24276447315211602</v>
      </c>
      <c r="BO84" s="32">
        <f ca="1">CORREL(OFFSET(Historical_Data_Start,date_start_row,$B84,date_rows,1),OFFSET(Historical_Data_Start,date_start_row,Calculations!BO$40,date_rows,1))</f>
        <v>-0.24025228248833636</v>
      </c>
      <c r="BP84" s="32">
        <f ca="1">CORREL(OFFSET(Historical_Data_Start,date_start_row,$B84,date_rows,1),OFFSET(Historical_Data_Start,date_start_row,Calculations!BP$40,date_rows,1))</f>
        <v>-9.2056908516088012E-2</v>
      </c>
      <c r="BQ84" s="32">
        <f ca="1">CORREL(OFFSET(Historical_Data_Start,date_start_row,$B84,date_rows,1),OFFSET(Historical_Data_Start,date_start_row,Calculations!BQ$40,date_rows,1))</f>
        <v>-0.15221273763619986</v>
      </c>
      <c r="BR84" s="32">
        <f ca="1">CORREL(OFFSET(Historical_Data_Start,date_start_row,$B84,date_rows,1),OFFSET(Historical_Data_Start,date_start_row,Calculations!BR$40,date_rows,1))</f>
        <v>-0.23059466447557939</v>
      </c>
      <c r="BS84" s="32">
        <f ca="1">CORREL(OFFSET(Historical_Data_Start,date_start_row,$B84,date_rows,1),OFFSET(Historical_Data_Start,date_start_row,Calculations!BS$40,date_rows,1))</f>
        <v>-0.2792425684900674</v>
      </c>
      <c r="BT84" s="32">
        <f ca="1">CORREL(OFFSET(Historical_Data_Start,date_start_row,$B84,date_rows,1),OFFSET(Historical_Data_Start,date_start_row,Calculations!BT$40,date_rows,1))</f>
        <v>-5.7793176393089563E-2</v>
      </c>
      <c r="BU84" s="32">
        <f ca="1">CORREL(OFFSET(Historical_Data_Start,date_start_row,$B84,date_rows,1),OFFSET(Historical_Data_Start,date_start_row,Calculations!BU$40,date_rows,1))</f>
        <v>-0.65659216213815275</v>
      </c>
      <c r="BV84" s="32">
        <f ca="1">CORREL(OFFSET(Historical_Data_Start,date_start_row,$B84,date_rows,1),OFFSET(Historical_Data_Start,date_start_row,Calculations!BV$40,date_rows,1))</f>
        <v>-0.62356869717958996</v>
      </c>
      <c r="BW84" s="32">
        <f ca="1">CORREL(OFFSET(Historical_Data_Start,date_start_row,$B84,date_rows,1),OFFSET(Historical_Data_Start,date_start_row,Calculations!BW$40,date_rows,1))</f>
        <v>-0.65939990224439327</v>
      </c>
      <c r="BX84" s="32">
        <f ca="1">CORREL(OFFSET(Historical_Data_Start,date_start_row,$B84,date_rows,1),OFFSET(Historical_Data_Start,date_start_row,Calculations!BX$40,date_rows,1))</f>
        <v>-0.41415779315177154</v>
      </c>
      <c r="BY84" s="32">
        <f ca="1">CORREL(OFFSET(Historical_Data_Start,date_start_row,$B84,date_rows,1),OFFSET(Historical_Data_Start,date_start_row,Calculations!BY$40,date_rows,1))</f>
        <v>-0.97988343514919707</v>
      </c>
      <c r="BZ84" s="32">
        <f ca="1">CORREL(OFFSET(Historical_Data_Start,date_start_row,$B84,date_rows,1),OFFSET(Historical_Data_Start,date_start_row,Calculations!BZ$40,date_rows,1))</f>
        <v>-0.72157901640118993</v>
      </c>
      <c r="CA84" s="32">
        <f ca="1">CORREL(OFFSET(Historical_Data_Start,date_start_row,$B84,date_rows,1),OFFSET(Historical_Data_Start,date_start_row,Calculations!CA$40,date_rows,1))</f>
        <v>-0.72685620544194918</v>
      </c>
      <c r="CB84" s="32">
        <f ca="1">CORREL(OFFSET(Historical_Data_Start,date_start_row,$B84,date_rows,1),OFFSET(Historical_Data_Start,date_start_row,Calculations!CB$40,date_rows,1))</f>
        <v>-0.57066312904843719</v>
      </c>
      <c r="CC84" s="32">
        <f ca="1">CORREL(OFFSET(Historical_Data_Start,date_start_row,$B84,date_rows,1),OFFSET(Historical_Data_Start,date_start_row,Calculations!CC$40,date_rows,1))</f>
        <v>-0.47710654692428045</v>
      </c>
      <c r="CD84" s="32">
        <f ca="1">CORREL(OFFSET(Historical_Data_Start,date_start_row,$B84,date_rows,1),OFFSET(Historical_Data_Start,date_start_row,Calculations!CD$40,date_rows,1))</f>
        <v>-0.44133611305886361</v>
      </c>
      <c r="CE84" s="32">
        <f ca="1">CORREL(OFFSET(Historical_Data_Start,date_start_row,$B84,date_rows,1),OFFSET(Historical_Data_Start,date_start_row,Calculations!CE$40,date_rows,1))</f>
        <v>-0.53333766501876634</v>
      </c>
      <c r="CF84" s="32">
        <f ca="1">CORREL(OFFSET(Historical_Data_Start,date_start_row,$B84,date_rows,1),OFFSET(Historical_Data_Start,date_start_row,Calculations!CF$40,date_rows,1))</f>
        <v>-5.8343704776488155E-2</v>
      </c>
      <c r="CG84" s="32">
        <f ca="1">CORREL(OFFSET(Historical_Data_Start,date_start_row,$B84,date_rows,1),OFFSET(Historical_Data_Start,date_start_row,Calculations!CG$40,date_rows,1))</f>
        <v>3.9876551343070825E-2</v>
      </c>
      <c r="CH84" s="32">
        <f ca="1">CORREL(OFFSET(Historical_Data_Start,date_start_row,$B84,date_rows,1),OFFSET(Historical_Data_Start,date_start_row,Calculations!CH$40,date_rows,1))</f>
        <v>-0.50766837720716596</v>
      </c>
      <c r="CI84" s="32">
        <f ca="1">CORREL(OFFSET(Historical_Data_Start,date_start_row,$B84,date_rows,1),OFFSET(Historical_Data_Start,date_start_row,Calculations!CI$40,date_rows,1))</f>
        <v>-0.24005004028086491</v>
      </c>
      <c r="CJ84" s="32">
        <f ca="1">CORREL(OFFSET(Historical_Data_Start,date_start_row,$B84,date_rows,1),OFFSET(Historical_Data_Start,date_start_row,Calculations!CJ$40,date_rows,1))</f>
        <v>-5.128889681395115E-2</v>
      </c>
      <c r="CK84" s="32">
        <f ca="1">CORREL(OFFSET(Historical_Data_Start,date_start_row,$B84,date_rows,1),OFFSET(Historical_Data_Start,date_start_row,Calculations!CK$40,date_rows,1))</f>
        <v>-0.2181604311536052</v>
      </c>
      <c r="CL84" s="32">
        <f ca="1">CORREL(OFFSET(Historical_Data_Start,date_start_row,$B84,date_rows,1),OFFSET(Historical_Data_Start,date_start_row,Calculations!CL$40,date_rows,1))</f>
        <v>-7.4246285432485459E-3</v>
      </c>
      <c r="CM84" s="32">
        <f ca="1">CORREL(OFFSET(Historical_Data_Start,date_start_row,$B84,date_rows,1),OFFSET(Historical_Data_Start,date_start_row,Calculations!CM$40,date_rows,1))</f>
        <v>-5.7487079436725564E-3</v>
      </c>
      <c r="CN84" s="32">
        <f ca="1">CORREL(OFFSET(Historical_Data_Start,date_start_row,$B84,date_rows,1),OFFSET(Historical_Data_Start,date_start_row,Calculations!CN$40,date_rows,1))</f>
        <v>4.1277436417719117E-2</v>
      </c>
      <c r="CO84" s="32">
        <f ca="1">CORREL(OFFSET(Historical_Data_Start,date_start_row,$B84,date_rows,1),OFFSET(Historical_Data_Start,date_start_row,Calculations!CO$40,date_rows,1))</f>
        <v>-9.2056908516088012E-2</v>
      </c>
      <c r="CP84" s="32">
        <f ca="1">CORREL(OFFSET(Historical_Data_Start,date_start_row,$B84,date_rows,1),OFFSET(Historical_Data_Start,date_start_row,Calculations!CP$40,date_rows,1))</f>
        <v>-0.15221273763619986</v>
      </c>
      <c r="CQ84" s="32">
        <f ca="1">CORREL(OFFSET(Historical_Data_Start,date_start_row,$B84,date_rows,1),OFFSET(Historical_Data_Start,date_start_row,Calculations!CQ$40,date_rows,1))</f>
        <v>-2.6341079803468689E-3</v>
      </c>
      <c r="CR84" s="32">
        <f ca="1">CORREL(OFFSET(Historical_Data_Start,date_start_row,$B84,date_rows,1),OFFSET(Historical_Data_Start,date_start_row,Calculations!CR$40,date_rows,1))</f>
        <v>-0.23287504015370453</v>
      </c>
      <c r="CS84" s="32">
        <f ca="1">CORREL(OFFSET(Historical_Data_Start,date_start_row,$B84,date_rows,1),OFFSET(Historical_Data_Start,date_start_row,Calculations!CS$40,date_rows,1))</f>
        <v>-2.548787382888713E-2</v>
      </c>
      <c r="CT84" s="32">
        <f ca="1">CORREL(OFFSET(Historical_Data_Start,date_start_row,$B84,date_rows,1),OFFSET(Historical_Data_Start,date_start_row,Calculations!CT$40,date_rows,1))</f>
        <v>0.23775845580294644</v>
      </c>
      <c r="CU84" s="32">
        <f ca="1">CORREL(OFFSET(Historical_Data_Start,date_start_row,$B84,date_rows,1),OFFSET(Historical_Data_Start,date_start_row,Calculations!CU$40,date_rows,1))</f>
        <v>0.21818413673536238</v>
      </c>
      <c r="CV84" s="32">
        <f ca="1">CORREL(OFFSET(Historical_Data_Start,date_start_row,$B84,date_rows,1),OFFSET(Historical_Data_Start,date_start_row,Calculations!CV$40,date_rows,1))</f>
        <v>5.1509359117289079E-2</v>
      </c>
      <c r="CW84" s="32">
        <f ca="1">CORREL(OFFSET(Historical_Data_Start,date_start_row,$B84,date_rows,1),OFFSET(Historical_Data_Start,date_start_row,Calculations!CW$40,date_rows,1))</f>
        <v>0.73892445178209565</v>
      </c>
      <c r="CX84" s="32">
        <f ca="1">CORREL(OFFSET(Historical_Data_Start,date_start_row,$B84,date_rows,1),OFFSET(Historical_Data_Start,date_start_row,Calculations!CX$40,date_rows,1))</f>
        <v>0.68079519625155427</v>
      </c>
      <c r="CY84" s="32">
        <f ca="1">CORREL(OFFSET(Historical_Data_Start,date_start_row,$B84,date_rows,1),OFFSET(Historical_Data_Start,date_start_row,Calculations!CY$40,date_rows,1))</f>
        <v>0.65939990224439327</v>
      </c>
      <c r="CZ84" s="32">
        <f ca="1">CORREL(OFFSET(Historical_Data_Start,date_start_row,$B84,date_rows,1),OFFSET(Historical_Data_Start,date_start_row,Calculations!CZ$40,date_rows,1))</f>
        <v>0.47431479792804532</v>
      </c>
      <c r="DA84" s="32">
        <f ca="1">CORREL(OFFSET(Historical_Data_Start,date_start_row,$B84,date_rows,1),OFFSET(Historical_Data_Start,date_start_row,Calculations!DA$40,date_rows,1))</f>
        <v>1</v>
      </c>
      <c r="DB84" s="32">
        <f ca="1">CORREL(OFFSET(Historical_Data_Start,date_start_row,$B84,date_rows,1),OFFSET(Historical_Data_Start,date_start_row,Calculations!DB$40,date_rows,1))</f>
        <v>0.75495114140232467</v>
      </c>
      <c r="DC84" s="32">
        <f ca="1">CORREL(OFFSET(Historical_Data_Start,date_start_row,$B84,date_rows,1),OFFSET(Historical_Data_Start,date_start_row,Calculations!DC$40,date_rows,1))</f>
        <v>0.79109491585134828</v>
      </c>
      <c r="DD84" s="32">
        <f ca="1">CORREL(OFFSET(Historical_Data_Start,date_start_row,$B84,date_rows,1),OFFSET(Historical_Data_Start,date_start_row,Calculations!DD$40,date_rows,1))</f>
        <v>0.59214068493061167</v>
      </c>
      <c r="DE84" s="32">
        <f ca="1">CORREL(OFFSET(Historical_Data_Start,date_start_row,$B84,date_rows,1),OFFSET(Historical_Data_Start,date_start_row,Calculations!DE$40,date_rows,1))</f>
        <v>0.50985403900939508</v>
      </c>
      <c r="DF84" s="32">
        <f ca="1">CORREL(OFFSET(Historical_Data_Start,date_start_row,$B84,date_rows,1),OFFSET(Historical_Data_Start,date_start_row,Calculations!DF$40,date_rows,1))</f>
        <v>0.48000248717785754</v>
      </c>
      <c r="DG84" s="32">
        <f ca="1">CORREL(OFFSET(Historical_Data_Start,date_start_row,$B84,date_rows,1),OFFSET(Historical_Data_Start,date_start_row,Calculations!DG$40,date_rows,1))</f>
        <v>0.5668013777203168</v>
      </c>
      <c r="DH84" s="33">
        <f ca="1">CORREL(OFFSET(Historical_Data_Start,date_start_row,$B84,date_rows,1),OFFSET(Historical_Data_Start,date_start_row,Calculations!DH$40,date_rows,1))</f>
        <v>0.18768617370423585</v>
      </c>
      <c r="DI84" s="2">
        <f t="shared" si="71"/>
        <v>43</v>
      </c>
      <c r="DJ84" s="43">
        <f t="shared" ca="1" si="200"/>
        <v>-1.5604030005542865E-5</v>
      </c>
      <c r="DK84" s="44">
        <f t="shared" ca="1" si="201"/>
        <v>-7.6055406094787927E-5</v>
      </c>
      <c r="DL84" s="44">
        <f t="shared" ca="1" si="202"/>
        <v>9.3617225795386962E-4</v>
      </c>
      <c r="DM84" s="44">
        <f t="shared" ca="1" si="203"/>
        <v>-2.9568712829927727E-3</v>
      </c>
      <c r="DN84" s="44">
        <f t="shared" ca="1" si="204"/>
        <v>-4.9443919736099629E-3</v>
      </c>
      <c r="DO84" s="44">
        <f t="shared" ca="1" si="205"/>
        <v>-1.0245933917840595E-3</v>
      </c>
      <c r="DP84" s="44">
        <f t="shared" ca="1" si="206"/>
        <v>-2.9407500911313813E-3</v>
      </c>
      <c r="DQ84" s="44">
        <f t="shared" ca="1" si="207"/>
        <v>-2.3728190974537122E-3</v>
      </c>
      <c r="DR84" s="44">
        <f t="shared" ca="1" si="208"/>
        <v>-4.8671979687818752E-3</v>
      </c>
      <c r="DS84" s="44">
        <f t="shared" ca="1" si="209"/>
        <v>-8.4955969297841668E-4</v>
      </c>
      <c r="DT84" s="44">
        <f t="shared" ca="1" si="210"/>
        <v>-2.2061496647841929E-2</v>
      </c>
      <c r="DU84" s="44">
        <f t="shared" ca="1" si="211"/>
        <v>-2.6189885281542778E-2</v>
      </c>
      <c r="DV84" s="44">
        <f t="shared" ca="1" si="212"/>
        <v>-2.4925316304838064E-2</v>
      </c>
      <c r="DW84" s="44">
        <f t="shared" ca="1" si="213"/>
        <v>-2.0873552774849282E-2</v>
      </c>
      <c r="DX84" s="44">
        <f t="shared" ca="1" si="214"/>
        <v>-4.3212859490079587E-2</v>
      </c>
      <c r="DY84" s="44">
        <f t="shared" ca="1" si="215"/>
        <v>-3.0306318688849979E-2</v>
      </c>
      <c r="DZ84" s="44">
        <f t="shared" ca="1" si="216"/>
        <v>-3.0527960628561869E-2</v>
      </c>
      <c r="EA84" s="44">
        <f t="shared" ca="1" si="217"/>
        <v>-2.6364636562037799E-2</v>
      </c>
      <c r="EB84" s="44">
        <f t="shared" ca="1" si="218"/>
        <v>-2.6050017462065714E-2</v>
      </c>
      <c r="EC84" s="44">
        <f t="shared" ca="1" si="219"/>
        <v>-2.7804175122708406E-2</v>
      </c>
      <c r="ED84" s="44">
        <f t="shared" ca="1" si="220"/>
        <v>-3.1360254703103461E-2</v>
      </c>
      <c r="EE84" s="44">
        <f t="shared" ca="1" si="221"/>
        <v>-1.102696020275626E-3</v>
      </c>
      <c r="EF84" s="44">
        <f t="shared" ca="1" si="222"/>
        <v>7.5366682038403865E-4</v>
      </c>
      <c r="EG84" s="44">
        <f t="shared" ca="1" si="223"/>
        <v>-1.8123761066295825E-2</v>
      </c>
      <c r="EH84" s="44">
        <f t="shared" ca="1" si="224"/>
        <v>-1.209852203015559E-2</v>
      </c>
      <c r="EI84" s="44">
        <f t="shared" ca="1" si="225"/>
        <v>-1.2924801997115688E-3</v>
      </c>
      <c r="EJ84" s="44">
        <f t="shared" ca="1" si="226"/>
        <v>-4.1232321488031383E-3</v>
      </c>
      <c r="EK84" s="43">
        <f t="shared" ca="1" si="227"/>
        <v>-1.5591719940821945E-5</v>
      </c>
      <c r="EL84" s="44">
        <f t="shared" ca="1" si="228"/>
        <v>-5.5532518735876895E-5</v>
      </c>
      <c r="EM84" s="44">
        <f t="shared" ca="1" si="229"/>
        <v>7.0212919346540224E-4</v>
      </c>
      <c r="EN84" s="44">
        <f t="shared" ca="1" si="230"/>
        <v>-7.9260998232351756E-4</v>
      </c>
      <c r="EO84" s="44">
        <f t="shared" ca="1" si="231"/>
        <v>-3.6439729390106246E-3</v>
      </c>
      <c r="EP84" s="44">
        <f t="shared" ca="1" si="232"/>
        <v>-1.5322606121677735E-4</v>
      </c>
      <c r="EQ84" s="44">
        <f t="shared" ca="1" si="233"/>
        <v>-1.1639094506882153E-2</v>
      </c>
      <c r="ER84" s="44">
        <f t="shared" ca="1" si="234"/>
        <v>-1.712785121301215E-3</v>
      </c>
      <c r="ES84" s="44">
        <f t="shared" ca="1" si="235"/>
        <v>3.1455443702729817E-3</v>
      </c>
      <c r="ET84" s="44">
        <f t="shared" ca="1" si="236"/>
        <v>2.2909334357213052E-3</v>
      </c>
      <c r="EU84" s="44">
        <f t="shared" ca="1" si="237"/>
        <v>7.5718757902414958E-4</v>
      </c>
      <c r="EV84" s="44">
        <f t="shared" ca="1" si="238"/>
        <v>2.4827861579878412E-2</v>
      </c>
      <c r="EW84" s="44">
        <f t="shared" ca="1" si="239"/>
        <v>2.8593398242565279E-2</v>
      </c>
      <c r="EX84" s="44">
        <f t="shared" ca="1" si="240"/>
        <v>2.4925316304838064E-2</v>
      </c>
      <c r="EY84" s="44">
        <f t="shared" ca="1" si="241"/>
        <v>2.3905465815573481E-2</v>
      </c>
      <c r="EZ84" s="44">
        <f t="shared" ca="1" si="242"/>
        <v>4.4099999999999993E-2</v>
      </c>
      <c r="FA84" s="44">
        <f t="shared" ca="1" si="243"/>
        <v>3.170794793889764E-2</v>
      </c>
      <c r="FB84" s="44">
        <f t="shared" ca="1" si="244"/>
        <v>3.3225986465756627E-2</v>
      </c>
      <c r="FC84" s="44">
        <f t="shared" ca="1" si="245"/>
        <v>2.7356899643794258E-2</v>
      </c>
      <c r="FD84" s="44">
        <f t="shared" ca="1" si="246"/>
        <v>2.7838030529912971E-2</v>
      </c>
      <c r="FE84" s="44">
        <f t="shared" ca="1" si="247"/>
        <v>3.0240156692205027E-2</v>
      </c>
      <c r="FF84" s="44">
        <f t="shared" ca="1" si="248"/>
        <v>3.3327921009954631E-2</v>
      </c>
      <c r="FG84" s="45">
        <f t="shared" ca="1" si="249"/>
        <v>1.9707048238944762E-4</v>
      </c>
    </row>
    <row r="85" spans="1:163" x14ac:dyDescent="0.2">
      <c r="A85" s="51" t="str">
        <f t="shared" ref="A85" ca="1" si="290">INDEX(Historical_Data_Names,3,B85)</f>
        <v>L</v>
      </c>
      <c r="B85" s="57">
        <f t="shared" si="178"/>
        <v>44</v>
      </c>
      <c r="C85" s="11" t="str">
        <f t="shared" ref="C85" ca="1" si="291">INDEX(Historical_Data_Names,2,B85)</f>
        <v>UK Eq Off B/S</v>
      </c>
      <c r="D85" s="58"/>
      <c r="E85" s="59">
        <f t="shared" ref="E85" ca="1" si="292">AVERAGE(OFFSET(Historical_Data_Start,date_start_row,$B85,date_rows,1))*4</f>
        <v>-0.11648886452316069</v>
      </c>
      <c r="F85" s="59">
        <f t="array" aca="1" ref="F85" ca="1">PRODUCT(1+OFFSET(Historical_Data_Start,date_start_row,$B85,date_rows,1))^(4/date_rows)-1</f>
        <v>-0.12675354829461005</v>
      </c>
      <c r="G85" s="59">
        <f t="shared" ref="G85" ca="1" si="293">STDEV(OFFSET(Historical_Data_Start,date_start_row,$B85,date_rows,1))*2</f>
        <v>0.1799108001659844</v>
      </c>
      <c r="H85" s="6"/>
      <c r="I85" s="61">
        <v>0.1</v>
      </c>
      <c r="J85" s="61">
        <v>0.2</v>
      </c>
      <c r="K85" s="6"/>
      <c r="L85" s="60">
        <v>-9.9999999999999995E-7</v>
      </c>
      <c r="M85" s="60"/>
      <c r="N85" s="14">
        <f t="shared" si="174"/>
        <v>-9.9999999999999995E-7</v>
      </c>
      <c r="O85" s="6"/>
      <c r="P85" s="115">
        <f t="shared" si="175"/>
        <v>-9.9999999999999995E-7</v>
      </c>
      <c r="Q85" s="115">
        <f t="shared" si="175"/>
        <v>-9.9999999999999995E-7</v>
      </c>
      <c r="R85" s="6"/>
      <c r="S85" s="226"/>
      <c r="T85" s="410">
        <v>0</v>
      </c>
      <c r="U85" s="410">
        <v>0</v>
      </c>
      <c r="V85" s="410">
        <v>0</v>
      </c>
      <c r="W85" s="410">
        <v>0</v>
      </c>
      <c r="X85" s="410">
        <v>0</v>
      </c>
      <c r="Y85" s="410">
        <v>0</v>
      </c>
      <c r="Z85" s="6"/>
      <c r="AI85" s="117">
        <v>0</v>
      </c>
      <c r="AJ85" s="117">
        <v>0</v>
      </c>
      <c r="AK85" s="117">
        <v>0</v>
      </c>
      <c r="AL85" s="117">
        <v>0</v>
      </c>
      <c r="AM85" s="117">
        <v>0</v>
      </c>
      <c r="AN85" s="117">
        <v>0</v>
      </c>
      <c r="AO85" s="117">
        <v>0</v>
      </c>
      <c r="AP85" s="117">
        <v>0</v>
      </c>
      <c r="AQ85" s="117">
        <v>0</v>
      </c>
      <c r="AR85" s="117">
        <v>0</v>
      </c>
      <c r="AS85" s="117">
        <v>0</v>
      </c>
      <c r="AU85" s="117">
        <v>0</v>
      </c>
      <c r="AV85" s="117">
        <v>0</v>
      </c>
      <c r="AW85" s="117">
        <v>0</v>
      </c>
      <c r="AX85" s="117">
        <v>0</v>
      </c>
      <c r="AY85" s="117">
        <v>0</v>
      </c>
      <c r="AZ85" s="117">
        <v>0</v>
      </c>
      <c r="BA85" s="117">
        <v>0</v>
      </c>
      <c r="BB85" s="117">
        <v>0</v>
      </c>
      <c r="BC85" s="117">
        <v>0</v>
      </c>
      <c r="BD85" s="117">
        <v>0</v>
      </c>
      <c r="BE85" s="117">
        <v>0</v>
      </c>
      <c r="BG85" s="51" t="str">
        <f t="shared" ca="1" si="176"/>
        <v>UK Eq Off B/S</v>
      </c>
      <c r="BH85" s="38">
        <f t="shared" si="198"/>
        <v>0.1</v>
      </c>
      <c r="BI85" s="38">
        <f t="shared" si="199"/>
        <v>0.2</v>
      </c>
      <c r="BK85" s="31">
        <f ca="1">CORREL(OFFSET(Historical_Data_Start,date_start_row,$B85,date_rows,1),OFFSET(Historical_Data_Start,date_start_row,Calculations!BK$40,date_rows,1))</f>
        <v>-7.1777945635929347E-2</v>
      </c>
      <c r="BL85" s="32">
        <f ca="1">CORREL(OFFSET(Historical_Data_Start,date_start_row,$B85,date_rows,1),OFFSET(Historical_Data_Start,date_start_row,Calculations!BL$40,date_rows,1))</f>
        <v>-4.8511651442761913E-2</v>
      </c>
      <c r="BM85" s="32">
        <f ca="1">CORREL(OFFSET(Historical_Data_Start,date_start_row,$B85,date_rows,1),OFFSET(Historical_Data_Start,date_start_row,Calculations!BM$40,date_rows,1))</f>
        <v>3.2114635936372369E-3</v>
      </c>
      <c r="BN85" s="32">
        <f ca="1">CORREL(OFFSET(Historical_Data_Start,date_start_row,$B85,date_rows,1),OFFSET(Historical_Data_Start,date_start_row,Calculations!BN$40,date_rows,1))</f>
        <v>-0.28523980060708631</v>
      </c>
      <c r="BO85" s="32">
        <f ca="1">CORREL(OFFSET(Historical_Data_Start,date_start_row,$B85,date_rows,1),OFFSET(Historical_Data_Start,date_start_row,Calculations!BO$40,date_rows,1))</f>
        <v>-0.26276999519190064</v>
      </c>
      <c r="BP85" s="32">
        <f ca="1">CORREL(OFFSET(Historical_Data_Start,date_start_row,$B85,date_rows,1),OFFSET(Historical_Data_Start,date_start_row,Calculations!BP$40,date_rows,1))</f>
        <v>-0.22031517720634108</v>
      </c>
      <c r="BQ85" s="32">
        <f ca="1">CORREL(OFFSET(Historical_Data_Start,date_start_row,$B85,date_rows,1),OFFSET(Historical_Data_Start,date_start_row,Calculations!BQ$40,date_rows,1))</f>
        <v>-0.2594971370758547</v>
      </c>
      <c r="BR85" s="32">
        <f ca="1">CORREL(OFFSET(Historical_Data_Start,date_start_row,$B85,date_rows,1),OFFSET(Historical_Data_Start,date_start_row,Calculations!BR$40,date_rows,1))</f>
        <v>-0.35676649021112961</v>
      </c>
      <c r="BS85" s="32">
        <f ca="1">CORREL(OFFSET(Historical_Data_Start,date_start_row,$B85,date_rows,1),OFFSET(Historical_Data_Start,date_start_row,Calculations!BS$40,date_rows,1))</f>
        <v>-0.39765512099910549</v>
      </c>
      <c r="BT85" s="32">
        <f ca="1">CORREL(OFFSET(Historical_Data_Start,date_start_row,$B85,date_rows,1),OFFSET(Historical_Data_Start,date_start_row,Calculations!BT$40,date_rows,1))</f>
        <v>-0.16020394182256079</v>
      </c>
      <c r="BU85" s="32">
        <f ca="1">CORREL(OFFSET(Historical_Data_Start,date_start_row,$B85,date_rows,1),OFFSET(Historical_Data_Start,date_start_row,Calculations!BU$40,date_rows,1))</f>
        <v>-0.6659826522373129</v>
      </c>
      <c r="BV85" s="32">
        <f ca="1">CORREL(OFFSET(Historical_Data_Start,date_start_row,$B85,date_rows,1),OFFSET(Historical_Data_Start,date_start_row,Calculations!BV$40,date_rows,1))</f>
        <v>-0.59966950836158328</v>
      </c>
      <c r="BW85" s="32">
        <f ca="1">CORREL(OFFSET(Historical_Data_Start,date_start_row,$B85,date_rows,1),OFFSET(Historical_Data_Start,date_start_row,Calculations!BW$40,date_rows,1))</f>
        <v>-0.66727293799496379</v>
      </c>
      <c r="BX85" s="32">
        <f ca="1">CORREL(OFFSET(Historical_Data_Start,date_start_row,$B85,date_rows,1),OFFSET(Historical_Data_Start,date_start_row,Calculations!BX$40,date_rows,1))</f>
        <v>-0.36830692712530311</v>
      </c>
      <c r="BY85" s="32">
        <f ca="1">CORREL(OFFSET(Historical_Data_Start,date_start_row,$B85,date_rows,1),OFFSET(Historical_Data_Start,date_start_row,Calculations!BY$40,date_rows,1))</f>
        <v>-0.71271696433739851</v>
      </c>
      <c r="BZ85" s="32">
        <f ca="1">CORREL(OFFSET(Historical_Data_Start,date_start_row,$B85,date_rows,1),OFFSET(Historical_Data_Start,date_start_row,Calculations!BZ$40,date_rows,1))</f>
        <v>-0.97513894745238971</v>
      </c>
      <c r="CA85" s="32">
        <f ca="1">CORREL(OFFSET(Historical_Data_Start,date_start_row,$B85,date_rows,1),OFFSET(Historical_Data_Start,date_start_row,Calculations!CA$40,date_rows,1))</f>
        <v>-0.55052727150442116</v>
      </c>
      <c r="CB85" s="32">
        <f ca="1">CORREL(OFFSET(Historical_Data_Start,date_start_row,$B85,date_rows,1),OFFSET(Historical_Data_Start,date_start_row,Calculations!CB$40,date_rows,1))</f>
        <v>-0.6444888579731185</v>
      </c>
      <c r="CC85" s="32">
        <f ca="1">CORREL(OFFSET(Historical_Data_Start,date_start_row,$B85,date_rows,1),OFFSET(Historical_Data_Start,date_start_row,Calculations!CC$40,date_rows,1))</f>
        <v>-0.54489101690581032</v>
      </c>
      <c r="CD85" s="32">
        <f ca="1">CORREL(OFFSET(Historical_Data_Start,date_start_row,$B85,date_rows,1),OFFSET(Historical_Data_Start,date_start_row,Calculations!CD$40,date_rows,1))</f>
        <v>-0.42838190685503769</v>
      </c>
      <c r="CE85" s="32">
        <f ca="1">CORREL(OFFSET(Historical_Data_Start,date_start_row,$B85,date_rows,1),OFFSET(Historical_Data_Start,date_start_row,Calculations!CE$40,date_rows,1))</f>
        <v>-0.52113057448824496</v>
      </c>
      <c r="CF85" s="32">
        <f ca="1">CORREL(OFFSET(Historical_Data_Start,date_start_row,$B85,date_rows,1),OFFSET(Historical_Data_Start,date_start_row,Calculations!CF$40,date_rows,1))</f>
        <v>-7.633387065708469E-2</v>
      </c>
      <c r="CG85" s="32">
        <f ca="1">CORREL(OFFSET(Historical_Data_Start,date_start_row,$B85,date_rows,1),OFFSET(Historical_Data_Start,date_start_row,Calculations!CG$40,date_rows,1))</f>
        <v>2.4812411980156417E-2</v>
      </c>
      <c r="CH85" s="32">
        <f ca="1">CORREL(OFFSET(Historical_Data_Start,date_start_row,$B85,date_rows,1),OFFSET(Historical_Data_Start,date_start_row,Calculations!CH$40,date_rows,1))</f>
        <v>-0.52335746618375467</v>
      </c>
      <c r="CI85" s="32">
        <f ca="1">CORREL(OFFSET(Historical_Data_Start,date_start_row,$B85,date_rows,1),OFFSET(Historical_Data_Start,date_start_row,Calculations!CI$40,date_rows,1))</f>
        <v>-0.39634158447917389</v>
      </c>
      <c r="CJ85" s="32">
        <f ca="1">CORREL(OFFSET(Historical_Data_Start,date_start_row,$B85,date_rows,1),OFFSET(Historical_Data_Start,date_start_row,Calculations!CJ$40,date_rows,1))</f>
        <v>1.290475738184961E-2</v>
      </c>
      <c r="CK85" s="32">
        <f ca="1">CORREL(OFFSET(Historical_Data_Start,date_start_row,$B85,date_rows,1),OFFSET(Historical_Data_Start,date_start_row,Calculations!CK$40,date_rows,1))</f>
        <v>-0.1067609409472858</v>
      </c>
      <c r="CL85" s="32">
        <f ca="1">CORREL(OFFSET(Historical_Data_Start,date_start_row,$B85,date_rows,1),OFFSET(Historical_Data_Start,date_start_row,Calculations!CL$40,date_rows,1))</f>
        <v>-7.1778265285987686E-2</v>
      </c>
      <c r="CM85" s="32">
        <f ca="1">CORREL(OFFSET(Historical_Data_Start,date_start_row,$B85,date_rows,1),OFFSET(Historical_Data_Start,date_start_row,Calculations!CM$40,date_rows,1))</f>
        <v>-4.8511651442761913E-2</v>
      </c>
      <c r="CN85" s="32">
        <f ca="1">CORREL(OFFSET(Historical_Data_Start,date_start_row,$B85,date_rows,1),OFFSET(Historical_Data_Start,date_start_row,Calculations!CN$40,date_rows,1))</f>
        <v>3.2114635936372369E-3</v>
      </c>
      <c r="CO85" s="32">
        <f ca="1">CORREL(OFFSET(Historical_Data_Start,date_start_row,$B85,date_rows,1),OFFSET(Historical_Data_Start,date_start_row,Calculations!CO$40,date_rows,1))</f>
        <v>-0.22031517720634108</v>
      </c>
      <c r="CP85" s="32">
        <f ca="1">CORREL(OFFSET(Historical_Data_Start,date_start_row,$B85,date_rows,1),OFFSET(Historical_Data_Start,date_start_row,Calculations!CP$40,date_rows,1))</f>
        <v>-0.2594971370758547</v>
      </c>
      <c r="CQ85" s="32">
        <f ca="1">CORREL(OFFSET(Historical_Data_Start,date_start_row,$B85,date_rows,1),OFFSET(Historical_Data_Start,date_start_row,Calculations!CQ$40,date_rows,1))</f>
        <v>5.8346386574920361E-3</v>
      </c>
      <c r="CR85" s="32">
        <f ca="1">CORREL(OFFSET(Historical_Data_Start,date_start_row,$B85,date_rows,1),OFFSET(Historical_Data_Start,date_start_row,Calculations!CR$40,date_rows,1))</f>
        <v>-0.27563164279096303</v>
      </c>
      <c r="CS85" s="32">
        <f ca="1">CORREL(OFFSET(Historical_Data_Start,date_start_row,$B85,date_rows,1),OFFSET(Historical_Data_Start,date_start_row,Calculations!CS$40,date_rows,1))</f>
        <v>-0.11705193428457317</v>
      </c>
      <c r="CT85" s="32">
        <f ca="1">CORREL(OFFSET(Historical_Data_Start,date_start_row,$B85,date_rows,1),OFFSET(Historical_Data_Start,date_start_row,Calculations!CT$40,date_rows,1))</f>
        <v>0.28718152625861831</v>
      </c>
      <c r="CU85" s="32">
        <f ca="1">CORREL(OFFSET(Historical_Data_Start,date_start_row,$B85,date_rows,1),OFFSET(Historical_Data_Start,date_start_row,Calculations!CU$40,date_rows,1))</f>
        <v>0.355198369514029</v>
      </c>
      <c r="CV85" s="32">
        <f ca="1">CORREL(OFFSET(Historical_Data_Start,date_start_row,$B85,date_rows,1),OFFSET(Historical_Data_Start,date_start_row,Calculations!CV$40,date_rows,1))</f>
        <v>6.7230210221971232E-2</v>
      </c>
      <c r="CW85" s="32">
        <f ca="1">CORREL(OFFSET(Historical_Data_Start,date_start_row,$B85,date_rows,1),OFFSET(Historical_Data_Start,date_start_row,Calculations!CW$40,date_rows,1))</f>
        <v>0.7625434704717946</v>
      </c>
      <c r="CX85" s="32">
        <f ca="1">CORREL(OFFSET(Historical_Data_Start,date_start_row,$B85,date_rows,1),OFFSET(Historical_Data_Start,date_start_row,Calculations!CX$40,date_rows,1))</f>
        <v>0.67199130668472573</v>
      </c>
      <c r="CY85" s="32">
        <f ca="1">CORREL(OFFSET(Historical_Data_Start,date_start_row,$B85,date_rows,1),OFFSET(Historical_Data_Start,date_start_row,Calculations!CY$40,date_rows,1))</f>
        <v>0.66727293799496379</v>
      </c>
      <c r="CZ85" s="32">
        <f ca="1">CORREL(OFFSET(Historical_Data_Start,date_start_row,$B85,date_rows,1),OFFSET(Historical_Data_Start,date_start_row,Calculations!CZ$40,date_rows,1))</f>
        <v>0.4357387802682629</v>
      </c>
      <c r="DA85" s="32">
        <f ca="1">CORREL(OFFSET(Historical_Data_Start,date_start_row,$B85,date_rows,1),OFFSET(Historical_Data_Start,date_start_row,Calculations!DA$40,date_rows,1))</f>
        <v>0.75495114140232467</v>
      </c>
      <c r="DB85" s="32">
        <f ca="1">CORREL(OFFSET(Historical_Data_Start,date_start_row,$B85,date_rows,1),OFFSET(Historical_Data_Start,date_start_row,Calculations!DB$40,date_rows,1))</f>
        <v>1</v>
      </c>
      <c r="DC85" s="32">
        <f ca="1">CORREL(OFFSET(Historical_Data_Start,date_start_row,$B85,date_rows,1),OFFSET(Historical_Data_Start,date_start_row,Calculations!DC$40,date_rows,1))</f>
        <v>0.62812966543813686</v>
      </c>
      <c r="DD85" s="32">
        <f ca="1">CORREL(OFFSET(Historical_Data_Start,date_start_row,$B85,date_rows,1),OFFSET(Historical_Data_Start,date_start_row,Calculations!DD$40,date_rows,1))</f>
        <v>0.66824583013458871</v>
      </c>
      <c r="DE85" s="32">
        <f ca="1">CORREL(OFFSET(Historical_Data_Start,date_start_row,$B85,date_rows,1),OFFSET(Historical_Data_Start,date_start_row,Calculations!DE$40,date_rows,1))</f>
        <v>0.57820847970492284</v>
      </c>
      <c r="DF85" s="32">
        <f ca="1">CORREL(OFFSET(Historical_Data_Start,date_start_row,$B85,date_rows,1),OFFSET(Historical_Data_Start,date_start_row,Calculations!DF$40,date_rows,1))</f>
        <v>0.47078348198470199</v>
      </c>
      <c r="DG85" s="32">
        <f ca="1">CORREL(OFFSET(Historical_Data_Start,date_start_row,$B85,date_rows,1),OFFSET(Historical_Data_Start,date_start_row,Calculations!DG$40,date_rows,1))</f>
        <v>0.5589274972173599</v>
      </c>
      <c r="DH85" s="33">
        <f ca="1">CORREL(OFFSET(Historical_Data_Start,date_start_row,$B85,date_rows,1),OFFSET(Historical_Data_Start,date_start_row,Calculations!DH$40,date_rows,1))</f>
        <v>0.16361727085512112</v>
      </c>
      <c r="DI85" s="2">
        <f t="shared" si="71"/>
        <v>44</v>
      </c>
      <c r="DJ85" s="43">
        <f t="shared" ca="1" si="200"/>
        <v>-1.4355589127185869E-4</v>
      </c>
      <c r="DK85" s="44">
        <f t="shared" ca="1" si="201"/>
        <v>-6.1124680817880011E-4</v>
      </c>
      <c r="DL85" s="44">
        <f t="shared" ca="1" si="202"/>
        <v>6.9367613622564329E-5</v>
      </c>
      <c r="DM85" s="44">
        <f t="shared" ca="1" si="203"/>
        <v>-3.3087816870422011E-3</v>
      </c>
      <c r="DN85" s="44">
        <f t="shared" ca="1" si="204"/>
        <v>-5.1502919057612529E-3</v>
      </c>
      <c r="DO85" s="44">
        <f t="shared" ca="1" si="205"/>
        <v>-2.3353408783872154E-3</v>
      </c>
      <c r="DP85" s="44">
        <f t="shared" ca="1" si="206"/>
        <v>-4.774747322195726E-3</v>
      </c>
      <c r="DQ85" s="44">
        <f t="shared" ca="1" si="207"/>
        <v>-3.4963116040690706E-3</v>
      </c>
      <c r="DR85" s="44">
        <f t="shared" ca="1" si="208"/>
        <v>-6.6010750085851513E-3</v>
      </c>
      <c r="DS85" s="44">
        <f t="shared" ca="1" si="209"/>
        <v>-2.2428551855158511E-3</v>
      </c>
      <c r="DT85" s="44">
        <f t="shared" ca="1" si="210"/>
        <v>-2.1311444871594015E-2</v>
      </c>
      <c r="DU85" s="44">
        <f t="shared" ca="1" si="211"/>
        <v>-2.3986780334463335E-2</v>
      </c>
      <c r="DV85" s="44">
        <f t="shared" ca="1" si="212"/>
        <v>-2.4021825767818694E-2</v>
      </c>
      <c r="DW85" s="44">
        <f t="shared" ca="1" si="213"/>
        <v>-1.7678732502014551E-2</v>
      </c>
      <c r="DX85" s="44">
        <f t="shared" ca="1" si="214"/>
        <v>-2.9934112502170738E-2</v>
      </c>
      <c r="DY85" s="44">
        <f t="shared" ca="1" si="215"/>
        <v>-3.9005557898095594E-2</v>
      </c>
      <c r="DZ85" s="44">
        <f t="shared" ca="1" si="216"/>
        <v>-2.202109086017685E-2</v>
      </c>
      <c r="EA85" s="44">
        <f t="shared" ca="1" si="217"/>
        <v>-2.8357509750817217E-2</v>
      </c>
      <c r="EB85" s="44">
        <f t="shared" ca="1" si="218"/>
        <v>-2.8334332879102139E-2</v>
      </c>
      <c r="EC85" s="44">
        <f t="shared" ca="1" si="219"/>
        <v>-2.570291441130226E-2</v>
      </c>
      <c r="ED85" s="44">
        <f t="shared" ca="1" si="220"/>
        <v>-2.9183312171341722E-2</v>
      </c>
      <c r="EE85" s="44">
        <f t="shared" ca="1" si="221"/>
        <v>-1.3740096718275244E-3</v>
      </c>
      <c r="EF85" s="44">
        <f t="shared" ca="1" si="222"/>
        <v>4.4662341564281546E-4</v>
      </c>
      <c r="EG85" s="44">
        <f t="shared" ca="1" si="223"/>
        <v>-1.7794153850247661E-2</v>
      </c>
      <c r="EH85" s="44">
        <f t="shared" ca="1" si="224"/>
        <v>-1.9024396055000347E-2</v>
      </c>
      <c r="EI85" s="44">
        <f t="shared" ca="1" si="225"/>
        <v>3.0971417716439063E-4</v>
      </c>
      <c r="EJ85" s="44">
        <f t="shared" ca="1" si="226"/>
        <v>-1.9216969370511442E-3</v>
      </c>
      <c r="EK85" s="43">
        <f t="shared" ca="1" si="227"/>
        <v>-1.4355653057197538E-4</v>
      </c>
      <c r="EL85" s="44">
        <f t="shared" ca="1" si="228"/>
        <v>-4.463071932734096E-4</v>
      </c>
      <c r="EM85" s="44">
        <f t="shared" ca="1" si="229"/>
        <v>5.2025710216923247E-5</v>
      </c>
      <c r="EN85" s="44">
        <f t="shared" ca="1" si="230"/>
        <v>-1.8065844530919966E-3</v>
      </c>
      <c r="EO85" s="44">
        <f t="shared" ca="1" si="231"/>
        <v>-5.9165347253294876E-3</v>
      </c>
      <c r="EP85" s="44">
        <f t="shared" ca="1" si="232"/>
        <v>3.232389816250588E-4</v>
      </c>
      <c r="EQ85" s="44">
        <f t="shared" ca="1" si="233"/>
        <v>-1.3120066196849842E-2</v>
      </c>
      <c r="ER85" s="44">
        <f t="shared" ca="1" si="234"/>
        <v>-7.4913237942126829E-3</v>
      </c>
      <c r="ES85" s="44">
        <f t="shared" ca="1" si="235"/>
        <v>3.6184872308585906E-3</v>
      </c>
      <c r="ET85" s="44">
        <f t="shared" ca="1" si="236"/>
        <v>3.5519836951402907E-3</v>
      </c>
      <c r="EU85" s="44">
        <f t="shared" ca="1" si="237"/>
        <v>9.4122294310759736E-4</v>
      </c>
      <c r="EV85" s="44">
        <f t="shared" ca="1" si="238"/>
        <v>2.4401391055097428E-2</v>
      </c>
      <c r="EW85" s="44">
        <f t="shared" ca="1" si="239"/>
        <v>2.6879652267389035E-2</v>
      </c>
      <c r="EX85" s="44">
        <f t="shared" ca="1" si="240"/>
        <v>2.4021825767818694E-2</v>
      </c>
      <c r="EY85" s="44">
        <f t="shared" ca="1" si="241"/>
        <v>2.0915461452876621E-2</v>
      </c>
      <c r="EZ85" s="44">
        <f t="shared" ca="1" si="242"/>
        <v>3.170794793889764E-2</v>
      </c>
      <c r="FA85" s="44">
        <f t="shared" ca="1" si="243"/>
        <v>4.0000000000000008E-2</v>
      </c>
      <c r="FB85" s="44">
        <f t="shared" ca="1" si="244"/>
        <v>2.5125186617525479E-2</v>
      </c>
      <c r="FC85" s="44">
        <f t="shared" ca="1" si="245"/>
        <v>2.9402816525921905E-2</v>
      </c>
      <c r="FD85" s="44">
        <f t="shared" ca="1" si="246"/>
        <v>3.006684094465599E-2</v>
      </c>
      <c r="FE85" s="44">
        <f t="shared" ca="1" si="247"/>
        <v>2.824700891908212E-2</v>
      </c>
      <c r="FF85" s="44">
        <f t="shared" ca="1" si="248"/>
        <v>3.1299939844172162E-2</v>
      </c>
      <c r="FG85" s="45">
        <f t="shared" ca="1" si="249"/>
        <v>1.6361727085512112E-4</v>
      </c>
    </row>
    <row r="86" spans="1:163" x14ac:dyDescent="0.2">
      <c r="A86" s="51" t="str">
        <f t="shared" ref="A86" ca="1" si="294">INDEX(Historical_Data_Names,3,B86)</f>
        <v>L</v>
      </c>
      <c r="B86" s="57">
        <f t="shared" si="178"/>
        <v>45</v>
      </c>
      <c r="C86" s="11" t="str">
        <f t="shared" ref="C86" ca="1" si="295">INDEX(Historical_Data_Names,2,B86)</f>
        <v>Swi Eq Off B/S</v>
      </c>
      <c r="D86" s="58"/>
      <c r="E86" s="59">
        <f t="shared" ref="E86" ca="1" si="296">AVERAGE(OFFSET(Historical_Data_Start,date_start_row,$B86,date_rows,1))*4</f>
        <v>-0.1257965462179165</v>
      </c>
      <c r="F86" s="59">
        <f t="array" aca="1" ref="F86" ca="1">PRODUCT(1+OFFSET(Historical_Data_Start,date_start_row,$B86,date_rows,1))^(4/date_rows)-1</f>
        <v>-0.13703500663795842</v>
      </c>
      <c r="G86" s="59">
        <f t="shared" ref="G86" ca="1" si="297">STDEV(OFFSET(Historical_Data_Start,date_start_row,$B86,date_rows,1))*2</f>
        <v>0.18925200706387124</v>
      </c>
      <c r="H86" s="6"/>
      <c r="I86" s="61">
        <v>0.1</v>
      </c>
      <c r="J86" s="61">
        <v>0.2</v>
      </c>
      <c r="K86" s="6"/>
      <c r="L86" s="60">
        <v>-9.9999999999999995E-7</v>
      </c>
      <c r="M86" s="60"/>
      <c r="N86" s="14">
        <f t="shared" si="174"/>
        <v>-9.9999999999999995E-7</v>
      </c>
      <c r="O86" s="6"/>
      <c r="P86" s="115">
        <f t="shared" si="175"/>
        <v>-9.9999999999999995E-7</v>
      </c>
      <c r="Q86" s="115">
        <f t="shared" si="175"/>
        <v>-9.9999999999999995E-7</v>
      </c>
      <c r="R86" s="6"/>
      <c r="S86" s="226"/>
      <c r="T86" s="410">
        <v>0</v>
      </c>
      <c r="U86" s="410">
        <v>0</v>
      </c>
      <c r="V86" s="410">
        <v>0</v>
      </c>
      <c r="W86" s="410">
        <v>0</v>
      </c>
      <c r="X86" s="410">
        <v>0</v>
      </c>
      <c r="Y86" s="410">
        <v>0</v>
      </c>
      <c r="Z86" s="6"/>
      <c r="AI86" s="117">
        <v>0</v>
      </c>
      <c r="AJ86" s="117">
        <v>0</v>
      </c>
      <c r="AK86" s="117">
        <v>0</v>
      </c>
      <c r="AL86" s="117">
        <v>0</v>
      </c>
      <c r="AM86" s="117">
        <v>0</v>
      </c>
      <c r="AN86" s="117">
        <v>0</v>
      </c>
      <c r="AO86" s="117">
        <v>0</v>
      </c>
      <c r="AP86" s="117">
        <v>0</v>
      </c>
      <c r="AQ86" s="117">
        <v>0</v>
      </c>
      <c r="AR86" s="117">
        <v>0</v>
      </c>
      <c r="AS86" s="117">
        <v>0</v>
      </c>
      <c r="AU86" s="117">
        <v>0</v>
      </c>
      <c r="AV86" s="117">
        <v>0</v>
      </c>
      <c r="AW86" s="117">
        <v>0</v>
      </c>
      <c r="AX86" s="117">
        <v>0</v>
      </c>
      <c r="AY86" s="117">
        <v>0</v>
      </c>
      <c r="AZ86" s="117">
        <v>0</v>
      </c>
      <c r="BA86" s="117">
        <v>0</v>
      </c>
      <c r="BB86" s="117">
        <v>0</v>
      </c>
      <c r="BC86" s="117">
        <v>0</v>
      </c>
      <c r="BD86" s="117">
        <v>0</v>
      </c>
      <c r="BE86" s="117">
        <v>0</v>
      </c>
      <c r="BG86" s="51" t="str">
        <f t="shared" ca="1" si="176"/>
        <v>Swi Eq Off B/S</v>
      </c>
      <c r="BH86" s="38">
        <f t="shared" si="198"/>
        <v>0.1</v>
      </c>
      <c r="BI86" s="38">
        <f t="shared" si="199"/>
        <v>0.2</v>
      </c>
      <c r="BK86" s="31">
        <f ca="1">CORREL(OFFSET(Historical_Data_Start,date_start_row,$B86,date_rows,1),OFFSET(Historical_Data_Start,date_start_row,Calculations!BK$40,date_rows,1))</f>
        <v>4.0018000590091855E-2</v>
      </c>
      <c r="BL86" s="32">
        <f ca="1">CORREL(OFFSET(Historical_Data_Start,date_start_row,$B86,date_rows,1),OFFSET(Historical_Data_Start,date_start_row,Calculations!BL$40,date_rows,1))</f>
        <v>-0.17258724532400432</v>
      </c>
      <c r="BM86" s="32">
        <f ca="1">CORREL(OFFSET(Historical_Data_Start,date_start_row,$B86,date_rows,1),OFFSET(Historical_Data_Start,date_start_row,Calculations!BM$40,date_rows,1))</f>
        <v>-0.11542475964635796</v>
      </c>
      <c r="BN86" s="32">
        <f ca="1">CORREL(OFFSET(Historical_Data_Start,date_start_row,$B86,date_rows,1),OFFSET(Historical_Data_Start,date_start_row,Calculations!BN$40,date_rows,1))</f>
        <v>-0.32841055014823578</v>
      </c>
      <c r="BO86" s="32">
        <f ca="1">CORREL(OFFSET(Historical_Data_Start,date_start_row,$B86,date_rows,1),OFFSET(Historical_Data_Start,date_start_row,Calculations!BO$40,date_rows,1))</f>
        <v>-0.31265209817109496</v>
      </c>
      <c r="BP86" s="32">
        <f ca="1">CORREL(OFFSET(Historical_Data_Start,date_start_row,$B86,date_rows,1),OFFSET(Historical_Data_Start,date_start_row,Calculations!BP$40,date_rows,1))</f>
        <v>-0.26715406380859025</v>
      </c>
      <c r="BQ86" s="32">
        <f ca="1">CORREL(OFFSET(Historical_Data_Start,date_start_row,$B86,date_rows,1),OFFSET(Historical_Data_Start,date_start_row,Calculations!BQ$40,date_rows,1))</f>
        <v>-0.30769124880191606</v>
      </c>
      <c r="BR86" s="32">
        <f ca="1">CORREL(OFFSET(Historical_Data_Start,date_start_row,$B86,date_rows,1),OFFSET(Historical_Data_Start,date_start_row,Calculations!BR$40,date_rows,1))</f>
        <v>-0.34087609540377933</v>
      </c>
      <c r="BS86" s="32">
        <f ca="1">CORREL(OFFSET(Historical_Data_Start,date_start_row,$B86,date_rows,1),OFFSET(Historical_Data_Start,date_start_row,Calculations!BS$40,date_rows,1))</f>
        <v>-0.37779004684204476</v>
      </c>
      <c r="BT86" s="32">
        <f ca="1">CORREL(OFFSET(Historical_Data_Start,date_start_row,$B86,date_rows,1),OFFSET(Historical_Data_Start,date_start_row,Calculations!BT$40,date_rows,1))</f>
        <v>-0.14261913012959987</v>
      </c>
      <c r="BU86" s="32">
        <f ca="1">CORREL(OFFSET(Historical_Data_Start,date_start_row,$B86,date_rows,1),OFFSET(Historical_Data_Start,date_start_row,Calculations!BU$40,date_rows,1))</f>
        <v>-0.60956347517198239</v>
      </c>
      <c r="BV86" s="32">
        <f ca="1">CORREL(OFFSET(Historical_Data_Start,date_start_row,$B86,date_rows,1),OFFSET(Historical_Data_Start,date_start_row,Calculations!BV$40,date_rows,1))</f>
        <v>-0.54629795081674459</v>
      </c>
      <c r="BW86" s="32">
        <f ca="1">CORREL(OFFSET(Historical_Data_Start,date_start_row,$B86,date_rows,1),OFFSET(Historical_Data_Start,date_start_row,Calculations!BW$40,date_rows,1))</f>
        <v>-0.53247239960983217</v>
      </c>
      <c r="BX86" s="32">
        <f ca="1">CORREL(OFFSET(Historical_Data_Start,date_start_row,$B86,date_rows,1),OFFSET(Historical_Data_Start,date_start_row,Calculations!BX$40,date_rows,1))</f>
        <v>-0.41243738422015874</v>
      </c>
      <c r="BY86" s="32">
        <f ca="1">CORREL(OFFSET(Historical_Data_Start,date_start_row,$B86,date_rows,1),OFFSET(Historical_Data_Start,date_start_row,Calculations!BY$40,date_rows,1))</f>
        <v>-0.79214322696147699</v>
      </c>
      <c r="BZ86" s="32">
        <f ca="1">CORREL(OFFSET(Historical_Data_Start,date_start_row,$B86,date_rows,1),OFFSET(Historical_Data_Start,date_start_row,Calculations!BZ$40,date_rows,1))</f>
        <v>-0.61960395894582398</v>
      </c>
      <c r="CA86" s="32">
        <f ca="1">CORREL(OFFSET(Historical_Data_Start,date_start_row,$B86,date_rows,1),OFFSET(Historical_Data_Start,date_start_row,Calculations!CA$40,date_rows,1))</f>
        <v>-0.97353931964622831</v>
      </c>
      <c r="CB86" s="32">
        <f ca="1">CORREL(OFFSET(Historical_Data_Start,date_start_row,$B86,date_rows,1),OFFSET(Historical_Data_Start,date_start_row,Calculations!CB$40,date_rows,1))</f>
        <v>-0.49762705315900613</v>
      </c>
      <c r="CC86" s="32">
        <f ca="1">CORREL(OFFSET(Historical_Data_Start,date_start_row,$B86,date_rows,1),OFFSET(Historical_Data_Start,date_start_row,Calculations!CC$40,date_rows,1))</f>
        <v>-0.4066877377618926</v>
      </c>
      <c r="CD86" s="32">
        <f ca="1">CORREL(OFFSET(Historical_Data_Start,date_start_row,$B86,date_rows,1),OFFSET(Historical_Data_Start,date_start_row,Calculations!CD$40,date_rows,1))</f>
        <v>-0.37869804674133245</v>
      </c>
      <c r="CE86" s="32">
        <f ca="1">CORREL(OFFSET(Historical_Data_Start,date_start_row,$B86,date_rows,1),OFFSET(Historical_Data_Start,date_start_row,Calculations!CE$40,date_rows,1))</f>
        <v>-0.38157594290082342</v>
      </c>
      <c r="CF86" s="32">
        <f ca="1">CORREL(OFFSET(Historical_Data_Start,date_start_row,$B86,date_rows,1),OFFSET(Historical_Data_Start,date_start_row,Calculations!CF$40,date_rows,1))</f>
        <v>1.8732994454365918E-3</v>
      </c>
      <c r="CG86" s="32">
        <f ca="1">CORREL(OFFSET(Historical_Data_Start,date_start_row,$B86,date_rows,1),OFFSET(Historical_Data_Start,date_start_row,Calculations!CG$40,date_rows,1))</f>
        <v>0.10507044252775762</v>
      </c>
      <c r="CH86" s="32">
        <f ca="1">CORREL(OFFSET(Historical_Data_Start,date_start_row,$B86,date_rows,1),OFFSET(Historical_Data_Start,date_start_row,Calculations!CH$40,date_rows,1))</f>
        <v>-0.46747057973227307</v>
      </c>
      <c r="CI86" s="32">
        <f ca="1">CORREL(OFFSET(Historical_Data_Start,date_start_row,$B86,date_rows,1),OFFSET(Historical_Data_Start,date_start_row,Calculations!CI$40,date_rows,1))</f>
        <v>-0.17912164303700628</v>
      </c>
      <c r="CJ86" s="32">
        <f ca="1">CORREL(OFFSET(Historical_Data_Start,date_start_row,$B86,date_rows,1),OFFSET(Historical_Data_Start,date_start_row,Calculations!CJ$40,date_rows,1))</f>
        <v>-3.9829227493180339E-2</v>
      </c>
      <c r="CK86" s="32">
        <f ca="1">CORREL(OFFSET(Historical_Data_Start,date_start_row,$B86,date_rows,1),OFFSET(Historical_Data_Start,date_start_row,Calculations!CK$40,date_rows,1))</f>
        <v>-0.23097189777731866</v>
      </c>
      <c r="CL86" s="32">
        <f ca="1">CORREL(OFFSET(Historical_Data_Start,date_start_row,$B86,date_rows,1),OFFSET(Historical_Data_Start,date_start_row,Calculations!CL$40,date_rows,1))</f>
        <v>4.0022072409637337E-2</v>
      </c>
      <c r="CM86" s="32">
        <f ca="1">CORREL(OFFSET(Historical_Data_Start,date_start_row,$B86,date_rows,1),OFFSET(Historical_Data_Start,date_start_row,Calculations!CM$40,date_rows,1))</f>
        <v>-0.17258724532400432</v>
      </c>
      <c r="CN86" s="32">
        <f ca="1">CORREL(OFFSET(Historical_Data_Start,date_start_row,$B86,date_rows,1),OFFSET(Historical_Data_Start,date_start_row,Calculations!CN$40,date_rows,1))</f>
        <v>-0.11542475964635796</v>
      </c>
      <c r="CO86" s="32">
        <f ca="1">CORREL(OFFSET(Historical_Data_Start,date_start_row,$B86,date_rows,1),OFFSET(Historical_Data_Start,date_start_row,Calculations!CO$40,date_rows,1))</f>
        <v>-0.26715406380859025</v>
      </c>
      <c r="CP86" s="32">
        <f ca="1">CORREL(OFFSET(Historical_Data_Start,date_start_row,$B86,date_rows,1),OFFSET(Historical_Data_Start,date_start_row,Calculations!CP$40,date_rows,1))</f>
        <v>-0.30769124880191606</v>
      </c>
      <c r="CQ86" s="32">
        <f ca="1">CORREL(OFFSET(Historical_Data_Start,date_start_row,$B86,date_rows,1),OFFSET(Historical_Data_Start,date_start_row,Calculations!CQ$40,date_rows,1))</f>
        <v>-0.15057663140886049</v>
      </c>
      <c r="CR86" s="32">
        <f ca="1">CORREL(OFFSET(Historical_Data_Start,date_start_row,$B86,date_rows,1),OFFSET(Historical_Data_Start,date_start_row,Calculations!CR$40,date_rows,1))</f>
        <v>-0.38958157245214264</v>
      </c>
      <c r="CS86" s="32">
        <f ca="1">CORREL(OFFSET(Historical_Data_Start,date_start_row,$B86,date_rows,1),OFFSET(Historical_Data_Start,date_start_row,Calculations!CS$40,date_rows,1))</f>
        <v>-5.8465329938425438E-2</v>
      </c>
      <c r="CT86" s="32">
        <f ca="1">CORREL(OFFSET(Historical_Data_Start,date_start_row,$B86,date_rows,1),OFFSET(Historical_Data_Start,date_start_row,Calculations!CT$40,date_rows,1))</f>
        <v>0.32334978134112441</v>
      </c>
      <c r="CU86" s="32">
        <f ca="1">CORREL(OFFSET(Historical_Data_Start,date_start_row,$B86,date_rows,1),OFFSET(Historical_Data_Start,date_start_row,Calculations!CU$40,date_rows,1))</f>
        <v>0.32831618099493759</v>
      </c>
      <c r="CV86" s="32">
        <f ca="1">CORREL(OFFSET(Historical_Data_Start,date_start_row,$B86,date_rows,1),OFFSET(Historical_Data_Start,date_start_row,Calculations!CV$40,date_rows,1))</f>
        <v>0.2005876165884044</v>
      </c>
      <c r="CW86" s="32">
        <f ca="1">CORREL(OFFSET(Historical_Data_Start,date_start_row,$B86,date_rows,1),OFFSET(Historical_Data_Start,date_start_row,Calculations!CW$40,date_rows,1))</f>
        <v>0.63648244020836453</v>
      </c>
      <c r="CX86" s="32">
        <f ca="1">CORREL(OFFSET(Historical_Data_Start,date_start_row,$B86,date_rows,1),OFFSET(Historical_Data_Start,date_start_row,Calculations!CX$40,date_rows,1))</f>
        <v>0.56331030510359192</v>
      </c>
      <c r="CY86" s="32">
        <f ca="1">CORREL(OFFSET(Historical_Data_Start,date_start_row,$B86,date_rows,1),OFFSET(Historical_Data_Start,date_start_row,Calculations!CY$40,date_rows,1))</f>
        <v>0.53247239960983217</v>
      </c>
      <c r="CZ86" s="32">
        <f ca="1">CORREL(OFFSET(Historical_Data_Start,date_start_row,$B86,date_rows,1),OFFSET(Historical_Data_Start,date_start_row,Calculations!CZ$40,date_rows,1))</f>
        <v>0.44648455985096336</v>
      </c>
      <c r="DA86" s="32">
        <f ca="1">CORREL(OFFSET(Historical_Data_Start,date_start_row,$B86,date_rows,1),OFFSET(Historical_Data_Start,date_start_row,Calculations!DA$40,date_rows,1))</f>
        <v>0.79109491585134828</v>
      </c>
      <c r="DB86" s="32">
        <f ca="1">CORREL(OFFSET(Historical_Data_Start,date_start_row,$B86,date_rows,1),OFFSET(Historical_Data_Start,date_start_row,Calculations!DB$40,date_rows,1))</f>
        <v>0.62812966543813686</v>
      </c>
      <c r="DC86" s="32">
        <f ca="1">CORREL(OFFSET(Historical_Data_Start,date_start_row,$B86,date_rows,1),OFFSET(Historical_Data_Start,date_start_row,Calculations!DC$40,date_rows,1))</f>
        <v>1</v>
      </c>
      <c r="DD86" s="32">
        <f ca="1">CORREL(OFFSET(Historical_Data_Start,date_start_row,$B86,date_rows,1),OFFSET(Historical_Data_Start,date_start_row,Calculations!DD$40,date_rows,1))</f>
        <v>0.49776383236665195</v>
      </c>
      <c r="DE86" s="32">
        <f ca="1">CORREL(OFFSET(Historical_Data_Start,date_start_row,$B86,date_rows,1),OFFSET(Historical_Data_Start,date_start_row,Calculations!DE$40,date_rows,1))</f>
        <v>0.42083491428724989</v>
      </c>
      <c r="DF86" s="32">
        <f ca="1">CORREL(OFFSET(Historical_Data_Start,date_start_row,$B86,date_rows,1),OFFSET(Historical_Data_Start,date_start_row,Calculations!DF$40,date_rows,1))</f>
        <v>0.3988442757312744</v>
      </c>
      <c r="DG86" s="32">
        <f ca="1">CORREL(OFFSET(Historical_Data_Start,date_start_row,$B86,date_rows,1),OFFSET(Historical_Data_Start,date_start_row,Calculations!DG$40,date_rows,1))</f>
        <v>0.39931043656289267</v>
      </c>
      <c r="DH86" s="33">
        <f ca="1">CORREL(OFFSET(Historical_Data_Start,date_start_row,$B86,date_rows,1),OFFSET(Historical_Data_Start,date_start_row,Calculations!DH$40,date_rows,1))</f>
        <v>0.14291611938343438</v>
      </c>
      <c r="DI86" s="2">
        <f t="shared" si="71"/>
        <v>45</v>
      </c>
      <c r="DJ86" s="43">
        <f t="shared" ca="1" si="200"/>
        <v>8.0036001180183708E-5</v>
      </c>
      <c r="DK86" s="44">
        <f t="shared" ca="1" si="201"/>
        <v>-2.1745992910824543E-3</v>
      </c>
      <c r="DL86" s="44">
        <f t="shared" ca="1" si="202"/>
        <v>-2.4931748083613322E-3</v>
      </c>
      <c r="DM86" s="44">
        <f t="shared" ca="1" si="203"/>
        <v>-3.8095623817195347E-3</v>
      </c>
      <c r="DN86" s="44">
        <f t="shared" ca="1" si="204"/>
        <v>-6.127981124153462E-3</v>
      </c>
      <c r="DO86" s="44">
        <f t="shared" ca="1" si="205"/>
        <v>-2.8318330763710568E-3</v>
      </c>
      <c r="DP86" s="44">
        <f t="shared" ca="1" si="206"/>
        <v>-5.6615189779552558E-3</v>
      </c>
      <c r="DQ86" s="44">
        <f t="shared" ca="1" si="207"/>
        <v>-3.340585734957038E-3</v>
      </c>
      <c r="DR86" s="44">
        <f t="shared" ca="1" si="208"/>
        <v>-6.2713147775779431E-3</v>
      </c>
      <c r="DS86" s="44">
        <f t="shared" ca="1" si="209"/>
        <v>-1.9966678218143984E-3</v>
      </c>
      <c r="DT86" s="44">
        <f t="shared" ca="1" si="210"/>
        <v>-1.9506031205503437E-2</v>
      </c>
      <c r="DU86" s="44">
        <f t="shared" ca="1" si="211"/>
        <v>-2.1851918032669788E-2</v>
      </c>
      <c r="DV86" s="44">
        <f t="shared" ca="1" si="212"/>
        <v>-1.9169006385953955E-2</v>
      </c>
      <c r="DW86" s="44">
        <f t="shared" ca="1" si="213"/>
        <v>-1.979699444256762E-2</v>
      </c>
      <c r="DX86" s="44">
        <f t="shared" ca="1" si="214"/>
        <v>-3.3270015532382034E-2</v>
      </c>
      <c r="DY86" s="44">
        <f t="shared" ca="1" si="215"/>
        <v>-2.4784158357832965E-2</v>
      </c>
      <c r="DZ86" s="44">
        <f t="shared" ca="1" si="216"/>
        <v>-3.8941572785849136E-2</v>
      </c>
      <c r="EA86" s="44">
        <f t="shared" ca="1" si="217"/>
        <v>-2.1895590338996272E-2</v>
      </c>
      <c r="EB86" s="44">
        <f t="shared" ca="1" si="218"/>
        <v>-2.1147762363618417E-2</v>
      </c>
      <c r="EC86" s="44">
        <f t="shared" ca="1" si="219"/>
        <v>-2.2721882804479947E-2</v>
      </c>
      <c r="ED86" s="44">
        <f t="shared" ca="1" si="220"/>
        <v>-2.1368252802446114E-2</v>
      </c>
      <c r="EE86" s="44">
        <f t="shared" ca="1" si="221"/>
        <v>3.3719390017858653E-5</v>
      </c>
      <c r="EF86" s="44">
        <f t="shared" ca="1" si="222"/>
        <v>1.8912679654996369E-3</v>
      </c>
      <c r="EG86" s="44">
        <f t="shared" ca="1" si="223"/>
        <v>-1.5893999710897284E-2</v>
      </c>
      <c r="EH86" s="44">
        <f t="shared" ca="1" si="224"/>
        <v>-8.5978388657763014E-3</v>
      </c>
      <c r="EI86" s="44">
        <f t="shared" ca="1" si="225"/>
        <v>-9.5590145983632819E-4</v>
      </c>
      <c r="EJ86" s="44">
        <f t="shared" ca="1" si="226"/>
        <v>-4.1574941599917354E-3</v>
      </c>
      <c r="EK86" s="43">
        <f t="shared" ca="1" si="227"/>
        <v>8.0044144819274677E-5</v>
      </c>
      <c r="EL86" s="44">
        <f t="shared" ca="1" si="228"/>
        <v>-1.5878026569808397E-3</v>
      </c>
      <c r="EM86" s="44">
        <f t="shared" ca="1" si="229"/>
        <v>-1.8698811062709993E-3</v>
      </c>
      <c r="EN86" s="44">
        <f t="shared" ca="1" si="230"/>
        <v>-2.1906633232304396E-3</v>
      </c>
      <c r="EO86" s="44">
        <f t="shared" ca="1" si="231"/>
        <v>-7.0153604726836865E-3</v>
      </c>
      <c r="EP86" s="44">
        <f t="shared" ca="1" si="232"/>
        <v>-8.3419453800508709E-3</v>
      </c>
      <c r="EQ86" s="44">
        <f t="shared" ca="1" si="233"/>
        <v>-1.8544082848721992E-2</v>
      </c>
      <c r="ER86" s="44">
        <f t="shared" ca="1" si="234"/>
        <v>-3.7417811160592282E-3</v>
      </c>
      <c r="ES86" s="44">
        <f t="shared" ca="1" si="235"/>
        <v>4.0742072448981675E-3</v>
      </c>
      <c r="ET86" s="44">
        <f t="shared" ca="1" si="236"/>
        <v>3.2831618099493764E-3</v>
      </c>
      <c r="EU86" s="44">
        <f t="shared" ca="1" si="237"/>
        <v>2.808226632237662E-3</v>
      </c>
      <c r="EV86" s="44">
        <f t="shared" ca="1" si="238"/>
        <v>2.0367438086667664E-2</v>
      </c>
      <c r="EW86" s="44">
        <f t="shared" ca="1" si="239"/>
        <v>2.2532412204143683E-2</v>
      </c>
      <c r="EX86" s="44">
        <f t="shared" ca="1" si="240"/>
        <v>1.9169006385953955E-2</v>
      </c>
      <c r="EY86" s="44">
        <f t="shared" ca="1" si="241"/>
        <v>2.1431258872846241E-2</v>
      </c>
      <c r="EZ86" s="44">
        <f t="shared" ca="1" si="242"/>
        <v>3.3225986465756627E-2</v>
      </c>
      <c r="FA86" s="44">
        <f t="shared" ca="1" si="243"/>
        <v>2.5125186617525479E-2</v>
      </c>
      <c r="FB86" s="44">
        <f t="shared" ca="1" si="244"/>
        <v>4.0000000000000008E-2</v>
      </c>
      <c r="FC86" s="44">
        <f t="shared" ca="1" si="245"/>
        <v>2.1901608624132689E-2</v>
      </c>
      <c r="FD86" s="44">
        <f t="shared" ca="1" si="246"/>
        <v>2.1883415542936997E-2</v>
      </c>
      <c r="FE86" s="44">
        <f t="shared" ca="1" si="247"/>
        <v>2.3930656543876463E-2</v>
      </c>
      <c r="FF86" s="44">
        <f t="shared" ca="1" si="248"/>
        <v>2.2361384447521993E-2</v>
      </c>
      <c r="FG86" s="45">
        <f t="shared" ca="1" si="249"/>
        <v>1.4291611938343438E-4</v>
      </c>
    </row>
    <row r="87" spans="1:163" x14ac:dyDescent="0.2">
      <c r="A87" s="51" t="str">
        <f t="shared" ref="A87" ca="1" si="298">INDEX(Historical_Data_Names,3,B87)</f>
        <v>L</v>
      </c>
      <c r="B87" s="57">
        <f t="shared" si="178"/>
        <v>46</v>
      </c>
      <c r="C87" s="11" t="str">
        <f t="shared" ref="C87" ca="1" si="299">INDEX(Historical_Data_Names,2,B87)</f>
        <v>Aus Eq Off B/S</v>
      </c>
      <c r="D87" s="58"/>
      <c r="E87" s="59">
        <f t="shared" ref="E87" ca="1" si="300">AVERAGE(OFFSET(Historical_Data_Start,date_start_row,$B87,date_rows,1))*4</f>
        <v>-0.12403794820493573</v>
      </c>
      <c r="F87" s="59">
        <f t="array" aca="1" ref="F87" ca="1">PRODUCT(1+OFFSET(Historical_Data_Start,date_start_row,$B87,date_rows,1))^(4/date_rows)-1</f>
        <v>-0.14061281667451786</v>
      </c>
      <c r="G87" s="59">
        <f t="shared" ref="G87" ca="1" si="301">STDEV(OFFSET(Historical_Data_Start,date_start_row,$B87,date_rows,1))*2</f>
        <v>0.21973340082300588</v>
      </c>
      <c r="H87" s="6"/>
      <c r="I87" s="61">
        <v>0.105</v>
      </c>
      <c r="J87" s="61">
        <v>0.22</v>
      </c>
      <c r="K87" s="6"/>
      <c r="L87" s="60">
        <v>-9.9999999999999995E-7</v>
      </c>
      <c r="M87" s="60"/>
      <c r="N87" s="14">
        <f t="shared" si="174"/>
        <v>-9.9999999999999995E-7</v>
      </c>
      <c r="O87" s="6"/>
      <c r="P87" s="115">
        <f t="shared" si="175"/>
        <v>-9.9999999999999995E-7</v>
      </c>
      <c r="Q87" s="115">
        <f t="shared" si="175"/>
        <v>-9.9999999999999995E-7</v>
      </c>
      <c r="R87" s="6"/>
      <c r="S87" s="226"/>
      <c r="T87" s="410">
        <v>0</v>
      </c>
      <c r="U87" s="410">
        <v>0</v>
      </c>
      <c r="V87" s="410">
        <v>0</v>
      </c>
      <c r="W87" s="410">
        <v>0</v>
      </c>
      <c r="X87" s="410">
        <v>0</v>
      </c>
      <c r="Y87" s="410">
        <v>0</v>
      </c>
      <c r="Z87" s="6"/>
      <c r="AI87" s="117">
        <v>0</v>
      </c>
      <c r="AJ87" s="117">
        <v>0</v>
      </c>
      <c r="AK87" s="117">
        <v>0</v>
      </c>
      <c r="AL87" s="117">
        <v>0</v>
      </c>
      <c r="AM87" s="117">
        <v>0</v>
      </c>
      <c r="AN87" s="117">
        <v>0</v>
      </c>
      <c r="AO87" s="117">
        <v>0</v>
      </c>
      <c r="AP87" s="117">
        <v>0</v>
      </c>
      <c r="AQ87" s="117">
        <v>0</v>
      </c>
      <c r="AR87" s="117">
        <v>0</v>
      </c>
      <c r="AS87" s="117">
        <v>0</v>
      </c>
      <c r="AU87" s="117">
        <v>0</v>
      </c>
      <c r="AV87" s="117">
        <v>0</v>
      </c>
      <c r="AW87" s="117">
        <v>0</v>
      </c>
      <c r="AX87" s="117">
        <v>0</v>
      </c>
      <c r="AY87" s="117">
        <v>0</v>
      </c>
      <c r="AZ87" s="117">
        <v>0</v>
      </c>
      <c r="BA87" s="117">
        <v>0</v>
      </c>
      <c r="BB87" s="117">
        <v>0</v>
      </c>
      <c r="BC87" s="117">
        <v>0</v>
      </c>
      <c r="BD87" s="117">
        <v>0</v>
      </c>
      <c r="BE87" s="117">
        <v>0</v>
      </c>
      <c r="BG87" s="51" t="str">
        <f t="shared" ca="1" si="176"/>
        <v>Aus Eq Off B/S</v>
      </c>
      <c r="BH87" s="38">
        <f t="shared" si="198"/>
        <v>0.105</v>
      </c>
      <c r="BI87" s="38">
        <f t="shared" si="199"/>
        <v>0.22</v>
      </c>
      <c r="BK87" s="31">
        <f ca="1">CORREL(OFFSET(Historical_Data_Start,date_start_row,$B87,date_rows,1),OFFSET(Historical_Data_Start,date_start_row,Calculations!BK$40,date_rows,1))</f>
        <v>5.2233363806857551E-2</v>
      </c>
      <c r="BL87" s="32">
        <f ca="1">CORREL(OFFSET(Historical_Data_Start,date_start_row,$B87,date_rows,1),OFFSET(Historical_Data_Start,date_start_row,Calculations!BL$40,date_rows,1))</f>
        <v>0.1238470166266962</v>
      </c>
      <c r="BM87" s="32">
        <f ca="1">CORREL(OFFSET(Historical_Data_Start,date_start_row,$B87,date_rows,1),OFFSET(Historical_Data_Start,date_start_row,Calculations!BM$40,date_rows,1))</f>
        <v>0.17182770699265476</v>
      </c>
      <c r="BN87" s="32">
        <f ca="1">CORREL(OFFSET(Historical_Data_Start,date_start_row,$B87,date_rows,1),OFFSET(Historical_Data_Start,date_start_row,Calculations!BN$40,date_rows,1))</f>
        <v>-0.13379805145560483</v>
      </c>
      <c r="BO87" s="32">
        <f ca="1">CORREL(OFFSET(Historical_Data_Start,date_start_row,$B87,date_rows,1),OFFSET(Historical_Data_Start,date_start_row,Calculations!BO$40,date_rows,1))</f>
        <v>-0.11846195422479658</v>
      </c>
      <c r="BP87" s="32">
        <f ca="1">CORREL(OFFSET(Historical_Data_Start,date_start_row,$B87,date_rows,1),OFFSET(Historical_Data_Start,date_start_row,Calculations!BP$40,date_rows,1))</f>
        <v>-1.4167378526360897E-2</v>
      </c>
      <c r="BQ87" s="32">
        <f ca="1">CORREL(OFFSET(Historical_Data_Start,date_start_row,$B87,date_rows,1),OFFSET(Historical_Data_Start,date_start_row,Calculations!BQ$40,date_rows,1))</f>
        <v>-4.2199178854046997E-2</v>
      </c>
      <c r="BR87" s="32">
        <f ca="1">CORREL(OFFSET(Historical_Data_Start,date_start_row,$B87,date_rows,1),OFFSET(Historical_Data_Start,date_start_row,Calculations!BR$40,date_rows,1))</f>
        <v>-0.14143517507388192</v>
      </c>
      <c r="BS87" s="32">
        <f ca="1">CORREL(OFFSET(Historical_Data_Start,date_start_row,$B87,date_rows,1),OFFSET(Historical_Data_Start,date_start_row,Calculations!BS$40,date_rows,1))</f>
        <v>-0.18004646923545986</v>
      </c>
      <c r="BT87" s="32">
        <f ca="1">CORREL(OFFSET(Historical_Data_Start,date_start_row,$B87,date_rows,1),OFFSET(Historical_Data_Start,date_start_row,Calculations!BT$40,date_rows,1))</f>
        <v>3.6995827575639288E-2</v>
      </c>
      <c r="BU87" s="32">
        <f ca="1">CORREL(OFFSET(Historical_Data_Start,date_start_row,$B87,date_rows,1),OFFSET(Historical_Data_Start,date_start_row,Calculations!BU$40,date_rows,1))</f>
        <v>-0.49703792003903119</v>
      </c>
      <c r="BV87" s="32">
        <f ca="1">CORREL(OFFSET(Historical_Data_Start,date_start_row,$B87,date_rows,1),OFFSET(Historical_Data_Start,date_start_row,Calculations!BV$40,date_rows,1))</f>
        <v>-0.52232617488373301</v>
      </c>
      <c r="BW87" s="32">
        <f ca="1">CORREL(OFFSET(Historical_Data_Start,date_start_row,$B87,date_rows,1),OFFSET(Historical_Data_Start,date_start_row,Calculations!BW$40,date_rows,1))</f>
        <v>-0.65386991136779138</v>
      </c>
      <c r="BX87" s="32">
        <f ca="1">CORREL(OFFSET(Historical_Data_Start,date_start_row,$B87,date_rows,1),OFFSET(Historical_Data_Start,date_start_row,Calculations!BX$40,date_rows,1))</f>
        <v>-0.31325718339759123</v>
      </c>
      <c r="BY87" s="32">
        <f ca="1">CORREL(OFFSET(Historical_Data_Start,date_start_row,$B87,date_rows,1),OFFSET(Historical_Data_Start,date_start_row,Calculations!BY$40,date_rows,1))</f>
        <v>-0.52121555530553176</v>
      </c>
      <c r="BZ87" s="32">
        <f ca="1">CORREL(OFFSET(Historical_Data_Start,date_start_row,$B87,date_rows,1),OFFSET(Historical_Data_Start,date_start_row,Calculations!BZ$40,date_rows,1))</f>
        <v>-0.59936815805941668</v>
      </c>
      <c r="CA87" s="32">
        <f ca="1">CORREL(OFFSET(Historical_Data_Start,date_start_row,$B87,date_rows,1),OFFSET(Historical_Data_Start,date_start_row,Calculations!CA$40,date_rows,1))</f>
        <v>-0.38983869777678865</v>
      </c>
      <c r="CB87" s="32">
        <f ca="1">CORREL(OFFSET(Historical_Data_Start,date_start_row,$B87,date_rows,1),OFFSET(Historical_Data_Start,date_start_row,Calculations!CB$40,date_rows,1))</f>
        <v>-0.98397887793608252</v>
      </c>
      <c r="CC87" s="32">
        <f ca="1">CORREL(OFFSET(Historical_Data_Start,date_start_row,$B87,date_rows,1),OFFSET(Historical_Data_Start,date_start_row,Calculations!CC$40,date_rows,1))</f>
        <v>-0.61600230195505845</v>
      </c>
      <c r="CD87" s="32">
        <f ca="1">CORREL(OFFSET(Historical_Data_Start,date_start_row,$B87,date_rows,1),OFFSET(Historical_Data_Start,date_start_row,Calculations!CD$40,date_rows,1))</f>
        <v>-0.57896397396322108</v>
      </c>
      <c r="CE87" s="32">
        <f ca="1">CORREL(OFFSET(Historical_Data_Start,date_start_row,$B87,date_rows,1),OFFSET(Historical_Data_Start,date_start_row,Calculations!CE$40,date_rows,1))</f>
        <v>-0.59976807418454436</v>
      </c>
      <c r="CF87" s="32">
        <f ca="1">CORREL(OFFSET(Historical_Data_Start,date_start_row,$B87,date_rows,1),OFFSET(Historical_Data_Start,date_start_row,Calculations!CF$40,date_rows,1))</f>
        <v>-6.6766366873629041E-3</v>
      </c>
      <c r="CG87" s="32">
        <f ca="1">CORREL(OFFSET(Historical_Data_Start,date_start_row,$B87,date_rows,1),OFFSET(Historical_Data_Start,date_start_row,Calculations!CG$40,date_rows,1))</f>
        <v>0.12169087702694339</v>
      </c>
      <c r="CH87" s="32">
        <f ca="1">CORREL(OFFSET(Historical_Data_Start,date_start_row,$B87,date_rows,1),OFFSET(Historical_Data_Start,date_start_row,Calculations!CH$40,date_rows,1))</f>
        <v>-0.45342542100486777</v>
      </c>
      <c r="CI87" s="32">
        <f ca="1">CORREL(OFFSET(Historical_Data_Start,date_start_row,$B87,date_rows,1),OFFSET(Historical_Data_Start,date_start_row,Calculations!CI$40,date_rows,1))</f>
        <v>-0.50225405299042625</v>
      </c>
      <c r="CJ87" s="32">
        <f ca="1">CORREL(OFFSET(Historical_Data_Start,date_start_row,$B87,date_rows,1),OFFSET(Historical_Data_Start,date_start_row,Calculations!CJ$40,date_rows,1))</f>
        <v>5.6794613228207315E-2</v>
      </c>
      <c r="CK87" s="32">
        <f ca="1">CORREL(OFFSET(Historical_Data_Start,date_start_row,$B87,date_rows,1),OFFSET(Historical_Data_Start,date_start_row,Calculations!CK$40,date_rows,1))</f>
        <v>-0.10227831905862081</v>
      </c>
      <c r="CL87" s="32">
        <f ca="1">CORREL(OFFSET(Historical_Data_Start,date_start_row,$B87,date_rows,1),OFFSET(Historical_Data_Start,date_start_row,Calculations!CL$40,date_rows,1))</f>
        <v>5.2246288476986188E-2</v>
      </c>
      <c r="CM87" s="32">
        <f ca="1">CORREL(OFFSET(Historical_Data_Start,date_start_row,$B87,date_rows,1),OFFSET(Historical_Data_Start,date_start_row,Calculations!CM$40,date_rows,1))</f>
        <v>0.1238470166266962</v>
      </c>
      <c r="CN87" s="32">
        <f ca="1">CORREL(OFFSET(Historical_Data_Start,date_start_row,$B87,date_rows,1),OFFSET(Historical_Data_Start,date_start_row,Calculations!CN$40,date_rows,1))</f>
        <v>0.17182770699265476</v>
      </c>
      <c r="CO87" s="32">
        <f ca="1">CORREL(OFFSET(Historical_Data_Start,date_start_row,$B87,date_rows,1),OFFSET(Historical_Data_Start,date_start_row,Calculations!CO$40,date_rows,1))</f>
        <v>-1.4167378526360897E-2</v>
      </c>
      <c r="CP87" s="32">
        <f ca="1">CORREL(OFFSET(Historical_Data_Start,date_start_row,$B87,date_rows,1),OFFSET(Historical_Data_Start,date_start_row,Calculations!CP$40,date_rows,1))</f>
        <v>-4.2199178854046997E-2</v>
      </c>
      <c r="CQ87" s="32">
        <f ca="1">CORREL(OFFSET(Historical_Data_Start,date_start_row,$B87,date_rows,1),OFFSET(Historical_Data_Start,date_start_row,Calculations!CQ$40,date_rows,1))</f>
        <v>0.17594712759019845</v>
      </c>
      <c r="CR87" s="32">
        <f ca="1">CORREL(OFFSET(Historical_Data_Start,date_start_row,$B87,date_rows,1),OFFSET(Historical_Data_Start,date_start_row,Calculations!CR$40,date_rows,1))</f>
        <v>-4.8399504600851732E-2</v>
      </c>
      <c r="CS87" s="32">
        <f ca="1">CORREL(OFFSET(Historical_Data_Start,date_start_row,$B87,date_rows,1),OFFSET(Historical_Data_Start,date_start_row,Calculations!CS$40,date_rows,1))</f>
        <v>5.2102272967175393E-2</v>
      </c>
      <c r="CT87" s="32">
        <f ca="1">CORREL(OFFSET(Historical_Data_Start,date_start_row,$B87,date_rows,1),OFFSET(Historical_Data_Start,date_start_row,Calculations!CT$40,date_rows,1))</f>
        <v>0.13198654210654112</v>
      </c>
      <c r="CU87" s="32">
        <f ca="1">CORREL(OFFSET(Historical_Data_Start,date_start_row,$B87,date_rows,1),OFFSET(Historical_Data_Start,date_start_row,Calculations!CU$40,date_rows,1))</f>
        <v>0.13140837023130278</v>
      </c>
      <c r="CV87" s="32">
        <f ca="1">CORREL(OFFSET(Historical_Data_Start,date_start_row,$B87,date_rows,1),OFFSET(Historical_Data_Start,date_start_row,Calculations!CV$40,date_rows,1))</f>
        <v>-8.2938419867412225E-2</v>
      </c>
      <c r="CW87" s="32">
        <f ca="1">CORREL(OFFSET(Historical_Data_Start,date_start_row,$B87,date_rows,1),OFFSET(Historical_Data_Start,date_start_row,Calculations!CW$40,date_rows,1))</f>
        <v>0.64742420964482983</v>
      </c>
      <c r="CX87" s="32">
        <f ca="1">CORREL(OFFSET(Historical_Data_Start,date_start_row,$B87,date_rows,1),OFFSET(Historical_Data_Start,date_start_row,Calculations!CX$40,date_rows,1))</f>
        <v>0.63073615062762522</v>
      </c>
      <c r="CY87" s="32">
        <f ca="1">CORREL(OFFSET(Historical_Data_Start,date_start_row,$B87,date_rows,1),OFFSET(Historical_Data_Start,date_start_row,Calculations!CY$40,date_rows,1))</f>
        <v>0.65386991136779138</v>
      </c>
      <c r="CZ87" s="32">
        <f ca="1">CORREL(OFFSET(Historical_Data_Start,date_start_row,$B87,date_rows,1),OFFSET(Historical_Data_Start,date_start_row,Calculations!CZ$40,date_rows,1))</f>
        <v>0.39532349102040792</v>
      </c>
      <c r="DA87" s="32">
        <f ca="1">CORREL(OFFSET(Historical_Data_Start,date_start_row,$B87,date_rows,1),OFFSET(Historical_Data_Start,date_start_row,Calculations!DA$40,date_rows,1))</f>
        <v>0.59214068493061167</v>
      </c>
      <c r="DB87" s="32">
        <f ca="1">CORREL(OFFSET(Historical_Data_Start,date_start_row,$B87,date_rows,1),OFFSET(Historical_Data_Start,date_start_row,Calculations!DB$40,date_rows,1))</f>
        <v>0.66824583013458871</v>
      </c>
      <c r="DC87" s="32">
        <f ca="1">CORREL(OFFSET(Historical_Data_Start,date_start_row,$B87,date_rows,1),OFFSET(Historical_Data_Start,date_start_row,Calculations!DC$40,date_rows,1))</f>
        <v>0.49776383236665195</v>
      </c>
      <c r="DD87" s="32">
        <f ca="1">CORREL(OFFSET(Historical_Data_Start,date_start_row,$B87,date_rows,1),OFFSET(Historical_Data_Start,date_start_row,Calculations!DD$40,date_rows,1))</f>
        <v>0.99999999999999989</v>
      </c>
      <c r="DE87" s="32">
        <f ca="1">CORREL(OFFSET(Historical_Data_Start,date_start_row,$B87,date_rows,1),OFFSET(Historical_Data_Start,date_start_row,Calculations!DE$40,date_rows,1))</f>
        <v>0.65906477729291357</v>
      </c>
      <c r="DF87" s="32">
        <f ca="1">CORREL(OFFSET(Historical_Data_Start,date_start_row,$B87,date_rows,1),OFFSET(Historical_Data_Start,date_start_row,Calculations!DF$40,date_rows,1))</f>
        <v>0.62674874204211362</v>
      </c>
      <c r="DG87" s="32">
        <f ca="1">CORREL(OFFSET(Historical_Data_Start,date_start_row,$B87,date_rows,1),OFFSET(Historical_Data_Start,date_start_row,Calculations!DG$40,date_rows,1))</f>
        <v>0.64596328015010951</v>
      </c>
      <c r="DH87" s="33">
        <f ca="1">CORREL(OFFSET(Historical_Data_Start,date_start_row,$B87,date_rows,1),OFFSET(Historical_Data_Start,date_start_row,Calculations!DH$40,date_rows,1))</f>
        <v>0.1357961867283656</v>
      </c>
      <c r="DI87" s="2">
        <f t="shared" si="71"/>
        <v>46</v>
      </c>
      <c r="DJ87" s="43">
        <f t="shared" ca="1" si="200"/>
        <v>1.1491340037508662E-4</v>
      </c>
      <c r="DK87" s="44">
        <f t="shared" ca="1" si="201"/>
        <v>1.7165196504460095E-3</v>
      </c>
      <c r="DL87" s="44">
        <f t="shared" ca="1" si="202"/>
        <v>4.0826263181454776E-3</v>
      </c>
      <c r="DM87" s="44">
        <f t="shared" ca="1" si="203"/>
        <v>-1.7072631365735176E-3</v>
      </c>
      <c r="DN87" s="44">
        <f t="shared" ca="1" si="204"/>
        <v>-2.5540397330866141E-3</v>
      </c>
      <c r="DO87" s="44">
        <f t="shared" ca="1" si="205"/>
        <v>-1.6519163361736807E-4</v>
      </c>
      <c r="DP87" s="44">
        <f t="shared" ca="1" si="206"/>
        <v>-8.5411138000591124E-4</v>
      </c>
      <c r="DQ87" s="44">
        <f t="shared" ca="1" si="207"/>
        <v>-1.524671187296447E-3</v>
      </c>
      <c r="DR87" s="44">
        <f t="shared" ca="1" si="208"/>
        <v>-3.2876485282394975E-3</v>
      </c>
      <c r="DS87" s="44">
        <f t="shared" ca="1" si="209"/>
        <v>5.6973574466484512E-4</v>
      </c>
      <c r="DT87" s="44">
        <f t="shared" ca="1" si="210"/>
        <v>-1.74957347853739E-2</v>
      </c>
      <c r="DU87" s="44">
        <f t="shared" ca="1" si="211"/>
        <v>-2.2982351694884256E-2</v>
      </c>
      <c r="DV87" s="44">
        <f t="shared" ca="1" si="212"/>
        <v>-2.5893248490164535E-2</v>
      </c>
      <c r="DW87" s="44">
        <f t="shared" ca="1" si="213"/>
        <v>-1.6539979283392816E-2</v>
      </c>
      <c r="DX87" s="44">
        <f t="shared" ca="1" si="214"/>
        <v>-2.4080158655115567E-2</v>
      </c>
      <c r="DY87" s="44">
        <f t="shared" ca="1" si="215"/>
        <v>-2.6372198954614335E-2</v>
      </c>
      <c r="DZ87" s="44">
        <f t="shared" ca="1" si="216"/>
        <v>-1.7152902702178702E-2</v>
      </c>
      <c r="EA87" s="44">
        <f t="shared" ca="1" si="217"/>
        <v>-4.7624577692106394E-2</v>
      </c>
      <c r="EB87" s="44">
        <f t="shared" ca="1" si="218"/>
        <v>-3.5235331671829344E-2</v>
      </c>
      <c r="EC87" s="44">
        <f t="shared" ca="1" si="219"/>
        <v>-3.8211622281572592E-2</v>
      </c>
      <c r="ED87" s="44">
        <f t="shared" ca="1" si="220"/>
        <v>-3.6945713369767937E-2</v>
      </c>
      <c r="EE87" s="44">
        <f t="shared" ca="1" si="221"/>
        <v>-1.3219740640978549E-4</v>
      </c>
      <c r="EF87" s="44">
        <f t="shared" ca="1" si="222"/>
        <v>2.409479365133479E-3</v>
      </c>
      <c r="EG87" s="44">
        <f t="shared" ca="1" si="223"/>
        <v>-1.6958110745582056E-2</v>
      </c>
      <c r="EH87" s="44">
        <f t="shared" ca="1" si="224"/>
        <v>-2.6519013997894504E-2</v>
      </c>
      <c r="EI87" s="44">
        <f t="shared" ca="1" si="225"/>
        <v>1.4993777892246731E-3</v>
      </c>
      <c r="EJ87" s="44">
        <f t="shared" ca="1" si="226"/>
        <v>-2.0251107173606918E-3</v>
      </c>
      <c r="EK87" s="43">
        <f t="shared" ca="1" si="227"/>
        <v>1.1494183464936962E-4</v>
      </c>
      <c r="EL87" s="44">
        <f t="shared" ca="1" si="228"/>
        <v>1.2533318082621656E-3</v>
      </c>
      <c r="EM87" s="44">
        <f t="shared" ca="1" si="229"/>
        <v>3.0619697386091078E-3</v>
      </c>
      <c r="EN87" s="44">
        <f t="shared" ca="1" si="230"/>
        <v>-1.2778975430777526E-4</v>
      </c>
      <c r="EO87" s="44">
        <f t="shared" ca="1" si="231"/>
        <v>-1.0583554056594988E-3</v>
      </c>
      <c r="EP87" s="44">
        <f t="shared" ca="1" si="232"/>
        <v>1.0722217955346693E-2</v>
      </c>
      <c r="EQ87" s="44">
        <f t="shared" ca="1" si="233"/>
        <v>-2.5341980609005967E-3</v>
      </c>
      <c r="ER87" s="44">
        <f t="shared" ca="1" si="234"/>
        <v>3.6680000168891479E-3</v>
      </c>
      <c r="ES87" s="44">
        <f t="shared" ca="1" si="235"/>
        <v>1.82933347359666E-3</v>
      </c>
      <c r="ET87" s="44">
        <f t="shared" ca="1" si="236"/>
        <v>1.4454920725443306E-3</v>
      </c>
      <c r="EU87" s="44">
        <f t="shared" ca="1" si="237"/>
        <v>-1.2772516659581485E-3</v>
      </c>
      <c r="EV87" s="44">
        <f t="shared" ca="1" si="238"/>
        <v>2.2789332179498013E-2</v>
      </c>
      <c r="EW87" s="44">
        <f t="shared" ca="1" si="239"/>
        <v>2.7752390627615513E-2</v>
      </c>
      <c r="EX87" s="44">
        <f t="shared" ca="1" si="240"/>
        <v>2.5893248490164535E-2</v>
      </c>
      <c r="EY87" s="44">
        <f t="shared" ca="1" si="241"/>
        <v>2.0873080325877539E-2</v>
      </c>
      <c r="EZ87" s="44">
        <f t="shared" ca="1" si="242"/>
        <v>2.7356899643794258E-2</v>
      </c>
      <c r="FA87" s="44">
        <f t="shared" ca="1" si="243"/>
        <v>2.9402816525921905E-2</v>
      </c>
      <c r="FB87" s="44">
        <f t="shared" ca="1" si="244"/>
        <v>2.1901608624132689E-2</v>
      </c>
      <c r="FC87" s="44">
        <f t="shared" ca="1" si="245"/>
        <v>4.8399999999999992E-2</v>
      </c>
      <c r="FD87" s="44">
        <f t="shared" ca="1" si="246"/>
        <v>3.7698505261154654E-2</v>
      </c>
      <c r="FE87" s="44">
        <f t="shared" ca="1" si="247"/>
        <v>4.1365416974779502E-2</v>
      </c>
      <c r="FF87" s="44">
        <f t="shared" ca="1" si="248"/>
        <v>3.9791338057246751E-2</v>
      </c>
      <c r="FG87" s="45">
        <f t="shared" ca="1" si="249"/>
        <v>1.4937580540120218E-4</v>
      </c>
    </row>
    <row r="88" spans="1:163" x14ac:dyDescent="0.2">
      <c r="A88" s="51" t="str">
        <f t="shared" ref="A88" ca="1" si="302">INDEX(Historical_Data_Names,3,B88)</f>
        <v>L</v>
      </c>
      <c r="B88" s="57">
        <f t="shared" si="178"/>
        <v>47</v>
      </c>
      <c r="C88" s="11" t="str">
        <f t="shared" ref="C88" ca="1" si="303">INDEX(Historical_Data_Names,2,B88)</f>
        <v>DevAz Eq Off B/S</v>
      </c>
      <c r="D88" s="58"/>
      <c r="E88" s="59">
        <f t="shared" ref="E88" ca="1" si="304">AVERAGE(OFFSET(Historical_Data_Start,date_start_row,$B88,date_rows,1))*4</f>
        <v>-0.13305866687671145</v>
      </c>
      <c r="F88" s="59">
        <f t="array" aca="1" ref="F88" ca="1">PRODUCT(1+OFFSET(Historical_Data_Start,date_start_row,$B88,date_rows,1))^(4/date_rows)-1</f>
        <v>-0.15903225643525731</v>
      </c>
      <c r="G88" s="59">
        <f t="shared" ref="G88" ca="1" si="305">STDEV(OFFSET(Historical_Data_Start,date_start_row,$B88,date_rows,1))*2</f>
        <v>0.26359150745062698</v>
      </c>
      <c r="H88" s="6"/>
      <c r="I88" s="61">
        <v>0.105</v>
      </c>
      <c r="J88" s="61">
        <v>0.26</v>
      </c>
      <c r="K88" s="6"/>
      <c r="L88" s="60">
        <v>-2.2599999999999999E-2</v>
      </c>
      <c r="M88" s="60"/>
      <c r="N88" s="14">
        <f t="shared" si="174"/>
        <v>-2.2599999999999999E-2</v>
      </c>
      <c r="O88" s="6"/>
      <c r="P88" s="115">
        <f t="shared" si="175"/>
        <v>-2.2599999999999999E-2</v>
      </c>
      <c r="Q88" s="115">
        <f t="shared" si="175"/>
        <v>-2.2599999999999999E-2</v>
      </c>
      <c r="R88" s="6"/>
      <c r="S88" s="226"/>
      <c r="T88" s="410">
        <v>0</v>
      </c>
      <c r="U88" s="410">
        <v>0</v>
      </c>
      <c r="V88" s="410">
        <v>0</v>
      </c>
      <c r="W88" s="410">
        <v>0</v>
      </c>
      <c r="X88" s="410">
        <v>0</v>
      </c>
      <c r="Y88" s="410">
        <v>0</v>
      </c>
      <c r="Z88" s="6"/>
      <c r="AI88" s="117">
        <v>0</v>
      </c>
      <c r="AJ88" s="117">
        <v>0</v>
      </c>
      <c r="AK88" s="117">
        <v>0</v>
      </c>
      <c r="AL88" s="117">
        <v>0</v>
      </c>
      <c r="AM88" s="117">
        <v>0</v>
      </c>
      <c r="AN88" s="117">
        <v>0</v>
      </c>
      <c r="AO88" s="117">
        <v>0</v>
      </c>
      <c r="AP88" s="117">
        <v>0</v>
      </c>
      <c r="AQ88" s="117">
        <v>0</v>
      </c>
      <c r="AR88" s="117">
        <v>0</v>
      </c>
      <c r="AS88" s="117">
        <v>0</v>
      </c>
      <c r="AU88" s="117">
        <v>0</v>
      </c>
      <c r="AV88" s="117">
        <v>0</v>
      </c>
      <c r="AW88" s="117">
        <v>0</v>
      </c>
      <c r="AX88" s="117">
        <v>0</v>
      </c>
      <c r="AY88" s="117">
        <v>0</v>
      </c>
      <c r="AZ88" s="117">
        <v>0</v>
      </c>
      <c r="BA88" s="117">
        <v>0</v>
      </c>
      <c r="BB88" s="117">
        <v>0</v>
      </c>
      <c r="BC88" s="117">
        <v>0</v>
      </c>
      <c r="BD88" s="117">
        <v>0</v>
      </c>
      <c r="BE88" s="117">
        <v>0</v>
      </c>
      <c r="BG88" s="51" t="str">
        <f t="shared" ca="1" si="176"/>
        <v>DevAz Eq Off B/S</v>
      </c>
      <c r="BH88" s="38">
        <f t="shared" si="198"/>
        <v>0.105</v>
      </c>
      <c r="BI88" s="38">
        <f t="shared" si="199"/>
        <v>0.26</v>
      </c>
      <c r="BK88" s="31">
        <f ca="1">CORREL(OFFSET(Historical_Data_Start,date_start_row,$B88,date_rows,1),OFFSET(Historical_Data_Start,date_start_row,Calculations!BK$40,date_rows,1))</f>
        <v>-1.8531826576917976E-2</v>
      </c>
      <c r="BL88" s="32">
        <f ca="1">CORREL(OFFSET(Historical_Data_Start,date_start_row,$B88,date_rows,1),OFFSET(Historical_Data_Start,date_start_row,Calculations!BL$40,date_rows,1))</f>
        <v>0.11547446642999978</v>
      </c>
      <c r="BM88" s="32">
        <f ca="1">CORREL(OFFSET(Historical_Data_Start,date_start_row,$B88,date_rows,1),OFFSET(Historical_Data_Start,date_start_row,Calculations!BM$40,date_rows,1))</f>
        <v>0.19322306370315376</v>
      </c>
      <c r="BN88" s="32">
        <f ca="1">CORREL(OFFSET(Historical_Data_Start,date_start_row,$B88,date_rows,1),OFFSET(Historical_Data_Start,date_start_row,Calculations!BN$40,date_rows,1))</f>
        <v>-0.12222067201028437</v>
      </c>
      <c r="BO88" s="32">
        <f ca="1">CORREL(OFFSET(Historical_Data_Start,date_start_row,$B88,date_rows,1),OFFSET(Historical_Data_Start,date_start_row,Calculations!BO$40,date_rows,1))</f>
        <v>-8.435356599108404E-2</v>
      </c>
      <c r="BP88" s="32">
        <f ca="1">CORREL(OFFSET(Historical_Data_Start,date_start_row,$B88,date_rows,1),OFFSET(Historical_Data_Start,date_start_row,Calculations!BP$40,date_rows,1))</f>
        <v>-3.0611081728208759E-2</v>
      </c>
      <c r="BQ88" s="32">
        <f ca="1">CORREL(OFFSET(Historical_Data_Start,date_start_row,$B88,date_rows,1),OFFSET(Historical_Data_Start,date_start_row,Calculations!BQ$40,date_rows,1))</f>
        <v>-4.0931296404514067E-2</v>
      </c>
      <c r="BR88" s="32">
        <f ca="1">CORREL(OFFSET(Historical_Data_Start,date_start_row,$B88,date_rows,1),OFFSET(Historical_Data_Start,date_start_row,Calculations!BR$40,date_rows,1))</f>
        <v>-0.14261655836401568</v>
      </c>
      <c r="BS88" s="32">
        <f ca="1">CORREL(OFFSET(Historical_Data_Start,date_start_row,$B88,date_rows,1),OFFSET(Historical_Data_Start,date_start_row,Calculations!BS$40,date_rows,1))</f>
        <v>-0.17602018584394152</v>
      </c>
      <c r="BT88" s="32">
        <f ca="1">CORREL(OFFSET(Historical_Data_Start,date_start_row,$B88,date_rows,1),OFFSET(Historical_Data_Start,date_start_row,Calculations!BT$40,date_rows,1))</f>
        <v>1.9497193470620074E-2</v>
      </c>
      <c r="BU88" s="32">
        <f ca="1">CORREL(OFFSET(Historical_Data_Start,date_start_row,$B88,date_rows,1),OFFSET(Historical_Data_Start,date_start_row,Calculations!BU$40,date_rows,1))</f>
        <v>-0.49886224657915468</v>
      </c>
      <c r="BV88" s="32">
        <f ca="1">CORREL(OFFSET(Historical_Data_Start,date_start_row,$B88,date_rows,1),OFFSET(Historical_Data_Start,date_start_row,Calculations!BV$40,date_rows,1))</f>
        <v>-0.54611770589500352</v>
      </c>
      <c r="BW88" s="32">
        <f ca="1">CORREL(OFFSET(Historical_Data_Start,date_start_row,$B88,date_rows,1),OFFSET(Historical_Data_Start,date_start_row,Calculations!BW$40,date_rows,1))</f>
        <v>-0.60570994492197405</v>
      </c>
      <c r="BX88" s="32">
        <f ca="1">CORREL(OFFSET(Historical_Data_Start,date_start_row,$B88,date_rows,1),OFFSET(Historical_Data_Start,date_start_row,Calculations!BX$40,date_rows,1))</f>
        <v>-0.31903070170281927</v>
      </c>
      <c r="BY88" s="32">
        <f ca="1">CORREL(OFFSET(Historical_Data_Start,date_start_row,$B88,date_rows,1),OFFSET(Historical_Data_Start,date_start_row,Calculations!BY$40,date_rows,1))</f>
        <v>-0.45414255211025012</v>
      </c>
      <c r="BZ88" s="32">
        <f ca="1">CORREL(OFFSET(Historical_Data_Start,date_start_row,$B88,date_rows,1),OFFSET(Historical_Data_Start,date_start_row,Calculations!BZ$40,date_rows,1))</f>
        <v>-0.52386723483120878</v>
      </c>
      <c r="CA88" s="32">
        <f ca="1">CORREL(OFFSET(Historical_Data_Start,date_start_row,$B88,date_rows,1),OFFSET(Historical_Data_Start,date_start_row,Calculations!CA$40,date_rows,1))</f>
        <v>-0.33743268366272133</v>
      </c>
      <c r="CB88" s="32">
        <f ca="1">CORREL(OFFSET(Historical_Data_Start,date_start_row,$B88,date_rows,1),OFFSET(Historical_Data_Start,date_start_row,Calculations!CB$40,date_rows,1))</f>
        <v>-0.63440079829796259</v>
      </c>
      <c r="CC88" s="32">
        <f ca="1">CORREL(OFFSET(Historical_Data_Start,date_start_row,$B88,date_rows,1),OFFSET(Historical_Data_Start,date_start_row,Calculations!CC$40,date_rows,1))</f>
        <v>-0.98857892959455929</v>
      </c>
      <c r="CD88" s="32">
        <f ca="1">CORREL(OFFSET(Historical_Data_Start,date_start_row,$B88,date_rows,1),OFFSET(Historical_Data_Start,date_start_row,Calculations!CD$40,date_rows,1))</f>
        <v>-0.83643517642106369</v>
      </c>
      <c r="CE88" s="32">
        <f ca="1">CORREL(OFFSET(Historical_Data_Start,date_start_row,$B88,date_rows,1),OFFSET(Historical_Data_Start,date_start_row,Calculations!CE$40,date_rows,1))</f>
        <v>-0.73209249055566661</v>
      </c>
      <c r="CF88" s="32">
        <f ca="1">CORREL(OFFSET(Historical_Data_Start,date_start_row,$B88,date_rows,1),OFFSET(Historical_Data_Start,date_start_row,Calculations!CF$40,date_rows,1))</f>
        <v>5.8347655283997518E-2</v>
      </c>
      <c r="CG88" s="32">
        <f ca="1">CORREL(OFFSET(Historical_Data_Start,date_start_row,$B88,date_rows,1),OFFSET(Historical_Data_Start,date_start_row,Calculations!CG$40,date_rows,1))</f>
        <v>0.11720895982184865</v>
      </c>
      <c r="CH88" s="32">
        <f ca="1">CORREL(OFFSET(Historical_Data_Start,date_start_row,$B88,date_rows,1),OFFSET(Historical_Data_Start,date_start_row,Calculations!CH$40,date_rows,1))</f>
        <v>-0.45606577377958102</v>
      </c>
      <c r="CI88" s="32">
        <f ca="1">CORREL(OFFSET(Historical_Data_Start,date_start_row,$B88,date_rows,1),OFFSET(Historical_Data_Start,date_start_row,Calculations!CI$40,date_rows,1))</f>
        <v>-0.39208896799091364</v>
      </c>
      <c r="CJ88" s="32">
        <f ca="1">CORREL(OFFSET(Historical_Data_Start,date_start_row,$B88,date_rows,1),OFFSET(Historical_Data_Start,date_start_row,Calculations!CJ$40,date_rows,1))</f>
        <v>6.7830232167023038E-2</v>
      </c>
      <c r="CK88" s="32">
        <f ca="1">CORREL(OFFSET(Historical_Data_Start,date_start_row,$B88,date_rows,1),OFFSET(Historical_Data_Start,date_start_row,Calculations!CK$40,date_rows,1))</f>
        <v>-4.4387804777381482E-2</v>
      </c>
      <c r="CL88" s="32">
        <f ca="1">CORREL(OFFSET(Historical_Data_Start,date_start_row,$B88,date_rows,1),OFFSET(Historical_Data_Start,date_start_row,Calculations!CL$40,date_rows,1))</f>
        <v>-1.8530893741567946E-2</v>
      </c>
      <c r="CM88" s="32">
        <f ca="1">CORREL(OFFSET(Historical_Data_Start,date_start_row,$B88,date_rows,1),OFFSET(Historical_Data_Start,date_start_row,Calculations!CM$40,date_rows,1))</f>
        <v>0.11547446642999978</v>
      </c>
      <c r="CN88" s="32">
        <f ca="1">CORREL(OFFSET(Historical_Data_Start,date_start_row,$B88,date_rows,1),OFFSET(Historical_Data_Start,date_start_row,Calculations!CN$40,date_rows,1))</f>
        <v>0.19322306370315376</v>
      </c>
      <c r="CO88" s="32">
        <f ca="1">CORREL(OFFSET(Historical_Data_Start,date_start_row,$B88,date_rows,1),OFFSET(Historical_Data_Start,date_start_row,Calculations!CO$40,date_rows,1))</f>
        <v>-3.0611081728208759E-2</v>
      </c>
      <c r="CP88" s="32">
        <f ca="1">CORREL(OFFSET(Historical_Data_Start,date_start_row,$B88,date_rows,1),OFFSET(Historical_Data_Start,date_start_row,Calculations!CP$40,date_rows,1))</f>
        <v>-4.0931296404514067E-2</v>
      </c>
      <c r="CQ88" s="32">
        <f ca="1">CORREL(OFFSET(Historical_Data_Start,date_start_row,$B88,date_rows,1),OFFSET(Historical_Data_Start,date_start_row,Calculations!CQ$40,date_rows,1))</f>
        <v>0.19603218319582785</v>
      </c>
      <c r="CR88" s="32">
        <f ca="1">CORREL(OFFSET(Historical_Data_Start,date_start_row,$B88,date_rows,1),OFFSET(Historical_Data_Start,date_start_row,Calculations!CR$40,date_rows,1))</f>
        <v>-8.4844633158569382E-2</v>
      </c>
      <c r="CS88" s="32">
        <f ca="1">CORREL(OFFSET(Historical_Data_Start,date_start_row,$B88,date_rows,1),OFFSET(Historical_Data_Start,date_start_row,Calculations!CS$40,date_rows,1))</f>
        <v>4.6011439404052182E-2</v>
      </c>
      <c r="CT88" s="32">
        <f ca="1">CORREL(OFFSET(Historical_Data_Start,date_start_row,$B88,date_rows,1),OFFSET(Historical_Data_Start,date_start_row,Calculations!CT$40,date_rows,1))</f>
        <v>0.12410608419031866</v>
      </c>
      <c r="CU88" s="32">
        <f ca="1">CORREL(OFFSET(Historical_Data_Start,date_start_row,$B88,date_rows,1),OFFSET(Historical_Data_Start,date_start_row,Calculations!CU$40,date_rows,1))</f>
        <v>0.13924858992716541</v>
      </c>
      <c r="CV88" s="32">
        <f ca="1">CORREL(OFFSET(Historical_Data_Start,date_start_row,$B88,date_rows,1),OFFSET(Historical_Data_Start,date_start_row,Calculations!CV$40,date_rows,1))</f>
        <v>-0.10359708081421214</v>
      </c>
      <c r="CW88" s="32">
        <f ca="1">CORREL(OFFSET(Historical_Data_Start,date_start_row,$B88,date_rows,1),OFFSET(Historical_Data_Start,date_start_row,Calculations!CW$40,date_rows,1))</f>
        <v>0.61169385704152113</v>
      </c>
      <c r="CX88" s="32">
        <f ca="1">CORREL(OFFSET(Historical_Data_Start,date_start_row,$B88,date_rows,1),OFFSET(Historical_Data_Start,date_start_row,Calculations!CX$40,date_rows,1))</f>
        <v>0.62167538663655741</v>
      </c>
      <c r="CY88" s="32">
        <f ca="1">CORREL(OFFSET(Historical_Data_Start,date_start_row,$B88,date_rows,1),OFFSET(Historical_Data_Start,date_start_row,Calculations!CY$40,date_rows,1))</f>
        <v>0.60570994492197405</v>
      </c>
      <c r="CZ88" s="32">
        <f ca="1">CORREL(OFFSET(Historical_Data_Start,date_start_row,$B88,date_rows,1),OFFSET(Historical_Data_Start,date_start_row,Calculations!CZ$40,date_rows,1))</f>
        <v>0.3865415372947717</v>
      </c>
      <c r="DA88" s="32">
        <f ca="1">CORREL(OFFSET(Historical_Data_Start,date_start_row,$B88,date_rows,1),OFFSET(Historical_Data_Start,date_start_row,Calculations!DA$40,date_rows,1))</f>
        <v>0.50985403900939508</v>
      </c>
      <c r="DB88" s="32">
        <f ca="1">CORREL(OFFSET(Historical_Data_Start,date_start_row,$B88,date_rows,1),OFFSET(Historical_Data_Start,date_start_row,Calculations!DB$40,date_rows,1))</f>
        <v>0.57820847970492284</v>
      </c>
      <c r="DC88" s="32">
        <f ca="1">CORREL(OFFSET(Historical_Data_Start,date_start_row,$B88,date_rows,1),OFFSET(Historical_Data_Start,date_start_row,Calculations!DC$40,date_rows,1))</f>
        <v>0.42083491428724989</v>
      </c>
      <c r="DD88" s="32">
        <f ca="1">CORREL(OFFSET(Historical_Data_Start,date_start_row,$B88,date_rows,1),OFFSET(Historical_Data_Start,date_start_row,Calculations!DD$40,date_rows,1))</f>
        <v>0.65906477729291357</v>
      </c>
      <c r="DE88" s="32">
        <f ca="1">CORREL(OFFSET(Historical_Data_Start,date_start_row,$B88,date_rows,1),OFFSET(Historical_Data_Start,date_start_row,Calculations!DE$40,date_rows,1))</f>
        <v>1.0000000000000002</v>
      </c>
      <c r="DF88" s="32">
        <f ca="1">CORREL(OFFSET(Historical_Data_Start,date_start_row,$B88,date_rows,1),OFFSET(Historical_Data_Start,date_start_row,Calculations!DF$40,date_rows,1))</f>
        <v>0.86184032562386914</v>
      </c>
      <c r="DG88" s="32">
        <f ca="1">CORREL(OFFSET(Historical_Data_Start,date_start_row,$B88,date_rows,1),OFFSET(Historical_Data_Start,date_start_row,Calculations!DG$40,date_rows,1))</f>
        <v>0.75759733801246021</v>
      </c>
      <c r="DH88" s="33">
        <f ca="1">CORREL(OFFSET(Historical_Data_Start,date_start_row,$B88,date_rows,1),OFFSET(Historical_Data_Start,date_start_row,Calculations!DH$40,date_rows,1))</f>
        <v>0.12207488981830381</v>
      </c>
      <c r="DI88" s="2">
        <f t="shared" si="71"/>
        <v>47</v>
      </c>
      <c r="DJ88" s="43">
        <f t="shared" ca="1" si="200"/>
        <v>-4.8182749099986747E-5</v>
      </c>
      <c r="DK88" s="44">
        <f t="shared" ca="1" si="201"/>
        <v>1.8914717601233968E-3</v>
      </c>
      <c r="DL88" s="44">
        <f t="shared" ca="1" si="202"/>
        <v>5.4257036287845587E-3</v>
      </c>
      <c r="DM88" s="44">
        <f t="shared" ca="1" si="203"/>
        <v>-1.8430877339150884E-3</v>
      </c>
      <c r="DN88" s="44">
        <f t="shared" ca="1" si="204"/>
        <v>-2.1493288614528217E-3</v>
      </c>
      <c r="DO88" s="44">
        <f t="shared" ca="1" si="205"/>
        <v>-4.2182070621471669E-4</v>
      </c>
      <c r="DP88" s="44">
        <f t="shared" ca="1" si="206"/>
        <v>-9.7907660999597642E-4</v>
      </c>
      <c r="DQ88" s="44">
        <f t="shared" ca="1" si="207"/>
        <v>-1.81693495355756E-3</v>
      </c>
      <c r="DR88" s="44">
        <f t="shared" ca="1" si="208"/>
        <v>-3.7985156105122585E-3</v>
      </c>
      <c r="DS88" s="44">
        <f t="shared" ca="1" si="209"/>
        <v>3.5484892116528538E-4</v>
      </c>
      <c r="DT88" s="44">
        <f t="shared" ca="1" si="210"/>
        <v>-2.0752669457692836E-2</v>
      </c>
      <c r="DU88" s="44">
        <f t="shared" ca="1" si="211"/>
        <v>-2.8398120706540186E-2</v>
      </c>
      <c r="DV88" s="44">
        <f t="shared" ca="1" si="212"/>
        <v>-2.8347225422348386E-2</v>
      </c>
      <c r="DW88" s="44">
        <f t="shared" ca="1" si="213"/>
        <v>-1.9907515786255922E-2</v>
      </c>
      <c r="DX88" s="44">
        <f t="shared" ca="1" si="214"/>
        <v>-2.4796183345219658E-2</v>
      </c>
      <c r="DY88" s="44">
        <f t="shared" ca="1" si="215"/>
        <v>-2.7241096211222858E-2</v>
      </c>
      <c r="DZ88" s="44">
        <f t="shared" ca="1" si="216"/>
        <v>-1.754649955046151E-2</v>
      </c>
      <c r="EA88" s="44">
        <f t="shared" ca="1" si="217"/>
        <v>-3.6287725662643461E-2</v>
      </c>
      <c r="EB88" s="44">
        <f t="shared" ca="1" si="218"/>
        <v>-6.6827935640592209E-2</v>
      </c>
      <c r="EC88" s="44">
        <f t="shared" ca="1" si="219"/>
        <v>-6.5241943760842969E-2</v>
      </c>
      <c r="ED88" s="44">
        <f t="shared" ca="1" si="220"/>
        <v>-5.329633331245253E-2</v>
      </c>
      <c r="EE88" s="44">
        <f t="shared" ca="1" si="221"/>
        <v>1.365335133645542E-3</v>
      </c>
      <c r="EF88" s="44">
        <f t="shared" ca="1" si="222"/>
        <v>2.7426896598312582E-3</v>
      </c>
      <c r="EG88" s="44">
        <f t="shared" ca="1" si="223"/>
        <v>-2.0158107201057481E-2</v>
      </c>
      <c r="EH88" s="44">
        <f t="shared" ca="1" si="224"/>
        <v>-2.446635160263301E-2</v>
      </c>
      <c r="EI88" s="44">
        <f t="shared" ca="1" si="225"/>
        <v>2.1163032436111186E-3</v>
      </c>
      <c r="EJ88" s="44">
        <f t="shared" ca="1" si="226"/>
        <v>-1.0386746317907268E-3</v>
      </c>
      <c r="EK88" s="43">
        <f t="shared" ca="1" si="227"/>
        <v>-4.8180323728076663E-5</v>
      </c>
      <c r="EL88" s="44">
        <f t="shared" ca="1" si="228"/>
        <v>1.3810746185027975E-3</v>
      </c>
      <c r="EM88" s="44">
        <f t="shared" ca="1" si="229"/>
        <v>4.0692777215884188E-3</v>
      </c>
      <c r="EN88" s="44">
        <f t="shared" ca="1" si="230"/>
        <v>-3.2631413122270536E-4</v>
      </c>
      <c r="EO88" s="44">
        <f t="shared" ca="1" si="231"/>
        <v>-1.2132036254297971E-3</v>
      </c>
      <c r="EP88" s="44">
        <f t="shared" ca="1" si="232"/>
        <v>1.4118237833763522E-2</v>
      </c>
      <c r="EQ88" s="44">
        <f t="shared" ca="1" si="233"/>
        <v>-5.2501858998522735E-3</v>
      </c>
      <c r="ER88" s="44">
        <f t="shared" ca="1" si="234"/>
        <v>3.8281517584171421E-3</v>
      </c>
      <c r="ES88" s="44">
        <f t="shared" ca="1" si="235"/>
        <v>2.03285765903742E-3</v>
      </c>
      <c r="ET88" s="44">
        <f t="shared" ca="1" si="236"/>
        <v>1.8102316690531504E-3</v>
      </c>
      <c r="EU88" s="44">
        <f t="shared" ca="1" si="237"/>
        <v>-1.885466870818661E-3</v>
      </c>
      <c r="EV88" s="44">
        <f t="shared" ca="1" si="238"/>
        <v>2.5446464452927281E-2</v>
      </c>
      <c r="EW88" s="44">
        <f t="shared" ca="1" si="239"/>
        <v>3.2327120105100991E-2</v>
      </c>
      <c r="EX88" s="44">
        <f t="shared" ca="1" si="240"/>
        <v>2.8347225422348386E-2</v>
      </c>
      <c r="EY88" s="44">
        <f t="shared" ca="1" si="241"/>
        <v>2.4120191927193751E-2</v>
      </c>
      <c r="EZ88" s="44">
        <f t="shared" ca="1" si="242"/>
        <v>2.7838030529912971E-2</v>
      </c>
      <c r="FA88" s="44">
        <f t="shared" ca="1" si="243"/>
        <v>3.006684094465599E-2</v>
      </c>
      <c r="FB88" s="44">
        <f t="shared" ca="1" si="244"/>
        <v>2.1883415542936997E-2</v>
      </c>
      <c r="FC88" s="44">
        <f t="shared" ca="1" si="245"/>
        <v>3.7698505261154654E-2</v>
      </c>
      <c r="FD88" s="44">
        <f t="shared" ca="1" si="246"/>
        <v>6.7600000000000021E-2</v>
      </c>
      <c r="FE88" s="44">
        <f t="shared" ca="1" si="247"/>
        <v>6.7223545398661794E-2</v>
      </c>
      <c r="FF88" s="44">
        <f t="shared" ca="1" si="248"/>
        <v>5.5153086207307106E-2</v>
      </c>
      <c r="FG88" s="45">
        <f t="shared" ca="1" si="249"/>
        <v>1.5869735676379495E-4</v>
      </c>
    </row>
    <row r="89" spans="1:163" x14ac:dyDescent="0.2">
      <c r="A89" s="51" t="str">
        <f t="shared" ref="A89" ca="1" si="306">INDEX(Historical_Data_Names,3,B89)</f>
        <v>L</v>
      </c>
      <c r="B89" s="57">
        <f t="shared" si="178"/>
        <v>48</v>
      </c>
      <c r="C89" s="11" t="str">
        <f t="shared" ref="C89" ca="1" si="307">INDEX(Historical_Data_Names,2,B89)</f>
        <v>EMAz Eq Off B/S</v>
      </c>
      <c r="D89" s="58"/>
      <c r="E89" s="59">
        <f t="shared" ref="E89" ca="1" si="308">AVERAGE(OFFSET(Historical_Data_Start,date_start_row,$B89,date_rows,1))*4</f>
        <v>-0.11600218159664157</v>
      </c>
      <c r="F89" s="59">
        <f t="array" aca="1" ref="F89" ca="1">PRODUCT(1+OFFSET(Historical_Data_Start,date_start_row,$B89,date_rows,1))^(4/date_rows)-1</f>
        <v>-0.14803616309358592</v>
      </c>
      <c r="G89" s="59">
        <f t="shared" ref="G89" ca="1" si="309">STDEV(OFFSET(Historical_Data_Start,date_start_row,$B89,date_rows,1))*2</f>
        <v>0.27736732567113426</v>
      </c>
      <c r="H89" s="6"/>
      <c r="I89" s="61">
        <v>0.11</v>
      </c>
      <c r="J89" s="61">
        <v>0.3</v>
      </c>
      <c r="K89" s="6"/>
      <c r="L89" s="60">
        <v>-1.11E-2</v>
      </c>
      <c r="M89" s="60"/>
      <c r="N89" s="14">
        <f t="shared" si="174"/>
        <v>-1.11E-2</v>
      </c>
      <c r="O89" s="6"/>
      <c r="P89" s="115">
        <f t="shared" si="175"/>
        <v>-1.11E-2</v>
      </c>
      <c r="Q89" s="115">
        <f t="shared" si="175"/>
        <v>-1.11E-2</v>
      </c>
      <c r="R89" s="6"/>
      <c r="S89" s="226"/>
      <c r="T89" s="410">
        <v>0</v>
      </c>
      <c r="U89" s="410">
        <v>0</v>
      </c>
      <c r="V89" s="410">
        <v>0</v>
      </c>
      <c r="W89" s="410">
        <v>0</v>
      </c>
      <c r="X89" s="410">
        <v>0</v>
      </c>
      <c r="Y89" s="410">
        <v>0</v>
      </c>
      <c r="Z89" s="6"/>
      <c r="AI89" s="117">
        <v>0</v>
      </c>
      <c r="AJ89" s="117">
        <v>0</v>
      </c>
      <c r="AK89" s="117">
        <v>0</v>
      </c>
      <c r="AL89" s="117">
        <v>0</v>
      </c>
      <c r="AM89" s="117">
        <v>0</v>
      </c>
      <c r="AN89" s="117">
        <v>0</v>
      </c>
      <c r="AO89" s="117">
        <v>0</v>
      </c>
      <c r="AP89" s="117">
        <v>0</v>
      </c>
      <c r="AQ89" s="117">
        <v>0</v>
      </c>
      <c r="AR89" s="117">
        <v>0</v>
      </c>
      <c r="AS89" s="117">
        <v>0</v>
      </c>
      <c r="AU89" s="117">
        <v>0</v>
      </c>
      <c r="AV89" s="117">
        <v>0</v>
      </c>
      <c r="AW89" s="117">
        <v>0</v>
      </c>
      <c r="AX89" s="117">
        <v>0</v>
      </c>
      <c r="AY89" s="117">
        <v>0</v>
      </c>
      <c r="AZ89" s="117">
        <v>0</v>
      </c>
      <c r="BA89" s="117">
        <v>0</v>
      </c>
      <c r="BB89" s="117">
        <v>0</v>
      </c>
      <c r="BC89" s="117">
        <v>0</v>
      </c>
      <c r="BD89" s="117">
        <v>0</v>
      </c>
      <c r="BE89" s="117">
        <v>0</v>
      </c>
      <c r="BG89" s="51" t="str">
        <f t="shared" ca="1" si="176"/>
        <v>EMAz Eq Off B/S</v>
      </c>
      <c r="BH89" s="38">
        <f t="shared" si="198"/>
        <v>0.11</v>
      </c>
      <c r="BI89" s="38">
        <f t="shared" si="199"/>
        <v>0.3</v>
      </c>
      <c r="BK89" s="31">
        <f ca="1">CORREL(OFFSET(Historical_Data_Start,date_start_row,$B89,date_rows,1),OFFSET(Historical_Data_Start,date_start_row,Calculations!BK$40,date_rows,1))</f>
        <v>5.4858734399992094E-3</v>
      </c>
      <c r="BL89" s="32">
        <f ca="1">CORREL(OFFSET(Historical_Data_Start,date_start_row,$B89,date_rows,1),OFFSET(Historical_Data_Start,date_start_row,Calculations!BL$40,date_rows,1))</f>
        <v>0.17058185012778282</v>
      </c>
      <c r="BM89" s="32">
        <f ca="1">CORREL(OFFSET(Historical_Data_Start,date_start_row,$B89,date_rows,1),OFFSET(Historical_Data_Start,date_start_row,Calculations!BM$40,date_rows,1))</f>
        <v>0.22685390671827643</v>
      </c>
      <c r="BN89" s="32">
        <f ca="1">CORREL(OFFSET(Historical_Data_Start,date_start_row,$B89,date_rows,1),OFFSET(Historical_Data_Start,date_start_row,Calculations!BN$40,date_rows,1))</f>
        <v>-3.1128500505395122E-2</v>
      </c>
      <c r="BO89" s="32">
        <f ca="1">CORREL(OFFSET(Historical_Data_Start,date_start_row,$B89,date_rows,1),OFFSET(Historical_Data_Start,date_start_row,Calculations!BO$40,date_rows,1))</f>
        <v>-6.5452947426225452E-3</v>
      </c>
      <c r="BP89" s="32">
        <f ca="1">CORREL(OFFSET(Historical_Data_Start,date_start_row,$B89,date_rows,1),OFFSET(Historical_Data_Start,date_start_row,Calculations!BP$40,date_rows,1))</f>
        <v>3.2352161106437294E-2</v>
      </c>
      <c r="BQ89" s="32">
        <f ca="1">CORREL(OFFSET(Historical_Data_Start,date_start_row,$B89,date_rows,1),OFFSET(Historical_Data_Start,date_start_row,Calculations!BQ$40,date_rows,1))</f>
        <v>1.6502960377035934E-2</v>
      </c>
      <c r="BR89" s="32">
        <f ca="1">CORREL(OFFSET(Historical_Data_Start,date_start_row,$B89,date_rows,1),OFFSET(Historical_Data_Start,date_start_row,Calculations!BR$40,date_rows,1))</f>
        <v>-7.0199910383877476E-2</v>
      </c>
      <c r="BS89" s="32">
        <f ca="1">CORREL(OFFSET(Historical_Data_Start,date_start_row,$B89,date_rows,1),OFFSET(Historical_Data_Start,date_start_row,Calculations!BS$40,date_rows,1))</f>
        <v>-0.10545936414263633</v>
      </c>
      <c r="BT89" s="32">
        <f ca="1">CORREL(OFFSET(Historical_Data_Start,date_start_row,$B89,date_rows,1),OFFSET(Historical_Data_Start,date_start_row,Calculations!BT$40,date_rows,1))</f>
        <v>8.5271045738311374E-2</v>
      </c>
      <c r="BU89" s="32">
        <f ca="1">CORREL(OFFSET(Historical_Data_Start,date_start_row,$B89,date_rows,1),OFFSET(Historical_Data_Start,date_start_row,Calculations!BU$40,date_rows,1))</f>
        <v>-0.46251789483711142</v>
      </c>
      <c r="BV89" s="32">
        <f ca="1">CORREL(OFFSET(Historical_Data_Start,date_start_row,$B89,date_rows,1),OFFSET(Historical_Data_Start,date_start_row,Calculations!BV$40,date_rows,1))</f>
        <v>-0.51684863282040006</v>
      </c>
      <c r="BW89" s="32">
        <f ca="1">CORREL(OFFSET(Historical_Data_Start,date_start_row,$B89,date_rows,1),OFFSET(Historical_Data_Start,date_start_row,Calculations!BW$40,date_rows,1))</f>
        <v>-0.56975701248072164</v>
      </c>
      <c r="BX89" s="32">
        <f ca="1">CORREL(OFFSET(Historical_Data_Start,date_start_row,$B89,date_rows,1),OFFSET(Historical_Data_Start,date_start_row,Calculations!BX$40,date_rows,1))</f>
        <v>-0.3276918016145563</v>
      </c>
      <c r="BY89" s="32">
        <f ca="1">CORREL(OFFSET(Historical_Data_Start,date_start_row,$B89,date_rows,1),OFFSET(Historical_Data_Start,date_start_row,Calculations!BY$40,date_rows,1))</f>
        <v>-0.4352486400364558</v>
      </c>
      <c r="BZ89" s="32">
        <f ca="1">CORREL(OFFSET(Historical_Data_Start,date_start_row,$B89,date_rows,1),OFFSET(Historical_Data_Start,date_start_row,Calculations!BZ$40,date_rows,1))</f>
        <v>-0.4219988928802742</v>
      </c>
      <c r="CA89" s="32">
        <f ca="1">CORREL(OFFSET(Historical_Data_Start,date_start_row,$B89,date_rows,1),OFFSET(Historical_Data_Start,date_start_row,Calculations!CA$40,date_rows,1))</f>
        <v>-0.32851649747213391</v>
      </c>
      <c r="CB89" s="32">
        <f ca="1">CORREL(OFFSET(Historical_Data_Start,date_start_row,$B89,date_rows,1),OFFSET(Historical_Data_Start,date_start_row,Calculations!CB$40,date_rows,1))</f>
        <v>-0.61106401497431062</v>
      </c>
      <c r="CC89" s="32">
        <f ca="1">CORREL(OFFSET(Historical_Data_Start,date_start_row,$B89,date_rows,1),OFFSET(Historical_Data_Start,date_start_row,Calculations!CC$40,date_rows,1))</f>
        <v>-0.85250032369616024</v>
      </c>
      <c r="CD89" s="32">
        <f ca="1">CORREL(OFFSET(Historical_Data_Start,date_start_row,$B89,date_rows,1),OFFSET(Historical_Data_Start,date_start_row,Calculations!CD$40,date_rows,1))</f>
        <v>-0.98912800690014702</v>
      </c>
      <c r="CE89" s="32">
        <f ca="1">CORREL(OFFSET(Historical_Data_Start,date_start_row,$B89,date_rows,1),OFFSET(Historical_Data_Start,date_start_row,Calculations!CE$40,date_rows,1))</f>
        <v>-0.79203537440176552</v>
      </c>
      <c r="CF89" s="32">
        <f ca="1">CORREL(OFFSET(Historical_Data_Start,date_start_row,$B89,date_rows,1),OFFSET(Historical_Data_Start,date_start_row,Calculations!CF$40,date_rows,1))</f>
        <v>0.11221436863102828</v>
      </c>
      <c r="CG89" s="32">
        <f ca="1">CORREL(OFFSET(Historical_Data_Start,date_start_row,$B89,date_rows,1),OFFSET(Historical_Data_Start,date_start_row,Calculations!CG$40,date_rows,1))</f>
        <v>0.17299472956393208</v>
      </c>
      <c r="CH89" s="32">
        <f ca="1">CORREL(OFFSET(Historical_Data_Start,date_start_row,$B89,date_rows,1),OFFSET(Historical_Data_Start,date_start_row,Calculations!CH$40,date_rows,1))</f>
        <v>-0.41818043735504329</v>
      </c>
      <c r="CI89" s="32">
        <f ca="1">CORREL(OFFSET(Historical_Data_Start,date_start_row,$B89,date_rows,1),OFFSET(Historical_Data_Start,date_start_row,Calculations!CI$40,date_rows,1))</f>
        <v>-0.32675204738881491</v>
      </c>
      <c r="CJ89" s="32">
        <f ca="1">CORREL(OFFSET(Historical_Data_Start,date_start_row,$B89,date_rows,1),OFFSET(Historical_Data_Start,date_start_row,Calculations!CJ$40,date_rows,1))</f>
        <v>-1.0337796712430423E-2</v>
      </c>
      <c r="CK89" s="32">
        <f ca="1">CORREL(OFFSET(Historical_Data_Start,date_start_row,$B89,date_rows,1),OFFSET(Historical_Data_Start,date_start_row,Calculations!CK$40,date_rows,1))</f>
        <v>-0.10520058526350656</v>
      </c>
      <c r="CL89" s="32">
        <f ca="1">CORREL(OFFSET(Historical_Data_Start,date_start_row,$B89,date_rows,1),OFFSET(Historical_Data_Start,date_start_row,Calculations!CL$40,date_rows,1))</f>
        <v>5.4894270080461617E-3</v>
      </c>
      <c r="CM89" s="32">
        <f ca="1">CORREL(OFFSET(Historical_Data_Start,date_start_row,$B89,date_rows,1),OFFSET(Historical_Data_Start,date_start_row,Calculations!CM$40,date_rows,1))</f>
        <v>0.17058185012778282</v>
      </c>
      <c r="CN89" s="32">
        <f ca="1">CORREL(OFFSET(Historical_Data_Start,date_start_row,$B89,date_rows,1),OFFSET(Historical_Data_Start,date_start_row,Calculations!CN$40,date_rows,1))</f>
        <v>0.22685390671827643</v>
      </c>
      <c r="CO89" s="32">
        <f ca="1">CORREL(OFFSET(Historical_Data_Start,date_start_row,$B89,date_rows,1),OFFSET(Historical_Data_Start,date_start_row,Calculations!CO$40,date_rows,1))</f>
        <v>3.2352161106437294E-2</v>
      </c>
      <c r="CP89" s="32">
        <f ca="1">CORREL(OFFSET(Historical_Data_Start,date_start_row,$B89,date_rows,1),OFFSET(Historical_Data_Start,date_start_row,Calculations!CP$40,date_rows,1))</f>
        <v>1.6502960377035934E-2</v>
      </c>
      <c r="CQ89" s="32">
        <f ca="1">CORREL(OFFSET(Historical_Data_Start,date_start_row,$B89,date_rows,1),OFFSET(Historical_Data_Start,date_start_row,Calculations!CQ$40,date_rows,1))</f>
        <v>0.2203780561613097</v>
      </c>
      <c r="CR89" s="32">
        <f ca="1">CORREL(OFFSET(Historical_Data_Start,date_start_row,$B89,date_rows,1),OFFSET(Historical_Data_Start,date_start_row,Calculations!CR$40,date_rows,1))</f>
        <v>-3.0073163762681664E-2</v>
      </c>
      <c r="CS89" s="32">
        <f ca="1">CORREL(OFFSET(Historical_Data_Start,date_start_row,$B89,date_rows,1),OFFSET(Historical_Data_Start,date_start_row,Calculations!CS$40,date_rows,1))</f>
        <v>9.667860146124338E-2</v>
      </c>
      <c r="CT89" s="32">
        <f ca="1">CORREL(OFFSET(Historical_Data_Start,date_start_row,$B89,date_rows,1),OFFSET(Historical_Data_Start,date_start_row,Calculations!CT$40,date_rows,1))</f>
        <v>2.9731652520375726E-2</v>
      </c>
      <c r="CU89" s="32">
        <f ca="1">CORREL(OFFSET(Historical_Data_Start,date_start_row,$B89,date_rows,1),OFFSET(Historical_Data_Start,date_start_row,Calculations!CU$40,date_rows,1))</f>
        <v>6.2926710435216485E-2</v>
      </c>
      <c r="CV89" s="32">
        <f ca="1">CORREL(OFFSET(Historical_Data_Start,date_start_row,$B89,date_rows,1),OFFSET(Historical_Data_Start,date_start_row,Calculations!CV$40,date_rows,1))</f>
        <v>-0.12411616747228804</v>
      </c>
      <c r="CW89" s="32">
        <f ca="1">CORREL(OFFSET(Historical_Data_Start,date_start_row,$B89,date_rows,1),OFFSET(Historical_Data_Start,date_start_row,Calculations!CW$40,date_rows,1))</f>
        <v>0.55652764405867072</v>
      </c>
      <c r="CX89" s="32">
        <f ca="1">CORREL(OFFSET(Historical_Data_Start,date_start_row,$B89,date_rows,1),OFFSET(Historical_Data_Start,date_start_row,Calculations!CX$40,date_rows,1))</f>
        <v>0.57685726557869366</v>
      </c>
      <c r="CY89" s="32">
        <f ca="1">CORREL(OFFSET(Historical_Data_Start,date_start_row,$B89,date_rows,1),OFFSET(Historical_Data_Start,date_start_row,Calculations!CY$40,date_rows,1))</f>
        <v>0.56975701248072164</v>
      </c>
      <c r="CZ89" s="32">
        <f ca="1">CORREL(OFFSET(Historical_Data_Start,date_start_row,$B89,date_rows,1),OFFSET(Historical_Data_Start,date_start_row,Calculations!CZ$40,date_rows,1))</f>
        <v>0.3840475296529125</v>
      </c>
      <c r="DA89" s="32">
        <f ca="1">CORREL(OFFSET(Historical_Data_Start,date_start_row,$B89,date_rows,1),OFFSET(Historical_Data_Start,date_start_row,Calculations!DA$40,date_rows,1))</f>
        <v>0.48000248717785754</v>
      </c>
      <c r="DB89" s="32">
        <f ca="1">CORREL(OFFSET(Historical_Data_Start,date_start_row,$B89,date_rows,1),OFFSET(Historical_Data_Start,date_start_row,Calculations!DB$40,date_rows,1))</f>
        <v>0.47078348198470199</v>
      </c>
      <c r="DC89" s="32">
        <f ca="1">CORREL(OFFSET(Historical_Data_Start,date_start_row,$B89,date_rows,1),OFFSET(Historical_Data_Start,date_start_row,Calculations!DC$40,date_rows,1))</f>
        <v>0.3988442757312744</v>
      </c>
      <c r="DD89" s="32">
        <f ca="1">CORREL(OFFSET(Historical_Data_Start,date_start_row,$B89,date_rows,1),OFFSET(Historical_Data_Start,date_start_row,Calculations!DD$40,date_rows,1))</f>
        <v>0.62674874204211362</v>
      </c>
      <c r="DE89" s="32">
        <f ca="1">CORREL(OFFSET(Historical_Data_Start,date_start_row,$B89,date_rows,1),OFFSET(Historical_Data_Start,date_start_row,Calculations!DE$40,date_rows,1))</f>
        <v>0.86184032562386914</v>
      </c>
      <c r="DF89" s="32">
        <f ca="1">CORREL(OFFSET(Historical_Data_Start,date_start_row,$B89,date_rows,1),OFFSET(Historical_Data_Start,date_start_row,Calculations!DF$40,date_rows,1))</f>
        <v>1</v>
      </c>
      <c r="DG89" s="32">
        <f ca="1">CORREL(OFFSET(Historical_Data_Start,date_start_row,$B89,date_rows,1),OFFSET(Historical_Data_Start,date_start_row,Calculations!DG$40,date_rows,1))</f>
        <v>0.80387841205941735</v>
      </c>
      <c r="DH89" s="33">
        <f ca="1">CORREL(OFFSET(Historical_Data_Start,date_start_row,$B89,date_rows,1),OFFSET(Historical_Data_Start,date_start_row,Calculations!DH$40,date_rows,1))</f>
        <v>0.10611135273881467</v>
      </c>
      <c r="DI89" s="2">
        <f t="shared" si="71"/>
        <v>48</v>
      </c>
      <c r="DJ89" s="43">
        <f t="shared" ca="1" si="200"/>
        <v>1.6457620319997627E-5</v>
      </c>
      <c r="DK89" s="44">
        <f t="shared" ca="1" si="201"/>
        <v>3.2239969674150953E-3</v>
      </c>
      <c r="DL89" s="44">
        <f t="shared" ca="1" si="202"/>
        <v>7.3500665776721572E-3</v>
      </c>
      <c r="DM89" s="44">
        <f t="shared" ca="1" si="203"/>
        <v>-5.4163590879387506E-4</v>
      </c>
      <c r="DN89" s="44">
        <f t="shared" ca="1" si="204"/>
        <v>-1.9243166543310281E-4</v>
      </c>
      <c r="DO89" s="44">
        <f t="shared" ca="1" si="205"/>
        <v>5.1439936159235287E-4</v>
      </c>
      <c r="DP89" s="44">
        <f t="shared" ca="1" si="206"/>
        <v>4.5548170640619177E-4</v>
      </c>
      <c r="DQ89" s="44">
        <f t="shared" ca="1" si="207"/>
        <v>-1.0319386826429988E-3</v>
      </c>
      <c r="DR89" s="44">
        <f t="shared" ca="1" si="208"/>
        <v>-2.6259381671516449E-3</v>
      </c>
      <c r="DS89" s="44">
        <f t="shared" ca="1" si="209"/>
        <v>1.790691960504539E-3</v>
      </c>
      <c r="DT89" s="44">
        <f t="shared" ca="1" si="210"/>
        <v>-2.2200858952181348E-2</v>
      </c>
      <c r="DU89" s="44">
        <f t="shared" ca="1" si="211"/>
        <v>-3.1010917969224002E-2</v>
      </c>
      <c r="DV89" s="44">
        <f t="shared" ca="1" si="212"/>
        <v>-3.0766878673958969E-2</v>
      </c>
      <c r="DW89" s="44">
        <f t="shared" ca="1" si="213"/>
        <v>-2.3593809716248051E-2</v>
      </c>
      <c r="DX89" s="44">
        <f t="shared" ca="1" si="214"/>
        <v>-2.7420664322296714E-2</v>
      </c>
      <c r="DY89" s="44">
        <f t="shared" ca="1" si="215"/>
        <v>-2.531993357281645E-2</v>
      </c>
      <c r="DZ89" s="44">
        <f t="shared" ca="1" si="216"/>
        <v>-1.9710989848328034E-2</v>
      </c>
      <c r="EA89" s="44">
        <f t="shared" ca="1" si="217"/>
        <v>-4.0330224988304506E-2</v>
      </c>
      <c r="EB89" s="44">
        <f t="shared" ca="1" si="218"/>
        <v>-6.6495025248300504E-2</v>
      </c>
      <c r="EC89" s="44">
        <f t="shared" ca="1" si="219"/>
        <v>-8.9021520621013234E-2</v>
      </c>
      <c r="ED89" s="44">
        <f t="shared" ca="1" si="220"/>
        <v>-6.6530971449748302E-2</v>
      </c>
      <c r="EE89" s="44">
        <f t="shared" ca="1" si="221"/>
        <v>3.0297879530377637E-3</v>
      </c>
      <c r="EF89" s="44">
        <f t="shared" ca="1" si="222"/>
        <v>4.6708576982261657E-3</v>
      </c>
      <c r="EG89" s="44">
        <f t="shared" ca="1" si="223"/>
        <v>-2.132720230510721E-2</v>
      </c>
      <c r="EH89" s="44">
        <f t="shared" ca="1" si="224"/>
        <v>-2.3526147411994672E-2</v>
      </c>
      <c r="EI89" s="44">
        <f t="shared" ca="1" si="225"/>
        <v>-3.7216068164749519E-4</v>
      </c>
      <c r="EJ89" s="44">
        <f t="shared" ca="1" si="226"/>
        <v>-2.840415802114677E-3</v>
      </c>
      <c r="EK89" s="43">
        <f t="shared" ca="1" si="227"/>
        <v>1.6468281024138485E-5</v>
      </c>
      <c r="EL89" s="44">
        <f t="shared" ca="1" si="228"/>
        <v>2.3540295317634029E-3</v>
      </c>
      <c r="EM89" s="44">
        <f t="shared" ca="1" si="229"/>
        <v>5.5125499332541166E-3</v>
      </c>
      <c r="EN89" s="44">
        <f t="shared" ca="1" si="230"/>
        <v>3.9793158160917865E-4</v>
      </c>
      <c r="EO89" s="44">
        <f t="shared" ca="1" si="231"/>
        <v>5.6440124489462895E-4</v>
      </c>
      <c r="EP89" s="44">
        <f t="shared" ca="1" si="232"/>
        <v>1.8313416467004837E-2</v>
      </c>
      <c r="EQ89" s="44">
        <f t="shared" ca="1" si="233"/>
        <v>-2.147223892655471E-3</v>
      </c>
      <c r="ER89" s="44">
        <f t="shared" ca="1" si="234"/>
        <v>9.2811457402793649E-3</v>
      </c>
      <c r="ES89" s="44">
        <f t="shared" ca="1" si="235"/>
        <v>5.6192823263510124E-4</v>
      </c>
      <c r="ET89" s="44">
        <f t="shared" ca="1" si="236"/>
        <v>9.4390065652824725E-4</v>
      </c>
      <c r="EU89" s="44">
        <f t="shared" ca="1" si="237"/>
        <v>-2.6064395169180491E-3</v>
      </c>
      <c r="EV89" s="44">
        <f t="shared" ca="1" si="238"/>
        <v>2.6713326914816194E-2</v>
      </c>
      <c r="EW89" s="44">
        <f t="shared" ca="1" si="239"/>
        <v>3.4611435934721616E-2</v>
      </c>
      <c r="EX89" s="44">
        <f t="shared" ca="1" si="240"/>
        <v>3.0766878673958969E-2</v>
      </c>
      <c r="EY89" s="44">
        <f t="shared" ca="1" si="241"/>
        <v>2.7651422135009696E-2</v>
      </c>
      <c r="EZ89" s="44">
        <f t="shared" ca="1" si="242"/>
        <v>3.0240156692205027E-2</v>
      </c>
      <c r="FA89" s="44">
        <f t="shared" ca="1" si="243"/>
        <v>2.824700891908212E-2</v>
      </c>
      <c r="FB89" s="44">
        <f t="shared" ca="1" si="244"/>
        <v>2.3930656543876463E-2</v>
      </c>
      <c r="FC89" s="44">
        <f t="shared" ca="1" si="245"/>
        <v>4.1365416974779502E-2</v>
      </c>
      <c r="FD89" s="44">
        <f t="shared" ca="1" si="246"/>
        <v>6.7223545398661794E-2</v>
      </c>
      <c r="FE89" s="44">
        <f t="shared" ca="1" si="247"/>
        <v>0.09</v>
      </c>
      <c r="FF89" s="44">
        <f t="shared" ca="1" si="248"/>
        <v>6.7525786612991065E-2</v>
      </c>
      <c r="FG89" s="45">
        <f t="shared" ca="1" si="249"/>
        <v>1.5916702910822201E-4</v>
      </c>
    </row>
    <row r="90" spans="1:163" x14ac:dyDescent="0.2">
      <c r="A90" s="51" t="str">
        <f t="shared" ref="A90" ca="1" si="310">INDEX(Historical_Data_Names,3,B90)</f>
        <v>L</v>
      </c>
      <c r="B90" s="57">
        <f t="shared" si="178"/>
        <v>49</v>
      </c>
      <c r="C90" s="11" t="str">
        <f t="shared" ref="C90" ca="1" si="311">INDEX(Historical_Data_Names,2,B90)</f>
        <v>EMLA Eq Off B/S</v>
      </c>
      <c r="D90" s="58"/>
      <c r="E90" s="59">
        <f t="shared" ref="E90" ca="1" si="312">AVERAGE(OFFSET(Historical_Data_Start,date_start_row,$B90,date_rows,1))*4</f>
        <v>-0.12327857505552771</v>
      </c>
      <c r="F90" s="59">
        <f t="array" aca="1" ref="F90" ca="1">PRODUCT(1+OFFSET(Historical_Data_Start,date_start_row,$B90,date_rows,1))^(4/date_rows)-1</f>
        <v>-0.14412219363961243</v>
      </c>
      <c r="G90" s="59">
        <f t="shared" ref="G90" ca="1" si="313">STDEV(OFFSET(Historical_Data_Start,date_start_row,$B90,date_rows,1))*2</f>
        <v>0.23788830740419969</v>
      </c>
      <c r="H90" s="6"/>
      <c r="I90" s="61">
        <v>0.11</v>
      </c>
      <c r="J90" s="61">
        <v>0.28000000000000003</v>
      </c>
      <c r="K90" s="6"/>
      <c r="L90" s="60">
        <v>-9.9999999999999995E-7</v>
      </c>
      <c r="M90" s="60"/>
      <c r="N90" s="14">
        <f t="shared" si="174"/>
        <v>-9.9999999999999995E-7</v>
      </c>
      <c r="O90" s="6"/>
      <c r="P90" s="115">
        <f t="shared" si="175"/>
        <v>-9.9999999999999995E-7</v>
      </c>
      <c r="Q90" s="115">
        <f t="shared" si="175"/>
        <v>-9.9999999999999995E-7</v>
      </c>
      <c r="R90" s="6"/>
      <c r="S90" s="226"/>
      <c r="T90" s="410">
        <v>0</v>
      </c>
      <c r="U90" s="410">
        <v>0</v>
      </c>
      <c r="V90" s="410">
        <v>0</v>
      </c>
      <c r="W90" s="410">
        <v>0</v>
      </c>
      <c r="X90" s="410">
        <v>0</v>
      </c>
      <c r="Y90" s="410">
        <v>0</v>
      </c>
      <c r="Z90" s="6"/>
      <c r="AI90" s="117">
        <v>0</v>
      </c>
      <c r="AJ90" s="117">
        <v>0</v>
      </c>
      <c r="AK90" s="117">
        <v>0</v>
      </c>
      <c r="AL90" s="117">
        <v>0</v>
      </c>
      <c r="AM90" s="117">
        <v>0</v>
      </c>
      <c r="AN90" s="117">
        <v>0</v>
      </c>
      <c r="AO90" s="117">
        <v>0</v>
      </c>
      <c r="AP90" s="117">
        <v>0</v>
      </c>
      <c r="AQ90" s="117">
        <v>0</v>
      </c>
      <c r="AR90" s="117">
        <v>0</v>
      </c>
      <c r="AS90" s="117">
        <v>0</v>
      </c>
      <c r="AU90" s="117">
        <v>0</v>
      </c>
      <c r="AV90" s="117">
        <v>0</v>
      </c>
      <c r="AW90" s="117">
        <v>0</v>
      </c>
      <c r="AX90" s="117">
        <v>0</v>
      </c>
      <c r="AY90" s="117">
        <v>0</v>
      </c>
      <c r="AZ90" s="117">
        <v>0</v>
      </c>
      <c r="BA90" s="117">
        <v>0</v>
      </c>
      <c r="BB90" s="117">
        <v>0</v>
      </c>
      <c r="BC90" s="117">
        <v>0</v>
      </c>
      <c r="BD90" s="117">
        <v>0</v>
      </c>
      <c r="BE90" s="117">
        <v>0</v>
      </c>
      <c r="BG90" s="51" t="str">
        <f t="shared" ca="1" si="176"/>
        <v>EMLA Eq Off B/S</v>
      </c>
      <c r="BH90" s="38">
        <f t="shared" si="198"/>
        <v>0.11</v>
      </c>
      <c r="BI90" s="38">
        <f t="shared" si="199"/>
        <v>0.28000000000000003</v>
      </c>
      <c r="BK90" s="31">
        <f ca="1">CORREL(OFFSET(Historical_Data_Start,date_start_row,$B90,date_rows,1),OFFSET(Historical_Data_Start,date_start_row,Calculations!BK$40,date_rows,1))</f>
        <v>5.885697181220219E-3</v>
      </c>
      <c r="BL90" s="32">
        <f ca="1">CORREL(OFFSET(Historical_Data_Start,date_start_row,$B90,date_rows,1),OFFSET(Historical_Data_Start,date_start_row,Calculations!BL$40,date_rows,1))</f>
        <v>0.17050976635804954</v>
      </c>
      <c r="BM90" s="32">
        <f ca="1">CORREL(OFFSET(Historical_Data_Start,date_start_row,$B90,date_rows,1),OFFSET(Historical_Data_Start,date_start_row,Calculations!BM$40,date_rows,1))</f>
        <v>0.20891771964579511</v>
      </c>
      <c r="BN90" s="32">
        <f ca="1">CORREL(OFFSET(Historical_Data_Start,date_start_row,$B90,date_rows,1),OFFSET(Historical_Data_Start,date_start_row,Calculations!BN$40,date_rows,1))</f>
        <v>-7.0887786610123252E-2</v>
      </c>
      <c r="BO90" s="32">
        <f ca="1">CORREL(OFFSET(Historical_Data_Start,date_start_row,$B90,date_rows,1),OFFSET(Historical_Data_Start,date_start_row,Calculations!BO$40,date_rows,1))</f>
        <v>-6.1228095547967425E-2</v>
      </c>
      <c r="BP90" s="32">
        <f ca="1">CORREL(OFFSET(Historical_Data_Start,date_start_row,$B90,date_rows,1),OFFSET(Historical_Data_Start,date_start_row,Calculations!BP$40,date_rows,1))</f>
        <v>6.8985532032561662E-3</v>
      </c>
      <c r="BQ90" s="32">
        <f ca="1">CORREL(OFFSET(Historical_Data_Start,date_start_row,$B90,date_rows,1),OFFSET(Historical_Data_Start,date_start_row,Calculations!BQ$40,date_rows,1))</f>
        <v>-2.579117870139629E-2</v>
      </c>
      <c r="BR90" s="32">
        <f ca="1">CORREL(OFFSET(Historical_Data_Start,date_start_row,$B90,date_rows,1),OFFSET(Historical_Data_Start,date_start_row,Calculations!BR$40,date_rows,1))</f>
        <v>-0.12525796048411927</v>
      </c>
      <c r="BS90" s="32">
        <f ca="1">CORREL(OFFSET(Historical_Data_Start,date_start_row,$B90,date_rows,1),OFFSET(Historical_Data_Start,date_start_row,Calculations!BS$40,date_rows,1))</f>
        <v>-0.18892739370164419</v>
      </c>
      <c r="BT90" s="32">
        <f ca="1">CORREL(OFFSET(Historical_Data_Start,date_start_row,$B90,date_rows,1),OFFSET(Historical_Data_Start,date_start_row,Calculations!BT$40,date_rows,1))</f>
        <v>1.0275394428698417E-2</v>
      </c>
      <c r="BU90" s="32">
        <f ca="1">CORREL(OFFSET(Historical_Data_Start,date_start_row,$B90,date_rows,1),OFFSET(Historical_Data_Start,date_start_row,Calculations!BU$40,date_rows,1))</f>
        <v>-0.4462874567043138</v>
      </c>
      <c r="BV90" s="32">
        <f ca="1">CORREL(OFFSET(Historical_Data_Start,date_start_row,$B90,date_rows,1),OFFSET(Historical_Data_Start,date_start_row,Calculations!BV$40,date_rows,1))</f>
        <v>-0.53150581744804859</v>
      </c>
      <c r="BW90" s="32">
        <f ca="1">CORREL(OFFSET(Historical_Data_Start,date_start_row,$B90,date_rows,1),OFFSET(Historical_Data_Start,date_start_row,Calculations!BW$40,date_rows,1))</f>
        <v>-0.60985468680367716</v>
      </c>
      <c r="BX90" s="32">
        <f ca="1">CORREL(OFFSET(Historical_Data_Start,date_start_row,$B90,date_rows,1),OFFSET(Historical_Data_Start,date_start_row,Calculations!BX$40,date_rows,1))</f>
        <v>-0.35810633425220517</v>
      </c>
      <c r="BY90" s="32">
        <f ca="1">CORREL(OFFSET(Historical_Data_Start,date_start_row,$B90,date_rows,1),OFFSET(Historical_Data_Start,date_start_row,Calculations!BY$40,date_rows,1))</f>
        <v>-0.50689878967188473</v>
      </c>
      <c r="BZ90" s="32">
        <f ca="1">CORREL(OFFSET(Historical_Data_Start,date_start_row,$B90,date_rows,1),OFFSET(Historical_Data_Start,date_start_row,Calculations!BZ$40,date_rows,1))</f>
        <v>-0.49695517846102694</v>
      </c>
      <c r="CA90" s="32">
        <f ca="1">CORREL(OFFSET(Historical_Data_Start,date_start_row,$B90,date_rows,1),OFFSET(Historical_Data_Start,date_start_row,Calculations!CA$40,date_rows,1))</f>
        <v>-0.30477525535352229</v>
      </c>
      <c r="CB90" s="32">
        <f ca="1">CORREL(OFFSET(Historical_Data_Start,date_start_row,$B90,date_rows,1),OFFSET(Historical_Data_Start,date_start_row,Calculations!CB$40,date_rows,1))</f>
        <v>-0.61507964553993044</v>
      </c>
      <c r="CC90" s="32">
        <f ca="1">CORREL(OFFSET(Historical_Data_Start,date_start_row,$B90,date_rows,1),OFFSET(Historical_Data_Start,date_start_row,Calculations!CC$40,date_rows,1))</f>
        <v>-0.72940913509769856</v>
      </c>
      <c r="CD90" s="32">
        <f ca="1">CORREL(OFFSET(Historical_Data_Start,date_start_row,$B90,date_rows,1),OFFSET(Historical_Data_Start,date_start_row,Calculations!CD$40,date_rows,1))</f>
        <v>-0.77335900738970142</v>
      </c>
      <c r="CE90" s="32">
        <f ca="1">CORREL(OFFSET(Historical_Data_Start,date_start_row,$B90,date_rows,1),OFFSET(Historical_Data_Start,date_start_row,Calculations!CE$40,date_rows,1))</f>
        <v>-0.98578787258820622</v>
      </c>
      <c r="CF90" s="32">
        <f ca="1">CORREL(OFFSET(Historical_Data_Start,date_start_row,$B90,date_rows,1),OFFSET(Historical_Data_Start,date_start_row,Calculations!CF$40,date_rows,1))</f>
        <v>8.9389618079199387E-2</v>
      </c>
      <c r="CG90" s="32">
        <f ca="1">CORREL(OFFSET(Historical_Data_Start,date_start_row,$B90,date_rows,1),OFFSET(Historical_Data_Start,date_start_row,Calculations!CG$40,date_rows,1))</f>
        <v>0.13200903665532429</v>
      </c>
      <c r="CH90" s="32">
        <f ca="1">CORREL(OFFSET(Historical_Data_Start,date_start_row,$B90,date_rows,1),OFFSET(Historical_Data_Start,date_start_row,Calculations!CH$40,date_rows,1))</f>
        <v>-0.40432470661278369</v>
      </c>
      <c r="CI90" s="32">
        <f ca="1">CORREL(OFFSET(Historical_Data_Start,date_start_row,$B90,date_rows,1),OFFSET(Historical_Data_Start,date_start_row,Calculations!CI$40,date_rows,1))</f>
        <v>-0.3147523209641212</v>
      </c>
      <c r="CJ90" s="32">
        <f ca="1">CORREL(OFFSET(Historical_Data_Start,date_start_row,$B90,date_rows,1),OFFSET(Historical_Data_Start,date_start_row,Calculations!CJ$40,date_rows,1))</f>
        <v>6.7193571443694936E-2</v>
      </c>
      <c r="CK90" s="32">
        <f ca="1">CORREL(OFFSET(Historical_Data_Start,date_start_row,$B90,date_rows,1),OFFSET(Historical_Data_Start,date_start_row,Calculations!CK$40,date_rows,1))</f>
        <v>-0.1116340519929513</v>
      </c>
      <c r="CL90" s="32">
        <f ca="1">CORREL(OFFSET(Historical_Data_Start,date_start_row,$B90,date_rows,1),OFFSET(Historical_Data_Start,date_start_row,Calculations!CL$40,date_rows,1))</f>
        <v>5.8890696995796523E-3</v>
      </c>
      <c r="CM90" s="32">
        <f ca="1">CORREL(OFFSET(Historical_Data_Start,date_start_row,$B90,date_rows,1),OFFSET(Historical_Data_Start,date_start_row,Calculations!CM$40,date_rows,1))</f>
        <v>0.17050976635804954</v>
      </c>
      <c r="CN90" s="32">
        <f ca="1">CORREL(OFFSET(Historical_Data_Start,date_start_row,$B90,date_rows,1),OFFSET(Historical_Data_Start,date_start_row,Calculations!CN$40,date_rows,1))</f>
        <v>0.20891771964579511</v>
      </c>
      <c r="CO90" s="32">
        <f ca="1">CORREL(OFFSET(Historical_Data_Start,date_start_row,$B90,date_rows,1),OFFSET(Historical_Data_Start,date_start_row,Calculations!CO$40,date_rows,1))</f>
        <v>6.8985532032561662E-3</v>
      </c>
      <c r="CP90" s="32">
        <f ca="1">CORREL(OFFSET(Historical_Data_Start,date_start_row,$B90,date_rows,1),OFFSET(Historical_Data_Start,date_start_row,Calculations!CP$40,date_rows,1))</f>
        <v>-2.579117870139629E-2</v>
      </c>
      <c r="CQ90" s="32">
        <f ca="1">CORREL(OFFSET(Historical_Data_Start,date_start_row,$B90,date_rows,1),OFFSET(Historical_Data_Start,date_start_row,Calculations!CQ$40,date_rows,1))</f>
        <v>0.17449624008885228</v>
      </c>
      <c r="CR90" s="32">
        <f ca="1">CORREL(OFFSET(Historical_Data_Start,date_start_row,$B90,date_rows,1),OFFSET(Historical_Data_Start,date_start_row,Calculations!CR$40,date_rows,1))</f>
        <v>-7.1174205171341168E-2</v>
      </c>
      <c r="CS90" s="32">
        <f ca="1">CORREL(OFFSET(Historical_Data_Start,date_start_row,$B90,date_rows,1),OFFSET(Historical_Data_Start,date_start_row,Calculations!CS$40,date_rows,1))</f>
        <v>4.8477059372281457E-3</v>
      </c>
      <c r="CT90" s="32">
        <f ca="1">CORREL(OFFSET(Historical_Data_Start,date_start_row,$B90,date_rows,1),OFFSET(Historical_Data_Start,date_start_row,Calculations!CT$40,date_rows,1))</f>
        <v>7.1384930683857109E-2</v>
      </c>
      <c r="CU90" s="32">
        <f ca="1">CORREL(OFFSET(Historical_Data_Start,date_start_row,$B90,date_rows,1),OFFSET(Historical_Data_Start,date_start_row,Calculations!CU$40,date_rows,1))</f>
        <v>0.12142051885267062</v>
      </c>
      <c r="CV90" s="32">
        <f ca="1">CORREL(OFFSET(Historical_Data_Start,date_start_row,$B90,date_rows,1),OFFSET(Historical_Data_Start,date_start_row,Calculations!CV$40,date_rows,1))</f>
        <v>-8.5296168171952014E-2</v>
      </c>
      <c r="CW90" s="32">
        <f ca="1">CORREL(OFFSET(Historical_Data_Start,date_start_row,$B90,date_rows,1),OFFSET(Historical_Data_Start,date_start_row,Calculations!CW$40,date_rows,1))</f>
        <v>0.57716263218450337</v>
      </c>
      <c r="CX90" s="32">
        <f ca="1">CORREL(OFFSET(Historical_Data_Start,date_start_row,$B90,date_rows,1),OFFSET(Historical_Data_Start,date_start_row,Calculations!CX$40,date_rows,1))</f>
        <v>0.61808284596674157</v>
      </c>
      <c r="CY90" s="32">
        <f ca="1">CORREL(OFFSET(Historical_Data_Start,date_start_row,$B90,date_rows,1),OFFSET(Historical_Data_Start,date_start_row,Calculations!CY$40,date_rows,1))</f>
        <v>0.60985468680367716</v>
      </c>
      <c r="CZ90" s="32">
        <f ca="1">CORREL(OFFSET(Historical_Data_Start,date_start_row,$B90,date_rows,1),OFFSET(Historical_Data_Start,date_start_row,Calculations!CZ$40,date_rows,1))</f>
        <v>0.429982292557194</v>
      </c>
      <c r="DA90" s="32">
        <f ca="1">CORREL(OFFSET(Historical_Data_Start,date_start_row,$B90,date_rows,1),OFFSET(Historical_Data_Start,date_start_row,Calculations!DA$40,date_rows,1))</f>
        <v>0.5668013777203168</v>
      </c>
      <c r="DB90" s="32">
        <f ca="1">CORREL(OFFSET(Historical_Data_Start,date_start_row,$B90,date_rows,1),OFFSET(Historical_Data_Start,date_start_row,Calculations!DB$40,date_rows,1))</f>
        <v>0.5589274972173599</v>
      </c>
      <c r="DC90" s="32">
        <f ca="1">CORREL(OFFSET(Historical_Data_Start,date_start_row,$B90,date_rows,1),OFFSET(Historical_Data_Start,date_start_row,Calculations!DC$40,date_rows,1))</f>
        <v>0.39931043656289267</v>
      </c>
      <c r="DD90" s="32">
        <f ca="1">CORREL(OFFSET(Historical_Data_Start,date_start_row,$B90,date_rows,1),OFFSET(Historical_Data_Start,date_start_row,Calculations!DD$40,date_rows,1))</f>
        <v>0.64596328015010951</v>
      </c>
      <c r="DE90" s="32">
        <f ca="1">CORREL(OFFSET(Historical_Data_Start,date_start_row,$B90,date_rows,1),OFFSET(Historical_Data_Start,date_start_row,Calculations!DE$40,date_rows,1))</f>
        <v>0.75759733801246021</v>
      </c>
      <c r="DF90" s="32">
        <f ca="1">CORREL(OFFSET(Historical_Data_Start,date_start_row,$B90,date_rows,1),OFFSET(Historical_Data_Start,date_start_row,Calculations!DF$40,date_rows,1))</f>
        <v>0.80387841205941735</v>
      </c>
      <c r="DG90" s="32">
        <f ca="1">CORREL(OFFSET(Historical_Data_Start,date_start_row,$B90,date_rows,1),OFFSET(Historical_Data_Start,date_start_row,Calculations!DG$40,date_rows,1))</f>
        <v>1</v>
      </c>
      <c r="DH90" s="33">
        <f ca="1">CORREL(OFFSET(Historical_Data_Start,date_start_row,$B90,date_rows,1),OFFSET(Historical_Data_Start,date_start_row,Calculations!DH$40,date_rows,1))</f>
        <v>0.12805238346071032</v>
      </c>
      <c r="DI90" s="2">
        <f t="shared" si="71"/>
        <v>49</v>
      </c>
      <c r="DJ90" s="43">
        <f t="shared" ca="1" si="200"/>
        <v>1.6479952107416615E-5</v>
      </c>
      <c r="DK90" s="44">
        <f t="shared" ca="1" si="201"/>
        <v>3.0077922785559943E-3</v>
      </c>
      <c r="DL90" s="44">
        <f t="shared" ca="1" si="202"/>
        <v>6.3176718420888452E-3</v>
      </c>
      <c r="DM90" s="44">
        <f t="shared" ca="1" si="203"/>
        <v>-1.1512176545484018E-3</v>
      </c>
      <c r="DN90" s="44">
        <f t="shared" ca="1" si="204"/>
        <v>-1.6800989418362263E-3</v>
      </c>
      <c r="DO90" s="44">
        <f t="shared" ca="1" si="205"/>
        <v>1.0237452953632151E-4</v>
      </c>
      <c r="DP90" s="44">
        <f t="shared" ca="1" si="206"/>
        <v>-6.643807633479685E-4</v>
      </c>
      <c r="DQ90" s="44">
        <f t="shared" ca="1" si="207"/>
        <v>-1.7185392178421166E-3</v>
      </c>
      <c r="DR90" s="44">
        <f t="shared" ca="1" si="208"/>
        <v>-4.3906726296262114E-3</v>
      </c>
      <c r="DS90" s="44">
        <f t="shared" ca="1" si="209"/>
        <v>2.01397730802489E-4</v>
      </c>
      <c r="DT90" s="44">
        <f t="shared" ca="1" si="210"/>
        <v>-1.9993678060353261E-2</v>
      </c>
      <c r="DU90" s="44">
        <f t="shared" ca="1" si="211"/>
        <v>-2.9764325777090726E-2</v>
      </c>
      <c r="DV90" s="44">
        <f t="shared" ca="1" si="212"/>
        <v>-3.0736676214905331E-2</v>
      </c>
      <c r="DW90" s="44">
        <f t="shared" ca="1" si="213"/>
        <v>-2.4064745661748189E-2</v>
      </c>
      <c r="DX90" s="44">
        <f t="shared" ca="1" si="214"/>
        <v>-2.9805648832706824E-2</v>
      </c>
      <c r="DY90" s="44">
        <f t="shared" ca="1" si="215"/>
        <v>-2.7829489993817513E-2</v>
      </c>
      <c r="DZ90" s="44">
        <f t="shared" ca="1" si="216"/>
        <v>-1.7067414299797249E-2</v>
      </c>
      <c r="EA90" s="44">
        <f t="shared" ca="1" si="217"/>
        <v>-3.7888906165259723E-2</v>
      </c>
      <c r="EB90" s="44">
        <f t="shared" ca="1" si="218"/>
        <v>-5.3100985035112458E-2</v>
      </c>
      <c r="EC90" s="44">
        <f t="shared" ca="1" si="219"/>
        <v>-6.4962156620734929E-2</v>
      </c>
      <c r="ED90" s="44">
        <f t="shared" ca="1" si="220"/>
        <v>-7.7285769210915373E-2</v>
      </c>
      <c r="EE90" s="44">
        <f t="shared" ca="1" si="221"/>
        <v>2.2526183755958245E-3</v>
      </c>
      <c r="EF90" s="44">
        <f t="shared" ca="1" si="222"/>
        <v>3.3266277237141723E-3</v>
      </c>
      <c r="EG90" s="44">
        <f t="shared" ca="1" si="223"/>
        <v>-1.9245856034768506E-2</v>
      </c>
      <c r="EH90" s="44">
        <f t="shared" ca="1" si="224"/>
        <v>-2.1151355968788949E-2</v>
      </c>
      <c r="EI90" s="44">
        <f t="shared" ca="1" si="225"/>
        <v>2.2577040005081501E-3</v>
      </c>
      <c r="EJ90" s="44">
        <f t="shared" ca="1" si="226"/>
        <v>-2.8131781102223728E-3</v>
      </c>
      <c r="EK90" s="43">
        <f t="shared" ca="1" si="227"/>
        <v>1.6489395158823029E-5</v>
      </c>
      <c r="EL90" s="44">
        <f t="shared" ca="1" si="228"/>
        <v>2.1961657906916783E-3</v>
      </c>
      <c r="EM90" s="44">
        <f t="shared" ca="1" si="229"/>
        <v>4.7382538815666335E-3</v>
      </c>
      <c r="EN90" s="44">
        <f t="shared" ca="1" si="230"/>
        <v>7.919539077338078E-5</v>
      </c>
      <c r="EO90" s="44">
        <f t="shared" ca="1" si="231"/>
        <v>-8.2325442414856972E-4</v>
      </c>
      <c r="EP90" s="44">
        <f t="shared" ca="1" si="232"/>
        <v>1.3533928381291385E-2</v>
      </c>
      <c r="EQ90" s="44">
        <f t="shared" ca="1" si="233"/>
        <v>-4.7430490326181756E-3</v>
      </c>
      <c r="ER90" s="44">
        <f t="shared" ca="1" si="234"/>
        <v>4.3435445197564194E-4</v>
      </c>
      <c r="ES90" s="44">
        <f t="shared" ca="1" si="235"/>
        <v>1.2592301772632395E-3</v>
      </c>
      <c r="ET90" s="44">
        <f t="shared" ca="1" si="236"/>
        <v>1.6998872639373888E-3</v>
      </c>
      <c r="EU90" s="44">
        <f t="shared" ca="1" si="237"/>
        <v>-1.6718048961702598E-3</v>
      </c>
      <c r="EV90" s="44">
        <f t="shared" ca="1" si="238"/>
        <v>2.5856885921865753E-2</v>
      </c>
      <c r="EW90" s="44">
        <f t="shared" ca="1" si="239"/>
        <v>3.4612639374137534E-2</v>
      </c>
      <c r="EX90" s="44">
        <f t="shared" ca="1" si="240"/>
        <v>3.0736676214905331E-2</v>
      </c>
      <c r="EY90" s="44">
        <f t="shared" ca="1" si="241"/>
        <v>2.8894810059843443E-2</v>
      </c>
      <c r="EZ90" s="44">
        <f t="shared" ca="1" si="242"/>
        <v>3.3327921009954631E-2</v>
      </c>
      <c r="FA90" s="44">
        <f t="shared" ca="1" si="243"/>
        <v>3.1299939844172162E-2</v>
      </c>
      <c r="FB90" s="44">
        <f t="shared" ca="1" si="244"/>
        <v>2.2361384447521993E-2</v>
      </c>
      <c r="FC90" s="44">
        <f t="shared" ca="1" si="245"/>
        <v>3.9791338057246751E-2</v>
      </c>
      <c r="FD90" s="44">
        <f t="shared" ca="1" si="246"/>
        <v>5.5153086207307106E-2</v>
      </c>
      <c r="FE90" s="44">
        <f t="shared" ca="1" si="247"/>
        <v>6.7525786612991065E-2</v>
      </c>
      <c r="FF90" s="44">
        <f t="shared" ca="1" si="248"/>
        <v>7.8400000000000011E-2</v>
      </c>
      <c r="FG90" s="45">
        <f t="shared" ca="1" si="249"/>
        <v>1.7927333684499447E-4</v>
      </c>
    </row>
    <row r="91" spans="1:163" ht="12.75" thickBot="1" x14ac:dyDescent="0.25">
      <c r="A91" s="51" t="str">
        <f t="shared" ref="A91" ca="1" si="314">INDEX(Historical_Data_Names,3,B91)</f>
        <v>L</v>
      </c>
      <c r="B91" s="56">
        <f t="shared" si="178"/>
        <v>50</v>
      </c>
      <c r="C91" s="11" t="str">
        <f t="shared" ref="C91" ca="1" si="315">INDEX(Historical_Data_Names,2,B91)</f>
        <v>Credit Exposure</v>
      </c>
      <c r="D91" s="15"/>
      <c r="E91" s="17">
        <f t="shared" ref="E91" ca="1" si="316">AVERAGE(OFFSET(Historical_Data_Start,date_start_row,$B91,date_rows,1))*4</f>
        <v>5.2341168228745589E-3</v>
      </c>
      <c r="F91" s="17">
        <f t="array" aca="1" ref="F91" ca="1">PRODUCT(1+OFFSET(Historical_Data_Start,date_start_row,$B91,date_rows,1))^(4/date_rows)-1</f>
        <v>5.2421490843104213E-3</v>
      </c>
      <c r="G91" s="17">
        <f t="shared" ref="G91" ca="1" si="317">STDEV(OFFSET(Historical_Data_Start,date_start_row,$B91,date_rows,1))*2</f>
        <v>2.1269200579055363E-3</v>
      </c>
      <c r="I91" s="22">
        <v>0.01</v>
      </c>
      <c r="J91" s="22">
        <v>5.0000000000000001E-3</v>
      </c>
      <c r="L91" s="20">
        <v>-2.7652999999999999</v>
      </c>
      <c r="M91" s="60"/>
      <c r="N91" s="68">
        <f t="shared" si="174"/>
        <v>-2.7652999999999999</v>
      </c>
      <c r="P91" s="116">
        <f t="shared" si="175"/>
        <v>-2.7652999999999999</v>
      </c>
      <c r="Q91" s="116">
        <f t="shared" si="175"/>
        <v>-2.7652999999999999</v>
      </c>
      <c r="R91" s="6"/>
      <c r="S91" s="226"/>
      <c r="T91" s="410">
        <v>0</v>
      </c>
      <c r="U91" s="410">
        <v>0</v>
      </c>
      <c r="V91" s="410">
        <v>0</v>
      </c>
      <c r="W91" s="410">
        <v>0</v>
      </c>
      <c r="X91" s="410">
        <v>0</v>
      </c>
      <c r="Y91" s="410">
        <v>0</v>
      </c>
      <c r="AI91" s="120">
        <v>0</v>
      </c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20">
        <v>0</v>
      </c>
      <c r="AU91" s="120">
        <v>0</v>
      </c>
      <c r="AV91" s="120">
        <v>0</v>
      </c>
      <c r="AW91" s="120">
        <v>0</v>
      </c>
      <c r="AX91" s="120">
        <v>0</v>
      </c>
      <c r="AY91" s="120">
        <v>0</v>
      </c>
      <c r="AZ91" s="120">
        <v>0</v>
      </c>
      <c r="BA91" s="120">
        <v>0</v>
      </c>
      <c r="BB91" s="120">
        <v>0</v>
      </c>
      <c r="BC91" s="120">
        <v>0</v>
      </c>
      <c r="BD91" s="120">
        <v>0</v>
      </c>
      <c r="BE91" s="120">
        <v>0</v>
      </c>
      <c r="BG91" s="51" t="str">
        <f t="shared" ca="1" si="176"/>
        <v>Credit Exposure</v>
      </c>
      <c r="BH91" s="39">
        <f t="shared" si="198"/>
        <v>0.01</v>
      </c>
      <c r="BI91" s="39">
        <f t="shared" si="199"/>
        <v>5.0000000000000001E-3</v>
      </c>
      <c r="BK91" s="34">
        <f ca="1">CORREL(OFFSET(Historical_Data_Start,date_start_row,$B91,date_rows,1),OFFSET(Historical_Data_Start,date_start_row,Calculations!BK$40,date_rows,1))</f>
        <v>0.19498514725439217</v>
      </c>
      <c r="BL91" s="35">
        <f ca="1">CORREL(OFFSET(Historical_Data_Start,date_start_row,$B91,date_rows,1),OFFSET(Historical_Data_Start,date_start_row,Calculations!BL$40,date_rows,1))</f>
        <v>0.22028096704626007</v>
      </c>
      <c r="BM91" s="35">
        <f ca="1">CORREL(OFFSET(Historical_Data_Start,date_start_row,$B91,date_rows,1),OFFSET(Historical_Data_Start,date_start_row,Calculations!BM$40,date_rows,1))</f>
        <v>0.14180919832926533</v>
      </c>
      <c r="BN91" s="35">
        <f ca="1">CORREL(OFFSET(Historical_Data_Start,date_start_row,$B91,date_rows,1),OFFSET(Historical_Data_Start,date_start_row,Calculations!BN$40,date_rows,1))</f>
        <v>0.17164658240759306</v>
      </c>
      <c r="BO91" s="35">
        <f ca="1">CORREL(OFFSET(Historical_Data_Start,date_start_row,$B91,date_rows,1),OFFSET(Historical_Data_Start,date_start_row,Calculations!BO$40,date_rows,1))</f>
        <v>0.1227333555748062</v>
      </c>
      <c r="BP91" s="35">
        <f ca="1">CORREL(OFFSET(Historical_Data_Start,date_start_row,$B91,date_rows,1),OFFSET(Historical_Data_Start,date_start_row,Calculations!BP$40,date_rows,1))</f>
        <v>0.11547562145633763</v>
      </c>
      <c r="BQ91" s="35">
        <f ca="1">CORREL(OFFSET(Historical_Data_Start,date_start_row,$B91,date_rows,1),OFFSET(Historical_Data_Start,date_start_row,Calculations!BQ$40,date_rows,1))</f>
        <v>6.8392772825053086E-2</v>
      </c>
      <c r="BR91" s="35">
        <f ca="1">CORREL(OFFSET(Historical_Data_Start,date_start_row,$B91,date_rows,1),OFFSET(Historical_Data_Start,date_start_row,Calculations!BR$40,date_rows,1))</f>
        <v>0.11388106230176036</v>
      </c>
      <c r="BS91" s="35">
        <f ca="1">CORREL(OFFSET(Historical_Data_Start,date_start_row,$B91,date_rows,1),OFFSET(Historical_Data_Start,date_start_row,Calculations!BS$40,date_rows,1))</f>
        <v>4.3213186976431422E-2</v>
      </c>
      <c r="BT91" s="35">
        <f ca="1">CORREL(OFFSET(Historical_Data_Start,date_start_row,$B91,date_rows,1),OFFSET(Historical_Data_Start,date_start_row,Calculations!BT$40,date_rows,1))</f>
        <v>-8.0698712931067083E-3</v>
      </c>
      <c r="BU91" s="35">
        <f ca="1">CORREL(OFFSET(Historical_Data_Start,date_start_row,$B91,date_rows,1),OFFSET(Historical_Data_Start,date_start_row,Calculations!BU$40,date_rows,1))</f>
        <v>-0.22912833113000711</v>
      </c>
      <c r="BV91" s="35">
        <f ca="1">CORREL(OFFSET(Historical_Data_Start,date_start_row,$B91,date_rows,1),OFFSET(Historical_Data_Start,date_start_row,Calculations!BV$40,date_rows,1))</f>
        <v>-0.17138011995017871</v>
      </c>
      <c r="BW91" s="35">
        <f ca="1">CORREL(OFFSET(Historical_Data_Start,date_start_row,$B91,date_rows,1),OFFSET(Historical_Data_Start,date_start_row,Calculations!BW$40,date_rows,1))</f>
        <v>-0.24854821686519263</v>
      </c>
      <c r="BX91" s="35">
        <f ca="1">CORREL(OFFSET(Historical_Data_Start,date_start_row,$B91,date_rows,1),OFFSET(Historical_Data_Start,date_start_row,Calculations!BX$40,date_rows,1))</f>
        <v>-7.4890528170501777E-2</v>
      </c>
      <c r="BY91" s="35">
        <f ca="1">CORREL(OFFSET(Historical_Data_Start,date_start_row,$B91,date_rows,1),OFFSET(Historical_Data_Start,date_start_row,Calculations!BY$40,date_rows,1))</f>
        <v>-0.19302004533607578</v>
      </c>
      <c r="BZ91" s="35">
        <f ca="1">CORREL(OFFSET(Historical_Data_Start,date_start_row,$B91,date_rows,1),OFFSET(Historical_Data_Start,date_start_row,Calculations!BZ$40,date_rows,1))</f>
        <v>-0.17057542956355437</v>
      </c>
      <c r="CA91" s="35">
        <f ca="1">CORREL(OFFSET(Historical_Data_Start,date_start_row,$B91,date_rows,1),OFFSET(Historical_Data_Start,date_start_row,Calculations!CA$40,date_rows,1))</f>
        <v>-0.14140924522648579</v>
      </c>
      <c r="CB91" s="35">
        <f ca="1">CORREL(OFFSET(Historical_Data_Start,date_start_row,$B91,date_rows,1),OFFSET(Historical_Data_Start,date_start_row,Calculations!CB$40,date_rows,1))</f>
        <v>-0.14361028855941049</v>
      </c>
      <c r="CC91" s="35">
        <f ca="1">CORREL(OFFSET(Historical_Data_Start,date_start_row,$B91,date_rows,1),OFFSET(Historical_Data_Start,date_start_row,Calculations!CC$40,date_rows,1))</f>
        <v>-0.12501885649002129</v>
      </c>
      <c r="CD91" s="35">
        <f ca="1">CORREL(OFFSET(Historical_Data_Start,date_start_row,$B91,date_rows,1),OFFSET(Historical_Data_Start,date_start_row,Calculations!CD$40,date_rows,1))</f>
        <v>-0.10620093106478189</v>
      </c>
      <c r="CE91" s="35">
        <f ca="1">CORREL(OFFSET(Historical_Data_Start,date_start_row,$B91,date_rows,1),OFFSET(Historical_Data_Start,date_start_row,Calculations!CE$40,date_rows,1))</f>
        <v>-0.1314310881510676</v>
      </c>
      <c r="CF91" s="35">
        <f ca="1">CORREL(OFFSET(Historical_Data_Start,date_start_row,$B91,date_rows,1),OFFSET(Historical_Data_Start,date_start_row,Calculations!CF$40,date_rows,1))</f>
        <v>-0.42022395848689947</v>
      </c>
      <c r="CG91" s="35">
        <f ca="1">CORREL(OFFSET(Historical_Data_Start,date_start_row,$B91,date_rows,1),OFFSET(Historical_Data_Start,date_start_row,Calculations!CG$40,date_rows,1))</f>
        <v>-5.012011086938855E-2</v>
      </c>
      <c r="CH91" s="35">
        <f ca="1">CORREL(OFFSET(Historical_Data_Start,date_start_row,$B91,date_rows,1),OFFSET(Historical_Data_Start,date_start_row,Calculations!CH$40,date_rows,1))</f>
        <v>-0.31901360639795689</v>
      </c>
      <c r="CI91" s="35">
        <f ca="1">CORREL(OFFSET(Historical_Data_Start,date_start_row,$B91,date_rows,1),OFFSET(Historical_Data_Start,date_start_row,Calculations!CI$40,date_rows,1))</f>
        <v>-0.17424344070037856</v>
      </c>
      <c r="CJ91" s="35">
        <f ca="1">CORREL(OFFSET(Historical_Data_Start,date_start_row,$B91,date_rows,1),OFFSET(Historical_Data_Start,date_start_row,Calculations!CJ$40,date_rows,1))</f>
        <v>-8.4586518919629802E-2</v>
      </c>
      <c r="CK91" s="35">
        <f ca="1">CORREL(OFFSET(Historical_Data_Start,date_start_row,$B91,date_rows,1),OFFSET(Historical_Data_Start,date_start_row,Calculations!CK$40,date_rows,1))</f>
        <v>-0.24395292078935107</v>
      </c>
      <c r="CL91" s="35">
        <f ca="1">CORREL(OFFSET(Historical_Data_Start,date_start_row,$B91,date_rows,1),OFFSET(Historical_Data_Start,date_start_row,Calculations!CL$40,date_rows,1))</f>
        <v>0.19498687969593456</v>
      </c>
      <c r="CM91" s="35">
        <f ca="1">CORREL(OFFSET(Historical_Data_Start,date_start_row,$B91,date_rows,1),OFFSET(Historical_Data_Start,date_start_row,Calculations!CM$40,date_rows,1))</f>
        <v>0.22028096704626007</v>
      </c>
      <c r="CN91" s="35">
        <f ca="1">CORREL(OFFSET(Historical_Data_Start,date_start_row,$B91,date_rows,1),OFFSET(Historical_Data_Start,date_start_row,Calculations!CN$40,date_rows,1))</f>
        <v>0.14180919832926533</v>
      </c>
      <c r="CO91" s="35">
        <f ca="1">CORREL(OFFSET(Historical_Data_Start,date_start_row,$B91,date_rows,1),OFFSET(Historical_Data_Start,date_start_row,Calculations!CO$40,date_rows,1))</f>
        <v>0.11547562145633763</v>
      </c>
      <c r="CP91" s="35">
        <f ca="1">CORREL(OFFSET(Historical_Data_Start,date_start_row,$B91,date_rows,1),OFFSET(Historical_Data_Start,date_start_row,Calculations!CP$40,date_rows,1))</f>
        <v>6.8392772825053086E-2</v>
      </c>
      <c r="CQ91" s="35">
        <f ca="1">CORREL(OFFSET(Historical_Data_Start,date_start_row,$B91,date_rows,1),OFFSET(Historical_Data_Start,date_start_row,Calculations!CQ$40,date_rows,1))</f>
        <v>0.15968410423360865</v>
      </c>
      <c r="CR91" s="35">
        <f ca="1">CORREL(OFFSET(Historical_Data_Start,date_start_row,$B91,date_rows,1),OFFSET(Historical_Data_Start,date_start_row,Calculations!CR$40,date_rows,1))</f>
        <v>6.5089249002530415E-3</v>
      </c>
      <c r="CS91" s="35">
        <f ca="1">CORREL(OFFSET(Historical_Data_Start,date_start_row,$B91,date_rows,1),OFFSET(Historical_Data_Start,date_start_row,Calculations!CS$40,date_rows,1))</f>
        <v>-2.4658661088034075E-2</v>
      </c>
      <c r="CT91" s="35">
        <f ca="1">CORREL(OFFSET(Historical_Data_Start,date_start_row,$B91,date_rows,1),OFFSET(Historical_Data_Start,date_start_row,Calculations!CT$40,date_rows,1))</f>
        <v>-0.17048530470173645</v>
      </c>
      <c r="CU91" s="35">
        <f ca="1">CORREL(OFFSET(Historical_Data_Start,date_start_row,$B91,date_rows,1),OFFSET(Historical_Data_Start,date_start_row,Calculations!CU$40,date_rows,1))</f>
        <v>-0.11277965732782048</v>
      </c>
      <c r="CV91" s="35">
        <f ca="1">CORREL(OFFSET(Historical_Data_Start,date_start_row,$B91,date_rows,1),OFFSET(Historical_Data_Start,date_start_row,Calculations!CV$40,date_rows,1))</f>
        <v>-9.2214375266803636E-2</v>
      </c>
      <c r="CW91" s="35">
        <f ca="1">CORREL(OFFSET(Historical_Data_Start,date_start_row,$B91,date_rows,1),OFFSET(Historical_Data_Start,date_start_row,Calculations!CW$40,date_rows,1))</f>
        <v>0.21436326518155679</v>
      </c>
      <c r="CX91" s="35">
        <f ca="1">CORREL(OFFSET(Historical_Data_Start,date_start_row,$B91,date_rows,1),OFFSET(Historical_Data_Start,date_start_row,Calculations!CX$40,date_rows,1))</f>
        <v>0.16011177499970022</v>
      </c>
      <c r="CY91" s="35">
        <f ca="1">CORREL(OFFSET(Historical_Data_Start,date_start_row,$B91,date_rows,1),OFFSET(Historical_Data_Start,date_start_row,Calculations!CY$40,date_rows,1))</f>
        <v>0.24854821686519263</v>
      </c>
      <c r="CZ91" s="35">
        <f ca="1">CORREL(OFFSET(Historical_Data_Start,date_start_row,$B91,date_rows,1),OFFSET(Historical_Data_Start,date_start_row,Calculations!CZ$40,date_rows,1))</f>
        <v>7.7434403150261649E-2</v>
      </c>
      <c r="DA91" s="35">
        <f ca="1">CORREL(OFFSET(Historical_Data_Start,date_start_row,$B91,date_rows,1),OFFSET(Historical_Data_Start,date_start_row,Calculations!DA$40,date_rows,1))</f>
        <v>0.18768617370423585</v>
      </c>
      <c r="DB91" s="35">
        <f ca="1">CORREL(OFFSET(Historical_Data_Start,date_start_row,$B91,date_rows,1),OFFSET(Historical_Data_Start,date_start_row,Calculations!DB$40,date_rows,1))</f>
        <v>0.16361727085512112</v>
      </c>
      <c r="DC91" s="35">
        <f ca="1">CORREL(OFFSET(Historical_Data_Start,date_start_row,$B91,date_rows,1),OFFSET(Historical_Data_Start,date_start_row,Calculations!DC$40,date_rows,1))</f>
        <v>0.14291611938343438</v>
      </c>
      <c r="DD91" s="35">
        <f ca="1">CORREL(OFFSET(Historical_Data_Start,date_start_row,$B91,date_rows,1),OFFSET(Historical_Data_Start,date_start_row,Calculations!DD$40,date_rows,1))</f>
        <v>0.1357961867283656</v>
      </c>
      <c r="DE91" s="35">
        <f ca="1">CORREL(OFFSET(Historical_Data_Start,date_start_row,$B91,date_rows,1),OFFSET(Historical_Data_Start,date_start_row,Calculations!DE$40,date_rows,1))</f>
        <v>0.12207488981830381</v>
      </c>
      <c r="DF91" s="35">
        <f ca="1">CORREL(OFFSET(Historical_Data_Start,date_start_row,$B91,date_rows,1),OFFSET(Historical_Data_Start,date_start_row,Calculations!DF$40,date_rows,1))</f>
        <v>0.10611135273881467</v>
      </c>
      <c r="DG91" s="35">
        <f ca="1">CORREL(OFFSET(Historical_Data_Start,date_start_row,$B91,date_rows,1),OFFSET(Historical_Data_Start,date_start_row,Calculations!DG$40,date_rows,1))</f>
        <v>0.12805238346071032</v>
      </c>
      <c r="DH91" s="36">
        <f ca="1">CORREL(OFFSET(Historical_Data_Start,date_start_row,$B91,date_rows,1),OFFSET(Historical_Data_Start,date_start_row,Calculations!DH$40,date_rows,1))</f>
        <v>1.0000000000000002</v>
      </c>
      <c r="DI91" s="2">
        <f t="shared" si="71"/>
        <v>50</v>
      </c>
      <c r="DJ91" s="46">
        <f t="shared" ca="1" si="200"/>
        <v>9.7492573627196088E-6</v>
      </c>
      <c r="DK91" s="47">
        <f t="shared" ca="1" si="201"/>
        <v>6.9388504619571925E-5</v>
      </c>
      <c r="DL91" s="47">
        <f t="shared" ca="1" si="202"/>
        <v>7.6576967097803295E-5</v>
      </c>
      <c r="DM91" s="47">
        <f t="shared" ca="1" si="203"/>
        <v>4.9777508898201988E-5</v>
      </c>
      <c r="DN91" s="47">
        <f t="shared" ca="1" si="204"/>
        <v>6.0139344231655036E-5</v>
      </c>
      <c r="DO91" s="47">
        <f t="shared" ca="1" si="205"/>
        <v>3.060103968592947E-5</v>
      </c>
      <c r="DP91" s="47">
        <f t="shared" ca="1" si="206"/>
        <v>3.146067549952442E-5</v>
      </c>
      <c r="DQ91" s="47">
        <f t="shared" ca="1" si="207"/>
        <v>2.7900860263931285E-5</v>
      </c>
      <c r="DR91" s="47">
        <f t="shared" ca="1" si="208"/>
        <v>1.7933472595219041E-5</v>
      </c>
      <c r="DS91" s="47">
        <f t="shared" ca="1" si="209"/>
        <v>-2.8244549525873482E-6</v>
      </c>
      <c r="DT91" s="47">
        <f t="shared" ca="1" si="210"/>
        <v>-1.833026649040057E-4</v>
      </c>
      <c r="DU91" s="47">
        <f t="shared" ca="1" si="211"/>
        <v>-1.7138011995017873E-4</v>
      </c>
      <c r="DV91" s="47">
        <f t="shared" ca="1" si="212"/>
        <v>-2.2369339517867336E-4</v>
      </c>
      <c r="DW91" s="47">
        <f t="shared" ca="1" si="213"/>
        <v>-8.9868633804602118E-5</v>
      </c>
      <c r="DX91" s="47">
        <f t="shared" ca="1" si="214"/>
        <v>-2.0267104760287956E-4</v>
      </c>
      <c r="DY91" s="47">
        <f t="shared" ca="1" si="215"/>
        <v>-1.7057542956355436E-4</v>
      </c>
      <c r="DZ91" s="47">
        <f t="shared" ca="1" si="216"/>
        <v>-1.4140924522648579E-4</v>
      </c>
      <c r="EA91" s="47">
        <f t="shared" ca="1" si="217"/>
        <v>-1.5797131741535154E-4</v>
      </c>
      <c r="EB91" s="47">
        <f t="shared" ca="1" si="218"/>
        <v>-1.6252451343702769E-4</v>
      </c>
      <c r="EC91" s="47">
        <f t="shared" ca="1" si="219"/>
        <v>-1.5930139659717284E-4</v>
      </c>
      <c r="ED91" s="47">
        <f t="shared" ca="1" si="220"/>
        <v>-1.8400352341149467E-4</v>
      </c>
      <c r="EE91" s="47">
        <f t="shared" ca="1" si="221"/>
        <v>-1.8910078131910475E-4</v>
      </c>
      <c r="EF91" s="47">
        <f t="shared" ca="1" si="222"/>
        <v>-2.2554049891224847E-5</v>
      </c>
      <c r="EG91" s="47">
        <f t="shared" ca="1" si="223"/>
        <v>-2.7116156543826339E-4</v>
      </c>
      <c r="EH91" s="47">
        <f t="shared" ca="1" si="224"/>
        <v>-2.0909212884045425E-4</v>
      </c>
      <c r="EI91" s="47">
        <f t="shared" ca="1" si="225"/>
        <v>-5.075191135177788E-5</v>
      </c>
      <c r="EJ91" s="47">
        <f t="shared" ca="1" si="226"/>
        <v>-1.0977881435520797E-4</v>
      </c>
      <c r="EK91" s="46">
        <f t="shared" ca="1" si="227"/>
        <v>9.749343984796728E-6</v>
      </c>
      <c r="EL91" s="47">
        <f t="shared" ca="1" si="228"/>
        <v>5.0664622420639817E-5</v>
      </c>
      <c r="EM91" s="47">
        <f t="shared" ca="1" si="229"/>
        <v>5.7432725323352468E-5</v>
      </c>
      <c r="EN91" s="47">
        <f t="shared" ca="1" si="230"/>
        <v>2.3672502398549211E-5</v>
      </c>
      <c r="EO91" s="47">
        <f t="shared" ca="1" si="231"/>
        <v>3.8983880510280264E-5</v>
      </c>
      <c r="EP91" s="47">
        <f t="shared" ca="1" si="232"/>
        <v>2.2116248436354798E-4</v>
      </c>
      <c r="EQ91" s="47">
        <f t="shared" ca="1" si="233"/>
        <v>7.7456206313011202E-6</v>
      </c>
      <c r="ER91" s="47">
        <f t="shared" ca="1" si="234"/>
        <v>-3.9453857740854522E-5</v>
      </c>
      <c r="ES91" s="47">
        <f t="shared" ca="1" si="235"/>
        <v>-5.3702870981046985E-5</v>
      </c>
      <c r="ET91" s="47">
        <f t="shared" ca="1" si="236"/>
        <v>-2.8194914331955121E-5</v>
      </c>
      <c r="EU91" s="47">
        <f t="shared" ca="1" si="237"/>
        <v>-3.2275031343381278E-5</v>
      </c>
      <c r="EV91" s="47">
        <f t="shared" ca="1" si="238"/>
        <v>1.7149061214524544E-4</v>
      </c>
      <c r="EW91" s="47">
        <f t="shared" ca="1" si="239"/>
        <v>1.6011177499970024E-4</v>
      </c>
      <c r="EX91" s="47">
        <f t="shared" ca="1" si="240"/>
        <v>2.2369339517867336E-4</v>
      </c>
      <c r="EY91" s="47">
        <f t="shared" ca="1" si="241"/>
        <v>9.2921283780313972E-5</v>
      </c>
      <c r="EZ91" s="47">
        <f t="shared" ca="1" si="242"/>
        <v>1.9707048238944762E-4</v>
      </c>
      <c r="FA91" s="47">
        <f t="shared" ca="1" si="243"/>
        <v>1.6361727085512112E-4</v>
      </c>
      <c r="FB91" s="47">
        <f t="shared" ca="1" si="244"/>
        <v>1.4291611938343438E-4</v>
      </c>
      <c r="FC91" s="47">
        <f t="shared" ca="1" si="245"/>
        <v>1.4937580540120218E-4</v>
      </c>
      <c r="FD91" s="47">
        <f t="shared" ca="1" si="246"/>
        <v>1.5869735676379495E-4</v>
      </c>
      <c r="FE91" s="47">
        <f t="shared" ca="1" si="247"/>
        <v>1.5916702910822201E-4</v>
      </c>
      <c r="FF91" s="47">
        <f t="shared" ca="1" si="248"/>
        <v>1.7927333684499447E-4</v>
      </c>
      <c r="FG91" s="48">
        <f t="shared" ca="1" si="249"/>
        <v>2.5000000000000008E-5</v>
      </c>
    </row>
    <row r="92" spans="1:163" x14ac:dyDescent="0.2">
      <c r="B92" s="11"/>
      <c r="E92" s="18"/>
      <c r="F92" s="2"/>
      <c r="G92" s="18"/>
      <c r="H92" s="2"/>
      <c r="I92" s="2"/>
      <c r="J92" s="2"/>
      <c r="L92" s="2"/>
      <c r="M92" s="60"/>
    </row>
    <row r="93" spans="1:163" x14ac:dyDescent="0.2">
      <c r="M93" s="60"/>
      <c r="N93" s="4" t="e">
        <f ca="1">SUMPRODUCT(calc_weights_assets,model_TR_assets)</f>
        <v>#NAME?</v>
      </c>
      <c r="AH93" s="70" t="s">
        <v>109</v>
      </c>
    </row>
    <row r="94" spans="1:163" x14ac:dyDescent="0.2">
      <c r="N94" s="71" t="e">
        <f t="array" aca="1" ref="N94" ca="1">SQRT(MMULT(TRANSPOSE(calc_weights_assets),MMULT(inp_covar_assets,calc_weights_assets)))</f>
        <v>#NAME?</v>
      </c>
      <c r="AH94" s="70" t="s">
        <v>110</v>
      </c>
    </row>
    <row r="95" spans="1:163" x14ac:dyDescent="0.2">
      <c r="N95" s="4" t="e">
        <f ca="1">SUMPRODUCT(calc_weights_AL,model_TR_AL)</f>
        <v>#NAME?</v>
      </c>
      <c r="S95" s="51"/>
      <c r="T95" s="8"/>
      <c r="U95" s="8"/>
      <c r="V95" s="8"/>
      <c r="W95" s="8"/>
      <c r="X95" s="8"/>
      <c r="Y95" s="8"/>
    </row>
    <row r="96" spans="1:163" x14ac:dyDescent="0.2">
      <c r="B96" s="11"/>
      <c r="E96" s="18"/>
      <c r="F96" s="2"/>
      <c r="G96" s="18"/>
      <c r="H96" s="2"/>
      <c r="I96" s="2"/>
      <c r="N96" s="71" t="e">
        <f t="array" aca="1" ref="N96" ca="1">SQRT(MMULT(TRANSPOSE(calc_weights_AL),MMULT(inp_covar_AL,calc_weights_AL)))</f>
        <v>#NAME?</v>
      </c>
    </row>
    <row r="97" spans="1:115" x14ac:dyDescent="0.2">
      <c r="B97" s="11"/>
      <c r="E97" s="18"/>
      <c r="F97" s="2"/>
      <c r="G97" s="18"/>
      <c r="H97" s="2"/>
      <c r="I97" s="2"/>
      <c r="J97" s="11"/>
      <c r="L97" s="71"/>
      <c r="N97" s="71"/>
      <c r="S97" s="70"/>
      <c r="T97" s="8"/>
      <c r="U97" s="8"/>
      <c r="V97" s="8"/>
      <c r="W97" s="8"/>
      <c r="X97" s="8"/>
      <c r="Y97" s="8"/>
    </row>
    <row r="98" spans="1:115" s="183" customFormat="1" x14ac:dyDescent="0.2">
      <c r="B98" s="184"/>
      <c r="C98" s="219"/>
      <c r="E98" s="185"/>
      <c r="F98" s="185"/>
      <c r="G98" s="185"/>
      <c r="H98" s="185"/>
      <c r="I98" s="185"/>
      <c r="J98" s="185"/>
      <c r="K98" s="185"/>
      <c r="L98" s="185"/>
    </row>
    <row r="99" spans="1:115" x14ac:dyDescent="0.2">
      <c r="B99" s="11"/>
      <c r="D99" s="5" t="s">
        <v>289</v>
      </c>
      <c r="I99" s="2"/>
      <c r="J99" s="2"/>
      <c r="K99" s="2"/>
      <c r="L99" s="2"/>
      <c r="AI99" s="5" t="s">
        <v>289</v>
      </c>
    </row>
    <row r="100" spans="1:115" x14ac:dyDescent="0.2">
      <c r="A100" s="5" t="s">
        <v>251</v>
      </c>
      <c r="C100" s="218">
        <v>43005</v>
      </c>
    </row>
    <row r="101" spans="1:115" x14ac:dyDescent="0.2">
      <c r="A101" s="5" t="s">
        <v>289</v>
      </c>
      <c r="B101" s="51"/>
      <c r="C101" s="217"/>
    </row>
    <row r="102" spans="1:115" x14ac:dyDescent="0.2">
      <c r="C102" s="2">
        <v>1</v>
      </c>
      <c r="D102" s="2">
        <f>C102+1</f>
        <v>2</v>
      </c>
      <c r="E102" s="2">
        <f t="shared" ref="E102:I102" si="318">D102+1</f>
        <v>3</v>
      </c>
      <c r="F102" s="2">
        <f t="shared" si="318"/>
        <v>4</v>
      </c>
      <c r="G102" s="2">
        <f t="shared" si="318"/>
        <v>5</v>
      </c>
      <c r="H102" s="2">
        <f t="shared" si="318"/>
        <v>6</v>
      </c>
      <c r="I102" s="2">
        <f t="shared" si="318"/>
        <v>7</v>
      </c>
      <c r="J102" s="2">
        <f t="shared" ref="J102" si="319">I102+1</f>
        <v>8</v>
      </c>
      <c r="K102" s="2">
        <f>J102+1</f>
        <v>9</v>
      </c>
      <c r="L102" s="2">
        <f t="shared" ref="L102" si="320">K102+1</f>
        <v>10</v>
      </c>
      <c r="M102" s="2">
        <f>L102+1</f>
        <v>11</v>
      </c>
      <c r="N102" s="2">
        <f t="shared" ref="N102" si="321">M102+1</f>
        <v>12</v>
      </c>
      <c r="O102" s="2">
        <f t="shared" ref="O102" si="322">N102+1</f>
        <v>13</v>
      </c>
      <c r="P102" s="2">
        <f t="shared" ref="P102" si="323">O102+1</f>
        <v>14</v>
      </c>
      <c r="Q102" s="2">
        <f t="shared" ref="Q102" si="324">P102+1</f>
        <v>15</v>
      </c>
      <c r="R102" s="2">
        <f t="shared" ref="R102" si="325">Q102+1</f>
        <v>16</v>
      </c>
      <c r="S102" s="2">
        <f t="shared" ref="S102" si="326">R102+1</f>
        <v>17</v>
      </c>
      <c r="T102" s="2">
        <f t="shared" ref="T102" si="327">S102+1</f>
        <v>18</v>
      </c>
      <c r="U102" s="2">
        <f t="shared" ref="U102" si="328">T102+1</f>
        <v>19</v>
      </c>
      <c r="V102" s="2">
        <f t="shared" ref="V102" si="329">U102+1</f>
        <v>20</v>
      </c>
      <c r="W102" s="2">
        <f t="shared" ref="W102" si="330">V102+1</f>
        <v>21</v>
      </c>
      <c r="X102" s="2">
        <f t="shared" ref="X102" si="331">W102+1</f>
        <v>22</v>
      </c>
      <c r="Y102" s="2">
        <f t="shared" ref="Y102" si="332">X102+1</f>
        <v>23</v>
      </c>
      <c r="Z102" s="2">
        <f t="shared" ref="Z102" si="333">Y102+1</f>
        <v>24</v>
      </c>
      <c r="AA102" s="2">
        <f t="shared" ref="AA102" si="334">Z102+1</f>
        <v>25</v>
      </c>
      <c r="AB102" s="2">
        <f t="shared" ref="AB102" si="335">AA102+1</f>
        <v>26</v>
      </c>
      <c r="AC102" s="2">
        <f t="shared" ref="AC102" si="336">AB102+1</f>
        <v>27</v>
      </c>
      <c r="AD102" s="2">
        <f t="shared" ref="AD102" si="337">AC102+1</f>
        <v>28</v>
      </c>
      <c r="AE102" s="2">
        <f t="shared" ref="AE102" si="338">AD102+1</f>
        <v>29</v>
      </c>
      <c r="AF102" s="2">
        <f t="shared" ref="AF102" si="339">AE102+1</f>
        <v>30</v>
      </c>
      <c r="AG102" s="2">
        <f t="shared" ref="AG102" si="340">AF102+1</f>
        <v>31</v>
      </c>
      <c r="AH102" s="2">
        <f t="shared" ref="AH102" si="341">AG102+1</f>
        <v>32</v>
      </c>
      <c r="AI102" s="2">
        <f t="shared" ref="AI102" si="342">AH102+1</f>
        <v>33</v>
      </c>
      <c r="AJ102" s="2">
        <f t="shared" ref="AJ102" si="343">AI102+1</f>
        <v>34</v>
      </c>
      <c r="AK102" s="2">
        <f t="shared" ref="AK102" si="344">AJ102+1</f>
        <v>35</v>
      </c>
      <c r="AL102" s="2">
        <f t="shared" ref="AL102" si="345">AK102+1</f>
        <v>36</v>
      </c>
      <c r="AM102" s="2">
        <f t="shared" ref="AM102" si="346">AL102+1</f>
        <v>37</v>
      </c>
      <c r="AN102" s="2">
        <f t="shared" ref="AN102" si="347">AM102+1</f>
        <v>38</v>
      </c>
      <c r="AO102" s="2">
        <f t="shared" ref="AO102" si="348">AN102+1</f>
        <v>39</v>
      </c>
      <c r="AP102" s="2">
        <f t="shared" ref="AP102" si="349">AO102+1</f>
        <v>40</v>
      </c>
      <c r="AQ102" s="2">
        <f t="shared" ref="AQ102" si="350">AP102+1</f>
        <v>41</v>
      </c>
      <c r="AR102" s="2">
        <f t="shared" ref="AR102" si="351">AQ102+1</f>
        <v>42</v>
      </c>
      <c r="AS102" s="2">
        <f t="shared" ref="AS102" si="352">AR102+1</f>
        <v>43</v>
      </c>
      <c r="AT102" s="2">
        <f t="shared" ref="AT102" si="353">AS102+1</f>
        <v>44</v>
      </c>
      <c r="AU102" s="2">
        <f t="shared" ref="AU102" si="354">AT102+1</f>
        <v>45</v>
      </c>
      <c r="AV102" s="2">
        <f t="shared" ref="AV102" si="355">AU102+1</f>
        <v>46</v>
      </c>
      <c r="AW102" s="2">
        <f t="shared" ref="AW102" si="356">AV102+1</f>
        <v>47</v>
      </c>
      <c r="AX102" s="2">
        <f t="shared" ref="AX102" si="357">AW102+1</f>
        <v>48</v>
      </c>
      <c r="AY102" s="2">
        <f t="shared" ref="AY102" si="358">AX102+1</f>
        <v>49</v>
      </c>
      <c r="AZ102" s="2">
        <f t="shared" ref="AZ102" si="359">AY102+1</f>
        <v>50</v>
      </c>
      <c r="BA102" s="2">
        <f t="shared" ref="BA102" si="360">AZ102+1</f>
        <v>51</v>
      </c>
      <c r="BB102" s="2">
        <f t="shared" ref="BB102" si="361">BA102+1</f>
        <v>52</v>
      </c>
      <c r="BC102" s="2">
        <f t="shared" ref="BC102" si="362">BB102+1</f>
        <v>53</v>
      </c>
      <c r="BD102" s="2">
        <f t="shared" ref="BD102" si="363">BC102+1</f>
        <v>54</v>
      </c>
      <c r="BE102" s="2">
        <f t="shared" ref="BE102" si="364">BD102+1</f>
        <v>55</v>
      </c>
      <c r="BF102" s="2">
        <f t="shared" ref="BF102" si="365">BE102+1</f>
        <v>56</v>
      </c>
      <c r="BG102" s="2">
        <f t="shared" ref="BG102" si="366">BF102+1</f>
        <v>57</v>
      </c>
      <c r="BH102" s="2">
        <f t="shared" ref="BH102" si="367">BG102+1</f>
        <v>58</v>
      </c>
      <c r="BI102" s="2">
        <f t="shared" ref="BI102" si="368">BH102+1</f>
        <v>59</v>
      </c>
      <c r="BJ102" s="2">
        <f t="shared" ref="BJ102" si="369">BI102+1</f>
        <v>60</v>
      </c>
      <c r="BK102" s="2">
        <f t="shared" ref="BK102" si="370">BJ102+1</f>
        <v>61</v>
      </c>
      <c r="BL102" s="2">
        <f t="shared" ref="BL102" si="371">BK102+1</f>
        <v>62</v>
      </c>
      <c r="BM102" s="2">
        <f t="shared" ref="BM102" si="372">BL102+1</f>
        <v>63</v>
      </c>
      <c r="BN102" s="2">
        <f t="shared" ref="BN102" si="373">BM102+1</f>
        <v>64</v>
      </c>
      <c r="BO102" s="2">
        <f t="shared" ref="BO102" si="374">BN102+1</f>
        <v>65</v>
      </c>
      <c r="BP102" s="2">
        <f t="shared" ref="BP102" si="375">BO102+1</f>
        <v>66</v>
      </c>
      <c r="BQ102" s="2">
        <f t="shared" ref="BQ102" si="376">BP102+1</f>
        <v>67</v>
      </c>
      <c r="BR102" s="2">
        <f t="shared" ref="BR102" si="377">BQ102+1</f>
        <v>68</v>
      </c>
      <c r="BS102" s="2">
        <f t="shared" ref="BS102" si="378">BR102+1</f>
        <v>69</v>
      </c>
      <c r="BT102" s="2">
        <f t="shared" ref="BT102" si="379">BS102+1</f>
        <v>70</v>
      </c>
      <c r="BU102" s="2">
        <f t="shared" ref="BU102" si="380">BT102+1</f>
        <v>71</v>
      </c>
      <c r="BV102" s="2">
        <f t="shared" ref="BV102" si="381">BU102+1</f>
        <v>72</v>
      </c>
      <c r="BW102" s="2">
        <f t="shared" ref="BW102" si="382">BV102+1</f>
        <v>73</v>
      </c>
      <c r="BX102" s="2">
        <f t="shared" ref="BX102" si="383">BW102+1</f>
        <v>74</v>
      </c>
      <c r="BY102" s="2">
        <f t="shared" ref="BY102" si="384">BX102+1</f>
        <v>75</v>
      </c>
      <c r="BZ102" s="2">
        <f t="shared" ref="BZ102" si="385">BY102+1</f>
        <v>76</v>
      </c>
      <c r="CA102" s="2">
        <f t="shared" ref="CA102" si="386">BZ102+1</f>
        <v>77</v>
      </c>
      <c r="CB102" s="2">
        <f t="shared" ref="CB102" si="387">CA102+1</f>
        <v>78</v>
      </c>
      <c r="CC102" s="2">
        <f t="shared" ref="CC102" si="388">CB102+1</f>
        <v>79</v>
      </c>
      <c r="CD102" s="2">
        <f t="shared" ref="CD102" si="389">CC102+1</f>
        <v>80</v>
      </c>
      <c r="CE102" s="2">
        <f t="shared" ref="CE102" si="390">CD102+1</f>
        <v>81</v>
      </c>
      <c r="CF102" s="2">
        <f t="shared" ref="CF102" si="391">CE102+1</f>
        <v>82</v>
      </c>
      <c r="CG102" s="2">
        <f t="shared" ref="CG102" si="392">CF102+1</f>
        <v>83</v>
      </c>
      <c r="CH102" s="2">
        <f t="shared" ref="CH102" si="393">CG102+1</f>
        <v>84</v>
      </c>
      <c r="CI102" s="2">
        <f t="shared" ref="CI102" si="394">CH102+1</f>
        <v>85</v>
      </c>
      <c r="CJ102" s="2">
        <f t="shared" ref="CJ102" si="395">CI102+1</f>
        <v>86</v>
      </c>
      <c r="CK102" s="2">
        <f t="shared" ref="CK102" si="396">CJ102+1</f>
        <v>87</v>
      </c>
      <c r="CL102" s="2">
        <f t="shared" ref="CL102" si="397">CK102+1</f>
        <v>88</v>
      </c>
      <c r="CM102" s="2">
        <f t="shared" ref="CM102" si="398">CL102+1</f>
        <v>89</v>
      </c>
      <c r="CN102" s="2">
        <f t="shared" ref="CN102" si="399">CM102+1</f>
        <v>90</v>
      </c>
      <c r="CO102" s="2">
        <f t="shared" ref="CO102" si="400">CN102+1</f>
        <v>91</v>
      </c>
      <c r="CP102" s="2">
        <f t="shared" ref="CP102" si="401">CO102+1</f>
        <v>92</v>
      </c>
      <c r="CQ102" s="2">
        <f t="shared" ref="CQ102" si="402">CP102+1</f>
        <v>93</v>
      </c>
      <c r="CR102" s="2">
        <f t="shared" ref="CR102" si="403">CQ102+1</f>
        <v>94</v>
      </c>
      <c r="CS102" s="2">
        <f t="shared" ref="CS102" si="404">CR102+1</f>
        <v>95</v>
      </c>
      <c r="CT102" s="2">
        <f t="shared" ref="CT102" si="405">CS102+1</f>
        <v>96</v>
      </c>
      <c r="CU102" s="2">
        <f t="shared" ref="CU102" si="406">CT102+1</f>
        <v>97</v>
      </c>
      <c r="CV102" s="2">
        <f t="shared" ref="CV102" si="407">CU102+1</f>
        <v>98</v>
      </c>
      <c r="CW102" s="2">
        <f t="shared" ref="CW102" si="408">CV102+1</f>
        <v>99</v>
      </c>
      <c r="CX102" s="2">
        <f t="shared" ref="CX102" si="409">CW102+1</f>
        <v>100</v>
      </c>
      <c r="CZ102" s="1" t="s">
        <v>126</v>
      </c>
      <c r="DC102" s="1" t="s">
        <v>143</v>
      </c>
    </row>
    <row r="104" spans="1:115" x14ac:dyDescent="0.2">
      <c r="B104" s="129" t="s">
        <v>113</v>
      </c>
      <c r="C104" s="163">
        <v>4.4019225072215645E-2</v>
      </c>
      <c r="D104" s="164">
        <v>4.4059924070272712E-2</v>
      </c>
      <c r="E104" s="164">
        <v>4.4107107294600413E-2</v>
      </c>
      <c r="F104" s="164">
        <v>4.4155522046627808E-2</v>
      </c>
      <c r="G104" s="164">
        <v>4.4213734387415465E-2</v>
      </c>
      <c r="H104" s="164">
        <v>4.4273368188437578E-2</v>
      </c>
      <c r="I104" s="164">
        <v>4.4331410274506676E-2</v>
      </c>
      <c r="J104" s="164">
        <v>4.4390905276413956E-2</v>
      </c>
      <c r="K104" s="164">
        <v>4.445670522649562E-2</v>
      </c>
      <c r="L104" s="164">
        <v>4.4524787352485537E-2</v>
      </c>
      <c r="M104" s="164">
        <v>4.459206490685573E-2</v>
      </c>
      <c r="N104" s="164">
        <v>4.4661539348436398E-2</v>
      </c>
      <c r="O104" s="164">
        <v>4.4732658923192906E-2</v>
      </c>
      <c r="P104" s="164">
        <v>4.4805383767162164E-2</v>
      </c>
      <c r="Q104" s="164">
        <v>4.4877159483399293E-2</v>
      </c>
      <c r="R104" s="164">
        <v>4.4955797886803282E-2</v>
      </c>
      <c r="S104" s="164">
        <v>4.5035992299613165E-2</v>
      </c>
      <c r="T104" s="164">
        <v>4.5121712754527747E-2</v>
      </c>
      <c r="U104" s="164">
        <v>4.5207825257056543E-2</v>
      </c>
      <c r="V104" s="164">
        <v>4.5295785534769574E-2</v>
      </c>
      <c r="W104" s="164">
        <v>4.538523981129633E-2</v>
      </c>
      <c r="X104" s="164">
        <v>4.5504603682205824E-2</v>
      </c>
      <c r="Y104" s="164">
        <v>4.5702290065559974E-2</v>
      </c>
      <c r="Z104" s="164">
        <v>4.5944902592063151E-2</v>
      </c>
      <c r="AA104" s="164">
        <v>4.6216325767918773E-2</v>
      </c>
      <c r="AB104" s="164">
        <v>4.6509512483711199E-2</v>
      </c>
      <c r="AC104" s="164">
        <v>4.6806420225782137E-2</v>
      </c>
      <c r="AD104" s="164">
        <v>4.7119246883828993E-2</v>
      </c>
      <c r="AE104" s="164">
        <v>4.7443538212094627E-2</v>
      </c>
      <c r="AF104" s="164">
        <v>4.7767326830766857E-2</v>
      </c>
      <c r="AG104" s="164">
        <v>4.8107116643463906E-2</v>
      </c>
      <c r="AH104" s="164">
        <v>4.8456257516112988E-2</v>
      </c>
      <c r="AI104" s="164">
        <v>4.8819767425493758E-2</v>
      </c>
      <c r="AJ104" s="164">
        <v>4.9201550036850547E-2</v>
      </c>
      <c r="AK104" s="164">
        <v>4.9584749476628852E-2</v>
      </c>
      <c r="AL104" s="164">
        <v>4.9982672425640189E-2</v>
      </c>
      <c r="AM104" s="164">
        <v>5.0392355483864122E-2</v>
      </c>
      <c r="AN104" s="164">
        <v>5.0806850632391286E-2</v>
      </c>
      <c r="AO104" s="164">
        <v>5.122573163412384E-2</v>
      </c>
      <c r="AP104" s="164">
        <v>5.1641202045107075E-2</v>
      </c>
      <c r="AQ104" s="164">
        <v>5.2072324760543028E-2</v>
      </c>
      <c r="AR104" s="164">
        <v>5.254843064291409E-2</v>
      </c>
      <c r="AS104" s="164">
        <v>5.3042030105901743E-2</v>
      </c>
      <c r="AT104" s="164">
        <v>5.3570265229792476E-2</v>
      </c>
      <c r="AU104" s="164">
        <v>5.4151124050103479E-2</v>
      </c>
      <c r="AV104" s="164">
        <v>5.4758799654648492E-2</v>
      </c>
      <c r="AW104" s="164">
        <v>5.5408465655392848E-2</v>
      </c>
      <c r="AX104" s="164">
        <v>5.6097543273296607E-2</v>
      </c>
      <c r="AY104" s="164">
        <v>5.68275027495019E-2</v>
      </c>
      <c r="AZ104" s="164">
        <v>5.7598420717797576E-2</v>
      </c>
      <c r="BA104" s="164">
        <v>5.8395728734416563E-2</v>
      </c>
      <c r="BB104" s="164">
        <v>5.9245231479980849E-2</v>
      </c>
      <c r="BC104" s="164">
        <v>6.0147941897379806E-2</v>
      </c>
      <c r="BD104" s="164">
        <v>6.1102747724775919E-2</v>
      </c>
      <c r="BE104" s="164">
        <v>6.2106816215923885E-2</v>
      </c>
      <c r="BF104" s="164">
        <v>6.3150900148740627E-2</v>
      </c>
      <c r="BG104" s="164">
        <v>6.4242987015853098E-2</v>
      </c>
      <c r="BH104" s="164">
        <v>6.5376309123214779E-2</v>
      </c>
      <c r="BI104" s="164">
        <v>6.6556348947474545E-2</v>
      </c>
      <c r="BJ104" s="164">
        <v>6.7774940875103162E-2</v>
      </c>
      <c r="BK104" s="164">
        <v>6.9035244559670902E-2</v>
      </c>
      <c r="BL104" s="164">
        <v>7.0317165224853623E-2</v>
      </c>
      <c r="BM104" s="164">
        <v>7.163467924256206E-2</v>
      </c>
      <c r="BN104" s="164">
        <v>7.2988092605603558E-2</v>
      </c>
      <c r="BO104" s="164">
        <v>7.4375713911097124E-2</v>
      </c>
      <c r="BP104" s="164">
        <v>7.5781633441905388E-2</v>
      </c>
      <c r="BQ104" s="164">
        <v>7.7217696025394814E-2</v>
      </c>
      <c r="BR104" s="164">
        <v>7.8672549096830455E-2</v>
      </c>
      <c r="BS104" s="164">
        <v>8.0151423610871048E-2</v>
      </c>
      <c r="BT104" s="164">
        <v>8.1655029327129064E-2</v>
      </c>
      <c r="BU104" s="164">
        <v>8.3172718472731971E-2</v>
      </c>
      <c r="BV104" s="164">
        <v>8.471256878798239E-2</v>
      </c>
      <c r="BW104" s="164">
        <v>8.6273920336738905E-2</v>
      </c>
      <c r="BX104" s="164">
        <v>8.7854705638477651E-2</v>
      </c>
      <c r="BY104" s="164">
        <v>8.9449877155839283E-2</v>
      </c>
      <c r="BZ104" s="164">
        <v>9.1060310863250213E-2</v>
      </c>
      <c r="CA104" s="164">
        <v>9.2686499937027197E-2</v>
      </c>
      <c r="CB104" s="164">
        <v>9.4327673928871314E-2</v>
      </c>
      <c r="CC104" s="164">
        <v>9.5983375718270994E-2</v>
      </c>
      <c r="CD104" s="164">
        <v>9.7654042012971107E-2</v>
      </c>
      <c r="CE104" s="164">
        <v>9.9335329654231058E-2</v>
      </c>
      <c r="CF104" s="164">
        <v>0.10102598162443387</v>
      </c>
      <c r="CG104" s="164">
        <v>0.10273007526475945</v>
      </c>
      <c r="CH104" s="164">
        <v>0.10445415933544043</v>
      </c>
      <c r="CI104" s="164">
        <v>0.10635509495333026</v>
      </c>
      <c r="CJ104" s="164">
        <v>0.10830596904600072</v>
      </c>
      <c r="CK104" s="164">
        <v>0.1103088060373397</v>
      </c>
      <c r="CL104" s="164">
        <v>0.11251546329065847</v>
      </c>
      <c r="CM104" s="164">
        <v>0.11485199584552885</v>
      </c>
      <c r="CN104" s="164">
        <v>0.1173179998379319</v>
      </c>
      <c r="CO104" s="164">
        <v>0.11995799863320243</v>
      </c>
      <c r="CP104" s="164">
        <v>0.1226558132483883</v>
      </c>
      <c r="CQ104" s="164">
        <v>0.12537877282731519</v>
      </c>
      <c r="CR104" s="164">
        <v>0.12813483039604998</v>
      </c>
      <c r="CS104" s="164">
        <v>0.13095254420936689</v>
      </c>
      <c r="CT104" s="164">
        <v>0.13392603851874008</v>
      </c>
      <c r="CU104" s="164">
        <v>0.13704517370515393</v>
      </c>
      <c r="CV104" s="164">
        <v>0.14030023650216633</v>
      </c>
      <c r="CW104" s="164">
        <v>0.14368198903616106</v>
      </c>
      <c r="CX104" s="165">
        <v>0.1479602712632723</v>
      </c>
      <c r="CZ104" s="178"/>
      <c r="DC104" s="178">
        <v>6.2135423281798288E-2</v>
      </c>
      <c r="DF104" s="2" t="s">
        <v>118</v>
      </c>
      <c r="DG104" s="2" t="s">
        <v>118</v>
      </c>
      <c r="DH104" s="2" t="s">
        <v>119</v>
      </c>
      <c r="DI104" s="2" t="s">
        <v>119</v>
      </c>
      <c r="DJ104" s="1" t="s">
        <v>122</v>
      </c>
      <c r="DK104" s="1" t="s">
        <v>123</v>
      </c>
    </row>
    <row r="105" spans="1:115" x14ac:dyDescent="0.2">
      <c r="B105" s="129" t="s">
        <v>114</v>
      </c>
      <c r="C105" s="163">
        <v>1.2593218302673324E-2</v>
      </c>
      <c r="D105" s="164">
        <v>1.2859380180842938E-2</v>
      </c>
      <c r="E105" s="164">
        <v>1.3117760835201036E-2</v>
      </c>
      <c r="F105" s="164">
        <v>1.3387942423145952E-2</v>
      </c>
      <c r="G105" s="164">
        <v>1.3649504944628198E-2</v>
      </c>
      <c r="H105" s="164">
        <v>1.3919486726837692E-2</v>
      </c>
      <c r="I105" s="164">
        <v>1.4183240866157926E-2</v>
      </c>
      <c r="J105" s="164">
        <v>1.4437127989470996E-2</v>
      </c>
      <c r="K105" s="164">
        <v>1.4694554397604403E-2</v>
      </c>
      <c r="L105" s="164">
        <v>1.4952562541048691E-2</v>
      </c>
      <c r="M105" s="164">
        <v>1.5209049532054719E-2</v>
      </c>
      <c r="N105" s="164">
        <v>1.5468112335729065E-2</v>
      </c>
      <c r="O105" s="164">
        <v>1.5723320859829869E-2</v>
      </c>
      <c r="P105" s="164">
        <v>1.5982410303612204E-2</v>
      </c>
      <c r="Q105" s="164">
        <v>1.6240007283601299E-2</v>
      </c>
      <c r="R105" s="164">
        <v>1.6494234149768482E-2</v>
      </c>
      <c r="S105" s="164">
        <v>1.6755734259694132E-2</v>
      </c>
      <c r="T105" s="164">
        <v>1.7019656224193946E-2</v>
      </c>
      <c r="U105" s="164">
        <v>1.7282267442903395E-2</v>
      </c>
      <c r="V105" s="164">
        <v>1.7545702555196715E-2</v>
      </c>
      <c r="W105" s="164">
        <v>1.7805980533814447E-2</v>
      </c>
      <c r="X105" s="164">
        <v>1.809570566086276E-2</v>
      </c>
      <c r="Y105" s="164">
        <v>1.8442486347051434E-2</v>
      </c>
      <c r="Z105" s="164">
        <v>1.875671987401838E-2</v>
      </c>
      <c r="AA105" s="164">
        <v>1.9039737196677165E-2</v>
      </c>
      <c r="AB105" s="164">
        <v>1.9323682196195912E-2</v>
      </c>
      <c r="AC105" s="164">
        <v>1.95990581680817E-2</v>
      </c>
      <c r="AD105" s="164">
        <v>1.9876880977487962E-2</v>
      </c>
      <c r="AE105" s="164">
        <v>2.0139629056664148E-2</v>
      </c>
      <c r="AF105" s="164">
        <v>2.0412613863927415E-2</v>
      </c>
      <c r="AG105" s="164">
        <v>2.0695949460005286E-2</v>
      </c>
      <c r="AH105" s="164">
        <v>2.0977891786637521E-2</v>
      </c>
      <c r="AI105" s="164">
        <v>2.126178987762509E-2</v>
      </c>
      <c r="AJ105" s="164">
        <v>2.1548248859080642E-2</v>
      </c>
      <c r="AK105" s="164">
        <v>2.1841780264964795E-2</v>
      </c>
      <c r="AL105" s="164">
        <v>2.2106309403439103E-2</v>
      </c>
      <c r="AM105" s="164">
        <v>2.2363583915269724E-2</v>
      </c>
      <c r="AN105" s="164">
        <v>2.2639471040300434E-2</v>
      </c>
      <c r="AO105" s="164">
        <v>2.2933745388358098E-2</v>
      </c>
      <c r="AP105" s="164">
        <v>2.3195858698199758E-2</v>
      </c>
      <c r="AQ105" s="164">
        <v>2.3502170130099937E-2</v>
      </c>
      <c r="AR105" s="164">
        <v>2.3812515439647072E-2</v>
      </c>
      <c r="AS105" s="164">
        <v>2.4117149761342164E-2</v>
      </c>
      <c r="AT105" s="164">
        <v>2.4434638458448132E-2</v>
      </c>
      <c r="AU105" s="164">
        <v>2.4763711651581168E-2</v>
      </c>
      <c r="AV105" s="164">
        <v>2.5082946909919312E-2</v>
      </c>
      <c r="AW105" s="164">
        <v>2.5423917521744267E-2</v>
      </c>
      <c r="AX105" s="164">
        <v>2.5761675489020388E-2</v>
      </c>
      <c r="AY105" s="164">
        <v>2.6102525341762977E-2</v>
      </c>
      <c r="AZ105" s="164">
        <v>2.6444252133273036E-2</v>
      </c>
      <c r="BA105" s="164">
        <v>2.6773056025885988E-2</v>
      </c>
      <c r="BB105" s="164">
        <v>2.7122085612618547E-2</v>
      </c>
      <c r="BC105" s="164">
        <v>2.7469755764897501E-2</v>
      </c>
      <c r="BD105" s="164">
        <v>2.7817070442858912E-2</v>
      </c>
      <c r="BE105" s="164">
        <v>2.8163711795348569E-2</v>
      </c>
      <c r="BF105" s="164">
        <v>2.8502327969457612E-2</v>
      </c>
      <c r="BG105" s="164">
        <v>2.8843756739542103E-2</v>
      </c>
      <c r="BH105" s="164">
        <v>2.9181782176085396E-2</v>
      </c>
      <c r="BI105" s="164">
        <v>2.9530550766824811E-2</v>
      </c>
      <c r="BJ105" s="164">
        <v>2.9878704470469284E-2</v>
      </c>
      <c r="BK105" s="164">
        <v>3.0232212339086548E-2</v>
      </c>
      <c r="BL105" s="164">
        <v>3.0571176532984853E-2</v>
      </c>
      <c r="BM105" s="164">
        <v>3.0913013916415811E-2</v>
      </c>
      <c r="BN105" s="164">
        <v>3.1261262120577074E-2</v>
      </c>
      <c r="BO105" s="164">
        <v>3.1614166990651379E-2</v>
      </c>
      <c r="BP105" s="164">
        <v>3.1957561120050687E-2</v>
      </c>
      <c r="BQ105" s="164">
        <v>3.2304811745668752E-2</v>
      </c>
      <c r="BR105" s="164">
        <v>3.2646540990036541E-2</v>
      </c>
      <c r="BS105" s="164">
        <v>3.2988772128005078E-2</v>
      </c>
      <c r="BT105" s="164">
        <v>3.3333785761720275E-2</v>
      </c>
      <c r="BU105" s="164">
        <v>3.3670862074876615E-2</v>
      </c>
      <c r="BV105" s="164">
        <v>3.4009635442485989E-2</v>
      </c>
      <c r="BW105" s="164">
        <v>3.4352353656960821E-2</v>
      </c>
      <c r="BX105" s="164">
        <v>3.4698159291505437E-2</v>
      </c>
      <c r="BY105" s="164">
        <v>3.5039778082528117E-2</v>
      </c>
      <c r="BZ105" s="164">
        <v>3.5379571103959756E-2</v>
      </c>
      <c r="CA105" s="164">
        <v>3.5720135104250289E-2</v>
      </c>
      <c r="CB105" s="164">
        <v>3.6062353853796567E-2</v>
      </c>
      <c r="CC105" s="164">
        <v>3.6408102111872634E-2</v>
      </c>
      <c r="CD105" s="164">
        <v>3.6759323623249032E-2</v>
      </c>
      <c r="CE105" s="164">
        <v>3.7105862227428357E-2</v>
      </c>
      <c r="CF105" s="164">
        <v>3.7447620377328336E-2</v>
      </c>
      <c r="CG105" s="164">
        <v>3.7794752655304034E-2</v>
      </c>
      <c r="CH105" s="164">
        <v>3.8074614635254259E-2</v>
      </c>
      <c r="CI105" s="164">
        <v>3.8360333234115113E-2</v>
      </c>
      <c r="CJ105" s="164">
        <v>3.8667193597917003E-2</v>
      </c>
      <c r="CK105" s="164">
        <v>3.8934903043529867E-2</v>
      </c>
      <c r="CL105" s="164">
        <v>3.9191880994540379E-2</v>
      </c>
      <c r="CM105" s="164">
        <v>3.9503482611013011E-2</v>
      </c>
      <c r="CN105" s="164">
        <v>3.973859795410048E-2</v>
      </c>
      <c r="CO105" s="164">
        <v>4.0042126088962557E-2</v>
      </c>
      <c r="CP105" s="164">
        <v>4.0404685688930908E-2</v>
      </c>
      <c r="CQ105" s="164">
        <v>4.0743347339290498E-2</v>
      </c>
      <c r="CR105" s="164">
        <v>4.1091039163700487E-2</v>
      </c>
      <c r="CS105" s="164">
        <v>4.132615450678806E-2</v>
      </c>
      <c r="CT105" s="164">
        <v>4.1561269849875418E-2</v>
      </c>
      <c r="CU105" s="164">
        <v>4.1796385192962873E-2</v>
      </c>
      <c r="CV105" s="164">
        <v>4.2031500536050329E-2</v>
      </c>
      <c r="CW105" s="164">
        <v>4.2266615879137742E-2</v>
      </c>
      <c r="CX105" s="165">
        <v>4.2648552314586946E-2</v>
      </c>
      <c r="CZ105" s="178"/>
      <c r="DC105" s="178">
        <v>2.0637409999999998E-2</v>
      </c>
      <c r="DF105" s="2" t="s">
        <v>26</v>
      </c>
      <c r="DG105" s="2" t="s">
        <v>27</v>
      </c>
      <c r="DH105" s="2" t="s">
        <v>26</v>
      </c>
      <c r="DI105" s="2" t="s">
        <v>27</v>
      </c>
      <c r="DJ105" s="152" t="e">
        <f ca="1">SUM(DJ107:DJ164)</f>
        <v>#NAME?</v>
      </c>
      <c r="DK105" s="153" t="e">
        <f ca="1">SUM(DK107:DK164)</f>
        <v>#NAME?</v>
      </c>
    </row>
    <row r="106" spans="1:115" x14ac:dyDescent="0.2">
      <c r="B106" s="129" t="s">
        <v>115</v>
      </c>
      <c r="C106" s="128"/>
      <c r="D106" s="128"/>
      <c r="E106" s="128"/>
      <c r="CY106" s="6"/>
      <c r="CZ106" s="52" t="s">
        <v>116</v>
      </c>
      <c r="DA106" s="6"/>
      <c r="DB106" s="6"/>
      <c r="DC106" s="52"/>
      <c r="DD106" s="6"/>
      <c r="DE106" s="6"/>
      <c r="DJ106" s="145"/>
      <c r="DK106" s="145"/>
    </row>
    <row r="107" spans="1:115" x14ac:dyDescent="0.2">
      <c r="B107" s="166" t="s">
        <v>0</v>
      </c>
      <c r="C107" s="169">
        <v>0.14998140608284383</v>
      </c>
      <c r="D107" s="170">
        <v>0.14179799082621383</v>
      </c>
      <c r="E107" s="170">
        <v>0.13233091861973695</v>
      </c>
      <c r="F107" s="170">
        <v>0.1243942655455476</v>
      </c>
      <c r="G107" s="170">
        <v>0.11520116989470815</v>
      </c>
      <c r="H107" s="170">
        <v>0.10916922641255304</v>
      </c>
      <c r="I107" s="170">
        <v>0.10360047909410217</v>
      </c>
      <c r="J107" s="170">
        <v>9.6075954155486074E-2</v>
      </c>
      <c r="K107" s="170">
        <v>8.9845004617069596E-2</v>
      </c>
      <c r="L107" s="170">
        <v>8.1880626480782523E-2</v>
      </c>
      <c r="M107" s="170">
        <v>7.4763169275450445E-2</v>
      </c>
      <c r="N107" s="170">
        <v>6.9245757013342041E-2</v>
      </c>
      <c r="O107" s="170">
        <v>6.2578770300411937E-2</v>
      </c>
      <c r="P107" s="170">
        <v>5.6082941838110772E-2</v>
      </c>
      <c r="Q107" s="170">
        <v>5.0575807917931599E-2</v>
      </c>
      <c r="R107" s="170">
        <v>4.4966573648398643E-2</v>
      </c>
      <c r="S107" s="170">
        <v>3.9620894965772896E-2</v>
      </c>
      <c r="T107" s="170">
        <v>3.4756315073657965E-2</v>
      </c>
      <c r="U107" s="170">
        <v>2.820966588995916E-2</v>
      </c>
      <c r="V107" s="170">
        <v>2.1498020140681542E-2</v>
      </c>
      <c r="W107" s="170">
        <v>1.4429740286368013E-2</v>
      </c>
      <c r="X107" s="170">
        <v>1.0600000000692944E-2</v>
      </c>
      <c r="Y107" s="170">
        <v>1.0600000000692944E-2</v>
      </c>
      <c r="Z107" s="170">
        <v>1.0600000000692944E-2</v>
      </c>
      <c r="AA107" s="170">
        <v>1.0600000000692944E-2</v>
      </c>
      <c r="AB107" s="170">
        <v>1.0600000000692944E-2</v>
      </c>
      <c r="AC107" s="170">
        <v>1.0600000000692944E-2</v>
      </c>
      <c r="AD107" s="170">
        <v>1.0600000000692944E-2</v>
      </c>
      <c r="AE107" s="170">
        <v>1.0600000000692944E-2</v>
      </c>
      <c r="AF107" s="170">
        <v>1.0600000000692944E-2</v>
      </c>
      <c r="AG107" s="170">
        <v>1.0600000000692944E-2</v>
      </c>
      <c r="AH107" s="170">
        <v>1.0600000000692944E-2</v>
      </c>
      <c r="AI107" s="170">
        <v>1.0600000000692944E-2</v>
      </c>
      <c r="AJ107" s="170">
        <v>1.0600000000692944E-2</v>
      </c>
      <c r="AK107" s="170">
        <v>1.0600000000692944E-2</v>
      </c>
      <c r="AL107" s="170">
        <v>1.0600000000692944E-2</v>
      </c>
      <c r="AM107" s="170">
        <v>1.0600000000692944E-2</v>
      </c>
      <c r="AN107" s="170">
        <v>1.0600000000692944E-2</v>
      </c>
      <c r="AO107" s="170">
        <v>1.0600000000692944E-2</v>
      </c>
      <c r="AP107" s="170">
        <v>1.0600000000692944E-2</v>
      </c>
      <c r="AQ107" s="170">
        <v>1.0600000000692944E-2</v>
      </c>
      <c r="AR107" s="170">
        <v>1.0600000000692944E-2</v>
      </c>
      <c r="AS107" s="170">
        <v>1.0600000000692944E-2</v>
      </c>
      <c r="AT107" s="170">
        <v>1.0600000000692944E-2</v>
      </c>
      <c r="AU107" s="170">
        <v>1.0600000000692944E-2</v>
      </c>
      <c r="AV107" s="170">
        <v>1.0600000000692944E-2</v>
      </c>
      <c r="AW107" s="170">
        <v>1.0600000000692944E-2</v>
      </c>
      <c r="AX107" s="170">
        <v>1.0600000000692944E-2</v>
      </c>
      <c r="AY107" s="170">
        <v>1.0600000000692944E-2</v>
      </c>
      <c r="AZ107" s="170">
        <v>1.0600000000692944E-2</v>
      </c>
      <c r="BA107" s="170">
        <v>1.0600000000692944E-2</v>
      </c>
      <c r="BB107" s="170">
        <v>1.0600000000692944E-2</v>
      </c>
      <c r="BC107" s="170">
        <v>1.0600000000692944E-2</v>
      </c>
      <c r="BD107" s="170">
        <v>1.0600000000692944E-2</v>
      </c>
      <c r="BE107" s="170">
        <v>1.0600000000692944E-2</v>
      </c>
      <c r="BF107" s="170">
        <v>1.0600000000692944E-2</v>
      </c>
      <c r="BG107" s="170">
        <v>1.0600000000692944E-2</v>
      </c>
      <c r="BH107" s="170">
        <v>1.0600000000692944E-2</v>
      </c>
      <c r="BI107" s="170">
        <v>1.0600000000692944E-2</v>
      </c>
      <c r="BJ107" s="170">
        <v>1.0600000000692944E-2</v>
      </c>
      <c r="BK107" s="170">
        <v>1.0600000000692944E-2</v>
      </c>
      <c r="BL107" s="170">
        <v>1.0600000000692944E-2</v>
      </c>
      <c r="BM107" s="170">
        <v>1.0600000000692944E-2</v>
      </c>
      <c r="BN107" s="170">
        <v>1.0600000000692944E-2</v>
      </c>
      <c r="BO107" s="170">
        <v>1.0600000000692944E-2</v>
      </c>
      <c r="BP107" s="170">
        <v>1.0600000000692944E-2</v>
      </c>
      <c r="BQ107" s="170">
        <v>1.0600000000692944E-2</v>
      </c>
      <c r="BR107" s="170">
        <v>1.0600000000692944E-2</v>
      </c>
      <c r="BS107" s="170">
        <v>1.0600000000692944E-2</v>
      </c>
      <c r="BT107" s="170">
        <v>1.0600000000692944E-2</v>
      </c>
      <c r="BU107" s="170">
        <v>1.0600000000692944E-2</v>
      </c>
      <c r="BV107" s="170">
        <v>1.0600000000692944E-2</v>
      </c>
      <c r="BW107" s="170">
        <v>1.0600000000692944E-2</v>
      </c>
      <c r="BX107" s="170">
        <v>1.0600000000692944E-2</v>
      </c>
      <c r="BY107" s="170">
        <v>1.0600000000692944E-2</v>
      </c>
      <c r="BZ107" s="170">
        <v>1.0600000000692944E-2</v>
      </c>
      <c r="CA107" s="170">
        <v>1.0600000000692944E-2</v>
      </c>
      <c r="CB107" s="170">
        <v>1.0600000000692944E-2</v>
      </c>
      <c r="CC107" s="170">
        <v>1.0600000000692944E-2</v>
      </c>
      <c r="CD107" s="170">
        <v>1.0600000000692944E-2</v>
      </c>
      <c r="CE107" s="170">
        <v>1.0600000000692944E-2</v>
      </c>
      <c r="CF107" s="170">
        <v>1.0600000000692944E-2</v>
      </c>
      <c r="CG107" s="170">
        <v>1.0600000000692944E-2</v>
      </c>
      <c r="CH107" s="170">
        <v>1.0600000000692944E-2</v>
      </c>
      <c r="CI107" s="170">
        <v>1.0600000000692944E-2</v>
      </c>
      <c r="CJ107" s="170">
        <v>1.0600000000692944E-2</v>
      </c>
      <c r="CK107" s="170">
        <v>1.0600000000692946E-2</v>
      </c>
      <c r="CL107" s="170">
        <v>1.0600000000692944E-2</v>
      </c>
      <c r="CM107" s="170">
        <v>1.0600000000692944E-2</v>
      </c>
      <c r="CN107" s="170">
        <v>1.0600000000692944E-2</v>
      </c>
      <c r="CO107" s="170">
        <v>2.0342527715441542E-2</v>
      </c>
      <c r="CP107" s="170">
        <v>3.8491607332567526E-2</v>
      </c>
      <c r="CQ107" s="170">
        <v>5.3237428138748433E-2</v>
      </c>
      <c r="CR107" s="170">
        <v>6.9269217821103096E-2</v>
      </c>
      <c r="CS107" s="170">
        <v>6.9269217821103624E-2</v>
      </c>
      <c r="CT107" s="170">
        <v>6.9269217821102375E-2</v>
      </c>
      <c r="CU107" s="170">
        <v>6.9269217821102388E-2</v>
      </c>
      <c r="CV107" s="170">
        <v>6.9269217821102388E-2</v>
      </c>
      <c r="CW107" s="170">
        <v>6.9269217821102388E-2</v>
      </c>
      <c r="CX107" s="171">
        <v>8.8119859034992601E-2</v>
      </c>
      <c r="CZ107" s="179"/>
      <c r="DC107" s="179">
        <v>5.3200000000000004E-2</v>
      </c>
      <c r="DE107" s="2">
        <v>1</v>
      </c>
      <c r="DF107" s="139">
        <f t="shared" ref="DF107:DF138" si="410">INDEX(inp_AL_mins,$DE107,1)</f>
        <v>1.06E-2</v>
      </c>
      <c r="DG107" s="140">
        <f t="shared" ref="DG107:DG138" si="411">INDEX(inp_AL_maxs,$DE107,1)</f>
        <v>1</v>
      </c>
      <c r="DH107" s="139">
        <f>MIN($C107:$CX107)</f>
        <v>1.0600000000692944E-2</v>
      </c>
      <c r="DI107" s="140">
        <f>MAX($C107:$CX107)</f>
        <v>0.14998140608284383</v>
      </c>
      <c r="DJ107" s="146">
        <f>IF(DH107&lt;DF107-0.0001,1,0)</f>
        <v>0</v>
      </c>
      <c r="DK107" s="147">
        <f>IF(DI107&gt;DG107+0.0001,1,0)</f>
        <v>0</v>
      </c>
    </row>
    <row r="108" spans="1:115" x14ac:dyDescent="0.2">
      <c r="B108" s="167" t="s">
        <v>1</v>
      </c>
      <c r="C108" s="172">
        <v>0.13281750316089949</v>
      </c>
      <c r="D108" s="173">
        <v>0.14281717257420082</v>
      </c>
      <c r="E108" s="173">
        <v>0.15780247897662916</v>
      </c>
      <c r="F108" s="173">
        <v>0.16837946421713493</v>
      </c>
      <c r="G108" s="173">
        <v>0.18296947154028828</v>
      </c>
      <c r="H108" s="173">
        <v>0.18588038281768313</v>
      </c>
      <c r="I108" s="173">
        <v>0.18291674137874794</v>
      </c>
      <c r="J108" s="173">
        <v>0.18462294610046967</v>
      </c>
      <c r="K108" s="173">
        <v>0.18262328926483604</v>
      </c>
      <c r="L108" s="173">
        <v>0.18967170039496192</v>
      </c>
      <c r="M108" s="173">
        <v>0.18970222293925848</v>
      </c>
      <c r="N108" s="173">
        <v>0.18394699827780678</v>
      </c>
      <c r="O108" s="173">
        <v>0.18121696748400726</v>
      </c>
      <c r="P108" s="173">
        <v>0.17961008275023765</v>
      </c>
      <c r="Q108" s="173">
        <v>0.17217689040571882</v>
      </c>
      <c r="R108" s="173">
        <v>0.16524230475780763</v>
      </c>
      <c r="S108" s="173">
        <v>0.15796376117339797</v>
      </c>
      <c r="T108" s="173">
        <v>0.14990451288418419</v>
      </c>
      <c r="U108" s="173">
        <v>0.1489</v>
      </c>
      <c r="V108" s="173">
        <v>0.1489</v>
      </c>
      <c r="W108" s="173">
        <v>0.1489</v>
      </c>
      <c r="X108" s="173">
        <v>0.1489</v>
      </c>
      <c r="Y108" s="173">
        <v>0.1489</v>
      </c>
      <c r="Z108" s="173">
        <v>0.14305623677564808</v>
      </c>
      <c r="AA108" s="173">
        <v>0.13513324625607129</v>
      </c>
      <c r="AB108" s="173">
        <v>0.13259185093244533</v>
      </c>
      <c r="AC108" s="173">
        <v>0.12586939131475569</v>
      </c>
      <c r="AD108" s="173">
        <v>0.12093510804878724</v>
      </c>
      <c r="AE108" s="173">
        <v>0.11920227685363484</v>
      </c>
      <c r="AF108" s="173">
        <v>0.11058004268931611</v>
      </c>
      <c r="AG108" s="173">
        <v>0.10304427877917738</v>
      </c>
      <c r="AH108" s="173">
        <v>9.3819010322202884E-2</v>
      </c>
      <c r="AI108" s="173">
        <v>8.813678442730008E-2</v>
      </c>
      <c r="AJ108" s="173">
        <v>8.0613544610478274E-2</v>
      </c>
      <c r="AK108" s="173">
        <v>7.4028884156371974E-2</v>
      </c>
      <c r="AL108" s="173">
        <v>6.8402321161202387E-2</v>
      </c>
      <c r="AM108" s="173">
        <v>6.6407680922749027E-2</v>
      </c>
      <c r="AN108" s="173">
        <v>6.2117939192556558E-2</v>
      </c>
      <c r="AO108" s="173">
        <v>5.6950903357028362E-2</v>
      </c>
      <c r="AP108" s="173">
        <v>4.9559571548829062E-2</v>
      </c>
      <c r="AQ108" s="173">
        <v>4.3468166446573656E-2</v>
      </c>
      <c r="AR108" s="173">
        <v>3.9297444328260753E-2</v>
      </c>
      <c r="AS108" s="173">
        <v>3.050399717404469E-2</v>
      </c>
      <c r="AT108" s="173">
        <v>2.1339584689317393E-2</v>
      </c>
      <c r="AU108" s="173">
        <v>1.9183722278163048E-2</v>
      </c>
      <c r="AV108" s="173">
        <v>7.1406501299442933E-3</v>
      </c>
      <c r="AW108" s="173">
        <v>-6.9817018746737887E-22</v>
      </c>
      <c r="AX108" s="173">
        <v>-8.8048188015848808E-20</v>
      </c>
      <c r="AY108" s="173">
        <v>-3.8997456160347339E-19</v>
      </c>
      <c r="AZ108" s="173">
        <v>2.0634686859124451E-21</v>
      </c>
      <c r="BA108" s="173">
        <v>-5.3005115309241345E-23</v>
      </c>
      <c r="BB108" s="173">
        <v>1.3700186009970966E-21</v>
      </c>
      <c r="BC108" s="173">
        <v>2.2630680555682977E-22</v>
      </c>
      <c r="BD108" s="173">
        <v>-3.1631044729264502E-25</v>
      </c>
      <c r="BE108" s="173">
        <v>2.1322646884313337E-17</v>
      </c>
      <c r="BF108" s="173">
        <v>-6.8023658629520325E-19</v>
      </c>
      <c r="BG108" s="173">
        <v>1.7302825469448144E-17</v>
      </c>
      <c r="BH108" s="173">
        <v>-4.901908480501911E-23</v>
      </c>
      <c r="BI108" s="173">
        <v>6.2549912117183347E-17</v>
      </c>
      <c r="BJ108" s="173">
        <v>-4.1609920684491866E-23</v>
      </c>
      <c r="BK108" s="173">
        <v>7.6555180408900148E-24</v>
      </c>
      <c r="BL108" s="173">
        <v>4.7034427638714298E-23</v>
      </c>
      <c r="BM108" s="173">
        <v>4.0400786280723451E-23</v>
      </c>
      <c r="BN108" s="173">
        <v>6.3764882899125083E-23</v>
      </c>
      <c r="BO108" s="173">
        <v>4.4287874982559374E-22</v>
      </c>
      <c r="BP108" s="173">
        <v>-1.478940852660042E-25</v>
      </c>
      <c r="BQ108" s="173">
        <v>2.9097993582393392E-22</v>
      </c>
      <c r="BR108" s="173">
        <v>-5.3851102301814645E-22</v>
      </c>
      <c r="BS108" s="173">
        <v>1.1719961620975902E-21</v>
      </c>
      <c r="BT108" s="173">
        <v>2.3903375513268549E-23</v>
      </c>
      <c r="BU108" s="173">
        <v>-2.3806564633655045E-21</v>
      </c>
      <c r="BV108" s="173">
        <v>-1.6322020177007881E-22</v>
      </c>
      <c r="BW108" s="173">
        <v>1.5827116766409039E-22</v>
      </c>
      <c r="BX108" s="173">
        <v>7.6481659645355484E-22</v>
      </c>
      <c r="BY108" s="173">
        <v>5.5132699797225787E-24</v>
      </c>
      <c r="BZ108" s="173">
        <v>-5.8895718960283557E-19</v>
      </c>
      <c r="CA108" s="173">
        <v>-1.2848009701927069E-21</v>
      </c>
      <c r="CB108" s="173">
        <v>-2.837790681044361E-17</v>
      </c>
      <c r="CC108" s="173">
        <v>1.9753105651716099E-22</v>
      </c>
      <c r="CD108" s="173">
        <v>6.4053524806086911E-25</v>
      </c>
      <c r="CE108" s="173">
        <v>-5.2756361083810829E-21</v>
      </c>
      <c r="CF108" s="173">
        <v>-6.793758059372407E-18</v>
      </c>
      <c r="CG108" s="173">
        <v>2.5513195598405394E-18</v>
      </c>
      <c r="CH108" s="173">
        <v>8.036444271633809E-21</v>
      </c>
      <c r="CI108" s="173">
        <v>2.9555172932450148E-23</v>
      </c>
      <c r="CJ108" s="173">
        <v>4.8861079600444968E-18</v>
      </c>
      <c r="CK108" s="173">
        <v>1.3420997983375873E-19</v>
      </c>
      <c r="CL108" s="173">
        <v>-1.1297310508174246E-20</v>
      </c>
      <c r="CM108" s="173">
        <v>1.2828618600672668E-19</v>
      </c>
      <c r="CN108" s="173">
        <v>2.2037588818801382E-18</v>
      </c>
      <c r="CO108" s="173">
        <v>6.2180292029226989E-21</v>
      </c>
      <c r="CP108" s="173">
        <v>1.4844753296459681E-17</v>
      </c>
      <c r="CQ108" s="173">
        <v>-2.6875627261348494E-18</v>
      </c>
      <c r="CR108" s="173">
        <v>-9.0253937495986651E-17</v>
      </c>
      <c r="CS108" s="173">
        <v>1.9473557286277119E-16</v>
      </c>
      <c r="CT108" s="173">
        <v>-1.5470799081664485E-21</v>
      </c>
      <c r="CU108" s="173">
        <v>-9.9355876973774567E-20</v>
      </c>
      <c r="CV108" s="173">
        <v>-1.3627361800967982E-19</v>
      </c>
      <c r="CW108" s="173">
        <v>-3.0839620385645248E-19</v>
      </c>
      <c r="CX108" s="174">
        <v>2.7779003531993484E-4</v>
      </c>
      <c r="CZ108" s="180"/>
      <c r="DC108" s="180">
        <v>0.1082</v>
      </c>
      <c r="DE108" s="2">
        <f>DE107+1</f>
        <v>2</v>
      </c>
      <c r="DF108" s="141">
        <f t="shared" si="410"/>
        <v>0</v>
      </c>
      <c r="DG108" s="142">
        <f t="shared" si="411"/>
        <v>1</v>
      </c>
      <c r="DH108" s="141">
        <f t="shared" ref="DH108:DH127" si="412">MIN($C108:$CX108)</f>
        <v>-9.0253937495986651E-17</v>
      </c>
      <c r="DI108" s="142">
        <f t="shared" ref="DI108:DI156" si="413">MAX($C108:$CX108)</f>
        <v>0.18970222293925848</v>
      </c>
      <c r="DJ108" s="148">
        <f t="shared" ref="DJ108:DJ156" si="414">IF(DH108&lt;DF108-0.0001,1,0)</f>
        <v>0</v>
      </c>
      <c r="DK108" s="149">
        <f t="shared" ref="DK108:DK156" si="415">IF(DI108&gt;DG108+0.0001,1,0)</f>
        <v>0</v>
      </c>
    </row>
    <row r="109" spans="1:115" x14ac:dyDescent="0.2">
      <c r="B109" s="167" t="s">
        <v>2</v>
      </c>
      <c r="C109" s="172">
        <v>3.2601080008536641E-2</v>
      </c>
      <c r="D109" s="173">
        <v>3.0784825851865334E-2</v>
      </c>
      <c r="E109" s="173">
        <v>2.5266591655913873E-2</v>
      </c>
      <c r="F109" s="173">
        <v>2.2626269675604268E-2</v>
      </c>
      <c r="G109" s="173">
        <v>1.7229354859737544E-2</v>
      </c>
      <c r="H109" s="173">
        <v>1.3553543860721343E-2</v>
      </c>
      <c r="I109" s="173">
        <v>1.090204544441831E-2</v>
      </c>
      <c r="J109" s="173">
        <v>9.2843690861641893E-3</v>
      </c>
      <c r="K109" s="173">
        <v>8.157356091828839E-3</v>
      </c>
      <c r="L109" s="173">
        <v>4.1186325413344136E-3</v>
      </c>
      <c r="M109" s="173">
        <v>2.6116456650689341E-3</v>
      </c>
      <c r="N109" s="173">
        <v>1.255939940127104E-3</v>
      </c>
      <c r="O109" s="173">
        <v>7.6689551756203053E-4</v>
      </c>
      <c r="P109" s="173">
        <v>1.1010087706456779E-21</v>
      </c>
      <c r="Q109" s="173">
        <v>1.0040121188175563E-22</v>
      </c>
      <c r="R109" s="173">
        <v>2.234532288937327E-24</v>
      </c>
      <c r="S109" s="173">
        <v>2.3010062150029278E-21</v>
      </c>
      <c r="T109" s="173">
        <v>2.86962417291929E-23</v>
      </c>
      <c r="U109" s="173">
        <v>-1.0906235223650625E-23</v>
      </c>
      <c r="V109" s="173">
        <v>-7.3012698455365279E-22</v>
      </c>
      <c r="W109" s="173">
        <v>-1.3571127046203599E-22</v>
      </c>
      <c r="X109" s="173">
        <v>-1.3913543626540552E-22</v>
      </c>
      <c r="Y109" s="173">
        <v>-8.1294764493774109E-22</v>
      </c>
      <c r="Z109" s="173">
        <v>5.8437632243519277E-3</v>
      </c>
      <c r="AA109" s="173">
        <v>1.3766753743928724E-2</v>
      </c>
      <c r="AB109" s="173">
        <v>1.6308149067554668E-2</v>
      </c>
      <c r="AC109" s="173">
        <v>2.3030608685244296E-2</v>
      </c>
      <c r="AD109" s="173">
        <v>2.7964891951212777E-2</v>
      </c>
      <c r="AE109" s="173">
        <v>2.9697723146365162E-2</v>
      </c>
      <c r="AF109" s="173">
        <v>3.8319957310683911E-2</v>
      </c>
      <c r="AG109" s="173">
        <v>4.5855721220822626E-2</v>
      </c>
      <c r="AH109" s="173">
        <v>5.5080989677797121E-2</v>
      </c>
      <c r="AI109" s="173">
        <v>6.0763215572699925E-2</v>
      </c>
      <c r="AJ109" s="173">
        <v>6.828645538952173E-2</v>
      </c>
      <c r="AK109" s="173">
        <v>7.4871115843628031E-2</v>
      </c>
      <c r="AL109" s="173">
        <v>8.0497678838797618E-2</v>
      </c>
      <c r="AM109" s="173">
        <v>8.2492319077250978E-2</v>
      </c>
      <c r="AN109" s="173">
        <v>8.678206080744344E-2</v>
      </c>
      <c r="AO109" s="173">
        <v>9.1949096642971656E-2</v>
      </c>
      <c r="AP109" s="173">
        <v>9.9340428451170928E-2</v>
      </c>
      <c r="AQ109" s="173">
        <v>0.10543183355342635</v>
      </c>
      <c r="AR109" s="173">
        <v>0.10960255567173925</v>
      </c>
      <c r="AS109" s="173">
        <v>0.1183960028259553</v>
      </c>
      <c r="AT109" s="173">
        <v>0.1275604153106826</v>
      </c>
      <c r="AU109" s="173">
        <v>0.12971627772183697</v>
      </c>
      <c r="AV109" s="173">
        <v>0.14175934987005567</v>
      </c>
      <c r="AW109" s="173">
        <v>0.1489</v>
      </c>
      <c r="AX109" s="173">
        <v>0.1489</v>
      </c>
      <c r="AY109" s="173">
        <v>0.1489</v>
      </c>
      <c r="AZ109" s="173">
        <v>0.1489</v>
      </c>
      <c r="BA109" s="173">
        <v>0.1489</v>
      </c>
      <c r="BB109" s="173">
        <v>0.1489</v>
      </c>
      <c r="BC109" s="173">
        <v>0.1489</v>
      </c>
      <c r="BD109" s="173">
        <v>0.1489</v>
      </c>
      <c r="BE109" s="173">
        <v>0.14890000000000023</v>
      </c>
      <c r="BF109" s="173">
        <v>0.14890000000000023</v>
      </c>
      <c r="BG109" s="173">
        <v>0.14890000000000014</v>
      </c>
      <c r="BH109" s="173">
        <v>0.1489</v>
      </c>
      <c r="BI109" s="173">
        <v>0.14890000000000037</v>
      </c>
      <c r="BJ109" s="173">
        <v>0.1489</v>
      </c>
      <c r="BK109" s="173">
        <v>0.1489</v>
      </c>
      <c r="BL109" s="173">
        <v>0.1489</v>
      </c>
      <c r="BM109" s="173">
        <v>0.1489</v>
      </c>
      <c r="BN109" s="173">
        <v>0.1489</v>
      </c>
      <c r="BO109" s="173">
        <v>0.1489</v>
      </c>
      <c r="BP109" s="173">
        <v>0.1489</v>
      </c>
      <c r="BQ109" s="173">
        <v>0.1489</v>
      </c>
      <c r="BR109" s="173">
        <v>0.1489</v>
      </c>
      <c r="BS109" s="173">
        <v>0.1489</v>
      </c>
      <c r="BT109" s="173">
        <v>0.1489</v>
      </c>
      <c r="BU109" s="173">
        <v>0.1489</v>
      </c>
      <c r="BV109" s="173">
        <v>0.1489</v>
      </c>
      <c r="BW109" s="173">
        <v>0.1489</v>
      </c>
      <c r="BX109" s="173">
        <v>0.1489</v>
      </c>
      <c r="BY109" s="173">
        <v>0.1489</v>
      </c>
      <c r="BZ109" s="173">
        <v>0.14890000000000031</v>
      </c>
      <c r="CA109" s="173">
        <v>0.1489</v>
      </c>
      <c r="CB109" s="173">
        <v>0.14890000000000034</v>
      </c>
      <c r="CC109" s="173">
        <v>0.1489</v>
      </c>
      <c r="CD109" s="173">
        <v>0.1489</v>
      </c>
      <c r="CE109" s="173">
        <v>0.1489</v>
      </c>
      <c r="CF109" s="173">
        <v>0.14890000000000014</v>
      </c>
      <c r="CG109" s="173">
        <v>0.1489</v>
      </c>
      <c r="CH109" s="173">
        <v>0.1489</v>
      </c>
      <c r="CI109" s="173">
        <v>0.1489</v>
      </c>
      <c r="CJ109" s="173">
        <v>0.14890000000000045</v>
      </c>
      <c r="CK109" s="173">
        <v>0.1489</v>
      </c>
      <c r="CL109" s="173">
        <v>0.1489</v>
      </c>
      <c r="CM109" s="173">
        <v>0.1489</v>
      </c>
      <c r="CN109" s="173">
        <v>0.1489</v>
      </c>
      <c r="CO109" s="173">
        <v>0.1489</v>
      </c>
      <c r="CP109" s="173">
        <v>0.14890000000000028</v>
      </c>
      <c r="CQ109" s="173">
        <v>0.14890000000000017</v>
      </c>
      <c r="CR109" s="173">
        <v>0.14890000000000031</v>
      </c>
      <c r="CS109" s="173">
        <v>0.1489</v>
      </c>
      <c r="CT109" s="173">
        <v>0.1489</v>
      </c>
      <c r="CU109" s="173">
        <v>0.1489</v>
      </c>
      <c r="CV109" s="173">
        <v>0.1489</v>
      </c>
      <c r="CW109" s="173">
        <v>0.1489</v>
      </c>
      <c r="CX109" s="174">
        <v>0.14864874896245098</v>
      </c>
      <c r="CZ109" s="180"/>
      <c r="DC109" s="180">
        <v>0.1331</v>
      </c>
      <c r="DE109" s="2">
        <f t="shared" ref="DE109:DE156" si="416">DE108+1</f>
        <v>3</v>
      </c>
      <c r="DF109" s="141">
        <f t="shared" si="410"/>
        <v>0</v>
      </c>
      <c r="DG109" s="142">
        <f t="shared" si="411"/>
        <v>1</v>
      </c>
      <c r="DH109" s="141">
        <f t="shared" si="412"/>
        <v>-8.1294764493774109E-22</v>
      </c>
      <c r="DI109" s="142">
        <f t="shared" si="413"/>
        <v>0.14890000000000045</v>
      </c>
      <c r="DJ109" s="148">
        <f t="shared" si="414"/>
        <v>0</v>
      </c>
      <c r="DK109" s="149">
        <f t="shared" si="415"/>
        <v>0</v>
      </c>
    </row>
    <row r="110" spans="1:115" x14ac:dyDescent="0.2">
      <c r="B110" s="167" t="s">
        <v>3</v>
      </c>
      <c r="C110" s="172">
        <v>1.9936907476820523E-24</v>
      </c>
      <c r="D110" s="173">
        <v>3.0138280997378729E-23</v>
      </c>
      <c r="E110" s="173">
        <v>0</v>
      </c>
      <c r="F110" s="173">
        <v>4.5539176970777308E-24</v>
      </c>
      <c r="G110" s="173">
        <v>5.0720402427579543E-23</v>
      </c>
      <c r="H110" s="173">
        <v>6.7968361599298347E-3</v>
      </c>
      <c r="I110" s="173">
        <v>1.7980730106180287E-2</v>
      </c>
      <c r="J110" s="173">
        <v>2.5416719007541399E-2</v>
      </c>
      <c r="K110" s="173">
        <v>3.4774338738447715E-2</v>
      </c>
      <c r="L110" s="173">
        <v>3.9729036606369832E-2</v>
      </c>
      <c r="M110" s="173">
        <v>4.8322945630134728E-2</v>
      </c>
      <c r="N110" s="173">
        <v>6.09513007921728E-2</v>
      </c>
      <c r="O110" s="173">
        <v>7.083736642673355E-2</v>
      </c>
      <c r="P110" s="173">
        <v>7.9706975140366357E-2</v>
      </c>
      <c r="Q110" s="173">
        <v>9.26473014050644E-2</v>
      </c>
      <c r="R110" s="173">
        <v>0.10519112132250852</v>
      </c>
      <c r="S110" s="173">
        <v>0.11781534358954392</v>
      </c>
      <c r="T110" s="173">
        <v>0.13073917177087263</v>
      </c>
      <c r="U110" s="173">
        <v>0.13829032245970216</v>
      </c>
      <c r="V110" s="173">
        <v>0.14500197958803326</v>
      </c>
      <c r="W110" s="173">
        <v>0.15207025944234676</v>
      </c>
      <c r="X110" s="173">
        <v>0.15589999972802182</v>
      </c>
      <c r="Y110" s="173">
        <v>0.15589998835036104</v>
      </c>
      <c r="Z110" s="173">
        <v>0.15424076551663984</v>
      </c>
      <c r="AA110" s="173">
        <v>0.15186345533788073</v>
      </c>
      <c r="AB110" s="173">
        <v>0.1487888037578996</v>
      </c>
      <c r="AC110" s="173">
        <v>0.14536716488061158</v>
      </c>
      <c r="AD110" s="173">
        <v>0.14215720194539924</v>
      </c>
      <c r="AE110" s="173">
        <v>0.1381585771798941</v>
      </c>
      <c r="AF110" s="173">
        <v>0.13621126451632914</v>
      </c>
      <c r="AG110" s="173">
        <v>0.13392181605878795</v>
      </c>
      <c r="AH110" s="173">
        <v>0.1315636180454057</v>
      </c>
      <c r="AI110" s="173">
        <v>0.12813225125833383</v>
      </c>
      <c r="AJ110" s="173">
        <v>0.1262836502887795</v>
      </c>
      <c r="AK110" s="173">
        <v>0.12486016600215258</v>
      </c>
      <c r="AL110" s="173">
        <v>0.12503750090274382</v>
      </c>
      <c r="AM110" s="173">
        <v>0.12496325631900151</v>
      </c>
      <c r="AN110" s="173">
        <v>0.12516359898263102</v>
      </c>
      <c r="AO110" s="173">
        <v>0.12550241769029397</v>
      </c>
      <c r="AP110" s="173">
        <v>0.12623423607310838</v>
      </c>
      <c r="AQ110" s="173">
        <v>0.12461312016897215</v>
      </c>
      <c r="AR110" s="173">
        <v>0.12182877918216677</v>
      </c>
      <c r="AS110" s="173">
        <v>0.11932774797423412</v>
      </c>
      <c r="AT110" s="173">
        <v>0.11796854133649402</v>
      </c>
      <c r="AU110" s="173">
        <v>0.11673259750568266</v>
      </c>
      <c r="AV110" s="173">
        <v>0.11446921754912424</v>
      </c>
      <c r="AW110" s="173">
        <v>0.11446921754912423</v>
      </c>
      <c r="AX110" s="173">
        <v>0.10386633503340922</v>
      </c>
      <c r="AY110" s="173">
        <v>8.8032317134299265E-2</v>
      </c>
      <c r="AZ110" s="173">
        <v>7.2382830956920816E-2</v>
      </c>
      <c r="BA110" s="173">
        <v>6.0247751976164658E-2</v>
      </c>
      <c r="BB110" s="173">
        <v>5.8669217820409465E-2</v>
      </c>
      <c r="BC110" s="173">
        <v>5.8669217820409458E-2</v>
      </c>
      <c r="BD110" s="173">
        <v>5.8669217820409444E-2</v>
      </c>
      <c r="BE110" s="173">
        <v>5.8669217820409819E-2</v>
      </c>
      <c r="BF110" s="173">
        <v>5.8669217820409181E-2</v>
      </c>
      <c r="BG110" s="173">
        <v>5.8669217820409354E-2</v>
      </c>
      <c r="BH110" s="173">
        <v>5.8669212038240048E-2</v>
      </c>
      <c r="BI110" s="173">
        <v>5.866921782040934E-2</v>
      </c>
      <c r="BJ110" s="173">
        <v>5.8669212038240041E-2</v>
      </c>
      <c r="BK110" s="173">
        <v>5.8669212038240048E-2</v>
      </c>
      <c r="BL110" s="173">
        <v>5.8669212038240021E-2</v>
      </c>
      <c r="BM110" s="173">
        <v>5.8669212038240048E-2</v>
      </c>
      <c r="BN110" s="173">
        <v>5.8669212038240021E-2</v>
      </c>
      <c r="BO110" s="173">
        <v>5.8669217820409458E-2</v>
      </c>
      <c r="BP110" s="173">
        <v>5.8669212038240048E-2</v>
      </c>
      <c r="BQ110" s="173">
        <v>5.8669212038240035E-2</v>
      </c>
      <c r="BR110" s="173">
        <v>5.8669212038240028E-2</v>
      </c>
      <c r="BS110" s="173">
        <v>5.8669212038240055E-2</v>
      </c>
      <c r="BT110" s="173">
        <v>5.8669212038240007E-2</v>
      </c>
      <c r="BU110" s="173">
        <v>5.8669212038240048E-2</v>
      </c>
      <c r="BV110" s="173">
        <v>5.8669212038240035E-2</v>
      </c>
      <c r="BW110" s="173">
        <v>5.8669212038240007E-2</v>
      </c>
      <c r="BX110" s="173">
        <v>5.8669212038240028E-2</v>
      </c>
      <c r="BY110" s="173">
        <v>5.8669212038240028E-2</v>
      </c>
      <c r="BZ110" s="173">
        <v>5.8669217820409243E-2</v>
      </c>
      <c r="CA110" s="173">
        <v>5.8669217820409444E-2</v>
      </c>
      <c r="CB110" s="173">
        <v>5.8669212038240194E-2</v>
      </c>
      <c r="CC110" s="173">
        <v>5.8669217820409458E-2</v>
      </c>
      <c r="CD110" s="173">
        <v>5.8669217820409424E-2</v>
      </c>
      <c r="CE110" s="173">
        <v>5.8669217820409417E-2</v>
      </c>
      <c r="CF110" s="173">
        <v>5.8669212038240194E-2</v>
      </c>
      <c r="CG110" s="173">
        <v>5.8669217820409472E-2</v>
      </c>
      <c r="CH110" s="173">
        <v>5.8669217820409417E-2</v>
      </c>
      <c r="CI110" s="173">
        <v>5.8669217820409431E-2</v>
      </c>
      <c r="CJ110" s="173">
        <v>5.8669212038240166E-2</v>
      </c>
      <c r="CK110" s="173">
        <v>5.8669217820409451E-2</v>
      </c>
      <c r="CL110" s="173">
        <v>5.8669217820409451E-2</v>
      </c>
      <c r="CM110" s="173">
        <v>5.8669217820409438E-2</v>
      </c>
      <c r="CN110" s="173">
        <v>5.8669217820409403E-2</v>
      </c>
      <c r="CO110" s="173">
        <v>4.8926690105660822E-2</v>
      </c>
      <c r="CP110" s="173">
        <v>3.0777610488534838E-2</v>
      </c>
      <c r="CQ110" s="173">
        <v>1.6031789682354792E-2</v>
      </c>
      <c r="CR110" s="173">
        <v>0</v>
      </c>
      <c r="CS110" s="173">
        <v>0</v>
      </c>
      <c r="CT110" s="173">
        <v>4.0082521227191331E-20</v>
      </c>
      <c r="CU110" s="173">
        <v>8.2024421362039822E-20</v>
      </c>
      <c r="CV110" s="173">
        <v>1.1250231121772194E-19</v>
      </c>
      <c r="CW110" s="173">
        <v>7.7242507134447738E-20</v>
      </c>
      <c r="CX110" s="174">
        <v>1.1696654194860666E-4</v>
      </c>
      <c r="CZ110" s="180"/>
      <c r="DC110" s="180">
        <v>6.1900000000000004E-2</v>
      </c>
      <c r="DE110" s="2">
        <f t="shared" si="416"/>
        <v>4</v>
      </c>
      <c r="DF110" s="141">
        <f t="shared" si="410"/>
        <v>0</v>
      </c>
      <c r="DG110" s="142">
        <f t="shared" si="411"/>
        <v>1</v>
      </c>
      <c r="DH110" s="141">
        <f t="shared" si="412"/>
        <v>0</v>
      </c>
      <c r="DI110" s="142">
        <f t="shared" si="413"/>
        <v>0.15589999972802182</v>
      </c>
      <c r="DJ110" s="148">
        <f t="shared" si="414"/>
        <v>0</v>
      </c>
      <c r="DK110" s="149">
        <f t="shared" si="415"/>
        <v>0</v>
      </c>
    </row>
    <row r="111" spans="1:115" x14ac:dyDescent="0.2">
      <c r="B111" s="167" t="s">
        <v>4</v>
      </c>
      <c r="C111" s="172">
        <v>2.7128521651332935E-10</v>
      </c>
      <c r="D111" s="173">
        <v>2.71285216513605E-10</v>
      </c>
      <c r="E111" s="173">
        <v>2.7128521651321731E-10</v>
      </c>
      <c r="F111" s="173">
        <v>2.7128521651320625E-10</v>
      </c>
      <c r="G111" s="173">
        <v>2.7128521651320625E-10</v>
      </c>
      <c r="H111" s="173">
        <v>2.712852165170102E-10</v>
      </c>
      <c r="I111" s="173">
        <v>2.7128521651320625E-10</v>
      </c>
      <c r="J111" s="173">
        <v>2.7128521655558566E-10</v>
      </c>
      <c r="K111" s="173">
        <v>2.7128521652774876E-10</v>
      </c>
      <c r="L111" s="173">
        <v>2.7128521651332904E-10</v>
      </c>
      <c r="M111" s="173">
        <v>2.7128521651325702E-10</v>
      </c>
      <c r="N111" s="173">
        <v>2.7128521654325746E-10</v>
      </c>
      <c r="O111" s="173">
        <v>2.7128521651337846E-10</v>
      </c>
      <c r="P111" s="173">
        <v>2.7128521651322977E-10</v>
      </c>
      <c r="Q111" s="173">
        <v>2.7128521651329057E-10</v>
      </c>
      <c r="R111" s="173">
        <v>2.7128521651461375E-10</v>
      </c>
      <c r="S111" s="173">
        <v>2.7128521652363095E-10</v>
      </c>
      <c r="T111" s="173">
        <v>2.7128521651346681E-10</v>
      </c>
      <c r="U111" s="173">
        <v>2.7128521651320625E-10</v>
      </c>
      <c r="V111" s="173">
        <v>2.712852165133494E-10</v>
      </c>
      <c r="W111" s="173">
        <v>2.7128521651345973E-10</v>
      </c>
      <c r="X111" s="173">
        <v>2.7128521651320625E-10</v>
      </c>
      <c r="Y111" s="173">
        <v>2.7128521651395164E-10</v>
      </c>
      <c r="Z111" s="173">
        <v>2.7128521651320625E-10</v>
      </c>
      <c r="AA111" s="173">
        <v>2.7128521651337412E-10</v>
      </c>
      <c r="AB111" s="173">
        <v>2.7128521651481408E-10</v>
      </c>
      <c r="AC111" s="173">
        <v>2.7128521651461344E-10</v>
      </c>
      <c r="AD111" s="173">
        <v>2.7128521651320625E-10</v>
      </c>
      <c r="AE111" s="173">
        <v>2.7128521651345089E-10</v>
      </c>
      <c r="AF111" s="173">
        <v>2.7128521651351737E-10</v>
      </c>
      <c r="AG111" s="173">
        <v>2.7128521651320625E-10</v>
      </c>
      <c r="AH111" s="173">
        <v>2.7128521651329564E-10</v>
      </c>
      <c r="AI111" s="173">
        <v>2.7128521651335023E-10</v>
      </c>
      <c r="AJ111" s="173">
        <v>2.7128521651326695E-10</v>
      </c>
      <c r="AK111" s="173">
        <v>2.7128521651334682E-10</v>
      </c>
      <c r="AL111" s="173">
        <v>2.7128521651336254E-10</v>
      </c>
      <c r="AM111" s="173">
        <v>2.7128521651364192E-10</v>
      </c>
      <c r="AN111" s="173">
        <v>2.7128521651574456E-10</v>
      </c>
      <c r="AO111" s="173">
        <v>2.7128521659894973E-10</v>
      </c>
      <c r="AP111" s="173">
        <v>2.7128521651349669E-10</v>
      </c>
      <c r="AQ111" s="173">
        <v>2.7128521651347932E-10</v>
      </c>
      <c r="AR111" s="173">
        <v>2.7128521651340607E-10</v>
      </c>
      <c r="AS111" s="173">
        <v>2.7128521651326927E-10</v>
      </c>
      <c r="AT111" s="173">
        <v>2.7128521651321178E-10</v>
      </c>
      <c r="AU111" s="173">
        <v>2.7128521651387327E-10</v>
      </c>
      <c r="AV111" s="173">
        <v>2.7128521651321985E-10</v>
      </c>
      <c r="AW111" s="173">
        <v>2.7128521651329957E-10</v>
      </c>
      <c r="AX111" s="173">
        <v>1.0602882787000221E-2</v>
      </c>
      <c r="AY111" s="173">
        <v>2.6436900686110206E-2</v>
      </c>
      <c r="AZ111" s="173">
        <v>4.2086386863488631E-2</v>
      </c>
      <c r="BA111" s="173">
        <v>5.4221465844244796E-2</v>
      </c>
      <c r="BB111" s="173">
        <v>5.5800000000000002E-2</v>
      </c>
      <c r="BC111" s="173">
        <v>5.5800000000000002E-2</v>
      </c>
      <c r="BD111" s="173">
        <v>5.5800000000000002E-2</v>
      </c>
      <c r="BE111" s="173">
        <v>5.5799999999999975E-2</v>
      </c>
      <c r="BF111" s="173">
        <v>5.5800000000000058E-2</v>
      </c>
      <c r="BG111" s="173">
        <v>5.5799999999999988E-2</v>
      </c>
      <c r="BH111" s="173">
        <v>5.5800000000000002E-2</v>
      </c>
      <c r="BI111" s="173">
        <v>5.5800000000000016E-2</v>
      </c>
      <c r="BJ111" s="173">
        <v>5.5800000000000002E-2</v>
      </c>
      <c r="BK111" s="173">
        <v>5.5800000000000002E-2</v>
      </c>
      <c r="BL111" s="173">
        <v>5.5800000000000002E-2</v>
      </c>
      <c r="BM111" s="173">
        <v>5.5800000000000002E-2</v>
      </c>
      <c r="BN111" s="173">
        <v>5.5800000000000002E-2</v>
      </c>
      <c r="BO111" s="173">
        <v>5.5800000000000002E-2</v>
      </c>
      <c r="BP111" s="173">
        <v>5.5800000000000002E-2</v>
      </c>
      <c r="BQ111" s="173">
        <v>5.5800000000000002E-2</v>
      </c>
      <c r="BR111" s="173">
        <v>5.5800000000000002E-2</v>
      </c>
      <c r="BS111" s="173">
        <v>5.5800000000000002E-2</v>
      </c>
      <c r="BT111" s="173">
        <v>5.5800000000000002E-2</v>
      </c>
      <c r="BU111" s="173">
        <v>5.5800000000000002E-2</v>
      </c>
      <c r="BV111" s="173">
        <v>5.5800000000000002E-2</v>
      </c>
      <c r="BW111" s="173">
        <v>5.5800000000000002E-2</v>
      </c>
      <c r="BX111" s="173">
        <v>5.5800000000000002E-2</v>
      </c>
      <c r="BY111" s="173">
        <v>5.5800000000000002E-2</v>
      </c>
      <c r="BZ111" s="173">
        <v>5.5800000000000016E-2</v>
      </c>
      <c r="CA111" s="173">
        <v>5.5800000000000002E-2</v>
      </c>
      <c r="CB111" s="173">
        <v>5.5799999999999864E-2</v>
      </c>
      <c r="CC111" s="173">
        <v>5.5800000000000002E-2</v>
      </c>
      <c r="CD111" s="173">
        <v>5.5800000000000002E-2</v>
      </c>
      <c r="CE111" s="173">
        <v>5.5800000000000002E-2</v>
      </c>
      <c r="CF111" s="173">
        <v>5.5799999999999982E-2</v>
      </c>
      <c r="CG111" s="173">
        <v>5.5800000000000002E-2</v>
      </c>
      <c r="CH111" s="173">
        <v>5.5800000000000002E-2</v>
      </c>
      <c r="CI111" s="173">
        <v>5.5800000000000002E-2</v>
      </c>
      <c r="CJ111" s="173">
        <v>5.5799999999999905E-2</v>
      </c>
      <c r="CK111" s="173">
        <v>5.5800000000000002E-2</v>
      </c>
      <c r="CL111" s="173">
        <v>5.5800000000000002E-2</v>
      </c>
      <c r="CM111" s="173">
        <v>5.5800000000000002E-2</v>
      </c>
      <c r="CN111" s="173">
        <v>5.5800000000000009E-2</v>
      </c>
      <c r="CO111" s="173">
        <v>5.5800000000000002E-2</v>
      </c>
      <c r="CP111" s="173">
        <v>5.5799999999999912E-2</v>
      </c>
      <c r="CQ111" s="173">
        <v>5.5799999999999982E-2</v>
      </c>
      <c r="CR111" s="173">
        <v>5.5800000000000252E-2</v>
      </c>
      <c r="CS111" s="173">
        <v>5.5800000000000002E-2</v>
      </c>
      <c r="CT111" s="173">
        <v>5.5800000000000002E-2</v>
      </c>
      <c r="CU111" s="173">
        <v>5.5800000000000002E-2</v>
      </c>
      <c r="CV111" s="173">
        <v>5.5800000000000002E-2</v>
      </c>
      <c r="CW111" s="173">
        <v>5.5800000000000002E-2</v>
      </c>
      <c r="CX111" s="174">
        <v>3.7002756841939453E-2</v>
      </c>
      <c r="CZ111" s="180"/>
      <c r="DC111" s="180">
        <v>5.5800000000000002E-2</v>
      </c>
      <c r="DE111" s="2">
        <f t="shared" si="416"/>
        <v>5</v>
      </c>
      <c r="DF111" s="141">
        <f t="shared" si="410"/>
        <v>0</v>
      </c>
      <c r="DG111" s="142">
        <f t="shared" si="411"/>
        <v>5.5800000000000002E-2</v>
      </c>
      <c r="DH111" s="141">
        <f t="shared" si="412"/>
        <v>2.7128521651320625E-10</v>
      </c>
      <c r="DI111" s="142">
        <f t="shared" si="413"/>
        <v>5.5800000000000252E-2</v>
      </c>
      <c r="DJ111" s="148">
        <f t="shared" si="414"/>
        <v>0</v>
      </c>
      <c r="DK111" s="149">
        <f t="shared" si="415"/>
        <v>0</v>
      </c>
    </row>
    <row r="112" spans="1:115" x14ac:dyDescent="0.2">
      <c r="B112" s="167" t="s">
        <v>5</v>
      </c>
      <c r="C112" s="172">
        <v>1.7701040633265395E-10</v>
      </c>
      <c r="D112" s="173">
        <v>1.7701040633255616E-10</v>
      </c>
      <c r="E112" s="173">
        <v>1.7701040633255616E-10</v>
      </c>
      <c r="F112" s="173">
        <v>1.7701040633284128E-10</v>
      </c>
      <c r="G112" s="173">
        <v>1.7701040633255616E-10</v>
      </c>
      <c r="H112" s="173">
        <v>1.770104063332019E-10</v>
      </c>
      <c r="I112" s="173">
        <v>1.7701040633255616E-10</v>
      </c>
      <c r="J112" s="173">
        <v>1.7701040633255618E-10</v>
      </c>
      <c r="K112" s="173">
        <v>1.7701040633496886E-10</v>
      </c>
      <c r="L112" s="173">
        <v>1.7701040633263833E-10</v>
      </c>
      <c r="M112" s="173">
        <v>1.7701040633357556E-10</v>
      </c>
      <c r="N112" s="173">
        <v>1.7701040633255624E-10</v>
      </c>
      <c r="O112" s="173">
        <v>1.7701040633257748E-10</v>
      </c>
      <c r="P112" s="173">
        <v>1.7701040633256531E-10</v>
      </c>
      <c r="Q112" s="173">
        <v>1.7701040633263174E-10</v>
      </c>
      <c r="R112" s="173">
        <v>1.77010406332708E-10</v>
      </c>
      <c r="S112" s="173">
        <v>1.7701040633255673E-10</v>
      </c>
      <c r="T112" s="173">
        <v>1.7701040633283784E-10</v>
      </c>
      <c r="U112" s="173">
        <v>1.7701040633255616E-10</v>
      </c>
      <c r="V112" s="173">
        <v>1.7701040633255616E-10</v>
      </c>
      <c r="W112" s="173">
        <v>1.7701040633265935E-10</v>
      </c>
      <c r="X112" s="173">
        <v>1.7701040633255616E-10</v>
      </c>
      <c r="Y112" s="173">
        <v>1.7701040633334733E-10</v>
      </c>
      <c r="Z112" s="173">
        <v>1.7701040633255616E-10</v>
      </c>
      <c r="AA112" s="173">
        <v>1.7701040633255616E-10</v>
      </c>
      <c r="AB112" s="173">
        <v>1.7701040633255616E-10</v>
      </c>
      <c r="AC112" s="173">
        <v>1.770104063373939E-10</v>
      </c>
      <c r="AD112" s="173">
        <v>1.7701040633255616E-10</v>
      </c>
      <c r="AE112" s="173">
        <v>1.7701040633255616E-10</v>
      </c>
      <c r="AF112" s="173">
        <v>1.7701040633276228E-10</v>
      </c>
      <c r="AG112" s="173">
        <v>1.7701040633255616E-10</v>
      </c>
      <c r="AH112" s="173">
        <v>1.7701040633257857E-10</v>
      </c>
      <c r="AI112" s="173">
        <v>1.7701040633399687E-10</v>
      </c>
      <c r="AJ112" s="173">
        <v>1.7701040633311647E-10</v>
      </c>
      <c r="AK112" s="173">
        <v>1.7701040633272333E-10</v>
      </c>
      <c r="AL112" s="173">
        <v>1.7701040633255616E-10</v>
      </c>
      <c r="AM112" s="173">
        <v>1.7701040633271188E-10</v>
      </c>
      <c r="AN112" s="173">
        <v>1.7701040633309261E-10</v>
      </c>
      <c r="AO112" s="173">
        <v>1.7701040637361702E-10</v>
      </c>
      <c r="AP112" s="173">
        <v>1.7701040633277849E-10</v>
      </c>
      <c r="AQ112" s="173">
        <v>1.7701040633256611E-10</v>
      </c>
      <c r="AR112" s="173">
        <v>1.7701040633258397E-10</v>
      </c>
      <c r="AS112" s="173">
        <v>1.7701040633266966E-10</v>
      </c>
      <c r="AT112" s="173">
        <v>1.770104063326091E-10</v>
      </c>
      <c r="AU112" s="173">
        <v>1.7701040633255616E-10</v>
      </c>
      <c r="AV112" s="173">
        <v>1.7701040633255616E-10</v>
      </c>
      <c r="AW112" s="173">
        <v>1.7701040633256789E-10</v>
      </c>
      <c r="AX112" s="173">
        <v>1.7701040648168473E-10</v>
      </c>
      <c r="AY112" s="173">
        <v>1.7701040646793629E-10</v>
      </c>
      <c r="AZ112" s="173">
        <v>1.7701040634273831E-10</v>
      </c>
      <c r="BA112" s="173">
        <v>1.7701040633280255E-10</v>
      </c>
      <c r="BB112" s="173">
        <v>1.7701040643826534E-10</v>
      </c>
      <c r="BC112" s="173">
        <v>1.7701040633278056E-10</v>
      </c>
      <c r="BD112" s="173">
        <v>1.7701040633441956E-10</v>
      </c>
      <c r="BE112" s="173">
        <v>1.770104264756999E-10</v>
      </c>
      <c r="BF112" s="173">
        <v>1.7701041515017506E-10</v>
      </c>
      <c r="BG112" s="173">
        <v>1.7701041471597831E-10</v>
      </c>
      <c r="BH112" s="173">
        <v>1.7701040633417549E-10</v>
      </c>
      <c r="BI112" s="173">
        <v>1.7701047657623238E-10</v>
      </c>
      <c r="BJ112" s="173">
        <v>1.7701040633416875E-10</v>
      </c>
      <c r="BK112" s="173">
        <v>1.770104063326776E-10</v>
      </c>
      <c r="BL112" s="173">
        <v>1.7701040633353934E-10</v>
      </c>
      <c r="BM112" s="173">
        <v>1.770104063326023E-10</v>
      </c>
      <c r="BN112" s="173">
        <v>1.77010406332629E-10</v>
      </c>
      <c r="BO112" s="173">
        <v>1.7701040659229472E-10</v>
      </c>
      <c r="BP112" s="173">
        <v>1.7701040633281088E-10</v>
      </c>
      <c r="BQ112" s="173">
        <v>1.7701040633803204E-10</v>
      </c>
      <c r="BR112" s="173">
        <v>1.7701040633309352E-10</v>
      </c>
      <c r="BS112" s="173">
        <v>1.7701040633390976E-10</v>
      </c>
      <c r="BT112" s="173">
        <v>1.7701040633267786E-10</v>
      </c>
      <c r="BU112" s="173">
        <v>1.7701040633255616E-10</v>
      </c>
      <c r="BV112" s="173">
        <v>1.7701040633263216E-10</v>
      </c>
      <c r="BW112" s="173">
        <v>1.7701040633302871E-10</v>
      </c>
      <c r="BX112" s="173">
        <v>1.7701040634623685E-10</v>
      </c>
      <c r="BY112" s="173">
        <v>1.7701040633264324E-10</v>
      </c>
      <c r="BZ112" s="173">
        <v>1.7701041888901067E-10</v>
      </c>
      <c r="CA112" s="173">
        <v>1.770104064310993E-10</v>
      </c>
      <c r="CB112" s="173">
        <v>1.7701045785304478E-10</v>
      </c>
      <c r="CC112" s="173">
        <v>1.7701040633668661E-10</v>
      </c>
      <c r="CD112" s="173">
        <v>1.7701040633259333E-10</v>
      </c>
      <c r="CE112" s="173">
        <v>1.7701040642175528E-10</v>
      </c>
      <c r="CF112" s="173">
        <v>1.7701040633255616E-10</v>
      </c>
      <c r="CG112" s="173">
        <v>1.7701040697315323E-10</v>
      </c>
      <c r="CH112" s="173">
        <v>1.7701040633255616E-10</v>
      </c>
      <c r="CI112" s="173">
        <v>1.7701040633318538E-10</v>
      </c>
      <c r="CJ112" s="173">
        <v>1.7701042239852946E-10</v>
      </c>
      <c r="CK112" s="173">
        <v>1.7701040633255616E-10</v>
      </c>
      <c r="CL112" s="173">
        <v>1.7701040633255616E-10</v>
      </c>
      <c r="CM112" s="173">
        <v>1.7701040634205912E-10</v>
      </c>
      <c r="CN112" s="173">
        <v>1.7701040722781239E-10</v>
      </c>
      <c r="CO112" s="173">
        <v>1.7701040633687347E-10</v>
      </c>
      <c r="CP112" s="173">
        <v>1.7701047235617948E-10</v>
      </c>
      <c r="CQ112" s="173">
        <v>1.7701046743737685E-10</v>
      </c>
      <c r="CR112" s="173">
        <v>1.7701040633255616E-10</v>
      </c>
      <c r="CS112" s="173">
        <v>1.7701040633255616E-10</v>
      </c>
      <c r="CT112" s="173">
        <v>1.7701040633255616E-10</v>
      </c>
      <c r="CU112" s="173">
        <v>1.7701040644980273E-10</v>
      </c>
      <c r="CV112" s="173">
        <v>1.7701040649336813E-10</v>
      </c>
      <c r="CW112" s="173">
        <v>1.7701040636925421E-10</v>
      </c>
      <c r="CX112" s="174">
        <v>2.9779514293586997E-5</v>
      </c>
      <c r="CZ112" s="180"/>
      <c r="DC112" s="180">
        <v>2.8000000000000004E-3</v>
      </c>
      <c r="DE112" s="2">
        <f t="shared" si="416"/>
        <v>6</v>
      </c>
      <c r="DF112" s="141">
        <f t="shared" si="410"/>
        <v>0</v>
      </c>
      <c r="DG112" s="142">
        <f t="shared" si="411"/>
        <v>1</v>
      </c>
      <c r="DH112" s="141">
        <f t="shared" si="412"/>
        <v>1.7701040633255616E-10</v>
      </c>
      <c r="DI112" s="142">
        <f t="shared" si="413"/>
        <v>2.9779514293586997E-5</v>
      </c>
      <c r="DJ112" s="148">
        <f t="shared" si="414"/>
        <v>0</v>
      </c>
      <c r="DK112" s="149">
        <f t="shared" si="415"/>
        <v>0</v>
      </c>
    </row>
    <row r="113" spans="2:115" x14ac:dyDescent="0.2">
      <c r="B113" s="167" t="s">
        <v>6</v>
      </c>
      <c r="C113" s="172">
        <v>6.6981769166754111E-25</v>
      </c>
      <c r="D113" s="173">
        <v>0</v>
      </c>
      <c r="E113" s="173">
        <v>1.8940368014297162E-32</v>
      </c>
      <c r="F113" s="173">
        <v>1.6484294618966756E-23</v>
      </c>
      <c r="G113" s="173">
        <v>5.8268634940738283E-23</v>
      </c>
      <c r="H113" s="173">
        <v>3.3915392920490472E-24</v>
      </c>
      <c r="I113" s="173">
        <v>7.1001090609878882E-38</v>
      </c>
      <c r="J113" s="173">
        <v>4.9400373565180559E-24</v>
      </c>
      <c r="K113" s="173">
        <v>1.9772844951102866E-20</v>
      </c>
      <c r="L113" s="173">
        <v>8.1361947527501984E-23</v>
      </c>
      <c r="M113" s="173">
        <v>2.6107670160971839E-22</v>
      </c>
      <c r="N113" s="173">
        <v>0</v>
      </c>
      <c r="O113" s="173">
        <v>2.0137889031309496E-22</v>
      </c>
      <c r="P113" s="173">
        <v>1.0116542069739521E-23</v>
      </c>
      <c r="Q113" s="173">
        <v>1.5228816331528998E-22</v>
      </c>
      <c r="R113" s="173">
        <v>1.0932057746088647E-21</v>
      </c>
      <c r="S113" s="173">
        <v>2.99559251218531E-20</v>
      </c>
      <c r="T113" s="173">
        <v>1.5137840331644507E-22</v>
      </c>
      <c r="U113" s="173">
        <v>0</v>
      </c>
      <c r="V113" s="173">
        <v>0</v>
      </c>
      <c r="W113" s="173">
        <v>3.2640755721582295E-23</v>
      </c>
      <c r="X113" s="173">
        <v>0</v>
      </c>
      <c r="Y113" s="173">
        <v>0</v>
      </c>
      <c r="Z113" s="173">
        <v>0</v>
      </c>
      <c r="AA113" s="173">
        <v>1.318099923459287E-22</v>
      </c>
      <c r="AB113" s="173">
        <v>2.7620282457572301E-22</v>
      </c>
      <c r="AC113" s="173">
        <v>1.6163047323806453E-38</v>
      </c>
      <c r="AD113" s="173">
        <v>0</v>
      </c>
      <c r="AE113" s="173">
        <v>9.3855754943407897E-24</v>
      </c>
      <c r="AF113" s="173">
        <v>1.0673638512360683E-22</v>
      </c>
      <c r="AG113" s="173">
        <v>0</v>
      </c>
      <c r="AH113" s="173">
        <v>2.3474880283040464E-23</v>
      </c>
      <c r="AI113" s="173">
        <v>5.0689355156608326E-22</v>
      </c>
      <c r="AJ113" s="173">
        <v>5.5266792426146045E-22</v>
      </c>
      <c r="AK113" s="173">
        <v>1.9618825360687098E-22</v>
      </c>
      <c r="AL113" s="173">
        <v>3.3964879265541143E-23</v>
      </c>
      <c r="AM113" s="173">
        <v>1.9399760951143485E-22</v>
      </c>
      <c r="AN113" s="173">
        <v>0</v>
      </c>
      <c r="AO113" s="173">
        <v>3.2132629779007702E-20</v>
      </c>
      <c r="AP113" s="173">
        <v>1.0197912255629223E-22</v>
      </c>
      <c r="AQ113" s="173">
        <v>1.1909133337270895E-23</v>
      </c>
      <c r="AR113" s="173">
        <v>1.9546826938973775E-22</v>
      </c>
      <c r="AS113" s="173">
        <v>2.0389797715139523E-23</v>
      </c>
      <c r="AT113" s="173">
        <v>2.7342003231248361E-23</v>
      </c>
      <c r="AU113" s="173">
        <v>1.6951911178604057E-23</v>
      </c>
      <c r="AV113" s="173">
        <v>8.2469769057495038E-23</v>
      </c>
      <c r="AW113" s="173">
        <v>1.8876151072806094E-25</v>
      </c>
      <c r="AX113" s="173">
        <v>1.3544335320741142E-20</v>
      </c>
      <c r="AY113" s="173">
        <v>0</v>
      </c>
      <c r="AZ113" s="173">
        <v>7.3372205547995533E-22</v>
      </c>
      <c r="BA113" s="173">
        <v>3.4854526642988358E-24</v>
      </c>
      <c r="BB113" s="173">
        <v>2.5429097483057809E-20</v>
      </c>
      <c r="BC113" s="173">
        <v>4.0423614209215363E-23</v>
      </c>
      <c r="BD113" s="173">
        <v>2.0926435980004625E-22</v>
      </c>
      <c r="BE113" s="173">
        <v>1.8615399969886896E-17</v>
      </c>
      <c r="BF113" s="173">
        <v>4.295413511260317E-19</v>
      </c>
      <c r="BG113" s="173">
        <v>4.2030521761737552E-18</v>
      </c>
      <c r="BH113" s="173">
        <v>4.4385743116456171E-22</v>
      </c>
      <c r="BI113" s="173">
        <v>1.5208734271097122E-17</v>
      </c>
      <c r="BJ113" s="173">
        <v>6.8077116609174725E-23</v>
      </c>
      <c r="BK113" s="173">
        <v>6.4426046983049293E-23</v>
      </c>
      <c r="BL113" s="173">
        <v>5.2014353773623037E-22</v>
      </c>
      <c r="BM113" s="173">
        <v>0</v>
      </c>
      <c r="BN113" s="173">
        <v>0</v>
      </c>
      <c r="BO113" s="173">
        <v>1.0184430989941194E-19</v>
      </c>
      <c r="BP113" s="173">
        <v>1.7183067165389381E-22</v>
      </c>
      <c r="BQ113" s="173">
        <v>2.8962267702787133E-21</v>
      </c>
      <c r="BR113" s="173">
        <v>2.842101882221403E-22</v>
      </c>
      <c r="BS113" s="173">
        <v>1.4522302083858963E-24</v>
      </c>
      <c r="BT113" s="173">
        <v>2.3013797345227854E-22</v>
      </c>
      <c r="BU113" s="173">
        <v>6.6658794845898091E-21</v>
      </c>
      <c r="BV113" s="173">
        <v>4.0277515598640409E-23</v>
      </c>
      <c r="BW113" s="173">
        <v>7.0469275271009205E-22</v>
      </c>
      <c r="BX113" s="173">
        <v>7.2358064990565811E-21</v>
      </c>
      <c r="BY113" s="173">
        <v>4.6266816262444065E-23</v>
      </c>
      <c r="BZ113" s="173">
        <v>3.0814879110195774E-33</v>
      </c>
      <c r="CA113" s="173">
        <v>0</v>
      </c>
      <c r="CB113" s="173">
        <v>0</v>
      </c>
      <c r="CC113" s="173">
        <v>1.6791437481921368E-23</v>
      </c>
      <c r="CD113" s="173">
        <v>1.8051407010343645E-23</v>
      </c>
      <c r="CE113" s="173">
        <v>1.6830713000468139E-19</v>
      </c>
      <c r="CF113" s="173">
        <v>6.7122489090351998E-18</v>
      </c>
      <c r="CG113" s="173">
        <v>2.1215663227110216E-19</v>
      </c>
      <c r="CH113" s="173">
        <v>2.4026021262527459E-19</v>
      </c>
      <c r="CI113" s="173">
        <v>0</v>
      </c>
      <c r="CJ113" s="173">
        <v>3.8788747195678693E-18</v>
      </c>
      <c r="CK113" s="173">
        <v>1.5086189660412413E-20</v>
      </c>
      <c r="CL113" s="173">
        <v>0</v>
      </c>
      <c r="CM113" s="173">
        <v>6.098711170090208E-20</v>
      </c>
      <c r="CN113" s="173">
        <v>4.163155111026551E-19</v>
      </c>
      <c r="CO113" s="173">
        <v>1.1112062992921571E-23</v>
      </c>
      <c r="CP113" s="173">
        <v>-1.535447648162724E-33</v>
      </c>
      <c r="CQ113" s="173">
        <v>1.3103615780266215E-19</v>
      </c>
      <c r="CR113" s="173">
        <v>8.5577135544161479E-17</v>
      </c>
      <c r="CS113" s="173">
        <v>8.6471374131609517E-17</v>
      </c>
      <c r="CT113" s="173">
        <v>3.9528394461777191E-20</v>
      </c>
      <c r="CU113" s="173">
        <v>9.2525753120002764E-21</v>
      </c>
      <c r="CV113" s="173">
        <v>1.2690533862629409E-20</v>
      </c>
      <c r="CW113" s="173">
        <v>0</v>
      </c>
      <c r="CX113" s="174">
        <v>3.3772104654908052E-5</v>
      </c>
      <c r="CZ113" s="180"/>
      <c r="DC113" s="180">
        <v>3.5000000000000003E-2</v>
      </c>
      <c r="DE113" s="2">
        <f t="shared" si="416"/>
        <v>7</v>
      </c>
      <c r="DF113" s="141">
        <f t="shared" si="410"/>
        <v>0</v>
      </c>
      <c r="DG113" s="142">
        <f t="shared" si="411"/>
        <v>1</v>
      </c>
      <c r="DH113" s="141">
        <f t="shared" si="412"/>
        <v>-1.535447648162724E-33</v>
      </c>
      <c r="DI113" s="142">
        <f t="shared" si="413"/>
        <v>3.3772104654908052E-5</v>
      </c>
      <c r="DJ113" s="148">
        <f t="shared" si="414"/>
        <v>0</v>
      </c>
      <c r="DK113" s="149">
        <f t="shared" si="415"/>
        <v>0</v>
      </c>
    </row>
    <row r="114" spans="2:115" x14ac:dyDescent="0.2">
      <c r="B114" s="167" t="s">
        <v>7</v>
      </c>
      <c r="C114" s="172">
        <v>0.1256599976405236</v>
      </c>
      <c r="D114" s="173">
        <v>0.12565999764052385</v>
      </c>
      <c r="E114" s="173">
        <v>0.12565999764052363</v>
      </c>
      <c r="F114" s="173">
        <v>0.12566000001865776</v>
      </c>
      <c r="G114" s="173">
        <v>0.12566000120122639</v>
      </c>
      <c r="H114" s="173">
        <v>0.12565999755425789</v>
      </c>
      <c r="I114" s="173">
        <v>0.12566000117786144</v>
      </c>
      <c r="J114" s="173">
        <v>0.12565999845548342</v>
      </c>
      <c r="K114" s="173">
        <v>0.12565999809296285</v>
      </c>
      <c r="L114" s="173">
        <v>0.1256600011778613</v>
      </c>
      <c r="M114" s="173">
        <v>0.12566000329523222</v>
      </c>
      <c r="N114" s="173">
        <v>0.1256600010026668</v>
      </c>
      <c r="O114" s="173">
        <v>0.12565999971196565</v>
      </c>
      <c r="P114" s="173">
        <v>0.12565999971196537</v>
      </c>
      <c r="Q114" s="173">
        <v>0.12565999971196531</v>
      </c>
      <c r="R114" s="173">
        <v>0.12565999971196554</v>
      </c>
      <c r="S114" s="173">
        <v>0.12565999971196534</v>
      </c>
      <c r="T114" s="173">
        <v>0.1256599997119654</v>
      </c>
      <c r="U114" s="173">
        <v>0.12565999845548376</v>
      </c>
      <c r="V114" s="173">
        <v>0.12565999971196509</v>
      </c>
      <c r="W114" s="173">
        <v>0.12565999971196543</v>
      </c>
      <c r="X114" s="173">
        <v>0.12565999971193442</v>
      </c>
      <c r="Y114" s="173">
        <v>0.12565999845406012</v>
      </c>
      <c r="Z114" s="173">
        <v>0.12549578517431087</v>
      </c>
      <c r="AA114" s="173">
        <v>0.12434632051490757</v>
      </c>
      <c r="AB114" s="173">
        <v>0.12366406047898991</v>
      </c>
      <c r="AC114" s="173">
        <v>0.1230735370922299</v>
      </c>
      <c r="AD114" s="173">
        <v>0.12246253562225948</v>
      </c>
      <c r="AE114" s="173">
        <v>0.12219623292762907</v>
      </c>
      <c r="AF114" s="173">
        <v>0.11998567783313151</v>
      </c>
      <c r="AG114" s="173">
        <v>0.1190258548717915</v>
      </c>
      <c r="AH114" s="173">
        <v>0.11755758896741787</v>
      </c>
      <c r="AI114" s="173">
        <v>0.11797901544021118</v>
      </c>
      <c r="AJ114" s="173">
        <v>0.11617498733235058</v>
      </c>
      <c r="AK114" s="173">
        <v>0.11441907205126847</v>
      </c>
      <c r="AL114" s="173">
        <v>0.10717291399895522</v>
      </c>
      <c r="AM114" s="173">
        <v>9.9639780102486683E-2</v>
      </c>
      <c r="AN114" s="173">
        <v>9.2909778795250059E-2</v>
      </c>
      <c r="AO114" s="173">
        <v>8.7346228223985425E-2</v>
      </c>
      <c r="AP114" s="173">
        <v>7.9246066023670986E-2</v>
      </c>
      <c r="AQ114" s="173">
        <v>7.7749999820903984E-2</v>
      </c>
      <c r="AR114" s="173">
        <v>7.7749999820903984E-2</v>
      </c>
      <c r="AS114" s="173">
        <v>7.7749999820903984E-2</v>
      </c>
      <c r="AT114" s="173">
        <v>7.7749999820903984E-2</v>
      </c>
      <c r="AU114" s="173">
        <v>7.7749999820903984E-2</v>
      </c>
      <c r="AV114" s="173">
        <v>7.7749999820903984E-2</v>
      </c>
      <c r="AW114" s="173">
        <v>7.7749999820903984E-2</v>
      </c>
      <c r="AX114" s="173">
        <v>7.7749999820903984E-2</v>
      </c>
      <c r="AY114" s="173">
        <v>7.7749999820903984E-2</v>
      </c>
      <c r="AZ114" s="173">
        <v>7.7749999820903984E-2</v>
      </c>
      <c r="BA114" s="173">
        <v>7.7749999820903984E-2</v>
      </c>
      <c r="BB114" s="173">
        <v>7.7749999820903984E-2</v>
      </c>
      <c r="BC114" s="173">
        <v>7.7749999820903984E-2</v>
      </c>
      <c r="BD114" s="173">
        <v>7.7749999820903984E-2</v>
      </c>
      <c r="BE114" s="173">
        <v>7.7749999820903942E-2</v>
      </c>
      <c r="BF114" s="173">
        <v>7.7749999820903928E-2</v>
      </c>
      <c r="BG114" s="173">
        <v>7.774999982090397E-2</v>
      </c>
      <c r="BH114" s="173">
        <v>7.7749999820903984E-2</v>
      </c>
      <c r="BI114" s="173">
        <v>7.7749999820903887E-2</v>
      </c>
      <c r="BJ114" s="173">
        <v>7.7749999820903984E-2</v>
      </c>
      <c r="BK114" s="173">
        <v>7.7749999820903984E-2</v>
      </c>
      <c r="BL114" s="173">
        <v>7.7749999820903984E-2</v>
      </c>
      <c r="BM114" s="173">
        <v>7.7749999820903984E-2</v>
      </c>
      <c r="BN114" s="173">
        <v>7.7749999820903984E-2</v>
      </c>
      <c r="BO114" s="173">
        <v>7.7749999820903984E-2</v>
      </c>
      <c r="BP114" s="173">
        <v>7.7749999820903984E-2</v>
      </c>
      <c r="BQ114" s="173">
        <v>7.7749999820903984E-2</v>
      </c>
      <c r="BR114" s="173">
        <v>7.7749999820903984E-2</v>
      </c>
      <c r="BS114" s="173">
        <v>7.7749999820903984E-2</v>
      </c>
      <c r="BT114" s="173">
        <v>7.7749999820903984E-2</v>
      </c>
      <c r="BU114" s="173">
        <v>7.7749999820903984E-2</v>
      </c>
      <c r="BV114" s="173">
        <v>7.7749999820903984E-2</v>
      </c>
      <c r="BW114" s="173">
        <v>7.7749999820903984E-2</v>
      </c>
      <c r="BX114" s="173">
        <v>7.7749999820903984E-2</v>
      </c>
      <c r="BY114" s="173">
        <v>7.7749999820903984E-2</v>
      </c>
      <c r="BZ114" s="173">
        <v>7.774999982090397E-2</v>
      </c>
      <c r="CA114" s="173">
        <v>7.7749999820903984E-2</v>
      </c>
      <c r="CB114" s="173">
        <v>7.774999982090397E-2</v>
      </c>
      <c r="CC114" s="173">
        <v>7.7749999820903984E-2</v>
      </c>
      <c r="CD114" s="173">
        <v>7.7749999820903984E-2</v>
      </c>
      <c r="CE114" s="173">
        <v>7.7749999820903998E-2</v>
      </c>
      <c r="CF114" s="173">
        <v>7.7749999820903984E-2</v>
      </c>
      <c r="CG114" s="173">
        <v>7.774999982090397E-2</v>
      </c>
      <c r="CH114" s="173">
        <v>7.7749999820903984E-2</v>
      </c>
      <c r="CI114" s="173">
        <v>7.7749999820903984E-2</v>
      </c>
      <c r="CJ114" s="173">
        <v>7.7749999820904095E-2</v>
      </c>
      <c r="CK114" s="173">
        <v>7.774999982090397E-2</v>
      </c>
      <c r="CL114" s="173">
        <v>7.7749999820903984E-2</v>
      </c>
      <c r="CM114" s="173">
        <v>7.7749999820903984E-2</v>
      </c>
      <c r="CN114" s="173">
        <v>7.7749999820903984E-2</v>
      </c>
      <c r="CO114" s="173">
        <v>6.8007472106155376E-2</v>
      </c>
      <c r="CP114" s="173">
        <v>4.985839248902927E-2</v>
      </c>
      <c r="CQ114" s="173">
        <v>3.5112571682848745E-2</v>
      </c>
      <c r="CR114" s="173">
        <v>1.9080782000493415E-2</v>
      </c>
      <c r="CS114" s="173">
        <v>1.9080782000493759E-2</v>
      </c>
      <c r="CT114" s="173">
        <v>1.908078200049455E-2</v>
      </c>
      <c r="CU114" s="173">
        <v>1.9080782000494532E-2</v>
      </c>
      <c r="CV114" s="173">
        <v>1.9080782000494539E-2</v>
      </c>
      <c r="CW114" s="173">
        <v>1.908078200049455E-2</v>
      </c>
      <c r="CX114" s="174">
        <v>4.4102344443460569E-5</v>
      </c>
      <c r="CZ114" s="180"/>
      <c r="DC114" s="180">
        <v>2.2099999999999998E-2</v>
      </c>
      <c r="DE114" s="2">
        <f t="shared" si="416"/>
        <v>8</v>
      </c>
      <c r="DF114" s="141">
        <f t="shared" si="410"/>
        <v>0</v>
      </c>
      <c r="DG114" s="142">
        <f t="shared" si="411"/>
        <v>1</v>
      </c>
      <c r="DH114" s="141">
        <f t="shared" si="412"/>
        <v>4.4102344443460569E-5</v>
      </c>
      <c r="DI114" s="142">
        <f t="shared" si="413"/>
        <v>0.12566000329523222</v>
      </c>
      <c r="DJ114" s="148">
        <f t="shared" si="414"/>
        <v>0</v>
      </c>
      <c r="DK114" s="149">
        <f t="shared" si="415"/>
        <v>0</v>
      </c>
    </row>
    <row r="115" spans="2:115" x14ac:dyDescent="0.2">
      <c r="B115" s="167" t="s">
        <v>8</v>
      </c>
      <c r="C115" s="172">
        <v>-6.1026047672778763E-34</v>
      </c>
      <c r="D115" s="173">
        <v>0</v>
      </c>
      <c r="E115" s="173">
        <v>-6.5949783706877252E-22</v>
      </c>
      <c r="F115" s="173">
        <v>1.6158201995462137E-23</v>
      </c>
      <c r="G115" s="173">
        <v>6.2933114415475296E-22</v>
      </c>
      <c r="H115" s="173">
        <v>-2.0315737156266326E-21</v>
      </c>
      <c r="I115" s="173">
        <v>3.4955829471463367E-23</v>
      </c>
      <c r="J115" s="173">
        <v>2.0054802661445645E-20</v>
      </c>
      <c r="K115" s="173">
        <v>-8.7536802759631055E-21</v>
      </c>
      <c r="L115" s="173">
        <v>-4.7016295869084037E-24</v>
      </c>
      <c r="M115" s="173">
        <v>1.4285456989830761E-22</v>
      </c>
      <c r="N115" s="173">
        <v>7.121073008503623E-24</v>
      </c>
      <c r="O115" s="173">
        <v>1.4989194168216764E-23</v>
      </c>
      <c r="P115" s="173">
        <v>2.9274047505902071E-22</v>
      </c>
      <c r="Q115" s="173">
        <v>1.1511297077912742E-22</v>
      </c>
      <c r="R115" s="173">
        <v>-1.8779229386216309E-23</v>
      </c>
      <c r="S115" s="173">
        <v>4.2843988322931277E-21</v>
      </c>
      <c r="T115" s="173">
        <v>1.7473123264430446E-22</v>
      </c>
      <c r="U115" s="173">
        <v>-1.4028579943628647E-22</v>
      </c>
      <c r="V115" s="173">
        <v>1.6201279208010928E-21</v>
      </c>
      <c r="W115" s="173">
        <v>-7.6184225388993165E-23</v>
      </c>
      <c r="X115" s="173">
        <v>-8.2457713512192777E-23</v>
      </c>
      <c r="Y115" s="173">
        <v>-3.130363442991571E-25</v>
      </c>
      <c r="Z115" s="173">
        <v>4.9625876973354493E-22</v>
      </c>
      <c r="AA115" s="173">
        <v>-8.8153753704295971E-24</v>
      </c>
      <c r="AB115" s="173">
        <v>1.8540311344421309E-21</v>
      </c>
      <c r="AC115" s="173">
        <v>-1.4233825969800996E-21</v>
      </c>
      <c r="AD115" s="173">
        <v>-1.3246987350986397E-21</v>
      </c>
      <c r="AE115" s="173">
        <v>2.4526086202317147E-22</v>
      </c>
      <c r="AF115" s="173">
        <v>2.3900139653075017E-23</v>
      </c>
      <c r="AG115" s="173">
        <v>-6.7844046275156566E-22</v>
      </c>
      <c r="AH115" s="173">
        <v>1.4406547672997596E-23</v>
      </c>
      <c r="AI115" s="173">
        <v>-3.4545679864362771E-23</v>
      </c>
      <c r="AJ115" s="173">
        <v>2.2647093089251738E-22</v>
      </c>
      <c r="AK115" s="173">
        <v>-1.5113974949333246E-22</v>
      </c>
      <c r="AL115" s="173">
        <v>4.0804674522975798E-24</v>
      </c>
      <c r="AM115" s="173">
        <v>1.6378026404120312E-22</v>
      </c>
      <c r="AN115" s="173">
        <v>-1.2265862826325157E-21</v>
      </c>
      <c r="AO115" s="173">
        <v>2.7313972740645744E-20</v>
      </c>
      <c r="AP115" s="173">
        <v>-1.6632449441194465E-22</v>
      </c>
      <c r="AQ115" s="173">
        <v>-1.7255486283041436E-22</v>
      </c>
      <c r="AR115" s="173">
        <v>-5.7127739518564554E-23</v>
      </c>
      <c r="AS115" s="173">
        <v>3.4333794193712002E-23</v>
      </c>
      <c r="AT115" s="173">
        <v>2.3093899965231379E-22</v>
      </c>
      <c r="AU115" s="173">
        <v>6.2286418501240977E-23</v>
      </c>
      <c r="AV115" s="173">
        <v>3.6241461184256572E-23</v>
      </c>
      <c r="AW115" s="173">
        <v>3.7057329493444272E-22</v>
      </c>
      <c r="AX115" s="173">
        <v>1.7277235964400301E-20</v>
      </c>
      <c r="AY115" s="173">
        <v>-9.9141529384615887E-20</v>
      </c>
      <c r="AZ115" s="173">
        <v>1.4725446991840123E-21</v>
      </c>
      <c r="BA115" s="173">
        <v>7.5380309261848608E-23</v>
      </c>
      <c r="BB115" s="173">
        <v>-9.7681695394202147E-20</v>
      </c>
      <c r="BC115" s="173">
        <v>-6.2112090208719073E-22</v>
      </c>
      <c r="BD115" s="173">
        <v>3.3461059997067326E-25</v>
      </c>
      <c r="BE115" s="173">
        <v>-1.1028657207069855E-17</v>
      </c>
      <c r="BF115" s="173">
        <v>-4.7029181244222909E-17</v>
      </c>
      <c r="BG115" s="173">
        <v>-7.7082373548733422E-18</v>
      </c>
      <c r="BH115" s="173">
        <v>-6.4395200773489886E-22</v>
      </c>
      <c r="BI115" s="173">
        <v>-8.8839142980101436E-17</v>
      </c>
      <c r="BJ115" s="173">
        <v>1.3222320625660788E-20</v>
      </c>
      <c r="BK115" s="173">
        <v>-7.7828015969504665E-22</v>
      </c>
      <c r="BL115" s="173">
        <v>-5.347878384161898E-21</v>
      </c>
      <c r="BM115" s="173">
        <v>1.0383604376500867E-22</v>
      </c>
      <c r="BN115" s="173">
        <v>1.6375838416666407E-22</v>
      </c>
      <c r="BO115" s="173">
        <v>-3.4465790694876713E-19</v>
      </c>
      <c r="BP115" s="173">
        <v>-9.6913548529927906E-23</v>
      </c>
      <c r="BQ115" s="173">
        <v>-3.3596943765622735E-20</v>
      </c>
      <c r="BR115" s="173">
        <v>6.240318716870904E-20</v>
      </c>
      <c r="BS115" s="173">
        <v>3.0450609860717813E-21</v>
      </c>
      <c r="BT115" s="173">
        <v>6.0437271992732199E-23</v>
      </c>
      <c r="BU115" s="173">
        <v>-6.1897945327502164E-21</v>
      </c>
      <c r="BV115" s="173">
        <v>1.8997685434288581E-20</v>
      </c>
      <c r="BW115" s="173">
        <v>4.0939045115299309E-22</v>
      </c>
      <c r="BX115" s="173">
        <v>-8.8423038581472857E-20</v>
      </c>
      <c r="BY115" s="173">
        <v>-5.4737979395914659E-22</v>
      </c>
      <c r="BZ115" s="173">
        <v>-2.4958834318858276E-17</v>
      </c>
      <c r="CA115" s="173">
        <v>-1.0279845965455656E-19</v>
      </c>
      <c r="CB115" s="173">
        <v>1.2824780978885992E-18</v>
      </c>
      <c r="CC115" s="173">
        <v>-2.2219697877747753E-21</v>
      </c>
      <c r="CD115" s="173">
        <v>2.780475054965574E-24</v>
      </c>
      <c r="CE115" s="173">
        <v>-1.2439722344426189E-19</v>
      </c>
      <c r="CF115" s="173">
        <v>-1.0430926864080087E-17</v>
      </c>
      <c r="CG115" s="173">
        <v>-1.924619543695589E-18</v>
      </c>
      <c r="CH115" s="173">
        <v>2.4649957491835841E-19</v>
      </c>
      <c r="CI115" s="173">
        <v>4.817988606798951E-24</v>
      </c>
      <c r="CJ115" s="173">
        <v>4.0474443159033206E-17</v>
      </c>
      <c r="CK115" s="173">
        <v>-2.4655568518550971E-19</v>
      </c>
      <c r="CL115" s="173">
        <v>-5.5402434015025576E-20</v>
      </c>
      <c r="CM115" s="173">
        <v>1.6395544077502437E-19</v>
      </c>
      <c r="CN115" s="173">
        <v>1.9728728992070363E-18</v>
      </c>
      <c r="CO115" s="173">
        <v>1.7136553250715899E-20</v>
      </c>
      <c r="CP115" s="173">
        <v>-8.8947360544814905E-17</v>
      </c>
      <c r="CQ115" s="173">
        <v>2.4086601384227986E-17</v>
      </c>
      <c r="CR115" s="173">
        <v>1.222886570106226E-16</v>
      </c>
      <c r="CS115" s="173">
        <v>-4.1763601821817714E-17</v>
      </c>
      <c r="CT115" s="173">
        <v>0</v>
      </c>
      <c r="CU115" s="173">
        <v>0</v>
      </c>
      <c r="CV115" s="173">
        <v>1.0842021724855044E-19</v>
      </c>
      <c r="CW115" s="173">
        <v>0</v>
      </c>
      <c r="CX115" s="174">
        <v>4.6789588711703622E-5</v>
      </c>
      <c r="CZ115" s="180"/>
      <c r="DC115" s="180">
        <v>4.5700000000000005E-2</v>
      </c>
      <c r="DE115" s="2">
        <f t="shared" si="416"/>
        <v>9</v>
      </c>
      <c r="DF115" s="141">
        <f t="shared" si="410"/>
        <v>0</v>
      </c>
      <c r="DG115" s="142">
        <f t="shared" si="411"/>
        <v>4.5700000000000005E-2</v>
      </c>
      <c r="DH115" s="141">
        <f t="shared" si="412"/>
        <v>-8.8947360544814905E-17</v>
      </c>
      <c r="DI115" s="142">
        <f t="shared" si="413"/>
        <v>4.6789588711703622E-5</v>
      </c>
      <c r="DJ115" s="148">
        <f t="shared" si="414"/>
        <v>0</v>
      </c>
      <c r="DK115" s="149">
        <f t="shared" si="415"/>
        <v>0</v>
      </c>
    </row>
    <row r="116" spans="2:115" x14ac:dyDescent="0.2">
      <c r="B116" s="168" t="s">
        <v>9</v>
      </c>
      <c r="C116" s="175">
        <v>4.9569996416732987E-2</v>
      </c>
      <c r="D116" s="176">
        <v>4.9569996416732987E-2</v>
      </c>
      <c r="E116" s="176">
        <v>4.9569996416732987E-2</v>
      </c>
      <c r="F116" s="176">
        <v>4.9569999896194664E-2</v>
      </c>
      <c r="G116" s="176">
        <v>4.9569999315262035E-2</v>
      </c>
      <c r="H116" s="176">
        <v>4.9569996416732987E-2</v>
      </c>
      <c r="I116" s="176">
        <v>4.9569999315262035E-2</v>
      </c>
      <c r="J116" s="176">
        <v>4.9569996416732987E-2</v>
      </c>
      <c r="K116" s="176">
        <v>4.9569996416732987E-2</v>
      </c>
      <c r="L116" s="176">
        <v>4.9569999315262035E-2</v>
      </c>
      <c r="M116" s="176">
        <v>4.9569996416732987E-2</v>
      </c>
      <c r="N116" s="176">
        <v>4.9569999315262035E-2</v>
      </c>
      <c r="O116" s="176">
        <v>4.9570000000000003E-2</v>
      </c>
      <c r="P116" s="176">
        <v>4.9570000000000003E-2</v>
      </c>
      <c r="Q116" s="176">
        <v>4.9570000000000003E-2</v>
      </c>
      <c r="R116" s="176">
        <v>4.9570000000000003E-2</v>
      </c>
      <c r="S116" s="176">
        <v>4.9570000000000003E-2</v>
      </c>
      <c r="T116" s="176">
        <v>4.9570000000000003E-2</v>
      </c>
      <c r="U116" s="176">
        <v>4.9569996416732987E-2</v>
      </c>
      <c r="V116" s="176">
        <v>4.9570000000000003E-2</v>
      </c>
      <c r="W116" s="176">
        <v>4.9570000000000003E-2</v>
      </c>
      <c r="X116" s="176">
        <v>4.9570000000000003E-2</v>
      </c>
      <c r="Y116" s="176">
        <v>4.9569996416732987E-2</v>
      </c>
      <c r="Z116" s="176">
        <v>4.9052894576362298E-2</v>
      </c>
      <c r="AA116" s="176">
        <v>4.8052748892116942E-2</v>
      </c>
      <c r="AB116" s="176">
        <v>4.6987339527710295E-2</v>
      </c>
      <c r="AC116" s="176">
        <v>4.5849544528874936E-2</v>
      </c>
      <c r="AD116" s="176">
        <v>4.4765970659019015E-2</v>
      </c>
      <c r="AE116" s="176">
        <v>4.3556494866372093E-2</v>
      </c>
      <c r="AF116" s="176">
        <v>4.2377379758457921E-2</v>
      </c>
      <c r="AG116" s="176">
        <v>4.1455930293816494E-2</v>
      </c>
      <c r="AH116" s="176">
        <v>4.0370796836513637E-2</v>
      </c>
      <c r="AI116" s="176">
        <v>3.9517218438883353E-2</v>
      </c>
      <c r="AJ116" s="176">
        <v>3.8481382193145362E-2</v>
      </c>
      <c r="AK116" s="176">
        <v>3.7820788151719853E-2</v>
      </c>
      <c r="AL116" s="176">
        <v>3.7820788151719853E-2</v>
      </c>
      <c r="AM116" s="176">
        <v>3.7820788151719853E-2</v>
      </c>
      <c r="AN116" s="176">
        <v>3.7820788151719853E-2</v>
      </c>
      <c r="AO116" s="176">
        <v>3.7820788151719853E-2</v>
      </c>
      <c r="AP116" s="176">
        <v>3.7820788151719853E-2</v>
      </c>
      <c r="AQ116" s="176">
        <v>3.7820788151719853E-2</v>
      </c>
      <c r="AR116" s="176">
        <v>3.7820788151719853E-2</v>
      </c>
      <c r="AS116" s="176">
        <v>3.7820788151719853E-2</v>
      </c>
      <c r="AT116" s="176">
        <v>3.7820788151719853E-2</v>
      </c>
      <c r="AU116" s="176">
        <v>3.7820788151719853E-2</v>
      </c>
      <c r="AV116" s="176">
        <v>3.7820788151719853E-2</v>
      </c>
      <c r="AW116" s="176">
        <v>3.7820788151719853E-2</v>
      </c>
      <c r="AX116" s="176">
        <v>3.7820788151719853E-2</v>
      </c>
      <c r="AY116" s="176">
        <v>3.7820788151719853E-2</v>
      </c>
      <c r="AZ116" s="176">
        <v>3.7820788151719853E-2</v>
      </c>
      <c r="BA116" s="176">
        <v>3.7820788151719853E-2</v>
      </c>
      <c r="BB116" s="176">
        <v>3.7820788151719853E-2</v>
      </c>
      <c r="BC116" s="176">
        <v>3.7820788151719853E-2</v>
      </c>
      <c r="BD116" s="176">
        <v>3.7820788151719853E-2</v>
      </c>
      <c r="BE116" s="176">
        <v>3.7820788151719853E-2</v>
      </c>
      <c r="BF116" s="176">
        <v>3.782078815171986E-2</v>
      </c>
      <c r="BG116" s="176">
        <v>3.782078815171986E-2</v>
      </c>
      <c r="BH116" s="176">
        <v>3.7820788151719853E-2</v>
      </c>
      <c r="BI116" s="176">
        <v>3.7820788151719867E-2</v>
      </c>
      <c r="BJ116" s="176">
        <v>3.7820788151719853E-2</v>
      </c>
      <c r="BK116" s="176">
        <v>3.7820788151719853E-2</v>
      </c>
      <c r="BL116" s="176">
        <v>3.7820788151719853E-2</v>
      </c>
      <c r="BM116" s="176">
        <v>3.7820788151719853E-2</v>
      </c>
      <c r="BN116" s="176">
        <v>3.7820788151719853E-2</v>
      </c>
      <c r="BO116" s="176">
        <v>3.7820788151719853E-2</v>
      </c>
      <c r="BP116" s="176">
        <v>3.7820788151719853E-2</v>
      </c>
      <c r="BQ116" s="176">
        <v>3.7820788151719853E-2</v>
      </c>
      <c r="BR116" s="176">
        <v>3.7820788151719853E-2</v>
      </c>
      <c r="BS116" s="176">
        <v>3.7820788151719853E-2</v>
      </c>
      <c r="BT116" s="176">
        <v>3.7820788151719853E-2</v>
      </c>
      <c r="BU116" s="176">
        <v>3.7820788151719853E-2</v>
      </c>
      <c r="BV116" s="176">
        <v>3.7820788151719853E-2</v>
      </c>
      <c r="BW116" s="176">
        <v>3.7820788151719853E-2</v>
      </c>
      <c r="BX116" s="176">
        <v>3.7820788151719853E-2</v>
      </c>
      <c r="BY116" s="176">
        <v>3.7820788151719853E-2</v>
      </c>
      <c r="BZ116" s="176">
        <v>3.7820788151719853E-2</v>
      </c>
      <c r="CA116" s="176">
        <v>3.7820788151719853E-2</v>
      </c>
      <c r="CB116" s="176">
        <v>3.7820788151719853E-2</v>
      </c>
      <c r="CC116" s="176">
        <v>3.7820788151719853E-2</v>
      </c>
      <c r="CD116" s="176">
        <v>3.7820788151719853E-2</v>
      </c>
      <c r="CE116" s="176">
        <v>3.7820788151719853E-2</v>
      </c>
      <c r="CF116" s="176">
        <v>3.7820788151719853E-2</v>
      </c>
      <c r="CG116" s="176">
        <v>3.782078815171986E-2</v>
      </c>
      <c r="CH116" s="176">
        <v>3.7820788151719853E-2</v>
      </c>
      <c r="CI116" s="176">
        <v>3.7820788151719853E-2</v>
      </c>
      <c r="CJ116" s="176">
        <v>3.7820788151719853E-2</v>
      </c>
      <c r="CK116" s="176">
        <v>3.7820788151719853E-2</v>
      </c>
      <c r="CL116" s="176">
        <v>3.7820788151719853E-2</v>
      </c>
      <c r="CM116" s="176">
        <v>3.7820788151719853E-2</v>
      </c>
      <c r="CN116" s="176">
        <v>3.7820788151719853E-2</v>
      </c>
      <c r="CO116" s="176">
        <v>3.7820788151719853E-2</v>
      </c>
      <c r="CP116" s="176">
        <v>3.7820788151719853E-2</v>
      </c>
      <c r="CQ116" s="176">
        <v>3.7820788151719853E-2</v>
      </c>
      <c r="CR116" s="176">
        <v>3.7820788151719902E-2</v>
      </c>
      <c r="CS116" s="176">
        <v>3.7820788151719853E-2</v>
      </c>
      <c r="CT116" s="176">
        <v>3.7820788151719853E-2</v>
      </c>
      <c r="CU116" s="176">
        <v>3.7820788151719853E-2</v>
      </c>
      <c r="CV116" s="176">
        <v>3.7820788151719853E-2</v>
      </c>
      <c r="CW116" s="176">
        <v>3.7820788151719853E-2</v>
      </c>
      <c r="CX116" s="177">
        <v>3.7844871872194076E-2</v>
      </c>
      <c r="CY116" s="154"/>
      <c r="CZ116" s="181"/>
      <c r="DA116" s="154"/>
      <c r="DB116" s="154"/>
      <c r="DC116" s="181">
        <v>3.9100000000000003E-2</v>
      </c>
      <c r="DD116" s="154"/>
      <c r="DE116" s="155">
        <f t="shared" si="416"/>
        <v>10</v>
      </c>
      <c r="DF116" s="156">
        <f t="shared" si="410"/>
        <v>1.7000000000000001E-2</v>
      </c>
      <c r="DG116" s="157">
        <f t="shared" si="411"/>
        <v>1</v>
      </c>
      <c r="DH116" s="156">
        <f t="shared" si="412"/>
        <v>3.7820788151719853E-2</v>
      </c>
      <c r="DI116" s="157">
        <f t="shared" si="413"/>
        <v>4.9570000000000003E-2</v>
      </c>
      <c r="DJ116" s="158">
        <f t="shared" si="414"/>
        <v>0</v>
      </c>
      <c r="DK116" s="159">
        <f t="shared" si="415"/>
        <v>0</v>
      </c>
    </row>
    <row r="117" spans="2:115" x14ac:dyDescent="0.2">
      <c r="B117" s="167" t="s">
        <v>10</v>
      </c>
      <c r="C117" s="172">
        <v>1.047643481745843E-8</v>
      </c>
      <c r="D117" s="173">
        <v>1.0476434817458258E-8</v>
      </c>
      <c r="E117" s="173">
        <v>1.0476434817459305E-8</v>
      </c>
      <c r="F117" s="173">
        <v>4.6985005809602208E-10</v>
      </c>
      <c r="G117" s="173">
        <v>3.0993028489926829E-9</v>
      </c>
      <c r="H117" s="173">
        <v>1.6218802169973844E-8</v>
      </c>
      <c r="I117" s="173">
        <v>3.0993028490021934E-9</v>
      </c>
      <c r="J117" s="173">
        <v>1.1379053474701231E-8</v>
      </c>
      <c r="K117" s="173">
        <v>1.6218802170130516E-8</v>
      </c>
      <c r="L117" s="173">
        <v>3.0993028489885433E-9</v>
      </c>
      <c r="M117" s="173">
        <v>1.6218802170027201E-8</v>
      </c>
      <c r="N117" s="173">
        <v>3.0993028492058548E-9</v>
      </c>
      <c r="O117" s="173">
        <v>2.922996989200087E-23</v>
      </c>
      <c r="P117" s="173">
        <v>-1.1982530463982269E-20</v>
      </c>
      <c r="Q117" s="173">
        <v>-4.4008584266000088E-21</v>
      </c>
      <c r="R117" s="173">
        <v>2.7639826290746955E-22</v>
      </c>
      <c r="S117" s="173">
        <v>1.0524460010606741E-19</v>
      </c>
      <c r="T117" s="173">
        <v>1.0047137648975874E-21</v>
      </c>
      <c r="U117" s="173">
        <v>1.1379053474202301E-8</v>
      </c>
      <c r="V117" s="173">
        <v>-1.8410373252619834E-22</v>
      </c>
      <c r="W117" s="173">
        <v>1.7248529568596561E-25</v>
      </c>
      <c r="X117" s="173">
        <v>2.5998458752530066E-20</v>
      </c>
      <c r="Y117" s="173">
        <v>1.1377660810435665E-8</v>
      </c>
      <c r="Z117" s="173">
        <v>1.6592342113819656E-3</v>
      </c>
      <c r="AA117" s="173">
        <v>4.0365443901411091E-3</v>
      </c>
      <c r="AB117" s="173">
        <v>7.1111959701222523E-3</v>
      </c>
      <c r="AC117" s="173">
        <v>1.0532834847410279E-2</v>
      </c>
      <c r="AD117" s="173">
        <v>1.3742797782622605E-2</v>
      </c>
      <c r="AE117" s="173">
        <v>1.774142254812772E-2</v>
      </c>
      <c r="AF117" s="173">
        <v>1.9688735211692707E-2</v>
      </c>
      <c r="AG117" s="173">
        <v>2.1978183669233889E-2</v>
      </c>
      <c r="AH117" s="173">
        <v>2.4336381682616131E-2</v>
      </c>
      <c r="AI117" s="173">
        <v>2.7767748469688013E-2</v>
      </c>
      <c r="AJ117" s="173">
        <v>2.9616349439242358E-2</v>
      </c>
      <c r="AK117" s="173">
        <v>3.1039833725869274E-2</v>
      </c>
      <c r="AL117" s="173">
        <v>3.0862498825278039E-2</v>
      </c>
      <c r="AM117" s="173">
        <v>3.0936743409020317E-2</v>
      </c>
      <c r="AN117" s="173">
        <v>3.0736400745390854E-2</v>
      </c>
      <c r="AO117" s="173">
        <v>3.0397582037727879E-2</v>
      </c>
      <c r="AP117" s="173">
        <v>2.9665763654913472E-2</v>
      </c>
      <c r="AQ117" s="173">
        <v>3.128687955904972E-2</v>
      </c>
      <c r="AR117" s="173">
        <v>3.4071220545855062E-2</v>
      </c>
      <c r="AS117" s="173">
        <v>3.6572251753787699E-2</v>
      </c>
      <c r="AT117" s="173">
        <v>3.7931458391527839E-2</v>
      </c>
      <c r="AU117" s="173">
        <v>3.9167402222339207E-2</v>
      </c>
      <c r="AV117" s="173">
        <v>4.1430782178897611E-2</v>
      </c>
      <c r="AW117" s="173">
        <v>4.1430782178897611E-2</v>
      </c>
      <c r="AX117" s="173">
        <v>4.1430782178897611E-2</v>
      </c>
      <c r="AY117" s="173">
        <v>4.1430782178897604E-2</v>
      </c>
      <c r="AZ117" s="173">
        <v>4.1430782178897611E-2</v>
      </c>
      <c r="BA117" s="173">
        <v>4.1430782178897611E-2</v>
      </c>
      <c r="BB117" s="173">
        <v>4.1430782178897611E-2</v>
      </c>
      <c r="BC117" s="173">
        <v>4.1430782178897611E-2</v>
      </c>
      <c r="BD117" s="173">
        <v>4.1430782178897611E-2</v>
      </c>
      <c r="BE117" s="173">
        <v>4.1430782178897604E-2</v>
      </c>
      <c r="BF117" s="173">
        <v>4.1430782178897715E-2</v>
      </c>
      <c r="BG117" s="173">
        <v>4.1430782178897695E-2</v>
      </c>
      <c r="BH117" s="173">
        <v>4.1430787961067021E-2</v>
      </c>
      <c r="BI117" s="173">
        <v>4.1430782178897417E-2</v>
      </c>
      <c r="BJ117" s="173">
        <v>4.1430787961067021E-2</v>
      </c>
      <c r="BK117" s="173">
        <v>4.1430787961067021E-2</v>
      </c>
      <c r="BL117" s="173">
        <v>4.1430787961067021E-2</v>
      </c>
      <c r="BM117" s="173">
        <v>4.1430787961067021E-2</v>
      </c>
      <c r="BN117" s="173">
        <v>4.1430787961067014E-2</v>
      </c>
      <c r="BO117" s="173">
        <v>4.1430782178897611E-2</v>
      </c>
      <c r="BP117" s="173">
        <v>4.1430787961067021E-2</v>
      </c>
      <c r="BQ117" s="173">
        <v>4.1430787961067021E-2</v>
      </c>
      <c r="BR117" s="173">
        <v>4.1430787961067021E-2</v>
      </c>
      <c r="BS117" s="173">
        <v>4.1430787961067021E-2</v>
      </c>
      <c r="BT117" s="173">
        <v>4.1430787961067021E-2</v>
      </c>
      <c r="BU117" s="173">
        <v>4.1430787961067021E-2</v>
      </c>
      <c r="BV117" s="173">
        <v>4.1430787961067014E-2</v>
      </c>
      <c r="BW117" s="173">
        <v>4.1430787961067021E-2</v>
      </c>
      <c r="BX117" s="173">
        <v>4.1430787961067021E-2</v>
      </c>
      <c r="BY117" s="173">
        <v>4.1430787961067014E-2</v>
      </c>
      <c r="BZ117" s="173">
        <v>4.1430782178897563E-2</v>
      </c>
      <c r="CA117" s="173">
        <v>4.1430782178897611E-2</v>
      </c>
      <c r="CB117" s="173">
        <v>4.1430787961067243E-2</v>
      </c>
      <c r="CC117" s="173">
        <v>4.1430782178897611E-2</v>
      </c>
      <c r="CD117" s="173">
        <v>4.1430782178897611E-2</v>
      </c>
      <c r="CE117" s="173">
        <v>4.1430782178897618E-2</v>
      </c>
      <c r="CF117" s="173">
        <v>4.1430787961067049E-2</v>
      </c>
      <c r="CG117" s="173">
        <v>4.1430782178897597E-2</v>
      </c>
      <c r="CH117" s="173">
        <v>4.1430782178897611E-2</v>
      </c>
      <c r="CI117" s="173">
        <v>4.1430782178897611E-2</v>
      </c>
      <c r="CJ117" s="173">
        <v>4.1430787961067E-2</v>
      </c>
      <c r="CK117" s="173">
        <v>4.1430782178897611E-2</v>
      </c>
      <c r="CL117" s="173">
        <v>4.1430782178897611E-2</v>
      </c>
      <c r="CM117" s="173">
        <v>4.1430782178897611E-2</v>
      </c>
      <c r="CN117" s="173">
        <v>4.1430782178897618E-2</v>
      </c>
      <c r="CO117" s="173">
        <v>4.1430782178897611E-2</v>
      </c>
      <c r="CP117" s="173">
        <v>4.1430782178897639E-2</v>
      </c>
      <c r="CQ117" s="173">
        <v>4.1430782178897063E-2</v>
      </c>
      <c r="CR117" s="173">
        <v>4.1430782178896702E-2</v>
      </c>
      <c r="CS117" s="173">
        <v>4.1430782178897028E-2</v>
      </c>
      <c r="CT117" s="173">
        <v>4.1430782178897611E-2</v>
      </c>
      <c r="CU117" s="173">
        <v>4.1430782178897611E-2</v>
      </c>
      <c r="CV117" s="173">
        <v>4.1430782178897618E-2</v>
      </c>
      <c r="CW117" s="173">
        <v>4.1430782178897611E-2</v>
      </c>
      <c r="CX117" s="174">
        <v>3.1540626376893609E-2</v>
      </c>
      <c r="CZ117" s="180"/>
      <c r="DC117" s="180">
        <v>9.7999999999999997E-3</v>
      </c>
      <c r="DE117" s="2">
        <f t="shared" si="416"/>
        <v>11</v>
      </c>
      <c r="DF117" s="141">
        <f t="shared" si="410"/>
        <v>0</v>
      </c>
      <c r="DG117" s="142">
        <f t="shared" si="411"/>
        <v>1</v>
      </c>
      <c r="DH117" s="141">
        <f t="shared" si="412"/>
        <v>-1.1982530463982269E-20</v>
      </c>
      <c r="DI117" s="142">
        <f t="shared" si="413"/>
        <v>4.1430787961067243E-2</v>
      </c>
      <c r="DJ117" s="148">
        <f t="shared" si="414"/>
        <v>0</v>
      </c>
      <c r="DK117" s="149">
        <f t="shared" si="415"/>
        <v>0</v>
      </c>
    </row>
    <row r="118" spans="2:115" x14ac:dyDescent="0.2">
      <c r="B118" s="167" t="s">
        <v>11</v>
      </c>
      <c r="C118" s="172">
        <v>0</v>
      </c>
      <c r="D118" s="173">
        <v>5.7740098572454296E-23</v>
      </c>
      <c r="E118" s="173">
        <v>0</v>
      </c>
      <c r="F118" s="173">
        <v>9.1863191904441318E-11</v>
      </c>
      <c r="G118" s="173">
        <v>6.0596321632348856E-10</v>
      </c>
      <c r="H118" s="173">
        <v>-8.8959950517164543E-12</v>
      </c>
      <c r="I118" s="173">
        <v>6.0596321632724737E-10</v>
      </c>
      <c r="J118" s="173">
        <v>-6.4063584084551676E-19</v>
      </c>
      <c r="K118" s="173">
        <v>-8.8959950517165836E-12</v>
      </c>
      <c r="L118" s="173">
        <v>6.0596321632250029E-10</v>
      </c>
      <c r="M118" s="173">
        <v>1.1693023297591073E-20</v>
      </c>
      <c r="N118" s="173">
        <v>6.059632163219559E-10</v>
      </c>
      <c r="O118" s="173">
        <v>3.5073825691482858E-23</v>
      </c>
      <c r="P118" s="173">
        <v>-3.8414193978141191E-21</v>
      </c>
      <c r="Q118" s="173">
        <v>-1.2965994305882647E-21</v>
      </c>
      <c r="R118" s="173">
        <v>1.4809331718156313E-22</v>
      </c>
      <c r="S118" s="173">
        <v>2.6039524278121121E-20</v>
      </c>
      <c r="T118" s="173">
        <v>4.0732251998176127E-22</v>
      </c>
      <c r="U118" s="173">
        <v>5.5179123185137543E-23</v>
      </c>
      <c r="V118" s="173">
        <v>-2.4534933345133095E-21</v>
      </c>
      <c r="W118" s="173">
        <v>-3.2133148394778722E-23</v>
      </c>
      <c r="X118" s="173">
        <v>5.2303505113315311E-21</v>
      </c>
      <c r="Y118" s="173">
        <v>-4.8917814837193911E-23</v>
      </c>
      <c r="Z118" s="173">
        <v>-1.2877959566233651E-21</v>
      </c>
      <c r="AA118" s="173">
        <v>-1.2966703707761618E-22</v>
      </c>
      <c r="AB118" s="173">
        <v>-4.9575419443874293E-22</v>
      </c>
      <c r="AC118" s="173">
        <v>-8.9721618995193505E-22</v>
      </c>
      <c r="AD118" s="173">
        <v>-1.2763514416494346E-21</v>
      </c>
      <c r="AE118" s="173">
        <v>1.8623554801660506E-22</v>
      </c>
      <c r="AF118" s="173">
        <v>-2.7846645477440442E-24</v>
      </c>
      <c r="AG118" s="173">
        <v>-2.3711172105166977E-21</v>
      </c>
      <c r="AH118" s="173">
        <v>-4.7908326941420012E-23</v>
      </c>
      <c r="AI118" s="173">
        <v>-3.1132948134819112E-23</v>
      </c>
      <c r="AJ118" s="173">
        <v>-1.4330050976993073E-22</v>
      </c>
      <c r="AK118" s="173">
        <v>-1.842922546404366E-22</v>
      </c>
      <c r="AL118" s="173">
        <v>-4.6884305827450211E-23</v>
      </c>
      <c r="AM118" s="173">
        <v>1.4835786774981137E-22</v>
      </c>
      <c r="AN118" s="173">
        <v>4.1303535998199423E-22</v>
      </c>
      <c r="AO118" s="173">
        <v>4.8014947967915486E-21</v>
      </c>
      <c r="AP118" s="173">
        <v>8.9137903123433521E-23</v>
      </c>
      <c r="AQ118" s="173">
        <v>-2.1001796505987621E-22</v>
      </c>
      <c r="AR118" s="173">
        <v>1.3763710017138631E-23</v>
      </c>
      <c r="AS118" s="173">
        <v>4.7712178763951853E-24</v>
      </c>
      <c r="AT118" s="173">
        <v>1.8266943660355709E-22</v>
      </c>
      <c r="AU118" s="173">
        <v>-1.4372450641867296E-22</v>
      </c>
      <c r="AV118" s="173">
        <v>-4.0935838822383736E-23</v>
      </c>
      <c r="AW118" s="173">
        <v>7.4742175753438732E-22</v>
      </c>
      <c r="AX118" s="173">
        <v>-4.6180141750334813E-21</v>
      </c>
      <c r="AY118" s="173">
        <v>-4.346970389072677E-20</v>
      </c>
      <c r="AZ118" s="173">
        <v>-2.2549756953142887E-19</v>
      </c>
      <c r="BA118" s="173">
        <v>-3.6941944104618394E-23</v>
      </c>
      <c r="BB118" s="173">
        <v>-1.7029360825218949E-20</v>
      </c>
      <c r="BC118" s="173">
        <v>7.1616867519050397E-22</v>
      </c>
      <c r="BD118" s="173">
        <v>8.644009628271625E-26</v>
      </c>
      <c r="BE118" s="173">
        <v>-2.5472049583934237E-16</v>
      </c>
      <c r="BF118" s="173">
        <v>7.1230397340477475E-17</v>
      </c>
      <c r="BG118" s="173">
        <v>-6.9925756287165514E-17</v>
      </c>
      <c r="BH118" s="173">
        <v>-2.8594628986260173E-21</v>
      </c>
      <c r="BI118" s="173">
        <v>7.0482458101262043E-17</v>
      </c>
      <c r="BJ118" s="173">
        <v>-3.5878094254142333E-20</v>
      </c>
      <c r="BK118" s="173">
        <v>1.5787790278154716E-21</v>
      </c>
      <c r="BL118" s="173">
        <v>1.0844829203942085E-20</v>
      </c>
      <c r="BM118" s="173">
        <v>-1.9314196068122457E-23</v>
      </c>
      <c r="BN118" s="173">
        <v>-3.059215811152567E-23</v>
      </c>
      <c r="BO118" s="173">
        <v>1.0576474951761919E-19</v>
      </c>
      <c r="BP118" s="173">
        <v>-1.3862042564526572E-22</v>
      </c>
      <c r="BQ118" s="173">
        <v>6.8127394426649438E-20</v>
      </c>
      <c r="BR118" s="173">
        <v>-1.2653881594178468E-19</v>
      </c>
      <c r="BS118" s="173">
        <v>-5.7165028190041496E-22</v>
      </c>
      <c r="BT118" s="173">
        <v>-1.1166397479112635E-23</v>
      </c>
      <c r="BU118" s="173">
        <v>1.1624943708564652E-21</v>
      </c>
      <c r="BV118" s="173">
        <v>-3.8522362747932989E-20</v>
      </c>
      <c r="BW118" s="173">
        <v>-7.6689154878925438E-23</v>
      </c>
      <c r="BX118" s="173">
        <v>1.7930218302785065E-19</v>
      </c>
      <c r="BY118" s="173">
        <v>1.1104972768559479E-21</v>
      </c>
      <c r="BZ118" s="173">
        <v>-2.4466662160413909E-18</v>
      </c>
      <c r="CA118" s="173">
        <v>3.6776955739686946E-22</v>
      </c>
      <c r="CB118" s="173">
        <v>-2.6237225164390354E-16</v>
      </c>
      <c r="CC118" s="173">
        <v>-2.0705229332875759E-23</v>
      </c>
      <c r="CD118" s="173">
        <v>1.6082051200613212E-23</v>
      </c>
      <c r="CE118" s="173">
        <v>-1.2217385718684832E-18</v>
      </c>
      <c r="CF118" s="173">
        <v>-1.1390957906402693E-16</v>
      </c>
      <c r="CG118" s="173">
        <v>7.4905769633434377E-18</v>
      </c>
      <c r="CH118" s="173">
        <v>1.8717995124539198E-18</v>
      </c>
      <c r="CI118" s="173">
        <v>2.3474807509255977E-21</v>
      </c>
      <c r="CJ118" s="173">
        <v>-2.5672050641584284E-16</v>
      </c>
      <c r="CK118" s="173">
        <v>9.3750238990034992E-20</v>
      </c>
      <c r="CL118" s="173">
        <v>-7.2175039950100547E-20</v>
      </c>
      <c r="CM118" s="173">
        <v>-7.0583517114829124E-20</v>
      </c>
      <c r="CN118" s="173">
        <v>-1.0205066986977365E-18</v>
      </c>
      <c r="CO118" s="173">
        <v>1.6494486204834745E-20</v>
      </c>
      <c r="CP118" s="173">
        <v>-1.1897632674591559E-16</v>
      </c>
      <c r="CQ118" s="173">
        <v>3.2564064948123688E-17</v>
      </c>
      <c r="CR118" s="173">
        <v>1.6169119861877399E-17</v>
      </c>
      <c r="CS118" s="173">
        <v>-1.2216925421547403E-17</v>
      </c>
      <c r="CT118" s="173">
        <v>7.02860903344924E-21</v>
      </c>
      <c r="CU118" s="173">
        <v>3.7734796556101375E-20</v>
      </c>
      <c r="CV118" s="173">
        <v>5.1755949354647931E-20</v>
      </c>
      <c r="CW118" s="173">
        <v>5.0170748937707535E-20</v>
      </c>
      <c r="CX118" s="174">
        <v>9.7036774098048263E-3</v>
      </c>
      <c r="CZ118" s="180"/>
      <c r="DC118" s="180">
        <v>6.4000000000000003E-3</v>
      </c>
      <c r="DE118" s="2">
        <f t="shared" si="416"/>
        <v>12</v>
      </c>
      <c r="DF118" s="141">
        <f t="shared" si="410"/>
        <v>0</v>
      </c>
      <c r="DG118" s="142">
        <f t="shared" si="411"/>
        <v>1</v>
      </c>
      <c r="DH118" s="141">
        <f t="shared" si="412"/>
        <v>-8.8959950517165836E-12</v>
      </c>
      <c r="DI118" s="142">
        <f t="shared" si="413"/>
        <v>9.7036774098048263E-3</v>
      </c>
      <c r="DJ118" s="148">
        <f t="shared" si="414"/>
        <v>0</v>
      </c>
      <c r="DK118" s="149">
        <f t="shared" si="415"/>
        <v>0</v>
      </c>
    </row>
    <row r="119" spans="2:115" x14ac:dyDescent="0.2">
      <c r="B119" s="167" t="s">
        <v>12</v>
      </c>
      <c r="C119" s="172">
        <v>1.3926637620897964E-12</v>
      </c>
      <c r="D119" s="173">
        <v>1.3926637621002399E-12</v>
      </c>
      <c r="E119" s="173">
        <v>1.3926637623162635E-12</v>
      </c>
      <c r="F119" s="173">
        <v>1.392663762117619E-12</v>
      </c>
      <c r="G119" s="173">
        <v>1.3926637628272424E-12</v>
      </c>
      <c r="H119" s="173">
        <v>1.3926637620897964E-12</v>
      </c>
      <c r="I119" s="173">
        <v>1.3926637621103785E-12</v>
      </c>
      <c r="J119" s="173">
        <v>1.3926637620897964E-12</v>
      </c>
      <c r="K119" s="173">
        <v>1.3926637620897964E-12</v>
      </c>
      <c r="L119" s="173">
        <v>1.3926637621426218E-12</v>
      </c>
      <c r="M119" s="173">
        <v>1.3926637620897964E-12</v>
      </c>
      <c r="N119" s="173">
        <v>1.3926637620897964E-12</v>
      </c>
      <c r="O119" s="173">
        <v>1.3926637620897964E-12</v>
      </c>
      <c r="P119" s="173">
        <v>1.3926637620897964E-12</v>
      </c>
      <c r="Q119" s="173">
        <v>1.3926637620897964E-12</v>
      </c>
      <c r="R119" s="173">
        <v>1.3926637620897964E-12</v>
      </c>
      <c r="S119" s="173">
        <v>1.3926637620897964E-12</v>
      </c>
      <c r="T119" s="173">
        <v>1.3926637620897964E-12</v>
      </c>
      <c r="U119" s="173">
        <v>1.3926637620897964E-12</v>
      </c>
      <c r="V119" s="173">
        <v>1.3926637620897964E-12</v>
      </c>
      <c r="W119" s="173">
        <v>1.3926637620897964E-12</v>
      </c>
      <c r="X119" s="173">
        <v>1.3926637620897964E-12</v>
      </c>
      <c r="Y119" s="173">
        <v>1.3926637628352483E-12</v>
      </c>
      <c r="Z119" s="173">
        <v>1.3926637626004715E-12</v>
      </c>
      <c r="AA119" s="173">
        <v>1.3926637621749263E-12</v>
      </c>
      <c r="AB119" s="173">
        <v>1.3926637620897964E-12</v>
      </c>
      <c r="AC119" s="173">
        <v>1.3926637651780423E-12</v>
      </c>
      <c r="AD119" s="173">
        <v>1.3926637620897964E-12</v>
      </c>
      <c r="AE119" s="173">
        <v>1.3926637623735629E-12</v>
      </c>
      <c r="AF119" s="173">
        <v>1.3926637622590863E-12</v>
      </c>
      <c r="AG119" s="173">
        <v>1.3926637620897964E-12</v>
      </c>
      <c r="AH119" s="173">
        <v>1.3926637621886537E-12</v>
      </c>
      <c r="AI119" s="173">
        <v>1.3926637622374134E-12</v>
      </c>
      <c r="AJ119" s="173">
        <v>1.3926637621416882E-12</v>
      </c>
      <c r="AK119" s="173">
        <v>1.3926637621077752E-12</v>
      </c>
      <c r="AL119" s="173">
        <v>1.3926637623580289E-12</v>
      </c>
      <c r="AM119" s="173">
        <v>1.3926637621697374E-12</v>
      </c>
      <c r="AN119" s="173">
        <v>1.3926637645350341E-12</v>
      </c>
      <c r="AO119" s="173">
        <v>1.3926637999002706E-12</v>
      </c>
      <c r="AP119" s="173">
        <v>1.3926637623498112E-12</v>
      </c>
      <c r="AQ119" s="173">
        <v>1.3926637622036351E-12</v>
      </c>
      <c r="AR119" s="173">
        <v>1.3926637621870062E-12</v>
      </c>
      <c r="AS119" s="173">
        <v>1.3926637621313577E-12</v>
      </c>
      <c r="AT119" s="173">
        <v>1.3926637621110587E-12</v>
      </c>
      <c r="AU119" s="173">
        <v>1.3926637620897964E-12</v>
      </c>
      <c r="AV119" s="173">
        <v>1.3926637620897964E-12</v>
      </c>
      <c r="AW119" s="173">
        <v>1.392663766244871E-12</v>
      </c>
      <c r="AX119" s="173">
        <v>1.3926638254967105E-12</v>
      </c>
      <c r="AY119" s="173">
        <v>1.3926637620897964E-12</v>
      </c>
      <c r="AZ119" s="173">
        <v>1.3926637622846447E-12</v>
      </c>
      <c r="BA119" s="173">
        <v>1.3926637621717418E-12</v>
      </c>
      <c r="BB119" s="173">
        <v>1.3926637693106752E-12</v>
      </c>
      <c r="BC119" s="173">
        <v>1.3926637623942319E-12</v>
      </c>
      <c r="BD119" s="173">
        <v>1.3926637634838409E-12</v>
      </c>
      <c r="BE119" s="173">
        <v>1.3927010840913344E-12</v>
      </c>
      <c r="BF119" s="173">
        <v>1.3926808843826301E-12</v>
      </c>
      <c r="BG119" s="173">
        <v>1.392677286054374E-12</v>
      </c>
      <c r="BH119" s="173">
        <v>1.3926637625816752E-12</v>
      </c>
      <c r="BI119" s="173">
        <v>1.3927234329461937E-12</v>
      </c>
      <c r="BJ119" s="173">
        <v>1.3926637639714505E-12</v>
      </c>
      <c r="BK119" s="173">
        <v>1.3926637620901015E-12</v>
      </c>
      <c r="BL119" s="173">
        <v>1.3926637621445634E-12</v>
      </c>
      <c r="BM119" s="173">
        <v>1.3926637620897964E-12</v>
      </c>
      <c r="BN119" s="173">
        <v>1.3926637620897964E-12</v>
      </c>
      <c r="BO119" s="173">
        <v>1.3926637822916373E-12</v>
      </c>
      <c r="BP119" s="173">
        <v>1.3926637624830713E-12</v>
      </c>
      <c r="BQ119" s="173">
        <v>1.3926637621875798E-12</v>
      </c>
      <c r="BR119" s="173">
        <v>1.3926637656734087E-12</v>
      </c>
      <c r="BS119" s="173">
        <v>1.3926637620991078E-12</v>
      </c>
      <c r="BT119" s="173">
        <v>1.3926637635645814E-12</v>
      </c>
      <c r="BU119" s="173">
        <v>1.3926638048284182E-12</v>
      </c>
      <c r="BV119" s="173">
        <v>1.3926637631499941E-12</v>
      </c>
      <c r="BW119" s="173">
        <v>1.3926637666074047E-12</v>
      </c>
      <c r="BX119" s="173">
        <v>1.3926637620897964E-12</v>
      </c>
      <c r="BY119" s="173">
        <v>1.392663762090613E-12</v>
      </c>
      <c r="BZ119" s="173">
        <v>1.3926637620897964E-12</v>
      </c>
      <c r="CA119" s="173">
        <v>1.3926637620897964E-12</v>
      </c>
      <c r="CB119" s="173">
        <v>1.3926796321867688E-12</v>
      </c>
      <c r="CC119" s="173">
        <v>1.3926637639316503E-12</v>
      </c>
      <c r="CD119" s="173">
        <v>1.3926637622811364E-12</v>
      </c>
      <c r="CE119" s="173">
        <v>1.3926637620897964E-12</v>
      </c>
      <c r="CF119" s="173">
        <v>1.3926768637886409E-12</v>
      </c>
      <c r="CG119" s="173">
        <v>1.3926637620947096E-12</v>
      </c>
      <c r="CH119" s="173">
        <v>1.3926643257763758E-12</v>
      </c>
      <c r="CI119" s="173">
        <v>1.3926637620897964E-12</v>
      </c>
      <c r="CJ119" s="173">
        <v>1.3926817367433027E-12</v>
      </c>
      <c r="CK119" s="173">
        <v>1.3926637620897964E-12</v>
      </c>
      <c r="CL119" s="173">
        <v>1.3926638341631664E-12</v>
      </c>
      <c r="CM119" s="173">
        <v>1.3926637887541306E-12</v>
      </c>
      <c r="CN119" s="173">
        <v>1.3926644178756804E-12</v>
      </c>
      <c r="CO119" s="173">
        <v>1.3926637657616846E-12</v>
      </c>
      <c r="CP119" s="173">
        <v>1.3926871879949359E-12</v>
      </c>
      <c r="CQ119" s="173">
        <v>1.3926637620897964E-12</v>
      </c>
      <c r="CR119" s="173">
        <v>1.3926875353299785E-12</v>
      </c>
      <c r="CS119" s="173">
        <v>1.3926784179315114E-12</v>
      </c>
      <c r="CT119" s="173">
        <v>1.3926637620897964E-12</v>
      </c>
      <c r="CU119" s="173">
        <v>1.3926638168299109E-12</v>
      </c>
      <c r="CV119" s="173">
        <v>1.39266383716975E-12</v>
      </c>
      <c r="CW119" s="173">
        <v>1.3926637620897964E-12</v>
      </c>
      <c r="CX119" s="174">
        <v>8.3687090572564789E-5</v>
      </c>
      <c r="CZ119" s="180"/>
      <c r="DC119" s="180">
        <v>1.8700000000000001E-2</v>
      </c>
      <c r="DE119" s="2">
        <f t="shared" si="416"/>
        <v>13</v>
      </c>
      <c r="DF119" s="141">
        <f t="shared" si="410"/>
        <v>0</v>
      </c>
      <c r="DG119" s="142">
        <f t="shared" si="411"/>
        <v>1</v>
      </c>
      <c r="DH119" s="141">
        <f t="shared" si="412"/>
        <v>1.3926637620897964E-12</v>
      </c>
      <c r="DI119" s="142">
        <f t="shared" si="413"/>
        <v>8.3687090572564789E-5</v>
      </c>
      <c r="DJ119" s="148">
        <f t="shared" si="414"/>
        <v>0</v>
      </c>
      <c r="DK119" s="149">
        <f t="shared" si="415"/>
        <v>0</v>
      </c>
    </row>
    <row r="120" spans="2:115" x14ac:dyDescent="0.2">
      <c r="B120" s="167" t="s">
        <v>13</v>
      </c>
      <c r="C120" s="172">
        <v>3.5832670164382258E-9</v>
      </c>
      <c r="D120" s="173">
        <v>3.5832670164382998E-9</v>
      </c>
      <c r="E120" s="173">
        <v>3.5832670164387907E-9</v>
      </c>
      <c r="F120" s="173">
        <v>3.5832670164381852E-9</v>
      </c>
      <c r="G120" s="173">
        <v>3.5832670164381852E-9</v>
      </c>
      <c r="H120" s="173">
        <v>3.5832670164434796E-9</v>
      </c>
      <c r="I120" s="173">
        <v>3.5832670164381852E-9</v>
      </c>
      <c r="J120" s="173">
        <v>3.5832670164418083E-9</v>
      </c>
      <c r="K120" s="173">
        <v>3.5832670164381852E-9</v>
      </c>
      <c r="L120" s="173">
        <v>3.5832670164381852E-9</v>
      </c>
      <c r="M120" s="173">
        <v>3.5832670164384673E-9</v>
      </c>
      <c r="N120" s="173">
        <v>3.5832670164381852E-9</v>
      </c>
      <c r="O120" s="173">
        <v>3.5832670164381852E-9</v>
      </c>
      <c r="P120" s="173">
        <v>3.5832670164381852E-9</v>
      </c>
      <c r="Q120" s="173">
        <v>3.5832670164381852E-9</v>
      </c>
      <c r="R120" s="173">
        <v>3.5832670164381852E-9</v>
      </c>
      <c r="S120" s="173">
        <v>3.5832670164381852E-9</v>
      </c>
      <c r="T120" s="173">
        <v>3.5832670164381852E-9</v>
      </c>
      <c r="U120" s="173">
        <v>3.5832670164381852E-9</v>
      </c>
      <c r="V120" s="173">
        <v>3.5832670164381852E-9</v>
      </c>
      <c r="W120" s="173">
        <v>3.5832670164381852E-9</v>
      </c>
      <c r="X120" s="173">
        <v>3.5832670164381852E-9</v>
      </c>
      <c r="Y120" s="173">
        <v>3.5832670164381852E-9</v>
      </c>
      <c r="Z120" s="173">
        <v>5.171054236377087E-4</v>
      </c>
      <c r="AA120" s="173">
        <v>1.5172511078830602E-3</v>
      </c>
      <c r="AB120" s="173">
        <v>2.5826604722897096E-3</v>
      </c>
      <c r="AC120" s="173">
        <v>3.7204554711250679E-3</v>
      </c>
      <c r="AD120" s="173">
        <v>4.8040293409809896E-3</v>
      </c>
      <c r="AE120" s="173">
        <v>6.013505133627914E-3</v>
      </c>
      <c r="AF120" s="173">
        <v>7.1926202415420817E-3</v>
      </c>
      <c r="AG120" s="173">
        <v>8.1140697061835073E-3</v>
      </c>
      <c r="AH120" s="173">
        <v>9.1992031634863681E-3</v>
      </c>
      <c r="AI120" s="173">
        <v>1.0052781561116653E-2</v>
      </c>
      <c r="AJ120" s="173">
        <v>1.1088617806854641E-2</v>
      </c>
      <c r="AK120" s="173">
        <v>1.1749211848280147E-2</v>
      </c>
      <c r="AL120" s="173">
        <v>1.1749211848280148E-2</v>
      </c>
      <c r="AM120" s="173">
        <v>1.1749211848280153E-2</v>
      </c>
      <c r="AN120" s="173">
        <v>1.1749211848280148E-2</v>
      </c>
      <c r="AO120" s="173">
        <v>1.1749211848280148E-2</v>
      </c>
      <c r="AP120" s="173">
        <v>1.1749211848280147E-2</v>
      </c>
      <c r="AQ120" s="173">
        <v>1.174921184828015E-2</v>
      </c>
      <c r="AR120" s="173">
        <v>1.1749211848280153E-2</v>
      </c>
      <c r="AS120" s="173">
        <v>1.1749211848280148E-2</v>
      </c>
      <c r="AT120" s="173">
        <v>1.1749211848280152E-2</v>
      </c>
      <c r="AU120" s="173">
        <v>1.1749211848280148E-2</v>
      </c>
      <c r="AV120" s="173">
        <v>1.1749211848280148E-2</v>
      </c>
      <c r="AW120" s="173">
        <v>1.174921184828015E-2</v>
      </c>
      <c r="AX120" s="173">
        <v>1.174921184828015E-2</v>
      </c>
      <c r="AY120" s="173">
        <v>1.1749211848280153E-2</v>
      </c>
      <c r="AZ120" s="173">
        <v>1.1749211848280152E-2</v>
      </c>
      <c r="BA120" s="173">
        <v>1.1749211848280152E-2</v>
      </c>
      <c r="BB120" s="173">
        <v>1.174921184828015E-2</v>
      </c>
      <c r="BC120" s="173">
        <v>1.1749211848280153E-2</v>
      </c>
      <c r="BD120" s="173">
        <v>1.1749211848280152E-2</v>
      </c>
      <c r="BE120" s="173">
        <v>1.1749211848280138E-2</v>
      </c>
      <c r="BF120" s="173">
        <v>1.1749211848280147E-2</v>
      </c>
      <c r="BG120" s="173">
        <v>1.174921184828015E-2</v>
      </c>
      <c r="BH120" s="173">
        <v>1.1749211848280152E-2</v>
      </c>
      <c r="BI120" s="173">
        <v>1.1749211848280133E-2</v>
      </c>
      <c r="BJ120" s="173">
        <v>1.1749211848280148E-2</v>
      </c>
      <c r="BK120" s="173">
        <v>1.1749211848280147E-2</v>
      </c>
      <c r="BL120" s="173">
        <v>1.1749211848280152E-2</v>
      </c>
      <c r="BM120" s="173">
        <v>1.1749211848280152E-2</v>
      </c>
      <c r="BN120" s="173">
        <v>1.1749211848280153E-2</v>
      </c>
      <c r="BO120" s="173">
        <v>1.174921184828015E-2</v>
      </c>
      <c r="BP120" s="173">
        <v>1.1749211848280152E-2</v>
      </c>
      <c r="BQ120" s="173">
        <v>1.1749211848280152E-2</v>
      </c>
      <c r="BR120" s="173">
        <v>1.1749211848280148E-2</v>
      </c>
      <c r="BS120" s="173">
        <v>1.174921184828015E-2</v>
      </c>
      <c r="BT120" s="173">
        <v>1.1749211848280148E-2</v>
      </c>
      <c r="BU120" s="173">
        <v>1.1749211848280153E-2</v>
      </c>
      <c r="BV120" s="173">
        <v>1.1749211848280153E-2</v>
      </c>
      <c r="BW120" s="173">
        <v>1.174921184828015E-2</v>
      </c>
      <c r="BX120" s="173">
        <v>1.174921184828015E-2</v>
      </c>
      <c r="BY120" s="173">
        <v>1.1749211848280153E-2</v>
      </c>
      <c r="BZ120" s="173">
        <v>1.1749211848280138E-2</v>
      </c>
      <c r="CA120" s="173">
        <v>1.1749211848280153E-2</v>
      </c>
      <c r="CB120" s="173">
        <v>1.1749211848280205E-2</v>
      </c>
      <c r="CC120" s="173">
        <v>1.174921184828015E-2</v>
      </c>
      <c r="CD120" s="173">
        <v>1.1749211848280148E-2</v>
      </c>
      <c r="CE120" s="173">
        <v>1.174921184828015E-2</v>
      </c>
      <c r="CF120" s="173">
        <v>1.1749211848280134E-2</v>
      </c>
      <c r="CG120" s="173">
        <v>1.1749211848280148E-2</v>
      </c>
      <c r="CH120" s="173">
        <v>1.1749211848280148E-2</v>
      </c>
      <c r="CI120" s="173">
        <v>1.174921184828015E-2</v>
      </c>
      <c r="CJ120" s="173">
        <v>1.1749211848280131E-2</v>
      </c>
      <c r="CK120" s="173">
        <v>1.174921184828015E-2</v>
      </c>
      <c r="CL120" s="173">
        <v>1.1749211848280148E-2</v>
      </c>
      <c r="CM120" s="173">
        <v>1.1749211848280148E-2</v>
      </c>
      <c r="CN120" s="173">
        <v>1.1749211848280148E-2</v>
      </c>
      <c r="CO120" s="173">
        <v>1.1749211848280152E-2</v>
      </c>
      <c r="CP120" s="173">
        <v>1.1749211848280176E-2</v>
      </c>
      <c r="CQ120" s="173">
        <v>1.1749211848280195E-2</v>
      </c>
      <c r="CR120" s="173">
        <v>1.1749211848280114E-2</v>
      </c>
      <c r="CS120" s="173">
        <v>1.1749211848280219E-2</v>
      </c>
      <c r="CT120" s="173">
        <v>1.1749211848280147E-2</v>
      </c>
      <c r="CU120" s="173">
        <v>1.1749211848280147E-2</v>
      </c>
      <c r="CV120" s="173">
        <v>1.1749211848280147E-2</v>
      </c>
      <c r="CW120" s="173">
        <v>1.174921184828015E-2</v>
      </c>
      <c r="CX120" s="174">
        <v>1.1729354421311494E-2</v>
      </c>
      <c r="CZ120" s="180"/>
      <c r="DC120" s="180">
        <v>1.3100000000000001E-2</v>
      </c>
      <c r="DE120" s="2">
        <f t="shared" si="416"/>
        <v>14</v>
      </c>
      <c r="DF120" s="141">
        <f t="shared" si="410"/>
        <v>0</v>
      </c>
      <c r="DG120" s="142">
        <f t="shared" si="411"/>
        <v>1</v>
      </c>
      <c r="DH120" s="141">
        <f t="shared" si="412"/>
        <v>3.5832670164381852E-9</v>
      </c>
      <c r="DI120" s="142">
        <f t="shared" si="413"/>
        <v>1.1749211848280219E-2</v>
      </c>
      <c r="DJ120" s="148">
        <f t="shared" si="414"/>
        <v>0</v>
      </c>
      <c r="DK120" s="149">
        <f t="shared" si="415"/>
        <v>0</v>
      </c>
    </row>
    <row r="121" spans="2:115" x14ac:dyDescent="0.2">
      <c r="B121" s="167" t="s">
        <v>14</v>
      </c>
      <c r="C121" s="172">
        <v>-1.2521259841418221E-23</v>
      </c>
      <c r="D121" s="173">
        <v>1.5372727074496347E-23</v>
      </c>
      <c r="E121" s="173">
        <v>3.6754049895305611E-22</v>
      </c>
      <c r="F121" s="173">
        <v>-3.7172845963591747E-10</v>
      </c>
      <c r="G121" s="173">
        <v>7.0358713408631998E-10</v>
      </c>
      <c r="H121" s="173">
        <v>-2.3349425314381624E-21</v>
      </c>
      <c r="I121" s="173">
        <v>7.0358713408937858E-10</v>
      </c>
      <c r="J121" s="173">
        <v>-6.2137778179153465E-20</v>
      </c>
      <c r="K121" s="173">
        <v>-3.7633185456797946E-10</v>
      </c>
      <c r="L121" s="173">
        <v>7.0358713408521321E-10</v>
      </c>
      <c r="M121" s="173">
        <v>5.5347532190650601E-22</v>
      </c>
      <c r="N121" s="173">
        <v>7.0358713412863471E-10</v>
      </c>
      <c r="O121" s="173">
        <v>7.5344828064833197E-23</v>
      </c>
      <c r="P121" s="173">
        <v>1.3941606834773589E-21</v>
      </c>
      <c r="Q121" s="173">
        <v>4.0084516851466033E-22</v>
      </c>
      <c r="R121" s="173">
        <v>1.7251769077611334E-24</v>
      </c>
      <c r="S121" s="173">
        <v>-6.6194161281074716E-11</v>
      </c>
      <c r="T121" s="173">
        <v>-6.6194161264702744E-11</v>
      </c>
      <c r="U121" s="173">
        <v>6.5151211558589664E-24</v>
      </c>
      <c r="V121" s="173">
        <v>-3.7633185456797946E-10</v>
      </c>
      <c r="W121" s="173">
        <v>-3.7633185456774268E-10</v>
      </c>
      <c r="X121" s="173">
        <v>-6.6194161279827211E-11</v>
      </c>
      <c r="Y121" s="173">
        <v>-1.1134750243261666E-23</v>
      </c>
      <c r="Z121" s="173">
        <v>2.3943897104748468E-22</v>
      </c>
      <c r="AA121" s="173">
        <v>4.4927498234322753E-24</v>
      </c>
      <c r="AB121" s="173">
        <v>-6.0194044333917214E-22</v>
      </c>
      <c r="AC121" s="173">
        <v>5.6148268101397498E-21</v>
      </c>
      <c r="AD121" s="173">
        <v>4.1816760381031909E-21</v>
      </c>
      <c r="AE121" s="173">
        <v>1.2792780316242444E-22</v>
      </c>
      <c r="AF121" s="173">
        <v>5.3999930074718087E-24</v>
      </c>
      <c r="AG121" s="173">
        <v>-1.3307312209729642E-20</v>
      </c>
      <c r="AH121" s="173">
        <v>8.9005923742106846E-24</v>
      </c>
      <c r="AI121" s="173">
        <v>-2.8485018593843663E-22</v>
      </c>
      <c r="AJ121" s="173">
        <v>-3.1054094700249188E-22</v>
      </c>
      <c r="AK121" s="173">
        <v>-9.15286139099639E-23</v>
      </c>
      <c r="AL121" s="173">
        <v>-6.6750840801545324E-23</v>
      </c>
      <c r="AM121" s="173">
        <v>9.4985464252248912E-23</v>
      </c>
      <c r="AN121" s="173">
        <v>-3.241639747214974E-22</v>
      </c>
      <c r="AO121" s="173">
        <v>7.0077226390136098E-21</v>
      </c>
      <c r="AP121" s="173">
        <v>5.8544234337812071E-23</v>
      </c>
      <c r="AQ121" s="173">
        <v>-1.133219438064194E-22</v>
      </c>
      <c r="AR121" s="173">
        <v>-3.4375772421082346E-24</v>
      </c>
      <c r="AS121" s="173">
        <v>-6.561093617848263E-24</v>
      </c>
      <c r="AT121" s="173">
        <v>-7.2367209066382681E-23</v>
      </c>
      <c r="AU121" s="173">
        <v>5.140224036259977E-23</v>
      </c>
      <c r="AV121" s="173">
        <v>-1.2023828625884622E-22</v>
      </c>
      <c r="AW121" s="173">
        <v>-1.9264205369787829E-22</v>
      </c>
      <c r="AX121" s="173">
        <v>1.6703834141392226E-20</v>
      </c>
      <c r="AY121" s="173">
        <v>-3.8354693132769393E-20</v>
      </c>
      <c r="AZ121" s="173">
        <v>-2.3956856381156276E-21</v>
      </c>
      <c r="BA121" s="173">
        <v>-4.4939952465008038E-23</v>
      </c>
      <c r="BB121" s="173">
        <v>1.1112813306972826E-20</v>
      </c>
      <c r="BC121" s="173">
        <v>2.3240967905694713E-22</v>
      </c>
      <c r="BD121" s="173">
        <v>6.6990835307957519E-24</v>
      </c>
      <c r="BE121" s="173">
        <v>1.3126986521970161E-17</v>
      </c>
      <c r="BF121" s="173">
        <v>6.5866111893536289E-18</v>
      </c>
      <c r="BG121" s="173">
        <v>-1.5928804852251742E-18</v>
      </c>
      <c r="BH121" s="173">
        <v>-4.6177955858589817E-23</v>
      </c>
      <c r="BI121" s="173">
        <v>5.8470745244491633E-18</v>
      </c>
      <c r="BJ121" s="173">
        <v>1.7914875630448561E-22</v>
      </c>
      <c r="BK121" s="173">
        <v>-7.6515343230660191E-23</v>
      </c>
      <c r="BL121" s="173">
        <v>-5.2676220251778927E-22</v>
      </c>
      <c r="BM121" s="173">
        <v>-1.556895012061376E-24</v>
      </c>
      <c r="BN121" s="173">
        <v>-2.5803484822963345E-24</v>
      </c>
      <c r="BO121" s="173">
        <v>-6.1572671393982665E-21</v>
      </c>
      <c r="BP121" s="173">
        <v>-1.4203274241858147E-23</v>
      </c>
      <c r="BQ121" s="173">
        <v>-3.3101854047850331E-21</v>
      </c>
      <c r="BR121" s="173">
        <v>6.148788630529379E-21</v>
      </c>
      <c r="BS121" s="173">
        <v>-5.0746616256142927E-23</v>
      </c>
      <c r="BT121" s="173">
        <v>-8.4706255335923435E-25</v>
      </c>
      <c r="BU121" s="173">
        <v>1.0362553705930585E-22</v>
      </c>
      <c r="BV121" s="173">
        <v>1.8720386068438437E-21</v>
      </c>
      <c r="BW121" s="173">
        <v>-6.6475375661528784E-24</v>
      </c>
      <c r="BX121" s="173">
        <v>-8.7122436799060297E-21</v>
      </c>
      <c r="BY121" s="173">
        <v>-5.374857293530685E-23</v>
      </c>
      <c r="BZ121" s="173">
        <v>-1.263162336992279E-17</v>
      </c>
      <c r="CA121" s="173">
        <v>-1.4919759786757046E-20</v>
      </c>
      <c r="CB121" s="173">
        <v>2.331315328520242E-17</v>
      </c>
      <c r="CC121" s="173">
        <v>-7.8813029315250346E-22</v>
      </c>
      <c r="CD121" s="173">
        <v>-8.505752811615134E-26</v>
      </c>
      <c r="CE121" s="173">
        <v>-1.0983475963855404E-19</v>
      </c>
      <c r="CF121" s="173">
        <v>8.3483545797301448E-18</v>
      </c>
      <c r="CG121" s="173">
        <v>-4.2983462196996139E-19</v>
      </c>
      <c r="CH121" s="173">
        <v>7.263126556316488E-20</v>
      </c>
      <c r="CI121" s="173">
        <v>1.1584065154652585E-22</v>
      </c>
      <c r="CJ121" s="173">
        <v>-1.659028731432301E-17</v>
      </c>
      <c r="CK121" s="173">
        <v>-2.8666255174132283E-19</v>
      </c>
      <c r="CL121" s="173">
        <v>1.5328301658028198E-21</v>
      </c>
      <c r="CM121" s="173">
        <v>9.5029614335678498E-21</v>
      </c>
      <c r="CN121" s="173">
        <v>8.3538865198706702E-19</v>
      </c>
      <c r="CO121" s="173">
        <v>1.0844612534714198E-21</v>
      </c>
      <c r="CP121" s="173">
        <v>4.3632211901184268E-17</v>
      </c>
      <c r="CQ121" s="173">
        <v>1.6701005706872005E-16</v>
      </c>
      <c r="CR121" s="173">
        <v>-2.2666943411780018E-17</v>
      </c>
      <c r="CS121" s="173">
        <v>1.1114436738585978E-16</v>
      </c>
      <c r="CT121" s="173">
        <v>-1.9488266889174971E-20</v>
      </c>
      <c r="CU121" s="173">
        <v>-2.0363540496169425E-20</v>
      </c>
      <c r="CV121" s="173">
        <v>-2.7930028353913937E-20</v>
      </c>
      <c r="CW121" s="173">
        <v>2.2053156560097628E-20</v>
      </c>
      <c r="CX121" s="174">
        <v>2.041708282509813E-5</v>
      </c>
      <c r="CZ121" s="180"/>
      <c r="DC121" s="180">
        <v>5.1999999999999998E-3</v>
      </c>
      <c r="DE121" s="2">
        <f t="shared" si="416"/>
        <v>15</v>
      </c>
      <c r="DF121" s="141">
        <f t="shared" si="410"/>
        <v>0</v>
      </c>
      <c r="DG121" s="142">
        <f t="shared" si="411"/>
        <v>1</v>
      </c>
      <c r="DH121" s="141">
        <f t="shared" si="412"/>
        <v>-3.7633185456797946E-10</v>
      </c>
      <c r="DI121" s="142">
        <f t="shared" si="413"/>
        <v>2.041708282509813E-5</v>
      </c>
      <c r="DJ121" s="148">
        <f t="shared" si="414"/>
        <v>0</v>
      </c>
      <c r="DK121" s="149">
        <f t="shared" si="415"/>
        <v>0</v>
      </c>
    </row>
    <row r="122" spans="2:115" x14ac:dyDescent="0.2">
      <c r="B122" s="167" t="s">
        <v>15</v>
      </c>
      <c r="C122" s="172">
        <v>6.6194161263415134E-11</v>
      </c>
      <c r="D122" s="173">
        <v>6.6194161263410933E-11</v>
      </c>
      <c r="E122" s="173">
        <v>6.6194161263881909E-11</v>
      </c>
      <c r="F122" s="173">
        <v>6.6194161263410933E-11</v>
      </c>
      <c r="G122" s="173">
        <v>6.6194161263410933E-11</v>
      </c>
      <c r="H122" s="173">
        <v>6.6194161263411218E-11</v>
      </c>
      <c r="I122" s="173">
        <v>6.6194161263410804E-11</v>
      </c>
      <c r="J122" s="173">
        <v>6.6194161287009711E-11</v>
      </c>
      <c r="K122" s="173">
        <v>6.6194161263410933E-11</v>
      </c>
      <c r="L122" s="173">
        <v>6.6194161263410933E-11</v>
      </c>
      <c r="M122" s="173">
        <v>6.6194161263493716E-11</v>
      </c>
      <c r="N122" s="173">
        <v>6.6194161263410895E-11</v>
      </c>
      <c r="O122" s="173">
        <v>6.6194161263410933E-11</v>
      </c>
      <c r="P122" s="173">
        <v>6.6194161264394516E-11</v>
      </c>
      <c r="Q122" s="173">
        <v>6.6194161264731592E-11</v>
      </c>
      <c r="R122" s="173">
        <v>6.6194161263627616E-11</v>
      </c>
      <c r="S122" s="173">
        <v>6.6194161301564329E-11</v>
      </c>
      <c r="T122" s="173">
        <v>6.619416126428379E-11</v>
      </c>
      <c r="U122" s="173">
        <v>6.6194161263713862E-11</v>
      </c>
      <c r="V122" s="173">
        <v>6.6194161263410933E-11</v>
      </c>
      <c r="W122" s="173">
        <v>6.6194161263541292E-11</v>
      </c>
      <c r="X122" s="173">
        <v>6.6194161265373484E-11</v>
      </c>
      <c r="Y122" s="173">
        <v>6.6194161263410933E-11</v>
      </c>
      <c r="Z122" s="173">
        <v>6.61941612637093E-11</v>
      </c>
      <c r="AA122" s="173">
        <v>6.6194161263433939E-11</v>
      </c>
      <c r="AB122" s="173">
        <v>6.6194161263410933E-11</v>
      </c>
      <c r="AC122" s="173">
        <v>6.619416126351066E-11</v>
      </c>
      <c r="AD122" s="173">
        <v>6.6194161265365419E-11</v>
      </c>
      <c r="AE122" s="173">
        <v>6.6194161263754769E-11</v>
      </c>
      <c r="AF122" s="173">
        <v>6.6194161263940122E-11</v>
      </c>
      <c r="AG122" s="173">
        <v>6.6194161266946252E-11</v>
      </c>
      <c r="AH122" s="173">
        <v>6.6194161263432996E-11</v>
      </c>
      <c r="AI122" s="173">
        <v>6.6194161263758091E-11</v>
      </c>
      <c r="AJ122" s="173">
        <v>6.6194161263444085E-11</v>
      </c>
      <c r="AK122" s="173">
        <v>6.6194161263513129E-11</v>
      </c>
      <c r="AL122" s="173">
        <v>6.6194161263469547E-11</v>
      </c>
      <c r="AM122" s="173">
        <v>6.6194161263639106E-11</v>
      </c>
      <c r="AN122" s="173">
        <v>6.6194161264411964E-11</v>
      </c>
      <c r="AO122" s="173">
        <v>6.6194161314241932E-11</v>
      </c>
      <c r="AP122" s="173">
        <v>6.6194161263745101E-11</v>
      </c>
      <c r="AQ122" s="173">
        <v>6.6194161263675256E-11</v>
      </c>
      <c r="AR122" s="173">
        <v>6.6194161263417047E-11</v>
      </c>
      <c r="AS122" s="173">
        <v>6.6194161263611344E-11</v>
      </c>
      <c r="AT122" s="173">
        <v>6.619416126383688E-11</v>
      </c>
      <c r="AU122" s="173">
        <v>6.6194161263819845E-11</v>
      </c>
      <c r="AV122" s="173">
        <v>6.6194161263652535E-11</v>
      </c>
      <c r="AW122" s="173">
        <v>6.6194161269451549E-11</v>
      </c>
      <c r="AX122" s="173">
        <v>6.6194161263410933E-11</v>
      </c>
      <c r="AY122" s="173">
        <v>6.6194161263410933E-11</v>
      </c>
      <c r="AZ122" s="173">
        <v>6.6194161270986473E-11</v>
      </c>
      <c r="BA122" s="173">
        <v>6.6194161263419541E-11</v>
      </c>
      <c r="BB122" s="173">
        <v>6.6194161263410933E-11</v>
      </c>
      <c r="BC122" s="173">
        <v>6.6194161263853036E-11</v>
      </c>
      <c r="BD122" s="173">
        <v>6.6194161264153173E-11</v>
      </c>
      <c r="BE122" s="173">
        <v>6.6194168093071501E-11</v>
      </c>
      <c r="BF122" s="173">
        <v>6.6194246123105363E-11</v>
      </c>
      <c r="BG122" s="173">
        <v>6.6194161263410933E-11</v>
      </c>
      <c r="BH122" s="173">
        <v>6.6194161263702786E-11</v>
      </c>
      <c r="BI122" s="173">
        <v>6.6194203738379914E-11</v>
      </c>
      <c r="BJ122" s="173">
        <v>6.6194161272795814E-11</v>
      </c>
      <c r="BK122" s="173">
        <v>6.6194161263481244E-11</v>
      </c>
      <c r="BL122" s="173">
        <v>6.6194161263979219E-11</v>
      </c>
      <c r="BM122" s="173">
        <v>6.6194161263410933E-11</v>
      </c>
      <c r="BN122" s="173">
        <v>6.6194161263410933E-11</v>
      </c>
      <c r="BO122" s="173">
        <v>6.6194161402805562E-11</v>
      </c>
      <c r="BP122" s="173">
        <v>6.6194161263586024E-11</v>
      </c>
      <c r="BQ122" s="173">
        <v>6.6194161266575726E-11</v>
      </c>
      <c r="BR122" s="173">
        <v>6.6194161263721501E-11</v>
      </c>
      <c r="BS122" s="173">
        <v>6.6194161263413945E-11</v>
      </c>
      <c r="BT122" s="173">
        <v>6.6194161263887544E-11</v>
      </c>
      <c r="BU122" s="173">
        <v>6.6194161277219809E-11</v>
      </c>
      <c r="BV122" s="173">
        <v>6.6194161263454929E-11</v>
      </c>
      <c r="BW122" s="173">
        <v>6.6194161264870623E-11</v>
      </c>
      <c r="BX122" s="173">
        <v>6.6194161271317746E-11</v>
      </c>
      <c r="BY122" s="173">
        <v>6.6194161263461378E-11</v>
      </c>
      <c r="BZ122" s="173">
        <v>6.6194192307387912E-11</v>
      </c>
      <c r="CA122" s="173">
        <v>6.6194161302272447E-11</v>
      </c>
      <c r="CB122" s="173">
        <v>6.6194161263438877E-11</v>
      </c>
      <c r="CC122" s="173">
        <v>6.6194161264483192E-11</v>
      </c>
      <c r="CD122" s="173">
        <v>6.6194161263471654E-11</v>
      </c>
      <c r="CE122" s="173">
        <v>6.6194161263410933E-11</v>
      </c>
      <c r="CF122" s="173">
        <v>6.6194184752252206E-11</v>
      </c>
      <c r="CG122" s="173">
        <v>6.6194161264529062E-11</v>
      </c>
      <c r="CH122" s="173">
        <v>6.6194163220056214E-11</v>
      </c>
      <c r="CI122" s="173">
        <v>6.6194161263642337E-11</v>
      </c>
      <c r="CJ122" s="173">
        <v>6.6194219884270246E-11</v>
      </c>
      <c r="CK122" s="173">
        <v>6.6194161263410933E-11</v>
      </c>
      <c r="CL122" s="173">
        <v>6.6194161307023113E-11</v>
      </c>
      <c r="CM122" s="173">
        <v>6.6194161341559455E-11</v>
      </c>
      <c r="CN122" s="173">
        <v>6.6194162817210687E-11</v>
      </c>
      <c r="CO122" s="173">
        <v>6.6194161268373694E-11</v>
      </c>
      <c r="CP122" s="173">
        <v>6.6194161263410933E-11</v>
      </c>
      <c r="CQ122" s="173">
        <v>6.6194161263410933E-11</v>
      </c>
      <c r="CR122" s="173">
        <v>6.6194227847650344E-11</v>
      </c>
      <c r="CS122" s="173">
        <v>6.619418595754889E-11</v>
      </c>
      <c r="CT122" s="173">
        <v>6.6194161277732583E-11</v>
      </c>
      <c r="CU122" s="173">
        <v>6.6194161263410933E-11</v>
      </c>
      <c r="CV122" s="173">
        <v>6.6194161263410933E-11</v>
      </c>
      <c r="CW122" s="173">
        <v>6.6194161263410933E-11</v>
      </c>
      <c r="CX122" s="174">
        <v>1.8537452282897199E-5</v>
      </c>
      <c r="CZ122" s="180"/>
      <c r="DC122" s="180">
        <v>4.1999999999999997E-3</v>
      </c>
      <c r="DE122" s="2">
        <f t="shared" si="416"/>
        <v>16</v>
      </c>
      <c r="DF122" s="141">
        <f t="shared" si="410"/>
        <v>0</v>
      </c>
      <c r="DG122" s="142">
        <f t="shared" si="411"/>
        <v>1</v>
      </c>
      <c r="DH122" s="141">
        <f t="shared" si="412"/>
        <v>6.6194161263410804E-11</v>
      </c>
      <c r="DI122" s="142">
        <f t="shared" si="413"/>
        <v>1.8537452282897199E-5</v>
      </c>
      <c r="DJ122" s="148">
        <f t="shared" si="414"/>
        <v>0</v>
      </c>
      <c r="DK122" s="149">
        <f t="shared" si="415"/>
        <v>0</v>
      </c>
    </row>
    <row r="123" spans="2:115" x14ac:dyDescent="0.2">
      <c r="B123" s="167" t="s">
        <v>16</v>
      </c>
      <c r="C123" s="172">
        <v>1.0672215162884726E-9</v>
      </c>
      <c r="D123" s="173">
        <v>1.0672215162885923E-9</v>
      </c>
      <c r="E123" s="173">
        <v>1.0672215162886409E-9</v>
      </c>
      <c r="F123" s="173">
        <v>3.0916838750719868E-11</v>
      </c>
      <c r="G123" s="173">
        <v>2.0393877743048426E-10</v>
      </c>
      <c r="H123" s="173">
        <v>1.0672215162826521E-9</v>
      </c>
      <c r="I123" s="173">
        <v>2.0393877743080547E-10</v>
      </c>
      <c r="J123" s="173">
        <v>1.0672215163355005E-9</v>
      </c>
      <c r="K123" s="173">
        <v>1.0672215162841685E-9</v>
      </c>
      <c r="L123" s="173">
        <v>2.0393877743002693E-10</v>
      </c>
      <c r="M123" s="173">
        <v>1.0672215162873662E-9</v>
      </c>
      <c r="N123" s="173">
        <v>2.0393877747543737E-10</v>
      </c>
      <c r="O123" s="173">
        <v>-1.0212069019922061E-22</v>
      </c>
      <c r="P123" s="173">
        <v>-9.0847516624444396E-22</v>
      </c>
      <c r="Q123" s="173">
        <v>-5.2600047380173708E-22</v>
      </c>
      <c r="R123" s="173">
        <v>8.6258674677256701E-23</v>
      </c>
      <c r="S123" s="173">
        <v>5.1613455710780677E-20</v>
      </c>
      <c r="T123" s="173">
        <v>5.8694188917379632E-22</v>
      </c>
      <c r="U123" s="173">
        <v>1.067221516288516E-9</v>
      </c>
      <c r="V123" s="173">
        <v>3.7633185454176182E-10</v>
      </c>
      <c r="W123" s="173">
        <v>2.1395862859255542E-10</v>
      </c>
      <c r="X123" s="173">
        <v>1.3921522033236039E-21</v>
      </c>
      <c r="Y123" s="173">
        <v>1.067221516291798E-9</v>
      </c>
      <c r="Z123" s="173">
        <v>1.5401197615582264E-4</v>
      </c>
      <c r="AA123" s="173">
        <v>4.5189013838964727E-4</v>
      </c>
      <c r="AB123" s="173">
        <v>7.6920609395028335E-4</v>
      </c>
      <c r="AC123" s="173">
        <v>1.1080810084660067E-3</v>
      </c>
      <c r="AD123" s="173">
        <v>1.4308069853728809E-3</v>
      </c>
      <c r="AE123" s="173">
        <v>1.7910309327989068E-3</v>
      </c>
      <c r="AF123" s="173">
        <v>2.142212412597651E-3</v>
      </c>
      <c r="AG123" s="173">
        <v>2.4166521041770182E-3</v>
      </c>
      <c r="AH123" s="173">
        <v>2.7398425804561898E-3</v>
      </c>
      <c r="AI123" s="173">
        <v>2.9940679082397642E-3</v>
      </c>
      <c r="AJ123" s="173">
        <v>3.3025759607325685E-3</v>
      </c>
      <c r="AK123" s="173">
        <v>3.4993238367091763E-3</v>
      </c>
      <c r="AL123" s="173">
        <v>3.4993238367091776E-3</v>
      </c>
      <c r="AM123" s="173">
        <v>3.4993238367091784E-3</v>
      </c>
      <c r="AN123" s="173">
        <v>3.4993238367091771E-3</v>
      </c>
      <c r="AO123" s="173">
        <v>3.4993238367091771E-3</v>
      </c>
      <c r="AP123" s="173">
        <v>3.4993238367091767E-3</v>
      </c>
      <c r="AQ123" s="173">
        <v>3.4993237873697752E-3</v>
      </c>
      <c r="AR123" s="173">
        <v>3.4993237873697748E-3</v>
      </c>
      <c r="AS123" s="173">
        <v>3.4993237873697748E-3</v>
      </c>
      <c r="AT123" s="173">
        <v>3.4993237873697748E-3</v>
      </c>
      <c r="AU123" s="173">
        <v>2.2633799565584009E-3</v>
      </c>
      <c r="AV123" s="173">
        <v>1.8550947399368095E-21</v>
      </c>
      <c r="AW123" s="173">
        <v>-2.3310185038395107E-20</v>
      </c>
      <c r="AX123" s="173">
        <v>1.4959662330808691E-20</v>
      </c>
      <c r="AY123" s="173">
        <v>-4.4938019897804565E-20</v>
      </c>
      <c r="AZ123" s="173">
        <v>1.0327270066723077E-21</v>
      </c>
      <c r="BA123" s="173">
        <v>-2.7804621826413662E-23</v>
      </c>
      <c r="BB123" s="173">
        <v>4.1533723571878374E-20</v>
      </c>
      <c r="BC123" s="173">
        <v>1.4334210205258012E-21</v>
      </c>
      <c r="BD123" s="173">
        <v>1.0632270978390101E-22</v>
      </c>
      <c r="BE123" s="173">
        <v>2.7381747836658692E-16</v>
      </c>
      <c r="BF123" s="173">
        <v>-4.333207300952563E-18</v>
      </c>
      <c r="BG123" s="173">
        <v>7.2563465031352445E-17</v>
      </c>
      <c r="BH123" s="173">
        <v>-1.9678377025614277E-21</v>
      </c>
      <c r="BI123" s="173">
        <v>1.3269126633650543E-17</v>
      </c>
      <c r="BJ123" s="173">
        <v>7.7750080598687442E-21</v>
      </c>
      <c r="BK123" s="173">
        <v>-2.5693192660305345E-21</v>
      </c>
      <c r="BL123" s="173">
        <v>-1.7651828722061015E-20</v>
      </c>
      <c r="BM123" s="173">
        <v>3.8136604792920344E-22</v>
      </c>
      <c r="BN123" s="173">
        <v>6.0198325279858388E-22</v>
      </c>
      <c r="BO123" s="173">
        <v>5.6312008333382911E-20</v>
      </c>
      <c r="BP123" s="173">
        <v>-4.2030696200363986E-23</v>
      </c>
      <c r="BQ123" s="173">
        <v>-1.1089160768219059E-19</v>
      </c>
      <c r="BR123" s="173">
        <v>2.0596963673524847E-19</v>
      </c>
      <c r="BS123" s="173">
        <v>1.120079020459638E-20</v>
      </c>
      <c r="BT123" s="173">
        <v>2.2182811741403106E-22</v>
      </c>
      <c r="BU123" s="173">
        <v>-2.2769821085409976E-20</v>
      </c>
      <c r="BV123" s="173">
        <v>6.270392816135974E-20</v>
      </c>
      <c r="BW123" s="173">
        <v>1.5054118204006487E-21</v>
      </c>
      <c r="BX123" s="173">
        <v>-2.9185251269389362E-19</v>
      </c>
      <c r="BY123" s="173">
        <v>-1.8071580335700577E-21</v>
      </c>
      <c r="BZ123" s="173">
        <v>-1.0140060581253194E-17</v>
      </c>
      <c r="CA123" s="173">
        <v>1.2231809554266827E-19</v>
      </c>
      <c r="CB123" s="173">
        <v>1.6767994191671758E-17</v>
      </c>
      <c r="CC123" s="173">
        <v>7.2406027728695668E-23</v>
      </c>
      <c r="CD123" s="173">
        <v>-2.1941911605098037E-23</v>
      </c>
      <c r="CE123" s="173">
        <v>1.3433719902529702E-18</v>
      </c>
      <c r="CF123" s="173">
        <v>2.0501472281565315E-17</v>
      </c>
      <c r="CG123" s="173">
        <v>5.4810913776912437E-20</v>
      </c>
      <c r="CH123" s="173">
        <v>3.8186846101436756E-19</v>
      </c>
      <c r="CI123" s="173">
        <v>2.4113846435710742E-23</v>
      </c>
      <c r="CJ123" s="173">
        <v>4.2830435565586811E-17</v>
      </c>
      <c r="CK123" s="173">
        <v>2.493336666027167E-19</v>
      </c>
      <c r="CL123" s="173">
        <v>-5.2003733976318953E-20</v>
      </c>
      <c r="CM123" s="173">
        <v>8.580693085823707E-20</v>
      </c>
      <c r="CN123" s="173">
        <v>9.5788146043592632E-19</v>
      </c>
      <c r="CO123" s="173">
        <v>7.7050008209786663E-21</v>
      </c>
      <c r="CP123" s="173">
        <v>-4.0282368219875435E-17</v>
      </c>
      <c r="CQ123" s="173">
        <v>1.547496703784224E-17</v>
      </c>
      <c r="CR123" s="173">
        <v>3.6871780209175852E-16</v>
      </c>
      <c r="CS123" s="173">
        <v>4.4098096040025791E-16</v>
      </c>
      <c r="CT123" s="173">
        <v>-6.7619838376264583E-20</v>
      </c>
      <c r="CU123" s="173">
        <v>-1.1891411603236774E-19</v>
      </c>
      <c r="CV123" s="173">
        <v>-1.630991340252297E-19</v>
      </c>
      <c r="CW123" s="173">
        <v>6.9620304650615101E-20</v>
      </c>
      <c r="CX123" s="174">
        <v>1.8860932167820271E-5</v>
      </c>
      <c r="CZ123" s="180"/>
      <c r="DC123" s="180">
        <v>1.7000000000000001E-3</v>
      </c>
      <c r="DE123" s="2">
        <f t="shared" si="416"/>
        <v>17</v>
      </c>
      <c r="DF123" s="141">
        <f t="shared" si="410"/>
        <v>0</v>
      </c>
      <c r="DG123" s="142">
        <f t="shared" si="411"/>
        <v>1</v>
      </c>
      <c r="DH123" s="141">
        <f t="shared" si="412"/>
        <v>-4.0282368219875435E-17</v>
      </c>
      <c r="DI123" s="142">
        <f t="shared" si="413"/>
        <v>3.4993238367091784E-3</v>
      </c>
      <c r="DJ123" s="148">
        <f t="shared" si="414"/>
        <v>0</v>
      </c>
      <c r="DK123" s="149">
        <f t="shared" si="415"/>
        <v>0</v>
      </c>
    </row>
    <row r="124" spans="2:115" x14ac:dyDescent="0.2">
      <c r="B124" s="167" t="s">
        <v>17</v>
      </c>
      <c r="C124" s="172">
        <v>9.2811293010441587E-10</v>
      </c>
      <c r="D124" s="173">
        <v>9.28112930105567E-10</v>
      </c>
      <c r="E124" s="173">
        <v>9.281129301045111E-10</v>
      </c>
      <c r="F124" s="173">
        <v>2.6886937121162802E-11</v>
      </c>
      <c r="G124" s="173">
        <v>1.7735607218739911E-10</v>
      </c>
      <c r="H124" s="173">
        <v>9.2811293010001951E-10</v>
      </c>
      <c r="I124" s="173">
        <v>1.773560721881366E-10</v>
      </c>
      <c r="J124" s="173">
        <v>2.688693712121947E-11</v>
      </c>
      <c r="K124" s="173">
        <v>9.2811293011402006E-10</v>
      </c>
      <c r="L124" s="173">
        <v>1.7735607218708647E-10</v>
      </c>
      <c r="M124" s="173">
        <v>2.6886937121161984E-11</v>
      </c>
      <c r="N124" s="173">
        <v>1.77356072207578E-10</v>
      </c>
      <c r="O124" s="173">
        <v>2.6886937121162191E-11</v>
      </c>
      <c r="P124" s="173">
        <v>2.6886937121162191E-11</v>
      </c>
      <c r="Q124" s="173">
        <v>2.6886937121162191E-11</v>
      </c>
      <c r="R124" s="173">
        <v>2.6886937121162191E-11</v>
      </c>
      <c r="S124" s="173">
        <v>2.6886937121162191E-11</v>
      </c>
      <c r="T124" s="173">
        <v>2.6886937121162191E-11</v>
      </c>
      <c r="U124" s="173">
        <v>2.6886937121162191E-11</v>
      </c>
      <c r="V124" s="173">
        <v>2.6886937121162191E-11</v>
      </c>
      <c r="W124" s="173">
        <v>2.6886937121162191E-11</v>
      </c>
      <c r="X124" s="173">
        <v>2.6886937121162191E-11</v>
      </c>
      <c r="Y124" s="173">
        <v>2.6886937121162191E-11</v>
      </c>
      <c r="Z124" s="173">
        <v>2.6886937122013318E-11</v>
      </c>
      <c r="AA124" s="173">
        <v>2.6886937121322693E-11</v>
      </c>
      <c r="AB124" s="173">
        <v>2.6886937121162191E-11</v>
      </c>
      <c r="AC124" s="173">
        <v>2.6886937132156927E-11</v>
      </c>
      <c r="AD124" s="173">
        <v>2.1684842002567912E-4</v>
      </c>
      <c r="AE124" s="173">
        <v>5.2574180493645921E-4</v>
      </c>
      <c r="AF124" s="173">
        <v>1.3534215077293783E-3</v>
      </c>
      <c r="AG124" s="173">
        <v>2.1016499679008217E-3</v>
      </c>
      <c r="AH124" s="173">
        <v>2.3827136977293572E-3</v>
      </c>
      <c r="AI124" s="173">
        <v>2.6038016445846112E-3</v>
      </c>
      <c r="AJ124" s="173">
        <v>2.8720967531349782E-3</v>
      </c>
      <c r="AK124" s="173">
        <v>3.0431992326834809E-3</v>
      </c>
      <c r="AL124" s="173">
        <v>3.0431992326834809E-3</v>
      </c>
      <c r="AM124" s="173">
        <v>3.0431992326834831E-3</v>
      </c>
      <c r="AN124" s="173">
        <v>3.0431992326834809E-3</v>
      </c>
      <c r="AO124" s="173">
        <v>3.0431992326834813E-3</v>
      </c>
      <c r="AP124" s="173">
        <v>3.0431992326834805E-3</v>
      </c>
      <c r="AQ124" s="173">
        <v>3.0431991897752974E-3</v>
      </c>
      <c r="AR124" s="173">
        <v>7.036758982053769E-4</v>
      </c>
      <c r="AS124" s="173">
        <v>2.6886937121866125E-11</v>
      </c>
      <c r="AT124" s="173">
        <v>2.6886937121539763E-11</v>
      </c>
      <c r="AU124" s="173">
        <v>2.6886937121470729E-11</v>
      </c>
      <c r="AV124" s="173">
        <v>2.6886937121212956E-11</v>
      </c>
      <c r="AW124" s="173">
        <v>2.6886937121168359E-11</v>
      </c>
      <c r="AX124" s="173">
        <v>2.6886937121162191E-11</v>
      </c>
      <c r="AY124" s="173">
        <v>2.6886937121162191E-11</v>
      </c>
      <c r="AZ124" s="173">
        <v>2.6886937121162191E-11</v>
      </c>
      <c r="BA124" s="173">
        <v>2.6886937121294811E-11</v>
      </c>
      <c r="BB124" s="173">
        <v>2.6886937121162191E-11</v>
      </c>
      <c r="BC124" s="173">
        <v>2.6886937123394571E-11</v>
      </c>
      <c r="BD124" s="173">
        <v>2.6886937124116376E-11</v>
      </c>
      <c r="BE124" s="173">
        <v>2.6886953824251429E-11</v>
      </c>
      <c r="BF124" s="173">
        <v>2.6886937121162669E-11</v>
      </c>
      <c r="BG124" s="173">
        <v>2.6886939002087659E-11</v>
      </c>
      <c r="BH124" s="173">
        <v>2.6886937122295083E-11</v>
      </c>
      <c r="BI124" s="173">
        <v>2.688699578550157E-11</v>
      </c>
      <c r="BJ124" s="173">
        <v>2.6886937121393478E-11</v>
      </c>
      <c r="BK124" s="173">
        <v>2.6886937121164233E-11</v>
      </c>
      <c r="BL124" s="173">
        <v>2.6886937121531753E-11</v>
      </c>
      <c r="BM124" s="173">
        <v>2.6886937121162191E-11</v>
      </c>
      <c r="BN124" s="173">
        <v>2.6886937121162191E-11</v>
      </c>
      <c r="BO124" s="173">
        <v>2.6886937320443394E-11</v>
      </c>
      <c r="BP124" s="173">
        <v>2.6886937121288501E-11</v>
      </c>
      <c r="BQ124" s="173">
        <v>2.6886937121821813E-11</v>
      </c>
      <c r="BR124" s="173">
        <v>2.6886937145359641E-11</v>
      </c>
      <c r="BS124" s="173">
        <v>2.6886937121165629E-11</v>
      </c>
      <c r="BT124" s="173">
        <v>2.6886937121706489E-11</v>
      </c>
      <c r="BU124" s="173">
        <v>2.688693713693362E-11</v>
      </c>
      <c r="BV124" s="173">
        <v>2.6886937128320599E-11</v>
      </c>
      <c r="BW124" s="173">
        <v>2.6886937122829341E-11</v>
      </c>
      <c r="BX124" s="173">
        <v>2.6886937121162191E-11</v>
      </c>
      <c r="BY124" s="173">
        <v>2.6886937121167665E-11</v>
      </c>
      <c r="BZ124" s="173">
        <v>2.6886937121162191E-11</v>
      </c>
      <c r="CA124" s="173">
        <v>2.688693713034704E-11</v>
      </c>
      <c r="CB124" s="173">
        <v>2.6886937357629269E-11</v>
      </c>
      <c r="CC124" s="173">
        <v>2.6886937121288559E-11</v>
      </c>
      <c r="CD124" s="173">
        <v>2.6886937121271912E-11</v>
      </c>
      <c r="CE124" s="173">
        <v>2.6886937350901089E-11</v>
      </c>
      <c r="CF124" s="173">
        <v>2.688694806331788E-11</v>
      </c>
      <c r="CG124" s="173">
        <v>2.6886938306947335E-11</v>
      </c>
      <c r="CH124" s="173">
        <v>2.68869374397171E-11</v>
      </c>
      <c r="CI124" s="173">
        <v>2.6886937121162191E-11</v>
      </c>
      <c r="CJ124" s="173">
        <v>2.6886970383374723E-11</v>
      </c>
      <c r="CK124" s="173">
        <v>2.6886937121162191E-11</v>
      </c>
      <c r="CL124" s="173">
        <v>2.6886937149832998E-11</v>
      </c>
      <c r="CM124" s="173">
        <v>2.6886937166925874E-11</v>
      </c>
      <c r="CN124" s="173">
        <v>2.6886937719838134E-11</v>
      </c>
      <c r="CO124" s="173">
        <v>2.6886937121182328E-11</v>
      </c>
      <c r="CP124" s="173">
        <v>2.6886948440820623E-11</v>
      </c>
      <c r="CQ124" s="173">
        <v>2.688706486316923E-11</v>
      </c>
      <c r="CR124" s="173">
        <v>2.6886937121162191E-11</v>
      </c>
      <c r="CS124" s="173">
        <v>2.6886937121162191E-11</v>
      </c>
      <c r="CT124" s="173">
        <v>2.6886937142897147E-11</v>
      </c>
      <c r="CU124" s="173">
        <v>2.6886937121162191E-11</v>
      </c>
      <c r="CV124" s="173">
        <v>2.6886937121162191E-11</v>
      </c>
      <c r="CW124" s="173">
        <v>2.6886937138567273E-11</v>
      </c>
      <c r="CX124" s="174">
        <v>2.0025015871265804E-5</v>
      </c>
      <c r="CZ124" s="180"/>
      <c r="DC124" s="180">
        <v>7.000000000000001E-4</v>
      </c>
      <c r="DE124" s="2">
        <f t="shared" si="416"/>
        <v>18</v>
      </c>
      <c r="DF124" s="141">
        <f t="shared" si="410"/>
        <v>0</v>
      </c>
      <c r="DG124" s="142">
        <f t="shared" si="411"/>
        <v>1</v>
      </c>
      <c r="DH124" s="141">
        <f t="shared" si="412"/>
        <v>2.6886937121161984E-11</v>
      </c>
      <c r="DI124" s="142">
        <f t="shared" si="413"/>
        <v>3.0431992326834831E-3</v>
      </c>
      <c r="DJ124" s="148">
        <f t="shared" si="414"/>
        <v>0</v>
      </c>
      <c r="DK124" s="149">
        <f t="shared" si="415"/>
        <v>0</v>
      </c>
    </row>
    <row r="125" spans="2:115" x14ac:dyDescent="0.2">
      <c r="B125" s="167" t="s">
        <v>146</v>
      </c>
      <c r="C125" s="172">
        <v>9.6179064712511912E-11</v>
      </c>
      <c r="D125" s="173">
        <v>9.6179064712819455E-11</v>
      </c>
      <c r="E125" s="173">
        <v>9.6179064712487161E-11</v>
      </c>
      <c r="F125" s="173">
        <v>9.6179064712487161E-11</v>
      </c>
      <c r="G125" s="173">
        <v>9.6179064712487161E-11</v>
      </c>
      <c r="H125" s="173">
        <v>9.6179064717719583E-11</v>
      </c>
      <c r="I125" s="173">
        <v>9.6179064714127447E-11</v>
      </c>
      <c r="J125" s="173">
        <v>9.6179064716037343E-11</v>
      </c>
      <c r="K125" s="173">
        <v>9.6179064712487161E-11</v>
      </c>
      <c r="L125" s="173">
        <v>9.6179064712507117E-11</v>
      </c>
      <c r="M125" s="173">
        <v>9.6179064712801968E-11</v>
      </c>
      <c r="N125" s="173">
        <v>9.6179064739862548E-11</v>
      </c>
      <c r="O125" s="173">
        <v>9.6179064712487161E-11</v>
      </c>
      <c r="P125" s="173">
        <v>9.6179064712487161E-11</v>
      </c>
      <c r="Q125" s="173">
        <v>9.6179064712487161E-11</v>
      </c>
      <c r="R125" s="173">
        <v>9.6179064712487161E-11</v>
      </c>
      <c r="S125" s="173">
        <v>9.6179064712487161E-11</v>
      </c>
      <c r="T125" s="173">
        <v>9.6179064712487161E-11</v>
      </c>
      <c r="U125" s="173">
        <v>9.6179064712691682E-11</v>
      </c>
      <c r="V125" s="173">
        <v>9.6179064712487161E-11</v>
      </c>
      <c r="W125" s="173">
        <v>9.6179064712607593E-11</v>
      </c>
      <c r="X125" s="173">
        <v>9.6179064712487161E-11</v>
      </c>
      <c r="Y125" s="173">
        <v>9.6179064712760014E-11</v>
      </c>
      <c r="Z125" s="173">
        <v>9.6179064712487161E-11</v>
      </c>
      <c r="AA125" s="173">
        <v>9.6179064712579495E-11</v>
      </c>
      <c r="AB125" s="173">
        <v>9.6179064712525263E-11</v>
      </c>
      <c r="AC125" s="173">
        <v>9.6179064716681187E-11</v>
      </c>
      <c r="AD125" s="173">
        <v>9.6179064712487161E-11</v>
      </c>
      <c r="AE125" s="173">
        <v>9.6179064712575282E-11</v>
      </c>
      <c r="AF125" s="173">
        <v>9.6179064712796385E-11</v>
      </c>
      <c r="AG125" s="173">
        <v>9.6179064712487161E-11</v>
      </c>
      <c r="AH125" s="173">
        <v>9.6179064712571753E-11</v>
      </c>
      <c r="AI125" s="173">
        <v>9.6179064713254836E-11</v>
      </c>
      <c r="AJ125" s="173">
        <v>9.6179064712621668E-11</v>
      </c>
      <c r="AK125" s="173">
        <v>9.6179064712487161E-11</v>
      </c>
      <c r="AL125" s="173">
        <v>9.6179064712571999E-11</v>
      </c>
      <c r="AM125" s="173">
        <v>9.6179064712840962E-11</v>
      </c>
      <c r="AN125" s="173">
        <v>9.6179064712487161E-11</v>
      </c>
      <c r="AO125" s="173">
        <v>9.6179064712487588E-11</v>
      </c>
      <c r="AP125" s="173">
        <v>9.617906471254403E-11</v>
      </c>
      <c r="AQ125" s="173">
        <v>9.6179064712949503E-11</v>
      </c>
      <c r="AR125" s="173">
        <v>9.6179064712514613E-11</v>
      </c>
      <c r="AS125" s="173">
        <v>9.6179064712591205E-11</v>
      </c>
      <c r="AT125" s="173">
        <v>9.6179064712517715E-11</v>
      </c>
      <c r="AU125" s="173">
        <v>9.6179064712487161E-11</v>
      </c>
      <c r="AV125" s="173">
        <v>9.6179064714827643E-11</v>
      </c>
      <c r="AW125" s="173">
        <v>9.6179064717412001E-11</v>
      </c>
      <c r="AX125" s="173">
        <v>9.61790647611952E-11</v>
      </c>
      <c r="AY125" s="173">
        <v>9.6179064712487161E-11</v>
      </c>
      <c r="AZ125" s="173">
        <v>9.6179064712487161E-11</v>
      </c>
      <c r="BA125" s="173">
        <v>9.61790647126249E-11</v>
      </c>
      <c r="BB125" s="173">
        <v>9.6179064712487161E-11</v>
      </c>
      <c r="BC125" s="173">
        <v>9.6179064712533897E-11</v>
      </c>
      <c r="BD125" s="173">
        <v>9.6179064715707492E-11</v>
      </c>
      <c r="BE125" s="173">
        <v>9.6179119328285069E-11</v>
      </c>
      <c r="BF125" s="173">
        <v>9.6179065702559036E-11</v>
      </c>
      <c r="BG125" s="173">
        <v>9.6179081896182679E-11</v>
      </c>
      <c r="BH125" s="173">
        <v>9.6179064713011736E-11</v>
      </c>
      <c r="BI125" s="173">
        <v>9.6179076178145514E-11</v>
      </c>
      <c r="BJ125" s="173">
        <v>9.6179064718503026E-11</v>
      </c>
      <c r="BK125" s="173">
        <v>9.6179064712488118E-11</v>
      </c>
      <c r="BL125" s="173">
        <v>9.6179064712660804E-11</v>
      </c>
      <c r="BM125" s="173">
        <v>9.6179064712801865E-11</v>
      </c>
      <c r="BN125" s="173">
        <v>9.6179064712983922E-11</v>
      </c>
      <c r="BO125" s="173">
        <v>9.6179064714235886E-11</v>
      </c>
      <c r="BP125" s="173">
        <v>9.617906471267497E-11</v>
      </c>
      <c r="BQ125" s="173">
        <v>9.6179064712797108E-11</v>
      </c>
      <c r="BR125" s="173">
        <v>9.6179064723854665E-11</v>
      </c>
      <c r="BS125" s="173">
        <v>9.6179064721734549E-11</v>
      </c>
      <c r="BT125" s="173">
        <v>9.6179064713318452E-11</v>
      </c>
      <c r="BU125" s="173">
        <v>9.6179064712487161E-11</v>
      </c>
      <c r="BV125" s="173">
        <v>9.6179064715850064E-11</v>
      </c>
      <c r="BW125" s="173">
        <v>9.617906471571557E-11</v>
      </c>
      <c r="BX125" s="173">
        <v>9.6179064712487161E-11</v>
      </c>
      <c r="BY125" s="173">
        <v>9.6179064712489733E-11</v>
      </c>
      <c r="BZ125" s="173">
        <v>9.6179087075338493E-11</v>
      </c>
      <c r="CA125" s="173">
        <v>9.6179064712487161E-11</v>
      </c>
      <c r="CB125" s="173">
        <v>9.6179156732565266E-11</v>
      </c>
      <c r="CC125" s="173">
        <v>9.6179064712516966E-11</v>
      </c>
      <c r="CD125" s="173">
        <v>9.6179064712497591E-11</v>
      </c>
      <c r="CE125" s="173">
        <v>9.6179064712487161E-11</v>
      </c>
      <c r="CF125" s="173">
        <v>9.6179083010625476E-11</v>
      </c>
      <c r="CG125" s="173">
        <v>9.6179065135807851E-11</v>
      </c>
      <c r="CH125" s="173">
        <v>9.6179064712487161E-11</v>
      </c>
      <c r="CI125" s="173">
        <v>9.6179064712736375E-11</v>
      </c>
      <c r="CJ125" s="173">
        <v>9.6179102160618154E-11</v>
      </c>
      <c r="CK125" s="173">
        <v>9.6179064737231688E-11</v>
      </c>
      <c r="CL125" s="173">
        <v>9.617906476600227E-11</v>
      </c>
      <c r="CM125" s="173">
        <v>9.6179064769691754E-11</v>
      </c>
      <c r="CN125" s="173">
        <v>9.6179064712487161E-11</v>
      </c>
      <c r="CO125" s="173">
        <v>9.6179064719586995E-11</v>
      </c>
      <c r="CP125" s="173">
        <v>9.6179145032352289E-11</v>
      </c>
      <c r="CQ125" s="173">
        <v>9.6179143610913518E-11</v>
      </c>
      <c r="CR125" s="173">
        <v>9.6179086727178923E-11</v>
      </c>
      <c r="CS125" s="173">
        <v>9.6179155872460823E-11</v>
      </c>
      <c r="CT125" s="173">
        <v>9.6179064712487161E-11</v>
      </c>
      <c r="CU125" s="173">
        <v>9.6179064712487161E-11</v>
      </c>
      <c r="CV125" s="173">
        <v>9.6179064712487161E-11</v>
      </c>
      <c r="CW125" s="173">
        <v>9.6179064799512559E-11</v>
      </c>
      <c r="CX125" s="174">
        <v>1.7260431998689554E-5</v>
      </c>
      <c r="CZ125" s="180"/>
      <c r="DC125" s="180">
        <v>2.9999999999999997E-4</v>
      </c>
      <c r="DE125" s="2">
        <f t="shared" si="416"/>
        <v>19</v>
      </c>
      <c r="DF125" s="141">
        <f t="shared" si="410"/>
        <v>0</v>
      </c>
      <c r="DG125" s="142">
        <f t="shared" si="411"/>
        <v>1</v>
      </c>
      <c r="DH125" s="141">
        <f t="shared" si="412"/>
        <v>9.6179064712487161E-11</v>
      </c>
      <c r="DI125" s="142">
        <f t="shared" si="413"/>
        <v>1.7260431998689554E-5</v>
      </c>
      <c r="DJ125" s="148">
        <f t="shared" si="414"/>
        <v>0</v>
      </c>
      <c r="DK125" s="149">
        <f t="shared" si="415"/>
        <v>0</v>
      </c>
    </row>
    <row r="126" spans="2:115" x14ac:dyDescent="0.2">
      <c r="B126" s="167" t="s">
        <v>18</v>
      </c>
      <c r="C126" s="172">
        <v>5.7821694099402521E-9</v>
      </c>
      <c r="D126" s="173">
        <v>5.7821694099402521E-9</v>
      </c>
      <c r="E126" s="173">
        <v>5.7821694099402521E-9</v>
      </c>
      <c r="F126" s="173">
        <v>5.7821694099402521E-9</v>
      </c>
      <c r="G126" s="173">
        <v>5.7821694099402521E-9</v>
      </c>
      <c r="H126" s="173">
        <v>5.7821694099402521E-9</v>
      </c>
      <c r="I126" s="173">
        <v>5.7821694099402521E-9</v>
      </c>
      <c r="J126" s="173">
        <v>5.7821694099402521E-9</v>
      </c>
      <c r="K126" s="173">
        <v>5.7821694099402521E-9</v>
      </c>
      <c r="L126" s="173">
        <v>5.7821694099402521E-9</v>
      </c>
      <c r="M126" s="173">
        <v>5.7821694099402521E-9</v>
      </c>
      <c r="N126" s="173">
        <v>5.7821694099402521E-9</v>
      </c>
      <c r="O126" s="173">
        <v>5.7821694099402521E-9</v>
      </c>
      <c r="P126" s="173">
        <v>5.7821694099402521E-9</v>
      </c>
      <c r="Q126" s="173">
        <v>5.7821694099402521E-9</v>
      </c>
      <c r="R126" s="173">
        <v>5.7821694099402521E-9</v>
      </c>
      <c r="S126" s="173">
        <v>5.7821694099402521E-9</v>
      </c>
      <c r="T126" s="173">
        <v>5.7821694099402521E-9</v>
      </c>
      <c r="U126" s="173">
        <v>5.7821694099402521E-9</v>
      </c>
      <c r="V126" s="173">
        <v>5.7821694099402521E-9</v>
      </c>
      <c r="W126" s="173">
        <v>5.7821694099402521E-9</v>
      </c>
      <c r="X126" s="173">
        <v>5.7821694099402521E-9</v>
      </c>
      <c r="Y126" s="173">
        <v>5.7821694099402521E-9</v>
      </c>
      <c r="Z126" s="173">
        <v>5.7821694099402521E-9</v>
      </c>
      <c r="AA126" s="173">
        <v>5.7821694099402521E-9</v>
      </c>
      <c r="AB126" s="173">
        <v>5.7821694099402521E-9</v>
      </c>
      <c r="AC126" s="173">
        <v>5.7821694099402521E-9</v>
      </c>
      <c r="AD126" s="173">
        <v>5.7821694099402521E-9</v>
      </c>
      <c r="AE126" s="173">
        <v>5.7821694099402521E-9</v>
      </c>
      <c r="AF126" s="173">
        <v>5.7821694099402521E-9</v>
      </c>
      <c r="AG126" s="173">
        <v>5.7821694099402521E-9</v>
      </c>
      <c r="AH126" s="173">
        <v>5.7821694099402521E-9</v>
      </c>
      <c r="AI126" s="173">
        <v>5.7821694099402521E-9</v>
      </c>
      <c r="AJ126" s="173">
        <v>5.7821694099402521E-9</v>
      </c>
      <c r="AK126" s="173">
        <v>5.7821694099402521E-9</v>
      </c>
      <c r="AL126" s="173">
        <v>5.7821694099402521E-9</v>
      </c>
      <c r="AM126" s="173">
        <v>5.7821694099402521E-9</v>
      </c>
      <c r="AN126" s="173">
        <v>5.7821694099402521E-9</v>
      </c>
      <c r="AO126" s="173">
        <v>5.7821694099402521E-9</v>
      </c>
      <c r="AP126" s="173">
        <v>5.7821694099402521E-9</v>
      </c>
      <c r="AQ126" s="173">
        <v>5.7821694099402521E-9</v>
      </c>
      <c r="AR126" s="173">
        <v>5.7821694099402521E-9</v>
      </c>
      <c r="AS126" s="173">
        <v>5.7821694099402835E-9</v>
      </c>
      <c r="AT126" s="173">
        <v>5.7821694099403207E-9</v>
      </c>
      <c r="AU126" s="173">
        <v>5.7821694099402678E-9</v>
      </c>
      <c r="AV126" s="173">
        <v>5.7821694099403158E-9</v>
      </c>
      <c r="AW126" s="173">
        <v>5.7821694099402728E-9</v>
      </c>
      <c r="AX126" s="173">
        <v>5.7821694099402521E-9</v>
      </c>
      <c r="AY126" s="173">
        <v>5.7821694099402521E-9</v>
      </c>
      <c r="AZ126" s="173">
        <v>5.7821694099402529E-9</v>
      </c>
      <c r="BA126" s="173">
        <v>5.782169409940391E-9</v>
      </c>
      <c r="BB126" s="173">
        <v>5.7821694099402521E-9</v>
      </c>
      <c r="BC126" s="173">
        <v>5.7821694099402744E-9</v>
      </c>
      <c r="BD126" s="173">
        <v>5.7821694099408121E-9</v>
      </c>
      <c r="BE126" s="173">
        <v>5.7821694099402521E-9</v>
      </c>
      <c r="BF126" s="173">
        <v>5.7821694099402637E-9</v>
      </c>
      <c r="BG126" s="173">
        <v>5.7821694099402521E-9</v>
      </c>
      <c r="BH126" s="173">
        <v>5.7821694099402521E-9</v>
      </c>
      <c r="BI126" s="173">
        <v>5.7821694099403199E-9</v>
      </c>
      <c r="BJ126" s="173">
        <v>5.7821694099402521E-9</v>
      </c>
      <c r="BK126" s="173">
        <v>5.7821694099402521E-9</v>
      </c>
      <c r="BL126" s="173">
        <v>5.7821694099402521E-9</v>
      </c>
      <c r="BM126" s="173">
        <v>5.7821694099402521E-9</v>
      </c>
      <c r="BN126" s="173">
        <v>5.7821694099402521E-9</v>
      </c>
      <c r="BO126" s="173">
        <v>5.7821694099402521E-9</v>
      </c>
      <c r="BP126" s="173">
        <v>5.7821694099402521E-9</v>
      </c>
      <c r="BQ126" s="173">
        <v>5.7821694099402521E-9</v>
      </c>
      <c r="BR126" s="173">
        <v>5.7821694099402521E-9</v>
      </c>
      <c r="BS126" s="173">
        <v>5.7821694099402521E-9</v>
      </c>
      <c r="BT126" s="173">
        <v>5.7821694099402521E-9</v>
      </c>
      <c r="BU126" s="173">
        <v>5.7821694099402521E-9</v>
      </c>
      <c r="BV126" s="173">
        <v>5.7821694099402521E-9</v>
      </c>
      <c r="BW126" s="173">
        <v>5.7821694099402521E-9</v>
      </c>
      <c r="BX126" s="173">
        <v>5.7821694099402521E-9</v>
      </c>
      <c r="BY126" s="173">
        <v>5.7821694099402521E-9</v>
      </c>
      <c r="BZ126" s="173">
        <v>5.7821694099402521E-9</v>
      </c>
      <c r="CA126" s="173">
        <v>5.7821694099402521E-9</v>
      </c>
      <c r="CB126" s="173">
        <v>5.7821694099402521E-9</v>
      </c>
      <c r="CC126" s="173">
        <v>5.7821694099411099E-9</v>
      </c>
      <c r="CD126" s="173">
        <v>5.7821694099402604E-9</v>
      </c>
      <c r="CE126" s="173">
        <v>5.7821694100612645E-9</v>
      </c>
      <c r="CF126" s="173">
        <v>5.7821694099402521E-9</v>
      </c>
      <c r="CG126" s="173">
        <v>5.7821694099402546E-9</v>
      </c>
      <c r="CH126" s="173">
        <v>5.7821694099402521E-9</v>
      </c>
      <c r="CI126" s="173">
        <v>5.7821694099402521E-9</v>
      </c>
      <c r="CJ126" s="173">
        <v>5.7821694099402521E-9</v>
      </c>
      <c r="CK126" s="173">
        <v>5.7821694107662258E-9</v>
      </c>
      <c r="CL126" s="173">
        <v>5.7821694099402521E-9</v>
      </c>
      <c r="CM126" s="173">
        <v>5.7821694100317796E-9</v>
      </c>
      <c r="CN126" s="173">
        <v>5.7821694105389282E-9</v>
      </c>
      <c r="CO126" s="173">
        <v>5.7821694099403092E-9</v>
      </c>
      <c r="CP126" s="173">
        <v>5.7821694099402521E-9</v>
      </c>
      <c r="CQ126" s="173">
        <v>5.7821694099402521E-9</v>
      </c>
      <c r="CR126" s="173">
        <v>5.7821694099402521E-9</v>
      </c>
      <c r="CS126" s="173">
        <v>5.7821694099402521E-9</v>
      </c>
      <c r="CT126" s="173">
        <v>5.782169409945082E-9</v>
      </c>
      <c r="CU126" s="173">
        <v>5.7821694099402521E-9</v>
      </c>
      <c r="CV126" s="173">
        <v>5.7821694099402521E-9</v>
      </c>
      <c r="CW126" s="173">
        <v>5.7821694100446828E-9</v>
      </c>
      <c r="CX126" s="174">
        <v>5.7843667948183233E-9</v>
      </c>
      <c r="CZ126" s="180"/>
      <c r="DC126" s="180">
        <v>3.0999999999999999E-3</v>
      </c>
      <c r="DE126" s="2">
        <f t="shared" si="416"/>
        <v>20</v>
      </c>
      <c r="DF126" s="141">
        <f t="shared" si="410"/>
        <v>0</v>
      </c>
      <c r="DG126" s="142">
        <f t="shared" si="411"/>
        <v>0</v>
      </c>
      <c r="DH126" s="141">
        <f t="shared" si="412"/>
        <v>5.7821694099402521E-9</v>
      </c>
      <c r="DI126" s="142">
        <f t="shared" si="413"/>
        <v>5.7843667948183233E-9</v>
      </c>
      <c r="DJ126" s="148">
        <f t="shared" si="414"/>
        <v>0</v>
      </c>
      <c r="DK126" s="149">
        <f t="shared" si="415"/>
        <v>0</v>
      </c>
    </row>
    <row r="127" spans="2:115" x14ac:dyDescent="0.2">
      <c r="B127" s="168" t="s">
        <v>19</v>
      </c>
      <c r="C127" s="175">
        <v>1.1388676627780637E-24</v>
      </c>
      <c r="D127" s="176">
        <v>1.132328939880095E-22</v>
      </c>
      <c r="E127" s="176">
        <v>0</v>
      </c>
      <c r="F127" s="176">
        <v>1.0228287745260784E-10</v>
      </c>
      <c r="G127" s="176">
        <v>6.7469527359393647E-10</v>
      </c>
      <c r="H127" s="176">
        <v>7.5470104968351952E-24</v>
      </c>
      <c r="I127" s="176">
        <v>6.7469527359627171E-10</v>
      </c>
      <c r="J127" s="176">
        <v>5.5667464830624372E-23</v>
      </c>
      <c r="K127" s="176">
        <v>0</v>
      </c>
      <c r="L127" s="176">
        <v>6.74695273592936E-10</v>
      </c>
      <c r="M127" s="176">
        <v>8.4814443778925754E-23</v>
      </c>
      <c r="N127" s="176">
        <v>6.7469527363017536E-10</v>
      </c>
      <c r="O127" s="176">
        <v>5.6654388178590232E-23</v>
      </c>
      <c r="P127" s="176">
        <v>5.3313249957292237E-23</v>
      </c>
      <c r="Q127" s="176">
        <v>4.3112783547704502E-22</v>
      </c>
      <c r="R127" s="176">
        <v>1.3753475299724252E-21</v>
      </c>
      <c r="S127" s="176">
        <v>5.5164591895258159E-20</v>
      </c>
      <c r="T127" s="176">
        <v>5.9949299559297382E-22</v>
      </c>
      <c r="U127" s="176">
        <v>0</v>
      </c>
      <c r="V127" s="176">
        <v>6.703663486209396E-23</v>
      </c>
      <c r="W127" s="176">
        <v>1.4618586421526311E-22</v>
      </c>
      <c r="X127" s="176">
        <v>1.3709038715719906E-20</v>
      </c>
      <c r="Y127" s="176">
        <v>0</v>
      </c>
      <c r="Z127" s="176">
        <v>1.0202370817366593E-5</v>
      </c>
      <c r="AA127" s="176">
        <v>8.6178886798706856E-4</v>
      </c>
      <c r="AB127" s="176">
        <v>1.2267329483439276E-3</v>
      </c>
      <c r="AC127" s="176">
        <v>1.4783814205883772E-3</v>
      </c>
      <c r="AD127" s="176">
        <v>1.5498085205129665E-3</v>
      </c>
      <c r="AE127" s="176">
        <v>1.1469938828065534E-3</v>
      </c>
      <c r="AF127" s="176">
        <v>2.178687794712449E-3</v>
      </c>
      <c r="AG127" s="176">
        <v>2.1158426043016991E-3</v>
      </c>
      <c r="AH127" s="176">
        <v>2.9798543025677227E-3</v>
      </c>
      <c r="AI127" s="176">
        <v>2.0831145551354702E-3</v>
      </c>
      <c r="AJ127" s="176">
        <v>3.3103395019528853E-3</v>
      </c>
      <c r="AK127" s="176">
        <v>3.8484319425138701E-3</v>
      </c>
      <c r="AL127" s="176">
        <v>4.0257668431051092E-3</v>
      </c>
      <c r="AM127" s="176">
        <v>3.9515222593628462E-3</v>
      </c>
      <c r="AN127" s="176">
        <v>4.1518649229922979E-3</v>
      </c>
      <c r="AO127" s="176">
        <v>4.4906836306552698E-3</v>
      </c>
      <c r="AP127" s="176">
        <v>5.2225020134696711E-3</v>
      </c>
      <c r="AQ127" s="176">
        <v>3.6013854517591799E-3</v>
      </c>
      <c r="AR127" s="176">
        <v>3.1565677565237459E-3</v>
      </c>
      <c r="AS127" s="176">
        <v>1.359206637740138E-3</v>
      </c>
      <c r="AT127" s="176">
        <v>3.8305053888513737E-22</v>
      </c>
      <c r="AU127" s="176">
        <v>0</v>
      </c>
      <c r="AV127" s="176">
        <v>0</v>
      </c>
      <c r="AW127" s="176">
        <v>4.6534463336492406E-21</v>
      </c>
      <c r="AX127" s="176">
        <v>2.7877359157567706E-20</v>
      </c>
      <c r="AY127" s="176">
        <v>1.504632769052528E-36</v>
      </c>
      <c r="AZ127" s="176">
        <v>6.2334762032049235E-22</v>
      </c>
      <c r="BA127" s="176">
        <v>3.2445615611441683E-23</v>
      </c>
      <c r="BB127" s="176">
        <v>3.6966425424129363E-20</v>
      </c>
      <c r="BC127" s="176">
        <v>3.4294802039752323E-22</v>
      </c>
      <c r="BD127" s="176">
        <v>2.8285624251079052E-21</v>
      </c>
      <c r="BE127" s="176">
        <v>2.802016175503161E-17</v>
      </c>
      <c r="BF127" s="176">
        <v>7.0820535713986204E-24</v>
      </c>
      <c r="BG127" s="176">
        <v>8.0935241755138307E-18</v>
      </c>
      <c r="BH127" s="176">
        <v>8.8082895687497134E-22</v>
      </c>
      <c r="BI127" s="176">
        <v>1.0300245947336244E-19</v>
      </c>
      <c r="BJ127" s="176">
        <v>3.4953186698647435E-21</v>
      </c>
      <c r="BK127" s="176">
        <v>4.8043979098860909E-22</v>
      </c>
      <c r="BL127" s="176">
        <v>3.8923197163132217E-21</v>
      </c>
      <c r="BM127" s="176">
        <v>2.467590028331164E-22</v>
      </c>
      <c r="BN127" s="176">
        <v>3.8945219527197071E-22</v>
      </c>
      <c r="BO127" s="176">
        <v>1.4942566457921685E-19</v>
      </c>
      <c r="BP127" s="176">
        <v>6.9582412081341563E-22</v>
      </c>
      <c r="BQ127" s="176">
        <v>2.167986341627022E-20</v>
      </c>
      <c r="BR127" s="176">
        <v>2.12744553556336E-21</v>
      </c>
      <c r="BS127" s="176">
        <v>7.249025163008872E-21</v>
      </c>
      <c r="BT127" s="176">
        <v>6.5168334723815563E-22</v>
      </c>
      <c r="BU127" s="176">
        <v>0</v>
      </c>
      <c r="BV127" s="176">
        <v>3.0071365335477715E-22</v>
      </c>
      <c r="BW127" s="176">
        <v>2.5307741964625001E-21</v>
      </c>
      <c r="BX127" s="176">
        <v>5.4163893269390195E-20</v>
      </c>
      <c r="BY127" s="176">
        <v>3.4465862285335301E-22</v>
      </c>
      <c r="BZ127" s="176">
        <v>4.2716065023307968E-17</v>
      </c>
      <c r="CA127" s="176">
        <v>2.0274714910293848E-19</v>
      </c>
      <c r="CB127" s="176">
        <v>5.5127465788757819E-17</v>
      </c>
      <c r="CC127" s="176">
        <v>6.0127730547703067E-21</v>
      </c>
      <c r="CD127" s="176">
        <v>2.5654075312679971E-22</v>
      </c>
      <c r="CE127" s="176">
        <v>1.3462613524732765E-18</v>
      </c>
      <c r="CF127" s="176">
        <v>1.5246179127436095E-17</v>
      </c>
      <c r="CG127" s="176">
        <v>2.4512315201219227E-21</v>
      </c>
      <c r="CH127" s="176">
        <v>3.3547277151902329E-18</v>
      </c>
      <c r="CI127" s="176">
        <v>2.7143358663847147E-21</v>
      </c>
      <c r="CJ127" s="176">
        <v>2.0736536829815687E-17</v>
      </c>
      <c r="CK127" s="176">
        <v>0</v>
      </c>
      <c r="CL127" s="176">
        <v>0</v>
      </c>
      <c r="CM127" s="176">
        <v>9.7247875267401487E-20</v>
      </c>
      <c r="CN127" s="176">
        <v>1.3170870072175662E-18</v>
      </c>
      <c r="CO127" s="176">
        <v>3.2917447280737139E-20</v>
      </c>
      <c r="CP127" s="176">
        <v>0</v>
      </c>
      <c r="CQ127" s="176">
        <v>7.6983806657545403E-21</v>
      </c>
      <c r="CR127" s="176">
        <v>1.3476414274211013E-16</v>
      </c>
      <c r="CS127" s="176">
        <v>4.6898175266493549E-17</v>
      </c>
      <c r="CT127" s="176">
        <v>0</v>
      </c>
      <c r="CU127" s="176">
        <v>0</v>
      </c>
      <c r="CV127" s="176">
        <v>1.7777623759756926E-28</v>
      </c>
      <c r="CW127" s="176">
        <v>1.3924062880489549E-19</v>
      </c>
      <c r="CX127" s="177">
        <v>1.95389926950127E-5</v>
      </c>
      <c r="CY127" s="154"/>
      <c r="CZ127" s="181"/>
      <c r="DA127" s="154"/>
      <c r="DB127" s="154"/>
      <c r="DC127" s="181">
        <v>4.0000000000000002E-4</v>
      </c>
      <c r="DD127" s="154"/>
      <c r="DE127" s="155">
        <f t="shared" si="416"/>
        <v>21</v>
      </c>
      <c r="DF127" s="156">
        <f t="shared" si="410"/>
        <v>0</v>
      </c>
      <c r="DG127" s="157">
        <f t="shared" si="411"/>
        <v>1</v>
      </c>
      <c r="DH127" s="156">
        <f t="shared" si="412"/>
        <v>0</v>
      </c>
      <c r="DI127" s="157">
        <f t="shared" si="413"/>
        <v>5.2225020134696711E-3</v>
      </c>
      <c r="DJ127" s="158">
        <f t="shared" si="414"/>
        <v>0</v>
      </c>
      <c r="DK127" s="159">
        <f t="shared" si="415"/>
        <v>0</v>
      </c>
    </row>
    <row r="128" spans="2:115" x14ac:dyDescent="0.2">
      <c r="B128" s="167" t="s">
        <v>20</v>
      </c>
      <c r="C128" s="172">
        <v>0.1180299197521542</v>
      </c>
      <c r="D128" s="173">
        <v>0.11621152898984703</v>
      </c>
      <c r="E128" s="173">
        <v>0.1157306769496719</v>
      </c>
      <c r="F128" s="173">
        <v>0.11556092457250711</v>
      </c>
      <c r="G128" s="173">
        <v>0.11382345775698804</v>
      </c>
      <c r="H128" s="173">
        <v>0.11351707629888545</v>
      </c>
      <c r="I128" s="173">
        <v>0.11587370633951399</v>
      </c>
      <c r="J128" s="173">
        <v>0.11633654876621695</v>
      </c>
      <c r="K128" s="173">
        <v>0.11535365495421221</v>
      </c>
      <c r="L128" s="173">
        <v>0.11580328073189486</v>
      </c>
      <c r="M128" s="173">
        <v>0.11642722937696551</v>
      </c>
      <c r="N128" s="173">
        <v>0.11749152845323538</v>
      </c>
      <c r="O128" s="173">
        <v>0.11823312672783291</v>
      </c>
      <c r="P128" s="173">
        <v>0.11961043846248325</v>
      </c>
      <c r="Q128" s="173">
        <v>0.12270586026415754</v>
      </c>
      <c r="R128" s="173">
        <v>0.12359731783862002</v>
      </c>
      <c r="S128" s="173">
        <v>0.12503524133178096</v>
      </c>
      <c r="T128" s="173">
        <v>0.12532760276379792</v>
      </c>
      <c r="U128" s="173">
        <v>0.12576179851092659</v>
      </c>
      <c r="V128" s="173">
        <v>0.12680616066633077</v>
      </c>
      <c r="W128" s="173">
        <v>0.12840300323829695</v>
      </c>
      <c r="X128" s="173">
        <v>0.12095727414717315</v>
      </c>
      <c r="Y128" s="173">
        <v>0.10691413948945176</v>
      </c>
      <c r="Z128" s="173">
        <v>0.10497270158481532</v>
      </c>
      <c r="AA128" s="173">
        <v>0.10231539095711269</v>
      </c>
      <c r="AB128" s="173">
        <v>9.9795582873023647E-2</v>
      </c>
      <c r="AC128" s="173">
        <v>9.8795622995288684E-2</v>
      </c>
      <c r="AD128" s="173">
        <v>9.5188184199918549E-2</v>
      </c>
      <c r="AE128" s="173">
        <v>9.3397684601732575E-2</v>
      </c>
      <c r="AF128" s="173">
        <v>9.2734379196197703E-2</v>
      </c>
      <c r="AG128" s="173">
        <v>8.7532428052635738E-2</v>
      </c>
      <c r="AH128" s="173">
        <v>8.4986223605041933E-2</v>
      </c>
      <c r="AI128" s="173">
        <v>8.0314567053399691E-2</v>
      </c>
      <c r="AJ128" s="173">
        <v>7.2533631985725766E-2</v>
      </c>
      <c r="AK128" s="173">
        <v>7.0712068909300999E-2</v>
      </c>
      <c r="AL128" s="173">
        <v>7.4785618241470467E-2</v>
      </c>
      <c r="AM128" s="173">
        <v>7.6500014318526849E-2</v>
      </c>
      <c r="AN128" s="173">
        <v>7.4676561258262802E-2</v>
      </c>
      <c r="AO128" s="173">
        <v>7.0423537363398986E-2</v>
      </c>
      <c r="AP128" s="173">
        <v>7.446559978864746E-2</v>
      </c>
      <c r="AQ128" s="173">
        <v>6.8759082665423923E-2</v>
      </c>
      <c r="AR128" s="173">
        <v>5.4622266735787878E-2</v>
      </c>
      <c r="AS128" s="173">
        <v>4.4778698621372029E-2</v>
      </c>
      <c r="AT128" s="173">
        <v>3.5390178105431637E-2</v>
      </c>
      <c r="AU128" s="173">
        <v>2.3451519324426892E-2</v>
      </c>
      <c r="AV128" s="173">
        <v>1.2657836345524542E-2</v>
      </c>
      <c r="AW128" s="173">
        <v>2.9297139154991106E-3</v>
      </c>
      <c r="AX128" s="173">
        <v>-7.491621785158629E-21</v>
      </c>
      <c r="AY128" s="173">
        <v>-2.487643877421313E-20</v>
      </c>
      <c r="AZ128" s="173">
        <v>5.7869650756077863E-21</v>
      </c>
      <c r="BA128" s="173">
        <v>-9.8818452098067857E-23</v>
      </c>
      <c r="BB128" s="173">
        <v>1.699632171293515E-23</v>
      </c>
      <c r="BC128" s="173">
        <v>-9.1044916591585676E-24</v>
      </c>
      <c r="BD128" s="173">
        <v>2.6101992415596027E-25</v>
      </c>
      <c r="BE128" s="173">
        <v>7.2936030610986572E-18</v>
      </c>
      <c r="BF128" s="173">
        <v>1.0265867178900515E-17</v>
      </c>
      <c r="BG128" s="173">
        <v>-1.0256366456757522E-18</v>
      </c>
      <c r="BH128" s="173">
        <v>-3.5889071761759261E-25</v>
      </c>
      <c r="BI128" s="173">
        <v>1.3736492945299656E-17</v>
      </c>
      <c r="BJ128" s="173">
        <v>-3.1051016605739184E-22</v>
      </c>
      <c r="BK128" s="173">
        <v>1.6377589204005524E-24</v>
      </c>
      <c r="BL128" s="173">
        <v>9.8689793310976298E-24</v>
      </c>
      <c r="BM128" s="173">
        <v>8.8859288983448067E-24</v>
      </c>
      <c r="BN128" s="173">
        <v>1.395545054447894E-23</v>
      </c>
      <c r="BO128" s="173">
        <v>8.2348902928583233E-20</v>
      </c>
      <c r="BP128" s="173">
        <v>-2.5434293984218258E-25</v>
      </c>
      <c r="BQ128" s="173">
        <v>6.1068703011447271E-23</v>
      </c>
      <c r="BR128" s="173">
        <v>-1.1295060043272418E-22</v>
      </c>
      <c r="BS128" s="173">
        <v>2.5668649848184007E-22</v>
      </c>
      <c r="BT128" s="173">
        <v>5.2569734358346943E-24</v>
      </c>
      <c r="BU128" s="173">
        <v>-5.2132764972086346E-22</v>
      </c>
      <c r="BV128" s="173">
        <v>-3.4238235719868692E-23</v>
      </c>
      <c r="BW128" s="173">
        <v>3.4675089597896919E-23</v>
      </c>
      <c r="BX128" s="173">
        <v>1.6047319837611717E-22</v>
      </c>
      <c r="BY128" s="173">
        <v>1.1775457002938385E-24</v>
      </c>
      <c r="BZ128" s="173">
        <v>3.3482923752680881E-18</v>
      </c>
      <c r="CA128" s="173">
        <v>-2.1679161590562818E-22</v>
      </c>
      <c r="CB128" s="173">
        <v>-7.4062034609580202E-18</v>
      </c>
      <c r="CC128" s="173">
        <v>2.2609530722966536E-23</v>
      </c>
      <c r="CD128" s="173">
        <v>1.8546150721711763E-25</v>
      </c>
      <c r="CE128" s="173">
        <v>-6.4510526143645616E-21</v>
      </c>
      <c r="CF128" s="173">
        <v>2.2370107141040775E-20</v>
      </c>
      <c r="CG128" s="173">
        <v>7.4380737098750513E-19</v>
      </c>
      <c r="CH128" s="173">
        <v>-7.5168297169583361E-20</v>
      </c>
      <c r="CI128" s="173">
        <v>2.2630177448783664E-23</v>
      </c>
      <c r="CJ128" s="173">
        <v>-2.647321540369391E-18</v>
      </c>
      <c r="CK128" s="173">
        <v>8.2786057653694293E-21</v>
      </c>
      <c r="CL128" s="173">
        <v>-1.5222276395533389E-21</v>
      </c>
      <c r="CM128" s="173">
        <v>1.2585017528211955E-19</v>
      </c>
      <c r="CN128" s="173">
        <v>1.3170870228084991E-18</v>
      </c>
      <c r="CO128" s="173">
        <v>1.4125847516331064E-20</v>
      </c>
      <c r="CP128" s="173">
        <v>5.0537463079051273E-18</v>
      </c>
      <c r="CQ128" s="173">
        <v>-6.8004734745393978E-17</v>
      </c>
      <c r="CR128" s="173">
        <v>7.9095240192306305E-17</v>
      </c>
      <c r="CS128" s="173">
        <v>8.9756942244264174E-17</v>
      </c>
      <c r="CT128" s="173">
        <v>-2.173494389086431E-20</v>
      </c>
      <c r="CU128" s="173">
        <v>-1.6272457227133072E-19</v>
      </c>
      <c r="CV128" s="173">
        <v>-2.231882913757996E-19</v>
      </c>
      <c r="CW128" s="173">
        <v>-2.6107616856372424E-19</v>
      </c>
      <c r="CX128" s="174">
        <v>2.0846444404607559E-5</v>
      </c>
      <c r="CZ128" s="180"/>
      <c r="DC128" s="180">
        <v>9.4200000000000006E-2</v>
      </c>
      <c r="DE128" s="2">
        <f t="shared" si="416"/>
        <v>22</v>
      </c>
      <c r="DF128" s="141">
        <f t="shared" si="410"/>
        <v>0</v>
      </c>
      <c r="DG128" s="142">
        <f t="shared" si="411"/>
        <v>1</v>
      </c>
      <c r="DH128" s="141">
        <f t="shared" ref="DH128:DH156" si="417">MIN($C128:$CX128)</f>
        <v>-6.8004734745393978E-17</v>
      </c>
      <c r="DI128" s="142">
        <f t="shared" si="413"/>
        <v>0.12840300323829695</v>
      </c>
      <c r="DJ128" s="148">
        <f t="shared" si="414"/>
        <v>0</v>
      </c>
      <c r="DK128" s="149">
        <f t="shared" si="415"/>
        <v>0</v>
      </c>
    </row>
    <row r="129" spans="2:115" x14ac:dyDescent="0.2">
      <c r="B129" s="167" t="s">
        <v>21</v>
      </c>
      <c r="C129" s="172">
        <v>0.26727885777685356</v>
      </c>
      <c r="D129" s="173">
        <v>0.26838104991559103</v>
      </c>
      <c r="E129" s="173">
        <v>0.26896621906761498</v>
      </c>
      <c r="F129" s="173">
        <v>0.26799072865868528</v>
      </c>
      <c r="G129" s="173">
        <v>0.26944500337199778</v>
      </c>
      <c r="H129" s="173">
        <v>0.26865193206606297</v>
      </c>
      <c r="I129" s="173">
        <v>0.26617946890591987</v>
      </c>
      <c r="J129" s="173">
        <v>0.26667584931821875</v>
      </c>
      <c r="K129" s="173">
        <v>0.26811794499815628</v>
      </c>
      <c r="L129" s="173">
        <v>0.26798430208510354</v>
      </c>
      <c r="M129" s="173">
        <v>0.26809760272870403</v>
      </c>
      <c r="N129" s="173">
        <v>0.26750163601612931</v>
      </c>
      <c r="O129" s="173">
        <v>0.26768160812671649</v>
      </c>
      <c r="P129" s="173">
        <v>0.26674302912353676</v>
      </c>
      <c r="Q129" s="173">
        <v>0.26443083389973965</v>
      </c>
      <c r="R129" s="173">
        <v>0.26454317683508305</v>
      </c>
      <c r="S129" s="173">
        <v>0.26341745945034756</v>
      </c>
      <c r="T129" s="173">
        <v>0.26308334516572068</v>
      </c>
      <c r="U129" s="173">
        <v>0.26269287732303553</v>
      </c>
      <c r="V129" s="173">
        <v>0.26160648211219717</v>
      </c>
      <c r="W129" s="173">
        <v>0.26039426252681014</v>
      </c>
      <c r="X129" s="173">
        <v>0.26415397924638889</v>
      </c>
      <c r="Y129" s="173">
        <v>0.26785595844634236</v>
      </c>
      <c r="Z129" s="173">
        <v>0.26455178339098229</v>
      </c>
      <c r="AA129" s="173">
        <v>0.26671687363006225</v>
      </c>
      <c r="AB129" s="173">
        <v>0.26815258654897095</v>
      </c>
      <c r="AC129" s="173">
        <v>0.2692936505088247</v>
      </c>
      <c r="AD129" s="173">
        <v>0.27238257219541423</v>
      </c>
      <c r="AE129" s="173">
        <v>0.27487322618780635</v>
      </c>
      <c r="AF129" s="173">
        <v>0.276763813864421</v>
      </c>
      <c r="AG129" s="173">
        <v>0.28063377566533065</v>
      </c>
      <c r="AH129" s="173">
        <v>0.28315640485806337</v>
      </c>
      <c r="AI129" s="173">
        <v>0.28553631588050565</v>
      </c>
      <c r="AJ129" s="173">
        <v>0.29270722216311035</v>
      </c>
      <c r="AK129" s="173">
        <v>0.29276796668252131</v>
      </c>
      <c r="AL129" s="173">
        <v>0.29368977804727181</v>
      </c>
      <c r="AM129" s="173">
        <v>0.29765246492354369</v>
      </c>
      <c r="AN129" s="173">
        <v>0.3026682663066167</v>
      </c>
      <c r="AO129" s="173">
        <v>0.30727253469836718</v>
      </c>
      <c r="AP129" s="173">
        <v>0.30921645518120688</v>
      </c>
      <c r="AQ129" s="173">
        <v>0.3108822516456658</v>
      </c>
      <c r="AR129" s="173">
        <v>0.32033318108660469</v>
      </c>
      <c r="AS129" s="173">
        <v>0.32552641404338573</v>
      </c>
      <c r="AT129" s="173">
        <v>0.32842012673795629</v>
      </c>
      <c r="AU129" s="173">
        <v>0.33312512729403548</v>
      </c>
      <c r="AV129" s="173">
        <v>0.33938437608990968</v>
      </c>
      <c r="AW129" s="173">
        <v>0.33992345489787756</v>
      </c>
      <c r="AX129" s="173">
        <v>0.33508533780300515</v>
      </c>
      <c r="AY129" s="173">
        <v>0.32783785760941919</v>
      </c>
      <c r="AZ129" s="173">
        <v>0.32048788505629683</v>
      </c>
      <c r="BA129" s="173">
        <v>0.31381180540373665</v>
      </c>
      <c r="BB129" s="173">
        <v>0.30392644980018518</v>
      </c>
      <c r="BC129" s="173">
        <v>0.29394978040738834</v>
      </c>
      <c r="BD129" s="173">
        <v>0.28400461966152762</v>
      </c>
      <c r="BE129" s="173">
        <v>0.27411914135548365</v>
      </c>
      <c r="BF129" s="173">
        <v>0.26494500139292293</v>
      </c>
      <c r="BG129" s="173">
        <v>0.25552155764330886</v>
      </c>
      <c r="BH129" s="173">
        <v>0.24639983795140996</v>
      </c>
      <c r="BI129" s="173">
        <v>0.23632574653269187</v>
      </c>
      <c r="BJ129" s="173">
        <v>0.226306274242601</v>
      </c>
      <c r="BK129" s="173">
        <v>0.21581215947066246</v>
      </c>
      <c r="BL129" s="173">
        <v>0.20660717161804451</v>
      </c>
      <c r="BM129" s="173">
        <v>0.19714750906715064</v>
      </c>
      <c r="BN129" s="173">
        <v>0.18711960212561415</v>
      </c>
      <c r="BO129" s="173">
        <v>0.17667887784831693</v>
      </c>
      <c r="BP129" s="173">
        <v>0.16708128623161281</v>
      </c>
      <c r="BQ129" s="173">
        <v>0.15714180297797209</v>
      </c>
      <c r="BR129" s="173">
        <v>0.14769172569215519</v>
      </c>
      <c r="BS129" s="173">
        <v>0.13819716139986454</v>
      </c>
      <c r="BT129" s="173">
        <v>0.12845596135428547</v>
      </c>
      <c r="BU129" s="173">
        <v>0.119418312082316</v>
      </c>
      <c r="BV129" s="173">
        <v>0.11023023875169599</v>
      </c>
      <c r="BW129" s="173">
        <v>0.10069250081531914</v>
      </c>
      <c r="BX129" s="173">
        <v>9.0881099145386293E-2</v>
      </c>
      <c r="BY129" s="173">
        <v>8.1440812258712802E-2</v>
      </c>
      <c r="BZ129" s="173">
        <v>7.2162300240278046E-2</v>
      </c>
      <c r="CA129" s="173">
        <v>6.2815508233907566E-2</v>
      </c>
      <c r="CB129" s="173">
        <v>5.3322100314809537E-2</v>
      </c>
      <c r="CC129" s="173">
        <v>4.351572611452454E-2</v>
      </c>
      <c r="CD129" s="173">
        <v>3.3224270211362199E-2</v>
      </c>
      <c r="CE129" s="173">
        <v>2.3347899343105636E-2</v>
      </c>
      <c r="CF129" s="173">
        <v>1.3895318203662063E-2</v>
      </c>
      <c r="CG129" s="173">
        <v>3.9662668021905991E-3</v>
      </c>
      <c r="CH129" s="173">
        <v>6.2527760746888816E-12</v>
      </c>
      <c r="CI129" s="173">
        <v>6.25277607611115E-12</v>
      </c>
      <c r="CJ129" s="173">
        <v>6.2527760746888816E-12</v>
      </c>
      <c r="CK129" s="173">
        <v>6.2527764338085029E-12</v>
      </c>
      <c r="CL129" s="173">
        <v>6.2527760932851345E-12</v>
      </c>
      <c r="CM129" s="173">
        <v>6.2527760746888816E-12</v>
      </c>
      <c r="CN129" s="173">
        <v>6.2527760746888816E-12</v>
      </c>
      <c r="CO129" s="173">
        <v>6.2527760804978415E-12</v>
      </c>
      <c r="CP129" s="173">
        <v>6.2528720547087577E-12</v>
      </c>
      <c r="CQ129" s="173">
        <v>6.2528442802498656E-12</v>
      </c>
      <c r="CR129" s="173">
        <v>6.2527930225889383E-12</v>
      </c>
      <c r="CS129" s="173">
        <v>6.2528294828418962E-12</v>
      </c>
      <c r="CT129" s="173">
        <v>6.2527760915938482E-12</v>
      </c>
      <c r="CU129" s="173">
        <v>6.2527760746888816E-12</v>
      </c>
      <c r="CV129" s="173">
        <v>6.2527760746888816E-12</v>
      </c>
      <c r="CW129" s="173">
        <v>6.2527760746888816E-12</v>
      </c>
      <c r="CX129" s="174">
        <v>2.1084105069392172E-5</v>
      </c>
      <c r="CZ129" s="180"/>
      <c r="DC129" s="180">
        <v>5.3699999999999998E-2</v>
      </c>
      <c r="DE129" s="2">
        <f t="shared" si="416"/>
        <v>23</v>
      </c>
      <c r="DF129" s="141">
        <f t="shared" si="410"/>
        <v>0</v>
      </c>
      <c r="DG129" s="142">
        <f t="shared" si="411"/>
        <v>1</v>
      </c>
      <c r="DH129" s="141">
        <f t="shared" si="417"/>
        <v>6.2527760746888816E-12</v>
      </c>
      <c r="DI129" s="142">
        <f t="shared" si="413"/>
        <v>0.33992345489787756</v>
      </c>
      <c r="DJ129" s="148">
        <f t="shared" si="414"/>
        <v>0</v>
      </c>
      <c r="DK129" s="149">
        <f t="shared" si="415"/>
        <v>0</v>
      </c>
    </row>
    <row r="130" spans="2:115" x14ac:dyDescent="0.2">
      <c r="B130" s="167" t="s">
        <v>22</v>
      </c>
      <c r="C130" s="172">
        <v>1.4923207715748172E-3</v>
      </c>
      <c r="D130" s="173">
        <v>1.7462969717836761E-3</v>
      </c>
      <c r="E130" s="173">
        <v>2.2367094492223294E-3</v>
      </c>
      <c r="F130" s="173">
        <v>2.8173378319908595E-3</v>
      </c>
      <c r="G130" s="173">
        <v>3.7541076702366002E-3</v>
      </c>
      <c r="H130" s="173">
        <v>4.2640425534281367E-3</v>
      </c>
      <c r="I130" s="173">
        <v>4.3281942346490325E-3</v>
      </c>
      <c r="J130" s="173">
        <v>3.8832591777365282E-3</v>
      </c>
      <c r="K130" s="173">
        <v>3.0804671173001552E-3</v>
      </c>
      <c r="L130" s="173">
        <v>3.1564062785176491E-3</v>
      </c>
      <c r="M130" s="173">
        <v>3.1935621938543692E-3</v>
      </c>
      <c r="N130" s="173">
        <v>2.9249378541980381E-3</v>
      </c>
      <c r="O130" s="173">
        <v>2.4694675775761617E-3</v>
      </c>
      <c r="P130" s="173">
        <v>2.0456568473641249E-3</v>
      </c>
      <c r="Q130" s="173">
        <v>1.3207479357115681E-3</v>
      </c>
      <c r="R130" s="173">
        <v>1.4068746168215245E-11</v>
      </c>
      <c r="S130" s="173">
        <v>1.406874616805606E-11</v>
      </c>
      <c r="T130" s="173">
        <v>1.406874616822663E-11</v>
      </c>
      <c r="U130" s="173">
        <v>1.4068746168606434E-11</v>
      </c>
      <c r="V130" s="173">
        <v>1.4068746168049984E-11</v>
      </c>
      <c r="W130" s="173">
        <v>1.4068746168139072E-11</v>
      </c>
      <c r="X130" s="173">
        <v>7.0752487116482882E-4</v>
      </c>
      <c r="Y130" s="173">
        <v>7.394118146251182E-3</v>
      </c>
      <c r="Z130" s="173">
        <v>9.8451922314623293E-3</v>
      </c>
      <c r="AA130" s="173">
        <v>8.4315147311849557E-3</v>
      </c>
      <c r="AB130" s="173">
        <v>8.4984133006887966E-3</v>
      </c>
      <c r="AC130" s="173">
        <v>7.1973210929849266E-3</v>
      </c>
      <c r="AD130" s="173">
        <v>6.5224163079985725E-3</v>
      </c>
      <c r="AE130" s="173">
        <v>3.7242659008597939E-3</v>
      </c>
      <c r="AF130" s="173">
        <v>1.2920346851672234E-3</v>
      </c>
      <c r="AG130" s="173">
        <v>8.2255432287756721E-4</v>
      </c>
      <c r="AH130" s="173">
        <v>7.2836224165256146E-5</v>
      </c>
      <c r="AI130" s="173">
        <v>1.4068746168716556E-11</v>
      </c>
      <c r="AJ130" s="173">
        <v>1.4068746168287861E-11</v>
      </c>
      <c r="AK130" s="173">
        <v>1.4068746168211998E-11</v>
      </c>
      <c r="AL130" s="173">
        <v>1.4068746168125356E-11</v>
      </c>
      <c r="AM130" s="173">
        <v>1.4068746168209906E-11</v>
      </c>
      <c r="AN130" s="173">
        <v>2.3060773899004181E-3</v>
      </c>
      <c r="AO130" s="173">
        <v>6.346168537130395E-3</v>
      </c>
      <c r="AP130" s="173">
        <v>5.7070535726981633E-3</v>
      </c>
      <c r="AQ130" s="173">
        <v>1.0759123557557529E-2</v>
      </c>
      <c r="AR130" s="173">
        <v>1.5089255871619524E-2</v>
      </c>
      <c r="AS130" s="173">
        <v>1.8972231971135688E-2</v>
      </c>
      <c r="AT130" s="173">
        <v>2.2883871143914471E-2</v>
      </c>
      <c r="AU130" s="173">
        <v>2.7097200821608585E-2</v>
      </c>
      <c r="AV130" s="173">
        <v>3.0730951099377502E-2</v>
      </c>
      <c r="AW130" s="173">
        <v>3.5532259444095007E-2</v>
      </c>
      <c r="AX130" s="173">
        <v>3.9189516267395856E-2</v>
      </c>
      <c r="AY130" s="173">
        <v>4.3594862506944748E-2</v>
      </c>
      <c r="AZ130" s="173">
        <v>4.8211763344427304E-2</v>
      </c>
      <c r="BA130" s="173">
        <v>4.9316740081822921E-2</v>
      </c>
      <c r="BB130" s="173">
        <v>5.4902324316230065E-2</v>
      </c>
      <c r="BC130" s="173">
        <v>6.0041986659519576E-2</v>
      </c>
      <c r="BD130" s="173">
        <v>6.5091161846819082E-2</v>
      </c>
      <c r="BE130" s="173">
        <v>6.9968939822032117E-2</v>
      </c>
      <c r="BF130" s="173">
        <v>7.2803882261365485E-2</v>
      </c>
      <c r="BG130" s="173">
        <v>7.635478025137804E-2</v>
      </c>
      <c r="BH130" s="173">
        <v>7.9039208457572313E-2</v>
      </c>
      <c r="BI130" s="173">
        <v>8.4458621965578226E-2</v>
      </c>
      <c r="BJ130" s="173">
        <v>8.9721233854415786E-2</v>
      </c>
      <c r="BK130" s="173">
        <v>9.6346906080445216E-2</v>
      </c>
      <c r="BL130" s="173">
        <v>9.9270438101090083E-2</v>
      </c>
      <c r="BM130" s="173">
        <v>0.10292534996157139</v>
      </c>
      <c r="BN130" s="173">
        <v>0.10821215731158251</v>
      </c>
      <c r="BO130" s="173">
        <v>0.11468447432042048</v>
      </c>
      <c r="BP130" s="173">
        <v>0.11873552094022791</v>
      </c>
      <c r="BQ130" s="173">
        <v>0.12376839139298637</v>
      </c>
      <c r="BR130" s="173">
        <v>0.12739577609947972</v>
      </c>
      <c r="BS130" s="173">
        <v>0.1311509194717867</v>
      </c>
      <c r="BT130" s="173">
        <v>0.13561435628258339</v>
      </c>
      <c r="BU130" s="173">
        <v>0.13805732205482393</v>
      </c>
      <c r="BV130" s="173">
        <v>0.14093227861636995</v>
      </c>
      <c r="BW130" s="173">
        <v>0.14481140891439051</v>
      </c>
      <c r="BX130" s="173">
        <v>0.14947645213966135</v>
      </c>
      <c r="BY130" s="173">
        <v>0.15307572058408833</v>
      </c>
      <c r="BZ130" s="173">
        <v>0.15621037342173624</v>
      </c>
      <c r="CA130" s="173">
        <v>0.15954114141816381</v>
      </c>
      <c r="CB130" s="173">
        <v>0.16329299123285307</v>
      </c>
      <c r="CC130" s="173">
        <v>0.16794356913346056</v>
      </c>
      <c r="CD130" s="173">
        <v>0.17398724160847392</v>
      </c>
      <c r="CE130" s="173">
        <v>0.17883886466356871</v>
      </c>
      <c r="CF130" s="173">
        <v>0.18247346732426731</v>
      </c>
      <c r="CG130" s="173">
        <v>0.18747635203965859</v>
      </c>
      <c r="CH130" s="173">
        <v>0.17535522122838509</v>
      </c>
      <c r="CI130" s="173">
        <v>0.17020015319782922</v>
      </c>
      <c r="CJ130" s="173">
        <v>0.17271410571418377</v>
      </c>
      <c r="CK130" s="173">
        <v>0.16102638040082845</v>
      </c>
      <c r="CL130" s="173">
        <v>0.14246430158850421</v>
      </c>
      <c r="CM130" s="173">
        <v>0.1362684236524899</v>
      </c>
      <c r="CN130" s="173">
        <v>0.11275688934374818</v>
      </c>
      <c r="CO130" s="173">
        <v>0.10578614237293345</v>
      </c>
      <c r="CP130" s="173">
        <v>0.11308797345719926</v>
      </c>
      <c r="CQ130" s="173">
        <v>0.1146117783560696</v>
      </c>
      <c r="CR130" s="173">
        <v>0.11831889115272085</v>
      </c>
      <c r="CS130" s="173">
        <v>9.4807356843974858E-2</v>
      </c>
      <c r="CT130" s="173">
        <v>7.1295822535236614E-2</v>
      </c>
      <c r="CU130" s="173">
        <v>4.7784288226486338E-2</v>
      </c>
      <c r="CV130" s="173">
        <v>2.4272753917744822E-2</v>
      </c>
      <c r="CW130" s="173">
        <v>7.6121960899645574E-4</v>
      </c>
      <c r="CX130" s="174">
        <v>5.6299328007361375E-5</v>
      </c>
      <c r="CZ130" s="180"/>
      <c r="DC130" s="180">
        <v>0.12659999999999999</v>
      </c>
      <c r="DE130" s="2">
        <f t="shared" si="416"/>
        <v>24</v>
      </c>
      <c r="DF130" s="141">
        <f t="shared" si="410"/>
        <v>0</v>
      </c>
      <c r="DG130" s="142">
        <f t="shared" si="411"/>
        <v>1</v>
      </c>
      <c r="DH130" s="141">
        <f t="shared" si="417"/>
        <v>1.4068746168049984E-11</v>
      </c>
      <c r="DI130" s="142">
        <f t="shared" si="413"/>
        <v>0.18747635203965859</v>
      </c>
      <c r="DJ130" s="148">
        <f t="shared" si="414"/>
        <v>0</v>
      </c>
      <c r="DK130" s="149">
        <f t="shared" si="415"/>
        <v>0</v>
      </c>
    </row>
    <row r="131" spans="2:115" x14ac:dyDescent="0.2">
      <c r="B131" s="167" t="s">
        <v>23</v>
      </c>
      <c r="C131" s="172">
        <v>2.176890169941733E-2</v>
      </c>
      <c r="D131" s="173">
        <v>2.2231124122778261E-2</v>
      </c>
      <c r="E131" s="173">
        <v>2.1636394533490769E-2</v>
      </c>
      <c r="F131" s="173">
        <v>2.220100893681675E-2</v>
      </c>
      <c r="G131" s="173">
        <v>2.1547431200777529E-2</v>
      </c>
      <c r="H131" s="173">
        <v>2.2136949081623381E-2</v>
      </c>
      <c r="I131" s="173">
        <v>2.2188630519917037E-2</v>
      </c>
      <c r="J131" s="173">
        <v>2.1674342737827708E-2</v>
      </c>
      <c r="K131" s="173">
        <v>2.2017932930331312E-2</v>
      </c>
      <c r="L131" s="173">
        <v>2.162601090448385E-2</v>
      </c>
      <c r="M131" s="173">
        <v>2.0851605700476093E-2</v>
      </c>
      <c r="N131" s="173">
        <v>2.0651897676437256E-2</v>
      </c>
      <c r="O131" s="173">
        <v>2.0185797567874385E-2</v>
      </c>
      <c r="P131" s="173">
        <v>2.0170875566615815E-2</v>
      </c>
      <c r="Q131" s="173">
        <v>2.0112557900391195E-2</v>
      </c>
      <c r="R131" s="173">
        <v>2.0429505312228122E-2</v>
      </c>
      <c r="S131" s="173">
        <v>2.0117299203802754E-2</v>
      </c>
      <c r="T131" s="173">
        <v>2.0159052056412729E-2</v>
      </c>
      <c r="U131" s="173">
        <v>2.0115324151969066E-2</v>
      </c>
      <c r="V131" s="173">
        <v>2.0157357207403345E-2</v>
      </c>
      <c r="W131" s="173">
        <v>1.9772734220824088E-2</v>
      </c>
      <c r="X131" s="173">
        <v>2.2751221735273087E-2</v>
      </c>
      <c r="Y131" s="173">
        <v>2.6405783917954641E-2</v>
      </c>
      <c r="Z131" s="173">
        <v>2.9200322792739982E-2</v>
      </c>
      <c r="AA131" s="173">
        <v>3.1106220681640113E-2</v>
      </c>
      <c r="AB131" s="173">
        <v>3.2123417277316539E-2</v>
      </c>
      <c r="AC131" s="173">
        <v>3.3283405402901631E-2</v>
      </c>
      <c r="AD131" s="173">
        <v>3.4476827296668608E-2</v>
      </c>
      <c r="AE131" s="173">
        <v>3.6574823309601281E-2</v>
      </c>
      <c r="AF131" s="173">
        <v>3.777977225421407E-2</v>
      </c>
      <c r="AG131" s="173">
        <v>3.9581241959156008E-2</v>
      </c>
      <c r="AH131" s="173">
        <v>4.0354535312729381E-2</v>
      </c>
      <c r="AI131" s="173">
        <v>4.2719117052025864E-2</v>
      </c>
      <c r="AJ131" s="173">
        <v>4.3329145837095122E-2</v>
      </c>
      <c r="AK131" s="173">
        <v>4.5939936879104804E-2</v>
      </c>
      <c r="AL131" s="173">
        <v>4.8013399333907004E-2</v>
      </c>
      <c r="AM131" s="173">
        <v>4.9943694860789749E-2</v>
      </c>
      <c r="AN131" s="173">
        <v>5.097492780575625E-2</v>
      </c>
      <c r="AO131" s="173">
        <v>5.1808324025241138E-2</v>
      </c>
      <c r="AP131" s="173">
        <v>5.3829799899085172E-2</v>
      </c>
      <c r="AQ131" s="173">
        <v>5.5935633429715484E-2</v>
      </c>
      <c r="AR131" s="173">
        <v>5.9075728591156104E-2</v>
      </c>
      <c r="AS131" s="173">
        <v>6.2344118857204797E-2</v>
      </c>
      <c r="AT131" s="173">
        <v>6.6286494143536212E-2</v>
      </c>
      <c r="AU131" s="173">
        <v>7.0542766521578981E-2</v>
      </c>
      <c r="AV131" s="173">
        <v>7.3706830383396607E-2</v>
      </c>
      <c r="AW131" s="173">
        <v>7.8094565660736651E-2</v>
      </c>
      <c r="AX131" s="173">
        <v>8.2205139847807099E-2</v>
      </c>
      <c r="AY131" s="173">
        <v>8.5047273801843973E-2</v>
      </c>
      <c r="AZ131" s="173">
        <v>8.7780345356614817E-2</v>
      </c>
      <c r="BA131" s="173">
        <v>9.3351448271779061E-2</v>
      </c>
      <c r="BB131" s="173">
        <v>9.7651219640923687E-2</v>
      </c>
      <c r="BC131" s="173">
        <v>0.10248822669043084</v>
      </c>
      <c r="BD131" s="173">
        <v>0.1073842122489919</v>
      </c>
      <c r="BE131" s="173">
        <v>0.1123919125798224</v>
      </c>
      <c r="BF131" s="173">
        <v>0.1187311101030494</v>
      </c>
      <c r="BG131" s="173">
        <v>0.12460365586265169</v>
      </c>
      <c r="BH131" s="173">
        <v>0.13104095313052597</v>
      </c>
      <c r="BI131" s="173">
        <v>0.13569562525906864</v>
      </c>
      <c r="BJ131" s="173">
        <v>0.14045249144249117</v>
      </c>
      <c r="BK131" s="173">
        <v>0.1443209339884004</v>
      </c>
      <c r="BL131" s="173">
        <v>0.15060238982037374</v>
      </c>
      <c r="BM131" s="173">
        <v>0.15640714051078647</v>
      </c>
      <c r="BN131" s="173">
        <v>0.16114824010231119</v>
      </c>
      <c r="BO131" s="173">
        <v>0.16511664158860159</v>
      </c>
      <c r="BP131" s="173">
        <v>0.17066319236766728</v>
      </c>
      <c r="BQ131" s="173">
        <v>0.17556980516854959</v>
      </c>
      <c r="BR131" s="173">
        <v>0.18139249774787355</v>
      </c>
      <c r="BS131" s="173">
        <v>0.18713191866785703</v>
      </c>
      <c r="BT131" s="173">
        <v>0.19240968190263943</v>
      </c>
      <c r="BU131" s="173">
        <v>0.19900436540236816</v>
      </c>
      <c r="BV131" s="173">
        <v>0.20531748217144236</v>
      </c>
      <c r="BW131" s="173">
        <v>0.2109760898097984</v>
      </c>
      <c r="BX131" s="173">
        <v>0.21612244825446045</v>
      </c>
      <c r="BY131" s="173">
        <v>0.22196346669670705</v>
      </c>
      <c r="BZ131" s="173">
        <v>0.22810732009532431</v>
      </c>
      <c r="CA131" s="173">
        <v>0.23412334410526736</v>
      </c>
      <c r="CB131" s="173">
        <v>0.23986490799184498</v>
      </c>
      <c r="CC131" s="173">
        <v>0.24502069850935351</v>
      </c>
      <c r="CD131" s="173">
        <v>0.24926848193750281</v>
      </c>
      <c r="CE131" s="173">
        <v>0.25429322975066476</v>
      </c>
      <c r="CF131" s="173">
        <v>0.26011121401157838</v>
      </c>
      <c r="CG131" s="173">
        <v>0.26503737491548973</v>
      </c>
      <c r="CH131" s="173">
        <v>0.28112477252270074</v>
      </c>
      <c r="CI131" s="173">
        <v>0.29408543783843216</v>
      </c>
      <c r="CJ131" s="173">
        <v>0.3026381230387874</v>
      </c>
      <c r="CK131" s="173">
        <v>0.31935361335025775</v>
      </c>
      <c r="CL131" s="173">
        <v>0.34029426425882425</v>
      </c>
      <c r="CM131" s="173">
        <v>0.35481157009858943</v>
      </c>
      <c r="CN131" s="173">
        <v>0.37832310440733152</v>
      </c>
      <c r="CO131" s="173">
        <v>0.39503637909289452</v>
      </c>
      <c r="CP131" s="173">
        <v>0.40588362762575414</v>
      </c>
      <c r="CQ131" s="173">
        <v>0.41910564353306412</v>
      </c>
      <c r="CR131" s="173">
        <v>0.43143032041876778</v>
      </c>
      <c r="CS131" s="173">
        <v>0.45494185472751447</v>
      </c>
      <c r="CT131" s="173">
        <v>0.47845338903625251</v>
      </c>
      <c r="CU131" s="173">
        <v>0.50196492334500242</v>
      </c>
      <c r="CV131" s="173">
        <v>0.52547645765374429</v>
      </c>
      <c r="CW131" s="173">
        <v>0.54898799196249226</v>
      </c>
      <c r="CX131" s="174">
        <v>0.56831515524715859</v>
      </c>
      <c r="CZ131" s="180"/>
      <c r="DC131" s="180">
        <v>3.8800000000000001E-2</v>
      </c>
      <c r="DE131" s="2">
        <f t="shared" si="416"/>
        <v>25</v>
      </c>
      <c r="DF131" s="141">
        <f t="shared" si="410"/>
        <v>0</v>
      </c>
      <c r="DG131" s="142">
        <f t="shared" si="411"/>
        <v>1</v>
      </c>
      <c r="DH131" s="141">
        <f t="shared" si="417"/>
        <v>1.9772734220824088E-2</v>
      </c>
      <c r="DI131" s="142">
        <f t="shared" si="413"/>
        <v>0.56831515524715859</v>
      </c>
      <c r="DJ131" s="148">
        <f t="shared" si="414"/>
        <v>0</v>
      </c>
      <c r="DK131" s="149">
        <f t="shared" si="415"/>
        <v>0</v>
      </c>
    </row>
    <row r="132" spans="2:115" x14ac:dyDescent="0.2">
      <c r="B132" s="167" t="s">
        <v>24</v>
      </c>
      <c r="C132" s="172">
        <v>6.8499999999999991E-2</v>
      </c>
      <c r="D132" s="173">
        <v>6.8499999999999991E-2</v>
      </c>
      <c r="E132" s="173">
        <v>6.8499999999999991E-2</v>
      </c>
      <c r="F132" s="173">
        <v>6.8499999999999991E-2</v>
      </c>
      <c r="G132" s="173">
        <v>6.8499999999999991E-2</v>
      </c>
      <c r="H132" s="173">
        <v>6.8499999999999991E-2</v>
      </c>
      <c r="I132" s="173">
        <v>6.8499999999999991E-2</v>
      </c>
      <c r="J132" s="173">
        <v>6.8499999999999991E-2</v>
      </c>
      <c r="K132" s="173">
        <v>6.8499999999999991E-2</v>
      </c>
      <c r="L132" s="173">
        <v>6.8499999999999991E-2</v>
      </c>
      <c r="M132" s="173">
        <v>6.8499999999999991E-2</v>
      </c>
      <c r="N132" s="173">
        <v>6.8499999999999991E-2</v>
      </c>
      <c r="O132" s="173">
        <v>6.8499999999999991E-2</v>
      </c>
      <c r="P132" s="173">
        <v>6.8499999999999991E-2</v>
      </c>
      <c r="Q132" s="173">
        <v>6.8499999999999991E-2</v>
      </c>
      <c r="R132" s="173">
        <v>6.8499999999999991E-2</v>
      </c>
      <c r="S132" s="173">
        <v>6.8499999999999991E-2</v>
      </c>
      <c r="T132" s="173">
        <v>6.8499999999999991E-2</v>
      </c>
      <c r="U132" s="173">
        <v>6.8499999999999991E-2</v>
      </c>
      <c r="V132" s="173">
        <v>6.8499999999999991E-2</v>
      </c>
      <c r="W132" s="173">
        <v>6.8499999999999991E-2</v>
      </c>
      <c r="X132" s="173">
        <v>6.8499999999999991E-2</v>
      </c>
      <c r="Y132" s="173">
        <v>6.8499999999999991E-2</v>
      </c>
      <c r="Z132" s="173">
        <v>6.8499999999999991E-2</v>
      </c>
      <c r="AA132" s="173">
        <v>6.8499999999999991E-2</v>
      </c>
      <c r="AB132" s="173">
        <v>6.8499999999999991E-2</v>
      </c>
      <c r="AC132" s="173">
        <v>6.8499999999999991E-2</v>
      </c>
      <c r="AD132" s="173">
        <v>6.8499999999999991E-2</v>
      </c>
      <c r="AE132" s="173">
        <v>6.8499999999999991E-2</v>
      </c>
      <c r="AF132" s="173">
        <v>6.8499999999999991E-2</v>
      </c>
      <c r="AG132" s="173">
        <v>6.8499999999999991E-2</v>
      </c>
      <c r="AH132" s="173">
        <v>6.8499999999999991E-2</v>
      </c>
      <c r="AI132" s="173">
        <v>6.8499999999999991E-2</v>
      </c>
      <c r="AJ132" s="173">
        <v>6.8499999999999991E-2</v>
      </c>
      <c r="AK132" s="173">
        <v>6.8499999999999991E-2</v>
      </c>
      <c r="AL132" s="173">
        <v>6.8499999999999991E-2</v>
      </c>
      <c r="AM132" s="173">
        <v>6.8499999999999991E-2</v>
      </c>
      <c r="AN132" s="173">
        <v>6.8499999999999991E-2</v>
      </c>
      <c r="AO132" s="173">
        <v>6.8499999999999991E-2</v>
      </c>
      <c r="AP132" s="173">
        <v>6.8499999999999991E-2</v>
      </c>
      <c r="AQ132" s="173">
        <v>6.8499999999999991E-2</v>
      </c>
      <c r="AR132" s="173">
        <v>6.8499999999999991E-2</v>
      </c>
      <c r="AS132" s="173">
        <v>6.8499999999999991E-2</v>
      </c>
      <c r="AT132" s="173">
        <v>6.8499999999999991E-2</v>
      </c>
      <c r="AU132" s="173">
        <v>6.8499999999999991E-2</v>
      </c>
      <c r="AV132" s="173">
        <v>6.8499999999999991E-2</v>
      </c>
      <c r="AW132" s="173">
        <v>6.8499999999999991E-2</v>
      </c>
      <c r="AX132" s="173">
        <v>6.8499999999999991E-2</v>
      </c>
      <c r="AY132" s="173">
        <v>6.8499999999999991E-2</v>
      </c>
      <c r="AZ132" s="173">
        <v>6.8499999999999991E-2</v>
      </c>
      <c r="BA132" s="173">
        <v>6.8499999999999991E-2</v>
      </c>
      <c r="BB132" s="173">
        <v>6.8499999999999991E-2</v>
      </c>
      <c r="BC132" s="173">
        <v>6.8499999999999991E-2</v>
      </c>
      <c r="BD132" s="173">
        <v>6.8499999999999991E-2</v>
      </c>
      <c r="BE132" s="173">
        <v>6.8499999999999797E-2</v>
      </c>
      <c r="BF132" s="173">
        <v>6.8499999999999936E-2</v>
      </c>
      <c r="BG132" s="173">
        <v>6.8499999999999936E-2</v>
      </c>
      <c r="BH132" s="173">
        <v>6.8499999999999991E-2</v>
      </c>
      <c r="BI132" s="173">
        <v>6.8499999999999908E-2</v>
      </c>
      <c r="BJ132" s="173">
        <v>6.8499999999999991E-2</v>
      </c>
      <c r="BK132" s="173">
        <v>6.8499999999999991E-2</v>
      </c>
      <c r="BL132" s="173">
        <v>6.8499999999999991E-2</v>
      </c>
      <c r="BM132" s="173">
        <v>6.8499999999999991E-2</v>
      </c>
      <c r="BN132" s="173">
        <v>6.8499999999999991E-2</v>
      </c>
      <c r="BO132" s="173">
        <v>6.8499999999999991E-2</v>
      </c>
      <c r="BP132" s="173">
        <v>6.8499999999999991E-2</v>
      </c>
      <c r="BQ132" s="173">
        <v>6.8499999999999991E-2</v>
      </c>
      <c r="BR132" s="173">
        <v>6.8499999999999991E-2</v>
      </c>
      <c r="BS132" s="173">
        <v>6.8499999999999991E-2</v>
      </c>
      <c r="BT132" s="173">
        <v>6.8499999999999991E-2</v>
      </c>
      <c r="BU132" s="173">
        <v>6.8499999999999991E-2</v>
      </c>
      <c r="BV132" s="173">
        <v>6.8499999999999991E-2</v>
      </c>
      <c r="BW132" s="173">
        <v>6.8499999999999991E-2</v>
      </c>
      <c r="BX132" s="173">
        <v>6.8499999999999991E-2</v>
      </c>
      <c r="BY132" s="173">
        <v>6.8499999999999991E-2</v>
      </c>
      <c r="BZ132" s="173">
        <v>6.8499999999999964E-2</v>
      </c>
      <c r="CA132" s="173">
        <v>6.8499999999999991E-2</v>
      </c>
      <c r="CB132" s="173">
        <v>6.8499999999999839E-2</v>
      </c>
      <c r="CC132" s="173">
        <v>6.8499999999999991E-2</v>
      </c>
      <c r="CD132" s="173">
        <v>6.8499999999999991E-2</v>
      </c>
      <c r="CE132" s="173">
        <v>6.8499999999999991E-2</v>
      </c>
      <c r="CF132" s="173">
        <v>6.8499999999999894E-2</v>
      </c>
      <c r="CG132" s="173">
        <v>6.8499999999999991E-2</v>
      </c>
      <c r="CH132" s="173">
        <v>6.8499999999999991E-2</v>
      </c>
      <c r="CI132" s="173">
        <v>6.0694402714824805E-2</v>
      </c>
      <c r="CJ132" s="173">
        <v>4.9627770780282777E-2</v>
      </c>
      <c r="CK132" s="173">
        <v>4.4600000000000001E-2</v>
      </c>
      <c r="CL132" s="173">
        <v>4.4600000000000001E-2</v>
      </c>
      <c r="CM132" s="173">
        <v>4.4600000000000001E-2</v>
      </c>
      <c r="CN132" s="173">
        <v>4.4600000000000001E-2</v>
      </c>
      <c r="CO132" s="173">
        <v>4.4600000000000001E-2</v>
      </c>
      <c r="CP132" s="173">
        <v>4.4599999999999904E-2</v>
      </c>
      <c r="CQ132" s="173">
        <v>4.4600000000000022E-2</v>
      </c>
      <c r="CR132" s="173">
        <v>4.4600000000000015E-2</v>
      </c>
      <c r="CS132" s="173">
        <v>4.4600000000000029E-2</v>
      </c>
      <c r="CT132" s="173">
        <v>4.4600000000000001E-2</v>
      </c>
      <c r="CU132" s="173">
        <v>4.4600000000000001E-2</v>
      </c>
      <c r="CV132" s="173">
        <v>4.4600000000000001E-2</v>
      </c>
      <c r="CW132" s="173">
        <v>4.4600000000000001E-2</v>
      </c>
      <c r="CX132" s="174">
        <v>4.4623154912533672E-2</v>
      </c>
      <c r="CZ132" s="180"/>
      <c r="DC132" s="180">
        <v>4.4600000000000001E-2</v>
      </c>
      <c r="DE132" s="2">
        <f t="shared" si="416"/>
        <v>26</v>
      </c>
      <c r="DF132" s="141">
        <f t="shared" si="410"/>
        <v>4.4600000000000001E-2</v>
      </c>
      <c r="DG132" s="142">
        <f t="shared" si="411"/>
        <v>6.8499999999999991E-2</v>
      </c>
      <c r="DH132" s="141">
        <f t="shared" si="417"/>
        <v>4.4599999999999904E-2</v>
      </c>
      <c r="DI132" s="142">
        <f t="shared" si="413"/>
        <v>6.8499999999999991E-2</v>
      </c>
      <c r="DJ132" s="148">
        <f t="shared" si="414"/>
        <v>0</v>
      </c>
      <c r="DK132" s="149">
        <f t="shared" si="415"/>
        <v>0</v>
      </c>
    </row>
    <row r="133" spans="2:115" x14ac:dyDescent="0.2">
      <c r="B133" s="168" t="s">
        <v>25</v>
      </c>
      <c r="C133" s="175">
        <v>3.2300000000000002E-2</v>
      </c>
      <c r="D133" s="176">
        <v>3.2300000000000002E-2</v>
      </c>
      <c r="E133" s="176">
        <v>3.2300000000000002E-2</v>
      </c>
      <c r="F133" s="176">
        <v>3.2300000000000002E-2</v>
      </c>
      <c r="G133" s="176">
        <v>3.2300000000000002E-2</v>
      </c>
      <c r="H133" s="176">
        <v>3.2300000000000002E-2</v>
      </c>
      <c r="I133" s="176">
        <v>3.2300000000000002E-2</v>
      </c>
      <c r="J133" s="176">
        <v>3.2300000000000002E-2</v>
      </c>
      <c r="K133" s="176">
        <v>3.2300000000000002E-2</v>
      </c>
      <c r="L133" s="176">
        <v>3.2300000000000002E-2</v>
      </c>
      <c r="M133" s="176">
        <v>3.2300000000000002E-2</v>
      </c>
      <c r="N133" s="176">
        <v>3.2300000000000002E-2</v>
      </c>
      <c r="O133" s="176">
        <v>3.2300000000000002E-2</v>
      </c>
      <c r="P133" s="176">
        <v>3.2300000000000002E-2</v>
      </c>
      <c r="Q133" s="176">
        <v>3.2300000000000002E-2</v>
      </c>
      <c r="R133" s="176">
        <v>3.2300000000000002E-2</v>
      </c>
      <c r="S133" s="176">
        <v>3.2300000000000002E-2</v>
      </c>
      <c r="T133" s="176">
        <v>3.2300000000000002E-2</v>
      </c>
      <c r="U133" s="176">
        <v>3.2300000000000002E-2</v>
      </c>
      <c r="V133" s="176">
        <v>3.2300000000000002E-2</v>
      </c>
      <c r="W133" s="176">
        <v>3.2300000000000002E-2</v>
      </c>
      <c r="X133" s="176">
        <v>3.2300000000000002E-2</v>
      </c>
      <c r="Y133" s="176">
        <v>3.2300000000000002E-2</v>
      </c>
      <c r="Z133" s="176">
        <v>3.2300000000000002E-2</v>
      </c>
      <c r="AA133" s="176">
        <v>3.2300000000000002E-2</v>
      </c>
      <c r="AB133" s="176">
        <v>3.2300000000000002E-2</v>
      </c>
      <c r="AC133" s="176">
        <v>3.2300000000000002E-2</v>
      </c>
      <c r="AD133" s="176">
        <v>3.2300000000000002E-2</v>
      </c>
      <c r="AE133" s="176">
        <v>3.2300000000000002E-2</v>
      </c>
      <c r="AF133" s="176">
        <v>3.2300000000000002E-2</v>
      </c>
      <c r="AG133" s="176">
        <v>3.2300000000000002E-2</v>
      </c>
      <c r="AH133" s="176">
        <v>3.2300000000000002E-2</v>
      </c>
      <c r="AI133" s="176">
        <v>3.2300000000000002E-2</v>
      </c>
      <c r="AJ133" s="176">
        <v>3.2300000000000002E-2</v>
      </c>
      <c r="AK133" s="176">
        <v>3.2300000000000002E-2</v>
      </c>
      <c r="AL133" s="176">
        <v>3.2300000000000002E-2</v>
      </c>
      <c r="AM133" s="176">
        <v>3.2300000000000002E-2</v>
      </c>
      <c r="AN133" s="176">
        <v>3.2300000000000002E-2</v>
      </c>
      <c r="AO133" s="176">
        <v>3.2300000000000002E-2</v>
      </c>
      <c r="AP133" s="176">
        <v>3.2300000000000002E-2</v>
      </c>
      <c r="AQ133" s="176">
        <v>3.2300000000000002E-2</v>
      </c>
      <c r="AR133" s="176">
        <v>3.2300000000000002E-2</v>
      </c>
      <c r="AS133" s="176">
        <v>3.2300000000000002E-2</v>
      </c>
      <c r="AT133" s="176">
        <v>3.2300000000000002E-2</v>
      </c>
      <c r="AU133" s="176">
        <v>3.2300000000000002E-2</v>
      </c>
      <c r="AV133" s="176">
        <v>3.2300000000000002E-2</v>
      </c>
      <c r="AW133" s="176">
        <v>3.2300000000000002E-2</v>
      </c>
      <c r="AX133" s="176">
        <v>3.2300000000000002E-2</v>
      </c>
      <c r="AY133" s="176">
        <v>3.2300000000000002E-2</v>
      </c>
      <c r="AZ133" s="176">
        <v>3.2300000000000002E-2</v>
      </c>
      <c r="BA133" s="176">
        <v>3.2300000000000002E-2</v>
      </c>
      <c r="BB133" s="176">
        <v>3.2300000000000002E-2</v>
      </c>
      <c r="BC133" s="176">
        <v>3.2300000000000002E-2</v>
      </c>
      <c r="BD133" s="176">
        <v>3.2300000000000002E-2</v>
      </c>
      <c r="BE133" s="176">
        <v>3.2300000000000044E-2</v>
      </c>
      <c r="BF133" s="176">
        <v>3.2299999999999982E-2</v>
      </c>
      <c r="BG133" s="176">
        <v>3.2300000000000016E-2</v>
      </c>
      <c r="BH133" s="176">
        <v>3.2300000000000002E-2</v>
      </c>
      <c r="BI133" s="176">
        <v>3.2299999999999975E-2</v>
      </c>
      <c r="BJ133" s="176">
        <v>3.2300000000000002E-2</v>
      </c>
      <c r="BK133" s="176">
        <v>3.2300000000000002E-2</v>
      </c>
      <c r="BL133" s="176">
        <v>3.2300000000000002E-2</v>
      </c>
      <c r="BM133" s="176">
        <v>3.2300000000000002E-2</v>
      </c>
      <c r="BN133" s="176">
        <v>3.2300000000000002E-2</v>
      </c>
      <c r="BO133" s="176">
        <v>3.2300000000000002E-2</v>
      </c>
      <c r="BP133" s="176">
        <v>3.2300000000000002E-2</v>
      </c>
      <c r="BQ133" s="176">
        <v>3.2300000000000002E-2</v>
      </c>
      <c r="BR133" s="176">
        <v>3.2300000000000002E-2</v>
      </c>
      <c r="BS133" s="176">
        <v>3.2300000000000002E-2</v>
      </c>
      <c r="BT133" s="176">
        <v>3.2300000000000002E-2</v>
      </c>
      <c r="BU133" s="176">
        <v>3.2300000000000002E-2</v>
      </c>
      <c r="BV133" s="176">
        <v>3.2300000000000002E-2</v>
      </c>
      <c r="BW133" s="176">
        <v>3.2300000000000002E-2</v>
      </c>
      <c r="BX133" s="176">
        <v>3.2300000000000002E-2</v>
      </c>
      <c r="BY133" s="176">
        <v>3.2300000000000002E-2</v>
      </c>
      <c r="BZ133" s="176">
        <v>3.2300000000000016E-2</v>
      </c>
      <c r="CA133" s="176">
        <v>3.2300000000000002E-2</v>
      </c>
      <c r="CB133" s="176">
        <v>3.2300000000000023E-2</v>
      </c>
      <c r="CC133" s="176">
        <v>3.2300000000000002E-2</v>
      </c>
      <c r="CD133" s="176">
        <v>3.2300000000000002E-2</v>
      </c>
      <c r="CE133" s="176">
        <v>3.2300000000000002E-2</v>
      </c>
      <c r="CF133" s="176">
        <v>3.2300000000000009E-2</v>
      </c>
      <c r="CG133" s="176">
        <v>3.2300000000000002E-2</v>
      </c>
      <c r="CH133" s="176">
        <v>3.2300000000000002E-2</v>
      </c>
      <c r="CI133" s="176">
        <v>3.2300000000000002E-2</v>
      </c>
      <c r="CJ133" s="176">
        <v>3.2300000000000113E-2</v>
      </c>
      <c r="CK133" s="176">
        <v>3.2300000000000002E-2</v>
      </c>
      <c r="CL133" s="176">
        <v>2.9921427903757805E-2</v>
      </c>
      <c r="CM133" s="176">
        <v>2.1600000000006503E-2</v>
      </c>
      <c r="CN133" s="176">
        <v>2.1600000000006503E-2</v>
      </c>
      <c r="CO133" s="176">
        <v>2.1600000000006503E-2</v>
      </c>
      <c r="CP133" s="176">
        <v>2.1600000000006538E-2</v>
      </c>
      <c r="CQ133" s="176">
        <v>2.1600000000006503E-2</v>
      </c>
      <c r="CR133" s="176">
        <v>2.1600000000006503E-2</v>
      </c>
      <c r="CS133" s="176">
        <v>2.1600000000006541E-2</v>
      </c>
      <c r="CT133" s="176">
        <v>2.1600000000006503E-2</v>
      </c>
      <c r="CU133" s="176">
        <v>2.1600000000006503E-2</v>
      </c>
      <c r="CV133" s="176">
        <v>2.1600000000006503E-2</v>
      </c>
      <c r="CW133" s="176">
        <v>2.1600000000006503E-2</v>
      </c>
      <c r="CX133" s="177">
        <v>2.1626032029574201E-2</v>
      </c>
      <c r="CY133" s="154"/>
      <c r="CZ133" s="181"/>
      <c r="DA133" s="154"/>
      <c r="DB133" s="154"/>
      <c r="DC133" s="181">
        <v>2.1600000000000001E-2</v>
      </c>
      <c r="DD133" s="154"/>
      <c r="DE133" s="155">
        <f t="shared" si="416"/>
        <v>27</v>
      </c>
      <c r="DF133" s="156">
        <f t="shared" si="410"/>
        <v>2.1600000000000001E-2</v>
      </c>
      <c r="DG133" s="157">
        <f t="shared" si="411"/>
        <v>3.2300000000000002E-2</v>
      </c>
      <c r="DH133" s="156">
        <f t="shared" si="417"/>
        <v>2.1600000000006503E-2</v>
      </c>
      <c r="DI133" s="157">
        <f t="shared" si="413"/>
        <v>3.2300000000000113E-2</v>
      </c>
      <c r="DJ133" s="158">
        <f t="shared" si="414"/>
        <v>0</v>
      </c>
      <c r="DK133" s="159">
        <f t="shared" si="415"/>
        <v>0</v>
      </c>
    </row>
    <row r="134" spans="2:115" x14ac:dyDescent="0.2">
      <c r="B134" s="167" t="s">
        <v>29</v>
      </c>
      <c r="C134" s="172">
        <v>-5.1500000000000004E-2</v>
      </c>
      <c r="D134" s="173">
        <v>-5.1500000000000004E-2</v>
      </c>
      <c r="E134" s="173">
        <v>-5.1500000000000004E-2</v>
      </c>
      <c r="F134" s="173">
        <v>-5.1500000000000004E-2</v>
      </c>
      <c r="G134" s="173">
        <v>-5.1500000000000004E-2</v>
      </c>
      <c r="H134" s="173">
        <v>-5.1500000000000004E-2</v>
      </c>
      <c r="I134" s="173">
        <v>-5.1500000000000004E-2</v>
      </c>
      <c r="J134" s="173">
        <v>-5.1500000000000004E-2</v>
      </c>
      <c r="K134" s="173">
        <v>-5.1500000000000004E-2</v>
      </c>
      <c r="L134" s="173">
        <v>-5.1500000000000004E-2</v>
      </c>
      <c r="M134" s="173">
        <v>-5.1500000000000004E-2</v>
      </c>
      <c r="N134" s="173">
        <v>-5.1500000000000004E-2</v>
      </c>
      <c r="O134" s="173">
        <v>-5.1500000000000004E-2</v>
      </c>
      <c r="P134" s="173">
        <v>-5.1500000000000004E-2</v>
      </c>
      <c r="Q134" s="173">
        <v>-5.1500000000000004E-2</v>
      </c>
      <c r="R134" s="173">
        <v>-5.1500000000000004E-2</v>
      </c>
      <c r="S134" s="173">
        <v>-5.1500000000000004E-2</v>
      </c>
      <c r="T134" s="173">
        <v>-5.1500000000000004E-2</v>
      </c>
      <c r="U134" s="173">
        <v>-5.1500000000000004E-2</v>
      </c>
      <c r="V134" s="173">
        <v>-5.1500000000000004E-2</v>
      </c>
      <c r="W134" s="173">
        <v>-5.1500000000000004E-2</v>
      </c>
      <c r="X134" s="173">
        <v>-5.1500000000000004E-2</v>
      </c>
      <c r="Y134" s="173">
        <v>-5.1500000000000004E-2</v>
      </c>
      <c r="Z134" s="173">
        <v>-5.1500000000000004E-2</v>
      </c>
      <c r="AA134" s="173">
        <v>-5.1500000000000004E-2</v>
      </c>
      <c r="AB134" s="173">
        <v>-5.1500000000000004E-2</v>
      </c>
      <c r="AC134" s="173">
        <v>-5.1500000000000004E-2</v>
      </c>
      <c r="AD134" s="173">
        <v>-5.1500000000000004E-2</v>
      </c>
      <c r="AE134" s="173">
        <v>-5.1500000000000004E-2</v>
      </c>
      <c r="AF134" s="173">
        <v>-5.1500000000000004E-2</v>
      </c>
      <c r="AG134" s="173">
        <v>-5.1500000000000004E-2</v>
      </c>
      <c r="AH134" s="173">
        <v>-5.1500000000000004E-2</v>
      </c>
      <c r="AI134" s="173">
        <v>-5.1500000000000004E-2</v>
      </c>
      <c r="AJ134" s="173">
        <v>-5.1500000000000004E-2</v>
      </c>
      <c r="AK134" s="173">
        <v>-5.1500000000000004E-2</v>
      </c>
      <c r="AL134" s="173">
        <v>-5.1500000000000004E-2</v>
      </c>
      <c r="AM134" s="173">
        <v>-5.1500000000000004E-2</v>
      </c>
      <c r="AN134" s="173">
        <v>-5.1500000000000004E-2</v>
      </c>
      <c r="AO134" s="173">
        <v>-5.1500000000000004E-2</v>
      </c>
      <c r="AP134" s="173">
        <v>-5.1500000000000004E-2</v>
      </c>
      <c r="AQ134" s="173">
        <v>-5.1500000000000004E-2</v>
      </c>
      <c r="AR134" s="173">
        <v>-5.1500000000000004E-2</v>
      </c>
      <c r="AS134" s="173">
        <v>-5.1500000000000004E-2</v>
      </c>
      <c r="AT134" s="173">
        <v>-5.1500000000000004E-2</v>
      </c>
      <c r="AU134" s="173">
        <v>-5.1500000000000004E-2</v>
      </c>
      <c r="AV134" s="173">
        <v>-5.1500000000000004E-2</v>
      </c>
      <c r="AW134" s="173">
        <v>-5.1500000000000004E-2</v>
      </c>
      <c r="AX134" s="173">
        <v>-5.1500000000000004E-2</v>
      </c>
      <c r="AY134" s="173">
        <v>-5.1500000000000004E-2</v>
      </c>
      <c r="AZ134" s="173">
        <v>-5.1500000000000004E-2</v>
      </c>
      <c r="BA134" s="173">
        <v>-5.1500000000000004E-2</v>
      </c>
      <c r="BB134" s="173">
        <v>-5.1500000000000004E-2</v>
      </c>
      <c r="BC134" s="173">
        <v>-5.1500000000000004E-2</v>
      </c>
      <c r="BD134" s="173">
        <v>-5.1500000000000004E-2</v>
      </c>
      <c r="BE134" s="173">
        <v>-5.1499999999999768E-2</v>
      </c>
      <c r="BF134" s="173">
        <v>-5.1499999999999865E-2</v>
      </c>
      <c r="BG134" s="173">
        <v>-5.1499999999999928E-2</v>
      </c>
      <c r="BH134" s="173">
        <v>-5.1500000000000004E-2</v>
      </c>
      <c r="BI134" s="173">
        <v>-5.1499999999999824E-2</v>
      </c>
      <c r="BJ134" s="173">
        <v>-5.1500000000000004E-2</v>
      </c>
      <c r="BK134" s="173">
        <v>-5.1500000000000004E-2</v>
      </c>
      <c r="BL134" s="173">
        <v>-5.1500000000000004E-2</v>
      </c>
      <c r="BM134" s="173">
        <v>-5.1500000000000004E-2</v>
      </c>
      <c r="BN134" s="173">
        <v>-5.1500000000000004E-2</v>
      </c>
      <c r="BO134" s="173">
        <v>-5.1500000000000004E-2</v>
      </c>
      <c r="BP134" s="173">
        <v>-5.1500000000000004E-2</v>
      </c>
      <c r="BQ134" s="173">
        <v>-5.1500000000000004E-2</v>
      </c>
      <c r="BR134" s="173">
        <v>-5.1500000000000004E-2</v>
      </c>
      <c r="BS134" s="173">
        <v>-5.1500000000000004E-2</v>
      </c>
      <c r="BT134" s="173">
        <v>-5.1500000000000004E-2</v>
      </c>
      <c r="BU134" s="173">
        <v>-5.1500000000000004E-2</v>
      </c>
      <c r="BV134" s="173">
        <v>-5.1500000000000004E-2</v>
      </c>
      <c r="BW134" s="173">
        <v>-5.1500000000000004E-2</v>
      </c>
      <c r="BX134" s="173">
        <v>-5.1500000000000004E-2</v>
      </c>
      <c r="BY134" s="173">
        <v>-5.1500000000000004E-2</v>
      </c>
      <c r="BZ134" s="173">
        <v>-5.1499999999999824E-2</v>
      </c>
      <c r="CA134" s="173">
        <v>-5.1500000000000004E-2</v>
      </c>
      <c r="CB134" s="173">
        <v>-5.1499999999999851E-2</v>
      </c>
      <c r="CC134" s="173">
        <v>-5.1500000000000004E-2</v>
      </c>
      <c r="CD134" s="173">
        <v>-5.1500000000000004E-2</v>
      </c>
      <c r="CE134" s="173">
        <v>-5.1500000000000004E-2</v>
      </c>
      <c r="CF134" s="173">
        <v>-5.1499999999999872E-2</v>
      </c>
      <c r="CG134" s="173">
        <v>-5.1499999999999997E-2</v>
      </c>
      <c r="CH134" s="173">
        <v>-5.1500000000000004E-2</v>
      </c>
      <c r="CI134" s="173">
        <v>-5.1500000000000004E-2</v>
      </c>
      <c r="CJ134" s="173">
        <v>-5.1499999999999789E-2</v>
      </c>
      <c r="CK134" s="173">
        <v>-5.1500000000000004E-2</v>
      </c>
      <c r="CL134" s="173">
        <v>-5.1500000000000004E-2</v>
      </c>
      <c r="CM134" s="173">
        <v>-5.1500000000000004E-2</v>
      </c>
      <c r="CN134" s="173">
        <v>-5.1500000000000004E-2</v>
      </c>
      <c r="CO134" s="173">
        <v>-5.1500000000000004E-2</v>
      </c>
      <c r="CP134" s="173">
        <v>-5.1499999999999782E-2</v>
      </c>
      <c r="CQ134" s="173">
        <v>-5.1499999999999907E-2</v>
      </c>
      <c r="CR134" s="173">
        <v>-5.1499999999999907E-2</v>
      </c>
      <c r="CS134" s="173">
        <v>-5.1499999999999858E-2</v>
      </c>
      <c r="CT134" s="173">
        <v>-5.1500000000000004E-2</v>
      </c>
      <c r="CU134" s="173">
        <v>-5.1500000000000004E-2</v>
      </c>
      <c r="CV134" s="173">
        <v>-5.1500000000000004E-2</v>
      </c>
      <c r="CW134" s="173">
        <v>-5.1500000000000004E-2</v>
      </c>
      <c r="CX134" s="174">
        <v>-5.1499999990471647E-2</v>
      </c>
      <c r="CZ134" s="180"/>
      <c r="DC134" s="180">
        <v>-5.1500000000000004E-2</v>
      </c>
      <c r="DE134" s="2">
        <f t="shared" si="416"/>
        <v>28</v>
      </c>
      <c r="DF134" s="141">
        <f t="shared" si="410"/>
        <v>-5.1500000000000004E-2</v>
      </c>
      <c r="DG134" s="142">
        <f t="shared" si="411"/>
        <v>-5.1500000000000004E-2</v>
      </c>
      <c r="DH134" s="141">
        <f t="shared" si="417"/>
        <v>-5.1500000000000004E-2</v>
      </c>
      <c r="DI134" s="142">
        <f t="shared" si="413"/>
        <v>-5.1499999990471647E-2</v>
      </c>
      <c r="DJ134" s="148">
        <f t="shared" si="414"/>
        <v>0</v>
      </c>
      <c r="DK134" s="149">
        <f t="shared" si="415"/>
        <v>0</v>
      </c>
    </row>
    <row r="135" spans="2:115" x14ac:dyDescent="0.2">
      <c r="B135" s="167" t="s">
        <v>30</v>
      </c>
      <c r="C135" s="172">
        <v>-3.8499999912346539E-2</v>
      </c>
      <c r="D135" s="173">
        <v>-3.8499999912346539E-2</v>
      </c>
      <c r="E135" s="173">
        <v>-3.8499999912346539E-2</v>
      </c>
      <c r="F135" s="173">
        <v>-3.8499999912346539E-2</v>
      </c>
      <c r="G135" s="173">
        <v>-3.8499999912346539E-2</v>
      </c>
      <c r="H135" s="173">
        <v>-3.8499999912346539E-2</v>
      </c>
      <c r="I135" s="173">
        <v>-3.8499999912346539E-2</v>
      </c>
      <c r="J135" s="173">
        <v>-3.8499999912346539E-2</v>
      </c>
      <c r="K135" s="173">
        <v>-3.8499999912346539E-2</v>
      </c>
      <c r="L135" s="173">
        <v>-3.8499999912346539E-2</v>
      </c>
      <c r="M135" s="173">
        <v>-3.8499999912346539E-2</v>
      </c>
      <c r="N135" s="173">
        <v>-3.8499999912346539E-2</v>
      </c>
      <c r="O135" s="173">
        <v>-3.8499999912346539E-2</v>
      </c>
      <c r="P135" s="173">
        <v>-3.8499999912346539E-2</v>
      </c>
      <c r="Q135" s="173">
        <v>-3.8499999912346539E-2</v>
      </c>
      <c r="R135" s="173">
        <v>-3.8499999912346539E-2</v>
      </c>
      <c r="S135" s="173">
        <v>-3.8499999912346539E-2</v>
      </c>
      <c r="T135" s="173">
        <v>-3.8499999912346539E-2</v>
      </c>
      <c r="U135" s="173">
        <v>-3.8499999912346539E-2</v>
      </c>
      <c r="V135" s="173">
        <v>-3.8499999912346539E-2</v>
      </c>
      <c r="W135" s="173">
        <v>-3.8499999912346539E-2</v>
      </c>
      <c r="X135" s="173">
        <v>-3.8499999912346539E-2</v>
      </c>
      <c r="Y135" s="173">
        <v>-3.8499999912346539E-2</v>
      </c>
      <c r="Z135" s="173">
        <v>-3.8499999912346539E-2</v>
      </c>
      <c r="AA135" s="173">
        <v>-3.8499999912346539E-2</v>
      </c>
      <c r="AB135" s="173">
        <v>-3.8499999912346539E-2</v>
      </c>
      <c r="AC135" s="173">
        <v>-3.8499999912346539E-2</v>
      </c>
      <c r="AD135" s="173">
        <v>-3.8499999912346539E-2</v>
      </c>
      <c r="AE135" s="173">
        <v>-3.8499999912346539E-2</v>
      </c>
      <c r="AF135" s="173">
        <v>-3.8499999912346539E-2</v>
      </c>
      <c r="AG135" s="173">
        <v>-3.8499999912346539E-2</v>
      </c>
      <c r="AH135" s="173">
        <v>-3.8499999912346539E-2</v>
      </c>
      <c r="AI135" s="173">
        <v>-3.8499999912346539E-2</v>
      </c>
      <c r="AJ135" s="173">
        <v>-3.8499999912346539E-2</v>
      </c>
      <c r="AK135" s="173">
        <v>-3.8499999912346539E-2</v>
      </c>
      <c r="AL135" s="173">
        <v>-3.8499999912346539E-2</v>
      </c>
      <c r="AM135" s="173">
        <v>-3.8499999912346539E-2</v>
      </c>
      <c r="AN135" s="173">
        <v>-3.8499999912346539E-2</v>
      </c>
      <c r="AO135" s="173">
        <v>-3.8499999912346539E-2</v>
      </c>
      <c r="AP135" s="173">
        <v>-3.8499999912346539E-2</v>
      </c>
      <c r="AQ135" s="173">
        <v>-3.8499999912346539E-2</v>
      </c>
      <c r="AR135" s="173">
        <v>-3.8499999912346539E-2</v>
      </c>
      <c r="AS135" s="173">
        <v>-3.8499999912346539E-2</v>
      </c>
      <c r="AT135" s="173">
        <v>-3.8499999912346539E-2</v>
      </c>
      <c r="AU135" s="173">
        <v>-3.8499999912346539E-2</v>
      </c>
      <c r="AV135" s="173">
        <v>-3.8499999912346539E-2</v>
      </c>
      <c r="AW135" s="173">
        <v>-3.8499999912346539E-2</v>
      </c>
      <c r="AX135" s="173">
        <v>-3.8499999912346539E-2</v>
      </c>
      <c r="AY135" s="173">
        <v>-3.8499999912346539E-2</v>
      </c>
      <c r="AZ135" s="173">
        <v>-3.8499999912346539E-2</v>
      </c>
      <c r="BA135" s="173">
        <v>-3.8499999912346539E-2</v>
      </c>
      <c r="BB135" s="173">
        <v>-3.8499999912346539E-2</v>
      </c>
      <c r="BC135" s="173">
        <v>-3.8499999912346539E-2</v>
      </c>
      <c r="BD135" s="173">
        <v>-3.8499999912346539E-2</v>
      </c>
      <c r="BE135" s="173">
        <v>-3.8499999912346504E-2</v>
      </c>
      <c r="BF135" s="173">
        <v>-3.8499999912346539E-2</v>
      </c>
      <c r="BG135" s="173">
        <v>-3.8499999912346525E-2</v>
      </c>
      <c r="BH135" s="173">
        <v>-3.8499999912346539E-2</v>
      </c>
      <c r="BI135" s="173">
        <v>-3.849999991234649E-2</v>
      </c>
      <c r="BJ135" s="173">
        <v>-3.8499999912346539E-2</v>
      </c>
      <c r="BK135" s="173">
        <v>-3.8499999912346539E-2</v>
      </c>
      <c r="BL135" s="173">
        <v>-3.8499999912346539E-2</v>
      </c>
      <c r="BM135" s="173">
        <v>-3.8499999912346539E-2</v>
      </c>
      <c r="BN135" s="173">
        <v>-3.8499999912346539E-2</v>
      </c>
      <c r="BO135" s="173">
        <v>-3.8499999912346539E-2</v>
      </c>
      <c r="BP135" s="173">
        <v>-3.8499999912346539E-2</v>
      </c>
      <c r="BQ135" s="173">
        <v>-3.8499999912346539E-2</v>
      </c>
      <c r="BR135" s="173">
        <v>-3.8499999912346539E-2</v>
      </c>
      <c r="BS135" s="173">
        <v>-3.8499999912346539E-2</v>
      </c>
      <c r="BT135" s="173">
        <v>-3.8499999912346539E-2</v>
      </c>
      <c r="BU135" s="173">
        <v>-3.8499999912346539E-2</v>
      </c>
      <c r="BV135" s="173">
        <v>-3.8499999912346539E-2</v>
      </c>
      <c r="BW135" s="173">
        <v>-3.8499999912346539E-2</v>
      </c>
      <c r="BX135" s="173">
        <v>-3.8499999912346539E-2</v>
      </c>
      <c r="BY135" s="173">
        <v>-3.8499999912346539E-2</v>
      </c>
      <c r="BZ135" s="173">
        <v>-3.8499999912346539E-2</v>
      </c>
      <c r="CA135" s="173">
        <v>-3.8499999912346539E-2</v>
      </c>
      <c r="CB135" s="173">
        <v>-3.8499999912346518E-2</v>
      </c>
      <c r="CC135" s="173">
        <v>-3.8499999912346539E-2</v>
      </c>
      <c r="CD135" s="173">
        <v>-3.8499999912346539E-2</v>
      </c>
      <c r="CE135" s="173">
        <v>-3.8499999912346539E-2</v>
      </c>
      <c r="CF135" s="173">
        <v>-3.8499999912346539E-2</v>
      </c>
      <c r="CG135" s="173">
        <v>-3.8499999912346539E-2</v>
      </c>
      <c r="CH135" s="173">
        <v>-3.8499999912346539E-2</v>
      </c>
      <c r="CI135" s="173">
        <v>-3.8499999912346539E-2</v>
      </c>
      <c r="CJ135" s="173">
        <v>-3.8499999912346539E-2</v>
      </c>
      <c r="CK135" s="173">
        <v>-3.8499999912346539E-2</v>
      </c>
      <c r="CL135" s="173">
        <v>-3.8499999912346539E-2</v>
      </c>
      <c r="CM135" s="173">
        <v>-3.8499999912346539E-2</v>
      </c>
      <c r="CN135" s="173">
        <v>-3.8499999912346539E-2</v>
      </c>
      <c r="CO135" s="173">
        <v>-3.8499999912346539E-2</v>
      </c>
      <c r="CP135" s="173">
        <v>-3.8499999912346539E-2</v>
      </c>
      <c r="CQ135" s="173">
        <v>-3.8499999912346539E-2</v>
      </c>
      <c r="CR135" s="173">
        <v>-3.8499999912346539E-2</v>
      </c>
      <c r="CS135" s="173">
        <v>-3.8499999912346483E-2</v>
      </c>
      <c r="CT135" s="173">
        <v>-3.8499999912346539E-2</v>
      </c>
      <c r="CU135" s="173">
        <v>-3.8499999912346539E-2</v>
      </c>
      <c r="CV135" s="173">
        <v>-3.8499999912346539E-2</v>
      </c>
      <c r="CW135" s="173">
        <v>-3.8499999912346539E-2</v>
      </c>
      <c r="CX135" s="174">
        <v>-3.8499999912346539E-2</v>
      </c>
      <c r="CZ135" s="180"/>
      <c r="DC135" s="180">
        <v>-3.85E-2</v>
      </c>
      <c r="DE135" s="2">
        <f t="shared" si="416"/>
        <v>29</v>
      </c>
      <c r="DF135" s="141">
        <f t="shared" si="410"/>
        <v>-3.85E-2</v>
      </c>
      <c r="DG135" s="142">
        <f t="shared" si="411"/>
        <v>-3.85E-2</v>
      </c>
      <c r="DH135" s="141">
        <f t="shared" si="417"/>
        <v>-3.8499999912346539E-2</v>
      </c>
      <c r="DI135" s="142">
        <f t="shared" si="413"/>
        <v>-3.8499999912346483E-2</v>
      </c>
      <c r="DJ135" s="148">
        <f t="shared" si="414"/>
        <v>0</v>
      </c>
      <c r="DK135" s="149">
        <f t="shared" si="415"/>
        <v>0</v>
      </c>
    </row>
    <row r="136" spans="2:115" x14ac:dyDescent="0.2">
      <c r="B136" s="167" t="s">
        <v>31</v>
      </c>
      <c r="C136" s="172">
        <v>-9.9999999747524271E-7</v>
      </c>
      <c r="D136" s="173">
        <v>-9.9999999747524271E-7</v>
      </c>
      <c r="E136" s="173">
        <v>-9.9999999747524271E-7</v>
      </c>
      <c r="F136" s="173">
        <v>-9.9999999747524271E-7</v>
      </c>
      <c r="G136" s="173">
        <v>-9.9999999747524271E-7</v>
      </c>
      <c r="H136" s="173">
        <v>-9.9999999747524271E-7</v>
      </c>
      <c r="I136" s="173">
        <v>-9.9999999747524271E-7</v>
      </c>
      <c r="J136" s="173">
        <v>-9.9999999747524271E-7</v>
      </c>
      <c r="K136" s="173">
        <v>-9.9999999747523212E-7</v>
      </c>
      <c r="L136" s="173">
        <v>-9.9999999747524271E-7</v>
      </c>
      <c r="M136" s="173">
        <v>-9.9999999747524207E-7</v>
      </c>
      <c r="N136" s="173">
        <v>-9.9999999747524271E-7</v>
      </c>
      <c r="O136" s="173">
        <v>-9.999999974752425E-7</v>
      </c>
      <c r="P136" s="173">
        <v>-9.999999974752425E-7</v>
      </c>
      <c r="Q136" s="173">
        <v>-9.9999999747524271E-7</v>
      </c>
      <c r="R136" s="173">
        <v>-9.9999999747524038E-7</v>
      </c>
      <c r="S136" s="173">
        <v>-9.999999974752425E-7</v>
      </c>
      <c r="T136" s="173">
        <v>-9.9999999747524271E-7</v>
      </c>
      <c r="U136" s="173">
        <v>-9.999999974752425E-7</v>
      </c>
      <c r="V136" s="173">
        <v>-9.9999999747524271E-7</v>
      </c>
      <c r="W136" s="173">
        <v>-9.9999999747524228E-7</v>
      </c>
      <c r="X136" s="173">
        <v>-9.9999999747524271E-7</v>
      </c>
      <c r="Y136" s="173">
        <v>-9.999999974752425E-7</v>
      </c>
      <c r="Z136" s="173">
        <v>-9.9999999747523974E-7</v>
      </c>
      <c r="AA136" s="173">
        <v>-9.999999974752425E-7</v>
      </c>
      <c r="AB136" s="173">
        <v>-9.9999999747524228E-7</v>
      </c>
      <c r="AC136" s="173">
        <v>-9.9999999747524271E-7</v>
      </c>
      <c r="AD136" s="173">
        <v>-9.999999974752425E-7</v>
      </c>
      <c r="AE136" s="173">
        <v>-9.9999999747524271E-7</v>
      </c>
      <c r="AF136" s="173">
        <v>-9.999999974752425E-7</v>
      </c>
      <c r="AG136" s="173">
        <v>-9.9999999747523127E-7</v>
      </c>
      <c r="AH136" s="173">
        <v>-9.9999999747524271E-7</v>
      </c>
      <c r="AI136" s="173">
        <v>-9.9999999747524123E-7</v>
      </c>
      <c r="AJ136" s="173">
        <v>-9.9999999747524271E-7</v>
      </c>
      <c r="AK136" s="173">
        <v>-9.9999999747524271E-7</v>
      </c>
      <c r="AL136" s="173">
        <v>-9.9999999747524271E-7</v>
      </c>
      <c r="AM136" s="173">
        <v>-9.9999999747524271E-7</v>
      </c>
      <c r="AN136" s="173">
        <v>-9.9999999747524271E-7</v>
      </c>
      <c r="AO136" s="173">
        <v>-9.9999999747523847E-7</v>
      </c>
      <c r="AP136" s="173">
        <v>-9.9999999747524271E-7</v>
      </c>
      <c r="AQ136" s="173">
        <v>-9.9999999747524271E-7</v>
      </c>
      <c r="AR136" s="173">
        <v>-9.999999974752425E-7</v>
      </c>
      <c r="AS136" s="173">
        <v>-9.999999974752425E-7</v>
      </c>
      <c r="AT136" s="173">
        <v>-9.999999974752425E-7</v>
      </c>
      <c r="AU136" s="173">
        <v>-9.999999974752425E-7</v>
      </c>
      <c r="AV136" s="173">
        <v>-9.9999999747524271E-7</v>
      </c>
      <c r="AW136" s="173">
        <v>-9.9999999747524271E-7</v>
      </c>
      <c r="AX136" s="173">
        <v>-9.999999974752228E-7</v>
      </c>
      <c r="AY136" s="173">
        <v>-9.9999999747524271E-7</v>
      </c>
      <c r="AZ136" s="173">
        <v>-9.9999999747523021E-7</v>
      </c>
      <c r="BA136" s="173">
        <v>-9.9999999747524271E-7</v>
      </c>
      <c r="BB136" s="173">
        <v>-9.9999999747522916E-7</v>
      </c>
      <c r="BC136" s="173">
        <v>-9.999999974752425E-7</v>
      </c>
      <c r="BD136" s="173">
        <v>-9.9999999747524186E-7</v>
      </c>
      <c r="BE136" s="173">
        <v>-9.9999999745216445E-7</v>
      </c>
      <c r="BF136" s="173">
        <v>-9.9999999747524271E-7</v>
      </c>
      <c r="BG136" s="173">
        <v>-9.9999999747524271E-7</v>
      </c>
      <c r="BH136" s="173">
        <v>-9.9999999747524186E-7</v>
      </c>
      <c r="BI136" s="173">
        <v>-9.9999999745685743E-7</v>
      </c>
      <c r="BJ136" s="173">
        <v>-9.9999999747524207E-7</v>
      </c>
      <c r="BK136" s="173">
        <v>-9.9999999747524228E-7</v>
      </c>
      <c r="BL136" s="173">
        <v>-9.9999999747523996E-7</v>
      </c>
      <c r="BM136" s="173">
        <v>-9.9999999747524271E-7</v>
      </c>
      <c r="BN136" s="173">
        <v>-9.9999999747524271E-7</v>
      </c>
      <c r="BO136" s="173">
        <v>-9.9999999747524271E-7</v>
      </c>
      <c r="BP136" s="173">
        <v>-9.999999974752425E-7</v>
      </c>
      <c r="BQ136" s="173">
        <v>-9.9999999747522788E-7</v>
      </c>
      <c r="BR136" s="173">
        <v>-9.9999999747524123E-7</v>
      </c>
      <c r="BS136" s="173">
        <v>-9.9999999747524271E-7</v>
      </c>
      <c r="BT136" s="173">
        <v>-9.999999974752425E-7</v>
      </c>
      <c r="BU136" s="173">
        <v>-9.9999999747523466E-7</v>
      </c>
      <c r="BV136" s="173">
        <v>-9.999999974752425E-7</v>
      </c>
      <c r="BW136" s="173">
        <v>-9.9999999747524186E-7</v>
      </c>
      <c r="BX136" s="173">
        <v>-9.9999999747520544E-7</v>
      </c>
      <c r="BY136" s="173">
        <v>-9.999999974752425E-7</v>
      </c>
      <c r="BZ136" s="173">
        <v>-9.9999999747524271E-7</v>
      </c>
      <c r="CA136" s="173">
        <v>-9.9999999747514149E-7</v>
      </c>
      <c r="CB136" s="173">
        <v>-9.9999999747419938E-7</v>
      </c>
      <c r="CC136" s="173">
        <v>-9.9999999747524271E-7</v>
      </c>
      <c r="CD136" s="173">
        <v>-9.9999999747524271E-7</v>
      </c>
      <c r="CE136" s="173">
        <v>-9.9999999747510634E-7</v>
      </c>
      <c r="CF136" s="173">
        <v>-9.9999999747523784E-7</v>
      </c>
      <c r="CG136" s="173">
        <v>-9.9999999747521709E-7</v>
      </c>
      <c r="CH136" s="173">
        <v>-9.9999999747482512E-7</v>
      </c>
      <c r="CI136" s="173">
        <v>-9.9999999747524228E-7</v>
      </c>
      <c r="CJ136" s="173">
        <v>-9.9999999747486959E-7</v>
      </c>
      <c r="CK136" s="173">
        <v>-9.9999999747475778E-7</v>
      </c>
      <c r="CL136" s="173">
        <v>-9.9999999747522619E-7</v>
      </c>
      <c r="CM136" s="173">
        <v>-9.9999999747523127E-7</v>
      </c>
      <c r="CN136" s="173">
        <v>-9.99999997474225E-7</v>
      </c>
      <c r="CO136" s="173">
        <v>-9.9999999747524207E-7</v>
      </c>
      <c r="CP136" s="173">
        <v>-9.999999974471498E-7</v>
      </c>
      <c r="CQ136" s="173">
        <v>-9.9999999747524271E-7</v>
      </c>
      <c r="CR136" s="173">
        <v>-9.9999999747524271E-7</v>
      </c>
      <c r="CS136" s="173">
        <v>-9.9999999746023392E-7</v>
      </c>
      <c r="CT136" s="173">
        <v>-9.9999999747523064E-7</v>
      </c>
      <c r="CU136" s="173">
        <v>-9.9999999747520523E-7</v>
      </c>
      <c r="CV136" s="173">
        <v>-9.9999999747519125E-7</v>
      </c>
      <c r="CW136" s="173">
        <v>-9.9999999747524271E-7</v>
      </c>
      <c r="CX136" s="174">
        <v>-9.9998595879676985E-7</v>
      </c>
      <c r="CZ136" s="180"/>
      <c r="DC136" s="180">
        <v>-9.9999999999999995E-7</v>
      </c>
      <c r="DE136" s="2">
        <f t="shared" si="416"/>
        <v>30</v>
      </c>
      <c r="DF136" s="141">
        <f t="shared" si="410"/>
        <v>-9.9999999999999995E-7</v>
      </c>
      <c r="DG136" s="142">
        <f t="shared" si="411"/>
        <v>-9.9999999999999995E-7</v>
      </c>
      <c r="DH136" s="141">
        <f t="shared" si="417"/>
        <v>-9.9999999747524271E-7</v>
      </c>
      <c r="DI136" s="142">
        <f t="shared" si="413"/>
        <v>-9.9998595879676985E-7</v>
      </c>
      <c r="DJ136" s="148">
        <f t="shared" si="414"/>
        <v>0</v>
      </c>
      <c r="DK136" s="149">
        <f t="shared" si="415"/>
        <v>0</v>
      </c>
    </row>
    <row r="137" spans="2:115" x14ac:dyDescent="0.2">
      <c r="B137" s="167" t="s">
        <v>32</v>
      </c>
      <c r="C137" s="172">
        <v>-0.18859999999999999</v>
      </c>
      <c r="D137" s="173">
        <v>-0.18859999999999999</v>
      </c>
      <c r="E137" s="173">
        <v>-0.18859999999999999</v>
      </c>
      <c r="F137" s="173">
        <v>-0.18859999999999999</v>
      </c>
      <c r="G137" s="173">
        <v>-0.18859999999999999</v>
      </c>
      <c r="H137" s="173">
        <v>-0.18859999999999999</v>
      </c>
      <c r="I137" s="173">
        <v>-0.18859999999999999</v>
      </c>
      <c r="J137" s="173">
        <v>-0.18859999999999999</v>
      </c>
      <c r="K137" s="173">
        <v>-0.18859999999999999</v>
      </c>
      <c r="L137" s="173">
        <v>-0.18859999999999999</v>
      </c>
      <c r="M137" s="173">
        <v>-0.18859999999999999</v>
      </c>
      <c r="N137" s="173">
        <v>-0.18859999999999999</v>
      </c>
      <c r="O137" s="173">
        <v>-0.18859999999999999</v>
      </c>
      <c r="P137" s="173">
        <v>-0.18859999999999999</v>
      </c>
      <c r="Q137" s="173">
        <v>-0.18859999999999999</v>
      </c>
      <c r="R137" s="173">
        <v>-0.18859999999999999</v>
      </c>
      <c r="S137" s="173">
        <v>-0.18859999999999999</v>
      </c>
      <c r="T137" s="173">
        <v>-0.18859999999999999</v>
      </c>
      <c r="U137" s="173">
        <v>-0.18859999999999999</v>
      </c>
      <c r="V137" s="173">
        <v>-0.18859999999999999</v>
      </c>
      <c r="W137" s="173">
        <v>-0.18859999999999999</v>
      </c>
      <c r="X137" s="173">
        <v>-0.18859999999999999</v>
      </c>
      <c r="Y137" s="173">
        <v>-0.18859999999999999</v>
      </c>
      <c r="Z137" s="173">
        <v>-0.18859999999999999</v>
      </c>
      <c r="AA137" s="173">
        <v>-0.18859999999999999</v>
      </c>
      <c r="AB137" s="173">
        <v>-0.18859999999999999</v>
      </c>
      <c r="AC137" s="173">
        <v>-0.18859999999999999</v>
      </c>
      <c r="AD137" s="173">
        <v>-0.18859999999999999</v>
      </c>
      <c r="AE137" s="173">
        <v>-0.18859999999999999</v>
      </c>
      <c r="AF137" s="173">
        <v>-0.18859999999999999</v>
      </c>
      <c r="AG137" s="173">
        <v>-0.18859999999999999</v>
      </c>
      <c r="AH137" s="173">
        <v>-0.18859999999999999</v>
      </c>
      <c r="AI137" s="173">
        <v>-0.18859999999999999</v>
      </c>
      <c r="AJ137" s="173">
        <v>-0.18859999999999999</v>
      </c>
      <c r="AK137" s="173">
        <v>-0.18859999999999999</v>
      </c>
      <c r="AL137" s="173">
        <v>-0.18859999999999999</v>
      </c>
      <c r="AM137" s="173">
        <v>-0.18859999999999999</v>
      </c>
      <c r="AN137" s="173">
        <v>-0.18859999999999999</v>
      </c>
      <c r="AO137" s="173">
        <v>-0.18859999999999999</v>
      </c>
      <c r="AP137" s="173">
        <v>-0.18859999999999999</v>
      </c>
      <c r="AQ137" s="173">
        <v>-0.18859999999999999</v>
      </c>
      <c r="AR137" s="173">
        <v>-0.18859999999999999</v>
      </c>
      <c r="AS137" s="173">
        <v>-0.18859999999999999</v>
      </c>
      <c r="AT137" s="173">
        <v>-0.18859999999999999</v>
      </c>
      <c r="AU137" s="173">
        <v>-0.18859999999999999</v>
      </c>
      <c r="AV137" s="173">
        <v>-0.18859999999999999</v>
      </c>
      <c r="AW137" s="173">
        <v>-0.18859999999999999</v>
      </c>
      <c r="AX137" s="173">
        <v>-0.18859999999999999</v>
      </c>
      <c r="AY137" s="173">
        <v>-0.18859999999999999</v>
      </c>
      <c r="AZ137" s="173">
        <v>-0.18859999999999999</v>
      </c>
      <c r="BA137" s="173">
        <v>-0.18859999999999999</v>
      </c>
      <c r="BB137" s="173">
        <v>-0.18859999999999999</v>
      </c>
      <c r="BC137" s="173">
        <v>-0.18859999999999999</v>
      </c>
      <c r="BD137" s="173">
        <v>-0.18859999999999999</v>
      </c>
      <c r="BE137" s="173">
        <v>-0.18859999999999943</v>
      </c>
      <c r="BF137" s="173">
        <v>-0.18859999999999924</v>
      </c>
      <c r="BG137" s="173">
        <v>-0.18859999999999985</v>
      </c>
      <c r="BH137" s="173">
        <v>-0.18859999999999999</v>
      </c>
      <c r="BI137" s="173">
        <v>-0.18859999999999938</v>
      </c>
      <c r="BJ137" s="173">
        <v>-0.18859999999999999</v>
      </c>
      <c r="BK137" s="173">
        <v>-0.18859999999999999</v>
      </c>
      <c r="BL137" s="173">
        <v>-0.18859999999999999</v>
      </c>
      <c r="BM137" s="173">
        <v>-0.18859999999999999</v>
      </c>
      <c r="BN137" s="173">
        <v>-0.18859999999999999</v>
      </c>
      <c r="BO137" s="173">
        <v>-0.18859999999999999</v>
      </c>
      <c r="BP137" s="173">
        <v>-0.18859999999999999</v>
      </c>
      <c r="BQ137" s="173">
        <v>-0.18859999999999999</v>
      </c>
      <c r="BR137" s="173">
        <v>-0.18859999999999999</v>
      </c>
      <c r="BS137" s="173">
        <v>-0.18859999999999999</v>
      </c>
      <c r="BT137" s="173">
        <v>-0.18859999999999999</v>
      </c>
      <c r="BU137" s="173">
        <v>-0.18859999999999999</v>
      </c>
      <c r="BV137" s="173">
        <v>-0.18859999999999999</v>
      </c>
      <c r="BW137" s="173">
        <v>-0.18859999999999999</v>
      </c>
      <c r="BX137" s="173">
        <v>-0.18859999999999999</v>
      </c>
      <c r="BY137" s="173">
        <v>-0.18859999999999999</v>
      </c>
      <c r="BZ137" s="173">
        <v>-0.18859999999999938</v>
      </c>
      <c r="CA137" s="173">
        <v>-0.18859999999999999</v>
      </c>
      <c r="CB137" s="173">
        <v>-0.18859999999999941</v>
      </c>
      <c r="CC137" s="173">
        <v>-0.18859999999999999</v>
      </c>
      <c r="CD137" s="173">
        <v>-0.18859999999999999</v>
      </c>
      <c r="CE137" s="173">
        <v>-0.18859999999999999</v>
      </c>
      <c r="CF137" s="173">
        <v>-0.18859999999999974</v>
      </c>
      <c r="CG137" s="173">
        <v>-0.18859999999999996</v>
      </c>
      <c r="CH137" s="173">
        <v>-0.18859999999999999</v>
      </c>
      <c r="CI137" s="173">
        <v>-0.18859999999999999</v>
      </c>
      <c r="CJ137" s="173">
        <v>-0.1885999999999993</v>
      </c>
      <c r="CK137" s="173">
        <v>-0.18859999999999999</v>
      </c>
      <c r="CL137" s="173">
        <v>-0.18859999999999999</v>
      </c>
      <c r="CM137" s="173">
        <v>-0.18859999999999999</v>
      </c>
      <c r="CN137" s="173">
        <v>-0.18859999999999999</v>
      </c>
      <c r="CO137" s="173">
        <v>-0.18859999999999999</v>
      </c>
      <c r="CP137" s="173">
        <v>-0.18859999999999946</v>
      </c>
      <c r="CQ137" s="173">
        <v>-0.18859999999999941</v>
      </c>
      <c r="CR137" s="173">
        <v>-0.18859999999999955</v>
      </c>
      <c r="CS137" s="173">
        <v>-0.18860000000000027</v>
      </c>
      <c r="CT137" s="173">
        <v>-0.18859999999999999</v>
      </c>
      <c r="CU137" s="173">
        <v>-0.18859999999999999</v>
      </c>
      <c r="CV137" s="173">
        <v>-0.18859999999999999</v>
      </c>
      <c r="CW137" s="173">
        <v>-0.18859999999999999</v>
      </c>
      <c r="CX137" s="174">
        <v>-0.1885999999859819</v>
      </c>
      <c r="CZ137" s="180"/>
      <c r="DC137" s="180">
        <v>-0.18859999999999999</v>
      </c>
      <c r="DE137" s="2">
        <f t="shared" si="416"/>
        <v>31</v>
      </c>
      <c r="DF137" s="141">
        <f t="shared" si="410"/>
        <v>-0.18859999999999999</v>
      </c>
      <c r="DG137" s="142">
        <f t="shared" si="411"/>
        <v>-0.18859999999999999</v>
      </c>
      <c r="DH137" s="141">
        <f t="shared" si="417"/>
        <v>-0.18860000000000027</v>
      </c>
      <c r="DI137" s="142">
        <f t="shared" si="413"/>
        <v>-0.1885999999859819</v>
      </c>
      <c r="DJ137" s="148">
        <f t="shared" si="414"/>
        <v>0</v>
      </c>
      <c r="DK137" s="149">
        <f t="shared" si="415"/>
        <v>0</v>
      </c>
    </row>
    <row r="138" spans="2:115" x14ac:dyDescent="0.2">
      <c r="B138" s="167" t="s">
        <v>33</v>
      </c>
      <c r="C138" s="172">
        <v>-2.7699999999999999E-2</v>
      </c>
      <c r="D138" s="173">
        <v>-2.7699999999999999E-2</v>
      </c>
      <c r="E138" s="173">
        <v>-2.7699999999999999E-2</v>
      </c>
      <c r="F138" s="173">
        <v>-2.7699999999999999E-2</v>
      </c>
      <c r="G138" s="173">
        <v>-2.7699999999999999E-2</v>
      </c>
      <c r="H138" s="173">
        <v>-2.7699999999999999E-2</v>
      </c>
      <c r="I138" s="173">
        <v>-2.7699999999999999E-2</v>
      </c>
      <c r="J138" s="173">
        <v>-2.7699999999999999E-2</v>
      </c>
      <c r="K138" s="173">
        <v>-2.7699999999999999E-2</v>
      </c>
      <c r="L138" s="173">
        <v>-2.7699999999999999E-2</v>
      </c>
      <c r="M138" s="173">
        <v>-2.7699999999999999E-2</v>
      </c>
      <c r="N138" s="173">
        <v>-2.7699999999999999E-2</v>
      </c>
      <c r="O138" s="173">
        <v>-2.7699999999999999E-2</v>
      </c>
      <c r="P138" s="173">
        <v>-2.7699999999999999E-2</v>
      </c>
      <c r="Q138" s="173">
        <v>-2.7699999999999999E-2</v>
      </c>
      <c r="R138" s="173">
        <v>-2.7699999999999999E-2</v>
      </c>
      <c r="S138" s="173">
        <v>-2.7699999999999999E-2</v>
      </c>
      <c r="T138" s="173">
        <v>-2.7699999999999999E-2</v>
      </c>
      <c r="U138" s="173">
        <v>-2.7699999999999999E-2</v>
      </c>
      <c r="V138" s="173">
        <v>-2.7699999999999999E-2</v>
      </c>
      <c r="W138" s="173">
        <v>-2.7699999999999999E-2</v>
      </c>
      <c r="X138" s="173">
        <v>-2.7699999999999999E-2</v>
      </c>
      <c r="Y138" s="173">
        <v>-2.7699999999999999E-2</v>
      </c>
      <c r="Z138" s="173">
        <v>-2.7699999999999999E-2</v>
      </c>
      <c r="AA138" s="173">
        <v>-2.7699999999999999E-2</v>
      </c>
      <c r="AB138" s="173">
        <v>-2.7699999999999999E-2</v>
      </c>
      <c r="AC138" s="173">
        <v>-2.7699999999999999E-2</v>
      </c>
      <c r="AD138" s="173">
        <v>-2.7699999999999999E-2</v>
      </c>
      <c r="AE138" s="173">
        <v>-2.7699999999999999E-2</v>
      </c>
      <c r="AF138" s="173">
        <v>-2.7699999999999999E-2</v>
      </c>
      <c r="AG138" s="173">
        <v>-2.7699999999999999E-2</v>
      </c>
      <c r="AH138" s="173">
        <v>-2.7699999999999999E-2</v>
      </c>
      <c r="AI138" s="173">
        <v>-2.7699999999999999E-2</v>
      </c>
      <c r="AJ138" s="173">
        <v>-2.7699999999999999E-2</v>
      </c>
      <c r="AK138" s="173">
        <v>-2.7699999999999999E-2</v>
      </c>
      <c r="AL138" s="173">
        <v>-2.7699999999999999E-2</v>
      </c>
      <c r="AM138" s="173">
        <v>-2.7699999999999999E-2</v>
      </c>
      <c r="AN138" s="173">
        <v>-2.7699999999999999E-2</v>
      </c>
      <c r="AO138" s="173">
        <v>-2.7699999999999999E-2</v>
      </c>
      <c r="AP138" s="173">
        <v>-2.7699999999999999E-2</v>
      </c>
      <c r="AQ138" s="173">
        <v>-2.7699999999999999E-2</v>
      </c>
      <c r="AR138" s="173">
        <v>-2.7699999999999999E-2</v>
      </c>
      <c r="AS138" s="173">
        <v>-2.7699999999999999E-2</v>
      </c>
      <c r="AT138" s="173">
        <v>-2.7699999999999999E-2</v>
      </c>
      <c r="AU138" s="173">
        <v>-2.7699999999999999E-2</v>
      </c>
      <c r="AV138" s="173">
        <v>-2.7699999999999999E-2</v>
      </c>
      <c r="AW138" s="173">
        <v>-2.7699999999999999E-2</v>
      </c>
      <c r="AX138" s="173">
        <v>-2.7699999999999999E-2</v>
      </c>
      <c r="AY138" s="173">
        <v>-2.7699999999999999E-2</v>
      </c>
      <c r="AZ138" s="173">
        <v>-2.7699999999999999E-2</v>
      </c>
      <c r="BA138" s="173">
        <v>-2.7699999999999999E-2</v>
      </c>
      <c r="BB138" s="173">
        <v>-2.7699999999999999E-2</v>
      </c>
      <c r="BC138" s="173">
        <v>-2.7699999999999999E-2</v>
      </c>
      <c r="BD138" s="173">
        <v>-2.7699999999999999E-2</v>
      </c>
      <c r="BE138" s="173">
        <v>-2.7700000000000086E-2</v>
      </c>
      <c r="BF138" s="173">
        <v>-2.7700000000000152E-2</v>
      </c>
      <c r="BG138" s="173">
        <v>-2.7700000000000006E-2</v>
      </c>
      <c r="BH138" s="173">
        <v>-2.7699999999999999E-2</v>
      </c>
      <c r="BI138" s="173">
        <v>-2.7700000000000176E-2</v>
      </c>
      <c r="BJ138" s="173">
        <v>-2.7699999999999999E-2</v>
      </c>
      <c r="BK138" s="173">
        <v>-2.7699999999999999E-2</v>
      </c>
      <c r="BL138" s="173">
        <v>-2.7699999999999999E-2</v>
      </c>
      <c r="BM138" s="173">
        <v>-2.7699999999999999E-2</v>
      </c>
      <c r="BN138" s="173">
        <v>-2.7699999999999999E-2</v>
      </c>
      <c r="BO138" s="173">
        <v>-2.7699999999999999E-2</v>
      </c>
      <c r="BP138" s="173">
        <v>-2.7699999999999999E-2</v>
      </c>
      <c r="BQ138" s="173">
        <v>-2.7699999999999999E-2</v>
      </c>
      <c r="BR138" s="173">
        <v>-2.7699999999999999E-2</v>
      </c>
      <c r="BS138" s="173">
        <v>-2.7699999999999999E-2</v>
      </c>
      <c r="BT138" s="173">
        <v>-2.7699999999999999E-2</v>
      </c>
      <c r="BU138" s="173">
        <v>-2.7699999999999999E-2</v>
      </c>
      <c r="BV138" s="173">
        <v>-2.7699999999999999E-2</v>
      </c>
      <c r="BW138" s="173">
        <v>-2.7699999999999999E-2</v>
      </c>
      <c r="BX138" s="173">
        <v>-2.7699999999999999E-2</v>
      </c>
      <c r="BY138" s="173">
        <v>-2.7699999999999999E-2</v>
      </c>
      <c r="BZ138" s="173">
        <v>-2.770000000000019E-2</v>
      </c>
      <c r="CA138" s="173">
        <v>-2.7699999999999999E-2</v>
      </c>
      <c r="CB138" s="173">
        <v>-2.7699999999999992E-2</v>
      </c>
      <c r="CC138" s="173">
        <v>-2.7699999999999999E-2</v>
      </c>
      <c r="CD138" s="173">
        <v>-2.7699999999999999E-2</v>
      </c>
      <c r="CE138" s="173">
        <v>-2.7699999999999999E-2</v>
      </c>
      <c r="CF138" s="173">
        <v>-2.7700000000000051E-2</v>
      </c>
      <c r="CG138" s="173">
        <v>-2.7700000000000006E-2</v>
      </c>
      <c r="CH138" s="173">
        <v>-2.7699999999999999E-2</v>
      </c>
      <c r="CI138" s="173">
        <v>-2.7699999999999999E-2</v>
      </c>
      <c r="CJ138" s="173">
        <v>-2.7699999999999992E-2</v>
      </c>
      <c r="CK138" s="173">
        <v>-2.7699999999999999E-2</v>
      </c>
      <c r="CL138" s="173">
        <v>-2.7699999999999999E-2</v>
      </c>
      <c r="CM138" s="173">
        <v>-2.7699999999999999E-2</v>
      </c>
      <c r="CN138" s="173">
        <v>-2.7699999999999999E-2</v>
      </c>
      <c r="CO138" s="173">
        <v>-2.7699999999999999E-2</v>
      </c>
      <c r="CP138" s="173">
        <v>-2.7699999999999985E-2</v>
      </c>
      <c r="CQ138" s="173">
        <v>-2.7700000000000044E-2</v>
      </c>
      <c r="CR138" s="173">
        <v>-2.7700000000000068E-2</v>
      </c>
      <c r="CS138" s="173">
        <v>-2.7700000000000006E-2</v>
      </c>
      <c r="CT138" s="173">
        <v>-2.7699999999999999E-2</v>
      </c>
      <c r="CU138" s="173">
        <v>-2.7699999999999999E-2</v>
      </c>
      <c r="CV138" s="173">
        <v>-2.7699999999999999E-2</v>
      </c>
      <c r="CW138" s="173">
        <v>-2.7699999999999999E-2</v>
      </c>
      <c r="CX138" s="174">
        <v>-2.7699999985961968E-2</v>
      </c>
      <c r="CZ138" s="180"/>
      <c r="DC138" s="180">
        <v>-2.7699999999999999E-2</v>
      </c>
      <c r="DE138" s="2">
        <f t="shared" si="416"/>
        <v>32</v>
      </c>
      <c r="DF138" s="141">
        <f t="shared" si="410"/>
        <v>-2.7699999999999999E-2</v>
      </c>
      <c r="DG138" s="142">
        <f t="shared" si="411"/>
        <v>-2.7699999999999999E-2</v>
      </c>
      <c r="DH138" s="141">
        <f t="shared" si="417"/>
        <v>-2.770000000000019E-2</v>
      </c>
      <c r="DI138" s="142">
        <f t="shared" si="413"/>
        <v>-2.7699999985961968E-2</v>
      </c>
      <c r="DJ138" s="148">
        <f t="shared" si="414"/>
        <v>0</v>
      </c>
      <c r="DK138" s="149">
        <f t="shared" si="415"/>
        <v>0</v>
      </c>
    </row>
    <row r="139" spans="2:115" x14ac:dyDescent="0.2">
      <c r="B139" s="167" t="s">
        <v>34</v>
      </c>
      <c r="C139" s="172">
        <v>-9.9999999747524271E-7</v>
      </c>
      <c r="D139" s="173">
        <v>-9.9999999747524271E-7</v>
      </c>
      <c r="E139" s="173">
        <v>-9.9999999747524271E-7</v>
      </c>
      <c r="F139" s="173">
        <v>-9.9999999747524271E-7</v>
      </c>
      <c r="G139" s="173">
        <v>-9.9999999747524271E-7</v>
      </c>
      <c r="H139" s="173">
        <v>-9.9999999747524271E-7</v>
      </c>
      <c r="I139" s="173">
        <v>-9.9999999747524271E-7</v>
      </c>
      <c r="J139" s="173">
        <v>-9.9999999747521306E-7</v>
      </c>
      <c r="K139" s="173">
        <v>-9.9999999747522386E-7</v>
      </c>
      <c r="L139" s="173">
        <v>-9.9999999747524271E-7</v>
      </c>
      <c r="M139" s="173">
        <v>-9.9999999747524207E-7</v>
      </c>
      <c r="N139" s="173">
        <v>-9.9999999747523614E-7</v>
      </c>
      <c r="O139" s="173">
        <v>-9.999999974752425E-7</v>
      </c>
      <c r="P139" s="173">
        <v>-9.9999999747524144E-7</v>
      </c>
      <c r="Q139" s="173">
        <v>-9.9999999747524271E-7</v>
      </c>
      <c r="R139" s="173">
        <v>-9.9999999747524271E-7</v>
      </c>
      <c r="S139" s="173">
        <v>-9.9999999747524271E-7</v>
      </c>
      <c r="T139" s="173">
        <v>-9.9999999747524271E-7</v>
      </c>
      <c r="U139" s="173">
        <v>-9.9999999747524271E-7</v>
      </c>
      <c r="V139" s="173">
        <v>-9.9999999747524186E-7</v>
      </c>
      <c r="W139" s="173">
        <v>-9.9999999747524271E-7</v>
      </c>
      <c r="X139" s="173">
        <v>-9.9999999747523699E-7</v>
      </c>
      <c r="Y139" s="173">
        <v>-9.9999999747524271E-7</v>
      </c>
      <c r="Z139" s="173">
        <v>-9.9999999747524271E-7</v>
      </c>
      <c r="AA139" s="173">
        <v>-9.9999999747524271E-7</v>
      </c>
      <c r="AB139" s="173">
        <v>-9.9999999747524271E-7</v>
      </c>
      <c r="AC139" s="173">
        <v>-9.9999999747524271E-7</v>
      </c>
      <c r="AD139" s="173">
        <v>-9.9999999747524271E-7</v>
      </c>
      <c r="AE139" s="173">
        <v>-9.9999999747524271E-7</v>
      </c>
      <c r="AF139" s="173">
        <v>-9.9999999747524271E-7</v>
      </c>
      <c r="AG139" s="173">
        <v>-9.9999999747524271E-7</v>
      </c>
      <c r="AH139" s="173">
        <v>-9.9999999747524271E-7</v>
      </c>
      <c r="AI139" s="173">
        <v>-9.9999999747524271E-7</v>
      </c>
      <c r="AJ139" s="173">
        <v>-9.9999999747524271E-7</v>
      </c>
      <c r="AK139" s="173">
        <v>-9.9999999747524271E-7</v>
      </c>
      <c r="AL139" s="173">
        <v>-9.9999999747524271E-7</v>
      </c>
      <c r="AM139" s="173">
        <v>-9.9999999747524271E-7</v>
      </c>
      <c r="AN139" s="173">
        <v>-9.9999999747524271E-7</v>
      </c>
      <c r="AO139" s="173">
        <v>-9.9999999747524271E-7</v>
      </c>
      <c r="AP139" s="173">
        <v>-9.9999999747524271E-7</v>
      </c>
      <c r="AQ139" s="173">
        <v>-9.9999999747524271E-7</v>
      </c>
      <c r="AR139" s="173">
        <v>-9.9999999747524271E-7</v>
      </c>
      <c r="AS139" s="173">
        <v>-9.9999999747524228E-7</v>
      </c>
      <c r="AT139" s="173">
        <v>-9.9999999747524271E-7</v>
      </c>
      <c r="AU139" s="173">
        <v>-9.9999999747524271E-7</v>
      </c>
      <c r="AV139" s="173">
        <v>-9.9999999747524271E-7</v>
      </c>
      <c r="AW139" s="173">
        <v>-9.9999999747524271E-7</v>
      </c>
      <c r="AX139" s="173">
        <v>-9.9999999747524123E-7</v>
      </c>
      <c r="AY139" s="173">
        <v>-9.9999999747524271E-7</v>
      </c>
      <c r="AZ139" s="173">
        <v>-9.9999999747524271E-7</v>
      </c>
      <c r="BA139" s="173">
        <v>-9.999999974752425E-7</v>
      </c>
      <c r="BB139" s="173">
        <v>-9.9999999747524271E-7</v>
      </c>
      <c r="BC139" s="173">
        <v>-9.9999999747524228E-7</v>
      </c>
      <c r="BD139" s="173">
        <v>-9.9999999747524228E-7</v>
      </c>
      <c r="BE139" s="173">
        <v>-9.9999999744173154E-7</v>
      </c>
      <c r="BF139" s="173">
        <v>-9.9999999747524271E-7</v>
      </c>
      <c r="BG139" s="173">
        <v>-9.9999999747524271E-7</v>
      </c>
      <c r="BH139" s="173">
        <v>-9.9999999747524165E-7</v>
      </c>
      <c r="BI139" s="173">
        <v>-9.9999999747517092E-7</v>
      </c>
      <c r="BJ139" s="173">
        <v>-9.999999974752425E-7</v>
      </c>
      <c r="BK139" s="173">
        <v>-9.9999999747524207E-7</v>
      </c>
      <c r="BL139" s="173">
        <v>-9.9999999747523763E-7</v>
      </c>
      <c r="BM139" s="173">
        <v>-9.999999974752425E-7</v>
      </c>
      <c r="BN139" s="173">
        <v>-9.999999974752425E-7</v>
      </c>
      <c r="BO139" s="173">
        <v>-9.9999999747522259E-7</v>
      </c>
      <c r="BP139" s="173">
        <v>-9.999999974752425E-7</v>
      </c>
      <c r="BQ139" s="173">
        <v>-9.9999999747521454E-7</v>
      </c>
      <c r="BR139" s="173">
        <v>-9.9999999747523996E-7</v>
      </c>
      <c r="BS139" s="173">
        <v>-9.9999999747523805E-7</v>
      </c>
      <c r="BT139" s="173">
        <v>-9.9999999747524228E-7</v>
      </c>
      <c r="BU139" s="173">
        <v>-9.9999999747524271E-7</v>
      </c>
      <c r="BV139" s="173">
        <v>-9.9999999747524228E-7</v>
      </c>
      <c r="BW139" s="173">
        <v>-9.9999999747524101E-7</v>
      </c>
      <c r="BX139" s="173">
        <v>-9.9999999747517262E-7</v>
      </c>
      <c r="BY139" s="173">
        <v>-9.9999999747524228E-7</v>
      </c>
      <c r="BZ139" s="173">
        <v>-9.9999999745061819E-7</v>
      </c>
      <c r="CA139" s="173">
        <v>-9.9999999747523868E-7</v>
      </c>
      <c r="CB139" s="173">
        <v>-9.9999999747442871E-7</v>
      </c>
      <c r="CC139" s="173">
        <v>-9.9999999747524271E-7</v>
      </c>
      <c r="CD139" s="173">
        <v>-9.9999999747524271E-7</v>
      </c>
      <c r="CE139" s="173">
        <v>-9.9999999747524271E-7</v>
      </c>
      <c r="CF139" s="173">
        <v>-9.9999999747524271E-7</v>
      </c>
      <c r="CG139" s="173">
        <v>-9.9999999747440351E-7</v>
      </c>
      <c r="CH139" s="173">
        <v>-9.9999999747524271E-7</v>
      </c>
      <c r="CI139" s="173">
        <v>-9.9999999747524271E-7</v>
      </c>
      <c r="CJ139" s="173">
        <v>-9.9999999747524271E-7</v>
      </c>
      <c r="CK139" s="173">
        <v>-9.9999999747507923E-7</v>
      </c>
      <c r="CL139" s="173">
        <v>-9.9999999747515462E-7</v>
      </c>
      <c r="CM139" s="173">
        <v>-9.999999974752084E-7</v>
      </c>
      <c r="CN139" s="173">
        <v>-9.9999999747470399E-7</v>
      </c>
      <c r="CO139" s="173">
        <v>-9.9999999747523805E-7</v>
      </c>
      <c r="CP139" s="173">
        <v>-9.9999999742903812E-7</v>
      </c>
      <c r="CQ139" s="173">
        <v>-9.9999999744645396E-7</v>
      </c>
      <c r="CR139" s="173">
        <v>-9.9999999745903812E-7</v>
      </c>
      <c r="CS139" s="173">
        <v>-9.9999999747524271E-7</v>
      </c>
      <c r="CT139" s="173">
        <v>-9.9999999747524271E-7</v>
      </c>
      <c r="CU139" s="173">
        <v>-9.9999999747521137E-7</v>
      </c>
      <c r="CV139" s="173">
        <v>-9.9999999747519972E-7</v>
      </c>
      <c r="CW139" s="173">
        <v>-9.9999999747524271E-7</v>
      </c>
      <c r="CX139" s="174">
        <v>-9.9998595521484963E-7</v>
      </c>
      <c r="CZ139" s="180"/>
      <c r="DC139" s="180">
        <v>-9.9999999999999995E-7</v>
      </c>
      <c r="DE139" s="2">
        <f t="shared" si="416"/>
        <v>33</v>
      </c>
      <c r="DF139" s="141">
        <f t="shared" ref="DF139:DF156" si="418">INDEX(inp_AL_mins,$DE139,1)</f>
        <v>-9.9999999999999995E-7</v>
      </c>
      <c r="DG139" s="142">
        <f t="shared" ref="DG139:DG156" si="419">INDEX(inp_AL_maxs,$DE139,1)</f>
        <v>-9.9999999999999995E-7</v>
      </c>
      <c r="DH139" s="141">
        <f t="shared" si="417"/>
        <v>-9.9999999747524271E-7</v>
      </c>
      <c r="DI139" s="142">
        <f t="shared" si="413"/>
        <v>-9.9998595521484963E-7</v>
      </c>
      <c r="DJ139" s="148">
        <f t="shared" si="414"/>
        <v>0</v>
      </c>
      <c r="DK139" s="149">
        <f t="shared" si="415"/>
        <v>0</v>
      </c>
    </row>
    <row r="140" spans="2:115" x14ac:dyDescent="0.2">
      <c r="B140" s="167" t="s">
        <v>35</v>
      </c>
      <c r="C140" s="172">
        <v>-9.9997663483009092E-7</v>
      </c>
      <c r="D140" s="173">
        <v>-9.9997663483009092E-7</v>
      </c>
      <c r="E140" s="173">
        <v>-9.9997663483009049E-7</v>
      </c>
      <c r="F140" s="173">
        <v>-9.9997663483009092E-7</v>
      </c>
      <c r="G140" s="173">
        <v>-9.9997663483009092E-7</v>
      </c>
      <c r="H140" s="173">
        <v>-9.999766348300816E-7</v>
      </c>
      <c r="I140" s="173">
        <v>-9.9997663483009092E-7</v>
      </c>
      <c r="J140" s="173">
        <v>-9.9997663483001045E-7</v>
      </c>
      <c r="K140" s="173">
        <v>-9.9997663483009092E-7</v>
      </c>
      <c r="L140" s="173">
        <v>-9.999766348300907E-7</v>
      </c>
      <c r="M140" s="173">
        <v>-9.999766348300907E-7</v>
      </c>
      <c r="N140" s="173">
        <v>-9.9997663483009092E-7</v>
      </c>
      <c r="O140" s="173">
        <v>-9.999766348300907E-7</v>
      </c>
      <c r="P140" s="173">
        <v>-9.999766348300907E-7</v>
      </c>
      <c r="Q140" s="173">
        <v>-9.9997663483009092E-7</v>
      </c>
      <c r="R140" s="173">
        <v>-9.9997663483009028E-7</v>
      </c>
      <c r="S140" s="173">
        <v>-9.9997663483009092E-7</v>
      </c>
      <c r="T140" s="173">
        <v>-9.9997663483009092E-7</v>
      </c>
      <c r="U140" s="173">
        <v>-9.9997663483009092E-7</v>
      </c>
      <c r="V140" s="173">
        <v>-9.9997663483009092E-7</v>
      </c>
      <c r="W140" s="173">
        <v>-9.999766348300907E-7</v>
      </c>
      <c r="X140" s="173">
        <v>-9.999766348300907E-7</v>
      </c>
      <c r="Y140" s="173">
        <v>-9.9997663483009092E-7</v>
      </c>
      <c r="Z140" s="173">
        <v>-9.999766348300907E-7</v>
      </c>
      <c r="AA140" s="173">
        <v>-9.9997663483009092E-7</v>
      </c>
      <c r="AB140" s="173">
        <v>-9.9997663483009092E-7</v>
      </c>
      <c r="AC140" s="173">
        <v>-9.9997663483009092E-7</v>
      </c>
      <c r="AD140" s="173">
        <v>-9.9997663483008943E-7</v>
      </c>
      <c r="AE140" s="173">
        <v>-9.9997663483009092E-7</v>
      </c>
      <c r="AF140" s="173">
        <v>-9.9997663483009092E-7</v>
      </c>
      <c r="AG140" s="173">
        <v>-9.9997663483009092E-7</v>
      </c>
      <c r="AH140" s="173">
        <v>-9.9997663483009092E-7</v>
      </c>
      <c r="AI140" s="173">
        <v>-9.999766348300907E-7</v>
      </c>
      <c r="AJ140" s="173">
        <v>-9.9997663483009092E-7</v>
      </c>
      <c r="AK140" s="173">
        <v>-9.999766348300907E-7</v>
      </c>
      <c r="AL140" s="173">
        <v>-9.999766348300907E-7</v>
      </c>
      <c r="AM140" s="173">
        <v>-9.9997663483009092E-7</v>
      </c>
      <c r="AN140" s="173">
        <v>-9.9997663483009092E-7</v>
      </c>
      <c r="AO140" s="173">
        <v>-9.9997663483009092E-7</v>
      </c>
      <c r="AP140" s="173">
        <v>-9.999766348300907E-7</v>
      </c>
      <c r="AQ140" s="173">
        <v>-9.9997663483008986E-7</v>
      </c>
      <c r="AR140" s="173">
        <v>-9.999766348300907E-7</v>
      </c>
      <c r="AS140" s="173">
        <v>-9.9997663483009092E-7</v>
      </c>
      <c r="AT140" s="173">
        <v>-9.9997663483009049E-7</v>
      </c>
      <c r="AU140" s="173">
        <v>-9.999766348300907E-7</v>
      </c>
      <c r="AV140" s="173">
        <v>-9.9997663483009092E-7</v>
      </c>
      <c r="AW140" s="173">
        <v>-9.999766348300835E-7</v>
      </c>
      <c r="AX140" s="173">
        <v>-9.9997663483009092E-7</v>
      </c>
      <c r="AY140" s="173">
        <v>-9.9997663483004581E-7</v>
      </c>
      <c r="AZ140" s="173">
        <v>-9.9997663483009092E-7</v>
      </c>
      <c r="BA140" s="173">
        <v>-9.9997663483009092E-7</v>
      </c>
      <c r="BB140" s="173">
        <v>-9.9997663483009092E-7</v>
      </c>
      <c r="BC140" s="173">
        <v>-9.9997663483008837E-7</v>
      </c>
      <c r="BD140" s="173">
        <v>-9.999766348300888E-7</v>
      </c>
      <c r="BE140" s="173">
        <v>-9.9997663483009092E-7</v>
      </c>
      <c r="BF140" s="173">
        <v>-9.9997663482911767E-7</v>
      </c>
      <c r="BG140" s="173">
        <v>-9.9997663481762471E-7</v>
      </c>
      <c r="BH140" s="173">
        <v>-9.9997663483009049E-7</v>
      </c>
      <c r="BI140" s="173">
        <v>-9.9997663479601986E-7</v>
      </c>
      <c r="BJ140" s="173">
        <v>-9.9997663483007969E-7</v>
      </c>
      <c r="BK140" s="173">
        <v>-9.9997663483009049E-7</v>
      </c>
      <c r="BL140" s="173">
        <v>-9.9997663483008732E-7</v>
      </c>
      <c r="BM140" s="173">
        <v>-9.999766348300907E-7</v>
      </c>
      <c r="BN140" s="173">
        <v>-9.9997663483009049E-7</v>
      </c>
      <c r="BO140" s="173">
        <v>-9.9997663482981944E-7</v>
      </c>
      <c r="BP140" s="173">
        <v>-9.9997663483009049E-7</v>
      </c>
      <c r="BQ140" s="173">
        <v>-9.9997663483007228E-7</v>
      </c>
      <c r="BR140" s="173">
        <v>-9.9997663483008901E-7</v>
      </c>
      <c r="BS140" s="173">
        <v>-9.9997663483008117E-7</v>
      </c>
      <c r="BT140" s="173">
        <v>-9.9997663483009007E-7</v>
      </c>
      <c r="BU140" s="173">
        <v>-9.9997663483009092E-7</v>
      </c>
      <c r="BV140" s="173">
        <v>-9.999766348300907E-7</v>
      </c>
      <c r="BW140" s="173">
        <v>-9.9997663483008732E-7</v>
      </c>
      <c r="BX140" s="173">
        <v>-9.9997663483004433E-7</v>
      </c>
      <c r="BY140" s="173">
        <v>-9.999766348300907E-7</v>
      </c>
      <c r="BZ140" s="173">
        <v>-9.9997663483009092E-7</v>
      </c>
      <c r="CA140" s="173">
        <v>-9.9997663483009092E-7</v>
      </c>
      <c r="CB140" s="173">
        <v>-9.9997663468617832E-7</v>
      </c>
      <c r="CC140" s="173">
        <v>-9.999766348300888E-7</v>
      </c>
      <c r="CD140" s="173">
        <v>-9.9997663483009092E-7</v>
      </c>
      <c r="CE140" s="173">
        <v>-9.9997663483009092E-7</v>
      </c>
      <c r="CF140" s="173">
        <v>-9.9997663481724947E-7</v>
      </c>
      <c r="CG140" s="173">
        <v>-9.9997663482787529E-7</v>
      </c>
      <c r="CH140" s="173">
        <v>-9.9997663482975231E-7</v>
      </c>
      <c r="CI140" s="173">
        <v>-9.9997663483009092E-7</v>
      </c>
      <c r="CJ140" s="173">
        <v>-9.9997663479510083E-7</v>
      </c>
      <c r="CK140" s="173">
        <v>-9.9997663483009092E-7</v>
      </c>
      <c r="CL140" s="173">
        <v>-9.9997663483009092E-7</v>
      </c>
      <c r="CM140" s="173">
        <v>-9.9997663482997657E-7</v>
      </c>
      <c r="CN140" s="173">
        <v>-9.9997663482835471E-7</v>
      </c>
      <c r="CO140" s="173">
        <v>-9.9997663483009092E-7</v>
      </c>
      <c r="CP140" s="173">
        <v>-9.9997663482956237E-7</v>
      </c>
      <c r="CQ140" s="173">
        <v>-9.9997663480194253E-7</v>
      </c>
      <c r="CR140" s="173">
        <v>-9.9997663483009092E-7</v>
      </c>
      <c r="CS140" s="173">
        <v>-9.999766348222565E-7</v>
      </c>
      <c r="CT140" s="173">
        <v>-9.9997663483009092E-7</v>
      </c>
      <c r="CU140" s="173">
        <v>-9.9997663483009092E-7</v>
      </c>
      <c r="CV140" s="173">
        <v>-9.9997663483009092E-7</v>
      </c>
      <c r="CW140" s="173">
        <v>-9.9997663483004751E-7</v>
      </c>
      <c r="CX140" s="174">
        <v>-9.9997483742561844E-7</v>
      </c>
      <c r="CZ140" s="180"/>
      <c r="DC140" s="180">
        <v>-9.9999999999999995E-7</v>
      </c>
      <c r="DE140" s="2">
        <f t="shared" si="416"/>
        <v>34</v>
      </c>
      <c r="DF140" s="141">
        <f t="shared" si="418"/>
        <v>-9.9999999999999995E-7</v>
      </c>
      <c r="DG140" s="142">
        <f t="shared" si="419"/>
        <v>-9.9999999999999995E-7</v>
      </c>
      <c r="DH140" s="141">
        <f t="shared" si="417"/>
        <v>-9.9997663483009092E-7</v>
      </c>
      <c r="DI140" s="142">
        <f t="shared" si="413"/>
        <v>-9.9997483742561844E-7</v>
      </c>
      <c r="DJ140" s="148">
        <f t="shared" si="414"/>
        <v>0</v>
      </c>
      <c r="DK140" s="149">
        <f t="shared" si="415"/>
        <v>0</v>
      </c>
    </row>
    <row r="141" spans="2:115" x14ac:dyDescent="0.2">
      <c r="B141" s="167" t="s">
        <v>36</v>
      </c>
      <c r="C141" s="172">
        <v>-9.9999999999999995E-7</v>
      </c>
      <c r="D141" s="173">
        <v>-9.9999999999999932E-7</v>
      </c>
      <c r="E141" s="173">
        <v>-9.9999999999999995E-7</v>
      </c>
      <c r="F141" s="173">
        <v>-9.9999999999999932E-7</v>
      </c>
      <c r="G141" s="173">
        <v>-1.0000875363402884E-6</v>
      </c>
      <c r="H141" s="173">
        <v>-9.9999999999999995E-7</v>
      </c>
      <c r="I141" s="173">
        <v>-1.0000875363402884E-6</v>
      </c>
      <c r="J141" s="173">
        <v>-1.000000000000033E-6</v>
      </c>
      <c r="K141" s="173">
        <v>-1.0000000000000019E-6</v>
      </c>
      <c r="L141" s="173">
        <v>-1.0000875363402881E-6</v>
      </c>
      <c r="M141" s="173">
        <v>-9.9999999999999974E-7</v>
      </c>
      <c r="N141" s="173">
        <v>-9.9999999999999826E-7</v>
      </c>
      <c r="O141" s="173">
        <v>-9.9999999999999995E-7</v>
      </c>
      <c r="P141" s="173">
        <v>-1.0000000000000004E-6</v>
      </c>
      <c r="Q141" s="173">
        <v>-1.0000000000000002E-6</v>
      </c>
      <c r="R141" s="173">
        <v>-9.9999999999999995E-7</v>
      </c>
      <c r="S141" s="173">
        <v>-1.0000000000000033E-6</v>
      </c>
      <c r="T141" s="173">
        <v>-1.0000000000000004E-6</v>
      </c>
      <c r="U141" s="173">
        <v>-9.9999999999999995E-7</v>
      </c>
      <c r="V141" s="173">
        <v>-9.9999999999999953E-7</v>
      </c>
      <c r="W141" s="173">
        <v>-9.9999999999999995E-7</v>
      </c>
      <c r="X141" s="173">
        <v>-9.9999999999999995E-7</v>
      </c>
      <c r="Y141" s="173">
        <v>-9.9999999999999995E-7</v>
      </c>
      <c r="Z141" s="173">
        <v>-9.9999999999999784E-7</v>
      </c>
      <c r="AA141" s="173">
        <v>-9.9999999999999995E-7</v>
      </c>
      <c r="AB141" s="173">
        <v>-9.9999999999999995E-7</v>
      </c>
      <c r="AC141" s="173">
        <v>-1.0000000000000006E-6</v>
      </c>
      <c r="AD141" s="173">
        <v>-1.0000000000000012E-6</v>
      </c>
      <c r="AE141" s="173">
        <v>-9.9999999999999995E-7</v>
      </c>
      <c r="AF141" s="173">
        <v>-9.9999999999999995E-7</v>
      </c>
      <c r="AG141" s="173">
        <v>-9.9999999999998725E-7</v>
      </c>
      <c r="AH141" s="173">
        <v>-9.9999999999999995E-7</v>
      </c>
      <c r="AI141" s="173">
        <v>-1.0000000000000002E-6</v>
      </c>
      <c r="AJ141" s="173">
        <v>-9.9999999999999974E-7</v>
      </c>
      <c r="AK141" s="173">
        <v>-9.9999999999999995E-7</v>
      </c>
      <c r="AL141" s="173">
        <v>-9.9999999999999995E-7</v>
      </c>
      <c r="AM141" s="173">
        <v>-9.9999999999999974E-7</v>
      </c>
      <c r="AN141" s="173">
        <v>-9.9999999999999995E-7</v>
      </c>
      <c r="AO141" s="173">
        <v>-1.0000000000000203E-6</v>
      </c>
      <c r="AP141" s="173">
        <v>-9.9999999999999995E-7</v>
      </c>
      <c r="AQ141" s="173">
        <v>-1.0000000000000004E-6</v>
      </c>
      <c r="AR141" s="173">
        <v>-9.9999999999999995E-7</v>
      </c>
      <c r="AS141" s="173">
        <v>-9.9999999999999995E-7</v>
      </c>
      <c r="AT141" s="173">
        <v>-9.9999999999999995E-7</v>
      </c>
      <c r="AU141" s="173">
        <v>-9.9999999999999995E-7</v>
      </c>
      <c r="AV141" s="173">
        <v>-9.9999999999999995E-7</v>
      </c>
      <c r="AW141" s="173">
        <v>-9.9999999999999995E-7</v>
      </c>
      <c r="AX141" s="173">
        <v>-9.9999999999999678E-7</v>
      </c>
      <c r="AY141" s="173">
        <v>-1.0000000000000599E-6</v>
      </c>
      <c r="AZ141" s="173">
        <v>-9.9999999999999424E-7</v>
      </c>
      <c r="BA141" s="173">
        <v>-9.9999999999999974E-7</v>
      </c>
      <c r="BB141" s="173">
        <v>-9.9999999999999911E-7</v>
      </c>
      <c r="BC141" s="173">
        <v>-9.9999999999999995E-7</v>
      </c>
      <c r="BD141" s="173">
        <v>-9.9999999999999995E-7</v>
      </c>
      <c r="BE141" s="173">
        <v>-1.0000000000095068E-6</v>
      </c>
      <c r="BF141" s="173">
        <v>-9.9999999999064575E-7</v>
      </c>
      <c r="BG141" s="173">
        <v>-1.0000000000005662E-6</v>
      </c>
      <c r="BH141" s="173">
        <v>-9.9999999999999995E-7</v>
      </c>
      <c r="BI141" s="173">
        <v>-9.9999999998329244E-7</v>
      </c>
      <c r="BJ141" s="173">
        <v>-1.0000000000000002E-6</v>
      </c>
      <c r="BK141" s="173">
        <v>-9.9999999999999995E-7</v>
      </c>
      <c r="BL141" s="173">
        <v>-9.9999999999999995E-7</v>
      </c>
      <c r="BM141" s="173">
        <v>-9.9999999999999995E-7</v>
      </c>
      <c r="BN141" s="173">
        <v>-9.9999999999999995E-7</v>
      </c>
      <c r="BO141" s="173">
        <v>-9.9999999999992944E-7</v>
      </c>
      <c r="BP141" s="173">
        <v>-9.9999999999999995E-7</v>
      </c>
      <c r="BQ141" s="173">
        <v>-9.9999999999999995E-7</v>
      </c>
      <c r="BR141" s="173">
        <v>-9.9999999999999974E-7</v>
      </c>
      <c r="BS141" s="173">
        <v>-9.9999999999999995E-7</v>
      </c>
      <c r="BT141" s="173">
        <v>-9.9999999999999995E-7</v>
      </c>
      <c r="BU141" s="173">
        <v>-9.9999999999999995E-7</v>
      </c>
      <c r="BV141" s="173">
        <v>-9.9999999999999995E-7</v>
      </c>
      <c r="BW141" s="173">
        <v>-9.9999999999999995E-7</v>
      </c>
      <c r="BX141" s="173">
        <v>-1.0000000000000002E-6</v>
      </c>
      <c r="BY141" s="173">
        <v>-9.9999999999999995E-7</v>
      </c>
      <c r="BZ141" s="173">
        <v>-9.9999999999694492E-7</v>
      </c>
      <c r="CA141" s="173">
        <v>-9.9999999999999868E-7</v>
      </c>
      <c r="CB141" s="173">
        <v>-9.9999999999595114E-7</v>
      </c>
      <c r="CC141" s="173">
        <v>-9.9999999999999995E-7</v>
      </c>
      <c r="CD141" s="173">
        <v>-9.9999999999999995E-7</v>
      </c>
      <c r="CE141" s="173">
        <v>-9.9999999999999424E-7</v>
      </c>
      <c r="CF141" s="173">
        <v>-1.0000000000061877E-6</v>
      </c>
      <c r="CG141" s="173">
        <v>-9.9999999999979667E-7</v>
      </c>
      <c r="CH141" s="173">
        <v>-1.0000000000000194E-6</v>
      </c>
      <c r="CI141" s="173">
        <v>-9.9999999999999995E-7</v>
      </c>
      <c r="CJ141" s="173">
        <v>-9.9999999998470953E-7</v>
      </c>
      <c r="CK141" s="173">
        <v>-1.0000000000000027E-6</v>
      </c>
      <c r="CL141" s="173">
        <v>-1.0000000000000006E-6</v>
      </c>
      <c r="CM141" s="173">
        <v>-9.9999999999994278E-7</v>
      </c>
      <c r="CN141" s="173">
        <v>-9.9999999999934139E-7</v>
      </c>
      <c r="CO141" s="173">
        <v>-9.9999999999999868E-7</v>
      </c>
      <c r="CP141" s="173">
        <v>-1.0000000000341314E-6</v>
      </c>
      <c r="CQ141" s="173">
        <v>-1.0000000000032653E-6</v>
      </c>
      <c r="CR141" s="173">
        <v>-9.9999999999926537E-7</v>
      </c>
      <c r="CS141" s="173">
        <v>-9.9999999999253399E-7</v>
      </c>
      <c r="CT141" s="173">
        <v>-9.9999999999998068E-7</v>
      </c>
      <c r="CU141" s="173">
        <v>-9.9999999999994998E-7</v>
      </c>
      <c r="CV141" s="173">
        <v>-9.9999999999993135E-7</v>
      </c>
      <c r="CW141" s="173">
        <v>-9.9999999999994765E-7</v>
      </c>
      <c r="CX141" s="174">
        <v>-9.9999075345635803E-7</v>
      </c>
      <c r="CZ141" s="180"/>
      <c r="DC141" s="180">
        <v>-9.9999999999999995E-7</v>
      </c>
      <c r="DE141" s="2">
        <f t="shared" si="416"/>
        <v>35</v>
      </c>
      <c r="DF141" s="141">
        <f t="shared" si="418"/>
        <v>-9.9999999999999995E-7</v>
      </c>
      <c r="DG141" s="142">
        <f t="shared" si="419"/>
        <v>-9.9999999999999995E-7</v>
      </c>
      <c r="DH141" s="141">
        <f t="shared" si="417"/>
        <v>-1.0000875363402884E-6</v>
      </c>
      <c r="DI141" s="142">
        <f t="shared" si="413"/>
        <v>-9.9999075345635803E-7</v>
      </c>
      <c r="DJ141" s="148">
        <f t="shared" si="414"/>
        <v>0</v>
      </c>
      <c r="DK141" s="149">
        <f t="shared" si="415"/>
        <v>0</v>
      </c>
    </row>
    <row r="142" spans="2:115" x14ac:dyDescent="0.2">
      <c r="B142" s="167" t="s">
        <v>37</v>
      </c>
      <c r="C142" s="172">
        <v>-9.9999999999999932E-7</v>
      </c>
      <c r="D142" s="173">
        <v>-9.9999999999999932E-7</v>
      </c>
      <c r="E142" s="173">
        <v>-9.9999999999999911E-7</v>
      </c>
      <c r="F142" s="173">
        <v>-9.9999999999999995E-7</v>
      </c>
      <c r="G142" s="173">
        <v>-9.9999999999999995E-7</v>
      </c>
      <c r="H142" s="173">
        <v>-1.0000000000000042E-6</v>
      </c>
      <c r="I142" s="173">
        <v>-1.0000000000000002E-6</v>
      </c>
      <c r="J142" s="173">
        <v>-9.9999999999998407E-7</v>
      </c>
      <c r="K142" s="173">
        <v>-9.9999999999999699E-7</v>
      </c>
      <c r="L142" s="173">
        <v>-9.9999999999999974E-7</v>
      </c>
      <c r="M142" s="173">
        <v>-1.0000000000000002E-6</v>
      </c>
      <c r="N142" s="173">
        <v>-9.9999999999997327E-7</v>
      </c>
      <c r="O142" s="173">
        <v>-9.9999999999999995E-7</v>
      </c>
      <c r="P142" s="173">
        <v>-9.9999999999999995E-7</v>
      </c>
      <c r="Q142" s="173">
        <v>-1.0000000000000002E-6</v>
      </c>
      <c r="R142" s="173">
        <v>-9.9999999999999995E-7</v>
      </c>
      <c r="S142" s="173">
        <v>-9.9999999999998556E-7</v>
      </c>
      <c r="T142" s="173">
        <v>-9.9999999999999995E-7</v>
      </c>
      <c r="U142" s="173">
        <v>-9.9999999999999995E-7</v>
      </c>
      <c r="V142" s="173">
        <v>-9.9999999999999868E-7</v>
      </c>
      <c r="W142" s="173">
        <v>-9.9999999999999974E-7</v>
      </c>
      <c r="X142" s="173">
        <v>-9.9999999999999805E-7</v>
      </c>
      <c r="Y142" s="173">
        <v>-9.9999999999999953E-7</v>
      </c>
      <c r="Z142" s="173">
        <v>-1.0000000000000021E-6</v>
      </c>
      <c r="AA142" s="173">
        <v>-1.0000000000000002E-6</v>
      </c>
      <c r="AB142" s="173">
        <v>-9.9999999999999995E-7</v>
      </c>
      <c r="AC142" s="173">
        <v>-1.0000000000000184E-6</v>
      </c>
      <c r="AD142" s="173">
        <v>-9.9999999999999911E-7</v>
      </c>
      <c r="AE142" s="173">
        <v>-1.000000000000001E-6</v>
      </c>
      <c r="AF142" s="173">
        <v>-9.9999999999999974E-7</v>
      </c>
      <c r="AG142" s="173">
        <v>-1.0000000000000213E-6</v>
      </c>
      <c r="AH142" s="173">
        <v>-9.9999999999999995E-7</v>
      </c>
      <c r="AI142" s="173">
        <v>-1.0000000000000019E-6</v>
      </c>
      <c r="AJ142" s="173">
        <v>-9.9999999999999995E-7</v>
      </c>
      <c r="AK142" s="173">
        <v>-1.0000000000000002E-6</v>
      </c>
      <c r="AL142" s="173">
        <v>-9.9999999999999953E-7</v>
      </c>
      <c r="AM142" s="173">
        <v>-1.0000000000000002E-6</v>
      </c>
      <c r="AN142" s="173">
        <v>-9.9999999999999318E-7</v>
      </c>
      <c r="AO142" s="173">
        <v>-1.0000000000000067E-6</v>
      </c>
      <c r="AP142" s="173">
        <v>-9.9999999999999995E-7</v>
      </c>
      <c r="AQ142" s="173">
        <v>-1.0000000000000002E-6</v>
      </c>
      <c r="AR142" s="173">
        <v>-9.9999999999999995E-7</v>
      </c>
      <c r="AS142" s="173">
        <v>-9.9999999999999974E-7</v>
      </c>
      <c r="AT142" s="173">
        <v>-9.9999999999999974E-7</v>
      </c>
      <c r="AU142" s="173">
        <v>-1.0000000000000002E-6</v>
      </c>
      <c r="AV142" s="173">
        <v>-9.9999999999999995E-7</v>
      </c>
      <c r="AW142" s="173">
        <v>-9.9999999999999995E-7</v>
      </c>
      <c r="AX142" s="173">
        <v>-1.0000000000000268E-6</v>
      </c>
      <c r="AY142" s="173">
        <v>-1.0000000000000607E-6</v>
      </c>
      <c r="AZ142" s="173">
        <v>-9.9999999999999995E-7</v>
      </c>
      <c r="BA142" s="173">
        <v>-9.9999999999999995E-7</v>
      </c>
      <c r="BB142" s="173">
        <v>-9.9999999999999953E-7</v>
      </c>
      <c r="BC142" s="173">
        <v>-9.9999999999999995E-7</v>
      </c>
      <c r="BD142" s="173">
        <v>-9.9999999999999995E-7</v>
      </c>
      <c r="BE142" s="173">
        <v>-9.9999999995656326E-7</v>
      </c>
      <c r="BF142" s="173">
        <v>-9.9999999999046152E-7</v>
      </c>
      <c r="BG142" s="173">
        <v>-9.9999999998914036E-7</v>
      </c>
      <c r="BH142" s="173">
        <v>-9.9999999999999995E-7</v>
      </c>
      <c r="BI142" s="173">
        <v>-9.9999999998503161E-7</v>
      </c>
      <c r="BJ142" s="173">
        <v>-1.0000000000000004E-6</v>
      </c>
      <c r="BK142" s="173">
        <v>-9.9999999999999995E-7</v>
      </c>
      <c r="BL142" s="173">
        <v>-9.9999999999999995E-7</v>
      </c>
      <c r="BM142" s="173">
        <v>-9.9999999999999995E-7</v>
      </c>
      <c r="BN142" s="173">
        <v>-9.9999999999999995E-7</v>
      </c>
      <c r="BO142" s="173">
        <v>-1.0000000000000281E-6</v>
      </c>
      <c r="BP142" s="173">
        <v>-9.9999999999999995E-7</v>
      </c>
      <c r="BQ142" s="173">
        <v>-1.0000000000000002E-6</v>
      </c>
      <c r="BR142" s="173">
        <v>-9.9999999999999932E-7</v>
      </c>
      <c r="BS142" s="173">
        <v>-9.9999999999999974E-7</v>
      </c>
      <c r="BT142" s="173">
        <v>-9.9999999999999995E-7</v>
      </c>
      <c r="BU142" s="173">
        <v>-1.0000000000000006E-6</v>
      </c>
      <c r="BV142" s="173">
        <v>-9.9999999999999974E-7</v>
      </c>
      <c r="BW142" s="173">
        <v>-9.9999999999999995E-7</v>
      </c>
      <c r="BX142" s="173">
        <v>-1.0000000000000006E-6</v>
      </c>
      <c r="BY142" s="173">
        <v>-9.9999999999999995E-7</v>
      </c>
      <c r="BZ142" s="173">
        <v>-1.0000000000023185E-6</v>
      </c>
      <c r="CA142" s="173">
        <v>-9.9999999999999953E-7</v>
      </c>
      <c r="CB142" s="173">
        <v>-1.0000000000027494E-6</v>
      </c>
      <c r="CC142" s="173">
        <v>-9.9999999999999995E-7</v>
      </c>
      <c r="CD142" s="173">
        <v>-9.9999999999999995E-7</v>
      </c>
      <c r="CE142" s="173">
        <v>-1.0000000000000006E-6</v>
      </c>
      <c r="CF142" s="173">
        <v>-9.9999999999123698E-7</v>
      </c>
      <c r="CG142" s="173">
        <v>-9.9999999999963488E-7</v>
      </c>
      <c r="CH142" s="173">
        <v>-1.0000000000000205E-6</v>
      </c>
      <c r="CI142" s="173">
        <v>-9.9999999999999995E-7</v>
      </c>
      <c r="CJ142" s="173">
        <v>-1.0000000000171831E-6</v>
      </c>
      <c r="CK142" s="173">
        <v>-9.9999999999999021E-7</v>
      </c>
      <c r="CL142" s="173">
        <v>-1.0000000000000002E-6</v>
      </c>
      <c r="CM142" s="173">
        <v>-9.9999999999998852E-7</v>
      </c>
      <c r="CN142" s="173">
        <v>-9.9999999999964081E-7</v>
      </c>
      <c r="CO142" s="173">
        <v>-9.9999999999999868E-7</v>
      </c>
      <c r="CP142" s="173">
        <v>-9.9999999996928188E-7</v>
      </c>
      <c r="CQ142" s="173">
        <v>-1.0000000000041868E-6</v>
      </c>
      <c r="CR142" s="173">
        <v>-9.9999999999603012E-7</v>
      </c>
      <c r="CS142" s="173">
        <v>-9.9999999999612859E-7</v>
      </c>
      <c r="CT142" s="173">
        <v>-1.0000000000000097E-6</v>
      </c>
      <c r="CU142" s="173">
        <v>-9.9999999999999995E-7</v>
      </c>
      <c r="CV142" s="173">
        <v>-9.9999999999999995E-7</v>
      </c>
      <c r="CW142" s="173">
        <v>-1.0000000000000347E-6</v>
      </c>
      <c r="CX142" s="174">
        <v>-9.9998987339135671E-7</v>
      </c>
      <c r="CZ142" s="180"/>
      <c r="DC142" s="180">
        <v>-9.9999999999999995E-7</v>
      </c>
      <c r="DE142" s="2">
        <f t="shared" si="416"/>
        <v>36</v>
      </c>
      <c r="DF142" s="141">
        <f t="shared" si="418"/>
        <v>-9.9999999999999995E-7</v>
      </c>
      <c r="DG142" s="142">
        <f t="shared" si="419"/>
        <v>-9.9999999999999995E-7</v>
      </c>
      <c r="DH142" s="141">
        <f t="shared" si="417"/>
        <v>-1.0000000000171831E-6</v>
      </c>
      <c r="DI142" s="142">
        <f t="shared" si="413"/>
        <v>-9.9998987339135671E-7</v>
      </c>
      <c r="DJ142" s="148">
        <f t="shared" si="414"/>
        <v>0</v>
      </c>
      <c r="DK142" s="149">
        <f t="shared" si="415"/>
        <v>0</v>
      </c>
    </row>
    <row r="143" spans="2:115" x14ac:dyDescent="0.2">
      <c r="B143" s="167" t="s">
        <v>38</v>
      </c>
      <c r="C143" s="172">
        <v>-9.9983913059986662E-7</v>
      </c>
      <c r="D143" s="173">
        <v>-9.9983913059986662E-7</v>
      </c>
      <c r="E143" s="173">
        <v>-9.9983913059986662E-7</v>
      </c>
      <c r="F143" s="173">
        <v>-9.9983913059986662E-7</v>
      </c>
      <c r="G143" s="173">
        <v>-9.9983913059986662E-7</v>
      </c>
      <c r="H143" s="173">
        <v>-9.9983913059986662E-7</v>
      </c>
      <c r="I143" s="173">
        <v>-9.9983913059986662E-7</v>
      </c>
      <c r="J143" s="173">
        <v>-9.9983913059986662E-7</v>
      </c>
      <c r="K143" s="173">
        <v>-9.9983913059986662E-7</v>
      </c>
      <c r="L143" s="173">
        <v>-9.9983913059986662E-7</v>
      </c>
      <c r="M143" s="173">
        <v>-9.9983913059986662E-7</v>
      </c>
      <c r="N143" s="173">
        <v>-9.9983913059986662E-7</v>
      </c>
      <c r="O143" s="173">
        <v>-9.9983913059986662E-7</v>
      </c>
      <c r="P143" s="173">
        <v>-9.9983913059986662E-7</v>
      </c>
      <c r="Q143" s="173">
        <v>-9.9983913059986662E-7</v>
      </c>
      <c r="R143" s="173">
        <v>-9.9983913059986662E-7</v>
      </c>
      <c r="S143" s="173">
        <v>-9.9983913059986662E-7</v>
      </c>
      <c r="T143" s="173">
        <v>-9.9983913059986662E-7</v>
      </c>
      <c r="U143" s="173">
        <v>-9.9983913059986662E-7</v>
      </c>
      <c r="V143" s="173">
        <v>-9.9983913059986662E-7</v>
      </c>
      <c r="W143" s="173">
        <v>-9.9983913059986662E-7</v>
      </c>
      <c r="X143" s="173">
        <v>-9.9983913059986662E-7</v>
      </c>
      <c r="Y143" s="173">
        <v>-9.9983913059986662E-7</v>
      </c>
      <c r="Z143" s="173">
        <v>-9.9983913059986662E-7</v>
      </c>
      <c r="AA143" s="173">
        <v>-9.9983913059986662E-7</v>
      </c>
      <c r="AB143" s="173">
        <v>-9.9983913059986662E-7</v>
      </c>
      <c r="AC143" s="173">
        <v>-9.9983913059986662E-7</v>
      </c>
      <c r="AD143" s="173">
        <v>-9.9983913059986662E-7</v>
      </c>
      <c r="AE143" s="173">
        <v>-9.9983913059986662E-7</v>
      </c>
      <c r="AF143" s="173">
        <v>-9.9983913059986662E-7</v>
      </c>
      <c r="AG143" s="173">
        <v>-9.9983913059986662E-7</v>
      </c>
      <c r="AH143" s="173">
        <v>-9.9983913059986662E-7</v>
      </c>
      <c r="AI143" s="173">
        <v>-9.9983913059986662E-7</v>
      </c>
      <c r="AJ143" s="173">
        <v>-9.9983913059986662E-7</v>
      </c>
      <c r="AK143" s="173">
        <v>-9.9983913059986662E-7</v>
      </c>
      <c r="AL143" s="173">
        <v>-9.9983913059986662E-7</v>
      </c>
      <c r="AM143" s="173">
        <v>-9.9983913059986662E-7</v>
      </c>
      <c r="AN143" s="173">
        <v>-9.9983913059986662E-7</v>
      </c>
      <c r="AO143" s="173">
        <v>-9.9983913059986662E-7</v>
      </c>
      <c r="AP143" s="173">
        <v>-9.9983913059986662E-7</v>
      </c>
      <c r="AQ143" s="173">
        <v>-9.9983913059986662E-7</v>
      </c>
      <c r="AR143" s="173">
        <v>-9.9983913059986662E-7</v>
      </c>
      <c r="AS143" s="173">
        <v>-9.9983913059986662E-7</v>
      </c>
      <c r="AT143" s="173">
        <v>-9.9983913059986662E-7</v>
      </c>
      <c r="AU143" s="173">
        <v>-9.9983913059986662E-7</v>
      </c>
      <c r="AV143" s="173">
        <v>-9.9983913059986662E-7</v>
      </c>
      <c r="AW143" s="173">
        <v>-9.9983913059986662E-7</v>
      </c>
      <c r="AX143" s="173">
        <v>-9.9983913059986662E-7</v>
      </c>
      <c r="AY143" s="173">
        <v>-9.9983913059986662E-7</v>
      </c>
      <c r="AZ143" s="173">
        <v>-9.9983913059986662E-7</v>
      </c>
      <c r="BA143" s="173">
        <v>-9.9983913059986641E-7</v>
      </c>
      <c r="BB143" s="173">
        <v>-9.9983913059986112E-7</v>
      </c>
      <c r="BC143" s="173">
        <v>-9.9983913059986662E-7</v>
      </c>
      <c r="BD143" s="173">
        <v>-9.9983913059986556E-7</v>
      </c>
      <c r="BE143" s="173">
        <v>-9.9983913059954178E-7</v>
      </c>
      <c r="BF143" s="173">
        <v>-9.9983913057827999E-7</v>
      </c>
      <c r="BG143" s="173">
        <v>-9.9983913059674382E-7</v>
      </c>
      <c r="BH143" s="173">
        <v>-9.9983913059986599E-7</v>
      </c>
      <c r="BI143" s="173">
        <v>-9.998391305604942E-7</v>
      </c>
      <c r="BJ143" s="173">
        <v>-9.998391305998662E-7</v>
      </c>
      <c r="BK143" s="173">
        <v>-9.9983913059986641E-7</v>
      </c>
      <c r="BL143" s="173">
        <v>-9.9983913059986493E-7</v>
      </c>
      <c r="BM143" s="173">
        <v>-9.9983913059986641E-7</v>
      </c>
      <c r="BN143" s="173">
        <v>-9.998391305998662E-7</v>
      </c>
      <c r="BO143" s="173">
        <v>-9.9983913059986662E-7</v>
      </c>
      <c r="BP143" s="173">
        <v>-9.9983913059986641E-7</v>
      </c>
      <c r="BQ143" s="173">
        <v>-9.9983913059985688E-7</v>
      </c>
      <c r="BR143" s="173">
        <v>-9.9983913059986556E-7</v>
      </c>
      <c r="BS143" s="173">
        <v>-9.9983913059985688E-7</v>
      </c>
      <c r="BT143" s="173">
        <v>-9.9983913059986577E-7</v>
      </c>
      <c r="BU143" s="173">
        <v>-9.9983913059986662E-7</v>
      </c>
      <c r="BV143" s="173">
        <v>-9.9983913059986641E-7</v>
      </c>
      <c r="BW143" s="173">
        <v>-9.9983913059986302E-7</v>
      </c>
      <c r="BX143" s="173">
        <v>-9.9983913059984206E-7</v>
      </c>
      <c r="BY143" s="173">
        <v>-9.9983913059986641E-7</v>
      </c>
      <c r="BZ143" s="173">
        <v>-9.9983913059098972E-7</v>
      </c>
      <c r="CA143" s="173">
        <v>-9.998391305998501E-7</v>
      </c>
      <c r="CB143" s="173">
        <v>-9.9983913059275917E-7</v>
      </c>
      <c r="CC143" s="173">
        <v>-9.9983913059986599E-7</v>
      </c>
      <c r="CD143" s="173">
        <v>-9.9983913059986662E-7</v>
      </c>
      <c r="CE143" s="173">
        <v>-9.9983913059986662E-7</v>
      </c>
      <c r="CF143" s="173">
        <v>-9.998391305912235E-7</v>
      </c>
      <c r="CG143" s="173">
        <v>-9.9983913059935078E-7</v>
      </c>
      <c r="CH143" s="173">
        <v>-9.9983913059986662E-7</v>
      </c>
      <c r="CI143" s="173">
        <v>-9.9983913059986662E-7</v>
      </c>
      <c r="CJ143" s="173">
        <v>-9.99839130589356E-7</v>
      </c>
      <c r="CK143" s="173">
        <v>-9.9983913059986662E-7</v>
      </c>
      <c r="CL143" s="173">
        <v>-9.9983913059986662E-7</v>
      </c>
      <c r="CM143" s="173">
        <v>-9.9983913059986662E-7</v>
      </c>
      <c r="CN143" s="173">
        <v>-9.9983913059932791E-7</v>
      </c>
      <c r="CO143" s="173">
        <v>-9.9983913059984862E-7</v>
      </c>
      <c r="CP143" s="173">
        <v>-9.9983913057694295E-7</v>
      </c>
      <c r="CQ143" s="173">
        <v>-9.9983913053864202E-7</v>
      </c>
      <c r="CR143" s="173">
        <v>-9.9983913059986662E-7</v>
      </c>
      <c r="CS143" s="173">
        <v>-9.9983913059986662E-7</v>
      </c>
      <c r="CT143" s="173">
        <v>-9.9983913059986662E-7</v>
      </c>
      <c r="CU143" s="173">
        <v>-9.9983913059986662E-7</v>
      </c>
      <c r="CV143" s="173">
        <v>-9.9983913059986662E-7</v>
      </c>
      <c r="CW143" s="173">
        <v>-9.9983913059986662E-7</v>
      </c>
      <c r="CX143" s="174">
        <v>-9.9983718014183241E-7</v>
      </c>
      <c r="CZ143" s="180"/>
      <c r="DC143" s="180">
        <v>-9.9999999999999995E-7</v>
      </c>
      <c r="DE143" s="2">
        <f t="shared" si="416"/>
        <v>37</v>
      </c>
      <c r="DF143" s="141">
        <f t="shared" si="418"/>
        <v>-9.9999999999999995E-7</v>
      </c>
      <c r="DG143" s="142">
        <f t="shared" si="419"/>
        <v>-9.9999999999999995E-7</v>
      </c>
      <c r="DH143" s="141">
        <f t="shared" si="417"/>
        <v>-9.9983913059986662E-7</v>
      </c>
      <c r="DI143" s="142">
        <f t="shared" si="413"/>
        <v>-9.9983718014183241E-7</v>
      </c>
      <c r="DJ143" s="148">
        <f t="shared" si="414"/>
        <v>0</v>
      </c>
      <c r="DK143" s="149">
        <f t="shared" si="415"/>
        <v>0</v>
      </c>
    </row>
    <row r="144" spans="2:115" x14ac:dyDescent="0.2">
      <c r="B144" s="167" t="s">
        <v>39</v>
      </c>
      <c r="C144" s="172">
        <v>-9.9999996905353328E-7</v>
      </c>
      <c r="D144" s="173">
        <v>-9.9999996905353328E-7</v>
      </c>
      <c r="E144" s="173">
        <v>-9.9999996905353328E-7</v>
      </c>
      <c r="F144" s="173">
        <v>-9.9999996905353328E-7</v>
      </c>
      <c r="G144" s="173">
        <v>-9.9999996905353328E-7</v>
      </c>
      <c r="H144" s="173">
        <v>-9.9999996905353328E-7</v>
      </c>
      <c r="I144" s="173">
        <v>-9.9999996905353328E-7</v>
      </c>
      <c r="J144" s="173">
        <v>-9.9999996905353328E-7</v>
      </c>
      <c r="K144" s="173">
        <v>-9.9999996905353328E-7</v>
      </c>
      <c r="L144" s="173">
        <v>-9.9999996905353328E-7</v>
      </c>
      <c r="M144" s="173">
        <v>-9.9999996905353328E-7</v>
      </c>
      <c r="N144" s="173">
        <v>-9.9999996905353328E-7</v>
      </c>
      <c r="O144" s="173">
        <v>-9.9999996905353328E-7</v>
      </c>
      <c r="P144" s="173">
        <v>-9.9999996905353328E-7</v>
      </c>
      <c r="Q144" s="173">
        <v>-9.9999996905353328E-7</v>
      </c>
      <c r="R144" s="173">
        <v>-9.9999996905353328E-7</v>
      </c>
      <c r="S144" s="173">
        <v>-9.9999996905353328E-7</v>
      </c>
      <c r="T144" s="173">
        <v>-9.9999996905353328E-7</v>
      </c>
      <c r="U144" s="173">
        <v>-9.9999996905353328E-7</v>
      </c>
      <c r="V144" s="173">
        <v>-9.9999996905353328E-7</v>
      </c>
      <c r="W144" s="173">
        <v>-9.9999996905353328E-7</v>
      </c>
      <c r="X144" s="173">
        <v>-9.9999996905352714E-7</v>
      </c>
      <c r="Y144" s="173">
        <v>-9.9999996905353307E-7</v>
      </c>
      <c r="Z144" s="173">
        <v>-9.9999996905353095E-7</v>
      </c>
      <c r="AA144" s="173">
        <v>-9.9999996905353307E-7</v>
      </c>
      <c r="AB144" s="173">
        <v>-9.9999996905353328E-7</v>
      </c>
      <c r="AC144" s="173">
        <v>-9.9999996905353328E-7</v>
      </c>
      <c r="AD144" s="173">
        <v>-9.9999996905353328E-7</v>
      </c>
      <c r="AE144" s="173">
        <v>-9.9999996905353307E-7</v>
      </c>
      <c r="AF144" s="173">
        <v>-9.9999996905353328E-7</v>
      </c>
      <c r="AG144" s="173">
        <v>-9.9999996905353328E-7</v>
      </c>
      <c r="AH144" s="173">
        <v>-9.9999996905353328E-7</v>
      </c>
      <c r="AI144" s="173">
        <v>-9.9999996905353285E-7</v>
      </c>
      <c r="AJ144" s="173">
        <v>-9.9999996905353307E-7</v>
      </c>
      <c r="AK144" s="173">
        <v>-9.9999996905353307E-7</v>
      </c>
      <c r="AL144" s="173">
        <v>-9.9999996905353307E-7</v>
      </c>
      <c r="AM144" s="173">
        <v>-9.9999996905353285E-7</v>
      </c>
      <c r="AN144" s="173">
        <v>-9.9999996905353328E-7</v>
      </c>
      <c r="AO144" s="173">
        <v>-9.9999996905353328E-7</v>
      </c>
      <c r="AP144" s="173">
        <v>-9.9999996905353328E-7</v>
      </c>
      <c r="AQ144" s="173">
        <v>-9.9999996905353328E-7</v>
      </c>
      <c r="AR144" s="173">
        <v>-9.9999996905353328E-7</v>
      </c>
      <c r="AS144" s="173">
        <v>-9.9999996905353328E-7</v>
      </c>
      <c r="AT144" s="173">
        <v>-9.9999996905353328E-7</v>
      </c>
      <c r="AU144" s="173">
        <v>-9.9999996905353328E-7</v>
      </c>
      <c r="AV144" s="173">
        <v>-9.9999996905353328E-7</v>
      </c>
      <c r="AW144" s="173">
        <v>-9.9999996905353328E-7</v>
      </c>
      <c r="AX144" s="173">
        <v>-9.9999996905353328E-7</v>
      </c>
      <c r="AY144" s="173">
        <v>-9.9999996905346276E-7</v>
      </c>
      <c r="AZ144" s="173">
        <v>-9.9999996905353328E-7</v>
      </c>
      <c r="BA144" s="173">
        <v>-9.9999996905353307E-7</v>
      </c>
      <c r="BB144" s="173">
        <v>-9.9999996905353328E-7</v>
      </c>
      <c r="BC144" s="173">
        <v>-9.9999996905353285E-7</v>
      </c>
      <c r="BD144" s="173">
        <v>-9.999999690535318E-7</v>
      </c>
      <c r="BE144" s="173">
        <v>-9.9999996905353328E-7</v>
      </c>
      <c r="BF144" s="173">
        <v>-9.9999996898626192E-7</v>
      </c>
      <c r="BG144" s="173">
        <v>-9.9999996905271123E-7</v>
      </c>
      <c r="BH144" s="173">
        <v>-9.9999996905353285E-7</v>
      </c>
      <c r="BI144" s="173">
        <v>-9.9999996904373438E-7</v>
      </c>
      <c r="BJ144" s="173">
        <v>-9.9999996905353264E-7</v>
      </c>
      <c r="BK144" s="173">
        <v>-9.9999996905353328E-7</v>
      </c>
      <c r="BL144" s="173">
        <v>-9.9999996905353285E-7</v>
      </c>
      <c r="BM144" s="173">
        <v>-9.9999996905353307E-7</v>
      </c>
      <c r="BN144" s="173">
        <v>-9.9999996905353285E-7</v>
      </c>
      <c r="BO144" s="173">
        <v>-9.999999690533374E-7</v>
      </c>
      <c r="BP144" s="173">
        <v>-9.9999996905353328E-7</v>
      </c>
      <c r="BQ144" s="173">
        <v>-9.9999996905353243E-7</v>
      </c>
      <c r="BR144" s="173">
        <v>-9.9999996905350236E-7</v>
      </c>
      <c r="BS144" s="173">
        <v>-9.9999996905352608E-7</v>
      </c>
      <c r="BT144" s="173">
        <v>-9.9999996905353264E-7</v>
      </c>
      <c r="BU144" s="173">
        <v>-9.9999996905353328E-7</v>
      </c>
      <c r="BV144" s="173">
        <v>-9.9999996905352417E-7</v>
      </c>
      <c r="BW144" s="173">
        <v>-9.9999996905353074E-7</v>
      </c>
      <c r="BX144" s="173">
        <v>-9.9999996905353328E-7</v>
      </c>
      <c r="BY144" s="173">
        <v>-9.9999996905353328E-7</v>
      </c>
      <c r="BZ144" s="173">
        <v>-9.9999996905353328E-7</v>
      </c>
      <c r="CA144" s="173">
        <v>-9.9999996905350448E-7</v>
      </c>
      <c r="CB144" s="173">
        <v>-9.9999996905353328E-7</v>
      </c>
      <c r="CC144" s="173">
        <v>-9.9999996905353328E-7</v>
      </c>
      <c r="CD144" s="173">
        <v>-9.9999996905353328E-7</v>
      </c>
      <c r="CE144" s="173">
        <v>-9.9999996905325376E-7</v>
      </c>
      <c r="CF144" s="173">
        <v>-9.9999996904321176E-7</v>
      </c>
      <c r="CG144" s="173">
        <v>-9.9999996905312734E-7</v>
      </c>
      <c r="CH144" s="173">
        <v>-9.9999996905296047E-7</v>
      </c>
      <c r="CI144" s="173">
        <v>-9.9999996905353328E-7</v>
      </c>
      <c r="CJ144" s="173">
        <v>-9.9999996905353328E-7</v>
      </c>
      <c r="CK144" s="173">
        <v>-9.9999996905348034E-7</v>
      </c>
      <c r="CL144" s="173">
        <v>-9.9999996905353328E-7</v>
      </c>
      <c r="CM144" s="173">
        <v>-9.9999996905349897E-7</v>
      </c>
      <c r="CN144" s="173">
        <v>-9.9999996905287471E-7</v>
      </c>
      <c r="CO144" s="173">
        <v>-9.9999996905352735E-7</v>
      </c>
      <c r="CP144" s="173">
        <v>-9.9999996905353328E-7</v>
      </c>
      <c r="CQ144" s="173">
        <v>-9.9999996905188008E-7</v>
      </c>
      <c r="CR144" s="173">
        <v>-9.9999996905353328E-7</v>
      </c>
      <c r="CS144" s="173">
        <v>-9.9999996904139678E-7</v>
      </c>
      <c r="CT144" s="173">
        <v>-9.9999996905353328E-7</v>
      </c>
      <c r="CU144" s="173">
        <v>-9.9999996905353328E-7</v>
      </c>
      <c r="CV144" s="173">
        <v>-9.9999996905353328E-7</v>
      </c>
      <c r="CW144" s="173">
        <v>-9.9999996905353328E-7</v>
      </c>
      <c r="CX144" s="174">
        <v>-9.9998595530349036E-7</v>
      </c>
      <c r="CZ144" s="180"/>
      <c r="DC144" s="180">
        <v>-9.9999999999999995E-7</v>
      </c>
      <c r="DE144" s="2">
        <f t="shared" si="416"/>
        <v>38</v>
      </c>
      <c r="DF144" s="141">
        <f t="shared" si="418"/>
        <v>-9.9999999999999995E-7</v>
      </c>
      <c r="DG144" s="142">
        <f t="shared" si="419"/>
        <v>-9.9999999999999995E-7</v>
      </c>
      <c r="DH144" s="141">
        <f t="shared" si="417"/>
        <v>-9.9999996905353328E-7</v>
      </c>
      <c r="DI144" s="142">
        <f t="shared" si="413"/>
        <v>-9.9998595530349036E-7</v>
      </c>
      <c r="DJ144" s="148">
        <f t="shared" si="414"/>
        <v>0</v>
      </c>
      <c r="DK144" s="149">
        <f t="shared" si="415"/>
        <v>0</v>
      </c>
    </row>
    <row r="145" spans="1:115" x14ac:dyDescent="0.2">
      <c r="B145" s="167" t="s">
        <v>40</v>
      </c>
      <c r="C145" s="172">
        <v>-2.9500000000000002E-2</v>
      </c>
      <c r="D145" s="173">
        <v>-2.9500000000000002E-2</v>
      </c>
      <c r="E145" s="173">
        <v>-2.9500000000000002E-2</v>
      </c>
      <c r="F145" s="173">
        <v>-2.9500000000000002E-2</v>
      </c>
      <c r="G145" s="173">
        <v>-2.9500000000000002E-2</v>
      </c>
      <c r="H145" s="173">
        <v>-2.9500000000000002E-2</v>
      </c>
      <c r="I145" s="173">
        <v>-2.9500000000000002E-2</v>
      </c>
      <c r="J145" s="173">
        <v>-2.9500000000000002E-2</v>
      </c>
      <c r="K145" s="173">
        <v>-2.9500000000000002E-2</v>
      </c>
      <c r="L145" s="173">
        <v>-2.9500000000000002E-2</v>
      </c>
      <c r="M145" s="173">
        <v>-2.9500000000000002E-2</v>
      </c>
      <c r="N145" s="173">
        <v>-2.9500000000000002E-2</v>
      </c>
      <c r="O145" s="173">
        <v>-2.9500000000000002E-2</v>
      </c>
      <c r="P145" s="173">
        <v>-2.9500000000000002E-2</v>
      </c>
      <c r="Q145" s="173">
        <v>-2.9500000000000002E-2</v>
      </c>
      <c r="R145" s="173">
        <v>-2.9500000000000002E-2</v>
      </c>
      <c r="S145" s="173">
        <v>-2.9500000000000002E-2</v>
      </c>
      <c r="T145" s="173">
        <v>-2.9500000000000002E-2</v>
      </c>
      <c r="U145" s="173">
        <v>-2.9500000000000002E-2</v>
      </c>
      <c r="V145" s="173">
        <v>-2.9500000000000002E-2</v>
      </c>
      <c r="W145" s="173">
        <v>-2.9500000000000002E-2</v>
      </c>
      <c r="X145" s="173">
        <v>-2.9500000000000002E-2</v>
      </c>
      <c r="Y145" s="173">
        <v>-2.9500000000000002E-2</v>
      </c>
      <c r="Z145" s="173">
        <v>-2.9500000000000002E-2</v>
      </c>
      <c r="AA145" s="173">
        <v>-2.9500000000000002E-2</v>
      </c>
      <c r="AB145" s="173">
        <v>-2.9500000000000002E-2</v>
      </c>
      <c r="AC145" s="173">
        <v>-2.9500000000000002E-2</v>
      </c>
      <c r="AD145" s="173">
        <v>-2.9500000000000002E-2</v>
      </c>
      <c r="AE145" s="173">
        <v>-2.9500000000000002E-2</v>
      </c>
      <c r="AF145" s="173">
        <v>-2.9500000000000002E-2</v>
      </c>
      <c r="AG145" s="173">
        <v>-2.9500000000000002E-2</v>
      </c>
      <c r="AH145" s="173">
        <v>-2.9500000000000002E-2</v>
      </c>
      <c r="AI145" s="173">
        <v>-2.9500000000000002E-2</v>
      </c>
      <c r="AJ145" s="173">
        <v>-2.9500000000000002E-2</v>
      </c>
      <c r="AK145" s="173">
        <v>-2.9500000000000002E-2</v>
      </c>
      <c r="AL145" s="173">
        <v>-2.9500000000000002E-2</v>
      </c>
      <c r="AM145" s="173">
        <v>-2.9500000000000002E-2</v>
      </c>
      <c r="AN145" s="173">
        <v>-2.9500000000000002E-2</v>
      </c>
      <c r="AO145" s="173">
        <v>-2.9500000000000002E-2</v>
      </c>
      <c r="AP145" s="173">
        <v>-2.9500000000000002E-2</v>
      </c>
      <c r="AQ145" s="173">
        <v>-2.9500000000000002E-2</v>
      </c>
      <c r="AR145" s="173">
        <v>-2.9500000000000002E-2</v>
      </c>
      <c r="AS145" s="173">
        <v>-2.9500000000000002E-2</v>
      </c>
      <c r="AT145" s="173">
        <v>-2.9500000000000002E-2</v>
      </c>
      <c r="AU145" s="173">
        <v>-2.9500000000000002E-2</v>
      </c>
      <c r="AV145" s="173">
        <v>-2.9500000000000002E-2</v>
      </c>
      <c r="AW145" s="173">
        <v>-2.9500000000000002E-2</v>
      </c>
      <c r="AX145" s="173">
        <v>-2.9500000000000002E-2</v>
      </c>
      <c r="AY145" s="173">
        <v>-2.9500000000000002E-2</v>
      </c>
      <c r="AZ145" s="173">
        <v>-2.9500000000000002E-2</v>
      </c>
      <c r="BA145" s="173">
        <v>-2.9500000000000002E-2</v>
      </c>
      <c r="BB145" s="173">
        <v>-2.9500000000000002E-2</v>
      </c>
      <c r="BC145" s="173">
        <v>-2.9500000000000002E-2</v>
      </c>
      <c r="BD145" s="173">
        <v>-2.9500000000000002E-2</v>
      </c>
      <c r="BE145" s="173">
        <v>-2.9499999999999981E-2</v>
      </c>
      <c r="BF145" s="173">
        <v>-2.9499999999999985E-2</v>
      </c>
      <c r="BG145" s="173">
        <v>-2.9500000000000002E-2</v>
      </c>
      <c r="BH145" s="173">
        <v>-2.9500000000000002E-2</v>
      </c>
      <c r="BI145" s="173">
        <v>-2.9499999999999971E-2</v>
      </c>
      <c r="BJ145" s="173">
        <v>-2.9500000000000002E-2</v>
      </c>
      <c r="BK145" s="173">
        <v>-2.9500000000000002E-2</v>
      </c>
      <c r="BL145" s="173">
        <v>-2.9500000000000002E-2</v>
      </c>
      <c r="BM145" s="173">
        <v>-2.9500000000000002E-2</v>
      </c>
      <c r="BN145" s="173">
        <v>-2.9500000000000002E-2</v>
      </c>
      <c r="BO145" s="173">
        <v>-2.9500000000000002E-2</v>
      </c>
      <c r="BP145" s="173">
        <v>-2.9500000000000002E-2</v>
      </c>
      <c r="BQ145" s="173">
        <v>-2.9500000000000002E-2</v>
      </c>
      <c r="BR145" s="173">
        <v>-2.9500000000000002E-2</v>
      </c>
      <c r="BS145" s="173">
        <v>-2.9500000000000002E-2</v>
      </c>
      <c r="BT145" s="173">
        <v>-2.9500000000000002E-2</v>
      </c>
      <c r="BU145" s="173">
        <v>-2.9500000000000002E-2</v>
      </c>
      <c r="BV145" s="173">
        <v>-2.9500000000000002E-2</v>
      </c>
      <c r="BW145" s="173">
        <v>-2.9500000000000002E-2</v>
      </c>
      <c r="BX145" s="173">
        <v>-2.9500000000000002E-2</v>
      </c>
      <c r="BY145" s="173">
        <v>-2.9500000000000002E-2</v>
      </c>
      <c r="BZ145" s="173">
        <v>-2.9499999999999998E-2</v>
      </c>
      <c r="CA145" s="173">
        <v>-2.9500000000000002E-2</v>
      </c>
      <c r="CB145" s="173">
        <v>-2.9500000000000103E-2</v>
      </c>
      <c r="CC145" s="173">
        <v>-2.9500000000000002E-2</v>
      </c>
      <c r="CD145" s="173">
        <v>-2.9500000000000002E-2</v>
      </c>
      <c r="CE145" s="173">
        <v>-2.9500000000000002E-2</v>
      </c>
      <c r="CF145" s="173">
        <v>-2.9499999999999985E-2</v>
      </c>
      <c r="CG145" s="173">
        <v>-2.9500000000000002E-2</v>
      </c>
      <c r="CH145" s="173">
        <v>-2.9500000000000002E-2</v>
      </c>
      <c r="CI145" s="173">
        <v>-2.9500000000000002E-2</v>
      </c>
      <c r="CJ145" s="173">
        <v>-2.9499999999999957E-2</v>
      </c>
      <c r="CK145" s="173">
        <v>-2.9500000000000002E-2</v>
      </c>
      <c r="CL145" s="173">
        <v>-2.9500000000000002E-2</v>
      </c>
      <c r="CM145" s="173">
        <v>-2.9500000000000002E-2</v>
      </c>
      <c r="CN145" s="173">
        <v>-2.9500000000000002E-2</v>
      </c>
      <c r="CO145" s="173">
        <v>-2.9500000000000002E-2</v>
      </c>
      <c r="CP145" s="173">
        <v>-2.9499999999999992E-2</v>
      </c>
      <c r="CQ145" s="173">
        <v>-2.9499999999999992E-2</v>
      </c>
      <c r="CR145" s="173">
        <v>-2.950000000000004E-2</v>
      </c>
      <c r="CS145" s="173">
        <v>-2.9499999999999971E-2</v>
      </c>
      <c r="CT145" s="173">
        <v>-2.9500000000000002E-2</v>
      </c>
      <c r="CU145" s="173">
        <v>-2.9500000000000002E-2</v>
      </c>
      <c r="CV145" s="173">
        <v>-2.9500000000000002E-2</v>
      </c>
      <c r="CW145" s="173">
        <v>-2.9500000000000002E-2</v>
      </c>
      <c r="CX145" s="174">
        <v>-2.9499999985952177E-2</v>
      </c>
      <c r="CZ145" s="180"/>
      <c r="DC145" s="180">
        <v>-2.9500000000000002E-2</v>
      </c>
      <c r="DE145" s="2">
        <f t="shared" si="416"/>
        <v>39</v>
      </c>
      <c r="DF145" s="141">
        <f t="shared" si="418"/>
        <v>-2.9500000000000002E-2</v>
      </c>
      <c r="DG145" s="142">
        <f t="shared" si="419"/>
        <v>-2.9500000000000002E-2</v>
      </c>
      <c r="DH145" s="141">
        <f t="shared" si="417"/>
        <v>-2.9500000000000103E-2</v>
      </c>
      <c r="DI145" s="142">
        <f t="shared" si="413"/>
        <v>-2.9499999985952177E-2</v>
      </c>
      <c r="DJ145" s="148">
        <f t="shared" si="414"/>
        <v>0</v>
      </c>
      <c r="DK145" s="149">
        <f t="shared" si="415"/>
        <v>0</v>
      </c>
    </row>
    <row r="146" spans="1:115" x14ac:dyDescent="0.2">
      <c r="B146" s="167" t="s">
        <v>41</v>
      </c>
      <c r="C146" s="172">
        <v>-9.9999999999999953E-7</v>
      </c>
      <c r="D146" s="173">
        <v>-1.0000000000000006E-6</v>
      </c>
      <c r="E146" s="173">
        <v>-9.9999999999999995E-7</v>
      </c>
      <c r="F146" s="173">
        <v>-9.9999999999999974E-7</v>
      </c>
      <c r="G146" s="173">
        <v>-9.9999999999999995E-7</v>
      </c>
      <c r="H146" s="173">
        <v>-1.0000000000000016E-6</v>
      </c>
      <c r="I146" s="173">
        <v>-1.0000000000000006E-6</v>
      </c>
      <c r="J146" s="173">
        <v>-1.0000000000000273E-6</v>
      </c>
      <c r="K146" s="173">
        <v>-9.9999999999999572E-7</v>
      </c>
      <c r="L146" s="173">
        <v>-9.9999999999999995E-7</v>
      </c>
      <c r="M146" s="173">
        <v>-1.0000000000000004E-6</v>
      </c>
      <c r="N146" s="173">
        <v>-9.9999999999999635E-7</v>
      </c>
      <c r="O146" s="173">
        <v>-9.9999999999999995E-7</v>
      </c>
      <c r="P146" s="173">
        <v>-9.9999999999999995E-7</v>
      </c>
      <c r="Q146" s="173">
        <v>-9.9999999999999995E-7</v>
      </c>
      <c r="R146" s="173">
        <v>-9.9999999999999995E-7</v>
      </c>
      <c r="S146" s="173">
        <v>-1.0000000000000023E-6</v>
      </c>
      <c r="T146" s="173">
        <v>-9.9999999999999995E-7</v>
      </c>
      <c r="U146" s="173">
        <v>-9.9999999999999995E-7</v>
      </c>
      <c r="V146" s="173">
        <v>-1.0000000000000002E-6</v>
      </c>
      <c r="W146" s="173">
        <v>-9.9999999999999995E-7</v>
      </c>
      <c r="X146" s="173">
        <v>-9.9999999999999953E-7</v>
      </c>
      <c r="Y146" s="173">
        <v>-9.9999999999999953E-7</v>
      </c>
      <c r="Z146" s="173">
        <v>-9.9999999999999741E-7</v>
      </c>
      <c r="AA146" s="173">
        <v>-9.9999999999999995E-7</v>
      </c>
      <c r="AB146" s="173">
        <v>-1.0000000000000008E-6</v>
      </c>
      <c r="AC146" s="173">
        <v>-1.0000000000000065E-6</v>
      </c>
      <c r="AD146" s="173">
        <v>-1.0000000000000004E-6</v>
      </c>
      <c r="AE146" s="173">
        <v>-9.9999999999999995E-7</v>
      </c>
      <c r="AF146" s="173">
        <v>-9.9999999999999995E-7</v>
      </c>
      <c r="AG146" s="173">
        <v>-9.9999999999999741E-7</v>
      </c>
      <c r="AH146" s="173">
        <v>-9.9999999999999995E-7</v>
      </c>
      <c r="AI146" s="173">
        <v>-9.9999999999999995E-7</v>
      </c>
      <c r="AJ146" s="173">
        <v>-9.9999999999999995E-7</v>
      </c>
      <c r="AK146" s="173">
        <v>-9.9999999999999995E-7</v>
      </c>
      <c r="AL146" s="173">
        <v>-9.9999999999999974E-7</v>
      </c>
      <c r="AM146" s="173">
        <v>-9.9999999999999974E-7</v>
      </c>
      <c r="AN146" s="173">
        <v>-1.0000000000000002E-6</v>
      </c>
      <c r="AO146" s="173">
        <v>-9.9999999999994574E-7</v>
      </c>
      <c r="AP146" s="173">
        <v>-9.9999999999999995E-7</v>
      </c>
      <c r="AQ146" s="173">
        <v>-1.0000000000000004E-6</v>
      </c>
      <c r="AR146" s="173">
        <v>-9.9999999999999995E-7</v>
      </c>
      <c r="AS146" s="173">
        <v>-9.9999999999999995E-7</v>
      </c>
      <c r="AT146" s="173">
        <v>-9.9999999999999995E-7</v>
      </c>
      <c r="AU146" s="173">
        <v>-9.9999999999999995E-7</v>
      </c>
      <c r="AV146" s="173">
        <v>-1.0000000000000002E-6</v>
      </c>
      <c r="AW146" s="173">
        <v>-9.9999999999999953E-7</v>
      </c>
      <c r="AX146" s="173">
        <v>-9.9999999999999911E-7</v>
      </c>
      <c r="AY146" s="173">
        <v>-1.0000000000002172E-6</v>
      </c>
      <c r="AZ146" s="173">
        <v>-1.0000000000000004E-6</v>
      </c>
      <c r="BA146" s="173">
        <v>-9.9999999999999995E-7</v>
      </c>
      <c r="BB146" s="173">
        <v>-1.000000000000001E-6</v>
      </c>
      <c r="BC146" s="173">
        <v>-1.0000000000000002E-6</v>
      </c>
      <c r="BD146" s="173">
        <v>-9.9999999999999995E-7</v>
      </c>
      <c r="BE146" s="173">
        <v>-9.9999999997672518E-7</v>
      </c>
      <c r="BF146" s="173">
        <v>-1.000000000008908E-6</v>
      </c>
      <c r="BG146" s="173">
        <v>-9.999999999993471E-7</v>
      </c>
      <c r="BH146" s="173">
        <v>-9.9999999999999995E-7</v>
      </c>
      <c r="BI146" s="173">
        <v>-1.0000000000167098E-6</v>
      </c>
      <c r="BJ146" s="173">
        <v>-9.9999999999999678E-7</v>
      </c>
      <c r="BK146" s="173">
        <v>-9.9999999999999995E-7</v>
      </c>
      <c r="BL146" s="173">
        <v>-9.9999999999999974E-7</v>
      </c>
      <c r="BM146" s="173">
        <v>-1.0000000000000002E-6</v>
      </c>
      <c r="BN146" s="173">
        <v>-1.0000000000000002E-6</v>
      </c>
      <c r="BO146" s="173">
        <v>-9.9999999999995866E-7</v>
      </c>
      <c r="BP146" s="173">
        <v>-9.9999999999999995E-7</v>
      </c>
      <c r="BQ146" s="173">
        <v>-9.9999999999999911E-7</v>
      </c>
      <c r="BR146" s="173">
        <v>-1.0000000000000016E-6</v>
      </c>
      <c r="BS146" s="173">
        <v>-1.0000000000000046E-6</v>
      </c>
      <c r="BT146" s="173">
        <v>-1.0000000000000002E-6</v>
      </c>
      <c r="BU146" s="173">
        <v>-9.9999999999999064E-7</v>
      </c>
      <c r="BV146" s="173">
        <v>-1.0000000000000004E-6</v>
      </c>
      <c r="BW146" s="173">
        <v>-1.0000000000000006E-6</v>
      </c>
      <c r="BX146" s="173">
        <v>-9.9999999999999741E-7</v>
      </c>
      <c r="BY146" s="173">
        <v>-9.9999999999999995E-7</v>
      </c>
      <c r="BZ146" s="173">
        <v>-1.0000000000107052E-6</v>
      </c>
      <c r="CA146" s="173">
        <v>-1.0000000000000936E-6</v>
      </c>
      <c r="CB146" s="173">
        <v>-9.9999999998327127E-7</v>
      </c>
      <c r="CC146" s="173">
        <v>-9.9999999999999911E-7</v>
      </c>
      <c r="CD146" s="173">
        <v>-9.9999999999999995E-7</v>
      </c>
      <c r="CE146" s="173">
        <v>-9.9999999999990149E-7</v>
      </c>
      <c r="CF146" s="173">
        <v>-1.0000000000228497E-6</v>
      </c>
      <c r="CG146" s="173">
        <v>-1.000000000000706E-6</v>
      </c>
      <c r="CH146" s="173">
        <v>-1.0000000000003856E-6</v>
      </c>
      <c r="CI146" s="173">
        <v>-9.9999999999999953E-7</v>
      </c>
      <c r="CJ146" s="173">
        <v>-1.0000000000226498E-6</v>
      </c>
      <c r="CK146" s="173">
        <v>-1.0000000000001586E-6</v>
      </c>
      <c r="CL146" s="173">
        <v>-9.9999999999998068E-7</v>
      </c>
      <c r="CM146" s="173">
        <v>-9.9999999999990848E-7</v>
      </c>
      <c r="CN146" s="173">
        <v>-9.9999999999946124E-7</v>
      </c>
      <c r="CO146" s="173">
        <v>-9.9999999999999868E-7</v>
      </c>
      <c r="CP146" s="173">
        <v>-9.9999999999107435E-7</v>
      </c>
      <c r="CQ146" s="173">
        <v>-1.0000000000410434E-6</v>
      </c>
      <c r="CR146" s="173">
        <v>-9.9999999998380638E-7</v>
      </c>
      <c r="CS146" s="173">
        <v>-9.9999999998442768E-7</v>
      </c>
      <c r="CT146" s="173">
        <v>-1.0000000000000072E-6</v>
      </c>
      <c r="CU146" s="173">
        <v>-1.000000000000119E-6</v>
      </c>
      <c r="CV146" s="173">
        <v>-1.000000000000163E-6</v>
      </c>
      <c r="CW146" s="173">
        <v>-1.0000000000000696E-6</v>
      </c>
      <c r="CX146" s="174">
        <v>-9.9999062105153213E-7</v>
      </c>
      <c r="CZ146" s="180"/>
      <c r="DC146" s="180">
        <v>-9.9999999999999995E-7</v>
      </c>
      <c r="DE146" s="2">
        <f t="shared" si="416"/>
        <v>40</v>
      </c>
      <c r="DF146" s="141">
        <f t="shared" si="418"/>
        <v>-9.9999999999999995E-7</v>
      </c>
      <c r="DG146" s="142">
        <f t="shared" si="419"/>
        <v>-9.9999999999999995E-7</v>
      </c>
      <c r="DH146" s="141">
        <f t="shared" si="417"/>
        <v>-1.0000000000410434E-6</v>
      </c>
      <c r="DI146" s="142">
        <f t="shared" si="413"/>
        <v>-9.9999062105153213E-7</v>
      </c>
      <c r="DJ146" s="148">
        <f t="shared" si="414"/>
        <v>0</v>
      </c>
      <c r="DK146" s="149">
        <f t="shared" si="415"/>
        <v>0</v>
      </c>
    </row>
    <row r="147" spans="1:115" x14ac:dyDescent="0.2">
      <c r="B147" s="167" t="s">
        <v>42</v>
      </c>
      <c r="C147" s="172">
        <v>-1.3099999829137232E-2</v>
      </c>
      <c r="D147" s="173">
        <v>-1.3099999829137232E-2</v>
      </c>
      <c r="E147" s="173">
        <v>-1.3099999829137232E-2</v>
      </c>
      <c r="F147" s="173">
        <v>-1.3099999829137232E-2</v>
      </c>
      <c r="G147" s="173">
        <v>-1.3099999829137232E-2</v>
      </c>
      <c r="H147" s="173">
        <v>-1.3099999829137232E-2</v>
      </c>
      <c r="I147" s="173">
        <v>-1.3099999829137232E-2</v>
      </c>
      <c r="J147" s="173">
        <v>-1.3099999829137232E-2</v>
      </c>
      <c r="K147" s="173">
        <v>-1.3099999829137232E-2</v>
      </c>
      <c r="L147" s="173">
        <v>-1.3099999829137232E-2</v>
      </c>
      <c r="M147" s="173">
        <v>-1.3099999829137232E-2</v>
      </c>
      <c r="N147" s="173">
        <v>-1.3099999829137232E-2</v>
      </c>
      <c r="O147" s="173">
        <v>-1.3099999829137232E-2</v>
      </c>
      <c r="P147" s="173">
        <v>-1.3099999829137232E-2</v>
      </c>
      <c r="Q147" s="173">
        <v>-1.3099999829137232E-2</v>
      </c>
      <c r="R147" s="173">
        <v>-1.3099999829137232E-2</v>
      </c>
      <c r="S147" s="173">
        <v>-1.3099999829137232E-2</v>
      </c>
      <c r="T147" s="173">
        <v>-1.3099999829137232E-2</v>
      </c>
      <c r="U147" s="173">
        <v>-1.3099999829137232E-2</v>
      </c>
      <c r="V147" s="173">
        <v>-1.3099999829137232E-2</v>
      </c>
      <c r="W147" s="173">
        <v>-1.3099999829137232E-2</v>
      </c>
      <c r="X147" s="173">
        <v>-1.3099999829137232E-2</v>
      </c>
      <c r="Y147" s="173">
        <v>-1.3099999829137232E-2</v>
      </c>
      <c r="Z147" s="173">
        <v>-1.3099999829137232E-2</v>
      </c>
      <c r="AA147" s="173">
        <v>-1.3099999829137232E-2</v>
      </c>
      <c r="AB147" s="173">
        <v>-1.3099999829137232E-2</v>
      </c>
      <c r="AC147" s="173">
        <v>-1.3099999829137232E-2</v>
      </c>
      <c r="AD147" s="173">
        <v>-1.3099999829137232E-2</v>
      </c>
      <c r="AE147" s="173">
        <v>-1.3099999829137232E-2</v>
      </c>
      <c r="AF147" s="173">
        <v>-1.3099999829137232E-2</v>
      </c>
      <c r="AG147" s="173">
        <v>-1.3099999829137232E-2</v>
      </c>
      <c r="AH147" s="173">
        <v>-1.3099999829137232E-2</v>
      </c>
      <c r="AI147" s="173">
        <v>-1.3099999829137232E-2</v>
      </c>
      <c r="AJ147" s="173">
        <v>-1.3099999829137232E-2</v>
      </c>
      <c r="AK147" s="173">
        <v>-1.3099999829137232E-2</v>
      </c>
      <c r="AL147" s="173">
        <v>-1.3099999829137232E-2</v>
      </c>
      <c r="AM147" s="173">
        <v>-1.3099999829137232E-2</v>
      </c>
      <c r="AN147" s="173">
        <v>-1.3099999829137232E-2</v>
      </c>
      <c r="AO147" s="173">
        <v>-1.3099999829137232E-2</v>
      </c>
      <c r="AP147" s="173">
        <v>-1.3099999829137232E-2</v>
      </c>
      <c r="AQ147" s="173">
        <v>-1.3099999829137232E-2</v>
      </c>
      <c r="AR147" s="173">
        <v>-1.3099999829137232E-2</v>
      </c>
      <c r="AS147" s="173">
        <v>-1.3099999829137232E-2</v>
      </c>
      <c r="AT147" s="173">
        <v>-1.3099999829137232E-2</v>
      </c>
      <c r="AU147" s="173">
        <v>-1.3099999829137232E-2</v>
      </c>
      <c r="AV147" s="173">
        <v>-1.3099999829137232E-2</v>
      </c>
      <c r="AW147" s="173">
        <v>-1.3099999829137232E-2</v>
      </c>
      <c r="AX147" s="173">
        <v>-1.3099999829137232E-2</v>
      </c>
      <c r="AY147" s="173">
        <v>-1.3099999829137232E-2</v>
      </c>
      <c r="AZ147" s="173">
        <v>-1.3099999829137232E-2</v>
      </c>
      <c r="BA147" s="173">
        <v>-1.3099999829137232E-2</v>
      </c>
      <c r="BB147" s="173">
        <v>-1.3099999829137232E-2</v>
      </c>
      <c r="BC147" s="173">
        <v>-1.3099999829137232E-2</v>
      </c>
      <c r="BD147" s="173">
        <v>-1.3099999829137232E-2</v>
      </c>
      <c r="BE147" s="173">
        <v>-1.3099999829137232E-2</v>
      </c>
      <c r="BF147" s="173">
        <v>-1.3099999829137232E-2</v>
      </c>
      <c r="BG147" s="173">
        <v>-1.3099999829137232E-2</v>
      </c>
      <c r="BH147" s="173">
        <v>-1.3099999829137232E-2</v>
      </c>
      <c r="BI147" s="173">
        <v>-1.3099999829137232E-2</v>
      </c>
      <c r="BJ147" s="173">
        <v>-1.3099999829137232E-2</v>
      </c>
      <c r="BK147" s="173">
        <v>-1.3099999829137232E-2</v>
      </c>
      <c r="BL147" s="173">
        <v>-1.3099999829137232E-2</v>
      </c>
      <c r="BM147" s="173">
        <v>-1.3099999829137232E-2</v>
      </c>
      <c r="BN147" s="173">
        <v>-1.3099999829137232E-2</v>
      </c>
      <c r="BO147" s="173">
        <v>-1.3099999829137232E-2</v>
      </c>
      <c r="BP147" s="173">
        <v>-1.3099999829137232E-2</v>
      </c>
      <c r="BQ147" s="173">
        <v>-1.3099999829137232E-2</v>
      </c>
      <c r="BR147" s="173">
        <v>-1.3099999829137232E-2</v>
      </c>
      <c r="BS147" s="173">
        <v>-1.3099999829137232E-2</v>
      </c>
      <c r="BT147" s="173">
        <v>-1.3099999829137232E-2</v>
      </c>
      <c r="BU147" s="173">
        <v>-1.3099999829137232E-2</v>
      </c>
      <c r="BV147" s="173">
        <v>-1.3099999829137232E-2</v>
      </c>
      <c r="BW147" s="173">
        <v>-1.3099999829137232E-2</v>
      </c>
      <c r="BX147" s="173">
        <v>-1.3099999829137232E-2</v>
      </c>
      <c r="BY147" s="173">
        <v>-1.3099999829137232E-2</v>
      </c>
      <c r="BZ147" s="173">
        <v>-1.3099999829137232E-2</v>
      </c>
      <c r="CA147" s="173">
        <v>-1.3099999829137232E-2</v>
      </c>
      <c r="CB147" s="173">
        <v>-1.3099999829137232E-2</v>
      </c>
      <c r="CC147" s="173">
        <v>-1.3099999829137232E-2</v>
      </c>
      <c r="CD147" s="173">
        <v>-1.3099999829137232E-2</v>
      </c>
      <c r="CE147" s="173">
        <v>-1.3099999829137232E-2</v>
      </c>
      <c r="CF147" s="173">
        <v>-1.3099999829137232E-2</v>
      </c>
      <c r="CG147" s="173">
        <v>-1.3099999829137232E-2</v>
      </c>
      <c r="CH147" s="173">
        <v>-1.3099999829137232E-2</v>
      </c>
      <c r="CI147" s="173">
        <v>-1.3099999829137232E-2</v>
      </c>
      <c r="CJ147" s="173">
        <v>-1.3099999829137232E-2</v>
      </c>
      <c r="CK147" s="173">
        <v>-1.3099999829137232E-2</v>
      </c>
      <c r="CL147" s="173">
        <v>-1.3099999829137232E-2</v>
      </c>
      <c r="CM147" s="173">
        <v>-1.3099999829137232E-2</v>
      </c>
      <c r="CN147" s="173">
        <v>-1.3099999829137232E-2</v>
      </c>
      <c r="CO147" s="173">
        <v>-1.3099999829137232E-2</v>
      </c>
      <c r="CP147" s="173">
        <v>-1.3099999829137232E-2</v>
      </c>
      <c r="CQ147" s="173">
        <v>-1.3099999829137232E-2</v>
      </c>
      <c r="CR147" s="173">
        <v>-1.3099999829137232E-2</v>
      </c>
      <c r="CS147" s="173">
        <v>-1.3099999829137232E-2</v>
      </c>
      <c r="CT147" s="173">
        <v>-1.3099999829137232E-2</v>
      </c>
      <c r="CU147" s="173">
        <v>-1.3099999829137232E-2</v>
      </c>
      <c r="CV147" s="173">
        <v>-1.3099999829137232E-2</v>
      </c>
      <c r="CW147" s="173">
        <v>-1.3099999829137232E-2</v>
      </c>
      <c r="CX147" s="174">
        <v>-1.3099999827612127E-2</v>
      </c>
      <c r="CZ147" s="180"/>
      <c r="DC147" s="180">
        <v>-1.3100000000000001E-2</v>
      </c>
      <c r="DE147" s="2">
        <f t="shared" si="416"/>
        <v>41</v>
      </c>
      <c r="DF147" s="141">
        <f t="shared" si="418"/>
        <v>-1.3100000000000001E-2</v>
      </c>
      <c r="DG147" s="142">
        <f t="shared" si="419"/>
        <v>-1.3100000000000001E-2</v>
      </c>
      <c r="DH147" s="141">
        <f t="shared" si="417"/>
        <v>-1.3099999829137232E-2</v>
      </c>
      <c r="DI147" s="142">
        <f t="shared" si="413"/>
        <v>-1.3099999827612127E-2</v>
      </c>
      <c r="DJ147" s="148">
        <f t="shared" si="414"/>
        <v>0</v>
      </c>
      <c r="DK147" s="149">
        <f t="shared" si="415"/>
        <v>0</v>
      </c>
    </row>
    <row r="148" spans="1:115" x14ac:dyDescent="0.2">
      <c r="B148" s="167" t="s">
        <v>43</v>
      </c>
      <c r="C148" s="172">
        <v>-8.1999999910635779E-3</v>
      </c>
      <c r="D148" s="173">
        <v>-8.1999999910635779E-3</v>
      </c>
      <c r="E148" s="173">
        <v>-8.1999999910635779E-3</v>
      </c>
      <c r="F148" s="173">
        <v>-8.1999999910635779E-3</v>
      </c>
      <c r="G148" s="173">
        <v>-8.1999999910635779E-3</v>
      </c>
      <c r="H148" s="173">
        <v>-8.1999999910635779E-3</v>
      </c>
      <c r="I148" s="173">
        <v>-8.1999999910635779E-3</v>
      </c>
      <c r="J148" s="173">
        <v>-8.1999999910635779E-3</v>
      </c>
      <c r="K148" s="173">
        <v>-8.1999999910635779E-3</v>
      </c>
      <c r="L148" s="173">
        <v>-8.1999999910635779E-3</v>
      </c>
      <c r="M148" s="173">
        <v>-8.1999999910635779E-3</v>
      </c>
      <c r="N148" s="173">
        <v>-8.1999999910635779E-3</v>
      </c>
      <c r="O148" s="173">
        <v>-8.1999999910635779E-3</v>
      </c>
      <c r="P148" s="173">
        <v>-8.1999999910635779E-3</v>
      </c>
      <c r="Q148" s="173">
        <v>-8.1999999910635779E-3</v>
      </c>
      <c r="R148" s="173">
        <v>-8.1999999910635779E-3</v>
      </c>
      <c r="S148" s="173">
        <v>-8.1999999910635779E-3</v>
      </c>
      <c r="T148" s="173">
        <v>-8.1999999910635779E-3</v>
      </c>
      <c r="U148" s="173">
        <v>-8.1999999910635779E-3</v>
      </c>
      <c r="V148" s="173">
        <v>-8.1999999910635779E-3</v>
      </c>
      <c r="W148" s="173">
        <v>-8.1999999910635779E-3</v>
      </c>
      <c r="X148" s="173">
        <v>-8.1999999910635779E-3</v>
      </c>
      <c r="Y148" s="173">
        <v>-8.1999999910635779E-3</v>
      </c>
      <c r="Z148" s="173">
        <v>-8.1999999910635779E-3</v>
      </c>
      <c r="AA148" s="173">
        <v>-8.1999999910635779E-3</v>
      </c>
      <c r="AB148" s="173">
        <v>-8.1999999910635779E-3</v>
      </c>
      <c r="AC148" s="173">
        <v>-8.1999999910635779E-3</v>
      </c>
      <c r="AD148" s="173">
        <v>-8.1999999910635779E-3</v>
      </c>
      <c r="AE148" s="173">
        <v>-8.1999999910635779E-3</v>
      </c>
      <c r="AF148" s="173">
        <v>-8.1999999910635779E-3</v>
      </c>
      <c r="AG148" s="173">
        <v>-8.1999999910635779E-3</v>
      </c>
      <c r="AH148" s="173">
        <v>-8.1999999910635779E-3</v>
      </c>
      <c r="AI148" s="173">
        <v>-8.1999999910635779E-3</v>
      </c>
      <c r="AJ148" s="173">
        <v>-8.1999999910635779E-3</v>
      </c>
      <c r="AK148" s="173">
        <v>-8.1999999910635779E-3</v>
      </c>
      <c r="AL148" s="173">
        <v>-8.1999999910635779E-3</v>
      </c>
      <c r="AM148" s="173">
        <v>-8.1999999910635779E-3</v>
      </c>
      <c r="AN148" s="173">
        <v>-8.1999999910635779E-3</v>
      </c>
      <c r="AO148" s="173">
        <v>-8.1999999910635779E-3</v>
      </c>
      <c r="AP148" s="173">
        <v>-8.1999999910635779E-3</v>
      </c>
      <c r="AQ148" s="173">
        <v>-8.1999999910635779E-3</v>
      </c>
      <c r="AR148" s="173">
        <v>-8.1999999910635779E-3</v>
      </c>
      <c r="AS148" s="173">
        <v>-8.1999999910635779E-3</v>
      </c>
      <c r="AT148" s="173">
        <v>-8.1999999910635779E-3</v>
      </c>
      <c r="AU148" s="173">
        <v>-8.1999999910635779E-3</v>
      </c>
      <c r="AV148" s="173">
        <v>-8.1999999910635779E-3</v>
      </c>
      <c r="AW148" s="173">
        <v>-8.1999999910635779E-3</v>
      </c>
      <c r="AX148" s="173">
        <v>-8.1999999910635779E-3</v>
      </c>
      <c r="AY148" s="173">
        <v>-8.1999999910635779E-3</v>
      </c>
      <c r="AZ148" s="173">
        <v>-8.1999999910635779E-3</v>
      </c>
      <c r="BA148" s="173">
        <v>-8.1999999910635779E-3</v>
      </c>
      <c r="BB148" s="173">
        <v>-8.1999999910635779E-3</v>
      </c>
      <c r="BC148" s="173">
        <v>-8.1999999910635779E-3</v>
      </c>
      <c r="BD148" s="173">
        <v>-8.1999999910635779E-3</v>
      </c>
      <c r="BE148" s="173">
        <v>-8.1999999910635779E-3</v>
      </c>
      <c r="BF148" s="173">
        <v>-8.1999999910635779E-3</v>
      </c>
      <c r="BG148" s="173">
        <v>-8.1999999910635779E-3</v>
      </c>
      <c r="BH148" s="173">
        <v>-8.1999999910635779E-3</v>
      </c>
      <c r="BI148" s="173">
        <v>-8.1999999910635779E-3</v>
      </c>
      <c r="BJ148" s="173">
        <v>-8.1999999910635779E-3</v>
      </c>
      <c r="BK148" s="173">
        <v>-8.1999999910635779E-3</v>
      </c>
      <c r="BL148" s="173">
        <v>-8.1999999910635779E-3</v>
      </c>
      <c r="BM148" s="173">
        <v>-8.1999999910635779E-3</v>
      </c>
      <c r="BN148" s="173">
        <v>-8.1999999910635779E-3</v>
      </c>
      <c r="BO148" s="173">
        <v>-8.1999999910635779E-3</v>
      </c>
      <c r="BP148" s="173">
        <v>-8.1999999910635779E-3</v>
      </c>
      <c r="BQ148" s="173">
        <v>-8.1999999910635779E-3</v>
      </c>
      <c r="BR148" s="173">
        <v>-8.1999999910635779E-3</v>
      </c>
      <c r="BS148" s="173">
        <v>-8.1999999910635779E-3</v>
      </c>
      <c r="BT148" s="173">
        <v>-8.1999999910635779E-3</v>
      </c>
      <c r="BU148" s="173">
        <v>-8.1999999910635779E-3</v>
      </c>
      <c r="BV148" s="173">
        <v>-8.1999999910635779E-3</v>
      </c>
      <c r="BW148" s="173">
        <v>-8.1999999910635779E-3</v>
      </c>
      <c r="BX148" s="173">
        <v>-8.1999999910635779E-3</v>
      </c>
      <c r="BY148" s="173">
        <v>-8.1999999910635779E-3</v>
      </c>
      <c r="BZ148" s="173">
        <v>-8.1999999910635779E-3</v>
      </c>
      <c r="CA148" s="173">
        <v>-8.1999999910635779E-3</v>
      </c>
      <c r="CB148" s="173">
        <v>-8.1999999910635779E-3</v>
      </c>
      <c r="CC148" s="173">
        <v>-8.1999999910635779E-3</v>
      </c>
      <c r="CD148" s="173">
        <v>-8.1999999910635779E-3</v>
      </c>
      <c r="CE148" s="173">
        <v>-8.1999999910635779E-3</v>
      </c>
      <c r="CF148" s="173">
        <v>-8.1999999910635779E-3</v>
      </c>
      <c r="CG148" s="173">
        <v>-8.1999999910635779E-3</v>
      </c>
      <c r="CH148" s="173">
        <v>-8.1999999910635779E-3</v>
      </c>
      <c r="CI148" s="173">
        <v>-8.1999999910635779E-3</v>
      </c>
      <c r="CJ148" s="173">
        <v>-8.1999999910635779E-3</v>
      </c>
      <c r="CK148" s="173">
        <v>-8.1999999910635779E-3</v>
      </c>
      <c r="CL148" s="173">
        <v>-8.1999999910635779E-3</v>
      </c>
      <c r="CM148" s="173">
        <v>-8.1999999910635779E-3</v>
      </c>
      <c r="CN148" s="173">
        <v>-8.1999999910635779E-3</v>
      </c>
      <c r="CO148" s="173">
        <v>-8.1999999910635779E-3</v>
      </c>
      <c r="CP148" s="173">
        <v>-8.1999999910635779E-3</v>
      </c>
      <c r="CQ148" s="173">
        <v>-8.1999999910635779E-3</v>
      </c>
      <c r="CR148" s="173">
        <v>-8.1999999910635779E-3</v>
      </c>
      <c r="CS148" s="173">
        <v>-8.1999999910635779E-3</v>
      </c>
      <c r="CT148" s="173">
        <v>-8.1999999910635779E-3</v>
      </c>
      <c r="CU148" s="173">
        <v>-8.1999999910635779E-3</v>
      </c>
      <c r="CV148" s="173">
        <v>-8.1999999910635779E-3</v>
      </c>
      <c r="CW148" s="173">
        <v>-8.1999999910635779E-3</v>
      </c>
      <c r="CX148" s="174">
        <v>-8.1999999824626021E-3</v>
      </c>
      <c r="CZ148" s="180"/>
      <c r="DC148" s="180">
        <v>-8.199999999999999E-3</v>
      </c>
      <c r="DE148" s="2">
        <f t="shared" si="416"/>
        <v>42</v>
      </c>
      <c r="DF148" s="141">
        <f t="shared" si="418"/>
        <v>-8.199999999999999E-3</v>
      </c>
      <c r="DG148" s="142">
        <f t="shared" si="419"/>
        <v>-8.199999999999999E-3</v>
      </c>
      <c r="DH148" s="141">
        <f t="shared" si="417"/>
        <v>-8.1999999910635779E-3</v>
      </c>
      <c r="DI148" s="142">
        <f t="shared" si="413"/>
        <v>-8.1999999824626021E-3</v>
      </c>
      <c r="DJ148" s="148">
        <f t="shared" si="414"/>
        <v>0</v>
      </c>
      <c r="DK148" s="149">
        <f t="shared" si="415"/>
        <v>0</v>
      </c>
    </row>
    <row r="149" spans="1:115" x14ac:dyDescent="0.2">
      <c r="B149" s="167" t="s">
        <v>44</v>
      </c>
      <c r="C149" s="172">
        <v>-9.9999201097489276E-7</v>
      </c>
      <c r="D149" s="173">
        <v>-9.9999201097489276E-7</v>
      </c>
      <c r="E149" s="173">
        <v>-9.9999201097489276E-7</v>
      </c>
      <c r="F149" s="173">
        <v>-9.9999201097489276E-7</v>
      </c>
      <c r="G149" s="173">
        <v>-9.9999201097489276E-7</v>
      </c>
      <c r="H149" s="173">
        <v>-9.9999201097489276E-7</v>
      </c>
      <c r="I149" s="173">
        <v>-9.9999201097489276E-7</v>
      </c>
      <c r="J149" s="173">
        <v>-9.9999201097489276E-7</v>
      </c>
      <c r="K149" s="173">
        <v>-9.9999201097489276E-7</v>
      </c>
      <c r="L149" s="173">
        <v>-9.9999201097489276E-7</v>
      </c>
      <c r="M149" s="173">
        <v>-9.9999201097489276E-7</v>
      </c>
      <c r="N149" s="173">
        <v>-9.9999201097489276E-7</v>
      </c>
      <c r="O149" s="173">
        <v>-9.9999201097489276E-7</v>
      </c>
      <c r="P149" s="173">
        <v>-9.9999201097489276E-7</v>
      </c>
      <c r="Q149" s="173">
        <v>-9.9999201097489276E-7</v>
      </c>
      <c r="R149" s="173">
        <v>-9.9999201097489276E-7</v>
      </c>
      <c r="S149" s="173">
        <v>-9.9999201097489276E-7</v>
      </c>
      <c r="T149" s="173">
        <v>-9.9999201097489276E-7</v>
      </c>
      <c r="U149" s="173">
        <v>-9.9999201097489276E-7</v>
      </c>
      <c r="V149" s="173">
        <v>-9.9999201097489276E-7</v>
      </c>
      <c r="W149" s="173">
        <v>-9.9999201097489276E-7</v>
      </c>
      <c r="X149" s="173">
        <v>-9.9999201097489276E-7</v>
      </c>
      <c r="Y149" s="173">
        <v>-9.9999201097489276E-7</v>
      </c>
      <c r="Z149" s="173">
        <v>-9.9999201097489276E-7</v>
      </c>
      <c r="AA149" s="173">
        <v>-9.9999201097489276E-7</v>
      </c>
      <c r="AB149" s="173">
        <v>-9.9999201097489276E-7</v>
      </c>
      <c r="AC149" s="173">
        <v>-9.9999201097489276E-7</v>
      </c>
      <c r="AD149" s="173">
        <v>-9.9999201097489276E-7</v>
      </c>
      <c r="AE149" s="173">
        <v>-9.9999201097489276E-7</v>
      </c>
      <c r="AF149" s="173">
        <v>-9.9999201097489276E-7</v>
      </c>
      <c r="AG149" s="173">
        <v>-9.9999201097489276E-7</v>
      </c>
      <c r="AH149" s="173">
        <v>-9.9999201097489276E-7</v>
      </c>
      <c r="AI149" s="173">
        <v>-9.9999201097489276E-7</v>
      </c>
      <c r="AJ149" s="173">
        <v>-9.9999201097489276E-7</v>
      </c>
      <c r="AK149" s="173">
        <v>-9.9999201097489276E-7</v>
      </c>
      <c r="AL149" s="173">
        <v>-9.9999201097489276E-7</v>
      </c>
      <c r="AM149" s="173">
        <v>-9.9999201097489276E-7</v>
      </c>
      <c r="AN149" s="173">
        <v>-9.9999201097489276E-7</v>
      </c>
      <c r="AO149" s="173">
        <v>-9.9999201097489276E-7</v>
      </c>
      <c r="AP149" s="173">
        <v>-9.9999201097489276E-7</v>
      </c>
      <c r="AQ149" s="173">
        <v>-9.9999201097489276E-7</v>
      </c>
      <c r="AR149" s="173">
        <v>-9.9999201097489276E-7</v>
      </c>
      <c r="AS149" s="173">
        <v>-9.9999201097489276E-7</v>
      </c>
      <c r="AT149" s="173">
        <v>-9.9999201097489276E-7</v>
      </c>
      <c r="AU149" s="173">
        <v>-9.9999201097489276E-7</v>
      </c>
      <c r="AV149" s="173">
        <v>-9.9999201097489276E-7</v>
      </c>
      <c r="AW149" s="173">
        <v>-9.9999201097489276E-7</v>
      </c>
      <c r="AX149" s="173">
        <v>-9.9999201097489276E-7</v>
      </c>
      <c r="AY149" s="173">
        <v>-9.9999201097489276E-7</v>
      </c>
      <c r="AZ149" s="173">
        <v>-9.9999201097489276E-7</v>
      </c>
      <c r="BA149" s="173">
        <v>-9.9999201097489276E-7</v>
      </c>
      <c r="BB149" s="173">
        <v>-9.9999201097489276E-7</v>
      </c>
      <c r="BC149" s="173">
        <v>-9.9999201097489276E-7</v>
      </c>
      <c r="BD149" s="173">
        <v>-9.9999201097489276E-7</v>
      </c>
      <c r="BE149" s="173">
        <v>-9.9999201097489276E-7</v>
      </c>
      <c r="BF149" s="173">
        <v>-9.9999201097489276E-7</v>
      </c>
      <c r="BG149" s="173">
        <v>-9.9999201097489276E-7</v>
      </c>
      <c r="BH149" s="173">
        <v>-9.9999201097489276E-7</v>
      </c>
      <c r="BI149" s="173">
        <v>-9.9999201097489276E-7</v>
      </c>
      <c r="BJ149" s="173">
        <v>-9.9999201097489276E-7</v>
      </c>
      <c r="BK149" s="173">
        <v>-9.9999201097489276E-7</v>
      </c>
      <c r="BL149" s="173">
        <v>-9.9999201097489276E-7</v>
      </c>
      <c r="BM149" s="173">
        <v>-9.9999201097489276E-7</v>
      </c>
      <c r="BN149" s="173">
        <v>-9.9999201097489276E-7</v>
      </c>
      <c r="BO149" s="173">
        <v>-9.9999201097489276E-7</v>
      </c>
      <c r="BP149" s="173">
        <v>-9.9999201097489276E-7</v>
      </c>
      <c r="BQ149" s="173">
        <v>-9.9999201097489276E-7</v>
      </c>
      <c r="BR149" s="173">
        <v>-9.9999201097489276E-7</v>
      </c>
      <c r="BS149" s="173">
        <v>-9.9999201097489276E-7</v>
      </c>
      <c r="BT149" s="173">
        <v>-9.9999201097489276E-7</v>
      </c>
      <c r="BU149" s="173">
        <v>-9.9999201097489276E-7</v>
      </c>
      <c r="BV149" s="173">
        <v>-9.9999201097489276E-7</v>
      </c>
      <c r="BW149" s="173">
        <v>-9.9999201097489276E-7</v>
      </c>
      <c r="BX149" s="173">
        <v>-9.9999201097489276E-7</v>
      </c>
      <c r="BY149" s="173">
        <v>-9.9999201097489276E-7</v>
      </c>
      <c r="BZ149" s="173">
        <v>-9.9999201097489276E-7</v>
      </c>
      <c r="CA149" s="173">
        <v>-9.9999201097489276E-7</v>
      </c>
      <c r="CB149" s="173">
        <v>-9.9999201097489276E-7</v>
      </c>
      <c r="CC149" s="173">
        <v>-9.9999201097489276E-7</v>
      </c>
      <c r="CD149" s="173">
        <v>-9.9999201097489276E-7</v>
      </c>
      <c r="CE149" s="173">
        <v>-9.9999201097489276E-7</v>
      </c>
      <c r="CF149" s="173">
        <v>-9.9999201097489276E-7</v>
      </c>
      <c r="CG149" s="173">
        <v>-9.9999201097489276E-7</v>
      </c>
      <c r="CH149" s="173">
        <v>-9.9999201097489276E-7</v>
      </c>
      <c r="CI149" s="173">
        <v>-9.9999201097489276E-7</v>
      </c>
      <c r="CJ149" s="173">
        <v>-9.9999201097489276E-7</v>
      </c>
      <c r="CK149" s="173">
        <v>-9.9999201097489276E-7</v>
      </c>
      <c r="CL149" s="173">
        <v>-9.9999201097489276E-7</v>
      </c>
      <c r="CM149" s="173">
        <v>-9.9999201097489276E-7</v>
      </c>
      <c r="CN149" s="173">
        <v>-9.9999201097489276E-7</v>
      </c>
      <c r="CO149" s="173">
        <v>-9.9999201097489276E-7</v>
      </c>
      <c r="CP149" s="173">
        <v>-9.9999201097489276E-7</v>
      </c>
      <c r="CQ149" s="173">
        <v>-9.9999201097489276E-7</v>
      </c>
      <c r="CR149" s="173">
        <v>-9.9999201097489276E-7</v>
      </c>
      <c r="CS149" s="173">
        <v>-9.9999201097489276E-7</v>
      </c>
      <c r="CT149" s="173">
        <v>-9.9999201097489276E-7</v>
      </c>
      <c r="CU149" s="173">
        <v>-9.9999201097489276E-7</v>
      </c>
      <c r="CV149" s="173">
        <v>-9.9999201097489276E-7</v>
      </c>
      <c r="CW149" s="173">
        <v>-9.9999201097489276E-7</v>
      </c>
      <c r="CX149" s="174">
        <v>-9.9998299517966394E-7</v>
      </c>
      <c r="CZ149" s="180"/>
      <c r="DC149" s="180">
        <v>-9.9999999999999995E-7</v>
      </c>
      <c r="DE149" s="2">
        <f t="shared" si="416"/>
        <v>43</v>
      </c>
      <c r="DF149" s="141">
        <f t="shared" si="418"/>
        <v>-9.9999999999999995E-7</v>
      </c>
      <c r="DG149" s="142">
        <f t="shared" si="419"/>
        <v>-9.9999999999999995E-7</v>
      </c>
      <c r="DH149" s="141">
        <f t="shared" si="417"/>
        <v>-9.9999201097489276E-7</v>
      </c>
      <c r="DI149" s="142">
        <f t="shared" si="413"/>
        <v>-9.9998299517966394E-7</v>
      </c>
      <c r="DJ149" s="148">
        <f t="shared" si="414"/>
        <v>0</v>
      </c>
      <c r="DK149" s="149">
        <f t="shared" si="415"/>
        <v>0</v>
      </c>
    </row>
    <row r="150" spans="1:115" x14ac:dyDescent="0.2">
      <c r="B150" s="167" t="s">
        <v>45</v>
      </c>
      <c r="C150" s="172">
        <v>-9.9994198876629525E-7</v>
      </c>
      <c r="D150" s="173">
        <v>-9.9994198876629525E-7</v>
      </c>
      <c r="E150" s="173">
        <v>-9.9994198876629525E-7</v>
      </c>
      <c r="F150" s="173">
        <v>-9.9994198876629525E-7</v>
      </c>
      <c r="G150" s="173">
        <v>-9.9994198876629525E-7</v>
      </c>
      <c r="H150" s="173">
        <v>-9.9994198876629525E-7</v>
      </c>
      <c r="I150" s="173">
        <v>-9.9994198876629525E-7</v>
      </c>
      <c r="J150" s="173">
        <v>-9.9994198876629525E-7</v>
      </c>
      <c r="K150" s="173">
        <v>-9.9994198876629525E-7</v>
      </c>
      <c r="L150" s="173">
        <v>-9.9994198876629525E-7</v>
      </c>
      <c r="M150" s="173">
        <v>-9.9994198876629525E-7</v>
      </c>
      <c r="N150" s="173">
        <v>-9.9994198876629525E-7</v>
      </c>
      <c r="O150" s="173">
        <v>-9.9994198876629525E-7</v>
      </c>
      <c r="P150" s="173">
        <v>-9.9994198876629525E-7</v>
      </c>
      <c r="Q150" s="173">
        <v>-9.9994198876629525E-7</v>
      </c>
      <c r="R150" s="173">
        <v>-9.9994198876629525E-7</v>
      </c>
      <c r="S150" s="173">
        <v>-9.9994198876629525E-7</v>
      </c>
      <c r="T150" s="173">
        <v>-9.9994198876629525E-7</v>
      </c>
      <c r="U150" s="173">
        <v>-9.9994198876629525E-7</v>
      </c>
      <c r="V150" s="173">
        <v>-9.9994198876629525E-7</v>
      </c>
      <c r="W150" s="173">
        <v>-9.9994198876629525E-7</v>
      </c>
      <c r="X150" s="173">
        <v>-9.9994198876629525E-7</v>
      </c>
      <c r="Y150" s="173">
        <v>-9.9994198876629525E-7</v>
      </c>
      <c r="Z150" s="173">
        <v>-9.9994198876629525E-7</v>
      </c>
      <c r="AA150" s="173">
        <v>-9.9994198876629525E-7</v>
      </c>
      <c r="AB150" s="173">
        <v>-9.9994198876629525E-7</v>
      </c>
      <c r="AC150" s="173">
        <v>-9.9994198876629525E-7</v>
      </c>
      <c r="AD150" s="173">
        <v>-9.9994198876629525E-7</v>
      </c>
      <c r="AE150" s="173">
        <v>-9.9994198876629525E-7</v>
      </c>
      <c r="AF150" s="173">
        <v>-9.9994198876629525E-7</v>
      </c>
      <c r="AG150" s="173">
        <v>-9.9994198876629525E-7</v>
      </c>
      <c r="AH150" s="173">
        <v>-9.9994198876629525E-7</v>
      </c>
      <c r="AI150" s="173">
        <v>-9.9994198876629525E-7</v>
      </c>
      <c r="AJ150" s="173">
        <v>-9.9994198876629525E-7</v>
      </c>
      <c r="AK150" s="173">
        <v>-9.9994198876629525E-7</v>
      </c>
      <c r="AL150" s="173">
        <v>-9.9994198876629525E-7</v>
      </c>
      <c r="AM150" s="173">
        <v>-9.9994198876629525E-7</v>
      </c>
      <c r="AN150" s="173">
        <v>-9.9994198876629525E-7</v>
      </c>
      <c r="AO150" s="173">
        <v>-9.9994198876629525E-7</v>
      </c>
      <c r="AP150" s="173">
        <v>-9.9994198876629525E-7</v>
      </c>
      <c r="AQ150" s="173">
        <v>-9.9994198876629525E-7</v>
      </c>
      <c r="AR150" s="173">
        <v>-9.9994198876629525E-7</v>
      </c>
      <c r="AS150" s="173">
        <v>-9.9994198876629525E-7</v>
      </c>
      <c r="AT150" s="173">
        <v>-9.9994198876629525E-7</v>
      </c>
      <c r="AU150" s="173">
        <v>-9.9994198876629525E-7</v>
      </c>
      <c r="AV150" s="173">
        <v>-9.9994198876629525E-7</v>
      </c>
      <c r="AW150" s="173">
        <v>-9.9994198876629525E-7</v>
      </c>
      <c r="AX150" s="173">
        <v>-9.9994198876629525E-7</v>
      </c>
      <c r="AY150" s="173">
        <v>-9.9994198876629525E-7</v>
      </c>
      <c r="AZ150" s="173">
        <v>-9.9994198876629525E-7</v>
      </c>
      <c r="BA150" s="173">
        <v>-9.9994198876629525E-7</v>
      </c>
      <c r="BB150" s="173">
        <v>-9.9994198876629525E-7</v>
      </c>
      <c r="BC150" s="173">
        <v>-9.9994198876629525E-7</v>
      </c>
      <c r="BD150" s="173">
        <v>-9.9994198876629525E-7</v>
      </c>
      <c r="BE150" s="173">
        <v>-9.9994198876629525E-7</v>
      </c>
      <c r="BF150" s="173">
        <v>-9.9994198876629525E-7</v>
      </c>
      <c r="BG150" s="173">
        <v>-9.9994198876629525E-7</v>
      </c>
      <c r="BH150" s="173">
        <v>-9.9994198876629525E-7</v>
      </c>
      <c r="BI150" s="173">
        <v>-9.9994198876629525E-7</v>
      </c>
      <c r="BJ150" s="173">
        <v>-9.9994198876629525E-7</v>
      </c>
      <c r="BK150" s="173">
        <v>-9.9994198876629525E-7</v>
      </c>
      <c r="BL150" s="173">
        <v>-9.9994198876629525E-7</v>
      </c>
      <c r="BM150" s="173">
        <v>-9.9994198876629525E-7</v>
      </c>
      <c r="BN150" s="173">
        <v>-9.9994198876629525E-7</v>
      </c>
      <c r="BO150" s="173">
        <v>-9.9994198876629525E-7</v>
      </c>
      <c r="BP150" s="173">
        <v>-9.9994198876629525E-7</v>
      </c>
      <c r="BQ150" s="173">
        <v>-9.9994198876629525E-7</v>
      </c>
      <c r="BR150" s="173">
        <v>-9.9994198876629525E-7</v>
      </c>
      <c r="BS150" s="173">
        <v>-9.9994198876629525E-7</v>
      </c>
      <c r="BT150" s="173">
        <v>-9.9994198876629525E-7</v>
      </c>
      <c r="BU150" s="173">
        <v>-9.9994198876629525E-7</v>
      </c>
      <c r="BV150" s="173">
        <v>-9.9994198876629525E-7</v>
      </c>
      <c r="BW150" s="173">
        <v>-9.9994198876629525E-7</v>
      </c>
      <c r="BX150" s="173">
        <v>-9.9994198876629525E-7</v>
      </c>
      <c r="BY150" s="173">
        <v>-9.9994198876629525E-7</v>
      </c>
      <c r="BZ150" s="173">
        <v>-9.9994198876629525E-7</v>
      </c>
      <c r="CA150" s="173">
        <v>-9.9994198876629525E-7</v>
      </c>
      <c r="CB150" s="173">
        <v>-9.9994198876629525E-7</v>
      </c>
      <c r="CC150" s="173">
        <v>-9.9994198876629525E-7</v>
      </c>
      <c r="CD150" s="173">
        <v>-9.9994198876629525E-7</v>
      </c>
      <c r="CE150" s="173">
        <v>-9.9994198876629525E-7</v>
      </c>
      <c r="CF150" s="173">
        <v>-9.9994198876629525E-7</v>
      </c>
      <c r="CG150" s="173">
        <v>-9.9994198876629525E-7</v>
      </c>
      <c r="CH150" s="173">
        <v>-9.9994198876629525E-7</v>
      </c>
      <c r="CI150" s="173">
        <v>-9.9994198876629525E-7</v>
      </c>
      <c r="CJ150" s="173">
        <v>-9.9994198876629525E-7</v>
      </c>
      <c r="CK150" s="173">
        <v>-9.9994198876629525E-7</v>
      </c>
      <c r="CL150" s="173">
        <v>-9.9994198876629525E-7</v>
      </c>
      <c r="CM150" s="173">
        <v>-9.9994198876629525E-7</v>
      </c>
      <c r="CN150" s="173">
        <v>-9.9994198876629525E-7</v>
      </c>
      <c r="CO150" s="173">
        <v>-9.9994198876629525E-7</v>
      </c>
      <c r="CP150" s="173">
        <v>-9.9994198876629525E-7</v>
      </c>
      <c r="CQ150" s="173">
        <v>-9.9994198876629525E-7</v>
      </c>
      <c r="CR150" s="173">
        <v>-9.9994198876629525E-7</v>
      </c>
      <c r="CS150" s="173">
        <v>-9.9994198876629525E-7</v>
      </c>
      <c r="CT150" s="173">
        <v>-9.9994198876629525E-7</v>
      </c>
      <c r="CU150" s="173">
        <v>-9.9994198876629525E-7</v>
      </c>
      <c r="CV150" s="173">
        <v>-9.9994198876629525E-7</v>
      </c>
      <c r="CW150" s="173">
        <v>-9.9994198876629525E-7</v>
      </c>
      <c r="CX150" s="174">
        <v>-9.9994195828407124E-7</v>
      </c>
      <c r="CZ150" s="180"/>
      <c r="DC150" s="180">
        <v>-9.9999999999999995E-7</v>
      </c>
      <c r="DE150" s="2">
        <f t="shared" si="416"/>
        <v>44</v>
      </c>
      <c r="DF150" s="141">
        <f t="shared" si="418"/>
        <v>-9.9999999999999995E-7</v>
      </c>
      <c r="DG150" s="142">
        <f t="shared" si="419"/>
        <v>-9.9999999999999995E-7</v>
      </c>
      <c r="DH150" s="141">
        <f t="shared" si="417"/>
        <v>-9.9994198876629525E-7</v>
      </c>
      <c r="DI150" s="142">
        <f t="shared" si="413"/>
        <v>-9.9994195828407124E-7</v>
      </c>
      <c r="DJ150" s="148">
        <f t="shared" si="414"/>
        <v>0</v>
      </c>
      <c r="DK150" s="149">
        <f t="shared" si="415"/>
        <v>0</v>
      </c>
    </row>
    <row r="151" spans="1:115" x14ac:dyDescent="0.2">
      <c r="B151" s="167" t="s">
        <v>46</v>
      </c>
      <c r="C151" s="172">
        <v>-9.9999999999999995E-7</v>
      </c>
      <c r="D151" s="173">
        <v>-9.9999999999999995E-7</v>
      </c>
      <c r="E151" s="173">
        <v>-9.9999999999999995E-7</v>
      </c>
      <c r="F151" s="173">
        <v>-9.9999999999999995E-7</v>
      </c>
      <c r="G151" s="173">
        <v>-9.9999999999999995E-7</v>
      </c>
      <c r="H151" s="173">
        <v>-1.0000000000000008E-6</v>
      </c>
      <c r="I151" s="173">
        <v>-1.0000000000000006E-6</v>
      </c>
      <c r="J151" s="173">
        <v>-1.0000000000000497E-6</v>
      </c>
      <c r="K151" s="173">
        <v>-9.9999999999999763E-7</v>
      </c>
      <c r="L151" s="173">
        <v>-9.9999999999999995E-7</v>
      </c>
      <c r="M151" s="173">
        <v>-1.0000000000000002E-6</v>
      </c>
      <c r="N151" s="173">
        <v>-9.9999999999999784E-7</v>
      </c>
      <c r="O151" s="173">
        <v>-9.9999999999999995E-7</v>
      </c>
      <c r="P151" s="173">
        <v>-1.0000000000000008E-6</v>
      </c>
      <c r="Q151" s="173">
        <v>-1.0000000000000002E-6</v>
      </c>
      <c r="R151" s="173">
        <v>-9.9999999999999995E-7</v>
      </c>
      <c r="S151" s="173">
        <v>-9.9999999999999614E-7</v>
      </c>
      <c r="T151" s="173">
        <v>-9.9999999999999974E-7</v>
      </c>
      <c r="U151" s="173">
        <v>-1.0000000000000006E-6</v>
      </c>
      <c r="V151" s="173">
        <v>-9.9999999999999995E-7</v>
      </c>
      <c r="W151" s="173">
        <v>-9.9999999999999995E-7</v>
      </c>
      <c r="X151" s="173">
        <v>-9.9999999999999826E-7</v>
      </c>
      <c r="Y151" s="173">
        <v>-9.9999999999999974E-7</v>
      </c>
      <c r="Z151" s="173">
        <v>-9.9999999999999297E-7</v>
      </c>
      <c r="AA151" s="173">
        <v>-9.9999999999999995E-7</v>
      </c>
      <c r="AB151" s="173">
        <v>-9.9999999999999995E-7</v>
      </c>
      <c r="AC151" s="173">
        <v>-1.0000000000000016E-6</v>
      </c>
      <c r="AD151" s="173">
        <v>-1.0000000000000012E-6</v>
      </c>
      <c r="AE151" s="173">
        <v>-9.9999999999999995E-7</v>
      </c>
      <c r="AF151" s="173">
        <v>-9.9999999999999995E-7</v>
      </c>
      <c r="AG151" s="173">
        <v>-1.0000000000000004E-6</v>
      </c>
      <c r="AH151" s="173">
        <v>-9.9999999999999995E-7</v>
      </c>
      <c r="AI151" s="173">
        <v>-9.9999999999999995E-7</v>
      </c>
      <c r="AJ151" s="173">
        <v>-9.9999999999999995E-7</v>
      </c>
      <c r="AK151" s="173">
        <v>-9.9999999999999995E-7</v>
      </c>
      <c r="AL151" s="173">
        <v>-9.9999999999999995E-7</v>
      </c>
      <c r="AM151" s="173">
        <v>-9.9999999999999953E-7</v>
      </c>
      <c r="AN151" s="173">
        <v>-1.0000000000000002E-6</v>
      </c>
      <c r="AO151" s="173">
        <v>-9.9999999999998534E-7</v>
      </c>
      <c r="AP151" s="173">
        <v>-1.0000000000000002E-6</v>
      </c>
      <c r="AQ151" s="173">
        <v>-9.9999999999999953E-7</v>
      </c>
      <c r="AR151" s="173">
        <v>-9.9999999999999974E-7</v>
      </c>
      <c r="AS151" s="173">
        <v>-9.9999999999999995E-7</v>
      </c>
      <c r="AT151" s="173">
        <v>-1.0000000000000002E-6</v>
      </c>
      <c r="AU151" s="173">
        <v>-9.9999999999999995E-7</v>
      </c>
      <c r="AV151" s="173">
        <v>-9.9999999999999995E-7</v>
      </c>
      <c r="AW151" s="173">
        <v>-9.9999999999999995E-7</v>
      </c>
      <c r="AX151" s="173">
        <v>-9.9999999999998386E-7</v>
      </c>
      <c r="AY151" s="173">
        <v>-1.000000000000072E-6</v>
      </c>
      <c r="AZ151" s="173">
        <v>-1.0000000000000027E-6</v>
      </c>
      <c r="BA151" s="173">
        <v>-9.9999999999999995E-7</v>
      </c>
      <c r="BB151" s="173">
        <v>-1.0000000000000027E-6</v>
      </c>
      <c r="BC151" s="173">
        <v>-1.0000000000000002E-6</v>
      </c>
      <c r="BD151" s="173">
        <v>-9.9999999999999995E-7</v>
      </c>
      <c r="BE151" s="173">
        <v>-9.9999999999766003E-7</v>
      </c>
      <c r="BF151" s="173">
        <v>-9.9999999993477143E-7</v>
      </c>
      <c r="BG151" s="173">
        <v>-1.0000000000097313E-6</v>
      </c>
      <c r="BH151" s="173">
        <v>-9.9999999999999995E-7</v>
      </c>
      <c r="BI151" s="173">
        <v>-9.9999999997300438E-7</v>
      </c>
      <c r="BJ151" s="173">
        <v>-1.0000000000000019E-6</v>
      </c>
      <c r="BK151" s="173">
        <v>-9.9999999999999995E-7</v>
      </c>
      <c r="BL151" s="173">
        <v>-9.9999999999999953E-7</v>
      </c>
      <c r="BM151" s="173">
        <v>-9.9999999999999995E-7</v>
      </c>
      <c r="BN151" s="173">
        <v>-1.0000000000000002E-6</v>
      </c>
      <c r="BO151" s="173">
        <v>-9.999999999999432E-7</v>
      </c>
      <c r="BP151" s="173">
        <v>-9.9999999999999995E-7</v>
      </c>
      <c r="BQ151" s="173">
        <v>-9.9999999999999657E-7</v>
      </c>
      <c r="BR151" s="173">
        <v>-1.0000000000000061E-6</v>
      </c>
      <c r="BS151" s="173">
        <v>-1.0000000000000031E-6</v>
      </c>
      <c r="BT151" s="173">
        <v>-9.9999999999999995E-7</v>
      </c>
      <c r="BU151" s="173">
        <v>-9.9999999999999339E-7</v>
      </c>
      <c r="BV151" s="173">
        <v>-1.0000000000000019E-6</v>
      </c>
      <c r="BW151" s="173">
        <v>-1.0000000000000004E-6</v>
      </c>
      <c r="BX151" s="173">
        <v>-9.9999999999999127E-7</v>
      </c>
      <c r="BY151" s="173">
        <v>-9.9999999999999995E-7</v>
      </c>
      <c r="BZ151" s="173">
        <v>-1.0000000000682888E-6</v>
      </c>
      <c r="CA151" s="173">
        <v>-9.9999999999997984E-7</v>
      </c>
      <c r="CB151" s="173">
        <v>-1.000000000165846E-6</v>
      </c>
      <c r="CC151" s="173">
        <v>-9.9999999999999995E-7</v>
      </c>
      <c r="CD151" s="173">
        <v>-9.9999999999999995E-7</v>
      </c>
      <c r="CE151" s="173">
        <v>-1.0000000000000383E-6</v>
      </c>
      <c r="CF151" s="173">
        <v>-9.9999999999405357E-7</v>
      </c>
      <c r="CG151" s="173">
        <v>-9.999999999998549E-7</v>
      </c>
      <c r="CH151" s="173">
        <v>-9.9999999999979074E-7</v>
      </c>
      <c r="CI151" s="173">
        <v>-9.9999999999999995E-7</v>
      </c>
      <c r="CJ151" s="173">
        <v>-9.9999999989491895E-7</v>
      </c>
      <c r="CK151" s="173">
        <v>-1.0000000000003729E-6</v>
      </c>
      <c r="CL151" s="173">
        <v>-9.9999999999998068E-7</v>
      </c>
      <c r="CM151" s="173">
        <v>-9.9999999999996565E-7</v>
      </c>
      <c r="CN151" s="173">
        <v>-9.9999999999940131E-7</v>
      </c>
      <c r="CO151" s="173">
        <v>-1.0000000000000052E-6</v>
      </c>
      <c r="CP151" s="173">
        <v>-9.9999999999791519E-7</v>
      </c>
      <c r="CQ151" s="173">
        <v>-1.0000000000080186E-6</v>
      </c>
      <c r="CR151" s="173">
        <v>-9.9999999999958237E-7</v>
      </c>
      <c r="CS151" s="173">
        <v>-1.0000000000159907E-6</v>
      </c>
      <c r="CT151" s="173">
        <v>-1.0000000000000097E-6</v>
      </c>
      <c r="CU151" s="173">
        <v>-9.9999999999986845E-7</v>
      </c>
      <c r="CV151" s="173">
        <v>-9.9999999999981975E-7</v>
      </c>
      <c r="CW151" s="173">
        <v>-1.0000000000000696E-6</v>
      </c>
      <c r="CX151" s="174">
        <v>-9.9999095354107582E-7</v>
      </c>
      <c r="CZ151" s="180"/>
      <c r="DC151" s="180">
        <v>-9.9999999999999995E-7</v>
      </c>
      <c r="DE151" s="2">
        <f t="shared" si="416"/>
        <v>45</v>
      </c>
      <c r="DF151" s="141">
        <f t="shared" si="418"/>
        <v>-9.9999999999999995E-7</v>
      </c>
      <c r="DG151" s="142">
        <f t="shared" si="419"/>
        <v>-9.9999999999999995E-7</v>
      </c>
      <c r="DH151" s="141">
        <f t="shared" si="417"/>
        <v>-1.000000000165846E-6</v>
      </c>
      <c r="DI151" s="142">
        <f t="shared" si="413"/>
        <v>-9.9999095354107582E-7</v>
      </c>
      <c r="DJ151" s="148">
        <f t="shared" si="414"/>
        <v>0</v>
      </c>
      <c r="DK151" s="149">
        <f t="shared" si="415"/>
        <v>0</v>
      </c>
    </row>
    <row r="152" spans="1:115" x14ac:dyDescent="0.2">
      <c r="B152" s="167" t="s">
        <v>47</v>
      </c>
      <c r="C152" s="172">
        <v>-9.9999252256566251E-7</v>
      </c>
      <c r="D152" s="173">
        <v>-9.9999252256566251E-7</v>
      </c>
      <c r="E152" s="173">
        <v>-9.9999252256566251E-7</v>
      </c>
      <c r="F152" s="173">
        <v>-9.9999252256566251E-7</v>
      </c>
      <c r="G152" s="173">
        <v>-9.9999252256566251E-7</v>
      </c>
      <c r="H152" s="173">
        <v>-9.9999252256566251E-7</v>
      </c>
      <c r="I152" s="173">
        <v>-9.9999252256566251E-7</v>
      </c>
      <c r="J152" s="173">
        <v>-9.9999252256566251E-7</v>
      </c>
      <c r="K152" s="173">
        <v>-9.9999252256566251E-7</v>
      </c>
      <c r="L152" s="173">
        <v>-9.9999252256566251E-7</v>
      </c>
      <c r="M152" s="173">
        <v>-9.9999252256566251E-7</v>
      </c>
      <c r="N152" s="173">
        <v>-9.9999252256566251E-7</v>
      </c>
      <c r="O152" s="173">
        <v>-9.9999252256566251E-7</v>
      </c>
      <c r="P152" s="173">
        <v>-9.9999252256566251E-7</v>
      </c>
      <c r="Q152" s="173">
        <v>-9.9999252256566251E-7</v>
      </c>
      <c r="R152" s="173">
        <v>-9.9999252256566251E-7</v>
      </c>
      <c r="S152" s="173">
        <v>-9.9999252256566251E-7</v>
      </c>
      <c r="T152" s="173">
        <v>-9.9999252256566251E-7</v>
      </c>
      <c r="U152" s="173">
        <v>-9.9999252256566251E-7</v>
      </c>
      <c r="V152" s="173">
        <v>-9.9999252256566251E-7</v>
      </c>
      <c r="W152" s="173">
        <v>-9.9999252256566251E-7</v>
      </c>
      <c r="X152" s="173">
        <v>-9.9999252256566251E-7</v>
      </c>
      <c r="Y152" s="173">
        <v>-9.9999252256566251E-7</v>
      </c>
      <c r="Z152" s="173">
        <v>-9.9999252256566251E-7</v>
      </c>
      <c r="AA152" s="173">
        <v>-9.9999252256566251E-7</v>
      </c>
      <c r="AB152" s="173">
        <v>-9.9999252256566251E-7</v>
      </c>
      <c r="AC152" s="173">
        <v>-9.9999252256566251E-7</v>
      </c>
      <c r="AD152" s="173">
        <v>-9.9999252256566251E-7</v>
      </c>
      <c r="AE152" s="173">
        <v>-9.9999252256566251E-7</v>
      </c>
      <c r="AF152" s="173">
        <v>-9.9999252256566251E-7</v>
      </c>
      <c r="AG152" s="173">
        <v>-9.9999252256566251E-7</v>
      </c>
      <c r="AH152" s="173">
        <v>-9.9999252256566251E-7</v>
      </c>
      <c r="AI152" s="173">
        <v>-9.9999252256566251E-7</v>
      </c>
      <c r="AJ152" s="173">
        <v>-9.9999252256566251E-7</v>
      </c>
      <c r="AK152" s="173">
        <v>-9.9999252256566251E-7</v>
      </c>
      <c r="AL152" s="173">
        <v>-9.9999252256566251E-7</v>
      </c>
      <c r="AM152" s="173">
        <v>-9.9999252256566251E-7</v>
      </c>
      <c r="AN152" s="173">
        <v>-9.9999252256566251E-7</v>
      </c>
      <c r="AO152" s="173">
        <v>-9.9999252256566251E-7</v>
      </c>
      <c r="AP152" s="173">
        <v>-9.9999252256566251E-7</v>
      </c>
      <c r="AQ152" s="173">
        <v>-9.9999252256566251E-7</v>
      </c>
      <c r="AR152" s="173">
        <v>-9.9999252256566251E-7</v>
      </c>
      <c r="AS152" s="173">
        <v>-9.9999252256566251E-7</v>
      </c>
      <c r="AT152" s="173">
        <v>-9.9999252256566251E-7</v>
      </c>
      <c r="AU152" s="173">
        <v>-9.9999252256566251E-7</v>
      </c>
      <c r="AV152" s="173">
        <v>-9.9999252256566251E-7</v>
      </c>
      <c r="AW152" s="173">
        <v>-9.9999252256566251E-7</v>
      </c>
      <c r="AX152" s="173">
        <v>-9.9999252256566251E-7</v>
      </c>
      <c r="AY152" s="173">
        <v>-9.9999252256566251E-7</v>
      </c>
      <c r="AZ152" s="173">
        <v>-9.9999252256566251E-7</v>
      </c>
      <c r="BA152" s="173">
        <v>-9.9999252256566251E-7</v>
      </c>
      <c r="BB152" s="173">
        <v>-9.9999252256566251E-7</v>
      </c>
      <c r="BC152" s="173">
        <v>-9.9999252256566251E-7</v>
      </c>
      <c r="BD152" s="173">
        <v>-9.9999252256566251E-7</v>
      </c>
      <c r="BE152" s="173">
        <v>-9.9999252256566251E-7</v>
      </c>
      <c r="BF152" s="173">
        <v>-9.9999252256566251E-7</v>
      </c>
      <c r="BG152" s="173">
        <v>-9.9999252256566251E-7</v>
      </c>
      <c r="BH152" s="173">
        <v>-9.9999252256566251E-7</v>
      </c>
      <c r="BI152" s="173">
        <v>-9.9999252256566251E-7</v>
      </c>
      <c r="BJ152" s="173">
        <v>-9.9999252256566251E-7</v>
      </c>
      <c r="BK152" s="173">
        <v>-9.9999252256566251E-7</v>
      </c>
      <c r="BL152" s="173">
        <v>-9.9999252256566251E-7</v>
      </c>
      <c r="BM152" s="173">
        <v>-9.9999252256566251E-7</v>
      </c>
      <c r="BN152" s="173">
        <v>-9.9999252256566251E-7</v>
      </c>
      <c r="BO152" s="173">
        <v>-9.9999252256566251E-7</v>
      </c>
      <c r="BP152" s="173">
        <v>-9.9999252256566251E-7</v>
      </c>
      <c r="BQ152" s="173">
        <v>-9.9999252256566251E-7</v>
      </c>
      <c r="BR152" s="173">
        <v>-9.9999252256566251E-7</v>
      </c>
      <c r="BS152" s="173">
        <v>-9.9999252256566251E-7</v>
      </c>
      <c r="BT152" s="173">
        <v>-9.9999252256566251E-7</v>
      </c>
      <c r="BU152" s="173">
        <v>-9.9999252256566251E-7</v>
      </c>
      <c r="BV152" s="173">
        <v>-9.9999252256566251E-7</v>
      </c>
      <c r="BW152" s="173">
        <v>-9.9999252256566251E-7</v>
      </c>
      <c r="BX152" s="173">
        <v>-9.9999252256566251E-7</v>
      </c>
      <c r="BY152" s="173">
        <v>-9.9999252256566251E-7</v>
      </c>
      <c r="BZ152" s="173">
        <v>-9.9999252256566251E-7</v>
      </c>
      <c r="CA152" s="173">
        <v>-9.9999252256566251E-7</v>
      </c>
      <c r="CB152" s="173">
        <v>-9.9999252256566251E-7</v>
      </c>
      <c r="CC152" s="173">
        <v>-9.9999252256566251E-7</v>
      </c>
      <c r="CD152" s="173">
        <v>-9.9999252256566251E-7</v>
      </c>
      <c r="CE152" s="173">
        <v>-9.9999252256566251E-7</v>
      </c>
      <c r="CF152" s="173">
        <v>-9.9999252256566251E-7</v>
      </c>
      <c r="CG152" s="173">
        <v>-9.9999252256566251E-7</v>
      </c>
      <c r="CH152" s="173">
        <v>-9.9999252256566251E-7</v>
      </c>
      <c r="CI152" s="173">
        <v>-9.9999252256566251E-7</v>
      </c>
      <c r="CJ152" s="173">
        <v>-9.9999252256566251E-7</v>
      </c>
      <c r="CK152" s="173">
        <v>-9.9999252256566251E-7</v>
      </c>
      <c r="CL152" s="173">
        <v>-9.9999252256566251E-7</v>
      </c>
      <c r="CM152" s="173">
        <v>-9.9999252256566251E-7</v>
      </c>
      <c r="CN152" s="173">
        <v>-9.9999252256566251E-7</v>
      </c>
      <c r="CO152" s="173">
        <v>-9.9999252256566251E-7</v>
      </c>
      <c r="CP152" s="173">
        <v>-9.9999252256566251E-7</v>
      </c>
      <c r="CQ152" s="173">
        <v>-9.9999252256566251E-7</v>
      </c>
      <c r="CR152" s="173">
        <v>-9.9999252256566251E-7</v>
      </c>
      <c r="CS152" s="173">
        <v>-9.9999252256566251E-7</v>
      </c>
      <c r="CT152" s="173">
        <v>-9.9999252256566251E-7</v>
      </c>
      <c r="CU152" s="173">
        <v>-9.9999252256566251E-7</v>
      </c>
      <c r="CV152" s="173">
        <v>-9.9999252256566251E-7</v>
      </c>
      <c r="CW152" s="173">
        <v>-9.9999252256566251E-7</v>
      </c>
      <c r="CX152" s="174">
        <v>-9.9998326073541032E-7</v>
      </c>
      <c r="CZ152" s="180"/>
      <c r="DC152" s="180">
        <v>-9.9999999999999995E-7</v>
      </c>
      <c r="DE152" s="2">
        <f t="shared" si="416"/>
        <v>46</v>
      </c>
      <c r="DF152" s="141">
        <f t="shared" si="418"/>
        <v>-9.9999999999999995E-7</v>
      </c>
      <c r="DG152" s="142">
        <f t="shared" si="419"/>
        <v>-9.9999999999999995E-7</v>
      </c>
      <c r="DH152" s="141">
        <f t="shared" si="417"/>
        <v>-9.9999252256566251E-7</v>
      </c>
      <c r="DI152" s="142">
        <f t="shared" si="413"/>
        <v>-9.9998326073541032E-7</v>
      </c>
      <c r="DJ152" s="148">
        <f t="shared" si="414"/>
        <v>0</v>
      </c>
      <c r="DK152" s="149">
        <f t="shared" si="415"/>
        <v>0</v>
      </c>
    </row>
    <row r="153" spans="1:115" x14ac:dyDescent="0.2">
      <c r="B153" s="167" t="s">
        <v>48</v>
      </c>
      <c r="C153" s="172">
        <v>-2.2599999999982856E-2</v>
      </c>
      <c r="D153" s="173">
        <v>-2.2599999999982856E-2</v>
      </c>
      <c r="E153" s="173">
        <v>-2.2599999999982856E-2</v>
      </c>
      <c r="F153" s="173">
        <v>-2.2599999999982856E-2</v>
      </c>
      <c r="G153" s="173">
        <v>-2.2599999999982856E-2</v>
      </c>
      <c r="H153" s="173">
        <v>-2.2599999999982856E-2</v>
      </c>
      <c r="I153" s="173">
        <v>-2.2599999999982856E-2</v>
      </c>
      <c r="J153" s="173">
        <v>-2.2599999999982856E-2</v>
      </c>
      <c r="K153" s="173">
        <v>-2.2599999999982856E-2</v>
      </c>
      <c r="L153" s="173">
        <v>-2.2599999999982856E-2</v>
      </c>
      <c r="M153" s="173">
        <v>-2.2599999999982856E-2</v>
      </c>
      <c r="N153" s="173">
        <v>-2.2599999999982856E-2</v>
      </c>
      <c r="O153" s="173">
        <v>-2.2599999999982856E-2</v>
      </c>
      <c r="P153" s="173">
        <v>-2.2599999999982856E-2</v>
      </c>
      <c r="Q153" s="173">
        <v>-2.2599999999982856E-2</v>
      </c>
      <c r="R153" s="173">
        <v>-2.2599999999982856E-2</v>
      </c>
      <c r="S153" s="173">
        <v>-2.2599999999982856E-2</v>
      </c>
      <c r="T153" s="173">
        <v>-2.2599999999982856E-2</v>
      </c>
      <c r="U153" s="173">
        <v>-2.2599999999982856E-2</v>
      </c>
      <c r="V153" s="173">
        <v>-2.2599999999982856E-2</v>
      </c>
      <c r="W153" s="173">
        <v>-2.2599999999982856E-2</v>
      </c>
      <c r="X153" s="173">
        <v>-2.2599999999982856E-2</v>
      </c>
      <c r="Y153" s="173">
        <v>-2.2599999999982856E-2</v>
      </c>
      <c r="Z153" s="173">
        <v>-2.2599999999982856E-2</v>
      </c>
      <c r="AA153" s="173">
        <v>-2.2599999999982856E-2</v>
      </c>
      <c r="AB153" s="173">
        <v>-2.2599999999982856E-2</v>
      </c>
      <c r="AC153" s="173">
        <v>-2.2599999999982856E-2</v>
      </c>
      <c r="AD153" s="173">
        <v>-2.2599999999982856E-2</v>
      </c>
      <c r="AE153" s="173">
        <v>-2.2599999999982856E-2</v>
      </c>
      <c r="AF153" s="173">
        <v>-2.2599999999982856E-2</v>
      </c>
      <c r="AG153" s="173">
        <v>-2.2599999999982856E-2</v>
      </c>
      <c r="AH153" s="173">
        <v>-2.2599999999982856E-2</v>
      </c>
      <c r="AI153" s="173">
        <v>-2.2599999999982856E-2</v>
      </c>
      <c r="AJ153" s="173">
        <v>-2.2599999999982856E-2</v>
      </c>
      <c r="AK153" s="173">
        <v>-2.2599999999982856E-2</v>
      </c>
      <c r="AL153" s="173">
        <v>-2.2599999999982856E-2</v>
      </c>
      <c r="AM153" s="173">
        <v>-2.2599999999982856E-2</v>
      </c>
      <c r="AN153" s="173">
        <v>-2.2599999999982856E-2</v>
      </c>
      <c r="AO153" s="173">
        <v>-2.2599999999982856E-2</v>
      </c>
      <c r="AP153" s="173">
        <v>-2.2599999999982856E-2</v>
      </c>
      <c r="AQ153" s="173">
        <v>-2.2599999999982856E-2</v>
      </c>
      <c r="AR153" s="173">
        <v>-2.2599999999982856E-2</v>
      </c>
      <c r="AS153" s="173">
        <v>-2.2599999999982856E-2</v>
      </c>
      <c r="AT153" s="173">
        <v>-2.2599999999982856E-2</v>
      </c>
      <c r="AU153" s="173">
        <v>-2.2599999999982856E-2</v>
      </c>
      <c r="AV153" s="173">
        <v>-2.2599999999982856E-2</v>
      </c>
      <c r="AW153" s="173">
        <v>-2.2599999999982856E-2</v>
      </c>
      <c r="AX153" s="173">
        <v>-2.2599999999982856E-2</v>
      </c>
      <c r="AY153" s="173">
        <v>-2.2599999999982856E-2</v>
      </c>
      <c r="AZ153" s="173">
        <v>-2.2599999999982856E-2</v>
      </c>
      <c r="BA153" s="173">
        <v>-2.2599999999982856E-2</v>
      </c>
      <c r="BB153" s="173">
        <v>-2.2599999999982856E-2</v>
      </c>
      <c r="BC153" s="173">
        <v>-2.2599999999982856E-2</v>
      </c>
      <c r="BD153" s="173">
        <v>-2.2599999999982856E-2</v>
      </c>
      <c r="BE153" s="173">
        <v>-2.2599999999982856E-2</v>
      </c>
      <c r="BF153" s="173">
        <v>-2.2599999999982856E-2</v>
      </c>
      <c r="BG153" s="173">
        <v>-2.2599999999982856E-2</v>
      </c>
      <c r="BH153" s="173">
        <v>-2.2599999999982856E-2</v>
      </c>
      <c r="BI153" s="173">
        <v>-2.2599999999982856E-2</v>
      </c>
      <c r="BJ153" s="173">
        <v>-2.2599999999982856E-2</v>
      </c>
      <c r="BK153" s="173">
        <v>-2.2599999999982856E-2</v>
      </c>
      <c r="BL153" s="173">
        <v>-2.2599999999982856E-2</v>
      </c>
      <c r="BM153" s="173">
        <v>-2.2599999999982856E-2</v>
      </c>
      <c r="BN153" s="173">
        <v>-2.2599999999982856E-2</v>
      </c>
      <c r="BO153" s="173">
        <v>-2.2599999999982856E-2</v>
      </c>
      <c r="BP153" s="173">
        <v>-2.2599999999982856E-2</v>
      </c>
      <c r="BQ153" s="173">
        <v>-2.2599999999982856E-2</v>
      </c>
      <c r="BR153" s="173">
        <v>-2.2599999999982856E-2</v>
      </c>
      <c r="BS153" s="173">
        <v>-2.2599999999982856E-2</v>
      </c>
      <c r="BT153" s="173">
        <v>-2.2599999999982856E-2</v>
      </c>
      <c r="BU153" s="173">
        <v>-2.2599999999982856E-2</v>
      </c>
      <c r="BV153" s="173">
        <v>-2.2599999999982856E-2</v>
      </c>
      <c r="BW153" s="173">
        <v>-2.2599999999982856E-2</v>
      </c>
      <c r="BX153" s="173">
        <v>-2.2599999999982856E-2</v>
      </c>
      <c r="BY153" s="173">
        <v>-2.2599999999982856E-2</v>
      </c>
      <c r="BZ153" s="173">
        <v>-2.2599999999982856E-2</v>
      </c>
      <c r="CA153" s="173">
        <v>-2.2599999999982856E-2</v>
      </c>
      <c r="CB153" s="173">
        <v>-2.2599999999982856E-2</v>
      </c>
      <c r="CC153" s="173">
        <v>-2.2599999999982856E-2</v>
      </c>
      <c r="CD153" s="173">
        <v>-2.2599999999982856E-2</v>
      </c>
      <c r="CE153" s="173">
        <v>-2.2599999999982856E-2</v>
      </c>
      <c r="CF153" s="173">
        <v>-2.2599999999982856E-2</v>
      </c>
      <c r="CG153" s="173">
        <v>-2.2599999999982856E-2</v>
      </c>
      <c r="CH153" s="173">
        <v>-2.2599999999982856E-2</v>
      </c>
      <c r="CI153" s="173">
        <v>-2.2599999999982856E-2</v>
      </c>
      <c r="CJ153" s="173">
        <v>-2.2599999999982856E-2</v>
      </c>
      <c r="CK153" s="173">
        <v>-2.2599999999982856E-2</v>
      </c>
      <c r="CL153" s="173">
        <v>-2.2599999999982856E-2</v>
      </c>
      <c r="CM153" s="173">
        <v>-2.2599999999982856E-2</v>
      </c>
      <c r="CN153" s="173">
        <v>-2.2599999999982856E-2</v>
      </c>
      <c r="CO153" s="173">
        <v>-2.2599999999982856E-2</v>
      </c>
      <c r="CP153" s="173">
        <v>-2.2599999999982856E-2</v>
      </c>
      <c r="CQ153" s="173">
        <v>-2.2599999999982856E-2</v>
      </c>
      <c r="CR153" s="173">
        <v>-2.2599999999982856E-2</v>
      </c>
      <c r="CS153" s="173">
        <v>-2.2599999999982856E-2</v>
      </c>
      <c r="CT153" s="173">
        <v>-2.2599999999982856E-2</v>
      </c>
      <c r="CU153" s="173">
        <v>-2.2599999999982856E-2</v>
      </c>
      <c r="CV153" s="173">
        <v>-2.2599999999982856E-2</v>
      </c>
      <c r="CW153" s="173">
        <v>-2.2599999999982856E-2</v>
      </c>
      <c r="CX153" s="174">
        <v>-2.2599999985942525E-2</v>
      </c>
      <c r="CZ153" s="180"/>
      <c r="DC153" s="180">
        <v>-2.2599999999999999E-2</v>
      </c>
      <c r="DE153" s="2">
        <f t="shared" si="416"/>
        <v>47</v>
      </c>
      <c r="DF153" s="141">
        <f t="shared" si="418"/>
        <v>-2.2599999999999999E-2</v>
      </c>
      <c r="DG153" s="142">
        <f t="shared" si="419"/>
        <v>-2.2599999999999999E-2</v>
      </c>
      <c r="DH153" s="141">
        <f t="shared" si="417"/>
        <v>-2.2599999999982856E-2</v>
      </c>
      <c r="DI153" s="142">
        <f t="shared" si="413"/>
        <v>-2.2599999985942525E-2</v>
      </c>
      <c r="DJ153" s="148">
        <f t="shared" si="414"/>
        <v>0</v>
      </c>
      <c r="DK153" s="149">
        <f t="shared" si="415"/>
        <v>0</v>
      </c>
    </row>
    <row r="154" spans="1:115" x14ac:dyDescent="0.2">
      <c r="B154" s="167" t="s">
        <v>49</v>
      </c>
      <c r="C154" s="172">
        <v>-1.1099999974362618E-2</v>
      </c>
      <c r="D154" s="173">
        <v>-1.1099999974362618E-2</v>
      </c>
      <c r="E154" s="173">
        <v>-1.1099999974362618E-2</v>
      </c>
      <c r="F154" s="173">
        <v>-1.1099999974362618E-2</v>
      </c>
      <c r="G154" s="173">
        <v>-1.1099999974362618E-2</v>
      </c>
      <c r="H154" s="173">
        <v>-1.1099999974362618E-2</v>
      </c>
      <c r="I154" s="173">
        <v>-1.1099999974362618E-2</v>
      </c>
      <c r="J154" s="173">
        <v>-1.1099999974362618E-2</v>
      </c>
      <c r="K154" s="173">
        <v>-1.1099999974362618E-2</v>
      </c>
      <c r="L154" s="173">
        <v>-1.1099999974362618E-2</v>
      </c>
      <c r="M154" s="173">
        <v>-1.1099999974362618E-2</v>
      </c>
      <c r="N154" s="173">
        <v>-1.1099999974362618E-2</v>
      </c>
      <c r="O154" s="173">
        <v>-1.1099999974362618E-2</v>
      </c>
      <c r="P154" s="173">
        <v>-1.1099999974362618E-2</v>
      </c>
      <c r="Q154" s="173">
        <v>-1.1099999974362618E-2</v>
      </c>
      <c r="R154" s="173">
        <v>-1.1099999974362618E-2</v>
      </c>
      <c r="S154" s="173">
        <v>-1.1099999974362618E-2</v>
      </c>
      <c r="T154" s="173">
        <v>-1.1099999974362618E-2</v>
      </c>
      <c r="U154" s="173">
        <v>-1.1099999974362618E-2</v>
      </c>
      <c r="V154" s="173">
        <v>-1.1099999974362618E-2</v>
      </c>
      <c r="W154" s="173">
        <v>-1.1099999974362618E-2</v>
      </c>
      <c r="X154" s="173">
        <v>-1.1099999974362618E-2</v>
      </c>
      <c r="Y154" s="173">
        <v>-1.1099999974362618E-2</v>
      </c>
      <c r="Z154" s="173">
        <v>-1.1099999974362618E-2</v>
      </c>
      <c r="AA154" s="173">
        <v>-1.1099999974362618E-2</v>
      </c>
      <c r="AB154" s="173">
        <v>-1.1099999974362618E-2</v>
      </c>
      <c r="AC154" s="173">
        <v>-1.1099999974362618E-2</v>
      </c>
      <c r="AD154" s="173">
        <v>-1.1099999974362618E-2</v>
      </c>
      <c r="AE154" s="173">
        <v>-1.1099999974362618E-2</v>
      </c>
      <c r="AF154" s="173">
        <v>-1.1099999974362618E-2</v>
      </c>
      <c r="AG154" s="173">
        <v>-1.1099999974362618E-2</v>
      </c>
      <c r="AH154" s="173">
        <v>-1.1099999974362618E-2</v>
      </c>
      <c r="AI154" s="173">
        <v>-1.1099999974362618E-2</v>
      </c>
      <c r="AJ154" s="173">
        <v>-1.1099999974362618E-2</v>
      </c>
      <c r="AK154" s="173">
        <v>-1.1099999974362618E-2</v>
      </c>
      <c r="AL154" s="173">
        <v>-1.1099999974362618E-2</v>
      </c>
      <c r="AM154" s="173">
        <v>-1.1099999974362618E-2</v>
      </c>
      <c r="AN154" s="173">
        <v>-1.1099999974362618E-2</v>
      </c>
      <c r="AO154" s="173">
        <v>-1.1099999974362618E-2</v>
      </c>
      <c r="AP154" s="173">
        <v>-1.1099999974362618E-2</v>
      </c>
      <c r="AQ154" s="173">
        <v>-1.1099999974362618E-2</v>
      </c>
      <c r="AR154" s="173">
        <v>-1.1099999974362618E-2</v>
      </c>
      <c r="AS154" s="173">
        <v>-1.1099999974362618E-2</v>
      </c>
      <c r="AT154" s="173">
        <v>-1.1099999974362618E-2</v>
      </c>
      <c r="AU154" s="173">
        <v>-1.1099999974362618E-2</v>
      </c>
      <c r="AV154" s="173">
        <v>-1.1099999974362618E-2</v>
      </c>
      <c r="AW154" s="173">
        <v>-1.1099999974362618E-2</v>
      </c>
      <c r="AX154" s="173">
        <v>-1.1099999974362618E-2</v>
      </c>
      <c r="AY154" s="173">
        <v>-1.1099999974362618E-2</v>
      </c>
      <c r="AZ154" s="173">
        <v>-1.1099999974362618E-2</v>
      </c>
      <c r="BA154" s="173">
        <v>-1.1099999974362618E-2</v>
      </c>
      <c r="BB154" s="173">
        <v>-1.1099999974362618E-2</v>
      </c>
      <c r="BC154" s="173">
        <v>-1.1099999974362618E-2</v>
      </c>
      <c r="BD154" s="173">
        <v>-1.1099999974362618E-2</v>
      </c>
      <c r="BE154" s="173">
        <v>-1.1099999974362618E-2</v>
      </c>
      <c r="BF154" s="173">
        <v>-1.1099999974362618E-2</v>
      </c>
      <c r="BG154" s="173">
        <v>-1.1099999974362618E-2</v>
      </c>
      <c r="BH154" s="173">
        <v>-1.1099999974362618E-2</v>
      </c>
      <c r="BI154" s="173">
        <v>-1.1099999974362618E-2</v>
      </c>
      <c r="BJ154" s="173">
        <v>-1.1099999974362618E-2</v>
      </c>
      <c r="BK154" s="173">
        <v>-1.1099999974362618E-2</v>
      </c>
      <c r="BL154" s="173">
        <v>-1.1099999974362618E-2</v>
      </c>
      <c r="BM154" s="173">
        <v>-1.1099999974362618E-2</v>
      </c>
      <c r="BN154" s="173">
        <v>-1.1099999974362618E-2</v>
      </c>
      <c r="BO154" s="173">
        <v>-1.1099999974362618E-2</v>
      </c>
      <c r="BP154" s="173">
        <v>-1.1099999974362618E-2</v>
      </c>
      <c r="BQ154" s="173">
        <v>-1.1099999974362618E-2</v>
      </c>
      <c r="BR154" s="173">
        <v>-1.1099999974362618E-2</v>
      </c>
      <c r="BS154" s="173">
        <v>-1.1099999974362618E-2</v>
      </c>
      <c r="BT154" s="173">
        <v>-1.1099999974362618E-2</v>
      </c>
      <c r="BU154" s="173">
        <v>-1.1099999974362618E-2</v>
      </c>
      <c r="BV154" s="173">
        <v>-1.1099999974362618E-2</v>
      </c>
      <c r="BW154" s="173">
        <v>-1.1099999974362618E-2</v>
      </c>
      <c r="BX154" s="173">
        <v>-1.1099999974362618E-2</v>
      </c>
      <c r="BY154" s="173">
        <v>-1.1099999974362618E-2</v>
      </c>
      <c r="BZ154" s="173">
        <v>-1.1099999974362618E-2</v>
      </c>
      <c r="CA154" s="173">
        <v>-1.1099999974362618E-2</v>
      </c>
      <c r="CB154" s="173">
        <v>-1.1099999974362618E-2</v>
      </c>
      <c r="CC154" s="173">
        <v>-1.1099999974362618E-2</v>
      </c>
      <c r="CD154" s="173">
        <v>-1.1099999974362618E-2</v>
      </c>
      <c r="CE154" s="173">
        <v>-1.1099999974362618E-2</v>
      </c>
      <c r="CF154" s="173">
        <v>-1.1099999974362618E-2</v>
      </c>
      <c r="CG154" s="173">
        <v>-1.1099999974362618E-2</v>
      </c>
      <c r="CH154" s="173">
        <v>-1.1099999974362618E-2</v>
      </c>
      <c r="CI154" s="173">
        <v>-1.1099999974362618E-2</v>
      </c>
      <c r="CJ154" s="173">
        <v>-1.1099999974362618E-2</v>
      </c>
      <c r="CK154" s="173">
        <v>-1.1099999974362618E-2</v>
      </c>
      <c r="CL154" s="173">
        <v>-1.1099999974362618E-2</v>
      </c>
      <c r="CM154" s="173">
        <v>-1.1099999974362618E-2</v>
      </c>
      <c r="CN154" s="173">
        <v>-1.1099999974362618E-2</v>
      </c>
      <c r="CO154" s="173">
        <v>-1.1099999974362618E-2</v>
      </c>
      <c r="CP154" s="173">
        <v>-1.1099999974362618E-2</v>
      </c>
      <c r="CQ154" s="173">
        <v>-1.1099999974362618E-2</v>
      </c>
      <c r="CR154" s="173">
        <v>-1.1099999974362618E-2</v>
      </c>
      <c r="CS154" s="173">
        <v>-1.1099999974362618E-2</v>
      </c>
      <c r="CT154" s="173">
        <v>-1.1099999974362618E-2</v>
      </c>
      <c r="CU154" s="173">
        <v>-1.1099999974362618E-2</v>
      </c>
      <c r="CV154" s="173">
        <v>-1.1099999974362618E-2</v>
      </c>
      <c r="CW154" s="173">
        <v>-1.1099999974362618E-2</v>
      </c>
      <c r="CX154" s="174">
        <v>-1.1099999974362616E-2</v>
      </c>
      <c r="CZ154" s="180"/>
      <c r="DC154" s="180">
        <v>-1.11E-2</v>
      </c>
      <c r="DE154" s="2">
        <f t="shared" si="416"/>
        <v>48</v>
      </c>
      <c r="DF154" s="141">
        <f t="shared" si="418"/>
        <v>-1.11E-2</v>
      </c>
      <c r="DG154" s="142">
        <f t="shared" si="419"/>
        <v>-1.11E-2</v>
      </c>
      <c r="DH154" s="141">
        <f t="shared" si="417"/>
        <v>-1.1099999974362618E-2</v>
      </c>
      <c r="DI154" s="142">
        <f t="shared" si="413"/>
        <v>-1.1099999974362616E-2</v>
      </c>
      <c r="DJ154" s="148">
        <f t="shared" si="414"/>
        <v>0</v>
      </c>
      <c r="DK154" s="149">
        <f t="shared" si="415"/>
        <v>0</v>
      </c>
    </row>
    <row r="155" spans="1:115" x14ac:dyDescent="0.2">
      <c r="B155" s="167" t="s">
        <v>50</v>
      </c>
      <c r="C155" s="172">
        <v>-9.9999999747524271E-7</v>
      </c>
      <c r="D155" s="173">
        <v>-9.9999999747524271E-7</v>
      </c>
      <c r="E155" s="173">
        <v>-9.9999999747524271E-7</v>
      </c>
      <c r="F155" s="173">
        <v>-9.9999999747524271E-7</v>
      </c>
      <c r="G155" s="173">
        <v>-9.9999999747524271E-7</v>
      </c>
      <c r="H155" s="173">
        <v>-9.9999999747524271E-7</v>
      </c>
      <c r="I155" s="173">
        <v>-9.9999999747524271E-7</v>
      </c>
      <c r="J155" s="173">
        <v>-9.9999999747524271E-7</v>
      </c>
      <c r="K155" s="173">
        <v>-9.9999999747524271E-7</v>
      </c>
      <c r="L155" s="173">
        <v>-9.9999999747524271E-7</v>
      </c>
      <c r="M155" s="173">
        <v>-9.9999999747524271E-7</v>
      </c>
      <c r="N155" s="173">
        <v>-9.9999999747524271E-7</v>
      </c>
      <c r="O155" s="173">
        <v>-9.9999999747524271E-7</v>
      </c>
      <c r="P155" s="173">
        <v>-9.9999999747524271E-7</v>
      </c>
      <c r="Q155" s="173">
        <v>-9.9999999747524271E-7</v>
      </c>
      <c r="R155" s="173">
        <v>-9.9999999747524271E-7</v>
      </c>
      <c r="S155" s="173">
        <v>-9.9999999747524271E-7</v>
      </c>
      <c r="T155" s="173">
        <v>-9.9999999747524271E-7</v>
      </c>
      <c r="U155" s="173">
        <v>-9.9999999747524271E-7</v>
      </c>
      <c r="V155" s="173">
        <v>-9.9999999747524271E-7</v>
      </c>
      <c r="W155" s="173">
        <v>-9.9999999747524271E-7</v>
      </c>
      <c r="X155" s="173">
        <v>-9.9999999747524271E-7</v>
      </c>
      <c r="Y155" s="173">
        <v>-9.9999999747524271E-7</v>
      </c>
      <c r="Z155" s="173">
        <v>-9.9999999747524271E-7</v>
      </c>
      <c r="AA155" s="173">
        <v>-9.9999999747524271E-7</v>
      </c>
      <c r="AB155" s="173">
        <v>-9.9999999747524271E-7</v>
      </c>
      <c r="AC155" s="173">
        <v>-9.9999999747524271E-7</v>
      </c>
      <c r="AD155" s="173">
        <v>-9.9999999747524271E-7</v>
      </c>
      <c r="AE155" s="173">
        <v>-9.9999999747524271E-7</v>
      </c>
      <c r="AF155" s="173">
        <v>-9.9999999747524271E-7</v>
      </c>
      <c r="AG155" s="173">
        <v>-9.9999999747524271E-7</v>
      </c>
      <c r="AH155" s="173">
        <v>-9.9999999747524271E-7</v>
      </c>
      <c r="AI155" s="173">
        <v>-9.9999999747524271E-7</v>
      </c>
      <c r="AJ155" s="173">
        <v>-9.9999999747524271E-7</v>
      </c>
      <c r="AK155" s="173">
        <v>-9.9999999747524271E-7</v>
      </c>
      <c r="AL155" s="173">
        <v>-9.9999999747524271E-7</v>
      </c>
      <c r="AM155" s="173">
        <v>-9.9999999747524271E-7</v>
      </c>
      <c r="AN155" s="173">
        <v>-9.9999999747524271E-7</v>
      </c>
      <c r="AO155" s="173">
        <v>-9.9999999747524271E-7</v>
      </c>
      <c r="AP155" s="173">
        <v>-9.9999999747524271E-7</v>
      </c>
      <c r="AQ155" s="173">
        <v>-9.9999999747524271E-7</v>
      </c>
      <c r="AR155" s="173">
        <v>-9.9999999747524271E-7</v>
      </c>
      <c r="AS155" s="173">
        <v>-9.9999999747524271E-7</v>
      </c>
      <c r="AT155" s="173">
        <v>-9.9999999747524271E-7</v>
      </c>
      <c r="AU155" s="173">
        <v>-9.9999999747524271E-7</v>
      </c>
      <c r="AV155" s="173">
        <v>-9.9999999747524271E-7</v>
      </c>
      <c r="AW155" s="173">
        <v>-9.9999999747524271E-7</v>
      </c>
      <c r="AX155" s="173">
        <v>-9.9999999747524271E-7</v>
      </c>
      <c r="AY155" s="173">
        <v>-9.9999999747524271E-7</v>
      </c>
      <c r="AZ155" s="173">
        <v>-9.9999999747524271E-7</v>
      </c>
      <c r="BA155" s="173">
        <v>-9.9999999747524271E-7</v>
      </c>
      <c r="BB155" s="173">
        <v>-9.9999999747524271E-7</v>
      </c>
      <c r="BC155" s="173">
        <v>-9.9999999747524271E-7</v>
      </c>
      <c r="BD155" s="173">
        <v>-9.9999999747524271E-7</v>
      </c>
      <c r="BE155" s="173">
        <v>-9.9999999747524271E-7</v>
      </c>
      <c r="BF155" s="173">
        <v>-9.9999999747524271E-7</v>
      </c>
      <c r="BG155" s="173">
        <v>-9.9999999747524271E-7</v>
      </c>
      <c r="BH155" s="173">
        <v>-9.9999999747524271E-7</v>
      </c>
      <c r="BI155" s="173">
        <v>-9.9999999747524271E-7</v>
      </c>
      <c r="BJ155" s="173">
        <v>-9.9999999747524271E-7</v>
      </c>
      <c r="BK155" s="173">
        <v>-9.9999999747524271E-7</v>
      </c>
      <c r="BL155" s="173">
        <v>-9.9999999747524271E-7</v>
      </c>
      <c r="BM155" s="173">
        <v>-9.9999999747524271E-7</v>
      </c>
      <c r="BN155" s="173">
        <v>-9.9999999747524271E-7</v>
      </c>
      <c r="BO155" s="173">
        <v>-9.9999999747524271E-7</v>
      </c>
      <c r="BP155" s="173">
        <v>-9.9999999747524271E-7</v>
      </c>
      <c r="BQ155" s="173">
        <v>-9.9999999747524271E-7</v>
      </c>
      <c r="BR155" s="173">
        <v>-9.9999999747524271E-7</v>
      </c>
      <c r="BS155" s="173">
        <v>-9.9999999747524271E-7</v>
      </c>
      <c r="BT155" s="173">
        <v>-9.9999999747524271E-7</v>
      </c>
      <c r="BU155" s="173">
        <v>-9.9999999747524271E-7</v>
      </c>
      <c r="BV155" s="173">
        <v>-9.9999999747524271E-7</v>
      </c>
      <c r="BW155" s="173">
        <v>-9.9999999747524271E-7</v>
      </c>
      <c r="BX155" s="173">
        <v>-9.9999999747524271E-7</v>
      </c>
      <c r="BY155" s="173">
        <v>-9.9999999747524271E-7</v>
      </c>
      <c r="BZ155" s="173">
        <v>-9.9999999747524271E-7</v>
      </c>
      <c r="CA155" s="173">
        <v>-9.9999999747524271E-7</v>
      </c>
      <c r="CB155" s="173">
        <v>-9.9999999747524271E-7</v>
      </c>
      <c r="CC155" s="173">
        <v>-9.9999999747524271E-7</v>
      </c>
      <c r="CD155" s="173">
        <v>-9.9999999747524271E-7</v>
      </c>
      <c r="CE155" s="173">
        <v>-9.9999999747524271E-7</v>
      </c>
      <c r="CF155" s="173">
        <v>-9.9999999747524271E-7</v>
      </c>
      <c r="CG155" s="173">
        <v>-9.9999999747524271E-7</v>
      </c>
      <c r="CH155" s="173">
        <v>-9.9999999747524271E-7</v>
      </c>
      <c r="CI155" s="173">
        <v>-9.9999999747524271E-7</v>
      </c>
      <c r="CJ155" s="173">
        <v>-9.9999999747524271E-7</v>
      </c>
      <c r="CK155" s="173">
        <v>-9.9999999747524271E-7</v>
      </c>
      <c r="CL155" s="173">
        <v>-9.9999999747524271E-7</v>
      </c>
      <c r="CM155" s="173">
        <v>-9.9999999747524271E-7</v>
      </c>
      <c r="CN155" s="173">
        <v>-9.9999999747524271E-7</v>
      </c>
      <c r="CO155" s="173">
        <v>-9.9999999747524271E-7</v>
      </c>
      <c r="CP155" s="173">
        <v>-9.9999999747524271E-7</v>
      </c>
      <c r="CQ155" s="173">
        <v>-9.9999999747524271E-7</v>
      </c>
      <c r="CR155" s="173">
        <v>-9.9999999747524271E-7</v>
      </c>
      <c r="CS155" s="173">
        <v>-9.9999999747524271E-7</v>
      </c>
      <c r="CT155" s="173">
        <v>-9.9999999747524271E-7</v>
      </c>
      <c r="CU155" s="173">
        <v>-9.9999999747524271E-7</v>
      </c>
      <c r="CV155" s="173">
        <v>-9.9999999747524271E-7</v>
      </c>
      <c r="CW155" s="173">
        <v>-9.9999999747524271E-7</v>
      </c>
      <c r="CX155" s="174">
        <v>-9.9998594532821098E-7</v>
      </c>
      <c r="CZ155" s="180"/>
      <c r="DC155" s="180">
        <v>-9.9999999999999995E-7</v>
      </c>
      <c r="DE155" s="2">
        <f t="shared" si="416"/>
        <v>49</v>
      </c>
      <c r="DF155" s="141">
        <f t="shared" si="418"/>
        <v>-9.9999999999999995E-7</v>
      </c>
      <c r="DG155" s="142">
        <f t="shared" si="419"/>
        <v>-9.9999999999999995E-7</v>
      </c>
      <c r="DH155" s="141">
        <f t="shared" si="417"/>
        <v>-9.9999999747524271E-7</v>
      </c>
      <c r="DI155" s="142">
        <f t="shared" si="413"/>
        <v>-9.9998594532821098E-7</v>
      </c>
      <c r="DJ155" s="148">
        <f t="shared" si="414"/>
        <v>0</v>
      </c>
      <c r="DK155" s="149">
        <f t="shared" si="415"/>
        <v>0</v>
      </c>
    </row>
    <row r="156" spans="1:115" x14ac:dyDescent="0.2">
      <c r="B156" s="168" t="s">
        <v>51</v>
      </c>
      <c r="C156" s="175">
        <v>-2.7652999999999999</v>
      </c>
      <c r="D156" s="176">
        <v>-2.7652999999999999</v>
      </c>
      <c r="E156" s="176">
        <v>-2.7652999999999999</v>
      </c>
      <c r="F156" s="176">
        <v>-2.7652999999999999</v>
      </c>
      <c r="G156" s="176">
        <v>-2.7652999999999999</v>
      </c>
      <c r="H156" s="176">
        <v>-2.7652999999999999</v>
      </c>
      <c r="I156" s="176">
        <v>-2.7652999999999999</v>
      </c>
      <c r="J156" s="176">
        <v>-2.7652999999999999</v>
      </c>
      <c r="K156" s="176">
        <v>-2.7652999999999999</v>
      </c>
      <c r="L156" s="176">
        <v>-2.7652999999999999</v>
      </c>
      <c r="M156" s="176">
        <v>-2.7652999999999999</v>
      </c>
      <c r="N156" s="176">
        <v>-2.7652999999999999</v>
      </c>
      <c r="O156" s="176">
        <v>-2.7652999999999999</v>
      </c>
      <c r="P156" s="176">
        <v>-2.7652999999999999</v>
      </c>
      <c r="Q156" s="176">
        <v>-2.7652999999999999</v>
      </c>
      <c r="R156" s="176">
        <v>-2.7652999999999999</v>
      </c>
      <c r="S156" s="176">
        <v>-2.7652999999999999</v>
      </c>
      <c r="T156" s="176">
        <v>-2.7652999999999999</v>
      </c>
      <c r="U156" s="176">
        <v>-2.7652999999999999</v>
      </c>
      <c r="V156" s="176">
        <v>-2.7652999999999999</v>
      </c>
      <c r="W156" s="176">
        <v>-2.7652999999999999</v>
      </c>
      <c r="X156" s="176">
        <v>-2.7652999999999999</v>
      </c>
      <c r="Y156" s="176">
        <v>-2.7652999999999999</v>
      </c>
      <c r="Z156" s="176">
        <v>-2.7652999999999999</v>
      </c>
      <c r="AA156" s="176">
        <v>-2.7652999999999999</v>
      </c>
      <c r="AB156" s="176">
        <v>-2.7652999999999999</v>
      </c>
      <c r="AC156" s="176">
        <v>-2.7652999999999999</v>
      </c>
      <c r="AD156" s="176">
        <v>-2.7652999999999999</v>
      </c>
      <c r="AE156" s="176">
        <v>-2.7652999999999999</v>
      </c>
      <c r="AF156" s="176">
        <v>-2.7652999999999999</v>
      </c>
      <c r="AG156" s="176">
        <v>-2.7652999999999999</v>
      </c>
      <c r="AH156" s="176">
        <v>-2.7652999999999999</v>
      </c>
      <c r="AI156" s="176">
        <v>-2.7652999999999999</v>
      </c>
      <c r="AJ156" s="176">
        <v>-2.7652999999999999</v>
      </c>
      <c r="AK156" s="176">
        <v>-2.7652999999999999</v>
      </c>
      <c r="AL156" s="176">
        <v>-2.7652999999999999</v>
      </c>
      <c r="AM156" s="176">
        <v>-2.7652999999999999</v>
      </c>
      <c r="AN156" s="176">
        <v>-2.7652999999999999</v>
      </c>
      <c r="AO156" s="176">
        <v>-2.7652999999999999</v>
      </c>
      <c r="AP156" s="176">
        <v>-2.7652999999999999</v>
      </c>
      <c r="AQ156" s="176">
        <v>-2.7652999999999999</v>
      </c>
      <c r="AR156" s="176">
        <v>-2.7652999999999999</v>
      </c>
      <c r="AS156" s="176">
        <v>-2.7652999999999999</v>
      </c>
      <c r="AT156" s="176">
        <v>-2.7652999999999999</v>
      </c>
      <c r="AU156" s="176">
        <v>-2.7652999999999999</v>
      </c>
      <c r="AV156" s="176">
        <v>-2.7652999999999999</v>
      </c>
      <c r="AW156" s="176">
        <v>-2.7652999999999999</v>
      </c>
      <c r="AX156" s="176">
        <v>-2.7652999999999999</v>
      </c>
      <c r="AY156" s="176">
        <v>-2.7652999999999999</v>
      </c>
      <c r="AZ156" s="176">
        <v>-2.7652999999999999</v>
      </c>
      <c r="BA156" s="176">
        <v>-2.7652999999999999</v>
      </c>
      <c r="BB156" s="176">
        <v>-2.7652999999999999</v>
      </c>
      <c r="BC156" s="176">
        <v>-2.7652999999999999</v>
      </c>
      <c r="BD156" s="176">
        <v>-2.7652999999999999</v>
      </c>
      <c r="BE156" s="176">
        <v>-2.7652999999999999</v>
      </c>
      <c r="BF156" s="176">
        <v>-2.7653000000000003</v>
      </c>
      <c r="BG156" s="176">
        <v>-2.7652999999999999</v>
      </c>
      <c r="BH156" s="176">
        <v>-2.7652999999999999</v>
      </c>
      <c r="BI156" s="176">
        <v>-2.7652999999999999</v>
      </c>
      <c r="BJ156" s="176">
        <v>-2.7652999999999999</v>
      </c>
      <c r="BK156" s="176">
        <v>-2.7652999999999999</v>
      </c>
      <c r="BL156" s="176">
        <v>-2.7652999999999999</v>
      </c>
      <c r="BM156" s="176">
        <v>-2.7652999999999999</v>
      </c>
      <c r="BN156" s="176">
        <v>-2.7652999999999999</v>
      </c>
      <c r="BO156" s="176">
        <v>-2.7652999999999999</v>
      </c>
      <c r="BP156" s="176">
        <v>-2.7652999999999999</v>
      </c>
      <c r="BQ156" s="176">
        <v>-2.7652999999999999</v>
      </c>
      <c r="BR156" s="176">
        <v>-2.7652999999999999</v>
      </c>
      <c r="BS156" s="176">
        <v>-2.7652999999999999</v>
      </c>
      <c r="BT156" s="176">
        <v>-2.7652999999999999</v>
      </c>
      <c r="BU156" s="176">
        <v>-2.7652999999999999</v>
      </c>
      <c r="BV156" s="176">
        <v>-2.7652999999999999</v>
      </c>
      <c r="BW156" s="176">
        <v>-2.7652999999999999</v>
      </c>
      <c r="BX156" s="176">
        <v>-2.7652999999999999</v>
      </c>
      <c r="BY156" s="176">
        <v>-2.7652999999999999</v>
      </c>
      <c r="BZ156" s="176">
        <v>-2.7652999999999994</v>
      </c>
      <c r="CA156" s="176">
        <v>-2.7652999999999999</v>
      </c>
      <c r="CB156" s="176">
        <v>-2.7652999999999994</v>
      </c>
      <c r="CC156" s="176">
        <v>-2.7652999999999999</v>
      </c>
      <c r="CD156" s="176">
        <v>-2.7652999999999999</v>
      </c>
      <c r="CE156" s="176">
        <v>-2.7652999999999999</v>
      </c>
      <c r="CF156" s="176">
        <v>-2.7652999999999994</v>
      </c>
      <c r="CG156" s="176">
        <v>-2.7652999999999999</v>
      </c>
      <c r="CH156" s="176">
        <v>-2.7652999999999999</v>
      </c>
      <c r="CI156" s="176">
        <v>-2.7652999999999999</v>
      </c>
      <c r="CJ156" s="176">
        <v>-2.765299999999999</v>
      </c>
      <c r="CK156" s="176">
        <v>-2.7652999999999999</v>
      </c>
      <c r="CL156" s="176">
        <v>-2.7652999999999999</v>
      </c>
      <c r="CM156" s="176">
        <v>-2.7652999999999999</v>
      </c>
      <c r="CN156" s="176">
        <v>-2.7652999999999999</v>
      </c>
      <c r="CO156" s="176">
        <v>-2.7652999999999999</v>
      </c>
      <c r="CP156" s="176">
        <v>-2.7652999999999985</v>
      </c>
      <c r="CQ156" s="176">
        <v>-2.7653000000000008</v>
      </c>
      <c r="CR156" s="176">
        <v>-2.765299999999999</v>
      </c>
      <c r="CS156" s="176">
        <v>-2.7653000000000012</v>
      </c>
      <c r="CT156" s="176">
        <v>-2.7652999999999999</v>
      </c>
      <c r="CU156" s="176">
        <v>-2.7652999999999999</v>
      </c>
      <c r="CV156" s="176">
        <v>-2.7652999999999999</v>
      </c>
      <c r="CW156" s="176">
        <v>-2.7652999999999999</v>
      </c>
      <c r="CX156" s="177">
        <v>-2.7652999999899124</v>
      </c>
      <c r="CZ156" s="181"/>
      <c r="DC156" s="181">
        <v>-2.7652999999999999</v>
      </c>
      <c r="DE156" s="2">
        <f t="shared" si="416"/>
        <v>50</v>
      </c>
      <c r="DF156" s="143">
        <f t="shared" si="418"/>
        <v>-2.7652999999999999</v>
      </c>
      <c r="DG156" s="144">
        <f t="shared" si="419"/>
        <v>-2.7652999999999999</v>
      </c>
      <c r="DH156" s="143">
        <f t="shared" si="417"/>
        <v>-2.7653000000000012</v>
      </c>
      <c r="DI156" s="144">
        <f t="shared" si="413"/>
        <v>-2.7652999999899124</v>
      </c>
      <c r="DJ156" s="150">
        <f t="shared" si="414"/>
        <v>0</v>
      </c>
      <c r="DK156" s="151">
        <f t="shared" si="415"/>
        <v>0</v>
      </c>
    </row>
    <row r="157" spans="1:115" x14ac:dyDescent="0.2">
      <c r="B157" s="2"/>
      <c r="DJ157" s="145"/>
      <c r="DK157" s="145"/>
    </row>
    <row r="158" spans="1:115" x14ac:dyDescent="0.2">
      <c r="B158" s="2" t="s">
        <v>121</v>
      </c>
      <c r="DJ158" s="145"/>
      <c r="DK158" s="145"/>
    </row>
    <row r="159" spans="1:115" x14ac:dyDescent="0.2">
      <c r="A159" s="2" t="s">
        <v>120</v>
      </c>
      <c r="B159" s="160">
        <v>1</v>
      </c>
      <c r="C159" s="130">
        <f t="shared" ref="C159:J163" si="420">SUMPRODUCT(INDEX($T$42:$Y$91,,$B159),C$107:C$156)</f>
        <v>0.16541858316943614</v>
      </c>
      <c r="D159" s="131">
        <f t="shared" si="420"/>
        <v>0.17360199842606616</v>
      </c>
      <c r="E159" s="131">
        <f t="shared" si="420"/>
        <v>0.18306907063254305</v>
      </c>
      <c r="F159" s="131">
        <f t="shared" si="420"/>
        <v>0.1910057338927392</v>
      </c>
      <c r="G159" s="131">
        <f t="shared" si="420"/>
        <v>0.20019882640002581</v>
      </c>
      <c r="H159" s="131">
        <f t="shared" si="420"/>
        <v>0.19943392667840448</v>
      </c>
      <c r="I159" s="131">
        <f t="shared" si="420"/>
        <v>0.19381878682316625</v>
      </c>
      <c r="J159" s="131">
        <f t="shared" si="420"/>
        <v>0.19390731518663387</v>
      </c>
      <c r="K159" s="131">
        <f t="shared" ref="K159:L164" si="421">SUMPRODUCT(INDEX($T$42:$Y$91,,$B159),K$107:K$156)</f>
        <v>0.19078064535666486</v>
      </c>
      <c r="L159" s="131">
        <f t="shared" si="421"/>
        <v>0.19379033293629633</v>
      </c>
      <c r="M159" s="131">
        <f t="shared" ref="M159:V163" si="422">SUMPRODUCT(INDEX($T$42:$Y$91,,$B159),M$107:M$156)</f>
        <v>0.19231386860432742</v>
      </c>
      <c r="N159" s="131">
        <f t="shared" si="422"/>
        <v>0.18520293821793388</v>
      </c>
      <c r="O159" s="131">
        <f t="shared" si="422"/>
        <v>0.1819838630015693</v>
      </c>
      <c r="P159" s="131">
        <f t="shared" si="422"/>
        <v>0.17961008275023765</v>
      </c>
      <c r="Q159" s="131">
        <f t="shared" si="422"/>
        <v>0.17217689040571882</v>
      </c>
      <c r="R159" s="131">
        <f t="shared" si="422"/>
        <v>0.16524230475780763</v>
      </c>
      <c r="S159" s="131">
        <f t="shared" si="422"/>
        <v>0.15796376117339797</v>
      </c>
      <c r="T159" s="131">
        <f t="shared" si="422"/>
        <v>0.14990451288418419</v>
      </c>
      <c r="U159" s="131">
        <f t="shared" si="422"/>
        <v>0.1489</v>
      </c>
      <c r="V159" s="131">
        <f t="shared" si="422"/>
        <v>0.1489</v>
      </c>
      <c r="W159" s="131">
        <f t="shared" ref="W159:AF163" si="423">SUMPRODUCT(INDEX($T$42:$Y$91,,$B159),W$107:W$156)</f>
        <v>0.1489</v>
      </c>
      <c r="X159" s="131">
        <f t="shared" si="423"/>
        <v>0.1489</v>
      </c>
      <c r="Y159" s="131">
        <f t="shared" si="423"/>
        <v>0.1489</v>
      </c>
      <c r="Z159" s="131">
        <f t="shared" si="423"/>
        <v>0.1489</v>
      </c>
      <c r="AA159" s="131">
        <f t="shared" si="423"/>
        <v>0.1489</v>
      </c>
      <c r="AB159" s="131">
        <f t="shared" si="423"/>
        <v>0.1489</v>
      </c>
      <c r="AC159" s="131">
        <f t="shared" si="423"/>
        <v>0.14889999999999998</v>
      </c>
      <c r="AD159" s="131">
        <f t="shared" si="423"/>
        <v>0.1489</v>
      </c>
      <c r="AE159" s="131">
        <f t="shared" si="423"/>
        <v>0.1489</v>
      </c>
      <c r="AF159" s="131">
        <f t="shared" si="423"/>
        <v>0.14890000000000003</v>
      </c>
      <c r="AG159" s="131">
        <f t="shared" ref="AG159:AP163" si="424">SUMPRODUCT(INDEX($T$42:$Y$91,,$B159),AG$107:AG$156)</f>
        <v>0.1489</v>
      </c>
      <c r="AH159" s="131">
        <f t="shared" si="424"/>
        <v>0.1489</v>
      </c>
      <c r="AI159" s="131">
        <f t="shared" si="424"/>
        <v>0.1489</v>
      </c>
      <c r="AJ159" s="131">
        <f t="shared" si="424"/>
        <v>0.1489</v>
      </c>
      <c r="AK159" s="131">
        <f t="shared" si="424"/>
        <v>0.1489</v>
      </c>
      <c r="AL159" s="131">
        <f t="shared" si="424"/>
        <v>0.1489</v>
      </c>
      <c r="AM159" s="131">
        <f t="shared" si="424"/>
        <v>0.1489</v>
      </c>
      <c r="AN159" s="131">
        <f t="shared" si="424"/>
        <v>0.1489</v>
      </c>
      <c r="AO159" s="131">
        <f t="shared" si="424"/>
        <v>0.14890000000000003</v>
      </c>
      <c r="AP159" s="131">
        <f t="shared" si="424"/>
        <v>0.14889999999999998</v>
      </c>
      <c r="AQ159" s="131">
        <f t="shared" ref="AQ159:AZ163" si="425">SUMPRODUCT(INDEX($T$42:$Y$91,,$B159),AQ$107:AQ$156)</f>
        <v>0.1489</v>
      </c>
      <c r="AR159" s="131">
        <f t="shared" si="425"/>
        <v>0.1489</v>
      </c>
      <c r="AS159" s="131">
        <f t="shared" si="425"/>
        <v>0.1489</v>
      </c>
      <c r="AT159" s="131">
        <f t="shared" si="425"/>
        <v>0.1489</v>
      </c>
      <c r="AU159" s="131">
        <f t="shared" si="425"/>
        <v>0.14890000000000003</v>
      </c>
      <c r="AV159" s="131">
        <f t="shared" si="425"/>
        <v>0.14889999999999998</v>
      </c>
      <c r="AW159" s="131">
        <f t="shared" si="425"/>
        <v>0.1489</v>
      </c>
      <c r="AX159" s="131">
        <f t="shared" si="425"/>
        <v>0.1489</v>
      </c>
      <c r="AY159" s="131">
        <f t="shared" si="425"/>
        <v>0.1489</v>
      </c>
      <c r="AZ159" s="131">
        <f t="shared" si="425"/>
        <v>0.1489</v>
      </c>
      <c r="BA159" s="131">
        <f t="shared" ref="BA159:BJ163" si="426">SUMPRODUCT(INDEX($T$42:$Y$91,,$B159),BA$107:BA$156)</f>
        <v>0.1489</v>
      </c>
      <c r="BB159" s="131">
        <f t="shared" si="426"/>
        <v>0.1489</v>
      </c>
      <c r="BC159" s="131">
        <f t="shared" si="426"/>
        <v>0.1489</v>
      </c>
      <c r="BD159" s="131">
        <f t="shared" si="426"/>
        <v>0.1489</v>
      </c>
      <c r="BE159" s="131">
        <f t="shared" si="426"/>
        <v>0.14890000000000025</v>
      </c>
      <c r="BF159" s="131">
        <f t="shared" si="426"/>
        <v>0.14890000000000023</v>
      </c>
      <c r="BG159" s="131">
        <f t="shared" si="426"/>
        <v>0.14890000000000017</v>
      </c>
      <c r="BH159" s="131">
        <f t="shared" si="426"/>
        <v>0.1489</v>
      </c>
      <c r="BI159" s="131">
        <f t="shared" si="426"/>
        <v>0.14890000000000042</v>
      </c>
      <c r="BJ159" s="131">
        <f t="shared" si="426"/>
        <v>0.1489</v>
      </c>
      <c r="BK159" s="131">
        <f t="shared" ref="BK159:BT163" si="427">SUMPRODUCT(INDEX($T$42:$Y$91,,$B159),BK$107:BK$156)</f>
        <v>0.1489</v>
      </c>
      <c r="BL159" s="131">
        <f t="shared" si="427"/>
        <v>0.1489</v>
      </c>
      <c r="BM159" s="131">
        <f t="shared" si="427"/>
        <v>0.1489</v>
      </c>
      <c r="BN159" s="131">
        <f t="shared" si="427"/>
        <v>0.1489</v>
      </c>
      <c r="BO159" s="131">
        <f t="shared" si="427"/>
        <v>0.1489</v>
      </c>
      <c r="BP159" s="131">
        <f t="shared" si="427"/>
        <v>0.1489</v>
      </c>
      <c r="BQ159" s="131">
        <f t="shared" si="427"/>
        <v>0.1489</v>
      </c>
      <c r="BR159" s="131">
        <f t="shared" si="427"/>
        <v>0.1489</v>
      </c>
      <c r="BS159" s="131">
        <f t="shared" si="427"/>
        <v>0.1489</v>
      </c>
      <c r="BT159" s="131">
        <f t="shared" si="427"/>
        <v>0.1489</v>
      </c>
      <c r="BU159" s="131">
        <f t="shared" ref="BU159:CD163" si="428">SUMPRODUCT(INDEX($T$42:$Y$91,,$B159),BU$107:BU$156)</f>
        <v>0.1489</v>
      </c>
      <c r="BV159" s="131">
        <f t="shared" si="428"/>
        <v>0.1489</v>
      </c>
      <c r="BW159" s="131">
        <f t="shared" si="428"/>
        <v>0.1489</v>
      </c>
      <c r="BX159" s="131">
        <f t="shared" si="428"/>
        <v>0.1489</v>
      </c>
      <c r="BY159" s="131">
        <f t="shared" si="428"/>
        <v>0.1489</v>
      </c>
      <c r="BZ159" s="131">
        <f t="shared" si="428"/>
        <v>0.14890000000000031</v>
      </c>
      <c r="CA159" s="131">
        <f t="shared" si="428"/>
        <v>0.1489</v>
      </c>
      <c r="CB159" s="131">
        <f t="shared" si="428"/>
        <v>0.14890000000000031</v>
      </c>
      <c r="CC159" s="131">
        <f t="shared" si="428"/>
        <v>0.1489</v>
      </c>
      <c r="CD159" s="131">
        <f t="shared" si="428"/>
        <v>0.1489</v>
      </c>
      <c r="CE159" s="131">
        <f t="shared" ref="CE159:CN163" si="429">SUMPRODUCT(INDEX($T$42:$Y$91,,$B159),CE$107:CE$156)</f>
        <v>0.1489</v>
      </c>
      <c r="CF159" s="131">
        <f t="shared" si="429"/>
        <v>0.14890000000000014</v>
      </c>
      <c r="CG159" s="131">
        <f t="shared" si="429"/>
        <v>0.1489</v>
      </c>
      <c r="CH159" s="131">
        <f t="shared" si="429"/>
        <v>0.1489</v>
      </c>
      <c r="CI159" s="131">
        <f t="shared" si="429"/>
        <v>0.1489</v>
      </c>
      <c r="CJ159" s="131">
        <f t="shared" si="429"/>
        <v>0.14890000000000045</v>
      </c>
      <c r="CK159" s="131">
        <f t="shared" si="429"/>
        <v>0.1489</v>
      </c>
      <c r="CL159" s="131">
        <f t="shared" si="429"/>
        <v>0.1489</v>
      </c>
      <c r="CM159" s="131">
        <f t="shared" si="429"/>
        <v>0.1489</v>
      </c>
      <c r="CN159" s="131">
        <f t="shared" si="429"/>
        <v>0.1489</v>
      </c>
      <c r="CO159" s="131">
        <f t="shared" ref="CO159:CX163" si="430">SUMPRODUCT(INDEX($T$42:$Y$91,,$B159),CO$107:CO$156)</f>
        <v>0.1489</v>
      </c>
      <c r="CP159" s="131">
        <f t="shared" si="430"/>
        <v>0.14890000000000031</v>
      </c>
      <c r="CQ159" s="131">
        <f t="shared" si="430"/>
        <v>0.14890000000000017</v>
      </c>
      <c r="CR159" s="131">
        <f t="shared" si="430"/>
        <v>0.14890000000000023</v>
      </c>
      <c r="CS159" s="131">
        <f t="shared" si="430"/>
        <v>0.1489000000000002</v>
      </c>
      <c r="CT159" s="131">
        <f t="shared" si="430"/>
        <v>0.1489</v>
      </c>
      <c r="CU159" s="131">
        <f t="shared" si="430"/>
        <v>0.1489</v>
      </c>
      <c r="CV159" s="131">
        <f t="shared" si="430"/>
        <v>0.1489</v>
      </c>
      <c r="CW159" s="131">
        <f t="shared" si="430"/>
        <v>0.1489</v>
      </c>
      <c r="CX159" s="132">
        <f t="shared" si="430"/>
        <v>0.14892653899777092</v>
      </c>
      <c r="DE159" s="2">
        <f t="shared" ref="DE159:DE176" si="431">DE158+1</f>
        <v>1</v>
      </c>
      <c r="DF159" s="139" t="e">
        <f t="shared" ref="DF159:DF164" ca="1" si="432">INDEX(model_group_mins,1,$DE159)</f>
        <v>#NAME?</v>
      </c>
      <c r="DG159" s="140" t="e">
        <f t="shared" ref="DG159:DG164" ca="1" si="433">INDEX(model_group_maxs,1,$DE159)</f>
        <v>#NAME?</v>
      </c>
      <c r="DH159" s="139">
        <f t="shared" ref="DH159:DH174" si="434">MIN($C159:$CX159)</f>
        <v>0.14889999999999998</v>
      </c>
      <c r="DI159" s="140">
        <f t="shared" ref="DI159:DI176" si="435">MAX($C159:$CX159)</f>
        <v>0.20019882640002581</v>
      </c>
      <c r="DJ159" s="146" t="e">
        <f t="shared" ref="DJ159:DJ164" ca="1" si="436">IF(DH159&lt;DF159-0.0001,1,0)</f>
        <v>#NAME?</v>
      </c>
      <c r="DK159" s="147" t="e">
        <f t="shared" ref="DK159:DK164" ca="1" si="437">IF(DI159&gt;DG159+0.0001,1,0)</f>
        <v>#NAME?</v>
      </c>
    </row>
    <row r="160" spans="1:115" x14ac:dyDescent="0.2">
      <c r="A160" s="2" t="s">
        <v>120</v>
      </c>
      <c r="B160" s="161">
        <f>B159+1</f>
        <v>2</v>
      </c>
      <c r="C160" s="133">
        <f t="shared" si="420"/>
        <v>0.31539999999999996</v>
      </c>
      <c r="D160" s="134">
        <f t="shared" si="420"/>
        <v>0.31540000000000001</v>
      </c>
      <c r="E160" s="134">
        <f t="shared" si="420"/>
        <v>0.31540000000000007</v>
      </c>
      <c r="F160" s="134">
        <f t="shared" si="420"/>
        <v>0.31540000027128523</v>
      </c>
      <c r="G160" s="134">
        <f t="shared" si="420"/>
        <v>0.31540000027128529</v>
      </c>
      <c r="H160" s="134">
        <f t="shared" si="420"/>
        <v>0.31540000573207871</v>
      </c>
      <c r="I160" s="134">
        <f t="shared" si="420"/>
        <v>0.31540000000000001</v>
      </c>
      <c r="J160" s="134">
        <f t="shared" si="420"/>
        <v>0.31540000000000001</v>
      </c>
      <c r="K160" s="134">
        <f t="shared" si="421"/>
        <v>0.31540000519337358</v>
      </c>
      <c r="L160" s="134">
        <f t="shared" si="421"/>
        <v>0.31540000000000001</v>
      </c>
      <c r="M160" s="134">
        <f t="shared" si="422"/>
        <v>0.31540000000000001</v>
      </c>
      <c r="N160" s="134">
        <f t="shared" si="422"/>
        <v>0.31540000000000007</v>
      </c>
      <c r="O160" s="134">
        <f t="shared" si="422"/>
        <v>0.31540000000000001</v>
      </c>
      <c r="P160" s="134">
        <f t="shared" si="422"/>
        <v>0.31540000000000001</v>
      </c>
      <c r="Q160" s="134">
        <f t="shared" si="422"/>
        <v>0.31540000000000001</v>
      </c>
      <c r="R160" s="134">
        <f t="shared" si="422"/>
        <v>0.31540000000000001</v>
      </c>
      <c r="S160" s="134">
        <f t="shared" si="422"/>
        <v>0.31540000000000001</v>
      </c>
      <c r="T160" s="134">
        <f t="shared" si="422"/>
        <v>0.31540000000000001</v>
      </c>
      <c r="U160" s="134">
        <f t="shared" si="422"/>
        <v>0.31540000000000001</v>
      </c>
      <c r="V160" s="134">
        <f t="shared" si="422"/>
        <v>0.31540000000000001</v>
      </c>
      <c r="W160" s="134">
        <f t="shared" si="423"/>
        <v>0.31540000000000001</v>
      </c>
      <c r="X160" s="134">
        <f t="shared" si="423"/>
        <v>0.31540000000000001</v>
      </c>
      <c r="Y160" s="134">
        <f t="shared" si="423"/>
        <v>0.31540000000000001</v>
      </c>
      <c r="Z160" s="134">
        <f t="shared" si="423"/>
        <v>0.31539999999999996</v>
      </c>
      <c r="AA160" s="134">
        <f t="shared" si="423"/>
        <v>0.31540000000000001</v>
      </c>
      <c r="AB160" s="134">
        <f t="shared" si="423"/>
        <v>0.31540000000000007</v>
      </c>
      <c r="AC160" s="134">
        <f t="shared" si="423"/>
        <v>0.31540000000000001</v>
      </c>
      <c r="AD160" s="134">
        <f t="shared" si="423"/>
        <v>0.31540000000000001</v>
      </c>
      <c r="AE160" s="134">
        <f t="shared" si="423"/>
        <v>0.31539999999999996</v>
      </c>
      <c r="AF160" s="134">
        <f t="shared" si="423"/>
        <v>0.31540000000000007</v>
      </c>
      <c r="AG160" s="134">
        <f t="shared" si="424"/>
        <v>0.31540000000000001</v>
      </c>
      <c r="AH160" s="134">
        <f t="shared" si="424"/>
        <v>0.31540000000000001</v>
      </c>
      <c r="AI160" s="134">
        <f t="shared" si="424"/>
        <v>0.31540000000000001</v>
      </c>
      <c r="AJ160" s="134">
        <f t="shared" si="424"/>
        <v>0.31540000000000001</v>
      </c>
      <c r="AK160" s="134">
        <f t="shared" si="424"/>
        <v>0.31540000000000001</v>
      </c>
      <c r="AL160" s="134">
        <f t="shared" si="424"/>
        <v>0.31540000000000001</v>
      </c>
      <c r="AM160" s="134">
        <f t="shared" si="424"/>
        <v>0.31540000000000001</v>
      </c>
      <c r="AN160" s="134">
        <f t="shared" si="424"/>
        <v>0.31540000000000001</v>
      </c>
      <c r="AO160" s="134">
        <f t="shared" si="424"/>
        <v>0.31540000000000001</v>
      </c>
      <c r="AP160" s="134">
        <f t="shared" si="424"/>
        <v>0.31540000000000001</v>
      </c>
      <c r="AQ160" s="134">
        <f t="shared" si="425"/>
        <v>0.31540000000000007</v>
      </c>
      <c r="AR160" s="134">
        <f t="shared" si="425"/>
        <v>0.31539999999999996</v>
      </c>
      <c r="AS160" s="134">
        <f t="shared" si="425"/>
        <v>0.31539999999999996</v>
      </c>
      <c r="AT160" s="134">
        <f t="shared" si="425"/>
        <v>0.31540000000000001</v>
      </c>
      <c r="AU160" s="134">
        <f t="shared" si="425"/>
        <v>0.31540000000000007</v>
      </c>
      <c r="AV160" s="134">
        <f t="shared" si="425"/>
        <v>0.31540000000000001</v>
      </c>
      <c r="AW160" s="134">
        <f t="shared" si="425"/>
        <v>0.31540000000000001</v>
      </c>
      <c r="AX160" s="134">
        <f t="shared" si="425"/>
        <v>0.31540000000000001</v>
      </c>
      <c r="AY160" s="134">
        <f t="shared" si="425"/>
        <v>0.31540000000000001</v>
      </c>
      <c r="AZ160" s="134">
        <f t="shared" si="425"/>
        <v>0.31540000000000001</v>
      </c>
      <c r="BA160" s="134">
        <f t="shared" si="426"/>
        <v>0.31540000000000001</v>
      </c>
      <c r="BB160" s="134">
        <f t="shared" si="426"/>
        <v>0.31540000000000001</v>
      </c>
      <c r="BC160" s="134">
        <f t="shared" si="426"/>
        <v>0.31540000000000001</v>
      </c>
      <c r="BD160" s="134">
        <f t="shared" si="426"/>
        <v>0.31540000000000001</v>
      </c>
      <c r="BE160" s="134">
        <f t="shared" si="426"/>
        <v>0.31540000000000035</v>
      </c>
      <c r="BF160" s="134">
        <f t="shared" si="426"/>
        <v>0.31540000000000018</v>
      </c>
      <c r="BG160" s="134">
        <f t="shared" si="426"/>
        <v>0.31540000000000007</v>
      </c>
      <c r="BH160" s="134">
        <f t="shared" si="426"/>
        <v>0.31540000000000001</v>
      </c>
      <c r="BI160" s="134">
        <f t="shared" si="426"/>
        <v>0.31540000000000018</v>
      </c>
      <c r="BJ160" s="134">
        <f t="shared" si="426"/>
        <v>0.31540000000000001</v>
      </c>
      <c r="BK160" s="134">
        <f t="shared" si="427"/>
        <v>0.31540000000000001</v>
      </c>
      <c r="BL160" s="134">
        <f t="shared" si="427"/>
        <v>0.31540000000000001</v>
      </c>
      <c r="BM160" s="134">
        <f t="shared" si="427"/>
        <v>0.31540000000000001</v>
      </c>
      <c r="BN160" s="134">
        <f t="shared" si="427"/>
        <v>0.31540000000000001</v>
      </c>
      <c r="BO160" s="134">
        <f t="shared" si="427"/>
        <v>0.31540000000000001</v>
      </c>
      <c r="BP160" s="134">
        <f t="shared" si="427"/>
        <v>0.31540000000000001</v>
      </c>
      <c r="BQ160" s="134">
        <f t="shared" si="427"/>
        <v>0.31540000000000001</v>
      </c>
      <c r="BR160" s="134">
        <f t="shared" si="427"/>
        <v>0.31540000000000001</v>
      </c>
      <c r="BS160" s="134">
        <f t="shared" si="427"/>
        <v>0.31540000000000001</v>
      </c>
      <c r="BT160" s="134">
        <f t="shared" si="427"/>
        <v>0.31540000000000001</v>
      </c>
      <c r="BU160" s="134">
        <f t="shared" si="428"/>
        <v>0.31540000000000001</v>
      </c>
      <c r="BV160" s="134">
        <f t="shared" si="428"/>
        <v>0.31540000000000001</v>
      </c>
      <c r="BW160" s="134">
        <f t="shared" si="428"/>
        <v>0.31540000000000001</v>
      </c>
      <c r="BX160" s="134">
        <f t="shared" si="428"/>
        <v>0.31540000000000001</v>
      </c>
      <c r="BY160" s="134">
        <f t="shared" si="428"/>
        <v>0.31540000000000001</v>
      </c>
      <c r="BZ160" s="134">
        <f t="shared" si="428"/>
        <v>0.31540000000000007</v>
      </c>
      <c r="CA160" s="134">
        <f t="shared" si="428"/>
        <v>0.31540000000000001</v>
      </c>
      <c r="CB160" s="134">
        <f t="shared" si="428"/>
        <v>0.31540000000000029</v>
      </c>
      <c r="CC160" s="134">
        <f t="shared" si="428"/>
        <v>0.31540000000000001</v>
      </c>
      <c r="CD160" s="134">
        <f t="shared" si="428"/>
        <v>0.31540000000000001</v>
      </c>
      <c r="CE160" s="134">
        <f t="shared" si="429"/>
        <v>0.31540000000000001</v>
      </c>
      <c r="CF160" s="134">
        <f t="shared" si="429"/>
        <v>0.31540000000000018</v>
      </c>
      <c r="CG160" s="134">
        <f t="shared" si="429"/>
        <v>0.31540000000000007</v>
      </c>
      <c r="CH160" s="134">
        <f t="shared" si="429"/>
        <v>0.31540000000000001</v>
      </c>
      <c r="CI160" s="134">
        <f t="shared" si="429"/>
        <v>0.31540000000000001</v>
      </c>
      <c r="CJ160" s="134">
        <f t="shared" si="429"/>
        <v>0.31540000000000018</v>
      </c>
      <c r="CK160" s="134">
        <f t="shared" si="429"/>
        <v>0.31540000000000001</v>
      </c>
      <c r="CL160" s="134">
        <f t="shared" si="429"/>
        <v>0.31540000000000001</v>
      </c>
      <c r="CM160" s="134">
        <f t="shared" si="429"/>
        <v>0.31540000000000001</v>
      </c>
      <c r="CN160" s="134">
        <f t="shared" si="429"/>
        <v>0.31539999999999996</v>
      </c>
      <c r="CO160" s="134">
        <f t="shared" si="430"/>
        <v>0.31540000000000001</v>
      </c>
      <c r="CP160" s="134">
        <f t="shared" si="430"/>
        <v>0.31540000000000007</v>
      </c>
      <c r="CQ160" s="134">
        <f t="shared" si="430"/>
        <v>0.31540000000000051</v>
      </c>
      <c r="CR160" s="134">
        <f t="shared" si="430"/>
        <v>0.31540000000000024</v>
      </c>
      <c r="CS160" s="134">
        <f t="shared" si="430"/>
        <v>0.31540000000000085</v>
      </c>
      <c r="CT160" s="134">
        <f t="shared" si="430"/>
        <v>0.31540000000000001</v>
      </c>
      <c r="CU160" s="134">
        <f t="shared" si="430"/>
        <v>0.31540000000000001</v>
      </c>
      <c r="CV160" s="134">
        <f t="shared" si="430"/>
        <v>0.31540000000000001</v>
      </c>
      <c r="CW160" s="134">
        <f t="shared" si="430"/>
        <v>0.31540000000000001</v>
      </c>
      <c r="CX160" s="135">
        <f t="shared" si="430"/>
        <v>0.31541042520334994</v>
      </c>
      <c r="DE160" s="2">
        <v>2</v>
      </c>
      <c r="DF160" s="141" t="e">
        <f t="shared" ca="1" si="432"/>
        <v>#NAME?</v>
      </c>
      <c r="DG160" s="142" t="e">
        <f t="shared" ca="1" si="433"/>
        <v>#NAME?</v>
      </c>
      <c r="DH160" s="141">
        <f t="shared" si="434"/>
        <v>0.31539999999999996</v>
      </c>
      <c r="DI160" s="142">
        <f t="shared" si="435"/>
        <v>0.31541042520334994</v>
      </c>
      <c r="DJ160" s="148" t="e">
        <f t="shared" ca="1" si="436"/>
        <v>#NAME?</v>
      </c>
      <c r="DK160" s="149" t="e">
        <f t="shared" ca="1" si="437"/>
        <v>#NAME?</v>
      </c>
    </row>
    <row r="161" spans="1:115" x14ac:dyDescent="0.2">
      <c r="A161" s="2" t="s">
        <v>120</v>
      </c>
      <c r="B161" s="161">
        <f>B160+1</f>
        <v>3</v>
      </c>
      <c r="C161" s="133">
        <f t="shared" si="420"/>
        <v>0.2756414039017705</v>
      </c>
      <c r="D161" s="134">
        <f t="shared" si="420"/>
        <v>0.26745798864514075</v>
      </c>
      <c r="E161" s="134">
        <f t="shared" si="420"/>
        <v>0.25799091643866368</v>
      </c>
      <c r="F161" s="134">
        <f t="shared" si="420"/>
        <v>0.25005426574260842</v>
      </c>
      <c r="G161" s="134">
        <f t="shared" si="420"/>
        <v>0.24086117127433759</v>
      </c>
      <c r="H161" s="134">
        <f t="shared" si="420"/>
        <v>0.23482922414521401</v>
      </c>
      <c r="I161" s="134">
        <f t="shared" si="420"/>
        <v>0.22926048045036668</v>
      </c>
      <c r="J161" s="134">
        <f t="shared" si="420"/>
        <v>0.22173595278937258</v>
      </c>
      <c r="K161" s="134">
        <f t="shared" si="421"/>
        <v>0.21550500288843552</v>
      </c>
      <c r="L161" s="134">
        <f t="shared" si="421"/>
        <v>0.20754062783704691</v>
      </c>
      <c r="M161" s="134">
        <f t="shared" si="422"/>
        <v>0.20042317274908572</v>
      </c>
      <c r="N161" s="134">
        <f t="shared" si="422"/>
        <v>0.19490575819441192</v>
      </c>
      <c r="O161" s="134">
        <f t="shared" si="422"/>
        <v>0.18823877019078067</v>
      </c>
      <c r="P161" s="134">
        <f t="shared" si="422"/>
        <v>0.18174294172847921</v>
      </c>
      <c r="Q161" s="134">
        <f t="shared" si="422"/>
        <v>0.17623580780829998</v>
      </c>
      <c r="R161" s="134">
        <f t="shared" si="422"/>
        <v>0.17062657353876726</v>
      </c>
      <c r="S161" s="134">
        <f t="shared" si="422"/>
        <v>0.16528089485614131</v>
      </c>
      <c r="T161" s="134">
        <f t="shared" si="422"/>
        <v>0.16041631496402642</v>
      </c>
      <c r="U161" s="134">
        <f t="shared" si="422"/>
        <v>0.15386966452384598</v>
      </c>
      <c r="V161" s="134">
        <f t="shared" si="422"/>
        <v>0.14715802003104972</v>
      </c>
      <c r="W161" s="134">
        <f t="shared" si="423"/>
        <v>0.1400897401767365</v>
      </c>
      <c r="X161" s="134">
        <f t="shared" si="423"/>
        <v>0.13625999989103044</v>
      </c>
      <c r="Y161" s="134">
        <f t="shared" si="423"/>
        <v>0.13625999863315613</v>
      </c>
      <c r="Z161" s="134">
        <f t="shared" si="423"/>
        <v>0.13609578535340688</v>
      </c>
      <c r="AA161" s="134">
        <f t="shared" si="423"/>
        <v>0.13494632069400359</v>
      </c>
      <c r="AB161" s="134">
        <f t="shared" si="423"/>
        <v>0.13426406065808594</v>
      </c>
      <c r="AC161" s="134">
        <f t="shared" si="423"/>
        <v>0.13367353727132592</v>
      </c>
      <c r="AD161" s="134">
        <f t="shared" si="423"/>
        <v>0.13306253580135549</v>
      </c>
      <c r="AE161" s="134">
        <f t="shared" si="423"/>
        <v>0.13279623310672509</v>
      </c>
      <c r="AF161" s="134">
        <f t="shared" si="423"/>
        <v>0.13058567801222754</v>
      </c>
      <c r="AG161" s="134">
        <f t="shared" si="424"/>
        <v>0.12962585505088753</v>
      </c>
      <c r="AH161" s="134">
        <f t="shared" si="424"/>
        <v>0.12815758914651387</v>
      </c>
      <c r="AI161" s="134">
        <f t="shared" si="424"/>
        <v>0.12857901561930718</v>
      </c>
      <c r="AJ161" s="134">
        <f t="shared" si="424"/>
        <v>0.12677498751144661</v>
      </c>
      <c r="AK161" s="134">
        <f t="shared" si="424"/>
        <v>0.12501907223036449</v>
      </c>
      <c r="AL161" s="134">
        <f t="shared" si="424"/>
        <v>0.11777291417805123</v>
      </c>
      <c r="AM161" s="134">
        <f t="shared" si="424"/>
        <v>0.1102397802815827</v>
      </c>
      <c r="AN161" s="134">
        <f t="shared" si="424"/>
        <v>0.10350977897434607</v>
      </c>
      <c r="AO161" s="134">
        <f t="shared" si="424"/>
        <v>9.794622840308144E-2</v>
      </c>
      <c r="AP161" s="134">
        <f t="shared" si="424"/>
        <v>8.9846066202767E-2</v>
      </c>
      <c r="AQ161" s="134">
        <f t="shared" si="425"/>
        <v>8.8349999999999998E-2</v>
      </c>
      <c r="AR161" s="134">
        <f t="shared" si="425"/>
        <v>8.8349999999999998E-2</v>
      </c>
      <c r="AS161" s="134">
        <f t="shared" si="425"/>
        <v>8.8349999999999998E-2</v>
      </c>
      <c r="AT161" s="134">
        <f t="shared" si="425"/>
        <v>8.8349999999999998E-2</v>
      </c>
      <c r="AU161" s="134">
        <f t="shared" si="425"/>
        <v>8.8349999999999998E-2</v>
      </c>
      <c r="AV161" s="134">
        <f t="shared" si="425"/>
        <v>8.8349999999999998E-2</v>
      </c>
      <c r="AW161" s="134">
        <f t="shared" si="425"/>
        <v>8.8349999999999998E-2</v>
      </c>
      <c r="AX161" s="134">
        <f t="shared" si="425"/>
        <v>8.8349999999999998E-2</v>
      </c>
      <c r="AY161" s="134">
        <f t="shared" si="425"/>
        <v>8.8349999999999998E-2</v>
      </c>
      <c r="AZ161" s="134">
        <f t="shared" si="425"/>
        <v>8.8349999999999998E-2</v>
      </c>
      <c r="BA161" s="134">
        <f t="shared" si="426"/>
        <v>8.8349999999999998E-2</v>
      </c>
      <c r="BB161" s="134">
        <f t="shared" si="426"/>
        <v>8.8349999999999998E-2</v>
      </c>
      <c r="BC161" s="134">
        <f t="shared" si="426"/>
        <v>8.8349999999999998E-2</v>
      </c>
      <c r="BD161" s="134">
        <f t="shared" si="426"/>
        <v>8.8349999999999998E-2</v>
      </c>
      <c r="BE161" s="134">
        <f t="shared" si="426"/>
        <v>8.8350000000000026E-2</v>
      </c>
      <c r="BF161" s="134">
        <f t="shared" si="426"/>
        <v>8.8349999999999929E-2</v>
      </c>
      <c r="BG161" s="134">
        <f t="shared" si="426"/>
        <v>8.8349999999999998E-2</v>
      </c>
      <c r="BH161" s="134">
        <f t="shared" si="426"/>
        <v>8.8349999999999998E-2</v>
      </c>
      <c r="BI161" s="134">
        <f t="shared" si="426"/>
        <v>8.8349999999999956E-2</v>
      </c>
      <c r="BJ161" s="134">
        <f t="shared" si="426"/>
        <v>8.8349999999999998E-2</v>
      </c>
      <c r="BK161" s="134">
        <f t="shared" si="427"/>
        <v>8.8349999999999998E-2</v>
      </c>
      <c r="BL161" s="134">
        <f t="shared" si="427"/>
        <v>8.8349999999999998E-2</v>
      </c>
      <c r="BM161" s="134">
        <f t="shared" si="427"/>
        <v>8.8349999999999998E-2</v>
      </c>
      <c r="BN161" s="134">
        <f t="shared" si="427"/>
        <v>8.8349999999999998E-2</v>
      </c>
      <c r="BO161" s="134">
        <f t="shared" si="427"/>
        <v>8.8349999999999998E-2</v>
      </c>
      <c r="BP161" s="134">
        <f t="shared" si="427"/>
        <v>8.8349999999999998E-2</v>
      </c>
      <c r="BQ161" s="134">
        <f t="shared" si="427"/>
        <v>8.8349999999999998E-2</v>
      </c>
      <c r="BR161" s="134">
        <f t="shared" si="427"/>
        <v>8.8349999999999998E-2</v>
      </c>
      <c r="BS161" s="134">
        <f t="shared" si="427"/>
        <v>8.8349999999999998E-2</v>
      </c>
      <c r="BT161" s="134">
        <f t="shared" si="427"/>
        <v>8.8349999999999998E-2</v>
      </c>
      <c r="BU161" s="134">
        <f t="shared" si="428"/>
        <v>8.8349999999999998E-2</v>
      </c>
      <c r="BV161" s="134">
        <f t="shared" si="428"/>
        <v>8.8349999999999998E-2</v>
      </c>
      <c r="BW161" s="134">
        <f t="shared" si="428"/>
        <v>8.8349999999999998E-2</v>
      </c>
      <c r="BX161" s="134">
        <f t="shared" si="428"/>
        <v>8.8349999999999998E-2</v>
      </c>
      <c r="BY161" s="134">
        <f t="shared" si="428"/>
        <v>8.8349999999999998E-2</v>
      </c>
      <c r="BZ161" s="134">
        <f t="shared" si="428"/>
        <v>8.834999999999997E-2</v>
      </c>
      <c r="CA161" s="134">
        <f t="shared" si="428"/>
        <v>8.8349999999999998E-2</v>
      </c>
      <c r="CB161" s="134">
        <f t="shared" si="428"/>
        <v>8.8350000000000053E-2</v>
      </c>
      <c r="CC161" s="134">
        <f t="shared" si="428"/>
        <v>8.8349999999999998E-2</v>
      </c>
      <c r="CD161" s="134">
        <f t="shared" si="428"/>
        <v>8.8349999999999998E-2</v>
      </c>
      <c r="CE161" s="134">
        <f t="shared" si="429"/>
        <v>8.8350000000000012E-2</v>
      </c>
      <c r="CF161" s="134">
        <f t="shared" si="429"/>
        <v>8.8350000000000012E-2</v>
      </c>
      <c r="CG161" s="134">
        <f t="shared" si="429"/>
        <v>8.8349999999999984E-2</v>
      </c>
      <c r="CH161" s="134">
        <f t="shared" si="429"/>
        <v>8.8349999999999998E-2</v>
      </c>
      <c r="CI161" s="134">
        <f t="shared" si="429"/>
        <v>8.8349999999999998E-2</v>
      </c>
      <c r="CJ161" s="134">
        <f t="shared" si="429"/>
        <v>8.8350000000000178E-2</v>
      </c>
      <c r="CK161" s="134">
        <f t="shared" si="429"/>
        <v>8.8349999999999984E-2</v>
      </c>
      <c r="CL161" s="134">
        <f t="shared" si="429"/>
        <v>8.8349999999999998E-2</v>
      </c>
      <c r="CM161" s="134">
        <f t="shared" si="429"/>
        <v>8.8349999999999998E-2</v>
      </c>
      <c r="CN161" s="134">
        <f t="shared" si="429"/>
        <v>8.8349999999999998E-2</v>
      </c>
      <c r="CO161" s="134">
        <f t="shared" si="430"/>
        <v>8.8349999999999984E-2</v>
      </c>
      <c r="CP161" s="134">
        <f t="shared" si="430"/>
        <v>8.8349999999999873E-2</v>
      </c>
      <c r="CQ161" s="134">
        <f t="shared" si="430"/>
        <v>8.8350000000000345E-2</v>
      </c>
      <c r="CR161" s="134">
        <f t="shared" si="430"/>
        <v>8.8349999999999818E-2</v>
      </c>
      <c r="CS161" s="134">
        <f t="shared" si="430"/>
        <v>8.8350000000000511E-2</v>
      </c>
      <c r="CT161" s="134">
        <f t="shared" si="430"/>
        <v>8.8349999999999998E-2</v>
      </c>
      <c r="CU161" s="134">
        <f t="shared" si="430"/>
        <v>8.8349999999999984E-2</v>
      </c>
      <c r="CV161" s="134">
        <f t="shared" si="430"/>
        <v>8.8349999999999998E-2</v>
      </c>
      <c r="CW161" s="134">
        <f t="shared" si="430"/>
        <v>8.8350000000000012E-2</v>
      </c>
      <c r="CX161" s="135">
        <f t="shared" si="430"/>
        <v>8.8357989677668836E-2</v>
      </c>
      <c r="DE161" s="2">
        <f t="shared" si="431"/>
        <v>3</v>
      </c>
      <c r="DF161" s="141" t="e">
        <f t="shared" ca="1" si="432"/>
        <v>#NAME?</v>
      </c>
      <c r="DG161" s="142" t="e">
        <f t="shared" ca="1" si="433"/>
        <v>#NAME?</v>
      </c>
      <c r="DH161" s="141">
        <f t="shared" si="434"/>
        <v>8.8349999999999818E-2</v>
      </c>
      <c r="DI161" s="142">
        <f t="shared" si="435"/>
        <v>0.2756414039017705</v>
      </c>
      <c r="DJ161" s="148" t="e">
        <f t="shared" ca="1" si="436"/>
        <v>#NAME?</v>
      </c>
      <c r="DK161" s="149" t="e">
        <f t="shared" ca="1" si="437"/>
        <v>#NAME?</v>
      </c>
    </row>
    <row r="162" spans="1:115" x14ac:dyDescent="0.2">
      <c r="A162" s="2" t="s">
        <v>120</v>
      </c>
      <c r="B162" s="161">
        <f>B161+1</f>
        <v>4</v>
      </c>
      <c r="C162" s="133">
        <f t="shared" si="420"/>
        <v>4.9570000000000003E-2</v>
      </c>
      <c r="D162" s="134">
        <f t="shared" si="420"/>
        <v>4.9570000000000003E-2</v>
      </c>
      <c r="E162" s="134">
        <f t="shared" si="420"/>
        <v>4.9570000000000003E-2</v>
      </c>
      <c r="F162" s="134">
        <f t="shared" si="420"/>
        <v>4.957000347946168E-2</v>
      </c>
      <c r="G162" s="134">
        <f t="shared" si="420"/>
        <v>4.9570002898529052E-2</v>
      </c>
      <c r="H162" s="134">
        <f t="shared" si="420"/>
        <v>4.9570000000000003E-2</v>
      </c>
      <c r="I162" s="134">
        <f t="shared" si="420"/>
        <v>4.9570002898529052E-2</v>
      </c>
      <c r="J162" s="134">
        <f t="shared" si="420"/>
        <v>4.9570000000000003E-2</v>
      </c>
      <c r="K162" s="134">
        <f t="shared" si="421"/>
        <v>4.9570000000000003E-2</v>
      </c>
      <c r="L162" s="134">
        <f t="shared" si="421"/>
        <v>4.9570002898529052E-2</v>
      </c>
      <c r="M162" s="134">
        <f t="shared" si="422"/>
        <v>4.9570000000000003E-2</v>
      </c>
      <c r="N162" s="134">
        <f t="shared" si="422"/>
        <v>4.9570002898529052E-2</v>
      </c>
      <c r="O162" s="134">
        <f t="shared" si="422"/>
        <v>4.9570003583267019E-2</v>
      </c>
      <c r="P162" s="134">
        <f t="shared" si="422"/>
        <v>4.9570003583267019E-2</v>
      </c>
      <c r="Q162" s="134">
        <f t="shared" si="422"/>
        <v>4.9570003583267019E-2</v>
      </c>
      <c r="R162" s="134">
        <f t="shared" si="422"/>
        <v>4.9570003583267019E-2</v>
      </c>
      <c r="S162" s="134">
        <f t="shared" si="422"/>
        <v>4.9570003583267019E-2</v>
      </c>
      <c r="T162" s="134">
        <f t="shared" si="422"/>
        <v>4.9570003583267019E-2</v>
      </c>
      <c r="U162" s="134">
        <f t="shared" si="422"/>
        <v>4.9570000000000003E-2</v>
      </c>
      <c r="V162" s="134">
        <f t="shared" si="422"/>
        <v>4.9570003583267019E-2</v>
      </c>
      <c r="W162" s="134">
        <f t="shared" si="423"/>
        <v>4.9570003583267019E-2</v>
      </c>
      <c r="X162" s="134">
        <f t="shared" si="423"/>
        <v>4.9570003583267019E-2</v>
      </c>
      <c r="Y162" s="134">
        <f t="shared" si="423"/>
        <v>4.9570000000000003E-2</v>
      </c>
      <c r="Z162" s="134">
        <f t="shared" si="423"/>
        <v>4.957000000000001E-2</v>
      </c>
      <c r="AA162" s="134">
        <f t="shared" si="423"/>
        <v>4.9570000000000003E-2</v>
      </c>
      <c r="AB162" s="134">
        <f t="shared" si="423"/>
        <v>4.9570000000000003E-2</v>
      </c>
      <c r="AC162" s="134">
        <f t="shared" si="423"/>
        <v>4.9570000000000003E-2</v>
      </c>
      <c r="AD162" s="134">
        <f t="shared" si="423"/>
        <v>4.9570000000000003E-2</v>
      </c>
      <c r="AE162" s="134">
        <f t="shared" si="423"/>
        <v>4.957000000000001E-2</v>
      </c>
      <c r="AF162" s="134">
        <f t="shared" si="423"/>
        <v>4.9570000000000003E-2</v>
      </c>
      <c r="AG162" s="134">
        <f t="shared" si="424"/>
        <v>4.9570000000000003E-2</v>
      </c>
      <c r="AH162" s="134">
        <f t="shared" si="424"/>
        <v>4.9570000000000003E-2</v>
      </c>
      <c r="AI162" s="134">
        <f t="shared" si="424"/>
        <v>4.9570000000000003E-2</v>
      </c>
      <c r="AJ162" s="134">
        <f t="shared" si="424"/>
        <v>4.9570000000000003E-2</v>
      </c>
      <c r="AK162" s="134">
        <f t="shared" si="424"/>
        <v>4.9570000000000003E-2</v>
      </c>
      <c r="AL162" s="134">
        <f t="shared" si="424"/>
        <v>4.9570000000000003E-2</v>
      </c>
      <c r="AM162" s="134">
        <f t="shared" si="424"/>
        <v>4.9570000000000003E-2</v>
      </c>
      <c r="AN162" s="134">
        <f t="shared" si="424"/>
        <v>4.9570000000000003E-2</v>
      </c>
      <c r="AO162" s="134">
        <f t="shared" si="424"/>
        <v>4.9570000000000003E-2</v>
      </c>
      <c r="AP162" s="134">
        <f t="shared" si="424"/>
        <v>4.9570000000000003E-2</v>
      </c>
      <c r="AQ162" s="134">
        <f t="shared" si="425"/>
        <v>4.9570000000000003E-2</v>
      </c>
      <c r="AR162" s="134">
        <f t="shared" si="425"/>
        <v>4.9570000000000003E-2</v>
      </c>
      <c r="AS162" s="134">
        <f t="shared" si="425"/>
        <v>4.9570000000000003E-2</v>
      </c>
      <c r="AT162" s="134">
        <f t="shared" si="425"/>
        <v>4.9570000000000003E-2</v>
      </c>
      <c r="AU162" s="134">
        <f t="shared" si="425"/>
        <v>4.9570000000000003E-2</v>
      </c>
      <c r="AV162" s="134">
        <f t="shared" si="425"/>
        <v>4.9570000000000003E-2</v>
      </c>
      <c r="AW162" s="134">
        <f t="shared" si="425"/>
        <v>4.9570000000000003E-2</v>
      </c>
      <c r="AX162" s="134">
        <f t="shared" si="425"/>
        <v>4.9570000000000003E-2</v>
      </c>
      <c r="AY162" s="134">
        <f t="shared" si="425"/>
        <v>4.9570000000000003E-2</v>
      </c>
      <c r="AZ162" s="134">
        <f t="shared" si="425"/>
        <v>4.9570000000000003E-2</v>
      </c>
      <c r="BA162" s="134">
        <f t="shared" si="426"/>
        <v>4.9570000000000003E-2</v>
      </c>
      <c r="BB162" s="134">
        <f t="shared" si="426"/>
        <v>4.9570000000000003E-2</v>
      </c>
      <c r="BC162" s="134">
        <f t="shared" si="426"/>
        <v>4.9570000000000003E-2</v>
      </c>
      <c r="BD162" s="134">
        <f t="shared" si="426"/>
        <v>4.9570000000000003E-2</v>
      </c>
      <c r="BE162" s="134">
        <f t="shared" si="426"/>
        <v>4.9569999999999989E-2</v>
      </c>
      <c r="BF162" s="134">
        <f t="shared" si="426"/>
        <v>4.9570000000000003E-2</v>
      </c>
      <c r="BG162" s="134">
        <f t="shared" si="426"/>
        <v>4.957000000000001E-2</v>
      </c>
      <c r="BH162" s="134">
        <f t="shared" si="426"/>
        <v>4.9570000000000003E-2</v>
      </c>
      <c r="BI162" s="134">
        <f t="shared" si="426"/>
        <v>4.9570000000000003E-2</v>
      </c>
      <c r="BJ162" s="134">
        <f t="shared" si="426"/>
        <v>4.9570000000000003E-2</v>
      </c>
      <c r="BK162" s="134">
        <f t="shared" si="427"/>
        <v>4.9570000000000003E-2</v>
      </c>
      <c r="BL162" s="134">
        <f t="shared" si="427"/>
        <v>4.9570000000000003E-2</v>
      </c>
      <c r="BM162" s="134">
        <f t="shared" si="427"/>
        <v>4.9570000000000003E-2</v>
      </c>
      <c r="BN162" s="134">
        <f t="shared" si="427"/>
        <v>4.9570000000000003E-2</v>
      </c>
      <c r="BO162" s="134">
        <f t="shared" si="427"/>
        <v>4.9570000000000003E-2</v>
      </c>
      <c r="BP162" s="134">
        <f t="shared" si="427"/>
        <v>4.9570000000000003E-2</v>
      </c>
      <c r="BQ162" s="134">
        <f t="shared" si="427"/>
        <v>4.9570000000000003E-2</v>
      </c>
      <c r="BR162" s="134">
        <f t="shared" si="427"/>
        <v>4.9570000000000003E-2</v>
      </c>
      <c r="BS162" s="134">
        <f t="shared" si="427"/>
        <v>4.9570000000000003E-2</v>
      </c>
      <c r="BT162" s="134">
        <f t="shared" si="427"/>
        <v>4.9570000000000003E-2</v>
      </c>
      <c r="BU162" s="134">
        <f t="shared" si="428"/>
        <v>4.9570000000000003E-2</v>
      </c>
      <c r="BV162" s="134">
        <f t="shared" si="428"/>
        <v>4.9570000000000003E-2</v>
      </c>
      <c r="BW162" s="134">
        <f t="shared" si="428"/>
        <v>4.9570000000000003E-2</v>
      </c>
      <c r="BX162" s="134">
        <f t="shared" si="428"/>
        <v>4.9570000000000003E-2</v>
      </c>
      <c r="BY162" s="134">
        <f t="shared" si="428"/>
        <v>4.9570000000000003E-2</v>
      </c>
      <c r="BZ162" s="134">
        <f t="shared" si="428"/>
        <v>4.9569999999999989E-2</v>
      </c>
      <c r="CA162" s="134">
        <f t="shared" si="428"/>
        <v>4.9570000000000003E-2</v>
      </c>
      <c r="CB162" s="134">
        <f t="shared" si="428"/>
        <v>4.9570000000000058E-2</v>
      </c>
      <c r="CC162" s="134">
        <f t="shared" si="428"/>
        <v>4.9570000000000003E-2</v>
      </c>
      <c r="CD162" s="134">
        <f t="shared" si="428"/>
        <v>4.9570000000000003E-2</v>
      </c>
      <c r="CE162" s="134">
        <f t="shared" si="429"/>
        <v>4.9570000000000003E-2</v>
      </c>
      <c r="CF162" s="134">
        <f t="shared" si="429"/>
        <v>4.9569999999999989E-2</v>
      </c>
      <c r="CG162" s="134">
        <f t="shared" si="429"/>
        <v>4.957000000000001E-2</v>
      </c>
      <c r="CH162" s="134">
        <f t="shared" si="429"/>
        <v>4.9570000000000003E-2</v>
      </c>
      <c r="CI162" s="134">
        <f t="shared" si="429"/>
        <v>4.9570000000000003E-2</v>
      </c>
      <c r="CJ162" s="134">
        <f t="shared" si="429"/>
        <v>4.9569999999999982E-2</v>
      </c>
      <c r="CK162" s="134">
        <f t="shared" si="429"/>
        <v>4.9570000000000003E-2</v>
      </c>
      <c r="CL162" s="134">
        <f t="shared" si="429"/>
        <v>4.9570000000000003E-2</v>
      </c>
      <c r="CM162" s="134">
        <f t="shared" si="429"/>
        <v>4.9570000000000003E-2</v>
      </c>
      <c r="CN162" s="134">
        <f t="shared" si="429"/>
        <v>4.9570000000000003E-2</v>
      </c>
      <c r="CO162" s="134">
        <f t="shared" si="430"/>
        <v>4.9570000000000003E-2</v>
      </c>
      <c r="CP162" s="134">
        <f t="shared" si="430"/>
        <v>4.9570000000000031E-2</v>
      </c>
      <c r="CQ162" s="134">
        <f t="shared" si="430"/>
        <v>4.9570000000000045E-2</v>
      </c>
      <c r="CR162" s="134">
        <f t="shared" si="430"/>
        <v>4.9570000000000017E-2</v>
      </c>
      <c r="CS162" s="134">
        <f t="shared" si="430"/>
        <v>4.9570000000000072E-2</v>
      </c>
      <c r="CT162" s="134">
        <f t="shared" si="430"/>
        <v>4.9570000000000003E-2</v>
      </c>
      <c r="CU162" s="134">
        <f t="shared" si="430"/>
        <v>4.9570000000000003E-2</v>
      </c>
      <c r="CV162" s="134">
        <f t="shared" si="430"/>
        <v>4.9570000000000003E-2</v>
      </c>
      <c r="CW162" s="134">
        <f t="shared" si="430"/>
        <v>4.9570000000000003E-2</v>
      </c>
      <c r="CX162" s="135">
        <f t="shared" si="430"/>
        <v>4.9574226293505566E-2</v>
      </c>
      <c r="DE162" s="2">
        <f t="shared" si="431"/>
        <v>4</v>
      </c>
      <c r="DF162" s="141" t="e">
        <f t="shared" ca="1" si="432"/>
        <v>#NAME?</v>
      </c>
      <c r="DG162" s="142" t="e">
        <f t="shared" ca="1" si="433"/>
        <v>#NAME?</v>
      </c>
      <c r="DH162" s="141">
        <f t="shared" si="434"/>
        <v>4.9569999999999982E-2</v>
      </c>
      <c r="DI162" s="142">
        <f t="shared" si="435"/>
        <v>4.9574226293505566E-2</v>
      </c>
      <c r="DJ162" s="148" t="e">
        <f t="shared" ca="1" si="436"/>
        <v>#NAME?</v>
      </c>
      <c r="DK162" s="149" t="e">
        <f t="shared" ca="1" si="437"/>
        <v>#NAME?</v>
      </c>
    </row>
    <row r="163" spans="1:115" x14ac:dyDescent="0.2">
      <c r="A163" s="2" t="s">
        <v>120</v>
      </c>
      <c r="B163" s="161">
        <f>B162+1</f>
        <v>5</v>
      </c>
      <c r="C163" s="133">
        <f t="shared" si="420"/>
        <v>0.50936999999999988</v>
      </c>
      <c r="D163" s="134">
        <f t="shared" si="420"/>
        <v>0.5093700000000001</v>
      </c>
      <c r="E163" s="134">
        <f t="shared" si="420"/>
        <v>0.50936999999999999</v>
      </c>
      <c r="F163" s="134">
        <f t="shared" si="420"/>
        <v>0.50936999999999999</v>
      </c>
      <c r="G163" s="134">
        <f t="shared" si="420"/>
        <v>0.50936999999999999</v>
      </c>
      <c r="H163" s="134">
        <f t="shared" si="420"/>
        <v>0.50936999999999999</v>
      </c>
      <c r="I163" s="134">
        <f t="shared" si="420"/>
        <v>0.50936999999999999</v>
      </c>
      <c r="J163" s="134">
        <f t="shared" si="420"/>
        <v>0.50936999999999999</v>
      </c>
      <c r="K163" s="134">
        <f t="shared" si="421"/>
        <v>0.50936999999999999</v>
      </c>
      <c r="L163" s="134">
        <f t="shared" si="421"/>
        <v>0.50936999999999999</v>
      </c>
      <c r="M163" s="134">
        <f t="shared" si="422"/>
        <v>0.5093700000000001</v>
      </c>
      <c r="N163" s="134">
        <f t="shared" si="422"/>
        <v>0.5093700000000001</v>
      </c>
      <c r="O163" s="134">
        <f t="shared" si="422"/>
        <v>0.50936999999999999</v>
      </c>
      <c r="P163" s="134">
        <f t="shared" si="422"/>
        <v>0.50936999999999999</v>
      </c>
      <c r="Q163" s="134">
        <f t="shared" si="422"/>
        <v>0.50936999999999999</v>
      </c>
      <c r="R163" s="134">
        <f t="shared" si="422"/>
        <v>0.50936999999999999</v>
      </c>
      <c r="S163" s="134">
        <f t="shared" si="422"/>
        <v>0.50936999999999999</v>
      </c>
      <c r="T163" s="134">
        <f t="shared" si="422"/>
        <v>0.5093700000000001</v>
      </c>
      <c r="U163" s="134">
        <f t="shared" si="422"/>
        <v>0.50936999999999988</v>
      </c>
      <c r="V163" s="134">
        <f t="shared" si="422"/>
        <v>0.5093700000000001</v>
      </c>
      <c r="W163" s="134">
        <f t="shared" si="423"/>
        <v>0.50936999999999999</v>
      </c>
      <c r="X163" s="134">
        <f t="shared" si="423"/>
        <v>0.50936999999999999</v>
      </c>
      <c r="Y163" s="134">
        <f t="shared" si="423"/>
        <v>0.50936999999999999</v>
      </c>
      <c r="Z163" s="134">
        <f t="shared" si="423"/>
        <v>0.50936999999999999</v>
      </c>
      <c r="AA163" s="134">
        <f t="shared" si="423"/>
        <v>0.50936999999999999</v>
      </c>
      <c r="AB163" s="134">
        <f t="shared" si="423"/>
        <v>0.50936999999999999</v>
      </c>
      <c r="AC163" s="134">
        <f t="shared" si="423"/>
        <v>0.50936999999999999</v>
      </c>
      <c r="AD163" s="134">
        <f t="shared" si="423"/>
        <v>0.50936999999999999</v>
      </c>
      <c r="AE163" s="134">
        <f t="shared" si="423"/>
        <v>0.50936999999999999</v>
      </c>
      <c r="AF163" s="134">
        <f t="shared" si="423"/>
        <v>0.50936999999999999</v>
      </c>
      <c r="AG163" s="134">
        <f t="shared" si="424"/>
        <v>0.50936999999999999</v>
      </c>
      <c r="AH163" s="134">
        <f t="shared" si="424"/>
        <v>0.50936999999999999</v>
      </c>
      <c r="AI163" s="134">
        <f t="shared" si="424"/>
        <v>0.50936999999999999</v>
      </c>
      <c r="AJ163" s="134">
        <f t="shared" si="424"/>
        <v>0.50936999999999999</v>
      </c>
      <c r="AK163" s="134">
        <f t="shared" si="424"/>
        <v>0.51021997248499584</v>
      </c>
      <c r="AL163" s="134">
        <f t="shared" si="424"/>
        <v>0.51728879563671804</v>
      </c>
      <c r="AM163" s="134">
        <f t="shared" si="424"/>
        <v>0.52489617411692902</v>
      </c>
      <c r="AN163" s="134">
        <f t="shared" si="424"/>
        <v>0.53142583276053623</v>
      </c>
      <c r="AO163" s="134">
        <f t="shared" si="424"/>
        <v>0.53665056462413763</v>
      </c>
      <c r="AP163" s="134">
        <f t="shared" si="424"/>
        <v>0.54401890844163769</v>
      </c>
      <c r="AQ163" s="134">
        <f t="shared" si="425"/>
        <v>0.54713609129836271</v>
      </c>
      <c r="AR163" s="134">
        <f t="shared" si="425"/>
        <v>0.54992043228516818</v>
      </c>
      <c r="AS163" s="134">
        <f t="shared" si="425"/>
        <v>0.55242146349309817</v>
      </c>
      <c r="AT163" s="134">
        <f t="shared" si="425"/>
        <v>0.55378067013083865</v>
      </c>
      <c r="AU163" s="134">
        <f t="shared" si="425"/>
        <v>0.55501661396164992</v>
      </c>
      <c r="AV163" s="134">
        <f t="shared" si="425"/>
        <v>0.55727999391820826</v>
      </c>
      <c r="AW163" s="134">
        <f t="shared" si="425"/>
        <v>0.55727999391820826</v>
      </c>
      <c r="AX163" s="134">
        <f t="shared" si="425"/>
        <v>0.55727999391820804</v>
      </c>
      <c r="AY163" s="134">
        <f t="shared" si="425"/>
        <v>0.55727999391820793</v>
      </c>
      <c r="AZ163" s="134">
        <f t="shared" si="425"/>
        <v>0.55727999375733894</v>
      </c>
      <c r="BA163" s="134">
        <f t="shared" si="426"/>
        <v>0.55727999375733861</v>
      </c>
      <c r="BB163" s="134">
        <f t="shared" si="426"/>
        <v>0.55727999375733894</v>
      </c>
      <c r="BC163" s="134">
        <f t="shared" si="426"/>
        <v>0.55727999375733872</v>
      </c>
      <c r="BD163" s="134">
        <f t="shared" si="426"/>
        <v>0.55727999375733861</v>
      </c>
      <c r="BE163" s="134">
        <f t="shared" si="426"/>
        <v>0.55727999375733794</v>
      </c>
      <c r="BF163" s="134">
        <f t="shared" si="426"/>
        <v>0.55727999375733772</v>
      </c>
      <c r="BG163" s="134">
        <f t="shared" si="426"/>
        <v>0.5572799937573385</v>
      </c>
      <c r="BH163" s="134">
        <f t="shared" si="426"/>
        <v>0.55727999953950824</v>
      </c>
      <c r="BI163" s="134">
        <f t="shared" si="426"/>
        <v>0.55727999375733861</v>
      </c>
      <c r="BJ163" s="134">
        <f t="shared" si="426"/>
        <v>0.55727999953950791</v>
      </c>
      <c r="BK163" s="134">
        <f t="shared" si="427"/>
        <v>0.55727999953950802</v>
      </c>
      <c r="BL163" s="134">
        <f t="shared" si="427"/>
        <v>0.55727999953950835</v>
      </c>
      <c r="BM163" s="134">
        <f t="shared" si="427"/>
        <v>0.55727999953950846</v>
      </c>
      <c r="BN163" s="134">
        <f t="shared" si="427"/>
        <v>0.55727999953950791</v>
      </c>
      <c r="BO163" s="134">
        <f t="shared" si="427"/>
        <v>0.55727999375733905</v>
      </c>
      <c r="BP163" s="134">
        <f t="shared" si="427"/>
        <v>0.55727999953950802</v>
      </c>
      <c r="BQ163" s="134">
        <f t="shared" si="427"/>
        <v>0.55727999953950802</v>
      </c>
      <c r="BR163" s="134">
        <f t="shared" si="427"/>
        <v>0.55727999953950846</v>
      </c>
      <c r="BS163" s="134">
        <f t="shared" si="427"/>
        <v>0.55727999953950824</v>
      </c>
      <c r="BT163" s="134">
        <f t="shared" si="427"/>
        <v>0.55727999953950824</v>
      </c>
      <c r="BU163" s="134">
        <f t="shared" si="428"/>
        <v>0.55727999953950802</v>
      </c>
      <c r="BV163" s="134">
        <f t="shared" si="428"/>
        <v>0.55727999953950824</v>
      </c>
      <c r="BW163" s="134">
        <f t="shared" si="428"/>
        <v>0.55727999953950802</v>
      </c>
      <c r="BX163" s="134">
        <f t="shared" si="428"/>
        <v>0.55727999953950813</v>
      </c>
      <c r="BY163" s="134">
        <f t="shared" si="428"/>
        <v>0.55727999953950813</v>
      </c>
      <c r="BZ163" s="134">
        <f t="shared" si="428"/>
        <v>0.55727999375733861</v>
      </c>
      <c r="CA163" s="134">
        <f t="shared" si="428"/>
        <v>0.55727999375733872</v>
      </c>
      <c r="CB163" s="134">
        <f t="shared" si="428"/>
        <v>0.55727999953950746</v>
      </c>
      <c r="CC163" s="134">
        <f t="shared" si="428"/>
        <v>0.55727999375733861</v>
      </c>
      <c r="CD163" s="134">
        <f t="shared" si="428"/>
        <v>0.55727999375733894</v>
      </c>
      <c r="CE163" s="134">
        <f t="shared" si="429"/>
        <v>0.55727999375733905</v>
      </c>
      <c r="CF163" s="134">
        <f t="shared" si="429"/>
        <v>0.55727999953950769</v>
      </c>
      <c r="CG163" s="134">
        <f t="shared" si="429"/>
        <v>0.55727999375733894</v>
      </c>
      <c r="CH163" s="134">
        <f t="shared" si="429"/>
        <v>0.55727999375733861</v>
      </c>
      <c r="CI163" s="134">
        <f t="shared" si="429"/>
        <v>0.55727999375733894</v>
      </c>
      <c r="CJ163" s="134">
        <f t="shared" si="429"/>
        <v>0.5572799995395068</v>
      </c>
      <c r="CK163" s="134">
        <f t="shared" si="429"/>
        <v>0.55727999375733894</v>
      </c>
      <c r="CL163" s="134">
        <f t="shared" si="429"/>
        <v>0.55727999375733905</v>
      </c>
      <c r="CM163" s="134">
        <f t="shared" si="429"/>
        <v>0.55727999375733861</v>
      </c>
      <c r="CN163" s="134">
        <f t="shared" si="429"/>
        <v>0.55727999375733894</v>
      </c>
      <c r="CO163" s="134">
        <f t="shared" si="430"/>
        <v>0.5670225214720872</v>
      </c>
      <c r="CP163" s="134">
        <f t="shared" si="430"/>
        <v>0.58517160108921262</v>
      </c>
      <c r="CQ163" s="134">
        <f t="shared" si="430"/>
        <v>0.59991742189539299</v>
      </c>
      <c r="CR163" s="134">
        <f t="shared" si="430"/>
        <v>0.61594921157774796</v>
      </c>
      <c r="CS163" s="134">
        <f t="shared" si="430"/>
        <v>0.61594921157774873</v>
      </c>
      <c r="CT163" s="134">
        <f t="shared" si="430"/>
        <v>0.6159492115777484</v>
      </c>
      <c r="CU163" s="134">
        <f t="shared" si="430"/>
        <v>0.61594921157774807</v>
      </c>
      <c r="CV163" s="134">
        <f t="shared" si="430"/>
        <v>0.6159492115777484</v>
      </c>
      <c r="CW163" s="134">
        <f t="shared" si="430"/>
        <v>0.61594921157774796</v>
      </c>
      <c r="CX163" s="135">
        <f t="shared" si="430"/>
        <v>0.63466257206674781</v>
      </c>
      <c r="DE163" s="2">
        <f t="shared" si="431"/>
        <v>5</v>
      </c>
      <c r="DF163" s="141" t="e">
        <f t="shared" ca="1" si="432"/>
        <v>#NAME?</v>
      </c>
      <c r="DG163" s="142" t="e">
        <f t="shared" ca="1" si="433"/>
        <v>#NAME?</v>
      </c>
      <c r="DH163" s="141">
        <f t="shared" si="434"/>
        <v>0.50936999999999988</v>
      </c>
      <c r="DI163" s="142">
        <f t="shared" si="435"/>
        <v>0.63466257206674781</v>
      </c>
      <c r="DJ163" s="148" t="e">
        <f t="shared" ca="1" si="436"/>
        <v>#NAME?</v>
      </c>
      <c r="DK163" s="149" t="e">
        <f t="shared" ca="1" si="437"/>
        <v>#NAME?</v>
      </c>
    </row>
    <row r="164" spans="1:115" x14ac:dyDescent="0.2">
      <c r="A164" s="2" t="s">
        <v>120</v>
      </c>
      <c r="B164" s="162">
        <f>B163+1</f>
        <v>6</v>
      </c>
      <c r="C164" s="136">
        <f t="shared" ref="C164:AH164" si="438">SUMPRODUCT(INDEX($T$42:$Y$91,,$B164),C$107:C$156)</f>
        <v>2.20009715799678E-8</v>
      </c>
      <c r="D164" s="137">
        <f t="shared" si="438"/>
        <v>2.2000971579969481E-8</v>
      </c>
      <c r="E164" s="137">
        <f t="shared" si="438"/>
        <v>2.2000971579970553E-8</v>
      </c>
      <c r="F164" s="137">
        <f t="shared" si="438"/>
        <v>9.879273759805489E-9</v>
      </c>
      <c r="G164" s="137">
        <f t="shared" si="438"/>
        <v>1.4994045638731475E-8</v>
      </c>
      <c r="H164" s="137">
        <f t="shared" si="438"/>
        <v>2.7734442937429419E-8</v>
      </c>
      <c r="I164" s="137">
        <f t="shared" si="438"/>
        <v>1.4994045638752118E-8</v>
      </c>
      <c r="J164" s="137">
        <f t="shared" si="438"/>
        <v>2.2002364243602428E-8</v>
      </c>
      <c r="K164" s="137">
        <f t="shared" si="421"/>
        <v>2.7358111083025433E-8</v>
      </c>
      <c r="L164" s="137">
        <f t="shared" si="421"/>
        <v>1.4994045638722802E-8</v>
      </c>
      <c r="M164" s="137">
        <f t="shared" si="438"/>
        <v>2.6842112939565165E-8</v>
      </c>
      <c r="N164" s="137">
        <f t="shared" si="438"/>
        <v>1.4994045639113437E-8</v>
      </c>
      <c r="O164" s="137">
        <f t="shared" si="438"/>
        <v>9.55608925323768E-9</v>
      </c>
      <c r="P164" s="137">
        <f t="shared" si="438"/>
        <v>9.5560892532232854E-9</v>
      </c>
      <c r="Q164" s="137">
        <f t="shared" si="438"/>
        <v>9.556089253233516E-9</v>
      </c>
      <c r="R164" s="137">
        <f t="shared" si="438"/>
        <v>9.5560892532396917E-9</v>
      </c>
      <c r="S164" s="137">
        <f t="shared" si="438"/>
        <v>9.4898950922327283E-9</v>
      </c>
      <c r="T164" s="137">
        <f t="shared" si="438"/>
        <v>9.4898950919763553E-9</v>
      </c>
      <c r="U164" s="137">
        <f t="shared" si="438"/>
        <v>2.2002364243728974E-8</v>
      </c>
      <c r="V164" s="137">
        <f t="shared" si="438"/>
        <v>9.5560892532087999E-9</v>
      </c>
      <c r="W164" s="137">
        <f t="shared" si="438"/>
        <v>9.3937160272627646E-9</v>
      </c>
      <c r="X164" s="137">
        <f t="shared" si="438"/>
        <v>9.4898950920060544E-9</v>
      </c>
      <c r="Y164" s="137">
        <f t="shared" si="438"/>
        <v>2.2000971579966007E-8</v>
      </c>
      <c r="Z164" s="137">
        <f t="shared" si="438"/>
        <v>2.3405599548151006E-3</v>
      </c>
      <c r="AA164" s="137">
        <f t="shared" si="438"/>
        <v>6.8674804772231209E-3</v>
      </c>
      <c r="AB164" s="137">
        <f t="shared" si="438"/>
        <v>1.1689801457528409E-2</v>
      </c>
      <c r="AC164" s="137">
        <f t="shared" si="438"/>
        <v>1.6839758720411966E-2</v>
      </c>
      <c r="AD164" s="137">
        <f t="shared" si="438"/>
        <v>2.174429699545042E-2</v>
      </c>
      <c r="AE164" s="137">
        <f t="shared" si="438"/>
        <v>2.7218700248232853E-2</v>
      </c>
      <c r="AF164" s="137">
        <f t="shared" si="438"/>
        <v>3.2555683114209567E-2</v>
      </c>
      <c r="AG164" s="137">
        <f t="shared" si="438"/>
        <v>3.6726403997732235E-2</v>
      </c>
      <c r="AH164" s="137">
        <f t="shared" si="438"/>
        <v>4.163800137279107E-2</v>
      </c>
      <c r="AI164" s="137">
        <f t="shared" ref="AI164:BN164" si="439">SUMPRODUCT(INDEX($T$42:$Y$91,,$B164),AI$107:AI$156)</f>
        <v>4.5501520084699813E-2</v>
      </c>
      <c r="AJ164" s="137">
        <f t="shared" si="439"/>
        <v>5.0189985407852723E-2</v>
      </c>
      <c r="AK164" s="137">
        <f t="shared" si="439"/>
        <v>5.3180006531991245E-2</v>
      </c>
      <c r="AL164" s="137">
        <f t="shared" si="439"/>
        <v>5.3180006531991252E-2</v>
      </c>
      <c r="AM164" s="137">
        <f t="shared" si="439"/>
        <v>5.3180006531991272E-2</v>
      </c>
      <c r="AN164" s="137">
        <f t="shared" si="439"/>
        <v>5.3180006531991258E-2</v>
      </c>
      <c r="AO164" s="137">
        <f t="shared" si="439"/>
        <v>5.3180006531991258E-2</v>
      </c>
      <c r="AP164" s="137">
        <f t="shared" si="439"/>
        <v>5.3180006531991252E-2</v>
      </c>
      <c r="AQ164" s="137">
        <f t="shared" si="439"/>
        <v>5.3180005782169415E-2</v>
      </c>
      <c r="AR164" s="137">
        <f t="shared" si="439"/>
        <v>5.3180005782169415E-2</v>
      </c>
      <c r="AS164" s="137">
        <f t="shared" si="439"/>
        <v>5.3179999999999998E-2</v>
      </c>
      <c r="AT164" s="137">
        <f t="shared" si="439"/>
        <v>5.3179999999999998E-2</v>
      </c>
      <c r="AU164" s="137">
        <f t="shared" si="439"/>
        <v>5.3179999999999991E-2</v>
      </c>
      <c r="AV164" s="137">
        <f t="shared" si="439"/>
        <v>5.3179999999999998E-2</v>
      </c>
      <c r="AW164" s="137">
        <f t="shared" si="439"/>
        <v>5.3179999999999998E-2</v>
      </c>
      <c r="AX164" s="137">
        <f t="shared" si="439"/>
        <v>5.3179999999999998E-2</v>
      </c>
      <c r="AY164" s="137">
        <f t="shared" si="439"/>
        <v>5.3179999999999991E-2</v>
      </c>
      <c r="AZ164" s="137">
        <f t="shared" si="439"/>
        <v>5.3179999999999998E-2</v>
      </c>
      <c r="BA164" s="137">
        <f t="shared" si="439"/>
        <v>5.3179999999999998E-2</v>
      </c>
      <c r="BB164" s="137">
        <f t="shared" si="439"/>
        <v>5.3179999999999998E-2</v>
      </c>
      <c r="BC164" s="137">
        <f t="shared" si="439"/>
        <v>5.3180000000000005E-2</v>
      </c>
      <c r="BD164" s="137">
        <f t="shared" si="439"/>
        <v>5.3179999999999998E-2</v>
      </c>
      <c r="BE164" s="137">
        <f t="shared" si="439"/>
        <v>5.3180000000000144E-2</v>
      </c>
      <c r="BF164" s="137">
        <f t="shared" si="439"/>
        <v>5.3180000000000269E-2</v>
      </c>
      <c r="BG164" s="137">
        <f t="shared" si="439"/>
        <v>5.3180000000000116E-2</v>
      </c>
      <c r="BH164" s="137">
        <f t="shared" si="439"/>
        <v>5.3180005782169408E-2</v>
      </c>
      <c r="BI164" s="137">
        <f t="shared" si="439"/>
        <v>5.3180000000000054E-2</v>
      </c>
      <c r="BJ164" s="137">
        <f t="shared" si="439"/>
        <v>5.3180005782169408E-2</v>
      </c>
      <c r="BK164" s="137">
        <f t="shared" si="439"/>
        <v>5.3180005782169401E-2</v>
      </c>
      <c r="BL164" s="137">
        <f t="shared" si="439"/>
        <v>5.3180005782169408E-2</v>
      </c>
      <c r="BM164" s="137">
        <f t="shared" si="439"/>
        <v>5.3180005782169408E-2</v>
      </c>
      <c r="BN164" s="137">
        <f t="shared" si="439"/>
        <v>5.3180005782169401E-2</v>
      </c>
      <c r="BO164" s="137">
        <f t="shared" ref="BO164:CX164" si="440">SUMPRODUCT(INDEX($T$42:$Y$91,,$B164),BO$107:BO$156)</f>
        <v>5.3179999999999998E-2</v>
      </c>
      <c r="BP164" s="137">
        <f t="shared" si="440"/>
        <v>5.3180005782169408E-2</v>
      </c>
      <c r="BQ164" s="137">
        <f t="shared" si="440"/>
        <v>5.3180005782169408E-2</v>
      </c>
      <c r="BR164" s="137">
        <f t="shared" si="440"/>
        <v>5.3180005782169408E-2</v>
      </c>
      <c r="BS164" s="137">
        <f t="shared" si="440"/>
        <v>5.3180005782169408E-2</v>
      </c>
      <c r="BT164" s="137">
        <f t="shared" si="440"/>
        <v>5.3180005782169408E-2</v>
      </c>
      <c r="BU164" s="137">
        <f t="shared" si="440"/>
        <v>5.3180005782169415E-2</v>
      </c>
      <c r="BV164" s="137">
        <f t="shared" si="440"/>
        <v>5.3180005782169401E-2</v>
      </c>
      <c r="BW164" s="137">
        <f t="shared" si="440"/>
        <v>5.3180005782169408E-2</v>
      </c>
      <c r="BX164" s="137">
        <f t="shared" si="440"/>
        <v>5.3180005782169408E-2</v>
      </c>
      <c r="BY164" s="137">
        <f t="shared" si="440"/>
        <v>5.3180005782169401E-2</v>
      </c>
      <c r="BZ164" s="137">
        <f t="shared" si="440"/>
        <v>5.3180000000000005E-2</v>
      </c>
      <c r="CA164" s="137">
        <f t="shared" si="440"/>
        <v>5.3180000000000005E-2</v>
      </c>
      <c r="CB164" s="137">
        <f t="shared" si="440"/>
        <v>5.3180005782169616E-2</v>
      </c>
      <c r="CC164" s="137">
        <f t="shared" si="440"/>
        <v>5.3179999999999998E-2</v>
      </c>
      <c r="CD164" s="137">
        <f t="shared" si="440"/>
        <v>5.3179999999999998E-2</v>
      </c>
      <c r="CE164" s="137">
        <f t="shared" si="440"/>
        <v>5.3180000000000005E-2</v>
      </c>
      <c r="CF164" s="137">
        <f t="shared" si="440"/>
        <v>5.3180005782169422E-2</v>
      </c>
      <c r="CG164" s="137">
        <f t="shared" si="440"/>
        <v>5.3179999999999991E-2</v>
      </c>
      <c r="CH164" s="137">
        <f t="shared" si="440"/>
        <v>5.3179999999999998E-2</v>
      </c>
      <c r="CI164" s="137">
        <f t="shared" si="440"/>
        <v>5.3179999999999998E-2</v>
      </c>
      <c r="CJ164" s="137">
        <f t="shared" si="440"/>
        <v>5.3180005782169304E-2</v>
      </c>
      <c r="CK164" s="137">
        <f t="shared" si="440"/>
        <v>5.3179999999999998E-2</v>
      </c>
      <c r="CL164" s="137">
        <f t="shared" si="440"/>
        <v>5.3179999999999998E-2</v>
      </c>
      <c r="CM164" s="137">
        <f t="shared" si="440"/>
        <v>5.3179999999999998E-2</v>
      </c>
      <c r="CN164" s="137">
        <f t="shared" si="440"/>
        <v>5.3180000000000005E-2</v>
      </c>
      <c r="CO164" s="137">
        <f t="shared" si="440"/>
        <v>5.3179999999999998E-2</v>
      </c>
      <c r="CP164" s="137">
        <f t="shared" si="440"/>
        <v>5.3180000000000054E-2</v>
      </c>
      <c r="CQ164" s="137">
        <f t="shared" si="440"/>
        <v>5.3179999999999915E-2</v>
      </c>
      <c r="CR164" s="137">
        <f t="shared" si="440"/>
        <v>5.3179999999999658E-2</v>
      </c>
      <c r="CS164" s="137">
        <f t="shared" si="440"/>
        <v>5.3180000000000206E-2</v>
      </c>
      <c r="CT164" s="137">
        <f t="shared" si="440"/>
        <v>5.3179999999999991E-2</v>
      </c>
      <c r="CU164" s="137">
        <f t="shared" si="440"/>
        <v>5.3179999999999991E-2</v>
      </c>
      <c r="CV164" s="137">
        <f t="shared" si="440"/>
        <v>5.3180000000000005E-2</v>
      </c>
      <c r="CW164" s="137">
        <f t="shared" si="440"/>
        <v>5.3179999999999998E-2</v>
      </c>
      <c r="CX164" s="138">
        <f t="shared" si="440"/>
        <v>5.3171990990790077E-2</v>
      </c>
      <c r="DE164" s="2">
        <f t="shared" si="431"/>
        <v>6</v>
      </c>
      <c r="DF164" s="143" t="e">
        <f t="shared" ca="1" si="432"/>
        <v>#NAME?</v>
      </c>
      <c r="DG164" s="144" t="e">
        <f t="shared" ca="1" si="433"/>
        <v>#NAME?</v>
      </c>
      <c r="DH164" s="143">
        <f t="shared" si="434"/>
        <v>9.3937160272627646E-9</v>
      </c>
      <c r="DI164" s="144">
        <f t="shared" si="435"/>
        <v>5.3180006531991272E-2</v>
      </c>
      <c r="DJ164" s="150" t="e">
        <f t="shared" ca="1" si="436"/>
        <v>#NAME?</v>
      </c>
      <c r="DK164" s="151" t="e">
        <f t="shared" ca="1" si="437"/>
        <v>#NAME?</v>
      </c>
    </row>
    <row r="165" spans="1:115" x14ac:dyDescent="0.2">
      <c r="B165" s="2"/>
      <c r="C165" s="134"/>
    </row>
    <row r="166" spans="1:115" x14ac:dyDescent="0.2">
      <c r="A166" s="2" t="s">
        <v>124</v>
      </c>
      <c r="B166" s="160">
        <v>1</v>
      </c>
      <c r="C166" s="130">
        <f t="shared" ref="C166:C176" si="441">C117/SUM(C$117:C$127)</f>
        <v>0.47618055318054103</v>
      </c>
      <c r="D166" s="131">
        <f t="shared" ref="D166:BO167" si="442">D117/SUM(D$117:D$127)</f>
        <v>0.47618055318049685</v>
      </c>
      <c r="E166" s="131">
        <f t="shared" si="442"/>
        <v>0.47618055318052127</v>
      </c>
      <c r="F166" s="131">
        <f t="shared" si="442"/>
        <v>4.7559169785094897E-2</v>
      </c>
      <c r="G166" s="131">
        <f t="shared" si="442"/>
        <v>0.206702241921073</v>
      </c>
      <c r="H166" s="131">
        <f t="shared" si="442"/>
        <v>0.58478918096766697</v>
      </c>
      <c r="I166" s="131">
        <f t="shared" si="442"/>
        <v>0.20670224192142272</v>
      </c>
      <c r="J166" s="131">
        <f t="shared" si="442"/>
        <v>0.51717412495840709</v>
      </c>
      <c r="K166" s="131">
        <f t="shared" ref="K166:L176" si="443">K117/SUM(K$117:K$127)</f>
        <v>0.59283340581921995</v>
      </c>
      <c r="L166" s="131">
        <f t="shared" si="443"/>
        <v>0.20670224192091646</v>
      </c>
      <c r="M166" s="131">
        <f t="shared" si="442"/>
        <v>0.60422971196580999</v>
      </c>
      <c r="N166" s="131">
        <f t="shared" si="442"/>
        <v>0.20670224193002454</v>
      </c>
      <c r="O166" s="131">
        <f t="shared" si="442"/>
        <v>3.0587794983285154E-15</v>
      </c>
      <c r="P166" s="131">
        <f t="shared" si="442"/>
        <v>-1.2539157124281297E-12</v>
      </c>
      <c r="Q166" s="131">
        <f t="shared" si="442"/>
        <v>-4.6052923010434215E-13</v>
      </c>
      <c r="R166" s="131">
        <f t="shared" si="442"/>
        <v>2.8923784152995999E-14</v>
      </c>
      <c r="S166" s="131">
        <f t="shared" si="442"/>
        <v>1.1090175295215625E-11</v>
      </c>
      <c r="T166" s="131">
        <f t="shared" si="442"/>
        <v>1.0587195697738179E-13</v>
      </c>
      <c r="U166" s="131">
        <f t="shared" si="442"/>
        <v>0.51717412493275638</v>
      </c>
      <c r="V166" s="131">
        <f t="shared" si="442"/>
        <v>-1.9265593659496108E-14</v>
      </c>
      <c r="W166" s="131">
        <f t="shared" si="442"/>
        <v>1.8361774529416566E-17</v>
      </c>
      <c r="X166" s="131">
        <f t="shared" si="442"/>
        <v>2.7395939049347587E-12</v>
      </c>
      <c r="Y166" s="131">
        <f t="shared" si="442"/>
        <v>0.51714356200505773</v>
      </c>
      <c r="Z166" s="131">
        <f t="shared" si="442"/>
        <v>0.7089048105640352</v>
      </c>
      <c r="AA166" s="131">
        <f t="shared" si="442"/>
        <v>0.58777660941721288</v>
      </c>
      <c r="AB166" s="131">
        <f t="shared" si="442"/>
        <v>0.60832478600759587</v>
      </c>
      <c r="AC166" s="131">
        <f t="shared" si="442"/>
        <v>0.62547421387000757</v>
      </c>
      <c r="AD166" s="131">
        <f t="shared" si="442"/>
        <v>0.63201849135421684</v>
      </c>
      <c r="AE166" s="131">
        <f t="shared" si="442"/>
        <v>0.65181005655402535</v>
      </c>
      <c r="AF166" s="131">
        <f t="shared" si="442"/>
        <v>0.60477106693237137</v>
      </c>
      <c r="AG166" s="131">
        <f t="shared" si="442"/>
        <v>0.59843004696542001</v>
      </c>
      <c r="AH166" s="131">
        <f t="shared" si="442"/>
        <v>0.58447526010504136</v>
      </c>
      <c r="AI166" s="131">
        <f t="shared" si="442"/>
        <v>0.6102597983100152</v>
      </c>
      <c r="AJ166" s="131">
        <f t="shared" si="442"/>
        <v>0.59008483861022576</v>
      </c>
      <c r="AK166" s="131">
        <f t="shared" si="442"/>
        <v>0.5836748761434768</v>
      </c>
      <c r="AL166" s="131">
        <f t="shared" si="442"/>
        <v>0.58034026014480133</v>
      </c>
      <c r="AM166" s="131">
        <f t="shared" si="442"/>
        <v>0.58173635970521798</v>
      </c>
      <c r="AN166" s="131">
        <f t="shared" si="442"/>
        <v>0.57796910436445503</v>
      </c>
      <c r="AO166" s="131">
        <f t="shared" si="442"/>
        <v>0.57159793727068731</v>
      </c>
      <c r="AP166" s="131">
        <f t="shared" si="442"/>
        <v>0.55783678095390177</v>
      </c>
      <c r="AQ166" s="131">
        <f t="shared" si="442"/>
        <v>0.58832034895227137</v>
      </c>
      <c r="AR166" s="131">
        <f t="shared" si="442"/>
        <v>0.64067726290617877</v>
      </c>
      <c r="AS166" s="131">
        <f t="shared" si="442"/>
        <v>0.68770687765678262</v>
      </c>
      <c r="AT166" s="131">
        <f t="shared" si="442"/>
        <v>0.71326548310507409</v>
      </c>
      <c r="AU166" s="131">
        <f t="shared" si="442"/>
        <v>0.73650624712935719</v>
      </c>
      <c r="AV166" s="131">
        <f t="shared" si="442"/>
        <v>0.77906698343169634</v>
      </c>
      <c r="AW166" s="131">
        <f t="shared" si="442"/>
        <v>0.77906698343169634</v>
      </c>
      <c r="AX166" s="131">
        <f t="shared" si="442"/>
        <v>0.77906698343169634</v>
      </c>
      <c r="AY166" s="131">
        <f t="shared" si="442"/>
        <v>0.77906698343169634</v>
      </c>
      <c r="AZ166" s="131">
        <f t="shared" si="442"/>
        <v>0.77906698343169634</v>
      </c>
      <c r="BA166" s="131">
        <f t="shared" si="442"/>
        <v>0.77906698343169634</v>
      </c>
      <c r="BB166" s="131">
        <f t="shared" si="442"/>
        <v>0.77906698343169634</v>
      </c>
      <c r="BC166" s="131">
        <f t="shared" si="442"/>
        <v>0.77906698343169623</v>
      </c>
      <c r="BD166" s="131">
        <f t="shared" si="442"/>
        <v>0.77906698343169634</v>
      </c>
      <c r="BE166" s="131">
        <f t="shared" si="442"/>
        <v>0.77906698343169412</v>
      </c>
      <c r="BF166" s="131">
        <f t="shared" si="442"/>
        <v>0.77906698343169434</v>
      </c>
      <c r="BG166" s="131">
        <f t="shared" si="442"/>
        <v>0.77906698343169623</v>
      </c>
      <c r="BH166" s="131">
        <f t="shared" si="442"/>
        <v>0.77906700745335844</v>
      </c>
      <c r="BI166" s="131">
        <f t="shared" si="442"/>
        <v>0.7790669834316919</v>
      </c>
      <c r="BJ166" s="131">
        <f t="shared" si="442"/>
        <v>0.77906700745335844</v>
      </c>
      <c r="BK166" s="131">
        <f t="shared" si="442"/>
        <v>0.77906700745335855</v>
      </c>
      <c r="BL166" s="131">
        <f t="shared" si="442"/>
        <v>0.77906700745335844</v>
      </c>
      <c r="BM166" s="131">
        <f t="shared" si="442"/>
        <v>0.77906700745335844</v>
      </c>
      <c r="BN166" s="131">
        <f t="shared" si="442"/>
        <v>0.77906700745335844</v>
      </c>
      <c r="BO166" s="131">
        <f t="shared" si="442"/>
        <v>0.77906698343169634</v>
      </c>
      <c r="BP166" s="131">
        <f t="shared" ref="BP166:CX170" si="444">BP117/SUM(BP$117:BP$127)</f>
        <v>0.77906700745335844</v>
      </c>
      <c r="BQ166" s="131">
        <f t="shared" si="444"/>
        <v>0.77906700745335844</v>
      </c>
      <c r="BR166" s="131">
        <f t="shared" si="444"/>
        <v>0.77906700745335844</v>
      </c>
      <c r="BS166" s="131">
        <f t="shared" si="444"/>
        <v>0.77906700745335844</v>
      </c>
      <c r="BT166" s="131">
        <f t="shared" si="444"/>
        <v>0.77906700745335844</v>
      </c>
      <c r="BU166" s="131">
        <f t="shared" si="444"/>
        <v>0.77906700745335833</v>
      </c>
      <c r="BV166" s="131">
        <f t="shared" si="444"/>
        <v>0.77906700745335844</v>
      </c>
      <c r="BW166" s="131">
        <f t="shared" si="444"/>
        <v>0.77906700745335844</v>
      </c>
      <c r="BX166" s="131">
        <f t="shared" si="444"/>
        <v>0.77906700745335844</v>
      </c>
      <c r="BY166" s="131">
        <f t="shared" si="444"/>
        <v>0.77906700745335844</v>
      </c>
      <c r="BZ166" s="131">
        <f t="shared" si="444"/>
        <v>0.77906698343169534</v>
      </c>
      <c r="CA166" s="131">
        <f t="shared" si="444"/>
        <v>0.77906698343169623</v>
      </c>
      <c r="CB166" s="131">
        <f t="shared" si="444"/>
        <v>0.77906700745335955</v>
      </c>
      <c r="CC166" s="131">
        <f t="shared" si="444"/>
        <v>0.77906698343169634</v>
      </c>
      <c r="CD166" s="131">
        <f t="shared" si="444"/>
        <v>0.77906698343169634</v>
      </c>
      <c r="CE166" s="131">
        <f t="shared" si="444"/>
        <v>0.77906698343169645</v>
      </c>
      <c r="CF166" s="131">
        <f t="shared" si="444"/>
        <v>0.77906700745335877</v>
      </c>
      <c r="CG166" s="131">
        <f t="shared" si="444"/>
        <v>0.77906698343169623</v>
      </c>
      <c r="CH166" s="131">
        <f t="shared" si="444"/>
        <v>0.77906698343169634</v>
      </c>
      <c r="CI166" s="131">
        <f t="shared" si="444"/>
        <v>0.77906698343169634</v>
      </c>
      <c r="CJ166" s="131">
        <f t="shared" si="444"/>
        <v>0.77906700745335966</v>
      </c>
      <c r="CK166" s="131">
        <f t="shared" si="444"/>
        <v>0.77906698343169634</v>
      </c>
      <c r="CL166" s="131">
        <f t="shared" si="444"/>
        <v>0.77906698343169634</v>
      </c>
      <c r="CM166" s="131">
        <f t="shared" si="444"/>
        <v>0.77906698343169634</v>
      </c>
      <c r="CN166" s="131">
        <f t="shared" si="444"/>
        <v>0.77906698343169645</v>
      </c>
      <c r="CO166" s="131">
        <f t="shared" si="444"/>
        <v>0.77906698343169634</v>
      </c>
      <c r="CP166" s="131">
        <f t="shared" si="444"/>
        <v>0.77906698343169611</v>
      </c>
      <c r="CQ166" s="131">
        <f t="shared" si="444"/>
        <v>0.77906698343168723</v>
      </c>
      <c r="CR166" s="131">
        <f t="shared" si="444"/>
        <v>0.77906698343168423</v>
      </c>
      <c r="CS166" s="131">
        <f t="shared" si="444"/>
        <v>0.77906698343168235</v>
      </c>
      <c r="CT166" s="131">
        <f t="shared" si="444"/>
        <v>0.77906698343169645</v>
      </c>
      <c r="CU166" s="131">
        <f t="shared" si="444"/>
        <v>0.77906698343169645</v>
      </c>
      <c r="CV166" s="131">
        <f t="shared" si="444"/>
        <v>0.77906698343169645</v>
      </c>
      <c r="CW166" s="131">
        <f t="shared" si="444"/>
        <v>0.77906698343169634</v>
      </c>
      <c r="CX166" s="132">
        <f t="shared" si="444"/>
        <v>0.59318121795282708</v>
      </c>
      <c r="DE166" s="2">
        <v>1</v>
      </c>
      <c r="DF166" s="139">
        <f t="shared" ref="DF166:DF176" ca="1" si="445">INDEX(model_relative_mins,1,$DE166)</f>
        <v>0</v>
      </c>
      <c r="DG166" s="140">
        <f t="shared" ref="DG166:DG176" ca="1" si="446">INDEX(model_relative_maxs,1,$DE166)</f>
        <v>1</v>
      </c>
      <c r="DH166" s="139">
        <f t="shared" si="434"/>
        <v>-1.2539157124281297E-12</v>
      </c>
      <c r="DI166" s="140">
        <f t="shared" si="435"/>
        <v>0.77906700745335966</v>
      </c>
      <c r="DJ166" s="146">
        <f t="shared" ref="DJ166:DJ176" ca="1" si="447">IF(DH166&lt;DF166-0.0001,1,0)</f>
        <v>0</v>
      </c>
      <c r="DK166" s="147">
        <f t="shared" ref="DK166:DK176" ca="1" si="448">IF(DI166&gt;DG166+0.0001,1,0)</f>
        <v>0</v>
      </c>
    </row>
    <row r="167" spans="1:115" x14ac:dyDescent="0.2">
      <c r="A167" s="2" t="s">
        <v>124</v>
      </c>
      <c r="B167" s="161">
        <f>B166+1</f>
        <v>2</v>
      </c>
      <c r="C167" s="133">
        <f t="shared" si="441"/>
        <v>0</v>
      </c>
      <c r="D167" s="134">
        <f t="shared" ref="D167:R167" si="449">D118/SUM(D$117:D$127)</f>
        <v>2.6244340329507571E-15</v>
      </c>
      <c r="E167" s="134">
        <f t="shared" si="449"/>
        <v>0</v>
      </c>
      <c r="F167" s="134">
        <f t="shared" si="449"/>
        <v>9.2985774195460686E-3</v>
      </c>
      <c r="G167" s="134">
        <f t="shared" si="449"/>
        <v>4.0413590229324808E-2</v>
      </c>
      <c r="H167" s="134">
        <f t="shared" si="449"/>
        <v>-3.2075621896521798E-4</v>
      </c>
      <c r="I167" s="134">
        <f t="shared" si="449"/>
        <v>4.0413590229519854E-2</v>
      </c>
      <c r="J167" s="134">
        <f t="shared" si="449"/>
        <v>-2.911668190529992E-11</v>
      </c>
      <c r="K167" s="134">
        <f t="shared" si="443"/>
        <v>-3.2516846739598837E-4</v>
      </c>
      <c r="L167" s="134">
        <f t="shared" si="443"/>
        <v>4.0413590229282273E-2</v>
      </c>
      <c r="M167" s="134">
        <f t="shared" si="449"/>
        <v>4.3562231199599809E-13</v>
      </c>
      <c r="N167" s="134">
        <f t="shared" si="449"/>
        <v>4.0413590228193082E-2</v>
      </c>
      <c r="O167" s="134">
        <f t="shared" si="449"/>
        <v>3.6703116475811024E-15</v>
      </c>
      <c r="P167" s="134">
        <f t="shared" si="449"/>
        <v>-4.019865549621569E-13</v>
      </c>
      <c r="Q167" s="134">
        <f t="shared" si="449"/>
        <v>-1.3568305990335233E-13</v>
      </c>
      <c r="R167" s="134">
        <f t="shared" si="449"/>
        <v>1.5497272289640529E-14</v>
      </c>
      <c r="S167" s="134">
        <f t="shared" si="442"/>
        <v>2.7439211946013926E-12</v>
      </c>
      <c r="T167" s="134">
        <f t="shared" si="442"/>
        <v>4.2921709464011863E-14</v>
      </c>
      <c r="U167" s="134">
        <f t="shared" si="442"/>
        <v>2.507872452882625E-15</v>
      </c>
      <c r="V167" s="134">
        <f t="shared" si="442"/>
        <v>-2.567465905249327E-13</v>
      </c>
      <c r="W167" s="134">
        <f t="shared" si="442"/>
        <v>-3.4207068109703124E-15</v>
      </c>
      <c r="X167" s="134">
        <f t="shared" si="442"/>
        <v>5.5114945535461083E-13</v>
      </c>
      <c r="Y167" s="134">
        <f t="shared" si="442"/>
        <v>-2.2234388449343876E-15</v>
      </c>
      <c r="Z167" s="134">
        <f t="shared" si="442"/>
        <v>-5.5020848920108023E-19</v>
      </c>
      <c r="AA167" s="134">
        <f t="shared" si="442"/>
        <v>-1.8881311349580611E-20</v>
      </c>
      <c r="AB167" s="134">
        <f t="shared" si="442"/>
        <v>-4.2409120141169696E-20</v>
      </c>
      <c r="AC167" s="134">
        <f t="shared" si="442"/>
        <v>-5.3279634515451397E-20</v>
      </c>
      <c r="AD167" s="134">
        <f t="shared" si="442"/>
        <v>-5.8698215992749125E-20</v>
      </c>
      <c r="AE167" s="134">
        <f t="shared" si="442"/>
        <v>6.8421910788593296E-21</v>
      </c>
      <c r="AF167" s="134">
        <f t="shared" si="442"/>
        <v>-8.5535435947544984E-23</v>
      </c>
      <c r="AG167" s="134">
        <f t="shared" si="442"/>
        <v>-6.4561649179241953E-20</v>
      </c>
      <c r="AH167" s="134">
        <f t="shared" si="442"/>
        <v>-1.1505914155794801E-21</v>
      </c>
      <c r="AI167" s="134">
        <f t="shared" si="442"/>
        <v>-6.8421775968947844E-22</v>
      </c>
      <c r="AJ167" s="134">
        <f t="shared" si="442"/>
        <v>-2.8551614152792708E-21</v>
      </c>
      <c r="AK167" s="134">
        <f t="shared" si="442"/>
        <v>-3.4654424972583031E-21</v>
      </c>
      <c r="AL167" s="134">
        <f t="shared" si="442"/>
        <v>-8.8161527019080439E-22</v>
      </c>
      <c r="AM167" s="134">
        <f t="shared" si="442"/>
        <v>2.7897301528265958E-21</v>
      </c>
      <c r="AN167" s="134">
        <f t="shared" si="442"/>
        <v>7.7667414300433835E-21</v>
      </c>
      <c r="AO167" s="134">
        <f t="shared" si="442"/>
        <v>9.0287593212368919E-20</v>
      </c>
      <c r="AP167" s="134">
        <f t="shared" si="442"/>
        <v>1.6761544222415851E-21</v>
      </c>
      <c r="AQ167" s="134">
        <f t="shared" si="442"/>
        <v>-3.9491903389429981E-21</v>
      </c>
      <c r="AR167" s="134">
        <f t="shared" si="442"/>
        <v>2.5881362393069596E-22</v>
      </c>
      <c r="AS167" s="134">
        <f t="shared" si="442"/>
        <v>8.9718275223677801E-23</v>
      </c>
      <c r="AT167" s="134">
        <f t="shared" si="442"/>
        <v>3.4349273524550038E-21</v>
      </c>
      <c r="AU167" s="134">
        <f t="shared" si="442"/>
        <v>-2.7026044832394317E-21</v>
      </c>
      <c r="AV167" s="134">
        <f t="shared" si="442"/>
        <v>-7.6976003802902855E-22</v>
      </c>
      <c r="AW167" s="134">
        <f t="shared" si="442"/>
        <v>1.4054564827649253E-20</v>
      </c>
      <c r="AX167" s="134">
        <f t="shared" si="442"/>
        <v>-8.6837423374078251E-20</v>
      </c>
      <c r="AY167" s="134">
        <f t="shared" si="442"/>
        <v>-8.1740699305616352E-19</v>
      </c>
      <c r="AZ167" s="134">
        <f t="shared" si="442"/>
        <v>-4.240270205555263E-18</v>
      </c>
      <c r="BA167" s="134">
        <f t="shared" si="442"/>
        <v>-6.9465859542343727E-22</v>
      </c>
      <c r="BB167" s="134">
        <f t="shared" si="442"/>
        <v>-3.2022115128279331E-19</v>
      </c>
      <c r="BC167" s="134">
        <f t="shared" si="442"/>
        <v>1.3466879939648438E-20</v>
      </c>
      <c r="BD167" s="134">
        <f t="shared" si="442"/>
        <v>1.6254249018938747E-24</v>
      </c>
      <c r="BE167" s="134">
        <f t="shared" si="442"/>
        <v>-4.7897799142410996E-15</v>
      </c>
      <c r="BF167" s="134">
        <f t="shared" si="442"/>
        <v>1.3394207848905061E-15</v>
      </c>
      <c r="BG167" s="134">
        <f t="shared" si="442"/>
        <v>-1.3148882340572651E-15</v>
      </c>
      <c r="BH167" s="134">
        <f t="shared" si="442"/>
        <v>-5.3769510863512532E-20</v>
      </c>
      <c r="BI167" s="134">
        <f t="shared" si="442"/>
        <v>1.325356489305415E-15</v>
      </c>
      <c r="BJ167" s="134">
        <f t="shared" si="442"/>
        <v>-6.7465382386573206E-19</v>
      </c>
      <c r="BK167" s="134">
        <f t="shared" si="442"/>
        <v>2.9687454986039446E-20</v>
      </c>
      <c r="BL167" s="134">
        <f t="shared" si="442"/>
        <v>2.0392681505834324E-19</v>
      </c>
      <c r="BM167" s="134">
        <f t="shared" si="442"/>
        <v>-3.6318529462436176E-22</v>
      </c>
      <c r="BN167" s="134">
        <f t="shared" si="442"/>
        <v>-5.7525676542485152E-22</v>
      </c>
      <c r="BO167" s="134">
        <f t="shared" si="442"/>
        <v>1.9888068732158556E-18</v>
      </c>
      <c r="BP167" s="134">
        <f t="shared" si="444"/>
        <v>-2.6066267501562291E-21</v>
      </c>
      <c r="BQ167" s="134">
        <f t="shared" si="444"/>
        <v>1.2810715874252819E-18</v>
      </c>
      <c r="BR167" s="134">
        <f t="shared" si="444"/>
        <v>-2.3794434408318843E-18</v>
      </c>
      <c r="BS167" s="134">
        <f t="shared" si="444"/>
        <v>-1.0749345989956289E-20</v>
      </c>
      <c r="BT167" s="134">
        <f t="shared" si="444"/>
        <v>-2.099736040806635E-22</v>
      </c>
      <c r="BU167" s="134">
        <f t="shared" si="444"/>
        <v>2.1859613472366996E-20</v>
      </c>
      <c r="BV167" s="134">
        <f t="shared" si="444"/>
        <v>-7.2437680630807796E-19</v>
      </c>
      <c r="BW167" s="134">
        <f t="shared" si="444"/>
        <v>-1.4420674415315381E-21</v>
      </c>
      <c r="BX167" s="134">
        <f t="shared" si="444"/>
        <v>3.3716089419450278E-18</v>
      </c>
      <c r="BY167" s="134">
        <f t="shared" si="444"/>
        <v>2.0881857016049514E-20</v>
      </c>
      <c r="BZ167" s="134">
        <f t="shared" si="444"/>
        <v>-4.6007262430263082E-17</v>
      </c>
      <c r="CA167" s="134">
        <f t="shared" si="444"/>
        <v>6.915561440332257E-21</v>
      </c>
      <c r="CB167" s="134">
        <f t="shared" si="444"/>
        <v>-4.9336634659011765E-15</v>
      </c>
      <c r="CC167" s="134">
        <f t="shared" si="444"/>
        <v>-3.8934240941849866E-22</v>
      </c>
      <c r="CD167" s="134">
        <f t="shared" si="444"/>
        <v>3.0240788267418601E-22</v>
      </c>
      <c r="CE167" s="134">
        <f t="shared" si="444"/>
        <v>-2.2973647458978623E-17</v>
      </c>
      <c r="CF167" s="134">
        <f t="shared" si="444"/>
        <v>-2.1419625174659036E-15</v>
      </c>
      <c r="CG167" s="134">
        <f t="shared" si="444"/>
        <v>1.4085327121743961E-16</v>
      </c>
      <c r="CH167" s="134">
        <f t="shared" si="444"/>
        <v>3.5197433479765322E-17</v>
      </c>
      <c r="CI167" s="134">
        <f t="shared" si="444"/>
        <v>4.4142172826731814E-20</v>
      </c>
      <c r="CJ167" s="134">
        <f t="shared" si="444"/>
        <v>-4.8273877116034183E-15</v>
      </c>
      <c r="CK167" s="134">
        <f t="shared" si="444"/>
        <v>1.7628852762323241E-18</v>
      </c>
      <c r="CL167" s="134">
        <f t="shared" si="444"/>
        <v>-1.3571839027848919E-18</v>
      </c>
      <c r="CM167" s="134">
        <f t="shared" si="444"/>
        <v>-1.3272568092295811E-18</v>
      </c>
      <c r="CN167" s="134">
        <f t="shared" si="444"/>
        <v>-1.9189670904432801E-17</v>
      </c>
      <c r="CO167" s="134">
        <f t="shared" si="444"/>
        <v>3.1016333593145443E-19</v>
      </c>
      <c r="CP167" s="134">
        <f t="shared" si="444"/>
        <v>-2.2372381862714454E-15</v>
      </c>
      <c r="CQ167" s="134">
        <f t="shared" si="444"/>
        <v>6.1233668574884802E-16</v>
      </c>
      <c r="CR167" s="134">
        <f t="shared" si="444"/>
        <v>3.0404512715076163E-16</v>
      </c>
      <c r="CS167" s="134">
        <f t="shared" si="444"/>
        <v>-2.2972781913402324E-16</v>
      </c>
      <c r="CT167" s="134">
        <f t="shared" si="444"/>
        <v>1.3216639777076422E-19</v>
      </c>
      <c r="CU167" s="134">
        <f t="shared" si="444"/>
        <v>7.095674418221395E-19</v>
      </c>
      <c r="CV167" s="134">
        <f t="shared" si="444"/>
        <v>9.7322206383316902E-19</v>
      </c>
      <c r="CW167" s="134">
        <f t="shared" si="444"/>
        <v>9.4341385742210489E-19</v>
      </c>
      <c r="CX167" s="135">
        <f t="shared" si="444"/>
        <v>0.18249603276066154</v>
      </c>
      <c r="DE167" s="2">
        <f t="shared" si="431"/>
        <v>2</v>
      </c>
      <c r="DF167" s="141">
        <f t="shared" ca="1" si="445"/>
        <v>0</v>
      </c>
      <c r="DG167" s="142">
        <f t="shared" ca="1" si="446"/>
        <v>0.19551597434895515</v>
      </c>
      <c r="DH167" s="141">
        <f t="shared" si="434"/>
        <v>-3.2516846739598837E-4</v>
      </c>
      <c r="DI167" s="142">
        <f t="shared" si="435"/>
        <v>0.18249603276066154</v>
      </c>
      <c r="DJ167" s="148">
        <f t="shared" ca="1" si="447"/>
        <v>1</v>
      </c>
      <c r="DK167" s="149">
        <f t="shared" ca="1" si="448"/>
        <v>0</v>
      </c>
    </row>
    <row r="168" spans="1:115" x14ac:dyDescent="0.2">
      <c r="A168" s="2" t="s">
        <v>124</v>
      </c>
      <c r="B168" s="161">
        <f t="shared" ref="B168:B175" si="450">B167+1</f>
        <v>3</v>
      </c>
      <c r="C168" s="133">
        <f t="shared" si="441"/>
        <v>6.3300102771726534E-5</v>
      </c>
      <c r="D168" s="134">
        <f t="shared" ref="D168:BO171" si="451">D119/SUM(D$117:D$127)</f>
        <v>6.3300102772196386E-5</v>
      </c>
      <c r="E168" s="134">
        <f t="shared" si="451"/>
        <v>6.3300102782012116E-5</v>
      </c>
      <c r="F168" s="134">
        <f t="shared" si="451"/>
        <v>1.4096823268363795E-4</v>
      </c>
      <c r="G168" s="134">
        <f t="shared" si="451"/>
        <v>9.2881120704996366E-5</v>
      </c>
      <c r="H168" s="134">
        <f t="shared" si="451"/>
        <v>5.0214232361967033E-5</v>
      </c>
      <c r="I168" s="134">
        <f t="shared" si="451"/>
        <v>9.2881120657058584E-5</v>
      </c>
      <c r="J168" s="134">
        <f t="shared" si="451"/>
        <v>6.3296096122703613E-5</v>
      </c>
      <c r="K168" s="134">
        <f t="shared" si="443"/>
        <v>5.0904967739307342E-5</v>
      </c>
      <c r="L168" s="134">
        <f t="shared" si="443"/>
        <v>9.2881120659390581E-5</v>
      </c>
      <c r="M168" s="134">
        <f t="shared" si="451"/>
        <v>5.1883537083141305E-5</v>
      </c>
      <c r="N168" s="134">
        <f t="shared" si="451"/>
        <v>9.2881120653447689E-5</v>
      </c>
      <c r="O168" s="134">
        <f t="shared" si="451"/>
        <v>1.4573574243438033E-4</v>
      </c>
      <c r="P168" s="134">
        <f t="shared" si="451"/>
        <v>1.4573574243459986E-4</v>
      </c>
      <c r="Q168" s="134">
        <f t="shared" si="451"/>
        <v>1.4573574243444384E-4</v>
      </c>
      <c r="R168" s="134">
        <f t="shared" si="451"/>
        <v>1.4573574243434965E-4</v>
      </c>
      <c r="S168" s="134">
        <f t="shared" si="451"/>
        <v>1.4675228214373637E-4</v>
      </c>
      <c r="T168" s="134">
        <f t="shared" si="451"/>
        <v>1.4675228214770092E-4</v>
      </c>
      <c r="U168" s="134">
        <f t="shared" si="451"/>
        <v>6.3296096122339579E-5</v>
      </c>
      <c r="V168" s="134">
        <f t="shared" si="451"/>
        <v>1.4573574243482076E-4</v>
      </c>
      <c r="W168" s="134">
        <f t="shared" si="451"/>
        <v>1.48254828871552E-4</v>
      </c>
      <c r="X168" s="134">
        <f t="shared" si="451"/>
        <v>1.4675228214724165E-4</v>
      </c>
      <c r="Y168" s="134">
        <f t="shared" si="451"/>
        <v>6.330010280561437E-5</v>
      </c>
      <c r="Z168" s="134">
        <f t="shared" si="451"/>
        <v>5.9501306930225126E-10</v>
      </c>
      <c r="AA168" s="134">
        <f t="shared" si="451"/>
        <v>2.0279107698869684E-10</v>
      </c>
      <c r="AB168" s="134">
        <f t="shared" si="451"/>
        <v>1.1913493716293187E-10</v>
      </c>
      <c r="AC168" s="134">
        <f t="shared" si="451"/>
        <v>8.2700933445676602E-11</v>
      </c>
      <c r="AD168" s="134">
        <f t="shared" si="451"/>
        <v>6.4047311457398909E-11</v>
      </c>
      <c r="AE168" s="134">
        <f t="shared" si="451"/>
        <v>5.1165696733222233E-11</v>
      </c>
      <c r="AF168" s="134">
        <f t="shared" si="451"/>
        <v>4.2777900171022082E-11</v>
      </c>
      <c r="AG168" s="134">
        <f t="shared" si="451"/>
        <v>3.7919959769973395E-11</v>
      </c>
      <c r="AH168" s="134">
        <f t="shared" si="451"/>
        <v>3.3446940685743606E-11</v>
      </c>
      <c r="AI168" s="134">
        <f t="shared" si="451"/>
        <v>3.0606972242795593E-11</v>
      </c>
      <c r="AJ168" s="134">
        <f t="shared" si="451"/>
        <v>2.7747841542982239E-11</v>
      </c>
      <c r="AK168" s="134">
        <f t="shared" si="451"/>
        <v>2.6187732061860448E-11</v>
      </c>
      <c r="AL168" s="134">
        <f t="shared" si="451"/>
        <v>2.618773206656623E-11</v>
      </c>
      <c r="AM168" s="134">
        <f t="shared" si="451"/>
        <v>2.6187732063025577E-11</v>
      </c>
      <c r="AN168" s="134">
        <f t="shared" si="451"/>
        <v>2.6187732107502762E-11</v>
      </c>
      <c r="AO168" s="134">
        <f t="shared" si="451"/>
        <v>2.6187732772512771E-11</v>
      </c>
      <c r="AP168" s="134">
        <f t="shared" si="451"/>
        <v>2.6187732066411703E-11</v>
      </c>
      <c r="AQ168" s="134">
        <f t="shared" si="451"/>
        <v>2.6187732432902022E-11</v>
      </c>
      <c r="AR168" s="134">
        <f t="shared" si="451"/>
        <v>2.6187732432589331E-11</v>
      </c>
      <c r="AS168" s="134">
        <f t="shared" si="451"/>
        <v>2.6187735278889766E-11</v>
      </c>
      <c r="AT168" s="134">
        <f t="shared" si="451"/>
        <v>2.6187735278508061E-11</v>
      </c>
      <c r="AU168" s="134">
        <f t="shared" si="451"/>
        <v>2.6187735278108248E-11</v>
      </c>
      <c r="AV168" s="134">
        <f t="shared" si="451"/>
        <v>2.6187735278108245E-11</v>
      </c>
      <c r="AW168" s="134">
        <f t="shared" si="451"/>
        <v>2.6187735356240524E-11</v>
      </c>
      <c r="AX168" s="134">
        <f t="shared" si="451"/>
        <v>2.6187736470415767E-11</v>
      </c>
      <c r="AY168" s="134">
        <f t="shared" si="451"/>
        <v>2.6187735278108248E-11</v>
      </c>
      <c r="AZ168" s="134">
        <f t="shared" si="451"/>
        <v>2.6187735281772184E-11</v>
      </c>
      <c r="BA168" s="134">
        <f t="shared" si="451"/>
        <v>2.618773527964915E-11</v>
      </c>
      <c r="BB168" s="134">
        <f t="shared" si="451"/>
        <v>2.6187735413890095E-11</v>
      </c>
      <c r="BC168" s="134">
        <f t="shared" si="451"/>
        <v>2.6187735283832865E-11</v>
      </c>
      <c r="BD168" s="134">
        <f t="shared" si="451"/>
        <v>2.6187735304321941E-11</v>
      </c>
      <c r="BE168" s="134">
        <f t="shared" si="451"/>
        <v>2.6188437083327016E-11</v>
      </c>
      <c r="BF168" s="134">
        <f t="shared" si="451"/>
        <v>2.6188057246758612E-11</v>
      </c>
      <c r="BG168" s="134">
        <f t="shared" si="451"/>
        <v>2.6187989583572224E-11</v>
      </c>
      <c r="BH168" s="134">
        <f t="shared" si="451"/>
        <v>2.6187732440010715E-11</v>
      </c>
      <c r="BI168" s="134">
        <f t="shared" si="451"/>
        <v>2.6188857332572251E-11</v>
      </c>
      <c r="BJ168" s="134">
        <f t="shared" si="451"/>
        <v>2.6187732466144133E-11</v>
      </c>
      <c r="BK168" s="134">
        <f t="shared" si="451"/>
        <v>2.6187732430767136E-11</v>
      </c>
      <c r="BL168" s="134">
        <f t="shared" si="451"/>
        <v>2.6187732431791238E-11</v>
      </c>
      <c r="BM168" s="134">
        <f t="shared" si="451"/>
        <v>2.6187732430761395E-11</v>
      </c>
      <c r="BN168" s="134">
        <f t="shared" si="451"/>
        <v>2.6187732430761398E-11</v>
      </c>
      <c r="BO168" s="134">
        <f t="shared" si="451"/>
        <v>2.6187735657984906E-11</v>
      </c>
      <c r="BP168" s="134">
        <f t="shared" si="444"/>
        <v>2.6187732438156561E-11</v>
      </c>
      <c r="BQ168" s="134">
        <f t="shared" si="444"/>
        <v>2.618773243260012E-11</v>
      </c>
      <c r="BR168" s="134">
        <f t="shared" si="444"/>
        <v>2.6187732498147857E-11</v>
      </c>
      <c r="BS168" s="134">
        <f t="shared" si="444"/>
        <v>2.6187732430936489E-11</v>
      </c>
      <c r="BT168" s="134">
        <f t="shared" si="444"/>
        <v>2.6187732458493342E-11</v>
      </c>
      <c r="BU168" s="134">
        <f t="shared" si="444"/>
        <v>2.6187733234420988E-11</v>
      </c>
      <c r="BV168" s="134">
        <f t="shared" si="444"/>
        <v>2.618773245069742E-11</v>
      </c>
      <c r="BW168" s="134">
        <f t="shared" si="444"/>
        <v>2.6187732515710772E-11</v>
      </c>
      <c r="BX168" s="134">
        <f t="shared" si="444"/>
        <v>2.6187732430761395E-11</v>
      </c>
      <c r="BY168" s="134">
        <f t="shared" si="444"/>
        <v>2.6187732430776756E-11</v>
      </c>
      <c r="BZ168" s="134">
        <f t="shared" si="444"/>
        <v>2.6187735278108242E-11</v>
      </c>
      <c r="CA168" s="134">
        <f t="shared" si="444"/>
        <v>2.6187735278108242E-11</v>
      </c>
      <c r="CB168" s="134">
        <f t="shared" si="444"/>
        <v>2.6188030853011142E-11</v>
      </c>
      <c r="CC168" s="134">
        <f t="shared" si="444"/>
        <v>2.6187735312742579E-11</v>
      </c>
      <c r="CD168" s="134">
        <f t="shared" si="444"/>
        <v>2.6187735281706213E-11</v>
      </c>
      <c r="CE168" s="134">
        <f t="shared" si="444"/>
        <v>2.6187735278108242E-11</v>
      </c>
      <c r="CF168" s="134">
        <f t="shared" si="444"/>
        <v>2.6187978795887751E-11</v>
      </c>
      <c r="CG168" s="134">
        <f t="shared" si="444"/>
        <v>2.6187735278200634E-11</v>
      </c>
      <c r="CH168" s="134">
        <f t="shared" si="444"/>
        <v>2.618774587770545E-11</v>
      </c>
      <c r="CI168" s="134">
        <f t="shared" si="444"/>
        <v>2.6187735278108245E-11</v>
      </c>
      <c r="CJ168" s="134">
        <f t="shared" si="444"/>
        <v>2.6188070427217858E-11</v>
      </c>
      <c r="CK168" s="134">
        <f t="shared" si="444"/>
        <v>2.6187735278108245E-11</v>
      </c>
      <c r="CL168" s="134">
        <f t="shared" si="444"/>
        <v>2.6187736633380338E-11</v>
      </c>
      <c r="CM168" s="134">
        <f t="shared" si="444"/>
        <v>2.6187735779506029E-11</v>
      </c>
      <c r="CN168" s="134">
        <f t="shared" si="444"/>
        <v>2.618774760954645E-11</v>
      </c>
      <c r="CO168" s="134">
        <f t="shared" si="444"/>
        <v>2.6187735347154659E-11</v>
      </c>
      <c r="CP168" s="134">
        <f t="shared" si="444"/>
        <v>2.6188175780273309E-11</v>
      </c>
      <c r="CQ168" s="134">
        <f t="shared" si="444"/>
        <v>2.6187735278108284E-11</v>
      </c>
      <c r="CR168" s="134">
        <f t="shared" si="444"/>
        <v>2.6188182311583065E-11</v>
      </c>
      <c r="CS168" s="134">
        <f t="shared" si="444"/>
        <v>2.6188010867459685E-11</v>
      </c>
      <c r="CT168" s="134">
        <f t="shared" si="444"/>
        <v>2.6187735278108248E-11</v>
      </c>
      <c r="CU168" s="134">
        <f t="shared" si="444"/>
        <v>2.6187736307444736E-11</v>
      </c>
      <c r="CV168" s="134">
        <f t="shared" si="444"/>
        <v>2.618773668991632E-11</v>
      </c>
      <c r="CW168" s="134">
        <f t="shared" si="444"/>
        <v>2.6187735278108245E-11</v>
      </c>
      <c r="CX168" s="135">
        <f t="shared" si="444"/>
        <v>1.5738942441907099E-3</v>
      </c>
      <c r="DE168" s="2">
        <f t="shared" si="431"/>
        <v>3</v>
      </c>
      <c r="DF168" s="141">
        <f t="shared" ca="1" si="445"/>
        <v>0</v>
      </c>
      <c r="DG168" s="142">
        <f t="shared" ca="1" si="446"/>
        <v>1</v>
      </c>
      <c r="DH168" s="141">
        <f t="shared" si="434"/>
        <v>2.6187732061860448E-11</v>
      </c>
      <c r="DI168" s="142">
        <f t="shared" si="435"/>
        <v>1.5738942441907099E-3</v>
      </c>
      <c r="DJ168" s="148">
        <f t="shared" ca="1" si="447"/>
        <v>0</v>
      </c>
      <c r="DK168" s="149">
        <f t="shared" ca="1" si="448"/>
        <v>0</v>
      </c>
    </row>
    <row r="169" spans="1:115" x14ac:dyDescent="0.2">
      <c r="A169" s="2" t="s">
        <v>124</v>
      </c>
      <c r="B169" s="161">
        <f t="shared" si="450"/>
        <v>4</v>
      </c>
      <c r="C169" s="133">
        <f t="shared" si="441"/>
        <v>0.16286858075399005</v>
      </c>
      <c r="D169" s="134">
        <f t="shared" si="451"/>
        <v>0.16286858075398097</v>
      </c>
      <c r="E169" s="134">
        <f t="shared" si="451"/>
        <v>0.16286858075399535</v>
      </c>
      <c r="F169" s="134">
        <f t="shared" si="451"/>
        <v>0.36270550888233866</v>
      </c>
      <c r="G169" s="134">
        <f t="shared" si="451"/>
        <v>0.23897933238125962</v>
      </c>
      <c r="H169" s="134">
        <f t="shared" si="451"/>
        <v>0.12919917030702749</v>
      </c>
      <c r="I169" s="134">
        <f t="shared" si="451"/>
        <v>0.23897933238093061</v>
      </c>
      <c r="J169" s="134">
        <f t="shared" si="451"/>
        <v>0.16285827180975362</v>
      </c>
      <c r="K169" s="134">
        <f t="shared" si="443"/>
        <v>0.1309764042394525</v>
      </c>
      <c r="L169" s="134">
        <f t="shared" si="443"/>
        <v>0.23897933238139785</v>
      </c>
      <c r="M169" s="134">
        <f t="shared" si="451"/>
        <v>0.13349422321954194</v>
      </c>
      <c r="N169" s="134">
        <f t="shared" si="451"/>
        <v>0.2389793323751718</v>
      </c>
      <c r="O169" s="134">
        <f t="shared" si="451"/>
        <v>0.37497211688601018</v>
      </c>
      <c r="P169" s="134">
        <f t="shared" si="451"/>
        <v>0.374972116886575</v>
      </c>
      <c r="Q169" s="134">
        <f t="shared" si="451"/>
        <v>0.3749721168861736</v>
      </c>
      <c r="R169" s="134">
        <f t="shared" si="451"/>
        <v>0.37497211688593124</v>
      </c>
      <c r="S169" s="134">
        <f t="shared" si="451"/>
        <v>0.3775876320667666</v>
      </c>
      <c r="T169" s="134">
        <f t="shared" si="451"/>
        <v>0.37758763207696722</v>
      </c>
      <c r="U169" s="134">
        <f t="shared" si="451"/>
        <v>0.16285827180865228</v>
      </c>
      <c r="V169" s="134">
        <f t="shared" si="451"/>
        <v>0.37497211688714344</v>
      </c>
      <c r="W169" s="134">
        <f t="shared" si="451"/>
        <v>0.3814536234689983</v>
      </c>
      <c r="X169" s="134">
        <f t="shared" si="451"/>
        <v>0.37758763207578555</v>
      </c>
      <c r="Y169" s="134">
        <f t="shared" si="451"/>
        <v>0.16286858075400149</v>
      </c>
      <c r="Z169" s="134">
        <f t="shared" si="451"/>
        <v>0.22093235534253125</v>
      </c>
      <c r="AA169" s="134">
        <f t="shared" si="451"/>
        <v>0.22093271512241178</v>
      </c>
      <c r="AB169" s="134">
        <f t="shared" si="451"/>
        <v>0.22093279185904713</v>
      </c>
      <c r="AC169" s="134">
        <f t="shared" si="451"/>
        <v>0.22093282527946168</v>
      </c>
      <c r="AD169" s="134">
        <f t="shared" si="451"/>
        <v>0.22093284239017436</v>
      </c>
      <c r="AE169" s="134">
        <f t="shared" si="451"/>
        <v>0.22093285420630379</v>
      </c>
      <c r="AF169" s="134">
        <f t="shared" si="451"/>
        <v>0.22093286190031508</v>
      </c>
      <c r="AG169" s="134">
        <f t="shared" si="451"/>
        <v>0.2209328663564375</v>
      </c>
      <c r="AH169" s="134">
        <f t="shared" si="451"/>
        <v>0.22093287045947685</v>
      </c>
      <c r="AI169" s="134">
        <f t="shared" si="451"/>
        <v>0.22093287306454115</v>
      </c>
      <c r="AJ169" s="134">
        <f t="shared" si="451"/>
        <v>0.22093287568718273</v>
      </c>
      <c r="AK169" s="134">
        <f t="shared" si="451"/>
        <v>0.22093287711824985</v>
      </c>
      <c r="AL169" s="134">
        <f t="shared" si="451"/>
        <v>0.22093287711824985</v>
      </c>
      <c r="AM169" s="134">
        <f t="shared" si="451"/>
        <v>0.22093287711824988</v>
      </c>
      <c r="AN169" s="134">
        <f t="shared" si="451"/>
        <v>0.22093287711824983</v>
      </c>
      <c r="AO169" s="134">
        <f t="shared" si="451"/>
        <v>0.22093287711824983</v>
      </c>
      <c r="AP169" s="134">
        <f t="shared" si="451"/>
        <v>0.22093287711824983</v>
      </c>
      <c r="AQ169" s="134">
        <f t="shared" si="451"/>
        <v>0.22093288023333599</v>
      </c>
      <c r="AR169" s="134">
        <f t="shared" si="451"/>
        <v>0.22093288023333604</v>
      </c>
      <c r="AS169" s="134">
        <f t="shared" si="451"/>
        <v>0.22093290425498588</v>
      </c>
      <c r="AT169" s="134">
        <f t="shared" si="451"/>
        <v>0.22093290425498593</v>
      </c>
      <c r="AU169" s="134">
        <f t="shared" si="451"/>
        <v>0.22093290425498591</v>
      </c>
      <c r="AV169" s="134">
        <f t="shared" si="451"/>
        <v>0.22093290425498588</v>
      </c>
      <c r="AW169" s="134">
        <f t="shared" si="451"/>
        <v>0.22093290425498591</v>
      </c>
      <c r="AX169" s="134">
        <f t="shared" si="451"/>
        <v>0.22093290425498591</v>
      </c>
      <c r="AY169" s="134">
        <f t="shared" si="451"/>
        <v>0.22093290425498599</v>
      </c>
      <c r="AZ169" s="134">
        <f t="shared" si="451"/>
        <v>0.22093290425498593</v>
      </c>
      <c r="BA169" s="134">
        <f t="shared" si="451"/>
        <v>0.22093290425498593</v>
      </c>
      <c r="BB169" s="134">
        <f t="shared" si="451"/>
        <v>0.22093290425498591</v>
      </c>
      <c r="BC169" s="134">
        <f t="shared" si="451"/>
        <v>0.22093290425498593</v>
      </c>
      <c r="BD169" s="134">
        <f t="shared" si="451"/>
        <v>0.22093290425498593</v>
      </c>
      <c r="BE169" s="134">
        <f t="shared" si="451"/>
        <v>0.22093290425498507</v>
      </c>
      <c r="BF169" s="134">
        <f t="shared" si="451"/>
        <v>0.22093290425498471</v>
      </c>
      <c r="BG169" s="134">
        <f t="shared" si="451"/>
        <v>0.22093290425498541</v>
      </c>
      <c r="BH169" s="134">
        <f t="shared" si="451"/>
        <v>0.22093288023333604</v>
      </c>
      <c r="BI169" s="134">
        <f t="shared" si="451"/>
        <v>0.22093290425498535</v>
      </c>
      <c r="BJ169" s="134">
        <f t="shared" si="451"/>
        <v>0.22093288023333596</v>
      </c>
      <c r="BK169" s="134">
        <f t="shared" si="451"/>
        <v>0.22093288023333596</v>
      </c>
      <c r="BL169" s="134">
        <f t="shared" si="451"/>
        <v>0.22093288023333604</v>
      </c>
      <c r="BM169" s="134">
        <f t="shared" si="451"/>
        <v>0.22093288023333604</v>
      </c>
      <c r="BN169" s="134">
        <f t="shared" si="451"/>
        <v>0.2209328802333361</v>
      </c>
      <c r="BO169" s="134">
        <f t="shared" si="451"/>
        <v>0.22093290425498591</v>
      </c>
      <c r="BP169" s="134">
        <f t="shared" si="444"/>
        <v>0.22093288023333604</v>
      </c>
      <c r="BQ169" s="134">
        <f t="shared" si="444"/>
        <v>0.22093288023333604</v>
      </c>
      <c r="BR169" s="134">
        <f t="shared" si="444"/>
        <v>0.22093288023333596</v>
      </c>
      <c r="BS169" s="134">
        <f t="shared" si="444"/>
        <v>0.22093288023333602</v>
      </c>
      <c r="BT169" s="134">
        <f t="shared" si="444"/>
        <v>0.22093288023333596</v>
      </c>
      <c r="BU169" s="134">
        <f t="shared" si="444"/>
        <v>0.22093288023333604</v>
      </c>
      <c r="BV169" s="134">
        <f t="shared" si="444"/>
        <v>0.2209328802333361</v>
      </c>
      <c r="BW169" s="134">
        <f t="shared" si="444"/>
        <v>0.22093288023333602</v>
      </c>
      <c r="BX169" s="134">
        <f t="shared" si="444"/>
        <v>0.22093288023333602</v>
      </c>
      <c r="BY169" s="134">
        <f t="shared" si="444"/>
        <v>0.2209328802333361</v>
      </c>
      <c r="BZ169" s="134">
        <f t="shared" si="444"/>
        <v>0.22093290425498566</v>
      </c>
      <c r="CA169" s="134">
        <f t="shared" si="444"/>
        <v>0.22093290425498593</v>
      </c>
      <c r="CB169" s="134">
        <f t="shared" si="444"/>
        <v>0.22093288023333618</v>
      </c>
      <c r="CC169" s="134">
        <f t="shared" si="444"/>
        <v>0.22093290425498591</v>
      </c>
      <c r="CD169" s="134">
        <f t="shared" si="444"/>
        <v>0.22093290425498588</v>
      </c>
      <c r="CE169" s="134">
        <f t="shared" si="444"/>
        <v>0.22093290425498588</v>
      </c>
      <c r="CF169" s="134">
        <f t="shared" si="444"/>
        <v>0.22093288023333565</v>
      </c>
      <c r="CG169" s="134">
        <f t="shared" si="444"/>
        <v>0.22093290425498591</v>
      </c>
      <c r="CH169" s="134">
        <f t="shared" si="444"/>
        <v>0.22093290425498588</v>
      </c>
      <c r="CI169" s="134">
        <f t="shared" si="444"/>
        <v>0.22093290425498591</v>
      </c>
      <c r="CJ169" s="134">
        <f t="shared" si="444"/>
        <v>0.22093288023333607</v>
      </c>
      <c r="CK169" s="134">
        <f t="shared" si="444"/>
        <v>0.22093290425498591</v>
      </c>
      <c r="CL169" s="134">
        <f t="shared" si="444"/>
        <v>0.22093290425498588</v>
      </c>
      <c r="CM169" s="134">
        <f t="shared" si="444"/>
        <v>0.22093290425498588</v>
      </c>
      <c r="CN169" s="134">
        <f t="shared" si="444"/>
        <v>0.22093290425498585</v>
      </c>
      <c r="CO169" s="134">
        <f t="shared" si="444"/>
        <v>0.22093290425498593</v>
      </c>
      <c r="CP169" s="134">
        <f t="shared" si="444"/>
        <v>0.22093290425498616</v>
      </c>
      <c r="CQ169" s="134">
        <f t="shared" si="444"/>
        <v>0.2209329042549871</v>
      </c>
      <c r="CR169" s="134">
        <f t="shared" si="444"/>
        <v>0.22093290425498663</v>
      </c>
      <c r="CS169" s="134">
        <f t="shared" si="444"/>
        <v>0.22093290425498635</v>
      </c>
      <c r="CT169" s="134">
        <f t="shared" si="444"/>
        <v>0.22093290425498588</v>
      </c>
      <c r="CU169" s="134">
        <f t="shared" si="444"/>
        <v>0.22093290425498588</v>
      </c>
      <c r="CV169" s="134">
        <f t="shared" si="444"/>
        <v>0.22093290425498582</v>
      </c>
      <c r="CW169" s="134">
        <f t="shared" si="444"/>
        <v>0.22093290425498591</v>
      </c>
      <c r="CX169" s="135">
        <f t="shared" si="444"/>
        <v>0.22059272565782115</v>
      </c>
      <c r="DE169" s="2">
        <f t="shared" si="431"/>
        <v>4</v>
      </c>
      <c r="DF169" s="141">
        <f t="shared" ca="1" si="445"/>
        <v>0</v>
      </c>
      <c r="DG169" s="142">
        <f t="shared" ca="1" si="446"/>
        <v>0.22093290113989908</v>
      </c>
      <c r="DH169" s="141">
        <f t="shared" si="434"/>
        <v>0.12919917030702749</v>
      </c>
      <c r="DI169" s="142">
        <f t="shared" si="435"/>
        <v>0.3814536234689983</v>
      </c>
      <c r="DJ169" s="148">
        <f t="shared" ca="1" si="447"/>
        <v>0</v>
      </c>
      <c r="DK169" s="149">
        <f t="shared" ca="1" si="448"/>
        <v>1</v>
      </c>
    </row>
    <row r="170" spans="1:115" x14ac:dyDescent="0.2">
      <c r="A170" s="2" t="s">
        <v>124</v>
      </c>
      <c r="B170" s="161">
        <f t="shared" si="450"/>
        <v>5</v>
      </c>
      <c r="C170" s="133">
        <f t="shared" si="441"/>
        <v>-5.6912304058512615E-16</v>
      </c>
      <c r="D170" s="134">
        <f t="shared" si="451"/>
        <v>6.9872946377023923E-16</v>
      </c>
      <c r="E170" s="134">
        <f t="shared" si="451"/>
        <v>1.6705648549069578E-14</v>
      </c>
      <c r="F170" s="134">
        <f t="shared" si="451"/>
        <v>-3.7627103841207488E-2</v>
      </c>
      <c r="G170" s="134">
        <f t="shared" si="451"/>
        <v>4.6924435942016035E-2</v>
      </c>
      <c r="H170" s="134">
        <f t="shared" si="451"/>
        <v>-8.418927096195636E-14</v>
      </c>
      <c r="I170" s="134">
        <f t="shared" si="451"/>
        <v>4.6924435942155417E-2</v>
      </c>
      <c r="J170" s="134">
        <f t="shared" si="451"/>
        <v>-2.8241409646338851E-12</v>
      </c>
      <c r="K170" s="134">
        <f t="shared" si="443"/>
        <v>-1.3755768935432011E-2</v>
      </c>
      <c r="L170" s="134">
        <f t="shared" si="443"/>
        <v>4.6924435941969357E-2</v>
      </c>
      <c r="M170" s="134">
        <f t="shared" si="451"/>
        <v>2.0619662958450847E-14</v>
      </c>
      <c r="N170" s="134">
        <f t="shared" si="451"/>
        <v>4.6924435943642769E-2</v>
      </c>
      <c r="O170" s="134">
        <f t="shared" si="451"/>
        <v>7.884483502422894E-15</v>
      </c>
      <c r="P170" s="134">
        <f t="shared" si="451"/>
        <v>1.4589238824941972E-13</v>
      </c>
      <c r="Q170" s="134">
        <f t="shared" si="451"/>
        <v>4.1946570180790788E-14</v>
      </c>
      <c r="R170" s="134">
        <f t="shared" si="451"/>
        <v>1.8053168634609252E-16</v>
      </c>
      <c r="S170" s="134">
        <f t="shared" si="451"/>
        <v>-6.9752258204891209E-3</v>
      </c>
      <c r="T170" s="134">
        <f t="shared" si="451"/>
        <v>-6.9752258189523589E-3</v>
      </c>
      <c r="U170" s="134">
        <f t="shared" si="451"/>
        <v>2.9611004906965308E-16</v>
      </c>
      <c r="V170" s="134">
        <f t="shared" si="451"/>
        <v>-3.9381366644478812E-2</v>
      </c>
      <c r="W170" s="134">
        <f t="shared" si="451"/>
        <v>-4.0062085491571114E-2</v>
      </c>
      <c r="X170" s="134">
        <f t="shared" si="451"/>
        <v>-6.9752258205242742E-3</v>
      </c>
      <c r="Y170" s="134">
        <f t="shared" si="451"/>
        <v>-5.0610266018437671E-16</v>
      </c>
      <c r="Z170" s="134">
        <f t="shared" si="451"/>
        <v>1.0229986655753062E-19</v>
      </c>
      <c r="AA170" s="134">
        <f t="shared" si="451"/>
        <v>6.5420642087488356E-22</v>
      </c>
      <c r="AB170" s="134">
        <f t="shared" si="451"/>
        <v>-5.149278587204006E-20</v>
      </c>
      <c r="AC170" s="134">
        <f t="shared" si="451"/>
        <v>3.3342679686579197E-19</v>
      </c>
      <c r="AD170" s="134">
        <f t="shared" si="451"/>
        <v>1.9231139268278607E-19</v>
      </c>
      <c r="AE170" s="134">
        <f t="shared" si="451"/>
        <v>4.6999967667717719E-21</v>
      </c>
      <c r="AF170" s="134">
        <f t="shared" si="451"/>
        <v>1.6586944247269921E-22</v>
      </c>
      <c r="AG170" s="134">
        <f t="shared" si="451"/>
        <v>-3.6233637822399753E-19</v>
      </c>
      <c r="AH170" s="134">
        <f t="shared" si="451"/>
        <v>2.1376127769732244E-22</v>
      </c>
      <c r="AI170" s="134">
        <f t="shared" si="451"/>
        <v>-6.2602345022363192E-21</v>
      </c>
      <c r="AJ170" s="134">
        <f t="shared" si="451"/>
        <v>-6.1873089716799291E-21</v>
      </c>
      <c r="AK170" s="134">
        <f t="shared" si="451"/>
        <v>-1.7211094898024028E-21</v>
      </c>
      <c r="AL170" s="134">
        <f t="shared" si="451"/>
        <v>-1.2551867732733414E-21</v>
      </c>
      <c r="AM170" s="134">
        <f t="shared" si="451"/>
        <v>1.786112308863838E-21</v>
      </c>
      <c r="AN170" s="134">
        <f t="shared" si="451"/>
        <v>-6.0955986255190005E-21</v>
      </c>
      <c r="AO170" s="134">
        <f t="shared" si="451"/>
        <v>1.3177363253609241E-19</v>
      </c>
      <c r="AP170" s="134">
        <f t="shared" si="451"/>
        <v>1.1008692581222962E-21</v>
      </c>
      <c r="AQ170" s="134">
        <f t="shared" si="451"/>
        <v>-2.1309125890395224E-21</v>
      </c>
      <c r="AR170" s="134">
        <f t="shared" si="451"/>
        <v>-6.4640407452923042E-23</v>
      </c>
      <c r="AS170" s="134">
        <f t="shared" si="451"/>
        <v>-1.2337520906070446E-22</v>
      </c>
      <c r="AT170" s="134">
        <f t="shared" si="451"/>
        <v>-1.3607974626999377E-21</v>
      </c>
      <c r="AU170" s="134">
        <f t="shared" si="451"/>
        <v>9.6657089813087213E-22</v>
      </c>
      <c r="AV170" s="134">
        <f t="shared" si="451"/>
        <v>-2.2609681507868789E-21</v>
      </c>
      <c r="AW170" s="134">
        <f t="shared" si="451"/>
        <v>-3.6224530593809387E-21</v>
      </c>
      <c r="AX170" s="134">
        <f t="shared" si="451"/>
        <v>3.1409992744250144E-19</v>
      </c>
      <c r="AY170" s="134">
        <f t="shared" si="451"/>
        <v>-7.2122401528336594E-19</v>
      </c>
      <c r="AZ170" s="134">
        <f t="shared" si="451"/>
        <v>-4.5048620498601502E-20</v>
      </c>
      <c r="BA170" s="134">
        <f t="shared" si="451"/>
        <v>-8.4505363792794355E-22</v>
      </c>
      <c r="BB170" s="134">
        <f t="shared" si="451"/>
        <v>2.0896602683288504E-19</v>
      </c>
      <c r="BC170" s="134">
        <f t="shared" si="451"/>
        <v>4.3702459393935143E-21</v>
      </c>
      <c r="BD170" s="134">
        <f t="shared" si="451"/>
        <v>1.2596997989461738E-22</v>
      </c>
      <c r="BE170" s="134">
        <f t="shared" si="451"/>
        <v>2.468406641965048E-16</v>
      </c>
      <c r="BF170" s="134">
        <f t="shared" si="451"/>
        <v>1.238550430491462E-16</v>
      </c>
      <c r="BG170" s="134">
        <f t="shared" si="451"/>
        <v>-2.9952622888777187E-17</v>
      </c>
      <c r="BH170" s="134">
        <f t="shared" si="451"/>
        <v>-8.6833303568524064E-22</v>
      </c>
      <c r="BI170" s="134">
        <f t="shared" si="451"/>
        <v>1.0994874998964192E-16</v>
      </c>
      <c r="BJ170" s="134">
        <f t="shared" si="451"/>
        <v>3.3687238966896079E-21</v>
      </c>
      <c r="BK170" s="134">
        <f t="shared" si="451"/>
        <v>-1.4387990769326851E-21</v>
      </c>
      <c r="BL170" s="134">
        <f t="shared" si="451"/>
        <v>-9.9052678684440091E-21</v>
      </c>
      <c r="BM170" s="134">
        <f t="shared" si="451"/>
        <v>-2.9275946648794527E-23</v>
      </c>
      <c r="BN170" s="134">
        <f t="shared" si="451"/>
        <v>-4.8521026734477972E-23</v>
      </c>
      <c r="BO170" s="134">
        <f t="shared" si="451"/>
        <v>-1.1578163105299485E-19</v>
      </c>
      <c r="BP170" s="134">
        <f t="shared" si="444"/>
        <v>-2.6707921582476261E-22</v>
      </c>
      <c r="BQ170" s="134">
        <f t="shared" si="444"/>
        <v>-6.2244923747166968E-20</v>
      </c>
      <c r="BR170" s="134">
        <f t="shared" si="444"/>
        <v>1.1562218807789207E-19</v>
      </c>
      <c r="BS170" s="134">
        <f t="shared" si="444"/>
        <v>-9.542423982427928E-22</v>
      </c>
      <c r="BT170" s="134">
        <f t="shared" si="444"/>
        <v>-1.5928214766069918E-23</v>
      </c>
      <c r="BU170" s="134">
        <f t="shared" si="444"/>
        <v>1.9485807783430175E-21</v>
      </c>
      <c r="BV170" s="134">
        <f t="shared" si="444"/>
        <v>3.5201925597975677E-20</v>
      </c>
      <c r="BW170" s="134">
        <f t="shared" si="444"/>
        <v>-1.250006928051466E-22</v>
      </c>
      <c r="BX170" s="134">
        <f t="shared" si="444"/>
        <v>-1.6382554969234577E-19</v>
      </c>
      <c r="BY170" s="134">
        <f t="shared" si="444"/>
        <v>-1.0106913706528418E-21</v>
      </c>
      <c r="BZ170" s="134">
        <f t="shared" si="444"/>
        <v>-2.3752582493273388E-16</v>
      </c>
      <c r="CA170" s="134">
        <f t="shared" si="444"/>
        <v>-2.8055208324101252E-19</v>
      </c>
      <c r="CB170" s="134">
        <f t="shared" si="444"/>
        <v>4.383819246033053E-16</v>
      </c>
      <c r="CC170" s="134">
        <f t="shared" si="444"/>
        <v>-1.4820050642205783E-20</v>
      </c>
      <c r="CD170" s="134">
        <f t="shared" si="444"/>
        <v>-1.5994270048166857E-24</v>
      </c>
      <c r="CE170" s="134">
        <f t="shared" si="444"/>
        <v>-2.06533959455724E-18</v>
      </c>
      <c r="CF170" s="134">
        <f t="shared" si="444"/>
        <v>1.5698295735291629E-16</v>
      </c>
      <c r="CG170" s="134">
        <f t="shared" si="444"/>
        <v>-8.0826367425716703E-18</v>
      </c>
      <c r="CH170" s="134">
        <f t="shared" si="444"/>
        <v>1.3657627973517277E-18</v>
      </c>
      <c r="CI170" s="134">
        <f t="shared" si="444"/>
        <v>2.1782747564220735E-21</v>
      </c>
      <c r="CJ170" s="134">
        <f t="shared" si="444"/>
        <v>-3.1196475198364042E-16</v>
      </c>
      <c r="CK170" s="134">
        <f t="shared" si="444"/>
        <v>-5.3904203035224305E-18</v>
      </c>
      <c r="CL170" s="134">
        <f t="shared" si="444"/>
        <v>2.8823432978616396E-20</v>
      </c>
      <c r="CM170" s="134">
        <f t="shared" si="444"/>
        <v>1.7869427291402502E-19</v>
      </c>
      <c r="CN170" s="134">
        <f t="shared" si="444"/>
        <v>1.5708699736499941E-17</v>
      </c>
      <c r="CO170" s="134">
        <f t="shared" si="444"/>
        <v>2.0392276296942833E-20</v>
      </c>
      <c r="CP170" s="134">
        <f t="shared" si="444"/>
        <v>8.2046280370786429E-16</v>
      </c>
      <c r="CQ170" s="134">
        <f t="shared" si="444"/>
        <v>3.1404674138533343E-15</v>
      </c>
      <c r="CR170" s="134">
        <f t="shared" si="444"/>
        <v>-4.2623060195148861E-16</v>
      </c>
      <c r="CS170" s="134">
        <f t="shared" si="444"/>
        <v>2.0899655394106684E-15</v>
      </c>
      <c r="CT170" s="134">
        <f t="shared" si="444"/>
        <v>-3.6645857256816422E-19</v>
      </c>
      <c r="CU170" s="134">
        <f t="shared" si="444"/>
        <v>-3.829172714586203E-19</v>
      </c>
      <c r="CV170" s="134">
        <f t="shared" si="444"/>
        <v>-5.2519797581635829E-19</v>
      </c>
      <c r="CW170" s="134">
        <f t="shared" si="444"/>
        <v>4.1468891613572076E-19</v>
      </c>
      <c r="CX170" s="135">
        <f t="shared" si="444"/>
        <v>3.8398191312103726E-4</v>
      </c>
      <c r="DE170" s="2">
        <f t="shared" si="431"/>
        <v>5</v>
      </c>
      <c r="DF170" s="141">
        <f t="shared" ca="1" si="445"/>
        <v>0</v>
      </c>
      <c r="DG170" s="142">
        <f t="shared" ca="1" si="446"/>
        <v>0.22701464437875163</v>
      </c>
      <c r="DH170" s="141">
        <f t="shared" si="434"/>
        <v>-4.0062085491571114E-2</v>
      </c>
      <c r="DI170" s="142">
        <f t="shared" si="435"/>
        <v>4.6924435943642769E-2</v>
      </c>
      <c r="DJ170" s="148">
        <f t="shared" ca="1" si="447"/>
        <v>1</v>
      </c>
      <c r="DK170" s="149">
        <f t="shared" ca="1" si="448"/>
        <v>0</v>
      </c>
    </row>
    <row r="171" spans="1:115" x14ac:dyDescent="0.2">
      <c r="A171" s="2" t="s">
        <v>124</v>
      </c>
      <c r="B171" s="161">
        <f t="shared" si="450"/>
        <v>6</v>
      </c>
      <c r="C171" s="133">
        <f t="shared" si="441"/>
        <v>3.0086926399053152E-3</v>
      </c>
      <c r="D171" s="134">
        <f t="shared" si="451"/>
        <v>3.0086926399048946E-3</v>
      </c>
      <c r="E171" s="134">
        <f t="shared" si="451"/>
        <v>3.0086926399261549E-3</v>
      </c>
      <c r="F171" s="134">
        <f t="shared" si="451"/>
        <v>6.7003064064006888E-3</v>
      </c>
      <c r="G171" s="134">
        <f t="shared" si="451"/>
        <v>4.4146965307630664E-3</v>
      </c>
      <c r="H171" s="134">
        <f t="shared" si="451"/>
        <v>2.386713207571872E-3</v>
      </c>
      <c r="I171" s="134">
        <f t="shared" si="451"/>
        <v>4.4146965307569801E-3</v>
      </c>
      <c r="J171" s="134">
        <f t="shared" si="451"/>
        <v>3.0085022024965713E-3</v>
      </c>
      <c r="K171" s="134">
        <f t="shared" si="443"/>
        <v>2.4195442829560571E-3</v>
      </c>
      <c r="L171" s="134">
        <f t="shared" si="443"/>
        <v>4.4146965307656199E-3</v>
      </c>
      <c r="M171" s="134">
        <f t="shared" si="451"/>
        <v>2.4660562829956576E-3</v>
      </c>
      <c r="N171" s="134">
        <f t="shared" si="451"/>
        <v>4.4146965306506034E-3</v>
      </c>
      <c r="O171" s="134">
        <f t="shared" si="451"/>
        <v>6.9269090638708524E-3</v>
      </c>
      <c r="P171" s="134">
        <f t="shared" si="451"/>
        <v>6.926909063984214E-3</v>
      </c>
      <c r="Q171" s="134">
        <f t="shared" si="451"/>
        <v>6.9269090640120719E-3</v>
      </c>
      <c r="R171" s="134">
        <f t="shared" si="451"/>
        <v>6.9269090638920689E-3</v>
      </c>
      <c r="S171" s="134">
        <f t="shared" si="451"/>
        <v>6.9752258226482193E-3</v>
      </c>
      <c r="T171" s="134">
        <f t="shared" si="451"/>
        <v>6.9752258189082119E-3</v>
      </c>
      <c r="U171" s="134">
        <f t="shared" si="451"/>
        <v>3.0085022014204794E-3</v>
      </c>
      <c r="V171" s="134">
        <f t="shared" si="451"/>
        <v>6.926909063891787E-3</v>
      </c>
      <c r="W171" s="134">
        <f t="shared" si="451"/>
        <v>7.0466427845413179E-3</v>
      </c>
      <c r="X171" s="134">
        <f t="shared" si="451"/>
        <v>6.9752258190012087E-3</v>
      </c>
      <c r="Y171" s="134">
        <f t="shared" si="451"/>
        <v>3.0086926399053695E-3</v>
      </c>
      <c r="Z171" s="134">
        <f t="shared" si="451"/>
        <v>2.8281335467408911E-8</v>
      </c>
      <c r="AA171" s="134">
        <f t="shared" si="451"/>
        <v>9.6387840464891536E-9</v>
      </c>
      <c r="AB171" s="134">
        <f t="shared" si="451"/>
        <v>5.6625565031115988E-9</v>
      </c>
      <c r="AC171" s="134">
        <f t="shared" si="451"/>
        <v>3.9308259911868436E-9</v>
      </c>
      <c r="AD171" s="134">
        <f t="shared" si="451"/>
        <v>3.0442079262997228E-9</v>
      </c>
      <c r="AE171" s="134">
        <f t="shared" si="451"/>
        <v>2.4319368911839339E-9</v>
      </c>
      <c r="AF171" s="134">
        <f t="shared" si="451"/>
        <v>2.0332597854489E-9</v>
      </c>
      <c r="AG171" s="134">
        <f t="shared" si="451"/>
        <v>1.8023589042649964E-9</v>
      </c>
      <c r="AH171" s="134">
        <f t="shared" si="451"/>
        <v>1.5897535683998629E-9</v>
      </c>
      <c r="AI171" s="134">
        <f t="shared" si="451"/>
        <v>1.4547681295161019E-9</v>
      </c>
      <c r="AJ171" s="134">
        <f t="shared" si="451"/>
        <v>1.3188718969638782E-9</v>
      </c>
      <c r="AK171" s="134">
        <f t="shared" si="451"/>
        <v>1.2447189381914238E-9</v>
      </c>
      <c r="AL171" s="134">
        <f t="shared" si="451"/>
        <v>1.2447189381906043E-9</v>
      </c>
      <c r="AM171" s="134">
        <f t="shared" si="451"/>
        <v>1.244718938193792E-9</v>
      </c>
      <c r="AN171" s="134">
        <f t="shared" si="451"/>
        <v>1.2447189382083254E-9</v>
      </c>
      <c r="AO171" s="134">
        <f t="shared" si="451"/>
        <v>1.244718939145331E-9</v>
      </c>
      <c r="AP171" s="134">
        <f t="shared" si="451"/>
        <v>1.2447189381957858E-9</v>
      </c>
      <c r="AQ171" s="134">
        <f t="shared" si="451"/>
        <v>1.2447189557446292E-9</v>
      </c>
      <c r="AR171" s="134">
        <f t="shared" si="451"/>
        <v>1.2447189557397737E-9</v>
      </c>
      <c r="AS171" s="134">
        <f t="shared" si="451"/>
        <v>1.2447190910795665E-9</v>
      </c>
      <c r="AT171" s="134">
        <f t="shared" si="451"/>
        <v>1.2447190910838075E-9</v>
      </c>
      <c r="AU171" s="134">
        <f t="shared" si="451"/>
        <v>1.2447190910834874E-9</v>
      </c>
      <c r="AV171" s="134">
        <f t="shared" si="451"/>
        <v>1.244719091080341E-9</v>
      </c>
      <c r="AW171" s="134">
        <f t="shared" si="451"/>
        <v>1.2447190911893861E-9</v>
      </c>
      <c r="AX171" s="134">
        <f t="shared" si="451"/>
        <v>1.2447190910757979E-9</v>
      </c>
      <c r="AY171" s="134">
        <f t="shared" si="451"/>
        <v>1.2447190910757981E-9</v>
      </c>
      <c r="AZ171" s="134">
        <f t="shared" si="451"/>
        <v>1.244719091218249E-9</v>
      </c>
      <c r="BA171" s="134">
        <f t="shared" si="451"/>
        <v>1.2447190910759598E-9</v>
      </c>
      <c r="BB171" s="134">
        <f t="shared" si="451"/>
        <v>1.2447190910757979E-9</v>
      </c>
      <c r="BC171" s="134">
        <f t="shared" si="451"/>
        <v>1.2447190910841111E-9</v>
      </c>
      <c r="BD171" s="134">
        <f t="shared" si="451"/>
        <v>1.2447190910897551E-9</v>
      </c>
      <c r="BE171" s="134">
        <f t="shared" si="451"/>
        <v>1.2447192195011531E-9</v>
      </c>
      <c r="BF171" s="134">
        <f t="shared" si="451"/>
        <v>1.2447206867827197E-9</v>
      </c>
      <c r="BG171" s="134">
        <f t="shared" si="451"/>
        <v>1.2447190910757952E-9</v>
      </c>
      <c r="BH171" s="134">
        <f t="shared" si="451"/>
        <v>1.2447189557451471E-9</v>
      </c>
      <c r="BI171" s="134">
        <f t="shared" si="451"/>
        <v>1.2447198897777332E-9</v>
      </c>
      <c r="BJ171" s="134">
        <f t="shared" si="451"/>
        <v>1.2447189559161329E-9</v>
      </c>
      <c r="BK171" s="134">
        <f t="shared" si="451"/>
        <v>1.2447189557409814E-9</v>
      </c>
      <c r="BL171" s="134">
        <f t="shared" si="451"/>
        <v>1.2447189557503451E-9</v>
      </c>
      <c r="BM171" s="134">
        <f t="shared" si="451"/>
        <v>1.2447189557396589E-9</v>
      </c>
      <c r="BN171" s="134">
        <f t="shared" si="451"/>
        <v>1.2447189557396591E-9</v>
      </c>
      <c r="BO171" s="134">
        <f t="shared" ref="BO171:CX174" si="452">BO122/SUM(BO$117:BO$127)</f>
        <v>1.2447190936969831E-9</v>
      </c>
      <c r="BP171" s="134">
        <f t="shared" si="452"/>
        <v>1.2447189557429515E-9</v>
      </c>
      <c r="BQ171" s="134">
        <f t="shared" si="452"/>
        <v>1.24471895579917E-9</v>
      </c>
      <c r="BR171" s="134">
        <f t="shared" si="452"/>
        <v>1.244718955745499E-9</v>
      </c>
      <c r="BS171" s="134">
        <f t="shared" si="452"/>
        <v>1.2447189557397156E-9</v>
      </c>
      <c r="BT171" s="134">
        <f t="shared" si="452"/>
        <v>1.2447189557486212E-9</v>
      </c>
      <c r="BU171" s="134">
        <f t="shared" si="452"/>
        <v>1.2447189559993217E-9</v>
      </c>
      <c r="BV171" s="134">
        <f t="shared" si="452"/>
        <v>1.2447189557404865E-9</v>
      </c>
      <c r="BW171" s="134">
        <f t="shared" si="452"/>
        <v>1.2447189557671071E-9</v>
      </c>
      <c r="BX171" s="134">
        <f t="shared" si="452"/>
        <v>1.2447189558883393E-9</v>
      </c>
      <c r="BY171" s="134">
        <f t="shared" si="452"/>
        <v>1.2447189557406077E-9</v>
      </c>
      <c r="BZ171" s="134">
        <f t="shared" si="452"/>
        <v>1.2447196748286557E-9</v>
      </c>
      <c r="CA171" s="134">
        <f t="shared" si="452"/>
        <v>1.244719091806552E-9</v>
      </c>
      <c r="CB171" s="134">
        <f t="shared" si="452"/>
        <v>1.2447189557401796E-9</v>
      </c>
      <c r="CC171" s="134">
        <f t="shared" si="452"/>
        <v>1.2447190910959609E-9</v>
      </c>
      <c r="CD171" s="134">
        <f t="shared" si="452"/>
        <v>1.2447190910769398E-9</v>
      </c>
      <c r="CE171" s="134">
        <f t="shared" si="452"/>
        <v>1.2447190910757977E-9</v>
      </c>
      <c r="CF171" s="134">
        <f t="shared" si="452"/>
        <v>1.2447193974252306E-9</v>
      </c>
      <c r="CG171" s="134">
        <f t="shared" si="452"/>
        <v>1.2447190910968234E-9</v>
      </c>
      <c r="CH171" s="134">
        <f t="shared" si="452"/>
        <v>1.2447191278686766E-9</v>
      </c>
      <c r="CI171" s="134">
        <f t="shared" si="452"/>
        <v>1.2447190910801493E-9</v>
      </c>
      <c r="CJ171" s="134">
        <f t="shared" si="452"/>
        <v>1.2447200580497956E-9</v>
      </c>
      <c r="CK171" s="134">
        <f t="shared" si="452"/>
        <v>1.2447190910757979E-9</v>
      </c>
      <c r="CL171" s="134">
        <f t="shared" si="452"/>
        <v>1.244719091895884E-9</v>
      </c>
      <c r="CM171" s="134">
        <f t="shared" si="452"/>
        <v>1.2447190925453076E-9</v>
      </c>
      <c r="CN171" s="134">
        <f t="shared" si="452"/>
        <v>1.2447191202935443E-9</v>
      </c>
      <c r="CO171" s="134">
        <f t="shared" si="452"/>
        <v>1.2447190911691179E-9</v>
      </c>
      <c r="CP171" s="134">
        <f t="shared" si="452"/>
        <v>1.2447190910757967E-9</v>
      </c>
      <c r="CQ171" s="134">
        <f t="shared" si="452"/>
        <v>1.2447190910758E-9</v>
      </c>
      <c r="CR171" s="134">
        <f t="shared" si="452"/>
        <v>1.2447203431299506E-9</v>
      </c>
      <c r="CS171" s="134">
        <f t="shared" si="452"/>
        <v>1.2447195554258863E-9</v>
      </c>
      <c r="CT171" s="134">
        <f t="shared" si="452"/>
        <v>1.2447190913451033E-9</v>
      </c>
      <c r="CU171" s="134">
        <f t="shared" si="452"/>
        <v>1.2447190910757981E-9</v>
      </c>
      <c r="CV171" s="134">
        <f t="shared" si="452"/>
        <v>1.2447190910757977E-9</v>
      </c>
      <c r="CW171" s="134">
        <f t="shared" si="452"/>
        <v>1.2447190910757979E-9</v>
      </c>
      <c r="CX171" s="135">
        <f t="shared" si="452"/>
        <v>3.4863190069576425E-4</v>
      </c>
      <c r="DE171" s="2">
        <f t="shared" si="431"/>
        <v>6</v>
      </c>
      <c r="DF171" s="141" t="e">
        <f t="shared" ca="1" si="445"/>
        <v>#REF!</v>
      </c>
      <c r="DG171" s="142" t="e">
        <f t="shared" ca="1" si="446"/>
        <v>#REF!</v>
      </c>
      <c r="DH171" s="141">
        <f t="shared" si="434"/>
        <v>1.2447189381906043E-9</v>
      </c>
      <c r="DI171" s="142">
        <f t="shared" si="435"/>
        <v>7.0466427845413179E-3</v>
      </c>
      <c r="DJ171" s="148" t="e">
        <f t="shared" ca="1" si="447"/>
        <v>#REF!</v>
      </c>
      <c r="DK171" s="149" t="e">
        <f t="shared" ca="1" si="448"/>
        <v>#REF!</v>
      </c>
    </row>
    <row r="172" spans="1:115" x14ac:dyDescent="0.2">
      <c r="A172" s="2" t="s">
        <v>124</v>
      </c>
      <c r="B172" s="161">
        <f t="shared" si="450"/>
        <v>7</v>
      </c>
      <c r="C172" s="133">
        <f t="shared" si="441"/>
        <v>4.8507926679937766E-2</v>
      </c>
      <c r="D172" s="134">
        <f t="shared" ref="D172:BO175" si="453">D123/SUM(D$117:D$127)</f>
        <v>4.85079266799395E-2</v>
      </c>
      <c r="E172" s="134">
        <f t="shared" si="453"/>
        <v>4.8507926679939348E-2</v>
      </c>
      <c r="F172" s="134">
        <f t="shared" si="453"/>
        <v>3.129464726092233E-3</v>
      </c>
      <c r="G172" s="134">
        <f t="shared" si="453"/>
        <v>1.3601317639295772E-2</v>
      </c>
      <c r="H172" s="134">
        <f t="shared" si="453"/>
        <v>3.8480005482366041E-2</v>
      </c>
      <c r="I172" s="134">
        <f t="shared" si="453"/>
        <v>1.360131763929847E-2</v>
      </c>
      <c r="J172" s="134">
        <f t="shared" si="453"/>
        <v>4.850485631996633E-2</v>
      </c>
      <c r="K172" s="134">
        <f t="shared" si="443"/>
        <v>3.900932754624039E-2</v>
      </c>
      <c r="L172" s="134">
        <f t="shared" si="443"/>
        <v>1.360131763927314E-2</v>
      </c>
      <c r="M172" s="134">
        <f t="shared" si="453"/>
        <v>3.9759221589232119E-2</v>
      </c>
      <c r="N172" s="134">
        <f t="shared" si="453"/>
        <v>1.3601317641947353E-2</v>
      </c>
      <c r="O172" s="134">
        <f t="shared" si="453"/>
        <v>-1.068645211372647E-14</v>
      </c>
      <c r="P172" s="134">
        <f t="shared" si="453"/>
        <v>-9.5067672786544313E-14</v>
      </c>
      <c r="Q172" s="134">
        <f t="shared" si="453"/>
        <v>-5.5043486918432983E-14</v>
      </c>
      <c r="R172" s="134">
        <f t="shared" si="453"/>
        <v>9.0265664532186536E-15</v>
      </c>
      <c r="S172" s="134">
        <f t="shared" si="453"/>
        <v>5.4387804300413353E-12</v>
      </c>
      <c r="T172" s="134">
        <f t="shared" si="453"/>
        <v>6.1849144114359271E-14</v>
      </c>
      <c r="U172" s="134">
        <f t="shared" si="453"/>
        <v>4.8504856317551928E-2</v>
      </c>
      <c r="V172" s="134">
        <f t="shared" si="453"/>
        <v>3.9381366641735256E-2</v>
      </c>
      <c r="W172" s="134">
        <f t="shared" si="453"/>
        <v>2.2776782688724819E-2</v>
      </c>
      <c r="X172" s="134">
        <f t="shared" si="453"/>
        <v>1.4669837651801892E-13</v>
      </c>
      <c r="Y172" s="134">
        <f t="shared" si="453"/>
        <v>4.8507926680092871E-2</v>
      </c>
      <c r="Z172" s="134">
        <f t="shared" si="453"/>
        <v>6.5801337769187493E-2</v>
      </c>
      <c r="AA172" s="134">
        <f t="shared" si="453"/>
        <v>6.5801444924146316E-2</v>
      </c>
      <c r="AB172" s="134">
        <f t="shared" si="453"/>
        <v>6.5801467778984643E-2</v>
      </c>
      <c r="AC172" s="134">
        <f t="shared" si="453"/>
        <v>6.5801477732746208E-2</v>
      </c>
      <c r="AD172" s="134">
        <f t="shared" si="453"/>
        <v>6.580148282891142E-2</v>
      </c>
      <c r="AE172" s="134">
        <f t="shared" si="453"/>
        <v>6.5801486348165641E-2</v>
      </c>
      <c r="AF172" s="134">
        <f t="shared" si="453"/>
        <v>6.5801488639709735E-2</v>
      </c>
      <c r="AG172" s="134">
        <f t="shared" si="453"/>
        <v>6.5801489966897941E-2</v>
      </c>
      <c r="AH172" s="134">
        <f t="shared" si="453"/>
        <v>6.5801491188925754E-2</v>
      </c>
      <c r="AI172" s="134">
        <f t="shared" si="453"/>
        <v>6.5801491964804476E-2</v>
      </c>
      <c r="AJ172" s="134">
        <f t="shared" si="453"/>
        <v>6.5801492745918344E-2</v>
      </c>
      <c r="AK172" s="134">
        <f t="shared" si="453"/>
        <v>6.5801493172139888E-2</v>
      </c>
      <c r="AL172" s="134">
        <f t="shared" si="453"/>
        <v>6.5801493172139902E-2</v>
      </c>
      <c r="AM172" s="134">
        <f t="shared" si="453"/>
        <v>6.5801493172139888E-2</v>
      </c>
      <c r="AN172" s="134">
        <f t="shared" si="453"/>
        <v>6.5801493172139888E-2</v>
      </c>
      <c r="AO172" s="134">
        <f t="shared" si="453"/>
        <v>6.5801493172139888E-2</v>
      </c>
      <c r="AP172" s="134">
        <f t="shared" si="453"/>
        <v>6.5801493172139888E-2</v>
      </c>
      <c r="AQ172" s="134">
        <f t="shared" si="453"/>
        <v>6.5801493172139791E-2</v>
      </c>
      <c r="AR172" s="134">
        <f t="shared" si="453"/>
        <v>6.5801493172139777E-2</v>
      </c>
      <c r="AS172" s="134">
        <f t="shared" si="453"/>
        <v>6.5801500326622325E-2</v>
      </c>
      <c r="AT172" s="134">
        <f t="shared" si="453"/>
        <v>6.5801500326622325E-2</v>
      </c>
      <c r="AU172" s="134">
        <f t="shared" si="453"/>
        <v>4.2560736302339246E-2</v>
      </c>
      <c r="AV172" s="134">
        <f t="shared" si="453"/>
        <v>3.488331590704794E-20</v>
      </c>
      <c r="AW172" s="134">
        <f t="shared" si="453"/>
        <v>-4.3832615717177713E-19</v>
      </c>
      <c r="AX172" s="134">
        <f t="shared" si="453"/>
        <v>2.8130241314044177E-19</v>
      </c>
      <c r="AY172" s="134">
        <f t="shared" si="453"/>
        <v>-8.4501729781505405E-19</v>
      </c>
      <c r="AZ172" s="134">
        <f t="shared" si="453"/>
        <v>1.9419462329302515E-20</v>
      </c>
      <c r="BA172" s="134">
        <f t="shared" si="453"/>
        <v>-5.2283982373850439E-22</v>
      </c>
      <c r="BB172" s="134">
        <f t="shared" si="453"/>
        <v>7.8100269973445607E-19</v>
      </c>
      <c r="BC172" s="134">
        <f t="shared" si="453"/>
        <v>2.695413727953744E-20</v>
      </c>
      <c r="BD172" s="134">
        <f t="shared" si="453"/>
        <v>1.9992987924765139E-21</v>
      </c>
      <c r="BE172" s="134">
        <f t="shared" si="453"/>
        <v>5.1488807515341515E-15</v>
      </c>
      <c r="BF172" s="134">
        <f t="shared" si="453"/>
        <v>-8.148189734773488E-17</v>
      </c>
      <c r="BG172" s="134">
        <f t="shared" si="453"/>
        <v>1.3644878719697685E-15</v>
      </c>
      <c r="BH172" s="134">
        <f t="shared" si="453"/>
        <v>-3.7003337506616427E-20</v>
      </c>
      <c r="BI172" s="134">
        <f t="shared" si="453"/>
        <v>2.4951347562336459E-16</v>
      </c>
      <c r="BJ172" s="134">
        <f t="shared" si="453"/>
        <v>1.4620171520319029E-19</v>
      </c>
      <c r="BK172" s="134">
        <f t="shared" si="453"/>
        <v>-4.8313632694112933E-20</v>
      </c>
      <c r="BL172" s="134">
        <f t="shared" si="453"/>
        <v>-3.319260399174205E-19</v>
      </c>
      <c r="BM172" s="134">
        <f t="shared" si="453"/>
        <v>7.1712299071819713E-21</v>
      </c>
      <c r="BN172" s="134">
        <f t="shared" si="453"/>
        <v>1.1319728983565125E-20</v>
      </c>
      <c r="BO172" s="134">
        <f t="shared" si="453"/>
        <v>1.0588944778748197E-18</v>
      </c>
      <c r="BP172" s="134">
        <f t="shared" si="452"/>
        <v>-7.9034771775930032E-22</v>
      </c>
      <c r="BQ172" s="134">
        <f t="shared" si="452"/>
        <v>-2.0852124036318019E-18</v>
      </c>
      <c r="BR172" s="134">
        <f t="shared" si="452"/>
        <v>3.8730653317135878E-18</v>
      </c>
      <c r="BS172" s="134">
        <f t="shared" si="452"/>
        <v>2.1062032694159401E-19</v>
      </c>
      <c r="BT172" s="134">
        <f t="shared" si="452"/>
        <v>4.1712691480828544E-21</v>
      </c>
      <c r="BU172" s="134">
        <f t="shared" si="452"/>
        <v>-4.2816507351799515E-19</v>
      </c>
      <c r="BV172" s="134">
        <f t="shared" si="452"/>
        <v>1.179088404356353E-18</v>
      </c>
      <c r="BW172" s="134">
        <f t="shared" si="452"/>
        <v>2.8307853642719883E-20</v>
      </c>
      <c r="BX172" s="134">
        <f t="shared" si="452"/>
        <v>-5.4880120526754088E-18</v>
      </c>
      <c r="BY172" s="134">
        <f t="shared" si="452"/>
        <v>-3.3981907429125843E-20</v>
      </c>
      <c r="BZ172" s="134">
        <f t="shared" si="452"/>
        <v>-1.9067432458166969E-16</v>
      </c>
      <c r="CA172" s="134">
        <f t="shared" si="452"/>
        <v>2.3000770128369362E-18</v>
      </c>
      <c r="CB172" s="134">
        <f t="shared" si="452"/>
        <v>3.153063627024612E-16</v>
      </c>
      <c r="CC172" s="134">
        <f t="shared" si="452"/>
        <v>1.3615274112203022E-21</v>
      </c>
      <c r="CD172" s="134">
        <f t="shared" si="452"/>
        <v>-4.1259705914061748E-22</v>
      </c>
      <c r="CE172" s="134">
        <f t="shared" si="452"/>
        <v>2.5260849760304063E-17</v>
      </c>
      <c r="CF172" s="134">
        <f t="shared" si="452"/>
        <v>3.8551090734253356E-16</v>
      </c>
      <c r="CG172" s="134">
        <f t="shared" si="452"/>
        <v>1.0306678032514562E-18</v>
      </c>
      <c r="CH172" s="134">
        <f t="shared" si="452"/>
        <v>7.180678093538315E-18</v>
      </c>
      <c r="CI172" s="134">
        <f t="shared" si="452"/>
        <v>4.5343825565458335E-22</v>
      </c>
      <c r="CJ172" s="134">
        <f t="shared" si="452"/>
        <v>8.0538606447364102E-16</v>
      </c>
      <c r="CK172" s="134">
        <f t="shared" si="452"/>
        <v>4.6884856450304006E-18</v>
      </c>
      <c r="CL172" s="134">
        <f t="shared" si="452"/>
        <v>-9.7788142114176304E-19</v>
      </c>
      <c r="CM172" s="134">
        <f t="shared" si="452"/>
        <v>1.6135188202000201E-18</v>
      </c>
      <c r="CN172" s="134">
        <f t="shared" si="452"/>
        <v>1.8012062061600718E-17</v>
      </c>
      <c r="CO172" s="134">
        <f t="shared" si="452"/>
        <v>1.4488531066150183E-19</v>
      </c>
      <c r="CP172" s="134">
        <f t="shared" si="452"/>
        <v>-7.574721365151447E-16</v>
      </c>
      <c r="CQ172" s="134">
        <f t="shared" si="452"/>
        <v>2.9099223463411558E-16</v>
      </c>
      <c r="CR172" s="134">
        <f t="shared" si="452"/>
        <v>6.93339229206019E-15</v>
      </c>
      <c r="CS172" s="134">
        <f t="shared" si="452"/>
        <v>8.2922331778912412E-15</v>
      </c>
      <c r="CT172" s="134">
        <f t="shared" si="452"/>
        <v>-1.2715276114378449E-18</v>
      </c>
      <c r="CU172" s="134">
        <f t="shared" si="452"/>
        <v>-2.2360683721769039E-18</v>
      </c>
      <c r="CV172" s="134">
        <f t="shared" si="452"/>
        <v>-3.0669261757282756E-18</v>
      </c>
      <c r="CW172" s="134">
        <f t="shared" si="452"/>
        <v>1.3091445026441351E-18</v>
      </c>
      <c r="CX172" s="135">
        <f t="shared" si="452"/>
        <v>3.5471555261278769E-4</v>
      </c>
      <c r="DE172" s="2">
        <f t="shared" si="431"/>
        <v>7</v>
      </c>
      <c r="DF172" s="141" t="e">
        <f t="shared" ca="1" si="445"/>
        <v>#REF!</v>
      </c>
      <c r="DG172" s="142" t="e">
        <f t="shared" ca="1" si="446"/>
        <v>#REF!</v>
      </c>
      <c r="DH172" s="141">
        <f t="shared" si="434"/>
        <v>-9.5067672786544313E-14</v>
      </c>
      <c r="DI172" s="142">
        <f t="shared" si="435"/>
        <v>6.5801500326622325E-2</v>
      </c>
      <c r="DJ172" s="148" t="e">
        <f t="shared" ca="1" si="447"/>
        <v>#REF!</v>
      </c>
      <c r="DK172" s="149" t="e">
        <f t="shared" ca="1" si="448"/>
        <v>#REF!</v>
      </c>
    </row>
    <row r="173" spans="1:115" x14ac:dyDescent="0.2">
      <c r="A173" s="2" t="s">
        <v>124</v>
      </c>
      <c r="B173" s="161">
        <f t="shared" si="450"/>
        <v>8</v>
      </c>
      <c r="C173" s="133">
        <f t="shared" si="441"/>
        <v>4.218508835989207E-2</v>
      </c>
      <c r="D173" s="134">
        <f t="shared" si="453"/>
        <v>4.218508835994117E-2</v>
      </c>
      <c r="E173" s="134">
        <f t="shared" si="453"/>
        <v>4.2185088359891119E-2</v>
      </c>
      <c r="F173" s="134">
        <f t="shared" si="453"/>
        <v>2.7215499615522521E-3</v>
      </c>
      <c r="G173" s="134">
        <f t="shared" si="453"/>
        <v>1.18284335302586E-2</v>
      </c>
      <c r="H173" s="134">
        <f t="shared" si="453"/>
        <v>3.346427156276037E-2</v>
      </c>
      <c r="I173" s="134">
        <f t="shared" si="453"/>
        <v>1.1828433530291501E-2</v>
      </c>
      <c r="J173" s="134">
        <f t="shared" si="453"/>
        <v>1.2220021822899017E-3</v>
      </c>
      <c r="K173" s="134">
        <f t="shared" si="443"/>
        <v>3.3924598350281408E-2</v>
      </c>
      <c r="L173" s="134">
        <f t="shared" si="443"/>
        <v>1.1828433530244591E-2</v>
      </c>
      <c r="M173" s="134">
        <f t="shared" si="453"/>
        <v>1.0016699200132918E-3</v>
      </c>
      <c r="N173" s="134">
        <f t="shared" si="453"/>
        <v>1.1828433531303074E-2</v>
      </c>
      <c r="O173" s="134">
        <f t="shared" si="453"/>
        <v>2.8135920886310979E-3</v>
      </c>
      <c r="P173" s="134">
        <f t="shared" si="453"/>
        <v>2.8135920886353358E-3</v>
      </c>
      <c r="Q173" s="134">
        <f t="shared" si="453"/>
        <v>2.8135920886323239E-3</v>
      </c>
      <c r="R173" s="134">
        <f t="shared" si="453"/>
        <v>2.8135920886305055E-3</v>
      </c>
      <c r="S173" s="134">
        <f t="shared" si="453"/>
        <v>2.8332175287341757E-3</v>
      </c>
      <c r="T173" s="134">
        <f t="shared" si="453"/>
        <v>2.833217528810716E-3</v>
      </c>
      <c r="U173" s="134">
        <f t="shared" si="453"/>
        <v>1.2220021822802701E-3</v>
      </c>
      <c r="V173" s="134">
        <f t="shared" si="453"/>
        <v>2.813592088639601E-3</v>
      </c>
      <c r="W173" s="134">
        <f t="shared" si="453"/>
        <v>2.8622258798466976E-3</v>
      </c>
      <c r="X173" s="134">
        <f t="shared" si="453"/>
        <v>2.8332175288018494E-3</v>
      </c>
      <c r="Y173" s="134">
        <f t="shared" si="453"/>
        <v>1.2220795351440444E-3</v>
      </c>
      <c r="Z173" s="134">
        <f t="shared" si="453"/>
        <v>1.1487395170843778E-8</v>
      </c>
      <c r="AA173" s="134">
        <f t="shared" si="453"/>
        <v>3.915109363688279E-9</v>
      </c>
      <c r="AB173" s="134">
        <f t="shared" si="453"/>
        <v>2.3000336848190519E-9</v>
      </c>
      <c r="AC173" s="134">
        <f t="shared" si="453"/>
        <v>1.596634344859495E-9</v>
      </c>
      <c r="AD173" s="134">
        <f t="shared" si="453"/>
        <v>9.9726572016124743E-3</v>
      </c>
      <c r="AE173" s="134">
        <f t="shared" si="453"/>
        <v>1.9315463271270365E-2</v>
      </c>
      <c r="AF173" s="134">
        <f t="shared" si="453"/>
        <v>4.1572511410109252E-2</v>
      </c>
      <c r="AG173" s="134">
        <f t="shared" si="453"/>
        <v>5.7224496251541357E-2</v>
      </c>
      <c r="AH173" s="134">
        <f t="shared" si="453"/>
        <v>5.7224497314282106E-2</v>
      </c>
      <c r="AI173" s="134">
        <f t="shared" si="453"/>
        <v>5.7224497989027769E-2</v>
      </c>
      <c r="AJ173" s="134">
        <f t="shared" si="453"/>
        <v>5.7224498668326171E-2</v>
      </c>
      <c r="AK173" s="134">
        <f t="shared" si="453"/>
        <v>5.7224499038991239E-2</v>
      </c>
      <c r="AL173" s="134">
        <f t="shared" si="453"/>
        <v>5.7224499038991232E-2</v>
      </c>
      <c r="AM173" s="134">
        <f t="shared" si="453"/>
        <v>5.7224499038991253E-2</v>
      </c>
      <c r="AN173" s="134">
        <f t="shared" si="453"/>
        <v>5.7224499038991225E-2</v>
      </c>
      <c r="AO173" s="134">
        <f t="shared" si="453"/>
        <v>5.7224499038991232E-2</v>
      </c>
      <c r="AP173" s="134">
        <f t="shared" si="453"/>
        <v>5.7224499038991225E-2</v>
      </c>
      <c r="AQ173" s="134">
        <f t="shared" si="453"/>
        <v>5.7224499038991149E-2</v>
      </c>
      <c r="AR173" s="134">
        <f t="shared" si="453"/>
        <v>1.3231963552010567E-2</v>
      </c>
      <c r="AS173" s="134">
        <f t="shared" si="453"/>
        <v>5.0558362395385718E-10</v>
      </c>
      <c r="AT173" s="134">
        <f t="shared" si="453"/>
        <v>5.0558362394772032E-10</v>
      </c>
      <c r="AU173" s="134">
        <f t="shared" si="453"/>
        <v>5.0558362394642227E-10</v>
      </c>
      <c r="AV173" s="134">
        <f t="shared" si="453"/>
        <v>5.0558362394157499E-10</v>
      </c>
      <c r="AW173" s="134">
        <f t="shared" si="453"/>
        <v>5.0558362394073633E-10</v>
      </c>
      <c r="AX173" s="134">
        <f t="shared" si="453"/>
        <v>5.0558362394062042E-10</v>
      </c>
      <c r="AY173" s="134">
        <f t="shared" si="453"/>
        <v>5.0558362394062042E-10</v>
      </c>
      <c r="AZ173" s="134">
        <f t="shared" si="453"/>
        <v>5.0558362394062042E-10</v>
      </c>
      <c r="BA173" s="134">
        <f t="shared" si="453"/>
        <v>5.0558362394311417E-10</v>
      </c>
      <c r="BB173" s="134">
        <f t="shared" si="453"/>
        <v>5.0558362394062042E-10</v>
      </c>
      <c r="BC173" s="134">
        <f t="shared" si="453"/>
        <v>5.0558362398259808E-10</v>
      </c>
      <c r="BD173" s="134">
        <f t="shared" si="453"/>
        <v>5.0558362399617108E-10</v>
      </c>
      <c r="BE173" s="134">
        <f t="shared" si="453"/>
        <v>5.0558393802653927E-10</v>
      </c>
      <c r="BF173" s="134">
        <f t="shared" si="453"/>
        <v>5.0558362394062684E-10</v>
      </c>
      <c r="BG173" s="134">
        <f t="shared" si="453"/>
        <v>5.055836593096578E-10</v>
      </c>
      <c r="BH173" s="134">
        <f t="shared" si="453"/>
        <v>5.0558356899069645E-10</v>
      </c>
      <c r="BI173" s="134">
        <f t="shared" si="453"/>
        <v>5.0558472706847584E-10</v>
      </c>
      <c r="BJ173" s="134">
        <f t="shared" si="453"/>
        <v>5.0558356897374266E-10</v>
      </c>
      <c r="BK173" s="134">
        <f t="shared" si="453"/>
        <v>5.0558356896943191E-10</v>
      </c>
      <c r="BL173" s="134">
        <f t="shared" si="453"/>
        <v>5.055835689763428E-10</v>
      </c>
      <c r="BM173" s="134">
        <f t="shared" si="453"/>
        <v>5.0558356896939345E-10</v>
      </c>
      <c r="BN173" s="134">
        <f t="shared" si="453"/>
        <v>5.0558356896939355E-10</v>
      </c>
      <c r="BO173" s="134">
        <f t="shared" si="453"/>
        <v>5.0558362768791641E-10</v>
      </c>
      <c r="BP173" s="134">
        <f t="shared" si="452"/>
        <v>5.055835689717686E-10</v>
      </c>
      <c r="BQ173" s="134">
        <f t="shared" si="452"/>
        <v>5.0558356898179702E-10</v>
      </c>
      <c r="BR173" s="134">
        <f t="shared" si="452"/>
        <v>5.0558356942440379E-10</v>
      </c>
      <c r="BS173" s="134">
        <f t="shared" si="452"/>
        <v>5.0558356896945818E-10</v>
      </c>
      <c r="BT173" s="134">
        <f t="shared" si="452"/>
        <v>5.0558356897962847E-10</v>
      </c>
      <c r="BU173" s="134">
        <f t="shared" si="452"/>
        <v>5.0558356926596034E-10</v>
      </c>
      <c r="BV173" s="134">
        <f t="shared" si="452"/>
        <v>5.0558356910400066E-10</v>
      </c>
      <c r="BW173" s="134">
        <f t="shared" si="452"/>
        <v>5.0558356900074267E-10</v>
      </c>
      <c r="BX173" s="134">
        <f t="shared" si="452"/>
        <v>5.0558356896939345E-10</v>
      </c>
      <c r="BY173" s="134">
        <f t="shared" si="452"/>
        <v>5.0558356896949643E-10</v>
      </c>
      <c r="BZ173" s="134">
        <f t="shared" si="452"/>
        <v>5.0558362394062032E-10</v>
      </c>
      <c r="CA173" s="134">
        <f t="shared" si="452"/>
        <v>5.0558362411333274E-10</v>
      </c>
      <c r="CB173" s="134">
        <f t="shared" si="452"/>
        <v>5.0558357341593251E-10</v>
      </c>
      <c r="CC173" s="134">
        <f t="shared" si="452"/>
        <v>5.055836239429966E-10</v>
      </c>
      <c r="CD173" s="134">
        <f t="shared" si="452"/>
        <v>5.0558362394268362E-10</v>
      </c>
      <c r="CE173" s="134">
        <f t="shared" si="452"/>
        <v>5.0558362826064469E-10</v>
      </c>
      <c r="CF173" s="134">
        <f t="shared" si="452"/>
        <v>5.0558377472634145E-10</v>
      </c>
      <c r="CG173" s="134">
        <f t="shared" si="452"/>
        <v>5.0558364623819749E-10</v>
      </c>
      <c r="CH173" s="134">
        <f t="shared" si="452"/>
        <v>5.0558362993074654E-10</v>
      </c>
      <c r="CI173" s="134">
        <f t="shared" si="452"/>
        <v>5.0558362394062042E-10</v>
      </c>
      <c r="CJ173" s="134">
        <f t="shared" si="452"/>
        <v>5.0558419443402245E-10</v>
      </c>
      <c r="CK173" s="134">
        <f t="shared" si="452"/>
        <v>5.0558362394062042E-10</v>
      </c>
      <c r="CL173" s="134">
        <f t="shared" si="452"/>
        <v>5.05583624479748E-10</v>
      </c>
      <c r="CM173" s="134">
        <f t="shared" si="452"/>
        <v>5.0558362480116351E-10</v>
      </c>
      <c r="CN173" s="134">
        <f t="shared" si="452"/>
        <v>5.0558363519815968E-10</v>
      </c>
      <c r="CO173" s="134">
        <f t="shared" si="452"/>
        <v>5.0558362394099907E-10</v>
      </c>
      <c r="CP173" s="134">
        <f t="shared" si="452"/>
        <v>5.0558383679617519E-10</v>
      </c>
      <c r="CQ173" s="134">
        <f t="shared" si="452"/>
        <v>5.0558602600920034E-10</v>
      </c>
      <c r="CR173" s="134">
        <f t="shared" si="452"/>
        <v>5.0558362394062363E-10</v>
      </c>
      <c r="CS173" s="134">
        <f t="shared" si="452"/>
        <v>5.0558362394061836E-10</v>
      </c>
      <c r="CT173" s="134">
        <f t="shared" si="452"/>
        <v>5.0558362434932592E-10</v>
      </c>
      <c r="CU173" s="134">
        <f t="shared" si="452"/>
        <v>5.0558362394062042E-10</v>
      </c>
      <c r="CV173" s="134">
        <f t="shared" si="452"/>
        <v>5.0558362394062032E-10</v>
      </c>
      <c r="CW173" s="134">
        <f t="shared" si="452"/>
        <v>5.0558362426790664E-10</v>
      </c>
      <c r="CX173" s="135">
        <f t="shared" si="452"/>
        <v>3.7660835146711616E-4</v>
      </c>
      <c r="DE173" s="2">
        <f t="shared" si="431"/>
        <v>8</v>
      </c>
      <c r="DF173" s="141" t="e">
        <f t="shared" ca="1" si="445"/>
        <v>#REF!</v>
      </c>
      <c r="DG173" s="142" t="e">
        <f t="shared" ca="1" si="446"/>
        <v>#REF!</v>
      </c>
      <c r="DH173" s="141">
        <f t="shared" si="434"/>
        <v>5.0558356896939345E-10</v>
      </c>
      <c r="DI173" s="142">
        <f t="shared" si="435"/>
        <v>5.7224499038991253E-2</v>
      </c>
      <c r="DJ173" s="148" t="e">
        <f t="shared" ca="1" si="447"/>
        <v>#REF!</v>
      </c>
      <c r="DK173" s="149" t="e">
        <f t="shared" ca="1" si="448"/>
        <v>#REF!</v>
      </c>
    </row>
    <row r="174" spans="1:115" x14ac:dyDescent="0.2">
      <c r="A174" s="2" t="s">
        <v>124</v>
      </c>
      <c r="B174" s="161">
        <f t="shared" si="450"/>
        <v>9</v>
      </c>
      <c r="C174" s="133">
        <f t="shared" si="441"/>
        <v>4.3715826077464839E-3</v>
      </c>
      <c r="D174" s="134">
        <f t="shared" si="453"/>
        <v>4.3715826077601284E-3</v>
      </c>
      <c r="E174" s="134">
        <f t="shared" si="453"/>
        <v>4.3715826077448117E-3</v>
      </c>
      <c r="F174" s="134">
        <f t="shared" si="453"/>
        <v>9.7354387631000128E-3</v>
      </c>
      <c r="G174" s="134">
        <f t="shared" si="453"/>
        <v>6.4144839244749752E-3</v>
      </c>
      <c r="H174" s="134">
        <f t="shared" si="453"/>
        <v>3.4678563739212421E-3</v>
      </c>
      <c r="I174" s="134">
        <f t="shared" si="453"/>
        <v>6.4144839245755406E-3</v>
      </c>
      <c r="J174" s="134">
        <f t="shared" si="453"/>
        <v>4.3713059038190897E-3</v>
      </c>
      <c r="K174" s="134">
        <f t="shared" si="443"/>
        <v>3.5155594046901236E-3</v>
      </c>
      <c r="L174" s="134">
        <f t="shared" si="443"/>
        <v>6.4144839244800163E-3</v>
      </c>
      <c r="M174" s="134">
        <f t="shared" si="453"/>
        <v>3.5831406018352013E-3</v>
      </c>
      <c r="N174" s="134">
        <f t="shared" si="453"/>
        <v>6.4144839261373217E-3</v>
      </c>
      <c r="O174" s="134">
        <f t="shared" si="453"/>
        <v>1.0064688824447816E-2</v>
      </c>
      <c r="P174" s="134">
        <f t="shared" si="453"/>
        <v>1.0064688824462978E-2</v>
      </c>
      <c r="Q174" s="134">
        <f t="shared" si="453"/>
        <v>1.0064688824452203E-2</v>
      </c>
      <c r="R174" s="134">
        <f t="shared" si="453"/>
        <v>1.0064688824445698E-2</v>
      </c>
      <c r="S174" s="134">
        <f t="shared" si="453"/>
        <v>1.0134892301518445E-2</v>
      </c>
      <c r="T174" s="134">
        <f t="shared" si="453"/>
        <v>1.0134892301792243E-2</v>
      </c>
      <c r="U174" s="134">
        <f t="shared" si="453"/>
        <v>4.3713059036418894E-3</v>
      </c>
      <c r="V174" s="134">
        <f t="shared" si="453"/>
        <v>1.0064688824478234E-2</v>
      </c>
      <c r="W174" s="134">
        <f t="shared" si="453"/>
        <v>1.023866001840735E-2</v>
      </c>
      <c r="X174" s="134">
        <f t="shared" si="453"/>
        <v>1.0134892301760526E-2</v>
      </c>
      <c r="Y174" s="134">
        <f t="shared" si="453"/>
        <v>4.371582607758117E-3</v>
      </c>
      <c r="Z174" s="134">
        <f t="shared" si="453"/>
        <v>4.1092331138377143E-8</v>
      </c>
      <c r="AA174" s="134">
        <f t="shared" si="453"/>
        <v>1.4005000091601234E-8</v>
      </c>
      <c r="AB174" s="134">
        <f t="shared" si="453"/>
        <v>8.2276046399902277E-9</v>
      </c>
      <c r="AC174" s="134">
        <f t="shared" si="453"/>
        <v>5.7114277177914503E-9</v>
      </c>
      <c r="AD174" s="134">
        <f t="shared" si="453"/>
        <v>4.423185754527304E-9</v>
      </c>
      <c r="AE174" s="134">
        <f t="shared" si="453"/>
        <v>3.5335656675531234E-9</v>
      </c>
      <c r="AF174" s="134">
        <f t="shared" si="453"/>
        <v>2.9542941665634148E-9</v>
      </c>
      <c r="AG174" s="134">
        <f t="shared" si="453"/>
        <v>2.6187988543181625E-9</v>
      </c>
      <c r="AH174" s="134">
        <f t="shared" si="453"/>
        <v>2.3098866790330936E-9</v>
      </c>
      <c r="AI174" s="134">
        <f t="shared" si="453"/>
        <v>2.1137549808054803E-9</v>
      </c>
      <c r="AJ174" s="134">
        <f t="shared" si="453"/>
        <v>1.9162999138384587E-9</v>
      </c>
      <c r="AK174" s="134">
        <f t="shared" si="453"/>
        <v>1.8085568427794226E-9</v>
      </c>
      <c r="AL174" s="134">
        <f t="shared" si="453"/>
        <v>1.8085568427810178E-9</v>
      </c>
      <c r="AM174" s="134">
        <f t="shared" si="453"/>
        <v>1.8085568427860746E-9</v>
      </c>
      <c r="AN174" s="134">
        <f t="shared" si="453"/>
        <v>1.8085568427794222E-9</v>
      </c>
      <c r="AO174" s="134">
        <f t="shared" si="453"/>
        <v>1.8085568427794302E-9</v>
      </c>
      <c r="AP174" s="134">
        <f t="shared" si="453"/>
        <v>1.8085568427804917E-9</v>
      </c>
      <c r="AQ174" s="134">
        <f t="shared" si="453"/>
        <v>1.8085568682882154E-9</v>
      </c>
      <c r="AR174" s="134">
        <f t="shared" si="453"/>
        <v>1.8085568682800377E-9</v>
      </c>
      <c r="AS174" s="134">
        <f t="shared" si="453"/>
        <v>1.8085570649227381E-9</v>
      </c>
      <c r="AT174" s="134">
        <f t="shared" si="453"/>
        <v>1.8085570649213561E-9</v>
      </c>
      <c r="AU174" s="134">
        <f t="shared" si="453"/>
        <v>1.8085570649207818E-9</v>
      </c>
      <c r="AV174" s="134">
        <f t="shared" si="453"/>
        <v>1.8085570649647922E-9</v>
      </c>
      <c r="AW174" s="134">
        <f t="shared" si="453"/>
        <v>1.8085570650133886E-9</v>
      </c>
      <c r="AX174" s="134">
        <f t="shared" si="453"/>
        <v>1.8085570658366906E-9</v>
      </c>
      <c r="AY174" s="134">
        <f t="shared" si="453"/>
        <v>1.8085570649207818E-9</v>
      </c>
      <c r="AZ174" s="134">
        <f t="shared" si="453"/>
        <v>1.8085570649207816E-9</v>
      </c>
      <c r="BA174" s="134">
        <f t="shared" si="453"/>
        <v>1.8085570649233717E-9</v>
      </c>
      <c r="BB174" s="134">
        <f t="shared" si="453"/>
        <v>1.8085570649207816E-9</v>
      </c>
      <c r="BC174" s="134">
        <f t="shared" si="453"/>
        <v>1.8085570649216603E-9</v>
      </c>
      <c r="BD174" s="134">
        <f t="shared" si="453"/>
        <v>1.8085570649813368E-9</v>
      </c>
      <c r="BE174" s="134">
        <f t="shared" si="453"/>
        <v>1.8085580919196091E-9</v>
      </c>
      <c r="BF174" s="134">
        <f t="shared" si="453"/>
        <v>1.808557083538145E-9</v>
      </c>
      <c r="BG174" s="134">
        <f t="shared" si="453"/>
        <v>1.8085573880440479E-9</v>
      </c>
      <c r="BH174" s="134">
        <f t="shared" si="453"/>
        <v>1.8085568682893859E-9</v>
      </c>
      <c r="BI174" s="134">
        <f t="shared" si="453"/>
        <v>1.8085572805217265E-9</v>
      </c>
      <c r="BJ174" s="134">
        <f t="shared" si="453"/>
        <v>1.8085568683926445E-9</v>
      </c>
      <c r="BK174" s="134">
        <f t="shared" si="453"/>
        <v>1.8085568682795399E-9</v>
      </c>
      <c r="BL174" s="134">
        <f t="shared" si="453"/>
        <v>1.8085568682827868E-9</v>
      </c>
      <c r="BM174" s="134">
        <f t="shared" si="453"/>
        <v>1.8085568682854394E-9</v>
      </c>
      <c r="BN174" s="134">
        <f t="shared" si="453"/>
        <v>1.8085568682888631E-9</v>
      </c>
      <c r="BO174" s="134">
        <f t="shared" si="453"/>
        <v>1.8085570649536647E-9</v>
      </c>
      <c r="BP174" s="134">
        <f t="shared" si="452"/>
        <v>1.8085568682830534E-9</v>
      </c>
      <c r="BQ174" s="134">
        <f t="shared" si="452"/>
        <v>1.80855686828535E-9</v>
      </c>
      <c r="BR174" s="134">
        <f t="shared" si="452"/>
        <v>1.808556868493277E-9</v>
      </c>
      <c r="BS174" s="134">
        <f t="shared" si="452"/>
        <v>1.8085568684534102E-9</v>
      </c>
      <c r="BT174" s="134">
        <f t="shared" si="452"/>
        <v>1.8085568682951534E-9</v>
      </c>
      <c r="BU174" s="134">
        <f t="shared" si="452"/>
        <v>1.8085568682795215E-9</v>
      </c>
      <c r="BV174" s="134">
        <f t="shared" si="452"/>
        <v>1.8085568683427582E-9</v>
      </c>
      <c r="BW174" s="134">
        <f t="shared" si="452"/>
        <v>1.8085568683402289E-9</v>
      </c>
      <c r="BX174" s="134">
        <f t="shared" si="452"/>
        <v>1.8085568682795217E-9</v>
      </c>
      <c r="BY174" s="134">
        <f t="shared" si="452"/>
        <v>1.8085568682795703E-9</v>
      </c>
      <c r="BZ174" s="134">
        <f t="shared" si="452"/>
        <v>1.8085574854332171E-9</v>
      </c>
      <c r="CA174" s="134">
        <f t="shared" si="452"/>
        <v>1.8085570649207814E-9</v>
      </c>
      <c r="CB174" s="134">
        <f t="shared" si="452"/>
        <v>1.8085585986305508E-9</v>
      </c>
      <c r="CC174" s="134">
        <f t="shared" si="452"/>
        <v>1.808557064921342E-9</v>
      </c>
      <c r="CD174" s="134">
        <f t="shared" si="452"/>
        <v>1.8085570649209776E-9</v>
      </c>
      <c r="CE174" s="134">
        <f t="shared" si="452"/>
        <v>1.8085570649207814E-9</v>
      </c>
      <c r="CF174" s="134">
        <f t="shared" si="452"/>
        <v>1.8085572123588052E-9</v>
      </c>
      <c r="CG174" s="134">
        <f t="shared" si="452"/>
        <v>1.8085570728809303E-9</v>
      </c>
      <c r="CH174" s="134">
        <f t="shared" si="452"/>
        <v>1.8085570649207816E-9</v>
      </c>
      <c r="CI174" s="134">
        <f t="shared" si="452"/>
        <v>1.8085570649254678E-9</v>
      </c>
      <c r="CJ174" s="134">
        <f t="shared" si="452"/>
        <v>1.8085575724564135E-9</v>
      </c>
      <c r="CK174" s="134">
        <f t="shared" si="452"/>
        <v>1.8085570653860792E-9</v>
      </c>
      <c r="CL174" s="134">
        <f t="shared" si="452"/>
        <v>1.808557065927083E-9</v>
      </c>
      <c r="CM174" s="134">
        <f t="shared" si="452"/>
        <v>1.8085570659964603E-9</v>
      </c>
      <c r="CN174" s="134">
        <f t="shared" si="452"/>
        <v>1.8085570649207814E-9</v>
      </c>
      <c r="CO174" s="134">
        <f t="shared" si="452"/>
        <v>1.8085570650542873E-9</v>
      </c>
      <c r="CP174" s="134">
        <f t="shared" si="452"/>
        <v>1.8085585752604775E-9</v>
      </c>
      <c r="CQ174" s="134">
        <f t="shared" si="452"/>
        <v>1.8085585485316599E-9</v>
      </c>
      <c r="CR174" s="134">
        <f t="shared" si="452"/>
        <v>1.8085574788864149E-9</v>
      </c>
      <c r="CS174" s="134">
        <f t="shared" si="452"/>
        <v>1.8085587790985418E-9</v>
      </c>
      <c r="CT174" s="134">
        <f t="shared" si="452"/>
        <v>1.8085570649207818E-9</v>
      </c>
      <c r="CU174" s="134">
        <f t="shared" si="452"/>
        <v>1.8085570649207818E-9</v>
      </c>
      <c r="CV174" s="134">
        <f t="shared" si="452"/>
        <v>1.8085570649207814E-9</v>
      </c>
      <c r="CW174" s="134">
        <f t="shared" si="452"/>
        <v>1.8085570665572124E-9</v>
      </c>
      <c r="CX174" s="135">
        <f t="shared" si="452"/>
        <v>3.2461511553477911E-4</v>
      </c>
      <c r="DE174" s="2">
        <f t="shared" si="431"/>
        <v>9</v>
      </c>
      <c r="DF174" s="141" t="e">
        <f t="shared" ca="1" si="445"/>
        <v>#REF!</v>
      </c>
      <c r="DG174" s="142" t="e">
        <f t="shared" ca="1" si="446"/>
        <v>#REF!</v>
      </c>
      <c r="DH174" s="141">
        <f t="shared" si="434"/>
        <v>1.8085568427794222E-9</v>
      </c>
      <c r="DI174" s="142">
        <f t="shared" si="435"/>
        <v>1.023866001840735E-2</v>
      </c>
      <c r="DJ174" s="148" t="e">
        <f t="shared" ca="1" si="447"/>
        <v>#REF!</v>
      </c>
      <c r="DK174" s="149" t="e">
        <f t="shared" ca="1" si="448"/>
        <v>#REF!</v>
      </c>
    </row>
    <row r="175" spans="1:115" x14ac:dyDescent="0.2">
      <c r="A175" s="2" t="s">
        <v>124</v>
      </c>
      <c r="B175" s="161">
        <f t="shared" si="450"/>
        <v>10</v>
      </c>
      <c r="C175" s="133">
        <f t="shared" si="441"/>
        <v>0.26281427567521609</v>
      </c>
      <c r="D175" s="134">
        <f t="shared" si="453"/>
        <v>0.262814275675196</v>
      </c>
      <c r="E175" s="134">
        <f t="shared" si="453"/>
        <v>0.26281427567518323</v>
      </c>
      <c r="F175" s="134">
        <f t="shared" si="453"/>
        <v>0.58528284067452507</v>
      </c>
      <c r="G175" s="134">
        <f t="shared" si="453"/>
        <v>0.38563103976449115</v>
      </c>
      <c r="H175" s="134">
        <f t="shared" si="453"/>
        <v>0.20848334408537342</v>
      </c>
      <c r="I175" s="134">
        <f t="shared" si="453"/>
        <v>0.38563103976396018</v>
      </c>
      <c r="J175" s="134">
        <f t="shared" si="453"/>
        <v>0.26279764055908306</v>
      </c>
      <c r="K175" s="134">
        <f t="shared" si="443"/>
        <v>0.21135119279224826</v>
      </c>
      <c r="L175" s="134">
        <f t="shared" si="443"/>
        <v>0.38563103976471419</v>
      </c>
      <c r="M175" s="134">
        <f t="shared" si="453"/>
        <v>0.21541409288302926</v>
      </c>
      <c r="N175" s="134">
        <f t="shared" si="453"/>
        <v>0.38563103975466745</v>
      </c>
      <c r="O175" s="134">
        <f t="shared" si="453"/>
        <v>0.60507695739459599</v>
      </c>
      <c r="P175" s="134">
        <f t="shared" si="453"/>
        <v>0.60507695739550738</v>
      </c>
      <c r="Q175" s="134">
        <f t="shared" si="453"/>
        <v>0.60507695739485967</v>
      </c>
      <c r="R175" s="134">
        <f t="shared" si="453"/>
        <v>0.60507695739446854</v>
      </c>
      <c r="S175" s="134">
        <f t="shared" si="453"/>
        <v>0.6092975057935921</v>
      </c>
      <c r="T175" s="134">
        <f t="shared" si="453"/>
        <v>0.60929750581005249</v>
      </c>
      <c r="U175" s="134">
        <f t="shared" si="453"/>
        <v>0.2627976405575716</v>
      </c>
      <c r="V175" s="134">
        <f t="shared" si="453"/>
        <v>0.60507695739642464</v>
      </c>
      <c r="W175" s="134">
        <f t="shared" si="453"/>
        <v>0.61553589582216894</v>
      </c>
      <c r="X175" s="134">
        <f t="shared" si="453"/>
        <v>0.60929750580814568</v>
      </c>
      <c r="Y175" s="134">
        <f t="shared" si="453"/>
        <v>0.26281427567523752</v>
      </c>
      <c r="Z175" s="134">
        <f t="shared" si="453"/>
        <v>2.47042140409389E-6</v>
      </c>
      <c r="AA175" s="134">
        <f t="shared" si="453"/>
        <v>8.4196372004515453E-7</v>
      </c>
      <c r="AB175" s="134">
        <f t="shared" si="453"/>
        <v>4.9463367114900374E-7</v>
      </c>
      <c r="AC175" s="134">
        <f t="shared" si="453"/>
        <v>3.4336414826012412E-7</v>
      </c>
      <c r="AD175" s="134">
        <f t="shared" si="453"/>
        <v>2.6591659464318671E-7</v>
      </c>
      <c r="AE175" s="134">
        <f t="shared" si="453"/>
        <v>2.1243370760569855E-7</v>
      </c>
      <c r="AF175" s="134">
        <f t="shared" si="453"/>
        <v>1.7760860337826888E-7</v>
      </c>
      <c r="AG175" s="134">
        <f t="shared" si="453"/>
        <v>1.5743902970454952E-7</v>
      </c>
      <c r="AH175" s="134">
        <f t="shared" si="453"/>
        <v>1.3886760217359258E-7</v>
      </c>
      <c r="AI175" s="134">
        <f t="shared" si="453"/>
        <v>1.2707640094609818E-7</v>
      </c>
      <c r="AJ175" s="134">
        <f t="shared" si="453"/>
        <v>1.1520564038728678E-7</v>
      </c>
      <c r="AK175" s="134">
        <f t="shared" si="453"/>
        <v>1.0872825685837213E-7</v>
      </c>
      <c r="AL175" s="134">
        <f t="shared" si="453"/>
        <v>1.0872825685837212E-7</v>
      </c>
      <c r="AM175" s="134">
        <f t="shared" si="453"/>
        <v>1.0872825685837208E-7</v>
      </c>
      <c r="AN175" s="134">
        <f t="shared" si="453"/>
        <v>1.0872825685837211E-7</v>
      </c>
      <c r="AO175" s="134">
        <f t="shared" si="453"/>
        <v>1.0872825685837211E-7</v>
      </c>
      <c r="AP175" s="134">
        <f t="shared" si="453"/>
        <v>1.0872825685837212E-7</v>
      </c>
      <c r="AQ175" s="134">
        <f t="shared" si="453"/>
        <v>1.0872825839140734E-7</v>
      </c>
      <c r="AR175" s="134">
        <f t="shared" si="453"/>
        <v>1.0872825839140734E-7</v>
      </c>
      <c r="AS175" s="134">
        <f t="shared" si="453"/>
        <v>1.087282702132434E-7</v>
      </c>
      <c r="AT175" s="134">
        <f t="shared" si="453"/>
        <v>1.087282702132441E-7</v>
      </c>
      <c r="AU175" s="134">
        <f t="shared" si="453"/>
        <v>1.0872827021324312E-7</v>
      </c>
      <c r="AV175" s="134">
        <f t="shared" si="453"/>
        <v>1.08728270213244E-7</v>
      </c>
      <c r="AW175" s="134">
        <f t="shared" si="453"/>
        <v>1.087282702132432E-7</v>
      </c>
      <c r="AX175" s="134">
        <f t="shared" si="453"/>
        <v>1.087282702132428E-7</v>
      </c>
      <c r="AY175" s="134">
        <f t="shared" si="453"/>
        <v>1.0872827021324281E-7</v>
      </c>
      <c r="AZ175" s="134">
        <f t="shared" si="453"/>
        <v>1.0872827021324281E-7</v>
      </c>
      <c r="BA175" s="134">
        <f t="shared" si="453"/>
        <v>1.0872827021324542E-7</v>
      </c>
      <c r="BB175" s="134">
        <f t="shared" si="453"/>
        <v>1.087282702132428E-7</v>
      </c>
      <c r="BC175" s="134">
        <f t="shared" si="453"/>
        <v>1.0872827021324321E-7</v>
      </c>
      <c r="BD175" s="134">
        <f t="shared" si="453"/>
        <v>1.0872827021325334E-7</v>
      </c>
      <c r="BE175" s="134">
        <f t="shared" si="453"/>
        <v>1.0872827021324251E-7</v>
      </c>
      <c r="BF175" s="134">
        <f t="shared" si="453"/>
        <v>1.0872827021324247E-7</v>
      </c>
      <c r="BG175" s="134">
        <f t="shared" si="453"/>
        <v>1.0872827021324256E-7</v>
      </c>
      <c r="BH175" s="134">
        <f t="shared" si="453"/>
        <v>1.0872825839140735E-7</v>
      </c>
      <c r="BI175" s="134">
        <f t="shared" si="453"/>
        <v>1.0872827021324396E-7</v>
      </c>
      <c r="BJ175" s="134">
        <f t="shared" si="453"/>
        <v>1.0872825839140735E-7</v>
      </c>
      <c r="BK175" s="134">
        <f t="shared" si="453"/>
        <v>1.0872825839140736E-7</v>
      </c>
      <c r="BL175" s="134">
        <f t="shared" si="453"/>
        <v>1.0872825839140735E-7</v>
      </c>
      <c r="BM175" s="134">
        <f t="shared" si="453"/>
        <v>1.0872825839140735E-7</v>
      </c>
      <c r="BN175" s="134">
        <f t="shared" si="453"/>
        <v>1.0872825839140736E-7</v>
      </c>
      <c r="BO175" s="134">
        <f t="shared" ref="BO175:CX176" si="454">BO126/SUM(BO$117:BO$127)</f>
        <v>1.087282702132428E-7</v>
      </c>
      <c r="BP175" s="134">
        <f t="shared" si="454"/>
        <v>1.0872825839140735E-7</v>
      </c>
      <c r="BQ175" s="134">
        <f t="shared" si="454"/>
        <v>1.0872825839140735E-7</v>
      </c>
      <c r="BR175" s="134">
        <f t="shared" si="454"/>
        <v>1.0872825839140735E-7</v>
      </c>
      <c r="BS175" s="134">
        <f t="shared" si="454"/>
        <v>1.0872825839140735E-7</v>
      </c>
      <c r="BT175" s="134">
        <f t="shared" si="454"/>
        <v>1.0872825839140735E-7</v>
      </c>
      <c r="BU175" s="134">
        <f t="shared" si="454"/>
        <v>1.0872825839140734E-7</v>
      </c>
      <c r="BV175" s="134">
        <f t="shared" si="454"/>
        <v>1.0872825839140736E-7</v>
      </c>
      <c r="BW175" s="134">
        <f t="shared" si="454"/>
        <v>1.0872825839140735E-7</v>
      </c>
      <c r="BX175" s="134">
        <f t="shared" si="454"/>
        <v>1.0872825839140735E-7</v>
      </c>
      <c r="BY175" s="134">
        <f t="shared" si="454"/>
        <v>1.0872825839140736E-7</v>
      </c>
      <c r="BZ175" s="134">
        <f t="shared" si="454"/>
        <v>1.0872827021324279E-7</v>
      </c>
      <c r="CA175" s="134">
        <f t="shared" si="454"/>
        <v>1.0872827021324279E-7</v>
      </c>
      <c r="CB175" s="134">
        <f t="shared" si="454"/>
        <v>1.0872825839140693E-7</v>
      </c>
      <c r="CC175" s="134">
        <f t="shared" si="454"/>
        <v>1.0872827021325893E-7</v>
      </c>
      <c r="CD175" s="134">
        <f t="shared" si="454"/>
        <v>1.0872827021324296E-7</v>
      </c>
      <c r="CE175" s="134">
        <f t="shared" si="454"/>
        <v>1.0872827021551831E-7</v>
      </c>
      <c r="CF175" s="134">
        <f t="shared" si="454"/>
        <v>1.0872825839140732E-7</v>
      </c>
      <c r="CG175" s="134">
        <f t="shared" si="454"/>
        <v>1.0872827021324287E-7</v>
      </c>
      <c r="CH175" s="134">
        <f t="shared" si="454"/>
        <v>1.087282702132428E-7</v>
      </c>
      <c r="CI175" s="134">
        <f t="shared" si="454"/>
        <v>1.087282702132428E-7</v>
      </c>
      <c r="CJ175" s="134">
        <f t="shared" si="454"/>
        <v>1.0872825839140756E-7</v>
      </c>
      <c r="CK175" s="134">
        <f t="shared" si="454"/>
        <v>1.0872827022877446E-7</v>
      </c>
      <c r="CL175" s="134">
        <f t="shared" si="454"/>
        <v>1.087282702132428E-7</v>
      </c>
      <c r="CM175" s="134">
        <f t="shared" si="454"/>
        <v>1.0872827021496389E-7</v>
      </c>
      <c r="CN175" s="134">
        <f t="shared" si="454"/>
        <v>1.0872827022450033E-7</v>
      </c>
      <c r="CO175" s="134">
        <f t="shared" si="454"/>
        <v>1.0872827021324387E-7</v>
      </c>
      <c r="CP175" s="134">
        <f t="shared" si="454"/>
        <v>1.0872827021324269E-7</v>
      </c>
      <c r="CQ175" s="134">
        <f t="shared" si="454"/>
        <v>1.0872827021324297E-7</v>
      </c>
      <c r="CR175" s="134">
        <f t="shared" si="454"/>
        <v>1.087282702132435E-7</v>
      </c>
      <c r="CS175" s="134">
        <f t="shared" si="454"/>
        <v>1.0872827021324238E-7</v>
      </c>
      <c r="CT175" s="134">
        <f t="shared" si="454"/>
        <v>1.0872827021333364E-7</v>
      </c>
      <c r="CU175" s="134">
        <f t="shared" si="454"/>
        <v>1.0872827021324281E-7</v>
      </c>
      <c r="CV175" s="134">
        <f t="shared" si="454"/>
        <v>1.0872827021324279E-7</v>
      </c>
      <c r="CW175" s="134">
        <f t="shared" si="454"/>
        <v>1.0872827021520653E-7</v>
      </c>
      <c r="CX175" s="135">
        <f t="shared" si="454"/>
        <v>1.0878597334864203E-7</v>
      </c>
      <c r="DE175" s="2">
        <f t="shared" si="431"/>
        <v>10</v>
      </c>
      <c r="DF175" s="141" t="e">
        <f t="shared" ca="1" si="445"/>
        <v>#REF!</v>
      </c>
      <c r="DG175" s="142" t="e">
        <f t="shared" ca="1" si="446"/>
        <v>#REF!</v>
      </c>
      <c r="DH175" s="141">
        <f>MIN($C175:$CX175)</f>
        <v>1.0872825685837208E-7</v>
      </c>
      <c r="DI175" s="142">
        <f t="shared" si="435"/>
        <v>0.61553589582216894</v>
      </c>
      <c r="DJ175" s="148" t="e">
        <f t="shared" ca="1" si="447"/>
        <v>#REF!</v>
      </c>
      <c r="DK175" s="149" t="e">
        <f t="shared" ca="1" si="448"/>
        <v>#REF!</v>
      </c>
    </row>
    <row r="176" spans="1:115" x14ac:dyDescent="0.2">
      <c r="A176" s="2" t="s">
        <v>124</v>
      </c>
      <c r="B176" s="162">
        <f>B175+1</f>
        <v>11</v>
      </c>
      <c r="C176" s="136">
        <f t="shared" si="441"/>
        <v>5.176442588631036E-17</v>
      </c>
      <c r="D176" s="137">
        <f t="shared" ref="D176:BO176" si="455">D127/SUM(D$117:D$127)</f>
        <v>5.146722433435668E-15</v>
      </c>
      <c r="E176" s="137">
        <f t="shared" si="455"/>
        <v>0</v>
      </c>
      <c r="F176" s="137">
        <f t="shared" si="455"/>
        <v>1.0353278989874015E-2</v>
      </c>
      <c r="G176" s="137">
        <f t="shared" si="455"/>
        <v>4.4997547016337944E-2</v>
      </c>
      <c r="H176" s="137">
        <f t="shared" si="455"/>
        <v>2.7211689500530828E-16</v>
      </c>
      <c r="I176" s="137">
        <f t="shared" si="455"/>
        <v>4.4997547016431744E-2</v>
      </c>
      <c r="J176" s="137">
        <f t="shared" si="455"/>
        <v>2.530067415223828E-15</v>
      </c>
      <c r="K176" s="137">
        <f t="shared" si="443"/>
        <v>0</v>
      </c>
      <c r="L176" s="137">
        <f t="shared" si="443"/>
        <v>4.4997547016297247E-2</v>
      </c>
      <c r="M176" s="137">
        <f t="shared" si="455"/>
        <v>3.1597528842041944E-15</v>
      </c>
      <c r="N176" s="137">
        <f t="shared" si="455"/>
        <v>4.4997547017608552E-2</v>
      </c>
      <c r="O176" s="137">
        <f t="shared" si="455"/>
        <v>5.9286164745055376E-15</v>
      </c>
      <c r="P176" s="137">
        <f t="shared" si="455"/>
        <v>5.5789820024242226E-15</v>
      </c>
      <c r="Q176" s="137">
        <f t="shared" si="455"/>
        <v>4.5115509498947311E-14</v>
      </c>
      <c r="R176" s="137">
        <f t="shared" si="455"/>
        <v>1.4392367981558532E-13</v>
      </c>
      <c r="S176" s="137">
        <f t="shared" si="455"/>
        <v>5.8129822678871521E-12</v>
      </c>
      <c r="T176" s="137">
        <f t="shared" si="455"/>
        <v>6.3171720001398256E-14</v>
      </c>
      <c r="U176" s="137">
        <f t="shared" si="455"/>
        <v>0</v>
      </c>
      <c r="V176" s="137">
        <f t="shared" si="455"/>
        <v>7.015069981643799E-15</v>
      </c>
      <c r="W176" s="137">
        <f t="shared" si="455"/>
        <v>1.556209106076844E-14</v>
      </c>
      <c r="X176" s="137">
        <f t="shared" si="455"/>
        <v>1.4445932839940355E-12</v>
      </c>
      <c r="Y176" s="137">
        <f t="shared" si="455"/>
        <v>0</v>
      </c>
      <c r="Z176" s="137">
        <f t="shared" si="455"/>
        <v>4.3589444467670383E-3</v>
      </c>
      <c r="AA176" s="137">
        <f t="shared" si="455"/>
        <v>0.12548836081082454</v>
      </c>
      <c r="AB176" s="137">
        <f t="shared" si="455"/>
        <v>0.10494044341137146</v>
      </c>
      <c r="AC176" s="137">
        <f t="shared" si="455"/>
        <v>8.7791128432047408E-2</v>
      </c>
      <c r="AD176" s="137">
        <f t="shared" si="455"/>
        <v>7.1274252777049282E-2</v>
      </c>
      <c r="AE176" s="137">
        <f t="shared" si="455"/>
        <v>4.2139921169858978E-2</v>
      </c>
      <c r="AF176" s="137">
        <f t="shared" si="455"/>
        <v>6.6921888478559302E-2</v>
      </c>
      <c r="AG176" s="137">
        <f t="shared" si="455"/>
        <v>5.7610938561595826E-2</v>
      </c>
      <c r="AH176" s="137">
        <f t="shared" si="455"/>
        <v>7.1565738131584525E-2</v>
      </c>
      <c r="AI176" s="137">
        <f t="shared" si="455"/>
        <v>4.5781207996080361E-2</v>
      </c>
      <c r="AJ176" s="137">
        <f t="shared" si="455"/>
        <v>6.5956175819787147E-2</v>
      </c>
      <c r="AK176" s="137">
        <f t="shared" si="455"/>
        <v>7.2366142719421947E-2</v>
      </c>
      <c r="AL176" s="137">
        <f t="shared" si="455"/>
        <v>7.5700758718097325E-2</v>
      </c>
      <c r="AM176" s="137">
        <f t="shared" si="455"/>
        <v>7.4304659157680725E-2</v>
      </c>
      <c r="AN176" s="137">
        <f t="shared" si="455"/>
        <v>7.8071914498443681E-2</v>
      </c>
      <c r="AO176" s="137">
        <f t="shared" si="455"/>
        <v>8.4443081592211339E-2</v>
      </c>
      <c r="AP176" s="137">
        <f t="shared" si="455"/>
        <v>9.8204237908996767E-2</v>
      </c>
      <c r="AQ176" s="137">
        <f t="shared" si="455"/>
        <v>6.7720666795539897E-2</v>
      </c>
      <c r="AR176" s="137">
        <f t="shared" si="455"/>
        <v>5.9356288328612838E-2</v>
      </c>
      <c r="AS176" s="137">
        <f t="shared" si="455"/>
        <v>2.5558605448291426E-2</v>
      </c>
      <c r="AT176" s="137">
        <f t="shared" si="455"/>
        <v>7.2029059587276679E-21</v>
      </c>
      <c r="AU176" s="137">
        <f t="shared" si="455"/>
        <v>0</v>
      </c>
      <c r="AV176" s="137">
        <f t="shared" si="455"/>
        <v>0</v>
      </c>
      <c r="AW176" s="137">
        <f t="shared" si="455"/>
        <v>8.7503691870049658E-20</v>
      </c>
      <c r="AX176" s="137">
        <f t="shared" si="455"/>
        <v>5.2420758099976885E-19</v>
      </c>
      <c r="AY176" s="137">
        <f t="shared" si="455"/>
        <v>2.8293207390983985E-35</v>
      </c>
      <c r="AZ176" s="137">
        <f t="shared" si="455"/>
        <v>1.1721467098918623E-20</v>
      </c>
      <c r="BA176" s="137">
        <f t="shared" si="455"/>
        <v>6.1010935711624079E-22</v>
      </c>
      <c r="BB176" s="137">
        <f t="shared" si="455"/>
        <v>6.951189436654638E-19</v>
      </c>
      <c r="BC176" s="137">
        <f t="shared" si="455"/>
        <v>6.4488157276706132E-21</v>
      </c>
      <c r="BD176" s="137">
        <f t="shared" si="455"/>
        <v>5.3188462299885392E-20</v>
      </c>
      <c r="BE176" s="137">
        <f t="shared" si="455"/>
        <v>5.2689284985016045E-16</v>
      </c>
      <c r="BF176" s="137">
        <f t="shared" si="455"/>
        <v>1.3317137215867966E-22</v>
      </c>
      <c r="BG176" s="137">
        <f t="shared" si="455"/>
        <v>1.5219112778326088E-16</v>
      </c>
      <c r="BH176" s="137">
        <f t="shared" si="455"/>
        <v>1.6563160231364667E-20</v>
      </c>
      <c r="BI176" s="137">
        <f t="shared" si="455"/>
        <v>1.936864600852996E-18</v>
      </c>
      <c r="BJ176" s="137">
        <f t="shared" si="455"/>
        <v>6.5726180703738848E-20</v>
      </c>
      <c r="BK176" s="137">
        <f t="shared" si="455"/>
        <v>9.0342184797146937E-21</v>
      </c>
      <c r="BL176" s="137">
        <f t="shared" si="455"/>
        <v>7.319141205543584E-20</v>
      </c>
      <c r="BM176" s="137">
        <f t="shared" si="455"/>
        <v>4.6400710042015754E-21</v>
      </c>
      <c r="BN176" s="137">
        <f t="shared" si="455"/>
        <v>7.3232823040148906E-21</v>
      </c>
      <c r="BO176" s="137">
        <f t="shared" si="455"/>
        <v>2.8098094129224682E-18</v>
      </c>
      <c r="BP176" s="137">
        <f t="shared" si="454"/>
        <v>1.3084318261708741E-20</v>
      </c>
      <c r="BQ176" s="137">
        <f t="shared" si="454"/>
        <v>4.0766944451027507E-19</v>
      </c>
      <c r="BR176" s="137">
        <f t="shared" si="454"/>
        <v>4.0004612716245057E-20</v>
      </c>
      <c r="BS176" s="137">
        <f t="shared" si="454"/>
        <v>1.3631110144480992E-19</v>
      </c>
      <c r="BT176" s="137">
        <f t="shared" si="454"/>
        <v>1.2254292523162097E-20</v>
      </c>
      <c r="BU176" s="137">
        <f t="shared" si="454"/>
        <v>0</v>
      </c>
      <c r="BV176" s="137">
        <f t="shared" si="454"/>
        <v>5.6546374700771979E-21</v>
      </c>
      <c r="BW176" s="137">
        <f t="shared" si="454"/>
        <v>4.7588828907405596E-20</v>
      </c>
      <c r="BX176" s="137">
        <f t="shared" si="454"/>
        <v>1.0185010789816551E-18</v>
      </c>
      <c r="BY176" s="137">
        <f t="shared" si="454"/>
        <v>6.4809812970895312E-21</v>
      </c>
      <c r="BZ176" s="137">
        <f t="shared" si="454"/>
        <v>8.0323552131079291E-16</v>
      </c>
      <c r="CA176" s="137">
        <f t="shared" si="454"/>
        <v>3.8124698966329159E-18</v>
      </c>
      <c r="CB176" s="137">
        <f t="shared" si="454"/>
        <v>1.0366201540963569E-15</v>
      </c>
      <c r="CC176" s="137">
        <f t="shared" si="454"/>
        <v>1.1306455537364247E-19</v>
      </c>
      <c r="CD176" s="137">
        <f t="shared" si="454"/>
        <v>4.8240081445430559E-21</v>
      </c>
      <c r="CE176" s="137">
        <f t="shared" si="454"/>
        <v>2.5315181505702828E-17</v>
      </c>
      <c r="CF176" s="137">
        <f t="shared" si="454"/>
        <v>2.866900614844977E-16</v>
      </c>
      <c r="CG176" s="137">
        <f t="shared" si="454"/>
        <v>4.6093108689769143E-20</v>
      </c>
      <c r="CH176" s="137">
        <f t="shared" si="454"/>
        <v>6.308250686705967E-17</v>
      </c>
      <c r="CI176" s="137">
        <f t="shared" si="454"/>
        <v>5.1040539044466242E-20</v>
      </c>
      <c r="CJ176" s="137">
        <f t="shared" si="454"/>
        <v>3.8993107512538911E-16</v>
      </c>
      <c r="CK176" s="137">
        <f t="shared" si="454"/>
        <v>0</v>
      </c>
      <c r="CL176" s="137">
        <f t="shared" si="454"/>
        <v>0</v>
      </c>
      <c r="CM176" s="137">
        <f t="shared" si="454"/>
        <v>1.8286550445167638E-18</v>
      </c>
      <c r="CN176" s="137">
        <f t="shared" si="454"/>
        <v>2.4766585318118956E-17</v>
      </c>
      <c r="CO176" s="137">
        <f t="shared" si="454"/>
        <v>6.1898170892698649E-19</v>
      </c>
      <c r="CP176" s="137">
        <f t="shared" si="454"/>
        <v>0</v>
      </c>
      <c r="CQ176" s="137">
        <f t="shared" si="454"/>
        <v>1.4476082485435414E-19</v>
      </c>
      <c r="CR176" s="137">
        <f t="shared" si="454"/>
        <v>2.5341132520141219E-15</v>
      </c>
      <c r="CS176" s="137">
        <f t="shared" si="454"/>
        <v>8.8187618026501254E-16</v>
      </c>
      <c r="CT176" s="137">
        <f t="shared" si="454"/>
        <v>0</v>
      </c>
      <c r="CU176" s="137">
        <f t="shared" si="454"/>
        <v>0</v>
      </c>
      <c r="CV176" s="137">
        <f t="shared" si="454"/>
        <v>3.3429153365469959E-27</v>
      </c>
      <c r="CW176" s="137">
        <f t="shared" si="454"/>
        <v>2.6182893720363953E-18</v>
      </c>
      <c r="CX176" s="138">
        <f t="shared" si="454"/>
        <v>3.6746776509454101E-4</v>
      </c>
      <c r="DE176" s="2">
        <f t="shared" si="431"/>
        <v>11</v>
      </c>
      <c r="DF176" s="143" t="e">
        <f t="shared" ca="1" si="445"/>
        <v>#REF!</v>
      </c>
      <c r="DG176" s="144" t="e">
        <f t="shared" ca="1" si="446"/>
        <v>#REF!</v>
      </c>
      <c r="DH176" s="143">
        <f>MIN($C176:$CX176)</f>
        <v>0</v>
      </c>
      <c r="DI176" s="144">
        <f t="shared" si="435"/>
        <v>0.12548836081082454</v>
      </c>
      <c r="DJ176" s="150" t="e">
        <f t="shared" ca="1" si="447"/>
        <v>#REF!</v>
      </c>
      <c r="DK176" s="151" t="e">
        <f t="shared" ca="1" si="448"/>
        <v>#REF!</v>
      </c>
    </row>
    <row r="177" spans="1:102" x14ac:dyDescent="0.2">
      <c r="B177" s="2"/>
    </row>
    <row r="178" spans="1:102" x14ac:dyDescent="0.2">
      <c r="B178" s="2"/>
    </row>
    <row r="180" spans="1:102" x14ac:dyDescent="0.2">
      <c r="A180" s="1" t="s">
        <v>136</v>
      </c>
      <c r="B180" s="1" t="s">
        <v>131</v>
      </c>
      <c r="C180" s="4">
        <f t="shared" ref="C180:AH180" ca="1" si="456">SUM(OFFSET(C$107,0,0,_num_assets,1))</f>
        <v>1.0000000057588037</v>
      </c>
      <c r="D180" s="4">
        <f t="shared" ca="1" si="456"/>
        <v>1.0000000057588041</v>
      </c>
      <c r="E180" s="4">
        <f t="shared" ca="1" si="456"/>
        <v>1.0000000057588039</v>
      </c>
      <c r="F180" s="4">
        <f t="shared" ca="1" si="456"/>
        <v>1.0000000096807087</v>
      </c>
      <c r="G180" s="4">
        <f t="shared" ca="1" si="456"/>
        <v>1.0000000122535637</v>
      </c>
      <c r="H180" s="4">
        <f t="shared" ca="1" si="456"/>
        <v>1.0000000114046168</v>
      </c>
      <c r="I180" s="4">
        <f t="shared" ca="1" si="456"/>
        <v>1.0000000119589134</v>
      </c>
      <c r="J180" s="4">
        <f t="shared" ca="1" si="456"/>
        <v>1.0000000056725378</v>
      </c>
      <c r="K180" s="4">
        <f ca="1">SUM(OFFSET(K$107,0,0,_num_assets,1))</f>
        <v>1.0000000110282847</v>
      </c>
      <c r="L180" s="4">
        <f ca="1">SUM(OFFSET(L$107,0,0,_num_assets,1))</f>
        <v>1.0000000119589132</v>
      </c>
      <c r="M180" s="4">
        <f t="shared" ca="1" si="456"/>
        <v>1.0000000105122864</v>
      </c>
      <c r="N180" s="4">
        <f t="shared" ca="1" si="456"/>
        <v>1.0000000117837189</v>
      </c>
      <c r="O180" s="4">
        <f t="shared" ca="1" si="456"/>
        <v>1.0000000094450654</v>
      </c>
      <c r="P180" s="4">
        <f t="shared" ca="1" si="456"/>
        <v>1.000000009445065</v>
      </c>
      <c r="Q180" s="4">
        <f t="shared" ca="1" si="456"/>
        <v>1.000000009445065</v>
      </c>
      <c r="R180" s="4">
        <f t="shared" ca="1" si="456"/>
        <v>1.0000000094450652</v>
      </c>
      <c r="S180" s="4">
        <f t="shared" ca="1" si="456"/>
        <v>1.000000009378871</v>
      </c>
      <c r="T180" s="4">
        <f t="shared" ca="1" si="456"/>
        <v>1.000000009378871</v>
      </c>
      <c r="U180" s="4">
        <f t="shared" ca="1" si="456"/>
        <v>1.000000005672538</v>
      </c>
      <c r="V180" s="4">
        <f t="shared" ca="1" si="456"/>
        <v>1.0000000094450647</v>
      </c>
      <c r="W180" s="4">
        <f t="shared" ca="1" si="456"/>
        <v>1.0000000092826917</v>
      </c>
      <c r="X180" s="4">
        <f t="shared" ca="1" si="456"/>
        <v>1.0000000093788399</v>
      </c>
      <c r="Y180" s="4">
        <f t="shared" ca="1" si="456"/>
        <v>1.0000000056711142</v>
      </c>
      <c r="Z180" s="4">
        <f t="shared" ca="1" si="456"/>
        <v>1.0000000056711167</v>
      </c>
      <c r="AA180" s="4">
        <f t="shared" ca="1" si="456"/>
        <v>1.0000000056711171</v>
      </c>
      <c r="AB180" s="4">
        <f t="shared" ca="1" si="456"/>
        <v>1.0000000056711167</v>
      </c>
      <c r="AC180" s="4">
        <f t="shared" ca="1" si="456"/>
        <v>1.0000000056711169</v>
      </c>
      <c r="AD180" s="4">
        <f t="shared" ca="1" si="456"/>
        <v>1.0000000056711167</v>
      </c>
      <c r="AE180" s="4">
        <f t="shared" ca="1" si="456"/>
        <v>1.0000000056711167</v>
      </c>
      <c r="AF180" s="4">
        <f t="shared" ca="1" si="456"/>
        <v>1.0000000056711169</v>
      </c>
      <c r="AG180" s="4">
        <f t="shared" ca="1" si="456"/>
        <v>1.0000000056711169</v>
      </c>
      <c r="AH180" s="4">
        <f t="shared" ca="1" si="456"/>
        <v>1.0000000056711167</v>
      </c>
      <c r="AI180" s="4">
        <f t="shared" ref="AI180:BN180" ca="1" si="457">SUM(OFFSET(AI$107,0,0,_num_assets,1))</f>
        <v>1.0000000056711169</v>
      </c>
      <c r="AJ180" s="4">
        <f t="shared" ca="1" si="457"/>
        <v>1.0000000056711169</v>
      </c>
      <c r="AK180" s="4">
        <f t="shared" ca="1" si="457"/>
        <v>1.0000000056711167</v>
      </c>
      <c r="AL180" s="4">
        <f t="shared" ca="1" si="457"/>
        <v>1.0000000056711169</v>
      </c>
      <c r="AM180" s="4">
        <f t="shared" ca="1" si="457"/>
        <v>1.0000000056711171</v>
      </c>
      <c r="AN180" s="4">
        <f t="shared" ca="1" si="457"/>
        <v>1.0000000056711171</v>
      </c>
      <c r="AO180" s="4">
        <f t="shared" ca="1" si="457"/>
        <v>1.0000000056711169</v>
      </c>
      <c r="AP180" s="4">
        <f t="shared" ca="1" si="457"/>
        <v>1.0000000056711169</v>
      </c>
      <c r="AQ180" s="4">
        <f t="shared" ca="1" si="457"/>
        <v>1.0000000056711169</v>
      </c>
      <c r="AR180" s="4">
        <f t="shared" ca="1" si="457"/>
        <v>1.0000000056711167</v>
      </c>
      <c r="AS180" s="4">
        <f t="shared" ca="1" si="457"/>
        <v>0.99999999988894483</v>
      </c>
      <c r="AT180" s="4">
        <f t="shared" ca="1" si="457"/>
        <v>0.99999999988894506</v>
      </c>
      <c r="AU180" s="4">
        <f t="shared" ca="1" si="457"/>
        <v>0.99999999988894506</v>
      </c>
      <c r="AV180" s="4">
        <f t="shared" ca="1" si="457"/>
        <v>0.99999999988894506</v>
      </c>
      <c r="AW180" s="4">
        <f t="shared" ca="1" si="457"/>
        <v>0.99999999988894495</v>
      </c>
      <c r="AX180" s="4">
        <f t="shared" ca="1" si="457"/>
        <v>0.99999999988894472</v>
      </c>
      <c r="AY180" s="4">
        <f t="shared" ca="1" si="457"/>
        <v>0.9999999998889445</v>
      </c>
      <c r="AZ180" s="4">
        <f t="shared" ca="1" si="457"/>
        <v>0.99999999972807563</v>
      </c>
      <c r="BA180" s="4">
        <f t="shared" ca="1" si="457"/>
        <v>0.9999999997280753</v>
      </c>
      <c r="BB180" s="4">
        <f t="shared" ca="1" si="457"/>
        <v>0.99999999972807563</v>
      </c>
      <c r="BC180" s="4">
        <f t="shared" ca="1" si="457"/>
        <v>0.9999999997280753</v>
      </c>
      <c r="BD180" s="4">
        <f t="shared" ca="1" si="457"/>
        <v>0.99999999972807518</v>
      </c>
      <c r="BE180" s="4">
        <f t="shared" ca="1" si="457"/>
        <v>0.9999999997280753</v>
      </c>
      <c r="BF180" s="4">
        <f t="shared" ca="1" si="457"/>
        <v>0.99999999972807441</v>
      </c>
      <c r="BG180" s="4">
        <f t="shared" ca="1" si="457"/>
        <v>0.99999999972807507</v>
      </c>
      <c r="BH180" s="4">
        <f t="shared" ca="1" si="457"/>
        <v>1.0000000055102449</v>
      </c>
      <c r="BI180" s="4">
        <f t="shared" ca="1" si="457"/>
        <v>0.99999999972807541</v>
      </c>
      <c r="BJ180" s="4">
        <f t="shared" ca="1" si="457"/>
        <v>1.0000000055102447</v>
      </c>
      <c r="BK180" s="4">
        <f t="shared" ca="1" si="457"/>
        <v>1.0000000055102447</v>
      </c>
      <c r="BL180" s="4">
        <f t="shared" ca="1" si="457"/>
        <v>1.0000000055102449</v>
      </c>
      <c r="BM180" s="4">
        <f t="shared" ca="1" si="457"/>
        <v>1.0000000055102451</v>
      </c>
      <c r="BN180" s="4">
        <f t="shared" ca="1" si="457"/>
        <v>1.0000000055102445</v>
      </c>
      <c r="BO180" s="4">
        <f t="shared" ref="BO180:CX180" ca="1" si="458">SUM(OFFSET(BO$107,0,0,_num_assets,1))</f>
        <v>0.99999999972807574</v>
      </c>
      <c r="BP180" s="4">
        <f t="shared" ca="1" si="458"/>
        <v>1.0000000055102447</v>
      </c>
      <c r="BQ180" s="4">
        <f t="shared" ca="1" si="458"/>
        <v>1.0000000055102447</v>
      </c>
      <c r="BR180" s="4">
        <f t="shared" ca="1" si="458"/>
        <v>1.0000000055102451</v>
      </c>
      <c r="BS180" s="4">
        <f t="shared" ca="1" si="458"/>
        <v>1.0000000055102449</v>
      </c>
      <c r="BT180" s="4">
        <f t="shared" ca="1" si="458"/>
        <v>1.0000000055102449</v>
      </c>
      <c r="BU180" s="4">
        <f t="shared" ca="1" si="458"/>
        <v>1.0000000055102447</v>
      </c>
      <c r="BV180" s="4">
        <f t="shared" ca="1" si="458"/>
        <v>1.0000000055102449</v>
      </c>
      <c r="BW180" s="4">
        <f t="shared" ca="1" si="458"/>
        <v>1.0000000055102447</v>
      </c>
      <c r="BX180" s="4">
        <f t="shared" ca="1" si="458"/>
        <v>1.0000000055102447</v>
      </c>
      <c r="BY180" s="4">
        <f t="shared" ca="1" si="458"/>
        <v>1.0000000055102449</v>
      </c>
      <c r="BZ180" s="4">
        <f t="shared" ca="1" si="458"/>
        <v>0.99999999972807541</v>
      </c>
      <c r="CA180" s="4">
        <f t="shared" ca="1" si="458"/>
        <v>0.9999999997280753</v>
      </c>
      <c r="CB180" s="4">
        <f t="shared" ca="1" si="458"/>
        <v>1.0000000055102447</v>
      </c>
      <c r="CC180" s="4">
        <f t="shared" ca="1" si="458"/>
        <v>0.99999999972807518</v>
      </c>
      <c r="CD180" s="4">
        <f t="shared" ca="1" si="458"/>
        <v>0.99999999972807563</v>
      </c>
      <c r="CE180" s="4">
        <f t="shared" ca="1" si="458"/>
        <v>0.99999999972807574</v>
      </c>
      <c r="CF180" s="4">
        <f t="shared" ca="1" si="458"/>
        <v>1.0000000055102445</v>
      </c>
      <c r="CG180" s="4">
        <f t="shared" ca="1" si="458"/>
        <v>0.99999999972807563</v>
      </c>
      <c r="CH180" s="4">
        <f t="shared" ca="1" si="458"/>
        <v>0.99999999972807518</v>
      </c>
      <c r="CI180" s="4">
        <f t="shared" ca="1" si="458"/>
        <v>0.99999999972807552</v>
      </c>
      <c r="CJ180" s="4">
        <f t="shared" ca="1" si="458"/>
        <v>1.000000005510244</v>
      </c>
      <c r="CK180" s="4">
        <f t="shared" ca="1" si="458"/>
        <v>0.99999999972807552</v>
      </c>
      <c r="CL180" s="4">
        <f t="shared" ca="1" si="458"/>
        <v>0.99999999972807574</v>
      </c>
      <c r="CM180" s="4">
        <f t="shared" ca="1" si="458"/>
        <v>0.99999999972807518</v>
      </c>
      <c r="CN180" s="4">
        <f t="shared" ca="1" si="458"/>
        <v>0.99999999972807552</v>
      </c>
      <c r="CO180" s="4">
        <f t="shared" ca="1" si="458"/>
        <v>0.9999999997280753</v>
      </c>
      <c r="CP180" s="4">
        <f t="shared" ca="1" si="458"/>
        <v>0.99999999972807463</v>
      </c>
      <c r="CQ180" s="4">
        <f t="shared" ca="1" si="458"/>
        <v>0.9999999997280753</v>
      </c>
      <c r="CR180" s="4">
        <f t="shared" ca="1" si="458"/>
        <v>0.99999999972807507</v>
      </c>
      <c r="CS180" s="4">
        <f t="shared" ca="1" si="458"/>
        <v>0.99999999972807685</v>
      </c>
      <c r="CT180" s="4">
        <f t="shared" ca="1" si="458"/>
        <v>0.99999999972807552</v>
      </c>
      <c r="CU180" s="4">
        <f t="shared" ca="1" si="458"/>
        <v>0.99999999972807518</v>
      </c>
      <c r="CV180" s="4">
        <f t="shared" ca="1" si="458"/>
        <v>0.99999999972807552</v>
      </c>
      <c r="CW180" s="4">
        <f t="shared" ca="1" si="458"/>
        <v>0.99999999972807518</v>
      </c>
      <c r="CX180" s="4">
        <f t="shared" ca="1" si="458"/>
        <v>0.99999999989848709</v>
      </c>
    </row>
    <row r="181" spans="1:102" x14ac:dyDescent="0.2">
      <c r="B181" s="51" t="s">
        <v>130</v>
      </c>
      <c r="C181" s="4">
        <f t="shared" ref="C181:AH181" ca="1" si="459">SUMPRODUCT(model_TR_assets,OFFSET(C$107,0,0,_num_assets,1))</f>
        <v>6.269120825881444E-2</v>
      </c>
      <c r="D181" s="4">
        <f t="shared" ca="1" si="459"/>
        <v>6.2957370136984048E-2</v>
      </c>
      <c r="E181" s="4">
        <f t="shared" ca="1" si="459"/>
        <v>6.3215750791342146E-2</v>
      </c>
      <c r="F181" s="4">
        <f t="shared" ca="1" si="459"/>
        <v>6.3485932379287055E-2</v>
      </c>
      <c r="G181" s="4">
        <f t="shared" ca="1" si="459"/>
        <v>6.3747494903395388E-2</v>
      </c>
      <c r="H181" s="4">
        <f t="shared" ca="1" si="459"/>
        <v>6.4017476682978802E-2</v>
      </c>
      <c r="I181" s="4">
        <f t="shared" ca="1" si="459"/>
        <v>6.4281230824925123E-2</v>
      </c>
      <c r="J181" s="4">
        <f t="shared" ca="1" si="459"/>
        <v>6.4535117945612105E-2</v>
      </c>
      <c r="K181" s="4">
        <f ca="1">SUMPRODUCT(model_TR_assets,OFFSET(K$107,0,0,_num_assets,1))</f>
        <v>6.4792544353745513E-2</v>
      </c>
      <c r="L181" s="4">
        <f ca="1">SUMPRODUCT(model_TR_assets,OFFSET(L$107,0,0,_num_assets,1))</f>
        <v>6.5050552499815881E-2</v>
      </c>
      <c r="M181" s="4">
        <f t="shared" ca="1" si="459"/>
        <v>6.5307039488195814E-2</v>
      </c>
      <c r="N181" s="4">
        <f t="shared" ca="1" si="459"/>
        <v>6.5566102291870168E-2</v>
      </c>
      <c r="O181" s="4">
        <f t="shared" ca="1" si="459"/>
        <v>6.5821310815970993E-2</v>
      </c>
      <c r="P181" s="4">
        <f t="shared" ca="1" si="459"/>
        <v>6.6080400259753314E-2</v>
      </c>
      <c r="Q181" s="4">
        <f t="shared" ca="1" si="459"/>
        <v>6.6337997239742402E-2</v>
      </c>
      <c r="R181" s="4">
        <f t="shared" ca="1" si="459"/>
        <v>6.6592224105909592E-2</v>
      </c>
      <c r="S181" s="4">
        <f t="shared" ca="1" si="459"/>
        <v>6.6853724215835256E-2</v>
      </c>
      <c r="T181" s="4">
        <f t="shared" ca="1" si="459"/>
        <v>6.7117646180335069E-2</v>
      </c>
      <c r="U181" s="4">
        <f t="shared" ca="1" si="459"/>
        <v>6.7380257399044505E-2</v>
      </c>
      <c r="V181" s="4">
        <f t="shared" ca="1" si="459"/>
        <v>6.7643692511337825E-2</v>
      </c>
      <c r="W181" s="4">
        <f t="shared" ca="1" si="459"/>
        <v>6.790397048995557E-2</v>
      </c>
      <c r="X181" s="4">
        <f t="shared" ca="1" si="459"/>
        <v>6.8193695617003877E-2</v>
      </c>
      <c r="Y181" s="4">
        <f t="shared" ca="1" si="459"/>
        <v>6.8540476303192543E-2</v>
      </c>
      <c r="Z181" s="4">
        <f t="shared" ca="1" si="459"/>
        <v>6.8854709830159483E-2</v>
      </c>
      <c r="AA181" s="4">
        <f t="shared" ca="1" si="459"/>
        <v>6.9137727152818282E-2</v>
      </c>
      <c r="AB181" s="4">
        <f t="shared" ca="1" si="459"/>
        <v>6.9421672152337036E-2</v>
      </c>
      <c r="AC181" s="4">
        <f t="shared" ca="1" si="459"/>
        <v>6.969704812422281E-2</v>
      </c>
      <c r="AD181" s="4">
        <f t="shared" ca="1" si="459"/>
        <v>6.9974870933629071E-2</v>
      </c>
      <c r="AE181" s="4">
        <f t="shared" ca="1" si="459"/>
        <v>7.0237619012805272E-2</v>
      </c>
      <c r="AF181" s="4">
        <f t="shared" ca="1" si="459"/>
        <v>7.0510603820068518E-2</v>
      </c>
      <c r="AG181" s="4">
        <f t="shared" ca="1" si="459"/>
        <v>7.0793939416146395E-2</v>
      </c>
      <c r="AH181" s="4">
        <f t="shared" ca="1" si="459"/>
        <v>7.1075881742778624E-2</v>
      </c>
      <c r="AI181" s="4">
        <f t="shared" ref="AI181:BN181" ca="1" si="460">SUMPRODUCT(model_TR_assets,OFFSET(AI$107,0,0,_num_assets,1))</f>
        <v>7.1359779833766193E-2</v>
      </c>
      <c r="AJ181" s="4">
        <f t="shared" ca="1" si="460"/>
        <v>7.1646238815221766E-2</v>
      </c>
      <c r="AK181" s="4">
        <f t="shared" ca="1" si="460"/>
        <v>7.1939770221105911E-2</v>
      </c>
      <c r="AL181" s="4">
        <f t="shared" ca="1" si="460"/>
        <v>7.2204299359580212E-2</v>
      </c>
      <c r="AM181" s="4">
        <f t="shared" ca="1" si="460"/>
        <v>7.2461573871410861E-2</v>
      </c>
      <c r="AN181" s="4">
        <f t="shared" ca="1" si="460"/>
        <v>7.2737460996441558E-2</v>
      </c>
      <c r="AO181" s="4">
        <f t="shared" ca="1" si="460"/>
        <v>7.3031735344499207E-2</v>
      </c>
      <c r="AP181" s="4">
        <f t="shared" ca="1" si="460"/>
        <v>7.3293848654340868E-2</v>
      </c>
      <c r="AQ181" s="4">
        <f t="shared" ca="1" si="460"/>
        <v>7.3600160086241054E-2</v>
      </c>
      <c r="AR181" s="4">
        <f t="shared" ca="1" si="460"/>
        <v>7.3910505395788195E-2</v>
      </c>
      <c r="AS181" s="4">
        <f t="shared" ca="1" si="460"/>
        <v>7.4215139717483267E-2</v>
      </c>
      <c r="AT181" s="4">
        <f t="shared" ca="1" si="460"/>
        <v>7.4532628414589241E-2</v>
      </c>
      <c r="AU181" s="4">
        <f t="shared" ca="1" si="460"/>
        <v>7.4861701607722264E-2</v>
      </c>
      <c r="AV181" s="4">
        <f t="shared" ca="1" si="460"/>
        <v>7.5180936866060422E-2</v>
      </c>
      <c r="AW181" s="4">
        <f t="shared" ca="1" si="460"/>
        <v>7.5521907477885383E-2</v>
      </c>
      <c r="AX181" s="4">
        <f t="shared" ca="1" si="460"/>
        <v>7.5859665445161498E-2</v>
      </c>
      <c r="AY181" s="4">
        <f t="shared" ca="1" si="460"/>
        <v>7.6200515297904087E-2</v>
      </c>
      <c r="AZ181" s="4">
        <f t="shared" ca="1" si="460"/>
        <v>7.6542242089414167E-2</v>
      </c>
      <c r="BA181" s="4">
        <f t="shared" ca="1" si="460"/>
        <v>7.6871045982027111E-2</v>
      </c>
      <c r="BB181" s="4">
        <f t="shared" ca="1" si="460"/>
        <v>7.7220075568759663E-2</v>
      </c>
      <c r="BC181" s="4">
        <f t="shared" ca="1" si="460"/>
        <v>7.7567745721038625E-2</v>
      </c>
      <c r="BD181" s="4">
        <f t="shared" ca="1" si="460"/>
        <v>7.7915060399000036E-2</v>
      </c>
      <c r="BE181" s="4">
        <f t="shared" ca="1" si="460"/>
        <v>7.8261701751489623E-2</v>
      </c>
      <c r="BF181" s="4">
        <f t="shared" ca="1" si="460"/>
        <v>7.8600317925598642E-2</v>
      </c>
      <c r="BG181" s="4">
        <f t="shared" ca="1" si="460"/>
        <v>7.8941746695683199E-2</v>
      </c>
      <c r="BH181" s="4">
        <f t="shared" ca="1" si="460"/>
        <v>7.9279772132226506E-2</v>
      </c>
      <c r="BI181" s="4">
        <f t="shared" ca="1" si="460"/>
        <v>7.9628540722965865E-2</v>
      </c>
      <c r="BJ181" s="4">
        <f t="shared" ca="1" si="460"/>
        <v>7.9976694426610401E-2</v>
      </c>
      <c r="BK181" s="4">
        <f t="shared" ca="1" si="460"/>
        <v>8.0330202295227651E-2</v>
      </c>
      <c r="BL181" s="4">
        <f t="shared" ca="1" si="460"/>
        <v>8.0669166489125962E-2</v>
      </c>
      <c r="BM181" s="4">
        <f t="shared" ca="1" si="460"/>
        <v>8.1011003872556928E-2</v>
      </c>
      <c r="BN181" s="4">
        <f t="shared" ca="1" si="460"/>
        <v>8.1359252076718194E-2</v>
      </c>
      <c r="BO181" s="4">
        <f t="shared" ref="BO181:CX181" ca="1" si="461">SUMPRODUCT(model_TR_assets,OFFSET(BO$107,0,0,_num_assets,1))</f>
        <v>8.1712156946792486E-2</v>
      </c>
      <c r="BP181" s="4">
        <f t="shared" ca="1" si="461"/>
        <v>8.2055551076191807E-2</v>
      </c>
      <c r="BQ181" s="4">
        <f t="shared" ca="1" si="461"/>
        <v>8.2402801701809858E-2</v>
      </c>
      <c r="BR181" s="4">
        <f t="shared" ca="1" si="461"/>
        <v>8.2744530946177647E-2</v>
      </c>
      <c r="BS181" s="4">
        <f t="shared" ca="1" si="461"/>
        <v>8.3086762084146185E-2</v>
      </c>
      <c r="BT181" s="4">
        <f t="shared" ca="1" si="461"/>
        <v>8.3431775717861381E-2</v>
      </c>
      <c r="BU181" s="4">
        <f t="shared" ca="1" si="461"/>
        <v>8.3768852031017721E-2</v>
      </c>
      <c r="BV181" s="4">
        <f t="shared" ca="1" si="461"/>
        <v>8.4107625398627095E-2</v>
      </c>
      <c r="BW181" s="4">
        <f t="shared" ca="1" si="461"/>
        <v>8.4450343613101927E-2</v>
      </c>
      <c r="BX181" s="4">
        <f t="shared" ca="1" si="461"/>
        <v>8.4796149247646543E-2</v>
      </c>
      <c r="BY181" s="4">
        <f t="shared" ca="1" si="461"/>
        <v>8.5137768038669223E-2</v>
      </c>
      <c r="BZ181" s="4">
        <f t="shared" ca="1" si="461"/>
        <v>8.5477561060100835E-2</v>
      </c>
      <c r="CA181" s="4">
        <f t="shared" ca="1" si="461"/>
        <v>8.5818125060391395E-2</v>
      </c>
      <c r="CB181" s="4">
        <f t="shared" ca="1" si="461"/>
        <v>8.6160343809937659E-2</v>
      </c>
      <c r="CC181" s="4">
        <f t="shared" ca="1" si="461"/>
        <v>8.6506092068013754E-2</v>
      </c>
      <c r="CD181" s="4">
        <f t="shared" ca="1" si="461"/>
        <v>8.6857313579390139E-2</v>
      </c>
      <c r="CE181" s="4">
        <f t="shared" ca="1" si="461"/>
        <v>8.7203852183569477E-2</v>
      </c>
      <c r="CF181" s="4">
        <f t="shared" ca="1" si="461"/>
        <v>8.7545610333469415E-2</v>
      </c>
      <c r="CG181" s="4">
        <f t="shared" ca="1" si="461"/>
        <v>8.7892742611445154E-2</v>
      </c>
      <c r="CH181" s="4">
        <f t="shared" ca="1" si="461"/>
        <v>8.8172604591395365E-2</v>
      </c>
      <c r="CI181" s="4">
        <f t="shared" ca="1" si="461"/>
        <v>8.8458323190256205E-2</v>
      </c>
      <c r="CJ181" s="4">
        <f t="shared" ca="1" si="461"/>
        <v>8.8765183554058033E-2</v>
      </c>
      <c r="CK181" s="4">
        <f t="shared" ca="1" si="461"/>
        <v>8.9032892999670973E-2</v>
      </c>
      <c r="CL181" s="4">
        <f t="shared" ca="1" si="461"/>
        <v>8.9289870950681485E-2</v>
      </c>
      <c r="CM181" s="4">
        <f t="shared" ca="1" si="461"/>
        <v>8.9601472567154103E-2</v>
      </c>
      <c r="CN181" s="4">
        <f t="shared" ca="1" si="461"/>
        <v>8.9836587910241572E-2</v>
      </c>
      <c r="CO181" s="4">
        <f t="shared" ca="1" si="461"/>
        <v>9.0140116045103649E-2</v>
      </c>
      <c r="CP181" s="4">
        <f t="shared" ca="1" si="461"/>
        <v>9.0502675645071945E-2</v>
      </c>
      <c r="CQ181" s="4">
        <f t="shared" ca="1" si="461"/>
        <v>9.0841337295431576E-2</v>
      </c>
      <c r="CR181" s="4">
        <f t="shared" ca="1" si="461"/>
        <v>9.1189029119841572E-2</v>
      </c>
      <c r="CS181" s="4">
        <f t="shared" ca="1" si="461"/>
        <v>9.142414446292918E-2</v>
      </c>
      <c r="CT181" s="4">
        <f t="shared" ca="1" si="461"/>
        <v>9.165925980601651E-2</v>
      </c>
      <c r="CU181" s="4">
        <f t="shared" ca="1" si="461"/>
        <v>9.1894375149103966E-2</v>
      </c>
      <c r="CV181" s="4">
        <f t="shared" ca="1" si="461"/>
        <v>9.2129490492191421E-2</v>
      </c>
      <c r="CW181" s="4">
        <f t="shared" ca="1" si="461"/>
        <v>9.2364605835278862E-2</v>
      </c>
      <c r="CX181" s="4">
        <f t="shared" ca="1" si="461"/>
        <v>9.2746542256596731E-2</v>
      </c>
    </row>
    <row r="182" spans="1:102" x14ac:dyDescent="0.2">
      <c r="B182" s="51" t="s">
        <v>53</v>
      </c>
      <c r="C182" s="4">
        <f t="array" aca="1" ref="C182" ca="1">SQRT(MMULT(TRANSPOSE(OFFSET(C$107,0,0,_num_assets,1)),MMULT(inp_covar_assets,OFFSET(C$107,0,0,_num_assets,1))))</f>
        <v>3.9849229162447361E-2</v>
      </c>
      <c r="D182" s="4">
        <f t="array" aca="1" ref="D182" ca="1">SQRT(MMULT(TRANSPOSE(OFFSET(D$107,0,0,_num_assets,1)),MMULT(inp_covar_assets,OFFSET(D$107,0,0,_num_assets,1))))</f>
        <v>4.0053496700644016E-2</v>
      </c>
      <c r="E182" s="4">
        <f t="array" aca="1" ref="E182" ca="1">SQRT(MMULT(TRANSPOSE(OFFSET(E$107,0,0,_num_assets,1)),MMULT(inp_covar_assets,OFFSET(E$107,0,0,_num_assets,1))))</f>
        <v>4.0256435962284391E-2</v>
      </c>
      <c r="F182" s="4">
        <f t="array" aca="1" ref="F182" ca="1">SQRT(MMULT(TRANSPOSE(OFFSET(F$107,0,0,_num_assets,1)),MMULT(inp_covar_assets,OFFSET(F$107,0,0,_num_assets,1))))</f>
        <v>4.039757258855451E-2</v>
      </c>
      <c r="G182" s="4">
        <f t="array" aca="1" ref="G182" ca="1">SQRT(MMULT(TRANSPOSE(OFFSET(G$107,0,0,_num_assets,1)),MMULT(inp_covar_assets,OFFSET(G$107,0,0,_num_assets,1))))</f>
        <v>4.0608904912413216E-2</v>
      </c>
      <c r="H182" s="4">
        <f t="array" aca="1" ref="H182" ca="1">SQRT(MMULT(TRANSPOSE(OFFSET(H$107,0,0,_num_assets,1)),MMULT(inp_covar_assets,OFFSET(H$107,0,0,_num_assets,1))))</f>
        <v>4.0639760383033685E-2</v>
      </c>
      <c r="I182" s="4">
        <f t="array" aca="1" ref="I182" ca="1">SQRT(MMULT(TRANSPOSE(OFFSET(I$107,0,0,_num_assets,1)),MMULT(inp_covar_assets,OFFSET(I$107,0,0,_num_assets,1))))</f>
        <v>4.0635534978020797E-2</v>
      </c>
      <c r="J182" s="4">
        <f t="array" aca="1" ref="J182" ca="1">SQRT(MMULT(TRANSPOSE(OFFSET(J$107,0,0,_num_assets,1)),MMULT(inp_covar_assets,OFFSET(J$107,0,0,_num_assets,1))))</f>
        <v>4.0819075760776966E-2</v>
      </c>
      <c r="K182" s="4">
        <f t="array" aca="1" ref="K182" ca="1">SQRT(MMULT(TRANSPOSE(OFFSET(K$107,0,0,_num_assets,1)),MMULT(inp_covar_assets,OFFSET(K$107,0,0,_num_assets,1))))</f>
        <v>4.0966447227215465E-2</v>
      </c>
      <c r="L182" s="4">
        <f t="array" aca="1" ref="L182" ca="1">SQRT(MMULT(TRANSPOSE(OFFSET(L$107,0,0,_num_assets,1)),MMULT(inp_covar_assets,OFFSET(L$107,0,0,_num_assets,1))))</f>
        <v>4.1122747906183026E-2</v>
      </c>
      <c r="M182" s="4">
        <f t="array" aca="1" ref="M182" ca="1">SQRT(MMULT(TRANSPOSE(OFFSET(M$107,0,0,_num_assets,1)),MMULT(inp_covar_assets,OFFSET(M$107,0,0,_num_assets,1))))</f>
        <v>4.1280574681505498E-2</v>
      </c>
      <c r="N182" s="4">
        <f t="array" aca="1" ref="N182" ca="1">SQRT(MMULT(TRANSPOSE(OFFSET(N$107,0,0,_num_assets,1)),MMULT(inp_covar_assets,OFFSET(N$107,0,0,_num_assets,1))))</f>
        <v>4.1345638322438191E-2</v>
      </c>
      <c r="O182" s="4">
        <f t="array" aca="1" ref="O182" ca="1">SQRT(MMULT(TRANSPOSE(OFFSET(O$107,0,0,_num_assets,1)),MMULT(inp_covar_assets,OFFSET(O$107,0,0,_num_assets,1))))</f>
        <v>4.1506417270984731E-2</v>
      </c>
      <c r="P182" s="4">
        <f t="array" aca="1" ref="P182" ca="1">SQRT(MMULT(TRANSPOSE(OFFSET(P$107,0,0,_num_assets,1)),MMULT(inp_covar_assets,OFFSET(P$107,0,0,_num_assets,1))))</f>
        <v>4.1634502741875842E-2</v>
      </c>
      <c r="Q182" s="4">
        <f t="array" aca="1" ref="Q182" ca="1">SQRT(MMULT(TRANSPOSE(OFFSET(Q$107,0,0,_num_assets,1)),MMULT(inp_covar_assets,OFFSET(Q$107,0,0,_num_assets,1))))</f>
        <v>4.169964280287116E-2</v>
      </c>
      <c r="R182" s="4">
        <f t="array" aca="1" ref="R182" ca="1">SQRT(MMULT(TRANSPOSE(OFFSET(R$107,0,0,_num_assets,1)),MMULT(inp_covar_assets,OFFSET(R$107,0,0,_num_assets,1))))</f>
        <v>4.1826080609143119E-2</v>
      </c>
      <c r="S182" s="4">
        <f t="array" aca="1" ref="S182" ca="1">SQRT(MMULT(TRANSPOSE(OFFSET(S$107,0,0,_num_assets,1)),MMULT(inp_covar_assets,OFFSET(S$107,0,0,_num_assets,1))))</f>
        <v>4.1904855460300157E-2</v>
      </c>
      <c r="T182" s="4">
        <f t="array" aca="1" ref="T182" ca="1">SQRT(MMULT(TRANSPOSE(OFFSET(T$107,0,0,_num_assets,1)),MMULT(inp_covar_assets,OFFSET(T$107,0,0,_num_assets,1))))</f>
        <v>4.1977378097012075E-2</v>
      </c>
      <c r="U182" s="4">
        <f t="array" aca="1" ref="U182" ca="1">SQRT(MMULT(TRANSPOSE(OFFSET(U$107,0,0,_num_assets,1)),MMULT(inp_covar_assets,OFFSET(U$107,0,0,_num_assets,1))))</f>
        <v>4.2140505595617973E-2</v>
      </c>
      <c r="V182" s="4">
        <f t="array" aca="1" ref="V182" ca="1">SQRT(MMULT(TRANSPOSE(OFFSET(V$107,0,0,_num_assets,1)),MMULT(inp_covar_assets,OFFSET(V$107,0,0,_num_assets,1))))</f>
        <v>4.2302083666258393E-2</v>
      </c>
      <c r="W182" s="4">
        <f t="array" aca="1" ref="W182" ca="1">SQRT(MMULT(TRANSPOSE(OFFSET(W$107,0,0,_num_assets,1)),MMULT(inp_covar_assets,OFFSET(W$107,0,0,_num_assets,1))))</f>
        <v>4.2481516327285321E-2</v>
      </c>
      <c r="X182" s="4">
        <f t="array" aca="1" ref="X182" ca="1">SQRT(MMULT(TRANSPOSE(OFFSET(X$107,0,0,_num_assets,1)),MMULT(inp_covar_assets,OFFSET(X$107,0,0,_num_assets,1))))</f>
        <v>4.2599757189428697E-2</v>
      </c>
      <c r="Y182" s="4">
        <f t="array" aca="1" ref="Y182" ca="1">SQRT(MMULT(TRANSPOSE(OFFSET(Y$107,0,0,_num_assets,1)),MMULT(inp_covar_assets,OFFSET(Y$107,0,0,_num_assets,1))))</f>
        <v>4.2540249942694196E-2</v>
      </c>
      <c r="Z182" s="4">
        <f t="array" aca="1" ref="Z182" ca="1">SQRT(MMULT(TRANSPOSE(OFFSET(Z$107,0,0,_num_assets,1)),MMULT(inp_covar_assets,OFFSET(Z$107,0,0,_num_assets,1))))</f>
        <v>4.2522680004781772E-2</v>
      </c>
      <c r="AA182" s="4">
        <f t="array" aca="1" ref="AA182" ca="1">SQRT(MMULT(TRANSPOSE(OFFSET(AA$107,0,0,_num_assets,1)),MMULT(inp_covar_assets,OFFSET(AA$107,0,0,_num_assets,1))))</f>
        <v>4.2650848008896174E-2</v>
      </c>
      <c r="AB182" s="4">
        <f t="array" aca="1" ref="AB182" ca="1">SQRT(MMULT(TRANSPOSE(OFFSET(AB$107,0,0,_num_assets,1)),MMULT(inp_covar_assets,OFFSET(AB$107,0,0,_num_assets,1))))</f>
        <v>4.2696817451819497E-2</v>
      </c>
      <c r="AC182" s="4">
        <f t="array" aca="1" ref="AC182" ca="1">SQRT(MMULT(TRANSPOSE(OFFSET(AC$107,0,0,_num_assets,1)),MMULT(inp_covar_assets,OFFSET(AC$107,0,0,_num_assets,1))))</f>
        <v>4.2829070782403382E-2</v>
      </c>
      <c r="AD182" s="4">
        <f t="array" aca="1" ref="AD182" ca="1">SQRT(MMULT(TRANSPOSE(OFFSET(AD$107,0,0,_num_assets,1)),MMULT(inp_covar_assets,OFFSET(AD$107,0,0,_num_assets,1))))</f>
        <v>4.2984187659658321E-2</v>
      </c>
      <c r="AE182" s="4">
        <f t="array" aca="1" ref="AE182" ca="1">SQRT(MMULT(TRANSPOSE(OFFSET(AE$107,0,0,_num_assets,1)),MMULT(inp_covar_assets,OFFSET(AE$107,0,0,_num_assets,1))))</f>
        <v>4.311761908106946E-2</v>
      </c>
      <c r="AF182" s="4">
        <f t="array" aca="1" ref="AF182" ca="1">SQRT(MMULT(TRANSPOSE(OFFSET(AF$107,0,0,_num_assets,1)),MMULT(inp_covar_assets,OFFSET(AF$107,0,0,_num_assets,1))))</f>
        <v>4.330657802462725E-2</v>
      </c>
      <c r="AG182" s="4">
        <f t="array" aca="1" ref="AG182" ca="1">SQRT(MMULT(TRANSPOSE(OFFSET(AG$107,0,0,_num_assets,1)),MMULT(inp_covar_assets,OFFSET(AG$107,0,0,_num_assets,1))))</f>
        <v>4.3561593303009537E-2</v>
      </c>
      <c r="AH182" s="4">
        <f t="array" aca="1" ref="AH182" ca="1">SQRT(MMULT(TRANSPOSE(OFFSET(AH$107,0,0,_num_assets,1)),MMULT(inp_covar_assets,OFFSET(AH$107,0,0,_num_assets,1))))</f>
        <v>4.3802383762579229E-2</v>
      </c>
      <c r="AI182" s="4">
        <f t="array" aca="1" ref="AI182" ca="1">SQRT(MMULT(TRANSPOSE(OFFSET(AI$107,0,0,_num_assets,1)),MMULT(inp_covar_assets,OFFSET(AI$107,0,0,_num_assets,1))))</f>
        <v>4.4062023721837526E-2</v>
      </c>
      <c r="AJ182" s="4">
        <f t="array" aca="1" ref="AJ182" ca="1">SQRT(MMULT(TRANSPOSE(OFFSET(AJ$107,0,0,_num_assets,1)),MMULT(inp_covar_assets,OFFSET(AJ$107,0,0,_num_assets,1))))</f>
        <v>4.4375602370784063E-2</v>
      </c>
      <c r="AK182" s="4">
        <f t="array" aca="1" ref="AK182" ca="1">SQRT(MMULT(TRANSPOSE(OFFSET(AK$107,0,0,_num_assets,1)),MMULT(inp_covar_assets,OFFSET(AK$107,0,0,_num_assets,1))))</f>
        <v>4.4601478315928846E-2</v>
      </c>
      <c r="AL182" s="4">
        <f t="array" aca="1" ref="AL182" ca="1">SQRT(MMULT(TRANSPOSE(OFFSET(AL$107,0,0,_num_assets,1)),MMULT(inp_covar_assets,OFFSET(AL$107,0,0,_num_assets,1))))</f>
        <v>4.4888850080550803E-2</v>
      </c>
      <c r="AM182" s="4">
        <f t="array" aca="1" ref="AM182" ca="1">SQRT(MMULT(TRANSPOSE(OFFSET(AM$107,0,0,_num_assets,1)),MMULT(inp_covar_assets,OFFSET(AM$107,0,0,_num_assets,1))))</f>
        <v>4.5188569541208014E-2</v>
      </c>
      <c r="AN182" s="4">
        <f t="array" aca="1" ref="AN182" ca="1">SQRT(MMULT(TRANSPOSE(OFFSET(AN$107,0,0,_num_assets,1)),MMULT(inp_covar_assets,OFFSET(AN$107,0,0,_num_assets,1))))</f>
        <v>4.5520302884230847E-2</v>
      </c>
      <c r="AO182" s="4">
        <f t="array" aca="1" ref="AO182" ca="1">SQRT(MMULT(TRANSPOSE(OFFSET(AO$107,0,0,_num_assets,1)),MMULT(inp_covar_assets,OFFSET(AO$107,0,0,_num_assets,1))))</f>
        <v>4.5846245908532021E-2</v>
      </c>
      <c r="AP182" s="4">
        <f t="array" aca="1" ref="AP182" ca="1">SQRT(MMULT(TRANSPOSE(OFFSET(AP$107,0,0,_num_assets,1)),MMULT(inp_covar_assets,OFFSET(AP$107,0,0,_num_assets,1))))</f>
        <v>4.619320358870839E-2</v>
      </c>
      <c r="AQ182" s="4">
        <f t="array" aca="1" ref="AQ182" ca="1">SQRT(MMULT(TRANSPOSE(OFFSET(AQ$107,0,0,_num_assets,1)),MMULT(inp_covar_assets,OFFSET(AQ$107,0,0,_num_assets,1))))</f>
        <v>4.6554826975485221E-2</v>
      </c>
      <c r="AR182" s="4">
        <f t="array" aca="1" ref="AR182" ca="1">SQRT(MMULT(TRANSPOSE(OFFSET(AR$107,0,0,_num_assets,1)),MMULT(inp_covar_assets,OFFSET(AR$107,0,0,_num_assets,1))))</f>
        <v>4.7051914507347671E-2</v>
      </c>
      <c r="AS182" s="4">
        <f t="array" aca="1" ref="AS182" ca="1">SQRT(MMULT(TRANSPOSE(OFFSET(AS$107,0,0,_num_assets,1)),MMULT(inp_covar_assets,OFFSET(AS$107,0,0,_num_assets,1))))</f>
        <v>4.7604689541006023E-2</v>
      </c>
      <c r="AT182" s="4">
        <f t="array" aca="1" ref="AT182" ca="1">SQRT(MMULT(TRANSPOSE(OFFSET(AT$107,0,0,_num_assets,1)),MMULT(inp_covar_assets,OFFSET(AT$107,0,0,_num_assets,1))))</f>
        <v>4.8147539429512422E-2</v>
      </c>
      <c r="AU182" s="4">
        <f t="array" aca="1" ref="AU182" ca="1">SQRT(MMULT(TRANSPOSE(OFFSET(AU$107,0,0,_num_assets,1)),MMULT(inp_covar_assets,OFFSET(AU$107,0,0,_num_assets,1))))</f>
        <v>4.8602648467950656E-2</v>
      </c>
      <c r="AV182" s="4">
        <f t="array" aca="1" ref="AV182" ca="1">SQRT(MMULT(TRANSPOSE(OFFSET(AV$107,0,0,_num_assets,1)),MMULT(inp_covar_assets,OFFSET(AV$107,0,0,_num_assets,1))))</f>
        <v>4.92464456493098E-2</v>
      </c>
      <c r="AW182" s="4">
        <f t="array" aca="1" ref="AW182" ca="1">SQRT(MMULT(TRANSPOSE(OFFSET(AW$107,0,0,_num_assets,1)),MMULT(inp_covar_assets,OFFSET(AW$107,0,0,_num_assets,1))))</f>
        <v>4.9816038441825229E-2</v>
      </c>
      <c r="AX182" s="4">
        <f t="array" aca="1" ref="AX182" ca="1">SQRT(MMULT(TRANSPOSE(OFFSET(AX$107,0,0,_num_assets,1)),MMULT(inp_covar_assets,OFFSET(AX$107,0,0,_num_assets,1))))</f>
        <v>5.038519224348581E-2</v>
      </c>
      <c r="AY182" s="4">
        <f t="array" aca="1" ref="AY182" ca="1">SQRT(MMULT(TRANSPOSE(OFFSET(AY$107,0,0,_num_assets,1)),MMULT(inp_covar_assets,OFFSET(AY$107,0,0,_num_assets,1))))</f>
        <v>5.1023630326874687E-2</v>
      </c>
      <c r="AZ182" s="4">
        <f t="array" aca="1" ref="AZ182" ca="1">SQRT(MMULT(TRANSPOSE(OFFSET(AZ$107,0,0,_num_assets,1)),MMULT(inp_covar_assets,OFFSET(AZ$107,0,0,_num_assets,1))))</f>
        <v>5.170456433425781E-2</v>
      </c>
      <c r="BA182" s="4">
        <f t="array" aca="1" ref="BA182" ca="1">SQRT(MMULT(TRANSPOSE(OFFSET(BA$107,0,0,_num_assets,1)),MMULT(inp_covar_assets,OFFSET(BA$107,0,0,_num_assets,1))))</f>
        <v>5.2415803254452484E-2</v>
      </c>
      <c r="BB182" s="4">
        <f t="array" aca="1" ref="BB182" ca="1">SQRT(MMULT(TRANSPOSE(OFFSET(BB$107,0,0,_num_assets,1)),MMULT(inp_covar_assets,OFFSET(BB$107,0,0,_num_assets,1))))</f>
        <v>5.2981838170318964E-2</v>
      </c>
      <c r="BC182" s="4">
        <f t="array" aca="1" ref="BC182" ca="1">SQRT(MMULT(TRANSPOSE(OFFSET(BC$107,0,0,_num_assets,1)),MMULT(inp_covar_assets,OFFSET(BC$107,0,0,_num_assets,1))))</f>
        <v>5.3599233130703049E-2</v>
      </c>
      <c r="BD182" s="4">
        <f t="array" aca="1" ref="BD182" ca="1">SQRT(MMULT(TRANSPOSE(OFFSET(BD$107,0,0,_num_assets,1)),MMULT(inp_covar_assets,OFFSET(BD$107,0,0,_num_assets,1))))</f>
        <v>5.4284310414182087E-2</v>
      </c>
      <c r="BE182" s="4">
        <f t="array" aca="1" ref="BE182" ca="1">SQRT(MMULT(TRANSPOSE(OFFSET(BE$107,0,0,_num_assets,1)),MMULT(inp_covar_assets,OFFSET(BE$107,0,0,_num_assets,1))))</f>
        <v>5.5035096214279218E-2</v>
      </c>
      <c r="BF182" s="4">
        <f t="array" aca="1" ref="BF182" ca="1">SQRT(MMULT(TRANSPOSE(OFFSET(BF$107,0,0,_num_assets,1)),MMULT(inp_covar_assets,OFFSET(BF$107,0,0,_num_assets,1))))</f>
        <v>5.5864855235051143E-2</v>
      </c>
      <c r="BG182" s="4">
        <f t="array" aca="1" ref="BG182" ca="1">SQRT(MMULT(TRANSPOSE(OFFSET(BG$107,0,0,_num_assets,1)),MMULT(inp_covar_assets,OFFSET(BG$107,0,0,_num_assets,1))))</f>
        <v>5.674693103336903E-2</v>
      </c>
      <c r="BH182" s="4">
        <f t="array" aca="1" ref="BH182" ca="1">SQRT(MMULT(TRANSPOSE(OFFSET(BH$107,0,0,_num_assets,1)),MMULT(inp_covar_assets,OFFSET(BH$107,0,0,_num_assets,1))))</f>
        <v>5.769338702182996E-2</v>
      </c>
      <c r="BI182" s="4">
        <f t="array" aca="1" ref="BI182" ca="1">SQRT(MMULT(TRANSPOSE(OFFSET(BI$107,0,0,_num_assets,1)),MMULT(inp_covar_assets,OFFSET(BI$107,0,0,_num_assets,1))))</f>
        <v>5.8666356349790748E-2</v>
      </c>
      <c r="BJ182" s="4">
        <f t="array" aca="1" ref="BJ182" ca="1">SQRT(MMULT(TRANSPOSE(OFFSET(BJ$107,0,0,_num_assets,1)),MMULT(inp_covar_assets,OFFSET(BJ$107,0,0,_num_assets,1))))</f>
        <v>5.9692303734042877E-2</v>
      </c>
      <c r="BK182" s="4">
        <f t="array" aca="1" ref="BK182" ca="1">SQRT(MMULT(TRANSPOSE(OFFSET(BK$107,0,0,_num_assets,1)),MMULT(inp_covar_assets,OFFSET(BK$107,0,0,_num_assets,1))))</f>
        <v>6.0756812577036613E-2</v>
      </c>
      <c r="BL182" s="4">
        <f t="array" aca="1" ref="BL182" ca="1">SQRT(MMULT(TRANSPOSE(OFFSET(BL$107,0,0,_num_assets,1)),MMULT(inp_covar_assets,OFFSET(BL$107,0,0,_num_assets,1))))</f>
        <v>6.1895320067417527E-2</v>
      </c>
      <c r="BM182" s="4">
        <f t="array" aca="1" ref="BM182" ca="1">SQRT(MMULT(TRANSPOSE(OFFSET(BM$107,0,0,_num_assets,1)),MMULT(inp_covar_assets,OFFSET(BM$107,0,0,_num_assets,1))))</f>
        <v>6.3071429890513883E-2</v>
      </c>
      <c r="BN182" s="4">
        <f t="array" aca="1" ref="BN182" ca="1">SQRT(MMULT(TRANSPOSE(OFFSET(BN$107,0,0,_num_assets,1)),MMULT(inp_covar_assets,OFFSET(BN$107,0,0,_num_assets,1))))</f>
        <v>6.4275778406843856E-2</v>
      </c>
      <c r="BO182" s="4">
        <f t="array" aca="1" ref="BO182" ca="1">SQRT(MMULT(TRANSPOSE(OFFSET(BO$107,0,0,_num_assets,1)),MMULT(inp_covar_assets,OFFSET(BO$107,0,0,_num_assets,1))))</f>
        <v>6.5511941187285677E-2</v>
      </c>
      <c r="BP182" s="4">
        <f t="array" aca="1" ref="BP182" ca="1">SQRT(MMULT(TRANSPOSE(OFFSET(BP$107,0,0,_num_assets,1)),MMULT(inp_covar_assets,OFFSET(BP$107,0,0,_num_assets,1))))</f>
        <v>6.6800196393917863E-2</v>
      </c>
      <c r="BQ182" s="4">
        <f t="array" aca="1" ref="BQ182" ca="1">SQRT(MMULT(TRANSPOSE(OFFSET(BQ$107,0,0,_num_assets,1)),MMULT(inp_covar_assets,OFFSET(BQ$107,0,0,_num_assets,1))))</f>
        <v>6.8117023934781029E-2</v>
      </c>
      <c r="BR182" s="4">
        <f t="array" aca="1" ref="BR182" ca="1">SQRT(MMULT(TRANSPOSE(OFFSET(BR$107,0,0,_num_assets,1)),MMULT(inp_covar_assets,OFFSET(BR$107,0,0,_num_assets,1))))</f>
        <v>6.9473939605916871E-2</v>
      </c>
      <c r="BS182" s="4">
        <f t="array" aca="1" ref="BS182" ca="1">SQRT(MMULT(TRANSPOSE(OFFSET(BS$107,0,0,_num_assets,1)),MMULT(inp_covar_assets,OFFSET(BS$107,0,0,_num_assets,1))))</f>
        <v>7.086051647864744E-2</v>
      </c>
      <c r="BT182" s="4">
        <f t="array" aca="1" ref="BT182" ca="1">SQRT(MMULT(TRANSPOSE(OFFSET(BT$107,0,0,_num_assets,1)),MMULT(inp_covar_assets,OFFSET(BT$107,0,0,_num_assets,1))))</f>
        <v>7.2271701810283376E-2</v>
      </c>
      <c r="BU182" s="4">
        <f t="array" aca="1" ref="BU182" ca="1">SQRT(MMULT(TRANSPOSE(OFFSET(BU$107,0,0,_num_assets,1)),MMULT(inp_covar_assets,OFFSET(BU$107,0,0,_num_assets,1))))</f>
        <v>7.3721499674961444E-2</v>
      </c>
      <c r="BV182" s="4">
        <f t="array" aca="1" ref="BV182" ca="1">SQRT(MMULT(TRANSPOSE(OFFSET(BV$107,0,0,_num_assets,1)),MMULT(inp_covar_assets,OFFSET(BV$107,0,0,_num_assets,1))))</f>
        <v>7.5194781343173228E-2</v>
      </c>
      <c r="BW182" s="4">
        <f t="array" aca="1" ref="BW182" ca="1">SQRT(MMULT(TRANSPOSE(OFFSET(BW$107,0,0,_num_assets,1)),MMULT(inp_covar_assets,OFFSET(BW$107,0,0,_num_assets,1))))</f>
        <v>7.6685585034309278E-2</v>
      </c>
      <c r="BX182" s="4">
        <f t="array" aca="1" ref="BX182" ca="1">SQRT(MMULT(TRANSPOSE(OFFSET(BX$107,0,0,_num_assets,1)),MMULT(inp_covar_assets,OFFSET(BX$107,0,0,_num_assets,1))))</f>
        <v>7.8193843777465993E-2</v>
      </c>
      <c r="BY182" s="4">
        <f t="array" aca="1" ref="BY182" ca="1">SQRT(MMULT(TRANSPOSE(OFFSET(BY$107,0,0,_num_assets,1)),MMULT(inp_covar_assets,OFFSET(BY$107,0,0,_num_assets,1))))</f>
        <v>7.9730273300081311E-2</v>
      </c>
      <c r="BZ182" s="4">
        <f t="array" aca="1" ref="BZ182" ca="1">SQRT(MMULT(TRANSPOSE(OFFSET(BZ$107,0,0,_num_assets,1)),MMULT(inp_covar_assets,OFFSET(BZ$107,0,0,_num_assets,1))))</f>
        <v>8.128992907380081E-2</v>
      </c>
      <c r="CA182" s="4">
        <f t="array" aca="1" ref="CA182" ca="1">SQRT(MMULT(TRANSPOSE(OFFSET(CA$107,0,0,_num_assets,1)),MMULT(inp_covar_assets,OFFSET(CA$107,0,0,_num_assets,1))))</f>
        <v>8.286738028282116E-2</v>
      </c>
      <c r="CB182" s="4">
        <f t="array" aca="1" ref="CB182" ca="1">SQRT(MMULT(TRANSPOSE(OFFSET(CB$107,0,0,_num_assets,1)),MMULT(inp_covar_assets,OFFSET(CB$107,0,0,_num_assets,1))))</f>
        <v>8.4459830915468159E-2</v>
      </c>
      <c r="CC182" s="4">
        <f t="array" aca="1" ref="CC182" ca="1">SQRT(MMULT(TRANSPOSE(OFFSET(CC$107,0,0,_num_assets,1)),MMULT(inp_covar_assets,OFFSET(CC$107,0,0,_num_assets,1))))</f>
        <v>8.6062947182519028E-2</v>
      </c>
      <c r="CD182" s="4">
        <f t="array" aca="1" ref="CD182" ca="1">SQRT(MMULT(TRANSPOSE(OFFSET(CD$107,0,0,_num_assets,1)),MMULT(inp_covar_assets,OFFSET(CD$107,0,0,_num_assets,1))))</f>
        <v>8.7673553144912431E-2</v>
      </c>
      <c r="CE182" s="4">
        <f t="array" aca="1" ref="CE182" ca="1">SQRT(MMULT(TRANSPOSE(OFFSET(CE$107,0,0,_num_assets,1)),MMULT(inp_covar_assets,OFFSET(CE$107,0,0,_num_assets,1))))</f>
        <v>8.930736830101417E-2</v>
      </c>
      <c r="CF182" s="4">
        <f t="array" aca="1" ref="CF182" ca="1">SQRT(MMULT(TRANSPOSE(OFFSET(CF$107,0,0,_num_assets,1)),MMULT(inp_covar_assets,OFFSET(CF$107,0,0,_num_assets,1))))</f>
        <v>9.096250473936289E-2</v>
      </c>
      <c r="CG182" s="4">
        <f t="array" aca="1" ref="CG182" ca="1">SQRT(MMULT(TRANSPOSE(OFFSET(CG$107,0,0,_num_assets,1)),MMULT(inp_covar_assets,OFFSET(CG$107,0,0,_num_assets,1))))</f>
        <v>9.2623492529702853E-2</v>
      </c>
      <c r="CH182" s="4">
        <f t="array" aca="1" ref="CH182" ca="1">SQRT(MMULT(TRANSPOSE(OFFSET(CH$107,0,0,_num_assets,1)),MMULT(inp_covar_assets,OFFSET(CH$107,0,0,_num_assets,1))))</f>
        <v>9.4433645537399996E-2</v>
      </c>
      <c r="CI182" s="4">
        <f t="array" aca="1" ref="CI182" ca="1">SQRT(MMULT(TRANSPOSE(OFFSET(CI$107,0,0,_num_assets,1)),MMULT(inp_covar_assets,OFFSET(CI$107,0,0,_num_assets,1))))</f>
        <v>9.6344717098169913E-2</v>
      </c>
      <c r="CJ182" s="4">
        <f t="array" aca="1" ref="CJ182" ca="1">SQRT(MMULT(TRANSPOSE(OFFSET(CJ$107,0,0,_num_assets,1)),MMULT(inp_covar_assets,OFFSET(CJ$107,0,0,_num_assets,1))))</f>
        <v>9.8239112219447644E-2</v>
      </c>
      <c r="CK182" s="4">
        <f t="array" aca="1" ref="CK182" ca="1">SQRT(MMULT(TRANSPOSE(OFFSET(CK$107,0,0,_num_assets,1)),MMULT(inp_covar_assets,OFFSET(CK$107,0,0,_num_assets,1))))</f>
        <v>0.10031977465736762</v>
      </c>
      <c r="CL182" s="4">
        <f t="array" aca="1" ref="CL182" ca="1">SQRT(MMULT(TRANSPOSE(OFFSET(CL$107,0,0,_num_assets,1)),MMULT(inp_covar_assets,OFFSET(CL$107,0,0,_num_assets,1))))</f>
        <v>0.10269077469371406</v>
      </c>
      <c r="CM182" s="4">
        <f t="array" aca="1" ref="CM182" ca="1">SQRT(MMULT(TRANSPOSE(OFFSET(CM$107,0,0,_num_assets,1)),MMULT(inp_covar_assets,OFFSET(CM$107,0,0,_num_assets,1))))</f>
        <v>0.10511534221106032</v>
      </c>
      <c r="CN182" s="4">
        <f t="array" aca="1" ref="CN182" ca="1">SQRT(MMULT(TRANSPOSE(OFFSET(CN$107,0,0,_num_assets,1)),MMULT(inp_covar_assets,OFFSET(CN$107,0,0,_num_assets,1))))</f>
        <v>0.10778683159163055</v>
      </c>
      <c r="CO182" s="4">
        <f t="array" aca="1" ref="CO182" ca="1">SQRT(MMULT(TRANSPOSE(OFFSET(CO$107,0,0,_num_assets,1)),MMULT(inp_covar_assets,OFFSET(CO$107,0,0,_num_assets,1))))</f>
        <v>0.1103723073391264</v>
      </c>
      <c r="CP182" s="4">
        <f t="array" aca="1" ref="CP182" ca="1">SQRT(MMULT(TRANSPOSE(OFFSET(CP$107,0,0,_num_assets,1)),MMULT(inp_covar_assets,OFFSET(CP$107,0,0,_num_assets,1))))</f>
        <v>0.11279924984782282</v>
      </c>
      <c r="CQ182" s="4">
        <f t="array" aca="1" ref="CQ182" ca="1">SQRT(MMULT(TRANSPOSE(OFFSET(CQ$107,0,0,_num_assets,1)),MMULT(inp_covar_assets,OFFSET(CQ$107,0,0,_num_assets,1))))</f>
        <v>0.11535351998292667</v>
      </c>
      <c r="CR182" s="4">
        <f t="array" aca="1" ref="CR182" ca="1">SQRT(MMULT(TRANSPOSE(OFFSET(CR$107,0,0,_num_assets,1)),MMULT(inp_covar_assets,OFFSET(CR$107,0,0,_num_assets,1))))</f>
        <v>0.11791812273730547</v>
      </c>
      <c r="CS182" s="4">
        <f t="array" aca="1" ref="CS182" ca="1">SQRT(MMULT(TRANSPOSE(OFFSET(CS$107,0,0,_num_assets,1)),MMULT(inp_covar_assets,OFFSET(CS$107,0,0,_num_assets,1))))</f>
        <v>0.12095485057918554</v>
      </c>
      <c r="CT182" s="4">
        <f t="array" aca="1" ref="CT182" ca="1">SQRT(MMULT(TRANSPOSE(OFFSET(CT$107,0,0,_num_assets,1)),MMULT(inp_covar_assets,OFFSET(CT$107,0,0,_num_assets,1))))</f>
        <v>0.12414866556904601</v>
      </c>
      <c r="CU182" s="4">
        <f t="array" aca="1" ref="CU182" ca="1">SQRT(MMULT(TRANSPOSE(OFFSET(CU$107,0,0,_num_assets,1)),MMULT(inp_covar_assets,OFFSET(CU$107,0,0,_num_assets,1))))</f>
        <v>0.12748776224295477</v>
      </c>
      <c r="CV182" s="4">
        <f t="array" aca="1" ref="CV182" ca="1">SQRT(MMULT(TRANSPOSE(OFFSET(CV$107,0,0,_num_assets,1)),MMULT(inp_covar_assets,OFFSET(CV$107,0,0,_num_assets,1))))</f>
        <v>0.13096102838652576</v>
      </c>
      <c r="CW182" s="4">
        <f t="array" aca="1" ref="CW182" ca="1">SQRT(MMULT(TRANSPOSE(OFFSET(CW$107,0,0,_num_assets,1)),MMULT(inp_covar_assets,OFFSET(CW$107,0,0,_num_assets,1))))</f>
        <v>0.13455807469489175</v>
      </c>
      <c r="CX182" s="4">
        <f t="array" aca="1" ref="CX182" ca="1">SQRT(MMULT(TRANSPOSE(OFFSET(CX$107,0,0,_num_assets,1)),MMULT(inp_covar_assets,OFFSET(CX$107,0,0,_num_assets,1))))</f>
        <v>0.13859931064729358</v>
      </c>
    </row>
    <row r="183" spans="1:102" x14ac:dyDescent="0.2">
      <c r="B183" s="2"/>
    </row>
    <row r="184" spans="1:102" x14ac:dyDescent="0.2">
      <c r="A184" s="1" t="s">
        <v>136</v>
      </c>
      <c r="B184" s="1" t="s">
        <v>132</v>
      </c>
      <c r="C184" s="4">
        <f t="shared" ref="C184:AH184" ca="1" si="462">SUM(OFFSET(C$107,0,0,_num_AL,1))</f>
        <v>-2.1561129936903383</v>
      </c>
      <c r="D184" s="4">
        <f t="shared" ca="1" si="462"/>
        <v>-2.1561129936903378</v>
      </c>
      <c r="E184" s="4">
        <f t="shared" ca="1" si="462"/>
        <v>-2.1561129936903383</v>
      </c>
      <c r="F184" s="4">
        <f t="shared" ca="1" si="462"/>
        <v>-2.1561129897684332</v>
      </c>
      <c r="G184" s="4">
        <f t="shared" ca="1" si="462"/>
        <v>-2.1561129872831146</v>
      </c>
      <c r="H184" s="4">
        <f t="shared" ca="1" si="462"/>
        <v>-2.1561129880445251</v>
      </c>
      <c r="I184" s="4">
        <f t="shared" ca="1" si="462"/>
        <v>-2.1561129875777647</v>
      </c>
      <c r="J184" s="4">
        <f t="shared" ca="1" si="462"/>
        <v>-2.1561129937766044</v>
      </c>
      <c r="K184" s="4">
        <f ca="1">SUM(OFFSET(K$107,0,0,_num_AL,1))</f>
        <v>-2.1561129884208574</v>
      </c>
      <c r="L184" s="4">
        <f ca="1">SUM(OFFSET(L$107,0,0,_num_AL,1))</f>
        <v>-2.1561129875777651</v>
      </c>
      <c r="M184" s="4">
        <f t="shared" ca="1" si="462"/>
        <v>-2.1561129889368553</v>
      </c>
      <c r="N184" s="4">
        <f t="shared" ca="1" si="462"/>
        <v>-2.156112987665423</v>
      </c>
      <c r="O184" s="4">
        <f t="shared" ca="1" si="462"/>
        <v>-2.1561129900040763</v>
      </c>
      <c r="P184" s="4">
        <f t="shared" ca="1" si="462"/>
        <v>-2.1561129900040772</v>
      </c>
      <c r="Q184" s="4">
        <f t="shared" ca="1" si="462"/>
        <v>-2.1561129900040772</v>
      </c>
      <c r="R184" s="4">
        <f t="shared" ca="1" si="462"/>
        <v>-2.1561129900040767</v>
      </c>
      <c r="S184" s="4">
        <f t="shared" ca="1" si="462"/>
        <v>-2.1561129900702709</v>
      </c>
      <c r="T184" s="4">
        <f t="shared" ca="1" si="462"/>
        <v>-2.1561129900702709</v>
      </c>
      <c r="U184" s="4">
        <f t="shared" ca="1" si="462"/>
        <v>-2.1561129937766039</v>
      </c>
      <c r="V184" s="4">
        <f t="shared" ca="1" si="462"/>
        <v>-2.1561129900040772</v>
      </c>
      <c r="W184" s="4">
        <f t="shared" ca="1" si="462"/>
        <v>-2.1561129901664504</v>
      </c>
      <c r="X184" s="4">
        <f t="shared" ca="1" si="462"/>
        <v>-2.156112990070302</v>
      </c>
      <c r="Y184" s="4">
        <f t="shared" ca="1" si="462"/>
        <v>-2.1561129937780277</v>
      </c>
      <c r="Z184" s="4">
        <f t="shared" ca="1" si="462"/>
        <v>-2.1561129937780255</v>
      </c>
      <c r="AA184" s="4">
        <f t="shared" ca="1" si="462"/>
        <v>-2.1561129937780246</v>
      </c>
      <c r="AB184" s="4">
        <f t="shared" ca="1" si="462"/>
        <v>-2.1561129937780255</v>
      </c>
      <c r="AC184" s="4">
        <f t="shared" ca="1" si="462"/>
        <v>-2.156112993778025</v>
      </c>
      <c r="AD184" s="4">
        <f t="shared" ca="1" si="462"/>
        <v>-2.1561129937780255</v>
      </c>
      <c r="AE184" s="4">
        <f t="shared" ca="1" si="462"/>
        <v>-2.1561129937780255</v>
      </c>
      <c r="AF184" s="4">
        <f t="shared" ca="1" si="462"/>
        <v>-2.156112993778025</v>
      </c>
      <c r="AG184" s="4">
        <f t="shared" ca="1" si="462"/>
        <v>-2.156112993778025</v>
      </c>
      <c r="AH184" s="4">
        <f t="shared" ca="1" si="462"/>
        <v>-2.1561129937780255</v>
      </c>
      <c r="AI184" s="4">
        <f t="shared" ref="AI184:BN184" ca="1" si="463">SUM(OFFSET(AI$107,0,0,_num_AL,1))</f>
        <v>-2.156112993778025</v>
      </c>
      <c r="AJ184" s="4">
        <f t="shared" ca="1" si="463"/>
        <v>-2.156112993778025</v>
      </c>
      <c r="AK184" s="4">
        <f t="shared" ca="1" si="463"/>
        <v>-2.1561129937780255</v>
      </c>
      <c r="AL184" s="4">
        <f t="shared" ca="1" si="463"/>
        <v>-2.156112993778025</v>
      </c>
      <c r="AM184" s="4">
        <f t="shared" ca="1" si="463"/>
        <v>-2.1561129937780246</v>
      </c>
      <c r="AN184" s="4">
        <f t="shared" ca="1" si="463"/>
        <v>-2.1561129937780246</v>
      </c>
      <c r="AO184" s="4">
        <f t="shared" ca="1" si="463"/>
        <v>-2.156112993778025</v>
      </c>
      <c r="AP184" s="4">
        <f t="shared" ca="1" si="463"/>
        <v>-2.156112993778025</v>
      </c>
      <c r="AQ184" s="4">
        <f t="shared" ca="1" si="463"/>
        <v>-2.156112993778025</v>
      </c>
      <c r="AR184" s="4">
        <f t="shared" ca="1" si="463"/>
        <v>-2.1561129937780255</v>
      </c>
      <c r="AS184" s="4">
        <f t="shared" ca="1" si="463"/>
        <v>-2.1561129995601971</v>
      </c>
      <c r="AT184" s="4">
        <f t="shared" ca="1" si="463"/>
        <v>-2.1561129995601966</v>
      </c>
      <c r="AU184" s="4">
        <f t="shared" ca="1" si="463"/>
        <v>-2.1561129995601966</v>
      </c>
      <c r="AV184" s="4">
        <f t="shared" ca="1" si="463"/>
        <v>-2.1561129995601966</v>
      </c>
      <c r="AW184" s="4">
        <f t="shared" ca="1" si="463"/>
        <v>-2.1561129995601971</v>
      </c>
      <c r="AX184" s="4">
        <f t="shared" ca="1" si="463"/>
        <v>-2.1561129995601971</v>
      </c>
      <c r="AY184" s="4">
        <f t="shared" ca="1" si="463"/>
        <v>-2.1561129995601975</v>
      </c>
      <c r="AZ184" s="4">
        <f t="shared" ca="1" si="463"/>
        <v>-2.1561129997210662</v>
      </c>
      <c r="BA184" s="4">
        <f t="shared" ca="1" si="463"/>
        <v>-2.1561129997210666</v>
      </c>
      <c r="BB184" s="4">
        <f t="shared" ca="1" si="463"/>
        <v>-2.1561129997210662</v>
      </c>
      <c r="BC184" s="4">
        <f t="shared" ca="1" si="463"/>
        <v>-2.1561129997210666</v>
      </c>
      <c r="BD184" s="4">
        <f t="shared" ca="1" si="463"/>
        <v>-2.1561129997210666</v>
      </c>
      <c r="BE184" s="4">
        <f t="shared" ca="1" si="463"/>
        <v>-2.1561129997210657</v>
      </c>
      <c r="BF184" s="4">
        <f t="shared" ca="1" si="463"/>
        <v>-2.1561129997210671</v>
      </c>
      <c r="BG184" s="4">
        <f t="shared" ca="1" si="463"/>
        <v>-2.1561129997210666</v>
      </c>
      <c r="BH184" s="4">
        <f t="shared" ca="1" si="463"/>
        <v>-2.1561129939388968</v>
      </c>
      <c r="BI184" s="4">
        <f t="shared" ca="1" si="463"/>
        <v>-2.1561129997210657</v>
      </c>
      <c r="BJ184" s="4">
        <f t="shared" ca="1" si="463"/>
        <v>-2.1561129939388972</v>
      </c>
      <c r="BK184" s="4">
        <f t="shared" ca="1" si="463"/>
        <v>-2.1561129939388972</v>
      </c>
      <c r="BL184" s="4">
        <f t="shared" ca="1" si="463"/>
        <v>-2.1561129939388968</v>
      </c>
      <c r="BM184" s="4">
        <f t="shared" ca="1" si="463"/>
        <v>-2.1561129939388968</v>
      </c>
      <c r="BN184" s="4">
        <f t="shared" ca="1" si="463"/>
        <v>-2.1561129939388977</v>
      </c>
      <c r="BO184" s="4">
        <f t="shared" ref="BO184:CX184" ca="1" si="464">SUM(OFFSET(BO$107,0,0,_num_AL,1))</f>
        <v>-2.1561129997210662</v>
      </c>
      <c r="BP184" s="4">
        <f t="shared" ca="1" si="464"/>
        <v>-2.1561129939388972</v>
      </c>
      <c r="BQ184" s="4">
        <f t="shared" ca="1" si="464"/>
        <v>-2.1561129939388972</v>
      </c>
      <c r="BR184" s="4">
        <f t="shared" ca="1" si="464"/>
        <v>-2.1561129939388968</v>
      </c>
      <c r="BS184" s="4">
        <f t="shared" ca="1" si="464"/>
        <v>-2.1561129939388968</v>
      </c>
      <c r="BT184" s="4">
        <f t="shared" ca="1" si="464"/>
        <v>-2.1561129939388968</v>
      </c>
      <c r="BU184" s="4">
        <f t="shared" ca="1" si="464"/>
        <v>-2.1561129939388972</v>
      </c>
      <c r="BV184" s="4">
        <f t="shared" ca="1" si="464"/>
        <v>-2.1561129939388968</v>
      </c>
      <c r="BW184" s="4">
        <f t="shared" ca="1" si="464"/>
        <v>-2.1561129939388972</v>
      </c>
      <c r="BX184" s="4">
        <f t="shared" ca="1" si="464"/>
        <v>-2.1561129939388972</v>
      </c>
      <c r="BY184" s="4">
        <f t="shared" ca="1" si="464"/>
        <v>-2.1561129939388968</v>
      </c>
      <c r="BZ184" s="4">
        <f t="shared" ca="1" si="464"/>
        <v>-2.1561129997210653</v>
      </c>
      <c r="CA184" s="4">
        <f t="shared" ca="1" si="464"/>
        <v>-2.1561129997210666</v>
      </c>
      <c r="CB184" s="4">
        <f t="shared" ca="1" si="464"/>
        <v>-2.1561129939388963</v>
      </c>
      <c r="CC184" s="4">
        <f t="shared" ca="1" si="464"/>
        <v>-2.1561129997210666</v>
      </c>
      <c r="CD184" s="4">
        <f t="shared" ca="1" si="464"/>
        <v>-2.1561129997210662</v>
      </c>
      <c r="CE184" s="4">
        <f t="shared" ca="1" si="464"/>
        <v>-2.1561129997210662</v>
      </c>
      <c r="CF184" s="4">
        <f t="shared" ca="1" si="464"/>
        <v>-2.1561129939388968</v>
      </c>
      <c r="CG184" s="4">
        <f t="shared" ca="1" si="464"/>
        <v>-2.1561129997210662</v>
      </c>
      <c r="CH184" s="4">
        <f t="shared" ca="1" si="464"/>
        <v>-2.1561129997210666</v>
      </c>
      <c r="CI184" s="4">
        <f t="shared" ca="1" si="464"/>
        <v>-2.1561129997210662</v>
      </c>
      <c r="CJ184" s="4">
        <f t="shared" ca="1" si="464"/>
        <v>-2.1561129939388959</v>
      </c>
      <c r="CK184" s="4">
        <f t="shared" ca="1" si="464"/>
        <v>-2.1561129997210662</v>
      </c>
      <c r="CL184" s="4">
        <f t="shared" ca="1" si="464"/>
        <v>-2.1561129997210662</v>
      </c>
      <c r="CM184" s="4">
        <f t="shared" ca="1" si="464"/>
        <v>-2.1561129997210666</v>
      </c>
      <c r="CN184" s="4">
        <f t="shared" ca="1" si="464"/>
        <v>-2.1561129997210662</v>
      </c>
      <c r="CO184" s="4">
        <f t="shared" ca="1" si="464"/>
        <v>-2.1561129997210666</v>
      </c>
      <c r="CP184" s="4">
        <f t="shared" ca="1" si="464"/>
        <v>-2.1561129997210653</v>
      </c>
      <c r="CQ184" s="4">
        <f t="shared" ca="1" si="464"/>
        <v>-2.1561129997210671</v>
      </c>
      <c r="CR184" s="4">
        <f t="shared" ca="1" si="464"/>
        <v>-2.1561129997210657</v>
      </c>
      <c r="CS184" s="4">
        <f t="shared" ca="1" si="464"/>
        <v>-2.1561129997210666</v>
      </c>
      <c r="CT184" s="4">
        <f t="shared" ca="1" si="464"/>
        <v>-2.1561129997210662</v>
      </c>
      <c r="CU184" s="4">
        <f t="shared" ca="1" si="464"/>
        <v>-2.1561129997210666</v>
      </c>
      <c r="CV184" s="4">
        <f t="shared" ca="1" si="464"/>
        <v>-2.1561129997210662</v>
      </c>
      <c r="CW184" s="4">
        <f t="shared" ca="1" si="464"/>
        <v>-2.1561129997210666</v>
      </c>
      <c r="CX184" s="4">
        <f t="shared" ca="1" si="464"/>
        <v>-2.1561129993487671</v>
      </c>
    </row>
    <row r="185" spans="1:102" x14ac:dyDescent="0.2">
      <c r="B185" s="51" t="s">
        <v>133</v>
      </c>
      <c r="C185" s="4">
        <f t="shared" ref="C185:AH185" ca="1" si="465">SUMPRODUCT(model_TR_AL,OFFSET(C$107,0,0,_num_AL,1))</f>
        <v>1.2593218302673324E-2</v>
      </c>
      <c r="D185" s="4">
        <f t="shared" ca="1" si="465"/>
        <v>1.2859380180842931E-2</v>
      </c>
      <c r="E185" s="4">
        <f t="shared" ca="1" si="465"/>
        <v>1.3117760835201029E-2</v>
      </c>
      <c r="F185" s="4">
        <f t="shared" ca="1" si="465"/>
        <v>1.3387942423145938E-2</v>
      </c>
      <c r="G185" s="4">
        <f t="shared" ca="1" si="465"/>
        <v>1.3649504944628178E-2</v>
      </c>
      <c r="H185" s="4">
        <f t="shared" ca="1" si="465"/>
        <v>1.3919486726837686E-2</v>
      </c>
      <c r="I185" s="4">
        <f t="shared" ca="1" si="465"/>
        <v>1.4183240866157912E-2</v>
      </c>
      <c r="J185" s="4">
        <f t="shared" ca="1" si="465"/>
        <v>1.4437127989470989E-2</v>
      </c>
      <c r="K185" s="4">
        <f ca="1">SUMPRODUCT(model_TR_AL,OFFSET(K$107,0,0,_num_AL,1))</f>
        <v>1.4694554397604396E-2</v>
      </c>
      <c r="L185" s="4">
        <f ca="1">SUMPRODUCT(model_TR_AL,OFFSET(L$107,0,0,_num_AL,1))</f>
        <v>1.495256254104867E-2</v>
      </c>
      <c r="M185" s="4">
        <f t="shared" ca="1" si="465"/>
        <v>1.5209049532054698E-2</v>
      </c>
      <c r="N185" s="4">
        <f t="shared" ca="1" si="465"/>
        <v>1.5468112335729058E-2</v>
      </c>
      <c r="O185" s="4">
        <f t="shared" ca="1" si="465"/>
        <v>1.5723320859829883E-2</v>
      </c>
      <c r="P185" s="4">
        <f t="shared" ca="1" si="465"/>
        <v>1.5982410303612204E-2</v>
      </c>
      <c r="Q185" s="4">
        <f t="shared" ca="1" si="465"/>
        <v>1.6240007283601293E-2</v>
      </c>
      <c r="R185" s="4">
        <f t="shared" ca="1" si="465"/>
        <v>1.6494234149768482E-2</v>
      </c>
      <c r="S185" s="4">
        <f t="shared" ca="1" si="465"/>
        <v>1.6755734259694146E-2</v>
      </c>
      <c r="T185" s="4">
        <f t="shared" ca="1" si="465"/>
        <v>1.701965622419396E-2</v>
      </c>
      <c r="U185" s="4">
        <f t="shared" ca="1" si="465"/>
        <v>1.7282267442903395E-2</v>
      </c>
      <c r="V185" s="4">
        <f t="shared" ca="1" si="465"/>
        <v>1.7545702555196715E-2</v>
      </c>
      <c r="W185" s="4">
        <f t="shared" ca="1" si="465"/>
        <v>1.780598053381446E-2</v>
      </c>
      <c r="X185" s="4">
        <f t="shared" ca="1" si="465"/>
        <v>1.8095705660862767E-2</v>
      </c>
      <c r="Y185" s="4">
        <f t="shared" ca="1" si="465"/>
        <v>1.8442486347051434E-2</v>
      </c>
      <c r="Z185" s="4">
        <f t="shared" ca="1" si="465"/>
        <v>1.8756719874018373E-2</v>
      </c>
      <c r="AA185" s="4">
        <f t="shared" ca="1" si="465"/>
        <v>1.9039737196677172E-2</v>
      </c>
      <c r="AB185" s="4">
        <f t="shared" ca="1" si="465"/>
        <v>1.9323682196195926E-2</v>
      </c>
      <c r="AC185" s="4">
        <f t="shared" ca="1" si="465"/>
        <v>1.95990581680817E-2</v>
      </c>
      <c r="AD185" s="4">
        <f t="shared" ca="1" si="465"/>
        <v>1.9876880977487962E-2</v>
      </c>
      <c r="AE185" s="4">
        <f t="shared" ca="1" si="465"/>
        <v>2.0139629056664162E-2</v>
      </c>
      <c r="AF185" s="4">
        <f t="shared" ca="1" si="465"/>
        <v>2.0412613863927408E-2</v>
      </c>
      <c r="AG185" s="4">
        <f t="shared" ca="1" si="465"/>
        <v>2.0695949460005286E-2</v>
      </c>
      <c r="AH185" s="4">
        <f t="shared" ca="1" si="465"/>
        <v>2.0977891786637514E-2</v>
      </c>
      <c r="AI185" s="4">
        <f t="shared" ref="AI185:BN185" ca="1" si="466">SUMPRODUCT(model_TR_AL,OFFSET(AI$107,0,0,_num_AL,1))</f>
        <v>2.1261789877625083E-2</v>
      </c>
      <c r="AJ185" s="4">
        <f t="shared" ca="1" si="466"/>
        <v>2.1548248859080656E-2</v>
      </c>
      <c r="AK185" s="4">
        <f t="shared" ca="1" si="466"/>
        <v>2.1841780264964802E-2</v>
      </c>
      <c r="AL185" s="4">
        <f t="shared" ca="1" si="466"/>
        <v>2.2106309403439103E-2</v>
      </c>
      <c r="AM185" s="4">
        <f t="shared" ca="1" si="466"/>
        <v>2.2363583915269752E-2</v>
      </c>
      <c r="AN185" s="4">
        <f t="shared" ca="1" si="466"/>
        <v>2.2639471040300448E-2</v>
      </c>
      <c r="AO185" s="4">
        <f t="shared" ca="1" si="466"/>
        <v>2.2933745388358098E-2</v>
      </c>
      <c r="AP185" s="4">
        <f t="shared" ca="1" si="466"/>
        <v>2.3195858698199758E-2</v>
      </c>
      <c r="AQ185" s="4">
        <f t="shared" ca="1" si="466"/>
        <v>2.3502170130099944E-2</v>
      </c>
      <c r="AR185" s="4">
        <f t="shared" ca="1" si="466"/>
        <v>2.3812515439647085E-2</v>
      </c>
      <c r="AS185" s="4">
        <f t="shared" ca="1" si="466"/>
        <v>2.4117149761342157E-2</v>
      </c>
      <c r="AT185" s="4">
        <f t="shared" ca="1" si="466"/>
        <v>2.4434638458448132E-2</v>
      </c>
      <c r="AU185" s="4">
        <f t="shared" ca="1" si="466"/>
        <v>2.4763711651581154E-2</v>
      </c>
      <c r="AV185" s="4">
        <f t="shared" ca="1" si="466"/>
        <v>2.5082946909919305E-2</v>
      </c>
      <c r="AW185" s="4">
        <f t="shared" ca="1" si="466"/>
        <v>2.542391752174428E-2</v>
      </c>
      <c r="AX185" s="4">
        <f t="shared" ca="1" si="466"/>
        <v>2.5761675489020395E-2</v>
      </c>
      <c r="AY185" s="4">
        <f t="shared" ca="1" si="466"/>
        <v>2.610252534176297E-2</v>
      </c>
      <c r="AZ185" s="4">
        <f t="shared" ca="1" si="466"/>
        <v>2.6444252133273064E-2</v>
      </c>
      <c r="BA185" s="4">
        <f t="shared" ca="1" si="466"/>
        <v>2.6773056025886009E-2</v>
      </c>
      <c r="BB185" s="4">
        <f t="shared" ca="1" si="466"/>
        <v>2.7122085612618561E-2</v>
      </c>
      <c r="BC185" s="4">
        <f t="shared" ca="1" si="466"/>
        <v>2.7469755764897522E-2</v>
      </c>
      <c r="BD185" s="4">
        <f t="shared" ca="1" si="466"/>
        <v>2.7817070442858919E-2</v>
      </c>
      <c r="BE185" s="4">
        <f t="shared" ca="1" si="466"/>
        <v>2.8163711795348548E-2</v>
      </c>
      <c r="BF185" s="4">
        <f t="shared" ca="1" si="466"/>
        <v>2.8502327969457571E-2</v>
      </c>
      <c r="BG185" s="4">
        <f t="shared" ca="1" si="466"/>
        <v>2.8843756739542096E-2</v>
      </c>
      <c r="BH185" s="4">
        <f t="shared" ca="1" si="466"/>
        <v>2.9181782176085396E-2</v>
      </c>
      <c r="BI185" s="4">
        <f t="shared" ca="1" si="466"/>
        <v>2.9530550766824804E-2</v>
      </c>
      <c r="BJ185" s="4">
        <f t="shared" ca="1" si="466"/>
        <v>2.9878704470469291E-2</v>
      </c>
      <c r="BK185" s="4">
        <f t="shared" ca="1" si="466"/>
        <v>3.0232212339086555E-2</v>
      </c>
      <c r="BL185" s="4">
        <f t="shared" ca="1" si="466"/>
        <v>3.057117653298486E-2</v>
      </c>
      <c r="BM185" s="4">
        <f t="shared" ca="1" si="466"/>
        <v>3.0913013916415825E-2</v>
      </c>
      <c r="BN185" s="4">
        <f t="shared" ca="1" si="466"/>
        <v>3.1261262120577102E-2</v>
      </c>
      <c r="BO185" s="4">
        <f t="shared" ref="BO185:CX185" ca="1" si="467">SUMPRODUCT(model_TR_AL,OFFSET(BO$107,0,0,_num_AL,1))</f>
        <v>3.1614166990651379E-2</v>
      </c>
      <c r="BP185" s="4">
        <f t="shared" ca="1" si="467"/>
        <v>3.1957561120050701E-2</v>
      </c>
      <c r="BQ185" s="4">
        <f t="shared" ca="1" si="467"/>
        <v>3.2304811745668752E-2</v>
      </c>
      <c r="BR185" s="4">
        <f t="shared" ca="1" si="467"/>
        <v>3.2646540990036541E-2</v>
      </c>
      <c r="BS185" s="4">
        <f t="shared" ca="1" si="467"/>
        <v>3.2988772128005092E-2</v>
      </c>
      <c r="BT185" s="4">
        <f t="shared" ca="1" si="467"/>
        <v>3.3333785761720289E-2</v>
      </c>
      <c r="BU185" s="4">
        <f t="shared" ca="1" si="467"/>
        <v>3.3670862074876615E-2</v>
      </c>
      <c r="BV185" s="4">
        <f t="shared" ca="1" si="467"/>
        <v>3.4009635442485989E-2</v>
      </c>
      <c r="BW185" s="4">
        <f t="shared" ca="1" si="467"/>
        <v>3.4352353656960835E-2</v>
      </c>
      <c r="BX185" s="4">
        <f t="shared" ca="1" si="467"/>
        <v>3.4698159291505451E-2</v>
      </c>
      <c r="BY185" s="4">
        <f t="shared" ca="1" si="467"/>
        <v>3.5039778082528131E-2</v>
      </c>
      <c r="BZ185" s="4">
        <f t="shared" ca="1" si="467"/>
        <v>3.5379571103959756E-2</v>
      </c>
      <c r="CA185" s="4">
        <f t="shared" ca="1" si="467"/>
        <v>3.5720135104250303E-2</v>
      </c>
      <c r="CB185" s="4">
        <f t="shared" ca="1" si="467"/>
        <v>3.606235385379658E-2</v>
      </c>
      <c r="CC185" s="4">
        <f t="shared" ca="1" si="467"/>
        <v>3.6408102111872662E-2</v>
      </c>
      <c r="CD185" s="4">
        <f t="shared" ca="1" si="467"/>
        <v>3.6759323623249032E-2</v>
      </c>
      <c r="CE185" s="4">
        <f t="shared" ca="1" si="467"/>
        <v>3.7105862227428385E-2</v>
      </c>
      <c r="CF185" s="4">
        <f t="shared" ca="1" si="467"/>
        <v>3.7447620377328336E-2</v>
      </c>
      <c r="CG185" s="4">
        <f t="shared" ca="1" si="467"/>
        <v>3.7794752655304062E-2</v>
      </c>
      <c r="CH185" s="4">
        <f t="shared" ca="1" si="467"/>
        <v>3.8074614635254259E-2</v>
      </c>
      <c r="CI185" s="4">
        <f t="shared" ca="1" si="467"/>
        <v>3.8360333234115099E-2</v>
      </c>
      <c r="CJ185" s="4">
        <f t="shared" ca="1" si="467"/>
        <v>3.8667193597917003E-2</v>
      </c>
      <c r="CK185" s="4">
        <f t="shared" ca="1" si="467"/>
        <v>3.8934903043529881E-2</v>
      </c>
      <c r="CL185" s="4">
        <f t="shared" ca="1" si="467"/>
        <v>3.9191880994540393E-2</v>
      </c>
      <c r="CM185" s="4">
        <f t="shared" ca="1" si="467"/>
        <v>3.9503482611013011E-2</v>
      </c>
      <c r="CN185" s="4">
        <f t="shared" ca="1" si="467"/>
        <v>3.9738597954100466E-2</v>
      </c>
      <c r="CO185" s="4">
        <f t="shared" ca="1" si="467"/>
        <v>4.0042126088962557E-2</v>
      </c>
      <c r="CP185" s="4">
        <f t="shared" ca="1" si="467"/>
        <v>4.0404685688930922E-2</v>
      </c>
      <c r="CQ185" s="4">
        <f t="shared" ca="1" si="467"/>
        <v>4.0743347339290512E-2</v>
      </c>
      <c r="CR185" s="4">
        <f t="shared" ca="1" si="467"/>
        <v>4.1091039163700487E-2</v>
      </c>
      <c r="CS185" s="4">
        <f t="shared" ca="1" si="467"/>
        <v>4.132615450678806E-2</v>
      </c>
      <c r="CT185" s="4">
        <f t="shared" ca="1" si="467"/>
        <v>4.1561269849875418E-2</v>
      </c>
      <c r="CU185" s="4">
        <f t="shared" ca="1" si="467"/>
        <v>4.1796385192962873E-2</v>
      </c>
      <c r="CV185" s="4">
        <f t="shared" ca="1" si="467"/>
        <v>4.2031500536050329E-2</v>
      </c>
      <c r="CW185" s="4">
        <f t="shared" ca="1" si="467"/>
        <v>4.2266615879137756E-2</v>
      </c>
      <c r="CX185" s="4">
        <f t="shared" ca="1" si="467"/>
        <v>4.2648552314586974E-2</v>
      </c>
    </row>
    <row r="186" spans="1:102" x14ac:dyDescent="0.2">
      <c r="B186" s="51" t="s">
        <v>54</v>
      </c>
      <c r="C186" s="4">
        <f t="array" aca="1" ref="C186" ca="1">SQRT(MMULT(TRANSPOSE(OFFSET(C$107,0,0,_num_AL,1)),MMULT(inp_covar_AL,OFFSET(C$107,0,0,_num_AL,1))))</f>
        <v>4.4105677128937995E-2</v>
      </c>
      <c r="D186" s="4">
        <f t="array" aca="1" ref="D186" ca="1">SQRT(MMULT(TRANSPOSE(OFFSET(D$107,0,0,_num_AL,1)),MMULT(inp_covar_AL,OFFSET(D$107,0,0,_num_AL,1))))</f>
        <v>4.4150329329148037E-2</v>
      </c>
      <c r="E186" s="4">
        <f t="array" aca="1" ref="E186" ca="1">SQRT(MMULT(TRANSPOSE(OFFSET(E$107,0,0,_num_AL,1)),MMULT(inp_covar_AL,OFFSET(E$107,0,0,_num_AL,1))))</f>
        <v>4.4198044710870826E-2</v>
      </c>
      <c r="F186" s="4">
        <f t="array" aca="1" ref="F186" ca="1">SQRT(MMULT(TRANSPOSE(OFFSET(F$107,0,0,_num_AL,1)),MMULT(inp_covar_AL,OFFSET(F$107,0,0,_num_AL,1))))</f>
        <v>4.4249097095466962E-2</v>
      </c>
      <c r="G186" s="4">
        <f t="array" aca="1" ref="G186" ca="1">SQRT(MMULT(TRANSPOSE(OFFSET(G$107,0,0,_num_AL,1)),MMULT(inp_covar_AL,OFFSET(G$107,0,0,_num_AL,1))))</f>
        <v>4.4308811668886443E-2</v>
      </c>
      <c r="H186" s="4">
        <f t="array" aca="1" ref="H186" ca="1">SQRT(MMULT(TRANSPOSE(OFFSET(H$107,0,0,_num_AL,1)),MMULT(inp_covar_AL,OFFSET(H$107,0,0,_num_AL,1))))</f>
        <v>4.437096296860199E-2</v>
      </c>
      <c r="I186" s="4">
        <f t="array" aca="1" ref="I186" ca="1">SQRT(MMULT(TRANSPOSE(OFFSET(I$107,0,0,_num_AL,1)),MMULT(inp_covar_AL,OFFSET(I$107,0,0,_num_AL,1))))</f>
        <v>4.4428081739149437E-2</v>
      </c>
      <c r="J186" s="4">
        <f t="array" aca="1" ref="J186" ca="1">SQRT(MMULT(TRANSPOSE(OFFSET(J$107,0,0,_num_AL,1)),MMULT(inp_covar_AL,OFFSET(J$107,0,0,_num_AL,1))))</f>
        <v>4.4487490558800309E-2</v>
      </c>
      <c r="K186" s="4">
        <f t="array" aca="1" ref="K186" ca="1">SQRT(MMULT(TRANSPOSE(OFFSET(K$107,0,0,_num_AL,1)),MMULT(inp_covar_AL,OFFSET(K$107,0,0,_num_AL,1))))</f>
        <v>4.4556057752276827E-2</v>
      </c>
      <c r="L186" s="4">
        <f t="array" aca="1" ref="L186" ca="1">SQRT(MMULT(TRANSPOSE(OFFSET(L$107,0,0,_num_AL,1)),MMULT(inp_covar_AL,OFFSET(L$107,0,0,_num_AL,1))))</f>
        <v>4.4624191754885904E-2</v>
      </c>
      <c r="M186" s="4">
        <f t="array" aca="1" ref="M186" ca="1">SQRT(MMULT(TRANSPOSE(OFFSET(M$107,0,0,_num_AL,1)),MMULT(inp_covar_AL,OFFSET(M$107,0,0,_num_AL,1))))</f>
        <v>4.4690562413627843E-2</v>
      </c>
      <c r="N186" s="4">
        <f t="array" aca="1" ref="N186" ca="1">SQRT(MMULT(TRANSPOSE(OFFSET(N$107,0,0,_num_AL,1)),MMULT(inp_covar_AL,OFFSET(N$107,0,0,_num_AL,1))))</f>
        <v>4.4759673467650453E-2</v>
      </c>
      <c r="O186" s="4">
        <f t="array" aca="1" ref="O186" ca="1">SQRT(MMULT(TRANSPOSE(OFFSET(O$107,0,0,_num_AL,1)),MMULT(inp_covar_AL,OFFSET(O$107,0,0,_num_AL,1))))</f>
        <v>4.4830360498203117E-2</v>
      </c>
      <c r="P186" s="4">
        <f t="array" aca="1" ref="P186" ca="1">SQRT(MMULT(TRANSPOSE(OFFSET(P$107,0,0,_num_AL,1)),MMULT(inp_covar_AL,OFFSET(P$107,0,0,_num_AL,1))))</f>
        <v>4.4902976257000564E-2</v>
      </c>
      <c r="Q186" s="4">
        <f t="array" aca="1" ref="Q186" ca="1">SQRT(MMULT(TRANSPOSE(OFFSET(Q$107,0,0,_num_AL,1)),MMULT(inp_covar_AL,OFFSET(Q$107,0,0,_num_AL,1))))</f>
        <v>4.4972907856762855E-2</v>
      </c>
      <c r="R186" s="4">
        <f t="array" aca="1" ref="R186" ca="1">SQRT(MMULT(TRANSPOSE(OFFSET(R$107,0,0,_num_AL,1)),MMULT(inp_covar_AL,OFFSET(R$107,0,0,_num_AL,1))))</f>
        <v>4.5052398355836264E-2</v>
      </c>
      <c r="S186" s="4">
        <f t="array" aca="1" ref="S186" ca="1">SQRT(MMULT(TRANSPOSE(OFFSET(S$107,0,0,_num_AL,1)),MMULT(inp_covar_AL,OFFSET(S$107,0,0,_num_AL,1))))</f>
        <v>4.5131548939433774E-2</v>
      </c>
      <c r="T186" s="4">
        <f t="array" aca="1" ref="T186" ca="1">SQRT(MMULT(TRANSPOSE(OFFSET(T$107,0,0,_num_AL,1)),MMULT(inp_covar_AL,OFFSET(T$107,0,0,_num_AL,1))))</f>
        <v>4.5217829792080361E-2</v>
      </c>
      <c r="U186" s="4">
        <f t="array" aca="1" ref="U186" ca="1">SQRT(MMULT(TRANSPOSE(OFFSET(U$107,0,0,_num_AL,1)),MMULT(inp_covar_AL,OFFSET(U$107,0,0,_num_AL,1))))</f>
        <v>4.5304492195078046E-2</v>
      </c>
      <c r="V186" s="4">
        <f t="array" aca="1" ref="V186" ca="1">SQRT(MMULT(TRANSPOSE(OFFSET(V$107,0,0,_num_AL,1)),MMULT(inp_covar_AL,OFFSET(V$107,0,0,_num_AL,1))))</f>
        <v>4.539265308137734E-2</v>
      </c>
      <c r="W186" s="4">
        <f t="array" aca="1" ref="W186" ca="1">SQRT(MMULT(TRANSPOSE(OFFSET(W$107,0,0,_num_AL,1)),MMULT(inp_covar_AL,OFFSET(W$107,0,0,_num_AL,1))))</f>
        <v>4.5480975164124582E-2</v>
      </c>
      <c r="X186" s="4">
        <f t="array" aca="1" ref="X186" ca="1">SQRT(MMULT(TRANSPOSE(OFFSET(X$107,0,0,_num_AL,1)),MMULT(inp_covar_AL,OFFSET(X$107,0,0,_num_AL,1))))</f>
        <v>4.561355622251427E-2</v>
      </c>
      <c r="Y186" s="4">
        <f t="array" aca="1" ref="Y186" ca="1">SQRT(MMULT(TRANSPOSE(OFFSET(Y$107,0,0,_num_AL,1)),MMULT(inp_covar_AL,OFFSET(Y$107,0,0,_num_AL,1))))</f>
        <v>4.5831147295125302E-2</v>
      </c>
      <c r="Z186" s="4">
        <f t="array" aca="1" ref="Z186" ca="1">SQRT(MMULT(TRANSPOSE(OFFSET(Z$107,0,0,_num_AL,1)),MMULT(inp_covar_AL,OFFSET(Z$107,0,0,_num_AL,1))))</f>
        <v>4.6078491437155492E-2</v>
      </c>
      <c r="AA186" s="4">
        <f t="array" aca="1" ref="AA186" ca="1">SQRT(MMULT(TRANSPOSE(OFFSET(AA$107,0,0,_num_AL,1)),MMULT(inp_covar_AL,OFFSET(AA$107,0,0,_num_AL,1))))</f>
        <v>4.6353533578291119E-2</v>
      </c>
      <c r="AB186" s="4">
        <f t="array" aca="1" ref="AB186" ca="1">SQRT(MMULT(TRANSPOSE(OFFSET(AB$107,0,0,_num_AL,1)),MMULT(inp_covar_AL,OFFSET(AB$107,0,0,_num_AL,1))))</f>
        <v>4.6646526422432909E-2</v>
      </c>
      <c r="AC186" s="4">
        <f t="array" aca="1" ref="AC186" ca="1">SQRT(MMULT(TRANSPOSE(OFFSET(AC$107,0,0,_num_AL,1)),MMULT(inp_covar_AL,OFFSET(AC$107,0,0,_num_AL,1))))</f>
        <v>4.694213980665881E-2</v>
      </c>
      <c r="AD186" s="4">
        <f t="array" aca="1" ref="AD186" ca="1">SQRT(MMULT(TRANSPOSE(OFFSET(AD$107,0,0,_num_AL,1)),MMULT(inp_covar_AL,OFFSET(AD$107,0,0,_num_AL,1))))</f>
        <v>4.7256386043056174E-2</v>
      </c>
      <c r="AE186" s="4">
        <f t="array" aca="1" ref="AE186" ca="1">SQRT(MMULT(TRANSPOSE(OFFSET(AE$107,0,0,_num_AL,1)),MMULT(inp_covar_AL,OFFSET(AE$107,0,0,_num_AL,1))))</f>
        <v>4.7580784442932414E-2</v>
      </c>
      <c r="AF186" s="4">
        <f t="array" aca="1" ref="AF186" ca="1">SQRT(MMULT(TRANSPOSE(OFFSET(AF$107,0,0,_num_AL,1)),MMULT(inp_covar_AL,OFFSET(AF$107,0,0,_num_AL,1))))</f>
        <v>4.7907291408938409E-2</v>
      </c>
      <c r="AG186" s="4">
        <f t="array" aca="1" ref="AG186" ca="1">SQRT(MMULT(TRANSPOSE(OFFSET(AG$107,0,0,_num_AL,1)),MMULT(inp_covar_AL,OFFSET(AG$107,0,0,_num_AL,1))))</f>
        <v>4.8253494863123067E-2</v>
      </c>
      <c r="AH186" s="4">
        <f t="array" aca="1" ref="AH186" ca="1">SQRT(MMULT(TRANSPOSE(OFFSET(AH$107,0,0,_num_AL,1)),MMULT(inp_covar_AL,OFFSET(AH$107,0,0,_num_AL,1))))</f>
        <v>4.8605840174232827E-2</v>
      </c>
      <c r="AI186" s="4">
        <f t="array" aca="1" ref="AI186" ca="1">SQRT(MMULT(TRANSPOSE(OFFSET(AI$107,0,0,_num_AL,1)),MMULT(inp_covar_AL,OFFSET(AI$107,0,0,_num_AL,1))))</f>
        <v>4.8973761420071857E-2</v>
      </c>
      <c r="AJ186" s="4">
        <f t="array" aca="1" ref="AJ186" ca="1">SQRT(MMULT(TRANSPOSE(OFFSET(AJ$107,0,0,_num_AL,1)),MMULT(inp_covar_AL,OFFSET(AJ$107,0,0,_num_AL,1))))</f>
        <v>4.9364546995981223E-2</v>
      </c>
      <c r="AK186" s="4">
        <f t="array" aca="1" ref="AK186" ca="1">SQRT(MMULT(TRANSPOSE(OFFSET(AK$107,0,0,_num_AL,1)),MMULT(inp_covar_AL,OFFSET(AK$107,0,0,_num_AL,1))))</f>
        <v>4.9754258427189342E-2</v>
      </c>
      <c r="AL186" s="4">
        <f t="array" aca="1" ref="AL186" ca="1">SQRT(MMULT(TRANSPOSE(OFFSET(AL$107,0,0,_num_AL,1)),MMULT(inp_covar_AL,OFFSET(AL$107,0,0,_num_AL,1))))</f>
        <v>5.0152288985322577E-2</v>
      </c>
      <c r="AM186" s="4">
        <f t="array" aca="1" ref="AM186" ca="1">SQRT(MMULT(TRANSPOSE(OFFSET(AM$107,0,0,_num_AL,1)),MMULT(inp_covar_AL,OFFSET(AM$107,0,0,_num_AL,1))))</f>
        <v>5.0562636447419325E-2</v>
      </c>
      <c r="AN186" s="4">
        <f t="array" aca="1" ref="AN186" ca="1">SQRT(MMULT(TRANSPOSE(OFFSET(AN$107,0,0,_num_AL,1)),MMULT(inp_covar_AL,OFFSET(AN$107,0,0,_num_AL,1))))</f>
        <v>5.0980228776385417E-2</v>
      </c>
      <c r="AO186" s="4">
        <f t="array" aca="1" ref="AO186" ca="1">SQRT(MMULT(TRANSPOSE(OFFSET(AO$107,0,0,_num_AL,1)),MMULT(inp_covar_AL,OFFSET(AO$107,0,0,_num_AL,1))))</f>
        <v>5.1404423787823755E-2</v>
      </c>
      <c r="AP186" s="4">
        <f t="array" aca="1" ref="AP186" ca="1">SQRT(MMULT(TRANSPOSE(OFFSET(AP$107,0,0,_num_AL,1)),MMULT(inp_covar_AL,OFFSET(AP$107,0,0,_num_AL,1))))</f>
        <v>5.1821518680523329E-2</v>
      </c>
      <c r="AQ186" s="4">
        <f t="array" aca="1" ref="AQ186" ca="1">SQRT(MMULT(TRANSPOSE(OFFSET(AQ$107,0,0,_num_AL,1)),MMULT(inp_covar_AL,OFFSET(AQ$107,0,0,_num_AL,1))))</f>
        <v>5.2257024432728817E-2</v>
      </c>
      <c r="AR186" s="4">
        <f t="array" aca="1" ref="AR186" ca="1">SQRT(MMULT(TRANSPOSE(OFFSET(AR$107,0,0,_num_AL,1)),MMULT(inp_covar_AL,OFFSET(AR$107,0,0,_num_AL,1))))</f>
        <v>5.2746469212039349E-2</v>
      </c>
      <c r="AS186" s="4">
        <f t="array" aca="1" ref="AS186" ca="1">SQRT(MMULT(TRANSPOSE(OFFSET(AS$107,0,0,_num_AL,1)),MMULT(inp_covar_AL,OFFSET(AS$107,0,0,_num_AL,1))))</f>
        <v>5.3249826319424931E-2</v>
      </c>
      <c r="AT186" s="4">
        <f t="array" aca="1" ref="AT186" ca="1">SQRT(MMULT(TRANSPOSE(OFFSET(AT$107,0,0,_num_AL,1)),MMULT(inp_covar_AL,OFFSET(AT$107,0,0,_num_AL,1))))</f>
        <v>5.3790934386744267E-2</v>
      </c>
      <c r="AU186" s="4">
        <f t="array" aca="1" ref="AU186" ca="1">SQRT(MMULT(TRANSPOSE(OFFSET(AU$107,0,0,_num_AL,1)),MMULT(inp_covar_AL,OFFSET(AU$107,0,0,_num_AL,1))))</f>
        <v>5.4389545197692457E-2</v>
      </c>
      <c r="AV186" s="4">
        <f t="array" aca="1" ref="AV186" ca="1">SQRT(MMULT(TRANSPOSE(OFFSET(AV$107,0,0,_num_AL,1)),MMULT(inp_covar_AL,OFFSET(AV$107,0,0,_num_AL,1))))</f>
        <v>5.5013733201442226E-2</v>
      </c>
      <c r="AW186" s="4">
        <f t="array" aca="1" ref="AW186" ca="1">SQRT(MMULT(TRANSPOSE(OFFSET(AW$107,0,0,_num_AL,1)),MMULT(inp_covar_AL,OFFSET(AW$107,0,0,_num_AL,1))))</f>
        <v>5.5680012482676226E-2</v>
      </c>
      <c r="AX186" s="4">
        <f t="array" aca="1" ref="AX186" ca="1">SQRT(MMULT(TRANSPOSE(OFFSET(AX$107,0,0,_num_AL,1)),MMULT(inp_covar_AL,OFFSET(AX$107,0,0,_num_AL,1))))</f>
        <v>5.638167150553338E-2</v>
      </c>
      <c r="AY186" s="4">
        <f t="array" aca="1" ref="AY186" ca="1">SQRT(MMULT(TRANSPOSE(OFFSET(AY$107,0,0,_num_AL,1)),MMULT(inp_covar_AL,OFFSET(AY$107,0,0,_num_AL,1))))</f>
        <v>5.7120553999402961E-2</v>
      </c>
      <c r="AZ186" s="4">
        <f t="array" aca="1" ref="AZ186" ca="1">SQRT(MMULT(TRANSPOSE(OFFSET(AZ$107,0,0,_num_AL,1)),MMULT(inp_covar_AL,OFFSET(AZ$107,0,0,_num_AL,1))))</f>
        <v>5.7899526818693245E-2</v>
      </c>
      <c r="BA186" s="4">
        <f t="array" aca="1" ref="BA186" ca="1">SQRT(MMULT(TRANSPOSE(OFFSET(BA$107,0,0,_num_AL,1)),MMULT(inp_covar_AL,OFFSET(BA$107,0,0,_num_AL,1))))</f>
        <v>5.8709246321296864E-2</v>
      </c>
      <c r="BB186" s="4">
        <f t="array" aca="1" ref="BB186" ca="1">SQRT(MMULT(TRANSPOSE(OFFSET(BB$107,0,0,_num_AL,1)),MMULT(inp_covar_AL,OFFSET(BB$107,0,0,_num_AL,1))))</f>
        <v>5.956046919228021E-2</v>
      </c>
      <c r="BC186" s="4">
        <f t="array" aca="1" ref="BC186" ca="1">SQRT(MMULT(TRANSPOSE(OFFSET(BC$107,0,0,_num_AL,1)),MMULT(inp_covar_AL,OFFSET(BC$107,0,0,_num_AL,1))))</f>
        <v>6.0464719301178742E-2</v>
      </c>
      <c r="BD186" s="4">
        <f t="array" aca="1" ref="BD186" ca="1">SQRT(MMULT(TRANSPOSE(OFFSET(BD$107,0,0,_num_AL,1)),MMULT(inp_covar_AL,OFFSET(BD$107,0,0,_num_AL,1))))</f>
        <v>6.1420759613215845E-2</v>
      </c>
      <c r="BE186" s="4">
        <f t="array" aca="1" ref="BE186" ca="1">SQRT(MMULT(TRANSPOSE(OFFSET(BE$107,0,0,_num_AL,1)),MMULT(inp_covar_AL,OFFSET(BE$107,0,0,_num_AL,1))))</f>
        <v>6.2425901694839213E-2</v>
      </c>
      <c r="BF186" s="4">
        <f t="array" aca="1" ref="BF186" ca="1">SQRT(MMULT(TRANSPOSE(OFFSET(BF$107,0,0,_num_AL,1)),MMULT(inp_covar_AL,OFFSET(BF$107,0,0,_num_AL,1))))</f>
        <v>6.3473684340818834E-2</v>
      </c>
      <c r="BG186" s="4">
        <f t="array" aca="1" ref="BG186" ca="1">SQRT(MMULT(TRANSPOSE(OFFSET(BG$107,0,0,_num_AL,1)),MMULT(inp_covar_AL,OFFSET(BG$107,0,0,_num_AL,1))))</f>
        <v>6.456792229372936E-2</v>
      </c>
      <c r="BH186" s="4">
        <f t="array" aca="1" ref="BH186" ca="1">SQRT(MMULT(TRANSPOSE(OFFSET(BH$107,0,0,_num_AL,1)),MMULT(inp_covar_AL,OFFSET(BH$107,0,0,_num_AL,1))))</f>
        <v>6.5704180587969521E-2</v>
      </c>
      <c r="BI186" s="4">
        <f t="array" aca="1" ref="BI186" ca="1">SQRT(MMULT(TRANSPOSE(OFFSET(BI$107,0,0,_num_AL,1)),MMULT(inp_covar_AL,OFFSET(BI$107,0,0,_num_AL,1))))</f>
        <v>6.6882943172825407E-2</v>
      </c>
      <c r="BJ186" s="4">
        <f t="array" aca="1" ref="BJ186" ca="1">SQRT(MMULT(TRANSPOSE(OFFSET(BJ$107,0,0,_num_AL,1)),MMULT(inp_covar_AL,OFFSET(BJ$107,0,0,_num_AL,1))))</f>
        <v>6.8100214902951178E-2</v>
      </c>
      <c r="BK186" s="4">
        <f t="array" aca="1" ref="BK186" ca="1">SQRT(MMULT(TRANSPOSE(OFFSET(BK$107,0,0,_num_AL,1)),MMULT(inp_covar_AL,OFFSET(BK$107,0,0,_num_AL,1))))</f>
        <v>6.9357166284137295E-2</v>
      </c>
      <c r="BL186" s="4">
        <f t="array" aca="1" ref="BL186" ca="1">SQRT(MMULT(TRANSPOSE(OFFSET(BL$107,0,0,_num_AL,1)),MMULT(inp_covar_AL,OFFSET(BL$107,0,0,_num_AL,1))))</f>
        <v>7.0640363998901209E-2</v>
      </c>
      <c r="BM186" s="4">
        <f t="array" aca="1" ref="BM186" ca="1">SQRT(MMULT(TRANSPOSE(OFFSET(BM$107,0,0,_num_AL,1)),MMULT(inp_covar_AL,OFFSET(BM$107,0,0,_num_AL,1))))</f>
        <v>7.1957900528755808E-2</v>
      </c>
      <c r="BN186" s="4">
        <f t="array" aca="1" ref="BN186" ca="1">SQRT(MMULT(TRANSPOSE(OFFSET(BN$107,0,0,_num_AL,1)),MMULT(inp_covar_AL,OFFSET(BN$107,0,0,_num_AL,1))))</f>
        <v>7.3309078868770236E-2</v>
      </c>
      <c r="BO186" s="4">
        <f t="array" aca="1" ref="BO186" ca="1">SQRT(MMULT(TRANSPOSE(OFFSET(BO$107,0,0,_num_AL,1)),MMULT(inp_covar_AL,OFFSET(BO$107,0,0,_num_AL,1))))</f>
        <v>7.4692899500449758E-2</v>
      </c>
      <c r="BP186" s="4">
        <f t="array" aca="1" ref="BP186" ca="1">SQRT(MMULT(TRANSPOSE(OFFSET(BP$107,0,0,_num_AL,1)),MMULT(inp_covar_AL,OFFSET(BP$107,0,0,_num_AL,1))))</f>
        <v>7.6097780054682956E-2</v>
      </c>
      <c r="BQ186" s="4">
        <f t="array" aca="1" ref="BQ186" ca="1">SQRT(MMULT(TRANSPOSE(OFFSET(BQ$107,0,0,_num_AL,1)),MMULT(inp_covar_AL,OFFSET(BQ$107,0,0,_num_AL,1))))</f>
        <v>7.7531501022591681E-2</v>
      </c>
      <c r="BR186" s="4">
        <f t="array" aca="1" ref="BR186" ca="1">SQRT(MMULT(TRANSPOSE(OFFSET(BR$107,0,0,_num_AL,1)),MMULT(inp_covar_AL,OFFSET(BR$107,0,0,_num_AL,1))))</f>
        <v>7.8985460213038747E-2</v>
      </c>
      <c r="BS186" s="4">
        <f t="array" aca="1" ref="BS186" ca="1">SQRT(MMULT(TRANSPOSE(OFFSET(BS$107,0,0,_num_AL,1)),MMULT(inp_covar_AL,OFFSET(BS$107,0,0,_num_AL,1))))</f>
        <v>8.0463125282797643E-2</v>
      </c>
      <c r="BT186" s="4">
        <f t="array" aca="1" ref="BT186" ca="1">SQRT(MMULT(TRANSPOSE(OFFSET(BT$107,0,0,_num_AL,1)),MMULT(inp_covar_AL,OFFSET(BT$107,0,0,_num_AL,1))))</f>
        <v>8.1964620258307266E-2</v>
      </c>
      <c r="BU186" s="4">
        <f t="array" aca="1" ref="BU186" ca="1">SQRT(MMULT(TRANSPOSE(OFFSET(BU$107,0,0,_num_AL,1)),MMULT(inp_covar_AL,OFFSET(BU$107,0,0,_num_AL,1))))</f>
        <v>8.3482169392729233E-2</v>
      </c>
      <c r="BV186" s="4">
        <f t="array" aca="1" ref="BV186" ca="1">SQRT(MMULT(TRANSPOSE(OFFSET(BV$107,0,0,_num_AL,1)),MMULT(inp_covar_AL,OFFSET(BV$107,0,0,_num_AL,1))))</f>
        <v>8.502124805351409E-2</v>
      </c>
      <c r="BW186" s="4">
        <f t="array" aca="1" ref="BW186" ca="1">SQRT(MMULT(TRANSPOSE(OFFSET(BW$107,0,0,_num_AL,1)),MMULT(inp_covar_AL,OFFSET(BW$107,0,0,_num_AL,1))))</f>
        <v>8.6580690919570477E-2</v>
      </c>
      <c r="BX186" s="4">
        <f t="array" aca="1" ref="BX186" ca="1">SQRT(MMULT(TRANSPOSE(OFFSET(BX$107,0,0,_num_AL,1)),MMULT(inp_covar_AL,OFFSET(BX$107,0,0,_num_AL,1))))</f>
        <v>8.815872414665421E-2</v>
      </c>
      <c r="BY186" s="4">
        <f t="array" aca="1" ref="BY186" ca="1">SQRT(MMULT(TRANSPOSE(OFFSET(BY$107,0,0,_num_AL,1)),MMULT(inp_covar_AL,OFFSET(BY$107,0,0,_num_AL,1))))</f>
        <v>8.9752076706491074E-2</v>
      </c>
      <c r="BZ186" s="4">
        <f t="array" aca="1" ref="BZ186" ca="1">SQRT(MMULT(TRANSPOSE(OFFSET(BZ$107,0,0,_num_AL,1)),MMULT(inp_covar_AL,OFFSET(BZ$107,0,0,_num_AL,1))))</f>
        <v>9.1361015675487614E-2</v>
      </c>
      <c r="CA186" s="4">
        <f t="array" aca="1" ref="CA186" ca="1">SQRT(MMULT(TRANSPOSE(OFFSET(CA$107,0,0,_num_AL,1)),MMULT(inp_covar_AL,OFFSET(CA$107,0,0,_num_AL,1))))</f>
        <v>9.2985431151712789E-2</v>
      </c>
      <c r="CB186" s="4">
        <f t="array" aca="1" ref="CB186" ca="1">SQRT(MMULT(TRANSPOSE(OFFSET(CB$107,0,0,_num_AL,1)),MMULT(inp_covar_AL,OFFSET(CB$107,0,0,_num_AL,1))))</f>
        <v>9.4624382612890592E-2</v>
      </c>
      <c r="CC186" s="4">
        <f t="array" aca="1" ref="CC186" ca="1">SQRT(MMULT(TRANSPOSE(OFFSET(CC$107,0,0,_num_AL,1)),MMULT(inp_covar_AL,OFFSET(CC$107,0,0,_num_AL,1))))</f>
        <v>9.6277049023453631E-2</v>
      </c>
      <c r="CD186" s="4">
        <f t="array" aca="1" ref="CD186" ca="1">SQRT(MMULT(TRANSPOSE(OFFSET(CD$107,0,0,_num_AL,1)),MMULT(inp_covar_AL,OFFSET(CD$107,0,0,_num_AL,1))))</f>
        <v>9.7943521465364919E-2</v>
      </c>
      <c r="CE186" s="4">
        <f t="array" aca="1" ref="CE186" ca="1">SQRT(MMULT(TRANSPOSE(OFFSET(CE$107,0,0,_num_AL,1)),MMULT(inp_covar_AL,OFFSET(CE$107,0,0,_num_AL,1))))</f>
        <v>9.9621600914521505E-2</v>
      </c>
      <c r="CF186" s="4">
        <f t="array" aca="1" ref="CF186" ca="1">SQRT(MMULT(TRANSPOSE(OFFSET(CF$107,0,0,_num_AL,1)),MMULT(inp_covar_AL,OFFSET(CF$107,0,0,_num_AL,1))))</f>
        <v>0.10130998684821342</v>
      </c>
      <c r="CG186" s="4">
        <f t="array" aca="1" ref="CG186" ca="1">SQRT(MMULT(TRANSPOSE(OFFSET(CG$107,0,0,_num_AL,1)),MMULT(inp_covar_AL,OFFSET(CG$107,0,0,_num_AL,1))))</f>
        <v>0.10301072491574408</v>
      </c>
      <c r="CH186" s="4">
        <f t="array" aca="1" ref="CH186" ca="1">SQRT(MMULT(TRANSPOSE(OFFSET(CH$107,0,0,_num_AL,1)),MMULT(inp_covar_AL,OFFSET(CH$107,0,0,_num_AL,1))))</f>
        <v>0.10474401832975125</v>
      </c>
      <c r="CI186" s="4">
        <f t="array" aca="1" ref="CI186" ca="1">SQRT(MMULT(TRANSPOSE(OFFSET(CI$107,0,0,_num_AL,1)),MMULT(inp_covar_AL,OFFSET(CI$107,0,0,_num_AL,1))))</f>
        <v>0.10664129284733552</v>
      </c>
      <c r="CJ186" s="4">
        <f t="array" aca="1" ref="CJ186" ca="1">SQRT(MMULT(TRANSPOSE(OFFSET(CJ$107,0,0,_num_AL,1)),MMULT(inp_covar_AL,OFFSET(CJ$107,0,0,_num_AL,1))))</f>
        <v>0.10857971932309582</v>
      </c>
      <c r="CK186" s="4">
        <f t="array" aca="1" ref="CK186" ca="1">SQRT(MMULT(TRANSPOSE(OFFSET(CK$107,0,0,_num_AL,1)),MMULT(inp_covar_AL,OFFSET(CK$107,0,0,_num_AL,1))))</f>
        <v>0.11058409306983358</v>
      </c>
      <c r="CL186" s="4">
        <f t="array" aca="1" ref="CL186" ca="1">SQRT(MMULT(TRANSPOSE(OFFSET(CL$107,0,0,_num_AL,1)),MMULT(inp_covar_AL,OFFSET(CL$107,0,0,_num_AL,1))))</f>
        <v>0.11280104078579413</v>
      </c>
      <c r="CM186" s="4">
        <f t="array" aca="1" ref="CM186" ca="1">SQRT(MMULT(TRANSPOSE(OFFSET(CM$107,0,0,_num_AL,1)),MMULT(inp_covar_AL,OFFSET(CM$107,0,0,_num_AL,1))))</f>
        <v>0.11514261329618061</v>
      </c>
      <c r="CN186" s="4">
        <f t="array" aca="1" ref="CN186" ca="1">SQRT(MMULT(TRANSPOSE(OFFSET(CN$107,0,0,_num_AL,1)),MMULT(inp_covar_AL,OFFSET(CN$107,0,0,_num_AL,1))))</f>
        <v>0.11761834035104854</v>
      </c>
      <c r="CO186" s="4">
        <f t="array" aca="1" ref="CO186" ca="1">SQRT(MMULT(TRANSPOSE(OFFSET(CO$107,0,0,_num_AL,1)),MMULT(inp_covar_AL,OFFSET(CO$107,0,0,_num_AL,1))))</f>
        <v>0.12025848344689138</v>
      </c>
      <c r="CP186" s="4">
        <f t="array" aca="1" ref="CP186" ca="1">SQRT(MMULT(TRANSPOSE(OFFSET(CP$107,0,0,_num_AL,1)),MMULT(inp_covar_AL,OFFSET(CP$107,0,0,_num_AL,1))))</f>
        <v>0.12294901680697266</v>
      </c>
      <c r="CQ186" s="4">
        <f t="array" aca="1" ref="CQ186" ca="1">SQRT(MMULT(TRANSPOSE(OFFSET(CQ$107,0,0,_num_AL,1)),MMULT(inp_covar_AL,OFFSET(CQ$107,0,0,_num_AL,1))))</f>
        <v>0.12566710933460332</v>
      </c>
      <c r="CR186" s="4">
        <f t="array" aca="1" ref="CR186" ca="1">SQRT(MMULT(TRANSPOSE(OFFSET(CR$107,0,0,_num_AL,1)),MMULT(inp_covar_AL,OFFSET(CR$107,0,0,_num_AL,1))))</f>
        <v>0.12841700291786828</v>
      </c>
      <c r="CS186" s="4">
        <f t="array" aca="1" ref="CS186" ca="1">SQRT(MMULT(TRANSPOSE(OFFSET(CS$107,0,0,_num_AL,1)),MMULT(inp_covar_AL,OFFSET(CS$107,0,0,_num_AL,1))))</f>
        <v>0.1312394968787893</v>
      </c>
      <c r="CT186" s="4">
        <f t="array" aca="1" ref="CT186" ca="1">SQRT(MMULT(TRANSPOSE(OFFSET(CT$107,0,0,_num_AL,1)),MMULT(inp_covar_AL,OFFSET(CT$107,0,0,_num_AL,1))))</f>
        <v>0.13421664397080776</v>
      </c>
      <c r="CU186" s="4">
        <f t="array" aca="1" ref="CU186" ca="1">SQRT(MMULT(TRANSPOSE(OFFSET(CU$107,0,0,_num_AL,1)),MMULT(inp_covar_AL,OFFSET(CU$107,0,0,_num_AL,1))))</f>
        <v>0.13733838710198609</v>
      </c>
      <c r="CV186" s="4">
        <f t="array" aca="1" ref="CV186" ca="1">SQRT(MMULT(TRANSPOSE(OFFSET(CV$107,0,0,_num_AL,1)),MMULT(inp_covar_AL,OFFSET(CV$107,0,0,_num_AL,1))))</f>
        <v>0.14059509486451624</v>
      </c>
      <c r="CW186" s="4">
        <f t="array" aca="1" ref="CW186" ca="1">SQRT(MMULT(TRANSPOSE(OFFSET(CW$107,0,0,_num_AL,1)),MMULT(inp_covar_AL,OFFSET(CW$107,0,0,_num_AL,1))))</f>
        <v>0.1439776090347005</v>
      </c>
      <c r="CX186" s="4">
        <f t="array" aca="1" ref="CX186" ca="1">SQRT(MMULT(TRANSPOSE(OFFSET(CX$107,0,0,_num_AL,1)),MMULT(inp_covar_AL,OFFSET(CX$107,0,0,_num_AL,1))))</f>
        <v>0.14824001074387935</v>
      </c>
    </row>
    <row r="187" spans="1:102" x14ac:dyDescent="0.2">
      <c r="B187" s="2"/>
    </row>
    <row r="188" spans="1:102" x14ac:dyDescent="0.2">
      <c r="A188" s="1" t="s">
        <v>137</v>
      </c>
      <c r="B188" s="51" t="s">
        <v>133</v>
      </c>
      <c r="C188" s="182">
        <f>C105</f>
        <v>1.2593218302673324E-2</v>
      </c>
      <c r="D188" s="182">
        <f t="shared" ref="D188:BO188" si="468">D105</f>
        <v>1.2859380180842938E-2</v>
      </c>
      <c r="E188" s="182">
        <f t="shared" si="468"/>
        <v>1.3117760835201036E-2</v>
      </c>
      <c r="F188" s="182">
        <f t="shared" si="468"/>
        <v>1.3387942423145952E-2</v>
      </c>
      <c r="G188" s="182">
        <f t="shared" si="468"/>
        <v>1.3649504944628198E-2</v>
      </c>
      <c r="H188" s="182">
        <f t="shared" si="468"/>
        <v>1.3919486726837692E-2</v>
      </c>
      <c r="I188" s="182">
        <f t="shared" si="468"/>
        <v>1.4183240866157926E-2</v>
      </c>
      <c r="J188" s="182">
        <f t="shared" si="468"/>
        <v>1.4437127989470996E-2</v>
      </c>
      <c r="K188" s="182">
        <f t="shared" si="468"/>
        <v>1.4694554397604403E-2</v>
      </c>
      <c r="L188" s="182">
        <f t="shared" si="468"/>
        <v>1.4952562541048691E-2</v>
      </c>
      <c r="M188" s="182">
        <f t="shared" si="468"/>
        <v>1.5209049532054719E-2</v>
      </c>
      <c r="N188" s="182">
        <f t="shared" si="468"/>
        <v>1.5468112335729065E-2</v>
      </c>
      <c r="O188" s="182">
        <f t="shared" si="468"/>
        <v>1.5723320859829869E-2</v>
      </c>
      <c r="P188" s="182">
        <f t="shared" si="468"/>
        <v>1.5982410303612204E-2</v>
      </c>
      <c r="Q188" s="182">
        <f t="shared" si="468"/>
        <v>1.6240007283601299E-2</v>
      </c>
      <c r="R188" s="182">
        <f t="shared" si="468"/>
        <v>1.6494234149768482E-2</v>
      </c>
      <c r="S188" s="182">
        <f t="shared" si="468"/>
        <v>1.6755734259694132E-2</v>
      </c>
      <c r="T188" s="182">
        <f t="shared" si="468"/>
        <v>1.7019656224193946E-2</v>
      </c>
      <c r="U188" s="182">
        <f t="shared" si="468"/>
        <v>1.7282267442903395E-2</v>
      </c>
      <c r="V188" s="182">
        <f t="shared" si="468"/>
        <v>1.7545702555196715E-2</v>
      </c>
      <c r="W188" s="182">
        <f t="shared" si="468"/>
        <v>1.7805980533814447E-2</v>
      </c>
      <c r="X188" s="182">
        <f t="shared" si="468"/>
        <v>1.809570566086276E-2</v>
      </c>
      <c r="Y188" s="182">
        <f t="shared" si="468"/>
        <v>1.8442486347051434E-2</v>
      </c>
      <c r="Z188" s="182">
        <f t="shared" si="468"/>
        <v>1.875671987401838E-2</v>
      </c>
      <c r="AA188" s="182">
        <f t="shared" si="468"/>
        <v>1.9039737196677165E-2</v>
      </c>
      <c r="AB188" s="182">
        <f t="shared" si="468"/>
        <v>1.9323682196195912E-2</v>
      </c>
      <c r="AC188" s="182">
        <f t="shared" si="468"/>
        <v>1.95990581680817E-2</v>
      </c>
      <c r="AD188" s="182">
        <f t="shared" si="468"/>
        <v>1.9876880977487962E-2</v>
      </c>
      <c r="AE188" s="182">
        <f t="shared" si="468"/>
        <v>2.0139629056664148E-2</v>
      </c>
      <c r="AF188" s="182">
        <f t="shared" si="468"/>
        <v>2.0412613863927415E-2</v>
      </c>
      <c r="AG188" s="182">
        <f t="shared" si="468"/>
        <v>2.0695949460005286E-2</v>
      </c>
      <c r="AH188" s="182">
        <f t="shared" si="468"/>
        <v>2.0977891786637521E-2</v>
      </c>
      <c r="AI188" s="182">
        <f t="shared" si="468"/>
        <v>2.126178987762509E-2</v>
      </c>
      <c r="AJ188" s="182">
        <f t="shared" si="468"/>
        <v>2.1548248859080642E-2</v>
      </c>
      <c r="AK188" s="182">
        <f t="shared" si="468"/>
        <v>2.1841780264964795E-2</v>
      </c>
      <c r="AL188" s="182">
        <f t="shared" si="468"/>
        <v>2.2106309403439103E-2</v>
      </c>
      <c r="AM188" s="182">
        <f t="shared" si="468"/>
        <v>2.2363583915269724E-2</v>
      </c>
      <c r="AN188" s="182">
        <f t="shared" si="468"/>
        <v>2.2639471040300434E-2</v>
      </c>
      <c r="AO188" s="182">
        <f t="shared" si="468"/>
        <v>2.2933745388358098E-2</v>
      </c>
      <c r="AP188" s="182">
        <f t="shared" si="468"/>
        <v>2.3195858698199758E-2</v>
      </c>
      <c r="AQ188" s="182">
        <f t="shared" si="468"/>
        <v>2.3502170130099937E-2</v>
      </c>
      <c r="AR188" s="182">
        <f t="shared" si="468"/>
        <v>2.3812515439647072E-2</v>
      </c>
      <c r="AS188" s="182">
        <f t="shared" si="468"/>
        <v>2.4117149761342164E-2</v>
      </c>
      <c r="AT188" s="182">
        <f t="shared" si="468"/>
        <v>2.4434638458448132E-2</v>
      </c>
      <c r="AU188" s="182">
        <f t="shared" si="468"/>
        <v>2.4763711651581168E-2</v>
      </c>
      <c r="AV188" s="182">
        <f t="shared" si="468"/>
        <v>2.5082946909919312E-2</v>
      </c>
      <c r="AW188" s="182">
        <f t="shared" si="468"/>
        <v>2.5423917521744267E-2</v>
      </c>
      <c r="AX188" s="182">
        <f t="shared" si="468"/>
        <v>2.5761675489020388E-2</v>
      </c>
      <c r="AY188" s="182">
        <f t="shared" si="468"/>
        <v>2.6102525341762977E-2</v>
      </c>
      <c r="AZ188" s="182">
        <f t="shared" si="468"/>
        <v>2.6444252133273036E-2</v>
      </c>
      <c r="BA188" s="182">
        <f t="shared" si="468"/>
        <v>2.6773056025885988E-2</v>
      </c>
      <c r="BB188" s="182">
        <f t="shared" si="468"/>
        <v>2.7122085612618547E-2</v>
      </c>
      <c r="BC188" s="182">
        <f t="shared" si="468"/>
        <v>2.7469755764897501E-2</v>
      </c>
      <c r="BD188" s="182">
        <f t="shared" si="468"/>
        <v>2.7817070442858912E-2</v>
      </c>
      <c r="BE188" s="182">
        <f t="shared" si="468"/>
        <v>2.8163711795348569E-2</v>
      </c>
      <c r="BF188" s="182">
        <f t="shared" si="468"/>
        <v>2.8502327969457612E-2</v>
      </c>
      <c r="BG188" s="182">
        <f t="shared" si="468"/>
        <v>2.8843756739542103E-2</v>
      </c>
      <c r="BH188" s="182">
        <f t="shared" si="468"/>
        <v>2.9181782176085396E-2</v>
      </c>
      <c r="BI188" s="182">
        <f t="shared" si="468"/>
        <v>2.9530550766824811E-2</v>
      </c>
      <c r="BJ188" s="182">
        <f t="shared" si="468"/>
        <v>2.9878704470469284E-2</v>
      </c>
      <c r="BK188" s="182">
        <f t="shared" si="468"/>
        <v>3.0232212339086548E-2</v>
      </c>
      <c r="BL188" s="182">
        <f t="shared" si="468"/>
        <v>3.0571176532984853E-2</v>
      </c>
      <c r="BM188" s="182">
        <f t="shared" si="468"/>
        <v>3.0913013916415811E-2</v>
      </c>
      <c r="BN188" s="182">
        <f t="shared" si="468"/>
        <v>3.1261262120577074E-2</v>
      </c>
      <c r="BO188" s="182">
        <f t="shared" si="468"/>
        <v>3.1614166990651379E-2</v>
      </c>
      <c r="BP188" s="182">
        <f t="shared" ref="BP188:CX188" si="469">BP105</f>
        <v>3.1957561120050687E-2</v>
      </c>
      <c r="BQ188" s="182">
        <f t="shared" si="469"/>
        <v>3.2304811745668752E-2</v>
      </c>
      <c r="BR188" s="182">
        <f t="shared" si="469"/>
        <v>3.2646540990036541E-2</v>
      </c>
      <c r="BS188" s="182">
        <f t="shared" si="469"/>
        <v>3.2988772128005078E-2</v>
      </c>
      <c r="BT188" s="182">
        <f t="shared" si="469"/>
        <v>3.3333785761720275E-2</v>
      </c>
      <c r="BU188" s="182">
        <f t="shared" si="469"/>
        <v>3.3670862074876615E-2</v>
      </c>
      <c r="BV188" s="182">
        <f t="shared" si="469"/>
        <v>3.4009635442485989E-2</v>
      </c>
      <c r="BW188" s="182">
        <f t="shared" si="469"/>
        <v>3.4352353656960821E-2</v>
      </c>
      <c r="BX188" s="182">
        <f t="shared" si="469"/>
        <v>3.4698159291505437E-2</v>
      </c>
      <c r="BY188" s="182">
        <f t="shared" si="469"/>
        <v>3.5039778082528117E-2</v>
      </c>
      <c r="BZ188" s="182">
        <f t="shared" si="469"/>
        <v>3.5379571103959756E-2</v>
      </c>
      <c r="CA188" s="182">
        <f t="shared" si="469"/>
        <v>3.5720135104250289E-2</v>
      </c>
      <c r="CB188" s="182">
        <f t="shared" si="469"/>
        <v>3.6062353853796567E-2</v>
      </c>
      <c r="CC188" s="182">
        <f t="shared" si="469"/>
        <v>3.6408102111872634E-2</v>
      </c>
      <c r="CD188" s="182">
        <f t="shared" si="469"/>
        <v>3.6759323623249032E-2</v>
      </c>
      <c r="CE188" s="182">
        <f t="shared" si="469"/>
        <v>3.7105862227428357E-2</v>
      </c>
      <c r="CF188" s="182">
        <f t="shared" si="469"/>
        <v>3.7447620377328336E-2</v>
      </c>
      <c r="CG188" s="182">
        <f t="shared" si="469"/>
        <v>3.7794752655304034E-2</v>
      </c>
      <c r="CH188" s="182">
        <f t="shared" si="469"/>
        <v>3.8074614635254259E-2</v>
      </c>
      <c r="CI188" s="182">
        <f t="shared" si="469"/>
        <v>3.8360333234115113E-2</v>
      </c>
      <c r="CJ188" s="182">
        <f t="shared" si="469"/>
        <v>3.8667193597917003E-2</v>
      </c>
      <c r="CK188" s="182">
        <f t="shared" si="469"/>
        <v>3.8934903043529867E-2</v>
      </c>
      <c r="CL188" s="182">
        <f t="shared" si="469"/>
        <v>3.9191880994540379E-2</v>
      </c>
      <c r="CM188" s="182">
        <f t="shared" si="469"/>
        <v>3.9503482611013011E-2</v>
      </c>
      <c r="CN188" s="182">
        <f t="shared" si="469"/>
        <v>3.973859795410048E-2</v>
      </c>
      <c r="CO188" s="182">
        <f t="shared" si="469"/>
        <v>4.0042126088962557E-2</v>
      </c>
      <c r="CP188" s="182">
        <f t="shared" si="469"/>
        <v>4.0404685688930908E-2</v>
      </c>
      <c r="CQ188" s="182">
        <f t="shared" si="469"/>
        <v>4.0743347339290498E-2</v>
      </c>
      <c r="CR188" s="182">
        <f t="shared" si="469"/>
        <v>4.1091039163700487E-2</v>
      </c>
      <c r="CS188" s="182">
        <f t="shared" si="469"/>
        <v>4.132615450678806E-2</v>
      </c>
      <c r="CT188" s="182">
        <f t="shared" si="469"/>
        <v>4.1561269849875418E-2</v>
      </c>
      <c r="CU188" s="182">
        <f t="shared" si="469"/>
        <v>4.1796385192962873E-2</v>
      </c>
      <c r="CV188" s="182">
        <f t="shared" si="469"/>
        <v>4.2031500536050329E-2</v>
      </c>
      <c r="CW188" s="182">
        <f t="shared" si="469"/>
        <v>4.2266615879137742E-2</v>
      </c>
      <c r="CX188" s="182">
        <f t="shared" si="469"/>
        <v>4.2648552314586946E-2</v>
      </c>
    </row>
    <row r="189" spans="1:102" x14ac:dyDescent="0.2">
      <c r="B189" s="51" t="s">
        <v>54</v>
      </c>
      <c r="C189" s="182">
        <f>C104</f>
        <v>4.4019225072215645E-2</v>
      </c>
      <c r="D189" s="182">
        <f t="shared" ref="D189:BO189" si="470">D104</f>
        <v>4.4059924070272712E-2</v>
      </c>
      <c r="E189" s="182">
        <f t="shared" si="470"/>
        <v>4.4107107294600413E-2</v>
      </c>
      <c r="F189" s="182">
        <f t="shared" si="470"/>
        <v>4.4155522046627808E-2</v>
      </c>
      <c r="G189" s="182">
        <f t="shared" si="470"/>
        <v>4.4213734387415465E-2</v>
      </c>
      <c r="H189" s="182">
        <f t="shared" si="470"/>
        <v>4.4273368188437578E-2</v>
      </c>
      <c r="I189" s="182">
        <f t="shared" si="470"/>
        <v>4.4331410274506676E-2</v>
      </c>
      <c r="J189" s="182">
        <f t="shared" si="470"/>
        <v>4.4390905276413956E-2</v>
      </c>
      <c r="K189" s="182">
        <f t="shared" si="470"/>
        <v>4.445670522649562E-2</v>
      </c>
      <c r="L189" s="182">
        <f t="shared" si="470"/>
        <v>4.4524787352485537E-2</v>
      </c>
      <c r="M189" s="182">
        <f t="shared" si="470"/>
        <v>4.459206490685573E-2</v>
      </c>
      <c r="N189" s="182">
        <f t="shared" si="470"/>
        <v>4.4661539348436398E-2</v>
      </c>
      <c r="O189" s="182">
        <f t="shared" si="470"/>
        <v>4.4732658923192906E-2</v>
      </c>
      <c r="P189" s="182">
        <f t="shared" si="470"/>
        <v>4.4805383767162164E-2</v>
      </c>
      <c r="Q189" s="182">
        <f t="shared" si="470"/>
        <v>4.4877159483399293E-2</v>
      </c>
      <c r="R189" s="182">
        <f t="shared" si="470"/>
        <v>4.4955797886803282E-2</v>
      </c>
      <c r="S189" s="182">
        <f t="shared" si="470"/>
        <v>4.5035992299613165E-2</v>
      </c>
      <c r="T189" s="182">
        <f t="shared" si="470"/>
        <v>4.5121712754527747E-2</v>
      </c>
      <c r="U189" s="182">
        <f t="shared" si="470"/>
        <v>4.5207825257056543E-2</v>
      </c>
      <c r="V189" s="182">
        <f t="shared" si="470"/>
        <v>4.5295785534769574E-2</v>
      </c>
      <c r="W189" s="182">
        <f t="shared" si="470"/>
        <v>4.538523981129633E-2</v>
      </c>
      <c r="X189" s="182">
        <f t="shared" si="470"/>
        <v>4.5504603682205824E-2</v>
      </c>
      <c r="Y189" s="182">
        <f t="shared" si="470"/>
        <v>4.5702290065559974E-2</v>
      </c>
      <c r="Z189" s="182">
        <f t="shared" si="470"/>
        <v>4.5944902592063151E-2</v>
      </c>
      <c r="AA189" s="182">
        <f t="shared" si="470"/>
        <v>4.6216325767918773E-2</v>
      </c>
      <c r="AB189" s="182">
        <f t="shared" si="470"/>
        <v>4.6509512483711199E-2</v>
      </c>
      <c r="AC189" s="182">
        <f t="shared" si="470"/>
        <v>4.6806420225782137E-2</v>
      </c>
      <c r="AD189" s="182">
        <f t="shared" si="470"/>
        <v>4.7119246883828993E-2</v>
      </c>
      <c r="AE189" s="182">
        <f t="shared" si="470"/>
        <v>4.7443538212094627E-2</v>
      </c>
      <c r="AF189" s="182">
        <f t="shared" si="470"/>
        <v>4.7767326830766857E-2</v>
      </c>
      <c r="AG189" s="182">
        <f t="shared" si="470"/>
        <v>4.8107116643463906E-2</v>
      </c>
      <c r="AH189" s="182">
        <f t="shared" si="470"/>
        <v>4.8456257516112988E-2</v>
      </c>
      <c r="AI189" s="182">
        <f t="shared" si="470"/>
        <v>4.8819767425493758E-2</v>
      </c>
      <c r="AJ189" s="182">
        <f t="shared" si="470"/>
        <v>4.9201550036850547E-2</v>
      </c>
      <c r="AK189" s="182">
        <f t="shared" si="470"/>
        <v>4.9584749476628852E-2</v>
      </c>
      <c r="AL189" s="182">
        <f t="shared" si="470"/>
        <v>4.9982672425640189E-2</v>
      </c>
      <c r="AM189" s="182">
        <f t="shared" si="470"/>
        <v>5.0392355483864122E-2</v>
      </c>
      <c r="AN189" s="182">
        <f t="shared" si="470"/>
        <v>5.0806850632391286E-2</v>
      </c>
      <c r="AO189" s="182">
        <f t="shared" si="470"/>
        <v>5.122573163412384E-2</v>
      </c>
      <c r="AP189" s="182">
        <f t="shared" si="470"/>
        <v>5.1641202045107075E-2</v>
      </c>
      <c r="AQ189" s="182">
        <f t="shared" si="470"/>
        <v>5.2072324760543028E-2</v>
      </c>
      <c r="AR189" s="182">
        <f t="shared" si="470"/>
        <v>5.254843064291409E-2</v>
      </c>
      <c r="AS189" s="182">
        <f t="shared" si="470"/>
        <v>5.3042030105901743E-2</v>
      </c>
      <c r="AT189" s="182">
        <f t="shared" si="470"/>
        <v>5.3570265229792476E-2</v>
      </c>
      <c r="AU189" s="182">
        <f t="shared" si="470"/>
        <v>5.4151124050103479E-2</v>
      </c>
      <c r="AV189" s="182">
        <f t="shared" si="470"/>
        <v>5.4758799654648492E-2</v>
      </c>
      <c r="AW189" s="182">
        <f t="shared" si="470"/>
        <v>5.5408465655392848E-2</v>
      </c>
      <c r="AX189" s="182">
        <f t="shared" si="470"/>
        <v>5.6097543273296607E-2</v>
      </c>
      <c r="AY189" s="182">
        <f t="shared" si="470"/>
        <v>5.68275027495019E-2</v>
      </c>
      <c r="AZ189" s="182">
        <f t="shared" si="470"/>
        <v>5.7598420717797576E-2</v>
      </c>
      <c r="BA189" s="182">
        <f t="shared" si="470"/>
        <v>5.8395728734416563E-2</v>
      </c>
      <c r="BB189" s="182">
        <f t="shared" si="470"/>
        <v>5.9245231479980849E-2</v>
      </c>
      <c r="BC189" s="182">
        <f t="shared" si="470"/>
        <v>6.0147941897379806E-2</v>
      </c>
      <c r="BD189" s="182">
        <f t="shared" si="470"/>
        <v>6.1102747724775919E-2</v>
      </c>
      <c r="BE189" s="182">
        <f t="shared" si="470"/>
        <v>6.2106816215923885E-2</v>
      </c>
      <c r="BF189" s="182">
        <f t="shared" si="470"/>
        <v>6.3150900148740627E-2</v>
      </c>
      <c r="BG189" s="182">
        <f t="shared" si="470"/>
        <v>6.4242987015853098E-2</v>
      </c>
      <c r="BH189" s="182">
        <f t="shared" si="470"/>
        <v>6.5376309123214779E-2</v>
      </c>
      <c r="BI189" s="182">
        <f t="shared" si="470"/>
        <v>6.6556348947474545E-2</v>
      </c>
      <c r="BJ189" s="182">
        <f t="shared" si="470"/>
        <v>6.7774940875103162E-2</v>
      </c>
      <c r="BK189" s="182">
        <f t="shared" si="470"/>
        <v>6.9035244559670902E-2</v>
      </c>
      <c r="BL189" s="182">
        <f t="shared" si="470"/>
        <v>7.0317165224853623E-2</v>
      </c>
      <c r="BM189" s="182">
        <f t="shared" si="470"/>
        <v>7.163467924256206E-2</v>
      </c>
      <c r="BN189" s="182">
        <f t="shared" si="470"/>
        <v>7.2988092605603558E-2</v>
      </c>
      <c r="BO189" s="182">
        <f t="shared" si="470"/>
        <v>7.4375713911097124E-2</v>
      </c>
      <c r="BP189" s="182">
        <f t="shared" ref="BP189:CX189" si="471">BP104</f>
        <v>7.5781633441905388E-2</v>
      </c>
      <c r="BQ189" s="182">
        <f t="shared" si="471"/>
        <v>7.7217696025394814E-2</v>
      </c>
      <c r="BR189" s="182">
        <f t="shared" si="471"/>
        <v>7.8672549096830455E-2</v>
      </c>
      <c r="BS189" s="182">
        <f t="shared" si="471"/>
        <v>8.0151423610871048E-2</v>
      </c>
      <c r="BT189" s="182">
        <f t="shared" si="471"/>
        <v>8.1655029327129064E-2</v>
      </c>
      <c r="BU189" s="182">
        <f t="shared" si="471"/>
        <v>8.3172718472731971E-2</v>
      </c>
      <c r="BV189" s="182">
        <f t="shared" si="471"/>
        <v>8.471256878798239E-2</v>
      </c>
      <c r="BW189" s="182">
        <f t="shared" si="471"/>
        <v>8.6273920336738905E-2</v>
      </c>
      <c r="BX189" s="182">
        <f t="shared" si="471"/>
        <v>8.7854705638477651E-2</v>
      </c>
      <c r="BY189" s="182">
        <f t="shared" si="471"/>
        <v>8.9449877155839283E-2</v>
      </c>
      <c r="BZ189" s="182">
        <f t="shared" si="471"/>
        <v>9.1060310863250213E-2</v>
      </c>
      <c r="CA189" s="182">
        <f t="shared" si="471"/>
        <v>9.2686499937027197E-2</v>
      </c>
      <c r="CB189" s="182">
        <f t="shared" si="471"/>
        <v>9.4327673928871314E-2</v>
      </c>
      <c r="CC189" s="182">
        <f t="shared" si="471"/>
        <v>9.5983375718270994E-2</v>
      </c>
      <c r="CD189" s="182">
        <f t="shared" si="471"/>
        <v>9.7654042012971107E-2</v>
      </c>
      <c r="CE189" s="182">
        <f t="shared" si="471"/>
        <v>9.9335329654231058E-2</v>
      </c>
      <c r="CF189" s="182">
        <f t="shared" si="471"/>
        <v>0.10102598162443387</v>
      </c>
      <c r="CG189" s="182">
        <f t="shared" si="471"/>
        <v>0.10273007526475945</v>
      </c>
      <c r="CH189" s="182">
        <f t="shared" si="471"/>
        <v>0.10445415933544043</v>
      </c>
      <c r="CI189" s="182">
        <f t="shared" si="471"/>
        <v>0.10635509495333026</v>
      </c>
      <c r="CJ189" s="182">
        <f t="shared" si="471"/>
        <v>0.10830596904600072</v>
      </c>
      <c r="CK189" s="182">
        <f t="shared" si="471"/>
        <v>0.1103088060373397</v>
      </c>
      <c r="CL189" s="182">
        <f t="shared" si="471"/>
        <v>0.11251546329065847</v>
      </c>
      <c r="CM189" s="182">
        <f t="shared" si="471"/>
        <v>0.11485199584552885</v>
      </c>
      <c r="CN189" s="182">
        <f t="shared" si="471"/>
        <v>0.1173179998379319</v>
      </c>
      <c r="CO189" s="182">
        <f t="shared" si="471"/>
        <v>0.11995799863320243</v>
      </c>
      <c r="CP189" s="182">
        <f t="shared" si="471"/>
        <v>0.1226558132483883</v>
      </c>
      <c r="CQ189" s="182">
        <f t="shared" si="471"/>
        <v>0.12537877282731519</v>
      </c>
      <c r="CR189" s="182">
        <f t="shared" si="471"/>
        <v>0.12813483039604998</v>
      </c>
      <c r="CS189" s="182">
        <f t="shared" si="471"/>
        <v>0.13095254420936689</v>
      </c>
      <c r="CT189" s="182">
        <f t="shared" si="471"/>
        <v>0.13392603851874008</v>
      </c>
      <c r="CU189" s="182">
        <f t="shared" si="471"/>
        <v>0.13704517370515393</v>
      </c>
      <c r="CV189" s="182">
        <f t="shared" si="471"/>
        <v>0.14030023650216633</v>
      </c>
      <c r="CW189" s="182">
        <f t="shared" si="471"/>
        <v>0.14368198903616106</v>
      </c>
      <c r="CX189" s="182">
        <f t="shared" si="471"/>
        <v>0.1479602712632723</v>
      </c>
    </row>
    <row r="190" spans="1:102" x14ac:dyDescent="0.2">
      <c r="B190" s="2"/>
    </row>
    <row r="191" spans="1:102" x14ac:dyDescent="0.2">
      <c r="A191" s="2">
        <f ca="1">COUNTIF(C191:CX191,"&lt;&gt;0")</f>
        <v>0</v>
      </c>
      <c r="B191" s="2" t="s">
        <v>135</v>
      </c>
      <c r="C191" s="4">
        <f t="shared" ref="C191:AH191" ca="1" si="472">ROUND(C188-C185,4)</f>
        <v>0</v>
      </c>
      <c r="D191" s="4">
        <f t="shared" ca="1" si="472"/>
        <v>0</v>
      </c>
      <c r="E191" s="4">
        <f t="shared" ca="1" si="472"/>
        <v>0</v>
      </c>
      <c r="F191" s="4">
        <f t="shared" ca="1" si="472"/>
        <v>0</v>
      </c>
      <c r="G191" s="4">
        <f t="shared" ca="1" si="472"/>
        <v>0</v>
      </c>
      <c r="H191" s="4">
        <f t="shared" ca="1" si="472"/>
        <v>0</v>
      </c>
      <c r="I191" s="4">
        <f t="shared" ca="1" si="472"/>
        <v>0</v>
      </c>
      <c r="J191" s="4">
        <f t="shared" ca="1" si="472"/>
        <v>0</v>
      </c>
      <c r="K191" s="4">
        <f t="shared" ca="1" si="472"/>
        <v>0</v>
      </c>
      <c r="L191" s="4">
        <f t="shared" ca="1" si="472"/>
        <v>0</v>
      </c>
      <c r="M191" s="4">
        <f t="shared" ca="1" si="472"/>
        <v>0</v>
      </c>
      <c r="N191" s="4">
        <f t="shared" ca="1" si="472"/>
        <v>0</v>
      </c>
      <c r="O191" s="4">
        <f t="shared" ca="1" si="472"/>
        <v>0</v>
      </c>
      <c r="P191" s="4">
        <f t="shared" ca="1" si="472"/>
        <v>0</v>
      </c>
      <c r="Q191" s="4">
        <f t="shared" ca="1" si="472"/>
        <v>0</v>
      </c>
      <c r="R191" s="4">
        <f t="shared" ca="1" si="472"/>
        <v>0</v>
      </c>
      <c r="S191" s="4">
        <f t="shared" ca="1" si="472"/>
        <v>0</v>
      </c>
      <c r="T191" s="4">
        <f t="shared" ca="1" si="472"/>
        <v>0</v>
      </c>
      <c r="U191" s="4">
        <f t="shared" ca="1" si="472"/>
        <v>0</v>
      </c>
      <c r="V191" s="4">
        <f t="shared" ca="1" si="472"/>
        <v>0</v>
      </c>
      <c r="W191" s="4">
        <f t="shared" ca="1" si="472"/>
        <v>0</v>
      </c>
      <c r="X191" s="4">
        <f t="shared" ca="1" si="472"/>
        <v>0</v>
      </c>
      <c r="Y191" s="4">
        <f t="shared" ca="1" si="472"/>
        <v>0</v>
      </c>
      <c r="Z191" s="4">
        <f t="shared" ca="1" si="472"/>
        <v>0</v>
      </c>
      <c r="AA191" s="4">
        <f t="shared" ca="1" si="472"/>
        <v>0</v>
      </c>
      <c r="AB191" s="4">
        <f t="shared" ca="1" si="472"/>
        <v>0</v>
      </c>
      <c r="AC191" s="4">
        <f t="shared" ca="1" si="472"/>
        <v>0</v>
      </c>
      <c r="AD191" s="4">
        <f t="shared" ca="1" si="472"/>
        <v>0</v>
      </c>
      <c r="AE191" s="4">
        <f t="shared" ca="1" si="472"/>
        <v>0</v>
      </c>
      <c r="AF191" s="4">
        <f t="shared" ca="1" si="472"/>
        <v>0</v>
      </c>
      <c r="AG191" s="4">
        <f t="shared" ca="1" si="472"/>
        <v>0</v>
      </c>
      <c r="AH191" s="4">
        <f t="shared" ca="1" si="472"/>
        <v>0</v>
      </c>
      <c r="AI191" s="4">
        <f t="shared" ref="AI191:BN191" ca="1" si="473">ROUND(AI188-AI185,4)</f>
        <v>0</v>
      </c>
      <c r="AJ191" s="4">
        <f t="shared" ca="1" si="473"/>
        <v>0</v>
      </c>
      <c r="AK191" s="4">
        <f t="shared" ca="1" si="473"/>
        <v>0</v>
      </c>
      <c r="AL191" s="4">
        <f t="shared" ca="1" si="473"/>
        <v>0</v>
      </c>
      <c r="AM191" s="4">
        <f t="shared" ca="1" si="473"/>
        <v>0</v>
      </c>
      <c r="AN191" s="4">
        <f t="shared" ca="1" si="473"/>
        <v>0</v>
      </c>
      <c r="AO191" s="4">
        <f t="shared" ca="1" si="473"/>
        <v>0</v>
      </c>
      <c r="AP191" s="4">
        <f t="shared" ca="1" si="473"/>
        <v>0</v>
      </c>
      <c r="AQ191" s="4">
        <f t="shared" ca="1" si="473"/>
        <v>0</v>
      </c>
      <c r="AR191" s="4">
        <f t="shared" ca="1" si="473"/>
        <v>0</v>
      </c>
      <c r="AS191" s="4">
        <f t="shared" ca="1" si="473"/>
        <v>0</v>
      </c>
      <c r="AT191" s="4">
        <f t="shared" ca="1" si="473"/>
        <v>0</v>
      </c>
      <c r="AU191" s="4">
        <f t="shared" ca="1" si="473"/>
        <v>0</v>
      </c>
      <c r="AV191" s="4">
        <f t="shared" ca="1" si="473"/>
        <v>0</v>
      </c>
      <c r="AW191" s="4">
        <f t="shared" ca="1" si="473"/>
        <v>0</v>
      </c>
      <c r="AX191" s="4">
        <f t="shared" ca="1" si="473"/>
        <v>0</v>
      </c>
      <c r="AY191" s="4">
        <f t="shared" ca="1" si="473"/>
        <v>0</v>
      </c>
      <c r="AZ191" s="4">
        <f t="shared" ca="1" si="473"/>
        <v>0</v>
      </c>
      <c r="BA191" s="4">
        <f t="shared" ca="1" si="473"/>
        <v>0</v>
      </c>
      <c r="BB191" s="4">
        <f t="shared" ca="1" si="473"/>
        <v>0</v>
      </c>
      <c r="BC191" s="4">
        <f t="shared" ca="1" si="473"/>
        <v>0</v>
      </c>
      <c r="BD191" s="4">
        <f t="shared" ca="1" si="473"/>
        <v>0</v>
      </c>
      <c r="BE191" s="4">
        <f t="shared" ca="1" si="473"/>
        <v>0</v>
      </c>
      <c r="BF191" s="4">
        <f t="shared" ca="1" si="473"/>
        <v>0</v>
      </c>
      <c r="BG191" s="4">
        <f t="shared" ca="1" si="473"/>
        <v>0</v>
      </c>
      <c r="BH191" s="4">
        <f t="shared" ca="1" si="473"/>
        <v>0</v>
      </c>
      <c r="BI191" s="4">
        <f t="shared" ca="1" si="473"/>
        <v>0</v>
      </c>
      <c r="BJ191" s="4">
        <f t="shared" ca="1" si="473"/>
        <v>0</v>
      </c>
      <c r="BK191" s="4">
        <f t="shared" ca="1" si="473"/>
        <v>0</v>
      </c>
      <c r="BL191" s="4">
        <f t="shared" ca="1" si="473"/>
        <v>0</v>
      </c>
      <c r="BM191" s="4">
        <f t="shared" ca="1" si="473"/>
        <v>0</v>
      </c>
      <c r="BN191" s="4">
        <f t="shared" ca="1" si="473"/>
        <v>0</v>
      </c>
      <c r="BO191" s="4">
        <f t="shared" ref="BO191:CX191" ca="1" si="474">ROUND(BO188-BO185,4)</f>
        <v>0</v>
      </c>
      <c r="BP191" s="4">
        <f t="shared" ca="1" si="474"/>
        <v>0</v>
      </c>
      <c r="BQ191" s="4">
        <f t="shared" ca="1" si="474"/>
        <v>0</v>
      </c>
      <c r="BR191" s="4">
        <f t="shared" ca="1" si="474"/>
        <v>0</v>
      </c>
      <c r="BS191" s="4">
        <f t="shared" ca="1" si="474"/>
        <v>0</v>
      </c>
      <c r="BT191" s="4">
        <f t="shared" ca="1" si="474"/>
        <v>0</v>
      </c>
      <c r="BU191" s="4">
        <f t="shared" ca="1" si="474"/>
        <v>0</v>
      </c>
      <c r="BV191" s="4">
        <f t="shared" ca="1" si="474"/>
        <v>0</v>
      </c>
      <c r="BW191" s="4">
        <f t="shared" ca="1" si="474"/>
        <v>0</v>
      </c>
      <c r="BX191" s="4">
        <f t="shared" ca="1" si="474"/>
        <v>0</v>
      </c>
      <c r="BY191" s="4">
        <f t="shared" ca="1" si="474"/>
        <v>0</v>
      </c>
      <c r="BZ191" s="4">
        <f t="shared" ca="1" si="474"/>
        <v>0</v>
      </c>
      <c r="CA191" s="4">
        <f t="shared" ca="1" si="474"/>
        <v>0</v>
      </c>
      <c r="CB191" s="4">
        <f t="shared" ca="1" si="474"/>
        <v>0</v>
      </c>
      <c r="CC191" s="4">
        <f t="shared" ca="1" si="474"/>
        <v>0</v>
      </c>
      <c r="CD191" s="4">
        <f t="shared" ca="1" si="474"/>
        <v>0</v>
      </c>
      <c r="CE191" s="4">
        <f t="shared" ca="1" si="474"/>
        <v>0</v>
      </c>
      <c r="CF191" s="4">
        <f t="shared" ca="1" si="474"/>
        <v>0</v>
      </c>
      <c r="CG191" s="4">
        <f t="shared" ca="1" si="474"/>
        <v>0</v>
      </c>
      <c r="CH191" s="4">
        <f t="shared" ca="1" si="474"/>
        <v>0</v>
      </c>
      <c r="CI191" s="4">
        <f t="shared" ca="1" si="474"/>
        <v>0</v>
      </c>
      <c r="CJ191" s="4">
        <f t="shared" ca="1" si="474"/>
        <v>0</v>
      </c>
      <c r="CK191" s="4">
        <f t="shared" ca="1" si="474"/>
        <v>0</v>
      </c>
      <c r="CL191" s="4">
        <f t="shared" ca="1" si="474"/>
        <v>0</v>
      </c>
      <c r="CM191" s="4">
        <f t="shared" ca="1" si="474"/>
        <v>0</v>
      </c>
      <c r="CN191" s="4">
        <f t="shared" ca="1" si="474"/>
        <v>0</v>
      </c>
      <c r="CO191" s="4">
        <f t="shared" ca="1" si="474"/>
        <v>0</v>
      </c>
      <c r="CP191" s="4">
        <f t="shared" ca="1" si="474"/>
        <v>0</v>
      </c>
      <c r="CQ191" s="4">
        <f t="shared" ca="1" si="474"/>
        <v>0</v>
      </c>
      <c r="CR191" s="4">
        <f t="shared" ca="1" si="474"/>
        <v>0</v>
      </c>
      <c r="CS191" s="4">
        <f t="shared" ca="1" si="474"/>
        <v>0</v>
      </c>
      <c r="CT191" s="4">
        <f t="shared" ca="1" si="474"/>
        <v>0</v>
      </c>
      <c r="CU191" s="4">
        <f t="shared" ca="1" si="474"/>
        <v>0</v>
      </c>
      <c r="CV191" s="4">
        <f t="shared" ca="1" si="474"/>
        <v>0</v>
      </c>
      <c r="CW191" s="4">
        <f t="shared" ca="1" si="474"/>
        <v>0</v>
      </c>
      <c r="CX191" s="4">
        <f t="shared" ca="1" si="474"/>
        <v>0</v>
      </c>
    </row>
    <row r="192" spans="1:102" x14ac:dyDescent="0.2">
      <c r="A192" s="2">
        <f ca="1">COUNTIF(C192:CX192,"&lt;&gt;0")</f>
        <v>100</v>
      </c>
      <c r="B192" s="2" t="s">
        <v>134</v>
      </c>
      <c r="C192" s="145">
        <f t="shared" ref="C192:AH192" ca="1" si="475">ROUND(C189-C186,4)</f>
        <v>-1E-4</v>
      </c>
      <c r="D192" s="145">
        <f t="shared" ca="1" si="475"/>
        <v>-1E-4</v>
      </c>
      <c r="E192" s="145">
        <f t="shared" ca="1" si="475"/>
        <v>-1E-4</v>
      </c>
      <c r="F192" s="145">
        <f t="shared" ca="1" si="475"/>
        <v>-1E-4</v>
      </c>
      <c r="G192" s="145">
        <f t="shared" ca="1" si="475"/>
        <v>-1E-4</v>
      </c>
      <c r="H192" s="145">
        <f t="shared" ca="1" si="475"/>
        <v>-1E-4</v>
      </c>
      <c r="I192" s="145">
        <f t="shared" ca="1" si="475"/>
        <v>-1E-4</v>
      </c>
      <c r="J192" s="145">
        <f t="shared" ca="1" si="475"/>
        <v>-1E-4</v>
      </c>
      <c r="K192" s="145">
        <f t="shared" ca="1" si="475"/>
        <v>-1E-4</v>
      </c>
      <c r="L192" s="145">
        <f t="shared" ca="1" si="475"/>
        <v>-1E-4</v>
      </c>
      <c r="M192" s="145">
        <f t="shared" ca="1" si="475"/>
        <v>-1E-4</v>
      </c>
      <c r="N192" s="145">
        <f t="shared" ca="1" si="475"/>
        <v>-1E-4</v>
      </c>
      <c r="O192" s="145">
        <f t="shared" ca="1" si="475"/>
        <v>-1E-4</v>
      </c>
      <c r="P192" s="145">
        <f t="shared" ca="1" si="475"/>
        <v>-1E-4</v>
      </c>
      <c r="Q192" s="145">
        <f t="shared" ca="1" si="475"/>
        <v>-1E-4</v>
      </c>
      <c r="R192" s="145">
        <f t="shared" ca="1" si="475"/>
        <v>-1E-4</v>
      </c>
      <c r="S192" s="145">
        <f t="shared" ca="1" si="475"/>
        <v>-1E-4</v>
      </c>
      <c r="T192" s="145">
        <f t="shared" ca="1" si="475"/>
        <v>-1E-4</v>
      </c>
      <c r="U192" s="145">
        <f t="shared" ca="1" si="475"/>
        <v>-1E-4</v>
      </c>
      <c r="V192" s="145">
        <f t="shared" ca="1" si="475"/>
        <v>-1E-4</v>
      </c>
      <c r="W192" s="145">
        <f t="shared" ca="1" si="475"/>
        <v>-1E-4</v>
      </c>
      <c r="X192" s="145">
        <f t="shared" ca="1" si="475"/>
        <v>-1E-4</v>
      </c>
      <c r="Y192" s="145">
        <f t="shared" ca="1" si="475"/>
        <v>-1E-4</v>
      </c>
      <c r="Z192" s="145">
        <f t="shared" ca="1" si="475"/>
        <v>-1E-4</v>
      </c>
      <c r="AA192" s="145">
        <f t="shared" ca="1" si="475"/>
        <v>-1E-4</v>
      </c>
      <c r="AB192" s="145">
        <f t="shared" ca="1" si="475"/>
        <v>-1E-4</v>
      </c>
      <c r="AC192" s="145">
        <f t="shared" ca="1" si="475"/>
        <v>-1E-4</v>
      </c>
      <c r="AD192" s="145">
        <f t="shared" ca="1" si="475"/>
        <v>-1E-4</v>
      </c>
      <c r="AE192" s="145">
        <f t="shared" ca="1" si="475"/>
        <v>-1E-4</v>
      </c>
      <c r="AF192" s="145">
        <f t="shared" ca="1" si="475"/>
        <v>-1E-4</v>
      </c>
      <c r="AG192" s="145">
        <f t="shared" ca="1" si="475"/>
        <v>-1E-4</v>
      </c>
      <c r="AH192" s="145">
        <f t="shared" ca="1" si="475"/>
        <v>-1E-4</v>
      </c>
      <c r="AI192" s="145">
        <f t="shared" ref="AI192:BN192" ca="1" si="476">ROUND(AI189-AI186,4)</f>
        <v>-2.0000000000000001E-4</v>
      </c>
      <c r="AJ192" s="145">
        <f t="shared" ca="1" si="476"/>
        <v>-2.0000000000000001E-4</v>
      </c>
      <c r="AK192" s="145">
        <f t="shared" ca="1" si="476"/>
        <v>-2.0000000000000001E-4</v>
      </c>
      <c r="AL192" s="145">
        <f t="shared" ca="1" si="476"/>
        <v>-2.0000000000000001E-4</v>
      </c>
      <c r="AM192" s="145">
        <f t="shared" ca="1" si="476"/>
        <v>-2.0000000000000001E-4</v>
      </c>
      <c r="AN192" s="145">
        <f t="shared" ca="1" si="476"/>
        <v>-2.0000000000000001E-4</v>
      </c>
      <c r="AO192" s="145">
        <f t="shared" ca="1" si="476"/>
        <v>-2.0000000000000001E-4</v>
      </c>
      <c r="AP192" s="145">
        <f t="shared" ca="1" si="476"/>
        <v>-2.0000000000000001E-4</v>
      </c>
      <c r="AQ192" s="145">
        <f t="shared" ca="1" si="476"/>
        <v>-2.0000000000000001E-4</v>
      </c>
      <c r="AR192" s="145">
        <f t="shared" ca="1" si="476"/>
        <v>-2.0000000000000001E-4</v>
      </c>
      <c r="AS192" s="145">
        <f t="shared" ca="1" si="476"/>
        <v>-2.0000000000000001E-4</v>
      </c>
      <c r="AT192" s="145">
        <f t="shared" ca="1" si="476"/>
        <v>-2.0000000000000001E-4</v>
      </c>
      <c r="AU192" s="145">
        <f t="shared" ca="1" si="476"/>
        <v>-2.0000000000000001E-4</v>
      </c>
      <c r="AV192" s="145">
        <f t="shared" ca="1" si="476"/>
        <v>-2.9999999999999997E-4</v>
      </c>
      <c r="AW192" s="145">
        <f t="shared" ca="1" si="476"/>
        <v>-2.9999999999999997E-4</v>
      </c>
      <c r="AX192" s="145">
        <f t="shared" ca="1" si="476"/>
        <v>-2.9999999999999997E-4</v>
      </c>
      <c r="AY192" s="145">
        <f t="shared" ca="1" si="476"/>
        <v>-2.9999999999999997E-4</v>
      </c>
      <c r="AZ192" s="145">
        <f t="shared" ca="1" si="476"/>
        <v>-2.9999999999999997E-4</v>
      </c>
      <c r="BA192" s="145">
        <f t="shared" ca="1" si="476"/>
        <v>-2.9999999999999997E-4</v>
      </c>
      <c r="BB192" s="145">
        <f t="shared" ca="1" si="476"/>
        <v>-2.9999999999999997E-4</v>
      </c>
      <c r="BC192" s="145">
        <f t="shared" ca="1" si="476"/>
        <v>-2.9999999999999997E-4</v>
      </c>
      <c r="BD192" s="145">
        <f t="shared" ca="1" si="476"/>
        <v>-2.9999999999999997E-4</v>
      </c>
      <c r="BE192" s="145">
        <f t="shared" ca="1" si="476"/>
        <v>-2.9999999999999997E-4</v>
      </c>
      <c r="BF192" s="145">
        <f t="shared" ca="1" si="476"/>
        <v>-2.9999999999999997E-4</v>
      </c>
      <c r="BG192" s="145">
        <f t="shared" ca="1" si="476"/>
        <v>-2.9999999999999997E-4</v>
      </c>
      <c r="BH192" s="145">
        <f t="shared" ca="1" si="476"/>
        <v>-2.9999999999999997E-4</v>
      </c>
      <c r="BI192" s="145">
        <f t="shared" ca="1" si="476"/>
        <v>-2.9999999999999997E-4</v>
      </c>
      <c r="BJ192" s="145">
        <f t="shared" ca="1" si="476"/>
        <v>-2.9999999999999997E-4</v>
      </c>
      <c r="BK192" s="145">
        <f t="shared" ca="1" si="476"/>
        <v>-2.9999999999999997E-4</v>
      </c>
      <c r="BL192" s="145">
        <f t="shared" ca="1" si="476"/>
        <v>-2.9999999999999997E-4</v>
      </c>
      <c r="BM192" s="145">
        <f t="shared" ca="1" si="476"/>
        <v>-2.9999999999999997E-4</v>
      </c>
      <c r="BN192" s="145">
        <f t="shared" ca="1" si="476"/>
        <v>-2.9999999999999997E-4</v>
      </c>
      <c r="BO192" s="145">
        <f t="shared" ref="BO192:CX192" ca="1" si="477">ROUND(BO189-BO186,4)</f>
        <v>-2.9999999999999997E-4</v>
      </c>
      <c r="BP192" s="145">
        <f t="shared" ca="1" si="477"/>
        <v>-2.9999999999999997E-4</v>
      </c>
      <c r="BQ192" s="145">
        <f t="shared" ca="1" si="477"/>
        <v>-2.9999999999999997E-4</v>
      </c>
      <c r="BR192" s="145">
        <f t="shared" ca="1" si="477"/>
        <v>-2.9999999999999997E-4</v>
      </c>
      <c r="BS192" s="145">
        <f t="shared" ca="1" si="477"/>
        <v>-2.9999999999999997E-4</v>
      </c>
      <c r="BT192" s="145">
        <f t="shared" ca="1" si="477"/>
        <v>-2.9999999999999997E-4</v>
      </c>
      <c r="BU192" s="145">
        <f t="shared" ca="1" si="477"/>
        <v>-2.9999999999999997E-4</v>
      </c>
      <c r="BV192" s="145">
        <f t="shared" ca="1" si="477"/>
        <v>-2.9999999999999997E-4</v>
      </c>
      <c r="BW192" s="145">
        <f t="shared" ca="1" si="477"/>
        <v>-2.9999999999999997E-4</v>
      </c>
      <c r="BX192" s="145">
        <f t="shared" ca="1" si="477"/>
        <v>-2.9999999999999997E-4</v>
      </c>
      <c r="BY192" s="145">
        <f t="shared" ca="1" si="477"/>
        <v>-2.9999999999999997E-4</v>
      </c>
      <c r="BZ192" s="145">
        <f t="shared" ca="1" si="477"/>
        <v>-2.9999999999999997E-4</v>
      </c>
      <c r="CA192" s="145">
        <f t="shared" ca="1" si="477"/>
        <v>-2.9999999999999997E-4</v>
      </c>
      <c r="CB192" s="145">
        <f t="shared" ca="1" si="477"/>
        <v>-2.9999999999999997E-4</v>
      </c>
      <c r="CC192" s="145">
        <f t="shared" ca="1" si="477"/>
        <v>-2.9999999999999997E-4</v>
      </c>
      <c r="CD192" s="145">
        <f t="shared" ca="1" si="477"/>
        <v>-2.9999999999999997E-4</v>
      </c>
      <c r="CE192" s="145">
        <f t="shared" ca="1" si="477"/>
        <v>-2.9999999999999997E-4</v>
      </c>
      <c r="CF192" s="145">
        <f t="shared" ca="1" si="477"/>
        <v>-2.9999999999999997E-4</v>
      </c>
      <c r="CG192" s="145">
        <f t="shared" ca="1" si="477"/>
        <v>-2.9999999999999997E-4</v>
      </c>
      <c r="CH192" s="145">
        <f t="shared" ca="1" si="477"/>
        <v>-2.9999999999999997E-4</v>
      </c>
      <c r="CI192" s="145">
        <f t="shared" ca="1" si="477"/>
        <v>-2.9999999999999997E-4</v>
      </c>
      <c r="CJ192" s="145">
        <f t="shared" ca="1" si="477"/>
        <v>-2.9999999999999997E-4</v>
      </c>
      <c r="CK192" s="145">
        <f t="shared" ca="1" si="477"/>
        <v>-2.9999999999999997E-4</v>
      </c>
      <c r="CL192" s="145">
        <f t="shared" ca="1" si="477"/>
        <v>-2.9999999999999997E-4</v>
      </c>
      <c r="CM192" s="145">
        <f t="shared" ca="1" si="477"/>
        <v>-2.9999999999999997E-4</v>
      </c>
      <c r="CN192" s="145">
        <f t="shared" ca="1" si="477"/>
        <v>-2.9999999999999997E-4</v>
      </c>
      <c r="CO192" s="145">
        <f t="shared" ca="1" si="477"/>
        <v>-2.9999999999999997E-4</v>
      </c>
      <c r="CP192" s="145">
        <f t="shared" ca="1" si="477"/>
        <v>-2.9999999999999997E-4</v>
      </c>
      <c r="CQ192" s="145">
        <f t="shared" ca="1" si="477"/>
        <v>-2.9999999999999997E-4</v>
      </c>
      <c r="CR192" s="145">
        <f t="shared" ca="1" si="477"/>
        <v>-2.9999999999999997E-4</v>
      </c>
      <c r="CS192" s="145">
        <f t="shared" ca="1" si="477"/>
        <v>-2.9999999999999997E-4</v>
      </c>
      <c r="CT192" s="145">
        <f t="shared" ca="1" si="477"/>
        <v>-2.9999999999999997E-4</v>
      </c>
      <c r="CU192" s="145">
        <f t="shared" ca="1" si="477"/>
        <v>-2.9999999999999997E-4</v>
      </c>
      <c r="CV192" s="145">
        <f t="shared" ca="1" si="477"/>
        <v>-2.9999999999999997E-4</v>
      </c>
      <c r="CW192" s="145">
        <f t="shared" ca="1" si="477"/>
        <v>-2.9999999999999997E-4</v>
      </c>
      <c r="CX192" s="145">
        <f t="shared" ca="1" si="477"/>
        <v>-2.9999999999999997E-4</v>
      </c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s="188" customFormat="1" x14ac:dyDescent="0.2">
      <c r="B196" s="189"/>
    </row>
    <row r="197" spans="2:2" x14ac:dyDescent="0.2">
      <c r="B197" s="2"/>
    </row>
  </sheetData>
  <mergeCells count="3">
    <mergeCell ref="B5:C5"/>
    <mergeCell ref="B6:C6"/>
    <mergeCell ref="B4:C4"/>
  </mergeCells>
  <conditionalFormatting sqref="Q42:R68">
    <cfRule type="cellIs" dxfId="12" priority="18" operator="equal">
      <formula>1</formula>
    </cfRule>
  </conditionalFormatting>
  <conditionalFormatting sqref="AD52:AD62">
    <cfRule type="cellIs" dxfId="11" priority="17" operator="equal">
      <formula>1</formula>
    </cfRule>
  </conditionalFormatting>
  <conditionalFormatting sqref="T42:Y91">
    <cfRule type="cellIs" dxfId="10" priority="16" operator="equal">
      <formula>0</formula>
    </cfRule>
  </conditionalFormatting>
  <conditionalFormatting sqref="FL42:FQ68">
    <cfRule type="cellIs" dxfId="9" priority="11" operator="equal">
      <formula>0</formula>
    </cfRule>
  </conditionalFormatting>
  <conditionalFormatting sqref="C11">
    <cfRule type="cellIs" dxfId="8" priority="8" operator="notEqual">
      <formula>IF(inp_type_opt="MVO - Resampled",inp_num_rs,"no match")</formula>
    </cfRule>
  </conditionalFormatting>
  <conditionalFormatting sqref="C12">
    <cfRule type="cellIs" dxfId="7" priority="7" operator="notEqual">
      <formula>IF(inp_type_opt="CVAR",inp_num_cv,"no match")</formula>
    </cfRule>
  </conditionalFormatting>
  <conditionalFormatting sqref="G11">
    <cfRule type="cellIs" dxfId="6" priority="6" operator="notEqual">
      <formula>IF(inp_type_opt="CVAR",inp_prob_cv,"no match")</formula>
    </cfRule>
  </conditionalFormatting>
  <conditionalFormatting sqref="G10">
    <cfRule type="cellIs" dxfId="5" priority="5" operator="notEqual">
      <formula>IF(inp_type_opt="MVO - Resampled",IF(inp_type_rs="Bootstrap",inp_relwt_rs,"no match"),"no match")</formula>
    </cfRule>
  </conditionalFormatting>
  <conditionalFormatting sqref="C10">
    <cfRule type="cellIs" dxfId="4" priority="3" operator="equal">
      <formula>"Bootstrap"</formula>
    </cfRule>
    <cfRule type="cellIs" dxfId="3" priority="4" operator="notEqual">
      <formula>IF(inp_type_opt="MVO - Resampled",inp_type_rs,"no match")</formula>
    </cfRule>
  </conditionalFormatting>
  <conditionalFormatting sqref="C13">
    <cfRule type="cellIs" dxfId="2" priority="2" operator="notEqual">
      <formula>IF(inp_type_opt="CVAR",inp_num_cv,"no match")</formula>
    </cfRule>
  </conditionalFormatting>
  <conditionalFormatting sqref="AI42:AS91">
    <cfRule type="cellIs" dxfId="1" priority="1" operator="equal">
      <formula>1</formula>
    </cfRule>
  </conditionalFormatting>
  <dataValidations xWindow="210" yWindow="221" count="10">
    <dataValidation type="list" allowBlank="1" showInputMessage="1" showErrorMessage="1" sqref="G4:G5">
      <formula1>Historical_Data_Dates</formula1>
    </dataValidation>
    <dataValidation type="list" allowBlank="1" showInputMessage="1" showErrorMessage="1" sqref="B5:C5">
      <formula1>"Historical, Expected"</formula1>
    </dataValidation>
    <dataValidation type="list" allowBlank="1" showInputMessage="1" showErrorMessage="1" sqref="C8">
      <formula1>"50, 100"</formula1>
    </dataValidation>
    <dataValidation type="list" allowBlank="1" showInputMessage="1" showErrorMessage="1" sqref="B6:C6">
      <formula1>"MVO - Baseline, MVO - Resampled, CVAR"</formula1>
    </dataValidation>
    <dataValidation type="list" allowBlank="1" showInputMessage="1" showErrorMessage="1" sqref="C10">
      <formula1>"MVNormal, Bootstrap"</formula1>
    </dataValidation>
    <dataValidation type="list" allowBlank="1" showInputMessage="1" showErrorMessage="1" sqref="C12">
      <formula1>"5000,10000,20000"</formula1>
    </dataValidation>
    <dataValidation type="list" allowBlank="1" showInputMessage="1" showErrorMessage="1" sqref="C11">
      <formula1>"100,200,500,1000,2000"</formula1>
    </dataValidation>
    <dataValidation type="list" allowBlank="1" showInputMessage="1" showErrorMessage="1" sqref="G11">
      <formula1>".95, .975, .99"</formula1>
    </dataValidation>
    <dataValidation type="whole" allowBlank="1" showInputMessage="1" showErrorMessage="1" error="Number between 1 and 4" promptTitle="Number between 1 and 4" prompt="1=all time periods evently weighted_x000a_2 (etc) = most recent time period weighted twice the first time period" sqref="G10">
      <formula1>1</formula1>
      <formula2>4</formula2>
    </dataValidation>
    <dataValidation type="list" allowBlank="1" showInputMessage="1" showErrorMessage="1" prompt="Change this cell to Test to bypass MatLab calculation for testing purposes only" sqref="A1">
      <formula1>"Test,Real"</formula1>
    </dataValidation>
  </dataValidations>
  <pageMargins left="0.7" right="0.7" top="0.75" bottom="0.75" header="0.3" footer="0.3"/>
  <pageSetup scale="10" fitToHeight="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0" r:id="rId4" name="Button 28">
              <controlPr defaultSize="0" print="0" autoFill="0" autoPict="0" macro="[0]!SetupAndExecuteMatlab">
                <anchor moveWithCells="1" sizeWithCells="1">
                  <from>
                    <xdr:col>3</xdr:col>
                    <xdr:colOff>19050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Matlab">
    <tabColor theme="6"/>
  </sheetPr>
  <dimension ref="A1:SG72"/>
  <sheetViews>
    <sheetView workbookViewId="0">
      <selection activeCell="ED18" sqref="ED18:GA67"/>
    </sheetView>
  </sheetViews>
  <sheetFormatPr defaultRowHeight="12.75" x14ac:dyDescent="0.2"/>
  <cols>
    <col min="1" max="1" width="15" bestFit="1" customWidth="1"/>
    <col min="2" max="2" width="4.42578125" customWidth="1"/>
    <col min="3" max="3" width="15.42578125" bestFit="1" customWidth="1"/>
    <col min="4" max="4" width="8.5703125" bestFit="1" customWidth="1"/>
    <col min="5" max="5" width="8.140625" bestFit="1" customWidth="1"/>
    <col min="6" max="6" width="8.7109375" bestFit="1" customWidth="1"/>
    <col min="7" max="7" width="3.5703125" customWidth="1"/>
    <col min="8" max="9" width="8.7109375" bestFit="1" customWidth="1"/>
    <col min="10" max="10" width="6.85546875" bestFit="1" customWidth="1"/>
    <col min="11" max="11" width="13.85546875" bestFit="1" customWidth="1"/>
    <col min="12" max="12" width="7.5703125" bestFit="1" customWidth="1"/>
    <col min="13" max="13" width="5.42578125" bestFit="1" customWidth="1"/>
    <col min="14" max="14" width="7.5703125" bestFit="1" customWidth="1"/>
    <col min="15" max="15" width="3.7109375" style="318" bestFit="1" customWidth="1"/>
    <col min="16" max="16" width="9.28515625" style="318" bestFit="1" customWidth="1"/>
    <col min="17" max="17" width="10.140625" style="318" bestFit="1" customWidth="1"/>
    <col min="18" max="18" width="7.5703125" style="318" bestFit="1" customWidth="1"/>
    <col min="19" max="19" width="7.42578125" style="318" bestFit="1" customWidth="1"/>
    <col min="20" max="20" width="8" style="318" bestFit="1" customWidth="1"/>
    <col min="21" max="21" width="3.7109375" style="318" bestFit="1" customWidth="1"/>
    <col min="22" max="26" width="2" style="318" bestFit="1" customWidth="1"/>
    <col min="27" max="27" width="3.7109375" style="318" bestFit="1" customWidth="1"/>
    <col min="28" max="28" width="6.85546875" style="318" bestFit="1" customWidth="1"/>
    <col min="29" max="29" width="9.5703125" style="318" bestFit="1" customWidth="1"/>
    <col min="30" max="30" width="5.85546875" style="318" customWidth="1"/>
    <col min="31" max="31" width="12" style="318" bestFit="1" customWidth="1"/>
    <col min="32" max="32" width="11" style="318" bestFit="1" customWidth="1"/>
    <col min="33" max="35" width="12" style="318" bestFit="1" customWidth="1"/>
    <col min="36" max="131" width="6.140625" style="318" bestFit="1" customWidth="1"/>
    <col min="132" max="132" width="4.140625" style="318" bestFit="1" customWidth="1"/>
    <col min="133" max="133" width="3.7109375" style="318" bestFit="1" customWidth="1"/>
    <col min="134" max="167" width="4.140625" style="318" bestFit="1" customWidth="1"/>
    <col min="168" max="168" width="4.5703125" style="318" bestFit="1" customWidth="1"/>
    <col min="169" max="192" width="4.140625" style="318" bestFit="1" customWidth="1"/>
    <col min="193" max="16384" width="9.140625" style="318"/>
  </cols>
  <sheetData>
    <row r="1" spans="1:501" customFormat="1" x14ac:dyDescent="0.2">
      <c r="A1" s="436" t="s">
        <v>182</v>
      </c>
      <c r="B1" s="436"/>
      <c r="C1" s="203" t="s">
        <v>208</v>
      </c>
      <c r="D1" s="1"/>
      <c r="E1" s="436"/>
      <c r="F1" s="436"/>
      <c r="G1" s="1"/>
      <c r="H1" s="1"/>
      <c r="I1" s="1"/>
      <c r="J1" s="1"/>
      <c r="K1" s="5" t="s">
        <v>220</v>
      </c>
      <c r="L1" s="5"/>
      <c r="M1" s="5" t="s">
        <v>227</v>
      </c>
      <c r="N1" s="5" t="s">
        <v>228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426" t="s">
        <v>297</v>
      </c>
      <c r="AC1" s="429">
        <v>18</v>
      </c>
      <c r="AD1" s="1"/>
      <c r="AE1" s="1">
        <f ca="1">SUM(OFFSET(INDIRECT($AC$3), 0,M2,AC7,1))</f>
        <v>6</v>
      </c>
      <c r="AF1" s="318">
        <v>0</v>
      </c>
      <c r="AG1" s="1">
        <v>1</v>
      </c>
      <c r="AH1" s="318">
        <v>2</v>
      </c>
      <c r="AI1" s="424">
        <v>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</row>
    <row r="2" spans="1:501" customFormat="1" x14ac:dyDescent="0.2">
      <c r="A2" s="436" t="s">
        <v>183</v>
      </c>
      <c r="B2" s="436"/>
      <c r="C2" s="216">
        <v>43027</v>
      </c>
      <c r="D2" s="1"/>
      <c r="E2" s="436" t="s">
        <v>192</v>
      </c>
      <c r="F2" s="436"/>
      <c r="G2" s="1"/>
      <c r="H2" s="11">
        <v>0.05</v>
      </c>
      <c r="I2" s="1" t="s">
        <v>191</v>
      </c>
      <c r="J2" s="1"/>
      <c r="K2" s="297" t="s">
        <v>221</v>
      </c>
      <c r="L2" s="297"/>
      <c r="M2" s="297">
        <f>COLUMN(C$17)-COLUMN(A$17)</f>
        <v>2</v>
      </c>
      <c r="N2" s="297">
        <f>COLUMN(model_TR_start)-COLUMN(AL_list_start)</f>
        <v>57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426" t="s">
        <v>296</v>
      </c>
      <c r="AC2" s="430" t="str">
        <f>ADDRESS($AC$1,1,1,1)</f>
        <v>$A$18</v>
      </c>
      <c r="AD2" s="1"/>
      <c r="AE2" s="424">
        <f ca="1">SUM(OFFSET(INDIRECT($AC$3), 0,0,$AC$7,$AC$9))</f>
        <v>172.00000040114367</v>
      </c>
      <c r="AF2" s="424">
        <f ca="1">SUMPRODUCT(OFFSET(INDIRECT($AC$2), 0,$M$2,$AC$7,1),OFFSET(INDIRECT($AC$4), 0,AF$1,$AC$7,1))</f>
        <v>6.2957370136984048E-2</v>
      </c>
      <c r="AG2" s="424">
        <f t="shared" ref="AG2:AI2" ca="1" si="0">SUMPRODUCT(OFFSET(INDIRECT($AC$2), 0,$M$2,$AC$7,1),OFFSET(INDIRECT($AC$4), 0,AG$1,$AC$7,1))</f>
        <v>6.3215750791342146E-2</v>
      </c>
      <c r="AH2" s="424">
        <f t="shared" ca="1" si="0"/>
        <v>6.3485932379287055E-2</v>
      </c>
      <c r="AI2" s="424">
        <f t="shared" ca="1" si="0"/>
        <v>6.3747494903395388E-2</v>
      </c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</row>
    <row r="3" spans="1:501" customFormat="1" x14ac:dyDescent="0.2">
      <c r="A3" s="1"/>
      <c r="B3" s="1"/>
      <c r="C3" s="1"/>
      <c r="D3" s="1"/>
      <c r="E3" s="436"/>
      <c r="F3" s="436"/>
      <c r="G3" s="1"/>
      <c r="H3" s="11"/>
      <c r="I3" s="1"/>
      <c r="J3" s="1"/>
      <c r="K3" s="297" t="s">
        <v>222</v>
      </c>
      <c r="L3" s="297"/>
      <c r="M3" s="297">
        <f>M2+1</f>
        <v>3</v>
      </c>
      <c r="N3" s="297">
        <f>N2+1</f>
        <v>58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427" t="s">
        <v>295</v>
      </c>
      <c r="AC3" s="430" t="str">
        <f>ADDRESS($AC$1,M6+1,1,1)</f>
        <v>$I$18</v>
      </c>
      <c r="AD3" s="1"/>
      <c r="AE3" s="424">
        <f ca="1">SUM(OFFSET(INDIRECT($AC$3), 0,0,$AC$7,$AC$9))</f>
        <v>172.00000040114367</v>
      </c>
      <c r="AF3" s="431">
        <f ca="1">SUM(OFFSET(INDIRECT($AC$4), 0,COLUMN(AF2)-COLUMN($AF$2),$AC$7,1))</f>
        <v>1.0000000057588041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</row>
    <row r="4" spans="1:501" customFormat="1" x14ac:dyDescent="0.2">
      <c r="A4" s="436" t="s">
        <v>103</v>
      </c>
      <c r="B4" s="436"/>
      <c r="C4" s="201" t="s">
        <v>299</v>
      </c>
      <c r="D4" s="1"/>
      <c r="E4" s="436" t="s">
        <v>219</v>
      </c>
      <c r="F4" s="436"/>
      <c r="G4" s="1"/>
      <c r="H4" s="290">
        <v>100</v>
      </c>
      <c r="I4" s="1"/>
      <c r="J4" s="1"/>
      <c r="K4" s="297" t="s">
        <v>229</v>
      </c>
      <c r="L4" s="297"/>
      <c r="M4" s="297">
        <f t="shared" ref="M4:M5" si="1">M3+1</f>
        <v>4</v>
      </c>
      <c r="N4" s="297">
        <f>COLUMN(asset_min_start)-COLUMN(AL_list_start)</f>
        <v>13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426" t="s">
        <v>293</v>
      </c>
      <c r="AC4" s="430" t="str">
        <f>ADDRESS($AC$1,M10+1,1,1)</f>
        <v>$AF$18</v>
      </c>
      <c r="AD4" s="1"/>
      <c r="AE4" s="424">
        <f ca="1">SUM(OFFSET(INDIRECT($AC$3), 0,0,$AC$7,$AC$9))</f>
        <v>172.00000040114367</v>
      </c>
      <c r="AF4" s="1">
        <f ca="1">SUM(OFFSET(INDIRECT($AC$2), 0,$M$2,$AC$7,1))</f>
        <v>2.2010000000000001</v>
      </c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</row>
    <row r="5" spans="1:501" customFormat="1" x14ac:dyDescent="0.2">
      <c r="A5" s="436" t="s">
        <v>57</v>
      </c>
      <c r="B5" s="436"/>
      <c r="C5" s="201" t="s">
        <v>162</v>
      </c>
      <c r="D5" s="201"/>
      <c r="E5" s="437" t="s">
        <v>189</v>
      </c>
      <c r="F5" s="437"/>
      <c r="G5" s="1"/>
      <c r="H5" s="291">
        <v>29281</v>
      </c>
      <c r="I5" s="1"/>
      <c r="J5" s="1"/>
      <c r="K5" s="297" t="s">
        <v>230</v>
      </c>
      <c r="L5" s="297"/>
      <c r="M5" s="297">
        <f t="shared" si="1"/>
        <v>5</v>
      </c>
      <c r="N5" s="297">
        <f>N4+1</f>
        <v>14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427" t="s">
        <v>294</v>
      </c>
      <c r="AC5" s="430" t="str">
        <f>ADDRESS($AC$1,M11+1,1,1)</f>
        <v>$ED$18</v>
      </c>
      <c r="AD5" s="1"/>
      <c r="AE5" s="424">
        <f ca="1">SUM(OFFSET(INDIRECT($AC$3), 0,0,$AC$7,$AC$9))</f>
        <v>172.00000040114367</v>
      </c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</row>
    <row r="6" spans="1:501" customFormat="1" x14ac:dyDescent="0.2">
      <c r="A6" s="436" t="s">
        <v>215</v>
      </c>
      <c r="B6" s="436"/>
      <c r="C6" s="201" t="s">
        <v>175</v>
      </c>
      <c r="D6" s="201"/>
      <c r="E6" s="437" t="s">
        <v>190</v>
      </c>
      <c r="F6" s="437"/>
      <c r="G6" s="1"/>
      <c r="H6" s="291">
        <v>42369</v>
      </c>
      <c r="I6" s="1"/>
      <c r="J6" s="1"/>
      <c r="K6" s="297" t="s">
        <v>223</v>
      </c>
      <c r="L6" s="297"/>
      <c r="M6" s="297">
        <f>M5+3</f>
        <v>8</v>
      </c>
      <c r="N6" s="297">
        <f>COLUMN(group_combo_start)-COLUMN(AL_list_start)</f>
        <v>17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427"/>
      <c r="AC6" s="429"/>
      <c r="AD6" s="1"/>
      <c r="AE6" s="1"/>
      <c r="AF6" s="1">
        <f>COLUMN(AF4)-COLUMN($AF$4)</f>
        <v>0</v>
      </c>
      <c r="AG6" s="424">
        <f t="shared" ref="AG6:AI6" si="2">COLUMN(AG4)-COLUMN($AF$4)</f>
        <v>1</v>
      </c>
      <c r="AH6" s="424">
        <f t="shared" si="2"/>
        <v>2</v>
      </c>
      <c r="AI6" s="424">
        <f t="shared" si="2"/>
        <v>3</v>
      </c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</row>
    <row r="7" spans="1:501" customFormat="1" x14ac:dyDescent="0.2">
      <c r="A7" s="436" t="s">
        <v>216</v>
      </c>
      <c r="B7" s="436"/>
      <c r="C7" s="201">
        <v>1000</v>
      </c>
      <c r="D7" s="201"/>
      <c r="E7" s="436"/>
      <c r="F7" s="436"/>
      <c r="G7" s="1"/>
      <c r="H7" s="201"/>
      <c r="I7" s="1"/>
      <c r="J7" s="1"/>
      <c r="K7" s="297" t="s">
        <v>263</v>
      </c>
      <c r="L7" s="297"/>
      <c r="M7" s="297">
        <f>M6+C11+1</f>
        <v>15</v>
      </c>
      <c r="N7" s="297">
        <f>COLUMN(relative_comboA_start)-COLUMN(AL_list_start)</f>
        <v>32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428" t="s">
        <v>290</v>
      </c>
      <c r="AC7" s="429">
        <f>C10</f>
        <v>27</v>
      </c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</row>
    <row r="8" spans="1:501" customFormat="1" x14ac:dyDescent="0.2">
      <c r="A8" s="436" t="s">
        <v>217</v>
      </c>
      <c r="B8" s="436"/>
      <c r="C8" s="201">
        <v>20000</v>
      </c>
      <c r="D8" s="201"/>
      <c r="E8" s="436" t="s">
        <v>187</v>
      </c>
      <c r="F8" s="436"/>
      <c r="G8" s="1"/>
      <c r="H8" s="201">
        <v>1</v>
      </c>
      <c r="I8" s="1"/>
      <c r="J8" s="1"/>
      <c r="K8" s="297" t="s">
        <v>265</v>
      </c>
      <c r="L8" s="297"/>
      <c r="M8" s="297">
        <f>M7+C12+1</f>
        <v>21</v>
      </c>
      <c r="N8" s="297">
        <f>COLUMN(relative_comboB_start)-COLUMN(AL_list_start)</f>
        <v>44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428" t="s">
        <v>291</v>
      </c>
      <c r="AC8" s="429">
        <f>C9</f>
        <v>50</v>
      </c>
      <c r="AD8" s="1"/>
      <c r="AE8" s="1"/>
      <c r="AF8" s="431">
        <f>SUMPRODUCT(AF18:AF44,$C$18:$C$44)</f>
        <v>6.2957370136984048E-2</v>
      </c>
      <c r="AG8" s="431">
        <f t="shared" ref="AG8:AI8" si="3">SUMPRODUCT(AG18:AG44,$C$18:$C$44)</f>
        <v>6.3215750791342146E-2</v>
      </c>
      <c r="AH8" s="431">
        <f t="shared" si="3"/>
        <v>6.3485932379287055E-2</v>
      </c>
      <c r="AI8" s="431">
        <f t="shared" si="3"/>
        <v>6.3747494903395388E-2</v>
      </c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</row>
    <row r="9" spans="1:501" customFormat="1" x14ac:dyDescent="0.2">
      <c r="A9" s="436" t="s">
        <v>248</v>
      </c>
      <c r="B9" s="436"/>
      <c r="C9" s="201">
        <v>50</v>
      </c>
      <c r="D9" s="201"/>
      <c r="E9" s="436" t="s">
        <v>188</v>
      </c>
      <c r="F9" s="436"/>
      <c r="G9" s="1"/>
      <c r="H9" s="292">
        <v>0.97499999999999998</v>
      </c>
      <c r="I9" s="1"/>
      <c r="J9" s="1"/>
      <c r="K9" s="297" t="s">
        <v>231</v>
      </c>
      <c r="L9" s="297"/>
      <c r="M9" s="297">
        <f>M8+C12+2</f>
        <v>28</v>
      </c>
      <c r="N9" s="297">
        <f>COLUMN(curr_wts_start)-COLUMN(AL_list_start)</f>
        <v>9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428" t="s">
        <v>292</v>
      </c>
      <c r="AC9" s="429">
        <f>H4</f>
        <v>100</v>
      </c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</row>
    <row r="10" spans="1:501" customFormat="1" x14ac:dyDescent="0.2">
      <c r="A10" s="436" t="s">
        <v>247</v>
      </c>
      <c r="B10" s="436"/>
      <c r="C10" s="201">
        <v>27</v>
      </c>
      <c r="D10" s="201"/>
      <c r="E10" s="436" t="s">
        <v>218</v>
      </c>
      <c r="F10" s="436"/>
      <c r="G10" s="201"/>
      <c r="H10" s="201">
        <v>1</v>
      </c>
      <c r="I10" s="202"/>
      <c r="J10" s="1"/>
      <c r="K10" s="297" t="s">
        <v>224</v>
      </c>
      <c r="L10" s="297"/>
      <c r="M10" s="297">
        <f>M9+3</f>
        <v>31</v>
      </c>
      <c r="N10" s="297">
        <v>0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</row>
    <row r="11" spans="1:501" customFormat="1" x14ac:dyDescent="0.2">
      <c r="A11" s="436" t="s">
        <v>226</v>
      </c>
      <c r="B11" s="436"/>
      <c r="C11" s="201">
        <v>6</v>
      </c>
      <c r="D11" s="201"/>
      <c r="E11" s="436"/>
      <c r="F11" s="436"/>
      <c r="G11" s="1"/>
      <c r="H11" s="1"/>
      <c r="I11" s="202"/>
      <c r="J11" s="1"/>
      <c r="K11" s="297" t="s">
        <v>225</v>
      </c>
      <c r="L11" s="297"/>
      <c r="M11" s="297">
        <f>M10+H4+2</f>
        <v>133</v>
      </c>
      <c r="N11" s="297">
        <f>COLUMN(inp_covar_start)-COLUMN(AL_list_start)</f>
        <v>111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</row>
    <row r="12" spans="1:501" customFormat="1" x14ac:dyDescent="0.2">
      <c r="A12" s="436" t="s">
        <v>264</v>
      </c>
      <c r="B12" s="436"/>
      <c r="C12" s="201">
        <v>5</v>
      </c>
      <c r="D12" s="201"/>
      <c r="E12" s="436"/>
      <c r="F12" s="436"/>
      <c r="G12" s="1"/>
      <c r="H12" s="1"/>
      <c r="I12" s="202"/>
      <c r="J12" s="1"/>
      <c r="K12" s="297"/>
      <c r="L12" s="297"/>
      <c r="M12" s="297"/>
      <c r="N12" s="297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</row>
    <row r="13" spans="1:501" customFormat="1" x14ac:dyDescent="0.2">
      <c r="A13" s="436"/>
      <c r="B13" s="436"/>
      <c r="C13" s="201"/>
      <c r="D13" s="201"/>
      <c r="E13" s="1"/>
      <c r="F13" s="1"/>
      <c r="G13" s="1"/>
      <c r="H13" s="1"/>
      <c r="I13" s="202"/>
      <c r="J13" s="1"/>
      <c r="K13" s="297"/>
      <c r="L13" s="297"/>
      <c r="M13" s="297"/>
      <c r="N13" s="297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</row>
    <row r="14" spans="1:501" x14ac:dyDescent="0.2">
      <c r="A14" s="1"/>
      <c r="B14" s="1"/>
      <c r="C14" s="201"/>
      <c r="D14" s="201"/>
      <c r="E14" s="1"/>
      <c r="F14" s="1"/>
      <c r="G14" s="1"/>
      <c r="H14" s="1"/>
      <c r="I14" s="202"/>
      <c r="J14" s="1"/>
      <c r="K14" s="297"/>
      <c r="L14" s="297"/>
      <c r="M14" s="297"/>
      <c r="N14" s="297"/>
      <c r="O14" s="6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</row>
    <row r="15" spans="1:501" x14ac:dyDescent="0.2">
      <c r="A15" s="399" t="s">
        <v>287</v>
      </c>
      <c r="B15" s="399"/>
      <c r="C15" s="399" t="s">
        <v>266</v>
      </c>
      <c r="D15" s="399" t="s">
        <v>267</v>
      </c>
      <c r="E15" s="399" t="s">
        <v>268</v>
      </c>
      <c r="F15" s="399" t="s">
        <v>269</v>
      </c>
      <c r="G15" s="399"/>
      <c r="H15" s="399"/>
      <c r="I15" s="400">
        <v>0.1489</v>
      </c>
      <c r="J15" s="401">
        <v>0.31540000000000001</v>
      </c>
      <c r="K15" s="401">
        <v>8.8349999999999998E-2</v>
      </c>
      <c r="L15" s="401">
        <v>4.9570000000000003E-2</v>
      </c>
      <c r="M15" s="401">
        <v>0.50936999999999999</v>
      </c>
      <c r="N15" s="402">
        <v>0</v>
      </c>
      <c r="O15" s="403"/>
      <c r="P15" s="413">
        <v>0</v>
      </c>
      <c r="Q15" s="413">
        <v>0</v>
      </c>
      <c r="R15" s="413">
        <v>0</v>
      </c>
      <c r="S15" s="413">
        <v>0</v>
      </c>
      <c r="T15" s="413">
        <v>0</v>
      </c>
      <c r="U15" s="413"/>
      <c r="V15" s="413"/>
      <c r="W15" s="413"/>
      <c r="X15" s="413"/>
      <c r="Y15" s="413"/>
      <c r="Z15" s="413"/>
      <c r="AA15" s="414"/>
      <c r="AB15" s="414"/>
      <c r="AC15" s="414">
        <v>6.2223286693266378E-2</v>
      </c>
      <c r="AD15" s="414"/>
      <c r="AE15" s="414"/>
      <c r="AF15" s="414">
        <v>4.4059924070272712E-2</v>
      </c>
      <c r="AG15" s="414">
        <v>4.4107107294600413E-2</v>
      </c>
      <c r="AH15" s="414">
        <v>4.4155522046627808E-2</v>
      </c>
      <c r="AI15" s="414">
        <v>4.4213734387415465E-2</v>
      </c>
      <c r="AJ15" s="414">
        <v>4.4273368188437578E-2</v>
      </c>
      <c r="AK15" s="414">
        <v>4.4331410274506676E-2</v>
      </c>
      <c r="AL15" s="414">
        <v>4.4390905276413956E-2</v>
      </c>
      <c r="AM15" s="414">
        <v>4.445670522649562E-2</v>
      </c>
      <c r="AN15" s="414">
        <v>4.4524787352485537E-2</v>
      </c>
      <c r="AO15" s="414">
        <v>4.459206490685573E-2</v>
      </c>
      <c r="AP15" s="414">
        <v>4.4661539348436398E-2</v>
      </c>
      <c r="AQ15" s="414">
        <v>4.4732658923192906E-2</v>
      </c>
      <c r="AR15" s="414">
        <v>4.4805383767162164E-2</v>
      </c>
      <c r="AS15" s="414">
        <v>4.4877159483399293E-2</v>
      </c>
      <c r="AT15" s="414">
        <v>4.4955797886803282E-2</v>
      </c>
      <c r="AU15" s="414">
        <v>4.5035992299613165E-2</v>
      </c>
      <c r="AV15" s="414">
        <v>4.5121712754527747E-2</v>
      </c>
      <c r="AW15" s="414">
        <v>4.5207825257056543E-2</v>
      </c>
      <c r="AX15" s="414">
        <v>4.5295785534769574E-2</v>
      </c>
      <c r="AY15" s="414">
        <v>4.538523981129633E-2</v>
      </c>
      <c r="AZ15" s="414">
        <v>4.5504603682205824E-2</v>
      </c>
      <c r="BA15" s="414">
        <v>4.5702290065559974E-2</v>
      </c>
      <c r="BB15" s="414">
        <v>4.5944902592063151E-2</v>
      </c>
      <c r="BC15" s="414">
        <v>4.6216325767918773E-2</v>
      </c>
      <c r="BD15" s="414">
        <v>4.6509512483711199E-2</v>
      </c>
      <c r="BE15" s="414">
        <v>4.6806420225782137E-2</v>
      </c>
      <c r="BF15" s="414">
        <v>4.7119246883828993E-2</v>
      </c>
      <c r="BG15" s="414">
        <v>4.7443538212094627E-2</v>
      </c>
      <c r="BH15" s="414">
        <v>4.7767326830766857E-2</v>
      </c>
      <c r="BI15" s="414">
        <v>4.8107116643463906E-2</v>
      </c>
      <c r="BJ15" s="414">
        <v>4.8456257516112988E-2</v>
      </c>
      <c r="BK15" s="414">
        <v>4.8819767425493758E-2</v>
      </c>
      <c r="BL15" s="414">
        <v>4.9201550036850547E-2</v>
      </c>
      <c r="BM15" s="414">
        <v>4.9584749476628852E-2</v>
      </c>
      <c r="BN15" s="414">
        <v>4.9982672425640189E-2</v>
      </c>
      <c r="BO15" s="414">
        <v>5.0392355483864122E-2</v>
      </c>
      <c r="BP15" s="414">
        <v>5.0806850632391286E-2</v>
      </c>
      <c r="BQ15" s="414">
        <v>5.122573163412384E-2</v>
      </c>
      <c r="BR15" s="414">
        <v>5.1641202045107075E-2</v>
      </c>
      <c r="BS15" s="414">
        <v>5.2072324760543028E-2</v>
      </c>
      <c r="BT15" s="414">
        <v>5.254843064291409E-2</v>
      </c>
      <c r="BU15" s="414">
        <v>5.3042030105901743E-2</v>
      </c>
      <c r="BV15" s="414">
        <v>5.3570265229792476E-2</v>
      </c>
      <c r="BW15" s="414">
        <v>5.4151124050103479E-2</v>
      </c>
      <c r="BX15" s="414">
        <v>5.4758799654648492E-2</v>
      </c>
      <c r="BY15" s="414">
        <v>5.5408465655392848E-2</v>
      </c>
      <c r="BZ15" s="414">
        <v>5.6097543273296607E-2</v>
      </c>
      <c r="CA15" s="414">
        <v>5.68275027495019E-2</v>
      </c>
      <c r="CB15" s="414">
        <v>5.7598420717797576E-2</v>
      </c>
      <c r="CC15" s="414">
        <v>5.8395728734416563E-2</v>
      </c>
      <c r="CD15" s="414">
        <v>5.9245231479980849E-2</v>
      </c>
      <c r="CE15" s="414">
        <v>6.0147941897379806E-2</v>
      </c>
      <c r="CF15" s="414">
        <v>6.1102747724775919E-2</v>
      </c>
      <c r="CG15" s="414">
        <v>6.2106816215923885E-2</v>
      </c>
      <c r="CH15" s="414">
        <v>6.3150900148740627E-2</v>
      </c>
      <c r="CI15" s="414">
        <v>6.4242987015853098E-2</v>
      </c>
      <c r="CJ15" s="414">
        <v>6.5376309123214779E-2</v>
      </c>
      <c r="CK15" s="414">
        <v>6.6556348947474545E-2</v>
      </c>
      <c r="CL15" s="414">
        <v>6.7774940875103162E-2</v>
      </c>
      <c r="CM15" s="414">
        <v>6.9035244559670902E-2</v>
      </c>
      <c r="CN15" s="414">
        <v>7.0317165224853623E-2</v>
      </c>
      <c r="CO15" s="414">
        <v>7.163467924256206E-2</v>
      </c>
      <c r="CP15" s="414">
        <v>7.2988092605603558E-2</v>
      </c>
      <c r="CQ15" s="414">
        <v>7.4375713911097124E-2</v>
      </c>
      <c r="CR15" s="414">
        <v>7.5781633441905388E-2</v>
      </c>
      <c r="CS15" s="414">
        <v>7.7217696025394814E-2</v>
      </c>
      <c r="CT15" s="414">
        <v>7.8672549096830455E-2</v>
      </c>
      <c r="CU15" s="414">
        <v>8.0151423610871048E-2</v>
      </c>
      <c r="CV15" s="414">
        <v>8.1655029327129064E-2</v>
      </c>
      <c r="CW15" s="414">
        <v>8.3172718472731971E-2</v>
      </c>
      <c r="CX15" s="414">
        <v>8.471256878798239E-2</v>
      </c>
      <c r="CY15" s="414">
        <v>8.6273920336738905E-2</v>
      </c>
      <c r="CZ15" s="414">
        <v>8.7854705638477651E-2</v>
      </c>
      <c r="DA15" s="414">
        <v>8.9449877155839283E-2</v>
      </c>
      <c r="DB15" s="414">
        <v>9.1060310863250213E-2</v>
      </c>
      <c r="DC15" s="414">
        <v>9.2686499937027197E-2</v>
      </c>
      <c r="DD15" s="414">
        <v>9.4327673928871314E-2</v>
      </c>
      <c r="DE15" s="414">
        <v>9.5983375718270994E-2</v>
      </c>
      <c r="DF15" s="414">
        <v>9.7654042012971107E-2</v>
      </c>
      <c r="DG15" s="414">
        <v>9.9335329654231058E-2</v>
      </c>
      <c r="DH15" s="414">
        <v>0.10102598162443387</v>
      </c>
      <c r="DI15" s="414">
        <v>0.10273007526475945</v>
      </c>
      <c r="DJ15" s="414">
        <v>0.10445415933544043</v>
      </c>
      <c r="DK15" s="414">
        <v>0.10635509495333026</v>
      </c>
      <c r="DL15" s="414">
        <v>0.10830596904600072</v>
      </c>
      <c r="DM15" s="414">
        <v>0.1103088060373397</v>
      </c>
      <c r="DN15" s="404">
        <v>0.11251546329065847</v>
      </c>
      <c r="DO15" s="404">
        <v>0.11485199584552885</v>
      </c>
      <c r="DP15" s="404">
        <v>0.1173179998379319</v>
      </c>
      <c r="DQ15" s="404">
        <v>0.11995799863320243</v>
      </c>
      <c r="DR15" s="404">
        <v>0.1226558132483883</v>
      </c>
      <c r="DS15" s="404">
        <v>0.12537877282731519</v>
      </c>
      <c r="DT15" s="404">
        <v>0.12813483039604998</v>
      </c>
      <c r="DU15" s="404">
        <v>0.13095254420936689</v>
      </c>
      <c r="DV15" s="404">
        <v>0.13392603851874008</v>
      </c>
      <c r="DW15" s="404">
        <v>0.13704517370515393</v>
      </c>
      <c r="DX15" s="404">
        <v>0.14030023650216633</v>
      </c>
      <c r="DY15" s="404">
        <v>0.14368198903616106</v>
      </c>
      <c r="DZ15" s="404">
        <v>0.1479602712632723</v>
      </c>
      <c r="EA15" s="404">
        <v>0.1479602712632723</v>
      </c>
      <c r="EB15" s="404"/>
      <c r="EC15" s="404"/>
      <c r="ED15" s="404"/>
      <c r="EE15" s="404"/>
      <c r="EF15" s="404"/>
      <c r="EG15" s="404"/>
      <c r="EH15" s="404"/>
      <c r="EI15" s="404"/>
      <c r="EJ15" s="404"/>
      <c r="EK15" s="404"/>
      <c r="EL15" s="404"/>
      <c r="EM15" s="404"/>
      <c r="EN15" s="404"/>
      <c r="EO15" s="404"/>
      <c r="EP15" s="404"/>
      <c r="EQ15" s="404"/>
      <c r="ER15" s="404"/>
      <c r="ES15" s="404"/>
      <c r="ET15" s="404"/>
      <c r="EU15" s="404"/>
      <c r="EV15" s="404"/>
      <c r="EW15" s="404"/>
      <c r="EX15" s="404"/>
      <c r="EY15" s="404"/>
      <c r="EZ15" s="404"/>
      <c r="FA15" s="404"/>
      <c r="FB15" s="404"/>
      <c r="FC15" s="404"/>
      <c r="FD15" s="404"/>
      <c r="FE15" s="404"/>
      <c r="FF15" s="404"/>
      <c r="FG15" s="404"/>
      <c r="FH15" s="404"/>
      <c r="FI15" s="404"/>
      <c r="FJ15" s="404"/>
      <c r="FK15" s="404"/>
      <c r="FL15" s="404"/>
      <c r="FM15" s="404"/>
      <c r="FN15" s="404"/>
      <c r="FO15" s="404"/>
      <c r="FP15" s="404"/>
      <c r="FQ15" s="404"/>
      <c r="FR15" s="404"/>
      <c r="FS15" s="404"/>
      <c r="FT15" s="404"/>
      <c r="FU15" s="404"/>
      <c r="FV15" s="404"/>
      <c r="FW15" s="404"/>
      <c r="FX15" s="404"/>
      <c r="FY15" s="404"/>
      <c r="FZ15" s="404"/>
      <c r="GA15" s="404"/>
      <c r="GB15" s="404"/>
      <c r="GC15" s="404"/>
      <c r="GD15" s="404"/>
      <c r="GE15" s="404"/>
      <c r="GF15" s="404"/>
      <c r="GG15" s="404"/>
      <c r="GH15" s="404"/>
      <c r="GI15" s="404"/>
      <c r="GJ15" s="404"/>
      <c r="GK15" s="404"/>
      <c r="GL15" s="404"/>
      <c r="GM15" s="404"/>
      <c r="GN15" s="404"/>
      <c r="GO15" s="404"/>
      <c r="GP15" s="415"/>
      <c r="GQ15" s="415"/>
      <c r="GR15" s="415"/>
      <c r="GS15" s="415"/>
      <c r="GT15" s="415"/>
      <c r="GU15" s="415"/>
      <c r="GV15" s="415"/>
      <c r="GW15" s="415"/>
      <c r="GX15" s="415"/>
      <c r="GY15" s="415"/>
      <c r="GZ15" s="415"/>
      <c r="HA15" s="415"/>
      <c r="HB15" s="415"/>
      <c r="HC15" s="415"/>
      <c r="HD15" s="415"/>
      <c r="HE15" s="415"/>
      <c r="HF15" s="415"/>
      <c r="HG15" s="415"/>
      <c r="HH15" s="415"/>
      <c r="HI15" s="415"/>
      <c r="HJ15" s="415"/>
      <c r="HK15" s="415"/>
      <c r="HL15" s="415"/>
      <c r="HM15" s="415"/>
      <c r="HN15" s="415"/>
      <c r="HO15" s="415"/>
      <c r="HP15" s="415"/>
      <c r="HQ15" s="415"/>
      <c r="HR15" s="415"/>
      <c r="HS15" s="415"/>
      <c r="HT15" s="415"/>
      <c r="HU15" s="415"/>
      <c r="HV15" s="415"/>
      <c r="HW15" s="415"/>
      <c r="HX15" s="415"/>
      <c r="HY15" s="415"/>
      <c r="HZ15" s="415"/>
      <c r="IA15" s="415"/>
      <c r="IB15" s="415"/>
      <c r="IC15" s="415"/>
      <c r="ID15" s="415"/>
      <c r="IE15" s="415"/>
      <c r="IF15" s="415"/>
      <c r="IG15" s="415"/>
      <c r="IH15" s="415"/>
      <c r="II15" s="415"/>
      <c r="IJ15" s="415"/>
      <c r="IK15" s="415"/>
      <c r="IL15" s="415"/>
      <c r="IM15" s="415"/>
      <c r="IN15" s="415"/>
      <c r="IO15" s="415"/>
      <c r="IP15" s="415"/>
      <c r="IQ15" s="415"/>
      <c r="IR15" s="415"/>
      <c r="IS15" s="415"/>
      <c r="IT15" s="415"/>
      <c r="IU15" s="415"/>
      <c r="IV15" s="415"/>
      <c r="IW15" s="415"/>
      <c r="IX15" s="415"/>
      <c r="IY15" s="415"/>
      <c r="IZ15" s="415"/>
      <c r="JA15" s="415"/>
      <c r="JB15" s="415"/>
      <c r="JC15" s="415"/>
      <c r="JD15" s="415"/>
      <c r="JE15" s="415"/>
      <c r="JF15" s="415"/>
      <c r="JG15" s="415"/>
      <c r="JH15" s="415"/>
      <c r="JI15" s="415"/>
      <c r="JJ15" s="415"/>
      <c r="JK15" s="415"/>
      <c r="JL15" s="415"/>
      <c r="JM15" s="415"/>
      <c r="JN15" s="415"/>
      <c r="JO15" s="415"/>
      <c r="JP15" s="415"/>
      <c r="JQ15" s="415"/>
      <c r="JR15" s="415"/>
      <c r="JS15" s="415"/>
      <c r="JT15" s="415"/>
      <c r="JU15" s="415"/>
      <c r="JV15" s="415"/>
      <c r="JW15" s="415"/>
      <c r="JX15" s="415"/>
      <c r="JY15" s="415"/>
      <c r="JZ15" s="415"/>
      <c r="KA15" s="415"/>
      <c r="KB15" s="415"/>
      <c r="KC15" s="415"/>
      <c r="KD15" s="415"/>
      <c r="KE15" s="415"/>
      <c r="KF15" s="415"/>
      <c r="KG15" s="415"/>
      <c r="KH15" s="415"/>
      <c r="KI15" s="415"/>
      <c r="KJ15" s="415"/>
      <c r="KK15" s="415"/>
      <c r="KL15" s="415"/>
      <c r="KM15" s="415"/>
      <c r="KN15" s="415"/>
      <c r="KO15" s="415"/>
      <c r="KP15" s="415"/>
      <c r="KQ15" s="415"/>
      <c r="KR15" s="415"/>
      <c r="KS15" s="415"/>
      <c r="KT15" s="415"/>
      <c r="KU15" s="415"/>
      <c r="KV15" s="415"/>
      <c r="KW15" s="415"/>
      <c r="KX15" s="415"/>
      <c r="KY15" s="415"/>
      <c r="KZ15" s="415"/>
      <c r="LA15" s="415"/>
      <c r="LB15" s="415"/>
      <c r="LC15" s="415"/>
      <c r="LD15" s="415"/>
      <c r="LE15" s="415"/>
      <c r="LF15" s="415"/>
      <c r="LG15" s="415"/>
      <c r="LH15" s="415"/>
      <c r="LI15" s="415"/>
      <c r="LJ15" s="415"/>
      <c r="LK15" s="415"/>
      <c r="LL15" s="415"/>
      <c r="LM15" s="415"/>
      <c r="LN15" s="415"/>
      <c r="LO15" s="415"/>
      <c r="LP15" s="415"/>
      <c r="LQ15" s="415"/>
      <c r="LR15" s="415"/>
      <c r="LS15" s="415"/>
      <c r="LT15" s="415"/>
      <c r="LU15" s="415"/>
      <c r="LV15" s="415"/>
      <c r="LW15" s="415"/>
      <c r="LX15" s="415"/>
      <c r="LY15" s="415"/>
      <c r="LZ15" s="415"/>
      <c r="MA15" s="415"/>
      <c r="MB15" s="415"/>
      <c r="MC15" s="415"/>
      <c r="MD15" s="415"/>
      <c r="ME15" s="415"/>
      <c r="MF15" s="415"/>
      <c r="MG15" s="415"/>
      <c r="MH15" s="415"/>
      <c r="MI15" s="415"/>
      <c r="MJ15" s="415"/>
      <c r="MK15" s="415"/>
      <c r="ML15" s="415"/>
      <c r="MM15" s="415"/>
      <c r="MN15" s="415"/>
      <c r="MO15" s="415"/>
      <c r="MP15" s="415"/>
      <c r="MQ15" s="415"/>
      <c r="MR15" s="415"/>
      <c r="MS15" s="415"/>
      <c r="MT15" s="415"/>
      <c r="MU15" s="415"/>
      <c r="MV15" s="415"/>
      <c r="MW15" s="415"/>
      <c r="MX15" s="415"/>
      <c r="MY15" s="415"/>
      <c r="MZ15" s="415"/>
      <c r="NA15" s="415"/>
      <c r="NB15" s="415"/>
      <c r="NC15" s="415"/>
      <c r="ND15" s="415"/>
      <c r="NE15" s="415"/>
      <c r="NF15" s="415"/>
      <c r="NG15" s="415"/>
      <c r="NH15" s="415"/>
      <c r="NI15" s="415"/>
      <c r="NJ15" s="415"/>
      <c r="NK15" s="415"/>
      <c r="NL15" s="415"/>
      <c r="NM15" s="415"/>
      <c r="NN15" s="415"/>
      <c r="NO15" s="415"/>
      <c r="NP15" s="415"/>
      <c r="NQ15" s="415"/>
      <c r="NR15" s="415"/>
      <c r="NS15" s="415"/>
      <c r="NT15" s="415"/>
      <c r="NU15" s="415"/>
      <c r="NV15" s="415"/>
      <c r="NW15" s="415"/>
      <c r="NX15" s="415"/>
      <c r="NY15" s="415"/>
      <c r="NZ15" s="415"/>
      <c r="OA15" s="415"/>
      <c r="OB15" s="415"/>
      <c r="OC15" s="415"/>
      <c r="OD15" s="415"/>
      <c r="OE15" s="415"/>
      <c r="OF15" s="415"/>
      <c r="OG15" s="415"/>
      <c r="OH15" s="415"/>
      <c r="OI15" s="415"/>
      <c r="OJ15" s="415"/>
      <c r="OK15" s="415"/>
      <c r="OL15" s="415"/>
      <c r="OM15" s="415"/>
      <c r="ON15" s="415"/>
      <c r="OO15" s="415"/>
      <c r="OP15" s="415"/>
      <c r="OQ15" s="415"/>
      <c r="OR15" s="415"/>
      <c r="OS15" s="415"/>
      <c r="OT15" s="415"/>
      <c r="OU15" s="415"/>
      <c r="OV15" s="415"/>
      <c r="OW15" s="415"/>
      <c r="OX15" s="415"/>
      <c r="OY15" s="415"/>
      <c r="OZ15" s="415"/>
      <c r="PA15" s="415"/>
      <c r="PB15" s="415"/>
      <c r="PC15" s="415"/>
      <c r="PD15" s="415"/>
      <c r="PE15" s="415"/>
      <c r="PF15" s="415"/>
      <c r="PG15" s="415"/>
      <c r="PH15" s="415"/>
      <c r="PI15" s="415"/>
      <c r="PJ15" s="415"/>
      <c r="PK15" s="415"/>
      <c r="PL15" s="415"/>
      <c r="PM15" s="415"/>
      <c r="PN15" s="415"/>
      <c r="PO15" s="415"/>
      <c r="PP15" s="415"/>
      <c r="PQ15" s="415"/>
      <c r="PR15" s="415"/>
      <c r="PS15" s="415"/>
      <c r="PT15" s="415"/>
      <c r="PU15" s="415"/>
      <c r="PV15" s="415"/>
      <c r="PW15" s="415"/>
      <c r="PX15" s="415"/>
      <c r="PY15" s="415"/>
      <c r="PZ15" s="415"/>
      <c r="QA15" s="415"/>
      <c r="QB15" s="415"/>
      <c r="QC15" s="415"/>
      <c r="QD15" s="415"/>
      <c r="QE15" s="415"/>
      <c r="QF15" s="415"/>
      <c r="QG15" s="415"/>
      <c r="QH15" s="415"/>
      <c r="QI15" s="415"/>
      <c r="QJ15" s="415"/>
      <c r="QK15" s="415"/>
      <c r="QL15" s="415"/>
      <c r="QM15" s="415"/>
      <c r="QN15" s="415"/>
      <c r="QO15" s="415"/>
      <c r="QP15" s="415"/>
      <c r="QQ15" s="415"/>
      <c r="QR15" s="415"/>
      <c r="QS15" s="415"/>
      <c r="QT15" s="415"/>
      <c r="QU15" s="415"/>
      <c r="QV15" s="415"/>
      <c r="QW15" s="415"/>
      <c r="QX15" s="415"/>
      <c r="QY15" s="415"/>
      <c r="QZ15" s="415"/>
      <c r="RA15" s="415"/>
      <c r="RB15" s="415"/>
      <c r="RC15" s="415"/>
      <c r="RD15" s="415"/>
      <c r="RE15" s="415"/>
      <c r="RF15" s="415"/>
      <c r="RG15" s="415"/>
      <c r="RH15" s="415"/>
      <c r="RI15" s="415"/>
      <c r="RJ15" s="415"/>
      <c r="RK15" s="415"/>
      <c r="RL15" s="415"/>
      <c r="RM15" s="415"/>
      <c r="RN15" s="415"/>
      <c r="RO15" s="415"/>
      <c r="RP15" s="415"/>
      <c r="RQ15" s="415"/>
      <c r="RR15" s="415"/>
      <c r="RS15" s="415"/>
      <c r="RT15" s="415"/>
      <c r="RU15" s="415"/>
      <c r="RV15" s="415"/>
      <c r="RW15" s="415"/>
      <c r="RX15" s="415"/>
      <c r="RY15" s="415"/>
      <c r="RZ15" s="415"/>
      <c r="SA15" s="415"/>
      <c r="SB15" s="415"/>
      <c r="SC15" s="415"/>
      <c r="SD15" s="415"/>
      <c r="SE15" s="415"/>
      <c r="SF15" s="415"/>
      <c r="SG15" s="415"/>
    </row>
    <row r="16" spans="1:501" x14ac:dyDescent="0.2">
      <c r="A16" s="399"/>
      <c r="B16" s="399"/>
      <c r="C16" s="399"/>
      <c r="D16" s="399"/>
      <c r="E16" s="399"/>
      <c r="F16" s="399"/>
      <c r="G16" s="399"/>
      <c r="H16" s="399"/>
      <c r="I16" s="405">
        <v>1</v>
      </c>
      <c r="J16" s="406">
        <v>1</v>
      </c>
      <c r="K16" s="406">
        <v>1</v>
      </c>
      <c r="L16" s="406">
        <v>1</v>
      </c>
      <c r="M16" s="406">
        <v>1</v>
      </c>
      <c r="N16" s="406">
        <v>5.3179999999999998E-2</v>
      </c>
      <c r="O16" s="403"/>
      <c r="P16" s="413">
        <v>1</v>
      </c>
      <c r="Q16" s="413">
        <v>0.19551597434895515</v>
      </c>
      <c r="R16" s="413">
        <v>1</v>
      </c>
      <c r="S16" s="413">
        <v>0.22093290113989908</v>
      </c>
      <c r="T16" s="413">
        <v>0.22701464437875163</v>
      </c>
      <c r="U16" s="413"/>
      <c r="V16" s="413"/>
      <c r="W16" s="413"/>
      <c r="X16" s="413"/>
      <c r="Y16" s="413"/>
      <c r="Z16" s="413"/>
      <c r="AA16" s="414"/>
      <c r="AB16" s="414"/>
      <c r="AC16" s="414">
        <v>2.0637409999999998E-2</v>
      </c>
      <c r="AD16" s="414"/>
      <c r="AE16" s="414"/>
      <c r="AF16" s="414">
        <v>1.2859380180842938E-2</v>
      </c>
      <c r="AG16" s="414">
        <v>1.3117760835201036E-2</v>
      </c>
      <c r="AH16" s="414">
        <v>1.3387942423145952E-2</v>
      </c>
      <c r="AI16" s="414">
        <v>1.3649504944628198E-2</v>
      </c>
      <c r="AJ16" s="414">
        <v>1.3919486726837692E-2</v>
      </c>
      <c r="AK16" s="414">
        <v>1.4183240866157926E-2</v>
      </c>
      <c r="AL16" s="414">
        <v>1.4437127989470996E-2</v>
      </c>
      <c r="AM16" s="414">
        <v>1.4694554397604403E-2</v>
      </c>
      <c r="AN16" s="414">
        <v>1.4952562541048691E-2</v>
      </c>
      <c r="AO16" s="414">
        <v>1.5209049532054719E-2</v>
      </c>
      <c r="AP16" s="414">
        <v>1.5468112335729065E-2</v>
      </c>
      <c r="AQ16" s="414">
        <v>1.5723320859829869E-2</v>
      </c>
      <c r="AR16" s="414">
        <v>1.5982410303612204E-2</v>
      </c>
      <c r="AS16" s="414">
        <v>1.6240007283601299E-2</v>
      </c>
      <c r="AT16" s="414">
        <v>1.6494234149768482E-2</v>
      </c>
      <c r="AU16" s="414">
        <v>1.6755734259694132E-2</v>
      </c>
      <c r="AV16" s="414">
        <v>1.7019656224193946E-2</v>
      </c>
      <c r="AW16" s="414">
        <v>1.7282267442903395E-2</v>
      </c>
      <c r="AX16" s="414">
        <v>1.7545702555196715E-2</v>
      </c>
      <c r="AY16" s="414">
        <v>1.7805980533814447E-2</v>
      </c>
      <c r="AZ16" s="414">
        <v>1.809570566086276E-2</v>
      </c>
      <c r="BA16" s="414">
        <v>1.8442486347051434E-2</v>
      </c>
      <c r="BB16" s="414">
        <v>1.875671987401838E-2</v>
      </c>
      <c r="BC16" s="414">
        <v>1.9039737196677165E-2</v>
      </c>
      <c r="BD16" s="414">
        <v>1.9323682196195912E-2</v>
      </c>
      <c r="BE16" s="414">
        <v>1.95990581680817E-2</v>
      </c>
      <c r="BF16" s="414">
        <v>1.9876880977487962E-2</v>
      </c>
      <c r="BG16" s="414">
        <v>2.0139629056664148E-2</v>
      </c>
      <c r="BH16" s="414">
        <v>2.0412613863927415E-2</v>
      </c>
      <c r="BI16" s="414">
        <v>2.0695949460005286E-2</v>
      </c>
      <c r="BJ16" s="414">
        <v>2.0977891786637521E-2</v>
      </c>
      <c r="BK16" s="414">
        <v>2.126178987762509E-2</v>
      </c>
      <c r="BL16" s="414">
        <v>2.1548248859080642E-2</v>
      </c>
      <c r="BM16" s="414">
        <v>2.1841780264964795E-2</v>
      </c>
      <c r="BN16" s="414">
        <v>2.2106309403439103E-2</v>
      </c>
      <c r="BO16" s="414">
        <v>2.2363583915269724E-2</v>
      </c>
      <c r="BP16" s="414">
        <v>2.2639471040300434E-2</v>
      </c>
      <c r="BQ16" s="414">
        <v>2.2933745388358098E-2</v>
      </c>
      <c r="BR16" s="414">
        <v>2.3195858698199758E-2</v>
      </c>
      <c r="BS16" s="414">
        <v>2.3502170130099937E-2</v>
      </c>
      <c r="BT16" s="414">
        <v>2.3812515439647072E-2</v>
      </c>
      <c r="BU16" s="414">
        <v>2.4117149761342164E-2</v>
      </c>
      <c r="BV16" s="414">
        <v>2.4434638458448132E-2</v>
      </c>
      <c r="BW16" s="414">
        <v>2.4763711651581168E-2</v>
      </c>
      <c r="BX16" s="414">
        <v>2.5082946909919312E-2</v>
      </c>
      <c r="BY16" s="414">
        <v>2.5423917521744267E-2</v>
      </c>
      <c r="BZ16" s="414">
        <v>2.5761675489020388E-2</v>
      </c>
      <c r="CA16" s="414">
        <v>2.6102525341762977E-2</v>
      </c>
      <c r="CB16" s="414">
        <v>2.6444252133273036E-2</v>
      </c>
      <c r="CC16" s="414">
        <v>2.6773056025885988E-2</v>
      </c>
      <c r="CD16" s="414">
        <v>2.7122085612618547E-2</v>
      </c>
      <c r="CE16" s="414">
        <v>2.7469755764897501E-2</v>
      </c>
      <c r="CF16" s="414">
        <v>2.7817070442858912E-2</v>
      </c>
      <c r="CG16" s="414">
        <v>2.8163711795348569E-2</v>
      </c>
      <c r="CH16" s="414">
        <v>2.8502327969457612E-2</v>
      </c>
      <c r="CI16" s="414">
        <v>2.8843756739542103E-2</v>
      </c>
      <c r="CJ16" s="414">
        <v>2.9181782176085396E-2</v>
      </c>
      <c r="CK16" s="414">
        <v>2.9530550766824811E-2</v>
      </c>
      <c r="CL16" s="414">
        <v>2.9878704470469284E-2</v>
      </c>
      <c r="CM16" s="414">
        <v>3.0232212339086548E-2</v>
      </c>
      <c r="CN16" s="414">
        <v>3.0571176532984853E-2</v>
      </c>
      <c r="CO16" s="414">
        <v>3.0913013916415811E-2</v>
      </c>
      <c r="CP16" s="414">
        <v>3.1261262120577074E-2</v>
      </c>
      <c r="CQ16" s="414">
        <v>3.1614166990651379E-2</v>
      </c>
      <c r="CR16" s="414">
        <v>3.1957561120050687E-2</v>
      </c>
      <c r="CS16" s="414">
        <v>3.2304811745668752E-2</v>
      </c>
      <c r="CT16" s="414">
        <v>3.2646540990036541E-2</v>
      </c>
      <c r="CU16" s="414">
        <v>3.2988772128005078E-2</v>
      </c>
      <c r="CV16" s="414">
        <v>3.3333785761720275E-2</v>
      </c>
      <c r="CW16" s="414">
        <v>3.3670862074876615E-2</v>
      </c>
      <c r="CX16" s="414">
        <v>3.4009635442485989E-2</v>
      </c>
      <c r="CY16" s="414">
        <v>3.4352353656960821E-2</v>
      </c>
      <c r="CZ16" s="414">
        <v>3.4698159291505437E-2</v>
      </c>
      <c r="DA16" s="414">
        <v>3.5039778082528117E-2</v>
      </c>
      <c r="DB16" s="414">
        <v>3.5379571103959756E-2</v>
      </c>
      <c r="DC16" s="414">
        <v>3.5720135104250289E-2</v>
      </c>
      <c r="DD16" s="414">
        <v>3.6062353853796567E-2</v>
      </c>
      <c r="DE16" s="414">
        <v>3.6408102111872634E-2</v>
      </c>
      <c r="DF16" s="414">
        <v>3.6759323623249032E-2</v>
      </c>
      <c r="DG16" s="414">
        <v>3.7105862227428357E-2</v>
      </c>
      <c r="DH16" s="414">
        <v>3.7447620377328336E-2</v>
      </c>
      <c r="DI16" s="414">
        <v>3.7794752655304034E-2</v>
      </c>
      <c r="DJ16" s="414">
        <v>3.8074614635254259E-2</v>
      </c>
      <c r="DK16" s="414">
        <v>3.8360333234115113E-2</v>
      </c>
      <c r="DL16" s="414">
        <v>3.8667193597917003E-2</v>
      </c>
      <c r="DM16" s="414">
        <v>3.8934903043529867E-2</v>
      </c>
      <c r="DN16" s="404">
        <v>3.9191880994540379E-2</v>
      </c>
      <c r="DO16" s="404">
        <v>3.9503482611013011E-2</v>
      </c>
      <c r="DP16" s="404">
        <v>3.973859795410048E-2</v>
      </c>
      <c r="DQ16" s="404">
        <v>4.0042126088962557E-2</v>
      </c>
      <c r="DR16" s="404">
        <v>4.0404685688930908E-2</v>
      </c>
      <c r="DS16" s="404">
        <v>4.0743347339290498E-2</v>
      </c>
      <c r="DT16" s="404">
        <v>4.1091039163700487E-2</v>
      </c>
      <c r="DU16" s="404">
        <v>4.132615450678806E-2</v>
      </c>
      <c r="DV16" s="404">
        <v>4.1561269849875418E-2</v>
      </c>
      <c r="DW16" s="404">
        <v>4.1796385192962873E-2</v>
      </c>
      <c r="DX16" s="404">
        <v>4.2031500536050329E-2</v>
      </c>
      <c r="DY16" s="404">
        <v>4.2266615879137742E-2</v>
      </c>
      <c r="DZ16" s="404">
        <v>4.2648552314586946E-2</v>
      </c>
      <c r="EA16" s="404">
        <v>4.2648552314586946E-2</v>
      </c>
      <c r="EB16" s="404"/>
      <c r="EC16" s="404"/>
      <c r="ED16" s="404"/>
      <c r="EE16" s="404"/>
      <c r="EF16" s="404"/>
      <c r="EG16" s="404"/>
      <c r="EH16" s="404"/>
      <c r="EI16" s="404"/>
      <c r="EJ16" s="404"/>
      <c r="EK16" s="404"/>
      <c r="EL16" s="404"/>
      <c r="EM16" s="404"/>
      <c r="EN16" s="404"/>
      <c r="EO16" s="404"/>
      <c r="EP16" s="404"/>
      <c r="EQ16" s="404"/>
      <c r="ER16" s="404"/>
      <c r="ES16" s="404"/>
      <c r="ET16" s="404"/>
      <c r="EU16" s="404"/>
      <c r="EV16" s="404"/>
      <c r="EW16" s="404"/>
      <c r="EX16" s="404"/>
      <c r="EY16" s="404"/>
      <c r="EZ16" s="404"/>
      <c r="FA16" s="404"/>
      <c r="FB16" s="404"/>
      <c r="FC16" s="404"/>
      <c r="FD16" s="404"/>
      <c r="FE16" s="404"/>
      <c r="FF16" s="404"/>
      <c r="FG16" s="404"/>
      <c r="FH16" s="404"/>
      <c r="FI16" s="404"/>
      <c r="FJ16" s="404"/>
      <c r="FK16" s="404"/>
      <c r="FL16" s="404"/>
      <c r="FM16" s="404"/>
      <c r="FN16" s="404"/>
      <c r="FO16" s="404"/>
      <c r="FP16" s="404"/>
      <c r="FQ16" s="404"/>
      <c r="FR16" s="404"/>
      <c r="FS16" s="404"/>
      <c r="FT16" s="404"/>
      <c r="FU16" s="404"/>
      <c r="FV16" s="404"/>
      <c r="FW16" s="404"/>
      <c r="FX16" s="404"/>
      <c r="FY16" s="404"/>
      <c r="FZ16" s="404"/>
      <c r="GA16" s="404"/>
      <c r="GB16" s="404"/>
      <c r="GC16" s="404"/>
      <c r="GD16" s="404"/>
      <c r="GE16" s="404"/>
      <c r="GF16" s="404"/>
      <c r="GG16" s="404"/>
      <c r="GH16" s="404"/>
      <c r="GI16" s="404"/>
      <c r="GJ16" s="404"/>
      <c r="GK16" s="404"/>
      <c r="GL16" s="404"/>
      <c r="GM16" s="404"/>
      <c r="GN16" s="404"/>
      <c r="GO16" s="404"/>
      <c r="GP16" s="415"/>
      <c r="GQ16" s="415"/>
      <c r="GR16" s="415"/>
      <c r="GS16" s="415"/>
      <c r="GT16" s="415"/>
      <c r="GU16" s="415"/>
      <c r="GV16" s="415"/>
      <c r="GW16" s="415"/>
      <c r="GX16" s="415"/>
      <c r="GY16" s="415"/>
      <c r="GZ16" s="415"/>
      <c r="HA16" s="415"/>
      <c r="HB16" s="415"/>
      <c r="HC16" s="415"/>
      <c r="HD16" s="415"/>
      <c r="HE16" s="415"/>
      <c r="HF16" s="415"/>
      <c r="HG16" s="415"/>
      <c r="HH16" s="415"/>
      <c r="HI16" s="415"/>
      <c r="HJ16" s="415"/>
      <c r="HK16" s="415"/>
      <c r="HL16" s="415"/>
      <c r="HM16" s="415"/>
      <c r="HN16" s="415"/>
      <c r="HO16" s="415"/>
      <c r="HP16" s="415"/>
      <c r="HQ16" s="415"/>
      <c r="HR16" s="415"/>
      <c r="HS16" s="415"/>
      <c r="HT16" s="415"/>
      <c r="HU16" s="415"/>
      <c r="HV16" s="415"/>
      <c r="HW16" s="415"/>
      <c r="HX16" s="415"/>
      <c r="HY16" s="415"/>
      <c r="HZ16" s="415"/>
      <c r="IA16" s="415"/>
      <c r="IB16" s="415"/>
      <c r="IC16" s="415"/>
      <c r="ID16" s="415"/>
      <c r="IE16" s="415"/>
      <c r="IF16" s="415"/>
      <c r="IG16" s="415"/>
      <c r="IH16" s="415"/>
      <c r="II16" s="415"/>
      <c r="IJ16" s="415"/>
      <c r="IK16" s="415"/>
      <c r="IL16" s="415"/>
      <c r="IM16" s="415"/>
      <c r="IN16" s="415"/>
      <c r="IO16" s="415"/>
      <c r="IP16" s="415"/>
      <c r="IQ16" s="415"/>
      <c r="IR16" s="415"/>
      <c r="IS16" s="415"/>
      <c r="IT16" s="415"/>
      <c r="IU16" s="415"/>
      <c r="IV16" s="415"/>
      <c r="IW16" s="415"/>
      <c r="IX16" s="415"/>
      <c r="IY16" s="415"/>
      <c r="IZ16" s="415"/>
      <c r="JA16" s="415"/>
      <c r="JB16" s="415"/>
      <c r="JC16" s="415"/>
      <c r="JD16" s="415"/>
      <c r="JE16" s="415"/>
      <c r="JF16" s="415"/>
      <c r="JG16" s="415"/>
      <c r="JH16" s="415"/>
      <c r="JI16" s="415"/>
      <c r="JJ16" s="415"/>
      <c r="JK16" s="415"/>
      <c r="JL16" s="415"/>
      <c r="JM16" s="415"/>
      <c r="JN16" s="415"/>
      <c r="JO16" s="415"/>
      <c r="JP16" s="415"/>
      <c r="JQ16" s="415"/>
      <c r="JR16" s="415"/>
      <c r="JS16" s="415"/>
      <c r="JT16" s="415"/>
      <c r="JU16" s="415"/>
      <c r="JV16" s="415"/>
      <c r="JW16" s="415"/>
      <c r="JX16" s="415"/>
      <c r="JY16" s="415"/>
      <c r="JZ16" s="415"/>
      <c r="KA16" s="415"/>
      <c r="KB16" s="415"/>
      <c r="KC16" s="415"/>
      <c r="KD16" s="415"/>
      <c r="KE16" s="415"/>
      <c r="KF16" s="415"/>
      <c r="KG16" s="415"/>
      <c r="KH16" s="415"/>
      <c r="KI16" s="415"/>
      <c r="KJ16" s="415"/>
      <c r="KK16" s="415"/>
      <c r="KL16" s="415"/>
      <c r="KM16" s="415"/>
      <c r="KN16" s="415"/>
      <c r="KO16" s="415"/>
      <c r="KP16" s="415"/>
      <c r="KQ16" s="415"/>
      <c r="KR16" s="415"/>
      <c r="KS16" s="415"/>
      <c r="KT16" s="415"/>
      <c r="KU16" s="415"/>
      <c r="KV16" s="415"/>
      <c r="KW16" s="415"/>
      <c r="KX16" s="415"/>
      <c r="KY16" s="415"/>
      <c r="KZ16" s="415"/>
      <c r="LA16" s="415"/>
      <c r="LB16" s="415"/>
      <c r="LC16" s="415"/>
      <c r="LD16" s="415"/>
      <c r="LE16" s="415"/>
      <c r="LF16" s="415"/>
      <c r="LG16" s="415"/>
      <c r="LH16" s="415"/>
      <c r="LI16" s="415"/>
      <c r="LJ16" s="415"/>
      <c r="LK16" s="415"/>
      <c r="LL16" s="415"/>
      <c r="LM16" s="415"/>
      <c r="LN16" s="415"/>
      <c r="LO16" s="415"/>
      <c r="LP16" s="415"/>
      <c r="LQ16" s="415"/>
      <c r="LR16" s="415"/>
      <c r="LS16" s="415"/>
      <c r="LT16" s="415"/>
      <c r="LU16" s="415"/>
      <c r="LV16" s="415"/>
      <c r="LW16" s="415"/>
      <c r="LX16" s="415"/>
      <c r="LY16" s="415"/>
      <c r="LZ16" s="415"/>
      <c r="MA16" s="415"/>
      <c r="MB16" s="415"/>
      <c r="MC16" s="415"/>
      <c r="MD16" s="415"/>
      <c r="ME16" s="415"/>
      <c r="MF16" s="415"/>
      <c r="MG16" s="415"/>
      <c r="MH16" s="415"/>
      <c r="MI16" s="415"/>
      <c r="MJ16" s="415"/>
      <c r="MK16" s="415"/>
      <c r="ML16" s="415"/>
      <c r="MM16" s="415"/>
      <c r="MN16" s="415"/>
      <c r="MO16" s="415"/>
      <c r="MP16" s="415"/>
      <c r="MQ16" s="415"/>
      <c r="MR16" s="415"/>
      <c r="MS16" s="415"/>
      <c r="MT16" s="415"/>
      <c r="MU16" s="415"/>
      <c r="MV16" s="415"/>
      <c r="MW16" s="415"/>
      <c r="MX16" s="415"/>
      <c r="MY16" s="415"/>
      <c r="MZ16" s="415"/>
      <c r="NA16" s="415"/>
      <c r="NB16" s="415"/>
      <c r="NC16" s="415"/>
      <c r="ND16" s="415"/>
      <c r="NE16" s="415"/>
      <c r="NF16" s="415"/>
      <c r="NG16" s="415"/>
      <c r="NH16" s="415"/>
      <c r="NI16" s="415"/>
      <c r="NJ16" s="415"/>
      <c r="NK16" s="415"/>
      <c r="NL16" s="415"/>
      <c r="NM16" s="415"/>
      <c r="NN16" s="415"/>
      <c r="NO16" s="415"/>
      <c r="NP16" s="415"/>
      <c r="NQ16" s="415"/>
      <c r="NR16" s="415"/>
      <c r="NS16" s="415"/>
      <c r="NT16" s="415"/>
      <c r="NU16" s="415"/>
      <c r="NV16" s="415"/>
      <c r="NW16" s="415"/>
      <c r="NX16" s="415"/>
      <c r="NY16" s="415"/>
      <c r="NZ16" s="415"/>
      <c r="OA16" s="415"/>
      <c r="OB16" s="415"/>
      <c r="OC16" s="415"/>
      <c r="OD16" s="415"/>
      <c r="OE16" s="415"/>
      <c r="OF16" s="415"/>
      <c r="OG16" s="415"/>
      <c r="OH16" s="415"/>
      <c r="OI16" s="415"/>
      <c r="OJ16" s="415"/>
      <c r="OK16" s="415"/>
      <c r="OL16" s="415"/>
      <c r="OM16" s="415"/>
      <c r="ON16" s="415"/>
      <c r="OO16" s="415"/>
      <c r="OP16" s="415"/>
      <c r="OQ16" s="415"/>
      <c r="OR16" s="415"/>
      <c r="OS16" s="415"/>
      <c r="OT16" s="415"/>
      <c r="OU16" s="415"/>
      <c r="OV16" s="415"/>
      <c r="OW16" s="415"/>
      <c r="OX16" s="415"/>
      <c r="OY16" s="415"/>
      <c r="OZ16" s="415"/>
      <c r="PA16" s="415"/>
      <c r="PB16" s="415"/>
      <c r="PC16" s="415"/>
      <c r="PD16" s="415"/>
      <c r="PE16" s="415"/>
      <c r="PF16" s="415"/>
      <c r="PG16" s="415"/>
      <c r="PH16" s="415"/>
      <c r="PI16" s="415"/>
      <c r="PJ16" s="415"/>
      <c r="PK16" s="415"/>
      <c r="PL16" s="415"/>
      <c r="PM16" s="415"/>
      <c r="PN16" s="415"/>
      <c r="PO16" s="415"/>
      <c r="PP16" s="415"/>
      <c r="PQ16" s="415"/>
      <c r="PR16" s="415"/>
      <c r="PS16" s="415"/>
      <c r="PT16" s="415"/>
      <c r="PU16" s="415"/>
      <c r="PV16" s="415"/>
      <c r="PW16" s="415"/>
      <c r="PX16" s="415"/>
      <c r="PY16" s="415"/>
      <c r="PZ16" s="415"/>
      <c r="QA16" s="415"/>
      <c r="QB16" s="415"/>
      <c r="QC16" s="415"/>
      <c r="QD16" s="415"/>
      <c r="QE16" s="415"/>
      <c r="QF16" s="415"/>
      <c r="QG16" s="415"/>
      <c r="QH16" s="415"/>
      <c r="QI16" s="415"/>
      <c r="QJ16" s="415"/>
      <c r="QK16" s="415"/>
      <c r="QL16" s="415"/>
      <c r="QM16" s="415"/>
      <c r="QN16" s="415"/>
      <c r="QO16" s="415"/>
      <c r="QP16" s="415"/>
      <c r="QQ16" s="415"/>
      <c r="QR16" s="415"/>
      <c r="QS16" s="415"/>
      <c r="QT16" s="415"/>
      <c r="QU16" s="415"/>
      <c r="QV16" s="415"/>
      <c r="QW16" s="415"/>
      <c r="QX16" s="415"/>
      <c r="QY16" s="415"/>
      <c r="QZ16" s="415"/>
      <c r="RA16" s="415"/>
      <c r="RB16" s="415"/>
      <c r="RC16" s="415"/>
      <c r="RD16" s="415"/>
      <c r="RE16" s="415"/>
      <c r="RF16" s="415"/>
      <c r="RG16" s="415"/>
      <c r="RH16" s="415"/>
      <c r="RI16" s="415"/>
      <c r="RJ16" s="415"/>
      <c r="RK16" s="415"/>
      <c r="RL16" s="415"/>
      <c r="RM16" s="415"/>
      <c r="RN16" s="415"/>
      <c r="RO16" s="415"/>
      <c r="RP16" s="415"/>
      <c r="RQ16" s="415"/>
      <c r="RR16" s="415"/>
      <c r="RS16" s="415"/>
      <c r="RT16" s="415"/>
      <c r="RU16" s="415"/>
      <c r="RV16" s="415"/>
      <c r="RW16" s="415"/>
      <c r="RX16" s="415"/>
      <c r="RY16" s="415"/>
      <c r="RZ16" s="415"/>
      <c r="SA16" s="415"/>
      <c r="SB16" s="415"/>
      <c r="SC16" s="415"/>
      <c r="SD16" s="415"/>
      <c r="SE16" s="415"/>
      <c r="SF16" s="415"/>
      <c r="SG16" s="415"/>
    </row>
    <row r="17" spans="1:501" ht="15" x14ac:dyDescent="0.2">
      <c r="A17" s="407"/>
      <c r="B17" s="407"/>
      <c r="C17" s="407"/>
      <c r="D17" s="407"/>
      <c r="E17" s="407"/>
      <c r="F17" s="407"/>
      <c r="G17" s="403"/>
      <c r="H17" s="399"/>
      <c r="I17" s="408" t="s">
        <v>73</v>
      </c>
      <c r="J17" s="408" t="s">
        <v>74</v>
      </c>
      <c r="K17" s="408" t="s">
        <v>75</v>
      </c>
      <c r="L17" s="408" t="s">
        <v>76</v>
      </c>
      <c r="M17" s="408" t="s">
        <v>28</v>
      </c>
      <c r="N17" s="408" t="s">
        <v>77</v>
      </c>
      <c r="O17" s="403"/>
      <c r="P17" s="409" t="s">
        <v>10</v>
      </c>
      <c r="Q17" s="403" t="s">
        <v>11</v>
      </c>
      <c r="R17" s="403" t="s">
        <v>12</v>
      </c>
      <c r="S17" s="403" t="s">
        <v>13</v>
      </c>
      <c r="T17" s="403" t="s">
        <v>14</v>
      </c>
      <c r="U17" s="403"/>
      <c r="V17" s="441" t="s">
        <v>124</v>
      </c>
      <c r="W17" s="442"/>
      <c r="X17" s="442"/>
      <c r="Y17" s="442"/>
      <c r="Z17" s="442"/>
      <c r="AA17" s="398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  <c r="AS17" s="403"/>
      <c r="AT17" s="403"/>
      <c r="AU17" s="403"/>
      <c r="AV17" s="403"/>
      <c r="AW17" s="403"/>
      <c r="AX17" s="403"/>
      <c r="AY17" s="403"/>
      <c r="AZ17" s="403"/>
      <c r="BA17" s="403"/>
      <c r="BB17" s="403"/>
      <c r="BC17" s="403"/>
      <c r="BD17" s="403"/>
      <c r="BE17" s="403"/>
      <c r="BF17" s="403"/>
      <c r="BG17" s="403"/>
      <c r="BH17" s="403"/>
      <c r="BI17" s="403"/>
      <c r="BJ17" s="403"/>
      <c r="BK17" s="403"/>
      <c r="BL17" s="403"/>
      <c r="BM17" s="403"/>
      <c r="BN17" s="403"/>
      <c r="BO17" s="403"/>
      <c r="BP17" s="403"/>
      <c r="BQ17" s="403"/>
      <c r="BR17" s="403"/>
      <c r="BS17" s="403"/>
      <c r="BT17" s="403"/>
      <c r="BU17" s="403"/>
      <c r="BV17" s="403"/>
      <c r="BW17" s="403"/>
      <c r="BX17" s="403"/>
      <c r="BY17" s="403"/>
      <c r="BZ17" s="403"/>
      <c r="CA17" s="403"/>
      <c r="CB17" s="403"/>
      <c r="CC17" s="403"/>
      <c r="CD17" s="403"/>
      <c r="CE17" s="403"/>
      <c r="CF17" s="403"/>
      <c r="CG17" s="403"/>
      <c r="CH17" s="403"/>
      <c r="CI17" s="403"/>
      <c r="CJ17" s="403"/>
      <c r="CK17" s="403"/>
      <c r="CL17" s="403"/>
      <c r="CM17" s="403"/>
      <c r="CN17" s="403"/>
      <c r="CO17" s="403"/>
      <c r="CP17" s="403"/>
      <c r="CQ17" s="403"/>
      <c r="CR17" s="403"/>
      <c r="CS17" s="403"/>
      <c r="CT17" s="403"/>
      <c r="CU17" s="403"/>
      <c r="CV17" s="403"/>
      <c r="CW17" s="403"/>
      <c r="CX17" s="403"/>
      <c r="CY17" s="403"/>
      <c r="CZ17" s="403"/>
      <c r="DA17" s="403"/>
      <c r="DB17" s="403"/>
      <c r="DC17" s="403"/>
      <c r="DD17" s="403"/>
      <c r="DE17" s="403"/>
      <c r="DF17" s="403"/>
      <c r="DG17" s="403"/>
      <c r="DH17" s="403"/>
      <c r="DI17" s="403"/>
      <c r="DJ17" s="403"/>
      <c r="DK17" s="403"/>
      <c r="DL17" s="403"/>
      <c r="DM17" s="403"/>
      <c r="DN17" s="404"/>
      <c r="DO17" s="404"/>
      <c r="DP17" s="404"/>
      <c r="DQ17" s="404"/>
      <c r="DR17" s="404"/>
      <c r="DS17" s="404"/>
      <c r="DT17" s="404"/>
      <c r="DU17" s="404"/>
      <c r="DV17" s="404"/>
      <c r="DW17" s="404"/>
      <c r="DX17" s="404"/>
      <c r="DY17" s="404"/>
      <c r="DZ17" s="404"/>
      <c r="EA17" s="404"/>
      <c r="EB17" s="404"/>
      <c r="EC17" s="404"/>
      <c r="ED17" s="404"/>
      <c r="EE17" s="404"/>
      <c r="EF17" s="404"/>
      <c r="EG17" s="404"/>
      <c r="EH17" s="404"/>
      <c r="EI17" s="404"/>
      <c r="EJ17" s="404"/>
      <c r="EK17" s="404"/>
      <c r="EL17" s="404"/>
      <c r="EM17" s="404"/>
      <c r="EN17" s="404"/>
      <c r="EO17" s="404"/>
      <c r="EP17" s="404"/>
      <c r="EQ17" s="404"/>
      <c r="ER17" s="404"/>
      <c r="ES17" s="404"/>
      <c r="ET17" s="404"/>
      <c r="EU17" s="404"/>
      <c r="EV17" s="404"/>
      <c r="EW17" s="404"/>
      <c r="EX17" s="404"/>
      <c r="EY17" s="404"/>
      <c r="EZ17" s="404"/>
      <c r="FA17" s="404"/>
      <c r="FB17" s="404"/>
      <c r="FC17" s="404"/>
      <c r="FD17" s="404"/>
      <c r="FE17" s="404"/>
      <c r="FF17" s="404"/>
      <c r="FG17" s="404"/>
      <c r="FH17" s="404"/>
      <c r="FI17" s="404"/>
      <c r="FJ17" s="404"/>
      <c r="FK17" s="404"/>
      <c r="FL17" s="404"/>
      <c r="FM17" s="404"/>
      <c r="FN17" s="404"/>
      <c r="FO17" s="404"/>
      <c r="FP17" s="404"/>
      <c r="FQ17" s="404"/>
      <c r="FR17" s="404"/>
      <c r="FS17" s="404"/>
      <c r="FT17" s="404"/>
      <c r="FU17" s="404"/>
      <c r="FV17" s="404"/>
      <c r="FW17" s="404"/>
      <c r="FX17" s="404"/>
      <c r="FY17" s="404"/>
      <c r="FZ17" s="404"/>
      <c r="GA17" s="404"/>
      <c r="GB17" s="404"/>
      <c r="GC17" s="404"/>
      <c r="GD17" s="404"/>
      <c r="GE17" s="404"/>
      <c r="GF17" s="404"/>
      <c r="GG17" s="404"/>
      <c r="GH17" s="404"/>
      <c r="GI17" s="404"/>
      <c r="GJ17" s="404"/>
      <c r="GK17" s="404"/>
      <c r="GL17" s="404"/>
      <c r="GM17" s="404"/>
      <c r="GN17" s="404"/>
      <c r="GO17" s="404"/>
      <c r="GP17" s="415"/>
      <c r="GQ17" s="415"/>
      <c r="GR17" s="415"/>
      <c r="GS17" s="415"/>
      <c r="GT17" s="415"/>
      <c r="GU17" s="415"/>
      <c r="GV17" s="415"/>
      <c r="GW17" s="415"/>
      <c r="GX17" s="415"/>
      <c r="GY17" s="415"/>
      <c r="GZ17" s="415"/>
      <c r="HA17" s="415"/>
      <c r="HB17" s="415"/>
      <c r="HC17" s="415"/>
      <c r="HD17" s="415"/>
      <c r="HE17" s="415"/>
      <c r="HF17" s="415"/>
      <c r="HG17" s="415"/>
      <c r="HH17" s="415"/>
      <c r="HI17" s="415"/>
      <c r="HJ17" s="415"/>
      <c r="HK17" s="415"/>
      <c r="HL17" s="415"/>
      <c r="HM17" s="415"/>
      <c r="HN17" s="415"/>
      <c r="HO17" s="415"/>
      <c r="HP17" s="415"/>
      <c r="HQ17" s="415"/>
      <c r="HR17" s="415"/>
      <c r="HS17" s="415"/>
      <c r="HT17" s="415"/>
      <c r="HU17" s="415"/>
      <c r="HV17" s="415"/>
      <c r="HW17" s="415"/>
      <c r="HX17" s="415"/>
      <c r="HY17" s="415"/>
      <c r="HZ17" s="415"/>
      <c r="IA17" s="415"/>
      <c r="IB17" s="415"/>
      <c r="IC17" s="415"/>
      <c r="ID17" s="415"/>
      <c r="IE17" s="415"/>
      <c r="IF17" s="415"/>
      <c r="IG17" s="415"/>
      <c r="IH17" s="415"/>
      <c r="II17" s="415"/>
      <c r="IJ17" s="415"/>
      <c r="IK17" s="415"/>
      <c r="IL17" s="415"/>
      <c r="IM17" s="415"/>
      <c r="IN17" s="415"/>
      <c r="IO17" s="415"/>
      <c r="IP17" s="415"/>
      <c r="IQ17" s="415"/>
      <c r="IR17" s="415"/>
      <c r="IS17" s="415"/>
      <c r="IT17" s="415"/>
      <c r="IU17" s="415"/>
      <c r="IV17" s="415"/>
      <c r="IW17" s="415"/>
      <c r="IX17" s="415"/>
      <c r="IY17" s="415"/>
      <c r="IZ17" s="415"/>
      <c r="JA17" s="415"/>
      <c r="JB17" s="415"/>
      <c r="JC17" s="415"/>
      <c r="JD17" s="415"/>
      <c r="JE17" s="415"/>
      <c r="JF17" s="415"/>
      <c r="JG17" s="415"/>
      <c r="JH17" s="415"/>
      <c r="JI17" s="415"/>
      <c r="JJ17" s="415"/>
      <c r="JK17" s="415"/>
      <c r="JL17" s="415"/>
      <c r="JM17" s="415"/>
      <c r="JN17" s="415"/>
      <c r="JO17" s="415"/>
      <c r="JP17" s="415"/>
      <c r="JQ17" s="415"/>
      <c r="JR17" s="415"/>
      <c r="JS17" s="415"/>
      <c r="JT17" s="415"/>
      <c r="JU17" s="415"/>
      <c r="JV17" s="415"/>
      <c r="JW17" s="415"/>
      <c r="JX17" s="415"/>
      <c r="JY17" s="415"/>
      <c r="JZ17" s="415"/>
      <c r="KA17" s="415"/>
      <c r="KB17" s="415"/>
      <c r="KC17" s="415"/>
      <c r="KD17" s="415"/>
      <c r="KE17" s="415"/>
      <c r="KF17" s="415"/>
      <c r="KG17" s="415"/>
      <c r="KH17" s="415"/>
      <c r="KI17" s="415"/>
      <c r="KJ17" s="415"/>
      <c r="KK17" s="415"/>
      <c r="KL17" s="415"/>
      <c r="KM17" s="415"/>
      <c r="KN17" s="415"/>
      <c r="KO17" s="415"/>
      <c r="KP17" s="415"/>
      <c r="KQ17" s="415"/>
      <c r="KR17" s="415"/>
      <c r="KS17" s="415"/>
      <c r="KT17" s="415"/>
      <c r="KU17" s="415"/>
      <c r="KV17" s="415"/>
      <c r="KW17" s="415"/>
      <c r="KX17" s="415"/>
      <c r="KY17" s="415"/>
      <c r="KZ17" s="415"/>
      <c r="LA17" s="415"/>
      <c r="LB17" s="415"/>
      <c r="LC17" s="415"/>
      <c r="LD17" s="415"/>
      <c r="LE17" s="415"/>
      <c r="LF17" s="415"/>
      <c r="LG17" s="415"/>
      <c r="LH17" s="415"/>
      <c r="LI17" s="415"/>
      <c r="LJ17" s="415"/>
      <c r="LK17" s="415"/>
      <c r="LL17" s="415"/>
      <c r="LM17" s="415"/>
      <c r="LN17" s="415"/>
      <c r="LO17" s="415"/>
      <c r="LP17" s="415"/>
      <c r="LQ17" s="415"/>
      <c r="LR17" s="415"/>
      <c r="LS17" s="415"/>
      <c r="LT17" s="415"/>
      <c r="LU17" s="415"/>
      <c r="LV17" s="415"/>
      <c r="LW17" s="415"/>
      <c r="LX17" s="415"/>
      <c r="LY17" s="415"/>
      <c r="LZ17" s="415"/>
      <c r="MA17" s="415"/>
      <c r="MB17" s="415"/>
      <c r="MC17" s="415"/>
      <c r="MD17" s="415"/>
      <c r="ME17" s="415"/>
      <c r="MF17" s="415"/>
      <c r="MG17" s="415"/>
      <c r="MH17" s="415"/>
      <c r="MI17" s="415"/>
      <c r="MJ17" s="415"/>
      <c r="MK17" s="415"/>
      <c r="ML17" s="415"/>
      <c r="MM17" s="415"/>
      <c r="MN17" s="415"/>
      <c r="MO17" s="415"/>
      <c r="MP17" s="415"/>
      <c r="MQ17" s="415"/>
      <c r="MR17" s="415"/>
      <c r="MS17" s="415"/>
      <c r="MT17" s="415"/>
      <c r="MU17" s="415"/>
      <c r="MV17" s="415"/>
      <c r="MW17" s="415"/>
      <c r="MX17" s="415"/>
      <c r="MY17" s="415"/>
      <c r="MZ17" s="415"/>
      <c r="NA17" s="415"/>
      <c r="NB17" s="415"/>
      <c r="NC17" s="415"/>
      <c r="ND17" s="415"/>
      <c r="NE17" s="415"/>
      <c r="NF17" s="415"/>
      <c r="NG17" s="415"/>
      <c r="NH17" s="415"/>
      <c r="NI17" s="415"/>
      <c r="NJ17" s="415"/>
      <c r="NK17" s="415"/>
      <c r="NL17" s="415"/>
      <c r="NM17" s="415"/>
      <c r="NN17" s="415"/>
      <c r="NO17" s="415"/>
      <c r="NP17" s="415"/>
      <c r="NQ17" s="415"/>
      <c r="NR17" s="415"/>
      <c r="NS17" s="415"/>
      <c r="NT17" s="415"/>
      <c r="NU17" s="415"/>
      <c r="NV17" s="415"/>
      <c r="NW17" s="415"/>
      <c r="NX17" s="415"/>
      <c r="NY17" s="415"/>
      <c r="NZ17" s="415"/>
      <c r="OA17" s="415"/>
      <c r="OB17" s="415"/>
      <c r="OC17" s="415"/>
      <c r="OD17" s="415"/>
      <c r="OE17" s="415"/>
      <c r="OF17" s="415"/>
      <c r="OG17" s="415"/>
      <c r="OH17" s="415"/>
      <c r="OI17" s="415"/>
      <c r="OJ17" s="415"/>
      <c r="OK17" s="415"/>
      <c r="OL17" s="415"/>
      <c r="OM17" s="415"/>
      <c r="ON17" s="415"/>
      <c r="OO17" s="415"/>
      <c r="OP17" s="415"/>
      <c r="OQ17" s="415"/>
      <c r="OR17" s="415"/>
      <c r="OS17" s="415"/>
      <c r="OT17" s="415"/>
      <c r="OU17" s="415"/>
      <c r="OV17" s="415"/>
      <c r="OW17" s="415"/>
      <c r="OX17" s="415"/>
      <c r="OY17" s="415"/>
      <c r="OZ17" s="415"/>
      <c r="PA17" s="415"/>
      <c r="PB17" s="415"/>
      <c r="PC17" s="415"/>
      <c r="PD17" s="415"/>
      <c r="PE17" s="415"/>
      <c r="PF17" s="415"/>
      <c r="PG17" s="415"/>
      <c r="PH17" s="415"/>
      <c r="PI17" s="415"/>
      <c r="PJ17" s="415"/>
      <c r="PK17" s="415"/>
      <c r="PL17" s="415"/>
      <c r="PM17" s="415"/>
      <c r="PN17" s="415"/>
      <c r="PO17" s="415"/>
      <c r="PP17" s="415"/>
      <c r="PQ17" s="415"/>
      <c r="PR17" s="415"/>
      <c r="PS17" s="415"/>
      <c r="PT17" s="415"/>
      <c r="PU17" s="415"/>
      <c r="PV17" s="415"/>
      <c r="PW17" s="415"/>
      <c r="PX17" s="415"/>
      <c r="PY17" s="415"/>
      <c r="PZ17" s="415"/>
      <c r="QA17" s="415"/>
      <c r="QB17" s="415"/>
      <c r="QC17" s="415"/>
      <c r="QD17" s="415"/>
      <c r="QE17" s="415"/>
      <c r="QF17" s="415"/>
      <c r="QG17" s="415"/>
      <c r="QH17" s="415"/>
      <c r="QI17" s="415"/>
      <c r="QJ17" s="415"/>
      <c r="QK17" s="415"/>
      <c r="QL17" s="415"/>
      <c r="QM17" s="415"/>
      <c r="QN17" s="415"/>
      <c r="QO17" s="415"/>
      <c r="QP17" s="415"/>
      <c r="QQ17" s="415"/>
      <c r="QR17" s="415"/>
      <c r="QS17" s="415"/>
      <c r="QT17" s="415"/>
      <c r="QU17" s="415"/>
      <c r="QV17" s="415"/>
      <c r="QW17" s="415"/>
      <c r="QX17" s="415"/>
      <c r="QY17" s="415"/>
      <c r="QZ17" s="415"/>
      <c r="RA17" s="415"/>
      <c r="RB17" s="415"/>
      <c r="RC17" s="415"/>
      <c r="RD17" s="415"/>
      <c r="RE17" s="415"/>
      <c r="RF17" s="415"/>
      <c r="RG17" s="415"/>
      <c r="RH17" s="415"/>
      <c r="RI17" s="415"/>
      <c r="RJ17" s="415"/>
      <c r="RK17" s="415"/>
      <c r="RL17" s="415"/>
      <c r="RM17" s="415"/>
      <c r="RN17" s="415"/>
      <c r="RO17" s="415"/>
      <c r="RP17" s="415"/>
      <c r="RQ17" s="415"/>
      <c r="RR17" s="415"/>
      <c r="RS17" s="415"/>
      <c r="RT17" s="415"/>
      <c r="RU17" s="415"/>
      <c r="RV17" s="415"/>
      <c r="RW17" s="415"/>
      <c r="RX17" s="415"/>
      <c r="RY17" s="415"/>
      <c r="RZ17" s="415"/>
      <c r="SA17" s="415"/>
      <c r="SB17" s="415"/>
      <c r="SC17" s="415"/>
      <c r="SD17" s="415"/>
      <c r="SE17" s="415"/>
      <c r="SF17" s="415"/>
      <c r="SG17" s="415"/>
    </row>
    <row r="18" spans="1:501" x14ac:dyDescent="0.2">
      <c r="A18" s="391" t="s">
        <v>0</v>
      </c>
      <c r="B18" s="110"/>
      <c r="C18" s="392">
        <v>0.02</v>
      </c>
      <c r="D18" s="392">
        <v>0.01</v>
      </c>
      <c r="E18" s="392">
        <v>1.06E-2</v>
      </c>
      <c r="F18" s="392">
        <v>1</v>
      </c>
      <c r="G18" s="392"/>
      <c r="H18" s="439" t="s">
        <v>271</v>
      </c>
      <c r="I18" s="410">
        <v>0</v>
      </c>
      <c r="J18" s="410">
        <v>1</v>
      </c>
      <c r="K18" s="410">
        <v>1</v>
      </c>
      <c r="L18" s="410">
        <v>0</v>
      </c>
      <c r="M18" s="410">
        <v>0</v>
      </c>
      <c r="N18" s="410">
        <v>0</v>
      </c>
      <c r="O18" s="440" t="s">
        <v>272</v>
      </c>
      <c r="P18" s="393">
        <v>0</v>
      </c>
      <c r="Q18" s="393">
        <v>0</v>
      </c>
      <c r="R18" s="393">
        <v>0</v>
      </c>
      <c r="S18" s="393">
        <v>0</v>
      </c>
      <c r="T18" s="393">
        <v>0</v>
      </c>
      <c r="U18" s="438" t="s">
        <v>273</v>
      </c>
      <c r="V18" s="393">
        <v>0</v>
      </c>
      <c r="W18" s="393">
        <v>0</v>
      </c>
      <c r="X18" s="393">
        <v>0</v>
      </c>
      <c r="Y18" s="393">
        <v>0</v>
      </c>
      <c r="Z18" s="393">
        <v>0</v>
      </c>
      <c r="AA18" s="393"/>
      <c r="AB18" s="438" t="s">
        <v>270</v>
      </c>
      <c r="AC18" s="393">
        <v>5.3200000000000004E-2</v>
      </c>
      <c r="AD18" s="393"/>
      <c r="AE18" s="434" t="s">
        <v>288</v>
      </c>
      <c r="AF18" s="388">
        <v>0.14179799082621383</v>
      </c>
      <c r="AG18" s="388">
        <v>0.13233091861973695</v>
      </c>
      <c r="AH18" s="388">
        <v>0.1243942655455476</v>
      </c>
      <c r="AI18" s="388">
        <v>0.11520116989470815</v>
      </c>
      <c r="AJ18" s="388">
        <v>0.10916922641255304</v>
      </c>
      <c r="AK18" s="388">
        <v>0.10360047909410217</v>
      </c>
      <c r="AL18" s="388">
        <v>9.6075954155486074E-2</v>
      </c>
      <c r="AM18" s="388">
        <v>8.9845004617069596E-2</v>
      </c>
      <c r="AN18" s="388">
        <v>8.1880626480782523E-2</v>
      </c>
      <c r="AO18" s="388">
        <v>7.4763169275450445E-2</v>
      </c>
      <c r="AP18" s="388">
        <v>6.9245757013342041E-2</v>
      </c>
      <c r="AQ18" s="388">
        <v>6.2578770300411937E-2</v>
      </c>
      <c r="AR18" s="388">
        <v>5.6082941838110772E-2</v>
      </c>
      <c r="AS18" s="388">
        <v>5.0575807917931599E-2</v>
      </c>
      <c r="AT18" s="388">
        <v>4.4966573648398643E-2</v>
      </c>
      <c r="AU18" s="388">
        <v>3.9620894965772896E-2</v>
      </c>
      <c r="AV18" s="388">
        <v>3.4756315073657965E-2</v>
      </c>
      <c r="AW18" s="388">
        <v>2.820966588995916E-2</v>
      </c>
      <c r="AX18" s="388">
        <v>2.1498020140681542E-2</v>
      </c>
      <c r="AY18" s="388">
        <v>1.4429740286368013E-2</v>
      </c>
      <c r="AZ18" s="388">
        <v>1.0600000000692944E-2</v>
      </c>
      <c r="BA18" s="388">
        <v>1.0600000000692944E-2</v>
      </c>
      <c r="BB18" s="388">
        <v>1.0600000000692944E-2</v>
      </c>
      <c r="BC18" s="388">
        <v>1.0600000000692944E-2</v>
      </c>
      <c r="BD18" s="388">
        <v>1.0600000000692944E-2</v>
      </c>
      <c r="BE18" s="388">
        <v>1.0600000000692944E-2</v>
      </c>
      <c r="BF18" s="388">
        <v>1.0600000000692944E-2</v>
      </c>
      <c r="BG18" s="388">
        <v>1.0600000000692944E-2</v>
      </c>
      <c r="BH18" s="388">
        <v>1.0600000000692944E-2</v>
      </c>
      <c r="BI18" s="388">
        <v>1.0600000000692944E-2</v>
      </c>
      <c r="BJ18" s="388">
        <v>1.0600000000692944E-2</v>
      </c>
      <c r="BK18" s="388">
        <v>1.0600000000692944E-2</v>
      </c>
      <c r="BL18" s="388">
        <v>1.0600000000692944E-2</v>
      </c>
      <c r="BM18" s="388">
        <v>1.0600000000692944E-2</v>
      </c>
      <c r="BN18" s="388">
        <v>1.0600000000692944E-2</v>
      </c>
      <c r="BO18" s="388">
        <v>1.0600000000692944E-2</v>
      </c>
      <c r="BP18" s="388">
        <v>1.0600000000692944E-2</v>
      </c>
      <c r="BQ18" s="388">
        <v>1.0600000000692944E-2</v>
      </c>
      <c r="BR18" s="388">
        <v>1.0600000000692944E-2</v>
      </c>
      <c r="BS18" s="388">
        <v>1.0600000000692944E-2</v>
      </c>
      <c r="BT18" s="388">
        <v>1.0600000000692944E-2</v>
      </c>
      <c r="BU18" s="388">
        <v>1.0600000000692944E-2</v>
      </c>
      <c r="BV18" s="388">
        <v>1.0600000000692944E-2</v>
      </c>
      <c r="BW18" s="388">
        <v>1.0600000000692944E-2</v>
      </c>
      <c r="BX18" s="388">
        <v>1.0600000000692944E-2</v>
      </c>
      <c r="BY18" s="388">
        <v>1.0600000000692944E-2</v>
      </c>
      <c r="BZ18" s="388">
        <v>1.0600000000692944E-2</v>
      </c>
      <c r="CA18" s="388">
        <v>1.0600000000692944E-2</v>
      </c>
      <c r="CB18" s="388">
        <v>1.0600000000692944E-2</v>
      </c>
      <c r="CC18" s="388">
        <v>1.0600000000692944E-2</v>
      </c>
      <c r="CD18" s="388">
        <v>1.0600000000692944E-2</v>
      </c>
      <c r="CE18" s="388">
        <v>1.0600000000692944E-2</v>
      </c>
      <c r="CF18" s="388">
        <v>1.0600000000692944E-2</v>
      </c>
      <c r="CG18" s="388">
        <v>1.0600000000692944E-2</v>
      </c>
      <c r="CH18" s="388">
        <v>1.0600000000692944E-2</v>
      </c>
      <c r="CI18" s="388">
        <v>1.0600000000692944E-2</v>
      </c>
      <c r="CJ18" s="388">
        <v>1.0600000000692944E-2</v>
      </c>
      <c r="CK18" s="388">
        <v>1.0600000000692944E-2</v>
      </c>
      <c r="CL18" s="388">
        <v>1.0600000000692944E-2</v>
      </c>
      <c r="CM18" s="388">
        <v>1.0600000000692944E-2</v>
      </c>
      <c r="CN18" s="388">
        <v>1.0600000000692944E-2</v>
      </c>
      <c r="CO18" s="388">
        <v>1.0600000000692944E-2</v>
      </c>
      <c r="CP18" s="388">
        <v>1.0600000000692944E-2</v>
      </c>
      <c r="CQ18" s="388">
        <v>1.0600000000692944E-2</v>
      </c>
      <c r="CR18" s="388">
        <v>1.0600000000692944E-2</v>
      </c>
      <c r="CS18" s="388">
        <v>1.0600000000692944E-2</v>
      </c>
      <c r="CT18" s="388">
        <v>1.0600000000692944E-2</v>
      </c>
      <c r="CU18" s="388">
        <v>1.0600000000692944E-2</v>
      </c>
      <c r="CV18" s="388">
        <v>1.0600000000692944E-2</v>
      </c>
      <c r="CW18" s="388">
        <v>1.0600000000692944E-2</v>
      </c>
      <c r="CX18" s="388">
        <v>1.0600000000692944E-2</v>
      </c>
      <c r="CY18" s="388">
        <v>1.0600000000692944E-2</v>
      </c>
      <c r="CZ18" s="388">
        <v>1.0600000000692944E-2</v>
      </c>
      <c r="DA18" s="388">
        <v>1.0600000000692944E-2</v>
      </c>
      <c r="DB18" s="388">
        <v>1.0600000000692944E-2</v>
      </c>
      <c r="DC18" s="388">
        <v>1.0600000000692944E-2</v>
      </c>
      <c r="DD18" s="388">
        <v>1.0600000000692944E-2</v>
      </c>
      <c r="DE18" s="388">
        <v>1.0600000000692944E-2</v>
      </c>
      <c r="DF18" s="388">
        <v>1.0600000000692944E-2</v>
      </c>
      <c r="DG18" s="388">
        <v>1.0600000000692944E-2</v>
      </c>
      <c r="DH18" s="388">
        <v>1.0600000000692944E-2</v>
      </c>
      <c r="DI18" s="388">
        <v>1.0600000000692944E-2</v>
      </c>
      <c r="DJ18" s="388">
        <v>1.0600000000692944E-2</v>
      </c>
      <c r="DK18" s="388">
        <v>1.0600000000692944E-2</v>
      </c>
      <c r="DL18" s="388">
        <v>1.0600000000692944E-2</v>
      </c>
      <c r="DM18" s="388">
        <v>1.0600000000692946E-2</v>
      </c>
      <c r="DN18" s="388">
        <v>1.0600000000692944E-2</v>
      </c>
      <c r="DO18" s="388">
        <v>1.0600000000692944E-2</v>
      </c>
      <c r="DP18" s="388">
        <v>1.0600000000692944E-2</v>
      </c>
      <c r="DQ18" s="388">
        <v>2.0342527715441542E-2</v>
      </c>
      <c r="DR18" s="388">
        <v>3.8491607332567526E-2</v>
      </c>
      <c r="DS18" s="388">
        <v>5.3237428138748433E-2</v>
      </c>
      <c r="DT18" s="388">
        <v>6.9269217821103096E-2</v>
      </c>
      <c r="DU18" s="388">
        <v>6.9269217821103624E-2</v>
      </c>
      <c r="DV18" s="388">
        <v>6.9269217821102375E-2</v>
      </c>
      <c r="DW18" s="388">
        <v>6.9269217821102388E-2</v>
      </c>
      <c r="DX18" s="388">
        <v>6.9269217821102388E-2</v>
      </c>
      <c r="DY18" s="388">
        <v>6.9269217821102388E-2</v>
      </c>
      <c r="DZ18" s="388">
        <v>8.8119859034992601E-2</v>
      </c>
      <c r="EA18" s="388">
        <v>8.8119859034992601E-2</v>
      </c>
      <c r="EB18" s="388"/>
      <c r="EC18" s="434" t="s">
        <v>274</v>
      </c>
      <c r="ED18" s="388">
        <v>1.0000000000000003E-4</v>
      </c>
      <c r="EE18" s="388">
        <v>2.3055865375790934E-4</v>
      </c>
      <c r="EF18" s="388">
        <v>1.2564995932452314E-4</v>
      </c>
      <c r="EG18" s="388">
        <v>1.5636572901338208E-4</v>
      </c>
      <c r="EH18" s="388">
        <v>1.281599228137113E-4</v>
      </c>
      <c r="EI18" s="388">
        <v>1.0369932660634119E-4</v>
      </c>
      <c r="EJ18" s="388">
        <v>1.0797923460547665E-4</v>
      </c>
      <c r="EK18" s="388">
        <v>7.928537779459976E-5</v>
      </c>
      <c r="EL18" s="388">
        <v>7.3930905606272174E-5</v>
      </c>
      <c r="EM18" s="388">
        <v>1.4070154995914533E-4</v>
      </c>
      <c r="EN18" s="388">
        <v>8.1829139287026105E-5</v>
      </c>
      <c r="EO18" s="388">
        <v>4.2621075633648471E-5</v>
      </c>
      <c r="EP18" s="388">
        <v>-5.8476691586039542E-5</v>
      </c>
      <c r="EQ18" s="388">
        <v>1.3851796966260732E-4</v>
      </c>
      <c r="ER18" s="388">
        <v>2.2327105893946421E-5</v>
      </c>
      <c r="ES18" s="388">
        <v>1.6024250861621428E-4</v>
      </c>
      <c r="ET18" s="388">
        <v>-7.8539674598782571E-5</v>
      </c>
      <c r="EU18" s="388">
        <v>-1.1624548942115841E-4</v>
      </c>
      <c r="EV18" s="388">
        <v>6.0118369310936517E-5</v>
      </c>
      <c r="EW18" s="388">
        <v>-9.658022051238124E-6</v>
      </c>
      <c r="EX18" s="388">
        <v>-5.8554507601896246E-6</v>
      </c>
      <c r="EY18" s="388">
        <v>6.9904221911927175E-5</v>
      </c>
      <c r="EZ18" s="388">
        <v>2.3969659689741311E-4</v>
      </c>
      <c r="FA18" s="388">
        <v>-1.8061608510300253E-4</v>
      </c>
      <c r="FB18" s="388">
        <v>-2.1892061613993546E-4</v>
      </c>
      <c r="FC18" s="388">
        <v>4.5429684157854549E-4</v>
      </c>
      <c r="FD18" s="388">
        <v>-3.2133745503384382E-4</v>
      </c>
      <c r="FE18" s="388">
        <v>9.999999870568124E-5</v>
      </c>
      <c r="FF18" s="388">
        <v>1.6834441385498141E-4</v>
      </c>
      <c r="FG18" s="388">
        <v>9.4237469493392337E-5</v>
      </c>
      <c r="FH18" s="388">
        <v>8.0220233789811093E-5</v>
      </c>
      <c r="FI18" s="388">
        <v>1.3380035592417761E-4</v>
      </c>
      <c r="FJ18" s="388">
        <v>9.0959447156463733E-5</v>
      </c>
      <c r="FK18" s="388">
        <v>8.9844165977106261E-5</v>
      </c>
      <c r="FL18" s="388">
        <v>3.3788205488213325E-4</v>
      </c>
      <c r="FM18" s="388">
        <v>-1.7224441174737689E-4</v>
      </c>
      <c r="FN18" s="388">
        <v>-8.8299593446887405E-5</v>
      </c>
      <c r="FO18" s="388">
        <v>-7.3012089804377068E-5</v>
      </c>
      <c r="FP18" s="388">
        <v>-7.1730503878911908E-5</v>
      </c>
      <c r="FQ18" s="388">
        <v>-3.3336250261382575E-5</v>
      </c>
      <c r="FR18" s="388">
        <v>5.8476691586039542E-5</v>
      </c>
      <c r="FS18" s="388">
        <v>-1.3902196056236581E-4</v>
      </c>
      <c r="FT18" s="388">
        <v>-1.5604030005542865E-5</v>
      </c>
      <c r="FU18" s="388">
        <v>-1.4355589127185869E-4</v>
      </c>
      <c r="FV18" s="388">
        <v>8.0036001180183708E-5</v>
      </c>
      <c r="FW18" s="388">
        <v>1.1491340037508662E-4</v>
      </c>
      <c r="FX18" s="388">
        <v>-4.8182749099986747E-5</v>
      </c>
      <c r="FY18" s="388">
        <v>1.6457620319997627E-5</v>
      </c>
      <c r="FZ18" s="388">
        <v>1.6479952107416615E-5</v>
      </c>
      <c r="GA18" s="388">
        <v>9.7492573627196088E-6</v>
      </c>
      <c r="GB18" s="388"/>
      <c r="GC18" s="388"/>
      <c r="GD18" s="388"/>
      <c r="GE18" s="388"/>
      <c r="GF18" s="388"/>
      <c r="GG18" s="388"/>
      <c r="GH18" s="388"/>
      <c r="GI18" s="388"/>
      <c r="GJ18" s="388"/>
      <c r="GK18" s="388"/>
      <c r="GL18" s="388"/>
      <c r="GM18" s="388"/>
      <c r="GN18" s="388"/>
      <c r="GO18" s="393"/>
      <c r="GP18" s="412"/>
      <c r="GQ18" s="412"/>
      <c r="GR18" s="412"/>
      <c r="GS18" s="412"/>
      <c r="GT18" s="412"/>
      <c r="GU18" s="412"/>
      <c r="GV18" s="412"/>
      <c r="GW18" s="412"/>
      <c r="GX18" s="412"/>
      <c r="GY18" s="412"/>
      <c r="GZ18" s="412"/>
      <c r="HA18" s="412"/>
      <c r="HB18" s="412"/>
      <c r="HC18" s="412"/>
      <c r="HD18" s="412"/>
      <c r="HE18" s="412"/>
      <c r="HF18" s="412"/>
      <c r="HG18" s="412"/>
      <c r="HH18" s="412"/>
      <c r="HI18" s="412"/>
      <c r="HJ18" s="412"/>
      <c r="HK18" s="412"/>
      <c r="HL18" s="412"/>
      <c r="HM18" s="412"/>
      <c r="HN18" s="412"/>
      <c r="HO18" s="412"/>
      <c r="HP18" s="412"/>
      <c r="HQ18" s="412"/>
      <c r="HR18" s="412"/>
      <c r="HS18" s="412"/>
      <c r="HT18" s="412"/>
      <c r="HU18" s="412"/>
      <c r="HV18" s="412"/>
      <c r="HW18" s="412"/>
      <c r="HX18" s="412"/>
      <c r="HY18" s="412"/>
      <c r="HZ18" s="412"/>
      <c r="IA18" s="412"/>
      <c r="IB18" s="412"/>
      <c r="IC18" s="412"/>
      <c r="ID18" s="412"/>
      <c r="IE18" s="412"/>
      <c r="IF18" s="412"/>
      <c r="IG18" s="412"/>
      <c r="IH18" s="412"/>
      <c r="II18" s="412"/>
      <c r="IJ18" s="412"/>
      <c r="IK18" s="412"/>
      <c r="IL18" s="412"/>
      <c r="IM18" s="412"/>
      <c r="IN18" s="412"/>
      <c r="IO18" s="412"/>
      <c r="IP18" s="412"/>
      <c r="IQ18" s="412"/>
      <c r="IR18" s="412"/>
      <c r="IS18" s="412"/>
      <c r="IT18" s="412"/>
      <c r="IU18" s="412"/>
      <c r="IV18" s="412"/>
      <c r="IW18" s="412"/>
      <c r="IX18" s="412"/>
      <c r="IY18" s="412"/>
      <c r="IZ18" s="412"/>
      <c r="JA18" s="412"/>
      <c r="JB18" s="412"/>
      <c r="JC18" s="412"/>
      <c r="JD18" s="412"/>
      <c r="JE18" s="412"/>
      <c r="JF18" s="412"/>
      <c r="JG18" s="412"/>
      <c r="JH18" s="412"/>
      <c r="JI18" s="412"/>
      <c r="JJ18" s="412"/>
      <c r="JK18" s="412"/>
      <c r="JL18" s="412"/>
      <c r="JM18" s="412"/>
      <c r="JN18" s="412"/>
      <c r="JO18" s="412"/>
      <c r="JP18" s="412"/>
      <c r="JQ18" s="412"/>
      <c r="JR18" s="412"/>
      <c r="JS18" s="412"/>
      <c r="JT18" s="412"/>
      <c r="JU18" s="412"/>
      <c r="JV18" s="412"/>
      <c r="JW18" s="412"/>
      <c r="JX18" s="412"/>
      <c r="JY18" s="412"/>
      <c r="JZ18" s="412"/>
      <c r="KA18" s="412"/>
      <c r="KB18" s="412"/>
      <c r="KC18" s="412"/>
      <c r="KD18" s="412"/>
      <c r="KE18" s="412"/>
      <c r="KF18" s="412"/>
      <c r="KG18" s="412"/>
      <c r="KH18" s="412"/>
      <c r="KI18" s="412"/>
      <c r="KJ18" s="412"/>
      <c r="KK18" s="412"/>
      <c r="KL18" s="412"/>
      <c r="KM18" s="412"/>
      <c r="KN18" s="412"/>
      <c r="KO18" s="412"/>
      <c r="KP18" s="412"/>
      <c r="KQ18" s="412"/>
      <c r="KR18" s="412"/>
      <c r="KS18" s="412"/>
      <c r="KT18" s="412"/>
      <c r="KU18" s="412"/>
      <c r="KV18" s="412"/>
      <c r="KW18" s="412"/>
      <c r="KX18" s="412"/>
      <c r="KY18" s="412"/>
      <c r="KZ18" s="412"/>
      <c r="LA18" s="412"/>
      <c r="LB18" s="412"/>
      <c r="LC18" s="412"/>
      <c r="LD18" s="412"/>
      <c r="LE18" s="412"/>
      <c r="LF18" s="412"/>
      <c r="LG18" s="412"/>
      <c r="LH18" s="412"/>
      <c r="LI18" s="412"/>
      <c r="LJ18" s="412"/>
      <c r="LK18" s="412"/>
      <c r="LL18" s="412"/>
      <c r="LM18" s="412"/>
      <c r="LN18" s="412"/>
      <c r="LO18" s="412"/>
      <c r="LP18" s="412"/>
      <c r="LQ18" s="412"/>
      <c r="LR18" s="412"/>
      <c r="LS18" s="412"/>
      <c r="LT18" s="412"/>
      <c r="LU18" s="412"/>
      <c r="LV18" s="412"/>
      <c r="LW18" s="412"/>
      <c r="LX18" s="412"/>
      <c r="LY18" s="412"/>
      <c r="LZ18" s="412"/>
      <c r="MA18" s="412"/>
      <c r="MB18" s="412"/>
      <c r="MC18" s="412"/>
      <c r="MD18" s="412"/>
      <c r="ME18" s="412"/>
      <c r="MF18" s="412"/>
      <c r="MG18" s="412"/>
      <c r="MH18" s="412"/>
      <c r="MI18" s="412"/>
      <c r="MJ18" s="412"/>
      <c r="MK18" s="412"/>
      <c r="ML18" s="412"/>
      <c r="MM18" s="412"/>
      <c r="MN18" s="412"/>
      <c r="MO18" s="412"/>
      <c r="MP18" s="412"/>
      <c r="MQ18" s="412"/>
      <c r="MR18" s="412"/>
      <c r="MS18" s="412"/>
      <c r="MT18" s="412"/>
      <c r="MU18" s="412"/>
      <c r="MV18" s="412"/>
      <c r="MW18" s="412"/>
      <c r="MX18" s="412"/>
      <c r="MY18" s="412"/>
      <c r="MZ18" s="412"/>
      <c r="NA18" s="412"/>
      <c r="NB18" s="412"/>
      <c r="NC18" s="412"/>
      <c r="ND18" s="412"/>
      <c r="NE18" s="412"/>
      <c r="NF18" s="412"/>
      <c r="NG18" s="412"/>
      <c r="NH18" s="412"/>
      <c r="NI18" s="412"/>
      <c r="NJ18" s="412"/>
      <c r="NK18" s="412"/>
      <c r="NL18" s="412"/>
      <c r="NM18" s="412"/>
      <c r="NN18" s="412"/>
      <c r="NO18" s="412"/>
      <c r="NP18" s="412"/>
      <c r="NQ18" s="412"/>
      <c r="NR18" s="412"/>
      <c r="NS18" s="412"/>
      <c r="NT18" s="412"/>
      <c r="NU18" s="412"/>
      <c r="NV18" s="412"/>
      <c r="NW18" s="412"/>
      <c r="NX18" s="412"/>
      <c r="NY18" s="412"/>
      <c r="NZ18" s="412"/>
      <c r="OA18" s="412"/>
      <c r="OB18" s="412"/>
      <c r="OC18" s="412"/>
      <c r="OD18" s="412"/>
      <c r="OE18" s="412"/>
      <c r="OF18" s="412"/>
      <c r="OG18" s="412"/>
      <c r="OH18" s="412"/>
      <c r="OI18" s="412"/>
      <c r="OJ18" s="412"/>
      <c r="OK18" s="412"/>
      <c r="OL18" s="412"/>
      <c r="OM18" s="412"/>
      <c r="ON18" s="412"/>
      <c r="OO18" s="412"/>
      <c r="OP18" s="412"/>
      <c r="OQ18" s="412"/>
      <c r="OR18" s="412"/>
      <c r="OS18" s="412"/>
      <c r="OT18" s="412"/>
      <c r="OU18" s="412"/>
      <c r="OV18" s="412"/>
      <c r="OW18" s="412"/>
      <c r="OX18" s="412"/>
      <c r="OY18" s="412"/>
      <c r="OZ18" s="412"/>
      <c r="PA18" s="412"/>
      <c r="PB18" s="412"/>
      <c r="PC18" s="412"/>
      <c r="PD18" s="412"/>
      <c r="PE18" s="412"/>
      <c r="PF18" s="412"/>
      <c r="PG18" s="412"/>
      <c r="PH18" s="412"/>
      <c r="PI18" s="412"/>
      <c r="PJ18" s="412"/>
      <c r="PK18" s="412"/>
      <c r="PL18" s="412"/>
      <c r="PM18" s="412"/>
      <c r="PN18" s="412"/>
      <c r="PO18" s="412"/>
      <c r="PP18" s="412"/>
      <c r="PQ18" s="412"/>
      <c r="PR18" s="412"/>
      <c r="PS18" s="412"/>
      <c r="PT18" s="412"/>
      <c r="PU18" s="412"/>
      <c r="PV18" s="412"/>
      <c r="PW18" s="412"/>
      <c r="PX18" s="412"/>
      <c r="PY18" s="412"/>
      <c r="PZ18" s="412"/>
      <c r="QA18" s="412"/>
      <c r="QB18" s="412"/>
      <c r="QC18" s="412"/>
      <c r="QD18" s="412"/>
      <c r="QE18" s="412"/>
      <c r="QF18" s="412"/>
      <c r="QG18" s="412"/>
      <c r="QH18" s="412"/>
      <c r="QI18" s="412"/>
      <c r="QJ18" s="412"/>
      <c r="QK18" s="412"/>
      <c r="QL18" s="412"/>
      <c r="QM18" s="412"/>
      <c r="QN18" s="412"/>
      <c r="QO18" s="412"/>
      <c r="QP18" s="412"/>
      <c r="QQ18" s="412"/>
      <c r="QR18" s="412"/>
      <c r="QS18" s="412"/>
      <c r="QT18" s="412"/>
      <c r="QU18" s="412"/>
      <c r="QV18" s="412"/>
      <c r="QW18" s="412"/>
      <c r="QX18" s="412"/>
      <c r="QY18" s="412"/>
      <c r="QZ18" s="412"/>
      <c r="RA18" s="412"/>
      <c r="RB18" s="412"/>
      <c r="RC18" s="412"/>
      <c r="RD18" s="412"/>
      <c r="RE18" s="412"/>
      <c r="RF18" s="412"/>
      <c r="RG18" s="412"/>
      <c r="RH18" s="412"/>
      <c r="RI18" s="412"/>
      <c r="RJ18" s="412"/>
      <c r="RK18" s="412"/>
      <c r="RL18" s="412"/>
      <c r="RM18" s="412"/>
      <c r="RN18" s="412"/>
      <c r="RO18" s="412"/>
      <c r="RP18" s="412"/>
      <c r="RQ18" s="412"/>
      <c r="RR18" s="412"/>
      <c r="RS18" s="412"/>
      <c r="RT18" s="412"/>
      <c r="RU18" s="412"/>
      <c r="RV18" s="412"/>
      <c r="RW18" s="412"/>
      <c r="RX18" s="412"/>
      <c r="RY18" s="412"/>
      <c r="RZ18" s="412"/>
      <c r="SA18" s="412"/>
      <c r="SB18" s="412"/>
      <c r="SC18" s="412"/>
      <c r="SD18" s="412"/>
      <c r="SE18" s="412"/>
      <c r="SF18" s="412"/>
      <c r="SG18" s="412"/>
    </row>
    <row r="19" spans="1:501" x14ac:dyDescent="0.2">
      <c r="A19" s="391" t="s">
        <v>1</v>
      </c>
      <c r="B19" s="110"/>
      <c r="C19" s="392">
        <v>0.05</v>
      </c>
      <c r="D19" s="392">
        <v>6.3E-2</v>
      </c>
      <c r="E19" s="392">
        <v>0</v>
      </c>
      <c r="F19" s="392">
        <v>1</v>
      </c>
      <c r="G19" s="392"/>
      <c r="H19" s="435"/>
      <c r="I19" s="410">
        <v>1</v>
      </c>
      <c r="J19" s="410">
        <v>1</v>
      </c>
      <c r="K19" s="410">
        <v>0</v>
      </c>
      <c r="L19" s="410">
        <v>0</v>
      </c>
      <c r="M19" s="410">
        <v>0</v>
      </c>
      <c r="N19" s="410">
        <v>0</v>
      </c>
      <c r="O19" s="435"/>
      <c r="P19" s="393">
        <v>0</v>
      </c>
      <c r="Q19" s="393">
        <v>0</v>
      </c>
      <c r="R19" s="393">
        <v>0</v>
      </c>
      <c r="S19" s="393">
        <v>0</v>
      </c>
      <c r="T19" s="393">
        <v>0</v>
      </c>
      <c r="U19" s="435"/>
      <c r="V19" s="393">
        <v>0</v>
      </c>
      <c r="W19" s="393">
        <v>0</v>
      </c>
      <c r="X19" s="393">
        <v>0</v>
      </c>
      <c r="Y19" s="393">
        <v>0</v>
      </c>
      <c r="Z19" s="393">
        <v>0</v>
      </c>
      <c r="AA19" s="393"/>
      <c r="AB19" s="435"/>
      <c r="AC19" s="393">
        <v>0.1082</v>
      </c>
      <c r="AD19" s="411"/>
      <c r="AE19" s="435"/>
      <c r="AF19" s="388">
        <v>0.14281717257420082</v>
      </c>
      <c r="AG19" s="388">
        <v>0.15780247897662916</v>
      </c>
      <c r="AH19" s="388">
        <v>0.16837946421713493</v>
      </c>
      <c r="AI19" s="388">
        <v>0.18296947154028828</v>
      </c>
      <c r="AJ19" s="388">
        <v>0.18588038281768313</v>
      </c>
      <c r="AK19" s="388">
        <v>0.18291674137874794</v>
      </c>
      <c r="AL19" s="388">
        <v>0.18462294610046967</v>
      </c>
      <c r="AM19" s="388">
        <v>0.18262328926483604</v>
      </c>
      <c r="AN19" s="388">
        <v>0.18967170039496192</v>
      </c>
      <c r="AO19" s="388">
        <v>0.18970222293925848</v>
      </c>
      <c r="AP19" s="388">
        <v>0.18394699827780678</v>
      </c>
      <c r="AQ19" s="388">
        <v>0.18121696748400726</v>
      </c>
      <c r="AR19" s="388">
        <v>0.17961008275023765</v>
      </c>
      <c r="AS19" s="388">
        <v>0.17217689040571882</v>
      </c>
      <c r="AT19" s="388">
        <v>0.16524230475780763</v>
      </c>
      <c r="AU19" s="388">
        <v>0.15796376117339797</v>
      </c>
      <c r="AV19" s="388">
        <v>0.14990451288418419</v>
      </c>
      <c r="AW19" s="388">
        <v>0.1489</v>
      </c>
      <c r="AX19" s="388">
        <v>0.1489</v>
      </c>
      <c r="AY19" s="388">
        <v>0.1489</v>
      </c>
      <c r="AZ19" s="388">
        <v>0.1489</v>
      </c>
      <c r="BA19" s="388">
        <v>0.1489</v>
      </c>
      <c r="BB19" s="388">
        <v>0.14305623677564808</v>
      </c>
      <c r="BC19" s="388">
        <v>0.13513324625607129</v>
      </c>
      <c r="BD19" s="388">
        <v>0.13259185093244533</v>
      </c>
      <c r="BE19" s="388">
        <v>0.12586939131475569</v>
      </c>
      <c r="BF19" s="388">
        <v>0.12093510804878724</v>
      </c>
      <c r="BG19" s="388">
        <v>0.11920227685363484</v>
      </c>
      <c r="BH19" s="388">
        <v>0.11058004268931611</v>
      </c>
      <c r="BI19" s="388">
        <v>0.10304427877917738</v>
      </c>
      <c r="BJ19" s="388">
        <v>9.3819010322202884E-2</v>
      </c>
      <c r="BK19" s="388">
        <v>8.813678442730008E-2</v>
      </c>
      <c r="BL19" s="388">
        <v>8.0613544610478274E-2</v>
      </c>
      <c r="BM19" s="388">
        <v>7.4028884156371974E-2</v>
      </c>
      <c r="BN19" s="388">
        <v>6.8402321161202387E-2</v>
      </c>
      <c r="BO19" s="388">
        <v>6.6407680922749027E-2</v>
      </c>
      <c r="BP19" s="388">
        <v>6.2117939192556558E-2</v>
      </c>
      <c r="BQ19" s="388">
        <v>5.6950903357028362E-2</v>
      </c>
      <c r="BR19" s="388">
        <v>4.9559571548829062E-2</v>
      </c>
      <c r="BS19" s="388">
        <v>4.3468166446573656E-2</v>
      </c>
      <c r="BT19" s="388">
        <v>3.9297444328260753E-2</v>
      </c>
      <c r="BU19" s="388">
        <v>3.050399717404469E-2</v>
      </c>
      <c r="BV19" s="388">
        <v>2.1339584689317393E-2</v>
      </c>
      <c r="BW19" s="388">
        <v>1.9183722278163048E-2</v>
      </c>
      <c r="BX19" s="388">
        <v>7.1406501299442933E-3</v>
      </c>
      <c r="BY19" s="388">
        <v>-6.9817018746737887E-22</v>
      </c>
      <c r="BZ19" s="388">
        <v>-8.8048188015848808E-20</v>
      </c>
      <c r="CA19" s="388">
        <v>-3.8997456160347339E-19</v>
      </c>
      <c r="CB19" s="388">
        <v>2.0634686859124451E-21</v>
      </c>
      <c r="CC19" s="388">
        <v>-5.3005115309241345E-23</v>
      </c>
      <c r="CD19" s="388">
        <v>1.3700186009970966E-21</v>
      </c>
      <c r="CE19" s="388">
        <v>2.2630680555682977E-22</v>
      </c>
      <c r="CF19" s="388">
        <v>-3.1631044729264502E-25</v>
      </c>
      <c r="CG19" s="388">
        <v>2.1322646884313337E-17</v>
      </c>
      <c r="CH19" s="388">
        <v>-6.8023658629520325E-19</v>
      </c>
      <c r="CI19" s="388">
        <v>1.7302825469448144E-17</v>
      </c>
      <c r="CJ19" s="388">
        <v>-4.901908480501911E-23</v>
      </c>
      <c r="CK19" s="388">
        <v>6.2549912117183347E-17</v>
      </c>
      <c r="CL19" s="388">
        <v>-4.1609920684491866E-23</v>
      </c>
      <c r="CM19" s="388">
        <v>7.6555180408900148E-24</v>
      </c>
      <c r="CN19" s="388">
        <v>4.7034427638714298E-23</v>
      </c>
      <c r="CO19" s="388">
        <v>4.0400786280723451E-23</v>
      </c>
      <c r="CP19" s="388">
        <v>6.3764882899125083E-23</v>
      </c>
      <c r="CQ19" s="388">
        <v>4.4287874982559374E-22</v>
      </c>
      <c r="CR19" s="388">
        <v>-1.478940852660042E-25</v>
      </c>
      <c r="CS19" s="388">
        <v>2.9097993582393392E-22</v>
      </c>
      <c r="CT19" s="388">
        <v>-5.3851102301814645E-22</v>
      </c>
      <c r="CU19" s="388">
        <v>1.1719961620975902E-21</v>
      </c>
      <c r="CV19" s="388">
        <v>2.3903375513268549E-23</v>
      </c>
      <c r="CW19" s="388">
        <v>-2.3806564633655045E-21</v>
      </c>
      <c r="CX19" s="388">
        <v>-1.6322020177007881E-22</v>
      </c>
      <c r="CY19" s="388">
        <v>1.5827116766409039E-22</v>
      </c>
      <c r="CZ19" s="388">
        <v>7.6481659645355484E-22</v>
      </c>
      <c r="DA19" s="388">
        <v>5.5132699797225787E-24</v>
      </c>
      <c r="DB19" s="388">
        <v>-5.8895718960283557E-19</v>
      </c>
      <c r="DC19" s="388">
        <v>-1.2848009701927069E-21</v>
      </c>
      <c r="DD19" s="388">
        <v>-2.837790681044361E-17</v>
      </c>
      <c r="DE19" s="388">
        <v>1.9753105651716099E-22</v>
      </c>
      <c r="DF19" s="388">
        <v>6.4053524806086911E-25</v>
      </c>
      <c r="DG19" s="388">
        <v>-5.2756361083810829E-21</v>
      </c>
      <c r="DH19" s="388">
        <v>-6.793758059372407E-18</v>
      </c>
      <c r="DI19" s="388">
        <v>2.5513195598405394E-18</v>
      </c>
      <c r="DJ19" s="388">
        <v>8.036444271633809E-21</v>
      </c>
      <c r="DK19" s="388">
        <v>2.9555172932450148E-23</v>
      </c>
      <c r="DL19" s="388">
        <v>4.8861079600444968E-18</v>
      </c>
      <c r="DM19" s="388">
        <v>1.3420997983375873E-19</v>
      </c>
      <c r="DN19" s="388">
        <v>-1.1297310508174246E-20</v>
      </c>
      <c r="DO19" s="388">
        <v>1.2828618600672668E-19</v>
      </c>
      <c r="DP19" s="388">
        <v>2.2037588818801382E-18</v>
      </c>
      <c r="DQ19" s="388">
        <v>6.2180292029226989E-21</v>
      </c>
      <c r="DR19" s="388">
        <v>1.4844753296459681E-17</v>
      </c>
      <c r="DS19" s="388">
        <v>-2.6875627261348494E-18</v>
      </c>
      <c r="DT19" s="388">
        <v>-9.0253937495986651E-17</v>
      </c>
      <c r="DU19" s="388">
        <v>1.9473557286277119E-16</v>
      </c>
      <c r="DV19" s="388">
        <v>-1.5470799081664485E-21</v>
      </c>
      <c r="DW19" s="388">
        <v>-9.9355876973774567E-20</v>
      </c>
      <c r="DX19" s="388">
        <v>-1.3627361800967982E-19</v>
      </c>
      <c r="DY19" s="388">
        <v>-3.0839620385645248E-19</v>
      </c>
      <c r="DZ19" s="388">
        <v>2.7779003531993484E-4</v>
      </c>
      <c r="EA19" s="388">
        <v>2.7779003531993484E-4</v>
      </c>
      <c r="EB19" s="388"/>
      <c r="EC19" s="435"/>
      <c r="ED19" s="388">
        <v>2.3055865375790934E-4</v>
      </c>
      <c r="EE19" s="388">
        <v>3.9689999999999994E-3</v>
      </c>
      <c r="EF19" s="388">
        <v>5.8890861196694523E-3</v>
      </c>
      <c r="EG19" s="388">
        <v>3.2175742655306517E-3</v>
      </c>
      <c r="EH19" s="388">
        <v>5.044543668596098E-3</v>
      </c>
      <c r="EI19" s="388">
        <v>2.9283072320685447E-3</v>
      </c>
      <c r="EJ19" s="388">
        <v>4.7569084474750126E-3</v>
      </c>
      <c r="EK19" s="388">
        <v>2.3875447556624975E-3</v>
      </c>
      <c r="EL19" s="388">
        <v>3.6367068795259403E-3</v>
      </c>
      <c r="EM19" s="388">
        <v>2.6115422666595474E-3</v>
      </c>
      <c r="EN19" s="388">
        <v>-8.0719337912835392E-5</v>
      </c>
      <c r="EO19" s="388">
        <v>-3.3534872546099815E-4</v>
      </c>
      <c r="EP19" s="388">
        <v>-3.4044333351204996E-4</v>
      </c>
      <c r="EQ19" s="388">
        <v>4.4695774793218846E-4</v>
      </c>
      <c r="ER19" s="388">
        <v>1.5242503093821036E-4</v>
      </c>
      <c r="ES19" s="388">
        <v>6.8381314363482584E-4</v>
      </c>
      <c r="ET19" s="388">
        <v>2.2944016595775863E-3</v>
      </c>
      <c r="EU19" s="388">
        <v>-1.8017597556515975E-3</v>
      </c>
      <c r="EV19" s="388">
        <v>-1.9479921005842154E-3</v>
      </c>
      <c r="EW19" s="388">
        <v>-3.3071198017677892E-3</v>
      </c>
      <c r="EX19" s="388">
        <v>-3.157037416638316E-3</v>
      </c>
      <c r="EY19" s="388">
        <v>-4.6355090686922806E-4</v>
      </c>
      <c r="EZ19" s="388">
        <v>2.8245004251985256E-4</v>
      </c>
      <c r="FA19" s="388">
        <v>6.263676956710671E-5</v>
      </c>
      <c r="FB19" s="388">
        <v>-7.7790013641216226E-4</v>
      </c>
      <c r="FC19" s="388">
        <v>1.440848107576665E-3</v>
      </c>
      <c r="FD19" s="388">
        <v>-6.160554434497291E-4</v>
      </c>
      <c r="FE19" s="388">
        <v>2.3055487157102702E-4</v>
      </c>
      <c r="FF19" s="388">
        <v>2.8979999999999995E-3</v>
      </c>
      <c r="FG19" s="388">
        <v>4.4168145897520881E-3</v>
      </c>
      <c r="FH19" s="388">
        <v>2.2652942738643459E-3</v>
      </c>
      <c r="FI19" s="388">
        <v>5.8944300327407762E-3</v>
      </c>
      <c r="FJ19" s="388">
        <v>1.3392093076751956E-2</v>
      </c>
      <c r="FK19" s="388">
        <v>9.4096341710867178E-3</v>
      </c>
      <c r="FL19" s="388">
        <v>9.9855888283430592E-3</v>
      </c>
      <c r="FM19" s="388">
        <v>-3.470074697243199E-3</v>
      </c>
      <c r="FN19" s="388">
        <v>-2.4214597166160924E-3</v>
      </c>
      <c r="FO19" s="388">
        <v>-2.2623680488207264E-3</v>
      </c>
      <c r="FP19" s="388">
        <v>1.1963096439719958E-4</v>
      </c>
      <c r="FQ19" s="388">
        <v>3.2635035557782526E-4</v>
      </c>
      <c r="FR19" s="388">
        <v>3.4044333351204996E-4</v>
      </c>
      <c r="FS19" s="388">
        <v>-3.8164841890334729E-4</v>
      </c>
      <c r="FT19" s="388">
        <v>-7.6055406094787927E-5</v>
      </c>
      <c r="FU19" s="388">
        <v>-6.1124680817880011E-4</v>
      </c>
      <c r="FV19" s="388">
        <v>-2.1745992910824543E-3</v>
      </c>
      <c r="FW19" s="388">
        <v>1.7165196504460095E-3</v>
      </c>
      <c r="FX19" s="388">
        <v>1.8914717601233968E-3</v>
      </c>
      <c r="FY19" s="388">
        <v>3.2239969674150953E-3</v>
      </c>
      <c r="FZ19" s="388">
        <v>3.0077922785559943E-3</v>
      </c>
      <c r="GA19" s="388">
        <v>6.9388504619571925E-5</v>
      </c>
      <c r="GB19" s="388"/>
      <c r="GC19" s="388"/>
      <c r="GD19" s="388"/>
      <c r="GE19" s="388"/>
      <c r="GF19" s="388"/>
      <c r="GG19" s="388"/>
      <c r="GH19" s="388"/>
      <c r="GI19" s="388"/>
      <c r="GJ19" s="388"/>
      <c r="GK19" s="388"/>
      <c r="GL19" s="388"/>
      <c r="GM19" s="388"/>
      <c r="GN19" s="388"/>
      <c r="GO19" s="388"/>
      <c r="GP19" s="412"/>
      <c r="GQ19" s="412"/>
      <c r="GR19" s="412"/>
      <c r="GS19" s="412"/>
      <c r="GT19" s="412"/>
      <c r="GU19" s="412"/>
      <c r="GV19" s="412"/>
      <c r="GW19" s="412"/>
      <c r="GX19" s="412"/>
      <c r="GY19" s="412"/>
      <c r="GZ19" s="412"/>
      <c r="HA19" s="412"/>
      <c r="HB19" s="412"/>
      <c r="HC19" s="412"/>
      <c r="HD19" s="412"/>
      <c r="HE19" s="412"/>
      <c r="HF19" s="412"/>
      <c r="HG19" s="412"/>
      <c r="HH19" s="412"/>
      <c r="HI19" s="412"/>
      <c r="HJ19" s="412"/>
      <c r="HK19" s="412"/>
      <c r="HL19" s="412"/>
      <c r="HM19" s="412"/>
      <c r="HN19" s="412"/>
      <c r="HO19" s="412"/>
      <c r="HP19" s="412"/>
      <c r="HQ19" s="412"/>
      <c r="HR19" s="412"/>
      <c r="HS19" s="412"/>
      <c r="HT19" s="412"/>
      <c r="HU19" s="412"/>
      <c r="HV19" s="412"/>
      <c r="HW19" s="412"/>
      <c r="HX19" s="412"/>
      <c r="HY19" s="412"/>
      <c r="HZ19" s="412"/>
      <c r="IA19" s="412"/>
      <c r="IB19" s="412"/>
      <c r="IC19" s="412"/>
      <c r="ID19" s="412"/>
      <c r="IE19" s="412"/>
      <c r="IF19" s="412"/>
      <c r="IG19" s="412"/>
      <c r="IH19" s="412"/>
      <c r="II19" s="412"/>
      <c r="IJ19" s="412"/>
      <c r="IK19" s="412"/>
      <c r="IL19" s="412"/>
      <c r="IM19" s="412"/>
      <c r="IN19" s="412"/>
      <c r="IO19" s="412"/>
      <c r="IP19" s="412"/>
      <c r="IQ19" s="412"/>
      <c r="IR19" s="412"/>
      <c r="IS19" s="412"/>
      <c r="IT19" s="412"/>
      <c r="IU19" s="412"/>
      <c r="IV19" s="412"/>
      <c r="IW19" s="412"/>
      <c r="IX19" s="412"/>
      <c r="IY19" s="412"/>
      <c r="IZ19" s="412"/>
      <c r="JA19" s="412"/>
      <c r="JB19" s="412"/>
      <c r="JC19" s="412"/>
      <c r="JD19" s="412"/>
      <c r="JE19" s="412"/>
      <c r="JF19" s="412"/>
      <c r="JG19" s="412"/>
      <c r="JH19" s="412"/>
      <c r="JI19" s="412"/>
      <c r="JJ19" s="412"/>
      <c r="JK19" s="412"/>
      <c r="JL19" s="412"/>
      <c r="JM19" s="412"/>
      <c r="JN19" s="412"/>
      <c r="JO19" s="412"/>
      <c r="JP19" s="412"/>
      <c r="JQ19" s="412"/>
      <c r="JR19" s="412"/>
      <c r="JS19" s="412"/>
      <c r="JT19" s="412"/>
      <c r="JU19" s="412"/>
      <c r="JV19" s="412"/>
      <c r="JW19" s="412"/>
      <c r="JX19" s="412"/>
      <c r="JY19" s="412"/>
      <c r="JZ19" s="412"/>
      <c r="KA19" s="412"/>
      <c r="KB19" s="412"/>
      <c r="KC19" s="412"/>
      <c r="KD19" s="412"/>
      <c r="KE19" s="412"/>
      <c r="KF19" s="412"/>
      <c r="KG19" s="412"/>
      <c r="KH19" s="412"/>
      <c r="KI19" s="412"/>
      <c r="KJ19" s="412"/>
      <c r="KK19" s="412"/>
      <c r="KL19" s="412"/>
      <c r="KM19" s="412"/>
      <c r="KN19" s="412"/>
      <c r="KO19" s="412"/>
      <c r="KP19" s="412"/>
      <c r="KQ19" s="412"/>
      <c r="KR19" s="412"/>
      <c r="KS19" s="412"/>
      <c r="KT19" s="412"/>
      <c r="KU19" s="412"/>
      <c r="KV19" s="412"/>
      <c r="KW19" s="412"/>
      <c r="KX19" s="412"/>
      <c r="KY19" s="412"/>
      <c r="KZ19" s="412"/>
      <c r="LA19" s="412"/>
      <c r="LB19" s="412"/>
      <c r="LC19" s="412"/>
      <c r="LD19" s="412"/>
      <c r="LE19" s="412"/>
      <c r="LF19" s="412"/>
      <c r="LG19" s="412"/>
      <c r="LH19" s="412"/>
      <c r="LI19" s="412"/>
      <c r="LJ19" s="412"/>
      <c r="LK19" s="412"/>
      <c r="LL19" s="412"/>
      <c r="LM19" s="412"/>
      <c r="LN19" s="412"/>
      <c r="LO19" s="412"/>
      <c r="LP19" s="412"/>
      <c r="LQ19" s="412"/>
      <c r="LR19" s="412"/>
      <c r="LS19" s="412"/>
      <c r="LT19" s="412"/>
      <c r="LU19" s="412"/>
      <c r="LV19" s="412"/>
      <c r="LW19" s="412"/>
      <c r="LX19" s="412"/>
      <c r="LY19" s="412"/>
      <c r="LZ19" s="412"/>
      <c r="MA19" s="412"/>
      <c r="MB19" s="412"/>
      <c r="MC19" s="412"/>
      <c r="MD19" s="412"/>
      <c r="ME19" s="412"/>
      <c r="MF19" s="412"/>
      <c r="MG19" s="412"/>
      <c r="MH19" s="412"/>
      <c r="MI19" s="412"/>
      <c r="MJ19" s="412"/>
      <c r="MK19" s="412"/>
      <c r="ML19" s="412"/>
      <c r="MM19" s="412"/>
      <c r="MN19" s="412"/>
      <c r="MO19" s="412"/>
      <c r="MP19" s="412"/>
      <c r="MQ19" s="412"/>
      <c r="MR19" s="412"/>
      <c r="MS19" s="412"/>
      <c r="MT19" s="412"/>
      <c r="MU19" s="412"/>
      <c r="MV19" s="412"/>
      <c r="MW19" s="412"/>
      <c r="MX19" s="412"/>
      <c r="MY19" s="412"/>
      <c r="MZ19" s="412"/>
      <c r="NA19" s="412"/>
      <c r="NB19" s="412"/>
      <c r="NC19" s="412"/>
      <c r="ND19" s="412"/>
      <c r="NE19" s="412"/>
      <c r="NF19" s="412"/>
      <c r="NG19" s="412"/>
      <c r="NH19" s="412"/>
      <c r="NI19" s="412"/>
      <c r="NJ19" s="412"/>
      <c r="NK19" s="412"/>
      <c r="NL19" s="412"/>
      <c r="NM19" s="412"/>
      <c r="NN19" s="412"/>
      <c r="NO19" s="412"/>
      <c r="NP19" s="412"/>
      <c r="NQ19" s="412"/>
      <c r="NR19" s="412"/>
      <c r="NS19" s="412"/>
      <c r="NT19" s="412"/>
      <c r="NU19" s="412"/>
      <c r="NV19" s="412"/>
      <c r="NW19" s="412"/>
      <c r="NX19" s="412"/>
      <c r="NY19" s="412"/>
      <c r="NZ19" s="412"/>
      <c r="OA19" s="412"/>
      <c r="OB19" s="412"/>
      <c r="OC19" s="412"/>
      <c r="OD19" s="412"/>
      <c r="OE19" s="412"/>
      <c r="OF19" s="412"/>
      <c r="OG19" s="412"/>
      <c r="OH19" s="412"/>
      <c r="OI19" s="412"/>
      <c r="OJ19" s="412"/>
      <c r="OK19" s="412"/>
      <c r="OL19" s="412"/>
      <c r="OM19" s="412"/>
      <c r="ON19" s="412"/>
      <c r="OO19" s="412"/>
      <c r="OP19" s="412"/>
      <c r="OQ19" s="412"/>
      <c r="OR19" s="412"/>
      <c r="OS19" s="412"/>
      <c r="OT19" s="412"/>
      <c r="OU19" s="412"/>
      <c r="OV19" s="412"/>
      <c r="OW19" s="412"/>
      <c r="OX19" s="412"/>
      <c r="OY19" s="412"/>
      <c r="OZ19" s="412"/>
      <c r="PA19" s="412"/>
      <c r="PB19" s="412"/>
      <c r="PC19" s="412"/>
      <c r="PD19" s="412"/>
      <c r="PE19" s="412"/>
      <c r="PF19" s="412"/>
      <c r="PG19" s="412"/>
      <c r="PH19" s="412"/>
      <c r="PI19" s="412"/>
      <c r="PJ19" s="412"/>
      <c r="PK19" s="412"/>
      <c r="PL19" s="412"/>
      <c r="PM19" s="412"/>
      <c r="PN19" s="412"/>
      <c r="PO19" s="412"/>
      <c r="PP19" s="412"/>
      <c r="PQ19" s="412"/>
      <c r="PR19" s="412"/>
      <c r="PS19" s="412"/>
      <c r="PT19" s="412"/>
      <c r="PU19" s="412"/>
      <c r="PV19" s="412"/>
      <c r="PW19" s="412"/>
      <c r="PX19" s="412"/>
      <c r="PY19" s="412"/>
      <c r="PZ19" s="412"/>
      <c r="QA19" s="412"/>
      <c r="QB19" s="412"/>
      <c r="QC19" s="412"/>
      <c r="QD19" s="412"/>
      <c r="QE19" s="412"/>
      <c r="QF19" s="412"/>
      <c r="QG19" s="412"/>
      <c r="QH19" s="412"/>
      <c r="QI19" s="412"/>
      <c r="QJ19" s="412"/>
      <c r="QK19" s="412"/>
      <c r="QL19" s="412"/>
      <c r="QM19" s="412"/>
      <c r="QN19" s="412"/>
      <c r="QO19" s="412"/>
      <c r="QP19" s="412"/>
      <c r="QQ19" s="412"/>
      <c r="QR19" s="412"/>
      <c r="QS19" s="412"/>
      <c r="QT19" s="412"/>
      <c r="QU19" s="412"/>
      <c r="QV19" s="412"/>
      <c r="QW19" s="412"/>
      <c r="QX19" s="412"/>
      <c r="QY19" s="412"/>
      <c r="QZ19" s="412"/>
      <c r="RA19" s="412"/>
      <c r="RB19" s="412"/>
      <c r="RC19" s="412"/>
      <c r="RD19" s="412"/>
      <c r="RE19" s="412"/>
      <c r="RF19" s="412"/>
      <c r="RG19" s="412"/>
      <c r="RH19" s="412"/>
      <c r="RI19" s="412"/>
      <c r="RJ19" s="412"/>
      <c r="RK19" s="412"/>
      <c r="RL19" s="412"/>
      <c r="RM19" s="412"/>
      <c r="RN19" s="412"/>
      <c r="RO19" s="412"/>
      <c r="RP19" s="412"/>
      <c r="RQ19" s="412"/>
      <c r="RR19" s="412"/>
      <c r="RS19" s="412"/>
      <c r="RT19" s="412"/>
      <c r="RU19" s="412"/>
      <c r="RV19" s="412"/>
      <c r="RW19" s="412"/>
      <c r="RX19" s="412"/>
      <c r="RY19" s="412"/>
      <c r="RZ19" s="412"/>
      <c r="SA19" s="412"/>
      <c r="SB19" s="412"/>
      <c r="SC19" s="412"/>
      <c r="SD19" s="412"/>
      <c r="SE19" s="412"/>
      <c r="SF19" s="412"/>
      <c r="SG19" s="412"/>
    </row>
    <row r="20" spans="1:501" x14ac:dyDescent="0.2">
      <c r="A20" s="391" t="s">
        <v>2</v>
      </c>
      <c r="B20" s="110"/>
      <c r="C20" s="392">
        <v>5.2999999999999999E-2</v>
      </c>
      <c r="D20" s="392">
        <v>0.10800000000000001</v>
      </c>
      <c r="E20" s="392">
        <v>0</v>
      </c>
      <c r="F20" s="392">
        <v>1</v>
      </c>
      <c r="G20" s="392"/>
      <c r="H20" s="435"/>
      <c r="I20" s="410">
        <v>1</v>
      </c>
      <c r="J20" s="410">
        <v>1</v>
      </c>
      <c r="K20" s="410">
        <v>0</v>
      </c>
      <c r="L20" s="410">
        <v>0</v>
      </c>
      <c r="M20" s="410">
        <v>0</v>
      </c>
      <c r="N20" s="410">
        <v>0</v>
      </c>
      <c r="O20" s="435"/>
      <c r="P20" s="393">
        <v>0</v>
      </c>
      <c r="Q20" s="393">
        <v>0</v>
      </c>
      <c r="R20" s="393">
        <v>0</v>
      </c>
      <c r="S20" s="393">
        <v>0</v>
      </c>
      <c r="T20" s="393">
        <v>0</v>
      </c>
      <c r="U20" s="435"/>
      <c r="V20" s="393">
        <v>0</v>
      </c>
      <c r="W20" s="393">
        <v>0</v>
      </c>
      <c r="X20" s="393">
        <v>0</v>
      </c>
      <c r="Y20" s="393">
        <v>0</v>
      </c>
      <c r="Z20" s="393">
        <v>0</v>
      </c>
      <c r="AA20" s="393"/>
      <c r="AB20" s="435"/>
      <c r="AC20" s="393">
        <v>0.1331</v>
      </c>
      <c r="AD20" s="411"/>
      <c r="AE20" s="435"/>
      <c r="AF20" s="388">
        <v>3.0784825851865334E-2</v>
      </c>
      <c r="AG20" s="388">
        <v>2.5266591655913873E-2</v>
      </c>
      <c r="AH20" s="388">
        <v>2.2626269675604268E-2</v>
      </c>
      <c r="AI20" s="388">
        <v>1.7229354859737544E-2</v>
      </c>
      <c r="AJ20" s="388">
        <v>1.3553543860721343E-2</v>
      </c>
      <c r="AK20" s="388">
        <v>1.090204544441831E-2</v>
      </c>
      <c r="AL20" s="388">
        <v>9.2843690861641893E-3</v>
      </c>
      <c r="AM20" s="388">
        <v>8.157356091828839E-3</v>
      </c>
      <c r="AN20" s="388">
        <v>4.1186325413344136E-3</v>
      </c>
      <c r="AO20" s="388">
        <v>2.6116456650689341E-3</v>
      </c>
      <c r="AP20" s="388">
        <v>1.255939940127104E-3</v>
      </c>
      <c r="AQ20" s="388">
        <v>7.6689551756203053E-4</v>
      </c>
      <c r="AR20" s="388">
        <v>1.1010087706456779E-21</v>
      </c>
      <c r="AS20" s="388">
        <v>1.0040121188175563E-22</v>
      </c>
      <c r="AT20" s="388">
        <v>2.234532288937327E-24</v>
      </c>
      <c r="AU20" s="388">
        <v>2.3010062150029278E-21</v>
      </c>
      <c r="AV20" s="388">
        <v>2.86962417291929E-23</v>
      </c>
      <c r="AW20" s="388">
        <v>-1.0906235223650625E-23</v>
      </c>
      <c r="AX20" s="388">
        <v>-7.3012698455365279E-22</v>
      </c>
      <c r="AY20" s="388">
        <v>-1.3571127046203599E-22</v>
      </c>
      <c r="AZ20" s="388">
        <v>-1.3913543626540552E-22</v>
      </c>
      <c r="BA20" s="388">
        <v>-8.1294764493774109E-22</v>
      </c>
      <c r="BB20" s="388">
        <v>5.8437632243519277E-3</v>
      </c>
      <c r="BC20" s="388">
        <v>1.3766753743928724E-2</v>
      </c>
      <c r="BD20" s="388">
        <v>1.6308149067554668E-2</v>
      </c>
      <c r="BE20" s="388">
        <v>2.3030608685244296E-2</v>
      </c>
      <c r="BF20" s="388">
        <v>2.7964891951212777E-2</v>
      </c>
      <c r="BG20" s="388">
        <v>2.9697723146365162E-2</v>
      </c>
      <c r="BH20" s="388">
        <v>3.8319957310683911E-2</v>
      </c>
      <c r="BI20" s="388">
        <v>4.5855721220822626E-2</v>
      </c>
      <c r="BJ20" s="388">
        <v>5.5080989677797121E-2</v>
      </c>
      <c r="BK20" s="388">
        <v>6.0763215572699925E-2</v>
      </c>
      <c r="BL20" s="388">
        <v>6.828645538952173E-2</v>
      </c>
      <c r="BM20" s="388">
        <v>7.4871115843628031E-2</v>
      </c>
      <c r="BN20" s="388">
        <v>8.0497678838797618E-2</v>
      </c>
      <c r="BO20" s="388">
        <v>8.2492319077250978E-2</v>
      </c>
      <c r="BP20" s="388">
        <v>8.678206080744344E-2</v>
      </c>
      <c r="BQ20" s="388">
        <v>9.1949096642971656E-2</v>
      </c>
      <c r="BR20" s="388">
        <v>9.9340428451170928E-2</v>
      </c>
      <c r="BS20" s="388">
        <v>0.10543183355342635</v>
      </c>
      <c r="BT20" s="388">
        <v>0.10960255567173925</v>
      </c>
      <c r="BU20" s="388">
        <v>0.1183960028259553</v>
      </c>
      <c r="BV20" s="388">
        <v>0.1275604153106826</v>
      </c>
      <c r="BW20" s="388">
        <v>0.12971627772183697</v>
      </c>
      <c r="BX20" s="388">
        <v>0.14175934987005567</v>
      </c>
      <c r="BY20" s="388">
        <v>0.1489</v>
      </c>
      <c r="BZ20" s="388">
        <v>0.1489</v>
      </c>
      <c r="CA20" s="388">
        <v>0.1489</v>
      </c>
      <c r="CB20" s="388">
        <v>0.1489</v>
      </c>
      <c r="CC20" s="388">
        <v>0.1489</v>
      </c>
      <c r="CD20" s="388">
        <v>0.1489</v>
      </c>
      <c r="CE20" s="388">
        <v>0.1489</v>
      </c>
      <c r="CF20" s="388">
        <v>0.1489</v>
      </c>
      <c r="CG20" s="388">
        <v>0.14890000000000023</v>
      </c>
      <c r="CH20" s="388">
        <v>0.14890000000000023</v>
      </c>
      <c r="CI20" s="388">
        <v>0.14890000000000014</v>
      </c>
      <c r="CJ20" s="388">
        <v>0.1489</v>
      </c>
      <c r="CK20" s="388">
        <v>0.14890000000000037</v>
      </c>
      <c r="CL20" s="388">
        <v>0.1489</v>
      </c>
      <c r="CM20" s="388">
        <v>0.1489</v>
      </c>
      <c r="CN20" s="388">
        <v>0.1489</v>
      </c>
      <c r="CO20" s="388">
        <v>0.1489</v>
      </c>
      <c r="CP20" s="388">
        <v>0.1489</v>
      </c>
      <c r="CQ20" s="388">
        <v>0.1489</v>
      </c>
      <c r="CR20" s="388">
        <v>0.1489</v>
      </c>
      <c r="CS20" s="388">
        <v>0.1489</v>
      </c>
      <c r="CT20" s="388">
        <v>0.1489</v>
      </c>
      <c r="CU20" s="388">
        <v>0.1489</v>
      </c>
      <c r="CV20" s="388">
        <v>0.1489</v>
      </c>
      <c r="CW20" s="388">
        <v>0.1489</v>
      </c>
      <c r="CX20" s="388">
        <v>0.1489</v>
      </c>
      <c r="CY20" s="388">
        <v>0.1489</v>
      </c>
      <c r="CZ20" s="388">
        <v>0.1489</v>
      </c>
      <c r="DA20" s="388">
        <v>0.1489</v>
      </c>
      <c r="DB20" s="388">
        <v>0.14890000000000031</v>
      </c>
      <c r="DC20" s="388">
        <v>0.1489</v>
      </c>
      <c r="DD20" s="388">
        <v>0.14890000000000034</v>
      </c>
      <c r="DE20" s="388">
        <v>0.1489</v>
      </c>
      <c r="DF20" s="388">
        <v>0.1489</v>
      </c>
      <c r="DG20" s="388">
        <v>0.1489</v>
      </c>
      <c r="DH20" s="388">
        <v>0.14890000000000014</v>
      </c>
      <c r="DI20" s="388">
        <v>0.1489</v>
      </c>
      <c r="DJ20" s="388">
        <v>0.1489</v>
      </c>
      <c r="DK20" s="388">
        <v>0.1489</v>
      </c>
      <c r="DL20" s="388">
        <v>0.14890000000000045</v>
      </c>
      <c r="DM20" s="388">
        <v>0.1489</v>
      </c>
      <c r="DN20" s="388">
        <v>0.1489</v>
      </c>
      <c r="DO20" s="388">
        <v>0.1489</v>
      </c>
      <c r="DP20" s="388">
        <v>0.1489</v>
      </c>
      <c r="DQ20" s="388">
        <v>0.1489</v>
      </c>
      <c r="DR20" s="388">
        <v>0.14890000000000028</v>
      </c>
      <c r="DS20" s="388">
        <v>0.14890000000000017</v>
      </c>
      <c r="DT20" s="388">
        <v>0.14890000000000031</v>
      </c>
      <c r="DU20" s="388">
        <v>0.1489</v>
      </c>
      <c r="DV20" s="388">
        <v>0.1489</v>
      </c>
      <c r="DW20" s="388">
        <v>0.1489</v>
      </c>
      <c r="DX20" s="388">
        <v>0.1489</v>
      </c>
      <c r="DY20" s="388">
        <v>0.1489</v>
      </c>
      <c r="DZ20" s="388">
        <v>0.14864874896245098</v>
      </c>
      <c r="EA20" s="388">
        <v>0.14864874896245098</v>
      </c>
      <c r="EB20" s="388"/>
      <c r="EC20" s="435"/>
      <c r="ED20" s="388">
        <v>1.2564995932452314E-4</v>
      </c>
      <c r="EE20" s="388">
        <v>5.8890861196694523E-3</v>
      </c>
      <c r="EF20" s="388">
        <v>1.1664000000000002E-2</v>
      </c>
      <c r="EG20" s="388">
        <v>4.6271032921789716E-3</v>
      </c>
      <c r="EH20" s="388">
        <v>8.8711843918930239E-3</v>
      </c>
      <c r="EI20" s="388">
        <v>4.7817399847389095E-3</v>
      </c>
      <c r="EJ20" s="388">
        <v>8.4308558053438395E-3</v>
      </c>
      <c r="EK20" s="388">
        <v>3.7133320059045175E-3</v>
      </c>
      <c r="EL20" s="388">
        <v>6.2367174948673686E-3</v>
      </c>
      <c r="EM20" s="388">
        <v>3.9500543701057296E-3</v>
      </c>
      <c r="EN20" s="388">
        <v>1.2269228100422747E-4</v>
      </c>
      <c r="EO20" s="388">
        <v>-5.1610673011925358E-4</v>
      </c>
      <c r="EP20" s="388">
        <v>-1.1616036891823659E-3</v>
      </c>
      <c r="EQ20" s="388">
        <v>8.5683767699856902E-4</v>
      </c>
      <c r="ER20" s="388">
        <v>-3.50226658619704E-4</v>
      </c>
      <c r="ES20" s="388">
        <v>5.6458013105632689E-4</v>
      </c>
      <c r="ET20" s="388">
        <v>3.2105964963802685E-3</v>
      </c>
      <c r="EU20" s="388">
        <v>-3.7891280682784637E-3</v>
      </c>
      <c r="EV20" s="388">
        <v>-5.1185540207852103E-3</v>
      </c>
      <c r="EW20" s="388">
        <v>-7.0099835268983175E-3</v>
      </c>
      <c r="EX20" s="388">
        <v>-6.0459488648502615E-3</v>
      </c>
      <c r="EY20" s="388">
        <v>-7.0297455022276132E-4</v>
      </c>
      <c r="EZ20" s="388">
        <v>-1.5532407526800259E-5</v>
      </c>
      <c r="FA20" s="388">
        <v>5.6941487039661282E-5</v>
      </c>
      <c r="FB20" s="388">
        <v>-3.2532223700450619E-3</v>
      </c>
      <c r="FC20" s="388">
        <v>2.3278908411817709E-3</v>
      </c>
      <c r="FD20" s="388">
        <v>1.2345197700037229E-4</v>
      </c>
      <c r="FE20" s="388">
        <v>1.2562727884186077E-4</v>
      </c>
      <c r="FF20" s="388">
        <v>4.2999676429332501E-3</v>
      </c>
      <c r="FG20" s="388">
        <v>8.7480000000000006E-3</v>
      </c>
      <c r="FH20" s="388">
        <v>3.6990818749867028E-3</v>
      </c>
      <c r="FI20" s="388">
        <v>1.0446930019665193E-2</v>
      </c>
      <c r="FJ20" s="388">
        <v>2.7444047762385668E-2</v>
      </c>
      <c r="FK20" s="388">
        <v>1.6898640616751264E-2</v>
      </c>
      <c r="FL20" s="388">
        <v>1.7803347412605242E-2</v>
      </c>
      <c r="FM20" s="388">
        <v>-4.9323127877654192E-3</v>
      </c>
      <c r="FN20" s="388">
        <v>-3.7056725263418708E-3</v>
      </c>
      <c r="FO20" s="388">
        <v>-3.7924499406764888E-3</v>
      </c>
      <c r="FP20" s="388">
        <v>8.4014524646057616E-4</v>
      </c>
      <c r="FQ20" s="388">
        <v>1.3408477614879654E-3</v>
      </c>
      <c r="FR20" s="388">
        <v>1.1616036891823659E-3</v>
      </c>
      <c r="FS20" s="388">
        <v>-1.5995762340536855E-4</v>
      </c>
      <c r="FT20" s="388">
        <v>9.3617225795386962E-4</v>
      </c>
      <c r="FU20" s="388">
        <v>6.9367613622564329E-5</v>
      </c>
      <c r="FV20" s="388">
        <v>-2.4931748083613322E-3</v>
      </c>
      <c r="FW20" s="388">
        <v>4.0826263181454776E-3</v>
      </c>
      <c r="FX20" s="388">
        <v>5.4257036287845587E-3</v>
      </c>
      <c r="FY20" s="388">
        <v>7.3500665776721572E-3</v>
      </c>
      <c r="FZ20" s="388">
        <v>6.3176718420888452E-3</v>
      </c>
      <c r="GA20" s="388">
        <v>7.6576967097803295E-5</v>
      </c>
      <c r="GB20" s="388"/>
      <c r="GC20" s="388"/>
      <c r="GD20" s="388"/>
      <c r="GE20" s="388"/>
      <c r="GF20" s="388"/>
      <c r="GG20" s="388"/>
      <c r="GH20" s="388"/>
      <c r="GI20" s="388"/>
      <c r="GJ20" s="388"/>
      <c r="GK20" s="388"/>
      <c r="GL20" s="388"/>
      <c r="GM20" s="388"/>
      <c r="GN20" s="388"/>
      <c r="GO20" s="388"/>
      <c r="GP20" s="412"/>
      <c r="GQ20" s="412"/>
      <c r="GR20" s="412"/>
      <c r="GS20" s="412"/>
      <c r="GT20" s="412"/>
      <c r="GU20" s="412"/>
      <c r="GV20" s="412"/>
      <c r="GW20" s="412"/>
      <c r="GX20" s="412"/>
      <c r="GY20" s="412"/>
      <c r="GZ20" s="412"/>
      <c r="HA20" s="412"/>
      <c r="HB20" s="412"/>
      <c r="HC20" s="412"/>
      <c r="HD20" s="412"/>
      <c r="HE20" s="412"/>
      <c r="HF20" s="412"/>
      <c r="HG20" s="412"/>
      <c r="HH20" s="412"/>
      <c r="HI20" s="412"/>
      <c r="HJ20" s="412"/>
      <c r="HK20" s="412"/>
      <c r="HL20" s="412"/>
      <c r="HM20" s="412"/>
      <c r="HN20" s="412"/>
      <c r="HO20" s="412"/>
      <c r="HP20" s="412"/>
      <c r="HQ20" s="412"/>
      <c r="HR20" s="412"/>
      <c r="HS20" s="412"/>
      <c r="HT20" s="412"/>
      <c r="HU20" s="412"/>
      <c r="HV20" s="412"/>
      <c r="HW20" s="412"/>
      <c r="HX20" s="412"/>
      <c r="HY20" s="412"/>
      <c r="HZ20" s="412"/>
      <c r="IA20" s="412"/>
      <c r="IB20" s="412"/>
      <c r="IC20" s="412"/>
      <c r="ID20" s="412"/>
      <c r="IE20" s="412"/>
      <c r="IF20" s="412"/>
      <c r="IG20" s="412"/>
      <c r="IH20" s="412"/>
      <c r="II20" s="412"/>
      <c r="IJ20" s="412"/>
      <c r="IK20" s="412"/>
      <c r="IL20" s="412"/>
      <c r="IM20" s="412"/>
      <c r="IN20" s="412"/>
      <c r="IO20" s="412"/>
      <c r="IP20" s="412"/>
      <c r="IQ20" s="412"/>
      <c r="IR20" s="412"/>
      <c r="IS20" s="412"/>
      <c r="IT20" s="412"/>
      <c r="IU20" s="412"/>
      <c r="IV20" s="412"/>
      <c r="IW20" s="412"/>
      <c r="IX20" s="412"/>
      <c r="IY20" s="412"/>
      <c r="IZ20" s="412"/>
      <c r="JA20" s="412"/>
      <c r="JB20" s="412"/>
      <c r="JC20" s="412"/>
      <c r="JD20" s="412"/>
      <c r="JE20" s="412"/>
      <c r="JF20" s="412"/>
      <c r="JG20" s="412"/>
      <c r="JH20" s="412"/>
      <c r="JI20" s="412"/>
      <c r="JJ20" s="412"/>
      <c r="JK20" s="412"/>
      <c r="JL20" s="412"/>
      <c r="JM20" s="412"/>
      <c r="JN20" s="412"/>
      <c r="JO20" s="412"/>
      <c r="JP20" s="412"/>
      <c r="JQ20" s="412"/>
      <c r="JR20" s="412"/>
      <c r="JS20" s="412"/>
      <c r="JT20" s="412"/>
      <c r="JU20" s="412"/>
      <c r="JV20" s="412"/>
      <c r="JW20" s="412"/>
      <c r="JX20" s="412"/>
      <c r="JY20" s="412"/>
      <c r="JZ20" s="412"/>
      <c r="KA20" s="412"/>
      <c r="KB20" s="412"/>
      <c r="KC20" s="412"/>
      <c r="KD20" s="412"/>
      <c r="KE20" s="412"/>
      <c r="KF20" s="412"/>
      <c r="KG20" s="412"/>
      <c r="KH20" s="412"/>
      <c r="KI20" s="412"/>
      <c r="KJ20" s="412"/>
      <c r="KK20" s="412"/>
      <c r="KL20" s="412"/>
      <c r="KM20" s="412"/>
      <c r="KN20" s="412"/>
      <c r="KO20" s="412"/>
      <c r="KP20" s="412"/>
      <c r="KQ20" s="412"/>
      <c r="KR20" s="412"/>
      <c r="KS20" s="412"/>
      <c r="KT20" s="412"/>
      <c r="KU20" s="412"/>
      <c r="KV20" s="412"/>
      <c r="KW20" s="412"/>
      <c r="KX20" s="412"/>
      <c r="KY20" s="412"/>
      <c r="KZ20" s="412"/>
      <c r="LA20" s="412"/>
      <c r="LB20" s="412"/>
      <c r="LC20" s="412"/>
      <c r="LD20" s="412"/>
      <c r="LE20" s="412"/>
      <c r="LF20" s="412"/>
      <c r="LG20" s="412"/>
      <c r="LH20" s="412"/>
      <c r="LI20" s="412"/>
      <c r="LJ20" s="412"/>
      <c r="LK20" s="412"/>
      <c r="LL20" s="412"/>
      <c r="LM20" s="412"/>
      <c r="LN20" s="412"/>
      <c r="LO20" s="412"/>
      <c r="LP20" s="412"/>
      <c r="LQ20" s="412"/>
      <c r="LR20" s="412"/>
      <c r="LS20" s="412"/>
      <c r="LT20" s="412"/>
      <c r="LU20" s="412"/>
      <c r="LV20" s="412"/>
      <c r="LW20" s="412"/>
      <c r="LX20" s="412"/>
      <c r="LY20" s="412"/>
      <c r="LZ20" s="412"/>
      <c r="MA20" s="412"/>
      <c r="MB20" s="412"/>
      <c r="MC20" s="412"/>
      <c r="MD20" s="412"/>
      <c r="ME20" s="412"/>
      <c r="MF20" s="412"/>
      <c r="MG20" s="412"/>
      <c r="MH20" s="412"/>
      <c r="MI20" s="412"/>
      <c r="MJ20" s="412"/>
      <c r="MK20" s="412"/>
      <c r="ML20" s="412"/>
      <c r="MM20" s="412"/>
      <c r="MN20" s="412"/>
      <c r="MO20" s="412"/>
      <c r="MP20" s="412"/>
      <c r="MQ20" s="412"/>
      <c r="MR20" s="412"/>
      <c r="MS20" s="412"/>
      <c r="MT20" s="412"/>
      <c r="MU20" s="412"/>
      <c r="MV20" s="412"/>
      <c r="MW20" s="412"/>
      <c r="MX20" s="412"/>
      <c r="MY20" s="412"/>
      <c r="MZ20" s="412"/>
      <c r="NA20" s="412"/>
      <c r="NB20" s="412"/>
      <c r="NC20" s="412"/>
      <c r="ND20" s="412"/>
      <c r="NE20" s="412"/>
      <c r="NF20" s="412"/>
      <c r="NG20" s="412"/>
      <c r="NH20" s="412"/>
      <c r="NI20" s="412"/>
      <c r="NJ20" s="412"/>
      <c r="NK20" s="412"/>
      <c r="NL20" s="412"/>
      <c r="NM20" s="412"/>
      <c r="NN20" s="412"/>
      <c r="NO20" s="412"/>
      <c r="NP20" s="412"/>
      <c r="NQ20" s="412"/>
      <c r="NR20" s="412"/>
      <c r="NS20" s="412"/>
      <c r="NT20" s="412"/>
      <c r="NU20" s="412"/>
      <c r="NV20" s="412"/>
      <c r="NW20" s="412"/>
      <c r="NX20" s="412"/>
      <c r="NY20" s="412"/>
      <c r="NZ20" s="412"/>
      <c r="OA20" s="412"/>
      <c r="OB20" s="412"/>
      <c r="OC20" s="412"/>
      <c r="OD20" s="412"/>
      <c r="OE20" s="412"/>
      <c r="OF20" s="412"/>
      <c r="OG20" s="412"/>
      <c r="OH20" s="412"/>
      <c r="OI20" s="412"/>
      <c r="OJ20" s="412"/>
      <c r="OK20" s="412"/>
      <c r="OL20" s="412"/>
      <c r="OM20" s="412"/>
      <c r="ON20" s="412"/>
      <c r="OO20" s="412"/>
      <c r="OP20" s="412"/>
      <c r="OQ20" s="412"/>
      <c r="OR20" s="412"/>
      <c r="OS20" s="412"/>
      <c r="OT20" s="412"/>
      <c r="OU20" s="412"/>
      <c r="OV20" s="412"/>
      <c r="OW20" s="412"/>
      <c r="OX20" s="412"/>
      <c r="OY20" s="412"/>
      <c r="OZ20" s="412"/>
      <c r="PA20" s="412"/>
      <c r="PB20" s="412"/>
      <c r="PC20" s="412"/>
      <c r="PD20" s="412"/>
      <c r="PE20" s="412"/>
      <c r="PF20" s="412"/>
      <c r="PG20" s="412"/>
      <c r="PH20" s="412"/>
      <c r="PI20" s="412"/>
      <c r="PJ20" s="412"/>
      <c r="PK20" s="412"/>
      <c r="PL20" s="412"/>
      <c r="PM20" s="412"/>
      <c r="PN20" s="412"/>
      <c r="PO20" s="412"/>
      <c r="PP20" s="412"/>
      <c r="PQ20" s="412"/>
      <c r="PR20" s="412"/>
      <c r="PS20" s="412"/>
      <c r="PT20" s="412"/>
      <c r="PU20" s="412"/>
      <c r="PV20" s="412"/>
      <c r="PW20" s="412"/>
      <c r="PX20" s="412"/>
      <c r="PY20" s="412"/>
      <c r="PZ20" s="412"/>
      <c r="QA20" s="412"/>
      <c r="QB20" s="412"/>
      <c r="QC20" s="412"/>
      <c r="QD20" s="412"/>
      <c r="QE20" s="412"/>
      <c r="QF20" s="412"/>
      <c r="QG20" s="412"/>
      <c r="QH20" s="412"/>
      <c r="QI20" s="412"/>
      <c r="QJ20" s="412"/>
      <c r="QK20" s="412"/>
      <c r="QL20" s="412"/>
      <c r="QM20" s="412"/>
      <c r="QN20" s="412"/>
      <c r="QO20" s="412"/>
      <c r="QP20" s="412"/>
      <c r="QQ20" s="412"/>
      <c r="QR20" s="412"/>
      <c r="QS20" s="412"/>
      <c r="QT20" s="412"/>
      <c r="QU20" s="412"/>
      <c r="QV20" s="412"/>
      <c r="QW20" s="412"/>
      <c r="QX20" s="412"/>
      <c r="QY20" s="412"/>
      <c r="QZ20" s="412"/>
      <c r="RA20" s="412"/>
      <c r="RB20" s="412"/>
      <c r="RC20" s="412"/>
      <c r="RD20" s="412"/>
      <c r="RE20" s="412"/>
      <c r="RF20" s="412"/>
      <c r="RG20" s="412"/>
      <c r="RH20" s="412"/>
      <c r="RI20" s="412"/>
      <c r="RJ20" s="412"/>
      <c r="RK20" s="412"/>
      <c r="RL20" s="412"/>
      <c r="RM20" s="412"/>
      <c r="RN20" s="412"/>
      <c r="RO20" s="412"/>
      <c r="RP20" s="412"/>
      <c r="RQ20" s="412"/>
      <c r="RR20" s="412"/>
      <c r="RS20" s="412"/>
      <c r="RT20" s="412"/>
      <c r="RU20" s="412"/>
      <c r="RV20" s="412"/>
      <c r="RW20" s="412"/>
      <c r="RX20" s="412"/>
      <c r="RY20" s="412"/>
      <c r="RZ20" s="412"/>
      <c r="SA20" s="412"/>
      <c r="SB20" s="412"/>
      <c r="SC20" s="412"/>
      <c r="SD20" s="412"/>
      <c r="SE20" s="412"/>
      <c r="SF20" s="412"/>
      <c r="SG20" s="412"/>
    </row>
    <row r="21" spans="1:501" x14ac:dyDescent="0.2">
      <c r="A21" s="391" t="s">
        <v>3</v>
      </c>
      <c r="B21" s="110"/>
      <c r="C21" s="392">
        <v>5.9000000000000004E-2</v>
      </c>
      <c r="D21" s="392">
        <v>5.7999999999999996E-2</v>
      </c>
      <c r="E21" s="392">
        <v>0</v>
      </c>
      <c r="F21" s="392">
        <v>1</v>
      </c>
      <c r="G21" s="392"/>
      <c r="H21" s="435"/>
      <c r="I21" s="410">
        <v>0</v>
      </c>
      <c r="J21" s="410">
        <v>1</v>
      </c>
      <c r="K21" s="410">
        <v>0</v>
      </c>
      <c r="L21" s="410">
        <v>0</v>
      </c>
      <c r="M21" s="410">
        <v>0</v>
      </c>
      <c r="N21" s="410">
        <v>0</v>
      </c>
      <c r="O21" s="435"/>
      <c r="P21" s="393">
        <v>0</v>
      </c>
      <c r="Q21" s="393">
        <v>0</v>
      </c>
      <c r="R21" s="393">
        <v>0</v>
      </c>
      <c r="S21" s="393">
        <v>0</v>
      </c>
      <c r="T21" s="393">
        <v>0</v>
      </c>
      <c r="U21" s="435"/>
      <c r="V21" s="393">
        <v>0</v>
      </c>
      <c r="W21" s="393">
        <v>0</v>
      </c>
      <c r="X21" s="393">
        <v>0</v>
      </c>
      <c r="Y21" s="393">
        <v>0</v>
      </c>
      <c r="Z21" s="393">
        <v>0</v>
      </c>
      <c r="AA21" s="393"/>
      <c r="AB21" s="435"/>
      <c r="AC21" s="393">
        <v>6.1900000000000004E-2</v>
      </c>
      <c r="AD21" s="411"/>
      <c r="AE21" s="435"/>
      <c r="AF21" s="388">
        <v>3.0138280997378729E-23</v>
      </c>
      <c r="AG21" s="388">
        <v>0</v>
      </c>
      <c r="AH21" s="388">
        <v>4.5539176970777308E-24</v>
      </c>
      <c r="AI21" s="388">
        <v>5.0720402427579543E-23</v>
      </c>
      <c r="AJ21" s="388">
        <v>6.7968361599298347E-3</v>
      </c>
      <c r="AK21" s="388">
        <v>1.7980730106180287E-2</v>
      </c>
      <c r="AL21" s="388">
        <v>2.5416719007541399E-2</v>
      </c>
      <c r="AM21" s="388">
        <v>3.4774338738447715E-2</v>
      </c>
      <c r="AN21" s="388">
        <v>3.9729036606369832E-2</v>
      </c>
      <c r="AO21" s="388">
        <v>4.8322945630134728E-2</v>
      </c>
      <c r="AP21" s="388">
        <v>6.09513007921728E-2</v>
      </c>
      <c r="AQ21" s="388">
        <v>7.083736642673355E-2</v>
      </c>
      <c r="AR21" s="388">
        <v>7.9706975140366357E-2</v>
      </c>
      <c r="AS21" s="388">
        <v>9.26473014050644E-2</v>
      </c>
      <c r="AT21" s="388">
        <v>0.10519112132250852</v>
      </c>
      <c r="AU21" s="388">
        <v>0.11781534358954392</v>
      </c>
      <c r="AV21" s="388">
        <v>0.13073917177087263</v>
      </c>
      <c r="AW21" s="388">
        <v>0.13829032245970216</v>
      </c>
      <c r="AX21" s="388">
        <v>0.14500197958803326</v>
      </c>
      <c r="AY21" s="388">
        <v>0.15207025944234676</v>
      </c>
      <c r="AZ21" s="388">
        <v>0.15589999972802182</v>
      </c>
      <c r="BA21" s="388">
        <v>0.15589998835036104</v>
      </c>
      <c r="BB21" s="388">
        <v>0.15424076551663984</v>
      </c>
      <c r="BC21" s="388">
        <v>0.15186345533788073</v>
      </c>
      <c r="BD21" s="388">
        <v>0.1487888037578996</v>
      </c>
      <c r="BE21" s="388">
        <v>0.14536716488061158</v>
      </c>
      <c r="BF21" s="388">
        <v>0.14215720194539924</v>
      </c>
      <c r="BG21" s="388">
        <v>0.1381585771798941</v>
      </c>
      <c r="BH21" s="388">
        <v>0.13621126451632914</v>
      </c>
      <c r="BI21" s="388">
        <v>0.13392181605878795</v>
      </c>
      <c r="BJ21" s="388">
        <v>0.1315636180454057</v>
      </c>
      <c r="BK21" s="388">
        <v>0.12813225125833383</v>
      </c>
      <c r="BL21" s="388">
        <v>0.1262836502887795</v>
      </c>
      <c r="BM21" s="388">
        <v>0.12486016600215258</v>
      </c>
      <c r="BN21" s="388">
        <v>0.12503750090274382</v>
      </c>
      <c r="BO21" s="388">
        <v>0.12496325631900151</v>
      </c>
      <c r="BP21" s="388">
        <v>0.12516359898263102</v>
      </c>
      <c r="BQ21" s="388">
        <v>0.12550241769029397</v>
      </c>
      <c r="BR21" s="388">
        <v>0.12623423607310838</v>
      </c>
      <c r="BS21" s="388">
        <v>0.12461312016897215</v>
      </c>
      <c r="BT21" s="388">
        <v>0.12182877918216677</v>
      </c>
      <c r="BU21" s="388">
        <v>0.11932774797423412</v>
      </c>
      <c r="BV21" s="388">
        <v>0.11796854133649402</v>
      </c>
      <c r="BW21" s="388">
        <v>0.11673259750568266</v>
      </c>
      <c r="BX21" s="388">
        <v>0.11446921754912424</v>
      </c>
      <c r="BY21" s="388">
        <v>0.11446921754912423</v>
      </c>
      <c r="BZ21" s="388">
        <v>0.10386633503340922</v>
      </c>
      <c r="CA21" s="388">
        <v>8.8032317134299265E-2</v>
      </c>
      <c r="CB21" s="388">
        <v>7.2382830956920816E-2</v>
      </c>
      <c r="CC21" s="388">
        <v>6.0247751976164658E-2</v>
      </c>
      <c r="CD21" s="388">
        <v>5.8669217820409465E-2</v>
      </c>
      <c r="CE21" s="388">
        <v>5.8669217820409458E-2</v>
      </c>
      <c r="CF21" s="388">
        <v>5.8669217820409444E-2</v>
      </c>
      <c r="CG21" s="388">
        <v>5.8669217820409819E-2</v>
      </c>
      <c r="CH21" s="388">
        <v>5.8669217820409181E-2</v>
      </c>
      <c r="CI21" s="388">
        <v>5.8669217820409354E-2</v>
      </c>
      <c r="CJ21" s="388">
        <v>5.8669212038240048E-2</v>
      </c>
      <c r="CK21" s="388">
        <v>5.866921782040934E-2</v>
      </c>
      <c r="CL21" s="388">
        <v>5.8669212038240041E-2</v>
      </c>
      <c r="CM21" s="388">
        <v>5.8669212038240048E-2</v>
      </c>
      <c r="CN21" s="388">
        <v>5.8669212038240021E-2</v>
      </c>
      <c r="CO21" s="388">
        <v>5.8669212038240048E-2</v>
      </c>
      <c r="CP21" s="388">
        <v>5.8669212038240021E-2</v>
      </c>
      <c r="CQ21" s="388">
        <v>5.8669217820409458E-2</v>
      </c>
      <c r="CR21" s="388">
        <v>5.8669212038240048E-2</v>
      </c>
      <c r="CS21" s="388">
        <v>5.8669212038240035E-2</v>
      </c>
      <c r="CT21" s="388">
        <v>5.8669212038240028E-2</v>
      </c>
      <c r="CU21" s="388">
        <v>5.8669212038240055E-2</v>
      </c>
      <c r="CV21" s="388">
        <v>5.8669212038240007E-2</v>
      </c>
      <c r="CW21" s="388">
        <v>5.8669212038240048E-2</v>
      </c>
      <c r="CX21" s="388">
        <v>5.8669212038240035E-2</v>
      </c>
      <c r="CY21" s="388">
        <v>5.8669212038240007E-2</v>
      </c>
      <c r="CZ21" s="388">
        <v>5.8669212038240028E-2</v>
      </c>
      <c r="DA21" s="388">
        <v>5.8669212038240028E-2</v>
      </c>
      <c r="DB21" s="388">
        <v>5.8669217820409243E-2</v>
      </c>
      <c r="DC21" s="388">
        <v>5.8669217820409444E-2</v>
      </c>
      <c r="DD21" s="388">
        <v>5.8669212038240194E-2</v>
      </c>
      <c r="DE21" s="388">
        <v>5.8669217820409458E-2</v>
      </c>
      <c r="DF21" s="388">
        <v>5.8669217820409424E-2</v>
      </c>
      <c r="DG21" s="388">
        <v>5.8669217820409417E-2</v>
      </c>
      <c r="DH21" s="388">
        <v>5.8669212038240194E-2</v>
      </c>
      <c r="DI21" s="388">
        <v>5.8669217820409472E-2</v>
      </c>
      <c r="DJ21" s="388">
        <v>5.8669217820409417E-2</v>
      </c>
      <c r="DK21" s="388">
        <v>5.8669217820409431E-2</v>
      </c>
      <c r="DL21" s="388">
        <v>5.8669212038240166E-2</v>
      </c>
      <c r="DM21" s="388">
        <v>5.8669217820409451E-2</v>
      </c>
      <c r="DN21" s="388">
        <v>5.8669217820409451E-2</v>
      </c>
      <c r="DO21" s="388">
        <v>5.8669217820409438E-2</v>
      </c>
      <c r="DP21" s="388">
        <v>5.8669217820409403E-2</v>
      </c>
      <c r="DQ21" s="388">
        <v>4.8926690105660822E-2</v>
      </c>
      <c r="DR21" s="388">
        <v>3.0777610488534838E-2</v>
      </c>
      <c r="DS21" s="388">
        <v>1.6031789682354792E-2</v>
      </c>
      <c r="DT21" s="388">
        <v>0</v>
      </c>
      <c r="DU21" s="388">
        <v>0</v>
      </c>
      <c r="DV21" s="388">
        <v>4.0082521227191331E-20</v>
      </c>
      <c r="DW21" s="388">
        <v>8.2024421362039822E-20</v>
      </c>
      <c r="DX21" s="388">
        <v>1.1250231121772194E-19</v>
      </c>
      <c r="DY21" s="388">
        <v>7.7242507134447738E-20</v>
      </c>
      <c r="DZ21" s="388">
        <v>1.1696654194860666E-4</v>
      </c>
      <c r="EA21" s="388">
        <v>1.1696654194860666E-4</v>
      </c>
      <c r="EB21" s="388"/>
      <c r="EC21" s="435"/>
      <c r="ED21" s="388">
        <v>1.5636572901338208E-4</v>
      </c>
      <c r="EE21" s="388">
        <v>3.2175742655306517E-3</v>
      </c>
      <c r="EF21" s="388">
        <v>4.6271032921789716E-3</v>
      </c>
      <c r="EG21" s="388">
        <v>3.3639999999999994E-3</v>
      </c>
      <c r="EH21" s="388">
        <v>5.2950957191319871E-3</v>
      </c>
      <c r="EI21" s="388">
        <v>2.5243117631150993E-3</v>
      </c>
      <c r="EJ21" s="388">
        <v>4.2911723625719623E-3</v>
      </c>
      <c r="EK21" s="388">
        <v>2.4347647063970644E-3</v>
      </c>
      <c r="EL21" s="388">
        <v>3.9427742571585779E-3</v>
      </c>
      <c r="EM21" s="388">
        <v>2.3005119311102556E-3</v>
      </c>
      <c r="EN21" s="388">
        <v>1.4658144586408182E-3</v>
      </c>
      <c r="EO21" s="388">
        <v>1.937481934174297E-3</v>
      </c>
      <c r="EP21" s="388">
        <v>2.3412871690831789E-3</v>
      </c>
      <c r="EQ21" s="388">
        <v>1.4443294550170785E-3</v>
      </c>
      <c r="ER21" s="388">
        <v>2.5677138482462824E-3</v>
      </c>
      <c r="ES21" s="388">
        <v>2.9198860945654314E-3</v>
      </c>
      <c r="ET21" s="388">
        <v>3.3217101427512807E-3</v>
      </c>
      <c r="EU21" s="388">
        <v>1.2914894175204603E-3</v>
      </c>
      <c r="EV21" s="388">
        <v>1.4011996938918317E-3</v>
      </c>
      <c r="EW21" s="388">
        <v>-4.0465235017035555E-6</v>
      </c>
      <c r="EX21" s="388">
        <v>5.7478801660550399E-4</v>
      </c>
      <c r="EY21" s="388">
        <v>-7.8225556820303663E-4</v>
      </c>
      <c r="EZ21" s="388">
        <v>-1.7800429774404223E-4</v>
      </c>
      <c r="FA21" s="388">
        <v>1.9285201956480117E-3</v>
      </c>
      <c r="FB21" s="388">
        <v>1.9612658639839948E-3</v>
      </c>
      <c r="FC21" s="388">
        <v>7.9303859065345717E-4</v>
      </c>
      <c r="FD21" s="388">
        <v>-4.6641921564133393E-4</v>
      </c>
      <c r="FE21" s="388">
        <v>1.5636038645848782E-4</v>
      </c>
      <c r="FF21" s="388">
        <v>2.3493399399112692E-3</v>
      </c>
      <c r="FG21" s="388">
        <v>3.470327469134228E-3</v>
      </c>
      <c r="FH21" s="388">
        <v>1.9527694771267745E-3</v>
      </c>
      <c r="FI21" s="388">
        <v>5.3173222753609105E-3</v>
      </c>
      <c r="FJ21" s="388">
        <v>1.0157545602513222E-2</v>
      </c>
      <c r="FK21" s="388">
        <v>9.1214270775512776E-3</v>
      </c>
      <c r="FL21" s="388">
        <v>8.5713088167574027E-3</v>
      </c>
      <c r="FM21" s="388">
        <v>-3.6279781325455535E-3</v>
      </c>
      <c r="FN21" s="388">
        <v>-2.4612888530522832E-3</v>
      </c>
      <c r="FO21" s="388">
        <v>-1.6721460492442875E-3</v>
      </c>
      <c r="FP21" s="388">
        <v>-2.168599668744949E-3</v>
      </c>
      <c r="FQ21" s="388">
        <v>-2.6198003494587552E-3</v>
      </c>
      <c r="FR21" s="388">
        <v>-2.3412871690831789E-3</v>
      </c>
      <c r="FS21" s="388">
        <v>-1.9548103888416273E-3</v>
      </c>
      <c r="FT21" s="388">
        <v>-2.9568712829927727E-3</v>
      </c>
      <c r="FU21" s="388">
        <v>-3.3087816870422011E-3</v>
      </c>
      <c r="FV21" s="388">
        <v>-3.8095623817195347E-3</v>
      </c>
      <c r="FW21" s="388">
        <v>-1.7072631365735176E-3</v>
      </c>
      <c r="FX21" s="388">
        <v>-1.8430877339150884E-3</v>
      </c>
      <c r="FY21" s="388">
        <v>-5.4163590879387506E-4</v>
      </c>
      <c r="FZ21" s="388">
        <v>-1.1512176545484018E-3</v>
      </c>
      <c r="GA21" s="388">
        <v>4.9777508898201988E-5</v>
      </c>
      <c r="GB21" s="388"/>
      <c r="GC21" s="388"/>
      <c r="GD21" s="388"/>
      <c r="GE21" s="388"/>
      <c r="GF21" s="388"/>
      <c r="GG21" s="388"/>
      <c r="GH21" s="388"/>
      <c r="GI21" s="388"/>
      <c r="GJ21" s="388"/>
      <c r="GK21" s="388"/>
      <c r="GL21" s="388"/>
      <c r="GM21" s="388"/>
      <c r="GN21" s="388"/>
      <c r="GO21" s="388"/>
      <c r="GP21" s="412"/>
      <c r="GQ21" s="412"/>
      <c r="GR21" s="412"/>
      <c r="GS21" s="412"/>
      <c r="GT21" s="412"/>
      <c r="GU21" s="412"/>
      <c r="GV21" s="412"/>
      <c r="GW21" s="412"/>
      <c r="GX21" s="412"/>
      <c r="GY21" s="412"/>
      <c r="GZ21" s="412"/>
      <c r="HA21" s="412"/>
      <c r="HB21" s="412"/>
      <c r="HC21" s="412"/>
      <c r="HD21" s="412"/>
      <c r="HE21" s="412"/>
      <c r="HF21" s="412"/>
      <c r="HG21" s="412"/>
      <c r="HH21" s="412"/>
      <c r="HI21" s="412"/>
      <c r="HJ21" s="412"/>
      <c r="HK21" s="412"/>
      <c r="HL21" s="412"/>
      <c r="HM21" s="412"/>
      <c r="HN21" s="412"/>
      <c r="HO21" s="412"/>
      <c r="HP21" s="412"/>
      <c r="HQ21" s="412"/>
      <c r="HR21" s="412"/>
      <c r="HS21" s="412"/>
      <c r="HT21" s="412"/>
      <c r="HU21" s="412"/>
      <c r="HV21" s="412"/>
      <c r="HW21" s="412"/>
      <c r="HX21" s="412"/>
      <c r="HY21" s="412"/>
      <c r="HZ21" s="412"/>
      <c r="IA21" s="412"/>
      <c r="IB21" s="412"/>
      <c r="IC21" s="412"/>
      <c r="ID21" s="412"/>
      <c r="IE21" s="412"/>
      <c r="IF21" s="412"/>
      <c r="IG21" s="412"/>
      <c r="IH21" s="412"/>
      <c r="II21" s="412"/>
      <c r="IJ21" s="412"/>
      <c r="IK21" s="412"/>
      <c r="IL21" s="412"/>
      <c r="IM21" s="412"/>
      <c r="IN21" s="412"/>
      <c r="IO21" s="412"/>
      <c r="IP21" s="412"/>
      <c r="IQ21" s="412"/>
      <c r="IR21" s="412"/>
      <c r="IS21" s="412"/>
      <c r="IT21" s="412"/>
      <c r="IU21" s="412"/>
      <c r="IV21" s="412"/>
      <c r="IW21" s="412"/>
      <c r="IX21" s="412"/>
      <c r="IY21" s="412"/>
      <c r="IZ21" s="412"/>
      <c r="JA21" s="412"/>
      <c r="JB21" s="412"/>
      <c r="JC21" s="412"/>
      <c r="JD21" s="412"/>
      <c r="JE21" s="412"/>
      <c r="JF21" s="412"/>
      <c r="JG21" s="412"/>
      <c r="JH21" s="412"/>
      <c r="JI21" s="412"/>
      <c r="JJ21" s="412"/>
      <c r="JK21" s="412"/>
      <c r="JL21" s="412"/>
      <c r="JM21" s="412"/>
      <c r="JN21" s="412"/>
      <c r="JO21" s="412"/>
      <c r="JP21" s="412"/>
      <c r="JQ21" s="412"/>
      <c r="JR21" s="412"/>
      <c r="JS21" s="412"/>
      <c r="JT21" s="412"/>
      <c r="JU21" s="412"/>
      <c r="JV21" s="412"/>
      <c r="JW21" s="412"/>
      <c r="JX21" s="412"/>
      <c r="JY21" s="412"/>
      <c r="JZ21" s="412"/>
      <c r="KA21" s="412"/>
      <c r="KB21" s="412"/>
      <c r="KC21" s="412"/>
      <c r="KD21" s="412"/>
      <c r="KE21" s="412"/>
      <c r="KF21" s="412"/>
      <c r="KG21" s="412"/>
      <c r="KH21" s="412"/>
      <c r="KI21" s="412"/>
      <c r="KJ21" s="412"/>
      <c r="KK21" s="412"/>
      <c r="KL21" s="412"/>
      <c r="KM21" s="412"/>
      <c r="KN21" s="412"/>
      <c r="KO21" s="412"/>
      <c r="KP21" s="412"/>
      <c r="KQ21" s="412"/>
      <c r="KR21" s="412"/>
      <c r="KS21" s="412"/>
      <c r="KT21" s="412"/>
      <c r="KU21" s="412"/>
      <c r="KV21" s="412"/>
      <c r="KW21" s="412"/>
      <c r="KX21" s="412"/>
      <c r="KY21" s="412"/>
      <c r="KZ21" s="412"/>
      <c r="LA21" s="412"/>
      <c r="LB21" s="412"/>
      <c r="LC21" s="412"/>
      <c r="LD21" s="412"/>
      <c r="LE21" s="412"/>
      <c r="LF21" s="412"/>
      <c r="LG21" s="412"/>
      <c r="LH21" s="412"/>
      <c r="LI21" s="412"/>
      <c r="LJ21" s="412"/>
      <c r="LK21" s="412"/>
      <c r="LL21" s="412"/>
      <c r="LM21" s="412"/>
      <c r="LN21" s="412"/>
      <c r="LO21" s="412"/>
      <c r="LP21" s="412"/>
      <c r="LQ21" s="412"/>
      <c r="LR21" s="412"/>
      <c r="LS21" s="412"/>
      <c r="LT21" s="412"/>
      <c r="LU21" s="412"/>
      <c r="LV21" s="412"/>
      <c r="LW21" s="412"/>
      <c r="LX21" s="412"/>
      <c r="LY21" s="412"/>
      <c r="LZ21" s="412"/>
      <c r="MA21" s="412"/>
      <c r="MB21" s="412"/>
      <c r="MC21" s="412"/>
      <c r="MD21" s="412"/>
      <c r="ME21" s="412"/>
      <c r="MF21" s="412"/>
      <c r="MG21" s="412"/>
      <c r="MH21" s="412"/>
      <c r="MI21" s="412"/>
      <c r="MJ21" s="412"/>
      <c r="MK21" s="412"/>
      <c r="ML21" s="412"/>
      <c r="MM21" s="412"/>
      <c r="MN21" s="412"/>
      <c r="MO21" s="412"/>
      <c r="MP21" s="412"/>
      <c r="MQ21" s="412"/>
      <c r="MR21" s="412"/>
      <c r="MS21" s="412"/>
      <c r="MT21" s="412"/>
      <c r="MU21" s="412"/>
      <c r="MV21" s="412"/>
      <c r="MW21" s="412"/>
      <c r="MX21" s="412"/>
      <c r="MY21" s="412"/>
      <c r="MZ21" s="412"/>
      <c r="NA21" s="412"/>
      <c r="NB21" s="412"/>
      <c r="NC21" s="412"/>
      <c r="ND21" s="412"/>
      <c r="NE21" s="412"/>
      <c r="NF21" s="412"/>
      <c r="NG21" s="412"/>
      <c r="NH21" s="412"/>
      <c r="NI21" s="412"/>
      <c r="NJ21" s="412"/>
      <c r="NK21" s="412"/>
      <c r="NL21" s="412"/>
      <c r="NM21" s="412"/>
      <c r="NN21" s="412"/>
      <c r="NO21" s="412"/>
      <c r="NP21" s="412"/>
      <c r="NQ21" s="412"/>
      <c r="NR21" s="412"/>
      <c r="NS21" s="412"/>
      <c r="NT21" s="412"/>
      <c r="NU21" s="412"/>
      <c r="NV21" s="412"/>
      <c r="NW21" s="412"/>
      <c r="NX21" s="412"/>
      <c r="NY21" s="412"/>
      <c r="NZ21" s="412"/>
      <c r="OA21" s="412"/>
      <c r="OB21" s="412"/>
      <c r="OC21" s="412"/>
      <c r="OD21" s="412"/>
      <c r="OE21" s="412"/>
      <c r="OF21" s="412"/>
      <c r="OG21" s="412"/>
      <c r="OH21" s="412"/>
      <c r="OI21" s="412"/>
      <c r="OJ21" s="412"/>
      <c r="OK21" s="412"/>
      <c r="OL21" s="412"/>
      <c r="OM21" s="412"/>
      <c r="ON21" s="412"/>
      <c r="OO21" s="412"/>
      <c r="OP21" s="412"/>
      <c r="OQ21" s="412"/>
      <c r="OR21" s="412"/>
      <c r="OS21" s="412"/>
      <c r="OT21" s="412"/>
      <c r="OU21" s="412"/>
      <c r="OV21" s="412"/>
      <c r="OW21" s="412"/>
      <c r="OX21" s="412"/>
      <c r="OY21" s="412"/>
      <c r="OZ21" s="412"/>
      <c r="PA21" s="412"/>
      <c r="PB21" s="412"/>
      <c r="PC21" s="412"/>
      <c r="PD21" s="412"/>
      <c r="PE21" s="412"/>
      <c r="PF21" s="412"/>
      <c r="PG21" s="412"/>
      <c r="PH21" s="412"/>
      <c r="PI21" s="412"/>
      <c r="PJ21" s="412"/>
      <c r="PK21" s="412"/>
      <c r="PL21" s="412"/>
      <c r="PM21" s="412"/>
      <c r="PN21" s="412"/>
      <c r="PO21" s="412"/>
      <c r="PP21" s="412"/>
      <c r="PQ21" s="412"/>
      <c r="PR21" s="412"/>
      <c r="PS21" s="412"/>
      <c r="PT21" s="412"/>
      <c r="PU21" s="412"/>
      <c r="PV21" s="412"/>
      <c r="PW21" s="412"/>
      <c r="PX21" s="412"/>
      <c r="PY21" s="412"/>
      <c r="PZ21" s="412"/>
      <c r="QA21" s="412"/>
      <c r="QB21" s="412"/>
      <c r="QC21" s="412"/>
      <c r="QD21" s="412"/>
      <c r="QE21" s="412"/>
      <c r="QF21" s="412"/>
      <c r="QG21" s="412"/>
      <c r="QH21" s="412"/>
      <c r="QI21" s="412"/>
      <c r="QJ21" s="412"/>
      <c r="QK21" s="412"/>
      <c r="QL21" s="412"/>
      <c r="QM21" s="412"/>
      <c r="QN21" s="412"/>
      <c r="QO21" s="412"/>
      <c r="QP21" s="412"/>
      <c r="QQ21" s="412"/>
      <c r="QR21" s="412"/>
      <c r="QS21" s="412"/>
      <c r="QT21" s="412"/>
      <c r="QU21" s="412"/>
      <c r="QV21" s="412"/>
      <c r="QW21" s="412"/>
      <c r="QX21" s="412"/>
      <c r="QY21" s="412"/>
      <c r="QZ21" s="412"/>
      <c r="RA21" s="412"/>
      <c r="RB21" s="412"/>
      <c r="RC21" s="412"/>
      <c r="RD21" s="412"/>
      <c r="RE21" s="412"/>
      <c r="RF21" s="412"/>
      <c r="RG21" s="412"/>
      <c r="RH21" s="412"/>
      <c r="RI21" s="412"/>
      <c r="RJ21" s="412"/>
      <c r="RK21" s="412"/>
      <c r="RL21" s="412"/>
      <c r="RM21" s="412"/>
      <c r="RN21" s="412"/>
      <c r="RO21" s="412"/>
      <c r="RP21" s="412"/>
      <c r="RQ21" s="412"/>
      <c r="RR21" s="412"/>
      <c r="RS21" s="412"/>
      <c r="RT21" s="412"/>
      <c r="RU21" s="412"/>
      <c r="RV21" s="412"/>
      <c r="RW21" s="412"/>
      <c r="RX21" s="412"/>
      <c r="RY21" s="412"/>
      <c r="RZ21" s="412"/>
      <c r="SA21" s="412"/>
      <c r="SB21" s="412"/>
      <c r="SC21" s="412"/>
      <c r="SD21" s="412"/>
      <c r="SE21" s="412"/>
      <c r="SF21" s="412"/>
      <c r="SG21" s="412"/>
    </row>
    <row r="22" spans="1:501" x14ac:dyDescent="0.2">
      <c r="A22" s="391" t="s">
        <v>4</v>
      </c>
      <c r="B22" s="110"/>
      <c r="C22" s="392">
        <v>6.5000000000000002E-2</v>
      </c>
      <c r="D22" s="392">
        <v>9.8000000000000004E-2</v>
      </c>
      <c r="E22" s="392">
        <v>0</v>
      </c>
      <c r="F22" s="392">
        <v>5.5800000000000002E-2</v>
      </c>
      <c r="G22" s="392"/>
      <c r="H22" s="435"/>
      <c r="I22" s="410">
        <v>0</v>
      </c>
      <c r="J22" s="410">
        <v>1</v>
      </c>
      <c r="K22" s="410">
        <v>0</v>
      </c>
      <c r="L22" s="410">
        <v>0</v>
      </c>
      <c r="M22" s="410">
        <v>0</v>
      </c>
      <c r="N22" s="410">
        <v>0</v>
      </c>
      <c r="O22" s="435"/>
      <c r="P22" s="393">
        <v>0</v>
      </c>
      <c r="Q22" s="393">
        <v>0</v>
      </c>
      <c r="R22" s="393">
        <v>0</v>
      </c>
      <c r="S22" s="393">
        <v>0</v>
      </c>
      <c r="T22" s="393">
        <v>0</v>
      </c>
      <c r="U22" s="435"/>
      <c r="V22" s="393">
        <v>0</v>
      </c>
      <c r="W22" s="393">
        <v>0</v>
      </c>
      <c r="X22" s="393">
        <v>0</v>
      </c>
      <c r="Y22" s="393">
        <v>0</v>
      </c>
      <c r="Z22" s="393">
        <v>0</v>
      </c>
      <c r="AA22" s="393"/>
      <c r="AB22" s="435"/>
      <c r="AC22" s="393">
        <v>5.5800000000000002E-2</v>
      </c>
      <c r="AD22" s="411"/>
      <c r="AE22" s="435"/>
      <c r="AF22" s="388">
        <v>2.71285216513605E-10</v>
      </c>
      <c r="AG22" s="388">
        <v>2.7128521651321731E-10</v>
      </c>
      <c r="AH22" s="388">
        <v>2.7128521651320625E-10</v>
      </c>
      <c r="AI22" s="388">
        <v>2.7128521651320625E-10</v>
      </c>
      <c r="AJ22" s="388">
        <v>2.712852165170102E-10</v>
      </c>
      <c r="AK22" s="388">
        <v>2.7128521651320625E-10</v>
      </c>
      <c r="AL22" s="388">
        <v>2.7128521655558566E-10</v>
      </c>
      <c r="AM22" s="388">
        <v>2.7128521652774876E-10</v>
      </c>
      <c r="AN22" s="388">
        <v>2.7128521651332904E-10</v>
      </c>
      <c r="AO22" s="388">
        <v>2.7128521651325702E-10</v>
      </c>
      <c r="AP22" s="388">
        <v>2.7128521654325746E-10</v>
      </c>
      <c r="AQ22" s="388">
        <v>2.7128521651337846E-10</v>
      </c>
      <c r="AR22" s="388">
        <v>2.7128521651322977E-10</v>
      </c>
      <c r="AS22" s="388">
        <v>2.7128521651329057E-10</v>
      </c>
      <c r="AT22" s="388">
        <v>2.7128521651461375E-10</v>
      </c>
      <c r="AU22" s="388">
        <v>2.7128521652363095E-10</v>
      </c>
      <c r="AV22" s="388">
        <v>2.7128521651346681E-10</v>
      </c>
      <c r="AW22" s="388">
        <v>2.7128521651320625E-10</v>
      </c>
      <c r="AX22" s="388">
        <v>2.712852165133494E-10</v>
      </c>
      <c r="AY22" s="388">
        <v>2.7128521651345973E-10</v>
      </c>
      <c r="AZ22" s="388">
        <v>2.7128521651320625E-10</v>
      </c>
      <c r="BA22" s="388">
        <v>2.7128521651395164E-10</v>
      </c>
      <c r="BB22" s="388">
        <v>2.7128521651320625E-10</v>
      </c>
      <c r="BC22" s="388">
        <v>2.7128521651337412E-10</v>
      </c>
      <c r="BD22" s="388">
        <v>2.7128521651481408E-10</v>
      </c>
      <c r="BE22" s="388">
        <v>2.7128521651461344E-10</v>
      </c>
      <c r="BF22" s="388">
        <v>2.7128521651320625E-10</v>
      </c>
      <c r="BG22" s="388">
        <v>2.7128521651345089E-10</v>
      </c>
      <c r="BH22" s="388">
        <v>2.7128521651351737E-10</v>
      </c>
      <c r="BI22" s="388">
        <v>2.7128521651320625E-10</v>
      </c>
      <c r="BJ22" s="388">
        <v>2.7128521651329564E-10</v>
      </c>
      <c r="BK22" s="388">
        <v>2.7128521651335023E-10</v>
      </c>
      <c r="BL22" s="388">
        <v>2.7128521651326695E-10</v>
      </c>
      <c r="BM22" s="388">
        <v>2.7128521651334682E-10</v>
      </c>
      <c r="BN22" s="388">
        <v>2.7128521651336254E-10</v>
      </c>
      <c r="BO22" s="388">
        <v>2.7128521651364192E-10</v>
      </c>
      <c r="BP22" s="388">
        <v>2.7128521651574456E-10</v>
      </c>
      <c r="BQ22" s="388">
        <v>2.7128521659894973E-10</v>
      </c>
      <c r="BR22" s="388">
        <v>2.7128521651349669E-10</v>
      </c>
      <c r="BS22" s="388">
        <v>2.7128521651347932E-10</v>
      </c>
      <c r="BT22" s="388">
        <v>2.7128521651340607E-10</v>
      </c>
      <c r="BU22" s="388">
        <v>2.7128521651326927E-10</v>
      </c>
      <c r="BV22" s="388">
        <v>2.7128521651321178E-10</v>
      </c>
      <c r="BW22" s="388">
        <v>2.7128521651387327E-10</v>
      </c>
      <c r="BX22" s="388">
        <v>2.7128521651321985E-10</v>
      </c>
      <c r="BY22" s="388">
        <v>2.7128521651329957E-10</v>
      </c>
      <c r="BZ22" s="388">
        <v>1.0602882787000221E-2</v>
      </c>
      <c r="CA22" s="388">
        <v>2.6436900686110206E-2</v>
      </c>
      <c r="CB22" s="388">
        <v>4.2086386863488631E-2</v>
      </c>
      <c r="CC22" s="388">
        <v>5.4221465844244796E-2</v>
      </c>
      <c r="CD22" s="388">
        <v>5.5800000000000002E-2</v>
      </c>
      <c r="CE22" s="388">
        <v>5.5800000000000002E-2</v>
      </c>
      <c r="CF22" s="388">
        <v>5.5800000000000002E-2</v>
      </c>
      <c r="CG22" s="388">
        <v>5.5799999999999975E-2</v>
      </c>
      <c r="CH22" s="388">
        <v>5.5800000000000058E-2</v>
      </c>
      <c r="CI22" s="388">
        <v>5.5799999999999988E-2</v>
      </c>
      <c r="CJ22" s="388">
        <v>5.5800000000000002E-2</v>
      </c>
      <c r="CK22" s="388">
        <v>5.5800000000000016E-2</v>
      </c>
      <c r="CL22" s="388">
        <v>5.5800000000000002E-2</v>
      </c>
      <c r="CM22" s="388">
        <v>5.5800000000000002E-2</v>
      </c>
      <c r="CN22" s="388">
        <v>5.5800000000000002E-2</v>
      </c>
      <c r="CO22" s="388">
        <v>5.5800000000000002E-2</v>
      </c>
      <c r="CP22" s="388">
        <v>5.5800000000000002E-2</v>
      </c>
      <c r="CQ22" s="388">
        <v>5.5800000000000002E-2</v>
      </c>
      <c r="CR22" s="388">
        <v>5.5800000000000002E-2</v>
      </c>
      <c r="CS22" s="388">
        <v>5.5800000000000002E-2</v>
      </c>
      <c r="CT22" s="388">
        <v>5.5800000000000002E-2</v>
      </c>
      <c r="CU22" s="388">
        <v>5.5800000000000002E-2</v>
      </c>
      <c r="CV22" s="388">
        <v>5.5800000000000002E-2</v>
      </c>
      <c r="CW22" s="388">
        <v>5.5800000000000002E-2</v>
      </c>
      <c r="CX22" s="388">
        <v>5.5800000000000002E-2</v>
      </c>
      <c r="CY22" s="388">
        <v>5.5800000000000002E-2</v>
      </c>
      <c r="CZ22" s="388">
        <v>5.5800000000000002E-2</v>
      </c>
      <c r="DA22" s="388">
        <v>5.5800000000000002E-2</v>
      </c>
      <c r="DB22" s="388">
        <v>5.5800000000000016E-2</v>
      </c>
      <c r="DC22" s="388">
        <v>5.5800000000000002E-2</v>
      </c>
      <c r="DD22" s="388">
        <v>5.5799999999999864E-2</v>
      </c>
      <c r="DE22" s="388">
        <v>5.5800000000000002E-2</v>
      </c>
      <c r="DF22" s="388">
        <v>5.5800000000000002E-2</v>
      </c>
      <c r="DG22" s="388">
        <v>5.5800000000000002E-2</v>
      </c>
      <c r="DH22" s="388">
        <v>5.5799999999999982E-2</v>
      </c>
      <c r="DI22" s="388">
        <v>5.5800000000000002E-2</v>
      </c>
      <c r="DJ22" s="388">
        <v>5.5800000000000002E-2</v>
      </c>
      <c r="DK22" s="388">
        <v>5.5800000000000002E-2</v>
      </c>
      <c r="DL22" s="388">
        <v>5.5799999999999905E-2</v>
      </c>
      <c r="DM22" s="388">
        <v>5.5800000000000002E-2</v>
      </c>
      <c r="DN22" s="388">
        <v>5.5800000000000002E-2</v>
      </c>
      <c r="DO22" s="388">
        <v>5.5800000000000002E-2</v>
      </c>
      <c r="DP22" s="388">
        <v>5.5800000000000009E-2</v>
      </c>
      <c r="DQ22" s="388">
        <v>5.5800000000000002E-2</v>
      </c>
      <c r="DR22" s="388">
        <v>5.5799999999999912E-2</v>
      </c>
      <c r="DS22" s="388">
        <v>5.5799999999999982E-2</v>
      </c>
      <c r="DT22" s="388">
        <v>5.5800000000000252E-2</v>
      </c>
      <c r="DU22" s="388">
        <v>5.5800000000000002E-2</v>
      </c>
      <c r="DV22" s="388">
        <v>5.5800000000000002E-2</v>
      </c>
      <c r="DW22" s="388">
        <v>5.5800000000000002E-2</v>
      </c>
      <c r="DX22" s="388">
        <v>5.5800000000000002E-2</v>
      </c>
      <c r="DY22" s="388">
        <v>5.5800000000000002E-2</v>
      </c>
      <c r="DZ22" s="388">
        <v>3.7002756841939453E-2</v>
      </c>
      <c r="EA22" s="388">
        <v>3.7002756841939453E-2</v>
      </c>
      <c r="EB22" s="388"/>
      <c r="EC22" s="435"/>
      <c r="ED22" s="388">
        <v>1.281599228137113E-4</v>
      </c>
      <c r="EE22" s="388">
        <v>5.044543668596098E-3</v>
      </c>
      <c r="EF22" s="388">
        <v>8.8711843918930239E-3</v>
      </c>
      <c r="EG22" s="388">
        <v>5.2950957191319871E-3</v>
      </c>
      <c r="EH22" s="388">
        <v>9.6040000000000014E-3</v>
      </c>
      <c r="EI22" s="388">
        <v>4.2527981655658678E-3</v>
      </c>
      <c r="EJ22" s="388">
        <v>7.6858504525379578E-3</v>
      </c>
      <c r="EK22" s="388">
        <v>4.0221845148327743E-3</v>
      </c>
      <c r="EL22" s="388">
        <v>6.932419025159238E-3</v>
      </c>
      <c r="EM22" s="388">
        <v>3.6357502130547263E-3</v>
      </c>
      <c r="EN22" s="388">
        <v>3.0215076328653349E-3</v>
      </c>
      <c r="EO22" s="388">
        <v>3.7004233384906214E-3</v>
      </c>
      <c r="EP22" s="388">
        <v>3.956531336522834E-3</v>
      </c>
      <c r="EQ22" s="388">
        <v>2.0668242998617497E-3</v>
      </c>
      <c r="ER22" s="388">
        <v>4.5452526885191207E-3</v>
      </c>
      <c r="ES22" s="388">
        <v>4.7020056946538349E-3</v>
      </c>
      <c r="ET22" s="388">
        <v>5.5845462806520807E-3</v>
      </c>
      <c r="EU22" s="388">
        <v>2.0683329676157414E-3</v>
      </c>
      <c r="EV22" s="388">
        <v>1.5618368666699401E-3</v>
      </c>
      <c r="EW22" s="388">
        <v>-5.5251408743216951E-4</v>
      </c>
      <c r="EX22" s="388">
        <v>9.0552914951568431E-4</v>
      </c>
      <c r="EY22" s="388">
        <v>-1.3445179733731554E-3</v>
      </c>
      <c r="EZ22" s="388">
        <v>-3.9360659543942158E-4</v>
      </c>
      <c r="FA22" s="388">
        <v>3.2283299388229459E-3</v>
      </c>
      <c r="FB22" s="388">
        <v>2.2799279582078409E-3</v>
      </c>
      <c r="FC22" s="388">
        <v>1.6247070711336343E-3</v>
      </c>
      <c r="FD22" s="388">
        <v>3.2909978248453522E-5</v>
      </c>
      <c r="FE22" s="388">
        <v>1.2813726046056632E-4</v>
      </c>
      <c r="FF22" s="388">
        <v>3.6833175992923885E-3</v>
      </c>
      <c r="FG22" s="388">
        <v>6.6533882939197675E-3</v>
      </c>
      <c r="FH22" s="388">
        <v>3.2899004677018977E-3</v>
      </c>
      <c r="FI22" s="388">
        <v>9.5237712129274711E-3</v>
      </c>
      <c r="FJ22" s="388">
        <v>2.029196748024812E-2</v>
      </c>
      <c r="FK22" s="388">
        <v>1.640051508138907E-2</v>
      </c>
      <c r="FL22" s="388">
        <v>1.4756329773620114E-2</v>
      </c>
      <c r="FM22" s="388">
        <v>-5.675846373763776E-3</v>
      </c>
      <c r="FN22" s="388">
        <v>-4.0308981300502707E-3</v>
      </c>
      <c r="FO22" s="388">
        <v>-2.7845226970725258E-3</v>
      </c>
      <c r="FP22" s="388">
        <v>-3.7809162756370423E-3</v>
      </c>
      <c r="FQ22" s="388">
        <v>-4.4592066335499775E-3</v>
      </c>
      <c r="FR22" s="388">
        <v>-3.956531336522834E-3</v>
      </c>
      <c r="FS22" s="388">
        <v>-2.6706754431651118E-3</v>
      </c>
      <c r="FT22" s="388">
        <v>-4.9443919736099629E-3</v>
      </c>
      <c r="FU22" s="388">
        <v>-5.1502919057612529E-3</v>
      </c>
      <c r="FV22" s="388">
        <v>-6.127981124153462E-3</v>
      </c>
      <c r="FW22" s="388">
        <v>-2.5540397330866141E-3</v>
      </c>
      <c r="FX22" s="388">
        <v>-2.1493288614528217E-3</v>
      </c>
      <c r="FY22" s="388">
        <v>-1.9243166543310281E-4</v>
      </c>
      <c r="FZ22" s="388">
        <v>-1.6800989418362263E-3</v>
      </c>
      <c r="GA22" s="388">
        <v>6.0139344231655036E-5</v>
      </c>
      <c r="GB22" s="388"/>
      <c r="GC22" s="388"/>
      <c r="GD22" s="388"/>
      <c r="GE22" s="388"/>
      <c r="GF22" s="388"/>
      <c r="GG22" s="388"/>
      <c r="GH22" s="388"/>
      <c r="GI22" s="388"/>
      <c r="GJ22" s="388"/>
      <c r="GK22" s="388"/>
      <c r="GL22" s="388"/>
      <c r="GM22" s="388"/>
      <c r="GN22" s="388"/>
      <c r="GO22" s="388"/>
      <c r="GP22" s="412"/>
      <c r="GQ22" s="412"/>
      <c r="GR22" s="412"/>
      <c r="GS22" s="412"/>
      <c r="GT22" s="412"/>
      <c r="GU22" s="412"/>
      <c r="GV22" s="412"/>
      <c r="GW22" s="412"/>
      <c r="GX22" s="412"/>
      <c r="GY22" s="412"/>
      <c r="GZ22" s="412"/>
      <c r="HA22" s="412"/>
      <c r="HB22" s="412"/>
      <c r="HC22" s="412"/>
      <c r="HD22" s="412"/>
      <c r="HE22" s="412"/>
      <c r="HF22" s="412"/>
      <c r="HG22" s="412"/>
      <c r="HH22" s="412"/>
      <c r="HI22" s="412"/>
      <c r="HJ22" s="412"/>
      <c r="HK22" s="412"/>
      <c r="HL22" s="412"/>
      <c r="HM22" s="412"/>
      <c r="HN22" s="412"/>
      <c r="HO22" s="412"/>
      <c r="HP22" s="412"/>
      <c r="HQ22" s="412"/>
      <c r="HR22" s="412"/>
      <c r="HS22" s="412"/>
      <c r="HT22" s="412"/>
      <c r="HU22" s="412"/>
      <c r="HV22" s="412"/>
      <c r="HW22" s="412"/>
      <c r="HX22" s="412"/>
      <c r="HY22" s="412"/>
      <c r="HZ22" s="412"/>
      <c r="IA22" s="412"/>
      <c r="IB22" s="412"/>
      <c r="IC22" s="412"/>
      <c r="ID22" s="412"/>
      <c r="IE22" s="412"/>
      <c r="IF22" s="412"/>
      <c r="IG22" s="412"/>
      <c r="IH22" s="412"/>
      <c r="II22" s="412"/>
      <c r="IJ22" s="412"/>
      <c r="IK22" s="412"/>
      <c r="IL22" s="412"/>
      <c r="IM22" s="412"/>
      <c r="IN22" s="412"/>
      <c r="IO22" s="412"/>
      <c r="IP22" s="412"/>
      <c r="IQ22" s="412"/>
      <c r="IR22" s="412"/>
      <c r="IS22" s="412"/>
      <c r="IT22" s="412"/>
      <c r="IU22" s="412"/>
      <c r="IV22" s="412"/>
      <c r="IW22" s="412"/>
      <c r="IX22" s="412"/>
      <c r="IY22" s="412"/>
      <c r="IZ22" s="412"/>
      <c r="JA22" s="412"/>
      <c r="JB22" s="412"/>
      <c r="JC22" s="412"/>
      <c r="JD22" s="412"/>
      <c r="JE22" s="412"/>
      <c r="JF22" s="412"/>
      <c r="JG22" s="412"/>
      <c r="JH22" s="412"/>
      <c r="JI22" s="412"/>
      <c r="JJ22" s="412"/>
      <c r="JK22" s="412"/>
      <c r="JL22" s="412"/>
      <c r="JM22" s="412"/>
      <c r="JN22" s="412"/>
      <c r="JO22" s="412"/>
      <c r="JP22" s="412"/>
      <c r="JQ22" s="412"/>
      <c r="JR22" s="412"/>
      <c r="JS22" s="412"/>
      <c r="JT22" s="412"/>
      <c r="JU22" s="412"/>
      <c r="JV22" s="412"/>
      <c r="JW22" s="412"/>
      <c r="JX22" s="412"/>
      <c r="JY22" s="412"/>
      <c r="JZ22" s="412"/>
      <c r="KA22" s="412"/>
      <c r="KB22" s="412"/>
      <c r="KC22" s="412"/>
      <c r="KD22" s="412"/>
      <c r="KE22" s="412"/>
      <c r="KF22" s="412"/>
      <c r="KG22" s="412"/>
      <c r="KH22" s="412"/>
      <c r="KI22" s="412"/>
      <c r="KJ22" s="412"/>
      <c r="KK22" s="412"/>
      <c r="KL22" s="412"/>
      <c r="KM22" s="412"/>
      <c r="KN22" s="412"/>
      <c r="KO22" s="412"/>
      <c r="KP22" s="412"/>
      <c r="KQ22" s="412"/>
      <c r="KR22" s="412"/>
      <c r="KS22" s="412"/>
      <c r="KT22" s="412"/>
      <c r="KU22" s="412"/>
      <c r="KV22" s="412"/>
      <c r="KW22" s="412"/>
      <c r="KX22" s="412"/>
      <c r="KY22" s="412"/>
      <c r="KZ22" s="412"/>
      <c r="LA22" s="412"/>
      <c r="LB22" s="412"/>
      <c r="LC22" s="412"/>
      <c r="LD22" s="412"/>
      <c r="LE22" s="412"/>
      <c r="LF22" s="412"/>
      <c r="LG22" s="412"/>
      <c r="LH22" s="412"/>
      <c r="LI22" s="412"/>
      <c r="LJ22" s="412"/>
      <c r="LK22" s="412"/>
      <c r="LL22" s="412"/>
      <c r="LM22" s="412"/>
      <c r="LN22" s="412"/>
      <c r="LO22" s="412"/>
      <c r="LP22" s="412"/>
      <c r="LQ22" s="412"/>
      <c r="LR22" s="412"/>
      <c r="LS22" s="412"/>
      <c r="LT22" s="412"/>
      <c r="LU22" s="412"/>
      <c r="LV22" s="412"/>
      <c r="LW22" s="412"/>
      <c r="LX22" s="412"/>
      <c r="LY22" s="412"/>
      <c r="LZ22" s="412"/>
      <c r="MA22" s="412"/>
      <c r="MB22" s="412"/>
      <c r="MC22" s="412"/>
      <c r="MD22" s="412"/>
      <c r="ME22" s="412"/>
      <c r="MF22" s="412"/>
      <c r="MG22" s="412"/>
      <c r="MH22" s="412"/>
      <c r="MI22" s="412"/>
      <c r="MJ22" s="412"/>
      <c r="MK22" s="412"/>
      <c r="ML22" s="412"/>
      <c r="MM22" s="412"/>
      <c r="MN22" s="412"/>
      <c r="MO22" s="412"/>
      <c r="MP22" s="412"/>
      <c r="MQ22" s="412"/>
      <c r="MR22" s="412"/>
      <c r="MS22" s="412"/>
      <c r="MT22" s="412"/>
      <c r="MU22" s="412"/>
      <c r="MV22" s="412"/>
      <c r="MW22" s="412"/>
      <c r="MX22" s="412"/>
      <c r="MY22" s="412"/>
      <c r="MZ22" s="412"/>
      <c r="NA22" s="412"/>
      <c r="NB22" s="412"/>
      <c r="NC22" s="412"/>
      <c r="ND22" s="412"/>
      <c r="NE22" s="412"/>
      <c r="NF22" s="412"/>
      <c r="NG22" s="412"/>
      <c r="NH22" s="412"/>
      <c r="NI22" s="412"/>
      <c r="NJ22" s="412"/>
      <c r="NK22" s="412"/>
      <c r="NL22" s="412"/>
      <c r="NM22" s="412"/>
      <c r="NN22" s="412"/>
      <c r="NO22" s="412"/>
      <c r="NP22" s="412"/>
      <c r="NQ22" s="412"/>
      <c r="NR22" s="412"/>
      <c r="NS22" s="412"/>
      <c r="NT22" s="412"/>
      <c r="NU22" s="412"/>
      <c r="NV22" s="412"/>
      <c r="NW22" s="412"/>
      <c r="NX22" s="412"/>
      <c r="NY22" s="412"/>
      <c r="NZ22" s="412"/>
      <c r="OA22" s="412"/>
      <c r="OB22" s="412"/>
      <c r="OC22" s="412"/>
      <c r="OD22" s="412"/>
      <c r="OE22" s="412"/>
      <c r="OF22" s="412"/>
      <c r="OG22" s="412"/>
      <c r="OH22" s="412"/>
      <c r="OI22" s="412"/>
      <c r="OJ22" s="412"/>
      <c r="OK22" s="412"/>
      <c r="OL22" s="412"/>
      <c r="OM22" s="412"/>
      <c r="ON22" s="412"/>
      <c r="OO22" s="412"/>
      <c r="OP22" s="412"/>
      <c r="OQ22" s="412"/>
      <c r="OR22" s="412"/>
      <c r="OS22" s="412"/>
      <c r="OT22" s="412"/>
      <c r="OU22" s="412"/>
      <c r="OV22" s="412"/>
      <c r="OW22" s="412"/>
      <c r="OX22" s="412"/>
      <c r="OY22" s="412"/>
      <c r="OZ22" s="412"/>
      <c r="PA22" s="412"/>
      <c r="PB22" s="412"/>
      <c r="PC22" s="412"/>
      <c r="PD22" s="412"/>
      <c r="PE22" s="412"/>
      <c r="PF22" s="412"/>
      <c r="PG22" s="412"/>
      <c r="PH22" s="412"/>
      <c r="PI22" s="412"/>
      <c r="PJ22" s="412"/>
      <c r="PK22" s="412"/>
      <c r="PL22" s="412"/>
      <c r="PM22" s="412"/>
      <c r="PN22" s="412"/>
      <c r="PO22" s="412"/>
      <c r="PP22" s="412"/>
      <c r="PQ22" s="412"/>
      <c r="PR22" s="412"/>
      <c r="PS22" s="412"/>
      <c r="PT22" s="412"/>
      <c r="PU22" s="412"/>
      <c r="PV22" s="412"/>
      <c r="PW22" s="412"/>
      <c r="PX22" s="412"/>
      <c r="PY22" s="412"/>
      <c r="PZ22" s="412"/>
      <c r="QA22" s="412"/>
      <c r="QB22" s="412"/>
      <c r="QC22" s="412"/>
      <c r="QD22" s="412"/>
      <c r="QE22" s="412"/>
      <c r="QF22" s="412"/>
      <c r="QG22" s="412"/>
      <c r="QH22" s="412"/>
      <c r="QI22" s="412"/>
      <c r="QJ22" s="412"/>
      <c r="QK22" s="412"/>
      <c r="QL22" s="412"/>
      <c r="QM22" s="412"/>
      <c r="QN22" s="412"/>
      <c r="QO22" s="412"/>
      <c r="QP22" s="412"/>
      <c r="QQ22" s="412"/>
      <c r="QR22" s="412"/>
      <c r="QS22" s="412"/>
      <c r="QT22" s="412"/>
      <c r="QU22" s="412"/>
      <c r="QV22" s="412"/>
      <c r="QW22" s="412"/>
      <c r="QX22" s="412"/>
      <c r="QY22" s="412"/>
      <c r="QZ22" s="412"/>
      <c r="RA22" s="412"/>
      <c r="RB22" s="412"/>
      <c r="RC22" s="412"/>
      <c r="RD22" s="412"/>
      <c r="RE22" s="412"/>
      <c r="RF22" s="412"/>
      <c r="RG22" s="412"/>
      <c r="RH22" s="412"/>
      <c r="RI22" s="412"/>
      <c r="RJ22" s="412"/>
      <c r="RK22" s="412"/>
      <c r="RL22" s="412"/>
      <c r="RM22" s="412"/>
      <c r="RN22" s="412"/>
      <c r="RO22" s="412"/>
      <c r="RP22" s="412"/>
      <c r="RQ22" s="412"/>
      <c r="RR22" s="412"/>
      <c r="RS22" s="412"/>
      <c r="RT22" s="412"/>
      <c r="RU22" s="412"/>
      <c r="RV22" s="412"/>
      <c r="RW22" s="412"/>
      <c r="RX22" s="412"/>
      <c r="RY22" s="412"/>
      <c r="RZ22" s="412"/>
      <c r="SA22" s="412"/>
      <c r="SB22" s="412"/>
      <c r="SC22" s="412"/>
      <c r="SD22" s="412"/>
      <c r="SE22" s="412"/>
      <c r="SF22" s="412"/>
      <c r="SG22" s="412"/>
    </row>
    <row r="23" spans="1:501" x14ac:dyDescent="0.2">
      <c r="A23" s="391" t="s">
        <v>5</v>
      </c>
      <c r="B23" s="110"/>
      <c r="C23" s="392">
        <v>0.05</v>
      </c>
      <c r="D23" s="392">
        <v>5.2999999999999999E-2</v>
      </c>
      <c r="E23" s="392">
        <v>0</v>
      </c>
      <c r="F23" s="392">
        <v>1</v>
      </c>
      <c r="G23" s="392"/>
      <c r="H23" s="435"/>
      <c r="I23" s="410">
        <v>0</v>
      </c>
      <c r="J23" s="410">
        <v>0</v>
      </c>
      <c r="K23" s="410">
        <v>1</v>
      </c>
      <c r="L23" s="410">
        <v>0</v>
      </c>
      <c r="M23" s="410">
        <v>0</v>
      </c>
      <c r="N23" s="410">
        <v>0</v>
      </c>
      <c r="O23" s="435"/>
      <c r="P23" s="393">
        <v>0</v>
      </c>
      <c r="Q23" s="393">
        <v>0</v>
      </c>
      <c r="R23" s="393">
        <v>0</v>
      </c>
      <c r="S23" s="393">
        <v>0</v>
      </c>
      <c r="T23" s="393">
        <v>0</v>
      </c>
      <c r="U23" s="435"/>
      <c r="V23" s="393">
        <v>0</v>
      </c>
      <c r="W23" s="393">
        <v>0</v>
      </c>
      <c r="X23" s="393">
        <v>0</v>
      </c>
      <c r="Y23" s="393">
        <v>0</v>
      </c>
      <c r="Z23" s="393">
        <v>0</v>
      </c>
      <c r="AA23" s="393"/>
      <c r="AB23" s="435"/>
      <c r="AC23" s="393">
        <v>2.8000000000000004E-3</v>
      </c>
      <c r="AD23" s="411"/>
      <c r="AE23" s="435"/>
      <c r="AF23" s="388">
        <v>1.7701040633255616E-10</v>
      </c>
      <c r="AG23" s="388">
        <v>1.7701040633255616E-10</v>
      </c>
      <c r="AH23" s="388">
        <v>1.7701040633284128E-10</v>
      </c>
      <c r="AI23" s="388">
        <v>1.7701040633255616E-10</v>
      </c>
      <c r="AJ23" s="388">
        <v>1.770104063332019E-10</v>
      </c>
      <c r="AK23" s="388">
        <v>1.7701040633255616E-10</v>
      </c>
      <c r="AL23" s="388">
        <v>1.7701040633255618E-10</v>
      </c>
      <c r="AM23" s="388">
        <v>1.7701040633496886E-10</v>
      </c>
      <c r="AN23" s="388">
        <v>1.7701040633263833E-10</v>
      </c>
      <c r="AO23" s="388">
        <v>1.7701040633357556E-10</v>
      </c>
      <c r="AP23" s="388">
        <v>1.7701040633255624E-10</v>
      </c>
      <c r="AQ23" s="388">
        <v>1.7701040633257748E-10</v>
      </c>
      <c r="AR23" s="388">
        <v>1.7701040633256531E-10</v>
      </c>
      <c r="AS23" s="388">
        <v>1.7701040633263174E-10</v>
      </c>
      <c r="AT23" s="388">
        <v>1.77010406332708E-10</v>
      </c>
      <c r="AU23" s="388">
        <v>1.7701040633255673E-10</v>
      </c>
      <c r="AV23" s="388">
        <v>1.7701040633283784E-10</v>
      </c>
      <c r="AW23" s="388">
        <v>1.7701040633255616E-10</v>
      </c>
      <c r="AX23" s="388">
        <v>1.7701040633255616E-10</v>
      </c>
      <c r="AY23" s="388">
        <v>1.7701040633265935E-10</v>
      </c>
      <c r="AZ23" s="388">
        <v>1.7701040633255616E-10</v>
      </c>
      <c r="BA23" s="388">
        <v>1.7701040633334733E-10</v>
      </c>
      <c r="BB23" s="388">
        <v>1.7701040633255616E-10</v>
      </c>
      <c r="BC23" s="388">
        <v>1.7701040633255616E-10</v>
      </c>
      <c r="BD23" s="388">
        <v>1.7701040633255616E-10</v>
      </c>
      <c r="BE23" s="388">
        <v>1.770104063373939E-10</v>
      </c>
      <c r="BF23" s="388">
        <v>1.7701040633255616E-10</v>
      </c>
      <c r="BG23" s="388">
        <v>1.7701040633255616E-10</v>
      </c>
      <c r="BH23" s="388">
        <v>1.7701040633276228E-10</v>
      </c>
      <c r="BI23" s="388">
        <v>1.7701040633255616E-10</v>
      </c>
      <c r="BJ23" s="388">
        <v>1.7701040633257857E-10</v>
      </c>
      <c r="BK23" s="388">
        <v>1.7701040633399687E-10</v>
      </c>
      <c r="BL23" s="388">
        <v>1.7701040633311647E-10</v>
      </c>
      <c r="BM23" s="388">
        <v>1.7701040633272333E-10</v>
      </c>
      <c r="BN23" s="388">
        <v>1.7701040633255616E-10</v>
      </c>
      <c r="BO23" s="388">
        <v>1.7701040633271188E-10</v>
      </c>
      <c r="BP23" s="388">
        <v>1.7701040633309261E-10</v>
      </c>
      <c r="BQ23" s="388">
        <v>1.7701040637361702E-10</v>
      </c>
      <c r="BR23" s="388">
        <v>1.7701040633277849E-10</v>
      </c>
      <c r="BS23" s="388">
        <v>1.7701040633256611E-10</v>
      </c>
      <c r="BT23" s="388">
        <v>1.7701040633258397E-10</v>
      </c>
      <c r="BU23" s="388">
        <v>1.7701040633266966E-10</v>
      </c>
      <c r="BV23" s="388">
        <v>1.770104063326091E-10</v>
      </c>
      <c r="BW23" s="388">
        <v>1.7701040633255616E-10</v>
      </c>
      <c r="BX23" s="388">
        <v>1.7701040633255616E-10</v>
      </c>
      <c r="BY23" s="388">
        <v>1.7701040633256789E-10</v>
      </c>
      <c r="BZ23" s="388">
        <v>1.7701040648168473E-10</v>
      </c>
      <c r="CA23" s="388">
        <v>1.7701040646793629E-10</v>
      </c>
      <c r="CB23" s="388">
        <v>1.7701040634273831E-10</v>
      </c>
      <c r="CC23" s="388">
        <v>1.7701040633280255E-10</v>
      </c>
      <c r="CD23" s="388">
        <v>1.7701040643826534E-10</v>
      </c>
      <c r="CE23" s="388">
        <v>1.7701040633278056E-10</v>
      </c>
      <c r="CF23" s="388">
        <v>1.7701040633441956E-10</v>
      </c>
      <c r="CG23" s="388">
        <v>1.770104264756999E-10</v>
      </c>
      <c r="CH23" s="388">
        <v>1.7701041515017506E-10</v>
      </c>
      <c r="CI23" s="388">
        <v>1.7701041471597831E-10</v>
      </c>
      <c r="CJ23" s="388">
        <v>1.7701040633417549E-10</v>
      </c>
      <c r="CK23" s="388">
        <v>1.7701047657623238E-10</v>
      </c>
      <c r="CL23" s="388">
        <v>1.7701040633416875E-10</v>
      </c>
      <c r="CM23" s="388">
        <v>1.770104063326776E-10</v>
      </c>
      <c r="CN23" s="388">
        <v>1.7701040633353934E-10</v>
      </c>
      <c r="CO23" s="388">
        <v>1.770104063326023E-10</v>
      </c>
      <c r="CP23" s="388">
        <v>1.77010406332629E-10</v>
      </c>
      <c r="CQ23" s="388">
        <v>1.7701040659229472E-10</v>
      </c>
      <c r="CR23" s="388">
        <v>1.7701040633281088E-10</v>
      </c>
      <c r="CS23" s="388">
        <v>1.7701040633803204E-10</v>
      </c>
      <c r="CT23" s="388">
        <v>1.7701040633309352E-10</v>
      </c>
      <c r="CU23" s="388">
        <v>1.7701040633390976E-10</v>
      </c>
      <c r="CV23" s="388">
        <v>1.7701040633267786E-10</v>
      </c>
      <c r="CW23" s="388">
        <v>1.7701040633255616E-10</v>
      </c>
      <c r="CX23" s="388">
        <v>1.7701040633263216E-10</v>
      </c>
      <c r="CY23" s="388">
        <v>1.7701040633302871E-10</v>
      </c>
      <c r="CZ23" s="388">
        <v>1.7701040634623685E-10</v>
      </c>
      <c r="DA23" s="388">
        <v>1.7701040633264324E-10</v>
      </c>
      <c r="DB23" s="388">
        <v>1.7701041888901067E-10</v>
      </c>
      <c r="DC23" s="388">
        <v>1.770104064310993E-10</v>
      </c>
      <c r="DD23" s="388">
        <v>1.7701045785304478E-10</v>
      </c>
      <c r="DE23" s="388">
        <v>1.7701040633668661E-10</v>
      </c>
      <c r="DF23" s="388">
        <v>1.7701040633259333E-10</v>
      </c>
      <c r="DG23" s="388">
        <v>1.7701040642175528E-10</v>
      </c>
      <c r="DH23" s="388">
        <v>1.7701040633255616E-10</v>
      </c>
      <c r="DI23" s="388">
        <v>1.7701040697315323E-10</v>
      </c>
      <c r="DJ23" s="388">
        <v>1.7701040633255616E-10</v>
      </c>
      <c r="DK23" s="388">
        <v>1.7701040633318538E-10</v>
      </c>
      <c r="DL23" s="388">
        <v>1.7701042239852946E-10</v>
      </c>
      <c r="DM23" s="388">
        <v>1.7701040633255616E-10</v>
      </c>
      <c r="DN23" s="388">
        <v>1.7701040633255616E-10</v>
      </c>
      <c r="DO23" s="388">
        <v>1.7701040634205912E-10</v>
      </c>
      <c r="DP23" s="388">
        <v>1.7701040722781239E-10</v>
      </c>
      <c r="DQ23" s="388">
        <v>1.7701040633687347E-10</v>
      </c>
      <c r="DR23" s="388">
        <v>1.7701047235617948E-10</v>
      </c>
      <c r="DS23" s="388">
        <v>1.7701046743737685E-10</v>
      </c>
      <c r="DT23" s="388">
        <v>1.7701040633255616E-10</v>
      </c>
      <c r="DU23" s="388">
        <v>1.7701040633255616E-10</v>
      </c>
      <c r="DV23" s="388">
        <v>1.7701040633255616E-10</v>
      </c>
      <c r="DW23" s="388">
        <v>1.7701040644980273E-10</v>
      </c>
      <c r="DX23" s="388">
        <v>1.7701040649336813E-10</v>
      </c>
      <c r="DY23" s="388">
        <v>1.7701040636925421E-10</v>
      </c>
      <c r="DZ23" s="388">
        <v>2.9779514293586997E-5</v>
      </c>
      <c r="EA23" s="388">
        <v>2.9779514293586997E-5</v>
      </c>
      <c r="EB23" s="388"/>
      <c r="EC23" s="435"/>
      <c r="ED23" s="388">
        <v>1.0369932660634119E-4</v>
      </c>
      <c r="EE23" s="388">
        <v>2.9283072320685447E-3</v>
      </c>
      <c r="EF23" s="388">
        <v>4.7817399847389095E-3</v>
      </c>
      <c r="EG23" s="388">
        <v>2.5243117631150993E-3</v>
      </c>
      <c r="EH23" s="388">
        <v>4.2527981655658678E-3</v>
      </c>
      <c r="EI23" s="388">
        <v>2.8090000000000003E-3</v>
      </c>
      <c r="EJ23" s="388">
        <v>4.7289527579541905E-3</v>
      </c>
      <c r="EK23" s="388">
        <v>2.4232912010765388E-3</v>
      </c>
      <c r="EL23" s="388">
        <v>3.8786866039326952E-3</v>
      </c>
      <c r="EM23" s="388">
        <v>2.1953796276580661E-3</v>
      </c>
      <c r="EN23" s="388">
        <v>1.4223082609937721E-3</v>
      </c>
      <c r="EO23" s="388">
        <v>1.6039770130571516E-3</v>
      </c>
      <c r="EP23" s="388">
        <v>1.8738564314970411E-3</v>
      </c>
      <c r="EQ23" s="388">
        <v>8.6751093493562007E-4</v>
      </c>
      <c r="ER23" s="388">
        <v>1.0029409334097628E-3</v>
      </c>
      <c r="ES23" s="388">
        <v>2.3685528059918808E-3</v>
      </c>
      <c r="ET23" s="388">
        <v>2.7912201649740159E-3</v>
      </c>
      <c r="EU23" s="388">
        <v>1.0058444978047435E-4</v>
      </c>
      <c r="EV23" s="388">
        <v>3.643938230443412E-4</v>
      </c>
      <c r="EW23" s="388">
        <v>-6.2443369512945766E-4</v>
      </c>
      <c r="EX23" s="388">
        <v>-2.3065004008302747E-4</v>
      </c>
      <c r="EY23" s="388">
        <v>-5.3138592139788409E-4</v>
      </c>
      <c r="EZ23" s="388">
        <v>-2.2825185987755551E-4</v>
      </c>
      <c r="FA23" s="388">
        <v>1.6972712248757131E-3</v>
      </c>
      <c r="FB23" s="388">
        <v>4.1911675292436579E-4</v>
      </c>
      <c r="FC23" s="388">
        <v>7.591267450706245E-4</v>
      </c>
      <c r="FD23" s="388">
        <v>-1.0250317180459414E-4</v>
      </c>
      <c r="FE23" s="388">
        <v>1.0369448792074175E-4</v>
      </c>
      <c r="FF23" s="388">
        <v>2.1381290900817948E-3</v>
      </c>
      <c r="FG23" s="388">
        <v>3.5863049885541819E-3</v>
      </c>
      <c r="FH23" s="388">
        <v>2.173E-3</v>
      </c>
      <c r="FI23" s="388">
        <v>5.8597892870301919E-3</v>
      </c>
      <c r="FJ23" s="388">
        <v>1.1279873549233925E-2</v>
      </c>
      <c r="FK23" s="388">
        <v>1.0038852365891223E-2</v>
      </c>
      <c r="FL23" s="388">
        <v>8.8400820417400966E-3</v>
      </c>
      <c r="FM23" s="388">
        <v>-2.7075351998936156E-3</v>
      </c>
      <c r="FN23" s="388">
        <v>-2.4239731183146557E-3</v>
      </c>
      <c r="FO23" s="388">
        <v>-1.7307377993328146E-3</v>
      </c>
      <c r="FP23" s="388">
        <v>-1.4343100801706686E-3</v>
      </c>
      <c r="FQ23" s="388">
        <v>-1.6233648912141979E-3</v>
      </c>
      <c r="FR23" s="388">
        <v>-1.8738564314970411E-3</v>
      </c>
      <c r="FS23" s="388">
        <v>-9.4033720142078692E-4</v>
      </c>
      <c r="FT23" s="388">
        <v>-1.0245933917840595E-3</v>
      </c>
      <c r="FU23" s="388">
        <v>-2.3353408783872154E-3</v>
      </c>
      <c r="FV23" s="388">
        <v>-2.8318330763710568E-3</v>
      </c>
      <c r="FW23" s="388">
        <v>-1.6519163361736807E-4</v>
      </c>
      <c r="FX23" s="388">
        <v>-4.2182070621471669E-4</v>
      </c>
      <c r="FY23" s="388">
        <v>5.1439936159235287E-4</v>
      </c>
      <c r="FZ23" s="388">
        <v>1.0237452953632151E-4</v>
      </c>
      <c r="GA23" s="388">
        <v>3.060103968592947E-5</v>
      </c>
      <c r="GB23" s="388"/>
      <c r="GC23" s="388"/>
      <c r="GD23" s="388"/>
      <c r="GE23" s="388"/>
      <c r="GF23" s="388"/>
      <c r="GG23" s="388"/>
      <c r="GH23" s="388"/>
      <c r="GI23" s="388"/>
      <c r="GJ23" s="388"/>
      <c r="GK23" s="388"/>
      <c r="GL23" s="388"/>
      <c r="GM23" s="388"/>
      <c r="GN23" s="388"/>
      <c r="GO23" s="388"/>
      <c r="GP23" s="412"/>
      <c r="GQ23" s="412"/>
      <c r="GR23" s="412"/>
      <c r="GS23" s="412"/>
      <c r="GT23" s="412"/>
      <c r="GU23" s="412"/>
      <c r="GV23" s="412"/>
      <c r="GW23" s="412"/>
      <c r="GX23" s="412"/>
      <c r="GY23" s="412"/>
      <c r="GZ23" s="412"/>
      <c r="HA23" s="412"/>
      <c r="HB23" s="412"/>
      <c r="HC23" s="412"/>
      <c r="HD23" s="412"/>
      <c r="HE23" s="412"/>
      <c r="HF23" s="412"/>
      <c r="HG23" s="412"/>
      <c r="HH23" s="412"/>
      <c r="HI23" s="412"/>
      <c r="HJ23" s="412"/>
      <c r="HK23" s="412"/>
      <c r="HL23" s="412"/>
      <c r="HM23" s="412"/>
      <c r="HN23" s="412"/>
      <c r="HO23" s="412"/>
      <c r="HP23" s="412"/>
      <c r="HQ23" s="412"/>
      <c r="HR23" s="412"/>
      <c r="HS23" s="412"/>
      <c r="HT23" s="412"/>
      <c r="HU23" s="412"/>
      <c r="HV23" s="412"/>
      <c r="HW23" s="412"/>
      <c r="HX23" s="412"/>
      <c r="HY23" s="412"/>
      <c r="HZ23" s="412"/>
      <c r="IA23" s="412"/>
      <c r="IB23" s="412"/>
      <c r="IC23" s="412"/>
      <c r="ID23" s="412"/>
      <c r="IE23" s="412"/>
      <c r="IF23" s="412"/>
      <c r="IG23" s="412"/>
      <c r="IH23" s="412"/>
      <c r="II23" s="412"/>
      <c r="IJ23" s="412"/>
      <c r="IK23" s="412"/>
      <c r="IL23" s="412"/>
      <c r="IM23" s="412"/>
      <c r="IN23" s="412"/>
      <c r="IO23" s="412"/>
      <c r="IP23" s="412"/>
      <c r="IQ23" s="412"/>
      <c r="IR23" s="412"/>
      <c r="IS23" s="412"/>
      <c r="IT23" s="412"/>
      <c r="IU23" s="412"/>
      <c r="IV23" s="412"/>
      <c r="IW23" s="412"/>
      <c r="IX23" s="412"/>
      <c r="IY23" s="412"/>
      <c r="IZ23" s="412"/>
      <c r="JA23" s="412"/>
      <c r="JB23" s="412"/>
      <c r="JC23" s="412"/>
      <c r="JD23" s="412"/>
      <c r="JE23" s="412"/>
      <c r="JF23" s="412"/>
      <c r="JG23" s="412"/>
      <c r="JH23" s="412"/>
      <c r="JI23" s="412"/>
      <c r="JJ23" s="412"/>
      <c r="JK23" s="412"/>
      <c r="JL23" s="412"/>
      <c r="JM23" s="412"/>
      <c r="JN23" s="412"/>
      <c r="JO23" s="412"/>
      <c r="JP23" s="412"/>
      <c r="JQ23" s="412"/>
      <c r="JR23" s="412"/>
      <c r="JS23" s="412"/>
      <c r="JT23" s="412"/>
      <c r="JU23" s="412"/>
      <c r="JV23" s="412"/>
      <c r="JW23" s="412"/>
      <c r="JX23" s="412"/>
      <c r="JY23" s="412"/>
      <c r="JZ23" s="412"/>
      <c r="KA23" s="412"/>
      <c r="KB23" s="412"/>
      <c r="KC23" s="412"/>
      <c r="KD23" s="412"/>
      <c r="KE23" s="412"/>
      <c r="KF23" s="412"/>
      <c r="KG23" s="412"/>
      <c r="KH23" s="412"/>
      <c r="KI23" s="412"/>
      <c r="KJ23" s="412"/>
      <c r="KK23" s="412"/>
      <c r="KL23" s="412"/>
      <c r="KM23" s="412"/>
      <c r="KN23" s="412"/>
      <c r="KO23" s="412"/>
      <c r="KP23" s="412"/>
      <c r="KQ23" s="412"/>
      <c r="KR23" s="412"/>
      <c r="KS23" s="412"/>
      <c r="KT23" s="412"/>
      <c r="KU23" s="412"/>
      <c r="KV23" s="412"/>
      <c r="KW23" s="412"/>
      <c r="KX23" s="412"/>
      <c r="KY23" s="412"/>
      <c r="KZ23" s="412"/>
      <c r="LA23" s="412"/>
      <c r="LB23" s="412"/>
      <c r="LC23" s="412"/>
      <c r="LD23" s="412"/>
      <c r="LE23" s="412"/>
      <c r="LF23" s="412"/>
      <c r="LG23" s="412"/>
      <c r="LH23" s="412"/>
      <c r="LI23" s="412"/>
      <c r="LJ23" s="412"/>
      <c r="LK23" s="412"/>
      <c r="LL23" s="412"/>
      <c r="LM23" s="412"/>
      <c r="LN23" s="412"/>
      <c r="LO23" s="412"/>
      <c r="LP23" s="412"/>
      <c r="LQ23" s="412"/>
      <c r="LR23" s="412"/>
      <c r="LS23" s="412"/>
      <c r="LT23" s="412"/>
      <c r="LU23" s="412"/>
      <c r="LV23" s="412"/>
      <c r="LW23" s="412"/>
      <c r="LX23" s="412"/>
      <c r="LY23" s="412"/>
      <c r="LZ23" s="412"/>
      <c r="MA23" s="412"/>
      <c r="MB23" s="412"/>
      <c r="MC23" s="412"/>
      <c r="MD23" s="412"/>
      <c r="ME23" s="412"/>
      <c r="MF23" s="412"/>
      <c r="MG23" s="412"/>
      <c r="MH23" s="412"/>
      <c r="MI23" s="412"/>
      <c r="MJ23" s="412"/>
      <c r="MK23" s="412"/>
      <c r="ML23" s="412"/>
      <c r="MM23" s="412"/>
      <c r="MN23" s="412"/>
      <c r="MO23" s="412"/>
      <c r="MP23" s="412"/>
      <c r="MQ23" s="412"/>
      <c r="MR23" s="412"/>
      <c r="MS23" s="412"/>
      <c r="MT23" s="412"/>
      <c r="MU23" s="412"/>
      <c r="MV23" s="412"/>
      <c r="MW23" s="412"/>
      <c r="MX23" s="412"/>
      <c r="MY23" s="412"/>
      <c r="MZ23" s="412"/>
      <c r="NA23" s="412"/>
      <c r="NB23" s="412"/>
      <c r="NC23" s="412"/>
      <c r="ND23" s="412"/>
      <c r="NE23" s="412"/>
      <c r="NF23" s="412"/>
      <c r="NG23" s="412"/>
      <c r="NH23" s="412"/>
      <c r="NI23" s="412"/>
      <c r="NJ23" s="412"/>
      <c r="NK23" s="412"/>
      <c r="NL23" s="412"/>
      <c r="NM23" s="412"/>
      <c r="NN23" s="412"/>
      <c r="NO23" s="412"/>
      <c r="NP23" s="412"/>
      <c r="NQ23" s="412"/>
      <c r="NR23" s="412"/>
      <c r="NS23" s="412"/>
      <c r="NT23" s="412"/>
      <c r="NU23" s="412"/>
      <c r="NV23" s="412"/>
      <c r="NW23" s="412"/>
      <c r="NX23" s="412"/>
      <c r="NY23" s="412"/>
      <c r="NZ23" s="412"/>
      <c r="OA23" s="412"/>
      <c r="OB23" s="412"/>
      <c r="OC23" s="412"/>
      <c r="OD23" s="412"/>
      <c r="OE23" s="412"/>
      <c r="OF23" s="412"/>
      <c r="OG23" s="412"/>
      <c r="OH23" s="412"/>
      <c r="OI23" s="412"/>
      <c r="OJ23" s="412"/>
      <c r="OK23" s="412"/>
      <c r="OL23" s="412"/>
      <c r="OM23" s="412"/>
      <c r="ON23" s="412"/>
      <c r="OO23" s="412"/>
      <c r="OP23" s="412"/>
      <c r="OQ23" s="412"/>
      <c r="OR23" s="412"/>
      <c r="OS23" s="412"/>
      <c r="OT23" s="412"/>
      <c r="OU23" s="412"/>
      <c r="OV23" s="412"/>
      <c r="OW23" s="412"/>
      <c r="OX23" s="412"/>
      <c r="OY23" s="412"/>
      <c r="OZ23" s="412"/>
      <c r="PA23" s="412"/>
      <c r="PB23" s="412"/>
      <c r="PC23" s="412"/>
      <c r="PD23" s="412"/>
      <c r="PE23" s="412"/>
      <c r="PF23" s="412"/>
      <c r="PG23" s="412"/>
      <c r="PH23" s="412"/>
      <c r="PI23" s="412"/>
      <c r="PJ23" s="412"/>
      <c r="PK23" s="412"/>
      <c r="PL23" s="412"/>
      <c r="PM23" s="412"/>
      <c r="PN23" s="412"/>
      <c r="PO23" s="412"/>
      <c r="PP23" s="412"/>
      <c r="PQ23" s="412"/>
      <c r="PR23" s="412"/>
      <c r="PS23" s="412"/>
      <c r="PT23" s="412"/>
      <c r="PU23" s="412"/>
      <c r="PV23" s="412"/>
      <c r="PW23" s="412"/>
      <c r="PX23" s="412"/>
      <c r="PY23" s="412"/>
      <c r="PZ23" s="412"/>
      <c r="QA23" s="412"/>
      <c r="QB23" s="412"/>
      <c r="QC23" s="412"/>
      <c r="QD23" s="412"/>
      <c r="QE23" s="412"/>
      <c r="QF23" s="412"/>
      <c r="QG23" s="412"/>
      <c r="QH23" s="412"/>
      <c r="QI23" s="412"/>
      <c r="QJ23" s="412"/>
      <c r="QK23" s="412"/>
      <c r="QL23" s="412"/>
      <c r="QM23" s="412"/>
      <c r="QN23" s="412"/>
      <c r="QO23" s="412"/>
      <c r="QP23" s="412"/>
      <c r="QQ23" s="412"/>
      <c r="QR23" s="412"/>
      <c r="QS23" s="412"/>
      <c r="QT23" s="412"/>
      <c r="QU23" s="412"/>
      <c r="QV23" s="412"/>
      <c r="QW23" s="412"/>
      <c r="QX23" s="412"/>
      <c r="QY23" s="412"/>
      <c r="QZ23" s="412"/>
      <c r="RA23" s="412"/>
      <c r="RB23" s="412"/>
      <c r="RC23" s="412"/>
      <c r="RD23" s="412"/>
      <c r="RE23" s="412"/>
      <c r="RF23" s="412"/>
      <c r="RG23" s="412"/>
      <c r="RH23" s="412"/>
      <c r="RI23" s="412"/>
      <c r="RJ23" s="412"/>
      <c r="RK23" s="412"/>
      <c r="RL23" s="412"/>
      <c r="RM23" s="412"/>
      <c r="RN23" s="412"/>
      <c r="RO23" s="412"/>
      <c r="RP23" s="412"/>
      <c r="RQ23" s="412"/>
      <c r="RR23" s="412"/>
      <c r="RS23" s="412"/>
      <c r="RT23" s="412"/>
      <c r="RU23" s="412"/>
      <c r="RV23" s="412"/>
      <c r="RW23" s="412"/>
      <c r="RX23" s="412"/>
      <c r="RY23" s="412"/>
      <c r="RZ23" s="412"/>
      <c r="SA23" s="412"/>
      <c r="SB23" s="412"/>
      <c r="SC23" s="412"/>
      <c r="SD23" s="412"/>
      <c r="SE23" s="412"/>
      <c r="SF23" s="412"/>
      <c r="SG23" s="412"/>
    </row>
    <row r="24" spans="1:501" x14ac:dyDescent="0.2">
      <c r="A24" s="391" t="s">
        <v>6</v>
      </c>
      <c r="B24" s="110"/>
      <c r="C24" s="392">
        <v>5.2999999999999999E-2</v>
      </c>
      <c r="D24" s="392">
        <v>9.1999999999999998E-2</v>
      </c>
      <c r="E24" s="392">
        <v>0</v>
      </c>
      <c r="F24" s="392">
        <v>1</v>
      </c>
      <c r="G24" s="392"/>
      <c r="H24" s="435"/>
      <c r="I24" s="410">
        <v>0</v>
      </c>
      <c r="J24" s="410">
        <v>0</v>
      </c>
      <c r="K24" s="410">
        <v>1</v>
      </c>
      <c r="L24" s="410">
        <v>0</v>
      </c>
      <c r="M24" s="410">
        <v>0</v>
      </c>
      <c r="N24" s="410">
        <v>0</v>
      </c>
      <c r="O24" s="435"/>
      <c r="P24" s="393">
        <v>0</v>
      </c>
      <c r="Q24" s="393">
        <v>0</v>
      </c>
      <c r="R24" s="393">
        <v>0</v>
      </c>
      <c r="S24" s="393">
        <v>0</v>
      </c>
      <c r="T24" s="393">
        <v>0</v>
      </c>
      <c r="U24" s="435"/>
      <c r="V24" s="393">
        <v>0</v>
      </c>
      <c r="W24" s="393">
        <v>0</v>
      </c>
      <c r="X24" s="393">
        <v>0</v>
      </c>
      <c r="Y24" s="393">
        <v>0</v>
      </c>
      <c r="Z24" s="393">
        <v>0</v>
      </c>
      <c r="AA24" s="393"/>
      <c r="AB24" s="435"/>
      <c r="AC24" s="393">
        <v>3.5000000000000003E-2</v>
      </c>
      <c r="AD24" s="411"/>
      <c r="AE24" s="435"/>
      <c r="AF24" s="388">
        <v>0</v>
      </c>
      <c r="AG24" s="388">
        <v>1.8940368014297162E-32</v>
      </c>
      <c r="AH24" s="388">
        <v>1.6484294618966756E-23</v>
      </c>
      <c r="AI24" s="388">
        <v>5.8268634940738283E-23</v>
      </c>
      <c r="AJ24" s="388">
        <v>3.3915392920490472E-24</v>
      </c>
      <c r="AK24" s="388">
        <v>7.1001090609878882E-38</v>
      </c>
      <c r="AL24" s="388">
        <v>4.9400373565180559E-24</v>
      </c>
      <c r="AM24" s="388">
        <v>1.9772844951102866E-20</v>
      </c>
      <c r="AN24" s="388">
        <v>8.1361947527501984E-23</v>
      </c>
      <c r="AO24" s="388">
        <v>2.6107670160971839E-22</v>
      </c>
      <c r="AP24" s="388">
        <v>0</v>
      </c>
      <c r="AQ24" s="388">
        <v>2.0137889031309496E-22</v>
      </c>
      <c r="AR24" s="388">
        <v>1.0116542069739521E-23</v>
      </c>
      <c r="AS24" s="388">
        <v>1.5228816331528998E-22</v>
      </c>
      <c r="AT24" s="388">
        <v>1.0932057746088647E-21</v>
      </c>
      <c r="AU24" s="388">
        <v>2.99559251218531E-20</v>
      </c>
      <c r="AV24" s="388">
        <v>1.5137840331644507E-22</v>
      </c>
      <c r="AW24" s="388">
        <v>0</v>
      </c>
      <c r="AX24" s="388">
        <v>0</v>
      </c>
      <c r="AY24" s="388">
        <v>3.2640755721582295E-23</v>
      </c>
      <c r="AZ24" s="388">
        <v>0</v>
      </c>
      <c r="BA24" s="388">
        <v>0</v>
      </c>
      <c r="BB24" s="388">
        <v>0</v>
      </c>
      <c r="BC24" s="388">
        <v>1.318099923459287E-22</v>
      </c>
      <c r="BD24" s="388">
        <v>2.7620282457572301E-22</v>
      </c>
      <c r="BE24" s="388">
        <v>1.6163047323806453E-38</v>
      </c>
      <c r="BF24" s="388">
        <v>0</v>
      </c>
      <c r="BG24" s="388">
        <v>9.3855754943407897E-24</v>
      </c>
      <c r="BH24" s="388">
        <v>1.0673638512360683E-22</v>
      </c>
      <c r="BI24" s="388">
        <v>0</v>
      </c>
      <c r="BJ24" s="388">
        <v>2.3474880283040464E-23</v>
      </c>
      <c r="BK24" s="388">
        <v>5.0689355156608326E-22</v>
      </c>
      <c r="BL24" s="388">
        <v>5.5266792426146045E-22</v>
      </c>
      <c r="BM24" s="388">
        <v>1.9618825360687098E-22</v>
      </c>
      <c r="BN24" s="388">
        <v>3.3964879265541143E-23</v>
      </c>
      <c r="BO24" s="388">
        <v>1.9399760951143485E-22</v>
      </c>
      <c r="BP24" s="388">
        <v>0</v>
      </c>
      <c r="BQ24" s="388">
        <v>3.2132629779007702E-20</v>
      </c>
      <c r="BR24" s="388">
        <v>1.0197912255629223E-22</v>
      </c>
      <c r="BS24" s="388">
        <v>1.1909133337270895E-23</v>
      </c>
      <c r="BT24" s="388">
        <v>1.9546826938973775E-22</v>
      </c>
      <c r="BU24" s="388">
        <v>2.0389797715139523E-23</v>
      </c>
      <c r="BV24" s="388">
        <v>2.7342003231248361E-23</v>
      </c>
      <c r="BW24" s="388">
        <v>1.6951911178604057E-23</v>
      </c>
      <c r="BX24" s="388">
        <v>8.2469769057495038E-23</v>
      </c>
      <c r="BY24" s="388">
        <v>1.8876151072806094E-25</v>
      </c>
      <c r="BZ24" s="388">
        <v>1.3544335320741142E-20</v>
      </c>
      <c r="CA24" s="388">
        <v>0</v>
      </c>
      <c r="CB24" s="388">
        <v>7.3372205547995533E-22</v>
      </c>
      <c r="CC24" s="388">
        <v>3.4854526642988358E-24</v>
      </c>
      <c r="CD24" s="388">
        <v>2.5429097483057809E-20</v>
      </c>
      <c r="CE24" s="388">
        <v>4.0423614209215363E-23</v>
      </c>
      <c r="CF24" s="388">
        <v>2.0926435980004625E-22</v>
      </c>
      <c r="CG24" s="388">
        <v>1.8615399969886896E-17</v>
      </c>
      <c r="CH24" s="388">
        <v>4.295413511260317E-19</v>
      </c>
      <c r="CI24" s="388">
        <v>4.2030521761737552E-18</v>
      </c>
      <c r="CJ24" s="388">
        <v>4.4385743116456171E-22</v>
      </c>
      <c r="CK24" s="388">
        <v>1.5208734271097122E-17</v>
      </c>
      <c r="CL24" s="388">
        <v>6.8077116609174725E-23</v>
      </c>
      <c r="CM24" s="388">
        <v>6.4426046983049293E-23</v>
      </c>
      <c r="CN24" s="388">
        <v>5.2014353773623037E-22</v>
      </c>
      <c r="CO24" s="388">
        <v>0</v>
      </c>
      <c r="CP24" s="388">
        <v>0</v>
      </c>
      <c r="CQ24" s="388">
        <v>1.0184430989941194E-19</v>
      </c>
      <c r="CR24" s="388">
        <v>1.7183067165389381E-22</v>
      </c>
      <c r="CS24" s="388">
        <v>2.8962267702787133E-21</v>
      </c>
      <c r="CT24" s="388">
        <v>2.842101882221403E-22</v>
      </c>
      <c r="CU24" s="388">
        <v>1.4522302083858963E-24</v>
      </c>
      <c r="CV24" s="388">
        <v>2.3013797345227854E-22</v>
      </c>
      <c r="CW24" s="388">
        <v>6.6658794845898091E-21</v>
      </c>
      <c r="CX24" s="388">
        <v>4.0277515598640409E-23</v>
      </c>
      <c r="CY24" s="388">
        <v>7.0469275271009205E-22</v>
      </c>
      <c r="CZ24" s="388">
        <v>7.2358064990565811E-21</v>
      </c>
      <c r="DA24" s="388">
        <v>4.6266816262444065E-23</v>
      </c>
      <c r="DB24" s="388">
        <v>3.0814879110195774E-33</v>
      </c>
      <c r="DC24" s="388">
        <v>0</v>
      </c>
      <c r="DD24" s="388">
        <v>0</v>
      </c>
      <c r="DE24" s="388">
        <v>1.6791437481921368E-23</v>
      </c>
      <c r="DF24" s="388">
        <v>1.8051407010343645E-23</v>
      </c>
      <c r="DG24" s="388">
        <v>1.6830713000468139E-19</v>
      </c>
      <c r="DH24" s="388">
        <v>6.7122489090351998E-18</v>
      </c>
      <c r="DI24" s="388">
        <v>2.1215663227110216E-19</v>
      </c>
      <c r="DJ24" s="388">
        <v>2.4026021262527459E-19</v>
      </c>
      <c r="DK24" s="388">
        <v>0</v>
      </c>
      <c r="DL24" s="388">
        <v>3.8788747195678693E-18</v>
      </c>
      <c r="DM24" s="388">
        <v>1.5086189660412413E-20</v>
      </c>
      <c r="DN24" s="388">
        <v>0</v>
      </c>
      <c r="DO24" s="388">
        <v>6.098711170090208E-20</v>
      </c>
      <c r="DP24" s="388">
        <v>4.163155111026551E-19</v>
      </c>
      <c r="DQ24" s="388">
        <v>1.1112062992921571E-23</v>
      </c>
      <c r="DR24" s="388">
        <v>-1.535447648162724E-33</v>
      </c>
      <c r="DS24" s="388">
        <v>1.3103615780266215E-19</v>
      </c>
      <c r="DT24" s="388">
        <v>8.5577135544161479E-17</v>
      </c>
      <c r="DU24" s="388">
        <v>8.6471374131609517E-17</v>
      </c>
      <c r="DV24" s="388">
        <v>3.9528394461777191E-20</v>
      </c>
      <c r="DW24" s="388">
        <v>9.2525753120002764E-21</v>
      </c>
      <c r="DX24" s="388">
        <v>1.2690533862629409E-20</v>
      </c>
      <c r="DY24" s="388">
        <v>0</v>
      </c>
      <c r="DZ24" s="388">
        <v>3.3772104654908052E-5</v>
      </c>
      <c r="EA24" s="388">
        <v>3.3772104654908052E-5</v>
      </c>
      <c r="EB24" s="388"/>
      <c r="EC24" s="435"/>
      <c r="ED24" s="388">
        <v>1.0797923460547665E-4</v>
      </c>
      <c r="EE24" s="388">
        <v>4.7569084474750126E-3</v>
      </c>
      <c r="EF24" s="388">
        <v>8.4308558053438395E-3</v>
      </c>
      <c r="EG24" s="388">
        <v>4.2911723625719623E-3</v>
      </c>
      <c r="EH24" s="388">
        <v>7.6858504525379578E-3</v>
      </c>
      <c r="EI24" s="388">
        <v>4.7289527579541905E-3</v>
      </c>
      <c r="EJ24" s="388">
        <v>8.4639999999999993E-3</v>
      </c>
      <c r="EK24" s="388">
        <v>4.1758591216996639E-3</v>
      </c>
      <c r="EL24" s="388">
        <v>7.0800541752717933E-3</v>
      </c>
      <c r="EM24" s="388">
        <v>3.6233465061605978E-3</v>
      </c>
      <c r="EN24" s="388">
        <v>3.4699525593828232E-3</v>
      </c>
      <c r="EO24" s="388">
        <v>3.915808578875966E-3</v>
      </c>
      <c r="EP24" s="388">
        <v>4.2731487021385019E-3</v>
      </c>
      <c r="EQ24" s="388">
        <v>2.1052867843345058E-3</v>
      </c>
      <c r="ER24" s="388">
        <v>2.9379422961020602E-3</v>
      </c>
      <c r="ES24" s="388">
        <v>4.8514374708348157E-3</v>
      </c>
      <c r="ET24" s="388">
        <v>5.5648013141530416E-3</v>
      </c>
      <c r="EU24" s="388">
        <v>7.6444338083094378E-4</v>
      </c>
      <c r="EV24" s="388">
        <v>8.652257707256972E-4</v>
      </c>
      <c r="EW24" s="388">
        <v>-6.652644475757197E-4</v>
      </c>
      <c r="EX24" s="388">
        <v>4.5525722775959139E-4</v>
      </c>
      <c r="EY24" s="388">
        <v>-6.1372682898122252E-4</v>
      </c>
      <c r="EZ24" s="388">
        <v>-2.1948451057644626E-4</v>
      </c>
      <c r="FA24" s="388">
        <v>4.2056968195339833E-3</v>
      </c>
      <c r="FB24" s="388">
        <v>1.2647877610524401E-3</v>
      </c>
      <c r="FC24" s="388">
        <v>1.3516165403585306E-3</v>
      </c>
      <c r="FD24" s="388">
        <v>4.1552704868668701E-4</v>
      </c>
      <c r="FE24" s="388">
        <v>1.0796442865002422E-4</v>
      </c>
      <c r="FF24" s="388">
        <v>3.4732982314896917E-3</v>
      </c>
      <c r="FG24" s="388">
        <v>6.32314185400788E-3</v>
      </c>
      <c r="FH24" s="388">
        <v>3.6582464731343728E-3</v>
      </c>
      <c r="FI24" s="388">
        <v>1.0488000000000001E-2</v>
      </c>
      <c r="FJ24" s="388">
        <v>2.0094113429463416E-2</v>
      </c>
      <c r="FK24" s="388">
        <v>1.876010673591625E-2</v>
      </c>
      <c r="FL24" s="388">
        <v>1.4969250790897927E-2</v>
      </c>
      <c r="FM24" s="388">
        <v>-4.5777496842190936E-3</v>
      </c>
      <c r="FN24" s="388">
        <v>-4.1429736192444243E-3</v>
      </c>
      <c r="FO24" s="388">
        <v>-2.7453944570980751E-3</v>
      </c>
      <c r="FP24" s="388">
        <v>-3.4214205267408659E-3</v>
      </c>
      <c r="FQ24" s="388">
        <v>-3.8728621798862456E-3</v>
      </c>
      <c r="FR24" s="388">
        <v>-4.2731487021385019E-3</v>
      </c>
      <c r="FS24" s="388">
        <v>-2.2466309568638662E-3</v>
      </c>
      <c r="FT24" s="388">
        <v>-2.9407500911313813E-3</v>
      </c>
      <c r="FU24" s="388">
        <v>-4.774747322195726E-3</v>
      </c>
      <c r="FV24" s="388">
        <v>-5.6615189779552558E-3</v>
      </c>
      <c r="FW24" s="388">
        <v>-8.5411138000591124E-4</v>
      </c>
      <c r="FX24" s="388">
        <v>-9.7907660999597642E-4</v>
      </c>
      <c r="FY24" s="388">
        <v>4.5548170640619177E-4</v>
      </c>
      <c r="FZ24" s="388">
        <v>-6.643807633479685E-4</v>
      </c>
      <c r="GA24" s="388">
        <v>3.146067549952442E-5</v>
      </c>
      <c r="GB24" s="388"/>
      <c r="GC24" s="388"/>
      <c r="GD24" s="388"/>
      <c r="GE24" s="388"/>
      <c r="GF24" s="388"/>
      <c r="GG24" s="388"/>
      <c r="GH24" s="388"/>
      <c r="GI24" s="388"/>
      <c r="GJ24" s="388"/>
      <c r="GK24" s="388"/>
      <c r="GL24" s="388"/>
      <c r="GM24" s="388"/>
      <c r="GN24" s="388"/>
      <c r="GO24" s="388"/>
      <c r="GP24" s="412"/>
      <c r="GQ24" s="412"/>
      <c r="GR24" s="412"/>
      <c r="GS24" s="412"/>
      <c r="GT24" s="412"/>
      <c r="GU24" s="412"/>
      <c r="GV24" s="412"/>
      <c r="GW24" s="412"/>
      <c r="GX24" s="412"/>
      <c r="GY24" s="412"/>
      <c r="GZ24" s="412"/>
      <c r="HA24" s="412"/>
      <c r="HB24" s="412"/>
      <c r="HC24" s="412"/>
      <c r="HD24" s="412"/>
      <c r="HE24" s="412"/>
      <c r="HF24" s="412"/>
      <c r="HG24" s="412"/>
      <c r="HH24" s="412"/>
      <c r="HI24" s="412"/>
      <c r="HJ24" s="412"/>
      <c r="HK24" s="412"/>
      <c r="HL24" s="412"/>
      <c r="HM24" s="412"/>
      <c r="HN24" s="412"/>
      <c r="HO24" s="412"/>
      <c r="HP24" s="412"/>
      <c r="HQ24" s="412"/>
      <c r="HR24" s="412"/>
      <c r="HS24" s="412"/>
      <c r="HT24" s="412"/>
      <c r="HU24" s="412"/>
      <c r="HV24" s="412"/>
      <c r="HW24" s="412"/>
      <c r="HX24" s="412"/>
      <c r="HY24" s="412"/>
      <c r="HZ24" s="412"/>
      <c r="IA24" s="412"/>
      <c r="IB24" s="412"/>
      <c r="IC24" s="412"/>
      <c r="ID24" s="412"/>
      <c r="IE24" s="412"/>
      <c r="IF24" s="412"/>
      <c r="IG24" s="412"/>
      <c r="IH24" s="412"/>
      <c r="II24" s="412"/>
      <c r="IJ24" s="412"/>
      <c r="IK24" s="412"/>
      <c r="IL24" s="412"/>
      <c r="IM24" s="412"/>
      <c r="IN24" s="412"/>
      <c r="IO24" s="412"/>
      <c r="IP24" s="412"/>
      <c r="IQ24" s="412"/>
      <c r="IR24" s="412"/>
      <c r="IS24" s="412"/>
      <c r="IT24" s="412"/>
      <c r="IU24" s="412"/>
      <c r="IV24" s="412"/>
      <c r="IW24" s="412"/>
      <c r="IX24" s="412"/>
      <c r="IY24" s="412"/>
      <c r="IZ24" s="412"/>
      <c r="JA24" s="412"/>
      <c r="JB24" s="412"/>
      <c r="JC24" s="412"/>
      <c r="JD24" s="412"/>
      <c r="JE24" s="412"/>
      <c r="JF24" s="412"/>
      <c r="JG24" s="412"/>
      <c r="JH24" s="412"/>
      <c r="JI24" s="412"/>
      <c r="JJ24" s="412"/>
      <c r="JK24" s="412"/>
      <c r="JL24" s="412"/>
      <c r="JM24" s="412"/>
      <c r="JN24" s="412"/>
      <c r="JO24" s="412"/>
      <c r="JP24" s="412"/>
      <c r="JQ24" s="412"/>
      <c r="JR24" s="412"/>
      <c r="JS24" s="412"/>
      <c r="JT24" s="412"/>
      <c r="JU24" s="412"/>
      <c r="JV24" s="412"/>
      <c r="JW24" s="412"/>
      <c r="JX24" s="412"/>
      <c r="JY24" s="412"/>
      <c r="JZ24" s="412"/>
      <c r="KA24" s="412"/>
      <c r="KB24" s="412"/>
      <c r="KC24" s="412"/>
      <c r="KD24" s="412"/>
      <c r="KE24" s="412"/>
      <c r="KF24" s="412"/>
      <c r="KG24" s="412"/>
      <c r="KH24" s="412"/>
      <c r="KI24" s="412"/>
      <c r="KJ24" s="412"/>
      <c r="KK24" s="412"/>
      <c r="KL24" s="412"/>
      <c r="KM24" s="412"/>
      <c r="KN24" s="412"/>
      <c r="KO24" s="412"/>
      <c r="KP24" s="412"/>
      <c r="KQ24" s="412"/>
      <c r="KR24" s="412"/>
      <c r="KS24" s="412"/>
      <c r="KT24" s="412"/>
      <c r="KU24" s="412"/>
      <c r="KV24" s="412"/>
      <c r="KW24" s="412"/>
      <c r="KX24" s="412"/>
      <c r="KY24" s="412"/>
      <c r="KZ24" s="412"/>
      <c r="LA24" s="412"/>
      <c r="LB24" s="412"/>
      <c r="LC24" s="412"/>
      <c r="LD24" s="412"/>
      <c r="LE24" s="412"/>
      <c r="LF24" s="412"/>
      <c r="LG24" s="412"/>
      <c r="LH24" s="412"/>
      <c r="LI24" s="412"/>
      <c r="LJ24" s="412"/>
      <c r="LK24" s="412"/>
      <c r="LL24" s="412"/>
      <c r="LM24" s="412"/>
      <c r="LN24" s="412"/>
      <c r="LO24" s="412"/>
      <c r="LP24" s="412"/>
      <c r="LQ24" s="412"/>
      <c r="LR24" s="412"/>
      <c r="LS24" s="412"/>
      <c r="LT24" s="412"/>
      <c r="LU24" s="412"/>
      <c r="LV24" s="412"/>
      <c r="LW24" s="412"/>
      <c r="LX24" s="412"/>
      <c r="LY24" s="412"/>
      <c r="LZ24" s="412"/>
      <c r="MA24" s="412"/>
      <c r="MB24" s="412"/>
      <c r="MC24" s="412"/>
      <c r="MD24" s="412"/>
      <c r="ME24" s="412"/>
      <c r="MF24" s="412"/>
      <c r="MG24" s="412"/>
      <c r="MH24" s="412"/>
      <c r="MI24" s="412"/>
      <c r="MJ24" s="412"/>
      <c r="MK24" s="412"/>
      <c r="ML24" s="412"/>
      <c r="MM24" s="412"/>
      <c r="MN24" s="412"/>
      <c r="MO24" s="412"/>
      <c r="MP24" s="412"/>
      <c r="MQ24" s="412"/>
      <c r="MR24" s="412"/>
      <c r="MS24" s="412"/>
      <c r="MT24" s="412"/>
      <c r="MU24" s="412"/>
      <c r="MV24" s="412"/>
      <c r="MW24" s="412"/>
      <c r="MX24" s="412"/>
      <c r="MY24" s="412"/>
      <c r="MZ24" s="412"/>
      <c r="NA24" s="412"/>
      <c r="NB24" s="412"/>
      <c r="NC24" s="412"/>
      <c r="ND24" s="412"/>
      <c r="NE24" s="412"/>
      <c r="NF24" s="412"/>
      <c r="NG24" s="412"/>
      <c r="NH24" s="412"/>
      <c r="NI24" s="412"/>
      <c r="NJ24" s="412"/>
      <c r="NK24" s="412"/>
      <c r="NL24" s="412"/>
      <c r="NM24" s="412"/>
      <c r="NN24" s="412"/>
      <c r="NO24" s="412"/>
      <c r="NP24" s="412"/>
      <c r="NQ24" s="412"/>
      <c r="NR24" s="412"/>
      <c r="NS24" s="412"/>
      <c r="NT24" s="412"/>
      <c r="NU24" s="412"/>
      <c r="NV24" s="412"/>
      <c r="NW24" s="412"/>
      <c r="NX24" s="412"/>
      <c r="NY24" s="412"/>
      <c r="NZ24" s="412"/>
      <c r="OA24" s="412"/>
      <c r="OB24" s="412"/>
      <c r="OC24" s="412"/>
      <c r="OD24" s="412"/>
      <c r="OE24" s="412"/>
      <c r="OF24" s="412"/>
      <c r="OG24" s="412"/>
      <c r="OH24" s="412"/>
      <c r="OI24" s="412"/>
      <c r="OJ24" s="412"/>
      <c r="OK24" s="412"/>
      <c r="OL24" s="412"/>
      <c r="OM24" s="412"/>
      <c r="ON24" s="412"/>
      <c r="OO24" s="412"/>
      <c r="OP24" s="412"/>
      <c r="OQ24" s="412"/>
      <c r="OR24" s="412"/>
      <c r="OS24" s="412"/>
      <c r="OT24" s="412"/>
      <c r="OU24" s="412"/>
      <c r="OV24" s="412"/>
      <c r="OW24" s="412"/>
      <c r="OX24" s="412"/>
      <c r="OY24" s="412"/>
      <c r="OZ24" s="412"/>
      <c r="PA24" s="412"/>
      <c r="PB24" s="412"/>
      <c r="PC24" s="412"/>
      <c r="PD24" s="412"/>
      <c r="PE24" s="412"/>
      <c r="PF24" s="412"/>
      <c r="PG24" s="412"/>
      <c r="PH24" s="412"/>
      <c r="PI24" s="412"/>
      <c r="PJ24" s="412"/>
      <c r="PK24" s="412"/>
      <c r="PL24" s="412"/>
      <c r="PM24" s="412"/>
      <c r="PN24" s="412"/>
      <c r="PO24" s="412"/>
      <c r="PP24" s="412"/>
      <c r="PQ24" s="412"/>
      <c r="PR24" s="412"/>
      <c r="PS24" s="412"/>
      <c r="PT24" s="412"/>
      <c r="PU24" s="412"/>
      <c r="PV24" s="412"/>
      <c r="PW24" s="412"/>
      <c r="PX24" s="412"/>
      <c r="PY24" s="412"/>
      <c r="PZ24" s="412"/>
      <c r="QA24" s="412"/>
      <c r="QB24" s="412"/>
      <c r="QC24" s="412"/>
      <c r="QD24" s="412"/>
      <c r="QE24" s="412"/>
      <c r="QF24" s="412"/>
      <c r="QG24" s="412"/>
      <c r="QH24" s="412"/>
      <c r="QI24" s="412"/>
      <c r="QJ24" s="412"/>
      <c r="QK24" s="412"/>
      <c r="QL24" s="412"/>
      <c r="QM24" s="412"/>
      <c r="QN24" s="412"/>
      <c r="QO24" s="412"/>
      <c r="QP24" s="412"/>
      <c r="QQ24" s="412"/>
      <c r="QR24" s="412"/>
      <c r="QS24" s="412"/>
      <c r="QT24" s="412"/>
      <c r="QU24" s="412"/>
      <c r="QV24" s="412"/>
      <c r="QW24" s="412"/>
      <c r="QX24" s="412"/>
      <c r="QY24" s="412"/>
      <c r="QZ24" s="412"/>
      <c r="RA24" s="412"/>
      <c r="RB24" s="412"/>
      <c r="RC24" s="412"/>
      <c r="RD24" s="412"/>
      <c r="RE24" s="412"/>
      <c r="RF24" s="412"/>
      <c r="RG24" s="412"/>
      <c r="RH24" s="412"/>
      <c r="RI24" s="412"/>
      <c r="RJ24" s="412"/>
      <c r="RK24" s="412"/>
      <c r="RL24" s="412"/>
      <c r="RM24" s="412"/>
      <c r="RN24" s="412"/>
      <c r="RO24" s="412"/>
      <c r="RP24" s="412"/>
      <c r="RQ24" s="412"/>
      <c r="RR24" s="412"/>
      <c r="RS24" s="412"/>
      <c r="RT24" s="412"/>
      <c r="RU24" s="412"/>
      <c r="RV24" s="412"/>
      <c r="RW24" s="412"/>
      <c r="RX24" s="412"/>
      <c r="RY24" s="412"/>
      <c r="RZ24" s="412"/>
      <c r="SA24" s="412"/>
      <c r="SB24" s="412"/>
      <c r="SC24" s="412"/>
      <c r="SD24" s="412"/>
      <c r="SE24" s="412"/>
      <c r="SF24" s="412"/>
      <c r="SG24" s="412"/>
    </row>
    <row r="25" spans="1:501" x14ac:dyDescent="0.2">
      <c r="A25" s="391" t="s">
        <v>7</v>
      </c>
      <c r="B25" s="110"/>
      <c r="C25" s="392">
        <v>5.7000000000000002E-2</v>
      </c>
      <c r="D25" s="392">
        <v>4.9000000000000002E-2</v>
      </c>
      <c r="E25" s="392">
        <v>0</v>
      </c>
      <c r="F25" s="392">
        <v>1</v>
      </c>
      <c r="G25" s="392"/>
      <c r="H25" s="435"/>
      <c r="I25" s="410">
        <v>0</v>
      </c>
      <c r="J25" s="410">
        <v>0</v>
      </c>
      <c r="K25" s="410">
        <v>1</v>
      </c>
      <c r="L25" s="410">
        <v>0</v>
      </c>
      <c r="M25" s="410">
        <v>0</v>
      </c>
      <c r="N25" s="410">
        <v>0</v>
      </c>
      <c r="O25" s="435"/>
      <c r="P25" s="393">
        <v>0</v>
      </c>
      <c r="Q25" s="393">
        <v>0</v>
      </c>
      <c r="R25" s="393">
        <v>0</v>
      </c>
      <c r="S25" s="393">
        <v>0</v>
      </c>
      <c r="T25" s="393">
        <v>0</v>
      </c>
      <c r="U25" s="435"/>
      <c r="V25" s="393">
        <v>0</v>
      </c>
      <c r="W25" s="393">
        <v>0</v>
      </c>
      <c r="X25" s="393">
        <v>0</v>
      </c>
      <c r="Y25" s="393">
        <v>0</v>
      </c>
      <c r="Z25" s="393">
        <v>0</v>
      </c>
      <c r="AA25" s="393"/>
      <c r="AB25" s="435"/>
      <c r="AC25" s="393">
        <v>2.2099999999999998E-2</v>
      </c>
      <c r="AD25" s="411"/>
      <c r="AE25" s="435"/>
      <c r="AF25" s="388">
        <v>0.12565999764052385</v>
      </c>
      <c r="AG25" s="388">
        <v>0.12565999764052363</v>
      </c>
      <c r="AH25" s="388">
        <v>0.12566000001865776</v>
      </c>
      <c r="AI25" s="388">
        <v>0.12566000120122639</v>
      </c>
      <c r="AJ25" s="388">
        <v>0.12565999755425789</v>
      </c>
      <c r="AK25" s="388">
        <v>0.12566000117786144</v>
      </c>
      <c r="AL25" s="388">
        <v>0.12565999845548342</v>
      </c>
      <c r="AM25" s="388">
        <v>0.12565999809296285</v>
      </c>
      <c r="AN25" s="388">
        <v>0.1256600011778613</v>
      </c>
      <c r="AO25" s="388">
        <v>0.12566000329523222</v>
      </c>
      <c r="AP25" s="388">
        <v>0.1256600010026668</v>
      </c>
      <c r="AQ25" s="388">
        <v>0.12565999971196565</v>
      </c>
      <c r="AR25" s="388">
        <v>0.12565999971196537</v>
      </c>
      <c r="AS25" s="388">
        <v>0.12565999971196531</v>
      </c>
      <c r="AT25" s="388">
        <v>0.12565999971196554</v>
      </c>
      <c r="AU25" s="388">
        <v>0.12565999971196534</v>
      </c>
      <c r="AV25" s="388">
        <v>0.1256599997119654</v>
      </c>
      <c r="AW25" s="388">
        <v>0.12565999845548376</v>
      </c>
      <c r="AX25" s="388">
        <v>0.12565999971196509</v>
      </c>
      <c r="AY25" s="388">
        <v>0.12565999971196543</v>
      </c>
      <c r="AZ25" s="388">
        <v>0.12565999971193442</v>
      </c>
      <c r="BA25" s="388">
        <v>0.12565999845406012</v>
      </c>
      <c r="BB25" s="388">
        <v>0.12549578517431087</v>
      </c>
      <c r="BC25" s="388">
        <v>0.12434632051490757</v>
      </c>
      <c r="BD25" s="388">
        <v>0.12366406047898991</v>
      </c>
      <c r="BE25" s="388">
        <v>0.1230735370922299</v>
      </c>
      <c r="BF25" s="388">
        <v>0.12246253562225948</v>
      </c>
      <c r="BG25" s="388">
        <v>0.12219623292762907</v>
      </c>
      <c r="BH25" s="388">
        <v>0.11998567783313151</v>
      </c>
      <c r="BI25" s="388">
        <v>0.1190258548717915</v>
      </c>
      <c r="BJ25" s="388">
        <v>0.11755758896741787</v>
      </c>
      <c r="BK25" s="388">
        <v>0.11797901544021118</v>
      </c>
      <c r="BL25" s="388">
        <v>0.11617498733235058</v>
      </c>
      <c r="BM25" s="388">
        <v>0.11441907205126847</v>
      </c>
      <c r="BN25" s="388">
        <v>0.10717291399895522</v>
      </c>
      <c r="BO25" s="388">
        <v>9.9639780102486683E-2</v>
      </c>
      <c r="BP25" s="388">
        <v>9.2909778795250059E-2</v>
      </c>
      <c r="BQ25" s="388">
        <v>8.7346228223985425E-2</v>
      </c>
      <c r="BR25" s="388">
        <v>7.9246066023670986E-2</v>
      </c>
      <c r="BS25" s="388">
        <v>7.7749999820903984E-2</v>
      </c>
      <c r="BT25" s="388">
        <v>7.7749999820903984E-2</v>
      </c>
      <c r="BU25" s="388">
        <v>7.7749999820903984E-2</v>
      </c>
      <c r="BV25" s="388">
        <v>7.7749999820903984E-2</v>
      </c>
      <c r="BW25" s="388">
        <v>7.7749999820903984E-2</v>
      </c>
      <c r="BX25" s="388">
        <v>7.7749999820903984E-2</v>
      </c>
      <c r="BY25" s="388">
        <v>7.7749999820903984E-2</v>
      </c>
      <c r="BZ25" s="388">
        <v>7.7749999820903984E-2</v>
      </c>
      <c r="CA25" s="388">
        <v>7.7749999820903984E-2</v>
      </c>
      <c r="CB25" s="388">
        <v>7.7749999820903984E-2</v>
      </c>
      <c r="CC25" s="388">
        <v>7.7749999820903984E-2</v>
      </c>
      <c r="CD25" s="388">
        <v>7.7749999820903984E-2</v>
      </c>
      <c r="CE25" s="388">
        <v>7.7749999820903984E-2</v>
      </c>
      <c r="CF25" s="388">
        <v>7.7749999820903984E-2</v>
      </c>
      <c r="CG25" s="388">
        <v>7.7749999820903942E-2</v>
      </c>
      <c r="CH25" s="388">
        <v>7.7749999820903928E-2</v>
      </c>
      <c r="CI25" s="388">
        <v>7.774999982090397E-2</v>
      </c>
      <c r="CJ25" s="388">
        <v>7.7749999820903984E-2</v>
      </c>
      <c r="CK25" s="388">
        <v>7.7749999820903887E-2</v>
      </c>
      <c r="CL25" s="388">
        <v>7.7749999820903984E-2</v>
      </c>
      <c r="CM25" s="388">
        <v>7.7749999820903984E-2</v>
      </c>
      <c r="CN25" s="388">
        <v>7.7749999820903984E-2</v>
      </c>
      <c r="CO25" s="388">
        <v>7.7749999820903984E-2</v>
      </c>
      <c r="CP25" s="388">
        <v>7.7749999820903984E-2</v>
      </c>
      <c r="CQ25" s="388">
        <v>7.7749999820903984E-2</v>
      </c>
      <c r="CR25" s="388">
        <v>7.7749999820903984E-2</v>
      </c>
      <c r="CS25" s="388">
        <v>7.7749999820903984E-2</v>
      </c>
      <c r="CT25" s="388">
        <v>7.7749999820903984E-2</v>
      </c>
      <c r="CU25" s="388">
        <v>7.7749999820903984E-2</v>
      </c>
      <c r="CV25" s="388">
        <v>7.7749999820903984E-2</v>
      </c>
      <c r="CW25" s="388">
        <v>7.7749999820903984E-2</v>
      </c>
      <c r="CX25" s="388">
        <v>7.7749999820903984E-2</v>
      </c>
      <c r="CY25" s="388">
        <v>7.7749999820903984E-2</v>
      </c>
      <c r="CZ25" s="388">
        <v>7.7749999820903984E-2</v>
      </c>
      <c r="DA25" s="388">
        <v>7.7749999820903984E-2</v>
      </c>
      <c r="DB25" s="388">
        <v>7.774999982090397E-2</v>
      </c>
      <c r="DC25" s="388">
        <v>7.7749999820903984E-2</v>
      </c>
      <c r="DD25" s="388">
        <v>7.774999982090397E-2</v>
      </c>
      <c r="DE25" s="388">
        <v>7.7749999820903984E-2</v>
      </c>
      <c r="DF25" s="388">
        <v>7.7749999820903984E-2</v>
      </c>
      <c r="DG25" s="388">
        <v>7.7749999820903998E-2</v>
      </c>
      <c r="DH25" s="388">
        <v>7.7749999820903984E-2</v>
      </c>
      <c r="DI25" s="388">
        <v>7.774999982090397E-2</v>
      </c>
      <c r="DJ25" s="388">
        <v>7.7749999820903984E-2</v>
      </c>
      <c r="DK25" s="388">
        <v>7.7749999820903984E-2</v>
      </c>
      <c r="DL25" s="388">
        <v>7.7749999820904095E-2</v>
      </c>
      <c r="DM25" s="388">
        <v>7.774999982090397E-2</v>
      </c>
      <c r="DN25" s="388">
        <v>7.7749999820903984E-2</v>
      </c>
      <c r="DO25" s="388">
        <v>7.7749999820903984E-2</v>
      </c>
      <c r="DP25" s="388">
        <v>7.7749999820903984E-2</v>
      </c>
      <c r="DQ25" s="388">
        <v>6.8007472106155376E-2</v>
      </c>
      <c r="DR25" s="388">
        <v>4.985839248902927E-2</v>
      </c>
      <c r="DS25" s="388">
        <v>3.5112571682848745E-2</v>
      </c>
      <c r="DT25" s="388">
        <v>1.9080782000493415E-2</v>
      </c>
      <c r="DU25" s="388">
        <v>1.9080782000493759E-2</v>
      </c>
      <c r="DV25" s="388">
        <v>1.908078200049455E-2</v>
      </c>
      <c r="DW25" s="388">
        <v>1.9080782000494532E-2</v>
      </c>
      <c r="DX25" s="388">
        <v>1.9080782000494539E-2</v>
      </c>
      <c r="DY25" s="388">
        <v>1.908078200049455E-2</v>
      </c>
      <c r="DZ25" s="388">
        <v>4.4102344443460569E-5</v>
      </c>
      <c r="EA25" s="388">
        <v>4.4102344443460569E-5</v>
      </c>
      <c r="EB25" s="388"/>
      <c r="EC25" s="435"/>
      <c r="ED25" s="388">
        <v>7.928537779459976E-5</v>
      </c>
      <c r="EE25" s="388">
        <v>2.3875447556624975E-3</v>
      </c>
      <c r="EF25" s="388">
        <v>3.7133320059045175E-3</v>
      </c>
      <c r="EG25" s="388">
        <v>2.4347647063970644E-3</v>
      </c>
      <c r="EH25" s="388">
        <v>4.0221845148327743E-3</v>
      </c>
      <c r="EI25" s="388">
        <v>2.4232912010765388E-3</v>
      </c>
      <c r="EJ25" s="388">
        <v>4.1758591216996639E-3</v>
      </c>
      <c r="EK25" s="388">
        <v>2.4009999999999999E-3</v>
      </c>
      <c r="EL25" s="388">
        <v>3.9350034375034799E-3</v>
      </c>
      <c r="EM25" s="388">
        <v>1.8534747804110625E-3</v>
      </c>
      <c r="EN25" s="388">
        <v>2.1035849687859346E-3</v>
      </c>
      <c r="EO25" s="388">
        <v>2.6412234255827442E-3</v>
      </c>
      <c r="EP25" s="388">
        <v>3.1957502117812195E-3</v>
      </c>
      <c r="EQ25" s="388">
        <v>1.1432158586107799E-3</v>
      </c>
      <c r="ER25" s="388">
        <v>2.0788388448275442E-3</v>
      </c>
      <c r="ES25" s="388">
        <v>3.2671398173519791E-3</v>
      </c>
      <c r="ET25" s="388">
        <v>2.9553060758541008E-3</v>
      </c>
      <c r="EU25" s="388">
        <v>1.2410659419907673E-3</v>
      </c>
      <c r="EV25" s="388">
        <v>1.524167621269269E-3</v>
      </c>
      <c r="EW25" s="388">
        <v>6.6147554858787035E-4</v>
      </c>
      <c r="EX25" s="388">
        <v>1.3506698354165227E-3</v>
      </c>
      <c r="EY25" s="388">
        <v>-6.9774573024924036E-4</v>
      </c>
      <c r="EZ25" s="388">
        <v>-4.2856861117430983E-4</v>
      </c>
      <c r="FA25" s="388">
        <v>2.4580974163949838E-3</v>
      </c>
      <c r="FB25" s="388">
        <v>1.8238838474593855E-3</v>
      </c>
      <c r="FC25" s="388">
        <v>5.0778918212729699E-4</v>
      </c>
      <c r="FD25" s="388">
        <v>-2.1244239024577829E-4</v>
      </c>
      <c r="FE25" s="388">
        <v>7.9280562789776871E-5</v>
      </c>
      <c r="FF25" s="388">
        <v>1.7432866469916646E-3</v>
      </c>
      <c r="FG25" s="388">
        <v>2.784999004428388E-3</v>
      </c>
      <c r="FH25" s="388">
        <v>1.8746214951724167E-3</v>
      </c>
      <c r="FI25" s="388">
        <v>5.1744341290626272E-3</v>
      </c>
      <c r="FJ25" s="388">
        <v>8.3774409023552841E-3</v>
      </c>
      <c r="FK25" s="388">
        <v>9.1728311560177276E-3</v>
      </c>
      <c r="FL25" s="388">
        <v>7.0962163105354418E-3</v>
      </c>
      <c r="FM25" s="388">
        <v>-2.6140338854181017E-3</v>
      </c>
      <c r="FN25" s="388">
        <v>-2.4064257103163255E-3</v>
      </c>
      <c r="FO25" s="388">
        <v>-1.1736539703001156E-3</v>
      </c>
      <c r="FP25" s="388">
        <v>-2.527285903506502E-3</v>
      </c>
      <c r="FQ25" s="388">
        <v>-3.0311660073234852E-3</v>
      </c>
      <c r="FR25" s="388">
        <v>-3.1957502117812195E-3</v>
      </c>
      <c r="FS25" s="388">
        <v>-1.5396496500080133E-3</v>
      </c>
      <c r="FT25" s="388">
        <v>-2.3728190974537122E-3</v>
      </c>
      <c r="FU25" s="388">
        <v>-3.4963116040690706E-3</v>
      </c>
      <c r="FV25" s="388">
        <v>-3.340585734957038E-3</v>
      </c>
      <c r="FW25" s="388">
        <v>-1.524671187296447E-3</v>
      </c>
      <c r="FX25" s="388">
        <v>-1.81693495355756E-3</v>
      </c>
      <c r="FY25" s="388">
        <v>-1.0319386826429988E-3</v>
      </c>
      <c r="FZ25" s="388">
        <v>-1.7185392178421166E-3</v>
      </c>
      <c r="GA25" s="388">
        <v>2.7900860263931285E-5</v>
      </c>
      <c r="GB25" s="388"/>
      <c r="GC25" s="388"/>
      <c r="GD25" s="388"/>
      <c r="GE25" s="388"/>
      <c r="GF25" s="388"/>
      <c r="GG25" s="388"/>
      <c r="GH25" s="388"/>
      <c r="GI25" s="388"/>
      <c r="GJ25" s="388"/>
      <c r="GK25" s="388"/>
      <c r="GL25" s="388"/>
      <c r="GM25" s="388"/>
      <c r="GN25" s="388"/>
      <c r="GO25" s="388"/>
      <c r="GP25" s="412"/>
      <c r="GQ25" s="412"/>
      <c r="GR25" s="412"/>
      <c r="GS25" s="412"/>
      <c r="GT25" s="412"/>
      <c r="GU25" s="412"/>
      <c r="GV25" s="412"/>
      <c r="GW25" s="412"/>
      <c r="GX25" s="412"/>
      <c r="GY25" s="412"/>
      <c r="GZ25" s="412"/>
      <c r="HA25" s="412"/>
      <c r="HB25" s="412"/>
      <c r="HC25" s="412"/>
      <c r="HD25" s="412"/>
      <c r="HE25" s="412"/>
      <c r="HF25" s="412"/>
      <c r="HG25" s="412"/>
      <c r="HH25" s="412"/>
      <c r="HI25" s="412"/>
      <c r="HJ25" s="412"/>
      <c r="HK25" s="412"/>
      <c r="HL25" s="412"/>
      <c r="HM25" s="412"/>
      <c r="HN25" s="412"/>
      <c r="HO25" s="412"/>
      <c r="HP25" s="412"/>
      <c r="HQ25" s="412"/>
      <c r="HR25" s="412"/>
      <c r="HS25" s="412"/>
      <c r="HT25" s="412"/>
      <c r="HU25" s="412"/>
      <c r="HV25" s="412"/>
      <c r="HW25" s="412"/>
      <c r="HX25" s="412"/>
      <c r="HY25" s="412"/>
      <c r="HZ25" s="412"/>
      <c r="IA25" s="412"/>
      <c r="IB25" s="412"/>
      <c r="IC25" s="412"/>
      <c r="ID25" s="412"/>
      <c r="IE25" s="412"/>
      <c r="IF25" s="412"/>
      <c r="IG25" s="412"/>
      <c r="IH25" s="412"/>
      <c r="II25" s="412"/>
      <c r="IJ25" s="412"/>
      <c r="IK25" s="412"/>
      <c r="IL25" s="412"/>
      <c r="IM25" s="412"/>
      <c r="IN25" s="412"/>
      <c r="IO25" s="412"/>
      <c r="IP25" s="412"/>
      <c r="IQ25" s="412"/>
      <c r="IR25" s="412"/>
      <c r="IS25" s="412"/>
      <c r="IT25" s="412"/>
      <c r="IU25" s="412"/>
      <c r="IV25" s="412"/>
      <c r="IW25" s="412"/>
      <c r="IX25" s="412"/>
      <c r="IY25" s="412"/>
      <c r="IZ25" s="412"/>
      <c r="JA25" s="412"/>
      <c r="JB25" s="412"/>
      <c r="JC25" s="412"/>
      <c r="JD25" s="412"/>
      <c r="JE25" s="412"/>
      <c r="JF25" s="412"/>
      <c r="JG25" s="412"/>
      <c r="JH25" s="412"/>
      <c r="JI25" s="412"/>
      <c r="JJ25" s="412"/>
      <c r="JK25" s="412"/>
      <c r="JL25" s="412"/>
      <c r="JM25" s="412"/>
      <c r="JN25" s="412"/>
      <c r="JO25" s="412"/>
      <c r="JP25" s="412"/>
      <c r="JQ25" s="412"/>
      <c r="JR25" s="412"/>
      <c r="JS25" s="412"/>
      <c r="JT25" s="412"/>
      <c r="JU25" s="412"/>
      <c r="JV25" s="412"/>
      <c r="JW25" s="412"/>
      <c r="JX25" s="412"/>
      <c r="JY25" s="412"/>
      <c r="JZ25" s="412"/>
      <c r="KA25" s="412"/>
      <c r="KB25" s="412"/>
      <c r="KC25" s="412"/>
      <c r="KD25" s="412"/>
      <c r="KE25" s="412"/>
      <c r="KF25" s="412"/>
      <c r="KG25" s="412"/>
      <c r="KH25" s="412"/>
      <c r="KI25" s="412"/>
      <c r="KJ25" s="412"/>
      <c r="KK25" s="412"/>
      <c r="KL25" s="412"/>
      <c r="KM25" s="412"/>
      <c r="KN25" s="412"/>
      <c r="KO25" s="412"/>
      <c r="KP25" s="412"/>
      <c r="KQ25" s="412"/>
      <c r="KR25" s="412"/>
      <c r="KS25" s="412"/>
      <c r="KT25" s="412"/>
      <c r="KU25" s="412"/>
      <c r="KV25" s="412"/>
      <c r="KW25" s="412"/>
      <c r="KX25" s="412"/>
      <c r="KY25" s="412"/>
      <c r="KZ25" s="412"/>
      <c r="LA25" s="412"/>
      <c r="LB25" s="412"/>
      <c r="LC25" s="412"/>
      <c r="LD25" s="412"/>
      <c r="LE25" s="412"/>
      <c r="LF25" s="412"/>
      <c r="LG25" s="412"/>
      <c r="LH25" s="412"/>
      <c r="LI25" s="412"/>
      <c r="LJ25" s="412"/>
      <c r="LK25" s="412"/>
      <c r="LL25" s="412"/>
      <c r="LM25" s="412"/>
      <c r="LN25" s="412"/>
      <c r="LO25" s="412"/>
      <c r="LP25" s="412"/>
      <c r="LQ25" s="412"/>
      <c r="LR25" s="412"/>
      <c r="LS25" s="412"/>
      <c r="LT25" s="412"/>
      <c r="LU25" s="412"/>
      <c r="LV25" s="412"/>
      <c r="LW25" s="412"/>
      <c r="LX25" s="412"/>
      <c r="LY25" s="412"/>
      <c r="LZ25" s="412"/>
      <c r="MA25" s="412"/>
      <c r="MB25" s="412"/>
      <c r="MC25" s="412"/>
      <c r="MD25" s="412"/>
      <c r="ME25" s="412"/>
      <c r="MF25" s="412"/>
      <c r="MG25" s="412"/>
      <c r="MH25" s="412"/>
      <c r="MI25" s="412"/>
      <c r="MJ25" s="412"/>
      <c r="MK25" s="412"/>
      <c r="ML25" s="412"/>
      <c r="MM25" s="412"/>
      <c r="MN25" s="412"/>
      <c r="MO25" s="412"/>
      <c r="MP25" s="412"/>
      <c r="MQ25" s="412"/>
      <c r="MR25" s="412"/>
      <c r="MS25" s="412"/>
      <c r="MT25" s="412"/>
      <c r="MU25" s="412"/>
      <c r="MV25" s="412"/>
      <c r="MW25" s="412"/>
      <c r="MX25" s="412"/>
      <c r="MY25" s="412"/>
      <c r="MZ25" s="412"/>
      <c r="NA25" s="412"/>
      <c r="NB25" s="412"/>
      <c r="NC25" s="412"/>
      <c r="ND25" s="412"/>
      <c r="NE25" s="412"/>
      <c r="NF25" s="412"/>
      <c r="NG25" s="412"/>
      <c r="NH25" s="412"/>
      <c r="NI25" s="412"/>
      <c r="NJ25" s="412"/>
      <c r="NK25" s="412"/>
      <c r="NL25" s="412"/>
      <c r="NM25" s="412"/>
      <c r="NN25" s="412"/>
      <c r="NO25" s="412"/>
      <c r="NP25" s="412"/>
      <c r="NQ25" s="412"/>
      <c r="NR25" s="412"/>
      <c r="NS25" s="412"/>
      <c r="NT25" s="412"/>
      <c r="NU25" s="412"/>
      <c r="NV25" s="412"/>
      <c r="NW25" s="412"/>
      <c r="NX25" s="412"/>
      <c r="NY25" s="412"/>
      <c r="NZ25" s="412"/>
      <c r="OA25" s="412"/>
      <c r="OB25" s="412"/>
      <c r="OC25" s="412"/>
      <c r="OD25" s="412"/>
      <c r="OE25" s="412"/>
      <c r="OF25" s="412"/>
      <c r="OG25" s="412"/>
      <c r="OH25" s="412"/>
      <c r="OI25" s="412"/>
      <c r="OJ25" s="412"/>
      <c r="OK25" s="412"/>
      <c r="OL25" s="412"/>
      <c r="OM25" s="412"/>
      <c r="ON25" s="412"/>
      <c r="OO25" s="412"/>
      <c r="OP25" s="412"/>
      <c r="OQ25" s="412"/>
      <c r="OR25" s="412"/>
      <c r="OS25" s="412"/>
      <c r="OT25" s="412"/>
      <c r="OU25" s="412"/>
      <c r="OV25" s="412"/>
      <c r="OW25" s="412"/>
      <c r="OX25" s="412"/>
      <c r="OY25" s="412"/>
      <c r="OZ25" s="412"/>
      <c r="PA25" s="412"/>
      <c r="PB25" s="412"/>
      <c r="PC25" s="412"/>
      <c r="PD25" s="412"/>
      <c r="PE25" s="412"/>
      <c r="PF25" s="412"/>
      <c r="PG25" s="412"/>
      <c r="PH25" s="412"/>
      <c r="PI25" s="412"/>
      <c r="PJ25" s="412"/>
      <c r="PK25" s="412"/>
      <c r="PL25" s="412"/>
      <c r="PM25" s="412"/>
      <c r="PN25" s="412"/>
      <c r="PO25" s="412"/>
      <c r="PP25" s="412"/>
      <c r="PQ25" s="412"/>
      <c r="PR25" s="412"/>
      <c r="PS25" s="412"/>
      <c r="PT25" s="412"/>
      <c r="PU25" s="412"/>
      <c r="PV25" s="412"/>
      <c r="PW25" s="412"/>
      <c r="PX25" s="412"/>
      <c r="PY25" s="412"/>
      <c r="PZ25" s="412"/>
      <c r="QA25" s="412"/>
      <c r="QB25" s="412"/>
      <c r="QC25" s="412"/>
      <c r="QD25" s="412"/>
      <c r="QE25" s="412"/>
      <c r="QF25" s="412"/>
      <c r="QG25" s="412"/>
      <c r="QH25" s="412"/>
      <c r="QI25" s="412"/>
      <c r="QJ25" s="412"/>
      <c r="QK25" s="412"/>
      <c r="QL25" s="412"/>
      <c r="QM25" s="412"/>
      <c r="QN25" s="412"/>
      <c r="QO25" s="412"/>
      <c r="QP25" s="412"/>
      <c r="QQ25" s="412"/>
      <c r="QR25" s="412"/>
      <c r="QS25" s="412"/>
      <c r="QT25" s="412"/>
      <c r="QU25" s="412"/>
      <c r="QV25" s="412"/>
      <c r="QW25" s="412"/>
      <c r="QX25" s="412"/>
      <c r="QY25" s="412"/>
      <c r="QZ25" s="412"/>
      <c r="RA25" s="412"/>
      <c r="RB25" s="412"/>
      <c r="RC25" s="412"/>
      <c r="RD25" s="412"/>
      <c r="RE25" s="412"/>
      <c r="RF25" s="412"/>
      <c r="RG25" s="412"/>
      <c r="RH25" s="412"/>
      <c r="RI25" s="412"/>
      <c r="RJ25" s="412"/>
      <c r="RK25" s="412"/>
      <c r="RL25" s="412"/>
      <c r="RM25" s="412"/>
      <c r="RN25" s="412"/>
      <c r="RO25" s="412"/>
      <c r="RP25" s="412"/>
      <c r="RQ25" s="412"/>
      <c r="RR25" s="412"/>
      <c r="RS25" s="412"/>
      <c r="RT25" s="412"/>
      <c r="RU25" s="412"/>
      <c r="RV25" s="412"/>
      <c r="RW25" s="412"/>
      <c r="RX25" s="412"/>
      <c r="RY25" s="412"/>
      <c r="RZ25" s="412"/>
      <c r="SA25" s="412"/>
      <c r="SB25" s="412"/>
      <c r="SC25" s="412"/>
      <c r="SD25" s="412"/>
      <c r="SE25" s="412"/>
      <c r="SF25" s="412"/>
      <c r="SG25" s="412"/>
    </row>
    <row r="26" spans="1:501" x14ac:dyDescent="0.2">
      <c r="A26" s="391" t="s">
        <v>8</v>
      </c>
      <c r="B26" s="110"/>
      <c r="C26" s="392">
        <v>5.9000000000000004E-2</v>
      </c>
      <c r="D26" s="392">
        <v>8.3000000000000004E-2</v>
      </c>
      <c r="E26" s="392">
        <v>0</v>
      </c>
      <c r="F26" s="392">
        <v>4.5700000000000005E-2</v>
      </c>
      <c r="G26" s="392"/>
      <c r="H26" s="435"/>
      <c r="I26" s="410">
        <v>0</v>
      </c>
      <c r="J26" s="410">
        <v>0</v>
      </c>
      <c r="K26" s="410">
        <v>1</v>
      </c>
      <c r="L26" s="410">
        <v>0</v>
      </c>
      <c r="M26" s="410">
        <v>0</v>
      </c>
      <c r="N26" s="410">
        <v>0</v>
      </c>
      <c r="O26" s="435"/>
      <c r="P26" s="393">
        <v>0</v>
      </c>
      <c r="Q26" s="393">
        <v>0</v>
      </c>
      <c r="R26" s="393">
        <v>0</v>
      </c>
      <c r="S26" s="393">
        <v>0</v>
      </c>
      <c r="T26" s="393">
        <v>0</v>
      </c>
      <c r="U26" s="435"/>
      <c r="V26" s="393">
        <v>0</v>
      </c>
      <c r="W26" s="393">
        <v>0</v>
      </c>
      <c r="X26" s="393">
        <v>0</v>
      </c>
      <c r="Y26" s="393">
        <v>0</v>
      </c>
      <c r="Z26" s="393">
        <v>0</v>
      </c>
      <c r="AA26" s="393"/>
      <c r="AB26" s="435"/>
      <c r="AC26" s="393">
        <v>4.5700000000000005E-2</v>
      </c>
      <c r="AD26" s="411"/>
      <c r="AE26" s="435"/>
      <c r="AF26" s="388">
        <v>0</v>
      </c>
      <c r="AG26" s="388">
        <v>-6.5949783706877252E-22</v>
      </c>
      <c r="AH26" s="388">
        <v>1.6158201995462137E-23</v>
      </c>
      <c r="AI26" s="388">
        <v>6.2933114415475296E-22</v>
      </c>
      <c r="AJ26" s="388">
        <v>-2.0315737156266326E-21</v>
      </c>
      <c r="AK26" s="388">
        <v>3.4955829471463367E-23</v>
      </c>
      <c r="AL26" s="388">
        <v>2.0054802661445645E-20</v>
      </c>
      <c r="AM26" s="388">
        <v>-8.7536802759631055E-21</v>
      </c>
      <c r="AN26" s="388">
        <v>-4.7016295869084037E-24</v>
      </c>
      <c r="AO26" s="388">
        <v>1.4285456989830761E-22</v>
      </c>
      <c r="AP26" s="388">
        <v>7.121073008503623E-24</v>
      </c>
      <c r="AQ26" s="388">
        <v>1.4989194168216764E-23</v>
      </c>
      <c r="AR26" s="388">
        <v>2.9274047505902071E-22</v>
      </c>
      <c r="AS26" s="388">
        <v>1.1511297077912742E-22</v>
      </c>
      <c r="AT26" s="388">
        <v>-1.8779229386216309E-23</v>
      </c>
      <c r="AU26" s="388">
        <v>4.2843988322931277E-21</v>
      </c>
      <c r="AV26" s="388">
        <v>1.7473123264430446E-22</v>
      </c>
      <c r="AW26" s="388">
        <v>-1.4028579943628647E-22</v>
      </c>
      <c r="AX26" s="388">
        <v>1.6201279208010928E-21</v>
      </c>
      <c r="AY26" s="388">
        <v>-7.6184225388993165E-23</v>
      </c>
      <c r="AZ26" s="388">
        <v>-8.2457713512192777E-23</v>
      </c>
      <c r="BA26" s="388">
        <v>-3.130363442991571E-25</v>
      </c>
      <c r="BB26" s="388">
        <v>4.9625876973354493E-22</v>
      </c>
      <c r="BC26" s="388">
        <v>-8.8153753704295971E-24</v>
      </c>
      <c r="BD26" s="388">
        <v>1.8540311344421309E-21</v>
      </c>
      <c r="BE26" s="388">
        <v>-1.4233825969800996E-21</v>
      </c>
      <c r="BF26" s="388">
        <v>-1.3246987350986397E-21</v>
      </c>
      <c r="BG26" s="388">
        <v>2.4526086202317147E-22</v>
      </c>
      <c r="BH26" s="388">
        <v>2.3900139653075017E-23</v>
      </c>
      <c r="BI26" s="388">
        <v>-6.7844046275156566E-22</v>
      </c>
      <c r="BJ26" s="388">
        <v>1.4406547672997596E-23</v>
      </c>
      <c r="BK26" s="388">
        <v>-3.4545679864362771E-23</v>
      </c>
      <c r="BL26" s="388">
        <v>2.2647093089251738E-22</v>
      </c>
      <c r="BM26" s="388">
        <v>-1.5113974949333246E-22</v>
      </c>
      <c r="BN26" s="388">
        <v>4.0804674522975798E-24</v>
      </c>
      <c r="BO26" s="388">
        <v>1.6378026404120312E-22</v>
      </c>
      <c r="BP26" s="388">
        <v>-1.2265862826325157E-21</v>
      </c>
      <c r="BQ26" s="388">
        <v>2.7313972740645744E-20</v>
      </c>
      <c r="BR26" s="388">
        <v>-1.6632449441194465E-22</v>
      </c>
      <c r="BS26" s="388">
        <v>-1.7255486283041436E-22</v>
      </c>
      <c r="BT26" s="388">
        <v>-5.7127739518564554E-23</v>
      </c>
      <c r="BU26" s="388">
        <v>3.4333794193712002E-23</v>
      </c>
      <c r="BV26" s="388">
        <v>2.3093899965231379E-22</v>
      </c>
      <c r="BW26" s="388">
        <v>6.2286418501240977E-23</v>
      </c>
      <c r="BX26" s="388">
        <v>3.6241461184256572E-23</v>
      </c>
      <c r="BY26" s="388">
        <v>3.7057329493444272E-22</v>
      </c>
      <c r="BZ26" s="388">
        <v>1.7277235964400301E-20</v>
      </c>
      <c r="CA26" s="388">
        <v>-9.9141529384615887E-20</v>
      </c>
      <c r="CB26" s="388">
        <v>1.4725446991840123E-21</v>
      </c>
      <c r="CC26" s="388">
        <v>7.5380309261848608E-23</v>
      </c>
      <c r="CD26" s="388">
        <v>-9.7681695394202147E-20</v>
      </c>
      <c r="CE26" s="388">
        <v>-6.2112090208719073E-22</v>
      </c>
      <c r="CF26" s="388">
        <v>3.3461059997067326E-25</v>
      </c>
      <c r="CG26" s="388">
        <v>-1.1028657207069855E-17</v>
      </c>
      <c r="CH26" s="388">
        <v>-4.7029181244222909E-17</v>
      </c>
      <c r="CI26" s="388">
        <v>-7.7082373548733422E-18</v>
      </c>
      <c r="CJ26" s="388">
        <v>-6.4395200773489886E-22</v>
      </c>
      <c r="CK26" s="388">
        <v>-8.8839142980101436E-17</v>
      </c>
      <c r="CL26" s="388">
        <v>1.3222320625660788E-20</v>
      </c>
      <c r="CM26" s="388">
        <v>-7.7828015969504665E-22</v>
      </c>
      <c r="CN26" s="388">
        <v>-5.347878384161898E-21</v>
      </c>
      <c r="CO26" s="388">
        <v>1.0383604376500867E-22</v>
      </c>
      <c r="CP26" s="388">
        <v>1.6375838416666407E-22</v>
      </c>
      <c r="CQ26" s="388">
        <v>-3.4465790694876713E-19</v>
      </c>
      <c r="CR26" s="388">
        <v>-9.6913548529927906E-23</v>
      </c>
      <c r="CS26" s="388">
        <v>-3.3596943765622735E-20</v>
      </c>
      <c r="CT26" s="388">
        <v>6.240318716870904E-20</v>
      </c>
      <c r="CU26" s="388">
        <v>3.0450609860717813E-21</v>
      </c>
      <c r="CV26" s="388">
        <v>6.0437271992732199E-23</v>
      </c>
      <c r="CW26" s="388">
        <v>-6.1897945327502164E-21</v>
      </c>
      <c r="CX26" s="388">
        <v>1.8997685434288581E-20</v>
      </c>
      <c r="CY26" s="388">
        <v>4.0939045115299309E-22</v>
      </c>
      <c r="CZ26" s="388">
        <v>-8.8423038581472857E-20</v>
      </c>
      <c r="DA26" s="388">
        <v>-5.4737979395914659E-22</v>
      </c>
      <c r="DB26" s="388">
        <v>-2.4958834318858276E-17</v>
      </c>
      <c r="DC26" s="388">
        <v>-1.0279845965455656E-19</v>
      </c>
      <c r="DD26" s="388">
        <v>1.2824780978885992E-18</v>
      </c>
      <c r="DE26" s="388">
        <v>-2.2219697877747753E-21</v>
      </c>
      <c r="DF26" s="388">
        <v>2.780475054965574E-24</v>
      </c>
      <c r="DG26" s="388">
        <v>-1.2439722344426189E-19</v>
      </c>
      <c r="DH26" s="388">
        <v>-1.0430926864080087E-17</v>
      </c>
      <c r="DI26" s="388">
        <v>-1.924619543695589E-18</v>
      </c>
      <c r="DJ26" s="388">
        <v>2.4649957491835841E-19</v>
      </c>
      <c r="DK26" s="388">
        <v>4.817988606798951E-24</v>
      </c>
      <c r="DL26" s="388">
        <v>4.0474443159033206E-17</v>
      </c>
      <c r="DM26" s="388">
        <v>-2.4655568518550971E-19</v>
      </c>
      <c r="DN26" s="388">
        <v>-5.5402434015025576E-20</v>
      </c>
      <c r="DO26" s="388">
        <v>1.6395544077502437E-19</v>
      </c>
      <c r="DP26" s="388">
        <v>1.9728728992070363E-18</v>
      </c>
      <c r="DQ26" s="388">
        <v>1.7136553250715899E-20</v>
      </c>
      <c r="DR26" s="388">
        <v>-8.8947360544814905E-17</v>
      </c>
      <c r="DS26" s="388">
        <v>2.4086601384227986E-17</v>
      </c>
      <c r="DT26" s="388">
        <v>1.222886570106226E-16</v>
      </c>
      <c r="DU26" s="388">
        <v>-4.1763601821817714E-17</v>
      </c>
      <c r="DV26" s="388">
        <v>0</v>
      </c>
      <c r="DW26" s="388">
        <v>0</v>
      </c>
      <c r="DX26" s="388">
        <v>1.0842021724855044E-19</v>
      </c>
      <c r="DY26" s="388">
        <v>0</v>
      </c>
      <c r="DZ26" s="388">
        <v>4.6789588711703622E-5</v>
      </c>
      <c r="EA26" s="388">
        <v>4.6789588711703622E-5</v>
      </c>
      <c r="EB26" s="388"/>
      <c r="EC26" s="435"/>
      <c r="ED26" s="388">
        <v>7.3930905606272174E-5</v>
      </c>
      <c r="EE26" s="388">
        <v>3.6367068795259403E-3</v>
      </c>
      <c r="EF26" s="388">
        <v>6.2367174948673686E-3</v>
      </c>
      <c r="EG26" s="388">
        <v>3.9427742571585779E-3</v>
      </c>
      <c r="EH26" s="388">
        <v>6.932419025159238E-3</v>
      </c>
      <c r="EI26" s="388">
        <v>3.8786866039326952E-3</v>
      </c>
      <c r="EJ26" s="388">
        <v>7.0800541752717933E-3</v>
      </c>
      <c r="EK26" s="388">
        <v>3.9350034375034799E-3</v>
      </c>
      <c r="EL26" s="388">
        <v>6.889000000000001E-3</v>
      </c>
      <c r="EM26" s="388">
        <v>2.9146180931132891E-3</v>
      </c>
      <c r="EN26" s="388">
        <v>4.4538348076047429E-3</v>
      </c>
      <c r="EO26" s="388">
        <v>5.4864697724617923E-3</v>
      </c>
      <c r="EP26" s="388">
        <v>6.2948513375897328E-3</v>
      </c>
      <c r="EQ26" s="388">
        <v>2.6703863192529512E-3</v>
      </c>
      <c r="ER26" s="388">
        <v>4.3649599013257804E-3</v>
      </c>
      <c r="ES26" s="388">
        <v>6.2214391886962692E-3</v>
      </c>
      <c r="ET26" s="388">
        <v>5.5680743008152313E-3</v>
      </c>
      <c r="EU26" s="388">
        <v>2.8280550044107633E-3</v>
      </c>
      <c r="EV26" s="388">
        <v>3.3026163803278772E-3</v>
      </c>
      <c r="EW26" s="388">
        <v>1.989366323210394E-3</v>
      </c>
      <c r="EX26" s="388">
        <v>3.8124222229782741E-3</v>
      </c>
      <c r="EY26" s="388">
        <v>-7.7907540366862517E-4</v>
      </c>
      <c r="EZ26" s="388">
        <v>-4.6676320010002355E-4</v>
      </c>
      <c r="FA26" s="388">
        <v>5.045220271441826E-3</v>
      </c>
      <c r="FB26" s="388">
        <v>3.4765726770508349E-3</v>
      </c>
      <c r="FC26" s="388">
        <v>8.2002408516666932E-4</v>
      </c>
      <c r="FD26" s="388">
        <v>7.4037263716743981E-5</v>
      </c>
      <c r="FE26" s="388">
        <v>7.3915925366331507E-5</v>
      </c>
      <c r="FF26" s="388">
        <v>2.6553732771141788E-3</v>
      </c>
      <c r="FG26" s="388">
        <v>4.6775381211505264E-3</v>
      </c>
      <c r="FH26" s="388">
        <v>3.000493410589443E-3</v>
      </c>
      <c r="FI26" s="388">
        <v>8.7731106084889612E-3</v>
      </c>
      <c r="FJ26" s="388">
        <v>1.4175631913601133E-2</v>
      </c>
      <c r="FK26" s="388">
        <v>1.6156293220548776E-2</v>
      </c>
      <c r="FL26" s="388">
        <v>1.1262039270339946E-2</v>
      </c>
      <c r="FM26" s="388">
        <v>-4.2107313046233046E-3</v>
      </c>
      <c r="FN26" s="388">
        <v>-3.9195214513578994E-3</v>
      </c>
      <c r="FO26" s="388">
        <v>-1.7300330020510928E-3</v>
      </c>
      <c r="FP26" s="388">
        <v>-5.1228364464099849E-3</v>
      </c>
      <c r="FQ26" s="388">
        <v>-6.0920613968011893E-3</v>
      </c>
      <c r="FR26" s="388">
        <v>-6.2948513375897328E-3</v>
      </c>
      <c r="FS26" s="388">
        <v>-3.3666230097956031E-3</v>
      </c>
      <c r="FT26" s="388">
        <v>-4.8671979687818752E-3</v>
      </c>
      <c r="FU26" s="388">
        <v>-6.6010750085851513E-3</v>
      </c>
      <c r="FV26" s="388">
        <v>-6.2713147775779431E-3</v>
      </c>
      <c r="FW26" s="388">
        <v>-3.2876485282394975E-3</v>
      </c>
      <c r="FX26" s="388">
        <v>-3.7985156105122585E-3</v>
      </c>
      <c r="FY26" s="388">
        <v>-2.6259381671516449E-3</v>
      </c>
      <c r="FZ26" s="388">
        <v>-4.3906726296262114E-3</v>
      </c>
      <c r="GA26" s="388">
        <v>1.7933472595219041E-5</v>
      </c>
      <c r="GB26" s="388"/>
      <c r="GC26" s="388"/>
      <c r="GD26" s="388"/>
      <c r="GE26" s="388"/>
      <c r="GF26" s="388"/>
      <c r="GG26" s="388"/>
      <c r="GH26" s="388"/>
      <c r="GI26" s="388"/>
      <c r="GJ26" s="388"/>
      <c r="GK26" s="388"/>
      <c r="GL26" s="388"/>
      <c r="GM26" s="388"/>
      <c r="GN26" s="388"/>
      <c r="GO26" s="388"/>
      <c r="GP26" s="412"/>
      <c r="GQ26" s="412"/>
      <c r="GR26" s="412"/>
      <c r="GS26" s="412"/>
      <c r="GT26" s="412"/>
      <c r="GU26" s="412"/>
      <c r="GV26" s="412"/>
      <c r="GW26" s="412"/>
      <c r="GX26" s="412"/>
      <c r="GY26" s="412"/>
      <c r="GZ26" s="412"/>
      <c r="HA26" s="412"/>
      <c r="HB26" s="412"/>
      <c r="HC26" s="412"/>
      <c r="HD26" s="412"/>
      <c r="HE26" s="412"/>
      <c r="HF26" s="412"/>
      <c r="HG26" s="412"/>
      <c r="HH26" s="412"/>
      <c r="HI26" s="412"/>
      <c r="HJ26" s="412"/>
      <c r="HK26" s="412"/>
      <c r="HL26" s="412"/>
      <c r="HM26" s="412"/>
      <c r="HN26" s="412"/>
      <c r="HO26" s="412"/>
      <c r="HP26" s="412"/>
      <c r="HQ26" s="412"/>
      <c r="HR26" s="412"/>
      <c r="HS26" s="412"/>
      <c r="HT26" s="412"/>
      <c r="HU26" s="412"/>
      <c r="HV26" s="412"/>
      <c r="HW26" s="412"/>
      <c r="HX26" s="412"/>
      <c r="HY26" s="412"/>
      <c r="HZ26" s="412"/>
      <c r="IA26" s="412"/>
      <c r="IB26" s="412"/>
      <c r="IC26" s="412"/>
      <c r="ID26" s="412"/>
      <c r="IE26" s="412"/>
      <c r="IF26" s="412"/>
      <c r="IG26" s="412"/>
      <c r="IH26" s="412"/>
      <c r="II26" s="412"/>
      <c r="IJ26" s="412"/>
      <c r="IK26" s="412"/>
      <c r="IL26" s="412"/>
      <c r="IM26" s="412"/>
      <c r="IN26" s="412"/>
      <c r="IO26" s="412"/>
      <c r="IP26" s="412"/>
      <c r="IQ26" s="412"/>
      <c r="IR26" s="412"/>
      <c r="IS26" s="412"/>
      <c r="IT26" s="412"/>
      <c r="IU26" s="412"/>
      <c r="IV26" s="412"/>
      <c r="IW26" s="412"/>
      <c r="IX26" s="412"/>
      <c r="IY26" s="412"/>
      <c r="IZ26" s="412"/>
      <c r="JA26" s="412"/>
      <c r="JB26" s="412"/>
      <c r="JC26" s="412"/>
      <c r="JD26" s="412"/>
      <c r="JE26" s="412"/>
      <c r="JF26" s="412"/>
      <c r="JG26" s="412"/>
      <c r="JH26" s="412"/>
      <c r="JI26" s="412"/>
      <c r="JJ26" s="412"/>
      <c r="JK26" s="412"/>
      <c r="JL26" s="412"/>
      <c r="JM26" s="412"/>
      <c r="JN26" s="412"/>
      <c r="JO26" s="412"/>
      <c r="JP26" s="412"/>
      <c r="JQ26" s="412"/>
      <c r="JR26" s="412"/>
      <c r="JS26" s="412"/>
      <c r="JT26" s="412"/>
      <c r="JU26" s="412"/>
      <c r="JV26" s="412"/>
      <c r="JW26" s="412"/>
      <c r="JX26" s="412"/>
      <c r="JY26" s="412"/>
      <c r="JZ26" s="412"/>
      <c r="KA26" s="412"/>
      <c r="KB26" s="412"/>
      <c r="KC26" s="412"/>
      <c r="KD26" s="412"/>
      <c r="KE26" s="412"/>
      <c r="KF26" s="412"/>
      <c r="KG26" s="412"/>
      <c r="KH26" s="412"/>
      <c r="KI26" s="412"/>
      <c r="KJ26" s="412"/>
      <c r="KK26" s="412"/>
      <c r="KL26" s="412"/>
      <c r="KM26" s="412"/>
      <c r="KN26" s="412"/>
      <c r="KO26" s="412"/>
      <c r="KP26" s="412"/>
      <c r="KQ26" s="412"/>
      <c r="KR26" s="412"/>
      <c r="KS26" s="412"/>
      <c r="KT26" s="412"/>
      <c r="KU26" s="412"/>
      <c r="KV26" s="412"/>
      <c r="KW26" s="412"/>
      <c r="KX26" s="412"/>
      <c r="KY26" s="412"/>
      <c r="KZ26" s="412"/>
      <c r="LA26" s="412"/>
      <c r="LB26" s="412"/>
      <c r="LC26" s="412"/>
      <c r="LD26" s="412"/>
      <c r="LE26" s="412"/>
      <c r="LF26" s="412"/>
      <c r="LG26" s="412"/>
      <c r="LH26" s="412"/>
      <c r="LI26" s="412"/>
      <c r="LJ26" s="412"/>
      <c r="LK26" s="412"/>
      <c r="LL26" s="412"/>
      <c r="LM26" s="412"/>
      <c r="LN26" s="412"/>
      <c r="LO26" s="412"/>
      <c r="LP26" s="412"/>
      <c r="LQ26" s="412"/>
      <c r="LR26" s="412"/>
      <c r="LS26" s="412"/>
      <c r="LT26" s="412"/>
      <c r="LU26" s="412"/>
      <c r="LV26" s="412"/>
      <c r="LW26" s="412"/>
      <c r="LX26" s="412"/>
      <c r="LY26" s="412"/>
      <c r="LZ26" s="412"/>
      <c r="MA26" s="412"/>
      <c r="MB26" s="412"/>
      <c r="MC26" s="412"/>
      <c r="MD26" s="412"/>
      <c r="ME26" s="412"/>
      <c r="MF26" s="412"/>
      <c r="MG26" s="412"/>
      <c r="MH26" s="412"/>
      <c r="MI26" s="412"/>
      <c r="MJ26" s="412"/>
      <c r="MK26" s="412"/>
      <c r="ML26" s="412"/>
      <c r="MM26" s="412"/>
      <c r="MN26" s="412"/>
      <c r="MO26" s="412"/>
      <c r="MP26" s="412"/>
      <c r="MQ26" s="412"/>
      <c r="MR26" s="412"/>
      <c r="MS26" s="412"/>
      <c r="MT26" s="412"/>
      <c r="MU26" s="412"/>
      <c r="MV26" s="412"/>
      <c r="MW26" s="412"/>
      <c r="MX26" s="412"/>
      <c r="MY26" s="412"/>
      <c r="MZ26" s="412"/>
      <c r="NA26" s="412"/>
      <c r="NB26" s="412"/>
      <c r="NC26" s="412"/>
      <c r="ND26" s="412"/>
      <c r="NE26" s="412"/>
      <c r="NF26" s="412"/>
      <c r="NG26" s="412"/>
      <c r="NH26" s="412"/>
      <c r="NI26" s="412"/>
      <c r="NJ26" s="412"/>
      <c r="NK26" s="412"/>
      <c r="NL26" s="412"/>
      <c r="NM26" s="412"/>
      <c r="NN26" s="412"/>
      <c r="NO26" s="412"/>
      <c r="NP26" s="412"/>
      <c r="NQ26" s="412"/>
      <c r="NR26" s="412"/>
      <c r="NS26" s="412"/>
      <c r="NT26" s="412"/>
      <c r="NU26" s="412"/>
      <c r="NV26" s="412"/>
      <c r="NW26" s="412"/>
      <c r="NX26" s="412"/>
      <c r="NY26" s="412"/>
      <c r="NZ26" s="412"/>
      <c r="OA26" s="412"/>
      <c r="OB26" s="412"/>
      <c r="OC26" s="412"/>
      <c r="OD26" s="412"/>
      <c r="OE26" s="412"/>
      <c r="OF26" s="412"/>
      <c r="OG26" s="412"/>
      <c r="OH26" s="412"/>
      <c r="OI26" s="412"/>
      <c r="OJ26" s="412"/>
      <c r="OK26" s="412"/>
      <c r="OL26" s="412"/>
      <c r="OM26" s="412"/>
      <c r="ON26" s="412"/>
      <c r="OO26" s="412"/>
      <c r="OP26" s="412"/>
      <c r="OQ26" s="412"/>
      <c r="OR26" s="412"/>
      <c r="OS26" s="412"/>
      <c r="OT26" s="412"/>
      <c r="OU26" s="412"/>
      <c r="OV26" s="412"/>
      <c r="OW26" s="412"/>
      <c r="OX26" s="412"/>
      <c r="OY26" s="412"/>
      <c r="OZ26" s="412"/>
      <c r="PA26" s="412"/>
      <c r="PB26" s="412"/>
      <c r="PC26" s="412"/>
      <c r="PD26" s="412"/>
      <c r="PE26" s="412"/>
      <c r="PF26" s="412"/>
      <c r="PG26" s="412"/>
      <c r="PH26" s="412"/>
      <c r="PI26" s="412"/>
      <c r="PJ26" s="412"/>
      <c r="PK26" s="412"/>
      <c r="PL26" s="412"/>
      <c r="PM26" s="412"/>
      <c r="PN26" s="412"/>
      <c r="PO26" s="412"/>
      <c r="PP26" s="412"/>
      <c r="PQ26" s="412"/>
      <c r="PR26" s="412"/>
      <c r="PS26" s="412"/>
      <c r="PT26" s="412"/>
      <c r="PU26" s="412"/>
      <c r="PV26" s="412"/>
      <c r="PW26" s="412"/>
      <c r="PX26" s="412"/>
      <c r="PY26" s="412"/>
      <c r="PZ26" s="412"/>
      <c r="QA26" s="412"/>
      <c r="QB26" s="412"/>
      <c r="QC26" s="412"/>
      <c r="QD26" s="412"/>
      <c r="QE26" s="412"/>
      <c r="QF26" s="412"/>
      <c r="QG26" s="412"/>
      <c r="QH26" s="412"/>
      <c r="QI26" s="412"/>
      <c r="QJ26" s="412"/>
      <c r="QK26" s="412"/>
      <c r="QL26" s="412"/>
      <c r="QM26" s="412"/>
      <c r="QN26" s="412"/>
      <c r="QO26" s="412"/>
      <c r="QP26" s="412"/>
      <c r="QQ26" s="412"/>
      <c r="QR26" s="412"/>
      <c r="QS26" s="412"/>
      <c r="QT26" s="412"/>
      <c r="QU26" s="412"/>
      <c r="QV26" s="412"/>
      <c r="QW26" s="412"/>
      <c r="QX26" s="412"/>
      <c r="QY26" s="412"/>
      <c r="QZ26" s="412"/>
      <c r="RA26" s="412"/>
      <c r="RB26" s="412"/>
      <c r="RC26" s="412"/>
      <c r="RD26" s="412"/>
      <c r="RE26" s="412"/>
      <c r="RF26" s="412"/>
      <c r="RG26" s="412"/>
      <c r="RH26" s="412"/>
      <c r="RI26" s="412"/>
      <c r="RJ26" s="412"/>
      <c r="RK26" s="412"/>
      <c r="RL26" s="412"/>
      <c r="RM26" s="412"/>
      <c r="RN26" s="412"/>
      <c r="RO26" s="412"/>
      <c r="RP26" s="412"/>
      <c r="RQ26" s="412"/>
      <c r="RR26" s="412"/>
      <c r="RS26" s="412"/>
      <c r="RT26" s="412"/>
      <c r="RU26" s="412"/>
      <c r="RV26" s="412"/>
      <c r="RW26" s="412"/>
      <c r="RX26" s="412"/>
      <c r="RY26" s="412"/>
      <c r="RZ26" s="412"/>
      <c r="SA26" s="412"/>
      <c r="SB26" s="412"/>
      <c r="SC26" s="412"/>
      <c r="SD26" s="412"/>
      <c r="SE26" s="412"/>
      <c r="SF26" s="412"/>
      <c r="SG26" s="412"/>
    </row>
    <row r="27" spans="1:501" x14ac:dyDescent="0.2">
      <c r="A27" s="394" t="s">
        <v>9</v>
      </c>
      <c r="B27" s="395"/>
      <c r="C27" s="396">
        <v>0.03</v>
      </c>
      <c r="D27" s="396">
        <v>7.0000000000000007E-2</v>
      </c>
      <c r="E27" s="396">
        <v>1.7000000000000001E-2</v>
      </c>
      <c r="F27" s="396">
        <v>1</v>
      </c>
      <c r="G27" s="388"/>
      <c r="H27" s="435"/>
      <c r="I27" s="410">
        <v>0</v>
      </c>
      <c r="J27" s="410">
        <v>0</v>
      </c>
      <c r="K27" s="410">
        <v>0</v>
      </c>
      <c r="L27" s="410">
        <v>1</v>
      </c>
      <c r="M27" s="410">
        <v>0</v>
      </c>
      <c r="N27" s="410">
        <v>0</v>
      </c>
      <c r="O27" s="435"/>
      <c r="P27" s="393">
        <v>0</v>
      </c>
      <c r="Q27" s="393">
        <v>0</v>
      </c>
      <c r="R27" s="393">
        <v>0</v>
      </c>
      <c r="S27" s="393">
        <v>0</v>
      </c>
      <c r="T27" s="393">
        <v>0</v>
      </c>
      <c r="U27" s="435"/>
      <c r="V27" s="393">
        <v>0</v>
      </c>
      <c r="W27" s="393">
        <v>0</v>
      </c>
      <c r="X27" s="393">
        <v>0</v>
      </c>
      <c r="Y27" s="393">
        <v>0</v>
      </c>
      <c r="Z27" s="393">
        <v>0</v>
      </c>
      <c r="AA27" s="393"/>
      <c r="AB27" s="435"/>
      <c r="AC27" s="393">
        <v>3.9100000000000003E-2</v>
      </c>
      <c r="AD27" s="411"/>
      <c r="AE27" s="435"/>
      <c r="AF27" s="388">
        <v>4.9569996416732987E-2</v>
      </c>
      <c r="AG27" s="388">
        <v>4.9569996416732987E-2</v>
      </c>
      <c r="AH27" s="388">
        <v>4.9569999896194664E-2</v>
      </c>
      <c r="AI27" s="388">
        <v>4.9569999315262035E-2</v>
      </c>
      <c r="AJ27" s="388">
        <v>4.9569996416732987E-2</v>
      </c>
      <c r="AK27" s="388">
        <v>4.9569999315262035E-2</v>
      </c>
      <c r="AL27" s="388">
        <v>4.9569996416732987E-2</v>
      </c>
      <c r="AM27" s="388">
        <v>4.9569996416732987E-2</v>
      </c>
      <c r="AN27" s="388">
        <v>4.9569999315262035E-2</v>
      </c>
      <c r="AO27" s="388">
        <v>4.9569996416732987E-2</v>
      </c>
      <c r="AP27" s="388">
        <v>4.9569999315262035E-2</v>
      </c>
      <c r="AQ27" s="388">
        <v>4.9570000000000003E-2</v>
      </c>
      <c r="AR27" s="388">
        <v>4.9570000000000003E-2</v>
      </c>
      <c r="AS27" s="388">
        <v>4.9570000000000003E-2</v>
      </c>
      <c r="AT27" s="388">
        <v>4.9570000000000003E-2</v>
      </c>
      <c r="AU27" s="388">
        <v>4.9570000000000003E-2</v>
      </c>
      <c r="AV27" s="388">
        <v>4.9570000000000003E-2</v>
      </c>
      <c r="AW27" s="388">
        <v>4.9569996416732987E-2</v>
      </c>
      <c r="AX27" s="388">
        <v>4.9570000000000003E-2</v>
      </c>
      <c r="AY27" s="388">
        <v>4.9570000000000003E-2</v>
      </c>
      <c r="AZ27" s="388">
        <v>4.9570000000000003E-2</v>
      </c>
      <c r="BA27" s="388">
        <v>4.9569996416732987E-2</v>
      </c>
      <c r="BB27" s="388">
        <v>4.9052894576362298E-2</v>
      </c>
      <c r="BC27" s="388">
        <v>4.8052748892116942E-2</v>
      </c>
      <c r="BD27" s="388">
        <v>4.6987339527710295E-2</v>
      </c>
      <c r="BE27" s="388">
        <v>4.5849544528874936E-2</v>
      </c>
      <c r="BF27" s="388">
        <v>4.4765970659019015E-2</v>
      </c>
      <c r="BG27" s="388">
        <v>4.3556494866372093E-2</v>
      </c>
      <c r="BH27" s="388">
        <v>4.2377379758457921E-2</v>
      </c>
      <c r="BI27" s="388">
        <v>4.1455930293816494E-2</v>
      </c>
      <c r="BJ27" s="388">
        <v>4.0370796836513637E-2</v>
      </c>
      <c r="BK27" s="388">
        <v>3.9517218438883353E-2</v>
      </c>
      <c r="BL27" s="388">
        <v>3.8481382193145362E-2</v>
      </c>
      <c r="BM27" s="388">
        <v>3.7820788151719853E-2</v>
      </c>
      <c r="BN27" s="388">
        <v>3.7820788151719853E-2</v>
      </c>
      <c r="BO27" s="388">
        <v>3.7820788151719853E-2</v>
      </c>
      <c r="BP27" s="388">
        <v>3.7820788151719853E-2</v>
      </c>
      <c r="BQ27" s="388">
        <v>3.7820788151719853E-2</v>
      </c>
      <c r="BR27" s="388">
        <v>3.7820788151719853E-2</v>
      </c>
      <c r="BS27" s="388">
        <v>3.7820788151719853E-2</v>
      </c>
      <c r="BT27" s="388">
        <v>3.7820788151719853E-2</v>
      </c>
      <c r="BU27" s="388">
        <v>3.7820788151719853E-2</v>
      </c>
      <c r="BV27" s="388">
        <v>3.7820788151719853E-2</v>
      </c>
      <c r="BW27" s="388">
        <v>3.7820788151719853E-2</v>
      </c>
      <c r="BX27" s="388">
        <v>3.7820788151719853E-2</v>
      </c>
      <c r="BY27" s="388">
        <v>3.7820788151719853E-2</v>
      </c>
      <c r="BZ27" s="388">
        <v>3.7820788151719853E-2</v>
      </c>
      <c r="CA27" s="388">
        <v>3.7820788151719853E-2</v>
      </c>
      <c r="CB27" s="388">
        <v>3.7820788151719853E-2</v>
      </c>
      <c r="CC27" s="388">
        <v>3.7820788151719853E-2</v>
      </c>
      <c r="CD27" s="388">
        <v>3.7820788151719853E-2</v>
      </c>
      <c r="CE27" s="388">
        <v>3.7820788151719853E-2</v>
      </c>
      <c r="CF27" s="388">
        <v>3.7820788151719853E-2</v>
      </c>
      <c r="CG27" s="388">
        <v>3.7820788151719853E-2</v>
      </c>
      <c r="CH27" s="388">
        <v>3.782078815171986E-2</v>
      </c>
      <c r="CI27" s="388">
        <v>3.782078815171986E-2</v>
      </c>
      <c r="CJ27" s="388">
        <v>3.7820788151719853E-2</v>
      </c>
      <c r="CK27" s="388">
        <v>3.7820788151719867E-2</v>
      </c>
      <c r="CL27" s="388">
        <v>3.7820788151719853E-2</v>
      </c>
      <c r="CM27" s="388">
        <v>3.7820788151719853E-2</v>
      </c>
      <c r="CN27" s="388">
        <v>3.7820788151719853E-2</v>
      </c>
      <c r="CO27" s="388">
        <v>3.7820788151719853E-2</v>
      </c>
      <c r="CP27" s="388">
        <v>3.7820788151719853E-2</v>
      </c>
      <c r="CQ27" s="388">
        <v>3.7820788151719853E-2</v>
      </c>
      <c r="CR27" s="388">
        <v>3.7820788151719853E-2</v>
      </c>
      <c r="CS27" s="388">
        <v>3.7820788151719853E-2</v>
      </c>
      <c r="CT27" s="388">
        <v>3.7820788151719853E-2</v>
      </c>
      <c r="CU27" s="388">
        <v>3.7820788151719853E-2</v>
      </c>
      <c r="CV27" s="388">
        <v>3.7820788151719853E-2</v>
      </c>
      <c r="CW27" s="388">
        <v>3.7820788151719853E-2</v>
      </c>
      <c r="CX27" s="388">
        <v>3.7820788151719853E-2</v>
      </c>
      <c r="CY27" s="388">
        <v>3.7820788151719853E-2</v>
      </c>
      <c r="CZ27" s="388">
        <v>3.7820788151719853E-2</v>
      </c>
      <c r="DA27" s="388">
        <v>3.7820788151719853E-2</v>
      </c>
      <c r="DB27" s="388">
        <v>3.7820788151719853E-2</v>
      </c>
      <c r="DC27" s="388">
        <v>3.7820788151719853E-2</v>
      </c>
      <c r="DD27" s="388">
        <v>3.7820788151719853E-2</v>
      </c>
      <c r="DE27" s="388">
        <v>3.7820788151719853E-2</v>
      </c>
      <c r="DF27" s="388">
        <v>3.7820788151719853E-2</v>
      </c>
      <c r="DG27" s="388">
        <v>3.7820788151719853E-2</v>
      </c>
      <c r="DH27" s="388">
        <v>3.7820788151719853E-2</v>
      </c>
      <c r="DI27" s="388">
        <v>3.782078815171986E-2</v>
      </c>
      <c r="DJ27" s="388">
        <v>3.7820788151719853E-2</v>
      </c>
      <c r="DK27" s="388">
        <v>3.7820788151719853E-2</v>
      </c>
      <c r="DL27" s="388">
        <v>3.7820788151719853E-2</v>
      </c>
      <c r="DM27" s="388">
        <v>3.7820788151719853E-2</v>
      </c>
      <c r="DN27" s="388">
        <v>3.7820788151719853E-2</v>
      </c>
      <c r="DO27" s="388">
        <v>3.7820788151719853E-2</v>
      </c>
      <c r="DP27" s="388">
        <v>3.7820788151719853E-2</v>
      </c>
      <c r="DQ27" s="388">
        <v>3.7820788151719853E-2</v>
      </c>
      <c r="DR27" s="388">
        <v>3.7820788151719853E-2</v>
      </c>
      <c r="DS27" s="388">
        <v>3.7820788151719853E-2</v>
      </c>
      <c r="DT27" s="388">
        <v>3.7820788151719902E-2</v>
      </c>
      <c r="DU27" s="388">
        <v>3.7820788151719853E-2</v>
      </c>
      <c r="DV27" s="388">
        <v>3.7820788151719853E-2</v>
      </c>
      <c r="DW27" s="388">
        <v>3.7820788151719853E-2</v>
      </c>
      <c r="DX27" s="388">
        <v>3.7820788151719853E-2</v>
      </c>
      <c r="DY27" s="388">
        <v>3.7820788151719853E-2</v>
      </c>
      <c r="DZ27" s="388">
        <v>3.7844871872194076E-2</v>
      </c>
      <c r="EA27" s="388">
        <v>3.7844871872194076E-2</v>
      </c>
      <c r="EB27" s="388"/>
      <c r="EC27" s="435"/>
      <c r="ED27" s="388">
        <v>1.4070154995914533E-4</v>
      </c>
      <c r="EE27" s="388">
        <v>2.6115422666595474E-3</v>
      </c>
      <c r="EF27" s="388">
        <v>3.9500543701057296E-3</v>
      </c>
      <c r="EG27" s="388">
        <v>2.3005119311102556E-3</v>
      </c>
      <c r="EH27" s="388">
        <v>3.6357502130547263E-3</v>
      </c>
      <c r="EI27" s="388">
        <v>2.1953796276580661E-3</v>
      </c>
      <c r="EJ27" s="388">
        <v>3.6233465061605978E-3</v>
      </c>
      <c r="EK27" s="388">
        <v>1.8534747804110625E-3</v>
      </c>
      <c r="EL27" s="388">
        <v>2.9146180931132891E-3</v>
      </c>
      <c r="EM27" s="388">
        <v>4.9000000000000007E-3</v>
      </c>
      <c r="EN27" s="388">
        <v>2.3415733954337771E-4</v>
      </c>
      <c r="EO27" s="388">
        <v>4.7415089021978548E-4</v>
      </c>
      <c r="EP27" s="388">
        <v>7.3593525810095007E-5</v>
      </c>
      <c r="EQ27" s="388">
        <v>1.549988691504947E-3</v>
      </c>
      <c r="ER27" s="388">
        <v>7.5480923763053033E-4</v>
      </c>
      <c r="ES27" s="388">
        <v>2.2322772434993044E-3</v>
      </c>
      <c r="ET27" s="388">
        <v>1.8722701734926058E-3</v>
      </c>
      <c r="EU27" s="388">
        <v>-7.6155973087403889E-4</v>
      </c>
      <c r="EV27" s="388">
        <v>-5.0887932901451675E-4</v>
      </c>
      <c r="EW27" s="388">
        <v>-1.9741346954906544E-3</v>
      </c>
      <c r="EX27" s="388">
        <v>-3.5658979132556024E-4</v>
      </c>
      <c r="EY27" s="388">
        <v>-7.100599179850007E-4</v>
      </c>
      <c r="EZ27" s="388">
        <v>-2.2247477084613921E-4</v>
      </c>
      <c r="FA27" s="388">
        <v>7.524167588915143E-5</v>
      </c>
      <c r="FB27" s="388">
        <v>-1.524529723548094E-3</v>
      </c>
      <c r="FC27" s="388">
        <v>2.5604793219871663E-4</v>
      </c>
      <c r="FD27" s="388">
        <v>1.5645039779234207E-4</v>
      </c>
      <c r="FE27" s="388">
        <v>1.4069893543521852E-4</v>
      </c>
      <c r="FF27" s="388">
        <v>1.9068403851799868E-3</v>
      </c>
      <c r="FG27" s="388">
        <v>2.9625407775792966E-3</v>
      </c>
      <c r="FH27" s="388">
        <v>1.6983125421505792E-3</v>
      </c>
      <c r="FI27" s="388">
        <v>4.4897989315468281E-3</v>
      </c>
      <c r="FJ27" s="388">
        <v>8.8374780320391103E-3</v>
      </c>
      <c r="FK27" s="388">
        <v>9.0811836962873642E-3</v>
      </c>
      <c r="FL27" s="388">
        <v>2.0519240700707056E-2</v>
      </c>
      <c r="FM27" s="388">
        <v>-2.5024838234511079E-3</v>
      </c>
      <c r="FN27" s="388">
        <v>-1.9009240918056206E-3</v>
      </c>
      <c r="FO27" s="388">
        <v>-2.8609657323843307E-3</v>
      </c>
      <c r="FP27" s="388">
        <v>-4.2266307227467901E-4</v>
      </c>
      <c r="FQ27" s="388">
        <v>-6.4754617568290717E-4</v>
      </c>
      <c r="FR27" s="388">
        <v>-7.3593525810095007E-5</v>
      </c>
      <c r="FS27" s="388">
        <v>-1.6727008122743167E-3</v>
      </c>
      <c r="FT27" s="388">
        <v>-8.4955969297841668E-4</v>
      </c>
      <c r="FU27" s="388">
        <v>-2.2428551855158511E-3</v>
      </c>
      <c r="FV27" s="388">
        <v>-1.9966678218143984E-3</v>
      </c>
      <c r="FW27" s="388">
        <v>5.6973574466484512E-4</v>
      </c>
      <c r="FX27" s="388">
        <v>3.5484892116528538E-4</v>
      </c>
      <c r="FY27" s="388">
        <v>1.790691960504539E-3</v>
      </c>
      <c r="FZ27" s="388">
        <v>2.01397730802489E-4</v>
      </c>
      <c r="GA27" s="388">
        <v>-2.8244549525873482E-6</v>
      </c>
      <c r="GB27" s="388"/>
      <c r="GC27" s="388"/>
      <c r="GD27" s="388"/>
      <c r="GE27" s="388"/>
      <c r="GF27" s="388"/>
      <c r="GG27" s="388"/>
      <c r="GH27" s="388"/>
      <c r="GI27" s="388"/>
      <c r="GJ27" s="388"/>
      <c r="GK27" s="388"/>
      <c r="GL27" s="388"/>
      <c r="GM27" s="388"/>
      <c r="GN27" s="388"/>
      <c r="GO27" s="388"/>
      <c r="GP27" s="412"/>
      <c r="GQ27" s="412"/>
      <c r="GR27" s="412"/>
      <c r="GS27" s="412"/>
      <c r="GT27" s="412"/>
      <c r="GU27" s="412"/>
      <c r="GV27" s="412"/>
      <c r="GW27" s="412"/>
      <c r="GX27" s="412"/>
      <c r="GY27" s="412"/>
      <c r="GZ27" s="412"/>
      <c r="HA27" s="412"/>
      <c r="HB27" s="412"/>
      <c r="HC27" s="412"/>
      <c r="HD27" s="412"/>
      <c r="HE27" s="412"/>
      <c r="HF27" s="412"/>
      <c r="HG27" s="412"/>
      <c r="HH27" s="412"/>
      <c r="HI27" s="412"/>
      <c r="HJ27" s="412"/>
      <c r="HK27" s="412"/>
      <c r="HL27" s="412"/>
      <c r="HM27" s="412"/>
      <c r="HN27" s="412"/>
      <c r="HO27" s="412"/>
      <c r="HP27" s="412"/>
      <c r="HQ27" s="412"/>
      <c r="HR27" s="412"/>
      <c r="HS27" s="412"/>
      <c r="HT27" s="412"/>
      <c r="HU27" s="412"/>
      <c r="HV27" s="412"/>
      <c r="HW27" s="412"/>
      <c r="HX27" s="412"/>
      <c r="HY27" s="412"/>
      <c r="HZ27" s="412"/>
      <c r="IA27" s="412"/>
      <c r="IB27" s="412"/>
      <c r="IC27" s="412"/>
      <c r="ID27" s="412"/>
      <c r="IE27" s="412"/>
      <c r="IF27" s="412"/>
      <c r="IG27" s="412"/>
      <c r="IH27" s="412"/>
      <c r="II27" s="412"/>
      <c r="IJ27" s="412"/>
      <c r="IK27" s="412"/>
      <c r="IL27" s="412"/>
      <c r="IM27" s="412"/>
      <c r="IN27" s="412"/>
      <c r="IO27" s="412"/>
      <c r="IP27" s="412"/>
      <c r="IQ27" s="412"/>
      <c r="IR27" s="412"/>
      <c r="IS27" s="412"/>
      <c r="IT27" s="412"/>
      <c r="IU27" s="412"/>
      <c r="IV27" s="412"/>
      <c r="IW27" s="412"/>
      <c r="IX27" s="412"/>
      <c r="IY27" s="412"/>
      <c r="IZ27" s="412"/>
      <c r="JA27" s="412"/>
      <c r="JB27" s="412"/>
      <c r="JC27" s="412"/>
      <c r="JD27" s="412"/>
      <c r="JE27" s="412"/>
      <c r="JF27" s="412"/>
      <c r="JG27" s="412"/>
      <c r="JH27" s="412"/>
      <c r="JI27" s="412"/>
      <c r="JJ27" s="412"/>
      <c r="JK27" s="412"/>
      <c r="JL27" s="412"/>
      <c r="JM27" s="412"/>
      <c r="JN27" s="412"/>
      <c r="JO27" s="412"/>
      <c r="JP27" s="412"/>
      <c r="JQ27" s="412"/>
      <c r="JR27" s="412"/>
      <c r="JS27" s="412"/>
      <c r="JT27" s="412"/>
      <c r="JU27" s="412"/>
      <c r="JV27" s="412"/>
      <c r="JW27" s="412"/>
      <c r="JX27" s="412"/>
      <c r="JY27" s="412"/>
      <c r="JZ27" s="412"/>
      <c r="KA27" s="412"/>
      <c r="KB27" s="412"/>
      <c r="KC27" s="412"/>
      <c r="KD27" s="412"/>
      <c r="KE27" s="412"/>
      <c r="KF27" s="412"/>
      <c r="KG27" s="412"/>
      <c r="KH27" s="412"/>
      <c r="KI27" s="412"/>
      <c r="KJ27" s="412"/>
      <c r="KK27" s="412"/>
      <c r="KL27" s="412"/>
      <c r="KM27" s="412"/>
      <c r="KN27" s="412"/>
      <c r="KO27" s="412"/>
      <c r="KP27" s="412"/>
      <c r="KQ27" s="412"/>
      <c r="KR27" s="412"/>
      <c r="KS27" s="412"/>
      <c r="KT27" s="412"/>
      <c r="KU27" s="412"/>
      <c r="KV27" s="412"/>
      <c r="KW27" s="412"/>
      <c r="KX27" s="412"/>
      <c r="KY27" s="412"/>
      <c r="KZ27" s="412"/>
      <c r="LA27" s="412"/>
      <c r="LB27" s="412"/>
      <c r="LC27" s="412"/>
      <c r="LD27" s="412"/>
      <c r="LE27" s="412"/>
      <c r="LF27" s="412"/>
      <c r="LG27" s="412"/>
      <c r="LH27" s="412"/>
      <c r="LI27" s="412"/>
      <c r="LJ27" s="412"/>
      <c r="LK27" s="412"/>
      <c r="LL27" s="412"/>
      <c r="LM27" s="412"/>
      <c r="LN27" s="412"/>
      <c r="LO27" s="412"/>
      <c r="LP27" s="412"/>
      <c r="LQ27" s="412"/>
      <c r="LR27" s="412"/>
      <c r="LS27" s="412"/>
      <c r="LT27" s="412"/>
      <c r="LU27" s="412"/>
      <c r="LV27" s="412"/>
      <c r="LW27" s="412"/>
      <c r="LX27" s="412"/>
      <c r="LY27" s="412"/>
      <c r="LZ27" s="412"/>
      <c r="MA27" s="412"/>
      <c r="MB27" s="412"/>
      <c r="MC27" s="412"/>
      <c r="MD27" s="412"/>
      <c r="ME27" s="412"/>
      <c r="MF27" s="412"/>
      <c r="MG27" s="412"/>
      <c r="MH27" s="412"/>
      <c r="MI27" s="412"/>
      <c r="MJ27" s="412"/>
      <c r="MK27" s="412"/>
      <c r="ML27" s="412"/>
      <c r="MM27" s="412"/>
      <c r="MN27" s="412"/>
      <c r="MO27" s="412"/>
      <c r="MP27" s="412"/>
      <c r="MQ27" s="412"/>
      <c r="MR27" s="412"/>
      <c r="MS27" s="412"/>
      <c r="MT27" s="412"/>
      <c r="MU27" s="412"/>
      <c r="MV27" s="412"/>
      <c r="MW27" s="412"/>
      <c r="MX27" s="412"/>
      <c r="MY27" s="412"/>
      <c r="MZ27" s="412"/>
      <c r="NA27" s="412"/>
      <c r="NB27" s="412"/>
      <c r="NC27" s="412"/>
      <c r="ND27" s="412"/>
      <c r="NE27" s="412"/>
      <c r="NF27" s="412"/>
      <c r="NG27" s="412"/>
      <c r="NH27" s="412"/>
      <c r="NI27" s="412"/>
      <c r="NJ27" s="412"/>
      <c r="NK27" s="412"/>
      <c r="NL27" s="412"/>
      <c r="NM27" s="412"/>
      <c r="NN27" s="412"/>
      <c r="NO27" s="412"/>
      <c r="NP27" s="412"/>
      <c r="NQ27" s="412"/>
      <c r="NR27" s="412"/>
      <c r="NS27" s="412"/>
      <c r="NT27" s="412"/>
      <c r="NU27" s="412"/>
      <c r="NV27" s="412"/>
      <c r="NW27" s="412"/>
      <c r="NX27" s="412"/>
      <c r="NY27" s="412"/>
      <c r="NZ27" s="412"/>
      <c r="OA27" s="412"/>
      <c r="OB27" s="412"/>
      <c r="OC27" s="412"/>
      <c r="OD27" s="412"/>
      <c r="OE27" s="412"/>
      <c r="OF27" s="412"/>
      <c r="OG27" s="412"/>
      <c r="OH27" s="412"/>
      <c r="OI27" s="412"/>
      <c r="OJ27" s="412"/>
      <c r="OK27" s="412"/>
      <c r="OL27" s="412"/>
      <c r="OM27" s="412"/>
      <c r="ON27" s="412"/>
      <c r="OO27" s="412"/>
      <c r="OP27" s="412"/>
      <c r="OQ27" s="412"/>
      <c r="OR27" s="412"/>
      <c r="OS27" s="412"/>
      <c r="OT27" s="412"/>
      <c r="OU27" s="412"/>
      <c r="OV27" s="412"/>
      <c r="OW27" s="412"/>
      <c r="OX27" s="412"/>
      <c r="OY27" s="412"/>
      <c r="OZ27" s="412"/>
      <c r="PA27" s="412"/>
      <c r="PB27" s="412"/>
      <c r="PC27" s="412"/>
      <c r="PD27" s="412"/>
      <c r="PE27" s="412"/>
      <c r="PF27" s="412"/>
      <c r="PG27" s="412"/>
      <c r="PH27" s="412"/>
      <c r="PI27" s="412"/>
      <c r="PJ27" s="412"/>
      <c r="PK27" s="412"/>
      <c r="PL27" s="412"/>
      <c r="PM27" s="412"/>
      <c r="PN27" s="412"/>
      <c r="PO27" s="412"/>
      <c r="PP27" s="412"/>
      <c r="PQ27" s="412"/>
      <c r="PR27" s="412"/>
      <c r="PS27" s="412"/>
      <c r="PT27" s="412"/>
      <c r="PU27" s="412"/>
      <c r="PV27" s="412"/>
      <c r="PW27" s="412"/>
      <c r="PX27" s="412"/>
      <c r="PY27" s="412"/>
      <c r="PZ27" s="412"/>
      <c r="QA27" s="412"/>
      <c r="QB27" s="412"/>
      <c r="QC27" s="412"/>
      <c r="QD27" s="412"/>
      <c r="QE27" s="412"/>
      <c r="QF27" s="412"/>
      <c r="QG27" s="412"/>
      <c r="QH27" s="412"/>
      <c r="QI27" s="412"/>
      <c r="QJ27" s="412"/>
      <c r="QK27" s="412"/>
      <c r="QL27" s="412"/>
      <c r="QM27" s="412"/>
      <c r="QN27" s="412"/>
      <c r="QO27" s="412"/>
      <c r="QP27" s="412"/>
      <c r="QQ27" s="412"/>
      <c r="QR27" s="412"/>
      <c r="QS27" s="412"/>
      <c r="QT27" s="412"/>
      <c r="QU27" s="412"/>
      <c r="QV27" s="412"/>
      <c r="QW27" s="412"/>
      <c r="QX27" s="412"/>
      <c r="QY27" s="412"/>
      <c r="QZ27" s="412"/>
      <c r="RA27" s="412"/>
      <c r="RB27" s="412"/>
      <c r="RC27" s="412"/>
      <c r="RD27" s="412"/>
      <c r="RE27" s="412"/>
      <c r="RF27" s="412"/>
      <c r="RG27" s="412"/>
      <c r="RH27" s="412"/>
      <c r="RI27" s="412"/>
      <c r="RJ27" s="412"/>
      <c r="RK27" s="412"/>
      <c r="RL27" s="412"/>
      <c r="RM27" s="412"/>
      <c r="RN27" s="412"/>
      <c r="RO27" s="412"/>
      <c r="RP27" s="412"/>
      <c r="RQ27" s="412"/>
      <c r="RR27" s="412"/>
      <c r="RS27" s="412"/>
      <c r="RT27" s="412"/>
      <c r="RU27" s="412"/>
      <c r="RV27" s="412"/>
      <c r="RW27" s="412"/>
      <c r="RX27" s="412"/>
      <c r="RY27" s="412"/>
      <c r="RZ27" s="412"/>
      <c r="SA27" s="412"/>
      <c r="SB27" s="412"/>
      <c r="SC27" s="412"/>
      <c r="SD27" s="412"/>
      <c r="SE27" s="412"/>
      <c r="SF27" s="412"/>
      <c r="SG27" s="412"/>
    </row>
    <row r="28" spans="1:501" x14ac:dyDescent="0.2">
      <c r="A28" s="391" t="s">
        <v>10</v>
      </c>
      <c r="B28" s="110"/>
      <c r="C28" s="392">
        <v>0.1</v>
      </c>
      <c r="D28" s="392">
        <v>0.16</v>
      </c>
      <c r="E28" s="392">
        <v>0</v>
      </c>
      <c r="F28" s="392">
        <v>1</v>
      </c>
      <c r="G28" s="392"/>
      <c r="H28" s="435"/>
      <c r="I28" s="410">
        <v>0</v>
      </c>
      <c r="J28" s="410">
        <v>1</v>
      </c>
      <c r="K28" s="410">
        <v>0</v>
      </c>
      <c r="L28" s="410">
        <v>0</v>
      </c>
      <c r="M28" s="410">
        <v>0</v>
      </c>
      <c r="N28" s="410">
        <v>1</v>
      </c>
      <c r="O28" s="435"/>
      <c r="P28" s="393">
        <v>1</v>
      </c>
      <c r="Q28" s="393">
        <v>0</v>
      </c>
      <c r="R28" s="393">
        <v>0</v>
      </c>
      <c r="S28" s="393">
        <v>0</v>
      </c>
      <c r="T28" s="393">
        <v>0</v>
      </c>
      <c r="U28" s="435"/>
      <c r="V28" s="393">
        <v>1</v>
      </c>
      <c r="W28" s="393">
        <v>1</v>
      </c>
      <c r="X28" s="393">
        <v>1</v>
      </c>
      <c r="Y28" s="393">
        <v>1</v>
      </c>
      <c r="Z28" s="393">
        <v>1</v>
      </c>
      <c r="AA28" s="393"/>
      <c r="AB28" s="435"/>
      <c r="AC28" s="393">
        <v>9.7999999999999997E-3</v>
      </c>
      <c r="AD28" s="411"/>
      <c r="AE28" s="435"/>
      <c r="AF28" s="388">
        <v>1.0476434817458258E-8</v>
      </c>
      <c r="AG28" s="388">
        <v>1.0476434817459305E-8</v>
      </c>
      <c r="AH28" s="388">
        <v>4.6985005809602208E-10</v>
      </c>
      <c r="AI28" s="388">
        <v>3.0993028489926829E-9</v>
      </c>
      <c r="AJ28" s="388">
        <v>1.6218802169973844E-8</v>
      </c>
      <c r="AK28" s="388">
        <v>3.0993028490021934E-9</v>
      </c>
      <c r="AL28" s="388">
        <v>1.1379053474701231E-8</v>
      </c>
      <c r="AM28" s="388">
        <v>1.6218802170130516E-8</v>
      </c>
      <c r="AN28" s="388">
        <v>3.0993028489885433E-9</v>
      </c>
      <c r="AO28" s="388">
        <v>1.6218802170027201E-8</v>
      </c>
      <c r="AP28" s="388">
        <v>3.0993028492058548E-9</v>
      </c>
      <c r="AQ28" s="388">
        <v>2.922996989200087E-23</v>
      </c>
      <c r="AR28" s="388">
        <v>-1.1982530463982269E-20</v>
      </c>
      <c r="AS28" s="388">
        <v>-4.4008584266000088E-21</v>
      </c>
      <c r="AT28" s="388">
        <v>2.7639826290746955E-22</v>
      </c>
      <c r="AU28" s="388">
        <v>1.0524460010606741E-19</v>
      </c>
      <c r="AV28" s="388">
        <v>1.0047137648975874E-21</v>
      </c>
      <c r="AW28" s="388">
        <v>1.1379053474202301E-8</v>
      </c>
      <c r="AX28" s="388">
        <v>-1.8410373252619834E-22</v>
      </c>
      <c r="AY28" s="388">
        <v>1.7248529568596561E-25</v>
      </c>
      <c r="AZ28" s="388">
        <v>2.5998458752530066E-20</v>
      </c>
      <c r="BA28" s="388">
        <v>1.1377660810435665E-8</v>
      </c>
      <c r="BB28" s="388">
        <v>1.6592342113819656E-3</v>
      </c>
      <c r="BC28" s="388">
        <v>4.0365443901411091E-3</v>
      </c>
      <c r="BD28" s="388">
        <v>7.1111959701222523E-3</v>
      </c>
      <c r="BE28" s="388">
        <v>1.0532834847410279E-2</v>
      </c>
      <c r="BF28" s="388">
        <v>1.3742797782622605E-2</v>
      </c>
      <c r="BG28" s="388">
        <v>1.774142254812772E-2</v>
      </c>
      <c r="BH28" s="388">
        <v>1.9688735211692707E-2</v>
      </c>
      <c r="BI28" s="388">
        <v>2.1978183669233889E-2</v>
      </c>
      <c r="BJ28" s="388">
        <v>2.4336381682616131E-2</v>
      </c>
      <c r="BK28" s="388">
        <v>2.7767748469688013E-2</v>
      </c>
      <c r="BL28" s="388">
        <v>2.9616349439242358E-2</v>
      </c>
      <c r="BM28" s="388">
        <v>3.1039833725869274E-2</v>
      </c>
      <c r="BN28" s="388">
        <v>3.0862498825278039E-2</v>
      </c>
      <c r="BO28" s="388">
        <v>3.0936743409020317E-2</v>
      </c>
      <c r="BP28" s="388">
        <v>3.0736400745390854E-2</v>
      </c>
      <c r="BQ28" s="388">
        <v>3.0397582037727879E-2</v>
      </c>
      <c r="BR28" s="388">
        <v>2.9665763654913472E-2</v>
      </c>
      <c r="BS28" s="388">
        <v>3.128687955904972E-2</v>
      </c>
      <c r="BT28" s="388">
        <v>3.4071220545855062E-2</v>
      </c>
      <c r="BU28" s="388">
        <v>3.6572251753787699E-2</v>
      </c>
      <c r="BV28" s="388">
        <v>3.7931458391527839E-2</v>
      </c>
      <c r="BW28" s="388">
        <v>3.9167402222339207E-2</v>
      </c>
      <c r="BX28" s="388">
        <v>4.1430782178897611E-2</v>
      </c>
      <c r="BY28" s="388">
        <v>4.1430782178897611E-2</v>
      </c>
      <c r="BZ28" s="388">
        <v>4.1430782178897611E-2</v>
      </c>
      <c r="CA28" s="388">
        <v>4.1430782178897604E-2</v>
      </c>
      <c r="CB28" s="388">
        <v>4.1430782178897611E-2</v>
      </c>
      <c r="CC28" s="388">
        <v>4.1430782178897611E-2</v>
      </c>
      <c r="CD28" s="388">
        <v>4.1430782178897611E-2</v>
      </c>
      <c r="CE28" s="388">
        <v>4.1430782178897611E-2</v>
      </c>
      <c r="CF28" s="388">
        <v>4.1430782178897611E-2</v>
      </c>
      <c r="CG28" s="388">
        <v>4.1430782178897604E-2</v>
      </c>
      <c r="CH28" s="388">
        <v>4.1430782178897715E-2</v>
      </c>
      <c r="CI28" s="388">
        <v>4.1430782178897695E-2</v>
      </c>
      <c r="CJ28" s="388">
        <v>4.1430787961067021E-2</v>
      </c>
      <c r="CK28" s="388">
        <v>4.1430782178897417E-2</v>
      </c>
      <c r="CL28" s="388">
        <v>4.1430787961067021E-2</v>
      </c>
      <c r="CM28" s="388">
        <v>4.1430787961067021E-2</v>
      </c>
      <c r="CN28" s="388">
        <v>4.1430787961067021E-2</v>
      </c>
      <c r="CO28" s="388">
        <v>4.1430787961067021E-2</v>
      </c>
      <c r="CP28" s="388">
        <v>4.1430787961067014E-2</v>
      </c>
      <c r="CQ28" s="388">
        <v>4.1430782178897611E-2</v>
      </c>
      <c r="CR28" s="388">
        <v>4.1430787961067021E-2</v>
      </c>
      <c r="CS28" s="388">
        <v>4.1430787961067021E-2</v>
      </c>
      <c r="CT28" s="388">
        <v>4.1430787961067021E-2</v>
      </c>
      <c r="CU28" s="388">
        <v>4.1430787961067021E-2</v>
      </c>
      <c r="CV28" s="388">
        <v>4.1430787961067021E-2</v>
      </c>
      <c r="CW28" s="388">
        <v>4.1430787961067021E-2</v>
      </c>
      <c r="CX28" s="388">
        <v>4.1430787961067014E-2</v>
      </c>
      <c r="CY28" s="388">
        <v>4.1430787961067021E-2</v>
      </c>
      <c r="CZ28" s="388">
        <v>4.1430787961067021E-2</v>
      </c>
      <c r="DA28" s="388">
        <v>4.1430787961067014E-2</v>
      </c>
      <c r="DB28" s="388">
        <v>4.1430782178897563E-2</v>
      </c>
      <c r="DC28" s="388">
        <v>4.1430782178897611E-2</v>
      </c>
      <c r="DD28" s="388">
        <v>4.1430787961067243E-2</v>
      </c>
      <c r="DE28" s="388">
        <v>4.1430782178897611E-2</v>
      </c>
      <c r="DF28" s="388">
        <v>4.1430782178897611E-2</v>
      </c>
      <c r="DG28" s="388">
        <v>4.1430782178897618E-2</v>
      </c>
      <c r="DH28" s="388">
        <v>4.1430787961067049E-2</v>
      </c>
      <c r="DI28" s="388">
        <v>4.1430782178897597E-2</v>
      </c>
      <c r="DJ28" s="388">
        <v>4.1430782178897611E-2</v>
      </c>
      <c r="DK28" s="388">
        <v>4.1430782178897611E-2</v>
      </c>
      <c r="DL28" s="388">
        <v>4.1430787961067E-2</v>
      </c>
      <c r="DM28" s="388">
        <v>4.1430782178897611E-2</v>
      </c>
      <c r="DN28" s="388">
        <v>4.1430782178897611E-2</v>
      </c>
      <c r="DO28" s="388">
        <v>4.1430782178897611E-2</v>
      </c>
      <c r="DP28" s="388">
        <v>4.1430782178897618E-2</v>
      </c>
      <c r="DQ28" s="388">
        <v>4.1430782178897611E-2</v>
      </c>
      <c r="DR28" s="388">
        <v>4.1430782178897639E-2</v>
      </c>
      <c r="DS28" s="388">
        <v>4.1430782178897063E-2</v>
      </c>
      <c r="DT28" s="388">
        <v>4.1430782178896702E-2</v>
      </c>
      <c r="DU28" s="388">
        <v>4.1430782178897028E-2</v>
      </c>
      <c r="DV28" s="388">
        <v>4.1430782178897611E-2</v>
      </c>
      <c r="DW28" s="388">
        <v>4.1430782178897611E-2</v>
      </c>
      <c r="DX28" s="388">
        <v>4.1430782178897618E-2</v>
      </c>
      <c r="DY28" s="388">
        <v>4.1430782178897611E-2</v>
      </c>
      <c r="DZ28" s="388">
        <v>3.1540626376893609E-2</v>
      </c>
      <c r="EA28" s="388">
        <v>3.1540626376893609E-2</v>
      </c>
      <c r="EB28" s="388"/>
      <c r="EC28" s="435"/>
      <c r="ED28" s="388">
        <v>8.1829139287026105E-5</v>
      </c>
      <c r="EE28" s="388">
        <v>-8.0719337912835392E-5</v>
      </c>
      <c r="EF28" s="388">
        <v>1.2269228100422747E-4</v>
      </c>
      <c r="EG28" s="388">
        <v>1.4658144586408182E-3</v>
      </c>
      <c r="EH28" s="388">
        <v>3.0215076328653349E-3</v>
      </c>
      <c r="EI28" s="388">
        <v>1.4223082609937721E-3</v>
      </c>
      <c r="EJ28" s="388">
        <v>3.4699525593828232E-3</v>
      </c>
      <c r="EK28" s="388">
        <v>2.1035849687859346E-3</v>
      </c>
      <c r="EL28" s="388">
        <v>4.4538348076047429E-3</v>
      </c>
      <c r="EM28" s="388">
        <v>2.3415733954337771E-4</v>
      </c>
      <c r="EN28" s="388">
        <v>2.5599999999999994E-2</v>
      </c>
      <c r="EO28" s="388">
        <v>2.8541763579482047E-2</v>
      </c>
      <c r="EP28" s="388">
        <v>2.0212040309021122E-2</v>
      </c>
      <c r="EQ28" s="388">
        <v>1.642589768564541E-2</v>
      </c>
      <c r="ER28" s="388">
        <v>2.3198261882376874E-2</v>
      </c>
      <c r="ES28" s="388">
        <v>2.2546241223534581E-2</v>
      </c>
      <c r="ET28" s="388">
        <v>1.9790847877126282E-2</v>
      </c>
      <c r="EU28" s="388">
        <v>1.8844739081405826E-2</v>
      </c>
      <c r="EV28" s="388">
        <v>2.1676540794291585E-2</v>
      </c>
      <c r="EW28" s="388">
        <v>2.2778403270865763E-2</v>
      </c>
      <c r="EX28" s="388">
        <v>2.0882420113695139E-2</v>
      </c>
      <c r="EY28" s="388">
        <v>9.4661130096023208E-4</v>
      </c>
      <c r="EZ28" s="388">
        <v>-8.6153902289702296E-4</v>
      </c>
      <c r="FA28" s="388">
        <v>1.6656016769279875E-2</v>
      </c>
      <c r="FB28" s="388">
        <v>7.8882740643491881E-3</v>
      </c>
      <c r="FC28" s="388">
        <v>2.0477137863466597E-3</v>
      </c>
      <c r="FD28" s="388">
        <v>1.6107502342388438E-3</v>
      </c>
      <c r="FE28" s="388">
        <v>8.1817219576975993E-5</v>
      </c>
      <c r="FF28" s="388">
        <v>-5.8937929269689337E-5</v>
      </c>
      <c r="FG28" s="388">
        <v>9.2019210753170586E-5</v>
      </c>
      <c r="FH28" s="388">
        <v>1.1002762019008425E-3</v>
      </c>
      <c r="FI28" s="388">
        <v>4.2997238235830638E-3</v>
      </c>
      <c r="FJ28" s="388">
        <v>2.4914819196045204E-3</v>
      </c>
      <c r="FK28" s="388">
        <v>1.0917633715111653E-2</v>
      </c>
      <c r="FL28" s="388">
        <v>1.2412341249805475E-3</v>
      </c>
      <c r="FM28" s="388">
        <v>-1.5147353105140701E-3</v>
      </c>
      <c r="FN28" s="388">
        <v>-1.9743395321018525E-3</v>
      </c>
      <c r="FO28" s="388">
        <v>5.7621649943351803E-4</v>
      </c>
      <c r="FP28" s="388">
        <v>-2.3238921843753951E-2</v>
      </c>
      <c r="FQ28" s="388">
        <v>-2.5974483556057155E-2</v>
      </c>
      <c r="FR28" s="388">
        <v>-2.0212040309021122E-2</v>
      </c>
      <c r="FS28" s="388">
        <v>-1.6493561288158213E-2</v>
      </c>
      <c r="FT28" s="388">
        <v>-2.2061496647841929E-2</v>
      </c>
      <c r="FU28" s="388">
        <v>-2.1311444871594015E-2</v>
      </c>
      <c r="FV28" s="388">
        <v>-1.9506031205503437E-2</v>
      </c>
      <c r="FW28" s="388">
        <v>-1.74957347853739E-2</v>
      </c>
      <c r="FX28" s="388">
        <v>-2.0752669457692836E-2</v>
      </c>
      <c r="FY28" s="388">
        <v>-2.2200858952181348E-2</v>
      </c>
      <c r="FZ28" s="388">
        <v>-1.9993678060353261E-2</v>
      </c>
      <c r="GA28" s="388">
        <v>-1.833026649040057E-4</v>
      </c>
      <c r="GB28" s="388"/>
      <c r="GC28" s="388"/>
      <c r="GD28" s="388"/>
      <c r="GE28" s="388"/>
      <c r="GF28" s="388"/>
      <c r="GG28" s="388"/>
      <c r="GH28" s="388"/>
      <c r="GI28" s="388"/>
      <c r="GJ28" s="388"/>
      <c r="GK28" s="388"/>
      <c r="GL28" s="388"/>
      <c r="GM28" s="388"/>
      <c r="GN28" s="388"/>
      <c r="GO28" s="388"/>
      <c r="GP28" s="412"/>
      <c r="GQ28" s="412"/>
      <c r="GR28" s="412"/>
      <c r="GS28" s="412"/>
      <c r="GT28" s="412"/>
      <c r="GU28" s="412"/>
      <c r="GV28" s="412"/>
      <c r="GW28" s="412"/>
      <c r="GX28" s="412"/>
      <c r="GY28" s="412"/>
      <c r="GZ28" s="412"/>
      <c r="HA28" s="412"/>
      <c r="HB28" s="412"/>
      <c r="HC28" s="412"/>
      <c r="HD28" s="412"/>
      <c r="HE28" s="412"/>
      <c r="HF28" s="412"/>
      <c r="HG28" s="412"/>
      <c r="HH28" s="412"/>
      <c r="HI28" s="412"/>
      <c r="HJ28" s="412"/>
      <c r="HK28" s="412"/>
      <c r="HL28" s="412"/>
      <c r="HM28" s="412"/>
      <c r="HN28" s="412"/>
      <c r="HO28" s="412"/>
      <c r="HP28" s="412"/>
      <c r="HQ28" s="412"/>
      <c r="HR28" s="412"/>
      <c r="HS28" s="412"/>
      <c r="HT28" s="412"/>
      <c r="HU28" s="412"/>
      <c r="HV28" s="412"/>
      <c r="HW28" s="412"/>
      <c r="HX28" s="412"/>
      <c r="HY28" s="412"/>
      <c r="HZ28" s="412"/>
      <c r="IA28" s="412"/>
      <c r="IB28" s="412"/>
      <c r="IC28" s="412"/>
      <c r="ID28" s="412"/>
      <c r="IE28" s="412"/>
      <c r="IF28" s="412"/>
      <c r="IG28" s="412"/>
      <c r="IH28" s="412"/>
      <c r="II28" s="412"/>
      <c r="IJ28" s="412"/>
      <c r="IK28" s="412"/>
      <c r="IL28" s="412"/>
      <c r="IM28" s="412"/>
      <c r="IN28" s="412"/>
      <c r="IO28" s="412"/>
      <c r="IP28" s="412"/>
      <c r="IQ28" s="412"/>
      <c r="IR28" s="412"/>
      <c r="IS28" s="412"/>
      <c r="IT28" s="412"/>
      <c r="IU28" s="412"/>
      <c r="IV28" s="412"/>
      <c r="IW28" s="412"/>
      <c r="IX28" s="412"/>
      <c r="IY28" s="412"/>
      <c r="IZ28" s="412"/>
      <c r="JA28" s="412"/>
      <c r="JB28" s="412"/>
      <c r="JC28" s="412"/>
      <c r="JD28" s="412"/>
      <c r="JE28" s="412"/>
      <c r="JF28" s="412"/>
      <c r="JG28" s="412"/>
      <c r="JH28" s="412"/>
      <c r="JI28" s="412"/>
      <c r="JJ28" s="412"/>
      <c r="JK28" s="412"/>
      <c r="JL28" s="412"/>
      <c r="JM28" s="412"/>
      <c r="JN28" s="412"/>
      <c r="JO28" s="412"/>
      <c r="JP28" s="412"/>
      <c r="JQ28" s="412"/>
      <c r="JR28" s="412"/>
      <c r="JS28" s="412"/>
      <c r="JT28" s="412"/>
      <c r="JU28" s="412"/>
      <c r="JV28" s="412"/>
      <c r="JW28" s="412"/>
      <c r="JX28" s="412"/>
      <c r="JY28" s="412"/>
      <c r="JZ28" s="412"/>
      <c r="KA28" s="412"/>
      <c r="KB28" s="412"/>
      <c r="KC28" s="412"/>
      <c r="KD28" s="412"/>
      <c r="KE28" s="412"/>
      <c r="KF28" s="412"/>
      <c r="KG28" s="412"/>
      <c r="KH28" s="412"/>
      <c r="KI28" s="412"/>
      <c r="KJ28" s="412"/>
      <c r="KK28" s="412"/>
      <c r="KL28" s="412"/>
      <c r="KM28" s="412"/>
      <c r="KN28" s="412"/>
      <c r="KO28" s="412"/>
      <c r="KP28" s="412"/>
      <c r="KQ28" s="412"/>
      <c r="KR28" s="412"/>
      <c r="KS28" s="412"/>
      <c r="KT28" s="412"/>
      <c r="KU28" s="412"/>
      <c r="KV28" s="412"/>
      <c r="KW28" s="412"/>
      <c r="KX28" s="412"/>
      <c r="KY28" s="412"/>
      <c r="KZ28" s="412"/>
      <c r="LA28" s="412"/>
      <c r="LB28" s="412"/>
      <c r="LC28" s="412"/>
      <c r="LD28" s="412"/>
      <c r="LE28" s="412"/>
      <c r="LF28" s="412"/>
      <c r="LG28" s="412"/>
      <c r="LH28" s="412"/>
      <c r="LI28" s="412"/>
      <c r="LJ28" s="412"/>
      <c r="LK28" s="412"/>
      <c r="LL28" s="412"/>
      <c r="LM28" s="412"/>
      <c r="LN28" s="412"/>
      <c r="LO28" s="412"/>
      <c r="LP28" s="412"/>
      <c r="LQ28" s="412"/>
      <c r="LR28" s="412"/>
      <c r="LS28" s="412"/>
      <c r="LT28" s="412"/>
      <c r="LU28" s="412"/>
      <c r="LV28" s="412"/>
      <c r="LW28" s="412"/>
      <c r="LX28" s="412"/>
      <c r="LY28" s="412"/>
      <c r="LZ28" s="412"/>
      <c r="MA28" s="412"/>
      <c r="MB28" s="412"/>
      <c r="MC28" s="412"/>
      <c r="MD28" s="412"/>
      <c r="ME28" s="412"/>
      <c r="MF28" s="412"/>
      <c r="MG28" s="412"/>
      <c r="MH28" s="412"/>
      <c r="MI28" s="412"/>
      <c r="MJ28" s="412"/>
      <c r="MK28" s="412"/>
      <c r="ML28" s="412"/>
      <c r="MM28" s="412"/>
      <c r="MN28" s="412"/>
      <c r="MO28" s="412"/>
      <c r="MP28" s="412"/>
      <c r="MQ28" s="412"/>
      <c r="MR28" s="412"/>
      <c r="MS28" s="412"/>
      <c r="MT28" s="412"/>
      <c r="MU28" s="412"/>
      <c r="MV28" s="412"/>
      <c r="MW28" s="412"/>
      <c r="MX28" s="412"/>
      <c r="MY28" s="412"/>
      <c r="MZ28" s="412"/>
      <c r="NA28" s="412"/>
      <c r="NB28" s="412"/>
      <c r="NC28" s="412"/>
      <c r="ND28" s="412"/>
      <c r="NE28" s="412"/>
      <c r="NF28" s="412"/>
      <c r="NG28" s="412"/>
      <c r="NH28" s="412"/>
      <c r="NI28" s="412"/>
      <c r="NJ28" s="412"/>
      <c r="NK28" s="412"/>
      <c r="NL28" s="412"/>
      <c r="NM28" s="412"/>
      <c r="NN28" s="412"/>
      <c r="NO28" s="412"/>
      <c r="NP28" s="412"/>
      <c r="NQ28" s="412"/>
      <c r="NR28" s="412"/>
      <c r="NS28" s="412"/>
      <c r="NT28" s="412"/>
      <c r="NU28" s="412"/>
      <c r="NV28" s="412"/>
      <c r="NW28" s="412"/>
      <c r="NX28" s="412"/>
      <c r="NY28" s="412"/>
      <c r="NZ28" s="412"/>
      <c r="OA28" s="412"/>
      <c r="OB28" s="412"/>
      <c r="OC28" s="412"/>
      <c r="OD28" s="412"/>
      <c r="OE28" s="412"/>
      <c r="OF28" s="412"/>
      <c r="OG28" s="412"/>
      <c r="OH28" s="412"/>
      <c r="OI28" s="412"/>
      <c r="OJ28" s="412"/>
      <c r="OK28" s="412"/>
      <c r="OL28" s="412"/>
      <c r="OM28" s="412"/>
      <c r="ON28" s="412"/>
      <c r="OO28" s="412"/>
      <c r="OP28" s="412"/>
      <c r="OQ28" s="412"/>
      <c r="OR28" s="412"/>
      <c r="OS28" s="412"/>
      <c r="OT28" s="412"/>
      <c r="OU28" s="412"/>
      <c r="OV28" s="412"/>
      <c r="OW28" s="412"/>
      <c r="OX28" s="412"/>
      <c r="OY28" s="412"/>
      <c r="OZ28" s="412"/>
      <c r="PA28" s="412"/>
      <c r="PB28" s="412"/>
      <c r="PC28" s="412"/>
      <c r="PD28" s="412"/>
      <c r="PE28" s="412"/>
      <c r="PF28" s="412"/>
      <c r="PG28" s="412"/>
      <c r="PH28" s="412"/>
      <c r="PI28" s="412"/>
      <c r="PJ28" s="412"/>
      <c r="PK28" s="412"/>
      <c r="PL28" s="412"/>
      <c r="PM28" s="412"/>
      <c r="PN28" s="412"/>
      <c r="PO28" s="412"/>
      <c r="PP28" s="412"/>
      <c r="PQ28" s="412"/>
      <c r="PR28" s="412"/>
      <c r="PS28" s="412"/>
      <c r="PT28" s="412"/>
      <c r="PU28" s="412"/>
      <c r="PV28" s="412"/>
      <c r="PW28" s="412"/>
      <c r="PX28" s="412"/>
      <c r="PY28" s="412"/>
      <c r="PZ28" s="412"/>
      <c r="QA28" s="412"/>
      <c r="QB28" s="412"/>
      <c r="QC28" s="412"/>
      <c r="QD28" s="412"/>
      <c r="QE28" s="412"/>
      <c r="QF28" s="412"/>
      <c r="QG28" s="412"/>
      <c r="QH28" s="412"/>
      <c r="QI28" s="412"/>
      <c r="QJ28" s="412"/>
      <c r="QK28" s="412"/>
      <c r="QL28" s="412"/>
      <c r="QM28" s="412"/>
      <c r="QN28" s="412"/>
      <c r="QO28" s="412"/>
      <c r="QP28" s="412"/>
      <c r="QQ28" s="412"/>
      <c r="QR28" s="412"/>
      <c r="QS28" s="412"/>
      <c r="QT28" s="412"/>
      <c r="QU28" s="412"/>
      <c r="QV28" s="412"/>
      <c r="QW28" s="412"/>
      <c r="QX28" s="412"/>
      <c r="QY28" s="412"/>
      <c r="QZ28" s="412"/>
      <c r="RA28" s="412"/>
      <c r="RB28" s="412"/>
      <c r="RC28" s="412"/>
      <c r="RD28" s="412"/>
      <c r="RE28" s="412"/>
      <c r="RF28" s="412"/>
      <c r="RG28" s="412"/>
      <c r="RH28" s="412"/>
      <c r="RI28" s="412"/>
      <c r="RJ28" s="412"/>
      <c r="RK28" s="412"/>
      <c r="RL28" s="412"/>
      <c r="RM28" s="412"/>
      <c r="RN28" s="412"/>
      <c r="RO28" s="412"/>
      <c r="RP28" s="412"/>
      <c r="RQ28" s="412"/>
      <c r="RR28" s="412"/>
      <c r="RS28" s="412"/>
      <c r="RT28" s="412"/>
      <c r="RU28" s="412"/>
      <c r="RV28" s="412"/>
      <c r="RW28" s="412"/>
      <c r="RX28" s="412"/>
      <c r="RY28" s="412"/>
      <c r="RZ28" s="412"/>
      <c r="SA28" s="412"/>
      <c r="SB28" s="412"/>
      <c r="SC28" s="412"/>
      <c r="SD28" s="412"/>
      <c r="SE28" s="412"/>
      <c r="SF28" s="412"/>
      <c r="SG28" s="412"/>
    </row>
    <row r="29" spans="1:501" x14ac:dyDescent="0.2">
      <c r="A29" s="391" t="s">
        <v>11</v>
      </c>
      <c r="B29" s="110"/>
      <c r="C29" s="392">
        <v>0.105</v>
      </c>
      <c r="D29" s="392">
        <v>0.2</v>
      </c>
      <c r="E29" s="392">
        <v>0</v>
      </c>
      <c r="F29" s="392">
        <v>1</v>
      </c>
      <c r="G29" s="392"/>
      <c r="H29" s="435"/>
      <c r="I29" s="410">
        <v>0</v>
      </c>
      <c r="J29" s="410">
        <v>1</v>
      </c>
      <c r="K29" s="410">
        <v>0</v>
      </c>
      <c r="L29" s="410">
        <v>0</v>
      </c>
      <c r="M29" s="410">
        <v>0</v>
      </c>
      <c r="N29" s="410">
        <v>1</v>
      </c>
      <c r="O29" s="435"/>
      <c r="P29" s="393">
        <v>0</v>
      </c>
      <c r="Q29" s="393">
        <v>1</v>
      </c>
      <c r="R29" s="393">
        <v>0</v>
      </c>
      <c r="S29" s="393">
        <v>0</v>
      </c>
      <c r="T29" s="393">
        <v>0</v>
      </c>
      <c r="U29" s="435"/>
      <c r="V29" s="393">
        <v>1</v>
      </c>
      <c r="W29" s="393">
        <v>1</v>
      </c>
      <c r="X29" s="393">
        <v>1</v>
      </c>
      <c r="Y29" s="393">
        <v>1</v>
      </c>
      <c r="Z29" s="393">
        <v>1</v>
      </c>
      <c r="AA29" s="393"/>
      <c r="AB29" s="435"/>
      <c r="AC29" s="393">
        <v>6.4000000000000003E-3</v>
      </c>
      <c r="AD29" s="411"/>
      <c r="AE29" s="435"/>
      <c r="AF29" s="388">
        <v>5.7740098572454296E-23</v>
      </c>
      <c r="AG29" s="388">
        <v>0</v>
      </c>
      <c r="AH29" s="388">
        <v>9.1863191904441318E-11</v>
      </c>
      <c r="AI29" s="388">
        <v>6.0596321632348856E-10</v>
      </c>
      <c r="AJ29" s="388">
        <v>-8.8959950517164543E-12</v>
      </c>
      <c r="AK29" s="388">
        <v>6.0596321632724737E-10</v>
      </c>
      <c r="AL29" s="388">
        <v>-6.4063584084551676E-19</v>
      </c>
      <c r="AM29" s="388">
        <v>-8.8959950517165836E-12</v>
      </c>
      <c r="AN29" s="388">
        <v>6.0596321632250029E-10</v>
      </c>
      <c r="AO29" s="388">
        <v>1.1693023297591073E-20</v>
      </c>
      <c r="AP29" s="388">
        <v>6.059632163219559E-10</v>
      </c>
      <c r="AQ29" s="388">
        <v>3.5073825691482858E-23</v>
      </c>
      <c r="AR29" s="388">
        <v>-3.8414193978141191E-21</v>
      </c>
      <c r="AS29" s="388">
        <v>-1.2965994305882647E-21</v>
      </c>
      <c r="AT29" s="388">
        <v>1.4809331718156313E-22</v>
      </c>
      <c r="AU29" s="388">
        <v>2.6039524278121121E-20</v>
      </c>
      <c r="AV29" s="388">
        <v>4.0732251998176127E-22</v>
      </c>
      <c r="AW29" s="388">
        <v>5.5179123185137543E-23</v>
      </c>
      <c r="AX29" s="388">
        <v>-2.4534933345133095E-21</v>
      </c>
      <c r="AY29" s="388">
        <v>-3.2133148394778722E-23</v>
      </c>
      <c r="AZ29" s="388">
        <v>5.2303505113315311E-21</v>
      </c>
      <c r="BA29" s="388">
        <v>-4.8917814837193911E-23</v>
      </c>
      <c r="BB29" s="388">
        <v>-1.2877959566233651E-21</v>
      </c>
      <c r="BC29" s="388">
        <v>-1.2966703707761618E-22</v>
      </c>
      <c r="BD29" s="388">
        <v>-4.9575419443874293E-22</v>
      </c>
      <c r="BE29" s="388">
        <v>-8.9721618995193505E-22</v>
      </c>
      <c r="BF29" s="388">
        <v>-1.2763514416494346E-21</v>
      </c>
      <c r="BG29" s="388">
        <v>1.8623554801660506E-22</v>
      </c>
      <c r="BH29" s="388">
        <v>-2.7846645477440442E-24</v>
      </c>
      <c r="BI29" s="388">
        <v>-2.3711172105166977E-21</v>
      </c>
      <c r="BJ29" s="388">
        <v>-4.7908326941420012E-23</v>
      </c>
      <c r="BK29" s="388">
        <v>-3.1132948134819112E-23</v>
      </c>
      <c r="BL29" s="388">
        <v>-1.4330050976993073E-22</v>
      </c>
      <c r="BM29" s="388">
        <v>-1.842922546404366E-22</v>
      </c>
      <c r="BN29" s="388">
        <v>-4.6884305827450211E-23</v>
      </c>
      <c r="BO29" s="388">
        <v>1.4835786774981137E-22</v>
      </c>
      <c r="BP29" s="388">
        <v>4.1303535998199423E-22</v>
      </c>
      <c r="BQ29" s="388">
        <v>4.8014947967915486E-21</v>
      </c>
      <c r="BR29" s="388">
        <v>8.9137903123433521E-23</v>
      </c>
      <c r="BS29" s="388">
        <v>-2.1001796505987621E-22</v>
      </c>
      <c r="BT29" s="388">
        <v>1.3763710017138631E-23</v>
      </c>
      <c r="BU29" s="388">
        <v>4.7712178763951853E-24</v>
      </c>
      <c r="BV29" s="388">
        <v>1.8266943660355709E-22</v>
      </c>
      <c r="BW29" s="388">
        <v>-1.4372450641867296E-22</v>
      </c>
      <c r="BX29" s="388">
        <v>-4.0935838822383736E-23</v>
      </c>
      <c r="BY29" s="388">
        <v>7.4742175753438732E-22</v>
      </c>
      <c r="BZ29" s="388">
        <v>-4.6180141750334813E-21</v>
      </c>
      <c r="CA29" s="388">
        <v>-4.346970389072677E-20</v>
      </c>
      <c r="CB29" s="388">
        <v>-2.2549756953142887E-19</v>
      </c>
      <c r="CC29" s="388">
        <v>-3.6941944104618394E-23</v>
      </c>
      <c r="CD29" s="388">
        <v>-1.7029360825218949E-20</v>
      </c>
      <c r="CE29" s="388">
        <v>7.1616867519050397E-22</v>
      </c>
      <c r="CF29" s="388">
        <v>8.644009628271625E-26</v>
      </c>
      <c r="CG29" s="388">
        <v>-2.5472049583934237E-16</v>
      </c>
      <c r="CH29" s="388">
        <v>7.1230397340477475E-17</v>
      </c>
      <c r="CI29" s="388">
        <v>-6.9925756287165514E-17</v>
      </c>
      <c r="CJ29" s="388">
        <v>-2.8594628986260173E-21</v>
      </c>
      <c r="CK29" s="388">
        <v>7.0482458101262043E-17</v>
      </c>
      <c r="CL29" s="388">
        <v>-3.5878094254142333E-20</v>
      </c>
      <c r="CM29" s="388">
        <v>1.5787790278154716E-21</v>
      </c>
      <c r="CN29" s="388">
        <v>1.0844829203942085E-20</v>
      </c>
      <c r="CO29" s="388">
        <v>-1.9314196068122457E-23</v>
      </c>
      <c r="CP29" s="388">
        <v>-3.059215811152567E-23</v>
      </c>
      <c r="CQ29" s="388">
        <v>1.0576474951761919E-19</v>
      </c>
      <c r="CR29" s="388">
        <v>-1.3862042564526572E-22</v>
      </c>
      <c r="CS29" s="388">
        <v>6.8127394426649438E-20</v>
      </c>
      <c r="CT29" s="388">
        <v>-1.2653881594178468E-19</v>
      </c>
      <c r="CU29" s="388">
        <v>-5.7165028190041496E-22</v>
      </c>
      <c r="CV29" s="388">
        <v>-1.1166397479112635E-23</v>
      </c>
      <c r="CW29" s="388">
        <v>1.1624943708564652E-21</v>
      </c>
      <c r="CX29" s="388">
        <v>-3.8522362747932989E-20</v>
      </c>
      <c r="CY29" s="388">
        <v>-7.6689154878925438E-23</v>
      </c>
      <c r="CZ29" s="388">
        <v>1.7930218302785065E-19</v>
      </c>
      <c r="DA29" s="388">
        <v>1.1104972768559479E-21</v>
      </c>
      <c r="DB29" s="388">
        <v>-2.4466662160413909E-18</v>
      </c>
      <c r="DC29" s="388">
        <v>3.6776955739686946E-22</v>
      </c>
      <c r="DD29" s="388">
        <v>-2.6237225164390354E-16</v>
      </c>
      <c r="DE29" s="388">
        <v>-2.0705229332875759E-23</v>
      </c>
      <c r="DF29" s="388">
        <v>1.6082051200613212E-23</v>
      </c>
      <c r="DG29" s="388">
        <v>-1.2217385718684832E-18</v>
      </c>
      <c r="DH29" s="388">
        <v>-1.1390957906402693E-16</v>
      </c>
      <c r="DI29" s="388">
        <v>7.4905769633434377E-18</v>
      </c>
      <c r="DJ29" s="388">
        <v>1.8717995124539198E-18</v>
      </c>
      <c r="DK29" s="388">
        <v>2.3474807509255977E-21</v>
      </c>
      <c r="DL29" s="388">
        <v>-2.5672050641584284E-16</v>
      </c>
      <c r="DM29" s="388">
        <v>9.3750238990034992E-20</v>
      </c>
      <c r="DN29" s="388">
        <v>-7.2175039950100547E-20</v>
      </c>
      <c r="DO29" s="388">
        <v>-7.0583517114829124E-20</v>
      </c>
      <c r="DP29" s="388">
        <v>-1.0205066986977365E-18</v>
      </c>
      <c r="DQ29" s="388">
        <v>1.6494486204834745E-20</v>
      </c>
      <c r="DR29" s="388">
        <v>-1.1897632674591559E-16</v>
      </c>
      <c r="DS29" s="388">
        <v>3.2564064948123688E-17</v>
      </c>
      <c r="DT29" s="388">
        <v>1.6169119861877399E-17</v>
      </c>
      <c r="DU29" s="388">
        <v>-1.2216925421547403E-17</v>
      </c>
      <c r="DV29" s="388">
        <v>7.02860903344924E-21</v>
      </c>
      <c r="DW29" s="388">
        <v>3.7734796556101375E-20</v>
      </c>
      <c r="DX29" s="388">
        <v>5.1755949354647931E-20</v>
      </c>
      <c r="DY29" s="388">
        <v>5.0170748937707535E-20</v>
      </c>
      <c r="DZ29" s="388">
        <v>9.7036774098048263E-3</v>
      </c>
      <c r="EA29" s="388">
        <v>9.7036774098048263E-3</v>
      </c>
      <c r="EB29" s="388"/>
      <c r="EC29" s="435"/>
      <c r="ED29" s="388">
        <v>4.2621075633648471E-5</v>
      </c>
      <c r="EE29" s="388">
        <v>-3.3534872546099815E-4</v>
      </c>
      <c r="EF29" s="388">
        <v>-5.1610673011925358E-4</v>
      </c>
      <c r="EG29" s="388">
        <v>1.937481934174297E-3</v>
      </c>
      <c r="EH29" s="388">
        <v>3.7004233384906214E-3</v>
      </c>
      <c r="EI29" s="388">
        <v>1.6039770130571516E-3</v>
      </c>
      <c r="EJ29" s="388">
        <v>3.915808578875966E-3</v>
      </c>
      <c r="EK29" s="388">
        <v>2.6412234255827442E-3</v>
      </c>
      <c r="EL29" s="388">
        <v>5.4864697724617923E-3</v>
      </c>
      <c r="EM29" s="388">
        <v>4.7415089021978548E-4</v>
      </c>
      <c r="EN29" s="388">
        <v>2.8541763579482047E-2</v>
      </c>
      <c r="EO29" s="388">
        <v>4.0000000000000008E-2</v>
      </c>
      <c r="EP29" s="388">
        <v>2.6954087844403372E-2</v>
      </c>
      <c r="EQ29" s="388">
        <v>1.9657929555351662E-2</v>
      </c>
      <c r="ER29" s="388">
        <v>2.6608079900467652E-2</v>
      </c>
      <c r="ES29" s="388">
        <v>2.4329640818029973E-2</v>
      </c>
      <c r="ET29" s="388">
        <v>2.1135972032543807E-2</v>
      </c>
      <c r="EU29" s="388">
        <v>2.3830149150106689E-2</v>
      </c>
      <c r="EV29" s="388">
        <v>2.8828708585982913E-2</v>
      </c>
      <c r="EW29" s="388">
        <v>3.0992102025917831E-2</v>
      </c>
      <c r="EX29" s="388">
        <v>3.0167336469693676E-2</v>
      </c>
      <c r="EY29" s="388">
        <v>3.1027416916925584E-5</v>
      </c>
      <c r="EZ29" s="388">
        <v>-2.2480954629247648E-3</v>
      </c>
      <c r="FA29" s="388">
        <v>2.2572588135810562E-2</v>
      </c>
      <c r="FB29" s="388">
        <v>1.4987717176354002E-2</v>
      </c>
      <c r="FC29" s="388">
        <v>1.2086659402644562E-3</v>
      </c>
      <c r="FD29" s="388">
        <v>1.8669105415813191E-3</v>
      </c>
      <c r="FE29" s="388">
        <v>4.2606037746111336E-5</v>
      </c>
      <c r="FF29" s="388">
        <v>-2.4485779954295102E-4</v>
      </c>
      <c r="FG29" s="388">
        <v>-3.8708004758944019E-4</v>
      </c>
      <c r="FH29" s="388">
        <v>1.2408124063272303E-3</v>
      </c>
      <c r="FI29" s="388">
        <v>4.8521975868680454E-3</v>
      </c>
      <c r="FJ29" s="388">
        <v>1.6003981727175369E-3</v>
      </c>
      <c r="FK29" s="388">
        <v>1.2844343309241724E-2</v>
      </c>
      <c r="FL29" s="388">
        <v>1.8396951596461816E-3</v>
      </c>
      <c r="FM29" s="388">
        <v>-1.9740800306922942E-3</v>
      </c>
      <c r="FN29" s="388">
        <v>-2.4600872894586737E-3</v>
      </c>
      <c r="FO29" s="388">
        <v>1.2029899531074673E-3</v>
      </c>
      <c r="FP29" s="388">
        <v>-2.7351403290653133E-2</v>
      </c>
      <c r="FQ29" s="388">
        <v>-3.7726368207356024E-2</v>
      </c>
      <c r="FR29" s="388">
        <v>-2.6954087844403372E-2</v>
      </c>
      <c r="FS29" s="388">
        <v>-2.0662957597682902E-2</v>
      </c>
      <c r="FT29" s="388">
        <v>-2.6189885281542778E-2</v>
      </c>
      <c r="FU29" s="388">
        <v>-2.3986780334463335E-2</v>
      </c>
      <c r="FV29" s="388">
        <v>-2.1851918032669788E-2</v>
      </c>
      <c r="FW29" s="388">
        <v>-2.2982351694884256E-2</v>
      </c>
      <c r="FX29" s="388">
        <v>-2.8398120706540186E-2</v>
      </c>
      <c r="FY29" s="388">
        <v>-3.1010917969224002E-2</v>
      </c>
      <c r="FZ29" s="388">
        <v>-2.9764325777090726E-2</v>
      </c>
      <c r="GA29" s="388">
        <v>-1.7138011995017873E-4</v>
      </c>
      <c r="GB29" s="388"/>
      <c r="GC29" s="388"/>
      <c r="GD29" s="388"/>
      <c r="GE29" s="388"/>
      <c r="GF29" s="388"/>
      <c r="GG29" s="388"/>
      <c r="GH29" s="388"/>
      <c r="GI29" s="388"/>
      <c r="GJ29" s="388"/>
      <c r="GK29" s="388"/>
      <c r="GL29" s="388"/>
      <c r="GM29" s="388"/>
      <c r="GN29" s="388"/>
      <c r="GO29" s="388"/>
      <c r="GP29" s="412"/>
      <c r="GQ29" s="412"/>
      <c r="GR29" s="412"/>
      <c r="GS29" s="412"/>
      <c r="GT29" s="412"/>
      <c r="GU29" s="412"/>
      <c r="GV29" s="412"/>
      <c r="GW29" s="412"/>
      <c r="GX29" s="412"/>
      <c r="GY29" s="412"/>
      <c r="GZ29" s="412"/>
      <c r="HA29" s="412"/>
      <c r="HB29" s="412"/>
      <c r="HC29" s="412"/>
      <c r="HD29" s="412"/>
      <c r="HE29" s="412"/>
      <c r="HF29" s="412"/>
      <c r="HG29" s="412"/>
      <c r="HH29" s="412"/>
      <c r="HI29" s="412"/>
      <c r="HJ29" s="412"/>
      <c r="HK29" s="412"/>
      <c r="HL29" s="412"/>
      <c r="HM29" s="412"/>
      <c r="HN29" s="412"/>
      <c r="HO29" s="412"/>
      <c r="HP29" s="412"/>
      <c r="HQ29" s="412"/>
      <c r="HR29" s="412"/>
      <c r="HS29" s="412"/>
      <c r="HT29" s="412"/>
      <c r="HU29" s="412"/>
      <c r="HV29" s="412"/>
      <c r="HW29" s="412"/>
      <c r="HX29" s="412"/>
      <c r="HY29" s="412"/>
      <c r="HZ29" s="412"/>
      <c r="IA29" s="412"/>
      <c r="IB29" s="412"/>
      <c r="IC29" s="412"/>
      <c r="ID29" s="412"/>
      <c r="IE29" s="412"/>
      <c r="IF29" s="412"/>
      <c r="IG29" s="412"/>
      <c r="IH29" s="412"/>
      <c r="II29" s="412"/>
      <c r="IJ29" s="412"/>
      <c r="IK29" s="412"/>
      <c r="IL29" s="412"/>
      <c r="IM29" s="412"/>
      <c r="IN29" s="412"/>
      <c r="IO29" s="412"/>
      <c r="IP29" s="412"/>
      <c r="IQ29" s="412"/>
      <c r="IR29" s="412"/>
      <c r="IS29" s="412"/>
      <c r="IT29" s="412"/>
      <c r="IU29" s="412"/>
      <c r="IV29" s="412"/>
      <c r="IW29" s="412"/>
      <c r="IX29" s="412"/>
      <c r="IY29" s="412"/>
      <c r="IZ29" s="412"/>
      <c r="JA29" s="412"/>
      <c r="JB29" s="412"/>
      <c r="JC29" s="412"/>
      <c r="JD29" s="412"/>
      <c r="JE29" s="412"/>
      <c r="JF29" s="412"/>
      <c r="JG29" s="412"/>
      <c r="JH29" s="412"/>
      <c r="JI29" s="412"/>
      <c r="JJ29" s="412"/>
      <c r="JK29" s="412"/>
      <c r="JL29" s="412"/>
      <c r="JM29" s="412"/>
      <c r="JN29" s="412"/>
      <c r="JO29" s="412"/>
      <c r="JP29" s="412"/>
      <c r="JQ29" s="412"/>
      <c r="JR29" s="412"/>
      <c r="JS29" s="412"/>
      <c r="JT29" s="412"/>
      <c r="JU29" s="412"/>
      <c r="JV29" s="412"/>
      <c r="JW29" s="412"/>
      <c r="JX29" s="412"/>
      <c r="JY29" s="412"/>
      <c r="JZ29" s="412"/>
      <c r="KA29" s="412"/>
      <c r="KB29" s="412"/>
      <c r="KC29" s="412"/>
      <c r="KD29" s="412"/>
      <c r="KE29" s="412"/>
      <c r="KF29" s="412"/>
      <c r="KG29" s="412"/>
      <c r="KH29" s="412"/>
      <c r="KI29" s="412"/>
      <c r="KJ29" s="412"/>
      <c r="KK29" s="412"/>
      <c r="KL29" s="412"/>
      <c r="KM29" s="412"/>
      <c r="KN29" s="412"/>
      <c r="KO29" s="412"/>
      <c r="KP29" s="412"/>
      <c r="KQ29" s="412"/>
      <c r="KR29" s="412"/>
      <c r="KS29" s="412"/>
      <c r="KT29" s="412"/>
      <c r="KU29" s="412"/>
      <c r="KV29" s="412"/>
      <c r="KW29" s="412"/>
      <c r="KX29" s="412"/>
      <c r="KY29" s="412"/>
      <c r="KZ29" s="412"/>
      <c r="LA29" s="412"/>
      <c r="LB29" s="412"/>
      <c r="LC29" s="412"/>
      <c r="LD29" s="412"/>
      <c r="LE29" s="412"/>
      <c r="LF29" s="412"/>
      <c r="LG29" s="412"/>
      <c r="LH29" s="412"/>
      <c r="LI29" s="412"/>
      <c r="LJ29" s="412"/>
      <c r="LK29" s="412"/>
      <c r="LL29" s="412"/>
      <c r="LM29" s="412"/>
      <c r="LN29" s="412"/>
      <c r="LO29" s="412"/>
      <c r="LP29" s="412"/>
      <c r="LQ29" s="412"/>
      <c r="LR29" s="412"/>
      <c r="LS29" s="412"/>
      <c r="LT29" s="412"/>
      <c r="LU29" s="412"/>
      <c r="LV29" s="412"/>
      <c r="LW29" s="412"/>
      <c r="LX29" s="412"/>
      <c r="LY29" s="412"/>
      <c r="LZ29" s="412"/>
      <c r="MA29" s="412"/>
      <c r="MB29" s="412"/>
      <c r="MC29" s="412"/>
      <c r="MD29" s="412"/>
      <c r="ME29" s="412"/>
      <c r="MF29" s="412"/>
      <c r="MG29" s="412"/>
      <c r="MH29" s="412"/>
      <c r="MI29" s="412"/>
      <c r="MJ29" s="412"/>
      <c r="MK29" s="412"/>
      <c r="ML29" s="412"/>
      <c r="MM29" s="412"/>
      <c r="MN29" s="412"/>
      <c r="MO29" s="412"/>
      <c r="MP29" s="412"/>
      <c r="MQ29" s="412"/>
      <c r="MR29" s="412"/>
      <c r="MS29" s="412"/>
      <c r="MT29" s="412"/>
      <c r="MU29" s="412"/>
      <c r="MV29" s="412"/>
      <c r="MW29" s="412"/>
      <c r="MX29" s="412"/>
      <c r="MY29" s="412"/>
      <c r="MZ29" s="412"/>
      <c r="NA29" s="412"/>
      <c r="NB29" s="412"/>
      <c r="NC29" s="412"/>
      <c r="ND29" s="412"/>
      <c r="NE29" s="412"/>
      <c r="NF29" s="412"/>
      <c r="NG29" s="412"/>
      <c r="NH29" s="412"/>
      <c r="NI29" s="412"/>
      <c r="NJ29" s="412"/>
      <c r="NK29" s="412"/>
      <c r="NL29" s="412"/>
      <c r="NM29" s="412"/>
      <c r="NN29" s="412"/>
      <c r="NO29" s="412"/>
      <c r="NP29" s="412"/>
      <c r="NQ29" s="412"/>
      <c r="NR29" s="412"/>
      <c r="NS29" s="412"/>
      <c r="NT29" s="412"/>
      <c r="NU29" s="412"/>
      <c r="NV29" s="412"/>
      <c r="NW29" s="412"/>
      <c r="NX29" s="412"/>
      <c r="NY29" s="412"/>
      <c r="NZ29" s="412"/>
      <c r="OA29" s="412"/>
      <c r="OB29" s="412"/>
      <c r="OC29" s="412"/>
      <c r="OD29" s="412"/>
      <c r="OE29" s="412"/>
      <c r="OF29" s="412"/>
      <c r="OG29" s="412"/>
      <c r="OH29" s="412"/>
      <c r="OI29" s="412"/>
      <c r="OJ29" s="412"/>
      <c r="OK29" s="412"/>
      <c r="OL29" s="412"/>
      <c r="OM29" s="412"/>
      <c r="ON29" s="412"/>
      <c r="OO29" s="412"/>
      <c r="OP29" s="412"/>
      <c r="OQ29" s="412"/>
      <c r="OR29" s="412"/>
      <c r="OS29" s="412"/>
      <c r="OT29" s="412"/>
      <c r="OU29" s="412"/>
      <c r="OV29" s="412"/>
      <c r="OW29" s="412"/>
      <c r="OX29" s="412"/>
      <c r="OY29" s="412"/>
      <c r="OZ29" s="412"/>
      <c r="PA29" s="412"/>
      <c r="PB29" s="412"/>
      <c r="PC29" s="412"/>
      <c r="PD29" s="412"/>
      <c r="PE29" s="412"/>
      <c r="PF29" s="412"/>
      <c r="PG29" s="412"/>
      <c r="PH29" s="412"/>
      <c r="PI29" s="412"/>
      <c r="PJ29" s="412"/>
      <c r="PK29" s="412"/>
      <c r="PL29" s="412"/>
      <c r="PM29" s="412"/>
      <c r="PN29" s="412"/>
      <c r="PO29" s="412"/>
      <c r="PP29" s="412"/>
      <c r="PQ29" s="412"/>
      <c r="PR29" s="412"/>
      <c r="PS29" s="412"/>
      <c r="PT29" s="412"/>
      <c r="PU29" s="412"/>
      <c r="PV29" s="412"/>
      <c r="PW29" s="412"/>
      <c r="PX29" s="412"/>
      <c r="PY29" s="412"/>
      <c r="PZ29" s="412"/>
      <c r="QA29" s="412"/>
      <c r="QB29" s="412"/>
      <c r="QC29" s="412"/>
      <c r="QD29" s="412"/>
      <c r="QE29" s="412"/>
      <c r="QF29" s="412"/>
      <c r="QG29" s="412"/>
      <c r="QH29" s="412"/>
      <c r="QI29" s="412"/>
      <c r="QJ29" s="412"/>
      <c r="QK29" s="412"/>
      <c r="QL29" s="412"/>
      <c r="QM29" s="412"/>
      <c r="QN29" s="412"/>
      <c r="QO29" s="412"/>
      <c r="QP29" s="412"/>
      <c r="QQ29" s="412"/>
      <c r="QR29" s="412"/>
      <c r="QS29" s="412"/>
      <c r="QT29" s="412"/>
      <c r="QU29" s="412"/>
      <c r="QV29" s="412"/>
      <c r="QW29" s="412"/>
      <c r="QX29" s="412"/>
      <c r="QY29" s="412"/>
      <c r="QZ29" s="412"/>
      <c r="RA29" s="412"/>
      <c r="RB29" s="412"/>
      <c r="RC29" s="412"/>
      <c r="RD29" s="412"/>
      <c r="RE29" s="412"/>
      <c r="RF29" s="412"/>
      <c r="RG29" s="412"/>
      <c r="RH29" s="412"/>
      <c r="RI29" s="412"/>
      <c r="RJ29" s="412"/>
      <c r="RK29" s="412"/>
      <c r="RL29" s="412"/>
      <c r="RM29" s="412"/>
      <c r="RN29" s="412"/>
      <c r="RO29" s="412"/>
      <c r="RP29" s="412"/>
      <c r="RQ29" s="412"/>
      <c r="RR29" s="412"/>
      <c r="RS29" s="412"/>
      <c r="RT29" s="412"/>
      <c r="RU29" s="412"/>
      <c r="RV29" s="412"/>
      <c r="RW29" s="412"/>
      <c r="RX29" s="412"/>
      <c r="RY29" s="412"/>
      <c r="RZ29" s="412"/>
      <c r="SA29" s="412"/>
      <c r="SB29" s="412"/>
      <c r="SC29" s="412"/>
      <c r="SD29" s="412"/>
      <c r="SE29" s="412"/>
      <c r="SF29" s="412"/>
      <c r="SG29" s="412"/>
    </row>
    <row r="30" spans="1:501" x14ac:dyDescent="0.2">
      <c r="A30" s="391" t="s">
        <v>12</v>
      </c>
      <c r="B30" s="110"/>
      <c r="C30" s="392">
        <v>0.1</v>
      </c>
      <c r="D30" s="392">
        <v>0.18</v>
      </c>
      <c r="E30" s="392">
        <v>0</v>
      </c>
      <c r="F30" s="392">
        <v>1</v>
      </c>
      <c r="G30" s="392"/>
      <c r="H30" s="435"/>
      <c r="I30" s="410">
        <v>0</v>
      </c>
      <c r="J30" s="410">
        <v>0</v>
      </c>
      <c r="K30" s="410">
        <v>1</v>
      </c>
      <c r="L30" s="410">
        <v>0</v>
      </c>
      <c r="M30" s="410">
        <v>0</v>
      </c>
      <c r="N30" s="410">
        <v>1</v>
      </c>
      <c r="O30" s="435"/>
      <c r="P30" s="393">
        <v>0</v>
      </c>
      <c r="Q30" s="393">
        <v>0</v>
      </c>
      <c r="R30" s="393">
        <v>1</v>
      </c>
      <c r="S30" s="393">
        <v>0</v>
      </c>
      <c r="T30" s="393">
        <v>0</v>
      </c>
      <c r="U30" s="435"/>
      <c r="V30" s="393">
        <v>1</v>
      </c>
      <c r="W30" s="393">
        <v>1</v>
      </c>
      <c r="X30" s="393">
        <v>1</v>
      </c>
      <c r="Y30" s="393">
        <v>1</v>
      </c>
      <c r="Z30" s="393">
        <v>1</v>
      </c>
      <c r="AA30" s="393"/>
      <c r="AB30" s="435"/>
      <c r="AC30" s="393">
        <v>1.8700000000000001E-2</v>
      </c>
      <c r="AD30" s="411"/>
      <c r="AE30" s="435"/>
      <c r="AF30" s="388">
        <v>1.3926637621002399E-12</v>
      </c>
      <c r="AG30" s="388">
        <v>1.3926637623162635E-12</v>
      </c>
      <c r="AH30" s="388">
        <v>1.392663762117619E-12</v>
      </c>
      <c r="AI30" s="388">
        <v>1.3926637628272424E-12</v>
      </c>
      <c r="AJ30" s="388">
        <v>1.3926637620897964E-12</v>
      </c>
      <c r="AK30" s="388">
        <v>1.3926637621103785E-12</v>
      </c>
      <c r="AL30" s="388">
        <v>1.3926637620897964E-12</v>
      </c>
      <c r="AM30" s="388">
        <v>1.3926637620897964E-12</v>
      </c>
      <c r="AN30" s="388">
        <v>1.3926637621426218E-12</v>
      </c>
      <c r="AO30" s="388">
        <v>1.3926637620897964E-12</v>
      </c>
      <c r="AP30" s="388">
        <v>1.3926637620897964E-12</v>
      </c>
      <c r="AQ30" s="388">
        <v>1.3926637620897964E-12</v>
      </c>
      <c r="AR30" s="388">
        <v>1.3926637620897964E-12</v>
      </c>
      <c r="AS30" s="388">
        <v>1.3926637620897964E-12</v>
      </c>
      <c r="AT30" s="388">
        <v>1.3926637620897964E-12</v>
      </c>
      <c r="AU30" s="388">
        <v>1.3926637620897964E-12</v>
      </c>
      <c r="AV30" s="388">
        <v>1.3926637620897964E-12</v>
      </c>
      <c r="AW30" s="388">
        <v>1.3926637620897964E-12</v>
      </c>
      <c r="AX30" s="388">
        <v>1.3926637620897964E-12</v>
      </c>
      <c r="AY30" s="388">
        <v>1.3926637620897964E-12</v>
      </c>
      <c r="AZ30" s="388">
        <v>1.3926637620897964E-12</v>
      </c>
      <c r="BA30" s="388">
        <v>1.3926637628352483E-12</v>
      </c>
      <c r="BB30" s="388">
        <v>1.3926637626004715E-12</v>
      </c>
      <c r="BC30" s="388">
        <v>1.3926637621749263E-12</v>
      </c>
      <c r="BD30" s="388">
        <v>1.3926637620897964E-12</v>
      </c>
      <c r="BE30" s="388">
        <v>1.3926637651780423E-12</v>
      </c>
      <c r="BF30" s="388">
        <v>1.3926637620897964E-12</v>
      </c>
      <c r="BG30" s="388">
        <v>1.3926637623735629E-12</v>
      </c>
      <c r="BH30" s="388">
        <v>1.3926637622590863E-12</v>
      </c>
      <c r="BI30" s="388">
        <v>1.3926637620897964E-12</v>
      </c>
      <c r="BJ30" s="388">
        <v>1.3926637621886537E-12</v>
      </c>
      <c r="BK30" s="388">
        <v>1.3926637622374134E-12</v>
      </c>
      <c r="BL30" s="388">
        <v>1.3926637621416882E-12</v>
      </c>
      <c r="BM30" s="388">
        <v>1.3926637621077752E-12</v>
      </c>
      <c r="BN30" s="388">
        <v>1.3926637623580289E-12</v>
      </c>
      <c r="BO30" s="388">
        <v>1.3926637621697374E-12</v>
      </c>
      <c r="BP30" s="388">
        <v>1.3926637645350341E-12</v>
      </c>
      <c r="BQ30" s="388">
        <v>1.3926637999002706E-12</v>
      </c>
      <c r="BR30" s="388">
        <v>1.3926637623498112E-12</v>
      </c>
      <c r="BS30" s="388">
        <v>1.3926637622036351E-12</v>
      </c>
      <c r="BT30" s="388">
        <v>1.3926637621870062E-12</v>
      </c>
      <c r="BU30" s="388">
        <v>1.3926637621313577E-12</v>
      </c>
      <c r="BV30" s="388">
        <v>1.3926637621110587E-12</v>
      </c>
      <c r="BW30" s="388">
        <v>1.3926637620897964E-12</v>
      </c>
      <c r="BX30" s="388">
        <v>1.3926637620897964E-12</v>
      </c>
      <c r="BY30" s="388">
        <v>1.392663766244871E-12</v>
      </c>
      <c r="BZ30" s="388">
        <v>1.3926638254967105E-12</v>
      </c>
      <c r="CA30" s="388">
        <v>1.3926637620897964E-12</v>
      </c>
      <c r="CB30" s="388">
        <v>1.3926637622846447E-12</v>
      </c>
      <c r="CC30" s="388">
        <v>1.3926637621717418E-12</v>
      </c>
      <c r="CD30" s="388">
        <v>1.3926637693106752E-12</v>
      </c>
      <c r="CE30" s="388">
        <v>1.3926637623942319E-12</v>
      </c>
      <c r="CF30" s="388">
        <v>1.3926637634838409E-12</v>
      </c>
      <c r="CG30" s="388">
        <v>1.3927010840913344E-12</v>
      </c>
      <c r="CH30" s="388">
        <v>1.3926808843826301E-12</v>
      </c>
      <c r="CI30" s="388">
        <v>1.392677286054374E-12</v>
      </c>
      <c r="CJ30" s="388">
        <v>1.3926637625816752E-12</v>
      </c>
      <c r="CK30" s="388">
        <v>1.3927234329461937E-12</v>
      </c>
      <c r="CL30" s="388">
        <v>1.3926637639714505E-12</v>
      </c>
      <c r="CM30" s="388">
        <v>1.3926637620901015E-12</v>
      </c>
      <c r="CN30" s="388">
        <v>1.3926637621445634E-12</v>
      </c>
      <c r="CO30" s="388">
        <v>1.3926637620897964E-12</v>
      </c>
      <c r="CP30" s="388">
        <v>1.3926637620897964E-12</v>
      </c>
      <c r="CQ30" s="388">
        <v>1.3926637822916373E-12</v>
      </c>
      <c r="CR30" s="388">
        <v>1.3926637624830713E-12</v>
      </c>
      <c r="CS30" s="388">
        <v>1.3926637621875798E-12</v>
      </c>
      <c r="CT30" s="388">
        <v>1.3926637656734087E-12</v>
      </c>
      <c r="CU30" s="388">
        <v>1.3926637620991078E-12</v>
      </c>
      <c r="CV30" s="388">
        <v>1.3926637635645814E-12</v>
      </c>
      <c r="CW30" s="388">
        <v>1.3926638048284182E-12</v>
      </c>
      <c r="CX30" s="388">
        <v>1.3926637631499941E-12</v>
      </c>
      <c r="CY30" s="388">
        <v>1.3926637666074047E-12</v>
      </c>
      <c r="CZ30" s="388">
        <v>1.3926637620897964E-12</v>
      </c>
      <c r="DA30" s="388">
        <v>1.392663762090613E-12</v>
      </c>
      <c r="DB30" s="388">
        <v>1.3926637620897964E-12</v>
      </c>
      <c r="DC30" s="388">
        <v>1.3926637620897964E-12</v>
      </c>
      <c r="DD30" s="388">
        <v>1.3926796321867688E-12</v>
      </c>
      <c r="DE30" s="388">
        <v>1.3926637639316503E-12</v>
      </c>
      <c r="DF30" s="388">
        <v>1.3926637622811364E-12</v>
      </c>
      <c r="DG30" s="388">
        <v>1.3926637620897964E-12</v>
      </c>
      <c r="DH30" s="388">
        <v>1.3926768637886409E-12</v>
      </c>
      <c r="DI30" s="388">
        <v>1.3926637620947096E-12</v>
      </c>
      <c r="DJ30" s="388">
        <v>1.3926643257763758E-12</v>
      </c>
      <c r="DK30" s="388">
        <v>1.3926637620897964E-12</v>
      </c>
      <c r="DL30" s="388">
        <v>1.3926817367433027E-12</v>
      </c>
      <c r="DM30" s="388">
        <v>1.3926637620897964E-12</v>
      </c>
      <c r="DN30" s="388">
        <v>1.3926638341631664E-12</v>
      </c>
      <c r="DO30" s="388">
        <v>1.3926637887541306E-12</v>
      </c>
      <c r="DP30" s="388">
        <v>1.3926644178756804E-12</v>
      </c>
      <c r="DQ30" s="388">
        <v>1.3926637657616846E-12</v>
      </c>
      <c r="DR30" s="388">
        <v>1.3926871879949359E-12</v>
      </c>
      <c r="DS30" s="388">
        <v>1.3926637620897964E-12</v>
      </c>
      <c r="DT30" s="388">
        <v>1.3926875353299785E-12</v>
      </c>
      <c r="DU30" s="388">
        <v>1.3926784179315114E-12</v>
      </c>
      <c r="DV30" s="388">
        <v>1.3926637620897964E-12</v>
      </c>
      <c r="DW30" s="388">
        <v>1.3926638168299109E-12</v>
      </c>
      <c r="DX30" s="388">
        <v>1.39266383716975E-12</v>
      </c>
      <c r="DY30" s="388">
        <v>1.3926637620897964E-12</v>
      </c>
      <c r="DZ30" s="388">
        <v>8.3687090572564789E-5</v>
      </c>
      <c r="EA30" s="388">
        <v>8.3687090572564789E-5</v>
      </c>
      <c r="EB30" s="388"/>
      <c r="EC30" s="435"/>
      <c r="ED30" s="388">
        <v>-5.8476691586039542E-5</v>
      </c>
      <c r="EE30" s="388">
        <v>-3.4044333351204996E-4</v>
      </c>
      <c r="EF30" s="388">
        <v>-1.1616036891823659E-3</v>
      </c>
      <c r="EG30" s="388">
        <v>2.3412871690831789E-3</v>
      </c>
      <c r="EH30" s="388">
        <v>3.956531336522834E-3</v>
      </c>
      <c r="EI30" s="388">
        <v>1.8738564314970411E-3</v>
      </c>
      <c r="EJ30" s="388">
        <v>4.2731487021385019E-3</v>
      </c>
      <c r="EK30" s="388">
        <v>3.1957502117812195E-3</v>
      </c>
      <c r="EL30" s="388">
        <v>6.2948513375897328E-3</v>
      </c>
      <c r="EM30" s="388">
        <v>7.3593525810095007E-5</v>
      </c>
      <c r="EN30" s="388">
        <v>2.0212040309021122E-2</v>
      </c>
      <c r="EO30" s="388">
        <v>2.6954087844403372E-2</v>
      </c>
      <c r="EP30" s="388">
        <v>3.2399999999999998E-2</v>
      </c>
      <c r="EQ30" s="388">
        <v>1.5921028490919916E-2</v>
      </c>
      <c r="ER30" s="388">
        <v>2.2576811429298051E-2</v>
      </c>
      <c r="ES30" s="388">
        <v>2.1566486576897477E-2</v>
      </c>
      <c r="ET30" s="388">
        <v>1.5753807233898843E-2</v>
      </c>
      <c r="EU30" s="388">
        <v>2.4319388084016371E-2</v>
      </c>
      <c r="EV30" s="388">
        <v>2.6262956164353441E-2</v>
      </c>
      <c r="EW30" s="388">
        <v>2.8054184670793809E-2</v>
      </c>
      <c r="EX30" s="388">
        <v>2.8281112492558054E-2</v>
      </c>
      <c r="EY30" s="388">
        <v>9.3690127446590494E-4</v>
      </c>
      <c r="EZ30" s="388">
        <v>-8.3901064514290747E-4</v>
      </c>
      <c r="FA30" s="388">
        <v>2.2279230646618176E-2</v>
      </c>
      <c r="FB30" s="388">
        <v>2.6175283448150462E-2</v>
      </c>
      <c r="FC30" s="388">
        <v>1.4219089985862052E-3</v>
      </c>
      <c r="FD30" s="388">
        <v>1.5267346735475288E-3</v>
      </c>
      <c r="FE30" s="388">
        <v>-5.8489022229296144E-5</v>
      </c>
      <c r="FF30" s="388">
        <v>-2.4857767208816343E-4</v>
      </c>
      <c r="FG30" s="388">
        <v>-8.712027668867742E-4</v>
      </c>
      <c r="FH30" s="388">
        <v>1.4495870507807297E-3</v>
      </c>
      <c r="FI30" s="388">
        <v>5.2949886091716225E-3</v>
      </c>
      <c r="FJ30" s="388">
        <v>-1.9525739420064353E-3</v>
      </c>
      <c r="FK30" s="388">
        <v>1.2417256255355549E-2</v>
      </c>
      <c r="FL30" s="388">
        <v>-1.8830288530100822E-3</v>
      </c>
      <c r="FM30" s="388">
        <v>-2.5405685724129118E-3</v>
      </c>
      <c r="FN30" s="388">
        <v>-3.2367526643224849E-3</v>
      </c>
      <c r="FO30" s="388">
        <v>7.2639120629192447E-4</v>
      </c>
      <c r="FP30" s="388">
        <v>-2.3864770344502378E-2</v>
      </c>
      <c r="FQ30" s="388">
        <v>-2.9942735106975683E-2</v>
      </c>
      <c r="FR30" s="388">
        <v>-3.2399999999999998E-2</v>
      </c>
      <c r="FS30" s="388">
        <v>-1.9456722323634639E-2</v>
      </c>
      <c r="FT30" s="388">
        <v>-2.4925316304838064E-2</v>
      </c>
      <c r="FU30" s="388">
        <v>-2.4021825767818694E-2</v>
      </c>
      <c r="FV30" s="388">
        <v>-1.9169006385953955E-2</v>
      </c>
      <c r="FW30" s="388">
        <v>-2.5893248490164535E-2</v>
      </c>
      <c r="FX30" s="388">
        <v>-2.8347225422348386E-2</v>
      </c>
      <c r="FY30" s="388">
        <v>-3.0766878673958969E-2</v>
      </c>
      <c r="FZ30" s="388">
        <v>-3.0736676214905331E-2</v>
      </c>
      <c r="GA30" s="388">
        <v>-2.2369339517867336E-4</v>
      </c>
      <c r="GB30" s="388"/>
      <c r="GC30" s="388"/>
      <c r="GD30" s="388"/>
      <c r="GE30" s="388"/>
      <c r="GF30" s="388"/>
      <c r="GG30" s="388"/>
      <c r="GH30" s="388"/>
      <c r="GI30" s="388"/>
      <c r="GJ30" s="388"/>
      <c r="GK30" s="388"/>
      <c r="GL30" s="388"/>
      <c r="GM30" s="388"/>
      <c r="GN30" s="388"/>
      <c r="GO30" s="388"/>
      <c r="GP30" s="412"/>
      <c r="GQ30" s="412"/>
      <c r="GR30" s="412"/>
      <c r="GS30" s="412"/>
      <c r="GT30" s="412"/>
      <c r="GU30" s="412"/>
      <c r="GV30" s="412"/>
      <c r="GW30" s="412"/>
      <c r="GX30" s="412"/>
      <c r="GY30" s="412"/>
      <c r="GZ30" s="412"/>
      <c r="HA30" s="412"/>
      <c r="HB30" s="412"/>
      <c r="HC30" s="412"/>
      <c r="HD30" s="412"/>
      <c r="HE30" s="412"/>
      <c r="HF30" s="412"/>
      <c r="HG30" s="412"/>
      <c r="HH30" s="412"/>
      <c r="HI30" s="412"/>
      <c r="HJ30" s="412"/>
      <c r="HK30" s="412"/>
      <c r="HL30" s="412"/>
      <c r="HM30" s="412"/>
      <c r="HN30" s="412"/>
      <c r="HO30" s="412"/>
      <c r="HP30" s="412"/>
      <c r="HQ30" s="412"/>
      <c r="HR30" s="412"/>
      <c r="HS30" s="412"/>
      <c r="HT30" s="412"/>
      <c r="HU30" s="412"/>
      <c r="HV30" s="412"/>
      <c r="HW30" s="412"/>
      <c r="HX30" s="412"/>
      <c r="HY30" s="412"/>
      <c r="HZ30" s="412"/>
      <c r="IA30" s="412"/>
      <c r="IB30" s="412"/>
      <c r="IC30" s="412"/>
      <c r="ID30" s="412"/>
      <c r="IE30" s="412"/>
      <c r="IF30" s="412"/>
      <c r="IG30" s="412"/>
      <c r="IH30" s="412"/>
      <c r="II30" s="412"/>
      <c r="IJ30" s="412"/>
      <c r="IK30" s="412"/>
      <c r="IL30" s="412"/>
      <c r="IM30" s="412"/>
      <c r="IN30" s="412"/>
      <c r="IO30" s="412"/>
      <c r="IP30" s="412"/>
      <c r="IQ30" s="412"/>
      <c r="IR30" s="412"/>
      <c r="IS30" s="412"/>
      <c r="IT30" s="412"/>
      <c r="IU30" s="412"/>
      <c r="IV30" s="412"/>
      <c r="IW30" s="412"/>
      <c r="IX30" s="412"/>
      <c r="IY30" s="412"/>
      <c r="IZ30" s="412"/>
      <c r="JA30" s="412"/>
      <c r="JB30" s="412"/>
      <c r="JC30" s="412"/>
      <c r="JD30" s="412"/>
      <c r="JE30" s="412"/>
      <c r="JF30" s="412"/>
      <c r="JG30" s="412"/>
      <c r="JH30" s="412"/>
      <c r="JI30" s="412"/>
      <c r="JJ30" s="412"/>
      <c r="JK30" s="412"/>
      <c r="JL30" s="412"/>
      <c r="JM30" s="412"/>
      <c r="JN30" s="412"/>
      <c r="JO30" s="412"/>
      <c r="JP30" s="412"/>
      <c r="JQ30" s="412"/>
      <c r="JR30" s="412"/>
      <c r="JS30" s="412"/>
      <c r="JT30" s="412"/>
      <c r="JU30" s="412"/>
      <c r="JV30" s="412"/>
      <c r="JW30" s="412"/>
      <c r="JX30" s="412"/>
      <c r="JY30" s="412"/>
      <c r="JZ30" s="412"/>
      <c r="KA30" s="412"/>
      <c r="KB30" s="412"/>
      <c r="KC30" s="412"/>
      <c r="KD30" s="412"/>
      <c r="KE30" s="412"/>
      <c r="KF30" s="412"/>
      <c r="KG30" s="412"/>
      <c r="KH30" s="412"/>
      <c r="KI30" s="412"/>
      <c r="KJ30" s="412"/>
      <c r="KK30" s="412"/>
      <c r="KL30" s="412"/>
      <c r="KM30" s="412"/>
      <c r="KN30" s="412"/>
      <c r="KO30" s="412"/>
      <c r="KP30" s="412"/>
      <c r="KQ30" s="412"/>
      <c r="KR30" s="412"/>
      <c r="KS30" s="412"/>
      <c r="KT30" s="412"/>
      <c r="KU30" s="412"/>
      <c r="KV30" s="412"/>
      <c r="KW30" s="412"/>
      <c r="KX30" s="412"/>
      <c r="KY30" s="412"/>
      <c r="KZ30" s="412"/>
      <c r="LA30" s="412"/>
      <c r="LB30" s="412"/>
      <c r="LC30" s="412"/>
      <c r="LD30" s="412"/>
      <c r="LE30" s="412"/>
      <c r="LF30" s="412"/>
      <c r="LG30" s="412"/>
      <c r="LH30" s="412"/>
      <c r="LI30" s="412"/>
      <c r="LJ30" s="412"/>
      <c r="LK30" s="412"/>
      <c r="LL30" s="412"/>
      <c r="LM30" s="412"/>
      <c r="LN30" s="412"/>
      <c r="LO30" s="412"/>
      <c r="LP30" s="412"/>
      <c r="LQ30" s="412"/>
      <c r="LR30" s="412"/>
      <c r="LS30" s="412"/>
      <c r="LT30" s="412"/>
      <c r="LU30" s="412"/>
      <c r="LV30" s="412"/>
      <c r="LW30" s="412"/>
      <c r="LX30" s="412"/>
      <c r="LY30" s="412"/>
      <c r="LZ30" s="412"/>
      <c r="MA30" s="412"/>
      <c r="MB30" s="412"/>
      <c r="MC30" s="412"/>
      <c r="MD30" s="412"/>
      <c r="ME30" s="412"/>
      <c r="MF30" s="412"/>
      <c r="MG30" s="412"/>
      <c r="MH30" s="412"/>
      <c r="MI30" s="412"/>
      <c r="MJ30" s="412"/>
      <c r="MK30" s="412"/>
      <c r="ML30" s="412"/>
      <c r="MM30" s="412"/>
      <c r="MN30" s="412"/>
      <c r="MO30" s="412"/>
      <c r="MP30" s="412"/>
      <c r="MQ30" s="412"/>
      <c r="MR30" s="412"/>
      <c r="MS30" s="412"/>
      <c r="MT30" s="412"/>
      <c r="MU30" s="412"/>
      <c r="MV30" s="412"/>
      <c r="MW30" s="412"/>
      <c r="MX30" s="412"/>
      <c r="MY30" s="412"/>
      <c r="MZ30" s="412"/>
      <c r="NA30" s="412"/>
      <c r="NB30" s="412"/>
      <c r="NC30" s="412"/>
      <c r="ND30" s="412"/>
      <c r="NE30" s="412"/>
      <c r="NF30" s="412"/>
      <c r="NG30" s="412"/>
      <c r="NH30" s="412"/>
      <c r="NI30" s="412"/>
      <c r="NJ30" s="412"/>
      <c r="NK30" s="412"/>
      <c r="NL30" s="412"/>
      <c r="NM30" s="412"/>
      <c r="NN30" s="412"/>
      <c r="NO30" s="412"/>
      <c r="NP30" s="412"/>
      <c r="NQ30" s="412"/>
      <c r="NR30" s="412"/>
      <c r="NS30" s="412"/>
      <c r="NT30" s="412"/>
      <c r="NU30" s="412"/>
      <c r="NV30" s="412"/>
      <c r="NW30" s="412"/>
      <c r="NX30" s="412"/>
      <c r="NY30" s="412"/>
      <c r="NZ30" s="412"/>
      <c r="OA30" s="412"/>
      <c r="OB30" s="412"/>
      <c r="OC30" s="412"/>
      <c r="OD30" s="412"/>
      <c r="OE30" s="412"/>
      <c r="OF30" s="412"/>
      <c r="OG30" s="412"/>
      <c r="OH30" s="412"/>
      <c r="OI30" s="412"/>
      <c r="OJ30" s="412"/>
      <c r="OK30" s="412"/>
      <c r="OL30" s="412"/>
      <c r="OM30" s="412"/>
      <c r="ON30" s="412"/>
      <c r="OO30" s="412"/>
      <c r="OP30" s="412"/>
      <c r="OQ30" s="412"/>
      <c r="OR30" s="412"/>
      <c r="OS30" s="412"/>
      <c r="OT30" s="412"/>
      <c r="OU30" s="412"/>
      <c r="OV30" s="412"/>
      <c r="OW30" s="412"/>
      <c r="OX30" s="412"/>
      <c r="OY30" s="412"/>
      <c r="OZ30" s="412"/>
      <c r="PA30" s="412"/>
      <c r="PB30" s="412"/>
      <c r="PC30" s="412"/>
      <c r="PD30" s="412"/>
      <c r="PE30" s="412"/>
      <c r="PF30" s="412"/>
      <c r="PG30" s="412"/>
      <c r="PH30" s="412"/>
      <c r="PI30" s="412"/>
      <c r="PJ30" s="412"/>
      <c r="PK30" s="412"/>
      <c r="PL30" s="412"/>
      <c r="PM30" s="412"/>
      <c r="PN30" s="412"/>
      <c r="PO30" s="412"/>
      <c r="PP30" s="412"/>
      <c r="PQ30" s="412"/>
      <c r="PR30" s="412"/>
      <c r="PS30" s="412"/>
      <c r="PT30" s="412"/>
      <c r="PU30" s="412"/>
      <c r="PV30" s="412"/>
      <c r="PW30" s="412"/>
      <c r="PX30" s="412"/>
      <c r="PY30" s="412"/>
      <c r="PZ30" s="412"/>
      <c r="QA30" s="412"/>
      <c r="QB30" s="412"/>
      <c r="QC30" s="412"/>
      <c r="QD30" s="412"/>
      <c r="QE30" s="412"/>
      <c r="QF30" s="412"/>
      <c r="QG30" s="412"/>
      <c r="QH30" s="412"/>
      <c r="QI30" s="412"/>
      <c r="QJ30" s="412"/>
      <c r="QK30" s="412"/>
      <c r="QL30" s="412"/>
      <c r="QM30" s="412"/>
      <c r="QN30" s="412"/>
      <c r="QO30" s="412"/>
      <c r="QP30" s="412"/>
      <c r="QQ30" s="412"/>
      <c r="QR30" s="412"/>
      <c r="QS30" s="412"/>
      <c r="QT30" s="412"/>
      <c r="QU30" s="412"/>
      <c r="QV30" s="412"/>
      <c r="QW30" s="412"/>
      <c r="QX30" s="412"/>
      <c r="QY30" s="412"/>
      <c r="QZ30" s="412"/>
      <c r="RA30" s="412"/>
      <c r="RB30" s="412"/>
      <c r="RC30" s="412"/>
      <c r="RD30" s="412"/>
      <c r="RE30" s="412"/>
      <c r="RF30" s="412"/>
      <c r="RG30" s="412"/>
      <c r="RH30" s="412"/>
      <c r="RI30" s="412"/>
      <c r="RJ30" s="412"/>
      <c r="RK30" s="412"/>
      <c r="RL30" s="412"/>
      <c r="RM30" s="412"/>
      <c r="RN30" s="412"/>
      <c r="RO30" s="412"/>
      <c r="RP30" s="412"/>
      <c r="RQ30" s="412"/>
      <c r="RR30" s="412"/>
      <c r="RS30" s="412"/>
      <c r="RT30" s="412"/>
      <c r="RU30" s="412"/>
      <c r="RV30" s="412"/>
      <c r="RW30" s="412"/>
      <c r="RX30" s="412"/>
      <c r="RY30" s="412"/>
      <c r="RZ30" s="412"/>
      <c r="SA30" s="412"/>
      <c r="SB30" s="412"/>
      <c r="SC30" s="412"/>
      <c r="SD30" s="412"/>
      <c r="SE30" s="412"/>
      <c r="SF30" s="412"/>
      <c r="SG30" s="412"/>
    </row>
    <row r="31" spans="1:501" x14ac:dyDescent="0.2">
      <c r="A31" s="391" t="s">
        <v>13</v>
      </c>
      <c r="B31" s="110"/>
      <c r="C31" s="392">
        <v>0.1</v>
      </c>
      <c r="D31" s="392">
        <v>0.24</v>
      </c>
      <c r="E31" s="392">
        <v>0</v>
      </c>
      <c r="F31" s="392">
        <v>1</v>
      </c>
      <c r="G31" s="392"/>
      <c r="H31" s="435"/>
      <c r="I31" s="410">
        <v>0</v>
      </c>
      <c r="J31" s="410">
        <v>0</v>
      </c>
      <c r="K31" s="410">
        <v>0</v>
      </c>
      <c r="L31" s="410">
        <v>1</v>
      </c>
      <c r="M31" s="410">
        <v>0</v>
      </c>
      <c r="N31" s="410">
        <v>1</v>
      </c>
      <c r="O31" s="435"/>
      <c r="P31" s="393">
        <v>0</v>
      </c>
      <c r="Q31" s="393">
        <v>0</v>
      </c>
      <c r="R31" s="393">
        <v>0</v>
      </c>
      <c r="S31" s="393">
        <v>1</v>
      </c>
      <c r="T31" s="393">
        <v>0</v>
      </c>
      <c r="U31" s="435"/>
      <c r="V31" s="393">
        <v>1</v>
      </c>
      <c r="W31" s="393">
        <v>1</v>
      </c>
      <c r="X31" s="393">
        <v>1</v>
      </c>
      <c r="Y31" s="393">
        <v>1</v>
      </c>
      <c r="Z31" s="393">
        <v>1</v>
      </c>
      <c r="AA31" s="393"/>
      <c r="AB31" s="435"/>
      <c r="AC31" s="393">
        <v>1.3100000000000001E-2</v>
      </c>
      <c r="AD31" s="411"/>
      <c r="AE31" s="435"/>
      <c r="AF31" s="388">
        <v>3.5832670164382998E-9</v>
      </c>
      <c r="AG31" s="388">
        <v>3.5832670164387907E-9</v>
      </c>
      <c r="AH31" s="388">
        <v>3.5832670164381852E-9</v>
      </c>
      <c r="AI31" s="388">
        <v>3.5832670164381852E-9</v>
      </c>
      <c r="AJ31" s="388">
        <v>3.5832670164434796E-9</v>
      </c>
      <c r="AK31" s="388">
        <v>3.5832670164381852E-9</v>
      </c>
      <c r="AL31" s="388">
        <v>3.5832670164418083E-9</v>
      </c>
      <c r="AM31" s="388">
        <v>3.5832670164381852E-9</v>
      </c>
      <c r="AN31" s="388">
        <v>3.5832670164381852E-9</v>
      </c>
      <c r="AO31" s="388">
        <v>3.5832670164384673E-9</v>
      </c>
      <c r="AP31" s="388">
        <v>3.5832670164381852E-9</v>
      </c>
      <c r="AQ31" s="388">
        <v>3.5832670164381852E-9</v>
      </c>
      <c r="AR31" s="388">
        <v>3.5832670164381852E-9</v>
      </c>
      <c r="AS31" s="388">
        <v>3.5832670164381852E-9</v>
      </c>
      <c r="AT31" s="388">
        <v>3.5832670164381852E-9</v>
      </c>
      <c r="AU31" s="388">
        <v>3.5832670164381852E-9</v>
      </c>
      <c r="AV31" s="388">
        <v>3.5832670164381852E-9</v>
      </c>
      <c r="AW31" s="388">
        <v>3.5832670164381852E-9</v>
      </c>
      <c r="AX31" s="388">
        <v>3.5832670164381852E-9</v>
      </c>
      <c r="AY31" s="388">
        <v>3.5832670164381852E-9</v>
      </c>
      <c r="AZ31" s="388">
        <v>3.5832670164381852E-9</v>
      </c>
      <c r="BA31" s="388">
        <v>3.5832670164381852E-9</v>
      </c>
      <c r="BB31" s="388">
        <v>5.171054236377087E-4</v>
      </c>
      <c r="BC31" s="388">
        <v>1.5172511078830602E-3</v>
      </c>
      <c r="BD31" s="388">
        <v>2.5826604722897096E-3</v>
      </c>
      <c r="BE31" s="388">
        <v>3.7204554711250679E-3</v>
      </c>
      <c r="BF31" s="388">
        <v>4.8040293409809896E-3</v>
      </c>
      <c r="BG31" s="388">
        <v>6.013505133627914E-3</v>
      </c>
      <c r="BH31" s="388">
        <v>7.1926202415420817E-3</v>
      </c>
      <c r="BI31" s="388">
        <v>8.1140697061835073E-3</v>
      </c>
      <c r="BJ31" s="388">
        <v>9.1992031634863681E-3</v>
      </c>
      <c r="BK31" s="388">
        <v>1.0052781561116653E-2</v>
      </c>
      <c r="BL31" s="388">
        <v>1.1088617806854641E-2</v>
      </c>
      <c r="BM31" s="388">
        <v>1.1749211848280147E-2</v>
      </c>
      <c r="BN31" s="388">
        <v>1.1749211848280148E-2</v>
      </c>
      <c r="BO31" s="388">
        <v>1.1749211848280153E-2</v>
      </c>
      <c r="BP31" s="388">
        <v>1.1749211848280148E-2</v>
      </c>
      <c r="BQ31" s="388">
        <v>1.1749211848280148E-2</v>
      </c>
      <c r="BR31" s="388">
        <v>1.1749211848280147E-2</v>
      </c>
      <c r="BS31" s="388">
        <v>1.174921184828015E-2</v>
      </c>
      <c r="BT31" s="388">
        <v>1.1749211848280153E-2</v>
      </c>
      <c r="BU31" s="388">
        <v>1.1749211848280148E-2</v>
      </c>
      <c r="BV31" s="388">
        <v>1.1749211848280152E-2</v>
      </c>
      <c r="BW31" s="388">
        <v>1.1749211848280148E-2</v>
      </c>
      <c r="BX31" s="388">
        <v>1.1749211848280148E-2</v>
      </c>
      <c r="BY31" s="388">
        <v>1.174921184828015E-2</v>
      </c>
      <c r="BZ31" s="388">
        <v>1.174921184828015E-2</v>
      </c>
      <c r="CA31" s="388">
        <v>1.1749211848280153E-2</v>
      </c>
      <c r="CB31" s="388">
        <v>1.1749211848280152E-2</v>
      </c>
      <c r="CC31" s="388">
        <v>1.1749211848280152E-2</v>
      </c>
      <c r="CD31" s="388">
        <v>1.174921184828015E-2</v>
      </c>
      <c r="CE31" s="388">
        <v>1.1749211848280153E-2</v>
      </c>
      <c r="CF31" s="388">
        <v>1.1749211848280152E-2</v>
      </c>
      <c r="CG31" s="388">
        <v>1.1749211848280138E-2</v>
      </c>
      <c r="CH31" s="388">
        <v>1.1749211848280147E-2</v>
      </c>
      <c r="CI31" s="388">
        <v>1.174921184828015E-2</v>
      </c>
      <c r="CJ31" s="388">
        <v>1.1749211848280152E-2</v>
      </c>
      <c r="CK31" s="388">
        <v>1.1749211848280133E-2</v>
      </c>
      <c r="CL31" s="388">
        <v>1.1749211848280148E-2</v>
      </c>
      <c r="CM31" s="388">
        <v>1.1749211848280147E-2</v>
      </c>
      <c r="CN31" s="388">
        <v>1.1749211848280152E-2</v>
      </c>
      <c r="CO31" s="388">
        <v>1.1749211848280152E-2</v>
      </c>
      <c r="CP31" s="388">
        <v>1.1749211848280153E-2</v>
      </c>
      <c r="CQ31" s="388">
        <v>1.174921184828015E-2</v>
      </c>
      <c r="CR31" s="388">
        <v>1.1749211848280152E-2</v>
      </c>
      <c r="CS31" s="388">
        <v>1.1749211848280152E-2</v>
      </c>
      <c r="CT31" s="388">
        <v>1.1749211848280148E-2</v>
      </c>
      <c r="CU31" s="388">
        <v>1.174921184828015E-2</v>
      </c>
      <c r="CV31" s="388">
        <v>1.1749211848280148E-2</v>
      </c>
      <c r="CW31" s="388">
        <v>1.1749211848280153E-2</v>
      </c>
      <c r="CX31" s="388">
        <v>1.1749211848280153E-2</v>
      </c>
      <c r="CY31" s="388">
        <v>1.174921184828015E-2</v>
      </c>
      <c r="CZ31" s="388">
        <v>1.174921184828015E-2</v>
      </c>
      <c r="DA31" s="388">
        <v>1.1749211848280153E-2</v>
      </c>
      <c r="DB31" s="388">
        <v>1.1749211848280138E-2</v>
      </c>
      <c r="DC31" s="388">
        <v>1.1749211848280153E-2</v>
      </c>
      <c r="DD31" s="388">
        <v>1.1749211848280205E-2</v>
      </c>
      <c r="DE31" s="388">
        <v>1.174921184828015E-2</v>
      </c>
      <c r="DF31" s="388">
        <v>1.1749211848280148E-2</v>
      </c>
      <c r="DG31" s="388">
        <v>1.174921184828015E-2</v>
      </c>
      <c r="DH31" s="388">
        <v>1.1749211848280134E-2</v>
      </c>
      <c r="DI31" s="388">
        <v>1.1749211848280148E-2</v>
      </c>
      <c r="DJ31" s="388">
        <v>1.1749211848280148E-2</v>
      </c>
      <c r="DK31" s="388">
        <v>1.174921184828015E-2</v>
      </c>
      <c r="DL31" s="388">
        <v>1.1749211848280131E-2</v>
      </c>
      <c r="DM31" s="388">
        <v>1.174921184828015E-2</v>
      </c>
      <c r="DN31" s="388">
        <v>1.1749211848280148E-2</v>
      </c>
      <c r="DO31" s="388">
        <v>1.1749211848280148E-2</v>
      </c>
      <c r="DP31" s="388">
        <v>1.1749211848280148E-2</v>
      </c>
      <c r="DQ31" s="388">
        <v>1.1749211848280152E-2</v>
      </c>
      <c r="DR31" s="388">
        <v>1.1749211848280176E-2</v>
      </c>
      <c r="DS31" s="388">
        <v>1.1749211848280195E-2</v>
      </c>
      <c r="DT31" s="388">
        <v>1.1749211848280114E-2</v>
      </c>
      <c r="DU31" s="388">
        <v>1.1749211848280219E-2</v>
      </c>
      <c r="DV31" s="388">
        <v>1.1749211848280147E-2</v>
      </c>
      <c r="DW31" s="388">
        <v>1.1749211848280147E-2</v>
      </c>
      <c r="DX31" s="388">
        <v>1.1749211848280147E-2</v>
      </c>
      <c r="DY31" s="388">
        <v>1.174921184828015E-2</v>
      </c>
      <c r="DZ31" s="388">
        <v>1.1729354421311494E-2</v>
      </c>
      <c r="EA31" s="388">
        <v>1.1729354421311494E-2</v>
      </c>
      <c r="EB31" s="388"/>
      <c r="EC31" s="435"/>
      <c r="ED31" s="388">
        <v>1.3851796966260732E-4</v>
      </c>
      <c r="EE31" s="388">
        <v>4.4695774793218846E-4</v>
      </c>
      <c r="EF31" s="388">
        <v>8.5683767699856902E-4</v>
      </c>
      <c r="EG31" s="388">
        <v>1.4443294550170785E-3</v>
      </c>
      <c r="EH31" s="388">
        <v>2.0668242998617497E-3</v>
      </c>
      <c r="EI31" s="388">
        <v>8.6751093493562007E-4</v>
      </c>
      <c r="EJ31" s="388">
        <v>2.1052867843345058E-3</v>
      </c>
      <c r="EK31" s="388">
        <v>1.1432158586107799E-3</v>
      </c>
      <c r="EL31" s="388">
        <v>2.6703863192529512E-3</v>
      </c>
      <c r="EM31" s="388">
        <v>1.549988691504947E-3</v>
      </c>
      <c r="EN31" s="388">
        <v>1.642589768564541E-2</v>
      </c>
      <c r="EO31" s="388">
        <v>1.9657929555351662E-2</v>
      </c>
      <c r="EP31" s="388">
        <v>1.5921028490919916E-2</v>
      </c>
      <c r="EQ31" s="388">
        <v>5.7599999999999991E-2</v>
      </c>
      <c r="ER31" s="388">
        <v>2.2191293892331106E-2</v>
      </c>
      <c r="ES31" s="388">
        <v>1.9063647127170593E-2</v>
      </c>
      <c r="ET31" s="388">
        <v>2.0098866173659701E-2</v>
      </c>
      <c r="EU31" s="388">
        <v>1.812226322738331E-2</v>
      </c>
      <c r="EV31" s="388">
        <v>2.1076976137753136E-2</v>
      </c>
      <c r="EW31" s="388">
        <v>2.4696148685982015E-2</v>
      </c>
      <c r="EX31" s="388">
        <v>2.5648324724904418E-2</v>
      </c>
      <c r="EY31" s="388">
        <v>3.8494595746194023E-4</v>
      </c>
      <c r="EZ31" s="388">
        <v>-2.9166587805132743E-4</v>
      </c>
      <c r="FA31" s="388">
        <v>1.1164182638258051E-2</v>
      </c>
      <c r="FB31" s="388">
        <v>8.0258156258078313E-3</v>
      </c>
      <c r="FC31" s="388">
        <v>1.2634269494041042E-3</v>
      </c>
      <c r="FD31" s="388">
        <v>4.4114331751875799E-3</v>
      </c>
      <c r="FE31" s="388">
        <v>1.3851966385987815E-4</v>
      </c>
      <c r="FF31" s="388">
        <v>3.2635010166477251E-4</v>
      </c>
      <c r="FG31" s="388">
        <v>6.4262825774892671E-4</v>
      </c>
      <c r="FH31" s="388">
        <v>6.7109336476151743E-4</v>
      </c>
      <c r="FI31" s="388">
        <v>2.6087249284144961E-3</v>
      </c>
      <c r="FJ31" s="388">
        <v>4.4200159480865687E-3</v>
      </c>
      <c r="FK31" s="388">
        <v>1.0940863597725236E-2</v>
      </c>
      <c r="FL31" s="388">
        <v>5.3365635283564028E-3</v>
      </c>
      <c r="FM31" s="388">
        <v>-1.4225804677626371E-3</v>
      </c>
      <c r="FN31" s="388">
        <v>-8.5266311207813099E-4</v>
      </c>
      <c r="FO31" s="388">
        <v>-6.6753377774883245E-3</v>
      </c>
      <c r="FP31" s="388">
        <v>-1.4489027461323302E-2</v>
      </c>
      <c r="FQ31" s="388">
        <v>-1.7510582218786559E-2</v>
      </c>
      <c r="FR31" s="388">
        <v>-1.5921028490919916E-2</v>
      </c>
      <c r="FS31" s="388">
        <v>-5.6657315695872804E-2</v>
      </c>
      <c r="FT31" s="388">
        <v>-2.0873552774849282E-2</v>
      </c>
      <c r="FU31" s="388">
        <v>-1.7678732502014551E-2</v>
      </c>
      <c r="FV31" s="388">
        <v>-1.979699444256762E-2</v>
      </c>
      <c r="FW31" s="388">
        <v>-1.6539979283392816E-2</v>
      </c>
      <c r="FX31" s="388">
        <v>-1.9907515786255922E-2</v>
      </c>
      <c r="FY31" s="388">
        <v>-2.3593809716248051E-2</v>
      </c>
      <c r="FZ31" s="388">
        <v>-2.4064745661748189E-2</v>
      </c>
      <c r="GA31" s="388">
        <v>-8.9868633804602118E-5</v>
      </c>
      <c r="GB31" s="388"/>
      <c r="GC31" s="388"/>
      <c r="GD31" s="388"/>
      <c r="GE31" s="388"/>
      <c r="GF31" s="388"/>
      <c r="GG31" s="388"/>
      <c r="GH31" s="388"/>
      <c r="GI31" s="388"/>
      <c r="GJ31" s="388"/>
      <c r="GK31" s="388"/>
      <c r="GL31" s="388"/>
      <c r="GM31" s="388"/>
      <c r="GN31" s="388"/>
      <c r="GO31" s="388"/>
      <c r="GP31" s="412"/>
      <c r="GQ31" s="412"/>
      <c r="GR31" s="412"/>
      <c r="GS31" s="412"/>
      <c r="GT31" s="412"/>
      <c r="GU31" s="412"/>
      <c r="GV31" s="412"/>
      <c r="GW31" s="412"/>
      <c r="GX31" s="412"/>
      <c r="GY31" s="412"/>
      <c r="GZ31" s="412"/>
      <c r="HA31" s="412"/>
      <c r="HB31" s="412"/>
      <c r="HC31" s="412"/>
      <c r="HD31" s="412"/>
      <c r="HE31" s="412"/>
      <c r="HF31" s="412"/>
      <c r="HG31" s="412"/>
      <c r="HH31" s="412"/>
      <c r="HI31" s="412"/>
      <c r="HJ31" s="412"/>
      <c r="HK31" s="412"/>
      <c r="HL31" s="412"/>
      <c r="HM31" s="412"/>
      <c r="HN31" s="412"/>
      <c r="HO31" s="412"/>
      <c r="HP31" s="412"/>
      <c r="HQ31" s="412"/>
      <c r="HR31" s="412"/>
      <c r="HS31" s="412"/>
      <c r="HT31" s="412"/>
      <c r="HU31" s="412"/>
      <c r="HV31" s="412"/>
      <c r="HW31" s="412"/>
      <c r="HX31" s="412"/>
      <c r="HY31" s="412"/>
      <c r="HZ31" s="412"/>
      <c r="IA31" s="412"/>
      <c r="IB31" s="412"/>
      <c r="IC31" s="412"/>
      <c r="ID31" s="412"/>
      <c r="IE31" s="412"/>
      <c r="IF31" s="412"/>
      <c r="IG31" s="412"/>
      <c r="IH31" s="412"/>
      <c r="II31" s="412"/>
      <c r="IJ31" s="412"/>
      <c r="IK31" s="412"/>
      <c r="IL31" s="412"/>
      <c r="IM31" s="412"/>
      <c r="IN31" s="412"/>
      <c r="IO31" s="412"/>
      <c r="IP31" s="412"/>
      <c r="IQ31" s="412"/>
      <c r="IR31" s="412"/>
      <c r="IS31" s="412"/>
      <c r="IT31" s="412"/>
      <c r="IU31" s="412"/>
      <c r="IV31" s="412"/>
      <c r="IW31" s="412"/>
      <c r="IX31" s="412"/>
      <c r="IY31" s="412"/>
      <c r="IZ31" s="412"/>
      <c r="JA31" s="412"/>
      <c r="JB31" s="412"/>
      <c r="JC31" s="412"/>
      <c r="JD31" s="412"/>
      <c r="JE31" s="412"/>
      <c r="JF31" s="412"/>
      <c r="JG31" s="412"/>
      <c r="JH31" s="412"/>
      <c r="JI31" s="412"/>
      <c r="JJ31" s="412"/>
      <c r="JK31" s="412"/>
      <c r="JL31" s="412"/>
      <c r="JM31" s="412"/>
      <c r="JN31" s="412"/>
      <c r="JO31" s="412"/>
      <c r="JP31" s="412"/>
      <c r="JQ31" s="412"/>
      <c r="JR31" s="412"/>
      <c r="JS31" s="412"/>
      <c r="JT31" s="412"/>
      <c r="JU31" s="412"/>
      <c r="JV31" s="412"/>
      <c r="JW31" s="412"/>
      <c r="JX31" s="412"/>
      <c r="JY31" s="412"/>
      <c r="JZ31" s="412"/>
      <c r="KA31" s="412"/>
      <c r="KB31" s="412"/>
      <c r="KC31" s="412"/>
      <c r="KD31" s="412"/>
      <c r="KE31" s="412"/>
      <c r="KF31" s="412"/>
      <c r="KG31" s="412"/>
      <c r="KH31" s="412"/>
      <c r="KI31" s="412"/>
      <c r="KJ31" s="412"/>
      <c r="KK31" s="412"/>
      <c r="KL31" s="412"/>
      <c r="KM31" s="412"/>
      <c r="KN31" s="412"/>
      <c r="KO31" s="412"/>
      <c r="KP31" s="412"/>
      <c r="KQ31" s="412"/>
      <c r="KR31" s="412"/>
      <c r="KS31" s="412"/>
      <c r="KT31" s="412"/>
      <c r="KU31" s="412"/>
      <c r="KV31" s="412"/>
      <c r="KW31" s="412"/>
      <c r="KX31" s="412"/>
      <c r="KY31" s="412"/>
      <c r="KZ31" s="412"/>
      <c r="LA31" s="412"/>
      <c r="LB31" s="412"/>
      <c r="LC31" s="412"/>
      <c r="LD31" s="412"/>
      <c r="LE31" s="412"/>
      <c r="LF31" s="412"/>
      <c r="LG31" s="412"/>
      <c r="LH31" s="412"/>
      <c r="LI31" s="412"/>
      <c r="LJ31" s="412"/>
      <c r="LK31" s="412"/>
      <c r="LL31" s="412"/>
      <c r="LM31" s="412"/>
      <c r="LN31" s="412"/>
      <c r="LO31" s="412"/>
      <c r="LP31" s="412"/>
      <c r="LQ31" s="412"/>
      <c r="LR31" s="412"/>
      <c r="LS31" s="412"/>
      <c r="LT31" s="412"/>
      <c r="LU31" s="412"/>
      <c r="LV31" s="412"/>
      <c r="LW31" s="412"/>
      <c r="LX31" s="412"/>
      <c r="LY31" s="412"/>
      <c r="LZ31" s="412"/>
      <c r="MA31" s="412"/>
      <c r="MB31" s="412"/>
      <c r="MC31" s="412"/>
      <c r="MD31" s="412"/>
      <c r="ME31" s="412"/>
      <c r="MF31" s="412"/>
      <c r="MG31" s="412"/>
      <c r="MH31" s="412"/>
      <c r="MI31" s="412"/>
      <c r="MJ31" s="412"/>
      <c r="MK31" s="412"/>
      <c r="ML31" s="412"/>
      <c r="MM31" s="412"/>
      <c r="MN31" s="412"/>
      <c r="MO31" s="412"/>
      <c r="MP31" s="412"/>
      <c r="MQ31" s="412"/>
      <c r="MR31" s="412"/>
      <c r="MS31" s="412"/>
      <c r="MT31" s="412"/>
      <c r="MU31" s="412"/>
      <c r="MV31" s="412"/>
      <c r="MW31" s="412"/>
      <c r="MX31" s="412"/>
      <c r="MY31" s="412"/>
      <c r="MZ31" s="412"/>
      <c r="NA31" s="412"/>
      <c r="NB31" s="412"/>
      <c r="NC31" s="412"/>
      <c r="ND31" s="412"/>
      <c r="NE31" s="412"/>
      <c r="NF31" s="412"/>
      <c r="NG31" s="412"/>
      <c r="NH31" s="412"/>
      <c r="NI31" s="412"/>
      <c r="NJ31" s="412"/>
      <c r="NK31" s="412"/>
      <c r="NL31" s="412"/>
      <c r="NM31" s="412"/>
      <c r="NN31" s="412"/>
      <c r="NO31" s="412"/>
      <c r="NP31" s="412"/>
      <c r="NQ31" s="412"/>
      <c r="NR31" s="412"/>
      <c r="NS31" s="412"/>
      <c r="NT31" s="412"/>
      <c r="NU31" s="412"/>
      <c r="NV31" s="412"/>
      <c r="NW31" s="412"/>
      <c r="NX31" s="412"/>
      <c r="NY31" s="412"/>
      <c r="NZ31" s="412"/>
      <c r="OA31" s="412"/>
      <c r="OB31" s="412"/>
      <c r="OC31" s="412"/>
      <c r="OD31" s="412"/>
      <c r="OE31" s="412"/>
      <c r="OF31" s="412"/>
      <c r="OG31" s="412"/>
      <c r="OH31" s="412"/>
      <c r="OI31" s="412"/>
      <c r="OJ31" s="412"/>
      <c r="OK31" s="412"/>
      <c r="OL31" s="412"/>
      <c r="OM31" s="412"/>
      <c r="ON31" s="412"/>
      <c r="OO31" s="412"/>
      <c r="OP31" s="412"/>
      <c r="OQ31" s="412"/>
      <c r="OR31" s="412"/>
      <c r="OS31" s="412"/>
      <c r="OT31" s="412"/>
      <c r="OU31" s="412"/>
      <c r="OV31" s="412"/>
      <c r="OW31" s="412"/>
      <c r="OX31" s="412"/>
      <c r="OY31" s="412"/>
      <c r="OZ31" s="412"/>
      <c r="PA31" s="412"/>
      <c r="PB31" s="412"/>
      <c r="PC31" s="412"/>
      <c r="PD31" s="412"/>
      <c r="PE31" s="412"/>
      <c r="PF31" s="412"/>
      <c r="PG31" s="412"/>
      <c r="PH31" s="412"/>
      <c r="PI31" s="412"/>
      <c r="PJ31" s="412"/>
      <c r="PK31" s="412"/>
      <c r="PL31" s="412"/>
      <c r="PM31" s="412"/>
      <c r="PN31" s="412"/>
      <c r="PO31" s="412"/>
      <c r="PP31" s="412"/>
      <c r="PQ31" s="412"/>
      <c r="PR31" s="412"/>
      <c r="PS31" s="412"/>
      <c r="PT31" s="412"/>
      <c r="PU31" s="412"/>
      <c r="PV31" s="412"/>
      <c r="PW31" s="412"/>
      <c r="PX31" s="412"/>
      <c r="PY31" s="412"/>
      <c r="PZ31" s="412"/>
      <c r="QA31" s="412"/>
      <c r="QB31" s="412"/>
      <c r="QC31" s="412"/>
      <c r="QD31" s="412"/>
      <c r="QE31" s="412"/>
      <c r="QF31" s="412"/>
      <c r="QG31" s="412"/>
      <c r="QH31" s="412"/>
      <c r="QI31" s="412"/>
      <c r="QJ31" s="412"/>
      <c r="QK31" s="412"/>
      <c r="QL31" s="412"/>
      <c r="QM31" s="412"/>
      <c r="QN31" s="412"/>
      <c r="QO31" s="412"/>
      <c r="QP31" s="412"/>
      <c r="QQ31" s="412"/>
      <c r="QR31" s="412"/>
      <c r="QS31" s="412"/>
      <c r="QT31" s="412"/>
      <c r="QU31" s="412"/>
      <c r="QV31" s="412"/>
      <c r="QW31" s="412"/>
      <c r="QX31" s="412"/>
      <c r="QY31" s="412"/>
      <c r="QZ31" s="412"/>
      <c r="RA31" s="412"/>
      <c r="RB31" s="412"/>
      <c r="RC31" s="412"/>
      <c r="RD31" s="412"/>
      <c r="RE31" s="412"/>
      <c r="RF31" s="412"/>
      <c r="RG31" s="412"/>
      <c r="RH31" s="412"/>
      <c r="RI31" s="412"/>
      <c r="RJ31" s="412"/>
      <c r="RK31" s="412"/>
      <c r="RL31" s="412"/>
      <c r="RM31" s="412"/>
      <c r="RN31" s="412"/>
      <c r="RO31" s="412"/>
      <c r="RP31" s="412"/>
      <c r="RQ31" s="412"/>
      <c r="RR31" s="412"/>
      <c r="RS31" s="412"/>
      <c r="RT31" s="412"/>
      <c r="RU31" s="412"/>
      <c r="RV31" s="412"/>
      <c r="RW31" s="412"/>
      <c r="RX31" s="412"/>
      <c r="RY31" s="412"/>
      <c r="RZ31" s="412"/>
      <c r="SA31" s="412"/>
      <c r="SB31" s="412"/>
      <c r="SC31" s="412"/>
      <c r="SD31" s="412"/>
      <c r="SE31" s="412"/>
      <c r="SF31" s="412"/>
      <c r="SG31" s="412"/>
    </row>
    <row r="32" spans="1:501" x14ac:dyDescent="0.2">
      <c r="A32" s="391" t="s">
        <v>14</v>
      </c>
      <c r="B32" s="110"/>
      <c r="C32" s="392">
        <v>0.1</v>
      </c>
      <c r="D32" s="392">
        <v>0.21</v>
      </c>
      <c r="E32" s="392">
        <v>0</v>
      </c>
      <c r="F32" s="392">
        <v>1</v>
      </c>
      <c r="G32" s="392"/>
      <c r="H32" s="435"/>
      <c r="I32" s="410">
        <v>0</v>
      </c>
      <c r="J32" s="410">
        <v>0</v>
      </c>
      <c r="K32" s="410">
        <v>0</v>
      </c>
      <c r="L32" s="410">
        <v>0</v>
      </c>
      <c r="M32" s="410">
        <v>0</v>
      </c>
      <c r="N32" s="410">
        <v>1</v>
      </c>
      <c r="O32" s="435"/>
      <c r="P32" s="393">
        <v>0</v>
      </c>
      <c r="Q32" s="393">
        <v>0</v>
      </c>
      <c r="R32" s="393">
        <v>0</v>
      </c>
      <c r="S32" s="393">
        <v>0</v>
      </c>
      <c r="T32" s="393">
        <v>1</v>
      </c>
      <c r="U32" s="435"/>
      <c r="V32" s="393">
        <v>1</v>
      </c>
      <c r="W32" s="393">
        <v>1</v>
      </c>
      <c r="X32" s="393">
        <v>1</v>
      </c>
      <c r="Y32" s="393">
        <v>1</v>
      </c>
      <c r="Z32" s="393">
        <v>1</v>
      </c>
      <c r="AA32" s="393"/>
      <c r="AB32" s="435"/>
      <c r="AC32" s="393">
        <v>5.1999999999999998E-3</v>
      </c>
      <c r="AD32" s="411"/>
      <c r="AE32" s="435"/>
      <c r="AF32" s="388">
        <v>1.5372727074496347E-23</v>
      </c>
      <c r="AG32" s="388">
        <v>3.6754049895305611E-22</v>
      </c>
      <c r="AH32" s="388">
        <v>-3.7172845963591747E-10</v>
      </c>
      <c r="AI32" s="388">
        <v>7.0358713408631998E-10</v>
      </c>
      <c r="AJ32" s="388">
        <v>-2.3349425314381624E-21</v>
      </c>
      <c r="AK32" s="388">
        <v>7.0358713408937858E-10</v>
      </c>
      <c r="AL32" s="388">
        <v>-6.2137778179153465E-20</v>
      </c>
      <c r="AM32" s="388">
        <v>-3.7633185456797946E-10</v>
      </c>
      <c r="AN32" s="388">
        <v>7.0358713408521321E-10</v>
      </c>
      <c r="AO32" s="388">
        <v>5.5347532190650601E-22</v>
      </c>
      <c r="AP32" s="388">
        <v>7.0358713412863471E-10</v>
      </c>
      <c r="AQ32" s="388">
        <v>7.5344828064833197E-23</v>
      </c>
      <c r="AR32" s="388">
        <v>1.3941606834773589E-21</v>
      </c>
      <c r="AS32" s="388">
        <v>4.0084516851466033E-22</v>
      </c>
      <c r="AT32" s="388">
        <v>1.7251769077611334E-24</v>
      </c>
      <c r="AU32" s="388">
        <v>-6.6194161281074716E-11</v>
      </c>
      <c r="AV32" s="388">
        <v>-6.6194161264702744E-11</v>
      </c>
      <c r="AW32" s="388">
        <v>6.5151211558589664E-24</v>
      </c>
      <c r="AX32" s="388">
        <v>-3.7633185456797946E-10</v>
      </c>
      <c r="AY32" s="388">
        <v>-3.7633185456774268E-10</v>
      </c>
      <c r="AZ32" s="388">
        <v>-6.6194161279827211E-11</v>
      </c>
      <c r="BA32" s="388">
        <v>-1.1134750243261666E-23</v>
      </c>
      <c r="BB32" s="388">
        <v>2.3943897104748468E-22</v>
      </c>
      <c r="BC32" s="388">
        <v>4.4927498234322753E-24</v>
      </c>
      <c r="BD32" s="388">
        <v>-6.0194044333917214E-22</v>
      </c>
      <c r="BE32" s="388">
        <v>5.6148268101397498E-21</v>
      </c>
      <c r="BF32" s="388">
        <v>4.1816760381031909E-21</v>
      </c>
      <c r="BG32" s="388">
        <v>1.2792780316242444E-22</v>
      </c>
      <c r="BH32" s="388">
        <v>5.3999930074718087E-24</v>
      </c>
      <c r="BI32" s="388">
        <v>-1.3307312209729642E-20</v>
      </c>
      <c r="BJ32" s="388">
        <v>8.9005923742106846E-24</v>
      </c>
      <c r="BK32" s="388">
        <v>-2.8485018593843663E-22</v>
      </c>
      <c r="BL32" s="388">
        <v>-3.1054094700249188E-22</v>
      </c>
      <c r="BM32" s="388">
        <v>-9.15286139099639E-23</v>
      </c>
      <c r="BN32" s="388">
        <v>-6.6750840801545324E-23</v>
      </c>
      <c r="BO32" s="388">
        <v>9.4985464252248912E-23</v>
      </c>
      <c r="BP32" s="388">
        <v>-3.241639747214974E-22</v>
      </c>
      <c r="BQ32" s="388">
        <v>7.0077226390136098E-21</v>
      </c>
      <c r="BR32" s="388">
        <v>5.8544234337812071E-23</v>
      </c>
      <c r="BS32" s="388">
        <v>-1.133219438064194E-22</v>
      </c>
      <c r="BT32" s="388">
        <v>-3.4375772421082346E-24</v>
      </c>
      <c r="BU32" s="388">
        <v>-6.561093617848263E-24</v>
      </c>
      <c r="BV32" s="388">
        <v>-7.2367209066382681E-23</v>
      </c>
      <c r="BW32" s="388">
        <v>5.140224036259977E-23</v>
      </c>
      <c r="BX32" s="388">
        <v>-1.2023828625884622E-22</v>
      </c>
      <c r="BY32" s="388">
        <v>-1.9264205369787829E-22</v>
      </c>
      <c r="BZ32" s="388">
        <v>1.6703834141392226E-20</v>
      </c>
      <c r="CA32" s="388">
        <v>-3.8354693132769393E-20</v>
      </c>
      <c r="CB32" s="388">
        <v>-2.3956856381156276E-21</v>
      </c>
      <c r="CC32" s="388">
        <v>-4.4939952465008038E-23</v>
      </c>
      <c r="CD32" s="388">
        <v>1.1112813306972826E-20</v>
      </c>
      <c r="CE32" s="388">
        <v>2.3240967905694713E-22</v>
      </c>
      <c r="CF32" s="388">
        <v>6.6990835307957519E-24</v>
      </c>
      <c r="CG32" s="388">
        <v>1.3126986521970161E-17</v>
      </c>
      <c r="CH32" s="388">
        <v>6.5866111893536289E-18</v>
      </c>
      <c r="CI32" s="388">
        <v>-1.5928804852251742E-18</v>
      </c>
      <c r="CJ32" s="388">
        <v>-4.6177955858589817E-23</v>
      </c>
      <c r="CK32" s="388">
        <v>5.8470745244491633E-18</v>
      </c>
      <c r="CL32" s="388">
        <v>1.7914875630448561E-22</v>
      </c>
      <c r="CM32" s="388">
        <v>-7.6515343230660191E-23</v>
      </c>
      <c r="CN32" s="388">
        <v>-5.2676220251778927E-22</v>
      </c>
      <c r="CO32" s="388">
        <v>-1.556895012061376E-24</v>
      </c>
      <c r="CP32" s="388">
        <v>-2.5803484822963345E-24</v>
      </c>
      <c r="CQ32" s="388">
        <v>-6.1572671393982665E-21</v>
      </c>
      <c r="CR32" s="388">
        <v>-1.4203274241858147E-23</v>
      </c>
      <c r="CS32" s="388">
        <v>-3.3101854047850331E-21</v>
      </c>
      <c r="CT32" s="388">
        <v>6.148788630529379E-21</v>
      </c>
      <c r="CU32" s="388">
        <v>-5.0746616256142927E-23</v>
      </c>
      <c r="CV32" s="388">
        <v>-8.4706255335923435E-25</v>
      </c>
      <c r="CW32" s="388">
        <v>1.0362553705930585E-22</v>
      </c>
      <c r="CX32" s="388">
        <v>1.8720386068438437E-21</v>
      </c>
      <c r="CY32" s="388">
        <v>-6.6475375661528784E-24</v>
      </c>
      <c r="CZ32" s="388">
        <v>-8.7122436799060297E-21</v>
      </c>
      <c r="DA32" s="388">
        <v>-5.374857293530685E-23</v>
      </c>
      <c r="DB32" s="388">
        <v>-1.263162336992279E-17</v>
      </c>
      <c r="DC32" s="388">
        <v>-1.4919759786757046E-20</v>
      </c>
      <c r="DD32" s="388">
        <v>2.331315328520242E-17</v>
      </c>
      <c r="DE32" s="388">
        <v>-7.8813029315250346E-22</v>
      </c>
      <c r="DF32" s="388">
        <v>-8.505752811615134E-26</v>
      </c>
      <c r="DG32" s="388">
        <v>-1.0983475963855404E-19</v>
      </c>
      <c r="DH32" s="388">
        <v>8.3483545797301448E-18</v>
      </c>
      <c r="DI32" s="388">
        <v>-4.2983462196996139E-19</v>
      </c>
      <c r="DJ32" s="388">
        <v>7.263126556316488E-20</v>
      </c>
      <c r="DK32" s="388">
        <v>1.1584065154652585E-22</v>
      </c>
      <c r="DL32" s="388">
        <v>-1.659028731432301E-17</v>
      </c>
      <c r="DM32" s="388">
        <v>-2.8666255174132283E-19</v>
      </c>
      <c r="DN32" s="388">
        <v>1.5328301658028198E-21</v>
      </c>
      <c r="DO32" s="388">
        <v>9.5029614335678498E-21</v>
      </c>
      <c r="DP32" s="388">
        <v>8.3538865198706702E-19</v>
      </c>
      <c r="DQ32" s="388">
        <v>1.0844612534714198E-21</v>
      </c>
      <c r="DR32" s="388">
        <v>4.3632211901184268E-17</v>
      </c>
      <c r="DS32" s="388">
        <v>1.6701005706872005E-16</v>
      </c>
      <c r="DT32" s="388">
        <v>-2.2666943411780018E-17</v>
      </c>
      <c r="DU32" s="388">
        <v>1.1114436738585978E-16</v>
      </c>
      <c r="DV32" s="388">
        <v>-1.9488266889174971E-20</v>
      </c>
      <c r="DW32" s="388">
        <v>-2.0363540496169425E-20</v>
      </c>
      <c r="DX32" s="388">
        <v>-2.7930028353913937E-20</v>
      </c>
      <c r="DY32" s="388">
        <v>2.2053156560097628E-20</v>
      </c>
      <c r="DZ32" s="388">
        <v>2.041708282509813E-5</v>
      </c>
      <c r="EA32" s="388">
        <v>2.041708282509813E-5</v>
      </c>
      <c r="EB32" s="388"/>
      <c r="EC32" s="435"/>
      <c r="ED32" s="388">
        <v>2.2327105893946421E-5</v>
      </c>
      <c r="EE32" s="388">
        <v>1.5242503093821036E-4</v>
      </c>
      <c r="EF32" s="388">
        <v>-3.50226658619704E-4</v>
      </c>
      <c r="EG32" s="388">
        <v>2.5677138482462824E-3</v>
      </c>
      <c r="EH32" s="388">
        <v>4.5452526885191207E-3</v>
      </c>
      <c r="EI32" s="388">
        <v>1.0029409334097628E-3</v>
      </c>
      <c r="EJ32" s="388">
        <v>2.9379422961020602E-3</v>
      </c>
      <c r="EK32" s="388">
        <v>2.0788388448275442E-3</v>
      </c>
      <c r="EL32" s="388">
        <v>4.3649599013257804E-3</v>
      </c>
      <c r="EM32" s="388">
        <v>7.5480923763053033E-4</v>
      </c>
      <c r="EN32" s="388">
        <v>2.3198261882376874E-2</v>
      </c>
      <c r="EO32" s="388">
        <v>2.6608079900467652E-2</v>
      </c>
      <c r="EP32" s="388">
        <v>2.2576811429298051E-2</v>
      </c>
      <c r="EQ32" s="388">
        <v>2.2191293892331106E-2</v>
      </c>
      <c r="ER32" s="388">
        <v>4.4099999999999993E-2</v>
      </c>
      <c r="ES32" s="388">
        <v>3.0330305171296916E-2</v>
      </c>
      <c r="ET32" s="388">
        <v>3.241339559444692E-2</v>
      </c>
      <c r="EU32" s="388">
        <v>2.46333876213767E-2</v>
      </c>
      <c r="EV32" s="388">
        <v>2.4538623953407203E-2</v>
      </c>
      <c r="EW32" s="388">
        <v>2.6695338079077018E-2</v>
      </c>
      <c r="EX32" s="388">
        <v>2.9636786414841382E-2</v>
      </c>
      <c r="EY32" s="388">
        <v>1.0316468174304851E-3</v>
      </c>
      <c r="EZ32" s="388">
        <v>-9.226331620197177E-4</v>
      </c>
      <c r="FA32" s="388">
        <v>1.6709101781442942E-2</v>
      </c>
      <c r="FB32" s="388">
        <v>8.4292388312605607E-3</v>
      </c>
      <c r="FC32" s="388">
        <v>1.8301851202085614E-3</v>
      </c>
      <c r="FD32" s="388">
        <v>4.4355280088307263E-3</v>
      </c>
      <c r="FE32" s="388">
        <v>2.2311962817286541E-5</v>
      </c>
      <c r="FF32" s="388">
        <v>1.1129446703424883E-4</v>
      </c>
      <c r="FG32" s="388">
        <v>-2.6266999396477799E-4</v>
      </c>
      <c r="FH32" s="388">
        <v>7.7585996735472199E-4</v>
      </c>
      <c r="FI32" s="388">
        <v>3.6404937147351615E-3</v>
      </c>
      <c r="FJ32" s="388">
        <v>2.4728965260821657E-3</v>
      </c>
      <c r="FK32" s="388">
        <v>1.1532234050274388E-2</v>
      </c>
      <c r="FL32" s="388">
        <v>1.6490610513125367E-3</v>
      </c>
      <c r="FM32" s="388">
        <v>-2.6407347231300862E-3</v>
      </c>
      <c r="FN32" s="388">
        <v>-1.8734341336468909E-3</v>
      </c>
      <c r="FO32" s="388">
        <v>-1.140995999286477E-3</v>
      </c>
      <c r="FP32" s="388">
        <v>-2.3168124312104771E-2</v>
      </c>
      <c r="FQ32" s="388">
        <v>-2.62960317411862E-2</v>
      </c>
      <c r="FR32" s="388">
        <v>-2.2576811429298051E-2</v>
      </c>
      <c r="FS32" s="388">
        <v>-2.3483974365008244E-2</v>
      </c>
      <c r="FT32" s="388">
        <v>-4.3212859490079587E-2</v>
      </c>
      <c r="FU32" s="388">
        <v>-2.9934112502170738E-2</v>
      </c>
      <c r="FV32" s="388">
        <v>-3.3270015532382034E-2</v>
      </c>
      <c r="FW32" s="388">
        <v>-2.4080158655115567E-2</v>
      </c>
      <c r="FX32" s="388">
        <v>-2.4796183345219658E-2</v>
      </c>
      <c r="FY32" s="388">
        <v>-2.7420664322296714E-2</v>
      </c>
      <c r="FZ32" s="388">
        <v>-2.9805648832706824E-2</v>
      </c>
      <c r="GA32" s="388">
        <v>-2.0267104760287956E-4</v>
      </c>
      <c r="GB32" s="388"/>
      <c r="GC32" s="388"/>
      <c r="GD32" s="388"/>
      <c r="GE32" s="388"/>
      <c r="GF32" s="388"/>
      <c r="GG32" s="388"/>
      <c r="GH32" s="388"/>
      <c r="GI32" s="388"/>
      <c r="GJ32" s="388"/>
      <c r="GK32" s="388"/>
      <c r="GL32" s="388"/>
      <c r="GM32" s="388"/>
      <c r="GN32" s="388"/>
      <c r="GO32" s="388"/>
      <c r="GP32" s="412"/>
      <c r="GQ32" s="412"/>
      <c r="GR32" s="412"/>
      <c r="GS32" s="412"/>
      <c r="GT32" s="412"/>
      <c r="GU32" s="412"/>
      <c r="GV32" s="412"/>
      <c r="GW32" s="412"/>
      <c r="GX32" s="412"/>
      <c r="GY32" s="412"/>
      <c r="GZ32" s="412"/>
      <c r="HA32" s="412"/>
      <c r="HB32" s="412"/>
      <c r="HC32" s="412"/>
      <c r="HD32" s="412"/>
      <c r="HE32" s="412"/>
      <c r="HF32" s="412"/>
      <c r="HG32" s="412"/>
      <c r="HH32" s="412"/>
      <c r="HI32" s="412"/>
      <c r="HJ32" s="412"/>
      <c r="HK32" s="412"/>
      <c r="HL32" s="412"/>
      <c r="HM32" s="412"/>
      <c r="HN32" s="412"/>
      <c r="HO32" s="412"/>
      <c r="HP32" s="412"/>
      <c r="HQ32" s="412"/>
      <c r="HR32" s="412"/>
      <c r="HS32" s="412"/>
      <c r="HT32" s="412"/>
      <c r="HU32" s="412"/>
      <c r="HV32" s="412"/>
      <c r="HW32" s="412"/>
      <c r="HX32" s="412"/>
      <c r="HY32" s="412"/>
      <c r="HZ32" s="412"/>
      <c r="IA32" s="412"/>
      <c r="IB32" s="412"/>
      <c r="IC32" s="412"/>
      <c r="ID32" s="412"/>
      <c r="IE32" s="412"/>
      <c r="IF32" s="412"/>
      <c r="IG32" s="412"/>
      <c r="IH32" s="412"/>
      <c r="II32" s="412"/>
      <c r="IJ32" s="412"/>
      <c r="IK32" s="412"/>
      <c r="IL32" s="412"/>
      <c r="IM32" s="412"/>
      <c r="IN32" s="412"/>
      <c r="IO32" s="412"/>
      <c r="IP32" s="412"/>
      <c r="IQ32" s="412"/>
      <c r="IR32" s="412"/>
      <c r="IS32" s="412"/>
      <c r="IT32" s="412"/>
      <c r="IU32" s="412"/>
      <c r="IV32" s="412"/>
      <c r="IW32" s="412"/>
      <c r="IX32" s="412"/>
      <c r="IY32" s="412"/>
      <c r="IZ32" s="412"/>
      <c r="JA32" s="412"/>
      <c r="JB32" s="412"/>
      <c r="JC32" s="412"/>
      <c r="JD32" s="412"/>
      <c r="JE32" s="412"/>
      <c r="JF32" s="412"/>
      <c r="JG32" s="412"/>
      <c r="JH32" s="412"/>
      <c r="JI32" s="412"/>
      <c r="JJ32" s="412"/>
      <c r="JK32" s="412"/>
      <c r="JL32" s="412"/>
      <c r="JM32" s="412"/>
      <c r="JN32" s="412"/>
      <c r="JO32" s="412"/>
      <c r="JP32" s="412"/>
      <c r="JQ32" s="412"/>
      <c r="JR32" s="412"/>
      <c r="JS32" s="412"/>
      <c r="JT32" s="412"/>
      <c r="JU32" s="412"/>
      <c r="JV32" s="412"/>
      <c r="JW32" s="412"/>
      <c r="JX32" s="412"/>
      <c r="JY32" s="412"/>
      <c r="JZ32" s="412"/>
      <c r="KA32" s="412"/>
      <c r="KB32" s="412"/>
      <c r="KC32" s="412"/>
      <c r="KD32" s="412"/>
      <c r="KE32" s="412"/>
      <c r="KF32" s="412"/>
      <c r="KG32" s="412"/>
      <c r="KH32" s="412"/>
      <c r="KI32" s="412"/>
      <c r="KJ32" s="412"/>
      <c r="KK32" s="412"/>
      <c r="KL32" s="412"/>
      <c r="KM32" s="412"/>
      <c r="KN32" s="412"/>
      <c r="KO32" s="412"/>
      <c r="KP32" s="412"/>
      <c r="KQ32" s="412"/>
      <c r="KR32" s="412"/>
      <c r="KS32" s="412"/>
      <c r="KT32" s="412"/>
      <c r="KU32" s="412"/>
      <c r="KV32" s="412"/>
      <c r="KW32" s="412"/>
      <c r="KX32" s="412"/>
      <c r="KY32" s="412"/>
      <c r="KZ32" s="412"/>
      <c r="LA32" s="412"/>
      <c r="LB32" s="412"/>
      <c r="LC32" s="412"/>
      <c r="LD32" s="412"/>
      <c r="LE32" s="412"/>
      <c r="LF32" s="412"/>
      <c r="LG32" s="412"/>
      <c r="LH32" s="412"/>
      <c r="LI32" s="412"/>
      <c r="LJ32" s="412"/>
      <c r="LK32" s="412"/>
      <c r="LL32" s="412"/>
      <c r="LM32" s="412"/>
      <c r="LN32" s="412"/>
      <c r="LO32" s="412"/>
      <c r="LP32" s="412"/>
      <c r="LQ32" s="412"/>
      <c r="LR32" s="412"/>
      <c r="LS32" s="412"/>
      <c r="LT32" s="412"/>
      <c r="LU32" s="412"/>
      <c r="LV32" s="412"/>
      <c r="LW32" s="412"/>
      <c r="LX32" s="412"/>
      <c r="LY32" s="412"/>
      <c r="LZ32" s="412"/>
      <c r="MA32" s="412"/>
      <c r="MB32" s="412"/>
      <c r="MC32" s="412"/>
      <c r="MD32" s="412"/>
      <c r="ME32" s="412"/>
      <c r="MF32" s="412"/>
      <c r="MG32" s="412"/>
      <c r="MH32" s="412"/>
      <c r="MI32" s="412"/>
      <c r="MJ32" s="412"/>
      <c r="MK32" s="412"/>
      <c r="ML32" s="412"/>
      <c r="MM32" s="412"/>
      <c r="MN32" s="412"/>
      <c r="MO32" s="412"/>
      <c r="MP32" s="412"/>
      <c r="MQ32" s="412"/>
      <c r="MR32" s="412"/>
      <c r="MS32" s="412"/>
      <c r="MT32" s="412"/>
      <c r="MU32" s="412"/>
      <c r="MV32" s="412"/>
      <c r="MW32" s="412"/>
      <c r="MX32" s="412"/>
      <c r="MY32" s="412"/>
      <c r="MZ32" s="412"/>
      <c r="NA32" s="412"/>
      <c r="NB32" s="412"/>
      <c r="NC32" s="412"/>
      <c r="ND32" s="412"/>
      <c r="NE32" s="412"/>
      <c r="NF32" s="412"/>
      <c r="NG32" s="412"/>
      <c r="NH32" s="412"/>
      <c r="NI32" s="412"/>
      <c r="NJ32" s="412"/>
      <c r="NK32" s="412"/>
      <c r="NL32" s="412"/>
      <c r="NM32" s="412"/>
      <c r="NN32" s="412"/>
      <c r="NO32" s="412"/>
      <c r="NP32" s="412"/>
      <c r="NQ32" s="412"/>
      <c r="NR32" s="412"/>
      <c r="NS32" s="412"/>
      <c r="NT32" s="412"/>
      <c r="NU32" s="412"/>
      <c r="NV32" s="412"/>
      <c r="NW32" s="412"/>
      <c r="NX32" s="412"/>
      <c r="NY32" s="412"/>
      <c r="NZ32" s="412"/>
      <c r="OA32" s="412"/>
      <c r="OB32" s="412"/>
      <c r="OC32" s="412"/>
      <c r="OD32" s="412"/>
      <c r="OE32" s="412"/>
      <c r="OF32" s="412"/>
      <c r="OG32" s="412"/>
      <c r="OH32" s="412"/>
      <c r="OI32" s="412"/>
      <c r="OJ32" s="412"/>
      <c r="OK32" s="412"/>
      <c r="OL32" s="412"/>
      <c r="OM32" s="412"/>
      <c r="ON32" s="412"/>
      <c r="OO32" s="412"/>
      <c r="OP32" s="412"/>
      <c r="OQ32" s="412"/>
      <c r="OR32" s="412"/>
      <c r="OS32" s="412"/>
      <c r="OT32" s="412"/>
      <c r="OU32" s="412"/>
      <c r="OV32" s="412"/>
      <c r="OW32" s="412"/>
      <c r="OX32" s="412"/>
      <c r="OY32" s="412"/>
      <c r="OZ32" s="412"/>
      <c r="PA32" s="412"/>
      <c r="PB32" s="412"/>
      <c r="PC32" s="412"/>
      <c r="PD32" s="412"/>
      <c r="PE32" s="412"/>
      <c r="PF32" s="412"/>
      <c r="PG32" s="412"/>
      <c r="PH32" s="412"/>
      <c r="PI32" s="412"/>
      <c r="PJ32" s="412"/>
      <c r="PK32" s="412"/>
      <c r="PL32" s="412"/>
      <c r="PM32" s="412"/>
      <c r="PN32" s="412"/>
      <c r="PO32" s="412"/>
      <c r="PP32" s="412"/>
      <c r="PQ32" s="412"/>
      <c r="PR32" s="412"/>
      <c r="PS32" s="412"/>
      <c r="PT32" s="412"/>
      <c r="PU32" s="412"/>
      <c r="PV32" s="412"/>
      <c r="PW32" s="412"/>
      <c r="PX32" s="412"/>
      <c r="PY32" s="412"/>
      <c r="PZ32" s="412"/>
      <c r="QA32" s="412"/>
      <c r="QB32" s="412"/>
      <c r="QC32" s="412"/>
      <c r="QD32" s="412"/>
      <c r="QE32" s="412"/>
      <c r="QF32" s="412"/>
      <c r="QG32" s="412"/>
      <c r="QH32" s="412"/>
      <c r="QI32" s="412"/>
      <c r="QJ32" s="412"/>
      <c r="QK32" s="412"/>
      <c r="QL32" s="412"/>
      <c r="QM32" s="412"/>
      <c r="QN32" s="412"/>
      <c r="QO32" s="412"/>
      <c r="QP32" s="412"/>
      <c r="QQ32" s="412"/>
      <c r="QR32" s="412"/>
      <c r="QS32" s="412"/>
      <c r="QT32" s="412"/>
      <c r="QU32" s="412"/>
      <c r="QV32" s="412"/>
      <c r="QW32" s="412"/>
      <c r="QX32" s="412"/>
      <c r="QY32" s="412"/>
      <c r="QZ32" s="412"/>
      <c r="RA32" s="412"/>
      <c r="RB32" s="412"/>
      <c r="RC32" s="412"/>
      <c r="RD32" s="412"/>
      <c r="RE32" s="412"/>
      <c r="RF32" s="412"/>
      <c r="RG32" s="412"/>
      <c r="RH32" s="412"/>
      <c r="RI32" s="412"/>
      <c r="RJ32" s="412"/>
      <c r="RK32" s="412"/>
      <c r="RL32" s="412"/>
      <c r="RM32" s="412"/>
      <c r="RN32" s="412"/>
      <c r="RO32" s="412"/>
      <c r="RP32" s="412"/>
      <c r="RQ32" s="412"/>
      <c r="RR32" s="412"/>
      <c r="RS32" s="412"/>
      <c r="RT32" s="412"/>
      <c r="RU32" s="412"/>
      <c r="RV32" s="412"/>
      <c r="RW32" s="412"/>
      <c r="RX32" s="412"/>
      <c r="RY32" s="412"/>
      <c r="RZ32" s="412"/>
      <c r="SA32" s="412"/>
      <c r="SB32" s="412"/>
      <c r="SC32" s="412"/>
      <c r="SD32" s="412"/>
      <c r="SE32" s="412"/>
      <c r="SF32" s="412"/>
      <c r="SG32" s="412"/>
    </row>
    <row r="33" spans="1:501" x14ac:dyDescent="0.2">
      <c r="A33" s="391" t="s">
        <v>15</v>
      </c>
      <c r="B33" s="110"/>
      <c r="C33" s="392">
        <v>0.1</v>
      </c>
      <c r="D33" s="392">
        <v>0.2</v>
      </c>
      <c r="E33" s="392">
        <v>0</v>
      </c>
      <c r="F33" s="392">
        <v>1</v>
      </c>
      <c r="G33" s="392"/>
      <c r="H33" s="435"/>
      <c r="I33" s="410">
        <v>0</v>
      </c>
      <c r="J33" s="410">
        <v>0</v>
      </c>
      <c r="K33" s="410">
        <v>0</v>
      </c>
      <c r="L33" s="410">
        <v>0</v>
      </c>
      <c r="M33" s="410">
        <v>0</v>
      </c>
      <c r="N33" s="410">
        <v>1</v>
      </c>
      <c r="O33" s="435"/>
      <c r="P33" s="393">
        <v>0</v>
      </c>
      <c r="Q33" s="393">
        <v>0</v>
      </c>
      <c r="R33" s="393">
        <v>0</v>
      </c>
      <c r="S33" s="393">
        <v>0</v>
      </c>
      <c r="T33" s="393">
        <v>0</v>
      </c>
      <c r="U33" s="435"/>
      <c r="V33" s="393">
        <v>1</v>
      </c>
      <c r="W33" s="393">
        <v>1</v>
      </c>
      <c r="X33" s="393">
        <v>1</v>
      </c>
      <c r="Y33" s="393">
        <v>1</v>
      </c>
      <c r="Z33" s="393">
        <v>1</v>
      </c>
      <c r="AA33" s="393"/>
      <c r="AB33" s="435"/>
      <c r="AC33" s="393">
        <v>4.1999999999999997E-3</v>
      </c>
      <c r="AD33" s="411"/>
      <c r="AE33" s="435"/>
      <c r="AF33" s="388">
        <v>6.6194161263410933E-11</v>
      </c>
      <c r="AG33" s="388">
        <v>6.6194161263881909E-11</v>
      </c>
      <c r="AH33" s="388">
        <v>6.6194161263410933E-11</v>
      </c>
      <c r="AI33" s="388">
        <v>6.6194161263410933E-11</v>
      </c>
      <c r="AJ33" s="388">
        <v>6.6194161263411218E-11</v>
      </c>
      <c r="AK33" s="388">
        <v>6.6194161263410804E-11</v>
      </c>
      <c r="AL33" s="388">
        <v>6.6194161287009711E-11</v>
      </c>
      <c r="AM33" s="388">
        <v>6.6194161263410933E-11</v>
      </c>
      <c r="AN33" s="388">
        <v>6.6194161263410933E-11</v>
      </c>
      <c r="AO33" s="388">
        <v>6.6194161263493716E-11</v>
      </c>
      <c r="AP33" s="388">
        <v>6.6194161263410895E-11</v>
      </c>
      <c r="AQ33" s="388">
        <v>6.6194161263410933E-11</v>
      </c>
      <c r="AR33" s="388">
        <v>6.6194161264394516E-11</v>
      </c>
      <c r="AS33" s="388">
        <v>6.6194161264731592E-11</v>
      </c>
      <c r="AT33" s="388">
        <v>6.6194161263627616E-11</v>
      </c>
      <c r="AU33" s="388">
        <v>6.6194161301564329E-11</v>
      </c>
      <c r="AV33" s="388">
        <v>6.619416126428379E-11</v>
      </c>
      <c r="AW33" s="388">
        <v>6.6194161263713862E-11</v>
      </c>
      <c r="AX33" s="388">
        <v>6.6194161263410933E-11</v>
      </c>
      <c r="AY33" s="388">
        <v>6.6194161263541292E-11</v>
      </c>
      <c r="AZ33" s="388">
        <v>6.6194161265373484E-11</v>
      </c>
      <c r="BA33" s="388">
        <v>6.6194161263410933E-11</v>
      </c>
      <c r="BB33" s="388">
        <v>6.61941612637093E-11</v>
      </c>
      <c r="BC33" s="388">
        <v>6.6194161263433939E-11</v>
      </c>
      <c r="BD33" s="388">
        <v>6.6194161263410933E-11</v>
      </c>
      <c r="BE33" s="388">
        <v>6.619416126351066E-11</v>
      </c>
      <c r="BF33" s="388">
        <v>6.6194161265365419E-11</v>
      </c>
      <c r="BG33" s="388">
        <v>6.6194161263754769E-11</v>
      </c>
      <c r="BH33" s="388">
        <v>6.6194161263940122E-11</v>
      </c>
      <c r="BI33" s="388">
        <v>6.6194161266946252E-11</v>
      </c>
      <c r="BJ33" s="388">
        <v>6.6194161263432996E-11</v>
      </c>
      <c r="BK33" s="388">
        <v>6.6194161263758091E-11</v>
      </c>
      <c r="BL33" s="388">
        <v>6.6194161263444085E-11</v>
      </c>
      <c r="BM33" s="388">
        <v>6.6194161263513129E-11</v>
      </c>
      <c r="BN33" s="388">
        <v>6.6194161263469547E-11</v>
      </c>
      <c r="BO33" s="388">
        <v>6.6194161263639106E-11</v>
      </c>
      <c r="BP33" s="388">
        <v>6.6194161264411964E-11</v>
      </c>
      <c r="BQ33" s="388">
        <v>6.6194161314241932E-11</v>
      </c>
      <c r="BR33" s="388">
        <v>6.6194161263745101E-11</v>
      </c>
      <c r="BS33" s="388">
        <v>6.6194161263675256E-11</v>
      </c>
      <c r="BT33" s="388">
        <v>6.6194161263417047E-11</v>
      </c>
      <c r="BU33" s="388">
        <v>6.6194161263611344E-11</v>
      </c>
      <c r="BV33" s="388">
        <v>6.619416126383688E-11</v>
      </c>
      <c r="BW33" s="388">
        <v>6.6194161263819845E-11</v>
      </c>
      <c r="BX33" s="388">
        <v>6.6194161263652535E-11</v>
      </c>
      <c r="BY33" s="388">
        <v>6.6194161269451549E-11</v>
      </c>
      <c r="BZ33" s="388">
        <v>6.6194161263410933E-11</v>
      </c>
      <c r="CA33" s="388">
        <v>6.6194161263410933E-11</v>
      </c>
      <c r="CB33" s="388">
        <v>6.6194161270986473E-11</v>
      </c>
      <c r="CC33" s="388">
        <v>6.6194161263419541E-11</v>
      </c>
      <c r="CD33" s="388">
        <v>6.6194161263410933E-11</v>
      </c>
      <c r="CE33" s="388">
        <v>6.6194161263853036E-11</v>
      </c>
      <c r="CF33" s="388">
        <v>6.6194161264153173E-11</v>
      </c>
      <c r="CG33" s="388">
        <v>6.6194168093071501E-11</v>
      </c>
      <c r="CH33" s="388">
        <v>6.6194246123105363E-11</v>
      </c>
      <c r="CI33" s="388">
        <v>6.6194161263410933E-11</v>
      </c>
      <c r="CJ33" s="388">
        <v>6.6194161263702786E-11</v>
      </c>
      <c r="CK33" s="388">
        <v>6.6194203738379914E-11</v>
      </c>
      <c r="CL33" s="388">
        <v>6.6194161272795814E-11</v>
      </c>
      <c r="CM33" s="388">
        <v>6.6194161263481244E-11</v>
      </c>
      <c r="CN33" s="388">
        <v>6.6194161263979219E-11</v>
      </c>
      <c r="CO33" s="388">
        <v>6.6194161263410933E-11</v>
      </c>
      <c r="CP33" s="388">
        <v>6.6194161263410933E-11</v>
      </c>
      <c r="CQ33" s="388">
        <v>6.6194161402805562E-11</v>
      </c>
      <c r="CR33" s="388">
        <v>6.6194161263586024E-11</v>
      </c>
      <c r="CS33" s="388">
        <v>6.6194161266575726E-11</v>
      </c>
      <c r="CT33" s="388">
        <v>6.6194161263721501E-11</v>
      </c>
      <c r="CU33" s="388">
        <v>6.6194161263413945E-11</v>
      </c>
      <c r="CV33" s="388">
        <v>6.6194161263887544E-11</v>
      </c>
      <c r="CW33" s="388">
        <v>6.6194161277219809E-11</v>
      </c>
      <c r="CX33" s="388">
        <v>6.6194161263454929E-11</v>
      </c>
      <c r="CY33" s="388">
        <v>6.6194161264870623E-11</v>
      </c>
      <c r="CZ33" s="388">
        <v>6.6194161271317746E-11</v>
      </c>
      <c r="DA33" s="388">
        <v>6.6194161263461378E-11</v>
      </c>
      <c r="DB33" s="388">
        <v>6.6194192307387912E-11</v>
      </c>
      <c r="DC33" s="388">
        <v>6.6194161302272447E-11</v>
      </c>
      <c r="DD33" s="388">
        <v>6.6194161263438877E-11</v>
      </c>
      <c r="DE33" s="388">
        <v>6.6194161264483192E-11</v>
      </c>
      <c r="DF33" s="388">
        <v>6.6194161263471654E-11</v>
      </c>
      <c r="DG33" s="388">
        <v>6.6194161263410933E-11</v>
      </c>
      <c r="DH33" s="388">
        <v>6.6194184752252206E-11</v>
      </c>
      <c r="DI33" s="388">
        <v>6.6194161264529062E-11</v>
      </c>
      <c r="DJ33" s="388">
        <v>6.6194163220056214E-11</v>
      </c>
      <c r="DK33" s="388">
        <v>6.6194161263642337E-11</v>
      </c>
      <c r="DL33" s="388">
        <v>6.6194219884270246E-11</v>
      </c>
      <c r="DM33" s="388">
        <v>6.6194161263410933E-11</v>
      </c>
      <c r="DN33" s="388">
        <v>6.6194161307023113E-11</v>
      </c>
      <c r="DO33" s="388">
        <v>6.6194161341559455E-11</v>
      </c>
      <c r="DP33" s="388">
        <v>6.6194162817210687E-11</v>
      </c>
      <c r="DQ33" s="388">
        <v>6.6194161268373694E-11</v>
      </c>
      <c r="DR33" s="388">
        <v>6.6194161263410933E-11</v>
      </c>
      <c r="DS33" s="388">
        <v>6.6194161263410933E-11</v>
      </c>
      <c r="DT33" s="388">
        <v>6.6194227847650344E-11</v>
      </c>
      <c r="DU33" s="388">
        <v>6.619418595754889E-11</v>
      </c>
      <c r="DV33" s="388">
        <v>6.6194161277732583E-11</v>
      </c>
      <c r="DW33" s="388">
        <v>6.6194161263410933E-11</v>
      </c>
      <c r="DX33" s="388">
        <v>6.6194161263410933E-11</v>
      </c>
      <c r="DY33" s="388">
        <v>6.6194161263410933E-11</v>
      </c>
      <c r="DZ33" s="388">
        <v>1.8537452282897199E-5</v>
      </c>
      <c r="EA33" s="388">
        <v>1.8537452282897199E-5</v>
      </c>
      <c r="EB33" s="388"/>
      <c r="EC33" s="435"/>
      <c r="ED33" s="388">
        <v>1.6024250861621428E-4</v>
      </c>
      <c r="EE33" s="388">
        <v>6.8381314363482584E-4</v>
      </c>
      <c r="EF33" s="388">
        <v>5.6458013105632689E-4</v>
      </c>
      <c r="EG33" s="388">
        <v>2.9198860945654314E-3</v>
      </c>
      <c r="EH33" s="388">
        <v>4.7020056946538349E-3</v>
      </c>
      <c r="EI33" s="388">
        <v>2.3685528059918808E-3</v>
      </c>
      <c r="EJ33" s="388">
        <v>4.8514374708348157E-3</v>
      </c>
      <c r="EK33" s="388">
        <v>3.2671398173519791E-3</v>
      </c>
      <c r="EL33" s="388">
        <v>6.2214391886962692E-3</v>
      </c>
      <c r="EM33" s="388">
        <v>2.2322772434993044E-3</v>
      </c>
      <c r="EN33" s="388">
        <v>2.2546241223534581E-2</v>
      </c>
      <c r="EO33" s="388">
        <v>2.4329640818029973E-2</v>
      </c>
      <c r="EP33" s="388">
        <v>2.1566486576897477E-2</v>
      </c>
      <c r="EQ33" s="388">
        <v>1.9063647127170593E-2</v>
      </c>
      <c r="ER33" s="388">
        <v>3.0330305171296916E-2</v>
      </c>
      <c r="ES33" s="388">
        <v>0.04</v>
      </c>
      <c r="ET33" s="388">
        <v>2.3573220980405232E-2</v>
      </c>
      <c r="EU33" s="388">
        <v>2.6978802867893246E-2</v>
      </c>
      <c r="EV33" s="388">
        <v>2.7171455117882728E-2</v>
      </c>
      <c r="EW33" s="388">
        <v>2.4636540026864391E-2</v>
      </c>
      <c r="EX33" s="388">
        <v>2.7687783095805385E-2</v>
      </c>
      <c r="EY33" s="388">
        <v>1.3356449496341452E-3</v>
      </c>
      <c r="EZ33" s="388">
        <v>-6.5505483979319285E-4</v>
      </c>
      <c r="FA33" s="388">
        <v>1.6408826649810502E-2</v>
      </c>
      <c r="FB33" s="388">
        <v>1.5688593461505685E-2</v>
      </c>
      <c r="FC33" s="388">
        <v>1.4192570797588635E-4</v>
      </c>
      <c r="FD33" s="388">
        <v>2.099539107129214E-3</v>
      </c>
      <c r="FE33" s="388">
        <v>1.6024026726577529E-4</v>
      </c>
      <c r="FF33" s="388">
        <v>4.992921366222538E-4</v>
      </c>
      <c r="FG33" s="388">
        <v>4.2343509829224517E-4</v>
      </c>
      <c r="FH33" s="388">
        <v>1.8322766989748507E-3</v>
      </c>
      <c r="FI33" s="388">
        <v>6.0115638225561848E-3</v>
      </c>
      <c r="FJ33" s="388">
        <v>1.9148216183330648E-3</v>
      </c>
      <c r="FK33" s="388">
        <v>1.3091015380939867E-2</v>
      </c>
      <c r="FL33" s="388">
        <v>7.8615787741322211E-3</v>
      </c>
      <c r="FM33" s="388">
        <v>-3.1198287832334519E-3</v>
      </c>
      <c r="FN33" s="388">
        <v>-3.2081160485287049E-3</v>
      </c>
      <c r="FO33" s="388">
        <v>-1.3199969946509997E-3</v>
      </c>
      <c r="FP33" s="388">
        <v>-2.2648597045741455E-2</v>
      </c>
      <c r="FQ33" s="388">
        <v>-2.4335325596936866E-2</v>
      </c>
      <c r="FR33" s="388">
        <v>-2.1566486576897477E-2</v>
      </c>
      <c r="FS33" s="388">
        <v>-2.0452102117505529E-2</v>
      </c>
      <c r="FT33" s="388">
        <v>-3.0306318688849979E-2</v>
      </c>
      <c r="FU33" s="388">
        <v>-3.9005557898095594E-2</v>
      </c>
      <c r="FV33" s="388">
        <v>-2.4784158357832965E-2</v>
      </c>
      <c r="FW33" s="388">
        <v>-2.6372198954614335E-2</v>
      </c>
      <c r="FX33" s="388">
        <v>-2.7241096211222858E-2</v>
      </c>
      <c r="FY33" s="388">
        <v>-2.531993357281645E-2</v>
      </c>
      <c r="FZ33" s="388">
        <v>-2.7829489993817513E-2</v>
      </c>
      <c r="GA33" s="388">
        <v>-1.7057542956355436E-4</v>
      </c>
      <c r="GB33" s="388"/>
      <c r="GC33" s="388"/>
      <c r="GD33" s="388"/>
      <c r="GE33" s="388"/>
      <c r="GF33" s="388"/>
      <c r="GG33" s="388"/>
      <c r="GH33" s="388"/>
      <c r="GI33" s="388"/>
      <c r="GJ33" s="388"/>
      <c r="GK33" s="388"/>
      <c r="GL33" s="388"/>
      <c r="GM33" s="388"/>
      <c r="GN33" s="388"/>
      <c r="GO33" s="388"/>
      <c r="GP33" s="412"/>
      <c r="GQ33" s="412"/>
      <c r="GR33" s="412"/>
      <c r="GS33" s="412"/>
      <c r="GT33" s="412"/>
      <c r="GU33" s="412"/>
      <c r="GV33" s="412"/>
      <c r="GW33" s="412"/>
      <c r="GX33" s="412"/>
      <c r="GY33" s="412"/>
      <c r="GZ33" s="412"/>
      <c r="HA33" s="412"/>
      <c r="HB33" s="412"/>
      <c r="HC33" s="412"/>
      <c r="HD33" s="412"/>
      <c r="HE33" s="412"/>
      <c r="HF33" s="412"/>
      <c r="HG33" s="412"/>
      <c r="HH33" s="412"/>
      <c r="HI33" s="412"/>
      <c r="HJ33" s="412"/>
      <c r="HK33" s="412"/>
      <c r="HL33" s="412"/>
      <c r="HM33" s="412"/>
      <c r="HN33" s="412"/>
      <c r="HO33" s="412"/>
      <c r="HP33" s="412"/>
      <c r="HQ33" s="412"/>
      <c r="HR33" s="412"/>
      <c r="HS33" s="412"/>
      <c r="HT33" s="412"/>
      <c r="HU33" s="412"/>
      <c r="HV33" s="412"/>
      <c r="HW33" s="412"/>
      <c r="HX33" s="412"/>
      <c r="HY33" s="412"/>
      <c r="HZ33" s="412"/>
      <c r="IA33" s="412"/>
      <c r="IB33" s="412"/>
      <c r="IC33" s="412"/>
      <c r="ID33" s="412"/>
      <c r="IE33" s="412"/>
      <c r="IF33" s="412"/>
      <c r="IG33" s="412"/>
      <c r="IH33" s="412"/>
      <c r="II33" s="412"/>
      <c r="IJ33" s="412"/>
      <c r="IK33" s="412"/>
      <c r="IL33" s="412"/>
      <c r="IM33" s="412"/>
      <c r="IN33" s="412"/>
      <c r="IO33" s="412"/>
      <c r="IP33" s="412"/>
      <c r="IQ33" s="412"/>
      <c r="IR33" s="412"/>
      <c r="IS33" s="412"/>
      <c r="IT33" s="412"/>
      <c r="IU33" s="412"/>
      <c r="IV33" s="412"/>
      <c r="IW33" s="412"/>
      <c r="IX33" s="412"/>
      <c r="IY33" s="412"/>
      <c r="IZ33" s="412"/>
      <c r="JA33" s="412"/>
      <c r="JB33" s="412"/>
      <c r="JC33" s="412"/>
      <c r="JD33" s="412"/>
      <c r="JE33" s="412"/>
      <c r="JF33" s="412"/>
      <c r="JG33" s="412"/>
      <c r="JH33" s="412"/>
      <c r="JI33" s="412"/>
      <c r="JJ33" s="412"/>
      <c r="JK33" s="412"/>
      <c r="JL33" s="412"/>
      <c r="JM33" s="412"/>
      <c r="JN33" s="412"/>
      <c r="JO33" s="412"/>
      <c r="JP33" s="412"/>
      <c r="JQ33" s="412"/>
      <c r="JR33" s="412"/>
      <c r="JS33" s="412"/>
      <c r="JT33" s="412"/>
      <c r="JU33" s="412"/>
      <c r="JV33" s="412"/>
      <c r="JW33" s="412"/>
      <c r="JX33" s="412"/>
      <c r="JY33" s="412"/>
      <c r="JZ33" s="412"/>
      <c r="KA33" s="412"/>
      <c r="KB33" s="412"/>
      <c r="KC33" s="412"/>
      <c r="KD33" s="412"/>
      <c r="KE33" s="412"/>
      <c r="KF33" s="412"/>
      <c r="KG33" s="412"/>
      <c r="KH33" s="412"/>
      <c r="KI33" s="412"/>
      <c r="KJ33" s="412"/>
      <c r="KK33" s="412"/>
      <c r="KL33" s="412"/>
      <c r="KM33" s="412"/>
      <c r="KN33" s="412"/>
      <c r="KO33" s="412"/>
      <c r="KP33" s="412"/>
      <c r="KQ33" s="412"/>
      <c r="KR33" s="412"/>
      <c r="KS33" s="412"/>
      <c r="KT33" s="412"/>
      <c r="KU33" s="412"/>
      <c r="KV33" s="412"/>
      <c r="KW33" s="412"/>
      <c r="KX33" s="412"/>
      <c r="KY33" s="412"/>
      <c r="KZ33" s="412"/>
      <c r="LA33" s="412"/>
      <c r="LB33" s="412"/>
      <c r="LC33" s="412"/>
      <c r="LD33" s="412"/>
      <c r="LE33" s="412"/>
      <c r="LF33" s="412"/>
      <c r="LG33" s="412"/>
      <c r="LH33" s="412"/>
      <c r="LI33" s="412"/>
      <c r="LJ33" s="412"/>
      <c r="LK33" s="412"/>
      <c r="LL33" s="412"/>
      <c r="LM33" s="412"/>
      <c r="LN33" s="412"/>
      <c r="LO33" s="412"/>
      <c r="LP33" s="412"/>
      <c r="LQ33" s="412"/>
      <c r="LR33" s="412"/>
      <c r="LS33" s="412"/>
      <c r="LT33" s="412"/>
      <c r="LU33" s="412"/>
      <c r="LV33" s="412"/>
      <c r="LW33" s="412"/>
      <c r="LX33" s="412"/>
      <c r="LY33" s="412"/>
      <c r="LZ33" s="412"/>
      <c r="MA33" s="412"/>
      <c r="MB33" s="412"/>
      <c r="MC33" s="412"/>
      <c r="MD33" s="412"/>
      <c r="ME33" s="412"/>
      <c r="MF33" s="412"/>
      <c r="MG33" s="412"/>
      <c r="MH33" s="412"/>
      <c r="MI33" s="412"/>
      <c r="MJ33" s="412"/>
      <c r="MK33" s="412"/>
      <c r="ML33" s="412"/>
      <c r="MM33" s="412"/>
      <c r="MN33" s="412"/>
      <c r="MO33" s="412"/>
      <c r="MP33" s="412"/>
      <c r="MQ33" s="412"/>
      <c r="MR33" s="412"/>
      <c r="MS33" s="412"/>
      <c r="MT33" s="412"/>
      <c r="MU33" s="412"/>
      <c r="MV33" s="412"/>
      <c r="MW33" s="412"/>
      <c r="MX33" s="412"/>
      <c r="MY33" s="412"/>
      <c r="MZ33" s="412"/>
      <c r="NA33" s="412"/>
      <c r="NB33" s="412"/>
      <c r="NC33" s="412"/>
      <c r="ND33" s="412"/>
      <c r="NE33" s="412"/>
      <c r="NF33" s="412"/>
      <c r="NG33" s="412"/>
      <c r="NH33" s="412"/>
      <c r="NI33" s="412"/>
      <c r="NJ33" s="412"/>
      <c r="NK33" s="412"/>
      <c r="NL33" s="412"/>
      <c r="NM33" s="412"/>
      <c r="NN33" s="412"/>
      <c r="NO33" s="412"/>
      <c r="NP33" s="412"/>
      <c r="NQ33" s="412"/>
      <c r="NR33" s="412"/>
      <c r="NS33" s="412"/>
      <c r="NT33" s="412"/>
      <c r="NU33" s="412"/>
      <c r="NV33" s="412"/>
      <c r="NW33" s="412"/>
      <c r="NX33" s="412"/>
      <c r="NY33" s="412"/>
      <c r="NZ33" s="412"/>
      <c r="OA33" s="412"/>
      <c r="OB33" s="412"/>
      <c r="OC33" s="412"/>
      <c r="OD33" s="412"/>
      <c r="OE33" s="412"/>
      <c r="OF33" s="412"/>
      <c r="OG33" s="412"/>
      <c r="OH33" s="412"/>
      <c r="OI33" s="412"/>
      <c r="OJ33" s="412"/>
      <c r="OK33" s="412"/>
      <c r="OL33" s="412"/>
      <c r="OM33" s="412"/>
      <c r="ON33" s="412"/>
      <c r="OO33" s="412"/>
      <c r="OP33" s="412"/>
      <c r="OQ33" s="412"/>
      <c r="OR33" s="412"/>
      <c r="OS33" s="412"/>
      <c r="OT33" s="412"/>
      <c r="OU33" s="412"/>
      <c r="OV33" s="412"/>
      <c r="OW33" s="412"/>
      <c r="OX33" s="412"/>
      <c r="OY33" s="412"/>
      <c r="OZ33" s="412"/>
      <c r="PA33" s="412"/>
      <c r="PB33" s="412"/>
      <c r="PC33" s="412"/>
      <c r="PD33" s="412"/>
      <c r="PE33" s="412"/>
      <c r="PF33" s="412"/>
      <c r="PG33" s="412"/>
      <c r="PH33" s="412"/>
      <c r="PI33" s="412"/>
      <c r="PJ33" s="412"/>
      <c r="PK33" s="412"/>
      <c r="PL33" s="412"/>
      <c r="PM33" s="412"/>
      <c r="PN33" s="412"/>
      <c r="PO33" s="412"/>
      <c r="PP33" s="412"/>
      <c r="PQ33" s="412"/>
      <c r="PR33" s="412"/>
      <c r="PS33" s="412"/>
      <c r="PT33" s="412"/>
      <c r="PU33" s="412"/>
      <c r="PV33" s="412"/>
      <c r="PW33" s="412"/>
      <c r="PX33" s="412"/>
      <c r="PY33" s="412"/>
      <c r="PZ33" s="412"/>
      <c r="QA33" s="412"/>
      <c r="QB33" s="412"/>
      <c r="QC33" s="412"/>
      <c r="QD33" s="412"/>
      <c r="QE33" s="412"/>
      <c r="QF33" s="412"/>
      <c r="QG33" s="412"/>
      <c r="QH33" s="412"/>
      <c r="QI33" s="412"/>
      <c r="QJ33" s="412"/>
      <c r="QK33" s="412"/>
      <c r="QL33" s="412"/>
      <c r="QM33" s="412"/>
      <c r="QN33" s="412"/>
      <c r="QO33" s="412"/>
      <c r="QP33" s="412"/>
      <c r="QQ33" s="412"/>
      <c r="QR33" s="412"/>
      <c r="QS33" s="412"/>
      <c r="QT33" s="412"/>
      <c r="QU33" s="412"/>
      <c r="QV33" s="412"/>
      <c r="QW33" s="412"/>
      <c r="QX33" s="412"/>
      <c r="QY33" s="412"/>
      <c r="QZ33" s="412"/>
      <c r="RA33" s="412"/>
      <c r="RB33" s="412"/>
      <c r="RC33" s="412"/>
      <c r="RD33" s="412"/>
      <c r="RE33" s="412"/>
      <c r="RF33" s="412"/>
      <c r="RG33" s="412"/>
      <c r="RH33" s="412"/>
      <c r="RI33" s="412"/>
      <c r="RJ33" s="412"/>
      <c r="RK33" s="412"/>
      <c r="RL33" s="412"/>
      <c r="RM33" s="412"/>
      <c r="RN33" s="412"/>
      <c r="RO33" s="412"/>
      <c r="RP33" s="412"/>
      <c r="RQ33" s="412"/>
      <c r="RR33" s="412"/>
      <c r="RS33" s="412"/>
      <c r="RT33" s="412"/>
      <c r="RU33" s="412"/>
      <c r="RV33" s="412"/>
      <c r="RW33" s="412"/>
      <c r="RX33" s="412"/>
      <c r="RY33" s="412"/>
      <c r="RZ33" s="412"/>
      <c r="SA33" s="412"/>
      <c r="SB33" s="412"/>
      <c r="SC33" s="412"/>
      <c r="SD33" s="412"/>
      <c r="SE33" s="412"/>
      <c r="SF33" s="412"/>
      <c r="SG33" s="412"/>
    </row>
    <row r="34" spans="1:501" x14ac:dyDescent="0.2">
      <c r="A34" s="391" t="s">
        <v>16</v>
      </c>
      <c r="B34" s="110"/>
      <c r="C34" s="392">
        <v>0.1</v>
      </c>
      <c r="D34" s="392">
        <v>0.2</v>
      </c>
      <c r="E34" s="392">
        <v>0</v>
      </c>
      <c r="F34" s="392">
        <v>1</v>
      </c>
      <c r="G34" s="392"/>
      <c r="H34" s="435"/>
      <c r="I34" s="410">
        <v>0</v>
      </c>
      <c r="J34" s="410">
        <v>0</v>
      </c>
      <c r="K34" s="410">
        <v>0</v>
      </c>
      <c r="L34" s="410">
        <v>0</v>
      </c>
      <c r="M34" s="410">
        <v>0</v>
      </c>
      <c r="N34" s="410">
        <v>1</v>
      </c>
      <c r="O34" s="435"/>
      <c r="P34" s="393">
        <v>0</v>
      </c>
      <c r="Q34" s="393">
        <v>0</v>
      </c>
      <c r="R34" s="393">
        <v>0</v>
      </c>
      <c r="S34" s="393">
        <v>0</v>
      </c>
      <c r="T34" s="393">
        <v>0</v>
      </c>
      <c r="U34" s="435"/>
      <c r="V34" s="393">
        <v>1</v>
      </c>
      <c r="W34" s="393">
        <v>1</v>
      </c>
      <c r="X34" s="393">
        <v>1</v>
      </c>
      <c r="Y34" s="393">
        <v>1</v>
      </c>
      <c r="Z34" s="393">
        <v>1</v>
      </c>
      <c r="AA34" s="393"/>
      <c r="AB34" s="435"/>
      <c r="AC34" s="393">
        <v>1.7000000000000001E-3</v>
      </c>
      <c r="AD34" s="411"/>
      <c r="AE34" s="435"/>
      <c r="AF34" s="388">
        <v>1.0672215162885923E-9</v>
      </c>
      <c r="AG34" s="388">
        <v>1.0672215162886409E-9</v>
      </c>
      <c r="AH34" s="388">
        <v>3.0916838750719868E-11</v>
      </c>
      <c r="AI34" s="388">
        <v>2.0393877743048426E-10</v>
      </c>
      <c r="AJ34" s="388">
        <v>1.0672215162826521E-9</v>
      </c>
      <c r="AK34" s="388">
        <v>2.0393877743080547E-10</v>
      </c>
      <c r="AL34" s="388">
        <v>1.0672215163355005E-9</v>
      </c>
      <c r="AM34" s="388">
        <v>1.0672215162841685E-9</v>
      </c>
      <c r="AN34" s="388">
        <v>2.0393877743002693E-10</v>
      </c>
      <c r="AO34" s="388">
        <v>1.0672215162873662E-9</v>
      </c>
      <c r="AP34" s="388">
        <v>2.0393877747543737E-10</v>
      </c>
      <c r="AQ34" s="388">
        <v>-1.0212069019922061E-22</v>
      </c>
      <c r="AR34" s="388">
        <v>-9.0847516624444396E-22</v>
      </c>
      <c r="AS34" s="388">
        <v>-5.2600047380173708E-22</v>
      </c>
      <c r="AT34" s="388">
        <v>8.6258674677256701E-23</v>
      </c>
      <c r="AU34" s="388">
        <v>5.1613455710780677E-20</v>
      </c>
      <c r="AV34" s="388">
        <v>5.8694188917379632E-22</v>
      </c>
      <c r="AW34" s="388">
        <v>1.067221516288516E-9</v>
      </c>
      <c r="AX34" s="388">
        <v>3.7633185454176182E-10</v>
      </c>
      <c r="AY34" s="388">
        <v>2.1395862859255542E-10</v>
      </c>
      <c r="AZ34" s="388">
        <v>1.3921522033236039E-21</v>
      </c>
      <c r="BA34" s="388">
        <v>1.067221516291798E-9</v>
      </c>
      <c r="BB34" s="388">
        <v>1.5401197615582264E-4</v>
      </c>
      <c r="BC34" s="388">
        <v>4.5189013838964727E-4</v>
      </c>
      <c r="BD34" s="388">
        <v>7.6920609395028335E-4</v>
      </c>
      <c r="BE34" s="388">
        <v>1.1080810084660067E-3</v>
      </c>
      <c r="BF34" s="388">
        <v>1.4308069853728809E-3</v>
      </c>
      <c r="BG34" s="388">
        <v>1.7910309327989068E-3</v>
      </c>
      <c r="BH34" s="388">
        <v>2.142212412597651E-3</v>
      </c>
      <c r="BI34" s="388">
        <v>2.4166521041770182E-3</v>
      </c>
      <c r="BJ34" s="388">
        <v>2.7398425804561898E-3</v>
      </c>
      <c r="BK34" s="388">
        <v>2.9940679082397642E-3</v>
      </c>
      <c r="BL34" s="388">
        <v>3.3025759607325685E-3</v>
      </c>
      <c r="BM34" s="388">
        <v>3.4993238367091763E-3</v>
      </c>
      <c r="BN34" s="388">
        <v>3.4993238367091776E-3</v>
      </c>
      <c r="BO34" s="388">
        <v>3.4993238367091784E-3</v>
      </c>
      <c r="BP34" s="388">
        <v>3.4993238367091771E-3</v>
      </c>
      <c r="BQ34" s="388">
        <v>3.4993238367091771E-3</v>
      </c>
      <c r="BR34" s="388">
        <v>3.4993238367091767E-3</v>
      </c>
      <c r="BS34" s="388">
        <v>3.4993237873697752E-3</v>
      </c>
      <c r="BT34" s="388">
        <v>3.4993237873697748E-3</v>
      </c>
      <c r="BU34" s="388">
        <v>3.4993237873697748E-3</v>
      </c>
      <c r="BV34" s="388">
        <v>3.4993237873697748E-3</v>
      </c>
      <c r="BW34" s="388">
        <v>2.2633799565584009E-3</v>
      </c>
      <c r="BX34" s="388">
        <v>1.8550947399368095E-21</v>
      </c>
      <c r="BY34" s="388">
        <v>-2.3310185038395107E-20</v>
      </c>
      <c r="BZ34" s="388">
        <v>1.4959662330808691E-20</v>
      </c>
      <c r="CA34" s="388">
        <v>-4.4938019897804565E-20</v>
      </c>
      <c r="CB34" s="388">
        <v>1.0327270066723077E-21</v>
      </c>
      <c r="CC34" s="388">
        <v>-2.7804621826413662E-23</v>
      </c>
      <c r="CD34" s="388">
        <v>4.1533723571878374E-20</v>
      </c>
      <c r="CE34" s="388">
        <v>1.4334210205258012E-21</v>
      </c>
      <c r="CF34" s="388">
        <v>1.0632270978390101E-22</v>
      </c>
      <c r="CG34" s="388">
        <v>2.7381747836658692E-16</v>
      </c>
      <c r="CH34" s="388">
        <v>-4.333207300952563E-18</v>
      </c>
      <c r="CI34" s="388">
        <v>7.2563465031352445E-17</v>
      </c>
      <c r="CJ34" s="388">
        <v>-1.9678377025614277E-21</v>
      </c>
      <c r="CK34" s="388">
        <v>1.3269126633650543E-17</v>
      </c>
      <c r="CL34" s="388">
        <v>7.7750080598687442E-21</v>
      </c>
      <c r="CM34" s="388">
        <v>-2.5693192660305345E-21</v>
      </c>
      <c r="CN34" s="388">
        <v>-1.7651828722061015E-20</v>
      </c>
      <c r="CO34" s="388">
        <v>3.8136604792920344E-22</v>
      </c>
      <c r="CP34" s="388">
        <v>6.0198325279858388E-22</v>
      </c>
      <c r="CQ34" s="388">
        <v>5.6312008333382911E-20</v>
      </c>
      <c r="CR34" s="388">
        <v>-4.2030696200363986E-23</v>
      </c>
      <c r="CS34" s="388">
        <v>-1.1089160768219059E-19</v>
      </c>
      <c r="CT34" s="388">
        <v>2.0596963673524847E-19</v>
      </c>
      <c r="CU34" s="388">
        <v>1.120079020459638E-20</v>
      </c>
      <c r="CV34" s="388">
        <v>2.2182811741403106E-22</v>
      </c>
      <c r="CW34" s="388">
        <v>-2.2769821085409976E-20</v>
      </c>
      <c r="CX34" s="388">
        <v>6.270392816135974E-20</v>
      </c>
      <c r="CY34" s="388">
        <v>1.5054118204006487E-21</v>
      </c>
      <c r="CZ34" s="388">
        <v>-2.9185251269389362E-19</v>
      </c>
      <c r="DA34" s="388">
        <v>-1.8071580335700577E-21</v>
      </c>
      <c r="DB34" s="388">
        <v>-1.0140060581253194E-17</v>
      </c>
      <c r="DC34" s="388">
        <v>1.2231809554266827E-19</v>
      </c>
      <c r="DD34" s="388">
        <v>1.6767994191671758E-17</v>
      </c>
      <c r="DE34" s="388">
        <v>7.2406027728695668E-23</v>
      </c>
      <c r="DF34" s="388">
        <v>-2.1941911605098037E-23</v>
      </c>
      <c r="DG34" s="388">
        <v>1.3433719902529702E-18</v>
      </c>
      <c r="DH34" s="388">
        <v>2.0501472281565315E-17</v>
      </c>
      <c r="DI34" s="388">
        <v>5.4810913776912437E-20</v>
      </c>
      <c r="DJ34" s="388">
        <v>3.8186846101436756E-19</v>
      </c>
      <c r="DK34" s="388">
        <v>2.4113846435710742E-23</v>
      </c>
      <c r="DL34" s="388">
        <v>4.2830435565586811E-17</v>
      </c>
      <c r="DM34" s="388">
        <v>2.493336666027167E-19</v>
      </c>
      <c r="DN34" s="388">
        <v>-5.2003733976318953E-20</v>
      </c>
      <c r="DO34" s="388">
        <v>8.580693085823707E-20</v>
      </c>
      <c r="DP34" s="388">
        <v>9.5788146043592632E-19</v>
      </c>
      <c r="DQ34" s="388">
        <v>7.7050008209786663E-21</v>
      </c>
      <c r="DR34" s="388">
        <v>-4.0282368219875435E-17</v>
      </c>
      <c r="DS34" s="388">
        <v>1.547496703784224E-17</v>
      </c>
      <c r="DT34" s="388">
        <v>3.6871780209175852E-16</v>
      </c>
      <c r="DU34" s="388">
        <v>4.4098096040025791E-16</v>
      </c>
      <c r="DV34" s="388">
        <v>-6.7619838376264583E-20</v>
      </c>
      <c r="DW34" s="388">
        <v>-1.1891411603236774E-19</v>
      </c>
      <c r="DX34" s="388">
        <v>-1.630991340252297E-19</v>
      </c>
      <c r="DY34" s="388">
        <v>6.9620304650615101E-20</v>
      </c>
      <c r="DZ34" s="388">
        <v>1.8860932167820271E-5</v>
      </c>
      <c r="EA34" s="388">
        <v>1.8860932167820271E-5</v>
      </c>
      <c r="EB34" s="388"/>
      <c r="EC34" s="435"/>
      <c r="ED34" s="388">
        <v>-7.8539674598782571E-5</v>
      </c>
      <c r="EE34" s="388">
        <v>2.2944016595775863E-3</v>
      </c>
      <c r="EF34" s="388">
        <v>3.2105964963802685E-3</v>
      </c>
      <c r="EG34" s="388">
        <v>3.3217101427512807E-3</v>
      </c>
      <c r="EH34" s="388">
        <v>5.5845462806520807E-3</v>
      </c>
      <c r="EI34" s="388">
        <v>2.7912201649740159E-3</v>
      </c>
      <c r="EJ34" s="388">
        <v>5.5648013141530416E-3</v>
      </c>
      <c r="EK34" s="388">
        <v>2.9553060758541008E-3</v>
      </c>
      <c r="EL34" s="388">
        <v>5.5680743008152313E-3</v>
      </c>
      <c r="EM34" s="388">
        <v>1.8722701734926058E-3</v>
      </c>
      <c r="EN34" s="388">
        <v>1.9790847877126282E-2</v>
      </c>
      <c r="EO34" s="388">
        <v>2.1135972032543807E-2</v>
      </c>
      <c r="EP34" s="388">
        <v>1.5753807233898843E-2</v>
      </c>
      <c r="EQ34" s="388">
        <v>2.0098866173659701E-2</v>
      </c>
      <c r="ER34" s="388">
        <v>3.241339559444692E-2</v>
      </c>
      <c r="ES34" s="388">
        <v>2.3573220980405232E-2</v>
      </c>
      <c r="ET34" s="388">
        <v>4.0000000000000015E-2</v>
      </c>
      <c r="EU34" s="388">
        <v>1.8734818881707239E-2</v>
      </c>
      <c r="EV34" s="388">
        <v>1.8431281582884047E-2</v>
      </c>
      <c r="EW34" s="388">
        <v>2.0338614761683613E-2</v>
      </c>
      <c r="EX34" s="388">
        <v>1.796165369331313E-2</v>
      </c>
      <c r="EY34" s="388">
        <v>-2.7910357106122251E-4</v>
      </c>
      <c r="EZ34" s="388">
        <v>-2.0739293292195834E-3</v>
      </c>
      <c r="FA34" s="388">
        <v>1.3826813893183226E-2</v>
      </c>
      <c r="FB34" s="388">
        <v>4.4823906497808491E-3</v>
      </c>
      <c r="FC34" s="388">
        <v>1.4914044587165177E-3</v>
      </c>
      <c r="FD34" s="388">
        <v>4.3079234698270991E-3</v>
      </c>
      <c r="FE34" s="388">
        <v>-7.8550694930545737E-5</v>
      </c>
      <c r="FF34" s="388">
        <v>1.6752774022312533E-3</v>
      </c>
      <c r="FG34" s="388">
        <v>2.4079473722852015E-3</v>
      </c>
      <c r="FH34" s="388">
        <v>2.1592457879987667E-3</v>
      </c>
      <c r="FI34" s="388">
        <v>6.8955146718852906E-3</v>
      </c>
      <c r="FJ34" s="388">
        <v>1.1002223426702259E-2</v>
      </c>
      <c r="FK34" s="388">
        <v>1.8147152889104075E-2</v>
      </c>
      <c r="FL34" s="388">
        <v>3.5739432672458695E-3</v>
      </c>
      <c r="FM34" s="388">
        <v>-3.4700710553641151E-3</v>
      </c>
      <c r="FN34" s="388">
        <v>-2.7865047407407604E-3</v>
      </c>
      <c r="FO34" s="388">
        <v>-3.2010692905966196E-3</v>
      </c>
      <c r="FP34" s="388">
        <v>-1.7675910378218959E-2</v>
      </c>
      <c r="FQ34" s="388">
        <v>-1.8950075586108422E-2</v>
      </c>
      <c r="FR34" s="388">
        <v>-1.5753807233898843E-2</v>
      </c>
      <c r="FS34" s="388">
        <v>-1.9829736921879625E-2</v>
      </c>
      <c r="FT34" s="388">
        <v>-3.0527960628561869E-2</v>
      </c>
      <c r="FU34" s="388">
        <v>-2.202109086017685E-2</v>
      </c>
      <c r="FV34" s="388">
        <v>-3.8941572785849136E-2</v>
      </c>
      <c r="FW34" s="388">
        <v>-1.7152902702178702E-2</v>
      </c>
      <c r="FX34" s="388">
        <v>-1.754649955046151E-2</v>
      </c>
      <c r="FY34" s="388">
        <v>-1.9710989848328034E-2</v>
      </c>
      <c r="FZ34" s="388">
        <v>-1.7067414299797249E-2</v>
      </c>
      <c r="GA34" s="388">
        <v>-1.4140924522648579E-4</v>
      </c>
      <c r="GB34" s="388"/>
      <c r="GC34" s="388"/>
      <c r="GD34" s="388"/>
      <c r="GE34" s="388"/>
      <c r="GF34" s="388"/>
      <c r="GG34" s="388"/>
      <c r="GH34" s="388"/>
      <c r="GI34" s="388"/>
      <c r="GJ34" s="388"/>
      <c r="GK34" s="388"/>
      <c r="GL34" s="388"/>
      <c r="GM34" s="388"/>
      <c r="GN34" s="388"/>
      <c r="GO34" s="388"/>
      <c r="GP34" s="412"/>
      <c r="GQ34" s="412"/>
      <c r="GR34" s="412"/>
      <c r="GS34" s="412"/>
      <c r="GT34" s="412"/>
      <c r="GU34" s="412"/>
      <c r="GV34" s="412"/>
      <c r="GW34" s="412"/>
      <c r="GX34" s="412"/>
      <c r="GY34" s="412"/>
      <c r="GZ34" s="412"/>
      <c r="HA34" s="412"/>
      <c r="HB34" s="412"/>
      <c r="HC34" s="412"/>
      <c r="HD34" s="412"/>
      <c r="HE34" s="412"/>
      <c r="HF34" s="412"/>
      <c r="HG34" s="412"/>
      <c r="HH34" s="412"/>
      <c r="HI34" s="412"/>
      <c r="HJ34" s="412"/>
      <c r="HK34" s="412"/>
      <c r="HL34" s="412"/>
      <c r="HM34" s="412"/>
      <c r="HN34" s="412"/>
      <c r="HO34" s="412"/>
      <c r="HP34" s="412"/>
      <c r="HQ34" s="412"/>
      <c r="HR34" s="412"/>
      <c r="HS34" s="412"/>
      <c r="HT34" s="412"/>
      <c r="HU34" s="412"/>
      <c r="HV34" s="412"/>
      <c r="HW34" s="412"/>
      <c r="HX34" s="412"/>
      <c r="HY34" s="412"/>
      <c r="HZ34" s="412"/>
      <c r="IA34" s="412"/>
      <c r="IB34" s="412"/>
      <c r="IC34" s="412"/>
      <c r="ID34" s="412"/>
      <c r="IE34" s="412"/>
      <c r="IF34" s="412"/>
      <c r="IG34" s="412"/>
      <c r="IH34" s="412"/>
      <c r="II34" s="412"/>
      <c r="IJ34" s="412"/>
      <c r="IK34" s="412"/>
      <c r="IL34" s="412"/>
      <c r="IM34" s="412"/>
      <c r="IN34" s="412"/>
      <c r="IO34" s="412"/>
      <c r="IP34" s="412"/>
      <c r="IQ34" s="412"/>
      <c r="IR34" s="412"/>
      <c r="IS34" s="412"/>
      <c r="IT34" s="412"/>
      <c r="IU34" s="412"/>
      <c r="IV34" s="412"/>
      <c r="IW34" s="412"/>
      <c r="IX34" s="412"/>
      <c r="IY34" s="412"/>
      <c r="IZ34" s="412"/>
      <c r="JA34" s="412"/>
      <c r="JB34" s="412"/>
      <c r="JC34" s="412"/>
      <c r="JD34" s="412"/>
      <c r="JE34" s="412"/>
      <c r="JF34" s="412"/>
      <c r="JG34" s="412"/>
      <c r="JH34" s="412"/>
      <c r="JI34" s="412"/>
      <c r="JJ34" s="412"/>
      <c r="JK34" s="412"/>
      <c r="JL34" s="412"/>
      <c r="JM34" s="412"/>
      <c r="JN34" s="412"/>
      <c r="JO34" s="412"/>
      <c r="JP34" s="412"/>
      <c r="JQ34" s="412"/>
      <c r="JR34" s="412"/>
      <c r="JS34" s="412"/>
      <c r="JT34" s="412"/>
      <c r="JU34" s="412"/>
      <c r="JV34" s="412"/>
      <c r="JW34" s="412"/>
      <c r="JX34" s="412"/>
      <c r="JY34" s="412"/>
      <c r="JZ34" s="412"/>
      <c r="KA34" s="412"/>
      <c r="KB34" s="412"/>
      <c r="KC34" s="412"/>
      <c r="KD34" s="412"/>
      <c r="KE34" s="412"/>
      <c r="KF34" s="412"/>
      <c r="KG34" s="412"/>
      <c r="KH34" s="412"/>
      <c r="KI34" s="412"/>
      <c r="KJ34" s="412"/>
      <c r="KK34" s="412"/>
      <c r="KL34" s="412"/>
      <c r="KM34" s="412"/>
      <c r="KN34" s="412"/>
      <c r="KO34" s="412"/>
      <c r="KP34" s="412"/>
      <c r="KQ34" s="412"/>
      <c r="KR34" s="412"/>
      <c r="KS34" s="412"/>
      <c r="KT34" s="412"/>
      <c r="KU34" s="412"/>
      <c r="KV34" s="412"/>
      <c r="KW34" s="412"/>
      <c r="KX34" s="412"/>
      <c r="KY34" s="412"/>
      <c r="KZ34" s="412"/>
      <c r="LA34" s="412"/>
      <c r="LB34" s="412"/>
      <c r="LC34" s="412"/>
      <c r="LD34" s="412"/>
      <c r="LE34" s="412"/>
      <c r="LF34" s="412"/>
      <c r="LG34" s="412"/>
      <c r="LH34" s="412"/>
      <c r="LI34" s="412"/>
      <c r="LJ34" s="412"/>
      <c r="LK34" s="412"/>
      <c r="LL34" s="412"/>
      <c r="LM34" s="412"/>
      <c r="LN34" s="412"/>
      <c r="LO34" s="412"/>
      <c r="LP34" s="412"/>
      <c r="LQ34" s="412"/>
      <c r="LR34" s="412"/>
      <c r="LS34" s="412"/>
      <c r="LT34" s="412"/>
      <c r="LU34" s="412"/>
      <c r="LV34" s="412"/>
      <c r="LW34" s="412"/>
      <c r="LX34" s="412"/>
      <c r="LY34" s="412"/>
      <c r="LZ34" s="412"/>
      <c r="MA34" s="412"/>
      <c r="MB34" s="412"/>
      <c r="MC34" s="412"/>
      <c r="MD34" s="412"/>
      <c r="ME34" s="412"/>
      <c r="MF34" s="412"/>
      <c r="MG34" s="412"/>
      <c r="MH34" s="412"/>
      <c r="MI34" s="412"/>
      <c r="MJ34" s="412"/>
      <c r="MK34" s="412"/>
      <c r="ML34" s="412"/>
      <c r="MM34" s="412"/>
      <c r="MN34" s="412"/>
      <c r="MO34" s="412"/>
      <c r="MP34" s="412"/>
      <c r="MQ34" s="412"/>
      <c r="MR34" s="412"/>
      <c r="MS34" s="412"/>
      <c r="MT34" s="412"/>
      <c r="MU34" s="412"/>
      <c r="MV34" s="412"/>
      <c r="MW34" s="412"/>
      <c r="MX34" s="412"/>
      <c r="MY34" s="412"/>
      <c r="MZ34" s="412"/>
      <c r="NA34" s="412"/>
      <c r="NB34" s="412"/>
      <c r="NC34" s="412"/>
      <c r="ND34" s="412"/>
      <c r="NE34" s="412"/>
      <c r="NF34" s="412"/>
      <c r="NG34" s="412"/>
      <c r="NH34" s="412"/>
      <c r="NI34" s="412"/>
      <c r="NJ34" s="412"/>
      <c r="NK34" s="412"/>
      <c r="NL34" s="412"/>
      <c r="NM34" s="412"/>
      <c r="NN34" s="412"/>
      <c r="NO34" s="412"/>
      <c r="NP34" s="412"/>
      <c r="NQ34" s="412"/>
      <c r="NR34" s="412"/>
      <c r="NS34" s="412"/>
      <c r="NT34" s="412"/>
      <c r="NU34" s="412"/>
      <c r="NV34" s="412"/>
      <c r="NW34" s="412"/>
      <c r="NX34" s="412"/>
      <c r="NY34" s="412"/>
      <c r="NZ34" s="412"/>
      <c r="OA34" s="412"/>
      <c r="OB34" s="412"/>
      <c r="OC34" s="412"/>
      <c r="OD34" s="412"/>
      <c r="OE34" s="412"/>
      <c r="OF34" s="412"/>
      <c r="OG34" s="412"/>
      <c r="OH34" s="412"/>
      <c r="OI34" s="412"/>
      <c r="OJ34" s="412"/>
      <c r="OK34" s="412"/>
      <c r="OL34" s="412"/>
      <c r="OM34" s="412"/>
      <c r="ON34" s="412"/>
      <c r="OO34" s="412"/>
      <c r="OP34" s="412"/>
      <c r="OQ34" s="412"/>
      <c r="OR34" s="412"/>
      <c r="OS34" s="412"/>
      <c r="OT34" s="412"/>
      <c r="OU34" s="412"/>
      <c r="OV34" s="412"/>
      <c r="OW34" s="412"/>
      <c r="OX34" s="412"/>
      <c r="OY34" s="412"/>
      <c r="OZ34" s="412"/>
      <c r="PA34" s="412"/>
      <c r="PB34" s="412"/>
      <c r="PC34" s="412"/>
      <c r="PD34" s="412"/>
      <c r="PE34" s="412"/>
      <c r="PF34" s="412"/>
      <c r="PG34" s="412"/>
      <c r="PH34" s="412"/>
      <c r="PI34" s="412"/>
      <c r="PJ34" s="412"/>
      <c r="PK34" s="412"/>
      <c r="PL34" s="412"/>
      <c r="PM34" s="412"/>
      <c r="PN34" s="412"/>
      <c r="PO34" s="412"/>
      <c r="PP34" s="412"/>
      <c r="PQ34" s="412"/>
      <c r="PR34" s="412"/>
      <c r="PS34" s="412"/>
      <c r="PT34" s="412"/>
      <c r="PU34" s="412"/>
      <c r="PV34" s="412"/>
      <c r="PW34" s="412"/>
      <c r="PX34" s="412"/>
      <c r="PY34" s="412"/>
      <c r="PZ34" s="412"/>
      <c r="QA34" s="412"/>
      <c r="QB34" s="412"/>
      <c r="QC34" s="412"/>
      <c r="QD34" s="412"/>
      <c r="QE34" s="412"/>
      <c r="QF34" s="412"/>
      <c r="QG34" s="412"/>
      <c r="QH34" s="412"/>
      <c r="QI34" s="412"/>
      <c r="QJ34" s="412"/>
      <c r="QK34" s="412"/>
      <c r="QL34" s="412"/>
      <c r="QM34" s="412"/>
      <c r="QN34" s="412"/>
      <c r="QO34" s="412"/>
      <c r="QP34" s="412"/>
      <c r="QQ34" s="412"/>
      <c r="QR34" s="412"/>
      <c r="QS34" s="412"/>
      <c r="QT34" s="412"/>
      <c r="QU34" s="412"/>
      <c r="QV34" s="412"/>
      <c r="QW34" s="412"/>
      <c r="QX34" s="412"/>
      <c r="QY34" s="412"/>
      <c r="QZ34" s="412"/>
      <c r="RA34" s="412"/>
      <c r="RB34" s="412"/>
      <c r="RC34" s="412"/>
      <c r="RD34" s="412"/>
      <c r="RE34" s="412"/>
      <c r="RF34" s="412"/>
      <c r="RG34" s="412"/>
      <c r="RH34" s="412"/>
      <c r="RI34" s="412"/>
      <c r="RJ34" s="412"/>
      <c r="RK34" s="412"/>
      <c r="RL34" s="412"/>
      <c r="RM34" s="412"/>
      <c r="RN34" s="412"/>
      <c r="RO34" s="412"/>
      <c r="RP34" s="412"/>
      <c r="RQ34" s="412"/>
      <c r="RR34" s="412"/>
      <c r="RS34" s="412"/>
      <c r="RT34" s="412"/>
      <c r="RU34" s="412"/>
      <c r="RV34" s="412"/>
      <c r="RW34" s="412"/>
      <c r="RX34" s="412"/>
      <c r="RY34" s="412"/>
      <c r="RZ34" s="412"/>
      <c r="SA34" s="412"/>
      <c r="SB34" s="412"/>
      <c r="SC34" s="412"/>
      <c r="SD34" s="412"/>
      <c r="SE34" s="412"/>
      <c r="SF34" s="412"/>
      <c r="SG34" s="412"/>
    </row>
    <row r="35" spans="1:501" x14ac:dyDescent="0.2">
      <c r="A35" s="391" t="s">
        <v>17</v>
      </c>
      <c r="B35" s="110"/>
      <c r="C35" s="392">
        <v>0.105</v>
      </c>
      <c r="D35" s="392">
        <v>0.22</v>
      </c>
      <c r="E35" s="392">
        <v>0</v>
      </c>
      <c r="F35" s="392">
        <v>1</v>
      </c>
      <c r="G35" s="392"/>
      <c r="H35" s="435"/>
      <c r="I35" s="410">
        <v>0</v>
      </c>
      <c r="J35" s="410">
        <v>0</v>
      </c>
      <c r="K35" s="410">
        <v>0</v>
      </c>
      <c r="L35" s="410">
        <v>0</v>
      </c>
      <c r="M35" s="410">
        <v>0</v>
      </c>
      <c r="N35" s="410">
        <v>1</v>
      </c>
      <c r="O35" s="435"/>
      <c r="P35" s="393">
        <v>0</v>
      </c>
      <c r="Q35" s="393">
        <v>0</v>
      </c>
      <c r="R35" s="393">
        <v>0</v>
      </c>
      <c r="S35" s="393">
        <v>0</v>
      </c>
      <c r="T35" s="393">
        <v>0</v>
      </c>
      <c r="U35" s="435"/>
      <c r="V35" s="393">
        <v>1</v>
      </c>
      <c r="W35" s="393">
        <v>1</v>
      </c>
      <c r="X35" s="393">
        <v>1</v>
      </c>
      <c r="Y35" s="393">
        <v>1</v>
      </c>
      <c r="Z35" s="393">
        <v>1</v>
      </c>
      <c r="AA35" s="393"/>
      <c r="AB35" s="435"/>
      <c r="AC35" s="393">
        <v>7.000000000000001E-4</v>
      </c>
      <c r="AD35" s="411"/>
      <c r="AE35" s="435"/>
      <c r="AF35" s="388">
        <v>9.28112930105567E-10</v>
      </c>
      <c r="AG35" s="388">
        <v>9.281129301045111E-10</v>
      </c>
      <c r="AH35" s="388">
        <v>2.6886937121162802E-11</v>
      </c>
      <c r="AI35" s="388">
        <v>1.7735607218739911E-10</v>
      </c>
      <c r="AJ35" s="388">
        <v>9.2811293010001951E-10</v>
      </c>
      <c r="AK35" s="388">
        <v>1.773560721881366E-10</v>
      </c>
      <c r="AL35" s="388">
        <v>2.688693712121947E-11</v>
      </c>
      <c r="AM35" s="388">
        <v>9.2811293011402006E-10</v>
      </c>
      <c r="AN35" s="388">
        <v>1.7735607218708647E-10</v>
      </c>
      <c r="AO35" s="388">
        <v>2.6886937121161984E-11</v>
      </c>
      <c r="AP35" s="388">
        <v>1.77356072207578E-10</v>
      </c>
      <c r="AQ35" s="388">
        <v>2.6886937121162191E-11</v>
      </c>
      <c r="AR35" s="388">
        <v>2.6886937121162191E-11</v>
      </c>
      <c r="AS35" s="388">
        <v>2.6886937121162191E-11</v>
      </c>
      <c r="AT35" s="388">
        <v>2.6886937121162191E-11</v>
      </c>
      <c r="AU35" s="388">
        <v>2.6886937121162191E-11</v>
      </c>
      <c r="AV35" s="388">
        <v>2.6886937121162191E-11</v>
      </c>
      <c r="AW35" s="388">
        <v>2.6886937121162191E-11</v>
      </c>
      <c r="AX35" s="388">
        <v>2.6886937121162191E-11</v>
      </c>
      <c r="AY35" s="388">
        <v>2.6886937121162191E-11</v>
      </c>
      <c r="AZ35" s="388">
        <v>2.6886937121162191E-11</v>
      </c>
      <c r="BA35" s="388">
        <v>2.6886937121162191E-11</v>
      </c>
      <c r="BB35" s="388">
        <v>2.6886937122013318E-11</v>
      </c>
      <c r="BC35" s="388">
        <v>2.6886937121322693E-11</v>
      </c>
      <c r="BD35" s="388">
        <v>2.6886937121162191E-11</v>
      </c>
      <c r="BE35" s="388">
        <v>2.6886937132156927E-11</v>
      </c>
      <c r="BF35" s="388">
        <v>2.1684842002567912E-4</v>
      </c>
      <c r="BG35" s="388">
        <v>5.2574180493645921E-4</v>
      </c>
      <c r="BH35" s="388">
        <v>1.3534215077293783E-3</v>
      </c>
      <c r="BI35" s="388">
        <v>2.1016499679008217E-3</v>
      </c>
      <c r="BJ35" s="388">
        <v>2.3827136977293572E-3</v>
      </c>
      <c r="BK35" s="388">
        <v>2.6038016445846112E-3</v>
      </c>
      <c r="BL35" s="388">
        <v>2.8720967531349782E-3</v>
      </c>
      <c r="BM35" s="388">
        <v>3.0431992326834809E-3</v>
      </c>
      <c r="BN35" s="388">
        <v>3.0431992326834809E-3</v>
      </c>
      <c r="BO35" s="388">
        <v>3.0431992326834831E-3</v>
      </c>
      <c r="BP35" s="388">
        <v>3.0431992326834809E-3</v>
      </c>
      <c r="BQ35" s="388">
        <v>3.0431992326834813E-3</v>
      </c>
      <c r="BR35" s="388">
        <v>3.0431992326834805E-3</v>
      </c>
      <c r="BS35" s="388">
        <v>3.0431991897752974E-3</v>
      </c>
      <c r="BT35" s="388">
        <v>7.036758982053769E-4</v>
      </c>
      <c r="BU35" s="388">
        <v>2.6886937121866125E-11</v>
      </c>
      <c r="BV35" s="388">
        <v>2.6886937121539763E-11</v>
      </c>
      <c r="BW35" s="388">
        <v>2.6886937121470729E-11</v>
      </c>
      <c r="BX35" s="388">
        <v>2.6886937121212956E-11</v>
      </c>
      <c r="BY35" s="388">
        <v>2.6886937121168359E-11</v>
      </c>
      <c r="BZ35" s="388">
        <v>2.6886937121162191E-11</v>
      </c>
      <c r="CA35" s="388">
        <v>2.6886937121162191E-11</v>
      </c>
      <c r="CB35" s="388">
        <v>2.6886937121162191E-11</v>
      </c>
      <c r="CC35" s="388">
        <v>2.6886937121294811E-11</v>
      </c>
      <c r="CD35" s="388">
        <v>2.6886937121162191E-11</v>
      </c>
      <c r="CE35" s="388">
        <v>2.6886937123394571E-11</v>
      </c>
      <c r="CF35" s="388">
        <v>2.6886937124116376E-11</v>
      </c>
      <c r="CG35" s="388">
        <v>2.6886953824251429E-11</v>
      </c>
      <c r="CH35" s="388">
        <v>2.6886937121162669E-11</v>
      </c>
      <c r="CI35" s="388">
        <v>2.6886939002087659E-11</v>
      </c>
      <c r="CJ35" s="388">
        <v>2.6886937122295083E-11</v>
      </c>
      <c r="CK35" s="388">
        <v>2.688699578550157E-11</v>
      </c>
      <c r="CL35" s="388">
        <v>2.6886937121393478E-11</v>
      </c>
      <c r="CM35" s="388">
        <v>2.6886937121164233E-11</v>
      </c>
      <c r="CN35" s="388">
        <v>2.6886937121531753E-11</v>
      </c>
      <c r="CO35" s="388">
        <v>2.6886937121162191E-11</v>
      </c>
      <c r="CP35" s="388">
        <v>2.6886937121162191E-11</v>
      </c>
      <c r="CQ35" s="388">
        <v>2.6886937320443394E-11</v>
      </c>
      <c r="CR35" s="388">
        <v>2.6886937121288501E-11</v>
      </c>
      <c r="CS35" s="388">
        <v>2.6886937121821813E-11</v>
      </c>
      <c r="CT35" s="388">
        <v>2.6886937145359641E-11</v>
      </c>
      <c r="CU35" s="388">
        <v>2.6886937121165629E-11</v>
      </c>
      <c r="CV35" s="388">
        <v>2.6886937121706489E-11</v>
      </c>
      <c r="CW35" s="388">
        <v>2.688693713693362E-11</v>
      </c>
      <c r="CX35" s="388">
        <v>2.6886937128320599E-11</v>
      </c>
      <c r="CY35" s="388">
        <v>2.6886937122829341E-11</v>
      </c>
      <c r="CZ35" s="388">
        <v>2.6886937121162191E-11</v>
      </c>
      <c r="DA35" s="388">
        <v>2.6886937121167665E-11</v>
      </c>
      <c r="DB35" s="388">
        <v>2.6886937121162191E-11</v>
      </c>
      <c r="DC35" s="388">
        <v>2.688693713034704E-11</v>
      </c>
      <c r="DD35" s="388">
        <v>2.6886937357629269E-11</v>
      </c>
      <c r="DE35" s="388">
        <v>2.6886937121288559E-11</v>
      </c>
      <c r="DF35" s="388">
        <v>2.6886937121271912E-11</v>
      </c>
      <c r="DG35" s="388">
        <v>2.6886937350901089E-11</v>
      </c>
      <c r="DH35" s="388">
        <v>2.688694806331788E-11</v>
      </c>
      <c r="DI35" s="388">
        <v>2.6886938306947335E-11</v>
      </c>
      <c r="DJ35" s="388">
        <v>2.68869374397171E-11</v>
      </c>
      <c r="DK35" s="388">
        <v>2.6886937121162191E-11</v>
      </c>
      <c r="DL35" s="388">
        <v>2.6886970383374723E-11</v>
      </c>
      <c r="DM35" s="388">
        <v>2.6886937121162191E-11</v>
      </c>
      <c r="DN35" s="388">
        <v>2.6886937149832998E-11</v>
      </c>
      <c r="DO35" s="388">
        <v>2.6886937166925874E-11</v>
      </c>
      <c r="DP35" s="388">
        <v>2.6886937719838134E-11</v>
      </c>
      <c r="DQ35" s="388">
        <v>2.6886937121182328E-11</v>
      </c>
      <c r="DR35" s="388">
        <v>2.6886948440820623E-11</v>
      </c>
      <c r="DS35" s="388">
        <v>2.688706486316923E-11</v>
      </c>
      <c r="DT35" s="388">
        <v>2.6886937121162191E-11</v>
      </c>
      <c r="DU35" s="388">
        <v>2.6886937121162191E-11</v>
      </c>
      <c r="DV35" s="388">
        <v>2.6886937142897147E-11</v>
      </c>
      <c r="DW35" s="388">
        <v>2.6886937121162191E-11</v>
      </c>
      <c r="DX35" s="388">
        <v>2.6886937121162191E-11</v>
      </c>
      <c r="DY35" s="388">
        <v>2.6886937138567273E-11</v>
      </c>
      <c r="DZ35" s="388">
        <v>2.0025015871265804E-5</v>
      </c>
      <c r="EA35" s="388">
        <v>2.0025015871265804E-5</v>
      </c>
      <c r="EB35" s="388"/>
      <c r="EC35" s="435"/>
      <c r="ED35" s="388">
        <v>-1.1624548942115841E-4</v>
      </c>
      <c r="EE35" s="388">
        <v>-1.8017597556515975E-3</v>
      </c>
      <c r="EF35" s="388">
        <v>-3.7891280682784637E-3</v>
      </c>
      <c r="EG35" s="388">
        <v>1.2914894175204603E-3</v>
      </c>
      <c r="EH35" s="388">
        <v>2.0683329676157414E-3</v>
      </c>
      <c r="EI35" s="388">
        <v>1.0058444978047435E-4</v>
      </c>
      <c r="EJ35" s="388">
        <v>7.6444338083094378E-4</v>
      </c>
      <c r="EK35" s="388">
        <v>1.2410659419907673E-3</v>
      </c>
      <c r="EL35" s="388">
        <v>2.8280550044107633E-3</v>
      </c>
      <c r="EM35" s="388">
        <v>-7.6155973087403889E-4</v>
      </c>
      <c r="EN35" s="388">
        <v>1.8844739081405826E-2</v>
      </c>
      <c r="EO35" s="388">
        <v>2.3830149150106689E-2</v>
      </c>
      <c r="EP35" s="388">
        <v>2.4319388084016371E-2</v>
      </c>
      <c r="EQ35" s="388">
        <v>1.812226322738331E-2</v>
      </c>
      <c r="ER35" s="388">
        <v>2.46333876213767E-2</v>
      </c>
      <c r="ES35" s="388">
        <v>2.6978802867893246E-2</v>
      </c>
      <c r="ET35" s="388">
        <v>1.8734818881707239E-2</v>
      </c>
      <c r="EU35" s="388">
        <v>4.8400000000000012E-2</v>
      </c>
      <c r="EV35" s="388">
        <v>3.5277080966310666E-2</v>
      </c>
      <c r="EW35" s="388">
        <v>3.8796375685504876E-2</v>
      </c>
      <c r="EX35" s="388">
        <v>3.6764364263727332E-2</v>
      </c>
      <c r="EY35" s="388">
        <v>3.786169554184965E-5</v>
      </c>
      <c r="EZ35" s="388">
        <v>-2.7299307275278151E-3</v>
      </c>
      <c r="FA35" s="388">
        <v>1.6000473291428827E-2</v>
      </c>
      <c r="FB35" s="388">
        <v>2.4372183839547576E-2</v>
      </c>
      <c r="FC35" s="388">
        <v>-1.1403439545237936E-3</v>
      </c>
      <c r="FD35" s="388">
        <v>2.2788585942965754E-3</v>
      </c>
      <c r="FE35" s="388">
        <v>-1.1627846495643575E-4</v>
      </c>
      <c r="FF35" s="388">
        <v>-1.3155706152376745E-3</v>
      </c>
      <c r="FG35" s="388">
        <v>-2.8418460512088474E-3</v>
      </c>
      <c r="FH35" s="388">
        <v>7.7810612094329204E-5</v>
      </c>
      <c r="FI35" s="388">
        <v>9.4724505885573473E-4</v>
      </c>
      <c r="FJ35" s="388">
        <v>-9.3949565127601879E-3</v>
      </c>
      <c r="FK35" s="388">
        <v>2.0362338045495179E-3</v>
      </c>
      <c r="FL35" s="388">
        <v>-4.0571932535440449E-3</v>
      </c>
      <c r="FM35" s="388">
        <v>-1.3040840418928061E-3</v>
      </c>
      <c r="FN35" s="388">
        <v>-1.0443037820670195E-3</v>
      </c>
      <c r="FO35" s="388">
        <v>1.0642778708489765E-3</v>
      </c>
      <c r="FP35" s="388">
        <v>-2.1596839257522784E-2</v>
      </c>
      <c r="FQ35" s="388">
        <v>-2.6116457121438993E-2</v>
      </c>
      <c r="FR35" s="388">
        <v>-2.4319388084016371E-2</v>
      </c>
      <c r="FS35" s="388">
        <v>-2.0889841602422465E-2</v>
      </c>
      <c r="FT35" s="388">
        <v>-2.6364636562037799E-2</v>
      </c>
      <c r="FU35" s="388">
        <v>-2.8357509750817217E-2</v>
      </c>
      <c r="FV35" s="388">
        <v>-2.1895590338996272E-2</v>
      </c>
      <c r="FW35" s="388">
        <v>-4.7624577692106394E-2</v>
      </c>
      <c r="FX35" s="388">
        <v>-3.6287725662643461E-2</v>
      </c>
      <c r="FY35" s="388">
        <v>-4.0330224988304506E-2</v>
      </c>
      <c r="FZ35" s="388">
        <v>-3.7888906165259723E-2</v>
      </c>
      <c r="GA35" s="388">
        <v>-1.5797131741535154E-4</v>
      </c>
      <c r="GB35" s="388"/>
      <c r="GC35" s="388"/>
      <c r="GD35" s="388"/>
      <c r="GE35" s="388"/>
      <c r="GF35" s="388"/>
      <c r="GG35" s="388"/>
      <c r="GH35" s="388"/>
      <c r="GI35" s="388"/>
      <c r="GJ35" s="388"/>
      <c r="GK35" s="388"/>
      <c r="GL35" s="388"/>
      <c r="GM35" s="388"/>
      <c r="GN35" s="388"/>
      <c r="GO35" s="388"/>
      <c r="GP35" s="412"/>
      <c r="GQ35" s="412"/>
      <c r="GR35" s="412"/>
      <c r="GS35" s="412"/>
      <c r="GT35" s="412"/>
      <c r="GU35" s="412"/>
      <c r="GV35" s="412"/>
      <c r="GW35" s="412"/>
      <c r="GX35" s="412"/>
      <c r="GY35" s="412"/>
      <c r="GZ35" s="412"/>
      <c r="HA35" s="412"/>
      <c r="HB35" s="412"/>
      <c r="HC35" s="412"/>
      <c r="HD35" s="412"/>
      <c r="HE35" s="412"/>
      <c r="HF35" s="412"/>
      <c r="HG35" s="412"/>
      <c r="HH35" s="412"/>
      <c r="HI35" s="412"/>
      <c r="HJ35" s="412"/>
      <c r="HK35" s="412"/>
      <c r="HL35" s="412"/>
      <c r="HM35" s="412"/>
      <c r="HN35" s="412"/>
      <c r="HO35" s="412"/>
      <c r="HP35" s="412"/>
      <c r="HQ35" s="412"/>
      <c r="HR35" s="412"/>
      <c r="HS35" s="412"/>
      <c r="HT35" s="412"/>
      <c r="HU35" s="412"/>
      <c r="HV35" s="412"/>
      <c r="HW35" s="412"/>
      <c r="HX35" s="412"/>
      <c r="HY35" s="412"/>
      <c r="HZ35" s="412"/>
      <c r="IA35" s="412"/>
      <c r="IB35" s="412"/>
      <c r="IC35" s="412"/>
      <c r="ID35" s="412"/>
      <c r="IE35" s="412"/>
      <c r="IF35" s="412"/>
      <c r="IG35" s="412"/>
      <c r="IH35" s="412"/>
      <c r="II35" s="412"/>
      <c r="IJ35" s="412"/>
      <c r="IK35" s="412"/>
      <c r="IL35" s="412"/>
      <c r="IM35" s="412"/>
      <c r="IN35" s="412"/>
      <c r="IO35" s="412"/>
      <c r="IP35" s="412"/>
      <c r="IQ35" s="412"/>
      <c r="IR35" s="412"/>
      <c r="IS35" s="412"/>
      <c r="IT35" s="412"/>
      <c r="IU35" s="412"/>
      <c r="IV35" s="412"/>
      <c r="IW35" s="412"/>
      <c r="IX35" s="412"/>
      <c r="IY35" s="412"/>
      <c r="IZ35" s="412"/>
      <c r="JA35" s="412"/>
      <c r="JB35" s="412"/>
      <c r="JC35" s="412"/>
      <c r="JD35" s="412"/>
      <c r="JE35" s="412"/>
      <c r="JF35" s="412"/>
      <c r="JG35" s="412"/>
      <c r="JH35" s="412"/>
      <c r="JI35" s="412"/>
      <c r="JJ35" s="412"/>
      <c r="JK35" s="412"/>
      <c r="JL35" s="412"/>
      <c r="JM35" s="412"/>
      <c r="JN35" s="412"/>
      <c r="JO35" s="412"/>
      <c r="JP35" s="412"/>
      <c r="JQ35" s="412"/>
      <c r="JR35" s="412"/>
      <c r="JS35" s="412"/>
      <c r="JT35" s="412"/>
      <c r="JU35" s="412"/>
      <c r="JV35" s="412"/>
      <c r="JW35" s="412"/>
      <c r="JX35" s="412"/>
      <c r="JY35" s="412"/>
      <c r="JZ35" s="412"/>
      <c r="KA35" s="412"/>
      <c r="KB35" s="412"/>
      <c r="KC35" s="412"/>
      <c r="KD35" s="412"/>
      <c r="KE35" s="412"/>
      <c r="KF35" s="412"/>
      <c r="KG35" s="412"/>
      <c r="KH35" s="412"/>
      <c r="KI35" s="412"/>
      <c r="KJ35" s="412"/>
      <c r="KK35" s="412"/>
      <c r="KL35" s="412"/>
      <c r="KM35" s="412"/>
      <c r="KN35" s="412"/>
      <c r="KO35" s="412"/>
      <c r="KP35" s="412"/>
      <c r="KQ35" s="412"/>
      <c r="KR35" s="412"/>
      <c r="KS35" s="412"/>
      <c r="KT35" s="412"/>
      <c r="KU35" s="412"/>
      <c r="KV35" s="412"/>
      <c r="KW35" s="412"/>
      <c r="KX35" s="412"/>
      <c r="KY35" s="412"/>
      <c r="KZ35" s="412"/>
      <c r="LA35" s="412"/>
      <c r="LB35" s="412"/>
      <c r="LC35" s="412"/>
      <c r="LD35" s="412"/>
      <c r="LE35" s="412"/>
      <c r="LF35" s="412"/>
      <c r="LG35" s="412"/>
      <c r="LH35" s="412"/>
      <c r="LI35" s="412"/>
      <c r="LJ35" s="412"/>
      <c r="LK35" s="412"/>
      <c r="LL35" s="412"/>
      <c r="LM35" s="412"/>
      <c r="LN35" s="412"/>
      <c r="LO35" s="412"/>
      <c r="LP35" s="412"/>
      <c r="LQ35" s="412"/>
      <c r="LR35" s="412"/>
      <c r="LS35" s="412"/>
      <c r="LT35" s="412"/>
      <c r="LU35" s="412"/>
      <c r="LV35" s="412"/>
      <c r="LW35" s="412"/>
      <c r="LX35" s="412"/>
      <c r="LY35" s="412"/>
      <c r="LZ35" s="412"/>
      <c r="MA35" s="412"/>
      <c r="MB35" s="412"/>
      <c r="MC35" s="412"/>
      <c r="MD35" s="412"/>
      <c r="ME35" s="412"/>
      <c r="MF35" s="412"/>
      <c r="MG35" s="412"/>
      <c r="MH35" s="412"/>
      <c r="MI35" s="412"/>
      <c r="MJ35" s="412"/>
      <c r="MK35" s="412"/>
      <c r="ML35" s="412"/>
      <c r="MM35" s="412"/>
      <c r="MN35" s="412"/>
      <c r="MO35" s="412"/>
      <c r="MP35" s="412"/>
      <c r="MQ35" s="412"/>
      <c r="MR35" s="412"/>
      <c r="MS35" s="412"/>
      <c r="MT35" s="412"/>
      <c r="MU35" s="412"/>
      <c r="MV35" s="412"/>
      <c r="MW35" s="412"/>
      <c r="MX35" s="412"/>
      <c r="MY35" s="412"/>
      <c r="MZ35" s="412"/>
      <c r="NA35" s="412"/>
      <c r="NB35" s="412"/>
      <c r="NC35" s="412"/>
      <c r="ND35" s="412"/>
      <c r="NE35" s="412"/>
      <c r="NF35" s="412"/>
      <c r="NG35" s="412"/>
      <c r="NH35" s="412"/>
      <c r="NI35" s="412"/>
      <c r="NJ35" s="412"/>
      <c r="NK35" s="412"/>
      <c r="NL35" s="412"/>
      <c r="NM35" s="412"/>
      <c r="NN35" s="412"/>
      <c r="NO35" s="412"/>
      <c r="NP35" s="412"/>
      <c r="NQ35" s="412"/>
      <c r="NR35" s="412"/>
      <c r="NS35" s="412"/>
      <c r="NT35" s="412"/>
      <c r="NU35" s="412"/>
      <c r="NV35" s="412"/>
      <c r="NW35" s="412"/>
      <c r="NX35" s="412"/>
      <c r="NY35" s="412"/>
      <c r="NZ35" s="412"/>
      <c r="OA35" s="412"/>
      <c r="OB35" s="412"/>
      <c r="OC35" s="412"/>
      <c r="OD35" s="412"/>
      <c r="OE35" s="412"/>
      <c r="OF35" s="412"/>
      <c r="OG35" s="412"/>
      <c r="OH35" s="412"/>
      <c r="OI35" s="412"/>
      <c r="OJ35" s="412"/>
      <c r="OK35" s="412"/>
      <c r="OL35" s="412"/>
      <c r="OM35" s="412"/>
      <c r="ON35" s="412"/>
      <c r="OO35" s="412"/>
      <c r="OP35" s="412"/>
      <c r="OQ35" s="412"/>
      <c r="OR35" s="412"/>
      <c r="OS35" s="412"/>
      <c r="OT35" s="412"/>
      <c r="OU35" s="412"/>
      <c r="OV35" s="412"/>
      <c r="OW35" s="412"/>
      <c r="OX35" s="412"/>
      <c r="OY35" s="412"/>
      <c r="OZ35" s="412"/>
      <c r="PA35" s="412"/>
      <c r="PB35" s="412"/>
      <c r="PC35" s="412"/>
      <c r="PD35" s="412"/>
      <c r="PE35" s="412"/>
      <c r="PF35" s="412"/>
      <c r="PG35" s="412"/>
      <c r="PH35" s="412"/>
      <c r="PI35" s="412"/>
      <c r="PJ35" s="412"/>
      <c r="PK35" s="412"/>
      <c r="PL35" s="412"/>
      <c r="PM35" s="412"/>
      <c r="PN35" s="412"/>
      <c r="PO35" s="412"/>
      <c r="PP35" s="412"/>
      <c r="PQ35" s="412"/>
      <c r="PR35" s="412"/>
      <c r="PS35" s="412"/>
      <c r="PT35" s="412"/>
      <c r="PU35" s="412"/>
      <c r="PV35" s="412"/>
      <c r="PW35" s="412"/>
      <c r="PX35" s="412"/>
      <c r="PY35" s="412"/>
      <c r="PZ35" s="412"/>
      <c r="QA35" s="412"/>
      <c r="QB35" s="412"/>
      <c r="QC35" s="412"/>
      <c r="QD35" s="412"/>
      <c r="QE35" s="412"/>
      <c r="QF35" s="412"/>
      <c r="QG35" s="412"/>
      <c r="QH35" s="412"/>
      <c r="QI35" s="412"/>
      <c r="QJ35" s="412"/>
      <c r="QK35" s="412"/>
      <c r="QL35" s="412"/>
      <c r="QM35" s="412"/>
      <c r="QN35" s="412"/>
      <c r="QO35" s="412"/>
      <c r="QP35" s="412"/>
      <c r="QQ35" s="412"/>
      <c r="QR35" s="412"/>
      <c r="QS35" s="412"/>
      <c r="QT35" s="412"/>
      <c r="QU35" s="412"/>
      <c r="QV35" s="412"/>
      <c r="QW35" s="412"/>
      <c r="QX35" s="412"/>
      <c r="QY35" s="412"/>
      <c r="QZ35" s="412"/>
      <c r="RA35" s="412"/>
      <c r="RB35" s="412"/>
      <c r="RC35" s="412"/>
      <c r="RD35" s="412"/>
      <c r="RE35" s="412"/>
      <c r="RF35" s="412"/>
      <c r="RG35" s="412"/>
      <c r="RH35" s="412"/>
      <c r="RI35" s="412"/>
      <c r="RJ35" s="412"/>
      <c r="RK35" s="412"/>
      <c r="RL35" s="412"/>
      <c r="RM35" s="412"/>
      <c r="RN35" s="412"/>
      <c r="RO35" s="412"/>
      <c r="RP35" s="412"/>
      <c r="RQ35" s="412"/>
      <c r="RR35" s="412"/>
      <c r="RS35" s="412"/>
      <c r="RT35" s="412"/>
      <c r="RU35" s="412"/>
      <c r="RV35" s="412"/>
      <c r="RW35" s="412"/>
      <c r="RX35" s="412"/>
      <c r="RY35" s="412"/>
      <c r="RZ35" s="412"/>
      <c r="SA35" s="412"/>
      <c r="SB35" s="412"/>
      <c r="SC35" s="412"/>
      <c r="SD35" s="412"/>
      <c r="SE35" s="412"/>
      <c r="SF35" s="412"/>
      <c r="SG35" s="412"/>
    </row>
    <row r="36" spans="1:501" x14ac:dyDescent="0.2">
      <c r="A36" s="391" t="s">
        <v>146</v>
      </c>
      <c r="B36" s="110"/>
      <c r="C36" s="392">
        <v>0.105</v>
      </c>
      <c r="D36" s="392">
        <v>0.26</v>
      </c>
      <c r="E36" s="392">
        <v>0</v>
      </c>
      <c r="F36" s="392">
        <v>1</v>
      </c>
      <c r="G36" s="392"/>
      <c r="H36" s="435"/>
      <c r="I36" s="410">
        <v>0</v>
      </c>
      <c r="J36" s="410">
        <v>0</v>
      </c>
      <c r="K36" s="410">
        <v>0</v>
      </c>
      <c r="L36" s="410">
        <v>0</v>
      </c>
      <c r="M36" s="410">
        <v>0</v>
      </c>
      <c r="N36" s="410">
        <v>1</v>
      </c>
      <c r="O36" s="435"/>
      <c r="P36" s="393">
        <v>0</v>
      </c>
      <c r="Q36" s="393">
        <v>0</v>
      </c>
      <c r="R36" s="393">
        <v>0</v>
      </c>
      <c r="S36" s="393">
        <v>0</v>
      </c>
      <c r="T36" s="393">
        <v>0</v>
      </c>
      <c r="U36" s="435"/>
      <c r="V36" s="393">
        <v>1</v>
      </c>
      <c r="W36" s="393">
        <v>1</v>
      </c>
      <c r="X36" s="393">
        <v>1</v>
      </c>
      <c r="Y36" s="393">
        <v>1</v>
      </c>
      <c r="Z36" s="393">
        <v>1</v>
      </c>
      <c r="AA36" s="393"/>
      <c r="AB36" s="435"/>
      <c r="AC36" s="393">
        <v>2.9999999999999997E-4</v>
      </c>
      <c r="AD36" s="411"/>
      <c r="AE36" s="435"/>
      <c r="AF36" s="388">
        <v>9.6179064712819455E-11</v>
      </c>
      <c r="AG36" s="388">
        <v>9.6179064712487161E-11</v>
      </c>
      <c r="AH36" s="388">
        <v>9.6179064712487161E-11</v>
      </c>
      <c r="AI36" s="388">
        <v>9.6179064712487161E-11</v>
      </c>
      <c r="AJ36" s="388">
        <v>9.6179064717719583E-11</v>
      </c>
      <c r="AK36" s="388">
        <v>9.6179064714127447E-11</v>
      </c>
      <c r="AL36" s="388">
        <v>9.6179064716037343E-11</v>
      </c>
      <c r="AM36" s="388">
        <v>9.6179064712487161E-11</v>
      </c>
      <c r="AN36" s="388">
        <v>9.6179064712507117E-11</v>
      </c>
      <c r="AO36" s="388">
        <v>9.6179064712801968E-11</v>
      </c>
      <c r="AP36" s="388">
        <v>9.6179064739862548E-11</v>
      </c>
      <c r="AQ36" s="388">
        <v>9.6179064712487161E-11</v>
      </c>
      <c r="AR36" s="388">
        <v>9.6179064712487161E-11</v>
      </c>
      <c r="AS36" s="388">
        <v>9.6179064712487161E-11</v>
      </c>
      <c r="AT36" s="388">
        <v>9.6179064712487161E-11</v>
      </c>
      <c r="AU36" s="388">
        <v>9.6179064712487161E-11</v>
      </c>
      <c r="AV36" s="388">
        <v>9.6179064712487161E-11</v>
      </c>
      <c r="AW36" s="388">
        <v>9.6179064712691682E-11</v>
      </c>
      <c r="AX36" s="388">
        <v>9.6179064712487161E-11</v>
      </c>
      <c r="AY36" s="388">
        <v>9.6179064712607593E-11</v>
      </c>
      <c r="AZ36" s="388">
        <v>9.6179064712487161E-11</v>
      </c>
      <c r="BA36" s="388">
        <v>9.6179064712760014E-11</v>
      </c>
      <c r="BB36" s="388">
        <v>9.6179064712487161E-11</v>
      </c>
      <c r="BC36" s="388">
        <v>9.6179064712579495E-11</v>
      </c>
      <c r="BD36" s="388">
        <v>9.6179064712525263E-11</v>
      </c>
      <c r="BE36" s="388">
        <v>9.6179064716681187E-11</v>
      </c>
      <c r="BF36" s="388">
        <v>9.6179064712487161E-11</v>
      </c>
      <c r="BG36" s="388">
        <v>9.6179064712575282E-11</v>
      </c>
      <c r="BH36" s="388">
        <v>9.6179064712796385E-11</v>
      </c>
      <c r="BI36" s="388">
        <v>9.6179064712487161E-11</v>
      </c>
      <c r="BJ36" s="388">
        <v>9.6179064712571753E-11</v>
      </c>
      <c r="BK36" s="388">
        <v>9.6179064713254836E-11</v>
      </c>
      <c r="BL36" s="388">
        <v>9.6179064712621668E-11</v>
      </c>
      <c r="BM36" s="388">
        <v>9.6179064712487161E-11</v>
      </c>
      <c r="BN36" s="388">
        <v>9.6179064712571999E-11</v>
      </c>
      <c r="BO36" s="388">
        <v>9.6179064712840962E-11</v>
      </c>
      <c r="BP36" s="388">
        <v>9.6179064712487161E-11</v>
      </c>
      <c r="BQ36" s="388">
        <v>9.6179064712487588E-11</v>
      </c>
      <c r="BR36" s="388">
        <v>9.617906471254403E-11</v>
      </c>
      <c r="BS36" s="388">
        <v>9.6179064712949503E-11</v>
      </c>
      <c r="BT36" s="388">
        <v>9.6179064712514613E-11</v>
      </c>
      <c r="BU36" s="388">
        <v>9.6179064712591205E-11</v>
      </c>
      <c r="BV36" s="388">
        <v>9.6179064712517715E-11</v>
      </c>
      <c r="BW36" s="388">
        <v>9.6179064712487161E-11</v>
      </c>
      <c r="BX36" s="388">
        <v>9.6179064714827643E-11</v>
      </c>
      <c r="BY36" s="388">
        <v>9.6179064717412001E-11</v>
      </c>
      <c r="BZ36" s="388">
        <v>9.61790647611952E-11</v>
      </c>
      <c r="CA36" s="388">
        <v>9.6179064712487161E-11</v>
      </c>
      <c r="CB36" s="388">
        <v>9.6179064712487161E-11</v>
      </c>
      <c r="CC36" s="388">
        <v>9.61790647126249E-11</v>
      </c>
      <c r="CD36" s="388">
        <v>9.6179064712487161E-11</v>
      </c>
      <c r="CE36" s="388">
        <v>9.6179064712533897E-11</v>
      </c>
      <c r="CF36" s="388">
        <v>9.6179064715707492E-11</v>
      </c>
      <c r="CG36" s="388">
        <v>9.6179119328285069E-11</v>
      </c>
      <c r="CH36" s="388">
        <v>9.6179065702559036E-11</v>
      </c>
      <c r="CI36" s="388">
        <v>9.6179081896182679E-11</v>
      </c>
      <c r="CJ36" s="388">
        <v>9.6179064713011736E-11</v>
      </c>
      <c r="CK36" s="388">
        <v>9.6179076178145514E-11</v>
      </c>
      <c r="CL36" s="388">
        <v>9.6179064718503026E-11</v>
      </c>
      <c r="CM36" s="388">
        <v>9.6179064712488118E-11</v>
      </c>
      <c r="CN36" s="388">
        <v>9.6179064712660804E-11</v>
      </c>
      <c r="CO36" s="388">
        <v>9.6179064712801865E-11</v>
      </c>
      <c r="CP36" s="388">
        <v>9.6179064712983922E-11</v>
      </c>
      <c r="CQ36" s="388">
        <v>9.6179064714235886E-11</v>
      </c>
      <c r="CR36" s="388">
        <v>9.617906471267497E-11</v>
      </c>
      <c r="CS36" s="388">
        <v>9.6179064712797108E-11</v>
      </c>
      <c r="CT36" s="388">
        <v>9.6179064723854665E-11</v>
      </c>
      <c r="CU36" s="388">
        <v>9.6179064721734549E-11</v>
      </c>
      <c r="CV36" s="388">
        <v>9.6179064713318452E-11</v>
      </c>
      <c r="CW36" s="388">
        <v>9.6179064712487161E-11</v>
      </c>
      <c r="CX36" s="388">
        <v>9.6179064715850064E-11</v>
      </c>
      <c r="CY36" s="388">
        <v>9.617906471571557E-11</v>
      </c>
      <c r="CZ36" s="388">
        <v>9.6179064712487161E-11</v>
      </c>
      <c r="DA36" s="388">
        <v>9.6179064712489733E-11</v>
      </c>
      <c r="DB36" s="388">
        <v>9.6179087075338493E-11</v>
      </c>
      <c r="DC36" s="388">
        <v>9.6179064712487161E-11</v>
      </c>
      <c r="DD36" s="388">
        <v>9.6179156732565266E-11</v>
      </c>
      <c r="DE36" s="388">
        <v>9.6179064712516966E-11</v>
      </c>
      <c r="DF36" s="388">
        <v>9.6179064712497591E-11</v>
      </c>
      <c r="DG36" s="388">
        <v>9.6179064712487161E-11</v>
      </c>
      <c r="DH36" s="388">
        <v>9.6179083010625476E-11</v>
      </c>
      <c r="DI36" s="388">
        <v>9.6179065135807851E-11</v>
      </c>
      <c r="DJ36" s="388">
        <v>9.6179064712487161E-11</v>
      </c>
      <c r="DK36" s="388">
        <v>9.6179064712736375E-11</v>
      </c>
      <c r="DL36" s="388">
        <v>9.6179102160618154E-11</v>
      </c>
      <c r="DM36" s="388">
        <v>9.6179064737231688E-11</v>
      </c>
      <c r="DN36" s="388">
        <v>9.617906476600227E-11</v>
      </c>
      <c r="DO36" s="388">
        <v>9.6179064769691754E-11</v>
      </c>
      <c r="DP36" s="388">
        <v>9.6179064712487161E-11</v>
      </c>
      <c r="DQ36" s="388">
        <v>9.6179064719586995E-11</v>
      </c>
      <c r="DR36" s="388">
        <v>9.6179145032352289E-11</v>
      </c>
      <c r="DS36" s="388">
        <v>9.6179143610913518E-11</v>
      </c>
      <c r="DT36" s="388">
        <v>9.6179086727178923E-11</v>
      </c>
      <c r="DU36" s="388">
        <v>9.6179155872460823E-11</v>
      </c>
      <c r="DV36" s="388">
        <v>9.6179064712487161E-11</v>
      </c>
      <c r="DW36" s="388">
        <v>9.6179064712487161E-11</v>
      </c>
      <c r="DX36" s="388">
        <v>9.6179064712487161E-11</v>
      </c>
      <c r="DY36" s="388">
        <v>9.6179064799512559E-11</v>
      </c>
      <c r="DZ36" s="388">
        <v>1.7260431998689554E-5</v>
      </c>
      <c r="EA36" s="388">
        <v>1.7260431998689554E-5</v>
      </c>
      <c r="EB36" s="388"/>
      <c r="EC36" s="435"/>
      <c r="ED36" s="388">
        <v>6.0118369310936517E-5</v>
      </c>
      <c r="EE36" s="388">
        <v>-1.9479921005842154E-3</v>
      </c>
      <c r="EF36" s="388">
        <v>-5.1185540207852103E-3</v>
      </c>
      <c r="EG36" s="388">
        <v>1.4011996938918317E-3</v>
      </c>
      <c r="EH36" s="388">
        <v>1.5618368666699401E-3</v>
      </c>
      <c r="EI36" s="388">
        <v>3.643938230443412E-4</v>
      </c>
      <c r="EJ36" s="388">
        <v>8.652257707256972E-4</v>
      </c>
      <c r="EK36" s="388">
        <v>1.524167621269269E-3</v>
      </c>
      <c r="EL36" s="388">
        <v>3.3026163803278772E-3</v>
      </c>
      <c r="EM36" s="388">
        <v>-5.0887932901451675E-4</v>
      </c>
      <c r="EN36" s="388">
        <v>2.1676540794291585E-2</v>
      </c>
      <c r="EO36" s="388">
        <v>2.8828708585982913E-2</v>
      </c>
      <c r="EP36" s="388">
        <v>2.6262956164353441E-2</v>
      </c>
      <c r="EQ36" s="388">
        <v>2.1076976137753136E-2</v>
      </c>
      <c r="ER36" s="388">
        <v>2.4538623953407203E-2</v>
      </c>
      <c r="ES36" s="388">
        <v>2.7171455117882728E-2</v>
      </c>
      <c r="ET36" s="388">
        <v>1.8431281582884047E-2</v>
      </c>
      <c r="EU36" s="388">
        <v>3.5277080966310666E-2</v>
      </c>
      <c r="EV36" s="388">
        <v>6.7600000000000007E-2</v>
      </c>
      <c r="EW36" s="388">
        <v>6.6219372755600345E-2</v>
      </c>
      <c r="EX36" s="388">
        <v>5.3030397446729181E-2</v>
      </c>
      <c r="EY36" s="388">
        <v>-1.5533480901299484E-3</v>
      </c>
      <c r="EZ36" s="388">
        <v>-3.032551363776244E-3</v>
      </c>
      <c r="FA36" s="388">
        <v>1.8953863561441901E-2</v>
      </c>
      <c r="FB36" s="388">
        <v>2.1711936055978785E-2</v>
      </c>
      <c r="FC36" s="388">
        <v>-1.7527840999805374E-3</v>
      </c>
      <c r="FD36" s="388">
        <v>1.1373000652284109E-3</v>
      </c>
      <c r="FE36" s="388">
        <v>6.0113406916641115E-5</v>
      </c>
      <c r="FF36" s="388">
        <v>-1.422343438521808E-3</v>
      </c>
      <c r="FG36" s="388">
        <v>-3.838915515588908E-3</v>
      </c>
      <c r="FH36" s="388">
        <v>2.8188956122298091E-4</v>
      </c>
      <c r="FI36" s="388">
        <v>1.072127585464451E-3</v>
      </c>
      <c r="FJ36" s="388">
        <v>-1.2872973378437437E-2</v>
      </c>
      <c r="FK36" s="388">
        <v>4.7379632596799698E-3</v>
      </c>
      <c r="FL36" s="388">
        <v>-4.020779057830345E-3</v>
      </c>
      <c r="FM36" s="388">
        <v>-1.4858568094642671E-3</v>
      </c>
      <c r="FN36" s="388">
        <v>-1.4110844404933254E-3</v>
      </c>
      <c r="FO36" s="388">
        <v>1.7113967382172118E-3</v>
      </c>
      <c r="FP36" s="388">
        <v>-2.3789594913284001E-2</v>
      </c>
      <c r="FQ36" s="388">
        <v>-3.0229403463327194E-2</v>
      </c>
      <c r="FR36" s="388">
        <v>-2.6262956164353441E-2</v>
      </c>
      <c r="FS36" s="388">
        <v>-2.3683708470400393E-2</v>
      </c>
      <c r="FT36" s="388">
        <v>-2.6050017462065714E-2</v>
      </c>
      <c r="FU36" s="388">
        <v>-2.8334332879102139E-2</v>
      </c>
      <c r="FV36" s="388">
        <v>-2.1147762363618417E-2</v>
      </c>
      <c r="FW36" s="388">
        <v>-3.5235331671829344E-2</v>
      </c>
      <c r="FX36" s="388">
        <v>-6.6827935640592209E-2</v>
      </c>
      <c r="FY36" s="388">
        <v>-6.6495025248300504E-2</v>
      </c>
      <c r="FZ36" s="388">
        <v>-5.3100985035112458E-2</v>
      </c>
      <c r="GA36" s="388">
        <v>-1.6252451343702769E-4</v>
      </c>
      <c r="GB36" s="388"/>
      <c r="GC36" s="388"/>
      <c r="GD36" s="388"/>
      <c r="GE36" s="388"/>
      <c r="GF36" s="388"/>
      <c r="GG36" s="388"/>
      <c r="GH36" s="388"/>
      <c r="GI36" s="388"/>
      <c r="GJ36" s="388"/>
      <c r="GK36" s="388"/>
      <c r="GL36" s="388"/>
      <c r="GM36" s="388"/>
      <c r="GN36" s="388"/>
      <c r="GO36" s="388"/>
      <c r="GP36" s="412"/>
      <c r="GQ36" s="412"/>
      <c r="GR36" s="412"/>
      <c r="GS36" s="412"/>
      <c r="GT36" s="412"/>
      <c r="GU36" s="412"/>
      <c r="GV36" s="412"/>
      <c r="GW36" s="412"/>
      <c r="GX36" s="412"/>
      <c r="GY36" s="412"/>
      <c r="GZ36" s="412"/>
      <c r="HA36" s="412"/>
      <c r="HB36" s="412"/>
      <c r="HC36" s="412"/>
      <c r="HD36" s="412"/>
      <c r="HE36" s="412"/>
      <c r="HF36" s="412"/>
      <c r="HG36" s="412"/>
      <c r="HH36" s="412"/>
      <c r="HI36" s="412"/>
      <c r="HJ36" s="412"/>
      <c r="HK36" s="412"/>
      <c r="HL36" s="412"/>
      <c r="HM36" s="412"/>
      <c r="HN36" s="412"/>
      <c r="HO36" s="412"/>
      <c r="HP36" s="412"/>
      <c r="HQ36" s="412"/>
      <c r="HR36" s="412"/>
      <c r="HS36" s="412"/>
      <c r="HT36" s="412"/>
      <c r="HU36" s="412"/>
      <c r="HV36" s="412"/>
      <c r="HW36" s="412"/>
      <c r="HX36" s="412"/>
      <c r="HY36" s="412"/>
      <c r="HZ36" s="412"/>
      <c r="IA36" s="412"/>
      <c r="IB36" s="412"/>
      <c r="IC36" s="412"/>
      <c r="ID36" s="412"/>
      <c r="IE36" s="412"/>
      <c r="IF36" s="412"/>
      <c r="IG36" s="412"/>
      <c r="IH36" s="412"/>
      <c r="II36" s="412"/>
      <c r="IJ36" s="412"/>
      <c r="IK36" s="412"/>
      <c r="IL36" s="412"/>
      <c r="IM36" s="412"/>
      <c r="IN36" s="412"/>
      <c r="IO36" s="412"/>
      <c r="IP36" s="412"/>
      <c r="IQ36" s="412"/>
      <c r="IR36" s="412"/>
      <c r="IS36" s="412"/>
      <c r="IT36" s="412"/>
      <c r="IU36" s="412"/>
      <c r="IV36" s="412"/>
      <c r="IW36" s="412"/>
      <c r="IX36" s="412"/>
      <c r="IY36" s="412"/>
      <c r="IZ36" s="412"/>
      <c r="JA36" s="412"/>
      <c r="JB36" s="412"/>
      <c r="JC36" s="412"/>
      <c r="JD36" s="412"/>
      <c r="JE36" s="412"/>
      <c r="JF36" s="412"/>
      <c r="JG36" s="412"/>
      <c r="JH36" s="412"/>
      <c r="JI36" s="412"/>
      <c r="JJ36" s="412"/>
      <c r="JK36" s="412"/>
      <c r="JL36" s="412"/>
      <c r="JM36" s="412"/>
      <c r="JN36" s="412"/>
      <c r="JO36" s="412"/>
      <c r="JP36" s="412"/>
      <c r="JQ36" s="412"/>
      <c r="JR36" s="412"/>
      <c r="JS36" s="412"/>
      <c r="JT36" s="412"/>
      <c r="JU36" s="412"/>
      <c r="JV36" s="412"/>
      <c r="JW36" s="412"/>
      <c r="JX36" s="412"/>
      <c r="JY36" s="412"/>
      <c r="JZ36" s="412"/>
      <c r="KA36" s="412"/>
      <c r="KB36" s="412"/>
      <c r="KC36" s="412"/>
      <c r="KD36" s="412"/>
      <c r="KE36" s="412"/>
      <c r="KF36" s="412"/>
      <c r="KG36" s="412"/>
      <c r="KH36" s="412"/>
      <c r="KI36" s="412"/>
      <c r="KJ36" s="412"/>
      <c r="KK36" s="412"/>
      <c r="KL36" s="412"/>
      <c r="KM36" s="412"/>
      <c r="KN36" s="412"/>
      <c r="KO36" s="412"/>
      <c r="KP36" s="412"/>
      <c r="KQ36" s="412"/>
      <c r="KR36" s="412"/>
      <c r="KS36" s="412"/>
      <c r="KT36" s="412"/>
      <c r="KU36" s="412"/>
      <c r="KV36" s="412"/>
      <c r="KW36" s="412"/>
      <c r="KX36" s="412"/>
      <c r="KY36" s="412"/>
      <c r="KZ36" s="412"/>
      <c r="LA36" s="412"/>
      <c r="LB36" s="412"/>
      <c r="LC36" s="412"/>
      <c r="LD36" s="412"/>
      <c r="LE36" s="412"/>
      <c r="LF36" s="412"/>
      <c r="LG36" s="412"/>
      <c r="LH36" s="412"/>
      <c r="LI36" s="412"/>
      <c r="LJ36" s="412"/>
      <c r="LK36" s="412"/>
      <c r="LL36" s="412"/>
      <c r="LM36" s="412"/>
      <c r="LN36" s="412"/>
      <c r="LO36" s="412"/>
      <c r="LP36" s="412"/>
      <c r="LQ36" s="412"/>
      <c r="LR36" s="412"/>
      <c r="LS36" s="412"/>
      <c r="LT36" s="412"/>
      <c r="LU36" s="412"/>
      <c r="LV36" s="412"/>
      <c r="LW36" s="412"/>
      <c r="LX36" s="412"/>
      <c r="LY36" s="412"/>
      <c r="LZ36" s="412"/>
      <c r="MA36" s="412"/>
      <c r="MB36" s="412"/>
      <c r="MC36" s="412"/>
      <c r="MD36" s="412"/>
      <c r="ME36" s="412"/>
      <c r="MF36" s="412"/>
      <c r="MG36" s="412"/>
      <c r="MH36" s="412"/>
      <c r="MI36" s="412"/>
      <c r="MJ36" s="412"/>
      <c r="MK36" s="412"/>
      <c r="ML36" s="412"/>
      <c r="MM36" s="412"/>
      <c r="MN36" s="412"/>
      <c r="MO36" s="412"/>
      <c r="MP36" s="412"/>
      <c r="MQ36" s="412"/>
      <c r="MR36" s="412"/>
      <c r="MS36" s="412"/>
      <c r="MT36" s="412"/>
      <c r="MU36" s="412"/>
      <c r="MV36" s="412"/>
      <c r="MW36" s="412"/>
      <c r="MX36" s="412"/>
      <c r="MY36" s="412"/>
      <c r="MZ36" s="412"/>
      <c r="NA36" s="412"/>
      <c r="NB36" s="412"/>
      <c r="NC36" s="412"/>
      <c r="ND36" s="412"/>
      <c r="NE36" s="412"/>
      <c r="NF36" s="412"/>
      <c r="NG36" s="412"/>
      <c r="NH36" s="412"/>
      <c r="NI36" s="412"/>
      <c r="NJ36" s="412"/>
      <c r="NK36" s="412"/>
      <c r="NL36" s="412"/>
      <c r="NM36" s="412"/>
      <c r="NN36" s="412"/>
      <c r="NO36" s="412"/>
      <c r="NP36" s="412"/>
      <c r="NQ36" s="412"/>
      <c r="NR36" s="412"/>
      <c r="NS36" s="412"/>
      <c r="NT36" s="412"/>
      <c r="NU36" s="412"/>
      <c r="NV36" s="412"/>
      <c r="NW36" s="412"/>
      <c r="NX36" s="412"/>
      <c r="NY36" s="412"/>
      <c r="NZ36" s="412"/>
      <c r="OA36" s="412"/>
      <c r="OB36" s="412"/>
      <c r="OC36" s="412"/>
      <c r="OD36" s="412"/>
      <c r="OE36" s="412"/>
      <c r="OF36" s="412"/>
      <c r="OG36" s="412"/>
      <c r="OH36" s="412"/>
      <c r="OI36" s="412"/>
      <c r="OJ36" s="412"/>
      <c r="OK36" s="412"/>
      <c r="OL36" s="412"/>
      <c r="OM36" s="412"/>
      <c r="ON36" s="412"/>
      <c r="OO36" s="412"/>
      <c r="OP36" s="412"/>
      <c r="OQ36" s="412"/>
      <c r="OR36" s="412"/>
      <c r="OS36" s="412"/>
      <c r="OT36" s="412"/>
      <c r="OU36" s="412"/>
      <c r="OV36" s="412"/>
      <c r="OW36" s="412"/>
      <c r="OX36" s="412"/>
      <c r="OY36" s="412"/>
      <c r="OZ36" s="412"/>
      <c r="PA36" s="412"/>
      <c r="PB36" s="412"/>
      <c r="PC36" s="412"/>
      <c r="PD36" s="412"/>
      <c r="PE36" s="412"/>
      <c r="PF36" s="412"/>
      <c r="PG36" s="412"/>
      <c r="PH36" s="412"/>
      <c r="PI36" s="412"/>
      <c r="PJ36" s="412"/>
      <c r="PK36" s="412"/>
      <c r="PL36" s="412"/>
      <c r="PM36" s="412"/>
      <c r="PN36" s="412"/>
      <c r="PO36" s="412"/>
      <c r="PP36" s="412"/>
      <c r="PQ36" s="412"/>
      <c r="PR36" s="412"/>
      <c r="PS36" s="412"/>
      <c r="PT36" s="412"/>
      <c r="PU36" s="412"/>
      <c r="PV36" s="412"/>
      <c r="PW36" s="412"/>
      <c r="PX36" s="412"/>
      <c r="PY36" s="412"/>
      <c r="PZ36" s="412"/>
      <c r="QA36" s="412"/>
      <c r="QB36" s="412"/>
      <c r="QC36" s="412"/>
      <c r="QD36" s="412"/>
      <c r="QE36" s="412"/>
      <c r="QF36" s="412"/>
      <c r="QG36" s="412"/>
      <c r="QH36" s="412"/>
      <c r="QI36" s="412"/>
      <c r="QJ36" s="412"/>
      <c r="QK36" s="412"/>
      <c r="QL36" s="412"/>
      <c r="QM36" s="412"/>
      <c r="QN36" s="412"/>
      <c r="QO36" s="412"/>
      <c r="QP36" s="412"/>
      <c r="QQ36" s="412"/>
      <c r="QR36" s="412"/>
      <c r="QS36" s="412"/>
      <c r="QT36" s="412"/>
      <c r="QU36" s="412"/>
      <c r="QV36" s="412"/>
      <c r="QW36" s="412"/>
      <c r="QX36" s="412"/>
      <c r="QY36" s="412"/>
      <c r="QZ36" s="412"/>
      <c r="RA36" s="412"/>
      <c r="RB36" s="412"/>
      <c r="RC36" s="412"/>
      <c r="RD36" s="412"/>
      <c r="RE36" s="412"/>
      <c r="RF36" s="412"/>
      <c r="RG36" s="412"/>
      <c r="RH36" s="412"/>
      <c r="RI36" s="412"/>
      <c r="RJ36" s="412"/>
      <c r="RK36" s="412"/>
      <c r="RL36" s="412"/>
      <c r="RM36" s="412"/>
      <c r="RN36" s="412"/>
      <c r="RO36" s="412"/>
      <c r="RP36" s="412"/>
      <c r="RQ36" s="412"/>
      <c r="RR36" s="412"/>
      <c r="RS36" s="412"/>
      <c r="RT36" s="412"/>
      <c r="RU36" s="412"/>
      <c r="RV36" s="412"/>
      <c r="RW36" s="412"/>
      <c r="RX36" s="412"/>
      <c r="RY36" s="412"/>
      <c r="RZ36" s="412"/>
      <c r="SA36" s="412"/>
      <c r="SB36" s="412"/>
      <c r="SC36" s="412"/>
      <c r="SD36" s="412"/>
      <c r="SE36" s="412"/>
      <c r="SF36" s="412"/>
      <c r="SG36" s="412"/>
    </row>
    <row r="37" spans="1:501" x14ac:dyDescent="0.2">
      <c r="A37" s="391" t="s">
        <v>18</v>
      </c>
      <c r="B37" s="110"/>
      <c r="C37" s="392">
        <v>0.11</v>
      </c>
      <c r="D37" s="392">
        <v>0.3</v>
      </c>
      <c r="E37" s="392">
        <v>0</v>
      </c>
      <c r="F37" s="392">
        <v>0</v>
      </c>
      <c r="G37" s="392"/>
      <c r="H37" s="435"/>
      <c r="I37" s="410">
        <v>0</v>
      </c>
      <c r="J37" s="410">
        <v>0</v>
      </c>
      <c r="K37" s="410">
        <v>0</v>
      </c>
      <c r="L37" s="410">
        <v>0</v>
      </c>
      <c r="M37" s="410">
        <v>0</v>
      </c>
      <c r="N37" s="410">
        <v>1</v>
      </c>
      <c r="O37" s="435"/>
      <c r="P37" s="393">
        <v>0</v>
      </c>
      <c r="Q37" s="393">
        <v>0</v>
      </c>
      <c r="R37" s="393">
        <v>0</v>
      </c>
      <c r="S37" s="393">
        <v>0</v>
      </c>
      <c r="T37" s="393">
        <v>0</v>
      </c>
      <c r="U37" s="435"/>
      <c r="V37" s="393">
        <v>1</v>
      </c>
      <c r="W37" s="393">
        <v>1</v>
      </c>
      <c r="X37" s="393">
        <v>1</v>
      </c>
      <c r="Y37" s="393">
        <v>1</v>
      </c>
      <c r="Z37" s="393">
        <v>1</v>
      </c>
      <c r="AA37" s="393"/>
      <c r="AB37" s="435"/>
      <c r="AC37" s="393">
        <v>3.0999999999999999E-3</v>
      </c>
      <c r="AD37" s="411"/>
      <c r="AE37" s="435"/>
      <c r="AF37" s="388">
        <v>5.7821694099402521E-9</v>
      </c>
      <c r="AG37" s="388">
        <v>5.7821694099402521E-9</v>
      </c>
      <c r="AH37" s="388">
        <v>5.7821694099402521E-9</v>
      </c>
      <c r="AI37" s="388">
        <v>5.7821694099402521E-9</v>
      </c>
      <c r="AJ37" s="388">
        <v>5.7821694099402521E-9</v>
      </c>
      <c r="AK37" s="388">
        <v>5.7821694099402521E-9</v>
      </c>
      <c r="AL37" s="388">
        <v>5.7821694099402521E-9</v>
      </c>
      <c r="AM37" s="388">
        <v>5.7821694099402521E-9</v>
      </c>
      <c r="AN37" s="388">
        <v>5.7821694099402521E-9</v>
      </c>
      <c r="AO37" s="388">
        <v>5.7821694099402521E-9</v>
      </c>
      <c r="AP37" s="388">
        <v>5.7821694099402521E-9</v>
      </c>
      <c r="AQ37" s="388">
        <v>5.7821694099402521E-9</v>
      </c>
      <c r="AR37" s="388">
        <v>5.7821694099402521E-9</v>
      </c>
      <c r="AS37" s="388">
        <v>5.7821694099402521E-9</v>
      </c>
      <c r="AT37" s="388">
        <v>5.7821694099402521E-9</v>
      </c>
      <c r="AU37" s="388">
        <v>5.7821694099402521E-9</v>
      </c>
      <c r="AV37" s="388">
        <v>5.7821694099402521E-9</v>
      </c>
      <c r="AW37" s="388">
        <v>5.7821694099402521E-9</v>
      </c>
      <c r="AX37" s="388">
        <v>5.7821694099402521E-9</v>
      </c>
      <c r="AY37" s="388">
        <v>5.7821694099402521E-9</v>
      </c>
      <c r="AZ37" s="388">
        <v>5.7821694099402521E-9</v>
      </c>
      <c r="BA37" s="388">
        <v>5.7821694099402521E-9</v>
      </c>
      <c r="BB37" s="388">
        <v>5.7821694099402521E-9</v>
      </c>
      <c r="BC37" s="388">
        <v>5.7821694099402521E-9</v>
      </c>
      <c r="BD37" s="388">
        <v>5.7821694099402521E-9</v>
      </c>
      <c r="BE37" s="388">
        <v>5.7821694099402521E-9</v>
      </c>
      <c r="BF37" s="388">
        <v>5.7821694099402521E-9</v>
      </c>
      <c r="BG37" s="388">
        <v>5.7821694099402521E-9</v>
      </c>
      <c r="BH37" s="388">
        <v>5.7821694099402521E-9</v>
      </c>
      <c r="BI37" s="388">
        <v>5.7821694099402521E-9</v>
      </c>
      <c r="BJ37" s="388">
        <v>5.7821694099402521E-9</v>
      </c>
      <c r="BK37" s="388">
        <v>5.7821694099402521E-9</v>
      </c>
      <c r="BL37" s="388">
        <v>5.7821694099402521E-9</v>
      </c>
      <c r="BM37" s="388">
        <v>5.7821694099402521E-9</v>
      </c>
      <c r="BN37" s="388">
        <v>5.7821694099402521E-9</v>
      </c>
      <c r="BO37" s="388">
        <v>5.7821694099402521E-9</v>
      </c>
      <c r="BP37" s="388">
        <v>5.7821694099402521E-9</v>
      </c>
      <c r="BQ37" s="388">
        <v>5.7821694099402521E-9</v>
      </c>
      <c r="BR37" s="388">
        <v>5.7821694099402521E-9</v>
      </c>
      <c r="BS37" s="388">
        <v>5.7821694099402521E-9</v>
      </c>
      <c r="BT37" s="388">
        <v>5.7821694099402521E-9</v>
      </c>
      <c r="BU37" s="388">
        <v>5.7821694099402835E-9</v>
      </c>
      <c r="BV37" s="388">
        <v>5.7821694099403207E-9</v>
      </c>
      <c r="BW37" s="388">
        <v>5.7821694099402678E-9</v>
      </c>
      <c r="BX37" s="388">
        <v>5.7821694099403158E-9</v>
      </c>
      <c r="BY37" s="388">
        <v>5.7821694099402728E-9</v>
      </c>
      <c r="BZ37" s="388">
        <v>5.7821694099402521E-9</v>
      </c>
      <c r="CA37" s="388">
        <v>5.7821694099402521E-9</v>
      </c>
      <c r="CB37" s="388">
        <v>5.7821694099402529E-9</v>
      </c>
      <c r="CC37" s="388">
        <v>5.782169409940391E-9</v>
      </c>
      <c r="CD37" s="388">
        <v>5.7821694099402521E-9</v>
      </c>
      <c r="CE37" s="388">
        <v>5.7821694099402744E-9</v>
      </c>
      <c r="CF37" s="388">
        <v>5.7821694099408121E-9</v>
      </c>
      <c r="CG37" s="388">
        <v>5.7821694099402521E-9</v>
      </c>
      <c r="CH37" s="388">
        <v>5.7821694099402637E-9</v>
      </c>
      <c r="CI37" s="388">
        <v>5.7821694099402521E-9</v>
      </c>
      <c r="CJ37" s="388">
        <v>5.7821694099402521E-9</v>
      </c>
      <c r="CK37" s="388">
        <v>5.7821694099403199E-9</v>
      </c>
      <c r="CL37" s="388">
        <v>5.7821694099402521E-9</v>
      </c>
      <c r="CM37" s="388">
        <v>5.7821694099402521E-9</v>
      </c>
      <c r="CN37" s="388">
        <v>5.7821694099402521E-9</v>
      </c>
      <c r="CO37" s="388">
        <v>5.7821694099402521E-9</v>
      </c>
      <c r="CP37" s="388">
        <v>5.7821694099402521E-9</v>
      </c>
      <c r="CQ37" s="388">
        <v>5.7821694099402521E-9</v>
      </c>
      <c r="CR37" s="388">
        <v>5.7821694099402521E-9</v>
      </c>
      <c r="CS37" s="388">
        <v>5.7821694099402521E-9</v>
      </c>
      <c r="CT37" s="388">
        <v>5.7821694099402521E-9</v>
      </c>
      <c r="CU37" s="388">
        <v>5.7821694099402521E-9</v>
      </c>
      <c r="CV37" s="388">
        <v>5.7821694099402521E-9</v>
      </c>
      <c r="CW37" s="388">
        <v>5.7821694099402521E-9</v>
      </c>
      <c r="CX37" s="388">
        <v>5.7821694099402521E-9</v>
      </c>
      <c r="CY37" s="388">
        <v>5.7821694099402521E-9</v>
      </c>
      <c r="CZ37" s="388">
        <v>5.7821694099402521E-9</v>
      </c>
      <c r="DA37" s="388">
        <v>5.7821694099402521E-9</v>
      </c>
      <c r="DB37" s="388">
        <v>5.7821694099402521E-9</v>
      </c>
      <c r="DC37" s="388">
        <v>5.7821694099402521E-9</v>
      </c>
      <c r="DD37" s="388">
        <v>5.7821694099402521E-9</v>
      </c>
      <c r="DE37" s="388">
        <v>5.7821694099411099E-9</v>
      </c>
      <c r="DF37" s="388">
        <v>5.7821694099402604E-9</v>
      </c>
      <c r="DG37" s="388">
        <v>5.7821694100612645E-9</v>
      </c>
      <c r="DH37" s="388">
        <v>5.7821694099402521E-9</v>
      </c>
      <c r="DI37" s="388">
        <v>5.7821694099402546E-9</v>
      </c>
      <c r="DJ37" s="388">
        <v>5.7821694099402521E-9</v>
      </c>
      <c r="DK37" s="388">
        <v>5.7821694099402521E-9</v>
      </c>
      <c r="DL37" s="388">
        <v>5.7821694099402521E-9</v>
      </c>
      <c r="DM37" s="388">
        <v>5.7821694107662258E-9</v>
      </c>
      <c r="DN37" s="388">
        <v>5.7821694099402521E-9</v>
      </c>
      <c r="DO37" s="388">
        <v>5.7821694100317796E-9</v>
      </c>
      <c r="DP37" s="388">
        <v>5.7821694105389282E-9</v>
      </c>
      <c r="DQ37" s="388">
        <v>5.7821694099403092E-9</v>
      </c>
      <c r="DR37" s="388">
        <v>5.7821694099402521E-9</v>
      </c>
      <c r="DS37" s="388">
        <v>5.7821694099402521E-9</v>
      </c>
      <c r="DT37" s="388">
        <v>5.7821694099402521E-9</v>
      </c>
      <c r="DU37" s="388">
        <v>5.7821694099402521E-9</v>
      </c>
      <c r="DV37" s="388">
        <v>5.782169409945082E-9</v>
      </c>
      <c r="DW37" s="388">
        <v>5.7821694099402521E-9</v>
      </c>
      <c r="DX37" s="388">
        <v>5.7821694099402521E-9</v>
      </c>
      <c r="DY37" s="388">
        <v>5.7821694100446828E-9</v>
      </c>
      <c r="DZ37" s="388">
        <v>5.7843667948183233E-9</v>
      </c>
      <c r="EA37" s="388">
        <v>5.7843667948183233E-9</v>
      </c>
      <c r="EB37" s="388"/>
      <c r="EC37" s="435"/>
      <c r="ED37" s="388">
        <v>-9.658022051238124E-6</v>
      </c>
      <c r="EE37" s="388">
        <v>-3.3071198017677892E-3</v>
      </c>
      <c r="EF37" s="388">
        <v>-7.0099835268983175E-3</v>
      </c>
      <c r="EG37" s="388">
        <v>-4.0465235017035555E-6</v>
      </c>
      <c r="EH37" s="388">
        <v>-5.5251408743216951E-4</v>
      </c>
      <c r="EI37" s="388">
        <v>-6.2443369512945766E-4</v>
      </c>
      <c r="EJ37" s="388">
        <v>-6.652644475757197E-4</v>
      </c>
      <c r="EK37" s="388">
        <v>6.6147554858787035E-4</v>
      </c>
      <c r="EL37" s="388">
        <v>1.989366323210394E-3</v>
      </c>
      <c r="EM37" s="388">
        <v>-1.9741346954906544E-3</v>
      </c>
      <c r="EN37" s="388">
        <v>2.2778403270865763E-2</v>
      </c>
      <c r="EO37" s="388">
        <v>3.0992102025917831E-2</v>
      </c>
      <c r="EP37" s="388">
        <v>2.8054184670793809E-2</v>
      </c>
      <c r="EQ37" s="388">
        <v>2.4696148685982015E-2</v>
      </c>
      <c r="ER37" s="388">
        <v>2.6695338079077018E-2</v>
      </c>
      <c r="ES37" s="388">
        <v>2.4636540026864391E-2</v>
      </c>
      <c r="ET37" s="388">
        <v>2.0338614761683613E-2</v>
      </c>
      <c r="EU37" s="388">
        <v>3.8796375685504876E-2</v>
      </c>
      <c r="EV37" s="388">
        <v>6.6219372755600345E-2</v>
      </c>
      <c r="EW37" s="388">
        <v>9.0000000000000011E-2</v>
      </c>
      <c r="EX37" s="388">
        <v>6.6009288539888619E-2</v>
      </c>
      <c r="EY37" s="388">
        <v>-3.3703907000608799E-3</v>
      </c>
      <c r="EZ37" s="388">
        <v>-5.0867504631802729E-3</v>
      </c>
      <c r="FA37" s="388">
        <v>1.9648262061308725E-2</v>
      </c>
      <c r="FB37" s="388">
        <v>2.0131047712983484E-2</v>
      </c>
      <c r="FC37" s="388">
        <v>8.4125356597926121E-4</v>
      </c>
      <c r="FD37" s="388">
        <v>2.9645652336635418E-3</v>
      </c>
      <c r="FE37" s="388">
        <v>-9.6717356071997017E-6</v>
      </c>
      <c r="FF37" s="388">
        <v>-2.4147223949415606E-3</v>
      </c>
      <c r="FG37" s="388">
        <v>-5.2574876451737373E-3</v>
      </c>
      <c r="FH37" s="388">
        <v>-4.8305248113788234E-4</v>
      </c>
      <c r="FI37" s="388">
        <v>-8.2434942416991354E-4</v>
      </c>
      <c r="FJ37" s="388">
        <v>-1.6919582945056941E-2</v>
      </c>
      <c r="FK37" s="388">
        <v>1.3692680852512467E-3</v>
      </c>
      <c r="FL37" s="388">
        <v>-9.4628676800487706E-3</v>
      </c>
      <c r="FM37" s="388">
        <v>1.0856698555297998E-4</v>
      </c>
      <c r="FN37" s="388">
        <v>-4.5211623341206715E-4</v>
      </c>
      <c r="FO37" s="388">
        <v>2.4025929693633993E-3</v>
      </c>
      <c r="FP37" s="388">
        <v>-2.439159067387096E-2</v>
      </c>
      <c r="FQ37" s="388">
        <v>-3.1753184457676331E-2</v>
      </c>
      <c r="FR37" s="388">
        <v>-2.8054184670793809E-2</v>
      </c>
      <c r="FS37" s="388">
        <v>-2.6917423307117126E-2</v>
      </c>
      <c r="FT37" s="388">
        <v>-2.7804175122708406E-2</v>
      </c>
      <c r="FU37" s="388">
        <v>-2.570291441130226E-2</v>
      </c>
      <c r="FV37" s="388">
        <v>-2.2721882804479947E-2</v>
      </c>
      <c r="FW37" s="388">
        <v>-3.8211622281572592E-2</v>
      </c>
      <c r="FX37" s="388">
        <v>-6.5241943760842969E-2</v>
      </c>
      <c r="FY37" s="388">
        <v>-8.9021520621013234E-2</v>
      </c>
      <c r="FZ37" s="388">
        <v>-6.4962156620734929E-2</v>
      </c>
      <c r="GA37" s="388">
        <v>-1.5930139659717284E-4</v>
      </c>
      <c r="GB37" s="388"/>
      <c r="GC37" s="388"/>
      <c r="GD37" s="388"/>
      <c r="GE37" s="388"/>
      <c r="GF37" s="388"/>
      <c r="GG37" s="388"/>
      <c r="GH37" s="388"/>
      <c r="GI37" s="388"/>
      <c r="GJ37" s="388"/>
      <c r="GK37" s="388"/>
      <c r="GL37" s="388"/>
      <c r="GM37" s="388"/>
      <c r="GN37" s="388"/>
      <c r="GO37" s="388"/>
      <c r="GP37" s="412"/>
      <c r="GQ37" s="412"/>
      <c r="GR37" s="412"/>
      <c r="GS37" s="412"/>
      <c r="GT37" s="412"/>
      <c r="GU37" s="412"/>
      <c r="GV37" s="412"/>
      <c r="GW37" s="412"/>
      <c r="GX37" s="412"/>
      <c r="GY37" s="412"/>
      <c r="GZ37" s="412"/>
      <c r="HA37" s="412"/>
      <c r="HB37" s="412"/>
      <c r="HC37" s="412"/>
      <c r="HD37" s="412"/>
      <c r="HE37" s="412"/>
      <c r="HF37" s="412"/>
      <c r="HG37" s="412"/>
      <c r="HH37" s="412"/>
      <c r="HI37" s="412"/>
      <c r="HJ37" s="412"/>
      <c r="HK37" s="412"/>
      <c r="HL37" s="412"/>
      <c r="HM37" s="412"/>
      <c r="HN37" s="412"/>
      <c r="HO37" s="412"/>
      <c r="HP37" s="412"/>
      <c r="HQ37" s="412"/>
      <c r="HR37" s="412"/>
      <c r="HS37" s="412"/>
      <c r="HT37" s="412"/>
      <c r="HU37" s="412"/>
      <c r="HV37" s="412"/>
      <c r="HW37" s="412"/>
      <c r="HX37" s="412"/>
      <c r="HY37" s="412"/>
      <c r="HZ37" s="412"/>
      <c r="IA37" s="412"/>
      <c r="IB37" s="412"/>
      <c r="IC37" s="412"/>
      <c r="ID37" s="412"/>
      <c r="IE37" s="412"/>
      <c r="IF37" s="412"/>
      <c r="IG37" s="412"/>
      <c r="IH37" s="412"/>
      <c r="II37" s="412"/>
      <c r="IJ37" s="412"/>
      <c r="IK37" s="412"/>
      <c r="IL37" s="412"/>
      <c r="IM37" s="412"/>
      <c r="IN37" s="412"/>
      <c r="IO37" s="412"/>
      <c r="IP37" s="412"/>
      <c r="IQ37" s="412"/>
      <c r="IR37" s="412"/>
      <c r="IS37" s="412"/>
      <c r="IT37" s="412"/>
      <c r="IU37" s="412"/>
      <c r="IV37" s="412"/>
      <c r="IW37" s="412"/>
      <c r="IX37" s="412"/>
      <c r="IY37" s="412"/>
      <c r="IZ37" s="412"/>
      <c r="JA37" s="412"/>
      <c r="JB37" s="412"/>
      <c r="JC37" s="412"/>
      <c r="JD37" s="412"/>
      <c r="JE37" s="412"/>
      <c r="JF37" s="412"/>
      <c r="JG37" s="412"/>
      <c r="JH37" s="412"/>
      <c r="JI37" s="412"/>
      <c r="JJ37" s="412"/>
      <c r="JK37" s="412"/>
      <c r="JL37" s="412"/>
      <c r="JM37" s="412"/>
      <c r="JN37" s="412"/>
      <c r="JO37" s="412"/>
      <c r="JP37" s="412"/>
      <c r="JQ37" s="412"/>
      <c r="JR37" s="412"/>
      <c r="JS37" s="412"/>
      <c r="JT37" s="412"/>
      <c r="JU37" s="412"/>
      <c r="JV37" s="412"/>
      <c r="JW37" s="412"/>
      <c r="JX37" s="412"/>
      <c r="JY37" s="412"/>
      <c r="JZ37" s="412"/>
      <c r="KA37" s="412"/>
      <c r="KB37" s="412"/>
      <c r="KC37" s="412"/>
      <c r="KD37" s="412"/>
      <c r="KE37" s="412"/>
      <c r="KF37" s="412"/>
      <c r="KG37" s="412"/>
      <c r="KH37" s="412"/>
      <c r="KI37" s="412"/>
      <c r="KJ37" s="412"/>
      <c r="KK37" s="412"/>
      <c r="KL37" s="412"/>
      <c r="KM37" s="412"/>
      <c r="KN37" s="412"/>
      <c r="KO37" s="412"/>
      <c r="KP37" s="412"/>
      <c r="KQ37" s="412"/>
      <c r="KR37" s="412"/>
      <c r="KS37" s="412"/>
      <c r="KT37" s="412"/>
      <c r="KU37" s="412"/>
      <c r="KV37" s="412"/>
      <c r="KW37" s="412"/>
      <c r="KX37" s="412"/>
      <c r="KY37" s="412"/>
      <c r="KZ37" s="412"/>
      <c r="LA37" s="412"/>
      <c r="LB37" s="412"/>
      <c r="LC37" s="412"/>
      <c r="LD37" s="412"/>
      <c r="LE37" s="412"/>
      <c r="LF37" s="412"/>
      <c r="LG37" s="412"/>
      <c r="LH37" s="412"/>
      <c r="LI37" s="412"/>
      <c r="LJ37" s="412"/>
      <c r="LK37" s="412"/>
      <c r="LL37" s="412"/>
      <c r="LM37" s="412"/>
      <c r="LN37" s="412"/>
      <c r="LO37" s="412"/>
      <c r="LP37" s="412"/>
      <c r="LQ37" s="412"/>
      <c r="LR37" s="412"/>
      <c r="LS37" s="412"/>
      <c r="LT37" s="412"/>
      <c r="LU37" s="412"/>
      <c r="LV37" s="412"/>
      <c r="LW37" s="412"/>
      <c r="LX37" s="412"/>
      <c r="LY37" s="412"/>
      <c r="LZ37" s="412"/>
      <c r="MA37" s="412"/>
      <c r="MB37" s="412"/>
      <c r="MC37" s="412"/>
      <c r="MD37" s="412"/>
      <c r="ME37" s="412"/>
      <c r="MF37" s="412"/>
      <c r="MG37" s="412"/>
      <c r="MH37" s="412"/>
      <c r="MI37" s="412"/>
      <c r="MJ37" s="412"/>
      <c r="MK37" s="412"/>
      <c r="ML37" s="412"/>
      <c r="MM37" s="412"/>
      <c r="MN37" s="412"/>
      <c r="MO37" s="412"/>
      <c r="MP37" s="412"/>
      <c r="MQ37" s="412"/>
      <c r="MR37" s="412"/>
      <c r="MS37" s="412"/>
      <c r="MT37" s="412"/>
      <c r="MU37" s="412"/>
      <c r="MV37" s="412"/>
      <c r="MW37" s="412"/>
      <c r="MX37" s="412"/>
      <c r="MY37" s="412"/>
      <c r="MZ37" s="412"/>
      <c r="NA37" s="412"/>
      <c r="NB37" s="412"/>
      <c r="NC37" s="412"/>
      <c r="ND37" s="412"/>
      <c r="NE37" s="412"/>
      <c r="NF37" s="412"/>
      <c r="NG37" s="412"/>
      <c r="NH37" s="412"/>
      <c r="NI37" s="412"/>
      <c r="NJ37" s="412"/>
      <c r="NK37" s="412"/>
      <c r="NL37" s="412"/>
      <c r="NM37" s="412"/>
      <c r="NN37" s="412"/>
      <c r="NO37" s="412"/>
      <c r="NP37" s="412"/>
      <c r="NQ37" s="412"/>
      <c r="NR37" s="412"/>
      <c r="NS37" s="412"/>
      <c r="NT37" s="412"/>
      <c r="NU37" s="412"/>
      <c r="NV37" s="412"/>
      <c r="NW37" s="412"/>
      <c r="NX37" s="412"/>
      <c r="NY37" s="412"/>
      <c r="NZ37" s="412"/>
      <c r="OA37" s="412"/>
      <c r="OB37" s="412"/>
      <c r="OC37" s="412"/>
      <c r="OD37" s="412"/>
      <c r="OE37" s="412"/>
      <c r="OF37" s="412"/>
      <c r="OG37" s="412"/>
      <c r="OH37" s="412"/>
      <c r="OI37" s="412"/>
      <c r="OJ37" s="412"/>
      <c r="OK37" s="412"/>
      <c r="OL37" s="412"/>
      <c r="OM37" s="412"/>
      <c r="ON37" s="412"/>
      <c r="OO37" s="412"/>
      <c r="OP37" s="412"/>
      <c r="OQ37" s="412"/>
      <c r="OR37" s="412"/>
      <c r="OS37" s="412"/>
      <c r="OT37" s="412"/>
      <c r="OU37" s="412"/>
      <c r="OV37" s="412"/>
      <c r="OW37" s="412"/>
      <c r="OX37" s="412"/>
      <c r="OY37" s="412"/>
      <c r="OZ37" s="412"/>
      <c r="PA37" s="412"/>
      <c r="PB37" s="412"/>
      <c r="PC37" s="412"/>
      <c r="PD37" s="412"/>
      <c r="PE37" s="412"/>
      <c r="PF37" s="412"/>
      <c r="PG37" s="412"/>
      <c r="PH37" s="412"/>
      <c r="PI37" s="412"/>
      <c r="PJ37" s="412"/>
      <c r="PK37" s="412"/>
      <c r="PL37" s="412"/>
      <c r="PM37" s="412"/>
      <c r="PN37" s="412"/>
      <c r="PO37" s="412"/>
      <c r="PP37" s="412"/>
      <c r="PQ37" s="412"/>
      <c r="PR37" s="412"/>
      <c r="PS37" s="412"/>
      <c r="PT37" s="412"/>
      <c r="PU37" s="412"/>
      <c r="PV37" s="412"/>
      <c r="PW37" s="412"/>
      <c r="PX37" s="412"/>
      <c r="PY37" s="412"/>
      <c r="PZ37" s="412"/>
      <c r="QA37" s="412"/>
      <c r="QB37" s="412"/>
      <c r="QC37" s="412"/>
      <c r="QD37" s="412"/>
      <c r="QE37" s="412"/>
      <c r="QF37" s="412"/>
      <c r="QG37" s="412"/>
      <c r="QH37" s="412"/>
      <c r="QI37" s="412"/>
      <c r="QJ37" s="412"/>
      <c r="QK37" s="412"/>
      <c r="QL37" s="412"/>
      <c r="QM37" s="412"/>
      <c r="QN37" s="412"/>
      <c r="QO37" s="412"/>
      <c r="QP37" s="412"/>
      <c r="QQ37" s="412"/>
      <c r="QR37" s="412"/>
      <c r="QS37" s="412"/>
      <c r="QT37" s="412"/>
      <c r="QU37" s="412"/>
      <c r="QV37" s="412"/>
      <c r="QW37" s="412"/>
      <c r="QX37" s="412"/>
      <c r="QY37" s="412"/>
      <c r="QZ37" s="412"/>
      <c r="RA37" s="412"/>
      <c r="RB37" s="412"/>
      <c r="RC37" s="412"/>
      <c r="RD37" s="412"/>
      <c r="RE37" s="412"/>
      <c r="RF37" s="412"/>
      <c r="RG37" s="412"/>
      <c r="RH37" s="412"/>
      <c r="RI37" s="412"/>
      <c r="RJ37" s="412"/>
      <c r="RK37" s="412"/>
      <c r="RL37" s="412"/>
      <c r="RM37" s="412"/>
      <c r="RN37" s="412"/>
      <c r="RO37" s="412"/>
      <c r="RP37" s="412"/>
      <c r="RQ37" s="412"/>
      <c r="RR37" s="412"/>
      <c r="RS37" s="412"/>
      <c r="RT37" s="412"/>
      <c r="RU37" s="412"/>
      <c r="RV37" s="412"/>
      <c r="RW37" s="412"/>
      <c r="RX37" s="412"/>
      <c r="RY37" s="412"/>
      <c r="RZ37" s="412"/>
      <c r="SA37" s="412"/>
      <c r="SB37" s="412"/>
      <c r="SC37" s="412"/>
      <c r="SD37" s="412"/>
      <c r="SE37" s="412"/>
      <c r="SF37" s="412"/>
      <c r="SG37" s="412"/>
    </row>
    <row r="38" spans="1:501" x14ac:dyDescent="0.2">
      <c r="A38" s="394" t="s">
        <v>19</v>
      </c>
      <c r="B38" s="395"/>
      <c r="C38" s="396">
        <v>0.11</v>
      </c>
      <c r="D38" s="396">
        <v>0.28000000000000003</v>
      </c>
      <c r="E38" s="396">
        <v>0</v>
      </c>
      <c r="F38" s="396">
        <v>1</v>
      </c>
      <c r="G38" s="388"/>
      <c r="H38" s="435"/>
      <c r="I38" s="410">
        <v>0</v>
      </c>
      <c r="J38" s="410">
        <v>0</v>
      </c>
      <c r="K38" s="410">
        <v>0</v>
      </c>
      <c r="L38" s="410">
        <v>0</v>
      </c>
      <c r="M38" s="410">
        <v>0</v>
      </c>
      <c r="N38" s="410">
        <v>1</v>
      </c>
      <c r="O38" s="435"/>
      <c r="P38" s="393">
        <v>0</v>
      </c>
      <c r="Q38" s="393">
        <v>0</v>
      </c>
      <c r="R38" s="393">
        <v>0</v>
      </c>
      <c r="S38" s="393">
        <v>0</v>
      </c>
      <c r="T38" s="393">
        <v>0</v>
      </c>
      <c r="U38" s="435"/>
      <c r="V38" s="393">
        <v>1</v>
      </c>
      <c r="W38" s="393">
        <v>1</v>
      </c>
      <c r="X38" s="393">
        <v>1</v>
      </c>
      <c r="Y38" s="393">
        <v>1</v>
      </c>
      <c r="Z38" s="393">
        <v>1</v>
      </c>
      <c r="AA38" s="393"/>
      <c r="AB38" s="435"/>
      <c r="AC38" s="393">
        <v>4.0000000000000002E-4</v>
      </c>
      <c r="AD38" s="411"/>
      <c r="AE38" s="435"/>
      <c r="AF38" s="388">
        <v>1.132328939880095E-22</v>
      </c>
      <c r="AG38" s="388">
        <v>0</v>
      </c>
      <c r="AH38" s="388">
        <v>1.0228287745260784E-10</v>
      </c>
      <c r="AI38" s="388">
        <v>6.7469527359393647E-10</v>
      </c>
      <c r="AJ38" s="388">
        <v>7.5470104968351952E-24</v>
      </c>
      <c r="AK38" s="388">
        <v>6.7469527359627171E-10</v>
      </c>
      <c r="AL38" s="388">
        <v>5.5667464830624372E-23</v>
      </c>
      <c r="AM38" s="388">
        <v>0</v>
      </c>
      <c r="AN38" s="388">
        <v>6.74695273592936E-10</v>
      </c>
      <c r="AO38" s="388">
        <v>8.4814443778925754E-23</v>
      </c>
      <c r="AP38" s="388">
        <v>6.7469527363017536E-10</v>
      </c>
      <c r="AQ38" s="388">
        <v>5.6654388178590232E-23</v>
      </c>
      <c r="AR38" s="388">
        <v>5.3313249957292237E-23</v>
      </c>
      <c r="AS38" s="388">
        <v>4.3112783547704502E-22</v>
      </c>
      <c r="AT38" s="388">
        <v>1.3753475299724252E-21</v>
      </c>
      <c r="AU38" s="388">
        <v>5.5164591895258159E-20</v>
      </c>
      <c r="AV38" s="388">
        <v>5.9949299559297382E-22</v>
      </c>
      <c r="AW38" s="388">
        <v>0</v>
      </c>
      <c r="AX38" s="388">
        <v>6.703663486209396E-23</v>
      </c>
      <c r="AY38" s="388">
        <v>1.4618586421526311E-22</v>
      </c>
      <c r="AZ38" s="388">
        <v>1.3709038715719906E-20</v>
      </c>
      <c r="BA38" s="388">
        <v>0</v>
      </c>
      <c r="BB38" s="388">
        <v>1.0202370817366593E-5</v>
      </c>
      <c r="BC38" s="388">
        <v>8.6178886798706856E-4</v>
      </c>
      <c r="BD38" s="388">
        <v>1.2267329483439276E-3</v>
      </c>
      <c r="BE38" s="388">
        <v>1.4783814205883772E-3</v>
      </c>
      <c r="BF38" s="388">
        <v>1.5498085205129665E-3</v>
      </c>
      <c r="BG38" s="388">
        <v>1.1469938828065534E-3</v>
      </c>
      <c r="BH38" s="388">
        <v>2.178687794712449E-3</v>
      </c>
      <c r="BI38" s="388">
        <v>2.1158426043016991E-3</v>
      </c>
      <c r="BJ38" s="388">
        <v>2.9798543025677227E-3</v>
      </c>
      <c r="BK38" s="388">
        <v>2.0831145551354702E-3</v>
      </c>
      <c r="BL38" s="388">
        <v>3.3103395019528853E-3</v>
      </c>
      <c r="BM38" s="388">
        <v>3.8484319425138701E-3</v>
      </c>
      <c r="BN38" s="388">
        <v>4.0257668431051092E-3</v>
      </c>
      <c r="BO38" s="388">
        <v>3.9515222593628462E-3</v>
      </c>
      <c r="BP38" s="388">
        <v>4.1518649229922979E-3</v>
      </c>
      <c r="BQ38" s="388">
        <v>4.4906836306552698E-3</v>
      </c>
      <c r="BR38" s="388">
        <v>5.2225020134696711E-3</v>
      </c>
      <c r="BS38" s="388">
        <v>3.6013854517591799E-3</v>
      </c>
      <c r="BT38" s="388">
        <v>3.1565677565237459E-3</v>
      </c>
      <c r="BU38" s="388">
        <v>1.359206637740138E-3</v>
      </c>
      <c r="BV38" s="388">
        <v>3.8305053888513737E-22</v>
      </c>
      <c r="BW38" s="388">
        <v>0</v>
      </c>
      <c r="BX38" s="388">
        <v>0</v>
      </c>
      <c r="BY38" s="388">
        <v>4.6534463336492406E-21</v>
      </c>
      <c r="BZ38" s="388">
        <v>2.7877359157567706E-20</v>
      </c>
      <c r="CA38" s="388">
        <v>1.504632769052528E-36</v>
      </c>
      <c r="CB38" s="388">
        <v>6.2334762032049235E-22</v>
      </c>
      <c r="CC38" s="388">
        <v>3.2445615611441683E-23</v>
      </c>
      <c r="CD38" s="388">
        <v>3.6966425424129363E-20</v>
      </c>
      <c r="CE38" s="388">
        <v>3.4294802039752323E-22</v>
      </c>
      <c r="CF38" s="388">
        <v>2.8285624251079052E-21</v>
      </c>
      <c r="CG38" s="388">
        <v>2.802016175503161E-17</v>
      </c>
      <c r="CH38" s="388">
        <v>7.0820535713986204E-24</v>
      </c>
      <c r="CI38" s="388">
        <v>8.0935241755138307E-18</v>
      </c>
      <c r="CJ38" s="388">
        <v>8.8082895687497134E-22</v>
      </c>
      <c r="CK38" s="388">
        <v>1.0300245947336244E-19</v>
      </c>
      <c r="CL38" s="388">
        <v>3.4953186698647435E-21</v>
      </c>
      <c r="CM38" s="388">
        <v>4.8043979098860909E-22</v>
      </c>
      <c r="CN38" s="388">
        <v>3.8923197163132217E-21</v>
      </c>
      <c r="CO38" s="388">
        <v>2.467590028331164E-22</v>
      </c>
      <c r="CP38" s="388">
        <v>3.8945219527197071E-22</v>
      </c>
      <c r="CQ38" s="388">
        <v>1.4942566457921685E-19</v>
      </c>
      <c r="CR38" s="388">
        <v>6.9582412081341563E-22</v>
      </c>
      <c r="CS38" s="388">
        <v>2.167986341627022E-20</v>
      </c>
      <c r="CT38" s="388">
        <v>2.12744553556336E-21</v>
      </c>
      <c r="CU38" s="388">
        <v>7.249025163008872E-21</v>
      </c>
      <c r="CV38" s="388">
        <v>6.5168334723815563E-22</v>
      </c>
      <c r="CW38" s="388">
        <v>0</v>
      </c>
      <c r="CX38" s="388">
        <v>3.0071365335477715E-22</v>
      </c>
      <c r="CY38" s="388">
        <v>2.5307741964625001E-21</v>
      </c>
      <c r="CZ38" s="388">
        <v>5.4163893269390195E-20</v>
      </c>
      <c r="DA38" s="388">
        <v>3.4465862285335301E-22</v>
      </c>
      <c r="DB38" s="388">
        <v>4.2716065023307968E-17</v>
      </c>
      <c r="DC38" s="388">
        <v>2.0274714910293848E-19</v>
      </c>
      <c r="DD38" s="388">
        <v>5.5127465788757819E-17</v>
      </c>
      <c r="DE38" s="388">
        <v>6.0127730547703067E-21</v>
      </c>
      <c r="DF38" s="388">
        <v>2.5654075312679971E-22</v>
      </c>
      <c r="DG38" s="388">
        <v>1.3462613524732765E-18</v>
      </c>
      <c r="DH38" s="388">
        <v>1.5246179127436095E-17</v>
      </c>
      <c r="DI38" s="388">
        <v>2.4512315201219227E-21</v>
      </c>
      <c r="DJ38" s="388">
        <v>3.3547277151902329E-18</v>
      </c>
      <c r="DK38" s="388">
        <v>2.7143358663847147E-21</v>
      </c>
      <c r="DL38" s="388">
        <v>2.0736536829815687E-17</v>
      </c>
      <c r="DM38" s="388">
        <v>0</v>
      </c>
      <c r="DN38" s="388">
        <v>0</v>
      </c>
      <c r="DO38" s="388">
        <v>9.7247875267401487E-20</v>
      </c>
      <c r="DP38" s="388">
        <v>1.3170870072175662E-18</v>
      </c>
      <c r="DQ38" s="388">
        <v>3.2917447280737139E-20</v>
      </c>
      <c r="DR38" s="388">
        <v>0</v>
      </c>
      <c r="DS38" s="388">
        <v>7.6983806657545403E-21</v>
      </c>
      <c r="DT38" s="388">
        <v>1.3476414274211013E-16</v>
      </c>
      <c r="DU38" s="388">
        <v>4.6898175266493549E-17</v>
      </c>
      <c r="DV38" s="388">
        <v>0</v>
      </c>
      <c r="DW38" s="388">
        <v>0</v>
      </c>
      <c r="DX38" s="388">
        <v>1.7777623759756926E-28</v>
      </c>
      <c r="DY38" s="388">
        <v>1.3924062880489549E-19</v>
      </c>
      <c r="DZ38" s="388">
        <v>1.95389926950127E-5</v>
      </c>
      <c r="EA38" s="388">
        <v>1.95389926950127E-5</v>
      </c>
      <c r="EB38" s="388"/>
      <c r="EC38" s="435"/>
      <c r="ED38" s="388">
        <v>-5.8554507601896246E-6</v>
      </c>
      <c r="EE38" s="388">
        <v>-3.157037416638316E-3</v>
      </c>
      <c r="EF38" s="388">
        <v>-6.0459488648502615E-3</v>
      </c>
      <c r="EG38" s="388">
        <v>5.7478801660550399E-4</v>
      </c>
      <c r="EH38" s="388">
        <v>9.0552914951568431E-4</v>
      </c>
      <c r="EI38" s="388">
        <v>-2.3065004008302747E-4</v>
      </c>
      <c r="EJ38" s="388">
        <v>4.5525722775959139E-4</v>
      </c>
      <c r="EK38" s="388">
        <v>1.3506698354165227E-3</v>
      </c>
      <c r="EL38" s="388">
        <v>3.8124222229782741E-3</v>
      </c>
      <c r="EM38" s="388">
        <v>-3.5658979132556024E-4</v>
      </c>
      <c r="EN38" s="388">
        <v>2.0882420113695139E-2</v>
      </c>
      <c r="EO38" s="388">
        <v>3.0167336469693676E-2</v>
      </c>
      <c r="EP38" s="388">
        <v>2.8281112492558054E-2</v>
      </c>
      <c r="EQ38" s="388">
        <v>2.5648324724904418E-2</v>
      </c>
      <c r="ER38" s="388">
        <v>2.9636786414841382E-2</v>
      </c>
      <c r="ES38" s="388">
        <v>2.7687783095805385E-2</v>
      </c>
      <c r="ET38" s="388">
        <v>1.796165369331313E-2</v>
      </c>
      <c r="EU38" s="388">
        <v>3.6764364263727332E-2</v>
      </c>
      <c r="EV38" s="388">
        <v>5.3030397446729181E-2</v>
      </c>
      <c r="EW38" s="388">
        <v>6.6009288539888619E-2</v>
      </c>
      <c r="EX38" s="388">
        <v>7.8400000000000011E-2</v>
      </c>
      <c r="EY38" s="388">
        <v>-2.5669635705868657E-3</v>
      </c>
      <c r="EZ38" s="388">
        <v>-3.7283070922325572E-3</v>
      </c>
      <c r="FA38" s="388">
        <v>1.7640006332699597E-2</v>
      </c>
      <c r="FB38" s="388">
        <v>1.7649825912346824E-2</v>
      </c>
      <c r="FC38" s="388">
        <v>-1.8573890439782987E-3</v>
      </c>
      <c r="FD38" s="388">
        <v>2.9861027037654049E-3</v>
      </c>
      <c r="FE38" s="388">
        <v>-5.8683172854032539E-6</v>
      </c>
      <c r="FF38" s="388">
        <v>-2.3051384311962306E-3</v>
      </c>
      <c r="FG38" s="388">
        <v>-4.5344616486376957E-3</v>
      </c>
      <c r="FH38" s="388">
        <v>-1.7842738949819102E-4</v>
      </c>
      <c r="FI38" s="388">
        <v>5.6412308657166762E-4</v>
      </c>
      <c r="FJ38" s="388">
        <v>-1.2139372356856012E-2</v>
      </c>
      <c r="FK38" s="388">
        <v>4.017891451231867E-3</v>
      </c>
      <c r="FL38" s="388">
        <v>-4.2053342148846539E-4</v>
      </c>
      <c r="FM38" s="388">
        <v>-5.5067018283375807E-4</v>
      </c>
      <c r="FN38" s="388">
        <v>-1.2034533076022539E-3</v>
      </c>
      <c r="FO38" s="388">
        <v>1.4541931712617835E-3</v>
      </c>
      <c r="FP38" s="388">
        <v>-2.3701911748533009E-2</v>
      </c>
      <c r="FQ38" s="388">
        <v>-3.2018109012998675E-2</v>
      </c>
      <c r="FR38" s="388">
        <v>-2.8281112492558054E-2</v>
      </c>
      <c r="FS38" s="388">
        <v>-2.8569432523137941E-2</v>
      </c>
      <c r="FT38" s="388">
        <v>-3.1360254703103461E-2</v>
      </c>
      <c r="FU38" s="388">
        <v>-2.9183312171341722E-2</v>
      </c>
      <c r="FV38" s="388">
        <v>-2.1368252802446114E-2</v>
      </c>
      <c r="FW38" s="388">
        <v>-3.6945713369767937E-2</v>
      </c>
      <c r="FX38" s="388">
        <v>-5.329633331245253E-2</v>
      </c>
      <c r="FY38" s="388">
        <v>-6.6530971449748302E-2</v>
      </c>
      <c r="FZ38" s="388">
        <v>-7.7285769210915373E-2</v>
      </c>
      <c r="GA38" s="388">
        <v>-1.8400352341149467E-4</v>
      </c>
      <c r="GB38" s="388"/>
      <c r="GC38" s="388"/>
      <c r="GD38" s="388"/>
      <c r="GE38" s="388"/>
      <c r="GF38" s="388"/>
      <c r="GG38" s="388"/>
      <c r="GH38" s="388"/>
      <c r="GI38" s="388"/>
      <c r="GJ38" s="388"/>
      <c r="GK38" s="388"/>
      <c r="GL38" s="388"/>
      <c r="GM38" s="388"/>
      <c r="GN38" s="388"/>
      <c r="GO38" s="388"/>
      <c r="GP38" s="412"/>
      <c r="GQ38" s="412"/>
      <c r="GR38" s="412"/>
      <c r="GS38" s="412"/>
      <c r="GT38" s="412"/>
      <c r="GU38" s="412"/>
      <c r="GV38" s="412"/>
      <c r="GW38" s="412"/>
      <c r="GX38" s="412"/>
      <c r="GY38" s="412"/>
      <c r="GZ38" s="412"/>
      <c r="HA38" s="412"/>
      <c r="HB38" s="412"/>
      <c r="HC38" s="412"/>
      <c r="HD38" s="412"/>
      <c r="HE38" s="412"/>
      <c r="HF38" s="412"/>
      <c r="HG38" s="412"/>
      <c r="HH38" s="412"/>
      <c r="HI38" s="412"/>
      <c r="HJ38" s="412"/>
      <c r="HK38" s="412"/>
      <c r="HL38" s="412"/>
      <c r="HM38" s="412"/>
      <c r="HN38" s="412"/>
      <c r="HO38" s="412"/>
      <c r="HP38" s="412"/>
      <c r="HQ38" s="412"/>
      <c r="HR38" s="412"/>
      <c r="HS38" s="412"/>
      <c r="HT38" s="412"/>
      <c r="HU38" s="412"/>
      <c r="HV38" s="412"/>
      <c r="HW38" s="412"/>
      <c r="HX38" s="412"/>
      <c r="HY38" s="412"/>
      <c r="HZ38" s="412"/>
      <c r="IA38" s="412"/>
      <c r="IB38" s="412"/>
      <c r="IC38" s="412"/>
      <c r="ID38" s="412"/>
      <c r="IE38" s="412"/>
      <c r="IF38" s="412"/>
      <c r="IG38" s="412"/>
      <c r="IH38" s="412"/>
      <c r="II38" s="412"/>
      <c r="IJ38" s="412"/>
      <c r="IK38" s="412"/>
      <c r="IL38" s="412"/>
      <c r="IM38" s="412"/>
      <c r="IN38" s="412"/>
      <c r="IO38" s="412"/>
      <c r="IP38" s="412"/>
      <c r="IQ38" s="412"/>
      <c r="IR38" s="412"/>
      <c r="IS38" s="412"/>
      <c r="IT38" s="412"/>
      <c r="IU38" s="412"/>
      <c r="IV38" s="412"/>
      <c r="IW38" s="412"/>
      <c r="IX38" s="412"/>
      <c r="IY38" s="412"/>
      <c r="IZ38" s="412"/>
      <c r="JA38" s="412"/>
      <c r="JB38" s="412"/>
      <c r="JC38" s="412"/>
      <c r="JD38" s="412"/>
      <c r="JE38" s="412"/>
      <c r="JF38" s="412"/>
      <c r="JG38" s="412"/>
      <c r="JH38" s="412"/>
      <c r="JI38" s="412"/>
      <c r="JJ38" s="412"/>
      <c r="JK38" s="412"/>
      <c r="JL38" s="412"/>
      <c r="JM38" s="412"/>
      <c r="JN38" s="412"/>
      <c r="JO38" s="412"/>
      <c r="JP38" s="412"/>
      <c r="JQ38" s="412"/>
      <c r="JR38" s="412"/>
      <c r="JS38" s="412"/>
      <c r="JT38" s="412"/>
      <c r="JU38" s="412"/>
      <c r="JV38" s="412"/>
      <c r="JW38" s="412"/>
      <c r="JX38" s="412"/>
      <c r="JY38" s="412"/>
      <c r="JZ38" s="412"/>
      <c r="KA38" s="412"/>
      <c r="KB38" s="412"/>
      <c r="KC38" s="412"/>
      <c r="KD38" s="412"/>
      <c r="KE38" s="412"/>
      <c r="KF38" s="412"/>
      <c r="KG38" s="412"/>
      <c r="KH38" s="412"/>
      <c r="KI38" s="412"/>
      <c r="KJ38" s="412"/>
      <c r="KK38" s="412"/>
      <c r="KL38" s="412"/>
      <c r="KM38" s="412"/>
      <c r="KN38" s="412"/>
      <c r="KO38" s="412"/>
      <c r="KP38" s="412"/>
      <c r="KQ38" s="412"/>
      <c r="KR38" s="412"/>
      <c r="KS38" s="412"/>
      <c r="KT38" s="412"/>
      <c r="KU38" s="412"/>
      <c r="KV38" s="412"/>
      <c r="KW38" s="412"/>
      <c r="KX38" s="412"/>
      <c r="KY38" s="412"/>
      <c r="KZ38" s="412"/>
      <c r="LA38" s="412"/>
      <c r="LB38" s="412"/>
      <c r="LC38" s="412"/>
      <c r="LD38" s="412"/>
      <c r="LE38" s="412"/>
      <c r="LF38" s="412"/>
      <c r="LG38" s="412"/>
      <c r="LH38" s="412"/>
      <c r="LI38" s="412"/>
      <c r="LJ38" s="412"/>
      <c r="LK38" s="412"/>
      <c r="LL38" s="412"/>
      <c r="LM38" s="412"/>
      <c r="LN38" s="412"/>
      <c r="LO38" s="412"/>
      <c r="LP38" s="412"/>
      <c r="LQ38" s="412"/>
      <c r="LR38" s="412"/>
      <c r="LS38" s="412"/>
      <c r="LT38" s="412"/>
      <c r="LU38" s="412"/>
      <c r="LV38" s="412"/>
      <c r="LW38" s="412"/>
      <c r="LX38" s="412"/>
      <c r="LY38" s="412"/>
      <c r="LZ38" s="412"/>
      <c r="MA38" s="412"/>
      <c r="MB38" s="412"/>
      <c r="MC38" s="412"/>
      <c r="MD38" s="412"/>
      <c r="ME38" s="412"/>
      <c r="MF38" s="412"/>
      <c r="MG38" s="412"/>
      <c r="MH38" s="412"/>
      <c r="MI38" s="412"/>
      <c r="MJ38" s="412"/>
      <c r="MK38" s="412"/>
      <c r="ML38" s="412"/>
      <c r="MM38" s="412"/>
      <c r="MN38" s="412"/>
      <c r="MO38" s="412"/>
      <c r="MP38" s="412"/>
      <c r="MQ38" s="412"/>
      <c r="MR38" s="412"/>
      <c r="MS38" s="412"/>
      <c r="MT38" s="412"/>
      <c r="MU38" s="412"/>
      <c r="MV38" s="412"/>
      <c r="MW38" s="412"/>
      <c r="MX38" s="412"/>
      <c r="MY38" s="412"/>
      <c r="MZ38" s="412"/>
      <c r="NA38" s="412"/>
      <c r="NB38" s="412"/>
      <c r="NC38" s="412"/>
      <c r="ND38" s="412"/>
      <c r="NE38" s="412"/>
      <c r="NF38" s="412"/>
      <c r="NG38" s="412"/>
      <c r="NH38" s="412"/>
      <c r="NI38" s="412"/>
      <c r="NJ38" s="412"/>
      <c r="NK38" s="412"/>
      <c r="NL38" s="412"/>
      <c r="NM38" s="412"/>
      <c r="NN38" s="412"/>
      <c r="NO38" s="412"/>
      <c r="NP38" s="412"/>
      <c r="NQ38" s="412"/>
      <c r="NR38" s="412"/>
      <c r="NS38" s="412"/>
      <c r="NT38" s="412"/>
      <c r="NU38" s="412"/>
      <c r="NV38" s="412"/>
      <c r="NW38" s="412"/>
      <c r="NX38" s="412"/>
      <c r="NY38" s="412"/>
      <c r="NZ38" s="412"/>
      <c r="OA38" s="412"/>
      <c r="OB38" s="412"/>
      <c r="OC38" s="412"/>
      <c r="OD38" s="412"/>
      <c r="OE38" s="412"/>
      <c r="OF38" s="412"/>
      <c r="OG38" s="412"/>
      <c r="OH38" s="412"/>
      <c r="OI38" s="412"/>
      <c r="OJ38" s="412"/>
      <c r="OK38" s="412"/>
      <c r="OL38" s="412"/>
      <c r="OM38" s="412"/>
      <c r="ON38" s="412"/>
      <c r="OO38" s="412"/>
      <c r="OP38" s="412"/>
      <c r="OQ38" s="412"/>
      <c r="OR38" s="412"/>
      <c r="OS38" s="412"/>
      <c r="OT38" s="412"/>
      <c r="OU38" s="412"/>
      <c r="OV38" s="412"/>
      <c r="OW38" s="412"/>
      <c r="OX38" s="412"/>
      <c r="OY38" s="412"/>
      <c r="OZ38" s="412"/>
      <c r="PA38" s="412"/>
      <c r="PB38" s="412"/>
      <c r="PC38" s="412"/>
      <c r="PD38" s="412"/>
      <c r="PE38" s="412"/>
      <c r="PF38" s="412"/>
      <c r="PG38" s="412"/>
      <c r="PH38" s="412"/>
      <c r="PI38" s="412"/>
      <c r="PJ38" s="412"/>
      <c r="PK38" s="412"/>
      <c r="PL38" s="412"/>
      <c r="PM38" s="412"/>
      <c r="PN38" s="412"/>
      <c r="PO38" s="412"/>
      <c r="PP38" s="412"/>
      <c r="PQ38" s="412"/>
      <c r="PR38" s="412"/>
      <c r="PS38" s="412"/>
      <c r="PT38" s="412"/>
      <c r="PU38" s="412"/>
      <c r="PV38" s="412"/>
      <c r="PW38" s="412"/>
      <c r="PX38" s="412"/>
      <c r="PY38" s="412"/>
      <c r="PZ38" s="412"/>
      <c r="QA38" s="412"/>
      <c r="QB38" s="412"/>
      <c r="QC38" s="412"/>
      <c r="QD38" s="412"/>
      <c r="QE38" s="412"/>
      <c r="QF38" s="412"/>
      <c r="QG38" s="412"/>
      <c r="QH38" s="412"/>
      <c r="QI38" s="412"/>
      <c r="QJ38" s="412"/>
      <c r="QK38" s="412"/>
      <c r="QL38" s="412"/>
      <c r="QM38" s="412"/>
      <c r="QN38" s="412"/>
      <c r="QO38" s="412"/>
      <c r="QP38" s="412"/>
      <c r="QQ38" s="412"/>
      <c r="QR38" s="412"/>
      <c r="QS38" s="412"/>
      <c r="QT38" s="412"/>
      <c r="QU38" s="412"/>
      <c r="QV38" s="412"/>
      <c r="QW38" s="412"/>
      <c r="QX38" s="412"/>
      <c r="QY38" s="412"/>
      <c r="QZ38" s="412"/>
      <c r="RA38" s="412"/>
      <c r="RB38" s="412"/>
      <c r="RC38" s="412"/>
      <c r="RD38" s="412"/>
      <c r="RE38" s="412"/>
      <c r="RF38" s="412"/>
      <c r="RG38" s="412"/>
      <c r="RH38" s="412"/>
      <c r="RI38" s="412"/>
      <c r="RJ38" s="412"/>
      <c r="RK38" s="412"/>
      <c r="RL38" s="412"/>
      <c r="RM38" s="412"/>
      <c r="RN38" s="412"/>
      <c r="RO38" s="412"/>
      <c r="RP38" s="412"/>
      <c r="RQ38" s="412"/>
      <c r="RR38" s="412"/>
      <c r="RS38" s="412"/>
      <c r="RT38" s="412"/>
      <c r="RU38" s="412"/>
      <c r="RV38" s="412"/>
      <c r="RW38" s="412"/>
      <c r="RX38" s="412"/>
      <c r="RY38" s="412"/>
      <c r="RZ38" s="412"/>
      <c r="SA38" s="412"/>
      <c r="SB38" s="412"/>
      <c r="SC38" s="412"/>
      <c r="SD38" s="412"/>
      <c r="SE38" s="412"/>
      <c r="SF38" s="412"/>
      <c r="SG38" s="412"/>
    </row>
    <row r="39" spans="1:501" x14ac:dyDescent="0.2">
      <c r="A39" s="391" t="s">
        <v>20</v>
      </c>
      <c r="B39" s="110"/>
      <c r="C39" s="392">
        <v>0.08</v>
      </c>
      <c r="D39" s="392">
        <v>0.09</v>
      </c>
      <c r="E39" s="392">
        <v>0</v>
      </c>
      <c r="F39" s="392">
        <v>1</v>
      </c>
      <c r="G39" s="392"/>
      <c r="H39" s="435"/>
      <c r="I39" s="410">
        <v>0</v>
      </c>
      <c r="J39" s="410">
        <v>0</v>
      </c>
      <c r="K39" s="410">
        <v>0</v>
      </c>
      <c r="L39" s="410">
        <v>0</v>
      </c>
      <c r="M39" s="410">
        <v>1</v>
      </c>
      <c r="N39" s="410">
        <v>0</v>
      </c>
      <c r="O39" s="435"/>
      <c r="P39" s="393">
        <v>0</v>
      </c>
      <c r="Q39" s="393">
        <v>0</v>
      </c>
      <c r="R39" s="393">
        <v>0</v>
      </c>
      <c r="S39" s="393">
        <v>0</v>
      </c>
      <c r="T39" s="393">
        <v>0</v>
      </c>
      <c r="U39" s="435"/>
      <c r="V39" s="393">
        <v>0</v>
      </c>
      <c r="W39" s="393">
        <v>0</v>
      </c>
      <c r="X39" s="393">
        <v>0</v>
      </c>
      <c r="Y39" s="393">
        <v>0</v>
      </c>
      <c r="Z39" s="393">
        <v>0</v>
      </c>
      <c r="AA39" s="393"/>
      <c r="AB39" s="435"/>
      <c r="AC39" s="393">
        <v>9.4200000000000006E-2</v>
      </c>
      <c r="AD39" s="411"/>
      <c r="AE39" s="435"/>
      <c r="AF39" s="388">
        <v>0.11621152898984703</v>
      </c>
      <c r="AG39" s="388">
        <v>0.1157306769496719</v>
      </c>
      <c r="AH39" s="388">
        <v>0.11556092457250711</v>
      </c>
      <c r="AI39" s="388">
        <v>0.11382345775698804</v>
      </c>
      <c r="AJ39" s="388">
        <v>0.11351707629888545</v>
      </c>
      <c r="AK39" s="388">
        <v>0.11587370633951399</v>
      </c>
      <c r="AL39" s="388">
        <v>0.11633654876621695</v>
      </c>
      <c r="AM39" s="388">
        <v>0.11535365495421221</v>
      </c>
      <c r="AN39" s="388">
        <v>0.11580328073189486</v>
      </c>
      <c r="AO39" s="388">
        <v>0.11642722937696551</v>
      </c>
      <c r="AP39" s="388">
        <v>0.11749152845323538</v>
      </c>
      <c r="AQ39" s="388">
        <v>0.11823312672783291</v>
      </c>
      <c r="AR39" s="388">
        <v>0.11961043846248325</v>
      </c>
      <c r="AS39" s="388">
        <v>0.12270586026415754</v>
      </c>
      <c r="AT39" s="388">
        <v>0.12359731783862002</v>
      </c>
      <c r="AU39" s="388">
        <v>0.12503524133178096</v>
      </c>
      <c r="AV39" s="388">
        <v>0.12532760276379792</v>
      </c>
      <c r="AW39" s="388">
        <v>0.12576179851092659</v>
      </c>
      <c r="AX39" s="388">
        <v>0.12680616066633077</v>
      </c>
      <c r="AY39" s="388">
        <v>0.12840300323829695</v>
      </c>
      <c r="AZ39" s="388">
        <v>0.12095727414717315</v>
      </c>
      <c r="BA39" s="388">
        <v>0.10691413948945176</v>
      </c>
      <c r="BB39" s="388">
        <v>0.10497270158481532</v>
      </c>
      <c r="BC39" s="388">
        <v>0.10231539095711269</v>
      </c>
      <c r="BD39" s="388">
        <v>9.9795582873023647E-2</v>
      </c>
      <c r="BE39" s="388">
        <v>9.8795622995288684E-2</v>
      </c>
      <c r="BF39" s="388">
        <v>9.5188184199918549E-2</v>
      </c>
      <c r="BG39" s="388">
        <v>9.3397684601732575E-2</v>
      </c>
      <c r="BH39" s="388">
        <v>9.2734379196197703E-2</v>
      </c>
      <c r="BI39" s="388">
        <v>8.7532428052635738E-2</v>
      </c>
      <c r="BJ39" s="388">
        <v>8.4986223605041933E-2</v>
      </c>
      <c r="BK39" s="388">
        <v>8.0314567053399691E-2</v>
      </c>
      <c r="BL39" s="388">
        <v>7.2533631985725766E-2</v>
      </c>
      <c r="BM39" s="388">
        <v>7.0712068909300999E-2</v>
      </c>
      <c r="BN39" s="388">
        <v>7.4785618241470467E-2</v>
      </c>
      <c r="BO39" s="388">
        <v>7.6500014318526849E-2</v>
      </c>
      <c r="BP39" s="388">
        <v>7.4676561258262802E-2</v>
      </c>
      <c r="BQ39" s="388">
        <v>7.0423537363398986E-2</v>
      </c>
      <c r="BR39" s="388">
        <v>7.446559978864746E-2</v>
      </c>
      <c r="BS39" s="388">
        <v>6.8759082665423923E-2</v>
      </c>
      <c r="BT39" s="388">
        <v>5.4622266735787878E-2</v>
      </c>
      <c r="BU39" s="388">
        <v>4.4778698621372029E-2</v>
      </c>
      <c r="BV39" s="388">
        <v>3.5390178105431637E-2</v>
      </c>
      <c r="BW39" s="388">
        <v>2.3451519324426892E-2</v>
      </c>
      <c r="BX39" s="388">
        <v>1.2657836345524542E-2</v>
      </c>
      <c r="BY39" s="388">
        <v>2.9297139154991106E-3</v>
      </c>
      <c r="BZ39" s="388">
        <v>-7.491621785158629E-21</v>
      </c>
      <c r="CA39" s="388">
        <v>-2.487643877421313E-20</v>
      </c>
      <c r="CB39" s="388">
        <v>5.7869650756077863E-21</v>
      </c>
      <c r="CC39" s="388">
        <v>-9.8818452098067857E-23</v>
      </c>
      <c r="CD39" s="388">
        <v>1.699632171293515E-23</v>
      </c>
      <c r="CE39" s="388">
        <v>-9.1044916591585676E-24</v>
      </c>
      <c r="CF39" s="388">
        <v>2.6101992415596027E-25</v>
      </c>
      <c r="CG39" s="388">
        <v>7.2936030610986572E-18</v>
      </c>
      <c r="CH39" s="388">
        <v>1.0265867178900515E-17</v>
      </c>
      <c r="CI39" s="388">
        <v>-1.0256366456757522E-18</v>
      </c>
      <c r="CJ39" s="388">
        <v>-3.5889071761759261E-25</v>
      </c>
      <c r="CK39" s="388">
        <v>1.3736492945299656E-17</v>
      </c>
      <c r="CL39" s="388">
        <v>-3.1051016605739184E-22</v>
      </c>
      <c r="CM39" s="388">
        <v>1.6377589204005524E-24</v>
      </c>
      <c r="CN39" s="388">
        <v>9.8689793310976298E-24</v>
      </c>
      <c r="CO39" s="388">
        <v>8.8859288983448067E-24</v>
      </c>
      <c r="CP39" s="388">
        <v>1.395545054447894E-23</v>
      </c>
      <c r="CQ39" s="388">
        <v>8.2348902928583233E-20</v>
      </c>
      <c r="CR39" s="388">
        <v>-2.5434293984218258E-25</v>
      </c>
      <c r="CS39" s="388">
        <v>6.1068703011447271E-23</v>
      </c>
      <c r="CT39" s="388">
        <v>-1.1295060043272418E-22</v>
      </c>
      <c r="CU39" s="388">
        <v>2.5668649848184007E-22</v>
      </c>
      <c r="CV39" s="388">
        <v>5.2569734358346943E-24</v>
      </c>
      <c r="CW39" s="388">
        <v>-5.2132764972086346E-22</v>
      </c>
      <c r="CX39" s="388">
        <v>-3.4238235719868692E-23</v>
      </c>
      <c r="CY39" s="388">
        <v>3.4675089597896919E-23</v>
      </c>
      <c r="CZ39" s="388">
        <v>1.6047319837611717E-22</v>
      </c>
      <c r="DA39" s="388">
        <v>1.1775457002938385E-24</v>
      </c>
      <c r="DB39" s="388">
        <v>3.3482923752680881E-18</v>
      </c>
      <c r="DC39" s="388">
        <v>-2.1679161590562818E-22</v>
      </c>
      <c r="DD39" s="388">
        <v>-7.4062034609580202E-18</v>
      </c>
      <c r="DE39" s="388">
        <v>2.2609530722966536E-23</v>
      </c>
      <c r="DF39" s="388">
        <v>1.8546150721711763E-25</v>
      </c>
      <c r="DG39" s="388">
        <v>-6.4510526143645616E-21</v>
      </c>
      <c r="DH39" s="388">
        <v>2.2370107141040775E-20</v>
      </c>
      <c r="DI39" s="388">
        <v>7.4380737098750513E-19</v>
      </c>
      <c r="DJ39" s="388">
        <v>-7.5168297169583361E-20</v>
      </c>
      <c r="DK39" s="388">
        <v>2.2630177448783664E-23</v>
      </c>
      <c r="DL39" s="388">
        <v>-2.647321540369391E-18</v>
      </c>
      <c r="DM39" s="388">
        <v>8.2786057653694293E-21</v>
      </c>
      <c r="DN39" s="388">
        <v>-1.5222276395533389E-21</v>
      </c>
      <c r="DO39" s="388">
        <v>1.2585017528211955E-19</v>
      </c>
      <c r="DP39" s="388">
        <v>1.3170870228084991E-18</v>
      </c>
      <c r="DQ39" s="388">
        <v>1.4125847516331064E-20</v>
      </c>
      <c r="DR39" s="388">
        <v>5.0537463079051273E-18</v>
      </c>
      <c r="DS39" s="388">
        <v>-6.8004734745393978E-17</v>
      </c>
      <c r="DT39" s="388">
        <v>7.9095240192306305E-17</v>
      </c>
      <c r="DU39" s="388">
        <v>8.9756942244264174E-17</v>
      </c>
      <c r="DV39" s="388">
        <v>-2.173494389086431E-20</v>
      </c>
      <c r="DW39" s="388">
        <v>-1.6272457227133072E-19</v>
      </c>
      <c r="DX39" s="388">
        <v>-2.231882913757996E-19</v>
      </c>
      <c r="DY39" s="388">
        <v>-2.6107616856372424E-19</v>
      </c>
      <c r="DZ39" s="388">
        <v>2.0846444404607559E-5</v>
      </c>
      <c r="EA39" s="388">
        <v>2.0846444404607559E-5</v>
      </c>
      <c r="EB39" s="388"/>
      <c r="EC39" s="435"/>
      <c r="ED39" s="388">
        <v>6.9904221911927175E-5</v>
      </c>
      <c r="EE39" s="388">
        <v>-4.6355090686922806E-4</v>
      </c>
      <c r="EF39" s="388">
        <v>-7.0297455022276132E-4</v>
      </c>
      <c r="EG39" s="388">
        <v>-7.8225556820303663E-4</v>
      </c>
      <c r="EH39" s="388">
        <v>-1.3445179733731554E-3</v>
      </c>
      <c r="EI39" s="388">
        <v>-5.3138592139788409E-4</v>
      </c>
      <c r="EJ39" s="388">
        <v>-6.1372682898122252E-4</v>
      </c>
      <c r="EK39" s="388">
        <v>-6.9774573024924036E-4</v>
      </c>
      <c r="EL39" s="388">
        <v>-7.7907540366862517E-4</v>
      </c>
      <c r="EM39" s="388">
        <v>-7.100599179850007E-4</v>
      </c>
      <c r="EN39" s="388">
        <v>9.4661130096023208E-4</v>
      </c>
      <c r="EO39" s="388">
        <v>3.1027416916925584E-5</v>
      </c>
      <c r="EP39" s="388">
        <v>9.3690127446590494E-4</v>
      </c>
      <c r="EQ39" s="388">
        <v>3.8494595746194023E-4</v>
      </c>
      <c r="ER39" s="388">
        <v>1.0316468174304851E-3</v>
      </c>
      <c r="ES39" s="388">
        <v>1.3356449496341452E-3</v>
      </c>
      <c r="ET39" s="388">
        <v>-2.7910357106122251E-4</v>
      </c>
      <c r="EU39" s="388">
        <v>3.786169554184965E-5</v>
      </c>
      <c r="EV39" s="388">
        <v>-1.5533480901299484E-3</v>
      </c>
      <c r="EW39" s="388">
        <v>-3.3703907000608799E-3</v>
      </c>
      <c r="EX39" s="388">
        <v>-2.5669635705868657E-3</v>
      </c>
      <c r="EY39" s="388">
        <v>8.1000000000000013E-3</v>
      </c>
      <c r="EZ39" s="388">
        <v>5.2361047209643656E-3</v>
      </c>
      <c r="FA39" s="388">
        <v>2.579254260258926E-3</v>
      </c>
      <c r="FB39" s="388">
        <v>1.5440817669650406E-3</v>
      </c>
      <c r="FC39" s="388">
        <v>-1.0790681229196815E-3</v>
      </c>
      <c r="FD39" s="388">
        <v>1.1052702776624217E-3</v>
      </c>
      <c r="FE39" s="388">
        <v>6.9910461976878193E-5</v>
      </c>
      <c r="FF39" s="388">
        <v>-3.3846574152356334E-4</v>
      </c>
      <c r="FG39" s="388">
        <v>-5.2723091266707088E-4</v>
      </c>
      <c r="FH39" s="388">
        <v>-4.110721278738348E-4</v>
      </c>
      <c r="FI39" s="388">
        <v>-7.6048759243325405E-4</v>
      </c>
      <c r="FJ39" s="388">
        <v>-2.3114498857351698E-3</v>
      </c>
      <c r="FK39" s="388">
        <v>-7.9766950268006246E-5</v>
      </c>
      <c r="FL39" s="388">
        <v>-2.6598318694349642E-3</v>
      </c>
      <c r="FM39" s="388">
        <v>8.6244805327899117E-4</v>
      </c>
      <c r="FN39" s="388">
        <v>7.3565546196648133E-4</v>
      </c>
      <c r="FO39" s="388">
        <v>1.0582745922938582E-3</v>
      </c>
      <c r="FP39" s="388">
        <v>-1.0934839178159254E-3</v>
      </c>
      <c r="FQ39" s="388">
        <v>-2.4353283994088938E-4</v>
      </c>
      <c r="FR39" s="388">
        <v>-9.3690127446590494E-4</v>
      </c>
      <c r="FS39" s="388">
        <v>-6.066178934559576E-4</v>
      </c>
      <c r="FT39" s="388">
        <v>-1.102696020275626E-3</v>
      </c>
      <c r="FU39" s="388">
        <v>-1.3740096718275244E-3</v>
      </c>
      <c r="FV39" s="388">
        <v>3.3719390017858653E-5</v>
      </c>
      <c r="FW39" s="388">
        <v>-1.3219740640978549E-4</v>
      </c>
      <c r="FX39" s="388">
        <v>1.365335133645542E-3</v>
      </c>
      <c r="FY39" s="388">
        <v>3.0297879530377637E-3</v>
      </c>
      <c r="FZ39" s="388">
        <v>2.2526183755958245E-3</v>
      </c>
      <c r="GA39" s="388">
        <v>-1.8910078131910475E-4</v>
      </c>
      <c r="GB39" s="388"/>
      <c r="GC39" s="388"/>
      <c r="GD39" s="388"/>
      <c r="GE39" s="388"/>
      <c r="GF39" s="388"/>
      <c r="GG39" s="388"/>
      <c r="GH39" s="388"/>
      <c r="GI39" s="388"/>
      <c r="GJ39" s="388"/>
      <c r="GK39" s="388"/>
      <c r="GL39" s="388"/>
      <c r="GM39" s="388"/>
      <c r="GN39" s="388"/>
      <c r="GO39" s="388"/>
      <c r="GP39" s="412"/>
      <c r="GQ39" s="412"/>
      <c r="GR39" s="412"/>
      <c r="GS39" s="412"/>
      <c r="GT39" s="412"/>
      <c r="GU39" s="412"/>
      <c r="GV39" s="412"/>
      <c r="GW39" s="412"/>
      <c r="GX39" s="412"/>
      <c r="GY39" s="412"/>
      <c r="GZ39" s="412"/>
      <c r="HA39" s="412"/>
      <c r="HB39" s="412"/>
      <c r="HC39" s="412"/>
      <c r="HD39" s="412"/>
      <c r="HE39" s="412"/>
      <c r="HF39" s="412"/>
      <c r="HG39" s="412"/>
      <c r="HH39" s="412"/>
      <c r="HI39" s="412"/>
      <c r="HJ39" s="412"/>
      <c r="HK39" s="412"/>
      <c r="HL39" s="412"/>
      <c r="HM39" s="412"/>
      <c r="HN39" s="412"/>
      <c r="HO39" s="412"/>
      <c r="HP39" s="412"/>
      <c r="HQ39" s="412"/>
      <c r="HR39" s="412"/>
      <c r="HS39" s="412"/>
      <c r="HT39" s="412"/>
      <c r="HU39" s="412"/>
      <c r="HV39" s="412"/>
      <c r="HW39" s="412"/>
      <c r="HX39" s="412"/>
      <c r="HY39" s="412"/>
      <c r="HZ39" s="412"/>
      <c r="IA39" s="412"/>
      <c r="IB39" s="412"/>
      <c r="IC39" s="412"/>
      <c r="ID39" s="412"/>
      <c r="IE39" s="412"/>
      <c r="IF39" s="412"/>
      <c r="IG39" s="412"/>
      <c r="IH39" s="412"/>
      <c r="II39" s="412"/>
      <c r="IJ39" s="412"/>
      <c r="IK39" s="412"/>
      <c r="IL39" s="412"/>
      <c r="IM39" s="412"/>
      <c r="IN39" s="412"/>
      <c r="IO39" s="412"/>
      <c r="IP39" s="412"/>
      <c r="IQ39" s="412"/>
      <c r="IR39" s="412"/>
      <c r="IS39" s="412"/>
      <c r="IT39" s="412"/>
      <c r="IU39" s="412"/>
      <c r="IV39" s="412"/>
      <c r="IW39" s="412"/>
      <c r="IX39" s="412"/>
      <c r="IY39" s="412"/>
      <c r="IZ39" s="412"/>
      <c r="JA39" s="412"/>
      <c r="JB39" s="412"/>
      <c r="JC39" s="412"/>
      <c r="JD39" s="412"/>
      <c r="JE39" s="412"/>
      <c r="JF39" s="412"/>
      <c r="JG39" s="412"/>
      <c r="JH39" s="412"/>
      <c r="JI39" s="412"/>
      <c r="JJ39" s="412"/>
      <c r="JK39" s="412"/>
      <c r="JL39" s="412"/>
      <c r="JM39" s="412"/>
      <c r="JN39" s="412"/>
      <c r="JO39" s="412"/>
      <c r="JP39" s="412"/>
      <c r="JQ39" s="412"/>
      <c r="JR39" s="412"/>
      <c r="JS39" s="412"/>
      <c r="JT39" s="412"/>
      <c r="JU39" s="412"/>
      <c r="JV39" s="412"/>
      <c r="JW39" s="412"/>
      <c r="JX39" s="412"/>
      <c r="JY39" s="412"/>
      <c r="JZ39" s="412"/>
      <c r="KA39" s="412"/>
      <c r="KB39" s="412"/>
      <c r="KC39" s="412"/>
      <c r="KD39" s="412"/>
      <c r="KE39" s="412"/>
      <c r="KF39" s="412"/>
      <c r="KG39" s="412"/>
      <c r="KH39" s="412"/>
      <c r="KI39" s="412"/>
      <c r="KJ39" s="412"/>
      <c r="KK39" s="412"/>
      <c r="KL39" s="412"/>
      <c r="KM39" s="412"/>
      <c r="KN39" s="412"/>
      <c r="KO39" s="412"/>
      <c r="KP39" s="412"/>
      <c r="KQ39" s="412"/>
      <c r="KR39" s="412"/>
      <c r="KS39" s="412"/>
      <c r="KT39" s="412"/>
      <c r="KU39" s="412"/>
      <c r="KV39" s="412"/>
      <c r="KW39" s="412"/>
      <c r="KX39" s="412"/>
      <c r="KY39" s="412"/>
      <c r="KZ39" s="412"/>
      <c r="LA39" s="412"/>
      <c r="LB39" s="412"/>
      <c r="LC39" s="412"/>
      <c r="LD39" s="412"/>
      <c r="LE39" s="412"/>
      <c r="LF39" s="412"/>
      <c r="LG39" s="412"/>
      <c r="LH39" s="412"/>
      <c r="LI39" s="412"/>
      <c r="LJ39" s="412"/>
      <c r="LK39" s="412"/>
      <c r="LL39" s="412"/>
      <c r="LM39" s="412"/>
      <c r="LN39" s="412"/>
      <c r="LO39" s="412"/>
      <c r="LP39" s="412"/>
      <c r="LQ39" s="412"/>
      <c r="LR39" s="412"/>
      <c r="LS39" s="412"/>
      <c r="LT39" s="412"/>
      <c r="LU39" s="412"/>
      <c r="LV39" s="412"/>
      <c r="LW39" s="412"/>
      <c r="LX39" s="412"/>
      <c r="LY39" s="412"/>
      <c r="LZ39" s="412"/>
      <c r="MA39" s="412"/>
      <c r="MB39" s="412"/>
      <c r="MC39" s="412"/>
      <c r="MD39" s="412"/>
      <c r="ME39" s="412"/>
      <c r="MF39" s="412"/>
      <c r="MG39" s="412"/>
      <c r="MH39" s="412"/>
      <c r="MI39" s="412"/>
      <c r="MJ39" s="412"/>
      <c r="MK39" s="412"/>
      <c r="ML39" s="412"/>
      <c r="MM39" s="412"/>
      <c r="MN39" s="412"/>
      <c r="MO39" s="412"/>
      <c r="MP39" s="412"/>
      <c r="MQ39" s="412"/>
      <c r="MR39" s="412"/>
      <c r="MS39" s="412"/>
      <c r="MT39" s="412"/>
      <c r="MU39" s="412"/>
      <c r="MV39" s="412"/>
      <c r="MW39" s="412"/>
      <c r="MX39" s="412"/>
      <c r="MY39" s="412"/>
      <c r="MZ39" s="412"/>
      <c r="NA39" s="412"/>
      <c r="NB39" s="412"/>
      <c r="NC39" s="412"/>
      <c r="ND39" s="412"/>
      <c r="NE39" s="412"/>
      <c r="NF39" s="412"/>
      <c r="NG39" s="412"/>
      <c r="NH39" s="412"/>
      <c r="NI39" s="412"/>
      <c r="NJ39" s="412"/>
      <c r="NK39" s="412"/>
      <c r="NL39" s="412"/>
      <c r="NM39" s="412"/>
      <c r="NN39" s="412"/>
      <c r="NO39" s="412"/>
      <c r="NP39" s="412"/>
      <c r="NQ39" s="412"/>
      <c r="NR39" s="412"/>
      <c r="NS39" s="412"/>
      <c r="NT39" s="412"/>
      <c r="NU39" s="412"/>
      <c r="NV39" s="412"/>
      <c r="NW39" s="412"/>
      <c r="NX39" s="412"/>
      <c r="NY39" s="412"/>
      <c r="NZ39" s="412"/>
      <c r="OA39" s="412"/>
      <c r="OB39" s="412"/>
      <c r="OC39" s="412"/>
      <c r="OD39" s="412"/>
      <c r="OE39" s="412"/>
      <c r="OF39" s="412"/>
      <c r="OG39" s="412"/>
      <c r="OH39" s="412"/>
      <c r="OI39" s="412"/>
      <c r="OJ39" s="412"/>
      <c r="OK39" s="412"/>
      <c r="OL39" s="412"/>
      <c r="OM39" s="412"/>
      <c r="ON39" s="412"/>
      <c r="OO39" s="412"/>
      <c r="OP39" s="412"/>
      <c r="OQ39" s="412"/>
      <c r="OR39" s="412"/>
      <c r="OS39" s="412"/>
      <c r="OT39" s="412"/>
      <c r="OU39" s="412"/>
      <c r="OV39" s="412"/>
      <c r="OW39" s="412"/>
      <c r="OX39" s="412"/>
      <c r="OY39" s="412"/>
      <c r="OZ39" s="412"/>
      <c r="PA39" s="412"/>
      <c r="PB39" s="412"/>
      <c r="PC39" s="412"/>
      <c r="PD39" s="412"/>
      <c r="PE39" s="412"/>
      <c r="PF39" s="412"/>
      <c r="PG39" s="412"/>
      <c r="PH39" s="412"/>
      <c r="PI39" s="412"/>
      <c r="PJ39" s="412"/>
      <c r="PK39" s="412"/>
      <c r="PL39" s="412"/>
      <c r="PM39" s="412"/>
      <c r="PN39" s="412"/>
      <c r="PO39" s="412"/>
      <c r="PP39" s="412"/>
      <c r="PQ39" s="412"/>
      <c r="PR39" s="412"/>
      <c r="PS39" s="412"/>
      <c r="PT39" s="412"/>
      <c r="PU39" s="412"/>
      <c r="PV39" s="412"/>
      <c r="PW39" s="412"/>
      <c r="PX39" s="412"/>
      <c r="PY39" s="412"/>
      <c r="PZ39" s="412"/>
      <c r="QA39" s="412"/>
      <c r="QB39" s="412"/>
      <c r="QC39" s="412"/>
      <c r="QD39" s="412"/>
      <c r="QE39" s="412"/>
      <c r="QF39" s="412"/>
      <c r="QG39" s="412"/>
      <c r="QH39" s="412"/>
      <c r="QI39" s="412"/>
      <c r="QJ39" s="412"/>
      <c r="QK39" s="412"/>
      <c r="QL39" s="412"/>
      <c r="QM39" s="412"/>
      <c r="QN39" s="412"/>
      <c r="QO39" s="412"/>
      <c r="QP39" s="412"/>
      <c r="QQ39" s="412"/>
      <c r="QR39" s="412"/>
      <c r="QS39" s="412"/>
      <c r="QT39" s="412"/>
      <c r="QU39" s="412"/>
      <c r="QV39" s="412"/>
      <c r="QW39" s="412"/>
      <c r="QX39" s="412"/>
      <c r="QY39" s="412"/>
      <c r="QZ39" s="412"/>
      <c r="RA39" s="412"/>
      <c r="RB39" s="412"/>
      <c r="RC39" s="412"/>
      <c r="RD39" s="412"/>
      <c r="RE39" s="412"/>
      <c r="RF39" s="412"/>
      <c r="RG39" s="412"/>
      <c r="RH39" s="412"/>
      <c r="RI39" s="412"/>
      <c r="RJ39" s="412"/>
      <c r="RK39" s="412"/>
      <c r="RL39" s="412"/>
      <c r="RM39" s="412"/>
      <c r="RN39" s="412"/>
      <c r="RO39" s="412"/>
      <c r="RP39" s="412"/>
      <c r="RQ39" s="412"/>
      <c r="RR39" s="412"/>
      <c r="RS39" s="412"/>
      <c r="RT39" s="412"/>
      <c r="RU39" s="412"/>
      <c r="RV39" s="412"/>
      <c r="RW39" s="412"/>
      <c r="RX39" s="412"/>
      <c r="RY39" s="412"/>
      <c r="RZ39" s="412"/>
      <c r="SA39" s="412"/>
      <c r="SB39" s="412"/>
      <c r="SC39" s="412"/>
      <c r="SD39" s="412"/>
      <c r="SE39" s="412"/>
      <c r="SF39" s="412"/>
      <c r="SG39" s="412"/>
    </row>
    <row r="40" spans="1:501" x14ac:dyDescent="0.2">
      <c r="A40" s="391" t="s">
        <v>21</v>
      </c>
      <c r="B40" s="110"/>
      <c r="C40" s="392">
        <v>0.08</v>
      </c>
      <c r="D40" s="392">
        <v>0.09</v>
      </c>
      <c r="E40" s="392">
        <v>0</v>
      </c>
      <c r="F40" s="392">
        <v>1</v>
      </c>
      <c r="G40" s="392"/>
      <c r="H40" s="435"/>
      <c r="I40" s="410">
        <v>0</v>
      </c>
      <c r="J40" s="410">
        <v>0</v>
      </c>
      <c r="K40" s="410">
        <v>0</v>
      </c>
      <c r="L40" s="410">
        <v>0</v>
      </c>
      <c r="M40" s="410">
        <v>1</v>
      </c>
      <c r="N40" s="410">
        <v>0</v>
      </c>
      <c r="O40" s="435"/>
      <c r="P40" s="393">
        <v>0</v>
      </c>
      <c r="Q40" s="393">
        <v>0</v>
      </c>
      <c r="R40" s="393">
        <v>0</v>
      </c>
      <c r="S40" s="393">
        <v>0</v>
      </c>
      <c r="T40" s="393">
        <v>0</v>
      </c>
      <c r="U40" s="435"/>
      <c r="V40" s="393">
        <v>0</v>
      </c>
      <c r="W40" s="393">
        <v>0</v>
      </c>
      <c r="X40" s="393">
        <v>0</v>
      </c>
      <c r="Y40" s="393">
        <v>0</v>
      </c>
      <c r="Z40" s="393">
        <v>0</v>
      </c>
      <c r="AA40" s="393"/>
      <c r="AB40" s="435"/>
      <c r="AC40" s="393">
        <v>5.3699999999999998E-2</v>
      </c>
      <c r="AD40" s="411"/>
      <c r="AE40" s="435"/>
      <c r="AF40" s="388">
        <v>0.26838104991559103</v>
      </c>
      <c r="AG40" s="388">
        <v>0.26896621906761498</v>
      </c>
      <c r="AH40" s="388">
        <v>0.26799072865868528</v>
      </c>
      <c r="AI40" s="388">
        <v>0.26944500337199778</v>
      </c>
      <c r="AJ40" s="388">
        <v>0.26865193206606297</v>
      </c>
      <c r="AK40" s="388">
        <v>0.26617946890591987</v>
      </c>
      <c r="AL40" s="388">
        <v>0.26667584931821875</v>
      </c>
      <c r="AM40" s="388">
        <v>0.26811794499815628</v>
      </c>
      <c r="AN40" s="388">
        <v>0.26798430208510354</v>
      </c>
      <c r="AO40" s="388">
        <v>0.26809760272870403</v>
      </c>
      <c r="AP40" s="388">
        <v>0.26750163601612931</v>
      </c>
      <c r="AQ40" s="388">
        <v>0.26768160812671649</v>
      </c>
      <c r="AR40" s="388">
        <v>0.26674302912353676</v>
      </c>
      <c r="AS40" s="388">
        <v>0.26443083389973965</v>
      </c>
      <c r="AT40" s="388">
        <v>0.26454317683508305</v>
      </c>
      <c r="AU40" s="388">
        <v>0.26341745945034756</v>
      </c>
      <c r="AV40" s="388">
        <v>0.26308334516572068</v>
      </c>
      <c r="AW40" s="388">
        <v>0.26269287732303553</v>
      </c>
      <c r="AX40" s="388">
        <v>0.26160648211219717</v>
      </c>
      <c r="AY40" s="388">
        <v>0.26039426252681014</v>
      </c>
      <c r="AZ40" s="388">
        <v>0.26415397924638889</v>
      </c>
      <c r="BA40" s="388">
        <v>0.26785595844634236</v>
      </c>
      <c r="BB40" s="388">
        <v>0.26455178339098229</v>
      </c>
      <c r="BC40" s="388">
        <v>0.26671687363006225</v>
      </c>
      <c r="BD40" s="388">
        <v>0.26815258654897095</v>
      </c>
      <c r="BE40" s="388">
        <v>0.2692936505088247</v>
      </c>
      <c r="BF40" s="388">
        <v>0.27238257219541423</v>
      </c>
      <c r="BG40" s="388">
        <v>0.27487322618780635</v>
      </c>
      <c r="BH40" s="388">
        <v>0.276763813864421</v>
      </c>
      <c r="BI40" s="388">
        <v>0.28063377566533065</v>
      </c>
      <c r="BJ40" s="388">
        <v>0.28315640485806337</v>
      </c>
      <c r="BK40" s="388">
        <v>0.28553631588050565</v>
      </c>
      <c r="BL40" s="388">
        <v>0.29270722216311035</v>
      </c>
      <c r="BM40" s="388">
        <v>0.29276796668252131</v>
      </c>
      <c r="BN40" s="388">
        <v>0.29368977804727181</v>
      </c>
      <c r="BO40" s="388">
        <v>0.29765246492354369</v>
      </c>
      <c r="BP40" s="388">
        <v>0.3026682663066167</v>
      </c>
      <c r="BQ40" s="388">
        <v>0.30727253469836718</v>
      </c>
      <c r="BR40" s="388">
        <v>0.30921645518120688</v>
      </c>
      <c r="BS40" s="388">
        <v>0.3108822516456658</v>
      </c>
      <c r="BT40" s="388">
        <v>0.32033318108660469</v>
      </c>
      <c r="BU40" s="388">
        <v>0.32552641404338573</v>
      </c>
      <c r="BV40" s="388">
        <v>0.32842012673795629</v>
      </c>
      <c r="BW40" s="388">
        <v>0.33312512729403548</v>
      </c>
      <c r="BX40" s="388">
        <v>0.33938437608990968</v>
      </c>
      <c r="BY40" s="388">
        <v>0.33992345489787756</v>
      </c>
      <c r="BZ40" s="388">
        <v>0.33508533780300515</v>
      </c>
      <c r="CA40" s="388">
        <v>0.32783785760941919</v>
      </c>
      <c r="CB40" s="388">
        <v>0.32048788505629683</v>
      </c>
      <c r="CC40" s="388">
        <v>0.31381180540373665</v>
      </c>
      <c r="CD40" s="388">
        <v>0.30392644980018518</v>
      </c>
      <c r="CE40" s="388">
        <v>0.29394978040738834</v>
      </c>
      <c r="CF40" s="388">
        <v>0.28400461966152762</v>
      </c>
      <c r="CG40" s="388">
        <v>0.27411914135548365</v>
      </c>
      <c r="CH40" s="388">
        <v>0.26494500139292293</v>
      </c>
      <c r="CI40" s="388">
        <v>0.25552155764330886</v>
      </c>
      <c r="CJ40" s="388">
        <v>0.24639983795140996</v>
      </c>
      <c r="CK40" s="388">
        <v>0.23632574653269187</v>
      </c>
      <c r="CL40" s="388">
        <v>0.226306274242601</v>
      </c>
      <c r="CM40" s="388">
        <v>0.21581215947066246</v>
      </c>
      <c r="CN40" s="388">
        <v>0.20660717161804451</v>
      </c>
      <c r="CO40" s="388">
        <v>0.19714750906715064</v>
      </c>
      <c r="CP40" s="388">
        <v>0.18711960212561415</v>
      </c>
      <c r="CQ40" s="388">
        <v>0.17667887784831693</v>
      </c>
      <c r="CR40" s="388">
        <v>0.16708128623161281</v>
      </c>
      <c r="CS40" s="388">
        <v>0.15714180297797209</v>
      </c>
      <c r="CT40" s="388">
        <v>0.14769172569215519</v>
      </c>
      <c r="CU40" s="388">
        <v>0.13819716139986454</v>
      </c>
      <c r="CV40" s="388">
        <v>0.12845596135428547</v>
      </c>
      <c r="CW40" s="388">
        <v>0.119418312082316</v>
      </c>
      <c r="CX40" s="388">
        <v>0.11023023875169599</v>
      </c>
      <c r="CY40" s="388">
        <v>0.10069250081531914</v>
      </c>
      <c r="CZ40" s="388">
        <v>9.0881099145386293E-2</v>
      </c>
      <c r="DA40" s="388">
        <v>8.1440812258712802E-2</v>
      </c>
      <c r="DB40" s="388">
        <v>7.2162300240278046E-2</v>
      </c>
      <c r="DC40" s="388">
        <v>6.2815508233907566E-2</v>
      </c>
      <c r="DD40" s="388">
        <v>5.3322100314809537E-2</v>
      </c>
      <c r="DE40" s="388">
        <v>4.351572611452454E-2</v>
      </c>
      <c r="DF40" s="388">
        <v>3.3224270211362199E-2</v>
      </c>
      <c r="DG40" s="388">
        <v>2.3347899343105636E-2</v>
      </c>
      <c r="DH40" s="388">
        <v>1.3895318203662063E-2</v>
      </c>
      <c r="DI40" s="388">
        <v>3.9662668021905991E-3</v>
      </c>
      <c r="DJ40" s="388">
        <v>6.2527760746888816E-12</v>
      </c>
      <c r="DK40" s="388">
        <v>6.25277607611115E-12</v>
      </c>
      <c r="DL40" s="388">
        <v>6.2527760746888816E-12</v>
      </c>
      <c r="DM40" s="388">
        <v>6.2527764338085029E-12</v>
      </c>
      <c r="DN40" s="388">
        <v>6.2527760932851345E-12</v>
      </c>
      <c r="DO40" s="388">
        <v>6.2527760746888816E-12</v>
      </c>
      <c r="DP40" s="388">
        <v>6.2527760746888816E-12</v>
      </c>
      <c r="DQ40" s="388">
        <v>6.2527760804978415E-12</v>
      </c>
      <c r="DR40" s="388">
        <v>6.2528720547087577E-12</v>
      </c>
      <c r="DS40" s="388">
        <v>6.2528442802498656E-12</v>
      </c>
      <c r="DT40" s="388">
        <v>6.2527930225889383E-12</v>
      </c>
      <c r="DU40" s="388">
        <v>6.2528294828418962E-12</v>
      </c>
      <c r="DV40" s="388">
        <v>6.2527760915938482E-12</v>
      </c>
      <c r="DW40" s="388">
        <v>6.2527760746888816E-12</v>
      </c>
      <c r="DX40" s="388">
        <v>6.2527760746888816E-12</v>
      </c>
      <c r="DY40" s="388">
        <v>6.2527760746888816E-12</v>
      </c>
      <c r="DZ40" s="388">
        <v>2.1084105069392172E-5</v>
      </c>
      <c r="EA40" s="388">
        <v>2.1084105069392172E-5</v>
      </c>
      <c r="EB40" s="388"/>
      <c r="EC40" s="435"/>
      <c r="ED40" s="388">
        <v>2.3969659689741311E-4</v>
      </c>
      <c r="EE40" s="388">
        <v>2.8245004251985256E-4</v>
      </c>
      <c r="EF40" s="388">
        <v>-1.5532407526800259E-5</v>
      </c>
      <c r="EG40" s="388">
        <v>-1.7800429774404223E-4</v>
      </c>
      <c r="EH40" s="388">
        <v>-3.9360659543942158E-4</v>
      </c>
      <c r="EI40" s="388">
        <v>-2.2825185987755551E-4</v>
      </c>
      <c r="EJ40" s="388">
        <v>-2.1948451057644626E-4</v>
      </c>
      <c r="EK40" s="388">
        <v>-4.2856861117430983E-4</v>
      </c>
      <c r="EL40" s="388">
        <v>-4.6676320010002355E-4</v>
      </c>
      <c r="EM40" s="388">
        <v>-2.2247477084613921E-4</v>
      </c>
      <c r="EN40" s="388">
        <v>-8.6153902289702296E-4</v>
      </c>
      <c r="EO40" s="388">
        <v>-2.2480954629247648E-3</v>
      </c>
      <c r="EP40" s="388">
        <v>-8.3901064514290747E-4</v>
      </c>
      <c r="EQ40" s="388">
        <v>-2.9166587805132743E-4</v>
      </c>
      <c r="ER40" s="388">
        <v>-9.226331620197177E-4</v>
      </c>
      <c r="ES40" s="388">
        <v>-6.5505483979319285E-4</v>
      </c>
      <c r="ET40" s="388">
        <v>-2.0739293292195834E-3</v>
      </c>
      <c r="EU40" s="388">
        <v>-2.7299307275278151E-3</v>
      </c>
      <c r="EV40" s="388">
        <v>-3.032551363776244E-3</v>
      </c>
      <c r="EW40" s="388">
        <v>-5.0867504631802729E-3</v>
      </c>
      <c r="EX40" s="388">
        <v>-3.7283070922325572E-3</v>
      </c>
      <c r="EY40" s="388">
        <v>5.2361047209643656E-3</v>
      </c>
      <c r="EZ40" s="388">
        <v>8.0999999999999996E-3</v>
      </c>
      <c r="FA40" s="388">
        <v>-1.1808755847312325E-3</v>
      </c>
      <c r="FB40" s="388">
        <v>-1.1550492006268981E-3</v>
      </c>
      <c r="FC40" s="388">
        <v>1.4556691798208574E-3</v>
      </c>
      <c r="FD40" s="388">
        <v>1.7611883536799524E-3</v>
      </c>
      <c r="FE40" s="388">
        <v>2.3969499257175202E-4</v>
      </c>
      <c r="FF40" s="388">
        <v>2.0623336437957488E-4</v>
      </c>
      <c r="FG40" s="388">
        <v>-1.1649305645100193E-5</v>
      </c>
      <c r="FH40" s="388">
        <v>-1.7657219349018441E-4</v>
      </c>
      <c r="FI40" s="388">
        <v>-2.7196993701863998E-4</v>
      </c>
      <c r="FJ40" s="388">
        <v>2.5191106854015831E-4</v>
      </c>
      <c r="FK40" s="388">
        <v>-1.2790921583548609E-4</v>
      </c>
      <c r="FL40" s="388">
        <v>-1.9414140843205653E-3</v>
      </c>
      <c r="FM40" s="388">
        <v>1.8571369571078559E-4</v>
      </c>
      <c r="FN40" s="388">
        <v>4.1650573207784269E-4</v>
      </c>
      <c r="FO40" s="388">
        <v>3.6043697320920734E-4</v>
      </c>
      <c r="FP40" s="388">
        <v>4.8754085046786216E-4</v>
      </c>
      <c r="FQ40" s="388">
        <v>1.7449296752841956E-3</v>
      </c>
      <c r="FR40" s="388">
        <v>8.3901064514290747E-4</v>
      </c>
      <c r="FS40" s="388">
        <v>5.745920748723761E-5</v>
      </c>
      <c r="FT40" s="388">
        <v>7.5366682038403865E-4</v>
      </c>
      <c r="FU40" s="388">
        <v>4.4662341564281546E-4</v>
      </c>
      <c r="FV40" s="388">
        <v>1.8912679654996369E-3</v>
      </c>
      <c r="FW40" s="388">
        <v>2.409479365133479E-3</v>
      </c>
      <c r="FX40" s="388">
        <v>2.7426896598312582E-3</v>
      </c>
      <c r="FY40" s="388">
        <v>4.6708576982261657E-3</v>
      </c>
      <c r="FZ40" s="388">
        <v>3.3266277237141723E-3</v>
      </c>
      <c r="GA40" s="388">
        <v>-2.2554049891224847E-5</v>
      </c>
      <c r="GB40" s="388"/>
      <c r="GC40" s="388"/>
      <c r="GD40" s="388"/>
      <c r="GE40" s="388"/>
      <c r="GF40" s="388"/>
      <c r="GG40" s="388"/>
      <c r="GH40" s="388"/>
      <c r="GI40" s="388"/>
      <c r="GJ40" s="388"/>
      <c r="GK40" s="388"/>
      <c r="GL40" s="388"/>
      <c r="GM40" s="388"/>
      <c r="GN40" s="388"/>
      <c r="GO40" s="388"/>
      <c r="GP40" s="412"/>
      <c r="GQ40" s="412"/>
      <c r="GR40" s="412"/>
      <c r="GS40" s="412"/>
      <c r="GT40" s="412"/>
      <c r="GU40" s="412"/>
      <c r="GV40" s="412"/>
      <c r="GW40" s="412"/>
      <c r="GX40" s="412"/>
      <c r="GY40" s="412"/>
      <c r="GZ40" s="412"/>
      <c r="HA40" s="412"/>
      <c r="HB40" s="412"/>
      <c r="HC40" s="412"/>
      <c r="HD40" s="412"/>
      <c r="HE40" s="412"/>
      <c r="HF40" s="412"/>
      <c r="HG40" s="412"/>
      <c r="HH40" s="412"/>
      <c r="HI40" s="412"/>
      <c r="HJ40" s="412"/>
      <c r="HK40" s="412"/>
      <c r="HL40" s="412"/>
      <c r="HM40" s="412"/>
      <c r="HN40" s="412"/>
      <c r="HO40" s="412"/>
      <c r="HP40" s="412"/>
      <c r="HQ40" s="412"/>
      <c r="HR40" s="412"/>
      <c r="HS40" s="412"/>
      <c r="HT40" s="412"/>
      <c r="HU40" s="412"/>
      <c r="HV40" s="412"/>
      <c r="HW40" s="412"/>
      <c r="HX40" s="412"/>
      <c r="HY40" s="412"/>
      <c r="HZ40" s="412"/>
      <c r="IA40" s="412"/>
      <c r="IB40" s="412"/>
      <c r="IC40" s="412"/>
      <c r="ID40" s="412"/>
      <c r="IE40" s="412"/>
      <c r="IF40" s="412"/>
      <c r="IG40" s="412"/>
      <c r="IH40" s="412"/>
      <c r="II40" s="412"/>
      <c r="IJ40" s="412"/>
      <c r="IK40" s="412"/>
      <c r="IL40" s="412"/>
      <c r="IM40" s="412"/>
      <c r="IN40" s="412"/>
      <c r="IO40" s="412"/>
      <c r="IP40" s="412"/>
      <c r="IQ40" s="412"/>
      <c r="IR40" s="412"/>
      <c r="IS40" s="412"/>
      <c r="IT40" s="412"/>
      <c r="IU40" s="412"/>
      <c r="IV40" s="412"/>
      <c r="IW40" s="412"/>
      <c r="IX40" s="412"/>
      <c r="IY40" s="412"/>
      <c r="IZ40" s="412"/>
      <c r="JA40" s="412"/>
      <c r="JB40" s="412"/>
      <c r="JC40" s="412"/>
      <c r="JD40" s="412"/>
      <c r="JE40" s="412"/>
      <c r="JF40" s="412"/>
      <c r="JG40" s="412"/>
      <c r="JH40" s="412"/>
      <c r="JI40" s="412"/>
      <c r="JJ40" s="412"/>
      <c r="JK40" s="412"/>
      <c r="JL40" s="412"/>
      <c r="JM40" s="412"/>
      <c r="JN40" s="412"/>
      <c r="JO40" s="412"/>
      <c r="JP40" s="412"/>
      <c r="JQ40" s="412"/>
      <c r="JR40" s="412"/>
      <c r="JS40" s="412"/>
      <c r="JT40" s="412"/>
      <c r="JU40" s="412"/>
      <c r="JV40" s="412"/>
      <c r="JW40" s="412"/>
      <c r="JX40" s="412"/>
      <c r="JY40" s="412"/>
      <c r="JZ40" s="412"/>
      <c r="KA40" s="412"/>
      <c r="KB40" s="412"/>
      <c r="KC40" s="412"/>
      <c r="KD40" s="412"/>
      <c r="KE40" s="412"/>
      <c r="KF40" s="412"/>
      <c r="KG40" s="412"/>
      <c r="KH40" s="412"/>
      <c r="KI40" s="412"/>
      <c r="KJ40" s="412"/>
      <c r="KK40" s="412"/>
      <c r="KL40" s="412"/>
      <c r="KM40" s="412"/>
      <c r="KN40" s="412"/>
      <c r="KO40" s="412"/>
      <c r="KP40" s="412"/>
      <c r="KQ40" s="412"/>
      <c r="KR40" s="412"/>
      <c r="KS40" s="412"/>
      <c r="KT40" s="412"/>
      <c r="KU40" s="412"/>
      <c r="KV40" s="412"/>
      <c r="KW40" s="412"/>
      <c r="KX40" s="412"/>
      <c r="KY40" s="412"/>
      <c r="KZ40" s="412"/>
      <c r="LA40" s="412"/>
      <c r="LB40" s="412"/>
      <c r="LC40" s="412"/>
      <c r="LD40" s="412"/>
      <c r="LE40" s="412"/>
      <c r="LF40" s="412"/>
      <c r="LG40" s="412"/>
      <c r="LH40" s="412"/>
      <c r="LI40" s="412"/>
      <c r="LJ40" s="412"/>
      <c r="LK40" s="412"/>
      <c r="LL40" s="412"/>
      <c r="LM40" s="412"/>
      <c r="LN40" s="412"/>
      <c r="LO40" s="412"/>
      <c r="LP40" s="412"/>
      <c r="LQ40" s="412"/>
      <c r="LR40" s="412"/>
      <c r="LS40" s="412"/>
      <c r="LT40" s="412"/>
      <c r="LU40" s="412"/>
      <c r="LV40" s="412"/>
      <c r="LW40" s="412"/>
      <c r="LX40" s="412"/>
      <c r="LY40" s="412"/>
      <c r="LZ40" s="412"/>
      <c r="MA40" s="412"/>
      <c r="MB40" s="412"/>
      <c r="MC40" s="412"/>
      <c r="MD40" s="412"/>
      <c r="ME40" s="412"/>
      <c r="MF40" s="412"/>
      <c r="MG40" s="412"/>
      <c r="MH40" s="412"/>
      <c r="MI40" s="412"/>
      <c r="MJ40" s="412"/>
      <c r="MK40" s="412"/>
      <c r="ML40" s="412"/>
      <c r="MM40" s="412"/>
      <c r="MN40" s="412"/>
      <c r="MO40" s="412"/>
      <c r="MP40" s="412"/>
      <c r="MQ40" s="412"/>
      <c r="MR40" s="412"/>
      <c r="MS40" s="412"/>
      <c r="MT40" s="412"/>
      <c r="MU40" s="412"/>
      <c r="MV40" s="412"/>
      <c r="MW40" s="412"/>
      <c r="MX40" s="412"/>
      <c r="MY40" s="412"/>
      <c r="MZ40" s="412"/>
      <c r="NA40" s="412"/>
      <c r="NB40" s="412"/>
      <c r="NC40" s="412"/>
      <c r="ND40" s="412"/>
      <c r="NE40" s="412"/>
      <c r="NF40" s="412"/>
      <c r="NG40" s="412"/>
      <c r="NH40" s="412"/>
      <c r="NI40" s="412"/>
      <c r="NJ40" s="412"/>
      <c r="NK40" s="412"/>
      <c r="NL40" s="412"/>
      <c r="NM40" s="412"/>
      <c r="NN40" s="412"/>
      <c r="NO40" s="412"/>
      <c r="NP40" s="412"/>
      <c r="NQ40" s="412"/>
      <c r="NR40" s="412"/>
      <c r="NS40" s="412"/>
      <c r="NT40" s="412"/>
      <c r="NU40" s="412"/>
      <c r="NV40" s="412"/>
      <c r="NW40" s="412"/>
      <c r="NX40" s="412"/>
      <c r="NY40" s="412"/>
      <c r="NZ40" s="412"/>
      <c r="OA40" s="412"/>
      <c r="OB40" s="412"/>
      <c r="OC40" s="412"/>
      <c r="OD40" s="412"/>
      <c r="OE40" s="412"/>
      <c r="OF40" s="412"/>
      <c r="OG40" s="412"/>
      <c r="OH40" s="412"/>
      <c r="OI40" s="412"/>
      <c r="OJ40" s="412"/>
      <c r="OK40" s="412"/>
      <c r="OL40" s="412"/>
      <c r="OM40" s="412"/>
      <c r="ON40" s="412"/>
      <c r="OO40" s="412"/>
      <c r="OP40" s="412"/>
      <c r="OQ40" s="412"/>
      <c r="OR40" s="412"/>
      <c r="OS40" s="412"/>
      <c r="OT40" s="412"/>
      <c r="OU40" s="412"/>
      <c r="OV40" s="412"/>
      <c r="OW40" s="412"/>
      <c r="OX40" s="412"/>
      <c r="OY40" s="412"/>
      <c r="OZ40" s="412"/>
      <c r="PA40" s="412"/>
      <c r="PB40" s="412"/>
      <c r="PC40" s="412"/>
      <c r="PD40" s="412"/>
      <c r="PE40" s="412"/>
      <c r="PF40" s="412"/>
      <c r="PG40" s="412"/>
      <c r="PH40" s="412"/>
      <c r="PI40" s="412"/>
      <c r="PJ40" s="412"/>
      <c r="PK40" s="412"/>
      <c r="PL40" s="412"/>
      <c r="PM40" s="412"/>
      <c r="PN40" s="412"/>
      <c r="PO40" s="412"/>
      <c r="PP40" s="412"/>
      <c r="PQ40" s="412"/>
      <c r="PR40" s="412"/>
      <c r="PS40" s="412"/>
      <c r="PT40" s="412"/>
      <c r="PU40" s="412"/>
      <c r="PV40" s="412"/>
      <c r="PW40" s="412"/>
      <c r="PX40" s="412"/>
      <c r="PY40" s="412"/>
      <c r="PZ40" s="412"/>
      <c r="QA40" s="412"/>
      <c r="QB40" s="412"/>
      <c r="QC40" s="412"/>
      <c r="QD40" s="412"/>
      <c r="QE40" s="412"/>
      <c r="QF40" s="412"/>
      <c r="QG40" s="412"/>
      <c r="QH40" s="412"/>
      <c r="QI40" s="412"/>
      <c r="QJ40" s="412"/>
      <c r="QK40" s="412"/>
      <c r="QL40" s="412"/>
      <c r="QM40" s="412"/>
      <c r="QN40" s="412"/>
      <c r="QO40" s="412"/>
      <c r="QP40" s="412"/>
      <c r="QQ40" s="412"/>
      <c r="QR40" s="412"/>
      <c r="QS40" s="412"/>
      <c r="QT40" s="412"/>
      <c r="QU40" s="412"/>
      <c r="QV40" s="412"/>
      <c r="QW40" s="412"/>
      <c r="QX40" s="412"/>
      <c r="QY40" s="412"/>
      <c r="QZ40" s="412"/>
      <c r="RA40" s="412"/>
      <c r="RB40" s="412"/>
      <c r="RC40" s="412"/>
      <c r="RD40" s="412"/>
      <c r="RE40" s="412"/>
      <c r="RF40" s="412"/>
      <c r="RG40" s="412"/>
      <c r="RH40" s="412"/>
      <c r="RI40" s="412"/>
      <c r="RJ40" s="412"/>
      <c r="RK40" s="412"/>
      <c r="RL40" s="412"/>
      <c r="RM40" s="412"/>
      <c r="RN40" s="412"/>
      <c r="RO40" s="412"/>
      <c r="RP40" s="412"/>
      <c r="RQ40" s="412"/>
      <c r="RR40" s="412"/>
      <c r="RS40" s="412"/>
      <c r="RT40" s="412"/>
      <c r="RU40" s="412"/>
      <c r="RV40" s="412"/>
      <c r="RW40" s="412"/>
      <c r="RX40" s="412"/>
      <c r="RY40" s="412"/>
      <c r="RZ40" s="412"/>
      <c r="SA40" s="412"/>
      <c r="SB40" s="412"/>
      <c r="SC40" s="412"/>
      <c r="SD40" s="412"/>
      <c r="SE40" s="412"/>
      <c r="SF40" s="412"/>
      <c r="SG40" s="412"/>
    </row>
    <row r="41" spans="1:501" x14ac:dyDescent="0.2">
      <c r="A41" s="391" t="s">
        <v>22</v>
      </c>
      <c r="B41" s="110"/>
      <c r="C41" s="392">
        <v>0.11</v>
      </c>
      <c r="D41" s="392">
        <v>0.17</v>
      </c>
      <c r="E41" s="392">
        <v>0</v>
      </c>
      <c r="F41" s="392">
        <v>1</v>
      </c>
      <c r="G41" s="392"/>
      <c r="H41" s="435"/>
      <c r="I41" s="410">
        <v>0</v>
      </c>
      <c r="J41" s="410">
        <v>0</v>
      </c>
      <c r="K41" s="410">
        <v>0</v>
      </c>
      <c r="L41" s="410">
        <v>0</v>
      </c>
      <c r="M41" s="410">
        <v>1</v>
      </c>
      <c r="N41" s="410">
        <v>0</v>
      </c>
      <c r="O41" s="435"/>
      <c r="P41" s="393">
        <v>0</v>
      </c>
      <c r="Q41" s="393">
        <v>0</v>
      </c>
      <c r="R41" s="393">
        <v>0</v>
      </c>
      <c r="S41" s="393">
        <v>0</v>
      </c>
      <c r="T41" s="393">
        <v>0</v>
      </c>
      <c r="U41" s="435"/>
      <c r="V41" s="393">
        <v>0</v>
      </c>
      <c r="W41" s="393">
        <v>0</v>
      </c>
      <c r="X41" s="393">
        <v>0</v>
      </c>
      <c r="Y41" s="393">
        <v>0</v>
      </c>
      <c r="Z41" s="393">
        <v>0</v>
      </c>
      <c r="AA41" s="393"/>
      <c r="AB41" s="435"/>
      <c r="AC41" s="393">
        <v>0.12659999999999999</v>
      </c>
      <c r="AD41" s="411"/>
      <c r="AE41" s="435"/>
      <c r="AF41" s="388">
        <v>1.7462969717836761E-3</v>
      </c>
      <c r="AG41" s="388">
        <v>2.2367094492223294E-3</v>
      </c>
      <c r="AH41" s="388">
        <v>2.8173378319908595E-3</v>
      </c>
      <c r="AI41" s="388">
        <v>3.7541076702366002E-3</v>
      </c>
      <c r="AJ41" s="388">
        <v>4.2640425534281367E-3</v>
      </c>
      <c r="AK41" s="388">
        <v>4.3281942346490325E-3</v>
      </c>
      <c r="AL41" s="388">
        <v>3.8832591777365282E-3</v>
      </c>
      <c r="AM41" s="388">
        <v>3.0804671173001552E-3</v>
      </c>
      <c r="AN41" s="388">
        <v>3.1564062785176491E-3</v>
      </c>
      <c r="AO41" s="388">
        <v>3.1935621938543692E-3</v>
      </c>
      <c r="AP41" s="388">
        <v>2.9249378541980381E-3</v>
      </c>
      <c r="AQ41" s="388">
        <v>2.4694675775761617E-3</v>
      </c>
      <c r="AR41" s="388">
        <v>2.0456568473641249E-3</v>
      </c>
      <c r="AS41" s="388">
        <v>1.3207479357115681E-3</v>
      </c>
      <c r="AT41" s="388">
        <v>1.4068746168215245E-11</v>
      </c>
      <c r="AU41" s="388">
        <v>1.406874616805606E-11</v>
      </c>
      <c r="AV41" s="388">
        <v>1.406874616822663E-11</v>
      </c>
      <c r="AW41" s="388">
        <v>1.4068746168606434E-11</v>
      </c>
      <c r="AX41" s="388">
        <v>1.4068746168049984E-11</v>
      </c>
      <c r="AY41" s="388">
        <v>1.4068746168139072E-11</v>
      </c>
      <c r="AZ41" s="388">
        <v>7.0752487116482882E-4</v>
      </c>
      <c r="BA41" s="388">
        <v>7.394118146251182E-3</v>
      </c>
      <c r="BB41" s="388">
        <v>9.8451922314623293E-3</v>
      </c>
      <c r="BC41" s="388">
        <v>8.4315147311849557E-3</v>
      </c>
      <c r="BD41" s="388">
        <v>8.4984133006887966E-3</v>
      </c>
      <c r="BE41" s="388">
        <v>7.1973210929849266E-3</v>
      </c>
      <c r="BF41" s="388">
        <v>6.5224163079985725E-3</v>
      </c>
      <c r="BG41" s="388">
        <v>3.7242659008597939E-3</v>
      </c>
      <c r="BH41" s="388">
        <v>1.2920346851672234E-3</v>
      </c>
      <c r="BI41" s="388">
        <v>8.2255432287756721E-4</v>
      </c>
      <c r="BJ41" s="388">
        <v>7.2836224165256146E-5</v>
      </c>
      <c r="BK41" s="388">
        <v>1.4068746168716556E-11</v>
      </c>
      <c r="BL41" s="388">
        <v>1.4068746168287861E-11</v>
      </c>
      <c r="BM41" s="388">
        <v>1.4068746168211998E-11</v>
      </c>
      <c r="BN41" s="388">
        <v>1.4068746168125356E-11</v>
      </c>
      <c r="BO41" s="388">
        <v>1.4068746168209906E-11</v>
      </c>
      <c r="BP41" s="388">
        <v>2.3060773899004181E-3</v>
      </c>
      <c r="BQ41" s="388">
        <v>6.346168537130395E-3</v>
      </c>
      <c r="BR41" s="388">
        <v>5.7070535726981633E-3</v>
      </c>
      <c r="BS41" s="388">
        <v>1.0759123557557529E-2</v>
      </c>
      <c r="BT41" s="388">
        <v>1.5089255871619524E-2</v>
      </c>
      <c r="BU41" s="388">
        <v>1.8972231971135688E-2</v>
      </c>
      <c r="BV41" s="388">
        <v>2.2883871143914471E-2</v>
      </c>
      <c r="BW41" s="388">
        <v>2.7097200821608585E-2</v>
      </c>
      <c r="BX41" s="388">
        <v>3.0730951099377502E-2</v>
      </c>
      <c r="BY41" s="388">
        <v>3.5532259444095007E-2</v>
      </c>
      <c r="BZ41" s="388">
        <v>3.9189516267395856E-2</v>
      </c>
      <c r="CA41" s="388">
        <v>4.3594862506944748E-2</v>
      </c>
      <c r="CB41" s="388">
        <v>4.8211763344427304E-2</v>
      </c>
      <c r="CC41" s="388">
        <v>4.9316740081822921E-2</v>
      </c>
      <c r="CD41" s="388">
        <v>5.4902324316230065E-2</v>
      </c>
      <c r="CE41" s="388">
        <v>6.0041986659519576E-2</v>
      </c>
      <c r="CF41" s="388">
        <v>6.5091161846819082E-2</v>
      </c>
      <c r="CG41" s="388">
        <v>6.9968939822032117E-2</v>
      </c>
      <c r="CH41" s="388">
        <v>7.2803882261365485E-2</v>
      </c>
      <c r="CI41" s="388">
        <v>7.635478025137804E-2</v>
      </c>
      <c r="CJ41" s="388">
        <v>7.9039208457572313E-2</v>
      </c>
      <c r="CK41" s="388">
        <v>8.4458621965578226E-2</v>
      </c>
      <c r="CL41" s="388">
        <v>8.9721233854415786E-2</v>
      </c>
      <c r="CM41" s="388">
        <v>9.6346906080445216E-2</v>
      </c>
      <c r="CN41" s="388">
        <v>9.9270438101090083E-2</v>
      </c>
      <c r="CO41" s="388">
        <v>0.10292534996157139</v>
      </c>
      <c r="CP41" s="388">
        <v>0.10821215731158251</v>
      </c>
      <c r="CQ41" s="388">
        <v>0.11468447432042048</v>
      </c>
      <c r="CR41" s="388">
        <v>0.11873552094022791</v>
      </c>
      <c r="CS41" s="388">
        <v>0.12376839139298637</v>
      </c>
      <c r="CT41" s="388">
        <v>0.12739577609947972</v>
      </c>
      <c r="CU41" s="388">
        <v>0.1311509194717867</v>
      </c>
      <c r="CV41" s="388">
        <v>0.13561435628258339</v>
      </c>
      <c r="CW41" s="388">
        <v>0.13805732205482393</v>
      </c>
      <c r="CX41" s="388">
        <v>0.14093227861636995</v>
      </c>
      <c r="CY41" s="388">
        <v>0.14481140891439051</v>
      </c>
      <c r="CZ41" s="388">
        <v>0.14947645213966135</v>
      </c>
      <c r="DA41" s="388">
        <v>0.15307572058408833</v>
      </c>
      <c r="DB41" s="388">
        <v>0.15621037342173624</v>
      </c>
      <c r="DC41" s="388">
        <v>0.15954114141816381</v>
      </c>
      <c r="DD41" s="388">
        <v>0.16329299123285307</v>
      </c>
      <c r="DE41" s="388">
        <v>0.16794356913346056</v>
      </c>
      <c r="DF41" s="388">
        <v>0.17398724160847392</v>
      </c>
      <c r="DG41" s="388">
        <v>0.17883886466356871</v>
      </c>
      <c r="DH41" s="388">
        <v>0.18247346732426731</v>
      </c>
      <c r="DI41" s="388">
        <v>0.18747635203965859</v>
      </c>
      <c r="DJ41" s="388">
        <v>0.17535522122838509</v>
      </c>
      <c r="DK41" s="388">
        <v>0.17020015319782922</v>
      </c>
      <c r="DL41" s="388">
        <v>0.17271410571418377</v>
      </c>
      <c r="DM41" s="388">
        <v>0.16102638040082845</v>
      </c>
      <c r="DN41" s="388">
        <v>0.14246430158850421</v>
      </c>
      <c r="DO41" s="388">
        <v>0.1362684236524899</v>
      </c>
      <c r="DP41" s="388">
        <v>0.11275688934374818</v>
      </c>
      <c r="DQ41" s="388">
        <v>0.10578614237293345</v>
      </c>
      <c r="DR41" s="388">
        <v>0.11308797345719926</v>
      </c>
      <c r="DS41" s="388">
        <v>0.1146117783560696</v>
      </c>
      <c r="DT41" s="388">
        <v>0.11831889115272085</v>
      </c>
      <c r="DU41" s="388">
        <v>9.4807356843974858E-2</v>
      </c>
      <c r="DV41" s="388">
        <v>7.1295822535236614E-2</v>
      </c>
      <c r="DW41" s="388">
        <v>4.7784288226486338E-2</v>
      </c>
      <c r="DX41" s="388">
        <v>2.4272753917744822E-2</v>
      </c>
      <c r="DY41" s="388">
        <v>7.6121960899645574E-4</v>
      </c>
      <c r="DZ41" s="388">
        <v>5.6299328007361375E-5</v>
      </c>
      <c r="EA41" s="388">
        <v>5.6299328007361375E-5</v>
      </c>
      <c r="EB41" s="388"/>
      <c r="EC41" s="435"/>
      <c r="ED41" s="388">
        <v>-1.8061608510300253E-4</v>
      </c>
      <c r="EE41" s="388">
        <v>6.263676956710671E-5</v>
      </c>
      <c r="EF41" s="388">
        <v>5.6941487039661282E-5</v>
      </c>
      <c r="EG41" s="388">
        <v>1.9285201956480117E-3</v>
      </c>
      <c r="EH41" s="388">
        <v>3.2283299388229459E-3</v>
      </c>
      <c r="EI41" s="388">
        <v>1.6972712248757131E-3</v>
      </c>
      <c r="EJ41" s="388">
        <v>4.2056968195339833E-3</v>
      </c>
      <c r="EK41" s="388">
        <v>2.4580974163949838E-3</v>
      </c>
      <c r="EL41" s="388">
        <v>5.045220271441826E-3</v>
      </c>
      <c r="EM41" s="388">
        <v>7.524167588915143E-5</v>
      </c>
      <c r="EN41" s="388">
        <v>1.6656016769279875E-2</v>
      </c>
      <c r="EO41" s="388">
        <v>2.2572588135810562E-2</v>
      </c>
      <c r="EP41" s="388">
        <v>2.2279230646618176E-2</v>
      </c>
      <c r="EQ41" s="388">
        <v>1.1164182638258051E-2</v>
      </c>
      <c r="ER41" s="388">
        <v>1.6709101781442942E-2</v>
      </c>
      <c r="ES41" s="388">
        <v>1.6408826649810502E-2</v>
      </c>
      <c r="ET41" s="388">
        <v>1.3826813893183226E-2</v>
      </c>
      <c r="EU41" s="388">
        <v>1.6000473291428827E-2</v>
      </c>
      <c r="EV41" s="388">
        <v>1.8953863561441901E-2</v>
      </c>
      <c r="EW41" s="388">
        <v>1.9648262061308725E-2</v>
      </c>
      <c r="EX41" s="388">
        <v>1.7640006332699597E-2</v>
      </c>
      <c r="EY41" s="388">
        <v>2.579254260258926E-3</v>
      </c>
      <c r="EZ41" s="388">
        <v>-1.1808755847312325E-3</v>
      </c>
      <c r="FA41" s="388">
        <v>2.8900000000000006E-2</v>
      </c>
      <c r="FB41" s="388">
        <v>1.7280444682737848E-2</v>
      </c>
      <c r="FC41" s="388">
        <v>2.0262906585585389E-3</v>
      </c>
      <c r="FD41" s="388">
        <v>3.0439671286239057E-3</v>
      </c>
      <c r="FE41" s="388">
        <v>-1.8061669455360723E-4</v>
      </c>
      <c r="FF41" s="388">
        <v>4.5734784128363633E-5</v>
      </c>
      <c r="FG41" s="388">
        <v>4.2706115279745955E-5</v>
      </c>
      <c r="FH41" s="388">
        <v>1.3129834003755515E-3</v>
      </c>
      <c r="FI41" s="388">
        <v>5.2114069285529793E-3</v>
      </c>
      <c r="FJ41" s="388">
        <v>5.9717592763468383E-4</v>
      </c>
      <c r="FK41" s="388">
        <v>1.4763125974090569E-2</v>
      </c>
      <c r="FL41" s="388">
        <v>-1.6883685887454721E-3</v>
      </c>
      <c r="FM41" s="388">
        <v>-2.1284734435271868E-3</v>
      </c>
      <c r="FN41" s="388">
        <v>-2.5013559554847701E-3</v>
      </c>
      <c r="FO41" s="388">
        <v>-1.9849107565710799E-4</v>
      </c>
      <c r="FP41" s="388">
        <v>-1.8562321998076205E-2</v>
      </c>
      <c r="FQ41" s="388">
        <v>-2.3902072024390101E-2</v>
      </c>
      <c r="FR41" s="388">
        <v>-2.2279230646618176E-2</v>
      </c>
      <c r="FS41" s="388">
        <v>-1.3450381159002319E-2</v>
      </c>
      <c r="FT41" s="388">
        <v>-1.8123761066295825E-2</v>
      </c>
      <c r="FU41" s="388">
        <v>-1.7794153850247661E-2</v>
      </c>
      <c r="FV41" s="388">
        <v>-1.5893999710897284E-2</v>
      </c>
      <c r="FW41" s="388">
        <v>-1.6958110745582056E-2</v>
      </c>
      <c r="FX41" s="388">
        <v>-2.0158107201057481E-2</v>
      </c>
      <c r="FY41" s="388">
        <v>-2.132720230510721E-2</v>
      </c>
      <c r="FZ41" s="388">
        <v>-1.9245856034768506E-2</v>
      </c>
      <c r="GA41" s="388">
        <v>-2.7116156543826339E-4</v>
      </c>
      <c r="GB41" s="388"/>
      <c r="GC41" s="388"/>
      <c r="GD41" s="388"/>
      <c r="GE41" s="388"/>
      <c r="GF41" s="388"/>
      <c r="GG41" s="388"/>
      <c r="GH41" s="388"/>
      <c r="GI41" s="388"/>
      <c r="GJ41" s="388"/>
      <c r="GK41" s="388"/>
      <c r="GL41" s="388"/>
      <c r="GM41" s="388"/>
      <c r="GN41" s="388"/>
      <c r="GO41" s="388"/>
      <c r="GP41" s="412"/>
      <c r="GQ41" s="412"/>
      <c r="GR41" s="412"/>
      <c r="GS41" s="412"/>
      <c r="GT41" s="412"/>
      <c r="GU41" s="412"/>
      <c r="GV41" s="412"/>
      <c r="GW41" s="412"/>
      <c r="GX41" s="412"/>
      <c r="GY41" s="412"/>
      <c r="GZ41" s="412"/>
      <c r="HA41" s="412"/>
      <c r="HB41" s="412"/>
      <c r="HC41" s="412"/>
      <c r="HD41" s="412"/>
      <c r="HE41" s="412"/>
      <c r="HF41" s="412"/>
      <c r="HG41" s="412"/>
      <c r="HH41" s="412"/>
      <c r="HI41" s="412"/>
      <c r="HJ41" s="412"/>
      <c r="HK41" s="412"/>
      <c r="HL41" s="412"/>
      <c r="HM41" s="412"/>
      <c r="HN41" s="412"/>
      <c r="HO41" s="412"/>
      <c r="HP41" s="412"/>
      <c r="HQ41" s="412"/>
      <c r="HR41" s="412"/>
      <c r="HS41" s="412"/>
      <c r="HT41" s="412"/>
      <c r="HU41" s="412"/>
      <c r="HV41" s="412"/>
      <c r="HW41" s="412"/>
      <c r="HX41" s="412"/>
      <c r="HY41" s="412"/>
      <c r="HZ41" s="412"/>
      <c r="IA41" s="412"/>
      <c r="IB41" s="412"/>
      <c r="IC41" s="412"/>
      <c r="ID41" s="412"/>
      <c r="IE41" s="412"/>
      <c r="IF41" s="412"/>
      <c r="IG41" s="412"/>
      <c r="IH41" s="412"/>
      <c r="II41" s="412"/>
      <c r="IJ41" s="412"/>
      <c r="IK41" s="412"/>
      <c r="IL41" s="412"/>
      <c r="IM41" s="412"/>
      <c r="IN41" s="412"/>
      <c r="IO41" s="412"/>
      <c r="IP41" s="412"/>
      <c r="IQ41" s="412"/>
      <c r="IR41" s="412"/>
      <c r="IS41" s="412"/>
      <c r="IT41" s="412"/>
      <c r="IU41" s="412"/>
      <c r="IV41" s="412"/>
      <c r="IW41" s="412"/>
      <c r="IX41" s="412"/>
      <c r="IY41" s="412"/>
      <c r="IZ41" s="412"/>
      <c r="JA41" s="412"/>
      <c r="JB41" s="412"/>
      <c r="JC41" s="412"/>
      <c r="JD41" s="412"/>
      <c r="JE41" s="412"/>
      <c r="JF41" s="412"/>
      <c r="JG41" s="412"/>
      <c r="JH41" s="412"/>
      <c r="JI41" s="412"/>
      <c r="JJ41" s="412"/>
      <c r="JK41" s="412"/>
      <c r="JL41" s="412"/>
      <c r="JM41" s="412"/>
      <c r="JN41" s="412"/>
      <c r="JO41" s="412"/>
      <c r="JP41" s="412"/>
      <c r="JQ41" s="412"/>
      <c r="JR41" s="412"/>
      <c r="JS41" s="412"/>
      <c r="JT41" s="412"/>
      <c r="JU41" s="412"/>
      <c r="JV41" s="412"/>
      <c r="JW41" s="412"/>
      <c r="JX41" s="412"/>
      <c r="JY41" s="412"/>
      <c r="JZ41" s="412"/>
      <c r="KA41" s="412"/>
      <c r="KB41" s="412"/>
      <c r="KC41" s="412"/>
      <c r="KD41" s="412"/>
      <c r="KE41" s="412"/>
      <c r="KF41" s="412"/>
      <c r="KG41" s="412"/>
      <c r="KH41" s="412"/>
      <c r="KI41" s="412"/>
      <c r="KJ41" s="412"/>
      <c r="KK41" s="412"/>
      <c r="KL41" s="412"/>
      <c r="KM41" s="412"/>
      <c r="KN41" s="412"/>
      <c r="KO41" s="412"/>
      <c r="KP41" s="412"/>
      <c r="KQ41" s="412"/>
      <c r="KR41" s="412"/>
      <c r="KS41" s="412"/>
      <c r="KT41" s="412"/>
      <c r="KU41" s="412"/>
      <c r="KV41" s="412"/>
      <c r="KW41" s="412"/>
      <c r="KX41" s="412"/>
      <c r="KY41" s="412"/>
      <c r="KZ41" s="412"/>
      <c r="LA41" s="412"/>
      <c r="LB41" s="412"/>
      <c r="LC41" s="412"/>
      <c r="LD41" s="412"/>
      <c r="LE41" s="412"/>
      <c r="LF41" s="412"/>
      <c r="LG41" s="412"/>
      <c r="LH41" s="412"/>
      <c r="LI41" s="412"/>
      <c r="LJ41" s="412"/>
      <c r="LK41" s="412"/>
      <c r="LL41" s="412"/>
      <c r="LM41" s="412"/>
      <c r="LN41" s="412"/>
      <c r="LO41" s="412"/>
      <c r="LP41" s="412"/>
      <c r="LQ41" s="412"/>
      <c r="LR41" s="412"/>
      <c r="LS41" s="412"/>
      <c r="LT41" s="412"/>
      <c r="LU41" s="412"/>
      <c r="LV41" s="412"/>
      <c r="LW41" s="412"/>
      <c r="LX41" s="412"/>
      <c r="LY41" s="412"/>
      <c r="LZ41" s="412"/>
      <c r="MA41" s="412"/>
      <c r="MB41" s="412"/>
      <c r="MC41" s="412"/>
      <c r="MD41" s="412"/>
      <c r="ME41" s="412"/>
      <c r="MF41" s="412"/>
      <c r="MG41" s="412"/>
      <c r="MH41" s="412"/>
      <c r="MI41" s="412"/>
      <c r="MJ41" s="412"/>
      <c r="MK41" s="412"/>
      <c r="ML41" s="412"/>
      <c r="MM41" s="412"/>
      <c r="MN41" s="412"/>
      <c r="MO41" s="412"/>
      <c r="MP41" s="412"/>
      <c r="MQ41" s="412"/>
      <c r="MR41" s="412"/>
      <c r="MS41" s="412"/>
      <c r="MT41" s="412"/>
      <c r="MU41" s="412"/>
      <c r="MV41" s="412"/>
      <c r="MW41" s="412"/>
      <c r="MX41" s="412"/>
      <c r="MY41" s="412"/>
      <c r="MZ41" s="412"/>
      <c r="NA41" s="412"/>
      <c r="NB41" s="412"/>
      <c r="NC41" s="412"/>
      <c r="ND41" s="412"/>
      <c r="NE41" s="412"/>
      <c r="NF41" s="412"/>
      <c r="NG41" s="412"/>
      <c r="NH41" s="412"/>
      <c r="NI41" s="412"/>
      <c r="NJ41" s="412"/>
      <c r="NK41" s="412"/>
      <c r="NL41" s="412"/>
      <c r="NM41" s="412"/>
      <c r="NN41" s="412"/>
      <c r="NO41" s="412"/>
      <c r="NP41" s="412"/>
      <c r="NQ41" s="412"/>
      <c r="NR41" s="412"/>
      <c r="NS41" s="412"/>
      <c r="NT41" s="412"/>
      <c r="NU41" s="412"/>
      <c r="NV41" s="412"/>
      <c r="NW41" s="412"/>
      <c r="NX41" s="412"/>
      <c r="NY41" s="412"/>
      <c r="NZ41" s="412"/>
      <c r="OA41" s="412"/>
      <c r="OB41" s="412"/>
      <c r="OC41" s="412"/>
      <c r="OD41" s="412"/>
      <c r="OE41" s="412"/>
      <c r="OF41" s="412"/>
      <c r="OG41" s="412"/>
      <c r="OH41" s="412"/>
      <c r="OI41" s="412"/>
      <c r="OJ41" s="412"/>
      <c r="OK41" s="412"/>
      <c r="OL41" s="412"/>
      <c r="OM41" s="412"/>
      <c r="ON41" s="412"/>
      <c r="OO41" s="412"/>
      <c r="OP41" s="412"/>
      <c r="OQ41" s="412"/>
      <c r="OR41" s="412"/>
      <c r="OS41" s="412"/>
      <c r="OT41" s="412"/>
      <c r="OU41" s="412"/>
      <c r="OV41" s="412"/>
      <c r="OW41" s="412"/>
      <c r="OX41" s="412"/>
      <c r="OY41" s="412"/>
      <c r="OZ41" s="412"/>
      <c r="PA41" s="412"/>
      <c r="PB41" s="412"/>
      <c r="PC41" s="412"/>
      <c r="PD41" s="412"/>
      <c r="PE41" s="412"/>
      <c r="PF41" s="412"/>
      <c r="PG41" s="412"/>
      <c r="PH41" s="412"/>
      <c r="PI41" s="412"/>
      <c r="PJ41" s="412"/>
      <c r="PK41" s="412"/>
      <c r="PL41" s="412"/>
      <c r="PM41" s="412"/>
      <c r="PN41" s="412"/>
      <c r="PO41" s="412"/>
      <c r="PP41" s="412"/>
      <c r="PQ41" s="412"/>
      <c r="PR41" s="412"/>
      <c r="PS41" s="412"/>
      <c r="PT41" s="412"/>
      <c r="PU41" s="412"/>
      <c r="PV41" s="412"/>
      <c r="PW41" s="412"/>
      <c r="PX41" s="412"/>
      <c r="PY41" s="412"/>
      <c r="PZ41" s="412"/>
      <c r="QA41" s="412"/>
      <c r="QB41" s="412"/>
      <c r="QC41" s="412"/>
      <c r="QD41" s="412"/>
      <c r="QE41" s="412"/>
      <c r="QF41" s="412"/>
      <c r="QG41" s="412"/>
      <c r="QH41" s="412"/>
      <c r="QI41" s="412"/>
      <c r="QJ41" s="412"/>
      <c r="QK41" s="412"/>
      <c r="QL41" s="412"/>
      <c r="QM41" s="412"/>
      <c r="QN41" s="412"/>
      <c r="QO41" s="412"/>
      <c r="QP41" s="412"/>
      <c r="QQ41" s="412"/>
      <c r="QR41" s="412"/>
      <c r="QS41" s="412"/>
      <c r="QT41" s="412"/>
      <c r="QU41" s="412"/>
      <c r="QV41" s="412"/>
      <c r="QW41" s="412"/>
      <c r="QX41" s="412"/>
      <c r="QY41" s="412"/>
      <c r="QZ41" s="412"/>
      <c r="RA41" s="412"/>
      <c r="RB41" s="412"/>
      <c r="RC41" s="412"/>
      <c r="RD41" s="412"/>
      <c r="RE41" s="412"/>
      <c r="RF41" s="412"/>
      <c r="RG41" s="412"/>
      <c r="RH41" s="412"/>
      <c r="RI41" s="412"/>
      <c r="RJ41" s="412"/>
      <c r="RK41" s="412"/>
      <c r="RL41" s="412"/>
      <c r="RM41" s="412"/>
      <c r="RN41" s="412"/>
      <c r="RO41" s="412"/>
      <c r="RP41" s="412"/>
      <c r="RQ41" s="412"/>
      <c r="RR41" s="412"/>
      <c r="RS41" s="412"/>
      <c r="RT41" s="412"/>
      <c r="RU41" s="412"/>
      <c r="RV41" s="412"/>
      <c r="RW41" s="412"/>
      <c r="RX41" s="412"/>
      <c r="RY41" s="412"/>
      <c r="RZ41" s="412"/>
      <c r="SA41" s="412"/>
      <c r="SB41" s="412"/>
      <c r="SC41" s="412"/>
      <c r="SD41" s="412"/>
      <c r="SE41" s="412"/>
      <c r="SF41" s="412"/>
      <c r="SG41" s="412"/>
    </row>
    <row r="42" spans="1:501" x14ac:dyDescent="0.2">
      <c r="A42" s="391" t="s">
        <v>23</v>
      </c>
      <c r="B42" s="110"/>
      <c r="C42" s="392">
        <v>0.12</v>
      </c>
      <c r="D42" s="392">
        <v>0.24</v>
      </c>
      <c r="E42" s="392">
        <v>0</v>
      </c>
      <c r="F42" s="392">
        <v>1</v>
      </c>
      <c r="G42" s="392"/>
      <c r="H42" s="435"/>
      <c r="I42" s="410">
        <v>0</v>
      </c>
      <c r="J42" s="410">
        <v>0</v>
      </c>
      <c r="K42" s="410">
        <v>0</v>
      </c>
      <c r="L42" s="410">
        <v>0</v>
      </c>
      <c r="M42" s="410">
        <v>1</v>
      </c>
      <c r="N42" s="410">
        <v>0</v>
      </c>
      <c r="O42" s="435"/>
      <c r="P42" s="393">
        <v>0</v>
      </c>
      <c r="Q42" s="393">
        <v>0</v>
      </c>
      <c r="R42" s="393">
        <v>0</v>
      </c>
      <c r="S42" s="393">
        <v>0</v>
      </c>
      <c r="T42" s="393">
        <v>0</v>
      </c>
      <c r="U42" s="435"/>
      <c r="V42" s="393">
        <v>0</v>
      </c>
      <c r="W42" s="393">
        <v>0</v>
      </c>
      <c r="X42" s="393">
        <v>0</v>
      </c>
      <c r="Y42" s="393">
        <v>0</v>
      </c>
      <c r="Z42" s="393">
        <v>0</v>
      </c>
      <c r="AA42" s="393"/>
      <c r="AB42" s="435"/>
      <c r="AC42" s="393">
        <v>3.8800000000000001E-2</v>
      </c>
      <c r="AD42" s="411"/>
      <c r="AE42" s="435"/>
      <c r="AF42" s="388">
        <v>2.2231124122778261E-2</v>
      </c>
      <c r="AG42" s="388">
        <v>2.1636394533490769E-2</v>
      </c>
      <c r="AH42" s="388">
        <v>2.220100893681675E-2</v>
      </c>
      <c r="AI42" s="388">
        <v>2.1547431200777529E-2</v>
      </c>
      <c r="AJ42" s="388">
        <v>2.2136949081623381E-2</v>
      </c>
      <c r="AK42" s="388">
        <v>2.2188630519917037E-2</v>
      </c>
      <c r="AL42" s="388">
        <v>2.1674342737827708E-2</v>
      </c>
      <c r="AM42" s="388">
        <v>2.2017932930331312E-2</v>
      </c>
      <c r="AN42" s="388">
        <v>2.162601090448385E-2</v>
      </c>
      <c r="AO42" s="388">
        <v>2.0851605700476093E-2</v>
      </c>
      <c r="AP42" s="388">
        <v>2.0651897676437256E-2</v>
      </c>
      <c r="AQ42" s="388">
        <v>2.0185797567874385E-2</v>
      </c>
      <c r="AR42" s="388">
        <v>2.0170875566615815E-2</v>
      </c>
      <c r="AS42" s="388">
        <v>2.0112557900391195E-2</v>
      </c>
      <c r="AT42" s="388">
        <v>2.0429505312228122E-2</v>
      </c>
      <c r="AU42" s="388">
        <v>2.0117299203802754E-2</v>
      </c>
      <c r="AV42" s="388">
        <v>2.0159052056412729E-2</v>
      </c>
      <c r="AW42" s="388">
        <v>2.0115324151969066E-2</v>
      </c>
      <c r="AX42" s="388">
        <v>2.0157357207403345E-2</v>
      </c>
      <c r="AY42" s="388">
        <v>1.9772734220824088E-2</v>
      </c>
      <c r="AZ42" s="388">
        <v>2.2751221735273087E-2</v>
      </c>
      <c r="BA42" s="388">
        <v>2.6405783917954641E-2</v>
      </c>
      <c r="BB42" s="388">
        <v>2.9200322792739982E-2</v>
      </c>
      <c r="BC42" s="388">
        <v>3.1106220681640113E-2</v>
      </c>
      <c r="BD42" s="388">
        <v>3.2123417277316539E-2</v>
      </c>
      <c r="BE42" s="388">
        <v>3.3283405402901631E-2</v>
      </c>
      <c r="BF42" s="388">
        <v>3.4476827296668608E-2</v>
      </c>
      <c r="BG42" s="388">
        <v>3.6574823309601281E-2</v>
      </c>
      <c r="BH42" s="388">
        <v>3.777977225421407E-2</v>
      </c>
      <c r="BI42" s="388">
        <v>3.9581241959156008E-2</v>
      </c>
      <c r="BJ42" s="388">
        <v>4.0354535312729381E-2</v>
      </c>
      <c r="BK42" s="388">
        <v>4.2719117052025864E-2</v>
      </c>
      <c r="BL42" s="388">
        <v>4.3329145837095122E-2</v>
      </c>
      <c r="BM42" s="388">
        <v>4.5939936879104804E-2</v>
      </c>
      <c r="BN42" s="388">
        <v>4.8013399333907004E-2</v>
      </c>
      <c r="BO42" s="388">
        <v>4.9943694860789749E-2</v>
      </c>
      <c r="BP42" s="388">
        <v>5.097492780575625E-2</v>
      </c>
      <c r="BQ42" s="388">
        <v>5.1808324025241138E-2</v>
      </c>
      <c r="BR42" s="388">
        <v>5.3829799899085172E-2</v>
      </c>
      <c r="BS42" s="388">
        <v>5.5935633429715484E-2</v>
      </c>
      <c r="BT42" s="388">
        <v>5.9075728591156104E-2</v>
      </c>
      <c r="BU42" s="388">
        <v>6.2344118857204797E-2</v>
      </c>
      <c r="BV42" s="388">
        <v>6.6286494143536212E-2</v>
      </c>
      <c r="BW42" s="388">
        <v>7.0542766521578981E-2</v>
      </c>
      <c r="BX42" s="388">
        <v>7.3706830383396607E-2</v>
      </c>
      <c r="BY42" s="388">
        <v>7.8094565660736651E-2</v>
      </c>
      <c r="BZ42" s="388">
        <v>8.2205139847807099E-2</v>
      </c>
      <c r="CA42" s="388">
        <v>8.5047273801843973E-2</v>
      </c>
      <c r="CB42" s="388">
        <v>8.7780345356614817E-2</v>
      </c>
      <c r="CC42" s="388">
        <v>9.3351448271779061E-2</v>
      </c>
      <c r="CD42" s="388">
        <v>9.7651219640923687E-2</v>
      </c>
      <c r="CE42" s="388">
        <v>0.10248822669043084</v>
      </c>
      <c r="CF42" s="388">
        <v>0.1073842122489919</v>
      </c>
      <c r="CG42" s="388">
        <v>0.1123919125798224</v>
      </c>
      <c r="CH42" s="388">
        <v>0.1187311101030494</v>
      </c>
      <c r="CI42" s="388">
        <v>0.12460365586265169</v>
      </c>
      <c r="CJ42" s="388">
        <v>0.13104095313052597</v>
      </c>
      <c r="CK42" s="388">
        <v>0.13569562525906864</v>
      </c>
      <c r="CL42" s="388">
        <v>0.14045249144249117</v>
      </c>
      <c r="CM42" s="388">
        <v>0.1443209339884004</v>
      </c>
      <c r="CN42" s="388">
        <v>0.15060238982037374</v>
      </c>
      <c r="CO42" s="388">
        <v>0.15640714051078647</v>
      </c>
      <c r="CP42" s="388">
        <v>0.16114824010231119</v>
      </c>
      <c r="CQ42" s="388">
        <v>0.16511664158860159</v>
      </c>
      <c r="CR42" s="388">
        <v>0.17066319236766728</v>
      </c>
      <c r="CS42" s="388">
        <v>0.17556980516854959</v>
      </c>
      <c r="CT42" s="388">
        <v>0.18139249774787355</v>
      </c>
      <c r="CU42" s="388">
        <v>0.18713191866785703</v>
      </c>
      <c r="CV42" s="388">
        <v>0.19240968190263943</v>
      </c>
      <c r="CW42" s="388">
        <v>0.19900436540236816</v>
      </c>
      <c r="CX42" s="388">
        <v>0.20531748217144236</v>
      </c>
      <c r="CY42" s="388">
        <v>0.2109760898097984</v>
      </c>
      <c r="CZ42" s="388">
        <v>0.21612244825446045</v>
      </c>
      <c r="DA42" s="388">
        <v>0.22196346669670705</v>
      </c>
      <c r="DB42" s="388">
        <v>0.22810732009532431</v>
      </c>
      <c r="DC42" s="388">
        <v>0.23412334410526736</v>
      </c>
      <c r="DD42" s="388">
        <v>0.23986490799184498</v>
      </c>
      <c r="DE42" s="388">
        <v>0.24502069850935351</v>
      </c>
      <c r="DF42" s="388">
        <v>0.24926848193750281</v>
      </c>
      <c r="DG42" s="388">
        <v>0.25429322975066476</v>
      </c>
      <c r="DH42" s="388">
        <v>0.26011121401157838</v>
      </c>
      <c r="DI42" s="388">
        <v>0.26503737491548973</v>
      </c>
      <c r="DJ42" s="388">
        <v>0.28112477252270074</v>
      </c>
      <c r="DK42" s="388">
        <v>0.29408543783843216</v>
      </c>
      <c r="DL42" s="388">
        <v>0.3026381230387874</v>
      </c>
      <c r="DM42" s="388">
        <v>0.31935361335025775</v>
      </c>
      <c r="DN42" s="388">
        <v>0.34029426425882425</v>
      </c>
      <c r="DO42" s="388">
        <v>0.35481157009858943</v>
      </c>
      <c r="DP42" s="388">
        <v>0.37832310440733152</v>
      </c>
      <c r="DQ42" s="388">
        <v>0.39503637909289452</v>
      </c>
      <c r="DR42" s="388">
        <v>0.40588362762575414</v>
      </c>
      <c r="DS42" s="388">
        <v>0.41910564353306412</v>
      </c>
      <c r="DT42" s="388">
        <v>0.43143032041876778</v>
      </c>
      <c r="DU42" s="388">
        <v>0.45494185472751447</v>
      </c>
      <c r="DV42" s="388">
        <v>0.47845338903625251</v>
      </c>
      <c r="DW42" s="388">
        <v>0.50196492334500242</v>
      </c>
      <c r="DX42" s="388">
        <v>0.52547645765374429</v>
      </c>
      <c r="DY42" s="388">
        <v>0.54898799196249226</v>
      </c>
      <c r="DZ42" s="388">
        <v>0.56831515524715859</v>
      </c>
      <c r="EA42" s="388">
        <v>0.56831515524715859</v>
      </c>
      <c r="EB42" s="388"/>
      <c r="EC42" s="435"/>
      <c r="ED42" s="388">
        <v>-2.1892061613993546E-4</v>
      </c>
      <c r="EE42" s="388">
        <v>-7.7790013641216226E-4</v>
      </c>
      <c r="EF42" s="388">
        <v>-3.2532223700450619E-3</v>
      </c>
      <c r="EG42" s="388">
        <v>1.9612658639839948E-3</v>
      </c>
      <c r="EH42" s="388">
        <v>2.2799279582078409E-3</v>
      </c>
      <c r="EI42" s="388">
        <v>4.1911675292436579E-4</v>
      </c>
      <c r="EJ42" s="388">
        <v>1.2647877610524401E-3</v>
      </c>
      <c r="EK42" s="388">
        <v>1.8238838474593855E-3</v>
      </c>
      <c r="EL42" s="388">
        <v>3.4765726770508349E-3</v>
      </c>
      <c r="EM42" s="388">
        <v>-1.524529723548094E-3</v>
      </c>
      <c r="EN42" s="388">
        <v>7.8882740643491881E-3</v>
      </c>
      <c r="EO42" s="388">
        <v>1.4987717176354002E-2</v>
      </c>
      <c r="EP42" s="388">
        <v>2.6175283448150462E-2</v>
      </c>
      <c r="EQ42" s="388">
        <v>8.0258156258078313E-3</v>
      </c>
      <c r="ER42" s="388">
        <v>8.4292388312605607E-3</v>
      </c>
      <c r="ES42" s="388">
        <v>1.5688593461505685E-2</v>
      </c>
      <c r="ET42" s="388">
        <v>4.4823906497808491E-3</v>
      </c>
      <c r="EU42" s="388">
        <v>2.4372183839547576E-2</v>
      </c>
      <c r="EV42" s="388">
        <v>2.1711936055978785E-2</v>
      </c>
      <c r="EW42" s="388">
        <v>2.0131047712983484E-2</v>
      </c>
      <c r="EX42" s="388">
        <v>1.7649825912346824E-2</v>
      </c>
      <c r="EY42" s="388">
        <v>1.5440817669650406E-3</v>
      </c>
      <c r="EZ42" s="388">
        <v>-1.1550492006268981E-3</v>
      </c>
      <c r="FA42" s="388">
        <v>1.7280444682737848E-2</v>
      </c>
      <c r="FB42" s="388">
        <v>5.7599999999999998E-2</v>
      </c>
      <c r="FC42" s="388">
        <v>-3.998388055235261E-4</v>
      </c>
      <c r="FD42" s="388">
        <v>-4.3510854285954607E-4</v>
      </c>
      <c r="FE42" s="388">
        <v>-2.189444800486259E-4</v>
      </c>
      <c r="FF42" s="388">
        <v>-5.6799057579300734E-4</v>
      </c>
      <c r="FG42" s="388">
        <v>-2.4399167775337963E-3</v>
      </c>
      <c r="FH42" s="388">
        <v>3.2422239377167915E-4</v>
      </c>
      <c r="FI42" s="388">
        <v>1.5672370082606324E-3</v>
      </c>
      <c r="FJ42" s="388">
        <v>-1.2089041496375517E-2</v>
      </c>
      <c r="FK42" s="388">
        <v>3.2113700294660796E-3</v>
      </c>
      <c r="FL42" s="388">
        <v>-9.4669229243232386E-3</v>
      </c>
      <c r="FM42" s="388">
        <v>-2.1901740533560496E-3</v>
      </c>
      <c r="FN42" s="388">
        <v>-1.9145950680286743E-3</v>
      </c>
      <c r="FO42" s="388">
        <v>2.8009788134388753E-3</v>
      </c>
      <c r="FP42" s="388">
        <v>-1.366256731179929E-2</v>
      </c>
      <c r="FQ42" s="388">
        <v>-1.9998242367930758E-2</v>
      </c>
      <c r="FR42" s="388">
        <v>-2.6175283448150462E-2</v>
      </c>
      <c r="FS42" s="388">
        <v>-1.217368586812716E-2</v>
      </c>
      <c r="FT42" s="388">
        <v>-1.209852203015559E-2</v>
      </c>
      <c r="FU42" s="388">
        <v>-1.9024396055000347E-2</v>
      </c>
      <c r="FV42" s="388">
        <v>-8.5978388657763014E-3</v>
      </c>
      <c r="FW42" s="388">
        <v>-2.6519013997894504E-2</v>
      </c>
      <c r="FX42" s="388">
        <v>-2.446635160263301E-2</v>
      </c>
      <c r="FY42" s="388">
        <v>-2.3526147411994672E-2</v>
      </c>
      <c r="FZ42" s="388">
        <v>-2.1151355968788949E-2</v>
      </c>
      <c r="GA42" s="388">
        <v>-2.0909212884045425E-4</v>
      </c>
      <c r="GB42" s="388"/>
      <c r="GC42" s="388"/>
      <c r="GD42" s="388"/>
      <c r="GE42" s="388"/>
      <c r="GF42" s="388"/>
      <c r="GG42" s="388"/>
      <c r="GH42" s="388"/>
      <c r="GI42" s="388"/>
      <c r="GJ42" s="388"/>
      <c r="GK42" s="388"/>
      <c r="GL42" s="388"/>
      <c r="GM42" s="388"/>
      <c r="GN42" s="388"/>
      <c r="GO42" s="388"/>
      <c r="GP42" s="412"/>
      <c r="GQ42" s="412"/>
      <c r="GR42" s="412"/>
      <c r="GS42" s="412"/>
      <c r="GT42" s="412"/>
      <c r="GU42" s="412"/>
      <c r="GV42" s="412"/>
      <c r="GW42" s="412"/>
      <c r="GX42" s="412"/>
      <c r="GY42" s="412"/>
      <c r="GZ42" s="412"/>
      <c r="HA42" s="412"/>
      <c r="HB42" s="412"/>
      <c r="HC42" s="412"/>
      <c r="HD42" s="412"/>
      <c r="HE42" s="412"/>
      <c r="HF42" s="412"/>
      <c r="HG42" s="412"/>
      <c r="HH42" s="412"/>
      <c r="HI42" s="412"/>
      <c r="HJ42" s="412"/>
      <c r="HK42" s="412"/>
      <c r="HL42" s="412"/>
      <c r="HM42" s="412"/>
      <c r="HN42" s="412"/>
      <c r="HO42" s="412"/>
      <c r="HP42" s="412"/>
      <c r="HQ42" s="412"/>
      <c r="HR42" s="412"/>
      <c r="HS42" s="412"/>
      <c r="HT42" s="412"/>
      <c r="HU42" s="412"/>
      <c r="HV42" s="412"/>
      <c r="HW42" s="412"/>
      <c r="HX42" s="412"/>
      <c r="HY42" s="412"/>
      <c r="HZ42" s="412"/>
      <c r="IA42" s="412"/>
      <c r="IB42" s="412"/>
      <c r="IC42" s="412"/>
      <c r="ID42" s="412"/>
      <c r="IE42" s="412"/>
      <c r="IF42" s="412"/>
      <c r="IG42" s="412"/>
      <c r="IH42" s="412"/>
      <c r="II42" s="412"/>
      <c r="IJ42" s="412"/>
      <c r="IK42" s="412"/>
      <c r="IL42" s="412"/>
      <c r="IM42" s="412"/>
      <c r="IN42" s="412"/>
      <c r="IO42" s="412"/>
      <c r="IP42" s="412"/>
      <c r="IQ42" s="412"/>
      <c r="IR42" s="412"/>
      <c r="IS42" s="412"/>
      <c r="IT42" s="412"/>
      <c r="IU42" s="412"/>
      <c r="IV42" s="412"/>
      <c r="IW42" s="412"/>
      <c r="IX42" s="412"/>
      <c r="IY42" s="412"/>
      <c r="IZ42" s="412"/>
      <c r="JA42" s="412"/>
      <c r="JB42" s="412"/>
      <c r="JC42" s="412"/>
      <c r="JD42" s="412"/>
      <c r="JE42" s="412"/>
      <c r="JF42" s="412"/>
      <c r="JG42" s="412"/>
      <c r="JH42" s="412"/>
      <c r="JI42" s="412"/>
      <c r="JJ42" s="412"/>
      <c r="JK42" s="412"/>
      <c r="JL42" s="412"/>
      <c r="JM42" s="412"/>
      <c r="JN42" s="412"/>
      <c r="JO42" s="412"/>
      <c r="JP42" s="412"/>
      <c r="JQ42" s="412"/>
      <c r="JR42" s="412"/>
      <c r="JS42" s="412"/>
      <c r="JT42" s="412"/>
      <c r="JU42" s="412"/>
      <c r="JV42" s="412"/>
      <c r="JW42" s="412"/>
      <c r="JX42" s="412"/>
      <c r="JY42" s="412"/>
      <c r="JZ42" s="412"/>
      <c r="KA42" s="412"/>
      <c r="KB42" s="412"/>
      <c r="KC42" s="412"/>
      <c r="KD42" s="412"/>
      <c r="KE42" s="412"/>
      <c r="KF42" s="412"/>
      <c r="KG42" s="412"/>
      <c r="KH42" s="412"/>
      <c r="KI42" s="412"/>
      <c r="KJ42" s="412"/>
      <c r="KK42" s="412"/>
      <c r="KL42" s="412"/>
      <c r="KM42" s="412"/>
      <c r="KN42" s="412"/>
      <c r="KO42" s="412"/>
      <c r="KP42" s="412"/>
      <c r="KQ42" s="412"/>
      <c r="KR42" s="412"/>
      <c r="KS42" s="412"/>
      <c r="KT42" s="412"/>
      <c r="KU42" s="412"/>
      <c r="KV42" s="412"/>
      <c r="KW42" s="412"/>
      <c r="KX42" s="412"/>
      <c r="KY42" s="412"/>
      <c r="KZ42" s="412"/>
      <c r="LA42" s="412"/>
      <c r="LB42" s="412"/>
      <c r="LC42" s="412"/>
      <c r="LD42" s="412"/>
      <c r="LE42" s="412"/>
      <c r="LF42" s="412"/>
      <c r="LG42" s="412"/>
      <c r="LH42" s="412"/>
      <c r="LI42" s="412"/>
      <c r="LJ42" s="412"/>
      <c r="LK42" s="412"/>
      <c r="LL42" s="412"/>
      <c r="LM42" s="412"/>
      <c r="LN42" s="412"/>
      <c r="LO42" s="412"/>
      <c r="LP42" s="412"/>
      <c r="LQ42" s="412"/>
      <c r="LR42" s="412"/>
      <c r="LS42" s="412"/>
      <c r="LT42" s="412"/>
      <c r="LU42" s="412"/>
      <c r="LV42" s="412"/>
      <c r="LW42" s="412"/>
      <c r="LX42" s="412"/>
      <c r="LY42" s="412"/>
      <c r="LZ42" s="412"/>
      <c r="MA42" s="412"/>
      <c r="MB42" s="412"/>
      <c r="MC42" s="412"/>
      <c r="MD42" s="412"/>
      <c r="ME42" s="412"/>
      <c r="MF42" s="412"/>
      <c r="MG42" s="412"/>
      <c r="MH42" s="412"/>
      <c r="MI42" s="412"/>
      <c r="MJ42" s="412"/>
      <c r="MK42" s="412"/>
      <c r="ML42" s="412"/>
      <c r="MM42" s="412"/>
      <c r="MN42" s="412"/>
      <c r="MO42" s="412"/>
      <c r="MP42" s="412"/>
      <c r="MQ42" s="412"/>
      <c r="MR42" s="412"/>
      <c r="MS42" s="412"/>
      <c r="MT42" s="412"/>
      <c r="MU42" s="412"/>
      <c r="MV42" s="412"/>
      <c r="MW42" s="412"/>
      <c r="MX42" s="412"/>
      <c r="MY42" s="412"/>
      <c r="MZ42" s="412"/>
      <c r="NA42" s="412"/>
      <c r="NB42" s="412"/>
      <c r="NC42" s="412"/>
      <c r="ND42" s="412"/>
      <c r="NE42" s="412"/>
      <c r="NF42" s="412"/>
      <c r="NG42" s="412"/>
      <c r="NH42" s="412"/>
      <c r="NI42" s="412"/>
      <c r="NJ42" s="412"/>
      <c r="NK42" s="412"/>
      <c r="NL42" s="412"/>
      <c r="NM42" s="412"/>
      <c r="NN42" s="412"/>
      <c r="NO42" s="412"/>
      <c r="NP42" s="412"/>
      <c r="NQ42" s="412"/>
      <c r="NR42" s="412"/>
      <c r="NS42" s="412"/>
      <c r="NT42" s="412"/>
      <c r="NU42" s="412"/>
      <c r="NV42" s="412"/>
      <c r="NW42" s="412"/>
      <c r="NX42" s="412"/>
      <c r="NY42" s="412"/>
      <c r="NZ42" s="412"/>
      <c r="OA42" s="412"/>
      <c r="OB42" s="412"/>
      <c r="OC42" s="412"/>
      <c r="OD42" s="412"/>
      <c r="OE42" s="412"/>
      <c r="OF42" s="412"/>
      <c r="OG42" s="412"/>
      <c r="OH42" s="412"/>
      <c r="OI42" s="412"/>
      <c r="OJ42" s="412"/>
      <c r="OK42" s="412"/>
      <c r="OL42" s="412"/>
      <c r="OM42" s="412"/>
      <c r="ON42" s="412"/>
      <c r="OO42" s="412"/>
      <c r="OP42" s="412"/>
      <c r="OQ42" s="412"/>
      <c r="OR42" s="412"/>
      <c r="OS42" s="412"/>
      <c r="OT42" s="412"/>
      <c r="OU42" s="412"/>
      <c r="OV42" s="412"/>
      <c r="OW42" s="412"/>
      <c r="OX42" s="412"/>
      <c r="OY42" s="412"/>
      <c r="OZ42" s="412"/>
      <c r="PA42" s="412"/>
      <c r="PB42" s="412"/>
      <c r="PC42" s="412"/>
      <c r="PD42" s="412"/>
      <c r="PE42" s="412"/>
      <c r="PF42" s="412"/>
      <c r="PG42" s="412"/>
      <c r="PH42" s="412"/>
      <c r="PI42" s="412"/>
      <c r="PJ42" s="412"/>
      <c r="PK42" s="412"/>
      <c r="PL42" s="412"/>
      <c r="PM42" s="412"/>
      <c r="PN42" s="412"/>
      <c r="PO42" s="412"/>
      <c r="PP42" s="412"/>
      <c r="PQ42" s="412"/>
      <c r="PR42" s="412"/>
      <c r="PS42" s="412"/>
      <c r="PT42" s="412"/>
      <c r="PU42" s="412"/>
      <c r="PV42" s="412"/>
      <c r="PW42" s="412"/>
      <c r="PX42" s="412"/>
      <c r="PY42" s="412"/>
      <c r="PZ42" s="412"/>
      <c r="QA42" s="412"/>
      <c r="QB42" s="412"/>
      <c r="QC42" s="412"/>
      <c r="QD42" s="412"/>
      <c r="QE42" s="412"/>
      <c r="QF42" s="412"/>
      <c r="QG42" s="412"/>
      <c r="QH42" s="412"/>
      <c r="QI42" s="412"/>
      <c r="QJ42" s="412"/>
      <c r="QK42" s="412"/>
      <c r="QL42" s="412"/>
      <c r="QM42" s="412"/>
      <c r="QN42" s="412"/>
      <c r="QO42" s="412"/>
      <c r="QP42" s="412"/>
      <c r="QQ42" s="412"/>
      <c r="QR42" s="412"/>
      <c r="QS42" s="412"/>
      <c r="QT42" s="412"/>
      <c r="QU42" s="412"/>
      <c r="QV42" s="412"/>
      <c r="QW42" s="412"/>
      <c r="QX42" s="412"/>
      <c r="QY42" s="412"/>
      <c r="QZ42" s="412"/>
      <c r="RA42" s="412"/>
      <c r="RB42" s="412"/>
      <c r="RC42" s="412"/>
      <c r="RD42" s="412"/>
      <c r="RE42" s="412"/>
      <c r="RF42" s="412"/>
      <c r="RG42" s="412"/>
      <c r="RH42" s="412"/>
      <c r="RI42" s="412"/>
      <c r="RJ42" s="412"/>
      <c r="RK42" s="412"/>
      <c r="RL42" s="412"/>
      <c r="RM42" s="412"/>
      <c r="RN42" s="412"/>
      <c r="RO42" s="412"/>
      <c r="RP42" s="412"/>
      <c r="RQ42" s="412"/>
      <c r="RR42" s="412"/>
      <c r="RS42" s="412"/>
      <c r="RT42" s="412"/>
      <c r="RU42" s="412"/>
      <c r="RV42" s="412"/>
      <c r="RW42" s="412"/>
      <c r="RX42" s="412"/>
      <c r="RY42" s="412"/>
      <c r="RZ42" s="412"/>
      <c r="SA42" s="412"/>
      <c r="SB42" s="412"/>
      <c r="SC42" s="412"/>
      <c r="SD42" s="412"/>
      <c r="SE42" s="412"/>
      <c r="SF42" s="412"/>
      <c r="SG42" s="412"/>
    </row>
    <row r="43" spans="1:501" x14ac:dyDescent="0.2">
      <c r="A43" s="391" t="s">
        <v>24</v>
      </c>
      <c r="B43" s="110"/>
      <c r="C43" s="392">
        <v>0.09</v>
      </c>
      <c r="D43" s="392">
        <v>0.12</v>
      </c>
      <c r="E43" s="392">
        <v>4.4600000000000001E-2</v>
      </c>
      <c r="F43" s="392">
        <v>6.8499999999999991E-2</v>
      </c>
      <c r="G43" s="392"/>
      <c r="H43" s="435"/>
      <c r="I43" s="410">
        <v>0</v>
      </c>
      <c r="J43" s="410">
        <v>0</v>
      </c>
      <c r="K43" s="410">
        <v>0</v>
      </c>
      <c r="L43" s="410">
        <v>0</v>
      </c>
      <c r="M43" s="410">
        <v>1</v>
      </c>
      <c r="N43" s="410">
        <v>0</v>
      </c>
      <c r="O43" s="435"/>
      <c r="P43" s="393">
        <v>0</v>
      </c>
      <c r="Q43" s="393">
        <v>0</v>
      </c>
      <c r="R43" s="393">
        <v>0</v>
      </c>
      <c r="S43" s="393">
        <v>0</v>
      </c>
      <c r="T43" s="393">
        <v>0</v>
      </c>
      <c r="U43" s="435"/>
      <c r="V43" s="393">
        <v>0</v>
      </c>
      <c r="W43" s="393">
        <v>0</v>
      </c>
      <c r="X43" s="393">
        <v>0</v>
      </c>
      <c r="Y43" s="393">
        <v>0</v>
      </c>
      <c r="Z43" s="393">
        <v>0</v>
      </c>
      <c r="AA43" s="393"/>
      <c r="AB43" s="435"/>
      <c r="AC43" s="393">
        <v>4.4600000000000001E-2</v>
      </c>
      <c r="AD43" s="411"/>
      <c r="AE43" s="435"/>
      <c r="AF43" s="388">
        <v>6.8499999999999991E-2</v>
      </c>
      <c r="AG43" s="388">
        <v>6.8499999999999991E-2</v>
      </c>
      <c r="AH43" s="388">
        <v>6.8499999999999991E-2</v>
      </c>
      <c r="AI43" s="388">
        <v>6.8499999999999991E-2</v>
      </c>
      <c r="AJ43" s="388">
        <v>6.8499999999999991E-2</v>
      </c>
      <c r="AK43" s="388">
        <v>6.8499999999999991E-2</v>
      </c>
      <c r="AL43" s="388">
        <v>6.8499999999999991E-2</v>
      </c>
      <c r="AM43" s="388">
        <v>6.8499999999999991E-2</v>
      </c>
      <c r="AN43" s="388">
        <v>6.8499999999999991E-2</v>
      </c>
      <c r="AO43" s="388">
        <v>6.8499999999999991E-2</v>
      </c>
      <c r="AP43" s="388">
        <v>6.8499999999999991E-2</v>
      </c>
      <c r="AQ43" s="388">
        <v>6.8499999999999991E-2</v>
      </c>
      <c r="AR43" s="388">
        <v>6.8499999999999991E-2</v>
      </c>
      <c r="AS43" s="388">
        <v>6.8499999999999991E-2</v>
      </c>
      <c r="AT43" s="388">
        <v>6.8499999999999991E-2</v>
      </c>
      <c r="AU43" s="388">
        <v>6.8499999999999991E-2</v>
      </c>
      <c r="AV43" s="388">
        <v>6.8499999999999991E-2</v>
      </c>
      <c r="AW43" s="388">
        <v>6.8499999999999991E-2</v>
      </c>
      <c r="AX43" s="388">
        <v>6.8499999999999991E-2</v>
      </c>
      <c r="AY43" s="388">
        <v>6.8499999999999991E-2</v>
      </c>
      <c r="AZ43" s="388">
        <v>6.8499999999999991E-2</v>
      </c>
      <c r="BA43" s="388">
        <v>6.8499999999999991E-2</v>
      </c>
      <c r="BB43" s="388">
        <v>6.8499999999999991E-2</v>
      </c>
      <c r="BC43" s="388">
        <v>6.8499999999999991E-2</v>
      </c>
      <c r="BD43" s="388">
        <v>6.8499999999999991E-2</v>
      </c>
      <c r="BE43" s="388">
        <v>6.8499999999999991E-2</v>
      </c>
      <c r="BF43" s="388">
        <v>6.8499999999999991E-2</v>
      </c>
      <c r="BG43" s="388">
        <v>6.8499999999999991E-2</v>
      </c>
      <c r="BH43" s="388">
        <v>6.8499999999999991E-2</v>
      </c>
      <c r="BI43" s="388">
        <v>6.8499999999999991E-2</v>
      </c>
      <c r="BJ43" s="388">
        <v>6.8499999999999991E-2</v>
      </c>
      <c r="BK43" s="388">
        <v>6.8499999999999991E-2</v>
      </c>
      <c r="BL43" s="388">
        <v>6.8499999999999991E-2</v>
      </c>
      <c r="BM43" s="388">
        <v>6.8499999999999991E-2</v>
      </c>
      <c r="BN43" s="388">
        <v>6.8499999999999991E-2</v>
      </c>
      <c r="BO43" s="388">
        <v>6.8499999999999991E-2</v>
      </c>
      <c r="BP43" s="388">
        <v>6.8499999999999991E-2</v>
      </c>
      <c r="BQ43" s="388">
        <v>6.8499999999999991E-2</v>
      </c>
      <c r="BR43" s="388">
        <v>6.8499999999999991E-2</v>
      </c>
      <c r="BS43" s="388">
        <v>6.8499999999999991E-2</v>
      </c>
      <c r="BT43" s="388">
        <v>6.8499999999999991E-2</v>
      </c>
      <c r="BU43" s="388">
        <v>6.8499999999999991E-2</v>
      </c>
      <c r="BV43" s="388">
        <v>6.8499999999999991E-2</v>
      </c>
      <c r="BW43" s="388">
        <v>6.8499999999999991E-2</v>
      </c>
      <c r="BX43" s="388">
        <v>6.8499999999999991E-2</v>
      </c>
      <c r="BY43" s="388">
        <v>6.8499999999999991E-2</v>
      </c>
      <c r="BZ43" s="388">
        <v>6.8499999999999991E-2</v>
      </c>
      <c r="CA43" s="388">
        <v>6.8499999999999991E-2</v>
      </c>
      <c r="CB43" s="388">
        <v>6.8499999999999991E-2</v>
      </c>
      <c r="CC43" s="388">
        <v>6.8499999999999991E-2</v>
      </c>
      <c r="CD43" s="388">
        <v>6.8499999999999991E-2</v>
      </c>
      <c r="CE43" s="388">
        <v>6.8499999999999991E-2</v>
      </c>
      <c r="CF43" s="388">
        <v>6.8499999999999991E-2</v>
      </c>
      <c r="CG43" s="388">
        <v>6.8499999999999797E-2</v>
      </c>
      <c r="CH43" s="388">
        <v>6.8499999999999936E-2</v>
      </c>
      <c r="CI43" s="388">
        <v>6.8499999999999936E-2</v>
      </c>
      <c r="CJ43" s="388">
        <v>6.8499999999999991E-2</v>
      </c>
      <c r="CK43" s="388">
        <v>6.8499999999999908E-2</v>
      </c>
      <c r="CL43" s="388">
        <v>6.8499999999999991E-2</v>
      </c>
      <c r="CM43" s="388">
        <v>6.8499999999999991E-2</v>
      </c>
      <c r="CN43" s="388">
        <v>6.8499999999999991E-2</v>
      </c>
      <c r="CO43" s="388">
        <v>6.8499999999999991E-2</v>
      </c>
      <c r="CP43" s="388">
        <v>6.8499999999999991E-2</v>
      </c>
      <c r="CQ43" s="388">
        <v>6.8499999999999991E-2</v>
      </c>
      <c r="CR43" s="388">
        <v>6.8499999999999991E-2</v>
      </c>
      <c r="CS43" s="388">
        <v>6.8499999999999991E-2</v>
      </c>
      <c r="CT43" s="388">
        <v>6.8499999999999991E-2</v>
      </c>
      <c r="CU43" s="388">
        <v>6.8499999999999991E-2</v>
      </c>
      <c r="CV43" s="388">
        <v>6.8499999999999991E-2</v>
      </c>
      <c r="CW43" s="388">
        <v>6.8499999999999991E-2</v>
      </c>
      <c r="CX43" s="388">
        <v>6.8499999999999991E-2</v>
      </c>
      <c r="CY43" s="388">
        <v>6.8499999999999991E-2</v>
      </c>
      <c r="CZ43" s="388">
        <v>6.8499999999999991E-2</v>
      </c>
      <c r="DA43" s="388">
        <v>6.8499999999999991E-2</v>
      </c>
      <c r="DB43" s="388">
        <v>6.8499999999999964E-2</v>
      </c>
      <c r="DC43" s="388">
        <v>6.8499999999999991E-2</v>
      </c>
      <c r="DD43" s="388">
        <v>6.8499999999999839E-2</v>
      </c>
      <c r="DE43" s="388">
        <v>6.8499999999999991E-2</v>
      </c>
      <c r="DF43" s="388">
        <v>6.8499999999999991E-2</v>
      </c>
      <c r="DG43" s="388">
        <v>6.8499999999999991E-2</v>
      </c>
      <c r="DH43" s="388">
        <v>6.8499999999999894E-2</v>
      </c>
      <c r="DI43" s="388">
        <v>6.8499999999999991E-2</v>
      </c>
      <c r="DJ43" s="388">
        <v>6.8499999999999991E-2</v>
      </c>
      <c r="DK43" s="388">
        <v>6.0694402714824805E-2</v>
      </c>
      <c r="DL43" s="388">
        <v>4.9627770780282777E-2</v>
      </c>
      <c r="DM43" s="388">
        <v>4.4600000000000001E-2</v>
      </c>
      <c r="DN43" s="388">
        <v>4.4600000000000001E-2</v>
      </c>
      <c r="DO43" s="388">
        <v>4.4600000000000001E-2</v>
      </c>
      <c r="DP43" s="388">
        <v>4.4600000000000001E-2</v>
      </c>
      <c r="DQ43" s="388">
        <v>4.4600000000000001E-2</v>
      </c>
      <c r="DR43" s="388">
        <v>4.4599999999999904E-2</v>
      </c>
      <c r="DS43" s="388">
        <v>4.4600000000000022E-2</v>
      </c>
      <c r="DT43" s="388">
        <v>4.4600000000000015E-2</v>
      </c>
      <c r="DU43" s="388">
        <v>4.4600000000000029E-2</v>
      </c>
      <c r="DV43" s="388">
        <v>4.4600000000000001E-2</v>
      </c>
      <c r="DW43" s="388">
        <v>4.4600000000000001E-2</v>
      </c>
      <c r="DX43" s="388">
        <v>4.4600000000000001E-2</v>
      </c>
      <c r="DY43" s="388">
        <v>4.4600000000000001E-2</v>
      </c>
      <c r="DZ43" s="388">
        <v>4.4623154912533672E-2</v>
      </c>
      <c r="EA43" s="388">
        <v>4.4623154912533672E-2</v>
      </c>
      <c r="EB43" s="388"/>
      <c r="EC43" s="435"/>
      <c r="ED43" s="388">
        <v>4.5429684157854549E-4</v>
      </c>
      <c r="EE43" s="388">
        <v>1.440848107576665E-3</v>
      </c>
      <c r="EF43" s="388">
        <v>2.3278908411817709E-3</v>
      </c>
      <c r="EG43" s="388">
        <v>7.9303859065345717E-4</v>
      </c>
      <c r="EH43" s="388">
        <v>1.6247070711336343E-3</v>
      </c>
      <c r="EI43" s="388">
        <v>7.591267450706245E-4</v>
      </c>
      <c r="EJ43" s="388">
        <v>1.3516165403585306E-3</v>
      </c>
      <c r="EK43" s="388">
        <v>5.0778918212729699E-4</v>
      </c>
      <c r="EL43" s="388">
        <v>8.2002408516666932E-4</v>
      </c>
      <c r="EM43" s="388">
        <v>2.5604793219871663E-4</v>
      </c>
      <c r="EN43" s="388">
        <v>2.0477137863466597E-3</v>
      </c>
      <c r="EO43" s="388">
        <v>1.2086659402644562E-3</v>
      </c>
      <c r="EP43" s="388">
        <v>1.4219089985862052E-3</v>
      </c>
      <c r="EQ43" s="388">
        <v>1.2634269494041042E-3</v>
      </c>
      <c r="ER43" s="388">
        <v>1.8301851202085614E-3</v>
      </c>
      <c r="ES43" s="388">
        <v>1.4192570797588635E-4</v>
      </c>
      <c r="ET43" s="388">
        <v>1.4914044587165177E-3</v>
      </c>
      <c r="EU43" s="388">
        <v>-1.1403439545237936E-3</v>
      </c>
      <c r="EV43" s="388">
        <v>-1.7527840999805374E-3</v>
      </c>
      <c r="EW43" s="388">
        <v>8.4125356597926121E-4</v>
      </c>
      <c r="EX43" s="388">
        <v>-1.8573890439782987E-3</v>
      </c>
      <c r="EY43" s="388">
        <v>-1.0790681229196815E-3</v>
      </c>
      <c r="EZ43" s="388">
        <v>1.4556691798208574E-3</v>
      </c>
      <c r="FA43" s="388">
        <v>2.0262906585585389E-3</v>
      </c>
      <c r="FB43" s="388">
        <v>-3.998388055235261E-4</v>
      </c>
      <c r="FC43" s="388">
        <v>1.44E-2</v>
      </c>
      <c r="FD43" s="388">
        <v>2.291788430812413E-3</v>
      </c>
      <c r="FE43" s="388">
        <v>4.5429229388541136E-4</v>
      </c>
      <c r="FF43" s="388">
        <v>1.052047824579787E-3</v>
      </c>
      <c r="FG43" s="388">
        <v>1.745918130886328E-3</v>
      </c>
      <c r="FH43" s="388">
        <v>5.8724899146972832E-4</v>
      </c>
      <c r="FI43" s="388">
        <v>1.6748291913138316E-3</v>
      </c>
      <c r="FJ43" s="388">
        <v>4.2347508717983885E-3</v>
      </c>
      <c r="FK43" s="388">
        <v>-6.8748392212407422E-5</v>
      </c>
      <c r="FL43" s="388">
        <v>5.6226018148701267E-4</v>
      </c>
      <c r="FM43" s="388">
        <v>-8.6688129575045387E-4</v>
      </c>
      <c r="FN43" s="388">
        <v>-5.429319872206329E-4</v>
      </c>
      <c r="FO43" s="388">
        <v>-1.8832445927336217E-4</v>
      </c>
      <c r="FP43" s="388">
        <v>-1.182008886270771E-3</v>
      </c>
      <c r="FQ43" s="388">
        <v>-3.8627258710180516E-4</v>
      </c>
      <c r="FR43" s="388">
        <v>-1.4219089985862052E-3</v>
      </c>
      <c r="FS43" s="388">
        <v>-8.5439722167962205E-4</v>
      </c>
      <c r="FT43" s="388">
        <v>-1.2924801997115688E-3</v>
      </c>
      <c r="FU43" s="388">
        <v>3.0971417716439063E-4</v>
      </c>
      <c r="FV43" s="388">
        <v>-9.5590145983632819E-4</v>
      </c>
      <c r="FW43" s="388">
        <v>1.4993777892246731E-3</v>
      </c>
      <c r="FX43" s="388">
        <v>2.1163032436111186E-3</v>
      </c>
      <c r="FY43" s="388">
        <v>-3.7216068164749519E-4</v>
      </c>
      <c r="FZ43" s="388">
        <v>2.2577040005081501E-3</v>
      </c>
      <c r="GA43" s="388">
        <v>-5.075191135177788E-5</v>
      </c>
      <c r="GB43" s="388"/>
      <c r="GC43" s="388"/>
      <c r="GD43" s="388"/>
      <c r="GE43" s="388"/>
      <c r="GF43" s="388"/>
      <c r="GG43" s="388"/>
      <c r="GH43" s="388"/>
      <c r="GI43" s="388"/>
      <c r="GJ43" s="388"/>
      <c r="GK43" s="388"/>
      <c r="GL43" s="388"/>
      <c r="GM43" s="388"/>
      <c r="GN43" s="388"/>
      <c r="GO43" s="388"/>
      <c r="GP43" s="412"/>
      <c r="GQ43" s="412"/>
      <c r="GR43" s="412"/>
      <c r="GS43" s="412"/>
      <c r="GT43" s="412"/>
      <c r="GU43" s="412"/>
      <c r="GV43" s="412"/>
      <c r="GW43" s="412"/>
      <c r="GX43" s="412"/>
      <c r="GY43" s="412"/>
      <c r="GZ43" s="412"/>
      <c r="HA43" s="412"/>
      <c r="HB43" s="412"/>
      <c r="HC43" s="412"/>
      <c r="HD43" s="412"/>
      <c r="HE43" s="412"/>
      <c r="HF43" s="412"/>
      <c r="HG43" s="412"/>
      <c r="HH43" s="412"/>
      <c r="HI43" s="412"/>
      <c r="HJ43" s="412"/>
      <c r="HK43" s="412"/>
      <c r="HL43" s="412"/>
      <c r="HM43" s="412"/>
      <c r="HN43" s="412"/>
      <c r="HO43" s="412"/>
      <c r="HP43" s="412"/>
      <c r="HQ43" s="412"/>
      <c r="HR43" s="412"/>
      <c r="HS43" s="412"/>
      <c r="HT43" s="412"/>
      <c r="HU43" s="412"/>
      <c r="HV43" s="412"/>
      <c r="HW43" s="412"/>
      <c r="HX43" s="412"/>
      <c r="HY43" s="412"/>
      <c r="HZ43" s="412"/>
      <c r="IA43" s="412"/>
      <c r="IB43" s="412"/>
      <c r="IC43" s="412"/>
      <c r="ID43" s="412"/>
      <c r="IE43" s="412"/>
      <c r="IF43" s="412"/>
      <c r="IG43" s="412"/>
      <c r="IH43" s="412"/>
      <c r="II43" s="412"/>
      <c r="IJ43" s="412"/>
      <c r="IK43" s="412"/>
      <c r="IL43" s="412"/>
      <c r="IM43" s="412"/>
      <c r="IN43" s="412"/>
      <c r="IO43" s="412"/>
      <c r="IP43" s="412"/>
      <c r="IQ43" s="412"/>
      <c r="IR43" s="412"/>
      <c r="IS43" s="412"/>
      <c r="IT43" s="412"/>
      <c r="IU43" s="412"/>
      <c r="IV43" s="412"/>
      <c r="IW43" s="412"/>
      <c r="IX43" s="412"/>
      <c r="IY43" s="412"/>
      <c r="IZ43" s="412"/>
      <c r="JA43" s="412"/>
      <c r="JB43" s="412"/>
      <c r="JC43" s="412"/>
      <c r="JD43" s="412"/>
      <c r="JE43" s="412"/>
      <c r="JF43" s="412"/>
      <c r="JG43" s="412"/>
      <c r="JH43" s="412"/>
      <c r="JI43" s="412"/>
      <c r="JJ43" s="412"/>
      <c r="JK43" s="412"/>
      <c r="JL43" s="412"/>
      <c r="JM43" s="412"/>
      <c r="JN43" s="412"/>
      <c r="JO43" s="412"/>
      <c r="JP43" s="412"/>
      <c r="JQ43" s="412"/>
      <c r="JR43" s="412"/>
      <c r="JS43" s="412"/>
      <c r="JT43" s="412"/>
      <c r="JU43" s="412"/>
      <c r="JV43" s="412"/>
      <c r="JW43" s="412"/>
      <c r="JX43" s="412"/>
      <c r="JY43" s="412"/>
      <c r="JZ43" s="412"/>
      <c r="KA43" s="412"/>
      <c r="KB43" s="412"/>
      <c r="KC43" s="412"/>
      <c r="KD43" s="412"/>
      <c r="KE43" s="412"/>
      <c r="KF43" s="412"/>
      <c r="KG43" s="412"/>
      <c r="KH43" s="412"/>
      <c r="KI43" s="412"/>
      <c r="KJ43" s="412"/>
      <c r="KK43" s="412"/>
      <c r="KL43" s="412"/>
      <c r="KM43" s="412"/>
      <c r="KN43" s="412"/>
      <c r="KO43" s="412"/>
      <c r="KP43" s="412"/>
      <c r="KQ43" s="412"/>
      <c r="KR43" s="412"/>
      <c r="KS43" s="412"/>
      <c r="KT43" s="412"/>
      <c r="KU43" s="412"/>
      <c r="KV43" s="412"/>
      <c r="KW43" s="412"/>
      <c r="KX43" s="412"/>
      <c r="KY43" s="412"/>
      <c r="KZ43" s="412"/>
      <c r="LA43" s="412"/>
      <c r="LB43" s="412"/>
      <c r="LC43" s="412"/>
      <c r="LD43" s="412"/>
      <c r="LE43" s="412"/>
      <c r="LF43" s="412"/>
      <c r="LG43" s="412"/>
      <c r="LH43" s="412"/>
      <c r="LI43" s="412"/>
      <c r="LJ43" s="412"/>
      <c r="LK43" s="412"/>
      <c r="LL43" s="412"/>
      <c r="LM43" s="412"/>
      <c r="LN43" s="412"/>
      <c r="LO43" s="412"/>
      <c r="LP43" s="412"/>
      <c r="LQ43" s="412"/>
      <c r="LR43" s="412"/>
      <c r="LS43" s="412"/>
      <c r="LT43" s="412"/>
      <c r="LU43" s="412"/>
      <c r="LV43" s="412"/>
      <c r="LW43" s="412"/>
      <c r="LX43" s="412"/>
      <c r="LY43" s="412"/>
      <c r="LZ43" s="412"/>
      <c r="MA43" s="412"/>
      <c r="MB43" s="412"/>
      <c r="MC43" s="412"/>
      <c r="MD43" s="412"/>
      <c r="ME43" s="412"/>
      <c r="MF43" s="412"/>
      <c r="MG43" s="412"/>
      <c r="MH43" s="412"/>
      <c r="MI43" s="412"/>
      <c r="MJ43" s="412"/>
      <c r="MK43" s="412"/>
      <c r="ML43" s="412"/>
      <c r="MM43" s="412"/>
      <c r="MN43" s="412"/>
      <c r="MO43" s="412"/>
      <c r="MP43" s="412"/>
      <c r="MQ43" s="412"/>
      <c r="MR43" s="412"/>
      <c r="MS43" s="412"/>
      <c r="MT43" s="412"/>
      <c r="MU43" s="412"/>
      <c r="MV43" s="412"/>
      <c r="MW43" s="412"/>
      <c r="MX43" s="412"/>
      <c r="MY43" s="412"/>
      <c r="MZ43" s="412"/>
      <c r="NA43" s="412"/>
      <c r="NB43" s="412"/>
      <c r="NC43" s="412"/>
      <c r="ND43" s="412"/>
      <c r="NE43" s="412"/>
      <c r="NF43" s="412"/>
      <c r="NG43" s="412"/>
      <c r="NH43" s="412"/>
      <c r="NI43" s="412"/>
      <c r="NJ43" s="412"/>
      <c r="NK43" s="412"/>
      <c r="NL43" s="412"/>
      <c r="NM43" s="412"/>
      <c r="NN43" s="412"/>
      <c r="NO43" s="412"/>
      <c r="NP43" s="412"/>
      <c r="NQ43" s="412"/>
      <c r="NR43" s="412"/>
      <c r="NS43" s="412"/>
      <c r="NT43" s="412"/>
      <c r="NU43" s="412"/>
      <c r="NV43" s="412"/>
      <c r="NW43" s="412"/>
      <c r="NX43" s="412"/>
      <c r="NY43" s="412"/>
      <c r="NZ43" s="412"/>
      <c r="OA43" s="412"/>
      <c r="OB43" s="412"/>
      <c r="OC43" s="412"/>
      <c r="OD43" s="412"/>
      <c r="OE43" s="412"/>
      <c r="OF43" s="412"/>
      <c r="OG43" s="412"/>
      <c r="OH43" s="412"/>
      <c r="OI43" s="412"/>
      <c r="OJ43" s="412"/>
      <c r="OK43" s="412"/>
      <c r="OL43" s="412"/>
      <c r="OM43" s="412"/>
      <c r="ON43" s="412"/>
      <c r="OO43" s="412"/>
      <c r="OP43" s="412"/>
      <c r="OQ43" s="412"/>
      <c r="OR43" s="412"/>
      <c r="OS43" s="412"/>
      <c r="OT43" s="412"/>
      <c r="OU43" s="412"/>
      <c r="OV43" s="412"/>
      <c r="OW43" s="412"/>
      <c r="OX43" s="412"/>
      <c r="OY43" s="412"/>
      <c r="OZ43" s="412"/>
      <c r="PA43" s="412"/>
      <c r="PB43" s="412"/>
      <c r="PC43" s="412"/>
      <c r="PD43" s="412"/>
      <c r="PE43" s="412"/>
      <c r="PF43" s="412"/>
      <c r="PG43" s="412"/>
      <c r="PH43" s="412"/>
      <c r="PI43" s="412"/>
      <c r="PJ43" s="412"/>
      <c r="PK43" s="412"/>
      <c r="PL43" s="412"/>
      <c r="PM43" s="412"/>
      <c r="PN43" s="412"/>
      <c r="PO43" s="412"/>
      <c r="PP43" s="412"/>
      <c r="PQ43" s="412"/>
      <c r="PR43" s="412"/>
      <c r="PS43" s="412"/>
      <c r="PT43" s="412"/>
      <c r="PU43" s="412"/>
      <c r="PV43" s="412"/>
      <c r="PW43" s="412"/>
      <c r="PX43" s="412"/>
      <c r="PY43" s="412"/>
      <c r="PZ43" s="412"/>
      <c r="QA43" s="412"/>
      <c r="QB43" s="412"/>
      <c r="QC43" s="412"/>
      <c r="QD43" s="412"/>
      <c r="QE43" s="412"/>
      <c r="QF43" s="412"/>
      <c r="QG43" s="412"/>
      <c r="QH43" s="412"/>
      <c r="QI43" s="412"/>
      <c r="QJ43" s="412"/>
      <c r="QK43" s="412"/>
      <c r="QL43" s="412"/>
      <c r="QM43" s="412"/>
      <c r="QN43" s="412"/>
      <c r="QO43" s="412"/>
      <c r="QP43" s="412"/>
      <c r="QQ43" s="412"/>
      <c r="QR43" s="412"/>
      <c r="QS43" s="412"/>
      <c r="QT43" s="412"/>
      <c r="QU43" s="412"/>
      <c r="QV43" s="412"/>
      <c r="QW43" s="412"/>
      <c r="QX43" s="412"/>
      <c r="QY43" s="412"/>
      <c r="QZ43" s="412"/>
      <c r="RA43" s="412"/>
      <c r="RB43" s="412"/>
      <c r="RC43" s="412"/>
      <c r="RD43" s="412"/>
      <c r="RE43" s="412"/>
      <c r="RF43" s="412"/>
      <c r="RG43" s="412"/>
      <c r="RH43" s="412"/>
      <c r="RI43" s="412"/>
      <c r="RJ43" s="412"/>
      <c r="RK43" s="412"/>
      <c r="RL43" s="412"/>
      <c r="RM43" s="412"/>
      <c r="RN43" s="412"/>
      <c r="RO43" s="412"/>
      <c r="RP43" s="412"/>
      <c r="RQ43" s="412"/>
      <c r="RR43" s="412"/>
      <c r="RS43" s="412"/>
      <c r="RT43" s="412"/>
      <c r="RU43" s="412"/>
      <c r="RV43" s="412"/>
      <c r="RW43" s="412"/>
      <c r="RX43" s="412"/>
      <c r="RY43" s="412"/>
      <c r="RZ43" s="412"/>
      <c r="SA43" s="412"/>
      <c r="SB43" s="412"/>
      <c r="SC43" s="412"/>
      <c r="SD43" s="412"/>
      <c r="SE43" s="412"/>
      <c r="SF43" s="412"/>
      <c r="SG43" s="412"/>
    </row>
    <row r="44" spans="1:501" x14ac:dyDescent="0.2">
      <c r="A44" s="397" t="s">
        <v>25</v>
      </c>
      <c r="B44" s="390"/>
      <c r="C44" s="389">
        <v>0.09</v>
      </c>
      <c r="D44" s="389">
        <v>0.09</v>
      </c>
      <c r="E44" s="389">
        <v>2.1600000000000001E-2</v>
      </c>
      <c r="F44" s="389">
        <v>3.2300000000000002E-2</v>
      </c>
      <c r="G44" s="388"/>
      <c r="H44" s="435"/>
      <c r="I44" s="410">
        <v>0</v>
      </c>
      <c r="J44" s="410">
        <v>0</v>
      </c>
      <c r="K44" s="410">
        <v>0</v>
      </c>
      <c r="L44" s="410">
        <v>0</v>
      </c>
      <c r="M44" s="410">
        <v>1</v>
      </c>
      <c r="N44" s="410">
        <v>0</v>
      </c>
      <c r="O44" s="435"/>
      <c r="P44" s="393">
        <v>0</v>
      </c>
      <c r="Q44" s="393">
        <v>0</v>
      </c>
      <c r="R44" s="393">
        <v>0</v>
      </c>
      <c r="S44" s="393">
        <v>0</v>
      </c>
      <c r="T44" s="393">
        <v>0</v>
      </c>
      <c r="U44" s="435"/>
      <c r="V44" s="393">
        <v>0</v>
      </c>
      <c r="W44" s="393">
        <v>0</v>
      </c>
      <c r="X44" s="393">
        <v>0</v>
      </c>
      <c r="Y44" s="393">
        <v>0</v>
      </c>
      <c r="Z44" s="393">
        <v>0</v>
      </c>
      <c r="AA44" s="393"/>
      <c r="AB44" s="435"/>
      <c r="AC44" s="393">
        <v>2.1600000000000001E-2</v>
      </c>
      <c r="AD44" s="411"/>
      <c r="AE44" s="435"/>
      <c r="AF44" s="388">
        <v>3.2300000000000002E-2</v>
      </c>
      <c r="AG44" s="388">
        <v>3.2300000000000002E-2</v>
      </c>
      <c r="AH44" s="388">
        <v>3.2300000000000002E-2</v>
      </c>
      <c r="AI44" s="388">
        <v>3.2300000000000002E-2</v>
      </c>
      <c r="AJ44" s="388">
        <v>3.2300000000000002E-2</v>
      </c>
      <c r="AK44" s="388">
        <v>3.2300000000000002E-2</v>
      </c>
      <c r="AL44" s="388">
        <v>3.2300000000000002E-2</v>
      </c>
      <c r="AM44" s="388">
        <v>3.2300000000000002E-2</v>
      </c>
      <c r="AN44" s="388">
        <v>3.2300000000000002E-2</v>
      </c>
      <c r="AO44" s="388">
        <v>3.2300000000000002E-2</v>
      </c>
      <c r="AP44" s="388">
        <v>3.2300000000000002E-2</v>
      </c>
      <c r="AQ44" s="388">
        <v>3.2300000000000002E-2</v>
      </c>
      <c r="AR44" s="388">
        <v>3.2300000000000002E-2</v>
      </c>
      <c r="AS44" s="388">
        <v>3.2300000000000002E-2</v>
      </c>
      <c r="AT44" s="388">
        <v>3.2300000000000002E-2</v>
      </c>
      <c r="AU44" s="388">
        <v>3.2300000000000002E-2</v>
      </c>
      <c r="AV44" s="388">
        <v>3.2300000000000002E-2</v>
      </c>
      <c r="AW44" s="388">
        <v>3.2300000000000002E-2</v>
      </c>
      <c r="AX44" s="388">
        <v>3.2300000000000002E-2</v>
      </c>
      <c r="AY44" s="388">
        <v>3.2300000000000002E-2</v>
      </c>
      <c r="AZ44" s="388">
        <v>3.2300000000000002E-2</v>
      </c>
      <c r="BA44" s="388">
        <v>3.2300000000000002E-2</v>
      </c>
      <c r="BB44" s="388">
        <v>3.2300000000000002E-2</v>
      </c>
      <c r="BC44" s="388">
        <v>3.2300000000000002E-2</v>
      </c>
      <c r="BD44" s="388">
        <v>3.2300000000000002E-2</v>
      </c>
      <c r="BE44" s="388">
        <v>3.2300000000000002E-2</v>
      </c>
      <c r="BF44" s="388">
        <v>3.2300000000000002E-2</v>
      </c>
      <c r="BG44" s="388">
        <v>3.2300000000000002E-2</v>
      </c>
      <c r="BH44" s="388">
        <v>3.2300000000000002E-2</v>
      </c>
      <c r="BI44" s="388">
        <v>3.2300000000000002E-2</v>
      </c>
      <c r="BJ44" s="388">
        <v>3.2300000000000002E-2</v>
      </c>
      <c r="BK44" s="388">
        <v>3.2300000000000002E-2</v>
      </c>
      <c r="BL44" s="388">
        <v>3.2300000000000002E-2</v>
      </c>
      <c r="BM44" s="388">
        <v>3.2300000000000002E-2</v>
      </c>
      <c r="BN44" s="388">
        <v>3.2300000000000002E-2</v>
      </c>
      <c r="BO44" s="388">
        <v>3.2300000000000002E-2</v>
      </c>
      <c r="BP44" s="388">
        <v>3.2300000000000002E-2</v>
      </c>
      <c r="BQ44" s="388">
        <v>3.2300000000000002E-2</v>
      </c>
      <c r="BR44" s="388">
        <v>3.2300000000000002E-2</v>
      </c>
      <c r="BS44" s="388">
        <v>3.2300000000000002E-2</v>
      </c>
      <c r="BT44" s="388">
        <v>3.2300000000000002E-2</v>
      </c>
      <c r="BU44" s="388">
        <v>3.2300000000000002E-2</v>
      </c>
      <c r="BV44" s="388">
        <v>3.2300000000000002E-2</v>
      </c>
      <c r="BW44" s="388">
        <v>3.2300000000000002E-2</v>
      </c>
      <c r="BX44" s="388">
        <v>3.2300000000000002E-2</v>
      </c>
      <c r="BY44" s="388">
        <v>3.2300000000000002E-2</v>
      </c>
      <c r="BZ44" s="388">
        <v>3.2300000000000002E-2</v>
      </c>
      <c r="CA44" s="388">
        <v>3.2300000000000002E-2</v>
      </c>
      <c r="CB44" s="388">
        <v>3.2300000000000002E-2</v>
      </c>
      <c r="CC44" s="388">
        <v>3.2300000000000002E-2</v>
      </c>
      <c r="CD44" s="388">
        <v>3.2300000000000002E-2</v>
      </c>
      <c r="CE44" s="388">
        <v>3.2300000000000002E-2</v>
      </c>
      <c r="CF44" s="388">
        <v>3.2300000000000002E-2</v>
      </c>
      <c r="CG44" s="388">
        <v>3.2300000000000044E-2</v>
      </c>
      <c r="CH44" s="388">
        <v>3.2299999999999982E-2</v>
      </c>
      <c r="CI44" s="388">
        <v>3.2300000000000016E-2</v>
      </c>
      <c r="CJ44" s="388">
        <v>3.2300000000000002E-2</v>
      </c>
      <c r="CK44" s="388">
        <v>3.2299999999999975E-2</v>
      </c>
      <c r="CL44" s="388">
        <v>3.2300000000000002E-2</v>
      </c>
      <c r="CM44" s="388">
        <v>3.2300000000000002E-2</v>
      </c>
      <c r="CN44" s="388">
        <v>3.2300000000000002E-2</v>
      </c>
      <c r="CO44" s="388">
        <v>3.2300000000000002E-2</v>
      </c>
      <c r="CP44" s="388">
        <v>3.2300000000000002E-2</v>
      </c>
      <c r="CQ44" s="388">
        <v>3.2300000000000002E-2</v>
      </c>
      <c r="CR44" s="388">
        <v>3.2300000000000002E-2</v>
      </c>
      <c r="CS44" s="388">
        <v>3.2300000000000002E-2</v>
      </c>
      <c r="CT44" s="388">
        <v>3.2300000000000002E-2</v>
      </c>
      <c r="CU44" s="388">
        <v>3.2300000000000002E-2</v>
      </c>
      <c r="CV44" s="388">
        <v>3.2300000000000002E-2</v>
      </c>
      <c r="CW44" s="388">
        <v>3.2300000000000002E-2</v>
      </c>
      <c r="CX44" s="388">
        <v>3.2300000000000002E-2</v>
      </c>
      <c r="CY44" s="388">
        <v>3.2300000000000002E-2</v>
      </c>
      <c r="CZ44" s="388">
        <v>3.2300000000000002E-2</v>
      </c>
      <c r="DA44" s="388">
        <v>3.2300000000000002E-2</v>
      </c>
      <c r="DB44" s="388">
        <v>3.2300000000000016E-2</v>
      </c>
      <c r="DC44" s="388">
        <v>3.2300000000000002E-2</v>
      </c>
      <c r="DD44" s="388">
        <v>3.2300000000000023E-2</v>
      </c>
      <c r="DE44" s="388">
        <v>3.2300000000000002E-2</v>
      </c>
      <c r="DF44" s="388">
        <v>3.2300000000000002E-2</v>
      </c>
      <c r="DG44" s="388">
        <v>3.2300000000000002E-2</v>
      </c>
      <c r="DH44" s="388">
        <v>3.2300000000000009E-2</v>
      </c>
      <c r="DI44" s="388">
        <v>3.2300000000000002E-2</v>
      </c>
      <c r="DJ44" s="388">
        <v>3.2300000000000002E-2</v>
      </c>
      <c r="DK44" s="388">
        <v>3.2300000000000002E-2</v>
      </c>
      <c r="DL44" s="388">
        <v>3.2300000000000113E-2</v>
      </c>
      <c r="DM44" s="388">
        <v>3.2300000000000002E-2</v>
      </c>
      <c r="DN44" s="388">
        <v>2.9921427903757805E-2</v>
      </c>
      <c r="DO44" s="388">
        <v>2.1600000000006503E-2</v>
      </c>
      <c r="DP44" s="388">
        <v>2.1600000000006503E-2</v>
      </c>
      <c r="DQ44" s="388">
        <v>2.1600000000006503E-2</v>
      </c>
      <c r="DR44" s="388">
        <v>2.1600000000006538E-2</v>
      </c>
      <c r="DS44" s="388">
        <v>2.1600000000006503E-2</v>
      </c>
      <c r="DT44" s="388">
        <v>2.1600000000006503E-2</v>
      </c>
      <c r="DU44" s="388">
        <v>2.1600000000006541E-2</v>
      </c>
      <c r="DV44" s="388">
        <v>2.1600000000006503E-2</v>
      </c>
      <c r="DW44" s="388">
        <v>2.1600000000006503E-2</v>
      </c>
      <c r="DX44" s="388">
        <v>2.1600000000006503E-2</v>
      </c>
      <c r="DY44" s="388">
        <v>2.1600000000006503E-2</v>
      </c>
      <c r="DZ44" s="388">
        <v>2.1626032029574201E-2</v>
      </c>
      <c r="EA44" s="388">
        <v>2.1626032029574201E-2</v>
      </c>
      <c r="EB44" s="388"/>
      <c r="EC44" s="435"/>
      <c r="ED44" s="388">
        <v>-3.2133745503384382E-4</v>
      </c>
      <c r="EE44" s="388">
        <v>-6.160554434497291E-4</v>
      </c>
      <c r="EF44" s="388">
        <v>1.2345197700037229E-4</v>
      </c>
      <c r="EG44" s="388">
        <v>-4.6641921564133393E-4</v>
      </c>
      <c r="EH44" s="388">
        <v>3.2909978248453522E-5</v>
      </c>
      <c r="EI44" s="388">
        <v>-1.0250317180459414E-4</v>
      </c>
      <c r="EJ44" s="388">
        <v>4.1552704868668701E-4</v>
      </c>
      <c r="EK44" s="388">
        <v>-2.1244239024577829E-4</v>
      </c>
      <c r="EL44" s="388">
        <v>7.4037263716743981E-5</v>
      </c>
      <c r="EM44" s="388">
        <v>1.5645039779234207E-4</v>
      </c>
      <c r="EN44" s="388">
        <v>1.6107502342388438E-3</v>
      </c>
      <c r="EO44" s="388">
        <v>1.8669105415813191E-3</v>
      </c>
      <c r="EP44" s="388">
        <v>1.5267346735475288E-3</v>
      </c>
      <c r="EQ44" s="388">
        <v>4.4114331751875799E-3</v>
      </c>
      <c r="ER44" s="388">
        <v>4.4355280088307263E-3</v>
      </c>
      <c r="ES44" s="388">
        <v>2.099539107129214E-3</v>
      </c>
      <c r="ET44" s="388">
        <v>4.3079234698270991E-3</v>
      </c>
      <c r="EU44" s="388">
        <v>2.2788585942965754E-3</v>
      </c>
      <c r="EV44" s="388">
        <v>1.1373000652284109E-3</v>
      </c>
      <c r="EW44" s="388">
        <v>2.9645652336635418E-3</v>
      </c>
      <c r="EX44" s="388">
        <v>2.9861027037654049E-3</v>
      </c>
      <c r="EY44" s="388">
        <v>1.1052702776624217E-3</v>
      </c>
      <c r="EZ44" s="388">
        <v>1.7611883536799524E-3</v>
      </c>
      <c r="FA44" s="388">
        <v>3.0439671286239057E-3</v>
      </c>
      <c r="FB44" s="388">
        <v>-4.3510854285954607E-4</v>
      </c>
      <c r="FC44" s="388">
        <v>2.291788430812413E-3</v>
      </c>
      <c r="FD44" s="388">
        <v>8.0999999999999996E-3</v>
      </c>
      <c r="FE44" s="388">
        <v>-3.2134708052547711E-4</v>
      </c>
      <c r="FF44" s="388">
        <v>-4.4981826029662751E-4</v>
      </c>
      <c r="FG44" s="388">
        <v>9.2588982750279214E-5</v>
      </c>
      <c r="FH44" s="388">
        <v>-7.9294906490346399E-5</v>
      </c>
      <c r="FI44" s="388">
        <v>5.1489221250306872E-4</v>
      </c>
      <c r="FJ44" s="388">
        <v>1.9128284925769041E-3</v>
      </c>
      <c r="FK44" s="388">
        <v>2.5180724189387198E-3</v>
      </c>
      <c r="FL44" s="388">
        <v>2.5624871455185404E-3</v>
      </c>
      <c r="FM44" s="388">
        <v>5.0389356859847955E-4</v>
      </c>
      <c r="FN44" s="388">
        <v>2.234502096641511E-4</v>
      </c>
      <c r="FO44" s="388">
        <v>-1.5662879650492085E-4</v>
      </c>
      <c r="FP44" s="388">
        <v>-1.3573724318457485E-3</v>
      </c>
      <c r="FQ44" s="388">
        <v>-1.6179134074779994E-3</v>
      </c>
      <c r="FR44" s="388">
        <v>-1.5267346735475288E-3</v>
      </c>
      <c r="FS44" s="388">
        <v>-4.2871638962823531E-3</v>
      </c>
      <c r="FT44" s="388">
        <v>-4.1232321488031383E-3</v>
      </c>
      <c r="FU44" s="388">
        <v>-1.9216969370511442E-3</v>
      </c>
      <c r="FV44" s="388">
        <v>-4.1574941599917354E-3</v>
      </c>
      <c r="FW44" s="388">
        <v>-2.0251107173606918E-3</v>
      </c>
      <c r="FX44" s="388">
        <v>-1.0386746317907268E-3</v>
      </c>
      <c r="FY44" s="388">
        <v>-2.840415802114677E-3</v>
      </c>
      <c r="FZ44" s="388">
        <v>-2.8131781102223728E-3</v>
      </c>
      <c r="GA44" s="388">
        <v>-1.0977881435520797E-4</v>
      </c>
      <c r="GB44" s="388"/>
      <c r="GC44" s="388"/>
      <c r="GD44" s="388"/>
      <c r="GE44" s="388"/>
      <c r="GF44" s="388"/>
      <c r="GG44" s="388"/>
      <c r="GH44" s="388"/>
      <c r="GI44" s="388"/>
      <c r="GJ44" s="388"/>
      <c r="GK44" s="388"/>
      <c r="GL44" s="388"/>
      <c r="GM44" s="388"/>
      <c r="GN44" s="388"/>
      <c r="GO44" s="388"/>
      <c r="GP44" s="412"/>
      <c r="GQ44" s="412"/>
      <c r="GR44" s="412"/>
      <c r="GS44" s="412"/>
      <c r="GT44" s="412"/>
      <c r="GU44" s="412"/>
      <c r="GV44" s="412"/>
      <c r="GW44" s="412"/>
      <c r="GX44" s="412"/>
      <c r="GY44" s="412"/>
      <c r="GZ44" s="412"/>
      <c r="HA44" s="412"/>
      <c r="HB44" s="412"/>
      <c r="HC44" s="412"/>
      <c r="HD44" s="412"/>
      <c r="HE44" s="412"/>
      <c r="HF44" s="412"/>
      <c r="HG44" s="412"/>
      <c r="HH44" s="412"/>
      <c r="HI44" s="412"/>
      <c r="HJ44" s="412"/>
      <c r="HK44" s="412"/>
      <c r="HL44" s="412"/>
      <c r="HM44" s="412"/>
      <c r="HN44" s="412"/>
      <c r="HO44" s="412"/>
      <c r="HP44" s="412"/>
      <c r="HQ44" s="412"/>
      <c r="HR44" s="412"/>
      <c r="HS44" s="412"/>
      <c r="HT44" s="412"/>
      <c r="HU44" s="412"/>
      <c r="HV44" s="412"/>
      <c r="HW44" s="412"/>
      <c r="HX44" s="412"/>
      <c r="HY44" s="412"/>
      <c r="HZ44" s="412"/>
      <c r="IA44" s="412"/>
      <c r="IB44" s="412"/>
      <c r="IC44" s="412"/>
      <c r="ID44" s="412"/>
      <c r="IE44" s="412"/>
      <c r="IF44" s="412"/>
      <c r="IG44" s="412"/>
      <c r="IH44" s="412"/>
      <c r="II44" s="412"/>
      <c r="IJ44" s="412"/>
      <c r="IK44" s="412"/>
      <c r="IL44" s="412"/>
      <c r="IM44" s="412"/>
      <c r="IN44" s="412"/>
      <c r="IO44" s="412"/>
      <c r="IP44" s="412"/>
      <c r="IQ44" s="412"/>
      <c r="IR44" s="412"/>
      <c r="IS44" s="412"/>
      <c r="IT44" s="412"/>
      <c r="IU44" s="412"/>
      <c r="IV44" s="412"/>
      <c r="IW44" s="412"/>
      <c r="IX44" s="412"/>
      <c r="IY44" s="412"/>
      <c r="IZ44" s="412"/>
      <c r="JA44" s="412"/>
      <c r="JB44" s="412"/>
      <c r="JC44" s="412"/>
      <c r="JD44" s="412"/>
      <c r="JE44" s="412"/>
      <c r="JF44" s="412"/>
      <c r="JG44" s="412"/>
      <c r="JH44" s="412"/>
      <c r="JI44" s="412"/>
      <c r="JJ44" s="412"/>
      <c r="JK44" s="412"/>
      <c r="JL44" s="412"/>
      <c r="JM44" s="412"/>
      <c r="JN44" s="412"/>
      <c r="JO44" s="412"/>
      <c r="JP44" s="412"/>
      <c r="JQ44" s="412"/>
      <c r="JR44" s="412"/>
      <c r="JS44" s="412"/>
      <c r="JT44" s="412"/>
      <c r="JU44" s="412"/>
      <c r="JV44" s="412"/>
      <c r="JW44" s="412"/>
      <c r="JX44" s="412"/>
      <c r="JY44" s="412"/>
      <c r="JZ44" s="412"/>
      <c r="KA44" s="412"/>
      <c r="KB44" s="412"/>
      <c r="KC44" s="412"/>
      <c r="KD44" s="412"/>
      <c r="KE44" s="412"/>
      <c r="KF44" s="412"/>
      <c r="KG44" s="412"/>
      <c r="KH44" s="412"/>
      <c r="KI44" s="412"/>
      <c r="KJ44" s="412"/>
      <c r="KK44" s="412"/>
      <c r="KL44" s="412"/>
      <c r="KM44" s="412"/>
      <c r="KN44" s="412"/>
      <c r="KO44" s="412"/>
      <c r="KP44" s="412"/>
      <c r="KQ44" s="412"/>
      <c r="KR44" s="412"/>
      <c r="KS44" s="412"/>
      <c r="KT44" s="412"/>
      <c r="KU44" s="412"/>
      <c r="KV44" s="412"/>
      <c r="KW44" s="412"/>
      <c r="KX44" s="412"/>
      <c r="KY44" s="412"/>
      <c r="KZ44" s="412"/>
      <c r="LA44" s="412"/>
      <c r="LB44" s="412"/>
      <c r="LC44" s="412"/>
      <c r="LD44" s="412"/>
      <c r="LE44" s="412"/>
      <c r="LF44" s="412"/>
      <c r="LG44" s="412"/>
      <c r="LH44" s="412"/>
      <c r="LI44" s="412"/>
      <c r="LJ44" s="412"/>
      <c r="LK44" s="412"/>
      <c r="LL44" s="412"/>
      <c r="LM44" s="412"/>
      <c r="LN44" s="412"/>
      <c r="LO44" s="412"/>
      <c r="LP44" s="412"/>
      <c r="LQ44" s="412"/>
      <c r="LR44" s="412"/>
      <c r="LS44" s="412"/>
      <c r="LT44" s="412"/>
      <c r="LU44" s="412"/>
      <c r="LV44" s="412"/>
      <c r="LW44" s="412"/>
      <c r="LX44" s="412"/>
      <c r="LY44" s="412"/>
      <c r="LZ44" s="412"/>
      <c r="MA44" s="412"/>
      <c r="MB44" s="412"/>
      <c r="MC44" s="412"/>
      <c r="MD44" s="412"/>
      <c r="ME44" s="412"/>
      <c r="MF44" s="412"/>
      <c r="MG44" s="412"/>
      <c r="MH44" s="412"/>
      <c r="MI44" s="412"/>
      <c r="MJ44" s="412"/>
      <c r="MK44" s="412"/>
      <c r="ML44" s="412"/>
      <c r="MM44" s="412"/>
      <c r="MN44" s="412"/>
      <c r="MO44" s="412"/>
      <c r="MP44" s="412"/>
      <c r="MQ44" s="412"/>
      <c r="MR44" s="412"/>
      <c r="MS44" s="412"/>
      <c r="MT44" s="412"/>
      <c r="MU44" s="412"/>
      <c r="MV44" s="412"/>
      <c r="MW44" s="412"/>
      <c r="MX44" s="412"/>
      <c r="MY44" s="412"/>
      <c r="MZ44" s="412"/>
      <c r="NA44" s="412"/>
      <c r="NB44" s="412"/>
      <c r="NC44" s="412"/>
      <c r="ND44" s="412"/>
      <c r="NE44" s="412"/>
      <c r="NF44" s="412"/>
      <c r="NG44" s="412"/>
      <c r="NH44" s="412"/>
      <c r="NI44" s="412"/>
      <c r="NJ44" s="412"/>
      <c r="NK44" s="412"/>
      <c r="NL44" s="412"/>
      <c r="NM44" s="412"/>
      <c r="NN44" s="412"/>
      <c r="NO44" s="412"/>
      <c r="NP44" s="412"/>
      <c r="NQ44" s="412"/>
      <c r="NR44" s="412"/>
      <c r="NS44" s="412"/>
      <c r="NT44" s="412"/>
      <c r="NU44" s="412"/>
      <c r="NV44" s="412"/>
      <c r="NW44" s="412"/>
      <c r="NX44" s="412"/>
      <c r="NY44" s="412"/>
      <c r="NZ44" s="412"/>
      <c r="OA44" s="412"/>
      <c r="OB44" s="412"/>
      <c r="OC44" s="412"/>
      <c r="OD44" s="412"/>
      <c r="OE44" s="412"/>
      <c r="OF44" s="412"/>
      <c r="OG44" s="412"/>
      <c r="OH44" s="412"/>
      <c r="OI44" s="412"/>
      <c r="OJ44" s="412"/>
      <c r="OK44" s="412"/>
      <c r="OL44" s="412"/>
      <c r="OM44" s="412"/>
      <c r="ON44" s="412"/>
      <c r="OO44" s="412"/>
      <c r="OP44" s="412"/>
      <c r="OQ44" s="412"/>
      <c r="OR44" s="412"/>
      <c r="OS44" s="412"/>
      <c r="OT44" s="412"/>
      <c r="OU44" s="412"/>
      <c r="OV44" s="412"/>
      <c r="OW44" s="412"/>
      <c r="OX44" s="412"/>
      <c r="OY44" s="412"/>
      <c r="OZ44" s="412"/>
      <c r="PA44" s="412"/>
      <c r="PB44" s="412"/>
      <c r="PC44" s="412"/>
      <c r="PD44" s="412"/>
      <c r="PE44" s="412"/>
      <c r="PF44" s="412"/>
      <c r="PG44" s="412"/>
      <c r="PH44" s="412"/>
      <c r="PI44" s="412"/>
      <c r="PJ44" s="412"/>
      <c r="PK44" s="412"/>
      <c r="PL44" s="412"/>
      <c r="PM44" s="412"/>
      <c r="PN44" s="412"/>
      <c r="PO44" s="412"/>
      <c r="PP44" s="412"/>
      <c r="PQ44" s="412"/>
      <c r="PR44" s="412"/>
      <c r="PS44" s="412"/>
      <c r="PT44" s="412"/>
      <c r="PU44" s="412"/>
      <c r="PV44" s="412"/>
      <c r="PW44" s="412"/>
      <c r="PX44" s="412"/>
      <c r="PY44" s="412"/>
      <c r="PZ44" s="412"/>
      <c r="QA44" s="412"/>
      <c r="QB44" s="412"/>
      <c r="QC44" s="412"/>
      <c r="QD44" s="412"/>
      <c r="QE44" s="412"/>
      <c r="QF44" s="412"/>
      <c r="QG44" s="412"/>
      <c r="QH44" s="412"/>
      <c r="QI44" s="412"/>
      <c r="QJ44" s="412"/>
      <c r="QK44" s="412"/>
      <c r="QL44" s="412"/>
      <c r="QM44" s="412"/>
      <c r="QN44" s="412"/>
      <c r="QO44" s="412"/>
      <c r="QP44" s="412"/>
      <c r="QQ44" s="412"/>
      <c r="QR44" s="412"/>
      <c r="QS44" s="412"/>
      <c r="QT44" s="412"/>
      <c r="QU44" s="412"/>
      <c r="QV44" s="412"/>
      <c r="QW44" s="412"/>
      <c r="QX44" s="412"/>
      <c r="QY44" s="412"/>
      <c r="QZ44" s="412"/>
      <c r="RA44" s="412"/>
      <c r="RB44" s="412"/>
      <c r="RC44" s="412"/>
      <c r="RD44" s="412"/>
      <c r="RE44" s="412"/>
      <c r="RF44" s="412"/>
      <c r="RG44" s="412"/>
      <c r="RH44" s="412"/>
      <c r="RI44" s="412"/>
      <c r="RJ44" s="412"/>
      <c r="RK44" s="412"/>
      <c r="RL44" s="412"/>
      <c r="RM44" s="412"/>
      <c r="RN44" s="412"/>
      <c r="RO44" s="412"/>
      <c r="RP44" s="412"/>
      <c r="RQ44" s="412"/>
      <c r="RR44" s="412"/>
      <c r="RS44" s="412"/>
      <c r="RT44" s="412"/>
      <c r="RU44" s="412"/>
      <c r="RV44" s="412"/>
      <c r="RW44" s="412"/>
      <c r="RX44" s="412"/>
      <c r="RY44" s="412"/>
      <c r="RZ44" s="412"/>
      <c r="SA44" s="412"/>
      <c r="SB44" s="412"/>
      <c r="SC44" s="412"/>
      <c r="SD44" s="412"/>
      <c r="SE44" s="412"/>
      <c r="SF44" s="412"/>
      <c r="SG44" s="412"/>
    </row>
    <row r="45" spans="1:501" x14ac:dyDescent="0.2">
      <c r="A45" s="391" t="s">
        <v>29</v>
      </c>
      <c r="B45" s="110"/>
      <c r="C45" s="392">
        <v>0.02</v>
      </c>
      <c r="D45" s="392">
        <v>0.01</v>
      </c>
      <c r="E45" s="392">
        <v>-5.1500000000000004E-2</v>
      </c>
      <c r="F45" s="392">
        <v>-5.1500000000000004E-2</v>
      </c>
      <c r="G45" s="392"/>
      <c r="H45" s="411"/>
      <c r="I45" s="410">
        <v>0</v>
      </c>
      <c r="J45" s="410">
        <v>0</v>
      </c>
      <c r="K45" s="410">
        <v>0</v>
      </c>
      <c r="L45" s="410">
        <v>0</v>
      </c>
      <c r="M45" s="410">
        <v>0</v>
      </c>
      <c r="N45" s="410">
        <v>0</v>
      </c>
      <c r="O45" s="411"/>
      <c r="P45" s="393">
        <v>0</v>
      </c>
      <c r="Q45" s="393">
        <v>0</v>
      </c>
      <c r="R45" s="393">
        <v>0</v>
      </c>
      <c r="S45" s="393">
        <v>0</v>
      </c>
      <c r="T45" s="393">
        <v>0</v>
      </c>
      <c r="U45" s="411"/>
      <c r="V45" s="393">
        <v>0</v>
      </c>
      <c r="W45" s="393">
        <v>0</v>
      </c>
      <c r="X45" s="393">
        <v>0</v>
      </c>
      <c r="Y45" s="393">
        <v>0</v>
      </c>
      <c r="Z45" s="393">
        <v>0</v>
      </c>
      <c r="AA45" s="393"/>
      <c r="AB45" s="435"/>
      <c r="AC45" s="393">
        <v>-5.1500000000000004E-2</v>
      </c>
      <c r="AD45" s="411"/>
      <c r="AE45" s="435"/>
      <c r="AF45" s="388">
        <v>-5.1500000000000004E-2</v>
      </c>
      <c r="AG45" s="388">
        <v>-5.1500000000000004E-2</v>
      </c>
      <c r="AH45" s="388">
        <v>-5.1500000000000004E-2</v>
      </c>
      <c r="AI45" s="388">
        <v>-5.1500000000000004E-2</v>
      </c>
      <c r="AJ45" s="388">
        <v>-5.1500000000000004E-2</v>
      </c>
      <c r="AK45" s="388">
        <v>-5.1500000000000004E-2</v>
      </c>
      <c r="AL45" s="388">
        <v>-5.1500000000000004E-2</v>
      </c>
      <c r="AM45" s="388">
        <v>-5.1500000000000004E-2</v>
      </c>
      <c r="AN45" s="388">
        <v>-5.1500000000000004E-2</v>
      </c>
      <c r="AO45" s="388">
        <v>-5.1500000000000004E-2</v>
      </c>
      <c r="AP45" s="388">
        <v>-5.1500000000000004E-2</v>
      </c>
      <c r="AQ45" s="388">
        <v>-5.1500000000000004E-2</v>
      </c>
      <c r="AR45" s="388">
        <v>-5.1500000000000004E-2</v>
      </c>
      <c r="AS45" s="388">
        <v>-5.1500000000000004E-2</v>
      </c>
      <c r="AT45" s="388">
        <v>-5.1500000000000004E-2</v>
      </c>
      <c r="AU45" s="388">
        <v>-5.1500000000000004E-2</v>
      </c>
      <c r="AV45" s="388">
        <v>-5.1500000000000004E-2</v>
      </c>
      <c r="AW45" s="388">
        <v>-5.1500000000000004E-2</v>
      </c>
      <c r="AX45" s="388">
        <v>-5.1500000000000004E-2</v>
      </c>
      <c r="AY45" s="388">
        <v>-5.1500000000000004E-2</v>
      </c>
      <c r="AZ45" s="388">
        <v>-5.1500000000000004E-2</v>
      </c>
      <c r="BA45" s="388">
        <v>-5.1500000000000004E-2</v>
      </c>
      <c r="BB45" s="388">
        <v>-5.1500000000000004E-2</v>
      </c>
      <c r="BC45" s="388">
        <v>-5.1500000000000004E-2</v>
      </c>
      <c r="BD45" s="388">
        <v>-5.1500000000000004E-2</v>
      </c>
      <c r="BE45" s="388">
        <v>-5.1500000000000004E-2</v>
      </c>
      <c r="BF45" s="388">
        <v>-5.1500000000000004E-2</v>
      </c>
      <c r="BG45" s="388">
        <v>-5.1500000000000004E-2</v>
      </c>
      <c r="BH45" s="388">
        <v>-5.1500000000000004E-2</v>
      </c>
      <c r="BI45" s="388">
        <v>-5.1500000000000004E-2</v>
      </c>
      <c r="BJ45" s="388">
        <v>-5.1500000000000004E-2</v>
      </c>
      <c r="BK45" s="388">
        <v>-5.1500000000000004E-2</v>
      </c>
      <c r="BL45" s="388">
        <v>-5.1500000000000004E-2</v>
      </c>
      <c r="BM45" s="388">
        <v>-5.1500000000000004E-2</v>
      </c>
      <c r="BN45" s="388">
        <v>-5.1500000000000004E-2</v>
      </c>
      <c r="BO45" s="388">
        <v>-5.1500000000000004E-2</v>
      </c>
      <c r="BP45" s="388">
        <v>-5.1500000000000004E-2</v>
      </c>
      <c r="BQ45" s="388">
        <v>-5.1500000000000004E-2</v>
      </c>
      <c r="BR45" s="388">
        <v>-5.1500000000000004E-2</v>
      </c>
      <c r="BS45" s="388">
        <v>-5.1500000000000004E-2</v>
      </c>
      <c r="BT45" s="388">
        <v>-5.1500000000000004E-2</v>
      </c>
      <c r="BU45" s="388">
        <v>-5.1500000000000004E-2</v>
      </c>
      <c r="BV45" s="388">
        <v>-5.1500000000000004E-2</v>
      </c>
      <c r="BW45" s="388">
        <v>-5.1500000000000004E-2</v>
      </c>
      <c r="BX45" s="388">
        <v>-5.1500000000000004E-2</v>
      </c>
      <c r="BY45" s="388">
        <v>-5.1500000000000004E-2</v>
      </c>
      <c r="BZ45" s="388">
        <v>-5.1500000000000004E-2</v>
      </c>
      <c r="CA45" s="388">
        <v>-5.1500000000000004E-2</v>
      </c>
      <c r="CB45" s="388">
        <v>-5.1500000000000004E-2</v>
      </c>
      <c r="CC45" s="388">
        <v>-5.1500000000000004E-2</v>
      </c>
      <c r="CD45" s="388">
        <v>-5.1500000000000004E-2</v>
      </c>
      <c r="CE45" s="388">
        <v>-5.1500000000000004E-2</v>
      </c>
      <c r="CF45" s="388">
        <v>-5.1500000000000004E-2</v>
      </c>
      <c r="CG45" s="388">
        <v>-5.1499999999999768E-2</v>
      </c>
      <c r="CH45" s="388">
        <v>-5.1499999999999865E-2</v>
      </c>
      <c r="CI45" s="388">
        <v>-5.1499999999999928E-2</v>
      </c>
      <c r="CJ45" s="388">
        <v>-5.1500000000000004E-2</v>
      </c>
      <c r="CK45" s="388">
        <v>-5.1499999999999824E-2</v>
      </c>
      <c r="CL45" s="388">
        <v>-5.1500000000000004E-2</v>
      </c>
      <c r="CM45" s="388">
        <v>-5.1500000000000004E-2</v>
      </c>
      <c r="CN45" s="388">
        <v>-5.1500000000000004E-2</v>
      </c>
      <c r="CO45" s="388">
        <v>-5.1500000000000004E-2</v>
      </c>
      <c r="CP45" s="388">
        <v>-5.1500000000000004E-2</v>
      </c>
      <c r="CQ45" s="388">
        <v>-5.1500000000000004E-2</v>
      </c>
      <c r="CR45" s="388">
        <v>-5.1500000000000004E-2</v>
      </c>
      <c r="CS45" s="388">
        <v>-5.1500000000000004E-2</v>
      </c>
      <c r="CT45" s="388">
        <v>-5.1500000000000004E-2</v>
      </c>
      <c r="CU45" s="388">
        <v>-5.1500000000000004E-2</v>
      </c>
      <c r="CV45" s="388">
        <v>-5.1500000000000004E-2</v>
      </c>
      <c r="CW45" s="388">
        <v>-5.1500000000000004E-2</v>
      </c>
      <c r="CX45" s="388">
        <v>-5.1500000000000004E-2</v>
      </c>
      <c r="CY45" s="388">
        <v>-5.1500000000000004E-2</v>
      </c>
      <c r="CZ45" s="388">
        <v>-5.1500000000000004E-2</v>
      </c>
      <c r="DA45" s="388">
        <v>-5.1500000000000004E-2</v>
      </c>
      <c r="DB45" s="388">
        <v>-5.1499999999999824E-2</v>
      </c>
      <c r="DC45" s="388">
        <v>-5.1500000000000004E-2</v>
      </c>
      <c r="DD45" s="388">
        <v>-5.1499999999999851E-2</v>
      </c>
      <c r="DE45" s="388">
        <v>-5.1500000000000004E-2</v>
      </c>
      <c r="DF45" s="388">
        <v>-5.1500000000000004E-2</v>
      </c>
      <c r="DG45" s="388">
        <v>-5.1500000000000004E-2</v>
      </c>
      <c r="DH45" s="388">
        <v>-5.1499999999999872E-2</v>
      </c>
      <c r="DI45" s="388">
        <v>-5.1499999999999997E-2</v>
      </c>
      <c r="DJ45" s="388">
        <v>-5.1500000000000004E-2</v>
      </c>
      <c r="DK45" s="388">
        <v>-5.1500000000000004E-2</v>
      </c>
      <c r="DL45" s="388">
        <v>-5.1499999999999789E-2</v>
      </c>
      <c r="DM45" s="388">
        <v>-5.1500000000000004E-2</v>
      </c>
      <c r="DN45" s="388">
        <v>-5.1500000000000004E-2</v>
      </c>
      <c r="DO45" s="388">
        <v>-5.1500000000000004E-2</v>
      </c>
      <c r="DP45" s="388">
        <v>-5.1500000000000004E-2</v>
      </c>
      <c r="DQ45" s="388">
        <v>-5.1500000000000004E-2</v>
      </c>
      <c r="DR45" s="388">
        <v>-5.1499999999999782E-2</v>
      </c>
      <c r="DS45" s="388">
        <v>-5.1499999999999907E-2</v>
      </c>
      <c r="DT45" s="388">
        <v>-5.1499999999999907E-2</v>
      </c>
      <c r="DU45" s="388">
        <v>-5.1499999999999858E-2</v>
      </c>
      <c r="DV45" s="388">
        <v>-5.1500000000000004E-2</v>
      </c>
      <c r="DW45" s="388">
        <v>-5.1500000000000004E-2</v>
      </c>
      <c r="DX45" s="388">
        <v>-5.1500000000000004E-2</v>
      </c>
      <c r="DY45" s="388">
        <v>-5.1500000000000004E-2</v>
      </c>
      <c r="DZ45" s="388">
        <v>-5.1499999990471647E-2</v>
      </c>
      <c r="EA45" s="388">
        <v>-5.1499999990471647E-2</v>
      </c>
      <c r="EB45" s="388"/>
      <c r="EC45" s="388"/>
      <c r="ED45" s="388">
        <v>9.999999870568124E-5</v>
      </c>
      <c r="EE45" s="388">
        <v>2.3055487157102702E-4</v>
      </c>
      <c r="EF45" s="388">
        <v>1.2562727884186077E-4</v>
      </c>
      <c r="EG45" s="388">
        <v>1.5636038645848782E-4</v>
      </c>
      <c r="EH45" s="388">
        <v>1.2813726046056632E-4</v>
      </c>
      <c r="EI45" s="388">
        <v>1.0369448792074175E-4</v>
      </c>
      <c r="EJ45" s="388">
        <v>1.0796442865002422E-4</v>
      </c>
      <c r="EK45" s="388">
        <v>7.9280562789776871E-5</v>
      </c>
      <c r="EL45" s="388">
        <v>7.3915925366331507E-5</v>
      </c>
      <c r="EM45" s="388">
        <v>1.4069893543521852E-4</v>
      </c>
      <c r="EN45" s="388">
        <v>8.1817219576975993E-5</v>
      </c>
      <c r="EO45" s="388">
        <v>4.2606037746111336E-5</v>
      </c>
      <c r="EP45" s="388">
        <v>-5.8489022229296144E-5</v>
      </c>
      <c r="EQ45" s="388">
        <v>1.3851966385987815E-4</v>
      </c>
      <c r="ER45" s="388">
        <v>2.2311962817286541E-5</v>
      </c>
      <c r="ES45" s="388">
        <v>1.6024026726577529E-4</v>
      </c>
      <c r="ET45" s="388">
        <v>-7.8550694930545737E-5</v>
      </c>
      <c r="EU45" s="388">
        <v>-1.1627846495643575E-4</v>
      </c>
      <c r="EV45" s="388">
        <v>6.0113406916641115E-5</v>
      </c>
      <c r="EW45" s="388">
        <v>-9.6717356071997017E-6</v>
      </c>
      <c r="EX45" s="388">
        <v>-5.8683172854032539E-6</v>
      </c>
      <c r="EY45" s="388">
        <v>6.9910461976878193E-5</v>
      </c>
      <c r="EZ45" s="388">
        <v>2.3969499257175202E-4</v>
      </c>
      <c r="FA45" s="388">
        <v>-1.8061669455360723E-4</v>
      </c>
      <c r="FB45" s="388">
        <v>-2.189444800486259E-4</v>
      </c>
      <c r="FC45" s="388">
        <v>4.5429229388541136E-4</v>
      </c>
      <c r="FD45" s="388">
        <v>-3.2134708052547711E-4</v>
      </c>
      <c r="FE45" s="388">
        <v>1E-4</v>
      </c>
      <c r="FF45" s="388">
        <v>1.6834165225821022E-4</v>
      </c>
      <c r="FG45" s="388">
        <v>9.4220459131395571E-5</v>
      </c>
      <c r="FH45" s="388">
        <v>8.0216490655668133E-5</v>
      </c>
      <c r="FI45" s="388">
        <v>1.3378200941416046E-4</v>
      </c>
      <c r="FJ45" s="388">
        <v>9.0925389075664713E-5</v>
      </c>
      <c r="FK45" s="388">
        <v>8.9818043052390659E-5</v>
      </c>
      <c r="FL45" s="388">
        <v>3.37845682284649E-4</v>
      </c>
      <c r="FM45" s="388">
        <v>-1.7224408452404119E-4</v>
      </c>
      <c r="FN45" s="388">
        <v>-8.8298730967916879E-5</v>
      </c>
      <c r="FO45" s="388">
        <v>-7.3007197384685691E-5</v>
      </c>
      <c r="FP45" s="388">
        <v>-7.1724063268011239E-5</v>
      </c>
      <c r="FQ45" s="388">
        <v>-3.3326748607167195E-5</v>
      </c>
      <c r="FR45" s="388">
        <v>5.8489022229296144E-5</v>
      </c>
      <c r="FS45" s="388">
        <v>-1.3902645946856798E-4</v>
      </c>
      <c r="FT45" s="388">
        <v>-1.5591719940821945E-5</v>
      </c>
      <c r="FU45" s="388">
        <v>-1.4355653057197538E-4</v>
      </c>
      <c r="FV45" s="388">
        <v>8.0044144819274677E-5</v>
      </c>
      <c r="FW45" s="388">
        <v>1.1494183464936962E-4</v>
      </c>
      <c r="FX45" s="388">
        <v>-4.8180323728076663E-5</v>
      </c>
      <c r="FY45" s="388">
        <v>1.6468281024138485E-5</v>
      </c>
      <c r="FZ45" s="388">
        <v>1.6489395158823029E-5</v>
      </c>
      <c r="GA45" s="388">
        <v>9.749343984796728E-6</v>
      </c>
      <c r="GB45" s="388"/>
      <c r="GC45" s="388"/>
      <c r="GD45" s="388"/>
      <c r="GE45" s="388"/>
      <c r="GF45" s="388"/>
      <c r="GG45" s="388"/>
      <c r="GH45" s="388"/>
      <c r="GI45" s="388"/>
      <c r="GJ45" s="388"/>
      <c r="GK45" s="388"/>
      <c r="GL45" s="388"/>
      <c r="GM45" s="388"/>
      <c r="GN45" s="388"/>
      <c r="GO45" s="388"/>
      <c r="GP45" s="412"/>
      <c r="GQ45" s="412"/>
      <c r="GR45" s="412"/>
      <c r="GS45" s="412"/>
      <c r="GT45" s="412"/>
      <c r="GU45" s="412"/>
      <c r="GV45" s="412"/>
      <c r="GW45" s="412"/>
      <c r="GX45" s="412"/>
      <c r="GY45" s="412"/>
      <c r="GZ45" s="412"/>
      <c r="HA45" s="412"/>
      <c r="HB45" s="412"/>
      <c r="HC45" s="412"/>
      <c r="HD45" s="412"/>
      <c r="HE45" s="412"/>
      <c r="HF45" s="412"/>
      <c r="HG45" s="412"/>
      <c r="HH45" s="412"/>
      <c r="HI45" s="412"/>
      <c r="HJ45" s="412"/>
      <c r="HK45" s="412"/>
      <c r="HL45" s="412"/>
      <c r="HM45" s="412"/>
      <c r="HN45" s="412"/>
      <c r="HO45" s="412"/>
      <c r="HP45" s="412"/>
      <c r="HQ45" s="412"/>
      <c r="HR45" s="412"/>
      <c r="HS45" s="412"/>
      <c r="HT45" s="412"/>
      <c r="HU45" s="412"/>
      <c r="HV45" s="412"/>
      <c r="HW45" s="412"/>
      <c r="HX45" s="412"/>
      <c r="HY45" s="412"/>
      <c r="HZ45" s="412"/>
      <c r="IA45" s="412"/>
      <c r="IB45" s="412"/>
      <c r="IC45" s="412"/>
      <c r="ID45" s="412"/>
      <c r="IE45" s="412"/>
      <c r="IF45" s="412"/>
      <c r="IG45" s="412"/>
      <c r="IH45" s="412"/>
      <c r="II45" s="412"/>
      <c r="IJ45" s="412"/>
      <c r="IK45" s="412"/>
      <c r="IL45" s="412"/>
      <c r="IM45" s="412"/>
      <c r="IN45" s="412"/>
      <c r="IO45" s="412"/>
      <c r="IP45" s="412"/>
      <c r="IQ45" s="412"/>
      <c r="IR45" s="412"/>
      <c r="IS45" s="412"/>
      <c r="IT45" s="412"/>
      <c r="IU45" s="412"/>
      <c r="IV45" s="412"/>
      <c r="IW45" s="412"/>
      <c r="IX45" s="412"/>
      <c r="IY45" s="412"/>
      <c r="IZ45" s="412"/>
      <c r="JA45" s="412"/>
      <c r="JB45" s="412"/>
      <c r="JC45" s="412"/>
      <c r="JD45" s="412"/>
      <c r="JE45" s="412"/>
      <c r="JF45" s="412"/>
      <c r="JG45" s="412"/>
      <c r="JH45" s="412"/>
      <c r="JI45" s="412"/>
      <c r="JJ45" s="412"/>
      <c r="JK45" s="412"/>
      <c r="JL45" s="412"/>
      <c r="JM45" s="412"/>
      <c r="JN45" s="412"/>
      <c r="JO45" s="412"/>
      <c r="JP45" s="412"/>
      <c r="JQ45" s="412"/>
      <c r="JR45" s="412"/>
      <c r="JS45" s="412"/>
      <c r="JT45" s="412"/>
      <c r="JU45" s="412"/>
      <c r="JV45" s="412"/>
      <c r="JW45" s="412"/>
      <c r="JX45" s="412"/>
      <c r="JY45" s="412"/>
      <c r="JZ45" s="412"/>
      <c r="KA45" s="412"/>
      <c r="KB45" s="412"/>
      <c r="KC45" s="412"/>
      <c r="KD45" s="412"/>
      <c r="KE45" s="412"/>
      <c r="KF45" s="412"/>
      <c r="KG45" s="412"/>
      <c r="KH45" s="412"/>
      <c r="KI45" s="412"/>
      <c r="KJ45" s="412"/>
      <c r="KK45" s="412"/>
      <c r="KL45" s="412"/>
      <c r="KM45" s="412"/>
      <c r="KN45" s="412"/>
      <c r="KO45" s="412"/>
      <c r="KP45" s="412"/>
      <c r="KQ45" s="412"/>
      <c r="KR45" s="412"/>
      <c r="KS45" s="412"/>
      <c r="KT45" s="412"/>
      <c r="KU45" s="412"/>
      <c r="KV45" s="412"/>
      <c r="KW45" s="412"/>
      <c r="KX45" s="412"/>
      <c r="KY45" s="412"/>
      <c r="KZ45" s="412"/>
      <c r="LA45" s="412"/>
      <c r="LB45" s="412"/>
      <c r="LC45" s="412"/>
      <c r="LD45" s="412"/>
      <c r="LE45" s="412"/>
      <c r="LF45" s="412"/>
      <c r="LG45" s="412"/>
      <c r="LH45" s="412"/>
      <c r="LI45" s="412"/>
      <c r="LJ45" s="412"/>
      <c r="LK45" s="412"/>
      <c r="LL45" s="412"/>
      <c r="LM45" s="412"/>
      <c r="LN45" s="412"/>
      <c r="LO45" s="412"/>
      <c r="LP45" s="412"/>
      <c r="LQ45" s="412"/>
      <c r="LR45" s="412"/>
      <c r="LS45" s="412"/>
      <c r="LT45" s="412"/>
      <c r="LU45" s="412"/>
      <c r="LV45" s="412"/>
      <c r="LW45" s="412"/>
      <c r="LX45" s="412"/>
      <c r="LY45" s="412"/>
      <c r="LZ45" s="412"/>
      <c r="MA45" s="412"/>
      <c r="MB45" s="412"/>
      <c r="MC45" s="412"/>
      <c r="MD45" s="412"/>
      <c r="ME45" s="412"/>
      <c r="MF45" s="412"/>
      <c r="MG45" s="412"/>
      <c r="MH45" s="412"/>
      <c r="MI45" s="412"/>
      <c r="MJ45" s="412"/>
      <c r="MK45" s="412"/>
      <c r="ML45" s="412"/>
      <c r="MM45" s="412"/>
      <c r="MN45" s="412"/>
      <c r="MO45" s="412"/>
      <c r="MP45" s="412"/>
      <c r="MQ45" s="412"/>
      <c r="MR45" s="412"/>
      <c r="MS45" s="412"/>
      <c r="MT45" s="412"/>
      <c r="MU45" s="412"/>
      <c r="MV45" s="412"/>
      <c r="MW45" s="412"/>
      <c r="MX45" s="412"/>
      <c r="MY45" s="412"/>
      <c r="MZ45" s="412"/>
      <c r="NA45" s="412"/>
      <c r="NB45" s="412"/>
      <c r="NC45" s="412"/>
      <c r="ND45" s="412"/>
      <c r="NE45" s="412"/>
      <c r="NF45" s="412"/>
      <c r="NG45" s="412"/>
      <c r="NH45" s="412"/>
      <c r="NI45" s="412"/>
      <c r="NJ45" s="412"/>
      <c r="NK45" s="412"/>
      <c r="NL45" s="412"/>
      <c r="NM45" s="412"/>
      <c r="NN45" s="412"/>
      <c r="NO45" s="412"/>
      <c r="NP45" s="412"/>
      <c r="NQ45" s="412"/>
      <c r="NR45" s="412"/>
      <c r="NS45" s="412"/>
      <c r="NT45" s="412"/>
      <c r="NU45" s="412"/>
      <c r="NV45" s="412"/>
      <c r="NW45" s="412"/>
      <c r="NX45" s="412"/>
      <c r="NY45" s="412"/>
      <c r="NZ45" s="412"/>
      <c r="OA45" s="412"/>
      <c r="OB45" s="412"/>
      <c r="OC45" s="412"/>
      <c r="OD45" s="412"/>
      <c r="OE45" s="412"/>
      <c r="OF45" s="412"/>
      <c r="OG45" s="412"/>
      <c r="OH45" s="412"/>
      <c r="OI45" s="412"/>
      <c r="OJ45" s="412"/>
      <c r="OK45" s="412"/>
      <c r="OL45" s="412"/>
      <c r="OM45" s="412"/>
      <c r="ON45" s="412"/>
      <c r="OO45" s="412"/>
      <c r="OP45" s="412"/>
      <c r="OQ45" s="412"/>
      <c r="OR45" s="412"/>
      <c r="OS45" s="412"/>
      <c r="OT45" s="412"/>
      <c r="OU45" s="412"/>
      <c r="OV45" s="412"/>
      <c r="OW45" s="412"/>
      <c r="OX45" s="412"/>
      <c r="OY45" s="412"/>
      <c r="OZ45" s="412"/>
      <c r="PA45" s="412"/>
      <c r="PB45" s="412"/>
      <c r="PC45" s="412"/>
      <c r="PD45" s="412"/>
      <c r="PE45" s="412"/>
      <c r="PF45" s="412"/>
      <c r="PG45" s="412"/>
      <c r="PH45" s="412"/>
      <c r="PI45" s="412"/>
      <c r="PJ45" s="412"/>
      <c r="PK45" s="412"/>
      <c r="PL45" s="412"/>
      <c r="PM45" s="412"/>
      <c r="PN45" s="412"/>
      <c r="PO45" s="412"/>
      <c r="PP45" s="412"/>
      <c r="PQ45" s="412"/>
      <c r="PR45" s="412"/>
      <c r="PS45" s="412"/>
      <c r="PT45" s="412"/>
      <c r="PU45" s="412"/>
      <c r="PV45" s="412"/>
      <c r="PW45" s="412"/>
      <c r="PX45" s="412"/>
      <c r="PY45" s="412"/>
      <c r="PZ45" s="412"/>
      <c r="QA45" s="412"/>
      <c r="QB45" s="412"/>
      <c r="QC45" s="412"/>
      <c r="QD45" s="412"/>
      <c r="QE45" s="412"/>
      <c r="QF45" s="412"/>
      <c r="QG45" s="412"/>
      <c r="QH45" s="412"/>
      <c r="QI45" s="412"/>
      <c r="QJ45" s="412"/>
      <c r="QK45" s="412"/>
      <c r="QL45" s="412"/>
      <c r="QM45" s="412"/>
      <c r="QN45" s="412"/>
      <c r="QO45" s="412"/>
      <c r="QP45" s="412"/>
      <c r="QQ45" s="412"/>
      <c r="QR45" s="412"/>
      <c r="QS45" s="412"/>
      <c r="QT45" s="412"/>
      <c r="QU45" s="412"/>
      <c r="QV45" s="412"/>
      <c r="QW45" s="412"/>
      <c r="QX45" s="412"/>
      <c r="QY45" s="412"/>
      <c r="QZ45" s="412"/>
      <c r="RA45" s="412"/>
      <c r="RB45" s="412"/>
      <c r="RC45" s="412"/>
      <c r="RD45" s="412"/>
      <c r="RE45" s="412"/>
      <c r="RF45" s="412"/>
      <c r="RG45" s="412"/>
      <c r="RH45" s="412"/>
      <c r="RI45" s="412"/>
      <c r="RJ45" s="412"/>
      <c r="RK45" s="412"/>
      <c r="RL45" s="412"/>
      <c r="RM45" s="412"/>
      <c r="RN45" s="412"/>
      <c r="RO45" s="412"/>
      <c r="RP45" s="412"/>
      <c r="RQ45" s="412"/>
      <c r="RR45" s="412"/>
      <c r="RS45" s="412"/>
      <c r="RT45" s="412"/>
      <c r="RU45" s="412"/>
      <c r="RV45" s="412"/>
      <c r="RW45" s="412"/>
      <c r="RX45" s="412"/>
      <c r="RY45" s="412"/>
      <c r="RZ45" s="412"/>
      <c r="SA45" s="412"/>
      <c r="SB45" s="412"/>
      <c r="SC45" s="412"/>
      <c r="SD45" s="412"/>
      <c r="SE45" s="412"/>
      <c r="SF45" s="412"/>
      <c r="SG45" s="412"/>
    </row>
    <row r="46" spans="1:501" x14ac:dyDescent="0.2">
      <c r="A46" s="391" t="s">
        <v>30</v>
      </c>
      <c r="B46" s="110"/>
      <c r="C46" s="392">
        <v>0.05</v>
      </c>
      <c r="D46" s="392">
        <v>4.5999999999999999E-2</v>
      </c>
      <c r="E46" s="392">
        <v>-3.85E-2</v>
      </c>
      <c r="F46" s="392">
        <v>-3.85E-2</v>
      </c>
      <c r="G46" s="392"/>
      <c r="H46" s="110"/>
      <c r="I46" s="410">
        <v>0</v>
      </c>
      <c r="J46" s="410">
        <v>0</v>
      </c>
      <c r="K46" s="410">
        <v>0</v>
      </c>
      <c r="L46" s="410">
        <v>0</v>
      </c>
      <c r="M46" s="410">
        <v>0</v>
      </c>
      <c r="N46" s="410">
        <v>0</v>
      </c>
      <c r="O46" s="387"/>
      <c r="P46" s="393">
        <v>0</v>
      </c>
      <c r="Q46" s="393">
        <v>0</v>
      </c>
      <c r="R46" s="393">
        <v>0</v>
      </c>
      <c r="S46" s="393">
        <v>0</v>
      </c>
      <c r="T46" s="393">
        <v>0</v>
      </c>
      <c r="U46" s="393"/>
      <c r="V46" s="393">
        <v>0</v>
      </c>
      <c r="W46" s="393">
        <v>0</v>
      </c>
      <c r="X46" s="393">
        <v>0</v>
      </c>
      <c r="Y46" s="393">
        <v>0</v>
      </c>
      <c r="Z46" s="393">
        <v>0</v>
      </c>
      <c r="AA46" s="393"/>
      <c r="AB46" s="435"/>
      <c r="AC46" s="393">
        <v>-3.85E-2</v>
      </c>
      <c r="AD46" s="411"/>
      <c r="AE46" s="435"/>
      <c r="AF46" s="388">
        <v>-3.8499999912346539E-2</v>
      </c>
      <c r="AG46" s="388">
        <v>-3.8499999912346539E-2</v>
      </c>
      <c r="AH46" s="388">
        <v>-3.8499999912346539E-2</v>
      </c>
      <c r="AI46" s="388">
        <v>-3.8499999912346539E-2</v>
      </c>
      <c r="AJ46" s="388">
        <v>-3.8499999912346539E-2</v>
      </c>
      <c r="AK46" s="388">
        <v>-3.8499999912346539E-2</v>
      </c>
      <c r="AL46" s="388">
        <v>-3.8499999912346539E-2</v>
      </c>
      <c r="AM46" s="388">
        <v>-3.8499999912346539E-2</v>
      </c>
      <c r="AN46" s="388">
        <v>-3.8499999912346539E-2</v>
      </c>
      <c r="AO46" s="388">
        <v>-3.8499999912346539E-2</v>
      </c>
      <c r="AP46" s="388">
        <v>-3.8499999912346539E-2</v>
      </c>
      <c r="AQ46" s="388">
        <v>-3.8499999912346539E-2</v>
      </c>
      <c r="AR46" s="388">
        <v>-3.8499999912346539E-2</v>
      </c>
      <c r="AS46" s="388">
        <v>-3.8499999912346539E-2</v>
      </c>
      <c r="AT46" s="388">
        <v>-3.8499999912346539E-2</v>
      </c>
      <c r="AU46" s="388">
        <v>-3.8499999912346539E-2</v>
      </c>
      <c r="AV46" s="388">
        <v>-3.8499999912346539E-2</v>
      </c>
      <c r="AW46" s="388">
        <v>-3.8499999912346539E-2</v>
      </c>
      <c r="AX46" s="388">
        <v>-3.8499999912346539E-2</v>
      </c>
      <c r="AY46" s="388">
        <v>-3.8499999912346539E-2</v>
      </c>
      <c r="AZ46" s="388">
        <v>-3.8499999912346539E-2</v>
      </c>
      <c r="BA46" s="388">
        <v>-3.8499999912346539E-2</v>
      </c>
      <c r="BB46" s="388">
        <v>-3.8499999912346539E-2</v>
      </c>
      <c r="BC46" s="388">
        <v>-3.8499999912346539E-2</v>
      </c>
      <c r="BD46" s="388">
        <v>-3.8499999912346539E-2</v>
      </c>
      <c r="BE46" s="388">
        <v>-3.8499999912346539E-2</v>
      </c>
      <c r="BF46" s="388">
        <v>-3.8499999912346539E-2</v>
      </c>
      <c r="BG46" s="388">
        <v>-3.8499999912346539E-2</v>
      </c>
      <c r="BH46" s="388">
        <v>-3.8499999912346539E-2</v>
      </c>
      <c r="BI46" s="388">
        <v>-3.8499999912346539E-2</v>
      </c>
      <c r="BJ46" s="388">
        <v>-3.8499999912346539E-2</v>
      </c>
      <c r="BK46" s="388">
        <v>-3.8499999912346539E-2</v>
      </c>
      <c r="BL46" s="388">
        <v>-3.8499999912346539E-2</v>
      </c>
      <c r="BM46" s="388">
        <v>-3.8499999912346539E-2</v>
      </c>
      <c r="BN46" s="388">
        <v>-3.8499999912346539E-2</v>
      </c>
      <c r="BO46" s="388">
        <v>-3.8499999912346539E-2</v>
      </c>
      <c r="BP46" s="388">
        <v>-3.8499999912346539E-2</v>
      </c>
      <c r="BQ46" s="388">
        <v>-3.8499999912346539E-2</v>
      </c>
      <c r="BR46" s="388">
        <v>-3.8499999912346539E-2</v>
      </c>
      <c r="BS46" s="388">
        <v>-3.8499999912346539E-2</v>
      </c>
      <c r="BT46" s="388">
        <v>-3.8499999912346539E-2</v>
      </c>
      <c r="BU46" s="388">
        <v>-3.8499999912346539E-2</v>
      </c>
      <c r="BV46" s="388">
        <v>-3.8499999912346539E-2</v>
      </c>
      <c r="BW46" s="388">
        <v>-3.8499999912346539E-2</v>
      </c>
      <c r="BX46" s="388">
        <v>-3.8499999912346539E-2</v>
      </c>
      <c r="BY46" s="388">
        <v>-3.8499999912346539E-2</v>
      </c>
      <c r="BZ46" s="388">
        <v>-3.8499999912346539E-2</v>
      </c>
      <c r="CA46" s="388">
        <v>-3.8499999912346539E-2</v>
      </c>
      <c r="CB46" s="388">
        <v>-3.8499999912346539E-2</v>
      </c>
      <c r="CC46" s="388">
        <v>-3.8499999912346539E-2</v>
      </c>
      <c r="CD46" s="388">
        <v>-3.8499999912346539E-2</v>
      </c>
      <c r="CE46" s="388">
        <v>-3.8499999912346539E-2</v>
      </c>
      <c r="CF46" s="388">
        <v>-3.8499999912346539E-2</v>
      </c>
      <c r="CG46" s="388">
        <v>-3.8499999912346504E-2</v>
      </c>
      <c r="CH46" s="388">
        <v>-3.8499999912346539E-2</v>
      </c>
      <c r="CI46" s="388">
        <v>-3.8499999912346525E-2</v>
      </c>
      <c r="CJ46" s="388">
        <v>-3.8499999912346539E-2</v>
      </c>
      <c r="CK46" s="388">
        <v>-3.849999991234649E-2</v>
      </c>
      <c r="CL46" s="388">
        <v>-3.8499999912346539E-2</v>
      </c>
      <c r="CM46" s="388">
        <v>-3.8499999912346539E-2</v>
      </c>
      <c r="CN46" s="388">
        <v>-3.8499999912346539E-2</v>
      </c>
      <c r="CO46" s="388">
        <v>-3.8499999912346539E-2</v>
      </c>
      <c r="CP46" s="388">
        <v>-3.8499999912346539E-2</v>
      </c>
      <c r="CQ46" s="388">
        <v>-3.8499999912346539E-2</v>
      </c>
      <c r="CR46" s="388">
        <v>-3.8499999912346539E-2</v>
      </c>
      <c r="CS46" s="388">
        <v>-3.8499999912346539E-2</v>
      </c>
      <c r="CT46" s="388">
        <v>-3.8499999912346539E-2</v>
      </c>
      <c r="CU46" s="388">
        <v>-3.8499999912346539E-2</v>
      </c>
      <c r="CV46" s="388">
        <v>-3.8499999912346539E-2</v>
      </c>
      <c r="CW46" s="388">
        <v>-3.8499999912346539E-2</v>
      </c>
      <c r="CX46" s="388">
        <v>-3.8499999912346539E-2</v>
      </c>
      <c r="CY46" s="388">
        <v>-3.8499999912346539E-2</v>
      </c>
      <c r="CZ46" s="388">
        <v>-3.8499999912346539E-2</v>
      </c>
      <c r="DA46" s="388">
        <v>-3.8499999912346539E-2</v>
      </c>
      <c r="DB46" s="388">
        <v>-3.8499999912346539E-2</v>
      </c>
      <c r="DC46" s="388">
        <v>-3.8499999912346539E-2</v>
      </c>
      <c r="DD46" s="388">
        <v>-3.8499999912346518E-2</v>
      </c>
      <c r="DE46" s="388">
        <v>-3.8499999912346539E-2</v>
      </c>
      <c r="DF46" s="388">
        <v>-3.8499999912346539E-2</v>
      </c>
      <c r="DG46" s="388">
        <v>-3.8499999912346539E-2</v>
      </c>
      <c r="DH46" s="388">
        <v>-3.8499999912346539E-2</v>
      </c>
      <c r="DI46" s="388">
        <v>-3.8499999912346539E-2</v>
      </c>
      <c r="DJ46" s="388">
        <v>-3.8499999912346539E-2</v>
      </c>
      <c r="DK46" s="388">
        <v>-3.8499999912346539E-2</v>
      </c>
      <c r="DL46" s="388">
        <v>-3.8499999912346539E-2</v>
      </c>
      <c r="DM46" s="388">
        <v>-3.8499999912346539E-2</v>
      </c>
      <c r="DN46" s="388">
        <v>-3.8499999912346539E-2</v>
      </c>
      <c r="DO46" s="388">
        <v>-3.8499999912346539E-2</v>
      </c>
      <c r="DP46" s="388">
        <v>-3.8499999912346539E-2</v>
      </c>
      <c r="DQ46" s="388">
        <v>-3.8499999912346539E-2</v>
      </c>
      <c r="DR46" s="388">
        <v>-3.8499999912346539E-2</v>
      </c>
      <c r="DS46" s="388">
        <v>-3.8499999912346539E-2</v>
      </c>
      <c r="DT46" s="388">
        <v>-3.8499999912346539E-2</v>
      </c>
      <c r="DU46" s="388">
        <v>-3.8499999912346483E-2</v>
      </c>
      <c r="DV46" s="388">
        <v>-3.8499999912346539E-2</v>
      </c>
      <c r="DW46" s="388">
        <v>-3.8499999912346539E-2</v>
      </c>
      <c r="DX46" s="388">
        <v>-3.8499999912346539E-2</v>
      </c>
      <c r="DY46" s="388">
        <v>-3.8499999912346539E-2</v>
      </c>
      <c r="DZ46" s="388">
        <v>-3.8499999912346539E-2</v>
      </c>
      <c r="EA46" s="388">
        <v>-3.8499999912346539E-2</v>
      </c>
      <c r="EB46" s="388"/>
      <c r="EC46" s="388"/>
      <c r="ED46" s="388">
        <v>1.6834441385498141E-4</v>
      </c>
      <c r="EE46" s="388">
        <v>2.8979999999999995E-3</v>
      </c>
      <c r="EF46" s="388">
        <v>4.2999676429332501E-3</v>
      </c>
      <c r="EG46" s="388">
        <v>2.3493399399112692E-3</v>
      </c>
      <c r="EH46" s="388">
        <v>3.6833175992923885E-3</v>
      </c>
      <c r="EI46" s="388">
        <v>2.1381290900817948E-3</v>
      </c>
      <c r="EJ46" s="388">
        <v>3.4732982314896917E-3</v>
      </c>
      <c r="EK46" s="388">
        <v>1.7432866469916646E-3</v>
      </c>
      <c r="EL46" s="388">
        <v>2.6553732771141788E-3</v>
      </c>
      <c r="EM46" s="388">
        <v>1.9068403851799868E-3</v>
      </c>
      <c r="EN46" s="388">
        <v>-5.8937929269689337E-5</v>
      </c>
      <c r="EO46" s="388">
        <v>-2.4485779954295102E-4</v>
      </c>
      <c r="EP46" s="388">
        <v>-2.4857767208816343E-4</v>
      </c>
      <c r="EQ46" s="388">
        <v>3.2635010166477251E-4</v>
      </c>
      <c r="ER46" s="388">
        <v>1.1129446703424883E-4</v>
      </c>
      <c r="ES46" s="388">
        <v>4.992921366222538E-4</v>
      </c>
      <c r="ET46" s="388">
        <v>1.6752774022312533E-3</v>
      </c>
      <c r="EU46" s="388">
        <v>-1.3155706152376745E-3</v>
      </c>
      <c r="EV46" s="388">
        <v>-1.422343438521808E-3</v>
      </c>
      <c r="EW46" s="388">
        <v>-2.4147223949415606E-3</v>
      </c>
      <c r="EX46" s="388">
        <v>-2.3051384311962306E-3</v>
      </c>
      <c r="EY46" s="388">
        <v>-3.3846574152356334E-4</v>
      </c>
      <c r="EZ46" s="388">
        <v>2.0623336437957488E-4</v>
      </c>
      <c r="FA46" s="388">
        <v>4.5734784128363633E-5</v>
      </c>
      <c r="FB46" s="388">
        <v>-5.6799057579300734E-4</v>
      </c>
      <c r="FC46" s="388">
        <v>1.052047824579787E-3</v>
      </c>
      <c r="FD46" s="388">
        <v>-4.4981826029662751E-4</v>
      </c>
      <c r="FE46" s="388">
        <v>1.6834165225821022E-4</v>
      </c>
      <c r="FF46" s="388">
        <v>2.1159999999999994E-3</v>
      </c>
      <c r="FG46" s="388">
        <v>3.224975732199938E-3</v>
      </c>
      <c r="FH46" s="388">
        <v>1.6540243904406334E-3</v>
      </c>
      <c r="FI46" s="388">
        <v>4.3038695477154876E-3</v>
      </c>
      <c r="FJ46" s="388">
        <v>9.7783536750887298E-3</v>
      </c>
      <c r="FK46" s="388">
        <v>6.870526537618874E-3</v>
      </c>
      <c r="FL46" s="388">
        <v>7.2910648587901708E-3</v>
      </c>
      <c r="FM46" s="388">
        <v>-2.5337053344950343E-3</v>
      </c>
      <c r="FN46" s="388">
        <v>-1.7680499518149245E-3</v>
      </c>
      <c r="FO46" s="388">
        <v>-1.6518877816786254E-3</v>
      </c>
      <c r="FP46" s="388">
        <v>8.7349593051923495E-5</v>
      </c>
      <c r="FQ46" s="388">
        <v>2.3828756121555496E-4</v>
      </c>
      <c r="FR46" s="388">
        <v>2.4857767208816343E-4</v>
      </c>
      <c r="FS46" s="388">
        <v>-2.7866392491355515E-4</v>
      </c>
      <c r="FT46" s="388">
        <v>-5.5532518735876895E-5</v>
      </c>
      <c r="FU46" s="388">
        <v>-4.463071932734096E-4</v>
      </c>
      <c r="FV46" s="388">
        <v>-1.5878026569808397E-3</v>
      </c>
      <c r="FW46" s="388">
        <v>1.2533318082621656E-3</v>
      </c>
      <c r="FX46" s="388">
        <v>1.3810746185027975E-3</v>
      </c>
      <c r="FY46" s="388">
        <v>2.3540295317634029E-3</v>
      </c>
      <c r="FZ46" s="388">
        <v>2.1961657906916783E-3</v>
      </c>
      <c r="GA46" s="388">
        <v>5.0664622420639817E-5</v>
      </c>
      <c r="GB46" s="388"/>
      <c r="GC46" s="388"/>
      <c r="GD46" s="388"/>
      <c r="GE46" s="388"/>
      <c r="GF46" s="388"/>
      <c r="GG46" s="388"/>
      <c r="GH46" s="388"/>
      <c r="GI46" s="388"/>
      <c r="GJ46" s="388"/>
      <c r="GK46" s="388"/>
      <c r="GL46" s="388"/>
      <c r="GM46" s="388"/>
      <c r="GN46" s="388"/>
      <c r="GO46" s="388"/>
      <c r="GP46" s="412"/>
      <c r="GQ46" s="412"/>
      <c r="GR46" s="412"/>
      <c r="GS46" s="412"/>
      <c r="GT46" s="412"/>
      <c r="GU46" s="412"/>
      <c r="GV46" s="412"/>
      <c r="GW46" s="412"/>
      <c r="GX46" s="412"/>
      <c r="GY46" s="412"/>
      <c r="GZ46" s="412"/>
      <c r="HA46" s="412"/>
      <c r="HB46" s="412"/>
      <c r="HC46" s="412"/>
      <c r="HD46" s="412"/>
      <c r="HE46" s="412"/>
      <c r="HF46" s="412"/>
      <c r="HG46" s="412"/>
      <c r="HH46" s="412"/>
      <c r="HI46" s="412"/>
      <c r="HJ46" s="412"/>
      <c r="HK46" s="412"/>
      <c r="HL46" s="412"/>
      <c r="HM46" s="412"/>
      <c r="HN46" s="412"/>
      <c r="HO46" s="412"/>
      <c r="HP46" s="412"/>
      <c r="HQ46" s="412"/>
      <c r="HR46" s="412"/>
      <c r="HS46" s="412"/>
      <c r="HT46" s="412"/>
      <c r="HU46" s="412"/>
      <c r="HV46" s="412"/>
      <c r="HW46" s="412"/>
      <c r="HX46" s="412"/>
      <c r="HY46" s="412"/>
      <c r="HZ46" s="412"/>
      <c r="IA46" s="412"/>
      <c r="IB46" s="412"/>
      <c r="IC46" s="412"/>
      <c r="ID46" s="412"/>
      <c r="IE46" s="412"/>
      <c r="IF46" s="412"/>
      <c r="IG46" s="412"/>
      <c r="IH46" s="412"/>
      <c r="II46" s="412"/>
      <c r="IJ46" s="412"/>
      <c r="IK46" s="412"/>
      <c r="IL46" s="412"/>
      <c r="IM46" s="412"/>
      <c r="IN46" s="412"/>
      <c r="IO46" s="412"/>
      <c r="IP46" s="412"/>
      <c r="IQ46" s="412"/>
      <c r="IR46" s="412"/>
      <c r="IS46" s="412"/>
      <c r="IT46" s="412"/>
      <c r="IU46" s="412"/>
      <c r="IV46" s="412"/>
      <c r="IW46" s="412"/>
      <c r="IX46" s="412"/>
      <c r="IY46" s="412"/>
      <c r="IZ46" s="412"/>
      <c r="JA46" s="412"/>
      <c r="JB46" s="412"/>
      <c r="JC46" s="412"/>
      <c r="JD46" s="412"/>
      <c r="JE46" s="412"/>
      <c r="JF46" s="412"/>
      <c r="JG46" s="412"/>
      <c r="JH46" s="412"/>
      <c r="JI46" s="412"/>
      <c r="JJ46" s="412"/>
      <c r="JK46" s="412"/>
      <c r="JL46" s="412"/>
      <c r="JM46" s="412"/>
      <c r="JN46" s="412"/>
      <c r="JO46" s="412"/>
      <c r="JP46" s="412"/>
      <c r="JQ46" s="412"/>
      <c r="JR46" s="412"/>
      <c r="JS46" s="412"/>
      <c r="JT46" s="412"/>
      <c r="JU46" s="412"/>
      <c r="JV46" s="412"/>
      <c r="JW46" s="412"/>
      <c r="JX46" s="412"/>
      <c r="JY46" s="412"/>
      <c r="JZ46" s="412"/>
      <c r="KA46" s="412"/>
      <c r="KB46" s="412"/>
      <c r="KC46" s="412"/>
      <c r="KD46" s="412"/>
      <c r="KE46" s="412"/>
      <c r="KF46" s="412"/>
      <c r="KG46" s="412"/>
      <c r="KH46" s="412"/>
      <c r="KI46" s="412"/>
      <c r="KJ46" s="412"/>
      <c r="KK46" s="412"/>
      <c r="KL46" s="412"/>
      <c r="KM46" s="412"/>
      <c r="KN46" s="412"/>
      <c r="KO46" s="412"/>
      <c r="KP46" s="412"/>
      <c r="KQ46" s="412"/>
      <c r="KR46" s="412"/>
      <c r="KS46" s="412"/>
      <c r="KT46" s="412"/>
      <c r="KU46" s="412"/>
      <c r="KV46" s="412"/>
      <c r="KW46" s="412"/>
      <c r="KX46" s="412"/>
      <c r="KY46" s="412"/>
      <c r="KZ46" s="412"/>
      <c r="LA46" s="412"/>
      <c r="LB46" s="412"/>
      <c r="LC46" s="412"/>
      <c r="LD46" s="412"/>
      <c r="LE46" s="412"/>
      <c r="LF46" s="412"/>
      <c r="LG46" s="412"/>
      <c r="LH46" s="412"/>
      <c r="LI46" s="412"/>
      <c r="LJ46" s="412"/>
      <c r="LK46" s="412"/>
      <c r="LL46" s="412"/>
      <c r="LM46" s="412"/>
      <c r="LN46" s="412"/>
      <c r="LO46" s="412"/>
      <c r="LP46" s="412"/>
      <c r="LQ46" s="412"/>
      <c r="LR46" s="412"/>
      <c r="LS46" s="412"/>
      <c r="LT46" s="412"/>
      <c r="LU46" s="412"/>
      <c r="LV46" s="412"/>
      <c r="LW46" s="412"/>
      <c r="LX46" s="412"/>
      <c r="LY46" s="412"/>
      <c r="LZ46" s="412"/>
      <c r="MA46" s="412"/>
      <c r="MB46" s="412"/>
      <c r="MC46" s="412"/>
      <c r="MD46" s="412"/>
      <c r="ME46" s="412"/>
      <c r="MF46" s="412"/>
      <c r="MG46" s="412"/>
      <c r="MH46" s="412"/>
      <c r="MI46" s="412"/>
      <c r="MJ46" s="412"/>
      <c r="MK46" s="412"/>
      <c r="ML46" s="412"/>
      <c r="MM46" s="412"/>
      <c r="MN46" s="412"/>
      <c r="MO46" s="412"/>
      <c r="MP46" s="412"/>
      <c r="MQ46" s="412"/>
      <c r="MR46" s="412"/>
      <c r="MS46" s="412"/>
      <c r="MT46" s="412"/>
      <c r="MU46" s="412"/>
      <c r="MV46" s="412"/>
      <c r="MW46" s="412"/>
      <c r="MX46" s="412"/>
      <c r="MY46" s="412"/>
      <c r="MZ46" s="412"/>
      <c r="NA46" s="412"/>
      <c r="NB46" s="412"/>
      <c r="NC46" s="412"/>
      <c r="ND46" s="412"/>
      <c r="NE46" s="412"/>
      <c r="NF46" s="412"/>
      <c r="NG46" s="412"/>
      <c r="NH46" s="412"/>
      <c r="NI46" s="412"/>
      <c r="NJ46" s="412"/>
      <c r="NK46" s="412"/>
      <c r="NL46" s="412"/>
      <c r="NM46" s="412"/>
      <c r="NN46" s="412"/>
      <c r="NO46" s="412"/>
      <c r="NP46" s="412"/>
      <c r="NQ46" s="412"/>
      <c r="NR46" s="412"/>
      <c r="NS46" s="412"/>
      <c r="NT46" s="412"/>
      <c r="NU46" s="412"/>
      <c r="NV46" s="412"/>
      <c r="NW46" s="412"/>
      <c r="NX46" s="412"/>
      <c r="NY46" s="412"/>
      <c r="NZ46" s="412"/>
      <c r="OA46" s="412"/>
      <c r="OB46" s="412"/>
      <c r="OC46" s="412"/>
      <c r="OD46" s="412"/>
      <c r="OE46" s="412"/>
      <c r="OF46" s="412"/>
      <c r="OG46" s="412"/>
      <c r="OH46" s="412"/>
      <c r="OI46" s="412"/>
      <c r="OJ46" s="412"/>
      <c r="OK46" s="412"/>
      <c r="OL46" s="412"/>
      <c r="OM46" s="412"/>
      <c r="ON46" s="412"/>
      <c r="OO46" s="412"/>
      <c r="OP46" s="412"/>
      <c r="OQ46" s="412"/>
      <c r="OR46" s="412"/>
      <c r="OS46" s="412"/>
      <c r="OT46" s="412"/>
      <c r="OU46" s="412"/>
      <c r="OV46" s="412"/>
      <c r="OW46" s="412"/>
      <c r="OX46" s="412"/>
      <c r="OY46" s="412"/>
      <c r="OZ46" s="412"/>
      <c r="PA46" s="412"/>
      <c r="PB46" s="412"/>
      <c r="PC46" s="412"/>
      <c r="PD46" s="412"/>
      <c r="PE46" s="412"/>
      <c r="PF46" s="412"/>
      <c r="PG46" s="412"/>
      <c r="PH46" s="412"/>
      <c r="PI46" s="412"/>
      <c r="PJ46" s="412"/>
      <c r="PK46" s="412"/>
      <c r="PL46" s="412"/>
      <c r="PM46" s="412"/>
      <c r="PN46" s="412"/>
      <c r="PO46" s="412"/>
      <c r="PP46" s="412"/>
      <c r="PQ46" s="412"/>
      <c r="PR46" s="412"/>
      <c r="PS46" s="412"/>
      <c r="PT46" s="412"/>
      <c r="PU46" s="412"/>
      <c r="PV46" s="412"/>
      <c r="PW46" s="412"/>
      <c r="PX46" s="412"/>
      <c r="PY46" s="412"/>
      <c r="PZ46" s="412"/>
      <c r="QA46" s="412"/>
      <c r="QB46" s="412"/>
      <c r="QC46" s="412"/>
      <c r="QD46" s="412"/>
      <c r="QE46" s="412"/>
      <c r="QF46" s="412"/>
      <c r="QG46" s="412"/>
      <c r="QH46" s="412"/>
      <c r="QI46" s="412"/>
      <c r="QJ46" s="412"/>
      <c r="QK46" s="412"/>
      <c r="QL46" s="412"/>
      <c r="QM46" s="412"/>
      <c r="QN46" s="412"/>
      <c r="QO46" s="412"/>
      <c r="QP46" s="412"/>
      <c r="QQ46" s="412"/>
      <c r="QR46" s="412"/>
      <c r="QS46" s="412"/>
      <c r="QT46" s="412"/>
      <c r="QU46" s="412"/>
      <c r="QV46" s="412"/>
      <c r="QW46" s="412"/>
      <c r="QX46" s="412"/>
      <c r="QY46" s="412"/>
      <c r="QZ46" s="412"/>
      <c r="RA46" s="412"/>
      <c r="RB46" s="412"/>
      <c r="RC46" s="412"/>
      <c r="RD46" s="412"/>
      <c r="RE46" s="412"/>
      <c r="RF46" s="412"/>
      <c r="RG46" s="412"/>
      <c r="RH46" s="412"/>
      <c r="RI46" s="412"/>
      <c r="RJ46" s="412"/>
      <c r="RK46" s="412"/>
      <c r="RL46" s="412"/>
      <c r="RM46" s="412"/>
      <c r="RN46" s="412"/>
      <c r="RO46" s="412"/>
      <c r="RP46" s="412"/>
      <c r="RQ46" s="412"/>
      <c r="RR46" s="412"/>
      <c r="RS46" s="412"/>
      <c r="RT46" s="412"/>
      <c r="RU46" s="412"/>
      <c r="RV46" s="412"/>
      <c r="RW46" s="412"/>
      <c r="RX46" s="412"/>
      <c r="RY46" s="412"/>
      <c r="RZ46" s="412"/>
      <c r="SA46" s="412"/>
      <c r="SB46" s="412"/>
      <c r="SC46" s="412"/>
      <c r="SD46" s="412"/>
      <c r="SE46" s="412"/>
      <c r="SF46" s="412"/>
      <c r="SG46" s="412"/>
    </row>
    <row r="47" spans="1:501" x14ac:dyDescent="0.2">
      <c r="A47" s="391" t="s">
        <v>31</v>
      </c>
      <c r="B47" s="110"/>
      <c r="C47" s="392">
        <v>0.05</v>
      </c>
      <c r="D47" s="392">
        <v>8.1000000000000003E-2</v>
      </c>
      <c r="E47" s="392">
        <v>-9.9999999999999995E-7</v>
      </c>
      <c r="F47" s="392">
        <v>-9.9999999999999995E-7</v>
      </c>
      <c r="G47" s="392"/>
      <c r="H47" s="110"/>
      <c r="I47" s="410">
        <v>0</v>
      </c>
      <c r="J47" s="410">
        <v>0</v>
      </c>
      <c r="K47" s="410">
        <v>0</v>
      </c>
      <c r="L47" s="410">
        <v>0</v>
      </c>
      <c r="M47" s="410">
        <v>0</v>
      </c>
      <c r="N47" s="410">
        <v>0</v>
      </c>
      <c r="O47" s="387"/>
      <c r="P47" s="393">
        <v>0</v>
      </c>
      <c r="Q47" s="393">
        <v>0</v>
      </c>
      <c r="R47" s="393">
        <v>0</v>
      </c>
      <c r="S47" s="393">
        <v>0</v>
      </c>
      <c r="T47" s="393">
        <v>0</v>
      </c>
      <c r="U47" s="393"/>
      <c r="V47" s="393">
        <v>0</v>
      </c>
      <c r="W47" s="393">
        <v>0</v>
      </c>
      <c r="X47" s="393">
        <v>0</v>
      </c>
      <c r="Y47" s="393">
        <v>0</v>
      </c>
      <c r="Z47" s="393">
        <v>0</v>
      </c>
      <c r="AA47" s="393"/>
      <c r="AB47" s="435"/>
      <c r="AC47" s="393">
        <v>-9.9999999999999995E-7</v>
      </c>
      <c r="AD47" s="411"/>
      <c r="AE47" s="435"/>
      <c r="AF47" s="388">
        <v>-9.9999999747524271E-7</v>
      </c>
      <c r="AG47" s="388">
        <v>-9.9999999747524271E-7</v>
      </c>
      <c r="AH47" s="388">
        <v>-9.9999999747524271E-7</v>
      </c>
      <c r="AI47" s="388">
        <v>-9.9999999747524271E-7</v>
      </c>
      <c r="AJ47" s="388">
        <v>-9.9999999747524271E-7</v>
      </c>
      <c r="AK47" s="388">
        <v>-9.9999999747524271E-7</v>
      </c>
      <c r="AL47" s="388">
        <v>-9.9999999747524271E-7</v>
      </c>
      <c r="AM47" s="388">
        <v>-9.9999999747523212E-7</v>
      </c>
      <c r="AN47" s="388">
        <v>-9.9999999747524271E-7</v>
      </c>
      <c r="AO47" s="388">
        <v>-9.9999999747524207E-7</v>
      </c>
      <c r="AP47" s="388">
        <v>-9.9999999747524271E-7</v>
      </c>
      <c r="AQ47" s="388">
        <v>-9.999999974752425E-7</v>
      </c>
      <c r="AR47" s="388">
        <v>-9.999999974752425E-7</v>
      </c>
      <c r="AS47" s="388">
        <v>-9.9999999747524271E-7</v>
      </c>
      <c r="AT47" s="388">
        <v>-9.9999999747524038E-7</v>
      </c>
      <c r="AU47" s="388">
        <v>-9.999999974752425E-7</v>
      </c>
      <c r="AV47" s="388">
        <v>-9.9999999747524271E-7</v>
      </c>
      <c r="AW47" s="388">
        <v>-9.999999974752425E-7</v>
      </c>
      <c r="AX47" s="388">
        <v>-9.9999999747524271E-7</v>
      </c>
      <c r="AY47" s="388">
        <v>-9.9999999747524228E-7</v>
      </c>
      <c r="AZ47" s="388">
        <v>-9.9999999747524271E-7</v>
      </c>
      <c r="BA47" s="388">
        <v>-9.999999974752425E-7</v>
      </c>
      <c r="BB47" s="388">
        <v>-9.9999999747523974E-7</v>
      </c>
      <c r="BC47" s="388">
        <v>-9.999999974752425E-7</v>
      </c>
      <c r="BD47" s="388">
        <v>-9.9999999747524228E-7</v>
      </c>
      <c r="BE47" s="388">
        <v>-9.9999999747524271E-7</v>
      </c>
      <c r="BF47" s="388">
        <v>-9.999999974752425E-7</v>
      </c>
      <c r="BG47" s="388">
        <v>-9.9999999747524271E-7</v>
      </c>
      <c r="BH47" s="388">
        <v>-9.999999974752425E-7</v>
      </c>
      <c r="BI47" s="388">
        <v>-9.9999999747523127E-7</v>
      </c>
      <c r="BJ47" s="388">
        <v>-9.9999999747524271E-7</v>
      </c>
      <c r="BK47" s="388">
        <v>-9.9999999747524123E-7</v>
      </c>
      <c r="BL47" s="388">
        <v>-9.9999999747524271E-7</v>
      </c>
      <c r="BM47" s="388">
        <v>-9.9999999747524271E-7</v>
      </c>
      <c r="BN47" s="388">
        <v>-9.9999999747524271E-7</v>
      </c>
      <c r="BO47" s="388">
        <v>-9.9999999747524271E-7</v>
      </c>
      <c r="BP47" s="388">
        <v>-9.9999999747524271E-7</v>
      </c>
      <c r="BQ47" s="388">
        <v>-9.9999999747523847E-7</v>
      </c>
      <c r="BR47" s="388">
        <v>-9.9999999747524271E-7</v>
      </c>
      <c r="BS47" s="388">
        <v>-9.9999999747524271E-7</v>
      </c>
      <c r="BT47" s="388">
        <v>-9.999999974752425E-7</v>
      </c>
      <c r="BU47" s="388">
        <v>-9.999999974752425E-7</v>
      </c>
      <c r="BV47" s="388">
        <v>-9.999999974752425E-7</v>
      </c>
      <c r="BW47" s="388">
        <v>-9.999999974752425E-7</v>
      </c>
      <c r="BX47" s="388">
        <v>-9.9999999747524271E-7</v>
      </c>
      <c r="BY47" s="388">
        <v>-9.9999999747524271E-7</v>
      </c>
      <c r="BZ47" s="388">
        <v>-9.999999974752228E-7</v>
      </c>
      <c r="CA47" s="388">
        <v>-9.9999999747524271E-7</v>
      </c>
      <c r="CB47" s="388">
        <v>-9.9999999747523021E-7</v>
      </c>
      <c r="CC47" s="388">
        <v>-9.9999999747524271E-7</v>
      </c>
      <c r="CD47" s="388">
        <v>-9.9999999747522916E-7</v>
      </c>
      <c r="CE47" s="388">
        <v>-9.999999974752425E-7</v>
      </c>
      <c r="CF47" s="388">
        <v>-9.9999999747524186E-7</v>
      </c>
      <c r="CG47" s="388">
        <v>-9.9999999745216445E-7</v>
      </c>
      <c r="CH47" s="388">
        <v>-9.9999999747524271E-7</v>
      </c>
      <c r="CI47" s="388">
        <v>-9.9999999747524271E-7</v>
      </c>
      <c r="CJ47" s="388">
        <v>-9.9999999747524186E-7</v>
      </c>
      <c r="CK47" s="388">
        <v>-9.9999999745685743E-7</v>
      </c>
      <c r="CL47" s="388">
        <v>-9.9999999747524207E-7</v>
      </c>
      <c r="CM47" s="388">
        <v>-9.9999999747524228E-7</v>
      </c>
      <c r="CN47" s="388">
        <v>-9.9999999747523996E-7</v>
      </c>
      <c r="CO47" s="388">
        <v>-9.9999999747524271E-7</v>
      </c>
      <c r="CP47" s="388">
        <v>-9.9999999747524271E-7</v>
      </c>
      <c r="CQ47" s="388">
        <v>-9.9999999747524271E-7</v>
      </c>
      <c r="CR47" s="388">
        <v>-9.999999974752425E-7</v>
      </c>
      <c r="CS47" s="388">
        <v>-9.9999999747522788E-7</v>
      </c>
      <c r="CT47" s="388">
        <v>-9.9999999747524123E-7</v>
      </c>
      <c r="CU47" s="388">
        <v>-9.9999999747524271E-7</v>
      </c>
      <c r="CV47" s="388">
        <v>-9.999999974752425E-7</v>
      </c>
      <c r="CW47" s="388">
        <v>-9.9999999747523466E-7</v>
      </c>
      <c r="CX47" s="388">
        <v>-9.999999974752425E-7</v>
      </c>
      <c r="CY47" s="388">
        <v>-9.9999999747524186E-7</v>
      </c>
      <c r="CZ47" s="388">
        <v>-9.9999999747520544E-7</v>
      </c>
      <c r="DA47" s="388">
        <v>-9.999999974752425E-7</v>
      </c>
      <c r="DB47" s="388">
        <v>-9.9999999747524271E-7</v>
      </c>
      <c r="DC47" s="388">
        <v>-9.9999999747514149E-7</v>
      </c>
      <c r="DD47" s="388">
        <v>-9.9999999747419938E-7</v>
      </c>
      <c r="DE47" s="388">
        <v>-9.9999999747524271E-7</v>
      </c>
      <c r="DF47" s="388">
        <v>-9.9999999747524271E-7</v>
      </c>
      <c r="DG47" s="388">
        <v>-9.9999999747510634E-7</v>
      </c>
      <c r="DH47" s="388">
        <v>-9.9999999747523784E-7</v>
      </c>
      <c r="DI47" s="388">
        <v>-9.9999999747521709E-7</v>
      </c>
      <c r="DJ47" s="388">
        <v>-9.9999999747482512E-7</v>
      </c>
      <c r="DK47" s="388">
        <v>-9.9999999747524228E-7</v>
      </c>
      <c r="DL47" s="388">
        <v>-9.9999999747486959E-7</v>
      </c>
      <c r="DM47" s="388">
        <v>-9.9999999747475778E-7</v>
      </c>
      <c r="DN47" s="388">
        <v>-9.9999999747522619E-7</v>
      </c>
      <c r="DO47" s="388">
        <v>-9.9999999747523127E-7</v>
      </c>
      <c r="DP47" s="388">
        <v>-9.99999997474225E-7</v>
      </c>
      <c r="DQ47" s="388">
        <v>-9.9999999747524207E-7</v>
      </c>
      <c r="DR47" s="388">
        <v>-9.999999974471498E-7</v>
      </c>
      <c r="DS47" s="388">
        <v>-9.9999999747524271E-7</v>
      </c>
      <c r="DT47" s="388">
        <v>-9.9999999747524271E-7</v>
      </c>
      <c r="DU47" s="388">
        <v>-9.9999999746023392E-7</v>
      </c>
      <c r="DV47" s="388">
        <v>-9.9999999747523064E-7</v>
      </c>
      <c r="DW47" s="388">
        <v>-9.9999999747520523E-7</v>
      </c>
      <c r="DX47" s="388">
        <v>-9.9999999747519125E-7</v>
      </c>
      <c r="DY47" s="388">
        <v>-9.9999999747524271E-7</v>
      </c>
      <c r="DZ47" s="388">
        <v>-9.9998595879676985E-7</v>
      </c>
      <c r="EA47" s="388">
        <v>-9.9998595879676985E-7</v>
      </c>
      <c r="EB47" s="388"/>
      <c r="EC47" s="388"/>
      <c r="ED47" s="388">
        <v>9.4237469493392337E-5</v>
      </c>
      <c r="EE47" s="388">
        <v>4.4168145897520881E-3</v>
      </c>
      <c r="EF47" s="388">
        <v>8.7480000000000006E-3</v>
      </c>
      <c r="EG47" s="388">
        <v>3.470327469134228E-3</v>
      </c>
      <c r="EH47" s="388">
        <v>6.6533882939197675E-3</v>
      </c>
      <c r="EI47" s="388">
        <v>3.5863049885541819E-3</v>
      </c>
      <c r="EJ47" s="388">
        <v>6.32314185400788E-3</v>
      </c>
      <c r="EK47" s="388">
        <v>2.784999004428388E-3</v>
      </c>
      <c r="EL47" s="388">
        <v>4.6775381211505264E-3</v>
      </c>
      <c r="EM47" s="388">
        <v>2.9625407775792966E-3</v>
      </c>
      <c r="EN47" s="388">
        <v>9.2019210753170586E-5</v>
      </c>
      <c r="EO47" s="388">
        <v>-3.8708004758944019E-4</v>
      </c>
      <c r="EP47" s="388">
        <v>-8.712027668867742E-4</v>
      </c>
      <c r="EQ47" s="388">
        <v>6.4262825774892671E-4</v>
      </c>
      <c r="ER47" s="388">
        <v>-2.6266999396477799E-4</v>
      </c>
      <c r="ES47" s="388">
        <v>4.2343509829224517E-4</v>
      </c>
      <c r="ET47" s="388">
        <v>2.4079473722852015E-3</v>
      </c>
      <c r="EU47" s="388">
        <v>-2.8418460512088474E-3</v>
      </c>
      <c r="EV47" s="388">
        <v>-3.838915515588908E-3</v>
      </c>
      <c r="EW47" s="388">
        <v>-5.2574876451737373E-3</v>
      </c>
      <c r="EX47" s="388">
        <v>-4.5344616486376957E-3</v>
      </c>
      <c r="EY47" s="388">
        <v>-5.2723091266707088E-4</v>
      </c>
      <c r="EZ47" s="388">
        <v>-1.1649305645100193E-5</v>
      </c>
      <c r="FA47" s="388">
        <v>4.2706115279745955E-5</v>
      </c>
      <c r="FB47" s="388">
        <v>-2.4399167775337963E-3</v>
      </c>
      <c r="FC47" s="388">
        <v>1.745918130886328E-3</v>
      </c>
      <c r="FD47" s="388">
        <v>9.2588982750279214E-5</v>
      </c>
      <c r="FE47" s="388">
        <v>9.4220459131395571E-5</v>
      </c>
      <c r="FF47" s="388">
        <v>3.224975732199938E-3</v>
      </c>
      <c r="FG47" s="388">
        <v>6.561E-3</v>
      </c>
      <c r="FH47" s="388">
        <v>2.7743114062400271E-3</v>
      </c>
      <c r="FI47" s="388">
        <v>7.8351975147488949E-3</v>
      </c>
      <c r="FJ47" s="388">
        <v>2.0583035821789247E-2</v>
      </c>
      <c r="FK47" s="388">
        <v>1.2673980462563447E-2</v>
      </c>
      <c r="FL47" s="388">
        <v>1.3352510559453929E-2</v>
      </c>
      <c r="FM47" s="388">
        <v>-3.6992345908240633E-3</v>
      </c>
      <c r="FN47" s="388">
        <v>-2.779254394756403E-3</v>
      </c>
      <c r="FO47" s="388">
        <v>-2.8443374555073664E-3</v>
      </c>
      <c r="FP47" s="388">
        <v>6.3010893484543207E-4</v>
      </c>
      <c r="FQ47" s="388">
        <v>1.005635821115974E-3</v>
      </c>
      <c r="FR47" s="388">
        <v>8.712027668867742E-4</v>
      </c>
      <c r="FS47" s="388">
        <v>-1.1996821755402639E-4</v>
      </c>
      <c r="FT47" s="388">
        <v>7.0212919346540224E-4</v>
      </c>
      <c r="FU47" s="388">
        <v>5.2025710216923247E-5</v>
      </c>
      <c r="FV47" s="388">
        <v>-1.8698811062709993E-3</v>
      </c>
      <c r="FW47" s="388">
        <v>3.0619697386091078E-3</v>
      </c>
      <c r="FX47" s="388">
        <v>4.0692777215884188E-3</v>
      </c>
      <c r="FY47" s="388">
        <v>5.5125499332541166E-3</v>
      </c>
      <c r="FZ47" s="388">
        <v>4.7382538815666335E-3</v>
      </c>
      <c r="GA47" s="388">
        <v>5.7432725323352468E-5</v>
      </c>
      <c r="GB47" s="388"/>
      <c r="GC47" s="388"/>
      <c r="GD47" s="388"/>
      <c r="GE47" s="388"/>
      <c r="GF47" s="388"/>
      <c r="GG47" s="388"/>
      <c r="GH47" s="388"/>
      <c r="GI47" s="388"/>
      <c r="GJ47" s="388"/>
      <c r="GK47" s="388"/>
      <c r="GL47" s="388"/>
      <c r="GM47" s="388"/>
      <c r="GN47" s="388"/>
      <c r="GO47" s="388"/>
      <c r="GP47" s="412"/>
      <c r="GQ47" s="412"/>
      <c r="GR47" s="412"/>
      <c r="GS47" s="412"/>
      <c r="GT47" s="412"/>
      <c r="GU47" s="412"/>
      <c r="GV47" s="412"/>
      <c r="GW47" s="412"/>
      <c r="GX47" s="412"/>
      <c r="GY47" s="412"/>
      <c r="GZ47" s="412"/>
      <c r="HA47" s="412"/>
      <c r="HB47" s="412"/>
      <c r="HC47" s="412"/>
      <c r="HD47" s="412"/>
      <c r="HE47" s="412"/>
      <c r="HF47" s="412"/>
      <c r="HG47" s="412"/>
      <c r="HH47" s="412"/>
      <c r="HI47" s="412"/>
      <c r="HJ47" s="412"/>
      <c r="HK47" s="412"/>
      <c r="HL47" s="412"/>
      <c r="HM47" s="412"/>
      <c r="HN47" s="412"/>
      <c r="HO47" s="412"/>
      <c r="HP47" s="412"/>
      <c r="HQ47" s="412"/>
      <c r="HR47" s="412"/>
      <c r="HS47" s="412"/>
      <c r="HT47" s="412"/>
      <c r="HU47" s="412"/>
      <c r="HV47" s="412"/>
      <c r="HW47" s="412"/>
      <c r="HX47" s="412"/>
      <c r="HY47" s="412"/>
      <c r="HZ47" s="412"/>
      <c r="IA47" s="412"/>
      <c r="IB47" s="412"/>
      <c r="IC47" s="412"/>
      <c r="ID47" s="412"/>
      <c r="IE47" s="412"/>
      <c r="IF47" s="412"/>
      <c r="IG47" s="412"/>
      <c r="IH47" s="412"/>
      <c r="II47" s="412"/>
      <c r="IJ47" s="412"/>
      <c r="IK47" s="412"/>
      <c r="IL47" s="412"/>
      <c r="IM47" s="412"/>
      <c r="IN47" s="412"/>
      <c r="IO47" s="412"/>
      <c r="IP47" s="412"/>
      <c r="IQ47" s="412"/>
      <c r="IR47" s="412"/>
      <c r="IS47" s="412"/>
      <c r="IT47" s="412"/>
      <c r="IU47" s="412"/>
      <c r="IV47" s="412"/>
      <c r="IW47" s="412"/>
      <c r="IX47" s="412"/>
      <c r="IY47" s="412"/>
      <c r="IZ47" s="412"/>
      <c r="JA47" s="412"/>
      <c r="JB47" s="412"/>
      <c r="JC47" s="412"/>
      <c r="JD47" s="412"/>
      <c r="JE47" s="412"/>
      <c r="JF47" s="412"/>
      <c r="JG47" s="412"/>
      <c r="JH47" s="412"/>
      <c r="JI47" s="412"/>
      <c r="JJ47" s="412"/>
      <c r="JK47" s="412"/>
      <c r="JL47" s="412"/>
      <c r="JM47" s="412"/>
      <c r="JN47" s="412"/>
      <c r="JO47" s="412"/>
      <c r="JP47" s="412"/>
      <c r="JQ47" s="412"/>
      <c r="JR47" s="412"/>
      <c r="JS47" s="412"/>
      <c r="JT47" s="412"/>
      <c r="JU47" s="412"/>
      <c r="JV47" s="412"/>
      <c r="JW47" s="412"/>
      <c r="JX47" s="412"/>
      <c r="JY47" s="412"/>
      <c r="JZ47" s="412"/>
      <c r="KA47" s="412"/>
      <c r="KB47" s="412"/>
      <c r="KC47" s="412"/>
      <c r="KD47" s="412"/>
      <c r="KE47" s="412"/>
      <c r="KF47" s="412"/>
      <c r="KG47" s="412"/>
      <c r="KH47" s="412"/>
      <c r="KI47" s="412"/>
      <c r="KJ47" s="412"/>
      <c r="KK47" s="412"/>
      <c r="KL47" s="412"/>
      <c r="KM47" s="412"/>
      <c r="KN47" s="412"/>
      <c r="KO47" s="412"/>
      <c r="KP47" s="412"/>
      <c r="KQ47" s="412"/>
      <c r="KR47" s="412"/>
      <c r="KS47" s="412"/>
      <c r="KT47" s="412"/>
      <c r="KU47" s="412"/>
      <c r="KV47" s="412"/>
      <c r="KW47" s="412"/>
      <c r="KX47" s="412"/>
      <c r="KY47" s="412"/>
      <c r="KZ47" s="412"/>
      <c r="LA47" s="412"/>
      <c r="LB47" s="412"/>
      <c r="LC47" s="412"/>
      <c r="LD47" s="412"/>
      <c r="LE47" s="412"/>
      <c r="LF47" s="412"/>
      <c r="LG47" s="412"/>
      <c r="LH47" s="412"/>
      <c r="LI47" s="412"/>
      <c r="LJ47" s="412"/>
      <c r="LK47" s="412"/>
      <c r="LL47" s="412"/>
      <c r="LM47" s="412"/>
      <c r="LN47" s="412"/>
      <c r="LO47" s="412"/>
      <c r="LP47" s="412"/>
      <c r="LQ47" s="412"/>
      <c r="LR47" s="412"/>
      <c r="LS47" s="412"/>
      <c r="LT47" s="412"/>
      <c r="LU47" s="412"/>
      <c r="LV47" s="412"/>
      <c r="LW47" s="412"/>
      <c r="LX47" s="412"/>
      <c r="LY47" s="412"/>
      <c r="LZ47" s="412"/>
      <c r="MA47" s="412"/>
      <c r="MB47" s="412"/>
      <c r="MC47" s="412"/>
      <c r="MD47" s="412"/>
      <c r="ME47" s="412"/>
      <c r="MF47" s="412"/>
      <c r="MG47" s="412"/>
      <c r="MH47" s="412"/>
      <c r="MI47" s="412"/>
      <c r="MJ47" s="412"/>
      <c r="MK47" s="412"/>
      <c r="ML47" s="412"/>
      <c r="MM47" s="412"/>
      <c r="MN47" s="412"/>
      <c r="MO47" s="412"/>
      <c r="MP47" s="412"/>
      <c r="MQ47" s="412"/>
      <c r="MR47" s="412"/>
      <c r="MS47" s="412"/>
      <c r="MT47" s="412"/>
      <c r="MU47" s="412"/>
      <c r="MV47" s="412"/>
      <c r="MW47" s="412"/>
      <c r="MX47" s="412"/>
      <c r="MY47" s="412"/>
      <c r="MZ47" s="412"/>
      <c r="NA47" s="412"/>
      <c r="NB47" s="412"/>
      <c r="NC47" s="412"/>
      <c r="ND47" s="412"/>
      <c r="NE47" s="412"/>
      <c r="NF47" s="412"/>
      <c r="NG47" s="412"/>
      <c r="NH47" s="412"/>
      <c r="NI47" s="412"/>
      <c r="NJ47" s="412"/>
      <c r="NK47" s="412"/>
      <c r="NL47" s="412"/>
      <c r="NM47" s="412"/>
      <c r="NN47" s="412"/>
      <c r="NO47" s="412"/>
      <c r="NP47" s="412"/>
      <c r="NQ47" s="412"/>
      <c r="NR47" s="412"/>
      <c r="NS47" s="412"/>
      <c r="NT47" s="412"/>
      <c r="NU47" s="412"/>
      <c r="NV47" s="412"/>
      <c r="NW47" s="412"/>
      <c r="NX47" s="412"/>
      <c r="NY47" s="412"/>
      <c r="NZ47" s="412"/>
      <c r="OA47" s="412"/>
      <c r="OB47" s="412"/>
      <c r="OC47" s="412"/>
      <c r="OD47" s="412"/>
      <c r="OE47" s="412"/>
      <c r="OF47" s="412"/>
      <c r="OG47" s="412"/>
      <c r="OH47" s="412"/>
      <c r="OI47" s="412"/>
      <c r="OJ47" s="412"/>
      <c r="OK47" s="412"/>
      <c r="OL47" s="412"/>
      <c r="OM47" s="412"/>
      <c r="ON47" s="412"/>
      <c r="OO47" s="412"/>
      <c r="OP47" s="412"/>
      <c r="OQ47" s="412"/>
      <c r="OR47" s="412"/>
      <c r="OS47" s="412"/>
      <c r="OT47" s="412"/>
      <c r="OU47" s="412"/>
      <c r="OV47" s="412"/>
      <c r="OW47" s="412"/>
      <c r="OX47" s="412"/>
      <c r="OY47" s="412"/>
      <c r="OZ47" s="412"/>
      <c r="PA47" s="412"/>
      <c r="PB47" s="412"/>
      <c r="PC47" s="412"/>
      <c r="PD47" s="412"/>
      <c r="PE47" s="412"/>
      <c r="PF47" s="412"/>
      <c r="PG47" s="412"/>
      <c r="PH47" s="412"/>
      <c r="PI47" s="412"/>
      <c r="PJ47" s="412"/>
      <c r="PK47" s="412"/>
      <c r="PL47" s="412"/>
      <c r="PM47" s="412"/>
      <c r="PN47" s="412"/>
      <c r="PO47" s="412"/>
      <c r="PP47" s="412"/>
      <c r="PQ47" s="412"/>
      <c r="PR47" s="412"/>
      <c r="PS47" s="412"/>
      <c r="PT47" s="412"/>
      <c r="PU47" s="412"/>
      <c r="PV47" s="412"/>
      <c r="PW47" s="412"/>
      <c r="PX47" s="412"/>
      <c r="PY47" s="412"/>
      <c r="PZ47" s="412"/>
      <c r="QA47" s="412"/>
      <c r="QB47" s="412"/>
      <c r="QC47" s="412"/>
      <c r="QD47" s="412"/>
      <c r="QE47" s="412"/>
      <c r="QF47" s="412"/>
      <c r="QG47" s="412"/>
      <c r="QH47" s="412"/>
      <c r="QI47" s="412"/>
      <c r="QJ47" s="412"/>
      <c r="QK47" s="412"/>
      <c r="QL47" s="412"/>
      <c r="QM47" s="412"/>
      <c r="QN47" s="412"/>
      <c r="QO47" s="412"/>
      <c r="QP47" s="412"/>
      <c r="QQ47" s="412"/>
      <c r="QR47" s="412"/>
      <c r="QS47" s="412"/>
      <c r="QT47" s="412"/>
      <c r="QU47" s="412"/>
      <c r="QV47" s="412"/>
      <c r="QW47" s="412"/>
      <c r="QX47" s="412"/>
      <c r="QY47" s="412"/>
      <c r="QZ47" s="412"/>
      <c r="RA47" s="412"/>
      <c r="RB47" s="412"/>
      <c r="RC47" s="412"/>
      <c r="RD47" s="412"/>
      <c r="RE47" s="412"/>
      <c r="RF47" s="412"/>
      <c r="RG47" s="412"/>
      <c r="RH47" s="412"/>
      <c r="RI47" s="412"/>
      <c r="RJ47" s="412"/>
      <c r="RK47" s="412"/>
      <c r="RL47" s="412"/>
      <c r="RM47" s="412"/>
      <c r="RN47" s="412"/>
      <c r="RO47" s="412"/>
      <c r="RP47" s="412"/>
      <c r="RQ47" s="412"/>
      <c r="RR47" s="412"/>
      <c r="RS47" s="412"/>
      <c r="RT47" s="412"/>
      <c r="RU47" s="412"/>
      <c r="RV47" s="412"/>
      <c r="RW47" s="412"/>
      <c r="RX47" s="412"/>
      <c r="RY47" s="412"/>
      <c r="RZ47" s="412"/>
      <c r="SA47" s="412"/>
      <c r="SB47" s="412"/>
      <c r="SC47" s="412"/>
      <c r="SD47" s="412"/>
      <c r="SE47" s="412"/>
      <c r="SF47" s="412"/>
      <c r="SG47" s="412"/>
    </row>
    <row r="48" spans="1:501" x14ac:dyDescent="0.2">
      <c r="A48" s="391" t="s">
        <v>32</v>
      </c>
      <c r="B48" s="110"/>
      <c r="C48" s="392">
        <v>0.05</v>
      </c>
      <c r="D48" s="392">
        <v>4.0999999999999995E-2</v>
      </c>
      <c r="E48" s="392">
        <v>-0.18859999999999999</v>
      </c>
      <c r="F48" s="392">
        <v>-0.18859999999999999</v>
      </c>
      <c r="G48" s="392"/>
      <c r="H48" s="110"/>
      <c r="I48" s="410">
        <v>0</v>
      </c>
      <c r="J48" s="410">
        <v>0</v>
      </c>
      <c r="K48" s="410">
        <v>0</v>
      </c>
      <c r="L48" s="410">
        <v>0</v>
      </c>
      <c r="M48" s="410">
        <v>0</v>
      </c>
      <c r="N48" s="410">
        <v>0</v>
      </c>
      <c r="O48" s="387"/>
      <c r="P48" s="393">
        <v>0</v>
      </c>
      <c r="Q48" s="393">
        <v>0</v>
      </c>
      <c r="R48" s="393">
        <v>0</v>
      </c>
      <c r="S48" s="393">
        <v>0</v>
      </c>
      <c r="T48" s="393">
        <v>0</v>
      </c>
      <c r="U48" s="393"/>
      <c r="V48" s="393">
        <v>0</v>
      </c>
      <c r="W48" s="393">
        <v>0</v>
      </c>
      <c r="X48" s="393">
        <v>0</v>
      </c>
      <c r="Y48" s="393">
        <v>0</v>
      </c>
      <c r="Z48" s="393">
        <v>0</v>
      </c>
      <c r="AA48" s="393"/>
      <c r="AB48" s="435"/>
      <c r="AC48" s="393">
        <v>-0.18859999999999999</v>
      </c>
      <c r="AD48" s="411"/>
      <c r="AE48" s="435"/>
      <c r="AF48" s="388">
        <v>-0.18859999999999999</v>
      </c>
      <c r="AG48" s="388">
        <v>-0.18859999999999999</v>
      </c>
      <c r="AH48" s="388">
        <v>-0.18859999999999999</v>
      </c>
      <c r="AI48" s="388">
        <v>-0.18859999999999999</v>
      </c>
      <c r="AJ48" s="388">
        <v>-0.18859999999999999</v>
      </c>
      <c r="AK48" s="388">
        <v>-0.18859999999999999</v>
      </c>
      <c r="AL48" s="388">
        <v>-0.18859999999999999</v>
      </c>
      <c r="AM48" s="388">
        <v>-0.18859999999999999</v>
      </c>
      <c r="AN48" s="388">
        <v>-0.18859999999999999</v>
      </c>
      <c r="AO48" s="388">
        <v>-0.18859999999999999</v>
      </c>
      <c r="AP48" s="388">
        <v>-0.18859999999999999</v>
      </c>
      <c r="AQ48" s="388">
        <v>-0.18859999999999999</v>
      </c>
      <c r="AR48" s="388">
        <v>-0.18859999999999999</v>
      </c>
      <c r="AS48" s="388">
        <v>-0.18859999999999999</v>
      </c>
      <c r="AT48" s="388">
        <v>-0.18859999999999999</v>
      </c>
      <c r="AU48" s="388">
        <v>-0.18859999999999999</v>
      </c>
      <c r="AV48" s="388">
        <v>-0.18859999999999999</v>
      </c>
      <c r="AW48" s="388">
        <v>-0.18859999999999999</v>
      </c>
      <c r="AX48" s="388">
        <v>-0.18859999999999999</v>
      </c>
      <c r="AY48" s="388">
        <v>-0.18859999999999999</v>
      </c>
      <c r="AZ48" s="388">
        <v>-0.18859999999999999</v>
      </c>
      <c r="BA48" s="388">
        <v>-0.18859999999999999</v>
      </c>
      <c r="BB48" s="388">
        <v>-0.18859999999999999</v>
      </c>
      <c r="BC48" s="388">
        <v>-0.18859999999999999</v>
      </c>
      <c r="BD48" s="388">
        <v>-0.18859999999999999</v>
      </c>
      <c r="BE48" s="388">
        <v>-0.18859999999999999</v>
      </c>
      <c r="BF48" s="388">
        <v>-0.18859999999999999</v>
      </c>
      <c r="BG48" s="388">
        <v>-0.18859999999999999</v>
      </c>
      <c r="BH48" s="388">
        <v>-0.18859999999999999</v>
      </c>
      <c r="BI48" s="388">
        <v>-0.18859999999999999</v>
      </c>
      <c r="BJ48" s="388">
        <v>-0.18859999999999999</v>
      </c>
      <c r="BK48" s="388">
        <v>-0.18859999999999999</v>
      </c>
      <c r="BL48" s="388">
        <v>-0.18859999999999999</v>
      </c>
      <c r="BM48" s="388">
        <v>-0.18859999999999999</v>
      </c>
      <c r="BN48" s="388">
        <v>-0.18859999999999999</v>
      </c>
      <c r="BO48" s="388">
        <v>-0.18859999999999999</v>
      </c>
      <c r="BP48" s="388">
        <v>-0.18859999999999999</v>
      </c>
      <c r="BQ48" s="388">
        <v>-0.18859999999999999</v>
      </c>
      <c r="BR48" s="388">
        <v>-0.18859999999999999</v>
      </c>
      <c r="BS48" s="388">
        <v>-0.18859999999999999</v>
      </c>
      <c r="BT48" s="388">
        <v>-0.18859999999999999</v>
      </c>
      <c r="BU48" s="388">
        <v>-0.18859999999999999</v>
      </c>
      <c r="BV48" s="388">
        <v>-0.18859999999999999</v>
      </c>
      <c r="BW48" s="388">
        <v>-0.18859999999999999</v>
      </c>
      <c r="BX48" s="388">
        <v>-0.18859999999999999</v>
      </c>
      <c r="BY48" s="388">
        <v>-0.18859999999999999</v>
      </c>
      <c r="BZ48" s="388">
        <v>-0.18859999999999999</v>
      </c>
      <c r="CA48" s="388">
        <v>-0.18859999999999999</v>
      </c>
      <c r="CB48" s="388">
        <v>-0.18859999999999999</v>
      </c>
      <c r="CC48" s="388">
        <v>-0.18859999999999999</v>
      </c>
      <c r="CD48" s="388">
        <v>-0.18859999999999999</v>
      </c>
      <c r="CE48" s="388">
        <v>-0.18859999999999999</v>
      </c>
      <c r="CF48" s="388">
        <v>-0.18859999999999999</v>
      </c>
      <c r="CG48" s="388">
        <v>-0.18859999999999943</v>
      </c>
      <c r="CH48" s="388">
        <v>-0.18859999999999924</v>
      </c>
      <c r="CI48" s="388">
        <v>-0.18859999999999985</v>
      </c>
      <c r="CJ48" s="388">
        <v>-0.18859999999999999</v>
      </c>
      <c r="CK48" s="388">
        <v>-0.18859999999999938</v>
      </c>
      <c r="CL48" s="388">
        <v>-0.18859999999999999</v>
      </c>
      <c r="CM48" s="388">
        <v>-0.18859999999999999</v>
      </c>
      <c r="CN48" s="388">
        <v>-0.18859999999999999</v>
      </c>
      <c r="CO48" s="388">
        <v>-0.18859999999999999</v>
      </c>
      <c r="CP48" s="388">
        <v>-0.18859999999999999</v>
      </c>
      <c r="CQ48" s="388">
        <v>-0.18859999999999999</v>
      </c>
      <c r="CR48" s="388">
        <v>-0.18859999999999999</v>
      </c>
      <c r="CS48" s="388">
        <v>-0.18859999999999999</v>
      </c>
      <c r="CT48" s="388">
        <v>-0.18859999999999999</v>
      </c>
      <c r="CU48" s="388">
        <v>-0.18859999999999999</v>
      </c>
      <c r="CV48" s="388">
        <v>-0.18859999999999999</v>
      </c>
      <c r="CW48" s="388">
        <v>-0.18859999999999999</v>
      </c>
      <c r="CX48" s="388">
        <v>-0.18859999999999999</v>
      </c>
      <c r="CY48" s="388">
        <v>-0.18859999999999999</v>
      </c>
      <c r="CZ48" s="388">
        <v>-0.18859999999999999</v>
      </c>
      <c r="DA48" s="388">
        <v>-0.18859999999999999</v>
      </c>
      <c r="DB48" s="388">
        <v>-0.18859999999999938</v>
      </c>
      <c r="DC48" s="388">
        <v>-0.18859999999999999</v>
      </c>
      <c r="DD48" s="388">
        <v>-0.18859999999999941</v>
      </c>
      <c r="DE48" s="388">
        <v>-0.18859999999999999</v>
      </c>
      <c r="DF48" s="388">
        <v>-0.18859999999999999</v>
      </c>
      <c r="DG48" s="388">
        <v>-0.18859999999999999</v>
      </c>
      <c r="DH48" s="388">
        <v>-0.18859999999999974</v>
      </c>
      <c r="DI48" s="388">
        <v>-0.18859999999999996</v>
      </c>
      <c r="DJ48" s="388">
        <v>-0.18859999999999999</v>
      </c>
      <c r="DK48" s="388">
        <v>-0.18859999999999999</v>
      </c>
      <c r="DL48" s="388">
        <v>-0.1885999999999993</v>
      </c>
      <c r="DM48" s="388">
        <v>-0.18859999999999999</v>
      </c>
      <c r="DN48" s="388">
        <v>-0.18859999999999999</v>
      </c>
      <c r="DO48" s="388">
        <v>-0.18859999999999999</v>
      </c>
      <c r="DP48" s="388">
        <v>-0.18859999999999999</v>
      </c>
      <c r="DQ48" s="388">
        <v>-0.18859999999999999</v>
      </c>
      <c r="DR48" s="388">
        <v>-0.18859999999999946</v>
      </c>
      <c r="DS48" s="388">
        <v>-0.18859999999999941</v>
      </c>
      <c r="DT48" s="388">
        <v>-0.18859999999999955</v>
      </c>
      <c r="DU48" s="388">
        <v>-0.18860000000000027</v>
      </c>
      <c r="DV48" s="388">
        <v>-0.18859999999999999</v>
      </c>
      <c r="DW48" s="388">
        <v>-0.18859999999999999</v>
      </c>
      <c r="DX48" s="388">
        <v>-0.18859999999999999</v>
      </c>
      <c r="DY48" s="388">
        <v>-0.18859999999999999</v>
      </c>
      <c r="DZ48" s="388">
        <v>-0.1885999999859819</v>
      </c>
      <c r="EA48" s="388">
        <v>-0.1885999999859819</v>
      </c>
      <c r="EB48" s="388"/>
      <c r="EC48" s="388"/>
      <c r="ED48" s="388">
        <v>8.0220233789811093E-5</v>
      </c>
      <c r="EE48" s="388">
        <v>2.2652942738643459E-3</v>
      </c>
      <c r="EF48" s="388">
        <v>3.6990818749867028E-3</v>
      </c>
      <c r="EG48" s="388">
        <v>1.9527694771267745E-3</v>
      </c>
      <c r="EH48" s="388">
        <v>3.2899004677018977E-3</v>
      </c>
      <c r="EI48" s="388">
        <v>2.173E-3</v>
      </c>
      <c r="EJ48" s="388">
        <v>3.6582464731343728E-3</v>
      </c>
      <c r="EK48" s="388">
        <v>1.8746214951724167E-3</v>
      </c>
      <c r="EL48" s="388">
        <v>3.000493410589443E-3</v>
      </c>
      <c r="EM48" s="388">
        <v>1.6983125421505792E-3</v>
      </c>
      <c r="EN48" s="388">
        <v>1.1002762019008425E-3</v>
      </c>
      <c r="EO48" s="388">
        <v>1.2408124063272303E-3</v>
      </c>
      <c r="EP48" s="388">
        <v>1.4495870507807297E-3</v>
      </c>
      <c r="EQ48" s="388">
        <v>6.7109336476151743E-4</v>
      </c>
      <c r="ER48" s="388">
        <v>7.7585996735472199E-4</v>
      </c>
      <c r="ES48" s="388">
        <v>1.8322766989748507E-3</v>
      </c>
      <c r="ET48" s="388">
        <v>2.1592457879987667E-3</v>
      </c>
      <c r="EU48" s="388">
        <v>7.7810612094329204E-5</v>
      </c>
      <c r="EV48" s="388">
        <v>2.8188956122298091E-4</v>
      </c>
      <c r="EW48" s="388">
        <v>-4.8305248113788234E-4</v>
      </c>
      <c r="EX48" s="388">
        <v>-1.7842738949819102E-4</v>
      </c>
      <c r="EY48" s="388">
        <v>-4.110721278738348E-4</v>
      </c>
      <c r="EZ48" s="388">
        <v>-1.7657219349018441E-4</v>
      </c>
      <c r="FA48" s="388">
        <v>1.3129834003755515E-3</v>
      </c>
      <c r="FB48" s="388">
        <v>3.2422239377167915E-4</v>
      </c>
      <c r="FC48" s="388">
        <v>5.8724899146972832E-4</v>
      </c>
      <c r="FD48" s="388">
        <v>-7.9294906490346399E-5</v>
      </c>
      <c r="FE48" s="388">
        <v>8.0216490655668133E-5</v>
      </c>
      <c r="FF48" s="388">
        <v>1.6540243904406334E-3</v>
      </c>
      <c r="FG48" s="388">
        <v>2.7743114062400271E-3</v>
      </c>
      <c r="FH48" s="388">
        <v>1.681E-3</v>
      </c>
      <c r="FI48" s="388">
        <v>4.533044542796941E-3</v>
      </c>
      <c r="FJ48" s="388">
        <v>8.7259399154451106E-3</v>
      </c>
      <c r="FK48" s="388">
        <v>7.7659046604064167E-3</v>
      </c>
      <c r="FL48" s="388">
        <v>6.8385540322895072E-3</v>
      </c>
      <c r="FM48" s="388">
        <v>-2.0945083621818532E-3</v>
      </c>
      <c r="FN48" s="388">
        <v>-1.8751490160547333E-3</v>
      </c>
      <c r="FO48" s="388">
        <v>-1.3388726372197243E-3</v>
      </c>
      <c r="FP48" s="388">
        <v>-1.1095606280565548E-3</v>
      </c>
      <c r="FQ48" s="388">
        <v>-1.255810576222304E-3</v>
      </c>
      <c r="FR48" s="388">
        <v>-1.4495870507807297E-3</v>
      </c>
      <c r="FS48" s="388">
        <v>-7.274306652500426E-4</v>
      </c>
      <c r="FT48" s="388">
        <v>-7.9260998232351756E-4</v>
      </c>
      <c r="FU48" s="388">
        <v>-1.8065844530919966E-3</v>
      </c>
      <c r="FV48" s="388">
        <v>-2.1906633232304396E-3</v>
      </c>
      <c r="FW48" s="388">
        <v>-1.2778975430777526E-4</v>
      </c>
      <c r="FX48" s="388">
        <v>-3.2631413122270536E-4</v>
      </c>
      <c r="FY48" s="388">
        <v>3.9793158160917865E-4</v>
      </c>
      <c r="FZ48" s="388">
        <v>7.919539077338078E-5</v>
      </c>
      <c r="GA48" s="388">
        <v>2.3672502398549211E-5</v>
      </c>
      <c r="GB48" s="388"/>
      <c r="GC48" s="388"/>
      <c r="GD48" s="388"/>
      <c r="GE48" s="388"/>
      <c r="GF48" s="388"/>
      <c r="GG48" s="388"/>
      <c r="GH48" s="388"/>
      <c r="GI48" s="388"/>
      <c r="GJ48" s="388"/>
      <c r="GK48" s="388"/>
      <c r="GL48" s="388"/>
      <c r="GM48" s="388"/>
      <c r="GN48" s="388"/>
      <c r="GO48" s="388"/>
      <c r="GP48" s="412"/>
      <c r="GQ48" s="412"/>
      <c r="GR48" s="412"/>
      <c r="GS48" s="412"/>
      <c r="GT48" s="412"/>
      <c r="GU48" s="412"/>
      <c r="GV48" s="412"/>
      <c r="GW48" s="412"/>
      <c r="GX48" s="412"/>
      <c r="GY48" s="412"/>
      <c r="GZ48" s="412"/>
      <c r="HA48" s="412"/>
      <c r="HB48" s="412"/>
      <c r="HC48" s="412"/>
      <c r="HD48" s="412"/>
      <c r="HE48" s="412"/>
      <c r="HF48" s="412"/>
      <c r="HG48" s="412"/>
      <c r="HH48" s="412"/>
      <c r="HI48" s="412"/>
      <c r="HJ48" s="412"/>
      <c r="HK48" s="412"/>
      <c r="HL48" s="412"/>
      <c r="HM48" s="412"/>
      <c r="HN48" s="412"/>
      <c r="HO48" s="412"/>
      <c r="HP48" s="412"/>
      <c r="HQ48" s="412"/>
      <c r="HR48" s="412"/>
      <c r="HS48" s="412"/>
      <c r="HT48" s="412"/>
      <c r="HU48" s="412"/>
      <c r="HV48" s="412"/>
      <c r="HW48" s="412"/>
      <c r="HX48" s="412"/>
      <c r="HY48" s="412"/>
      <c r="HZ48" s="412"/>
      <c r="IA48" s="412"/>
      <c r="IB48" s="412"/>
      <c r="IC48" s="412"/>
      <c r="ID48" s="412"/>
      <c r="IE48" s="412"/>
      <c r="IF48" s="412"/>
      <c r="IG48" s="412"/>
      <c r="IH48" s="412"/>
      <c r="II48" s="412"/>
      <c r="IJ48" s="412"/>
      <c r="IK48" s="412"/>
      <c r="IL48" s="412"/>
      <c r="IM48" s="412"/>
      <c r="IN48" s="412"/>
      <c r="IO48" s="412"/>
      <c r="IP48" s="412"/>
      <c r="IQ48" s="412"/>
      <c r="IR48" s="412"/>
      <c r="IS48" s="412"/>
      <c r="IT48" s="412"/>
      <c r="IU48" s="412"/>
      <c r="IV48" s="412"/>
      <c r="IW48" s="412"/>
      <c r="IX48" s="412"/>
      <c r="IY48" s="412"/>
      <c r="IZ48" s="412"/>
      <c r="JA48" s="412"/>
      <c r="JB48" s="412"/>
      <c r="JC48" s="412"/>
      <c r="JD48" s="412"/>
      <c r="JE48" s="412"/>
      <c r="JF48" s="412"/>
      <c r="JG48" s="412"/>
      <c r="JH48" s="412"/>
      <c r="JI48" s="412"/>
      <c r="JJ48" s="412"/>
      <c r="JK48" s="412"/>
      <c r="JL48" s="412"/>
      <c r="JM48" s="412"/>
      <c r="JN48" s="412"/>
      <c r="JO48" s="412"/>
      <c r="JP48" s="412"/>
      <c r="JQ48" s="412"/>
      <c r="JR48" s="412"/>
      <c r="JS48" s="412"/>
      <c r="JT48" s="412"/>
      <c r="JU48" s="412"/>
      <c r="JV48" s="412"/>
      <c r="JW48" s="412"/>
      <c r="JX48" s="412"/>
      <c r="JY48" s="412"/>
      <c r="JZ48" s="412"/>
      <c r="KA48" s="412"/>
      <c r="KB48" s="412"/>
      <c r="KC48" s="412"/>
      <c r="KD48" s="412"/>
      <c r="KE48" s="412"/>
      <c r="KF48" s="412"/>
      <c r="KG48" s="412"/>
      <c r="KH48" s="412"/>
      <c r="KI48" s="412"/>
      <c r="KJ48" s="412"/>
      <c r="KK48" s="412"/>
      <c r="KL48" s="412"/>
      <c r="KM48" s="412"/>
      <c r="KN48" s="412"/>
      <c r="KO48" s="412"/>
      <c r="KP48" s="412"/>
      <c r="KQ48" s="412"/>
      <c r="KR48" s="412"/>
      <c r="KS48" s="412"/>
      <c r="KT48" s="412"/>
      <c r="KU48" s="412"/>
      <c r="KV48" s="412"/>
      <c r="KW48" s="412"/>
      <c r="KX48" s="412"/>
      <c r="KY48" s="412"/>
      <c r="KZ48" s="412"/>
      <c r="LA48" s="412"/>
      <c r="LB48" s="412"/>
      <c r="LC48" s="412"/>
      <c r="LD48" s="412"/>
      <c r="LE48" s="412"/>
      <c r="LF48" s="412"/>
      <c r="LG48" s="412"/>
      <c r="LH48" s="412"/>
      <c r="LI48" s="412"/>
      <c r="LJ48" s="412"/>
      <c r="LK48" s="412"/>
      <c r="LL48" s="412"/>
      <c r="LM48" s="412"/>
      <c r="LN48" s="412"/>
      <c r="LO48" s="412"/>
      <c r="LP48" s="412"/>
      <c r="LQ48" s="412"/>
      <c r="LR48" s="412"/>
      <c r="LS48" s="412"/>
      <c r="LT48" s="412"/>
      <c r="LU48" s="412"/>
      <c r="LV48" s="412"/>
      <c r="LW48" s="412"/>
      <c r="LX48" s="412"/>
      <c r="LY48" s="412"/>
      <c r="LZ48" s="412"/>
      <c r="MA48" s="412"/>
      <c r="MB48" s="412"/>
      <c r="MC48" s="412"/>
      <c r="MD48" s="412"/>
      <c r="ME48" s="412"/>
      <c r="MF48" s="412"/>
      <c r="MG48" s="412"/>
      <c r="MH48" s="412"/>
      <c r="MI48" s="412"/>
      <c r="MJ48" s="412"/>
      <c r="MK48" s="412"/>
      <c r="ML48" s="412"/>
      <c r="MM48" s="412"/>
      <c r="MN48" s="412"/>
      <c r="MO48" s="412"/>
      <c r="MP48" s="412"/>
      <c r="MQ48" s="412"/>
      <c r="MR48" s="412"/>
      <c r="MS48" s="412"/>
      <c r="MT48" s="412"/>
      <c r="MU48" s="412"/>
      <c r="MV48" s="412"/>
      <c r="MW48" s="412"/>
      <c r="MX48" s="412"/>
      <c r="MY48" s="412"/>
      <c r="MZ48" s="412"/>
      <c r="NA48" s="412"/>
      <c r="NB48" s="412"/>
      <c r="NC48" s="412"/>
      <c r="ND48" s="412"/>
      <c r="NE48" s="412"/>
      <c r="NF48" s="412"/>
      <c r="NG48" s="412"/>
      <c r="NH48" s="412"/>
      <c r="NI48" s="412"/>
      <c r="NJ48" s="412"/>
      <c r="NK48" s="412"/>
      <c r="NL48" s="412"/>
      <c r="NM48" s="412"/>
      <c r="NN48" s="412"/>
      <c r="NO48" s="412"/>
      <c r="NP48" s="412"/>
      <c r="NQ48" s="412"/>
      <c r="NR48" s="412"/>
      <c r="NS48" s="412"/>
      <c r="NT48" s="412"/>
      <c r="NU48" s="412"/>
      <c r="NV48" s="412"/>
      <c r="NW48" s="412"/>
      <c r="NX48" s="412"/>
      <c r="NY48" s="412"/>
      <c r="NZ48" s="412"/>
      <c r="OA48" s="412"/>
      <c r="OB48" s="412"/>
      <c r="OC48" s="412"/>
      <c r="OD48" s="412"/>
      <c r="OE48" s="412"/>
      <c r="OF48" s="412"/>
      <c r="OG48" s="412"/>
      <c r="OH48" s="412"/>
      <c r="OI48" s="412"/>
      <c r="OJ48" s="412"/>
      <c r="OK48" s="412"/>
      <c r="OL48" s="412"/>
      <c r="OM48" s="412"/>
      <c r="ON48" s="412"/>
      <c r="OO48" s="412"/>
      <c r="OP48" s="412"/>
      <c r="OQ48" s="412"/>
      <c r="OR48" s="412"/>
      <c r="OS48" s="412"/>
      <c r="OT48" s="412"/>
      <c r="OU48" s="412"/>
      <c r="OV48" s="412"/>
      <c r="OW48" s="412"/>
      <c r="OX48" s="412"/>
      <c r="OY48" s="412"/>
      <c r="OZ48" s="412"/>
      <c r="PA48" s="412"/>
      <c r="PB48" s="412"/>
      <c r="PC48" s="412"/>
      <c r="PD48" s="412"/>
      <c r="PE48" s="412"/>
      <c r="PF48" s="412"/>
      <c r="PG48" s="412"/>
      <c r="PH48" s="412"/>
      <c r="PI48" s="412"/>
      <c r="PJ48" s="412"/>
      <c r="PK48" s="412"/>
      <c r="PL48" s="412"/>
      <c r="PM48" s="412"/>
      <c r="PN48" s="412"/>
      <c r="PO48" s="412"/>
      <c r="PP48" s="412"/>
      <c r="PQ48" s="412"/>
      <c r="PR48" s="412"/>
      <c r="PS48" s="412"/>
      <c r="PT48" s="412"/>
      <c r="PU48" s="412"/>
      <c r="PV48" s="412"/>
      <c r="PW48" s="412"/>
      <c r="PX48" s="412"/>
      <c r="PY48" s="412"/>
      <c r="PZ48" s="412"/>
      <c r="QA48" s="412"/>
      <c r="QB48" s="412"/>
      <c r="QC48" s="412"/>
      <c r="QD48" s="412"/>
      <c r="QE48" s="412"/>
      <c r="QF48" s="412"/>
      <c r="QG48" s="412"/>
      <c r="QH48" s="412"/>
      <c r="QI48" s="412"/>
      <c r="QJ48" s="412"/>
      <c r="QK48" s="412"/>
      <c r="QL48" s="412"/>
      <c r="QM48" s="412"/>
      <c r="QN48" s="412"/>
      <c r="QO48" s="412"/>
      <c r="QP48" s="412"/>
      <c r="QQ48" s="412"/>
      <c r="QR48" s="412"/>
      <c r="QS48" s="412"/>
      <c r="QT48" s="412"/>
      <c r="QU48" s="412"/>
      <c r="QV48" s="412"/>
      <c r="QW48" s="412"/>
      <c r="QX48" s="412"/>
      <c r="QY48" s="412"/>
      <c r="QZ48" s="412"/>
      <c r="RA48" s="412"/>
      <c r="RB48" s="412"/>
      <c r="RC48" s="412"/>
      <c r="RD48" s="412"/>
      <c r="RE48" s="412"/>
      <c r="RF48" s="412"/>
      <c r="RG48" s="412"/>
      <c r="RH48" s="412"/>
      <c r="RI48" s="412"/>
      <c r="RJ48" s="412"/>
      <c r="RK48" s="412"/>
      <c r="RL48" s="412"/>
      <c r="RM48" s="412"/>
      <c r="RN48" s="412"/>
      <c r="RO48" s="412"/>
      <c r="RP48" s="412"/>
      <c r="RQ48" s="412"/>
      <c r="RR48" s="412"/>
      <c r="RS48" s="412"/>
      <c r="RT48" s="412"/>
      <c r="RU48" s="412"/>
      <c r="RV48" s="412"/>
      <c r="RW48" s="412"/>
      <c r="RX48" s="412"/>
      <c r="RY48" s="412"/>
      <c r="RZ48" s="412"/>
      <c r="SA48" s="412"/>
      <c r="SB48" s="412"/>
      <c r="SC48" s="412"/>
      <c r="SD48" s="412"/>
      <c r="SE48" s="412"/>
      <c r="SF48" s="412"/>
      <c r="SG48" s="412"/>
    </row>
    <row r="49" spans="1:501" x14ac:dyDescent="0.2">
      <c r="A49" s="391" t="s">
        <v>33</v>
      </c>
      <c r="B49" s="110"/>
      <c r="C49" s="392">
        <v>0.05</v>
      </c>
      <c r="D49" s="392">
        <v>0.114</v>
      </c>
      <c r="E49" s="392">
        <v>-2.7699999999999999E-2</v>
      </c>
      <c r="F49" s="392">
        <v>-2.7699999999999999E-2</v>
      </c>
      <c r="G49" s="392"/>
      <c r="H49" s="110"/>
      <c r="I49" s="410">
        <v>0</v>
      </c>
      <c r="J49" s="410">
        <v>0</v>
      </c>
      <c r="K49" s="410">
        <v>0</v>
      </c>
      <c r="L49" s="410">
        <v>0</v>
      </c>
      <c r="M49" s="410">
        <v>0</v>
      </c>
      <c r="N49" s="410">
        <v>0</v>
      </c>
      <c r="O49" s="387"/>
      <c r="P49" s="393">
        <v>0</v>
      </c>
      <c r="Q49" s="393">
        <v>0</v>
      </c>
      <c r="R49" s="393">
        <v>0</v>
      </c>
      <c r="S49" s="393">
        <v>0</v>
      </c>
      <c r="T49" s="393">
        <v>0</v>
      </c>
      <c r="U49" s="393"/>
      <c r="V49" s="393">
        <v>0</v>
      </c>
      <c r="W49" s="393">
        <v>0</v>
      </c>
      <c r="X49" s="393">
        <v>0</v>
      </c>
      <c r="Y49" s="393">
        <v>0</v>
      </c>
      <c r="Z49" s="393">
        <v>0</v>
      </c>
      <c r="AA49" s="393"/>
      <c r="AB49" s="435"/>
      <c r="AC49" s="393">
        <v>-2.7699999999999999E-2</v>
      </c>
      <c r="AD49" s="411"/>
      <c r="AE49" s="435"/>
      <c r="AF49" s="388">
        <v>-2.7699999999999999E-2</v>
      </c>
      <c r="AG49" s="388">
        <v>-2.7699999999999999E-2</v>
      </c>
      <c r="AH49" s="388">
        <v>-2.7699999999999999E-2</v>
      </c>
      <c r="AI49" s="388">
        <v>-2.7699999999999999E-2</v>
      </c>
      <c r="AJ49" s="388">
        <v>-2.7699999999999999E-2</v>
      </c>
      <c r="AK49" s="388">
        <v>-2.7699999999999999E-2</v>
      </c>
      <c r="AL49" s="388">
        <v>-2.7699999999999999E-2</v>
      </c>
      <c r="AM49" s="388">
        <v>-2.7699999999999999E-2</v>
      </c>
      <c r="AN49" s="388">
        <v>-2.7699999999999999E-2</v>
      </c>
      <c r="AO49" s="388">
        <v>-2.7699999999999999E-2</v>
      </c>
      <c r="AP49" s="388">
        <v>-2.7699999999999999E-2</v>
      </c>
      <c r="AQ49" s="388">
        <v>-2.7699999999999999E-2</v>
      </c>
      <c r="AR49" s="388">
        <v>-2.7699999999999999E-2</v>
      </c>
      <c r="AS49" s="388">
        <v>-2.7699999999999999E-2</v>
      </c>
      <c r="AT49" s="388">
        <v>-2.7699999999999999E-2</v>
      </c>
      <c r="AU49" s="388">
        <v>-2.7699999999999999E-2</v>
      </c>
      <c r="AV49" s="388">
        <v>-2.7699999999999999E-2</v>
      </c>
      <c r="AW49" s="388">
        <v>-2.7699999999999999E-2</v>
      </c>
      <c r="AX49" s="388">
        <v>-2.7699999999999999E-2</v>
      </c>
      <c r="AY49" s="388">
        <v>-2.7699999999999999E-2</v>
      </c>
      <c r="AZ49" s="388">
        <v>-2.7699999999999999E-2</v>
      </c>
      <c r="BA49" s="388">
        <v>-2.7699999999999999E-2</v>
      </c>
      <c r="BB49" s="388">
        <v>-2.7699999999999999E-2</v>
      </c>
      <c r="BC49" s="388">
        <v>-2.7699999999999999E-2</v>
      </c>
      <c r="BD49" s="388">
        <v>-2.7699999999999999E-2</v>
      </c>
      <c r="BE49" s="388">
        <v>-2.7699999999999999E-2</v>
      </c>
      <c r="BF49" s="388">
        <v>-2.7699999999999999E-2</v>
      </c>
      <c r="BG49" s="388">
        <v>-2.7699999999999999E-2</v>
      </c>
      <c r="BH49" s="388">
        <v>-2.7699999999999999E-2</v>
      </c>
      <c r="BI49" s="388">
        <v>-2.7699999999999999E-2</v>
      </c>
      <c r="BJ49" s="388">
        <v>-2.7699999999999999E-2</v>
      </c>
      <c r="BK49" s="388">
        <v>-2.7699999999999999E-2</v>
      </c>
      <c r="BL49" s="388">
        <v>-2.7699999999999999E-2</v>
      </c>
      <c r="BM49" s="388">
        <v>-2.7699999999999999E-2</v>
      </c>
      <c r="BN49" s="388">
        <v>-2.7699999999999999E-2</v>
      </c>
      <c r="BO49" s="388">
        <v>-2.7699999999999999E-2</v>
      </c>
      <c r="BP49" s="388">
        <v>-2.7699999999999999E-2</v>
      </c>
      <c r="BQ49" s="388">
        <v>-2.7699999999999999E-2</v>
      </c>
      <c r="BR49" s="388">
        <v>-2.7699999999999999E-2</v>
      </c>
      <c r="BS49" s="388">
        <v>-2.7699999999999999E-2</v>
      </c>
      <c r="BT49" s="388">
        <v>-2.7699999999999999E-2</v>
      </c>
      <c r="BU49" s="388">
        <v>-2.7699999999999999E-2</v>
      </c>
      <c r="BV49" s="388">
        <v>-2.7699999999999999E-2</v>
      </c>
      <c r="BW49" s="388">
        <v>-2.7699999999999999E-2</v>
      </c>
      <c r="BX49" s="388">
        <v>-2.7699999999999999E-2</v>
      </c>
      <c r="BY49" s="388">
        <v>-2.7699999999999999E-2</v>
      </c>
      <c r="BZ49" s="388">
        <v>-2.7699999999999999E-2</v>
      </c>
      <c r="CA49" s="388">
        <v>-2.7699999999999999E-2</v>
      </c>
      <c r="CB49" s="388">
        <v>-2.7699999999999999E-2</v>
      </c>
      <c r="CC49" s="388">
        <v>-2.7699999999999999E-2</v>
      </c>
      <c r="CD49" s="388">
        <v>-2.7699999999999999E-2</v>
      </c>
      <c r="CE49" s="388">
        <v>-2.7699999999999999E-2</v>
      </c>
      <c r="CF49" s="388">
        <v>-2.7699999999999999E-2</v>
      </c>
      <c r="CG49" s="388">
        <v>-2.7700000000000086E-2</v>
      </c>
      <c r="CH49" s="388">
        <v>-2.7700000000000152E-2</v>
      </c>
      <c r="CI49" s="388">
        <v>-2.7700000000000006E-2</v>
      </c>
      <c r="CJ49" s="388">
        <v>-2.7699999999999999E-2</v>
      </c>
      <c r="CK49" s="388">
        <v>-2.7700000000000176E-2</v>
      </c>
      <c r="CL49" s="388">
        <v>-2.7699999999999999E-2</v>
      </c>
      <c r="CM49" s="388">
        <v>-2.7699999999999999E-2</v>
      </c>
      <c r="CN49" s="388">
        <v>-2.7699999999999999E-2</v>
      </c>
      <c r="CO49" s="388">
        <v>-2.7699999999999999E-2</v>
      </c>
      <c r="CP49" s="388">
        <v>-2.7699999999999999E-2</v>
      </c>
      <c r="CQ49" s="388">
        <v>-2.7699999999999999E-2</v>
      </c>
      <c r="CR49" s="388">
        <v>-2.7699999999999999E-2</v>
      </c>
      <c r="CS49" s="388">
        <v>-2.7699999999999999E-2</v>
      </c>
      <c r="CT49" s="388">
        <v>-2.7699999999999999E-2</v>
      </c>
      <c r="CU49" s="388">
        <v>-2.7699999999999999E-2</v>
      </c>
      <c r="CV49" s="388">
        <v>-2.7699999999999999E-2</v>
      </c>
      <c r="CW49" s="388">
        <v>-2.7699999999999999E-2</v>
      </c>
      <c r="CX49" s="388">
        <v>-2.7699999999999999E-2</v>
      </c>
      <c r="CY49" s="388">
        <v>-2.7699999999999999E-2</v>
      </c>
      <c r="CZ49" s="388">
        <v>-2.7699999999999999E-2</v>
      </c>
      <c r="DA49" s="388">
        <v>-2.7699999999999999E-2</v>
      </c>
      <c r="DB49" s="388">
        <v>-2.770000000000019E-2</v>
      </c>
      <c r="DC49" s="388">
        <v>-2.7699999999999999E-2</v>
      </c>
      <c r="DD49" s="388">
        <v>-2.7699999999999992E-2</v>
      </c>
      <c r="DE49" s="388">
        <v>-2.7699999999999999E-2</v>
      </c>
      <c r="DF49" s="388">
        <v>-2.7699999999999999E-2</v>
      </c>
      <c r="DG49" s="388">
        <v>-2.7699999999999999E-2</v>
      </c>
      <c r="DH49" s="388">
        <v>-2.7700000000000051E-2</v>
      </c>
      <c r="DI49" s="388">
        <v>-2.7700000000000006E-2</v>
      </c>
      <c r="DJ49" s="388">
        <v>-2.7699999999999999E-2</v>
      </c>
      <c r="DK49" s="388">
        <v>-2.7699999999999999E-2</v>
      </c>
      <c r="DL49" s="388">
        <v>-2.7699999999999992E-2</v>
      </c>
      <c r="DM49" s="388">
        <v>-2.7699999999999999E-2</v>
      </c>
      <c r="DN49" s="388">
        <v>-2.7699999999999999E-2</v>
      </c>
      <c r="DO49" s="388">
        <v>-2.7699999999999999E-2</v>
      </c>
      <c r="DP49" s="388">
        <v>-2.7699999999999999E-2</v>
      </c>
      <c r="DQ49" s="388">
        <v>-2.7699999999999999E-2</v>
      </c>
      <c r="DR49" s="388">
        <v>-2.7699999999999985E-2</v>
      </c>
      <c r="DS49" s="388">
        <v>-2.7700000000000044E-2</v>
      </c>
      <c r="DT49" s="388">
        <v>-2.7700000000000068E-2</v>
      </c>
      <c r="DU49" s="388">
        <v>-2.7700000000000006E-2</v>
      </c>
      <c r="DV49" s="388">
        <v>-2.7699999999999999E-2</v>
      </c>
      <c r="DW49" s="388">
        <v>-2.7699999999999999E-2</v>
      </c>
      <c r="DX49" s="388">
        <v>-2.7699999999999999E-2</v>
      </c>
      <c r="DY49" s="388">
        <v>-2.7699999999999999E-2</v>
      </c>
      <c r="DZ49" s="388">
        <v>-2.7699999985961968E-2</v>
      </c>
      <c r="EA49" s="388">
        <v>-2.7699999985961968E-2</v>
      </c>
      <c r="EB49" s="388"/>
      <c r="EC49" s="388"/>
      <c r="ED49" s="388">
        <v>1.3380035592417761E-4</v>
      </c>
      <c r="EE49" s="388">
        <v>5.8944300327407762E-3</v>
      </c>
      <c r="EF49" s="388">
        <v>1.0446930019665193E-2</v>
      </c>
      <c r="EG49" s="388">
        <v>5.3173222753609105E-3</v>
      </c>
      <c r="EH49" s="388">
        <v>9.5237712129274711E-3</v>
      </c>
      <c r="EI49" s="388">
        <v>5.8597892870301919E-3</v>
      </c>
      <c r="EJ49" s="388">
        <v>1.0488000000000001E-2</v>
      </c>
      <c r="EK49" s="388">
        <v>5.1744341290626272E-3</v>
      </c>
      <c r="EL49" s="388">
        <v>8.7731106084889612E-3</v>
      </c>
      <c r="EM49" s="388">
        <v>4.4897989315468281E-3</v>
      </c>
      <c r="EN49" s="388">
        <v>4.2997238235830638E-3</v>
      </c>
      <c r="EO49" s="388">
        <v>4.8521975868680454E-3</v>
      </c>
      <c r="EP49" s="388">
        <v>5.2949886091716225E-3</v>
      </c>
      <c r="EQ49" s="388">
        <v>2.6087249284144961E-3</v>
      </c>
      <c r="ER49" s="388">
        <v>3.6404937147351615E-3</v>
      </c>
      <c r="ES49" s="388">
        <v>6.0115638225561848E-3</v>
      </c>
      <c r="ET49" s="388">
        <v>6.8955146718852906E-3</v>
      </c>
      <c r="EU49" s="388">
        <v>9.4724505885573473E-4</v>
      </c>
      <c r="EV49" s="388">
        <v>1.072127585464451E-3</v>
      </c>
      <c r="EW49" s="388">
        <v>-8.2434942416991354E-4</v>
      </c>
      <c r="EX49" s="388">
        <v>5.6412308657166762E-4</v>
      </c>
      <c r="EY49" s="388">
        <v>-7.6048759243325405E-4</v>
      </c>
      <c r="EZ49" s="388">
        <v>-2.7196993701863998E-4</v>
      </c>
      <c r="FA49" s="388">
        <v>5.2114069285529793E-3</v>
      </c>
      <c r="FB49" s="388">
        <v>1.5672370082606324E-3</v>
      </c>
      <c r="FC49" s="388">
        <v>1.6748291913138316E-3</v>
      </c>
      <c r="FD49" s="388">
        <v>5.1489221250306872E-4</v>
      </c>
      <c r="FE49" s="388">
        <v>1.3378200941416046E-4</v>
      </c>
      <c r="FF49" s="388">
        <v>4.3038695477154876E-3</v>
      </c>
      <c r="FG49" s="388">
        <v>7.8351975147488949E-3</v>
      </c>
      <c r="FH49" s="388">
        <v>4.533044542796941E-3</v>
      </c>
      <c r="FI49" s="388">
        <v>1.2996000000000001E-2</v>
      </c>
      <c r="FJ49" s="388">
        <v>2.4899227510422058E-2</v>
      </c>
      <c r="FK49" s="388">
        <v>2.3246219216244049E-2</v>
      </c>
      <c r="FL49" s="388">
        <v>1.8548854240895259E-2</v>
      </c>
      <c r="FM49" s="388">
        <v>-5.6724289565323544E-3</v>
      </c>
      <c r="FN49" s="388">
        <v>-5.1336847021072217E-3</v>
      </c>
      <c r="FO49" s="388">
        <v>-3.4019018272737019E-3</v>
      </c>
      <c r="FP49" s="388">
        <v>-4.2395863048745519E-3</v>
      </c>
      <c r="FQ49" s="388">
        <v>-4.7989813968155656E-3</v>
      </c>
      <c r="FR49" s="388">
        <v>-5.2949886091716225E-3</v>
      </c>
      <c r="FS49" s="388">
        <v>-2.7838687943747909E-3</v>
      </c>
      <c r="FT49" s="388">
        <v>-3.6439729390106246E-3</v>
      </c>
      <c r="FU49" s="388">
        <v>-5.9165347253294876E-3</v>
      </c>
      <c r="FV49" s="388">
        <v>-7.0153604726836865E-3</v>
      </c>
      <c r="FW49" s="388">
        <v>-1.0583554056594988E-3</v>
      </c>
      <c r="FX49" s="388">
        <v>-1.2132036254297971E-3</v>
      </c>
      <c r="FY49" s="388">
        <v>5.6440124489462895E-4</v>
      </c>
      <c r="FZ49" s="388">
        <v>-8.2325442414856972E-4</v>
      </c>
      <c r="GA49" s="388">
        <v>3.8983880510280264E-5</v>
      </c>
      <c r="GB49" s="388"/>
      <c r="GC49" s="388"/>
      <c r="GD49" s="388"/>
      <c r="GE49" s="388"/>
      <c r="GF49" s="388"/>
      <c r="GG49" s="388"/>
      <c r="GH49" s="388"/>
      <c r="GI49" s="388"/>
      <c r="GJ49" s="388"/>
      <c r="GK49" s="388"/>
      <c r="GL49" s="388"/>
      <c r="GM49" s="388"/>
      <c r="GN49" s="388"/>
      <c r="GO49" s="388"/>
      <c r="GP49" s="412"/>
      <c r="GQ49" s="412"/>
      <c r="GR49" s="412"/>
      <c r="GS49" s="412"/>
      <c r="GT49" s="412"/>
      <c r="GU49" s="412"/>
      <c r="GV49" s="412"/>
      <c r="GW49" s="412"/>
      <c r="GX49" s="412"/>
      <c r="GY49" s="412"/>
      <c r="GZ49" s="412"/>
      <c r="HA49" s="412"/>
      <c r="HB49" s="412"/>
      <c r="HC49" s="412"/>
      <c r="HD49" s="412"/>
      <c r="HE49" s="412"/>
      <c r="HF49" s="412"/>
      <c r="HG49" s="412"/>
      <c r="HH49" s="412"/>
      <c r="HI49" s="412"/>
      <c r="HJ49" s="412"/>
      <c r="HK49" s="412"/>
      <c r="HL49" s="412"/>
      <c r="HM49" s="412"/>
      <c r="HN49" s="412"/>
      <c r="HO49" s="412"/>
      <c r="HP49" s="412"/>
      <c r="HQ49" s="412"/>
      <c r="HR49" s="412"/>
      <c r="HS49" s="412"/>
      <c r="HT49" s="412"/>
      <c r="HU49" s="412"/>
      <c r="HV49" s="412"/>
      <c r="HW49" s="412"/>
      <c r="HX49" s="412"/>
      <c r="HY49" s="412"/>
      <c r="HZ49" s="412"/>
      <c r="IA49" s="412"/>
      <c r="IB49" s="412"/>
      <c r="IC49" s="412"/>
      <c r="ID49" s="412"/>
      <c r="IE49" s="412"/>
      <c r="IF49" s="412"/>
      <c r="IG49" s="412"/>
      <c r="IH49" s="412"/>
      <c r="II49" s="412"/>
      <c r="IJ49" s="412"/>
      <c r="IK49" s="412"/>
      <c r="IL49" s="412"/>
      <c r="IM49" s="412"/>
      <c r="IN49" s="412"/>
      <c r="IO49" s="412"/>
      <c r="IP49" s="412"/>
      <c r="IQ49" s="412"/>
      <c r="IR49" s="412"/>
      <c r="IS49" s="412"/>
      <c r="IT49" s="412"/>
      <c r="IU49" s="412"/>
      <c r="IV49" s="412"/>
      <c r="IW49" s="412"/>
      <c r="IX49" s="412"/>
      <c r="IY49" s="412"/>
      <c r="IZ49" s="412"/>
      <c r="JA49" s="412"/>
      <c r="JB49" s="412"/>
      <c r="JC49" s="412"/>
      <c r="JD49" s="412"/>
      <c r="JE49" s="412"/>
      <c r="JF49" s="412"/>
      <c r="JG49" s="412"/>
      <c r="JH49" s="412"/>
      <c r="JI49" s="412"/>
      <c r="JJ49" s="412"/>
      <c r="JK49" s="412"/>
      <c r="JL49" s="412"/>
      <c r="JM49" s="412"/>
      <c r="JN49" s="412"/>
      <c r="JO49" s="412"/>
      <c r="JP49" s="412"/>
      <c r="JQ49" s="412"/>
      <c r="JR49" s="412"/>
      <c r="JS49" s="412"/>
      <c r="JT49" s="412"/>
      <c r="JU49" s="412"/>
      <c r="JV49" s="412"/>
      <c r="JW49" s="412"/>
      <c r="JX49" s="412"/>
      <c r="JY49" s="412"/>
      <c r="JZ49" s="412"/>
      <c r="KA49" s="412"/>
      <c r="KB49" s="412"/>
      <c r="KC49" s="412"/>
      <c r="KD49" s="412"/>
      <c r="KE49" s="412"/>
      <c r="KF49" s="412"/>
      <c r="KG49" s="412"/>
      <c r="KH49" s="412"/>
      <c r="KI49" s="412"/>
      <c r="KJ49" s="412"/>
      <c r="KK49" s="412"/>
      <c r="KL49" s="412"/>
      <c r="KM49" s="412"/>
      <c r="KN49" s="412"/>
      <c r="KO49" s="412"/>
      <c r="KP49" s="412"/>
      <c r="KQ49" s="412"/>
      <c r="KR49" s="412"/>
      <c r="KS49" s="412"/>
      <c r="KT49" s="412"/>
      <c r="KU49" s="412"/>
      <c r="KV49" s="412"/>
      <c r="KW49" s="412"/>
      <c r="KX49" s="412"/>
      <c r="KY49" s="412"/>
      <c r="KZ49" s="412"/>
      <c r="LA49" s="412"/>
      <c r="LB49" s="412"/>
      <c r="LC49" s="412"/>
      <c r="LD49" s="412"/>
      <c r="LE49" s="412"/>
      <c r="LF49" s="412"/>
      <c r="LG49" s="412"/>
      <c r="LH49" s="412"/>
      <c r="LI49" s="412"/>
      <c r="LJ49" s="412"/>
      <c r="LK49" s="412"/>
      <c r="LL49" s="412"/>
      <c r="LM49" s="412"/>
      <c r="LN49" s="412"/>
      <c r="LO49" s="412"/>
      <c r="LP49" s="412"/>
      <c r="LQ49" s="412"/>
      <c r="LR49" s="412"/>
      <c r="LS49" s="412"/>
      <c r="LT49" s="412"/>
      <c r="LU49" s="412"/>
      <c r="LV49" s="412"/>
      <c r="LW49" s="412"/>
      <c r="LX49" s="412"/>
      <c r="LY49" s="412"/>
      <c r="LZ49" s="412"/>
      <c r="MA49" s="412"/>
      <c r="MB49" s="412"/>
      <c r="MC49" s="412"/>
      <c r="MD49" s="412"/>
      <c r="ME49" s="412"/>
      <c r="MF49" s="412"/>
      <c r="MG49" s="412"/>
      <c r="MH49" s="412"/>
      <c r="MI49" s="412"/>
      <c r="MJ49" s="412"/>
      <c r="MK49" s="412"/>
      <c r="ML49" s="412"/>
      <c r="MM49" s="412"/>
      <c r="MN49" s="412"/>
      <c r="MO49" s="412"/>
      <c r="MP49" s="412"/>
      <c r="MQ49" s="412"/>
      <c r="MR49" s="412"/>
      <c r="MS49" s="412"/>
      <c r="MT49" s="412"/>
      <c r="MU49" s="412"/>
      <c r="MV49" s="412"/>
      <c r="MW49" s="412"/>
      <c r="MX49" s="412"/>
      <c r="MY49" s="412"/>
      <c r="MZ49" s="412"/>
      <c r="NA49" s="412"/>
      <c r="NB49" s="412"/>
      <c r="NC49" s="412"/>
      <c r="ND49" s="412"/>
      <c r="NE49" s="412"/>
      <c r="NF49" s="412"/>
      <c r="NG49" s="412"/>
      <c r="NH49" s="412"/>
      <c r="NI49" s="412"/>
      <c r="NJ49" s="412"/>
      <c r="NK49" s="412"/>
      <c r="NL49" s="412"/>
      <c r="NM49" s="412"/>
      <c r="NN49" s="412"/>
      <c r="NO49" s="412"/>
      <c r="NP49" s="412"/>
      <c r="NQ49" s="412"/>
      <c r="NR49" s="412"/>
      <c r="NS49" s="412"/>
      <c r="NT49" s="412"/>
      <c r="NU49" s="412"/>
      <c r="NV49" s="412"/>
      <c r="NW49" s="412"/>
      <c r="NX49" s="412"/>
      <c r="NY49" s="412"/>
      <c r="NZ49" s="412"/>
      <c r="OA49" s="412"/>
      <c r="OB49" s="412"/>
      <c r="OC49" s="412"/>
      <c r="OD49" s="412"/>
      <c r="OE49" s="412"/>
      <c r="OF49" s="412"/>
      <c r="OG49" s="412"/>
      <c r="OH49" s="412"/>
      <c r="OI49" s="412"/>
      <c r="OJ49" s="412"/>
      <c r="OK49" s="412"/>
      <c r="OL49" s="412"/>
      <c r="OM49" s="412"/>
      <c r="ON49" s="412"/>
      <c r="OO49" s="412"/>
      <c r="OP49" s="412"/>
      <c r="OQ49" s="412"/>
      <c r="OR49" s="412"/>
      <c r="OS49" s="412"/>
      <c r="OT49" s="412"/>
      <c r="OU49" s="412"/>
      <c r="OV49" s="412"/>
      <c r="OW49" s="412"/>
      <c r="OX49" s="412"/>
      <c r="OY49" s="412"/>
      <c r="OZ49" s="412"/>
      <c r="PA49" s="412"/>
      <c r="PB49" s="412"/>
      <c r="PC49" s="412"/>
      <c r="PD49" s="412"/>
      <c r="PE49" s="412"/>
      <c r="PF49" s="412"/>
      <c r="PG49" s="412"/>
      <c r="PH49" s="412"/>
      <c r="PI49" s="412"/>
      <c r="PJ49" s="412"/>
      <c r="PK49" s="412"/>
      <c r="PL49" s="412"/>
      <c r="PM49" s="412"/>
      <c r="PN49" s="412"/>
      <c r="PO49" s="412"/>
      <c r="PP49" s="412"/>
      <c r="PQ49" s="412"/>
      <c r="PR49" s="412"/>
      <c r="PS49" s="412"/>
      <c r="PT49" s="412"/>
      <c r="PU49" s="412"/>
      <c r="PV49" s="412"/>
      <c r="PW49" s="412"/>
      <c r="PX49" s="412"/>
      <c r="PY49" s="412"/>
      <c r="PZ49" s="412"/>
      <c r="QA49" s="412"/>
      <c r="QB49" s="412"/>
      <c r="QC49" s="412"/>
      <c r="QD49" s="412"/>
      <c r="QE49" s="412"/>
      <c r="QF49" s="412"/>
      <c r="QG49" s="412"/>
      <c r="QH49" s="412"/>
      <c r="QI49" s="412"/>
      <c r="QJ49" s="412"/>
      <c r="QK49" s="412"/>
      <c r="QL49" s="412"/>
      <c r="QM49" s="412"/>
      <c r="QN49" s="412"/>
      <c r="QO49" s="412"/>
      <c r="QP49" s="412"/>
      <c r="QQ49" s="412"/>
      <c r="QR49" s="412"/>
      <c r="QS49" s="412"/>
      <c r="QT49" s="412"/>
      <c r="QU49" s="412"/>
      <c r="QV49" s="412"/>
      <c r="QW49" s="412"/>
      <c r="QX49" s="412"/>
      <c r="QY49" s="412"/>
      <c r="QZ49" s="412"/>
      <c r="RA49" s="412"/>
      <c r="RB49" s="412"/>
      <c r="RC49" s="412"/>
      <c r="RD49" s="412"/>
      <c r="RE49" s="412"/>
      <c r="RF49" s="412"/>
      <c r="RG49" s="412"/>
      <c r="RH49" s="412"/>
      <c r="RI49" s="412"/>
      <c r="RJ49" s="412"/>
      <c r="RK49" s="412"/>
      <c r="RL49" s="412"/>
      <c r="RM49" s="412"/>
      <c r="RN49" s="412"/>
      <c r="RO49" s="412"/>
      <c r="RP49" s="412"/>
      <c r="RQ49" s="412"/>
      <c r="RR49" s="412"/>
      <c r="RS49" s="412"/>
      <c r="RT49" s="412"/>
      <c r="RU49" s="412"/>
      <c r="RV49" s="412"/>
      <c r="RW49" s="412"/>
      <c r="RX49" s="412"/>
      <c r="RY49" s="412"/>
      <c r="RZ49" s="412"/>
      <c r="SA49" s="412"/>
      <c r="SB49" s="412"/>
      <c r="SC49" s="412"/>
      <c r="SD49" s="412"/>
      <c r="SE49" s="412"/>
      <c r="SF49" s="412"/>
      <c r="SG49" s="412"/>
    </row>
    <row r="50" spans="1:501" x14ac:dyDescent="0.2">
      <c r="A50" s="391" t="s">
        <v>34</v>
      </c>
      <c r="B50" s="110"/>
      <c r="C50" s="392">
        <v>7.0000000000000007E-2</v>
      </c>
      <c r="D50" s="392">
        <v>0.27699999999999997</v>
      </c>
      <c r="E50" s="392">
        <v>-9.9999999999999995E-7</v>
      </c>
      <c r="F50" s="392">
        <v>-9.9999999999999995E-7</v>
      </c>
      <c r="G50" s="392"/>
      <c r="H50" s="110"/>
      <c r="I50" s="410">
        <v>0</v>
      </c>
      <c r="J50" s="410">
        <v>0</v>
      </c>
      <c r="K50" s="410">
        <v>0</v>
      </c>
      <c r="L50" s="410">
        <v>0</v>
      </c>
      <c r="M50" s="410">
        <v>0</v>
      </c>
      <c r="N50" s="410">
        <v>0</v>
      </c>
      <c r="O50" s="387"/>
      <c r="P50" s="393">
        <v>0</v>
      </c>
      <c r="Q50" s="393">
        <v>0</v>
      </c>
      <c r="R50" s="393">
        <v>0</v>
      </c>
      <c r="S50" s="393">
        <v>0</v>
      </c>
      <c r="T50" s="393">
        <v>0</v>
      </c>
      <c r="U50" s="393"/>
      <c r="V50" s="393">
        <v>0</v>
      </c>
      <c r="W50" s="393">
        <v>0</v>
      </c>
      <c r="X50" s="393">
        <v>0</v>
      </c>
      <c r="Y50" s="393">
        <v>0</v>
      </c>
      <c r="Z50" s="393">
        <v>0</v>
      </c>
      <c r="AA50" s="393"/>
      <c r="AB50" s="435"/>
      <c r="AC50" s="393">
        <v>-9.9999999999999995E-7</v>
      </c>
      <c r="AD50" s="411"/>
      <c r="AE50" s="435"/>
      <c r="AF50" s="388">
        <v>-9.9999999747524271E-7</v>
      </c>
      <c r="AG50" s="388">
        <v>-9.9999999747524271E-7</v>
      </c>
      <c r="AH50" s="388">
        <v>-9.9999999747524271E-7</v>
      </c>
      <c r="AI50" s="388">
        <v>-9.9999999747524271E-7</v>
      </c>
      <c r="AJ50" s="388">
        <v>-9.9999999747524271E-7</v>
      </c>
      <c r="AK50" s="388">
        <v>-9.9999999747524271E-7</v>
      </c>
      <c r="AL50" s="388">
        <v>-9.9999999747521306E-7</v>
      </c>
      <c r="AM50" s="388">
        <v>-9.9999999747522386E-7</v>
      </c>
      <c r="AN50" s="388">
        <v>-9.9999999747524271E-7</v>
      </c>
      <c r="AO50" s="388">
        <v>-9.9999999747524207E-7</v>
      </c>
      <c r="AP50" s="388">
        <v>-9.9999999747523614E-7</v>
      </c>
      <c r="AQ50" s="388">
        <v>-9.999999974752425E-7</v>
      </c>
      <c r="AR50" s="388">
        <v>-9.9999999747524144E-7</v>
      </c>
      <c r="AS50" s="388">
        <v>-9.9999999747524271E-7</v>
      </c>
      <c r="AT50" s="388">
        <v>-9.9999999747524271E-7</v>
      </c>
      <c r="AU50" s="388">
        <v>-9.9999999747524271E-7</v>
      </c>
      <c r="AV50" s="388">
        <v>-9.9999999747524271E-7</v>
      </c>
      <c r="AW50" s="388">
        <v>-9.9999999747524271E-7</v>
      </c>
      <c r="AX50" s="388">
        <v>-9.9999999747524186E-7</v>
      </c>
      <c r="AY50" s="388">
        <v>-9.9999999747524271E-7</v>
      </c>
      <c r="AZ50" s="388">
        <v>-9.9999999747523699E-7</v>
      </c>
      <c r="BA50" s="388">
        <v>-9.9999999747524271E-7</v>
      </c>
      <c r="BB50" s="388">
        <v>-9.9999999747524271E-7</v>
      </c>
      <c r="BC50" s="388">
        <v>-9.9999999747524271E-7</v>
      </c>
      <c r="BD50" s="388">
        <v>-9.9999999747524271E-7</v>
      </c>
      <c r="BE50" s="388">
        <v>-9.9999999747524271E-7</v>
      </c>
      <c r="BF50" s="388">
        <v>-9.9999999747524271E-7</v>
      </c>
      <c r="BG50" s="388">
        <v>-9.9999999747524271E-7</v>
      </c>
      <c r="BH50" s="388">
        <v>-9.9999999747524271E-7</v>
      </c>
      <c r="BI50" s="388">
        <v>-9.9999999747524271E-7</v>
      </c>
      <c r="BJ50" s="388">
        <v>-9.9999999747524271E-7</v>
      </c>
      <c r="BK50" s="388">
        <v>-9.9999999747524271E-7</v>
      </c>
      <c r="BL50" s="388">
        <v>-9.9999999747524271E-7</v>
      </c>
      <c r="BM50" s="388">
        <v>-9.9999999747524271E-7</v>
      </c>
      <c r="BN50" s="388">
        <v>-9.9999999747524271E-7</v>
      </c>
      <c r="BO50" s="388">
        <v>-9.9999999747524271E-7</v>
      </c>
      <c r="BP50" s="388">
        <v>-9.9999999747524271E-7</v>
      </c>
      <c r="BQ50" s="388">
        <v>-9.9999999747524271E-7</v>
      </c>
      <c r="BR50" s="388">
        <v>-9.9999999747524271E-7</v>
      </c>
      <c r="BS50" s="388">
        <v>-9.9999999747524271E-7</v>
      </c>
      <c r="BT50" s="388">
        <v>-9.9999999747524271E-7</v>
      </c>
      <c r="BU50" s="388">
        <v>-9.9999999747524228E-7</v>
      </c>
      <c r="BV50" s="388">
        <v>-9.9999999747524271E-7</v>
      </c>
      <c r="BW50" s="388">
        <v>-9.9999999747524271E-7</v>
      </c>
      <c r="BX50" s="388">
        <v>-9.9999999747524271E-7</v>
      </c>
      <c r="BY50" s="388">
        <v>-9.9999999747524271E-7</v>
      </c>
      <c r="BZ50" s="388">
        <v>-9.9999999747524123E-7</v>
      </c>
      <c r="CA50" s="388">
        <v>-9.9999999747524271E-7</v>
      </c>
      <c r="CB50" s="388">
        <v>-9.9999999747524271E-7</v>
      </c>
      <c r="CC50" s="388">
        <v>-9.999999974752425E-7</v>
      </c>
      <c r="CD50" s="388">
        <v>-9.9999999747524271E-7</v>
      </c>
      <c r="CE50" s="388">
        <v>-9.9999999747524228E-7</v>
      </c>
      <c r="CF50" s="388">
        <v>-9.9999999747524228E-7</v>
      </c>
      <c r="CG50" s="388">
        <v>-9.9999999744173154E-7</v>
      </c>
      <c r="CH50" s="388">
        <v>-9.9999999747524271E-7</v>
      </c>
      <c r="CI50" s="388">
        <v>-9.9999999747524271E-7</v>
      </c>
      <c r="CJ50" s="388">
        <v>-9.9999999747524165E-7</v>
      </c>
      <c r="CK50" s="388">
        <v>-9.9999999747517092E-7</v>
      </c>
      <c r="CL50" s="388">
        <v>-9.999999974752425E-7</v>
      </c>
      <c r="CM50" s="388">
        <v>-9.9999999747524207E-7</v>
      </c>
      <c r="CN50" s="388">
        <v>-9.9999999747523763E-7</v>
      </c>
      <c r="CO50" s="388">
        <v>-9.999999974752425E-7</v>
      </c>
      <c r="CP50" s="388">
        <v>-9.999999974752425E-7</v>
      </c>
      <c r="CQ50" s="388">
        <v>-9.9999999747522259E-7</v>
      </c>
      <c r="CR50" s="388">
        <v>-9.999999974752425E-7</v>
      </c>
      <c r="CS50" s="388">
        <v>-9.9999999747521454E-7</v>
      </c>
      <c r="CT50" s="388">
        <v>-9.9999999747523996E-7</v>
      </c>
      <c r="CU50" s="388">
        <v>-9.9999999747523805E-7</v>
      </c>
      <c r="CV50" s="388">
        <v>-9.9999999747524228E-7</v>
      </c>
      <c r="CW50" s="388">
        <v>-9.9999999747524271E-7</v>
      </c>
      <c r="CX50" s="388">
        <v>-9.9999999747524228E-7</v>
      </c>
      <c r="CY50" s="388">
        <v>-9.9999999747524101E-7</v>
      </c>
      <c r="CZ50" s="388">
        <v>-9.9999999747517262E-7</v>
      </c>
      <c r="DA50" s="388">
        <v>-9.9999999747524228E-7</v>
      </c>
      <c r="DB50" s="388">
        <v>-9.9999999745061819E-7</v>
      </c>
      <c r="DC50" s="388">
        <v>-9.9999999747523868E-7</v>
      </c>
      <c r="DD50" s="388">
        <v>-9.9999999747442871E-7</v>
      </c>
      <c r="DE50" s="388">
        <v>-9.9999999747524271E-7</v>
      </c>
      <c r="DF50" s="388">
        <v>-9.9999999747524271E-7</v>
      </c>
      <c r="DG50" s="388">
        <v>-9.9999999747524271E-7</v>
      </c>
      <c r="DH50" s="388">
        <v>-9.9999999747524271E-7</v>
      </c>
      <c r="DI50" s="388">
        <v>-9.9999999747440351E-7</v>
      </c>
      <c r="DJ50" s="388">
        <v>-9.9999999747524271E-7</v>
      </c>
      <c r="DK50" s="388">
        <v>-9.9999999747524271E-7</v>
      </c>
      <c r="DL50" s="388">
        <v>-9.9999999747524271E-7</v>
      </c>
      <c r="DM50" s="388">
        <v>-9.9999999747507923E-7</v>
      </c>
      <c r="DN50" s="388">
        <v>-9.9999999747515462E-7</v>
      </c>
      <c r="DO50" s="388">
        <v>-9.999999974752084E-7</v>
      </c>
      <c r="DP50" s="388">
        <v>-9.9999999747470399E-7</v>
      </c>
      <c r="DQ50" s="388">
        <v>-9.9999999747523805E-7</v>
      </c>
      <c r="DR50" s="388">
        <v>-9.9999999742903812E-7</v>
      </c>
      <c r="DS50" s="388">
        <v>-9.9999999744645396E-7</v>
      </c>
      <c r="DT50" s="388">
        <v>-9.9999999745903812E-7</v>
      </c>
      <c r="DU50" s="388">
        <v>-9.9999999747524271E-7</v>
      </c>
      <c r="DV50" s="388">
        <v>-9.9999999747524271E-7</v>
      </c>
      <c r="DW50" s="388">
        <v>-9.9999999747521137E-7</v>
      </c>
      <c r="DX50" s="388">
        <v>-9.9999999747519972E-7</v>
      </c>
      <c r="DY50" s="388">
        <v>-9.9999999747524271E-7</v>
      </c>
      <c r="DZ50" s="388">
        <v>-9.9998595521484963E-7</v>
      </c>
      <c r="EA50" s="388">
        <v>-9.9998595521484963E-7</v>
      </c>
      <c r="EB50" s="388"/>
      <c r="EC50" s="388"/>
      <c r="ED50" s="388">
        <v>9.0959447156463733E-5</v>
      </c>
      <c r="EE50" s="388">
        <v>1.3392093076751956E-2</v>
      </c>
      <c r="EF50" s="388">
        <v>2.7444047762385668E-2</v>
      </c>
      <c r="EG50" s="388">
        <v>1.0157545602513222E-2</v>
      </c>
      <c r="EH50" s="388">
        <v>2.029196748024812E-2</v>
      </c>
      <c r="EI50" s="388">
        <v>1.1279873549233925E-2</v>
      </c>
      <c r="EJ50" s="388">
        <v>2.0094113429463416E-2</v>
      </c>
      <c r="EK50" s="388">
        <v>8.3774409023552841E-3</v>
      </c>
      <c r="EL50" s="388">
        <v>1.4175631913601133E-2</v>
      </c>
      <c r="EM50" s="388">
        <v>8.8374780320391103E-3</v>
      </c>
      <c r="EN50" s="388">
        <v>2.4914819196045204E-3</v>
      </c>
      <c r="EO50" s="388">
        <v>1.6003981727175369E-3</v>
      </c>
      <c r="EP50" s="388">
        <v>-1.9525739420064353E-3</v>
      </c>
      <c r="EQ50" s="388">
        <v>4.4200159480865687E-3</v>
      </c>
      <c r="ER50" s="388">
        <v>2.4728965260821657E-3</v>
      </c>
      <c r="ES50" s="388">
        <v>1.9148216183330648E-3</v>
      </c>
      <c r="ET50" s="388">
        <v>1.1002223426702259E-2</v>
      </c>
      <c r="EU50" s="388">
        <v>-9.3949565127601879E-3</v>
      </c>
      <c r="EV50" s="388">
        <v>-1.2872973378437437E-2</v>
      </c>
      <c r="EW50" s="388">
        <v>-1.6919582945056941E-2</v>
      </c>
      <c r="EX50" s="388">
        <v>-1.2139372356856012E-2</v>
      </c>
      <c r="EY50" s="388">
        <v>-2.3114498857351698E-3</v>
      </c>
      <c r="EZ50" s="388">
        <v>2.5191106854015831E-4</v>
      </c>
      <c r="FA50" s="388">
        <v>5.9717592763468383E-4</v>
      </c>
      <c r="FB50" s="388">
        <v>-1.2089041496375517E-2</v>
      </c>
      <c r="FC50" s="388">
        <v>4.2347508717983885E-3</v>
      </c>
      <c r="FD50" s="388">
        <v>1.9128284925769041E-3</v>
      </c>
      <c r="FE50" s="388">
        <v>9.0925389075664713E-5</v>
      </c>
      <c r="FF50" s="388">
        <v>9.7783536750887298E-3</v>
      </c>
      <c r="FG50" s="388">
        <v>2.0583035821789247E-2</v>
      </c>
      <c r="FH50" s="388">
        <v>8.7259399154451106E-3</v>
      </c>
      <c r="FI50" s="388">
        <v>2.4899227510422058E-2</v>
      </c>
      <c r="FJ50" s="388">
        <v>7.6728999999999964E-2</v>
      </c>
      <c r="FK50" s="388">
        <v>4.3089171280746352E-2</v>
      </c>
      <c r="FL50" s="388">
        <v>4.0025493302362353E-2</v>
      </c>
      <c r="FM50" s="388">
        <v>-1.0839250158270206E-2</v>
      </c>
      <c r="FN50" s="388">
        <v>-8.3396425380209502E-3</v>
      </c>
      <c r="FO50" s="388">
        <v>-9.6424337757062533E-3</v>
      </c>
      <c r="FP50" s="388">
        <v>1.0701517043511255E-3</v>
      </c>
      <c r="FQ50" s="388">
        <v>1.6668637115984692E-3</v>
      </c>
      <c r="FR50" s="388">
        <v>1.9525739420064353E-3</v>
      </c>
      <c r="FS50" s="388">
        <v>-2.0031229930176672E-3</v>
      </c>
      <c r="FT50" s="388">
        <v>-1.5322606121677735E-4</v>
      </c>
      <c r="FU50" s="388">
        <v>3.232389816250588E-4</v>
      </c>
      <c r="FV50" s="388">
        <v>-8.3419453800508709E-3</v>
      </c>
      <c r="FW50" s="388">
        <v>1.0722217955346693E-2</v>
      </c>
      <c r="FX50" s="388">
        <v>1.4118237833763522E-2</v>
      </c>
      <c r="FY50" s="388">
        <v>1.8313416467004837E-2</v>
      </c>
      <c r="FZ50" s="388">
        <v>1.3533928381291385E-2</v>
      </c>
      <c r="GA50" s="388">
        <v>2.2116248436354798E-4</v>
      </c>
      <c r="GB50" s="388"/>
      <c r="GC50" s="388"/>
      <c r="GD50" s="388"/>
      <c r="GE50" s="388"/>
      <c r="GF50" s="388"/>
      <c r="GG50" s="388"/>
      <c r="GH50" s="388"/>
      <c r="GI50" s="388"/>
      <c r="GJ50" s="388"/>
      <c r="GK50" s="388"/>
      <c r="GL50" s="388"/>
      <c r="GM50" s="388"/>
      <c r="GN50" s="388"/>
      <c r="GO50" s="388"/>
      <c r="GP50" s="412"/>
      <c r="GQ50" s="412"/>
      <c r="GR50" s="412"/>
      <c r="GS50" s="412"/>
      <c r="GT50" s="412"/>
      <c r="GU50" s="412"/>
      <c r="GV50" s="412"/>
      <c r="GW50" s="412"/>
      <c r="GX50" s="412"/>
      <c r="GY50" s="412"/>
      <c r="GZ50" s="412"/>
      <c r="HA50" s="412"/>
      <c r="HB50" s="412"/>
      <c r="HC50" s="412"/>
      <c r="HD50" s="412"/>
      <c r="HE50" s="412"/>
      <c r="HF50" s="412"/>
      <c r="HG50" s="412"/>
      <c r="HH50" s="412"/>
      <c r="HI50" s="412"/>
      <c r="HJ50" s="412"/>
      <c r="HK50" s="412"/>
      <c r="HL50" s="412"/>
      <c r="HM50" s="412"/>
      <c r="HN50" s="412"/>
      <c r="HO50" s="412"/>
      <c r="HP50" s="412"/>
      <c r="HQ50" s="412"/>
      <c r="HR50" s="412"/>
      <c r="HS50" s="412"/>
      <c r="HT50" s="412"/>
      <c r="HU50" s="412"/>
      <c r="HV50" s="412"/>
      <c r="HW50" s="412"/>
      <c r="HX50" s="412"/>
      <c r="HY50" s="412"/>
      <c r="HZ50" s="412"/>
      <c r="IA50" s="412"/>
      <c r="IB50" s="412"/>
      <c r="IC50" s="412"/>
      <c r="ID50" s="412"/>
      <c r="IE50" s="412"/>
      <c r="IF50" s="412"/>
      <c r="IG50" s="412"/>
      <c r="IH50" s="412"/>
      <c r="II50" s="412"/>
      <c r="IJ50" s="412"/>
      <c r="IK50" s="412"/>
      <c r="IL50" s="412"/>
      <c r="IM50" s="412"/>
      <c r="IN50" s="412"/>
      <c r="IO50" s="412"/>
      <c r="IP50" s="412"/>
      <c r="IQ50" s="412"/>
      <c r="IR50" s="412"/>
      <c r="IS50" s="412"/>
      <c r="IT50" s="412"/>
      <c r="IU50" s="412"/>
      <c r="IV50" s="412"/>
      <c r="IW50" s="412"/>
      <c r="IX50" s="412"/>
      <c r="IY50" s="412"/>
      <c r="IZ50" s="412"/>
      <c r="JA50" s="412"/>
      <c r="JB50" s="412"/>
      <c r="JC50" s="412"/>
      <c r="JD50" s="412"/>
      <c r="JE50" s="412"/>
      <c r="JF50" s="412"/>
      <c r="JG50" s="412"/>
      <c r="JH50" s="412"/>
      <c r="JI50" s="412"/>
      <c r="JJ50" s="412"/>
      <c r="JK50" s="412"/>
      <c r="JL50" s="412"/>
      <c r="JM50" s="412"/>
      <c r="JN50" s="412"/>
      <c r="JO50" s="412"/>
      <c r="JP50" s="412"/>
      <c r="JQ50" s="412"/>
      <c r="JR50" s="412"/>
      <c r="JS50" s="412"/>
      <c r="JT50" s="412"/>
      <c r="JU50" s="412"/>
      <c r="JV50" s="412"/>
      <c r="JW50" s="412"/>
      <c r="JX50" s="412"/>
      <c r="JY50" s="412"/>
      <c r="JZ50" s="412"/>
      <c r="KA50" s="412"/>
      <c r="KB50" s="412"/>
      <c r="KC50" s="412"/>
      <c r="KD50" s="412"/>
      <c r="KE50" s="412"/>
      <c r="KF50" s="412"/>
      <c r="KG50" s="412"/>
      <c r="KH50" s="412"/>
      <c r="KI50" s="412"/>
      <c r="KJ50" s="412"/>
      <c r="KK50" s="412"/>
      <c r="KL50" s="412"/>
      <c r="KM50" s="412"/>
      <c r="KN50" s="412"/>
      <c r="KO50" s="412"/>
      <c r="KP50" s="412"/>
      <c r="KQ50" s="412"/>
      <c r="KR50" s="412"/>
      <c r="KS50" s="412"/>
      <c r="KT50" s="412"/>
      <c r="KU50" s="412"/>
      <c r="KV50" s="412"/>
      <c r="KW50" s="412"/>
      <c r="KX50" s="412"/>
      <c r="KY50" s="412"/>
      <c r="KZ50" s="412"/>
      <c r="LA50" s="412"/>
      <c r="LB50" s="412"/>
      <c r="LC50" s="412"/>
      <c r="LD50" s="412"/>
      <c r="LE50" s="412"/>
      <c r="LF50" s="412"/>
      <c r="LG50" s="412"/>
      <c r="LH50" s="412"/>
      <c r="LI50" s="412"/>
      <c r="LJ50" s="412"/>
      <c r="LK50" s="412"/>
      <c r="LL50" s="412"/>
      <c r="LM50" s="412"/>
      <c r="LN50" s="412"/>
      <c r="LO50" s="412"/>
      <c r="LP50" s="412"/>
      <c r="LQ50" s="412"/>
      <c r="LR50" s="412"/>
      <c r="LS50" s="412"/>
      <c r="LT50" s="412"/>
      <c r="LU50" s="412"/>
      <c r="LV50" s="412"/>
      <c r="LW50" s="412"/>
      <c r="LX50" s="412"/>
      <c r="LY50" s="412"/>
      <c r="LZ50" s="412"/>
      <c r="MA50" s="412"/>
      <c r="MB50" s="412"/>
      <c r="MC50" s="412"/>
      <c r="MD50" s="412"/>
      <c r="ME50" s="412"/>
      <c r="MF50" s="412"/>
      <c r="MG50" s="412"/>
      <c r="MH50" s="412"/>
      <c r="MI50" s="412"/>
      <c r="MJ50" s="412"/>
      <c r="MK50" s="412"/>
      <c r="ML50" s="412"/>
      <c r="MM50" s="412"/>
      <c r="MN50" s="412"/>
      <c r="MO50" s="412"/>
      <c r="MP50" s="412"/>
      <c r="MQ50" s="412"/>
      <c r="MR50" s="412"/>
      <c r="MS50" s="412"/>
      <c r="MT50" s="412"/>
      <c r="MU50" s="412"/>
      <c r="MV50" s="412"/>
      <c r="MW50" s="412"/>
      <c r="MX50" s="412"/>
      <c r="MY50" s="412"/>
      <c r="MZ50" s="412"/>
      <c r="NA50" s="412"/>
      <c r="NB50" s="412"/>
      <c r="NC50" s="412"/>
      <c r="ND50" s="412"/>
      <c r="NE50" s="412"/>
      <c r="NF50" s="412"/>
      <c r="NG50" s="412"/>
      <c r="NH50" s="412"/>
      <c r="NI50" s="412"/>
      <c r="NJ50" s="412"/>
      <c r="NK50" s="412"/>
      <c r="NL50" s="412"/>
      <c r="NM50" s="412"/>
      <c r="NN50" s="412"/>
      <c r="NO50" s="412"/>
      <c r="NP50" s="412"/>
      <c r="NQ50" s="412"/>
      <c r="NR50" s="412"/>
      <c r="NS50" s="412"/>
      <c r="NT50" s="412"/>
      <c r="NU50" s="412"/>
      <c r="NV50" s="412"/>
      <c r="NW50" s="412"/>
      <c r="NX50" s="412"/>
      <c r="NY50" s="412"/>
      <c r="NZ50" s="412"/>
      <c r="OA50" s="412"/>
      <c r="OB50" s="412"/>
      <c r="OC50" s="412"/>
      <c r="OD50" s="412"/>
      <c r="OE50" s="412"/>
      <c r="OF50" s="412"/>
      <c r="OG50" s="412"/>
      <c r="OH50" s="412"/>
      <c r="OI50" s="412"/>
      <c r="OJ50" s="412"/>
      <c r="OK50" s="412"/>
      <c r="OL50" s="412"/>
      <c r="OM50" s="412"/>
      <c r="ON50" s="412"/>
      <c r="OO50" s="412"/>
      <c r="OP50" s="412"/>
      <c r="OQ50" s="412"/>
      <c r="OR50" s="412"/>
      <c r="OS50" s="412"/>
      <c r="OT50" s="412"/>
      <c r="OU50" s="412"/>
      <c r="OV50" s="412"/>
      <c r="OW50" s="412"/>
      <c r="OX50" s="412"/>
      <c r="OY50" s="412"/>
      <c r="OZ50" s="412"/>
      <c r="PA50" s="412"/>
      <c r="PB50" s="412"/>
      <c r="PC50" s="412"/>
      <c r="PD50" s="412"/>
      <c r="PE50" s="412"/>
      <c r="PF50" s="412"/>
      <c r="PG50" s="412"/>
      <c r="PH50" s="412"/>
      <c r="PI50" s="412"/>
      <c r="PJ50" s="412"/>
      <c r="PK50" s="412"/>
      <c r="PL50" s="412"/>
      <c r="PM50" s="412"/>
      <c r="PN50" s="412"/>
      <c r="PO50" s="412"/>
      <c r="PP50" s="412"/>
      <c r="PQ50" s="412"/>
      <c r="PR50" s="412"/>
      <c r="PS50" s="412"/>
      <c r="PT50" s="412"/>
      <c r="PU50" s="412"/>
      <c r="PV50" s="412"/>
      <c r="PW50" s="412"/>
      <c r="PX50" s="412"/>
      <c r="PY50" s="412"/>
      <c r="PZ50" s="412"/>
      <c r="QA50" s="412"/>
      <c r="QB50" s="412"/>
      <c r="QC50" s="412"/>
      <c r="QD50" s="412"/>
      <c r="QE50" s="412"/>
      <c r="QF50" s="412"/>
      <c r="QG50" s="412"/>
      <c r="QH50" s="412"/>
      <c r="QI50" s="412"/>
      <c r="QJ50" s="412"/>
      <c r="QK50" s="412"/>
      <c r="QL50" s="412"/>
      <c r="QM50" s="412"/>
      <c r="QN50" s="412"/>
      <c r="QO50" s="412"/>
      <c r="QP50" s="412"/>
      <c r="QQ50" s="412"/>
      <c r="QR50" s="412"/>
      <c r="QS50" s="412"/>
      <c r="QT50" s="412"/>
      <c r="QU50" s="412"/>
      <c r="QV50" s="412"/>
      <c r="QW50" s="412"/>
      <c r="QX50" s="412"/>
      <c r="QY50" s="412"/>
      <c r="QZ50" s="412"/>
      <c r="RA50" s="412"/>
      <c r="RB50" s="412"/>
      <c r="RC50" s="412"/>
      <c r="RD50" s="412"/>
      <c r="RE50" s="412"/>
      <c r="RF50" s="412"/>
      <c r="RG50" s="412"/>
      <c r="RH50" s="412"/>
      <c r="RI50" s="412"/>
      <c r="RJ50" s="412"/>
      <c r="RK50" s="412"/>
      <c r="RL50" s="412"/>
      <c r="RM50" s="412"/>
      <c r="RN50" s="412"/>
      <c r="RO50" s="412"/>
      <c r="RP50" s="412"/>
      <c r="RQ50" s="412"/>
      <c r="RR50" s="412"/>
      <c r="RS50" s="412"/>
      <c r="RT50" s="412"/>
      <c r="RU50" s="412"/>
      <c r="RV50" s="412"/>
      <c r="RW50" s="412"/>
      <c r="RX50" s="412"/>
      <c r="RY50" s="412"/>
      <c r="RZ50" s="412"/>
      <c r="SA50" s="412"/>
      <c r="SB50" s="412"/>
      <c r="SC50" s="412"/>
      <c r="SD50" s="412"/>
      <c r="SE50" s="412"/>
      <c r="SF50" s="412"/>
      <c r="SG50" s="412"/>
    </row>
    <row r="51" spans="1:501" x14ac:dyDescent="0.2">
      <c r="A51" s="391" t="s">
        <v>35</v>
      </c>
      <c r="B51" s="110"/>
      <c r="C51" s="392">
        <v>7.0000000000000007E-2</v>
      </c>
      <c r="D51" s="392">
        <v>0.23800000000000002</v>
      </c>
      <c r="E51" s="392">
        <v>-9.9999999999999995E-7</v>
      </c>
      <c r="F51" s="392">
        <v>-9.9999999999999995E-7</v>
      </c>
      <c r="G51" s="392"/>
      <c r="H51" s="110"/>
      <c r="I51" s="410">
        <v>0</v>
      </c>
      <c r="J51" s="410">
        <v>0</v>
      </c>
      <c r="K51" s="410">
        <v>0</v>
      </c>
      <c r="L51" s="410">
        <v>0</v>
      </c>
      <c r="M51" s="410">
        <v>0</v>
      </c>
      <c r="N51" s="410">
        <v>0</v>
      </c>
      <c r="O51" s="387"/>
      <c r="P51" s="393">
        <v>0</v>
      </c>
      <c r="Q51" s="393">
        <v>0</v>
      </c>
      <c r="R51" s="393">
        <v>0</v>
      </c>
      <c r="S51" s="393">
        <v>0</v>
      </c>
      <c r="T51" s="393">
        <v>0</v>
      </c>
      <c r="U51" s="393"/>
      <c r="V51" s="393">
        <v>0</v>
      </c>
      <c r="W51" s="393">
        <v>0</v>
      </c>
      <c r="X51" s="393">
        <v>0</v>
      </c>
      <c r="Y51" s="393">
        <v>0</v>
      </c>
      <c r="Z51" s="393">
        <v>0</v>
      </c>
      <c r="AA51" s="393"/>
      <c r="AB51" s="435"/>
      <c r="AC51" s="393">
        <v>-9.9999999999999995E-7</v>
      </c>
      <c r="AD51" s="411"/>
      <c r="AE51" s="435"/>
      <c r="AF51" s="388">
        <v>-9.9997663483009092E-7</v>
      </c>
      <c r="AG51" s="388">
        <v>-9.9997663483009049E-7</v>
      </c>
      <c r="AH51" s="388">
        <v>-9.9997663483009092E-7</v>
      </c>
      <c r="AI51" s="388">
        <v>-9.9997663483009092E-7</v>
      </c>
      <c r="AJ51" s="388">
        <v>-9.999766348300816E-7</v>
      </c>
      <c r="AK51" s="388">
        <v>-9.9997663483009092E-7</v>
      </c>
      <c r="AL51" s="388">
        <v>-9.9997663483001045E-7</v>
      </c>
      <c r="AM51" s="388">
        <v>-9.9997663483009092E-7</v>
      </c>
      <c r="AN51" s="388">
        <v>-9.999766348300907E-7</v>
      </c>
      <c r="AO51" s="388">
        <v>-9.999766348300907E-7</v>
      </c>
      <c r="AP51" s="388">
        <v>-9.9997663483009092E-7</v>
      </c>
      <c r="AQ51" s="388">
        <v>-9.999766348300907E-7</v>
      </c>
      <c r="AR51" s="388">
        <v>-9.999766348300907E-7</v>
      </c>
      <c r="AS51" s="388">
        <v>-9.9997663483009092E-7</v>
      </c>
      <c r="AT51" s="388">
        <v>-9.9997663483009028E-7</v>
      </c>
      <c r="AU51" s="388">
        <v>-9.9997663483009092E-7</v>
      </c>
      <c r="AV51" s="388">
        <v>-9.9997663483009092E-7</v>
      </c>
      <c r="AW51" s="388">
        <v>-9.9997663483009092E-7</v>
      </c>
      <c r="AX51" s="388">
        <v>-9.9997663483009092E-7</v>
      </c>
      <c r="AY51" s="388">
        <v>-9.999766348300907E-7</v>
      </c>
      <c r="AZ51" s="388">
        <v>-9.999766348300907E-7</v>
      </c>
      <c r="BA51" s="388">
        <v>-9.9997663483009092E-7</v>
      </c>
      <c r="BB51" s="388">
        <v>-9.999766348300907E-7</v>
      </c>
      <c r="BC51" s="388">
        <v>-9.9997663483009092E-7</v>
      </c>
      <c r="BD51" s="388">
        <v>-9.9997663483009092E-7</v>
      </c>
      <c r="BE51" s="388">
        <v>-9.9997663483009092E-7</v>
      </c>
      <c r="BF51" s="388">
        <v>-9.9997663483008943E-7</v>
      </c>
      <c r="BG51" s="388">
        <v>-9.9997663483009092E-7</v>
      </c>
      <c r="BH51" s="388">
        <v>-9.9997663483009092E-7</v>
      </c>
      <c r="BI51" s="388">
        <v>-9.9997663483009092E-7</v>
      </c>
      <c r="BJ51" s="388">
        <v>-9.9997663483009092E-7</v>
      </c>
      <c r="BK51" s="388">
        <v>-9.999766348300907E-7</v>
      </c>
      <c r="BL51" s="388">
        <v>-9.9997663483009092E-7</v>
      </c>
      <c r="BM51" s="388">
        <v>-9.999766348300907E-7</v>
      </c>
      <c r="BN51" s="388">
        <v>-9.999766348300907E-7</v>
      </c>
      <c r="BO51" s="388">
        <v>-9.9997663483009092E-7</v>
      </c>
      <c r="BP51" s="388">
        <v>-9.9997663483009092E-7</v>
      </c>
      <c r="BQ51" s="388">
        <v>-9.9997663483009092E-7</v>
      </c>
      <c r="BR51" s="388">
        <v>-9.999766348300907E-7</v>
      </c>
      <c r="BS51" s="388">
        <v>-9.9997663483008986E-7</v>
      </c>
      <c r="BT51" s="388">
        <v>-9.999766348300907E-7</v>
      </c>
      <c r="BU51" s="388">
        <v>-9.9997663483009092E-7</v>
      </c>
      <c r="BV51" s="388">
        <v>-9.9997663483009049E-7</v>
      </c>
      <c r="BW51" s="388">
        <v>-9.999766348300907E-7</v>
      </c>
      <c r="BX51" s="388">
        <v>-9.9997663483009092E-7</v>
      </c>
      <c r="BY51" s="388">
        <v>-9.999766348300835E-7</v>
      </c>
      <c r="BZ51" s="388">
        <v>-9.9997663483009092E-7</v>
      </c>
      <c r="CA51" s="388">
        <v>-9.9997663483004581E-7</v>
      </c>
      <c r="CB51" s="388">
        <v>-9.9997663483009092E-7</v>
      </c>
      <c r="CC51" s="388">
        <v>-9.9997663483009092E-7</v>
      </c>
      <c r="CD51" s="388">
        <v>-9.9997663483009092E-7</v>
      </c>
      <c r="CE51" s="388">
        <v>-9.9997663483008837E-7</v>
      </c>
      <c r="CF51" s="388">
        <v>-9.999766348300888E-7</v>
      </c>
      <c r="CG51" s="388">
        <v>-9.9997663483009092E-7</v>
      </c>
      <c r="CH51" s="388">
        <v>-9.9997663482911767E-7</v>
      </c>
      <c r="CI51" s="388">
        <v>-9.9997663481762471E-7</v>
      </c>
      <c r="CJ51" s="388">
        <v>-9.9997663483009049E-7</v>
      </c>
      <c r="CK51" s="388">
        <v>-9.9997663479601986E-7</v>
      </c>
      <c r="CL51" s="388">
        <v>-9.9997663483007969E-7</v>
      </c>
      <c r="CM51" s="388">
        <v>-9.9997663483009049E-7</v>
      </c>
      <c r="CN51" s="388">
        <v>-9.9997663483008732E-7</v>
      </c>
      <c r="CO51" s="388">
        <v>-9.999766348300907E-7</v>
      </c>
      <c r="CP51" s="388">
        <v>-9.9997663483009049E-7</v>
      </c>
      <c r="CQ51" s="388">
        <v>-9.9997663482981944E-7</v>
      </c>
      <c r="CR51" s="388">
        <v>-9.9997663483009049E-7</v>
      </c>
      <c r="CS51" s="388">
        <v>-9.9997663483007228E-7</v>
      </c>
      <c r="CT51" s="388">
        <v>-9.9997663483008901E-7</v>
      </c>
      <c r="CU51" s="388">
        <v>-9.9997663483008117E-7</v>
      </c>
      <c r="CV51" s="388">
        <v>-9.9997663483009007E-7</v>
      </c>
      <c r="CW51" s="388">
        <v>-9.9997663483009092E-7</v>
      </c>
      <c r="CX51" s="388">
        <v>-9.999766348300907E-7</v>
      </c>
      <c r="CY51" s="388">
        <v>-9.9997663483008732E-7</v>
      </c>
      <c r="CZ51" s="388">
        <v>-9.9997663483004433E-7</v>
      </c>
      <c r="DA51" s="388">
        <v>-9.999766348300907E-7</v>
      </c>
      <c r="DB51" s="388">
        <v>-9.9997663483009092E-7</v>
      </c>
      <c r="DC51" s="388">
        <v>-9.9997663483009092E-7</v>
      </c>
      <c r="DD51" s="388">
        <v>-9.9997663468617832E-7</v>
      </c>
      <c r="DE51" s="388">
        <v>-9.999766348300888E-7</v>
      </c>
      <c r="DF51" s="388">
        <v>-9.9997663483009092E-7</v>
      </c>
      <c r="DG51" s="388">
        <v>-9.9997663483009092E-7</v>
      </c>
      <c r="DH51" s="388">
        <v>-9.9997663481724947E-7</v>
      </c>
      <c r="DI51" s="388">
        <v>-9.9997663482787529E-7</v>
      </c>
      <c r="DJ51" s="388">
        <v>-9.9997663482975231E-7</v>
      </c>
      <c r="DK51" s="388">
        <v>-9.9997663483009092E-7</v>
      </c>
      <c r="DL51" s="388">
        <v>-9.9997663479510083E-7</v>
      </c>
      <c r="DM51" s="388">
        <v>-9.9997663483009092E-7</v>
      </c>
      <c r="DN51" s="388">
        <v>-9.9997663483009092E-7</v>
      </c>
      <c r="DO51" s="388">
        <v>-9.9997663482997657E-7</v>
      </c>
      <c r="DP51" s="388">
        <v>-9.9997663482835471E-7</v>
      </c>
      <c r="DQ51" s="388">
        <v>-9.9997663483009092E-7</v>
      </c>
      <c r="DR51" s="388">
        <v>-9.9997663482956237E-7</v>
      </c>
      <c r="DS51" s="388">
        <v>-9.9997663480194253E-7</v>
      </c>
      <c r="DT51" s="388">
        <v>-9.9997663483009092E-7</v>
      </c>
      <c r="DU51" s="388">
        <v>-9.999766348222565E-7</v>
      </c>
      <c r="DV51" s="388">
        <v>-9.9997663483009092E-7</v>
      </c>
      <c r="DW51" s="388">
        <v>-9.9997663483009092E-7</v>
      </c>
      <c r="DX51" s="388">
        <v>-9.9997663483009092E-7</v>
      </c>
      <c r="DY51" s="388">
        <v>-9.9997663483004751E-7</v>
      </c>
      <c r="DZ51" s="388">
        <v>-9.9997483742561844E-7</v>
      </c>
      <c r="EA51" s="388">
        <v>-9.9997483742561844E-7</v>
      </c>
      <c r="EB51" s="388"/>
      <c r="EC51" s="388"/>
      <c r="ED51" s="388">
        <v>8.9844165977106261E-5</v>
      </c>
      <c r="EE51" s="388">
        <v>9.4096341710867178E-3</v>
      </c>
      <c r="EF51" s="388">
        <v>1.6898640616751264E-2</v>
      </c>
      <c r="EG51" s="388">
        <v>9.1214270775512776E-3</v>
      </c>
      <c r="EH51" s="388">
        <v>1.640051508138907E-2</v>
      </c>
      <c r="EI51" s="388">
        <v>1.0038852365891223E-2</v>
      </c>
      <c r="EJ51" s="388">
        <v>1.876010673591625E-2</v>
      </c>
      <c r="EK51" s="388">
        <v>9.1728311560177276E-3</v>
      </c>
      <c r="EL51" s="388">
        <v>1.6156293220548776E-2</v>
      </c>
      <c r="EM51" s="388">
        <v>9.0811836962873642E-3</v>
      </c>
      <c r="EN51" s="388">
        <v>1.0917633715111653E-2</v>
      </c>
      <c r="EO51" s="388">
        <v>1.2844343309241724E-2</v>
      </c>
      <c r="EP51" s="388">
        <v>1.2417256255355549E-2</v>
      </c>
      <c r="EQ51" s="388">
        <v>1.0940863597725236E-2</v>
      </c>
      <c r="ER51" s="388">
        <v>1.1532234050274388E-2</v>
      </c>
      <c r="ES51" s="388">
        <v>1.3091015380939867E-2</v>
      </c>
      <c r="ET51" s="388">
        <v>1.8147152889104075E-2</v>
      </c>
      <c r="EU51" s="388">
        <v>2.0362338045495179E-3</v>
      </c>
      <c r="EV51" s="388">
        <v>4.7379632596799698E-3</v>
      </c>
      <c r="EW51" s="388">
        <v>1.3692680852512467E-3</v>
      </c>
      <c r="EX51" s="388">
        <v>4.017891451231867E-3</v>
      </c>
      <c r="EY51" s="388">
        <v>-7.9766950268006246E-5</v>
      </c>
      <c r="EZ51" s="388">
        <v>-1.2790921583548609E-4</v>
      </c>
      <c r="FA51" s="388">
        <v>1.4763125974090569E-2</v>
      </c>
      <c r="FB51" s="388">
        <v>3.2113700294660796E-3</v>
      </c>
      <c r="FC51" s="388">
        <v>-6.8748392212407422E-5</v>
      </c>
      <c r="FD51" s="388">
        <v>2.5180724189387198E-3</v>
      </c>
      <c r="FE51" s="388">
        <v>8.9818043052390659E-5</v>
      </c>
      <c r="FF51" s="388">
        <v>6.870526537618874E-3</v>
      </c>
      <c r="FG51" s="388">
        <v>1.2673980462563447E-2</v>
      </c>
      <c r="FH51" s="388">
        <v>7.7659046604064167E-3</v>
      </c>
      <c r="FI51" s="388">
        <v>2.3246219216244049E-2</v>
      </c>
      <c r="FJ51" s="388">
        <v>4.3089171280746352E-2</v>
      </c>
      <c r="FK51" s="388">
        <v>5.6644000000000007E-2</v>
      </c>
      <c r="FL51" s="388">
        <v>3.5742943724458694E-2</v>
      </c>
      <c r="FM51" s="388">
        <v>-9.7860206552636553E-3</v>
      </c>
      <c r="FN51" s="388">
        <v>-9.1717140882913196E-3</v>
      </c>
      <c r="FO51" s="388">
        <v>-7.0428178628570868E-3</v>
      </c>
      <c r="FP51" s="388">
        <v>-1.0996844317325529E-2</v>
      </c>
      <c r="FQ51" s="388">
        <v>-1.2836796906089817E-2</v>
      </c>
      <c r="FR51" s="388">
        <v>-1.2417256255355549E-2</v>
      </c>
      <c r="FS51" s="388">
        <v>-1.1563664369155137E-2</v>
      </c>
      <c r="FT51" s="388">
        <v>-1.1639094506882153E-2</v>
      </c>
      <c r="FU51" s="388">
        <v>-1.3120066196849842E-2</v>
      </c>
      <c r="FV51" s="388">
        <v>-1.8544082848721992E-2</v>
      </c>
      <c r="FW51" s="388">
        <v>-2.5341980609005967E-3</v>
      </c>
      <c r="FX51" s="388">
        <v>-5.2501858998522735E-3</v>
      </c>
      <c r="FY51" s="388">
        <v>-2.147223892655471E-3</v>
      </c>
      <c r="FZ51" s="388">
        <v>-4.7430490326181756E-3</v>
      </c>
      <c r="GA51" s="388">
        <v>7.7456206313011202E-6</v>
      </c>
      <c r="GB51" s="388"/>
      <c r="GC51" s="388"/>
      <c r="GD51" s="388"/>
      <c r="GE51" s="388"/>
      <c r="GF51" s="388"/>
      <c r="GG51" s="388"/>
      <c r="GH51" s="388"/>
      <c r="GI51" s="388"/>
      <c r="GJ51" s="388"/>
      <c r="GK51" s="388"/>
      <c r="GL51" s="388"/>
      <c r="GM51" s="388"/>
      <c r="GN51" s="388"/>
      <c r="GO51" s="388"/>
      <c r="GP51" s="412"/>
      <c r="GQ51" s="412"/>
      <c r="GR51" s="412"/>
      <c r="GS51" s="412"/>
      <c r="GT51" s="412"/>
      <c r="GU51" s="412"/>
      <c r="GV51" s="412"/>
      <c r="GW51" s="412"/>
      <c r="GX51" s="412"/>
      <c r="GY51" s="412"/>
      <c r="GZ51" s="412"/>
      <c r="HA51" s="412"/>
      <c r="HB51" s="412"/>
      <c r="HC51" s="412"/>
      <c r="HD51" s="412"/>
      <c r="HE51" s="412"/>
      <c r="HF51" s="412"/>
      <c r="HG51" s="412"/>
      <c r="HH51" s="412"/>
      <c r="HI51" s="412"/>
      <c r="HJ51" s="412"/>
      <c r="HK51" s="412"/>
      <c r="HL51" s="412"/>
      <c r="HM51" s="412"/>
      <c r="HN51" s="412"/>
      <c r="HO51" s="412"/>
      <c r="HP51" s="412"/>
      <c r="HQ51" s="412"/>
      <c r="HR51" s="412"/>
      <c r="HS51" s="412"/>
      <c r="HT51" s="412"/>
      <c r="HU51" s="412"/>
      <c r="HV51" s="412"/>
      <c r="HW51" s="412"/>
      <c r="HX51" s="412"/>
      <c r="HY51" s="412"/>
      <c r="HZ51" s="412"/>
      <c r="IA51" s="412"/>
      <c r="IB51" s="412"/>
      <c r="IC51" s="412"/>
      <c r="ID51" s="412"/>
      <c r="IE51" s="412"/>
      <c r="IF51" s="412"/>
      <c r="IG51" s="412"/>
      <c r="IH51" s="412"/>
      <c r="II51" s="412"/>
      <c r="IJ51" s="412"/>
      <c r="IK51" s="412"/>
      <c r="IL51" s="412"/>
      <c r="IM51" s="412"/>
      <c r="IN51" s="412"/>
      <c r="IO51" s="412"/>
      <c r="IP51" s="412"/>
      <c r="IQ51" s="412"/>
      <c r="IR51" s="412"/>
      <c r="IS51" s="412"/>
      <c r="IT51" s="412"/>
      <c r="IU51" s="412"/>
      <c r="IV51" s="412"/>
      <c r="IW51" s="412"/>
      <c r="IX51" s="412"/>
      <c r="IY51" s="412"/>
      <c r="IZ51" s="412"/>
      <c r="JA51" s="412"/>
      <c r="JB51" s="412"/>
      <c r="JC51" s="412"/>
      <c r="JD51" s="412"/>
      <c r="JE51" s="412"/>
      <c r="JF51" s="412"/>
      <c r="JG51" s="412"/>
      <c r="JH51" s="412"/>
      <c r="JI51" s="412"/>
      <c r="JJ51" s="412"/>
      <c r="JK51" s="412"/>
      <c r="JL51" s="412"/>
      <c r="JM51" s="412"/>
      <c r="JN51" s="412"/>
      <c r="JO51" s="412"/>
      <c r="JP51" s="412"/>
      <c r="JQ51" s="412"/>
      <c r="JR51" s="412"/>
      <c r="JS51" s="412"/>
      <c r="JT51" s="412"/>
      <c r="JU51" s="412"/>
      <c r="JV51" s="412"/>
      <c r="JW51" s="412"/>
      <c r="JX51" s="412"/>
      <c r="JY51" s="412"/>
      <c r="JZ51" s="412"/>
      <c r="KA51" s="412"/>
      <c r="KB51" s="412"/>
      <c r="KC51" s="412"/>
      <c r="KD51" s="412"/>
      <c r="KE51" s="412"/>
      <c r="KF51" s="412"/>
      <c r="KG51" s="412"/>
      <c r="KH51" s="412"/>
      <c r="KI51" s="412"/>
      <c r="KJ51" s="412"/>
      <c r="KK51" s="412"/>
      <c r="KL51" s="412"/>
      <c r="KM51" s="412"/>
      <c r="KN51" s="412"/>
      <c r="KO51" s="412"/>
      <c r="KP51" s="412"/>
      <c r="KQ51" s="412"/>
      <c r="KR51" s="412"/>
      <c r="KS51" s="412"/>
      <c r="KT51" s="412"/>
      <c r="KU51" s="412"/>
      <c r="KV51" s="412"/>
      <c r="KW51" s="412"/>
      <c r="KX51" s="412"/>
      <c r="KY51" s="412"/>
      <c r="KZ51" s="412"/>
      <c r="LA51" s="412"/>
      <c r="LB51" s="412"/>
      <c r="LC51" s="412"/>
      <c r="LD51" s="412"/>
      <c r="LE51" s="412"/>
      <c r="LF51" s="412"/>
      <c r="LG51" s="412"/>
      <c r="LH51" s="412"/>
      <c r="LI51" s="412"/>
      <c r="LJ51" s="412"/>
      <c r="LK51" s="412"/>
      <c r="LL51" s="412"/>
      <c r="LM51" s="412"/>
      <c r="LN51" s="412"/>
      <c r="LO51" s="412"/>
      <c r="LP51" s="412"/>
      <c r="LQ51" s="412"/>
      <c r="LR51" s="412"/>
      <c r="LS51" s="412"/>
      <c r="LT51" s="412"/>
      <c r="LU51" s="412"/>
      <c r="LV51" s="412"/>
      <c r="LW51" s="412"/>
      <c r="LX51" s="412"/>
      <c r="LY51" s="412"/>
      <c r="LZ51" s="412"/>
      <c r="MA51" s="412"/>
      <c r="MB51" s="412"/>
      <c r="MC51" s="412"/>
      <c r="MD51" s="412"/>
      <c r="ME51" s="412"/>
      <c r="MF51" s="412"/>
      <c r="MG51" s="412"/>
      <c r="MH51" s="412"/>
      <c r="MI51" s="412"/>
      <c r="MJ51" s="412"/>
      <c r="MK51" s="412"/>
      <c r="ML51" s="412"/>
      <c r="MM51" s="412"/>
      <c r="MN51" s="412"/>
      <c r="MO51" s="412"/>
      <c r="MP51" s="412"/>
      <c r="MQ51" s="412"/>
      <c r="MR51" s="412"/>
      <c r="MS51" s="412"/>
      <c r="MT51" s="412"/>
      <c r="MU51" s="412"/>
      <c r="MV51" s="412"/>
      <c r="MW51" s="412"/>
      <c r="MX51" s="412"/>
      <c r="MY51" s="412"/>
      <c r="MZ51" s="412"/>
      <c r="NA51" s="412"/>
      <c r="NB51" s="412"/>
      <c r="NC51" s="412"/>
      <c r="ND51" s="412"/>
      <c r="NE51" s="412"/>
      <c r="NF51" s="412"/>
      <c r="NG51" s="412"/>
      <c r="NH51" s="412"/>
      <c r="NI51" s="412"/>
      <c r="NJ51" s="412"/>
      <c r="NK51" s="412"/>
      <c r="NL51" s="412"/>
      <c r="NM51" s="412"/>
      <c r="NN51" s="412"/>
      <c r="NO51" s="412"/>
      <c r="NP51" s="412"/>
      <c r="NQ51" s="412"/>
      <c r="NR51" s="412"/>
      <c r="NS51" s="412"/>
      <c r="NT51" s="412"/>
      <c r="NU51" s="412"/>
      <c r="NV51" s="412"/>
      <c r="NW51" s="412"/>
      <c r="NX51" s="412"/>
      <c r="NY51" s="412"/>
      <c r="NZ51" s="412"/>
      <c r="OA51" s="412"/>
      <c r="OB51" s="412"/>
      <c r="OC51" s="412"/>
      <c r="OD51" s="412"/>
      <c r="OE51" s="412"/>
      <c r="OF51" s="412"/>
      <c r="OG51" s="412"/>
      <c r="OH51" s="412"/>
      <c r="OI51" s="412"/>
      <c r="OJ51" s="412"/>
      <c r="OK51" s="412"/>
      <c r="OL51" s="412"/>
      <c r="OM51" s="412"/>
      <c r="ON51" s="412"/>
      <c r="OO51" s="412"/>
      <c r="OP51" s="412"/>
      <c r="OQ51" s="412"/>
      <c r="OR51" s="412"/>
      <c r="OS51" s="412"/>
      <c r="OT51" s="412"/>
      <c r="OU51" s="412"/>
      <c r="OV51" s="412"/>
      <c r="OW51" s="412"/>
      <c r="OX51" s="412"/>
      <c r="OY51" s="412"/>
      <c r="OZ51" s="412"/>
      <c r="PA51" s="412"/>
      <c r="PB51" s="412"/>
      <c r="PC51" s="412"/>
      <c r="PD51" s="412"/>
      <c r="PE51" s="412"/>
      <c r="PF51" s="412"/>
      <c r="PG51" s="412"/>
      <c r="PH51" s="412"/>
      <c r="PI51" s="412"/>
      <c r="PJ51" s="412"/>
      <c r="PK51" s="412"/>
      <c r="PL51" s="412"/>
      <c r="PM51" s="412"/>
      <c r="PN51" s="412"/>
      <c r="PO51" s="412"/>
      <c r="PP51" s="412"/>
      <c r="PQ51" s="412"/>
      <c r="PR51" s="412"/>
      <c r="PS51" s="412"/>
      <c r="PT51" s="412"/>
      <c r="PU51" s="412"/>
      <c r="PV51" s="412"/>
      <c r="PW51" s="412"/>
      <c r="PX51" s="412"/>
      <c r="PY51" s="412"/>
      <c r="PZ51" s="412"/>
      <c r="QA51" s="412"/>
      <c r="QB51" s="412"/>
      <c r="QC51" s="412"/>
      <c r="QD51" s="412"/>
      <c r="QE51" s="412"/>
      <c r="QF51" s="412"/>
      <c r="QG51" s="412"/>
      <c r="QH51" s="412"/>
      <c r="QI51" s="412"/>
      <c r="QJ51" s="412"/>
      <c r="QK51" s="412"/>
      <c r="QL51" s="412"/>
      <c r="QM51" s="412"/>
      <c r="QN51" s="412"/>
      <c r="QO51" s="412"/>
      <c r="QP51" s="412"/>
      <c r="QQ51" s="412"/>
      <c r="QR51" s="412"/>
      <c r="QS51" s="412"/>
      <c r="QT51" s="412"/>
      <c r="QU51" s="412"/>
      <c r="QV51" s="412"/>
      <c r="QW51" s="412"/>
      <c r="QX51" s="412"/>
      <c r="QY51" s="412"/>
      <c r="QZ51" s="412"/>
      <c r="RA51" s="412"/>
      <c r="RB51" s="412"/>
      <c r="RC51" s="412"/>
      <c r="RD51" s="412"/>
      <c r="RE51" s="412"/>
      <c r="RF51" s="412"/>
      <c r="RG51" s="412"/>
      <c r="RH51" s="412"/>
      <c r="RI51" s="412"/>
      <c r="RJ51" s="412"/>
      <c r="RK51" s="412"/>
      <c r="RL51" s="412"/>
      <c r="RM51" s="412"/>
      <c r="RN51" s="412"/>
      <c r="RO51" s="412"/>
      <c r="RP51" s="412"/>
      <c r="RQ51" s="412"/>
      <c r="RR51" s="412"/>
      <c r="RS51" s="412"/>
      <c r="RT51" s="412"/>
      <c r="RU51" s="412"/>
      <c r="RV51" s="412"/>
      <c r="RW51" s="412"/>
      <c r="RX51" s="412"/>
      <c r="RY51" s="412"/>
      <c r="RZ51" s="412"/>
      <c r="SA51" s="412"/>
      <c r="SB51" s="412"/>
      <c r="SC51" s="412"/>
      <c r="SD51" s="412"/>
      <c r="SE51" s="412"/>
      <c r="SF51" s="412"/>
      <c r="SG51" s="412"/>
    </row>
    <row r="52" spans="1:501" x14ac:dyDescent="0.2">
      <c r="A52" s="391" t="s">
        <v>36</v>
      </c>
      <c r="B52" s="110"/>
      <c r="C52" s="392">
        <v>0.03</v>
      </c>
      <c r="D52" s="392">
        <v>0.32</v>
      </c>
      <c r="E52" s="392">
        <v>-9.9999999999999995E-7</v>
      </c>
      <c r="F52" s="392">
        <v>-9.9999999999999995E-7</v>
      </c>
      <c r="G52" s="392"/>
      <c r="H52" s="110"/>
      <c r="I52" s="410">
        <v>0</v>
      </c>
      <c r="J52" s="410">
        <v>0</v>
      </c>
      <c r="K52" s="410">
        <v>0</v>
      </c>
      <c r="L52" s="410">
        <v>0</v>
      </c>
      <c r="M52" s="410">
        <v>0</v>
      </c>
      <c r="N52" s="410">
        <v>0</v>
      </c>
      <c r="O52" s="387"/>
      <c r="P52" s="393">
        <v>0</v>
      </c>
      <c r="Q52" s="393">
        <v>0</v>
      </c>
      <c r="R52" s="393">
        <v>0</v>
      </c>
      <c r="S52" s="393">
        <v>0</v>
      </c>
      <c r="T52" s="393">
        <v>0</v>
      </c>
      <c r="U52" s="393"/>
      <c r="V52" s="393">
        <v>0</v>
      </c>
      <c r="W52" s="393">
        <v>0</v>
      </c>
      <c r="X52" s="393">
        <v>0</v>
      </c>
      <c r="Y52" s="393">
        <v>0</v>
      </c>
      <c r="Z52" s="393">
        <v>0</v>
      </c>
      <c r="AA52" s="393"/>
      <c r="AB52" s="435"/>
      <c r="AC52" s="393">
        <v>-9.9999999999999995E-7</v>
      </c>
      <c r="AD52" s="411"/>
      <c r="AE52" s="435"/>
      <c r="AF52" s="388">
        <v>-9.9999999999999932E-7</v>
      </c>
      <c r="AG52" s="388">
        <v>-9.9999999999999995E-7</v>
      </c>
      <c r="AH52" s="388">
        <v>-9.9999999999999932E-7</v>
      </c>
      <c r="AI52" s="388">
        <v>-1.0000875363402884E-6</v>
      </c>
      <c r="AJ52" s="388">
        <v>-9.9999999999999995E-7</v>
      </c>
      <c r="AK52" s="388">
        <v>-1.0000875363402884E-6</v>
      </c>
      <c r="AL52" s="388">
        <v>-1.000000000000033E-6</v>
      </c>
      <c r="AM52" s="388">
        <v>-1.0000000000000019E-6</v>
      </c>
      <c r="AN52" s="388">
        <v>-1.0000875363402881E-6</v>
      </c>
      <c r="AO52" s="388">
        <v>-9.9999999999999974E-7</v>
      </c>
      <c r="AP52" s="388">
        <v>-9.9999999999999826E-7</v>
      </c>
      <c r="AQ52" s="388">
        <v>-9.9999999999999995E-7</v>
      </c>
      <c r="AR52" s="388">
        <v>-1.0000000000000004E-6</v>
      </c>
      <c r="AS52" s="388">
        <v>-1.0000000000000002E-6</v>
      </c>
      <c r="AT52" s="388">
        <v>-9.9999999999999995E-7</v>
      </c>
      <c r="AU52" s="388">
        <v>-1.0000000000000033E-6</v>
      </c>
      <c r="AV52" s="388">
        <v>-1.0000000000000004E-6</v>
      </c>
      <c r="AW52" s="388">
        <v>-9.9999999999999995E-7</v>
      </c>
      <c r="AX52" s="388">
        <v>-9.9999999999999953E-7</v>
      </c>
      <c r="AY52" s="388">
        <v>-9.9999999999999995E-7</v>
      </c>
      <c r="AZ52" s="388">
        <v>-9.9999999999999995E-7</v>
      </c>
      <c r="BA52" s="388">
        <v>-9.9999999999999995E-7</v>
      </c>
      <c r="BB52" s="388">
        <v>-9.9999999999999784E-7</v>
      </c>
      <c r="BC52" s="388">
        <v>-9.9999999999999995E-7</v>
      </c>
      <c r="BD52" s="388">
        <v>-9.9999999999999995E-7</v>
      </c>
      <c r="BE52" s="388">
        <v>-1.0000000000000006E-6</v>
      </c>
      <c r="BF52" s="388">
        <v>-1.0000000000000012E-6</v>
      </c>
      <c r="BG52" s="388">
        <v>-9.9999999999999995E-7</v>
      </c>
      <c r="BH52" s="388">
        <v>-9.9999999999999995E-7</v>
      </c>
      <c r="BI52" s="388">
        <v>-9.9999999999998725E-7</v>
      </c>
      <c r="BJ52" s="388">
        <v>-9.9999999999999995E-7</v>
      </c>
      <c r="BK52" s="388">
        <v>-1.0000000000000002E-6</v>
      </c>
      <c r="BL52" s="388">
        <v>-9.9999999999999974E-7</v>
      </c>
      <c r="BM52" s="388">
        <v>-9.9999999999999995E-7</v>
      </c>
      <c r="BN52" s="388">
        <v>-9.9999999999999995E-7</v>
      </c>
      <c r="BO52" s="388">
        <v>-9.9999999999999974E-7</v>
      </c>
      <c r="BP52" s="388">
        <v>-9.9999999999999995E-7</v>
      </c>
      <c r="BQ52" s="388">
        <v>-1.0000000000000203E-6</v>
      </c>
      <c r="BR52" s="388">
        <v>-9.9999999999999995E-7</v>
      </c>
      <c r="BS52" s="388">
        <v>-1.0000000000000004E-6</v>
      </c>
      <c r="BT52" s="388">
        <v>-9.9999999999999995E-7</v>
      </c>
      <c r="BU52" s="388">
        <v>-9.9999999999999995E-7</v>
      </c>
      <c r="BV52" s="388">
        <v>-9.9999999999999995E-7</v>
      </c>
      <c r="BW52" s="388">
        <v>-9.9999999999999995E-7</v>
      </c>
      <c r="BX52" s="388">
        <v>-9.9999999999999995E-7</v>
      </c>
      <c r="BY52" s="388">
        <v>-9.9999999999999995E-7</v>
      </c>
      <c r="BZ52" s="388">
        <v>-9.9999999999999678E-7</v>
      </c>
      <c r="CA52" s="388">
        <v>-1.0000000000000599E-6</v>
      </c>
      <c r="CB52" s="388">
        <v>-9.9999999999999424E-7</v>
      </c>
      <c r="CC52" s="388">
        <v>-9.9999999999999974E-7</v>
      </c>
      <c r="CD52" s="388">
        <v>-9.9999999999999911E-7</v>
      </c>
      <c r="CE52" s="388">
        <v>-9.9999999999999995E-7</v>
      </c>
      <c r="CF52" s="388">
        <v>-9.9999999999999995E-7</v>
      </c>
      <c r="CG52" s="388">
        <v>-1.0000000000095068E-6</v>
      </c>
      <c r="CH52" s="388">
        <v>-9.9999999999064575E-7</v>
      </c>
      <c r="CI52" s="388">
        <v>-1.0000000000005662E-6</v>
      </c>
      <c r="CJ52" s="388">
        <v>-9.9999999999999995E-7</v>
      </c>
      <c r="CK52" s="388">
        <v>-9.9999999998329244E-7</v>
      </c>
      <c r="CL52" s="388">
        <v>-1.0000000000000002E-6</v>
      </c>
      <c r="CM52" s="388">
        <v>-9.9999999999999995E-7</v>
      </c>
      <c r="CN52" s="388">
        <v>-9.9999999999999995E-7</v>
      </c>
      <c r="CO52" s="388">
        <v>-9.9999999999999995E-7</v>
      </c>
      <c r="CP52" s="388">
        <v>-9.9999999999999995E-7</v>
      </c>
      <c r="CQ52" s="388">
        <v>-9.9999999999992944E-7</v>
      </c>
      <c r="CR52" s="388">
        <v>-9.9999999999999995E-7</v>
      </c>
      <c r="CS52" s="388">
        <v>-9.9999999999999995E-7</v>
      </c>
      <c r="CT52" s="388">
        <v>-9.9999999999999974E-7</v>
      </c>
      <c r="CU52" s="388">
        <v>-9.9999999999999995E-7</v>
      </c>
      <c r="CV52" s="388">
        <v>-9.9999999999999995E-7</v>
      </c>
      <c r="CW52" s="388">
        <v>-9.9999999999999995E-7</v>
      </c>
      <c r="CX52" s="388">
        <v>-9.9999999999999995E-7</v>
      </c>
      <c r="CY52" s="388">
        <v>-9.9999999999999995E-7</v>
      </c>
      <c r="CZ52" s="388">
        <v>-1.0000000000000002E-6</v>
      </c>
      <c r="DA52" s="388">
        <v>-9.9999999999999995E-7</v>
      </c>
      <c r="DB52" s="388">
        <v>-9.9999999999694492E-7</v>
      </c>
      <c r="DC52" s="388">
        <v>-9.9999999999999868E-7</v>
      </c>
      <c r="DD52" s="388">
        <v>-9.9999999999595114E-7</v>
      </c>
      <c r="DE52" s="388">
        <v>-9.9999999999999995E-7</v>
      </c>
      <c r="DF52" s="388">
        <v>-9.9999999999999995E-7</v>
      </c>
      <c r="DG52" s="388">
        <v>-9.9999999999999424E-7</v>
      </c>
      <c r="DH52" s="388">
        <v>-1.0000000000061877E-6</v>
      </c>
      <c r="DI52" s="388">
        <v>-9.9999999999979667E-7</v>
      </c>
      <c r="DJ52" s="388">
        <v>-1.0000000000000194E-6</v>
      </c>
      <c r="DK52" s="388">
        <v>-9.9999999999999995E-7</v>
      </c>
      <c r="DL52" s="388">
        <v>-9.9999999998470953E-7</v>
      </c>
      <c r="DM52" s="388">
        <v>-1.0000000000000027E-6</v>
      </c>
      <c r="DN52" s="388">
        <v>-1.0000000000000006E-6</v>
      </c>
      <c r="DO52" s="388">
        <v>-9.9999999999994278E-7</v>
      </c>
      <c r="DP52" s="388">
        <v>-9.9999999999934139E-7</v>
      </c>
      <c r="DQ52" s="388">
        <v>-9.9999999999999868E-7</v>
      </c>
      <c r="DR52" s="388">
        <v>-1.0000000000341314E-6</v>
      </c>
      <c r="DS52" s="388">
        <v>-1.0000000000032653E-6</v>
      </c>
      <c r="DT52" s="388">
        <v>-9.9999999999926537E-7</v>
      </c>
      <c r="DU52" s="388">
        <v>-9.9999999999253399E-7</v>
      </c>
      <c r="DV52" s="388">
        <v>-9.9999999999998068E-7</v>
      </c>
      <c r="DW52" s="388">
        <v>-9.9999999999994998E-7</v>
      </c>
      <c r="DX52" s="388">
        <v>-9.9999999999993135E-7</v>
      </c>
      <c r="DY52" s="388">
        <v>-9.9999999999994765E-7</v>
      </c>
      <c r="DZ52" s="388">
        <v>-9.9999075345635803E-7</v>
      </c>
      <c r="EA52" s="388">
        <v>-9.9999075345635803E-7</v>
      </c>
      <c r="EB52" s="388"/>
      <c r="EC52" s="388"/>
      <c r="ED52" s="388">
        <v>3.3788205488213325E-4</v>
      </c>
      <c r="EE52" s="388">
        <v>9.9855888283430592E-3</v>
      </c>
      <c r="EF52" s="388">
        <v>1.7803347412605242E-2</v>
      </c>
      <c r="EG52" s="388">
        <v>8.5713088167574027E-3</v>
      </c>
      <c r="EH52" s="388">
        <v>1.4756329773620114E-2</v>
      </c>
      <c r="EI52" s="388">
        <v>8.8400820417400966E-3</v>
      </c>
      <c r="EJ52" s="388">
        <v>1.4969250790897927E-2</v>
      </c>
      <c r="EK52" s="388">
        <v>7.0962163105354418E-3</v>
      </c>
      <c r="EL52" s="388">
        <v>1.1262039270339946E-2</v>
      </c>
      <c r="EM52" s="388">
        <v>2.0519240700707056E-2</v>
      </c>
      <c r="EN52" s="388">
        <v>1.2412341249805475E-3</v>
      </c>
      <c r="EO52" s="388">
        <v>1.8396951596461816E-3</v>
      </c>
      <c r="EP52" s="388">
        <v>-1.8830288530100822E-3</v>
      </c>
      <c r="EQ52" s="388">
        <v>5.3365635283564028E-3</v>
      </c>
      <c r="ER52" s="388">
        <v>1.6490610513125367E-3</v>
      </c>
      <c r="ES52" s="388">
        <v>7.8615787741322211E-3</v>
      </c>
      <c r="ET52" s="388">
        <v>3.5739432672458695E-3</v>
      </c>
      <c r="EU52" s="388">
        <v>-4.0571932535440449E-3</v>
      </c>
      <c r="EV52" s="388">
        <v>-4.020779057830345E-3</v>
      </c>
      <c r="EW52" s="388">
        <v>-9.4628676800487706E-3</v>
      </c>
      <c r="EX52" s="388">
        <v>-4.2053342148846539E-4</v>
      </c>
      <c r="EY52" s="388">
        <v>-2.6598318694349642E-3</v>
      </c>
      <c r="EZ52" s="388">
        <v>-1.9414140843205653E-3</v>
      </c>
      <c r="FA52" s="388">
        <v>-1.6883685887454721E-3</v>
      </c>
      <c r="FB52" s="388">
        <v>-9.4669229243232386E-3</v>
      </c>
      <c r="FC52" s="388">
        <v>5.6226018148701267E-4</v>
      </c>
      <c r="FD52" s="388">
        <v>2.5624871455185404E-3</v>
      </c>
      <c r="FE52" s="388">
        <v>3.37845682284649E-4</v>
      </c>
      <c r="FF52" s="388">
        <v>7.2910648587901708E-3</v>
      </c>
      <c r="FG52" s="388">
        <v>1.3352510559453929E-2</v>
      </c>
      <c r="FH52" s="388">
        <v>6.8385540322895072E-3</v>
      </c>
      <c r="FI52" s="388">
        <v>1.8548854240895259E-2</v>
      </c>
      <c r="FJ52" s="388">
        <v>4.0025493302362353E-2</v>
      </c>
      <c r="FK52" s="388">
        <v>3.5742943724458694E-2</v>
      </c>
      <c r="FL52" s="388">
        <v>0.1024</v>
      </c>
      <c r="FM52" s="388">
        <v>-9.4025030430739728E-3</v>
      </c>
      <c r="FN52" s="388">
        <v>-7.3537395500430638E-3</v>
      </c>
      <c r="FO52" s="388">
        <v>-1.1039578453744753E-2</v>
      </c>
      <c r="FP52" s="388">
        <v>-1.1193408809823985E-3</v>
      </c>
      <c r="FQ52" s="388">
        <v>-1.7481423879371126E-3</v>
      </c>
      <c r="FR52" s="388">
        <v>1.8830288530100822E-3</v>
      </c>
      <c r="FS52" s="388">
        <v>-5.3328136316182755E-3</v>
      </c>
      <c r="FT52" s="388">
        <v>-1.712785121301215E-3</v>
      </c>
      <c r="FU52" s="388">
        <v>-7.4913237942126829E-3</v>
      </c>
      <c r="FV52" s="388">
        <v>-3.7417811160592282E-3</v>
      </c>
      <c r="FW52" s="388">
        <v>3.6680000168891479E-3</v>
      </c>
      <c r="FX52" s="388">
        <v>3.8281517584171421E-3</v>
      </c>
      <c r="FY52" s="388">
        <v>9.2811457402793649E-3</v>
      </c>
      <c r="FZ52" s="388">
        <v>4.3435445197564194E-4</v>
      </c>
      <c r="GA52" s="388">
        <v>-3.9453857740854522E-5</v>
      </c>
      <c r="GB52" s="388"/>
      <c r="GC52" s="388"/>
      <c r="GD52" s="388"/>
      <c r="GE52" s="388"/>
      <c r="GF52" s="388"/>
      <c r="GG52" s="388"/>
      <c r="GH52" s="388"/>
      <c r="GI52" s="388"/>
      <c r="GJ52" s="388"/>
      <c r="GK52" s="388"/>
      <c r="GL52" s="388"/>
      <c r="GM52" s="388"/>
      <c r="GN52" s="388"/>
      <c r="GO52" s="388"/>
      <c r="GP52" s="412"/>
      <c r="GQ52" s="412"/>
      <c r="GR52" s="412"/>
      <c r="GS52" s="412"/>
      <c r="GT52" s="412"/>
      <c r="GU52" s="412"/>
      <c r="GV52" s="412"/>
      <c r="GW52" s="412"/>
      <c r="GX52" s="412"/>
      <c r="GY52" s="412"/>
      <c r="GZ52" s="412"/>
      <c r="HA52" s="412"/>
      <c r="HB52" s="412"/>
      <c r="HC52" s="412"/>
      <c r="HD52" s="412"/>
      <c r="HE52" s="412"/>
      <c r="HF52" s="412"/>
      <c r="HG52" s="412"/>
      <c r="HH52" s="412"/>
      <c r="HI52" s="412"/>
      <c r="HJ52" s="412"/>
      <c r="HK52" s="412"/>
      <c r="HL52" s="412"/>
      <c r="HM52" s="412"/>
      <c r="HN52" s="412"/>
      <c r="HO52" s="412"/>
      <c r="HP52" s="412"/>
      <c r="HQ52" s="412"/>
      <c r="HR52" s="412"/>
      <c r="HS52" s="412"/>
      <c r="HT52" s="412"/>
      <c r="HU52" s="412"/>
      <c r="HV52" s="412"/>
      <c r="HW52" s="412"/>
      <c r="HX52" s="412"/>
      <c r="HY52" s="412"/>
      <c r="HZ52" s="412"/>
      <c r="IA52" s="412"/>
      <c r="IB52" s="412"/>
      <c r="IC52" s="412"/>
      <c r="ID52" s="412"/>
      <c r="IE52" s="412"/>
      <c r="IF52" s="412"/>
      <c r="IG52" s="412"/>
      <c r="IH52" s="412"/>
      <c r="II52" s="412"/>
      <c r="IJ52" s="412"/>
      <c r="IK52" s="412"/>
      <c r="IL52" s="412"/>
      <c r="IM52" s="412"/>
      <c r="IN52" s="412"/>
      <c r="IO52" s="412"/>
      <c r="IP52" s="412"/>
      <c r="IQ52" s="412"/>
      <c r="IR52" s="412"/>
      <c r="IS52" s="412"/>
      <c r="IT52" s="412"/>
      <c r="IU52" s="412"/>
      <c r="IV52" s="412"/>
      <c r="IW52" s="412"/>
      <c r="IX52" s="412"/>
      <c r="IY52" s="412"/>
      <c r="IZ52" s="412"/>
      <c r="JA52" s="412"/>
      <c r="JB52" s="412"/>
      <c r="JC52" s="412"/>
      <c r="JD52" s="412"/>
      <c r="JE52" s="412"/>
      <c r="JF52" s="412"/>
      <c r="JG52" s="412"/>
      <c r="JH52" s="412"/>
      <c r="JI52" s="412"/>
      <c r="JJ52" s="412"/>
      <c r="JK52" s="412"/>
      <c r="JL52" s="412"/>
      <c r="JM52" s="412"/>
      <c r="JN52" s="412"/>
      <c r="JO52" s="412"/>
      <c r="JP52" s="412"/>
      <c r="JQ52" s="412"/>
      <c r="JR52" s="412"/>
      <c r="JS52" s="412"/>
      <c r="JT52" s="412"/>
      <c r="JU52" s="412"/>
      <c r="JV52" s="412"/>
      <c r="JW52" s="412"/>
      <c r="JX52" s="412"/>
      <c r="JY52" s="412"/>
      <c r="JZ52" s="412"/>
      <c r="KA52" s="412"/>
      <c r="KB52" s="412"/>
      <c r="KC52" s="412"/>
      <c r="KD52" s="412"/>
      <c r="KE52" s="412"/>
      <c r="KF52" s="412"/>
      <c r="KG52" s="412"/>
      <c r="KH52" s="412"/>
      <c r="KI52" s="412"/>
      <c r="KJ52" s="412"/>
      <c r="KK52" s="412"/>
      <c r="KL52" s="412"/>
      <c r="KM52" s="412"/>
      <c r="KN52" s="412"/>
      <c r="KO52" s="412"/>
      <c r="KP52" s="412"/>
      <c r="KQ52" s="412"/>
      <c r="KR52" s="412"/>
      <c r="KS52" s="412"/>
      <c r="KT52" s="412"/>
      <c r="KU52" s="412"/>
      <c r="KV52" s="412"/>
      <c r="KW52" s="412"/>
      <c r="KX52" s="412"/>
      <c r="KY52" s="412"/>
      <c r="KZ52" s="412"/>
      <c r="LA52" s="412"/>
      <c r="LB52" s="412"/>
      <c r="LC52" s="412"/>
      <c r="LD52" s="412"/>
      <c r="LE52" s="412"/>
      <c r="LF52" s="412"/>
      <c r="LG52" s="412"/>
      <c r="LH52" s="412"/>
      <c r="LI52" s="412"/>
      <c r="LJ52" s="412"/>
      <c r="LK52" s="412"/>
      <c r="LL52" s="412"/>
      <c r="LM52" s="412"/>
      <c r="LN52" s="412"/>
      <c r="LO52" s="412"/>
      <c r="LP52" s="412"/>
      <c r="LQ52" s="412"/>
      <c r="LR52" s="412"/>
      <c r="LS52" s="412"/>
      <c r="LT52" s="412"/>
      <c r="LU52" s="412"/>
      <c r="LV52" s="412"/>
      <c r="LW52" s="412"/>
      <c r="LX52" s="412"/>
      <c r="LY52" s="412"/>
      <c r="LZ52" s="412"/>
      <c r="MA52" s="412"/>
      <c r="MB52" s="412"/>
      <c r="MC52" s="412"/>
      <c r="MD52" s="412"/>
      <c r="ME52" s="412"/>
      <c r="MF52" s="412"/>
      <c r="MG52" s="412"/>
      <c r="MH52" s="412"/>
      <c r="MI52" s="412"/>
      <c r="MJ52" s="412"/>
      <c r="MK52" s="412"/>
      <c r="ML52" s="412"/>
      <c r="MM52" s="412"/>
      <c r="MN52" s="412"/>
      <c r="MO52" s="412"/>
      <c r="MP52" s="412"/>
      <c r="MQ52" s="412"/>
      <c r="MR52" s="412"/>
      <c r="MS52" s="412"/>
      <c r="MT52" s="412"/>
      <c r="MU52" s="412"/>
      <c r="MV52" s="412"/>
      <c r="MW52" s="412"/>
      <c r="MX52" s="412"/>
      <c r="MY52" s="412"/>
      <c r="MZ52" s="412"/>
      <c r="NA52" s="412"/>
      <c r="NB52" s="412"/>
      <c r="NC52" s="412"/>
      <c r="ND52" s="412"/>
      <c r="NE52" s="412"/>
      <c r="NF52" s="412"/>
      <c r="NG52" s="412"/>
      <c r="NH52" s="412"/>
      <c r="NI52" s="412"/>
      <c r="NJ52" s="412"/>
      <c r="NK52" s="412"/>
      <c r="NL52" s="412"/>
      <c r="NM52" s="412"/>
      <c r="NN52" s="412"/>
      <c r="NO52" s="412"/>
      <c r="NP52" s="412"/>
      <c r="NQ52" s="412"/>
      <c r="NR52" s="412"/>
      <c r="NS52" s="412"/>
      <c r="NT52" s="412"/>
      <c r="NU52" s="412"/>
      <c r="NV52" s="412"/>
      <c r="NW52" s="412"/>
      <c r="NX52" s="412"/>
      <c r="NY52" s="412"/>
      <c r="NZ52" s="412"/>
      <c r="OA52" s="412"/>
      <c r="OB52" s="412"/>
      <c r="OC52" s="412"/>
      <c r="OD52" s="412"/>
      <c r="OE52" s="412"/>
      <c r="OF52" s="412"/>
      <c r="OG52" s="412"/>
      <c r="OH52" s="412"/>
      <c r="OI52" s="412"/>
      <c r="OJ52" s="412"/>
      <c r="OK52" s="412"/>
      <c r="OL52" s="412"/>
      <c r="OM52" s="412"/>
      <c r="ON52" s="412"/>
      <c r="OO52" s="412"/>
      <c r="OP52" s="412"/>
      <c r="OQ52" s="412"/>
      <c r="OR52" s="412"/>
      <c r="OS52" s="412"/>
      <c r="OT52" s="412"/>
      <c r="OU52" s="412"/>
      <c r="OV52" s="412"/>
      <c r="OW52" s="412"/>
      <c r="OX52" s="412"/>
      <c r="OY52" s="412"/>
      <c r="OZ52" s="412"/>
      <c r="PA52" s="412"/>
      <c r="PB52" s="412"/>
      <c r="PC52" s="412"/>
      <c r="PD52" s="412"/>
      <c r="PE52" s="412"/>
      <c r="PF52" s="412"/>
      <c r="PG52" s="412"/>
      <c r="PH52" s="412"/>
      <c r="PI52" s="412"/>
      <c r="PJ52" s="412"/>
      <c r="PK52" s="412"/>
      <c r="PL52" s="412"/>
      <c r="PM52" s="412"/>
      <c r="PN52" s="412"/>
      <c r="PO52" s="412"/>
      <c r="PP52" s="412"/>
      <c r="PQ52" s="412"/>
      <c r="PR52" s="412"/>
      <c r="PS52" s="412"/>
      <c r="PT52" s="412"/>
      <c r="PU52" s="412"/>
      <c r="PV52" s="412"/>
      <c r="PW52" s="412"/>
      <c r="PX52" s="412"/>
      <c r="PY52" s="412"/>
      <c r="PZ52" s="412"/>
      <c r="QA52" s="412"/>
      <c r="QB52" s="412"/>
      <c r="QC52" s="412"/>
      <c r="QD52" s="412"/>
      <c r="QE52" s="412"/>
      <c r="QF52" s="412"/>
      <c r="QG52" s="412"/>
      <c r="QH52" s="412"/>
      <c r="QI52" s="412"/>
      <c r="QJ52" s="412"/>
      <c r="QK52" s="412"/>
      <c r="QL52" s="412"/>
      <c r="QM52" s="412"/>
      <c r="QN52" s="412"/>
      <c r="QO52" s="412"/>
      <c r="QP52" s="412"/>
      <c r="QQ52" s="412"/>
      <c r="QR52" s="412"/>
      <c r="QS52" s="412"/>
      <c r="QT52" s="412"/>
      <c r="QU52" s="412"/>
      <c r="QV52" s="412"/>
      <c r="QW52" s="412"/>
      <c r="QX52" s="412"/>
      <c r="QY52" s="412"/>
      <c r="QZ52" s="412"/>
      <c r="RA52" s="412"/>
      <c r="RB52" s="412"/>
      <c r="RC52" s="412"/>
      <c r="RD52" s="412"/>
      <c r="RE52" s="412"/>
      <c r="RF52" s="412"/>
      <c r="RG52" s="412"/>
      <c r="RH52" s="412"/>
      <c r="RI52" s="412"/>
      <c r="RJ52" s="412"/>
      <c r="RK52" s="412"/>
      <c r="RL52" s="412"/>
      <c r="RM52" s="412"/>
      <c r="RN52" s="412"/>
      <c r="RO52" s="412"/>
      <c r="RP52" s="412"/>
      <c r="RQ52" s="412"/>
      <c r="RR52" s="412"/>
      <c r="RS52" s="412"/>
      <c r="RT52" s="412"/>
      <c r="RU52" s="412"/>
      <c r="RV52" s="412"/>
      <c r="RW52" s="412"/>
      <c r="RX52" s="412"/>
      <c r="RY52" s="412"/>
      <c r="RZ52" s="412"/>
      <c r="SA52" s="412"/>
      <c r="SB52" s="412"/>
      <c r="SC52" s="412"/>
      <c r="SD52" s="412"/>
      <c r="SE52" s="412"/>
      <c r="SF52" s="412"/>
      <c r="SG52" s="412"/>
    </row>
    <row r="53" spans="1:501" x14ac:dyDescent="0.2">
      <c r="A53" s="391" t="s">
        <v>37</v>
      </c>
      <c r="B53" s="110"/>
      <c r="C53" s="392">
        <v>0.06</v>
      </c>
      <c r="D53" s="392">
        <v>6.3E-2</v>
      </c>
      <c r="E53" s="392">
        <v>-9.9999999999999995E-7</v>
      </c>
      <c r="F53" s="392">
        <v>-9.9999999999999995E-7</v>
      </c>
      <c r="G53" s="392"/>
      <c r="H53" s="110"/>
      <c r="I53" s="410">
        <v>0</v>
      </c>
      <c r="J53" s="410">
        <v>0</v>
      </c>
      <c r="K53" s="410">
        <v>0</v>
      </c>
      <c r="L53" s="410">
        <v>0</v>
      </c>
      <c r="M53" s="410">
        <v>0</v>
      </c>
      <c r="N53" s="410">
        <v>0</v>
      </c>
      <c r="O53" s="387"/>
      <c r="P53" s="393">
        <v>0</v>
      </c>
      <c r="Q53" s="393">
        <v>0</v>
      </c>
      <c r="R53" s="393">
        <v>0</v>
      </c>
      <c r="S53" s="393">
        <v>0</v>
      </c>
      <c r="T53" s="393">
        <v>0</v>
      </c>
      <c r="U53" s="393"/>
      <c r="V53" s="393">
        <v>0</v>
      </c>
      <c r="W53" s="393">
        <v>0</v>
      </c>
      <c r="X53" s="393">
        <v>0</v>
      </c>
      <c r="Y53" s="393">
        <v>0</v>
      </c>
      <c r="Z53" s="393">
        <v>0</v>
      </c>
      <c r="AA53" s="393"/>
      <c r="AB53" s="435"/>
      <c r="AC53" s="393">
        <v>-9.9999999999999995E-7</v>
      </c>
      <c r="AD53" s="411"/>
      <c r="AE53" s="435"/>
      <c r="AF53" s="388">
        <v>-9.9999999999999932E-7</v>
      </c>
      <c r="AG53" s="388">
        <v>-9.9999999999999911E-7</v>
      </c>
      <c r="AH53" s="388">
        <v>-9.9999999999999995E-7</v>
      </c>
      <c r="AI53" s="388">
        <v>-9.9999999999999995E-7</v>
      </c>
      <c r="AJ53" s="388">
        <v>-1.0000000000000042E-6</v>
      </c>
      <c r="AK53" s="388">
        <v>-1.0000000000000002E-6</v>
      </c>
      <c r="AL53" s="388">
        <v>-9.9999999999998407E-7</v>
      </c>
      <c r="AM53" s="388">
        <v>-9.9999999999999699E-7</v>
      </c>
      <c r="AN53" s="388">
        <v>-9.9999999999999974E-7</v>
      </c>
      <c r="AO53" s="388">
        <v>-1.0000000000000002E-6</v>
      </c>
      <c r="AP53" s="388">
        <v>-9.9999999999997327E-7</v>
      </c>
      <c r="AQ53" s="388">
        <v>-9.9999999999999995E-7</v>
      </c>
      <c r="AR53" s="388">
        <v>-9.9999999999999995E-7</v>
      </c>
      <c r="AS53" s="388">
        <v>-1.0000000000000002E-6</v>
      </c>
      <c r="AT53" s="388">
        <v>-9.9999999999999995E-7</v>
      </c>
      <c r="AU53" s="388">
        <v>-9.9999999999998556E-7</v>
      </c>
      <c r="AV53" s="388">
        <v>-9.9999999999999995E-7</v>
      </c>
      <c r="AW53" s="388">
        <v>-9.9999999999999995E-7</v>
      </c>
      <c r="AX53" s="388">
        <v>-9.9999999999999868E-7</v>
      </c>
      <c r="AY53" s="388">
        <v>-9.9999999999999974E-7</v>
      </c>
      <c r="AZ53" s="388">
        <v>-9.9999999999999805E-7</v>
      </c>
      <c r="BA53" s="388">
        <v>-9.9999999999999953E-7</v>
      </c>
      <c r="BB53" s="388">
        <v>-1.0000000000000021E-6</v>
      </c>
      <c r="BC53" s="388">
        <v>-1.0000000000000002E-6</v>
      </c>
      <c r="BD53" s="388">
        <v>-9.9999999999999995E-7</v>
      </c>
      <c r="BE53" s="388">
        <v>-1.0000000000000184E-6</v>
      </c>
      <c r="BF53" s="388">
        <v>-9.9999999999999911E-7</v>
      </c>
      <c r="BG53" s="388">
        <v>-1.000000000000001E-6</v>
      </c>
      <c r="BH53" s="388">
        <v>-9.9999999999999974E-7</v>
      </c>
      <c r="BI53" s="388">
        <v>-1.0000000000000213E-6</v>
      </c>
      <c r="BJ53" s="388">
        <v>-9.9999999999999995E-7</v>
      </c>
      <c r="BK53" s="388">
        <v>-1.0000000000000019E-6</v>
      </c>
      <c r="BL53" s="388">
        <v>-9.9999999999999995E-7</v>
      </c>
      <c r="BM53" s="388">
        <v>-1.0000000000000002E-6</v>
      </c>
      <c r="BN53" s="388">
        <v>-9.9999999999999953E-7</v>
      </c>
      <c r="BO53" s="388">
        <v>-1.0000000000000002E-6</v>
      </c>
      <c r="BP53" s="388">
        <v>-9.9999999999999318E-7</v>
      </c>
      <c r="BQ53" s="388">
        <v>-1.0000000000000067E-6</v>
      </c>
      <c r="BR53" s="388">
        <v>-9.9999999999999995E-7</v>
      </c>
      <c r="BS53" s="388">
        <v>-1.0000000000000002E-6</v>
      </c>
      <c r="BT53" s="388">
        <v>-9.9999999999999995E-7</v>
      </c>
      <c r="BU53" s="388">
        <v>-9.9999999999999974E-7</v>
      </c>
      <c r="BV53" s="388">
        <v>-9.9999999999999974E-7</v>
      </c>
      <c r="BW53" s="388">
        <v>-1.0000000000000002E-6</v>
      </c>
      <c r="BX53" s="388">
        <v>-9.9999999999999995E-7</v>
      </c>
      <c r="BY53" s="388">
        <v>-9.9999999999999995E-7</v>
      </c>
      <c r="BZ53" s="388">
        <v>-1.0000000000000268E-6</v>
      </c>
      <c r="CA53" s="388">
        <v>-1.0000000000000607E-6</v>
      </c>
      <c r="CB53" s="388">
        <v>-9.9999999999999995E-7</v>
      </c>
      <c r="CC53" s="388">
        <v>-9.9999999999999995E-7</v>
      </c>
      <c r="CD53" s="388">
        <v>-9.9999999999999953E-7</v>
      </c>
      <c r="CE53" s="388">
        <v>-9.9999999999999995E-7</v>
      </c>
      <c r="CF53" s="388">
        <v>-9.9999999999999995E-7</v>
      </c>
      <c r="CG53" s="388">
        <v>-9.9999999995656326E-7</v>
      </c>
      <c r="CH53" s="388">
        <v>-9.9999999999046152E-7</v>
      </c>
      <c r="CI53" s="388">
        <v>-9.9999999998914036E-7</v>
      </c>
      <c r="CJ53" s="388">
        <v>-9.9999999999999995E-7</v>
      </c>
      <c r="CK53" s="388">
        <v>-9.9999999998503161E-7</v>
      </c>
      <c r="CL53" s="388">
        <v>-1.0000000000000004E-6</v>
      </c>
      <c r="CM53" s="388">
        <v>-9.9999999999999995E-7</v>
      </c>
      <c r="CN53" s="388">
        <v>-9.9999999999999995E-7</v>
      </c>
      <c r="CO53" s="388">
        <v>-9.9999999999999995E-7</v>
      </c>
      <c r="CP53" s="388">
        <v>-9.9999999999999995E-7</v>
      </c>
      <c r="CQ53" s="388">
        <v>-1.0000000000000281E-6</v>
      </c>
      <c r="CR53" s="388">
        <v>-9.9999999999999995E-7</v>
      </c>
      <c r="CS53" s="388">
        <v>-1.0000000000000002E-6</v>
      </c>
      <c r="CT53" s="388">
        <v>-9.9999999999999932E-7</v>
      </c>
      <c r="CU53" s="388">
        <v>-9.9999999999999974E-7</v>
      </c>
      <c r="CV53" s="388">
        <v>-9.9999999999999995E-7</v>
      </c>
      <c r="CW53" s="388">
        <v>-1.0000000000000006E-6</v>
      </c>
      <c r="CX53" s="388">
        <v>-9.9999999999999974E-7</v>
      </c>
      <c r="CY53" s="388">
        <v>-9.9999999999999995E-7</v>
      </c>
      <c r="CZ53" s="388">
        <v>-1.0000000000000006E-6</v>
      </c>
      <c r="DA53" s="388">
        <v>-9.9999999999999995E-7</v>
      </c>
      <c r="DB53" s="388">
        <v>-1.0000000000023185E-6</v>
      </c>
      <c r="DC53" s="388">
        <v>-9.9999999999999953E-7</v>
      </c>
      <c r="DD53" s="388">
        <v>-1.0000000000027494E-6</v>
      </c>
      <c r="DE53" s="388">
        <v>-9.9999999999999995E-7</v>
      </c>
      <c r="DF53" s="388">
        <v>-9.9999999999999995E-7</v>
      </c>
      <c r="DG53" s="388">
        <v>-1.0000000000000006E-6</v>
      </c>
      <c r="DH53" s="388">
        <v>-9.9999999999123698E-7</v>
      </c>
      <c r="DI53" s="388">
        <v>-9.9999999999963488E-7</v>
      </c>
      <c r="DJ53" s="388">
        <v>-1.0000000000000205E-6</v>
      </c>
      <c r="DK53" s="388">
        <v>-9.9999999999999995E-7</v>
      </c>
      <c r="DL53" s="388">
        <v>-1.0000000000171831E-6</v>
      </c>
      <c r="DM53" s="388">
        <v>-9.9999999999999021E-7</v>
      </c>
      <c r="DN53" s="388">
        <v>-1.0000000000000002E-6</v>
      </c>
      <c r="DO53" s="388">
        <v>-9.9999999999998852E-7</v>
      </c>
      <c r="DP53" s="388">
        <v>-9.9999999999964081E-7</v>
      </c>
      <c r="DQ53" s="388">
        <v>-9.9999999999999868E-7</v>
      </c>
      <c r="DR53" s="388">
        <v>-9.9999999996928188E-7</v>
      </c>
      <c r="DS53" s="388">
        <v>-1.0000000000041868E-6</v>
      </c>
      <c r="DT53" s="388">
        <v>-9.9999999999603012E-7</v>
      </c>
      <c r="DU53" s="388">
        <v>-9.9999999999612859E-7</v>
      </c>
      <c r="DV53" s="388">
        <v>-1.0000000000000097E-6</v>
      </c>
      <c r="DW53" s="388">
        <v>-9.9999999999999995E-7</v>
      </c>
      <c r="DX53" s="388">
        <v>-9.9999999999999995E-7</v>
      </c>
      <c r="DY53" s="388">
        <v>-1.0000000000000347E-6</v>
      </c>
      <c r="DZ53" s="388">
        <v>-9.9998987339135671E-7</v>
      </c>
      <c r="EA53" s="388">
        <v>-9.9998987339135671E-7</v>
      </c>
      <c r="EB53" s="388"/>
      <c r="EC53" s="388"/>
      <c r="ED53" s="388">
        <v>-1.7224441174737689E-4</v>
      </c>
      <c r="EE53" s="388">
        <v>-3.470074697243199E-3</v>
      </c>
      <c r="EF53" s="388">
        <v>-4.9323127877654192E-3</v>
      </c>
      <c r="EG53" s="388">
        <v>-3.6279781325455535E-3</v>
      </c>
      <c r="EH53" s="388">
        <v>-5.675846373763776E-3</v>
      </c>
      <c r="EI53" s="388">
        <v>-2.7075351998936156E-3</v>
      </c>
      <c r="EJ53" s="388">
        <v>-4.5777496842190936E-3</v>
      </c>
      <c r="EK53" s="388">
        <v>-2.6140338854181017E-3</v>
      </c>
      <c r="EL53" s="388">
        <v>-4.2107313046233046E-3</v>
      </c>
      <c r="EM53" s="388">
        <v>-2.5024838234511079E-3</v>
      </c>
      <c r="EN53" s="388">
        <v>-1.5147353105140701E-3</v>
      </c>
      <c r="EO53" s="388">
        <v>-1.9740800306922942E-3</v>
      </c>
      <c r="EP53" s="388">
        <v>-2.5405685724129118E-3</v>
      </c>
      <c r="EQ53" s="388">
        <v>-1.4225804677626371E-3</v>
      </c>
      <c r="ER53" s="388">
        <v>-2.6407347231300862E-3</v>
      </c>
      <c r="ES53" s="388">
        <v>-3.1198287832334519E-3</v>
      </c>
      <c r="ET53" s="388">
        <v>-3.4700710553641151E-3</v>
      </c>
      <c r="EU53" s="388">
        <v>-1.3040840418928061E-3</v>
      </c>
      <c r="EV53" s="388">
        <v>-1.4858568094642671E-3</v>
      </c>
      <c r="EW53" s="388">
        <v>1.0856698555297998E-4</v>
      </c>
      <c r="EX53" s="388">
        <v>-5.5067018283375807E-4</v>
      </c>
      <c r="EY53" s="388">
        <v>8.6244805327899117E-4</v>
      </c>
      <c r="EZ53" s="388">
        <v>1.8571369571078559E-4</v>
      </c>
      <c r="FA53" s="388">
        <v>-2.1284734435271868E-3</v>
      </c>
      <c r="FB53" s="388">
        <v>-2.1901740533560496E-3</v>
      </c>
      <c r="FC53" s="388">
        <v>-8.6688129575045387E-4</v>
      </c>
      <c r="FD53" s="388">
        <v>5.0389356859847955E-4</v>
      </c>
      <c r="FE53" s="388">
        <v>-1.7224408452404119E-4</v>
      </c>
      <c r="FF53" s="388">
        <v>-2.5337053344950343E-3</v>
      </c>
      <c r="FG53" s="388">
        <v>-3.6992345908240633E-3</v>
      </c>
      <c r="FH53" s="388">
        <v>-2.0945083621818532E-3</v>
      </c>
      <c r="FI53" s="388">
        <v>-5.6724289565323544E-3</v>
      </c>
      <c r="FJ53" s="388">
        <v>-1.0839250158270206E-2</v>
      </c>
      <c r="FK53" s="388">
        <v>-9.7860206552636553E-3</v>
      </c>
      <c r="FL53" s="388">
        <v>-9.4025030430739728E-3</v>
      </c>
      <c r="FM53" s="388">
        <v>3.9690000000000012E-3</v>
      </c>
      <c r="FN53" s="388">
        <v>2.7057007460799067E-3</v>
      </c>
      <c r="FO53" s="388">
        <v>1.7907147799455778E-3</v>
      </c>
      <c r="FP53" s="388">
        <v>2.3960528534334217E-3</v>
      </c>
      <c r="FQ53" s="388">
        <v>2.8412209683130324E-3</v>
      </c>
      <c r="FR53" s="388">
        <v>2.5405685724129118E-3</v>
      </c>
      <c r="FS53" s="388">
        <v>2.0533614525499802E-3</v>
      </c>
      <c r="FT53" s="388">
        <v>3.1455443702729817E-3</v>
      </c>
      <c r="FU53" s="388">
        <v>3.6184872308585906E-3</v>
      </c>
      <c r="FV53" s="388">
        <v>4.0742072448981675E-3</v>
      </c>
      <c r="FW53" s="388">
        <v>1.82933347359666E-3</v>
      </c>
      <c r="FX53" s="388">
        <v>2.03285765903742E-3</v>
      </c>
      <c r="FY53" s="388">
        <v>5.6192823263510124E-4</v>
      </c>
      <c r="FZ53" s="388">
        <v>1.2592301772632395E-3</v>
      </c>
      <c r="GA53" s="388">
        <v>-5.3702870981046985E-5</v>
      </c>
      <c r="GB53" s="388"/>
      <c r="GC53" s="388"/>
      <c r="GD53" s="388"/>
      <c r="GE53" s="388"/>
      <c r="GF53" s="388"/>
      <c r="GG53" s="388"/>
      <c r="GH53" s="388"/>
      <c r="GI53" s="388"/>
      <c r="GJ53" s="388"/>
      <c r="GK53" s="388"/>
      <c r="GL53" s="388"/>
      <c r="GM53" s="388"/>
      <c r="GN53" s="388"/>
      <c r="GO53" s="388"/>
      <c r="GP53" s="412"/>
      <c r="GQ53" s="412"/>
      <c r="GR53" s="412"/>
      <c r="GS53" s="412"/>
      <c r="GT53" s="412"/>
      <c r="GU53" s="412"/>
      <c r="GV53" s="412"/>
      <c r="GW53" s="412"/>
      <c r="GX53" s="412"/>
      <c r="GY53" s="412"/>
      <c r="GZ53" s="412"/>
      <c r="HA53" s="412"/>
      <c r="HB53" s="412"/>
      <c r="HC53" s="412"/>
      <c r="HD53" s="412"/>
      <c r="HE53" s="412"/>
      <c r="HF53" s="412"/>
      <c r="HG53" s="412"/>
      <c r="HH53" s="412"/>
      <c r="HI53" s="412"/>
      <c r="HJ53" s="412"/>
      <c r="HK53" s="412"/>
      <c r="HL53" s="412"/>
      <c r="HM53" s="412"/>
      <c r="HN53" s="412"/>
      <c r="HO53" s="412"/>
      <c r="HP53" s="412"/>
      <c r="HQ53" s="412"/>
      <c r="HR53" s="412"/>
      <c r="HS53" s="412"/>
      <c r="HT53" s="412"/>
      <c r="HU53" s="412"/>
      <c r="HV53" s="412"/>
      <c r="HW53" s="412"/>
      <c r="HX53" s="412"/>
      <c r="HY53" s="412"/>
      <c r="HZ53" s="412"/>
      <c r="IA53" s="412"/>
      <c r="IB53" s="412"/>
      <c r="IC53" s="412"/>
      <c r="ID53" s="412"/>
      <c r="IE53" s="412"/>
      <c r="IF53" s="412"/>
      <c r="IG53" s="412"/>
      <c r="IH53" s="412"/>
      <c r="II53" s="412"/>
      <c r="IJ53" s="412"/>
      <c r="IK53" s="412"/>
      <c r="IL53" s="412"/>
      <c r="IM53" s="412"/>
      <c r="IN53" s="412"/>
      <c r="IO53" s="412"/>
      <c r="IP53" s="412"/>
      <c r="IQ53" s="412"/>
      <c r="IR53" s="412"/>
      <c r="IS53" s="412"/>
      <c r="IT53" s="412"/>
      <c r="IU53" s="412"/>
      <c r="IV53" s="412"/>
      <c r="IW53" s="412"/>
      <c r="IX53" s="412"/>
      <c r="IY53" s="412"/>
      <c r="IZ53" s="412"/>
      <c r="JA53" s="412"/>
      <c r="JB53" s="412"/>
      <c r="JC53" s="412"/>
      <c r="JD53" s="412"/>
      <c r="JE53" s="412"/>
      <c r="JF53" s="412"/>
      <c r="JG53" s="412"/>
      <c r="JH53" s="412"/>
      <c r="JI53" s="412"/>
      <c r="JJ53" s="412"/>
      <c r="JK53" s="412"/>
      <c r="JL53" s="412"/>
      <c r="JM53" s="412"/>
      <c r="JN53" s="412"/>
      <c r="JO53" s="412"/>
      <c r="JP53" s="412"/>
      <c r="JQ53" s="412"/>
      <c r="JR53" s="412"/>
      <c r="JS53" s="412"/>
      <c r="JT53" s="412"/>
      <c r="JU53" s="412"/>
      <c r="JV53" s="412"/>
      <c r="JW53" s="412"/>
      <c r="JX53" s="412"/>
      <c r="JY53" s="412"/>
      <c r="JZ53" s="412"/>
      <c r="KA53" s="412"/>
      <c r="KB53" s="412"/>
      <c r="KC53" s="412"/>
      <c r="KD53" s="412"/>
      <c r="KE53" s="412"/>
      <c r="KF53" s="412"/>
      <c r="KG53" s="412"/>
      <c r="KH53" s="412"/>
      <c r="KI53" s="412"/>
      <c r="KJ53" s="412"/>
      <c r="KK53" s="412"/>
      <c r="KL53" s="412"/>
      <c r="KM53" s="412"/>
      <c r="KN53" s="412"/>
      <c r="KO53" s="412"/>
      <c r="KP53" s="412"/>
      <c r="KQ53" s="412"/>
      <c r="KR53" s="412"/>
      <c r="KS53" s="412"/>
      <c r="KT53" s="412"/>
      <c r="KU53" s="412"/>
      <c r="KV53" s="412"/>
      <c r="KW53" s="412"/>
      <c r="KX53" s="412"/>
      <c r="KY53" s="412"/>
      <c r="KZ53" s="412"/>
      <c r="LA53" s="412"/>
      <c r="LB53" s="412"/>
      <c r="LC53" s="412"/>
      <c r="LD53" s="412"/>
      <c r="LE53" s="412"/>
      <c r="LF53" s="412"/>
      <c r="LG53" s="412"/>
      <c r="LH53" s="412"/>
      <c r="LI53" s="412"/>
      <c r="LJ53" s="412"/>
      <c r="LK53" s="412"/>
      <c r="LL53" s="412"/>
      <c r="LM53" s="412"/>
      <c r="LN53" s="412"/>
      <c r="LO53" s="412"/>
      <c r="LP53" s="412"/>
      <c r="LQ53" s="412"/>
      <c r="LR53" s="412"/>
      <c r="LS53" s="412"/>
      <c r="LT53" s="412"/>
      <c r="LU53" s="412"/>
      <c r="LV53" s="412"/>
      <c r="LW53" s="412"/>
      <c r="LX53" s="412"/>
      <c r="LY53" s="412"/>
      <c r="LZ53" s="412"/>
      <c r="MA53" s="412"/>
      <c r="MB53" s="412"/>
      <c r="MC53" s="412"/>
      <c r="MD53" s="412"/>
      <c r="ME53" s="412"/>
      <c r="MF53" s="412"/>
      <c r="MG53" s="412"/>
      <c r="MH53" s="412"/>
      <c r="MI53" s="412"/>
      <c r="MJ53" s="412"/>
      <c r="MK53" s="412"/>
      <c r="ML53" s="412"/>
      <c r="MM53" s="412"/>
      <c r="MN53" s="412"/>
      <c r="MO53" s="412"/>
      <c r="MP53" s="412"/>
      <c r="MQ53" s="412"/>
      <c r="MR53" s="412"/>
      <c r="MS53" s="412"/>
      <c r="MT53" s="412"/>
      <c r="MU53" s="412"/>
      <c r="MV53" s="412"/>
      <c r="MW53" s="412"/>
      <c r="MX53" s="412"/>
      <c r="MY53" s="412"/>
      <c r="MZ53" s="412"/>
      <c r="NA53" s="412"/>
      <c r="NB53" s="412"/>
      <c r="NC53" s="412"/>
      <c r="ND53" s="412"/>
      <c r="NE53" s="412"/>
      <c r="NF53" s="412"/>
      <c r="NG53" s="412"/>
      <c r="NH53" s="412"/>
      <c r="NI53" s="412"/>
      <c r="NJ53" s="412"/>
      <c r="NK53" s="412"/>
      <c r="NL53" s="412"/>
      <c r="NM53" s="412"/>
      <c r="NN53" s="412"/>
      <c r="NO53" s="412"/>
      <c r="NP53" s="412"/>
      <c r="NQ53" s="412"/>
      <c r="NR53" s="412"/>
      <c r="NS53" s="412"/>
      <c r="NT53" s="412"/>
      <c r="NU53" s="412"/>
      <c r="NV53" s="412"/>
      <c r="NW53" s="412"/>
      <c r="NX53" s="412"/>
      <c r="NY53" s="412"/>
      <c r="NZ53" s="412"/>
      <c r="OA53" s="412"/>
      <c r="OB53" s="412"/>
      <c r="OC53" s="412"/>
      <c r="OD53" s="412"/>
      <c r="OE53" s="412"/>
      <c r="OF53" s="412"/>
      <c r="OG53" s="412"/>
      <c r="OH53" s="412"/>
      <c r="OI53" s="412"/>
      <c r="OJ53" s="412"/>
      <c r="OK53" s="412"/>
      <c r="OL53" s="412"/>
      <c r="OM53" s="412"/>
      <c r="ON53" s="412"/>
      <c r="OO53" s="412"/>
      <c r="OP53" s="412"/>
      <c r="OQ53" s="412"/>
      <c r="OR53" s="412"/>
      <c r="OS53" s="412"/>
      <c r="OT53" s="412"/>
      <c r="OU53" s="412"/>
      <c r="OV53" s="412"/>
      <c r="OW53" s="412"/>
      <c r="OX53" s="412"/>
      <c r="OY53" s="412"/>
      <c r="OZ53" s="412"/>
      <c r="PA53" s="412"/>
      <c r="PB53" s="412"/>
      <c r="PC53" s="412"/>
      <c r="PD53" s="412"/>
      <c r="PE53" s="412"/>
      <c r="PF53" s="412"/>
      <c r="PG53" s="412"/>
      <c r="PH53" s="412"/>
      <c r="PI53" s="412"/>
      <c r="PJ53" s="412"/>
      <c r="PK53" s="412"/>
      <c r="PL53" s="412"/>
      <c r="PM53" s="412"/>
      <c r="PN53" s="412"/>
      <c r="PO53" s="412"/>
      <c r="PP53" s="412"/>
      <c r="PQ53" s="412"/>
      <c r="PR53" s="412"/>
      <c r="PS53" s="412"/>
      <c r="PT53" s="412"/>
      <c r="PU53" s="412"/>
      <c r="PV53" s="412"/>
      <c r="PW53" s="412"/>
      <c r="PX53" s="412"/>
      <c r="PY53" s="412"/>
      <c r="PZ53" s="412"/>
      <c r="QA53" s="412"/>
      <c r="QB53" s="412"/>
      <c r="QC53" s="412"/>
      <c r="QD53" s="412"/>
      <c r="QE53" s="412"/>
      <c r="QF53" s="412"/>
      <c r="QG53" s="412"/>
      <c r="QH53" s="412"/>
      <c r="QI53" s="412"/>
      <c r="QJ53" s="412"/>
      <c r="QK53" s="412"/>
      <c r="QL53" s="412"/>
      <c r="QM53" s="412"/>
      <c r="QN53" s="412"/>
      <c r="QO53" s="412"/>
      <c r="QP53" s="412"/>
      <c r="QQ53" s="412"/>
      <c r="QR53" s="412"/>
      <c r="QS53" s="412"/>
      <c r="QT53" s="412"/>
      <c r="QU53" s="412"/>
      <c r="QV53" s="412"/>
      <c r="QW53" s="412"/>
      <c r="QX53" s="412"/>
      <c r="QY53" s="412"/>
      <c r="QZ53" s="412"/>
      <c r="RA53" s="412"/>
      <c r="RB53" s="412"/>
      <c r="RC53" s="412"/>
      <c r="RD53" s="412"/>
      <c r="RE53" s="412"/>
      <c r="RF53" s="412"/>
      <c r="RG53" s="412"/>
      <c r="RH53" s="412"/>
      <c r="RI53" s="412"/>
      <c r="RJ53" s="412"/>
      <c r="RK53" s="412"/>
      <c r="RL53" s="412"/>
      <c r="RM53" s="412"/>
      <c r="RN53" s="412"/>
      <c r="RO53" s="412"/>
      <c r="RP53" s="412"/>
      <c r="RQ53" s="412"/>
      <c r="RR53" s="412"/>
      <c r="RS53" s="412"/>
      <c r="RT53" s="412"/>
      <c r="RU53" s="412"/>
      <c r="RV53" s="412"/>
      <c r="RW53" s="412"/>
      <c r="RX53" s="412"/>
      <c r="RY53" s="412"/>
      <c r="RZ53" s="412"/>
      <c r="SA53" s="412"/>
      <c r="SB53" s="412"/>
      <c r="SC53" s="412"/>
      <c r="SD53" s="412"/>
      <c r="SE53" s="412"/>
      <c r="SF53" s="412"/>
      <c r="SG53" s="412"/>
    </row>
    <row r="54" spans="1:501" x14ac:dyDescent="0.2">
      <c r="A54" s="391" t="s">
        <v>38</v>
      </c>
      <c r="B54" s="110"/>
      <c r="C54" s="392">
        <v>0.06</v>
      </c>
      <c r="D54" s="392">
        <v>0.05</v>
      </c>
      <c r="E54" s="392">
        <v>-9.9999999999999995E-7</v>
      </c>
      <c r="F54" s="392">
        <v>-9.9999999999999995E-7</v>
      </c>
      <c r="G54" s="392"/>
      <c r="H54" s="110"/>
      <c r="I54" s="410">
        <v>0</v>
      </c>
      <c r="J54" s="410">
        <v>0</v>
      </c>
      <c r="K54" s="410">
        <v>0</v>
      </c>
      <c r="L54" s="410">
        <v>0</v>
      </c>
      <c r="M54" s="410">
        <v>0</v>
      </c>
      <c r="N54" s="410">
        <v>0</v>
      </c>
      <c r="O54" s="387"/>
      <c r="P54" s="393">
        <v>0</v>
      </c>
      <c r="Q54" s="393">
        <v>0</v>
      </c>
      <c r="R54" s="393">
        <v>0</v>
      </c>
      <c r="S54" s="393">
        <v>0</v>
      </c>
      <c r="T54" s="393">
        <v>0</v>
      </c>
      <c r="U54" s="393"/>
      <c r="V54" s="393">
        <v>0</v>
      </c>
      <c r="W54" s="393">
        <v>0</v>
      </c>
      <c r="X54" s="393">
        <v>0</v>
      </c>
      <c r="Y54" s="393">
        <v>0</v>
      </c>
      <c r="Z54" s="393">
        <v>0</v>
      </c>
      <c r="AA54" s="393"/>
      <c r="AB54" s="435"/>
      <c r="AC54" s="393">
        <v>-9.9999999999999995E-7</v>
      </c>
      <c r="AD54" s="411"/>
      <c r="AE54" s="435"/>
      <c r="AF54" s="388">
        <v>-9.9983913059986662E-7</v>
      </c>
      <c r="AG54" s="388">
        <v>-9.9983913059986662E-7</v>
      </c>
      <c r="AH54" s="388">
        <v>-9.9983913059986662E-7</v>
      </c>
      <c r="AI54" s="388">
        <v>-9.9983913059986662E-7</v>
      </c>
      <c r="AJ54" s="388">
        <v>-9.9983913059986662E-7</v>
      </c>
      <c r="AK54" s="388">
        <v>-9.9983913059986662E-7</v>
      </c>
      <c r="AL54" s="388">
        <v>-9.9983913059986662E-7</v>
      </c>
      <c r="AM54" s="388">
        <v>-9.9983913059986662E-7</v>
      </c>
      <c r="AN54" s="388">
        <v>-9.9983913059986662E-7</v>
      </c>
      <c r="AO54" s="388">
        <v>-9.9983913059986662E-7</v>
      </c>
      <c r="AP54" s="388">
        <v>-9.9983913059986662E-7</v>
      </c>
      <c r="AQ54" s="388">
        <v>-9.9983913059986662E-7</v>
      </c>
      <c r="AR54" s="388">
        <v>-9.9983913059986662E-7</v>
      </c>
      <c r="AS54" s="388">
        <v>-9.9983913059986662E-7</v>
      </c>
      <c r="AT54" s="388">
        <v>-9.9983913059986662E-7</v>
      </c>
      <c r="AU54" s="388">
        <v>-9.9983913059986662E-7</v>
      </c>
      <c r="AV54" s="388">
        <v>-9.9983913059986662E-7</v>
      </c>
      <c r="AW54" s="388">
        <v>-9.9983913059986662E-7</v>
      </c>
      <c r="AX54" s="388">
        <v>-9.9983913059986662E-7</v>
      </c>
      <c r="AY54" s="388">
        <v>-9.9983913059986662E-7</v>
      </c>
      <c r="AZ54" s="388">
        <v>-9.9983913059986662E-7</v>
      </c>
      <c r="BA54" s="388">
        <v>-9.9983913059986662E-7</v>
      </c>
      <c r="BB54" s="388">
        <v>-9.9983913059986662E-7</v>
      </c>
      <c r="BC54" s="388">
        <v>-9.9983913059986662E-7</v>
      </c>
      <c r="BD54" s="388">
        <v>-9.9983913059986662E-7</v>
      </c>
      <c r="BE54" s="388">
        <v>-9.9983913059986662E-7</v>
      </c>
      <c r="BF54" s="388">
        <v>-9.9983913059986662E-7</v>
      </c>
      <c r="BG54" s="388">
        <v>-9.9983913059986662E-7</v>
      </c>
      <c r="BH54" s="388">
        <v>-9.9983913059986662E-7</v>
      </c>
      <c r="BI54" s="388">
        <v>-9.9983913059986662E-7</v>
      </c>
      <c r="BJ54" s="388">
        <v>-9.9983913059986662E-7</v>
      </c>
      <c r="BK54" s="388">
        <v>-9.9983913059986662E-7</v>
      </c>
      <c r="BL54" s="388">
        <v>-9.9983913059986662E-7</v>
      </c>
      <c r="BM54" s="388">
        <v>-9.9983913059986662E-7</v>
      </c>
      <c r="BN54" s="388">
        <v>-9.9983913059986662E-7</v>
      </c>
      <c r="BO54" s="388">
        <v>-9.9983913059986662E-7</v>
      </c>
      <c r="BP54" s="388">
        <v>-9.9983913059986662E-7</v>
      </c>
      <c r="BQ54" s="388">
        <v>-9.9983913059986662E-7</v>
      </c>
      <c r="BR54" s="388">
        <v>-9.9983913059986662E-7</v>
      </c>
      <c r="BS54" s="388">
        <v>-9.9983913059986662E-7</v>
      </c>
      <c r="BT54" s="388">
        <v>-9.9983913059986662E-7</v>
      </c>
      <c r="BU54" s="388">
        <v>-9.9983913059986662E-7</v>
      </c>
      <c r="BV54" s="388">
        <v>-9.9983913059986662E-7</v>
      </c>
      <c r="BW54" s="388">
        <v>-9.9983913059986662E-7</v>
      </c>
      <c r="BX54" s="388">
        <v>-9.9983913059986662E-7</v>
      </c>
      <c r="BY54" s="388">
        <v>-9.9983913059986662E-7</v>
      </c>
      <c r="BZ54" s="388">
        <v>-9.9983913059986662E-7</v>
      </c>
      <c r="CA54" s="388">
        <v>-9.9983913059986662E-7</v>
      </c>
      <c r="CB54" s="388">
        <v>-9.9983913059986662E-7</v>
      </c>
      <c r="CC54" s="388">
        <v>-9.9983913059986641E-7</v>
      </c>
      <c r="CD54" s="388">
        <v>-9.9983913059986112E-7</v>
      </c>
      <c r="CE54" s="388">
        <v>-9.9983913059986662E-7</v>
      </c>
      <c r="CF54" s="388">
        <v>-9.9983913059986556E-7</v>
      </c>
      <c r="CG54" s="388">
        <v>-9.9983913059954178E-7</v>
      </c>
      <c r="CH54" s="388">
        <v>-9.9983913057827999E-7</v>
      </c>
      <c r="CI54" s="388">
        <v>-9.9983913059674382E-7</v>
      </c>
      <c r="CJ54" s="388">
        <v>-9.9983913059986599E-7</v>
      </c>
      <c r="CK54" s="388">
        <v>-9.998391305604942E-7</v>
      </c>
      <c r="CL54" s="388">
        <v>-9.998391305998662E-7</v>
      </c>
      <c r="CM54" s="388">
        <v>-9.9983913059986641E-7</v>
      </c>
      <c r="CN54" s="388">
        <v>-9.9983913059986493E-7</v>
      </c>
      <c r="CO54" s="388">
        <v>-9.9983913059986641E-7</v>
      </c>
      <c r="CP54" s="388">
        <v>-9.998391305998662E-7</v>
      </c>
      <c r="CQ54" s="388">
        <v>-9.9983913059986662E-7</v>
      </c>
      <c r="CR54" s="388">
        <v>-9.9983913059986641E-7</v>
      </c>
      <c r="CS54" s="388">
        <v>-9.9983913059985688E-7</v>
      </c>
      <c r="CT54" s="388">
        <v>-9.9983913059986556E-7</v>
      </c>
      <c r="CU54" s="388">
        <v>-9.9983913059985688E-7</v>
      </c>
      <c r="CV54" s="388">
        <v>-9.9983913059986577E-7</v>
      </c>
      <c r="CW54" s="388">
        <v>-9.9983913059986662E-7</v>
      </c>
      <c r="CX54" s="388">
        <v>-9.9983913059986641E-7</v>
      </c>
      <c r="CY54" s="388">
        <v>-9.9983913059986302E-7</v>
      </c>
      <c r="CZ54" s="388">
        <v>-9.9983913059984206E-7</v>
      </c>
      <c r="DA54" s="388">
        <v>-9.9983913059986641E-7</v>
      </c>
      <c r="DB54" s="388">
        <v>-9.9983913059098972E-7</v>
      </c>
      <c r="DC54" s="388">
        <v>-9.998391305998501E-7</v>
      </c>
      <c r="DD54" s="388">
        <v>-9.9983913059275917E-7</v>
      </c>
      <c r="DE54" s="388">
        <v>-9.9983913059986599E-7</v>
      </c>
      <c r="DF54" s="388">
        <v>-9.9983913059986662E-7</v>
      </c>
      <c r="DG54" s="388">
        <v>-9.9983913059986662E-7</v>
      </c>
      <c r="DH54" s="388">
        <v>-9.998391305912235E-7</v>
      </c>
      <c r="DI54" s="388">
        <v>-9.9983913059935078E-7</v>
      </c>
      <c r="DJ54" s="388">
        <v>-9.9983913059986662E-7</v>
      </c>
      <c r="DK54" s="388">
        <v>-9.9983913059986662E-7</v>
      </c>
      <c r="DL54" s="388">
        <v>-9.99839130589356E-7</v>
      </c>
      <c r="DM54" s="388">
        <v>-9.9983913059986662E-7</v>
      </c>
      <c r="DN54" s="388">
        <v>-9.9983913059986662E-7</v>
      </c>
      <c r="DO54" s="388">
        <v>-9.9983913059986662E-7</v>
      </c>
      <c r="DP54" s="388">
        <v>-9.9983913059932791E-7</v>
      </c>
      <c r="DQ54" s="388">
        <v>-9.9983913059984862E-7</v>
      </c>
      <c r="DR54" s="388">
        <v>-9.9983913057694295E-7</v>
      </c>
      <c r="DS54" s="388">
        <v>-9.9983913053864202E-7</v>
      </c>
      <c r="DT54" s="388">
        <v>-9.9983913059986662E-7</v>
      </c>
      <c r="DU54" s="388">
        <v>-9.9983913059986662E-7</v>
      </c>
      <c r="DV54" s="388">
        <v>-9.9983913059986662E-7</v>
      </c>
      <c r="DW54" s="388">
        <v>-9.9983913059986662E-7</v>
      </c>
      <c r="DX54" s="388">
        <v>-9.9983913059986662E-7</v>
      </c>
      <c r="DY54" s="388">
        <v>-9.9983913059986662E-7</v>
      </c>
      <c r="DZ54" s="388">
        <v>-9.9983718014183241E-7</v>
      </c>
      <c r="EA54" s="388">
        <v>-9.9983718014183241E-7</v>
      </c>
      <c r="EB54" s="388"/>
      <c r="EC54" s="388"/>
      <c r="ED54" s="388">
        <v>-8.8299593446887405E-5</v>
      </c>
      <c r="EE54" s="388">
        <v>-2.4214597166160924E-3</v>
      </c>
      <c r="EF54" s="388">
        <v>-3.7056725263418708E-3</v>
      </c>
      <c r="EG54" s="388">
        <v>-2.4612888530522832E-3</v>
      </c>
      <c r="EH54" s="388">
        <v>-4.0308981300502707E-3</v>
      </c>
      <c r="EI54" s="388">
        <v>-2.4239731183146557E-3</v>
      </c>
      <c r="EJ54" s="388">
        <v>-4.1429736192444243E-3</v>
      </c>
      <c r="EK54" s="388">
        <v>-2.4064257103163255E-3</v>
      </c>
      <c r="EL54" s="388">
        <v>-3.9195214513578994E-3</v>
      </c>
      <c r="EM54" s="388">
        <v>-1.9009240918056206E-3</v>
      </c>
      <c r="EN54" s="388">
        <v>-1.9743395321018525E-3</v>
      </c>
      <c r="EO54" s="388">
        <v>-2.4600872894586737E-3</v>
      </c>
      <c r="EP54" s="388">
        <v>-3.2367526643224849E-3</v>
      </c>
      <c r="EQ54" s="388">
        <v>-8.5266311207813099E-4</v>
      </c>
      <c r="ER54" s="388">
        <v>-1.8734341336468909E-3</v>
      </c>
      <c r="ES54" s="388">
        <v>-3.2081160485287049E-3</v>
      </c>
      <c r="ET54" s="388">
        <v>-2.7865047407407604E-3</v>
      </c>
      <c r="EU54" s="388">
        <v>-1.0443037820670195E-3</v>
      </c>
      <c r="EV54" s="388">
        <v>-1.4110844404933254E-3</v>
      </c>
      <c r="EW54" s="388">
        <v>-4.5211623341206715E-4</v>
      </c>
      <c r="EX54" s="388">
        <v>-1.2034533076022539E-3</v>
      </c>
      <c r="EY54" s="388">
        <v>7.3565546196648133E-4</v>
      </c>
      <c r="EZ54" s="388">
        <v>4.1650573207784269E-4</v>
      </c>
      <c r="FA54" s="388">
        <v>-2.5013559554847701E-3</v>
      </c>
      <c r="FB54" s="388">
        <v>-1.9145950680286743E-3</v>
      </c>
      <c r="FC54" s="388">
        <v>-5.429319872206329E-4</v>
      </c>
      <c r="FD54" s="388">
        <v>2.234502096641511E-4</v>
      </c>
      <c r="FE54" s="388">
        <v>-8.8298730967916879E-5</v>
      </c>
      <c r="FF54" s="388">
        <v>-1.7680499518149245E-3</v>
      </c>
      <c r="FG54" s="388">
        <v>-2.779254394756403E-3</v>
      </c>
      <c r="FH54" s="388">
        <v>-1.8751490160547333E-3</v>
      </c>
      <c r="FI54" s="388">
        <v>-5.1336847021072217E-3</v>
      </c>
      <c r="FJ54" s="388">
        <v>-8.3396425380209502E-3</v>
      </c>
      <c r="FK54" s="388">
        <v>-9.1717140882913196E-3</v>
      </c>
      <c r="FL54" s="388">
        <v>-7.3537395500430638E-3</v>
      </c>
      <c r="FM54" s="388">
        <v>2.7057007460799067E-3</v>
      </c>
      <c r="FN54" s="388">
        <v>2.5000000000000005E-3</v>
      </c>
      <c r="FO54" s="388">
        <v>1.1732408758595883E-3</v>
      </c>
      <c r="FP54" s="388">
        <v>2.5789232674062372E-3</v>
      </c>
      <c r="FQ54" s="388">
        <v>3.0403521496256652E-3</v>
      </c>
      <c r="FR54" s="388">
        <v>3.2367526643224849E-3</v>
      </c>
      <c r="FS54" s="388">
        <v>1.3665143370969524E-3</v>
      </c>
      <c r="FT54" s="388">
        <v>2.2909334357213052E-3</v>
      </c>
      <c r="FU54" s="388">
        <v>3.5519836951402907E-3</v>
      </c>
      <c r="FV54" s="388">
        <v>3.2831618099493764E-3</v>
      </c>
      <c r="FW54" s="388">
        <v>1.4454920725443306E-3</v>
      </c>
      <c r="FX54" s="388">
        <v>1.8102316690531504E-3</v>
      </c>
      <c r="FY54" s="388">
        <v>9.4390065652824725E-4</v>
      </c>
      <c r="FZ54" s="388">
        <v>1.6998872639373888E-3</v>
      </c>
      <c r="GA54" s="388">
        <v>-2.8194914331955121E-5</v>
      </c>
      <c r="GB54" s="388"/>
      <c r="GC54" s="388"/>
      <c r="GD54" s="388"/>
      <c r="GE54" s="388"/>
      <c r="GF54" s="388"/>
      <c r="GG54" s="388"/>
      <c r="GH54" s="388"/>
      <c r="GI54" s="388"/>
      <c r="GJ54" s="388"/>
      <c r="GK54" s="388"/>
      <c r="GL54" s="388"/>
      <c r="GM54" s="388"/>
      <c r="GN54" s="388"/>
      <c r="GO54" s="388"/>
      <c r="GP54" s="412"/>
      <c r="GQ54" s="412"/>
      <c r="GR54" s="412"/>
      <c r="GS54" s="412"/>
      <c r="GT54" s="412"/>
      <c r="GU54" s="412"/>
      <c r="GV54" s="412"/>
      <c r="GW54" s="412"/>
      <c r="GX54" s="412"/>
      <c r="GY54" s="412"/>
      <c r="GZ54" s="412"/>
      <c r="HA54" s="412"/>
      <c r="HB54" s="412"/>
      <c r="HC54" s="412"/>
      <c r="HD54" s="412"/>
      <c r="HE54" s="412"/>
      <c r="HF54" s="412"/>
      <c r="HG54" s="412"/>
      <c r="HH54" s="412"/>
      <c r="HI54" s="412"/>
      <c r="HJ54" s="412"/>
      <c r="HK54" s="412"/>
      <c r="HL54" s="412"/>
      <c r="HM54" s="412"/>
      <c r="HN54" s="412"/>
      <c r="HO54" s="412"/>
      <c r="HP54" s="412"/>
      <c r="HQ54" s="412"/>
      <c r="HR54" s="412"/>
      <c r="HS54" s="412"/>
      <c r="HT54" s="412"/>
      <c r="HU54" s="412"/>
      <c r="HV54" s="412"/>
      <c r="HW54" s="412"/>
      <c r="HX54" s="412"/>
      <c r="HY54" s="412"/>
      <c r="HZ54" s="412"/>
      <c r="IA54" s="412"/>
      <c r="IB54" s="412"/>
      <c r="IC54" s="412"/>
      <c r="ID54" s="412"/>
      <c r="IE54" s="412"/>
      <c r="IF54" s="412"/>
      <c r="IG54" s="412"/>
      <c r="IH54" s="412"/>
      <c r="II54" s="412"/>
      <c r="IJ54" s="412"/>
      <c r="IK54" s="412"/>
      <c r="IL54" s="412"/>
      <c r="IM54" s="412"/>
      <c r="IN54" s="412"/>
      <c r="IO54" s="412"/>
      <c r="IP54" s="412"/>
      <c r="IQ54" s="412"/>
      <c r="IR54" s="412"/>
      <c r="IS54" s="412"/>
      <c r="IT54" s="412"/>
      <c r="IU54" s="412"/>
      <c r="IV54" s="412"/>
      <c r="IW54" s="412"/>
      <c r="IX54" s="412"/>
      <c r="IY54" s="412"/>
      <c r="IZ54" s="412"/>
      <c r="JA54" s="412"/>
      <c r="JB54" s="412"/>
      <c r="JC54" s="412"/>
      <c r="JD54" s="412"/>
      <c r="JE54" s="412"/>
      <c r="JF54" s="412"/>
      <c r="JG54" s="412"/>
      <c r="JH54" s="412"/>
      <c r="JI54" s="412"/>
      <c r="JJ54" s="412"/>
      <c r="JK54" s="412"/>
      <c r="JL54" s="412"/>
      <c r="JM54" s="412"/>
      <c r="JN54" s="412"/>
      <c r="JO54" s="412"/>
      <c r="JP54" s="412"/>
      <c r="JQ54" s="412"/>
      <c r="JR54" s="412"/>
      <c r="JS54" s="412"/>
      <c r="JT54" s="412"/>
      <c r="JU54" s="412"/>
      <c r="JV54" s="412"/>
      <c r="JW54" s="412"/>
      <c r="JX54" s="412"/>
      <c r="JY54" s="412"/>
      <c r="JZ54" s="412"/>
      <c r="KA54" s="412"/>
      <c r="KB54" s="412"/>
      <c r="KC54" s="412"/>
      <c r="KD54" s="412"/>
      <c r="KE54" s="412"/>
      <c r="KF54" s="412"/>
      <c r="KG54" s="412"/>
      <c r="KH54" s="412"/>
      <c r="KI54" s="412"/>
      <c r="KJ54" s="412"/>
      <c r="KK54" s="412"/>
      <c r="KL54" s="412"/>
      <c r="KM54" s="412"/>
      <c r="KN54" s="412"/>
      <c r="KO54" s="412"/>
      <c r="KP54" s="412"/>
      <c r="KQ54" s="412"/>
      <c r="KR54" s="412"/>
      <c r="KS54" s="412"/>
      <c r="KT54" s="412"/>
      <c r="KU54" s="412"/>
      <c r="KV54" s="412"/>
      <c r="KW54" s="412"/>
      <c r="KX54" s="412"/>
      <c r="KY54" s="412"/>
      <c r="KZ54" s="412"/>
      <c r="LA54" s="412"/>
      <c r="LB54" s="412"/>
      <c r="LC54" s="412"/>
      <c r="LD54" s="412"/>
      <c r="LE54" s="412"/>
      <c r="LF54" s="412"/>
      <c r="LG54" s="412"/>
      <c r="LH54" s="412"/>
      <c r="LI54" s="412"/>
      <c r="LJ54" s="412"/>
      <c r="LK54" s="412"/>
      <c r="LL54" s="412"/>
      <c r="LM54" s="412"/>
      <c r="LN54" s="412"/>
      <c r="LO54" s="412"/>
      <c r="LP54" s="412"/>
      <c r="LQ54" s="412"/>
      <c r="LR54" s="412"/>
      <c r="LS54" s="412"/>
      <c r="LT54" s="412"/>
      <c r="LU54" s="412"/>
      <c r="LV54" s="412"/>
      <c r="LW54" s="412"/>
      <c r="LX54" s="412"/>
      <c r="LY54" s="412"/>
      <c r="LZ54" s="412"/>
      <c r="MA54" s="412"/>
      <c r="MB54" s="412"/>
      <c r="MC54" s="412"/>
      <c r="MD54" s="412"/>
      <c r="ME54" s="412"/>
      <c r="MF54" s="412"/>
      <c r="MG54" s="412"/>
      <c r="MH54" s="412"/>
      <c r="MI54" s="412"/>
      <c r="MJ54" s="412"/>
      <c r="MK54" s="412"/>
      <c r="ML54" s="412"/>
      <c r="MM54" s="412"/>
      <c r="MN54" s="412"/>
      <c r="MO54" s="412"/>
      <c r="MP54" s="412"/>
      <c r="MQ54" s="412"/>
      <c r="MR54" s="412"/>
      <c r="MS54" s="412"/>
      <c r="MT54" s="412"/>
      <c r="MU54" s="412"/>
      <c r="MV54" s="412"/>
      <c r="MW54" s="412"/>
      <c r="MX54" s="412"/>
      <c r="MY54" s="412"/>
      <c r="MZ54" s="412"/>
      <c r="NA54" s="412"/>
      <c r="NB54" s="412"/>
      <c r="NC54" s="412"/>
      <c r="ND54" s="412"/>
      <c r="NE54" s="412"/>
      <c r="NF54" s="412"/>
      <c r="NG54" s="412"/>
      <c r="NH54" s="412"/>
      <c r="NI54" s="412"/>
      <c r="NJ54" s="412"/>
      <c r="NK54" s="412"/>
      <c r="NL54" s="412"/>
      <c r="NM54" s="412"/>
      <c r="NN54" s="412"/>
      <c r="NO54" s="412"/>
      <c r="NP54" s="412"/>
      <c r="NQ54" s="412"/>
      <c r="NR54" s="412"/>
      <c r="NS54" s="412"/>
      <c r="NT54" s="412"/>
      <c r="NU54" s="412"/>
      <c r="NV54" s="412"/>
      <c r="NW54" s="412"/>
      <c r="NX54" s="412"/>
      <c r="NY54" s="412"/>
      <c r="NZ54" s="412"/>
      <c r="OA54" s="412"/>
      <c r="OB54" s="412"/>
      <c r="OC54" s="412"/>
      <c r="OD54" s="412"/>
      <c r="OE54" s="412"/>
      <c r="OF54" s="412"/>
      <c r="OG54" s="412"/>
      <c r="OH54" s="412"/>
      <c r="OI54" s="412"/>
      <c r="OJ54" s="412"/>
      <c r="OK54" s="412"/>
      <c r="OL54" s="412"/>
      <c r="OM54" s="412"/>
      <c r="ON54" s="412"/>
      <c r="OO54" s="412"/>
      <c r="OP54" s="412"/>
      <c r="OQ54" s="412"/>
      <c r="OR54" s="412"/>
      <c r="OS54" s="412"/>
      <c r="OT54" s="412"/>
      <c r="OU54" s="412"/>
      <c r="OV54" s="412"/>
      <c r="OW54" s="412"/>
      <c r="OX54" s="412"/>
      <c r="OY54" s="412"/>
      <c r="OZ54" s="412"/>
      <c r="PA54" s="412"/>
      <c r="PB54" s="412"/>
      <c r="PC54" s="412"/>
      <c r="PD54" s="412"/>
      <c r="PE54" s="412"/>
      <c r="PF54" s="412"/>
      <c r="PG54" s="412"/>
      <c r="PH54" s="412"/>
      <c r="PI54" s="412"/>
      <c r="PJ54" s="412"/>
      <c r="PK54" s="412"/>
      <c r="PL54" s="412"/>
      <c r="PM54" s="412"/>
      <c r="PN54" s="412"/>
      <c r="PO54" s="412"/>
      <c r="PP54" s="412"/>
      <c r="PQ54" s="412"/>
      <c r="PR54" s="412"/>
      <c r="PS54" s="412"/>
      <c r="PT54" s="412"/>
      <c r="PU54" s="412"/>
      <c r="PV54" s="412"/>
      <c r="PW54" s="412"/>
      <c r="PX54" s="412"/>
      <c r="PY54" s="412"/>
      <c r="PZ54" s="412"/>
      <c r="QA54" s="412"/>
      <c r="QB54" s="412"/>
      <c r="QC54" s="412"/>
      <c r="QD54" s="412"/>
      <c r="QE54" s="412"/>
      <c r="QF54" s="412"/>
      <c r="QG54" s="412"/>
      <c r="QH54" s="412"/>
      <c r="QI54" s="412"/>
      <c r="QJ54" s="412"/>
      <c r="QK54" s="412"/>
      <c r="QL54" s="412"/>
      <c r="QM54" s="412"/>
      <c r="QN54" s="412"/>
      <c r="QO54" s="412"/>
      <c r="QP54" s="412"/>
      <c r="QQ54" s="412"/>
      <c r="QR54" s="412"/>
      <c r="QS54" s="412"/>
      <c r="QT54" s="412"/>
      <c r="QU54" s="412"/>
      <c r="QV54" s="412"/>
      <c r="QW54" s="412"/>
      <c r="QX54" s="412"/>
      <c r="QY54" s="412"/>
      <c r="QZ54" s="412"/>
      <c r="RA54" s="412"/>
      <c r="RB54" s="412"/>
      <c r="RC54" s="412"/>
      <c r="RD54" s="412"/>
      <c r="RE54" s="412"/>
      <c r="RF54" s="412"/>
      <c r="RG54" s="412"/>
      <c r="RH54" s="412"/>
      <c r="RI54" s="412"/>
      <c r="RJ54" s="412"/>
      <c r="RK54" s="412"/>
      <c r="RL54" s="412"/>
      <c r="RM54" s="412"/>
      <c r="RN54" s="412"/>
      <c r="RO54" s="412"/>
      <c r="RP54" s="412"/>
      <c r="RQ54" s="412"/>
      <c r="RR54" s="412"/>
      <c r="RS54" s="412"/>
      <c r="RT54" s="412"/>
      <c r="RU54" s="412"/>
      <c r="RV54" s="412"/>
      <c r="RW54" s="412"/>
      <c r="RX54" s="412"/>
      <c r="RY54" s="412"/>
      <c r="RZ54" s="412"/>
      <c r="SA54" s="412"/>
      <c r="SB54" s="412"/>
      <c r="SC54" s="412"/>
      <c r="SD54" s="412"/>
      <c r="SE54" s="412"/>
      <c r="SF54" s="412"/>
      <c r="SG54" s="412"/>
    </row>
    <row r="55" spans="1:501" x14ac:dyDescent="0.2">
      <c r="A55" s="391" t="s">
        <v>39</v>
      </c>
      <c r="B55" s="110"/>
      <c r="C55" s="392">
        <v>0.03</v>
      </c>
      <c r="D55" s="392">
        <v>7.0000000000000007E-2</v>
      </c>
      <c r="E55" s="392">
        <v>-9.9999999999999995E-7</v>
      </c>
      <c r="F55" s="392">
        <v>-9.9999999999999995E-7</v>
      </c>
      <c r="G55" s="392"/>
      <c r="H55" s="110"/>
      <c r="I55" s="410">
        <v>0</v>
      </c>
      <c r="J55" s="410">
        <v>0</v>
      </c>
      <c r="K55" s="410">
        <v>0</v>
      </c>
      <c r="L55" s="410">
        <v>0</v>
      </c>
      <c r="M55" s="410">
        <v>0</v>
      </c>
      <c r="N55" s="410">
        <v>0</v>
      </c>
      <c r="O55" s="387"/>
      <c r="P55" s="393">
        <v>0</v>
      </c>
      <c r="Q55" s="393">
        <v>0</v>
      </c>
      <c r="R55" s="393">
        <v>0</v>
      </c>
      <c r="S55" s="393">
        <v>0</v>
      </c>
      <c r="T55" s="393">
        <v>0</v>
      </c>
      <c r="U55" s="393"/>
      <c r="V55" s="393">
        <v>0</v>
      </c>
      <c r="W55" s="393">
        <v>0</v>
      </c>
      <c r="X55" s="393">
        <v>0</v>
      </c>
      <c r="Y55" s="393">
        <v>0</v>
      </c>
      <c r="Z55" s="393">
        <v>0</v>
      </c>
      <c r="AA55" s="393"/>
      <c r="AB55" s="435"/>
      <c r="AC55" s="393">
        <v>-9.9999999999999995E-7</v>
      </c>
      <c r="AD55" s="411"/>
      <c r="AE55" s="435"/>
      <c r="AF55" s="388">
        <v>-9.9999996905353328E-7</v>
      </c>
      <c r="AG55" s="388">
        <v>-9.9999996905353328E-7</v>
      </c>
      <c r="AH55" s="388">
        <v>-9.9999996905353328E-7</v>
      </c>
      <c r="AI55" s="388">
        <v>-9.9999996905353328E-7</v>
      </c>
      <c r="AJ55" s="388">
        <v>-9.9999996905353328E-7</v>
      </c>
      <c r="AK55" s="388">
        <v>-9.9999996905353328E-7</v>
      </c>
      <c r="AL55" s="388">
        <v>-9.9999996905353328E-7</v>
      </c>
      <c r="AM55" s="388">
        <v>-9.9999996905353328E-7</v>
      </c>
      <c r="AN55" s="388">
        <v>-9.9999996905353328E-7</v>
      </c>
      <c r="AO55" s="388">
        <v>-9.9999996905353328E-7</v>
      </c>
      <c r="AP55" s="388">
        <v>-9.9999996905353328E-7</v>
      </c>
      <c r="AQ55" s="388">
        <v>-9.9999996905353328E-7</v>
      </c>
      <c r="AR55" s="388">
        <v>-9.9999996905353328E-7</v>
      </c>
      <c r="AS55" s="388">
        <v>-9.9999996905353328E-7</v>
      </c>
      <c r="AT55" s="388">
        <v>-9.9999996905353328E-7</v>
      </c>
      <c r="AU55" s="388">
        <v>-9.9999996905353328E-7</v>
      </c>
      <c r="AV55" s="388">
        <v>-9.9999996905353328E-7</v>
      </c>
      <c r="AW55" s="388">
        <v>-9.9999996905353328E-7</v>
      </c>
      <c r="AX55" s="388">
        <v>-9.9999996905353328E-7</v>
      </c>
      <c r="AY55" s="388">
        <v>-9.9999996905353328E-7</v>
      </c>
      <c r="AZ55" s="388">
        <v>-9.9999996905352714E-7</v>
      </c>
      <c r="BA55" s="388">
        <v>-9.9999996905353307E-7</v>
      </c>
      <c r="BB55" s="388">
        <v>-9.9999996905353095E-7</v>
      </c>
      <c r="BC55" s="388">
        <v>-9.9999996905353307E-7</v>
      </c>
      <c r="BD55" s="388">
        <v>-9.9999996905353328E-7</v>
      </c>
      <c r="BE55" s="388">
        <v>-9.9999996905353328E-7</v>
      </c>
      <c r="BF55" s="388">
        <v>-9.9999996905353328E-7</v>
      </c>
      <c r="BG55" s="388">
        <v>-9.9999996905353307E-7</v>
      </c>
      <c r="BH55" s="388">
        <v>-9.9999996905353328E-7</v>
      </c>
      <c r="BI55" s="388">
        <v>-9.9999996905353328E-7</v>
      </c>
      <c r="BJ55" s="388">
        <v>-9.9999996905353328E-7</v>
      </c>
      <c r="BK55" s="388">
        <v>-9.9999996905353285E-7</v>
      </c>
      <c r="BL55" s="388">
        <v>-9.9999996905353307E-7</v>
      </c>
      <c r="BM55" s="388">
        <v>-9.9999996905353307E-7</v>
      </c>
      <c r="BN55" s="388">
        <v>-9.9999996905353307E-7</v>
      </c>
      <c r="BO55" s="388">
        <v>-9.9999996905353285E-7</v>
      </c>
      <c r="BP55" s="388">
        <v>-9.9999996905353328E-7</v>
      </c>
      <c r="BQ55" s="388">
        <v>-9.9999996905353328E-7</v>
      </c>
      <c r="BR55" s="388">
        <v>-9.9999996905353328E-7</v>
      </c>
      <c r="BS55" s="388">
        <v>-9.9999996905353328E-7</v>
      </c>
      <c r="BT55" s="388">
        <v>-9.9999996905353328E-7</v>
      </c>
      <c r="BU55" s="388">
        <v>-9.9999996905353328E-7</v>
      </c>
      <c r="BV55" s="388">
        <v>-9.9999996905353328E-7</v>
      </c>
      <c r="BW55" s="388">
        <v>-9.9999996905353328E-7</v>
      </c>
      <c r="BX55" s="388">
        <v>-9.9999996905353328E-7</v>
      </c>
      <c r="BY55" s="388">
        <v>-9.9999996905353328E-7</v>
      </c>
      <c r="BZ55" s="388">
        <v>-9.9999996905353328E-7</v>
      </c>
      <c r="CA55" s="388">
        <v>-9.9999996905346276E-7</v>
      </c>
      <c r="CB55" s="388">
        <v>-9.9999996905353328E-7</v>
      </c>
      <c r="CC55" s="388">
        <v>-9.9999996905353307E-7</v>
      </c>
      <c r="CD55" s="388">
        <v>-9.9999996905353328E-7</v>
      </c>
      <c r="CE55" s="388">
        <v>-9.9999996905353285E-7</v>
      </c>
      <c r="CF55" s="388">
        <v>-9.999999690535318E-7</v>
      </c>
      <c r="CG55" s="388">
        <v>-9.9999996905353328E-7</v>
      </c>
      <c r="CH55" s="388">
        <v>-9.9999996898626192E-7</v>
      </c>
      <c r="CI55" s="388">
        <v>-9.9999996905271123E-7</v>
      </c>
      <c r="CJ55" s="388">
        <v>-9.9999996905353285E-7</v>
      </c>
      <c r="CK55" s="388">
        <v>-9.9999996904373438E-7</v>
      </c>
      <c r="CL55" s="388">
        <v>-9.9999996905353264E-7</v>
      </c>
      <c r="CM55" s="388">
        <v>-9.9999996905353328E-7</v>
      </c>
      <c r="CN55" s="388">
        <v>-9.9999996905353285E-7</v>
      </c>
      <c r="CO55" s="388">
        <v>-9.9999996905353307E-7</v>
      </c>
      <c r="CP55" s="388">
        <v>-9.9999996905353285E-7</v>
      </c>
      <c r="CQ55" s="388">
        <v>-9.999999690533374E-7</v>
      </c>
      <c r="CR55" s="388">
        <v>-9.9999996905353328E-7</v>
      </c>
      <c r="CS55" s="388">
        <v>-9.9999996905353243E-7</v>
      </c>
      <c r="CT55" s="388">
        <v>-9.9999996905350236E-7</v>
      </c>
      <c r="CU55" s="388">
        <v>-9.9999996905352608E-7</v>
      </c>
      <c r="CV55" s="388">
        <v>-9.9999996905353264E-7</v>
      </c>
      <c r="CW55" s="388">
        <v>-9.9999996905353328E-7</v>
      </c>
      <c r="CX55" s="388">
        <v>-9.9999996905352417E-7</v>
      </c>
      <c r="CY55" s="388">
        <v>-9.9999996905353074E-7</v>
      </c>
      <c r="CZ55" s="388">
        <v>-9.9999996905353328E-7</v>
      </c>
      <c r="DA55" s="388">
        <v>-9.9999996905353328E-7</v>
      </c>
      <c r="DB55" s="388">
        <v>-9.9999996905353328E-7</v>
      </c>
      <c r="DC55" s="388">
        <v>-9.9999996905350448E-7</v>
      </c>
      <c r="DD55" s="388">
        <v>-9.9999996905353328E-7</v>
      </c>
      <c r="DE55" s="388">
        <v>-9.9999996905353328E-7</v>
      </c>
      <c r="DF55" s="388">
        <v>-9.9999996905353328E-7</v>
      </c>
      <c r="DG55" s="388">
        <v>-9.9999996905325376E-7</v>
      </c>
      <c r="DH55" s="388">
        <v>-9.9999996904321176E-7</v>
      </c>
      <c r="DI55" s="388">
        <v>-9.9999996905312734E-7</v>
      </c>
      <c r="DJ55" s="388">
        <v>-9.9999996905296047E-7</v>
      </c>
      <c r="DK55" s="388">
        <v>-9.9999996905353328E-7</v>
      </c>
      <c r="DL55" s="388">
        <v>-9.9999996905353328E-7</v>
      </c>
      <c r="DM55" s="388">
        <v>-9.9999996905348034E-7</v>
      </c>
      <c r="DN55" s="388">
        <v>-9.9999996905353328E-7</v>
      </c>
      <c r="DO55" s="388">
        <v>-9.9999996905349897E-7</v>
      </c>
      <c r="DP55" s="388">
        <v>-9.9999996905287471E-7</v>
      </c>
      <c r="DQ55" s="388">
        <v>-9.9999996905352735E-7</v>
      </c>
      <c r="DR55" s="388">
        <v>-9.9999996905353328E-7</v>
      </c>
      <c r="DS55" s="388">
        <v>-9.9999996905188008E-7</v>
      </c>
      <c r="DT55" s="388">
        <v>-9.9999996905353328E-7</v>
      </c>
      <c r="DU55" s="388">
        <v>-9.9999996904139678E-7</v>
      </c>
      <c r="DV55" s="388">
        <v>-9.9999996905353328E-7</v>
      </c>
      <c r="DW55" s="388">
        <v>-9.9999996905353328E-7</v>
      </c>
      <c r="DX55" s="388">
        <v>-9.9999996905353328E-7</v>
      </c>
      <c r="DY55" s="388">
        <v>-9.9999996905353328E-7</v>
      </c>
      <c r="DZ55" s="388">
        <v>-9.9998595530349036E-7</v>
      </c>
      <c r="EA55" s="388">
        <v>-9.9998595530349036E-7</v>
      </c>
      <c r="EB55" s="388"/>
      <c r="EC55" s="388"/>
      <c r="ED55" s="388">
        <v>-7.3012089804377068E-5</v>
      </c>
      <c r="EE55" s="388">
        <v>-2.2623680488207264E-3</v>
      </c>
      <c r="EF55" s="388">
        <v>-3.7924499406764888E-3</v>
      </c>
      <c r="EG55" s="388">
        <v>-1.6721460492442875E-3</v>
      </c>
      <c r="EH55" s="388">
        <v>-2.7845226970725258E-3</v>
      </c>
      <c r="EI55" s="388">
        <v>-1.7307377993328146E-3</v>
      </c>
      <c r="EJ55" s="388">
        <v>-2.7453944570980751E-3</v>
      </c>
      <c r="EK55" s="388">
        <v>-1.1736539703001156E-3</v>
      </c>
      <c r="EL55" s="388">
        <v>-1.7300330020510928E-3</v>
      </c>
      <c r="EM55" s="388">
        <v>-2.8609657323843307E-3</v>
      </c>
      <c r="EN55" s="388">
        <v>5.7621649943351803E-4</v>
      </c>
      <c r="EO55" s="388">
        <v>1.2029899531074673E-3</v>
      </c>
      <c r="EP55" s="388">
        <v>7.2639120629192447E-4</v>
      </c>
      <c r="EQ55" s="388">
        <v>-6.6753377774883245E-3</v>
      </c>
      <c r="ER55" s="388">
        <v>-1.140995999286477E-3</v>
      </c>
      <c r="ES55" s="388">
        <v>-1.3199969946509997E-3</v>
      </c>
      <c r="ET55" s="388">
        <v>-3.2010692905966196E-3</v>
      </c>
      <c r="EU55" s="388">
        <v>1.0642778708489765E-3</v>
      </c>
      <c r="EV55" s="388">
        <v>1.7113967382172118E-3</v>
      </c>
      <c r="EW55" s="388">
        <v>2.4025929693633993E-3</v>
      </c>
      <c r="EX55" s="388">
        <v>1.4541931712617835E-3</v>
      </c>
      <c r="EY55" s="388">
        <v>1.0582745922938582E-3</v>
      </c>
      <c r="EZ55" s="388">
        <v>3.6043697320920734E-4</v>
      </c>
      <c r="FA55" s="388">
        <v>-1.9849107565710799E-4</v>
      </c>
      <c r="FB55" s="388">
        <v>2.8009788134388753E-3</v>
      </c>
      <c r="FC55" s="388">
        <v>-1.8832445927336217E-4</v>
      </c>
      <c r="FD55" s="388">
        <v>-1.5662879650492085E-4</v>
      </c>
      <c r="FE55" s="388">
        <v>-7.3007197384685691E-5</v>
      </c>
      <c r="FF55" s="388">
        <v>-1.6518877816786254E-3</v>
      </c>
      <c r="FG55" s="388">
        <v>-2.8443374555073664E-3</v>
      </c>
      <c r="FH55" s="388">
        <v>-1.3388726372197243E-3</v>
      </c>
      <c r="FI55" s="388">
        <v>-3.4019018272737019E-3</v>
      </c>
      <c r="FJ55" s="388">
        <v>-9.6424337757062533E-3</v>
      </c>
      <c r="FK55" s="388">
        <v>-7.0428178628570868E-3</v>
      </c>
      <c r="FL55" s="388">
        <v>-1.1039578453744753E-2</v>
      </c>
      <c r="FM55" s="388">
        <v>1.7907147799455778E-3</v>
      </c>
      <c r="FN55" s="388">
        <v>1.1732408758595883E-3</v>
      </c>
      <c r="FO55" s="388">
        <v>4.9000000000000016E-3</v>
      </c>
      <c r="FP55" s="388">
        <v>-9.8442511386216008E-4</v>
      </c>
      <c r="FQ55" s="388">
        <v>-1.520977660714768E-3</v>
      </c>
      <c r="FR55" s="388">
        <v>-7.2639120629192447E-4</v>
      </c>
      <c r="FS55" s="388">
        <v>6.2402363670206601E-3</v>
      </c>
      <c r="FT55" s="388">
        <v>7.5718757902414958E-4</v>
      </c>
      <c r="FU55" s="388">
        <v>9.4122294310759736E-4</v>
      </c>
      <c r="FV55" s="388">
        <v>2.808226632237662E-3</v>
      </c>
      <c r="FW55" s="388">
        <v>-1.2772516659581485E-3</v>
      </c>
      <c r="FX55" s="388">
        <v>-1.885466870818661E-3</v>
      </c>
      <c r="FY55" s="388">
        <v>-2.6064395169180491E-3</v>
      </c>
      <c r="FZ55" s="388">
        <v>-1.6718048961702598E-3</v>
      </c>
      <c r="GA55" s="388">
        <v>-3.2275031343381278E-5</v>
      </c>
      <c r="GB55" s="388"/>
      <c r="GC55" s="388"/>
      <c r="GD55" s="388"/>
      <c r="GE55" s="388"/>
      <c r="GF55" s="388"/>
      <c r="GG55" s="388"/>
      <c r="GH55" s="388"/>
      <c r="GI55" s="388"/>
      <c r="GJ55" s="388"/>
      <c r="GK55" s="388"/>
      <c r="GL55" s="388"/>
      <c r="GM55" s="388"/>
      <c r="GN55" s="388"/>
      <c r="GO55" s="388"/>
      <c r="GP55" s="412"/>
      <c r="GQ55" s="412"/>
      <c r="GR55" s="412"/>
      <c r="GS55" s="412"/>
      <c r="GT55" s="412"/>
      <c r="GU55" s="412"/>
      <c r="GV55" s="412"/>
      <c r="GW55" s="412"/>
      <c r="GX55" s="412"/>
      <c r="GY55" s="412"/>
      <c r="GZ55" s="412"/>
      <c r="HA55" s="412"/>
      <c r="HB55" s="412"/>
      <c r="HC55" s="412"/>
      <c r="HD55" s="412"/>
      <c r="HE55" s="412"/>
      <c r="HF55" s="412"/>
      <c r="HG55" s="412"/>
      <c r="HH55" s="412"/>
      <c r="HI55" s="412"/>
      <c r="HJ55" s="412"/>
      <c r="HK55" s="412"/>
      <c r="HL55" s="412"/>
      <c r="HM55" s="412"/>
      <c r="HN55" s="412"/>
      <c r="HO55" s="412"/>
      <c r="HP55" s="412"/>
      <c r="HQ55" s="412"/>
      <c r="HR55" s="412"/>
      <c r="HS55" s="412"/>
      <c r="HT55" s="412"/>
      <c r="HU55" s="412"/>
      <c r="HV55" s="412"/>
      <c r="HW55" s="412"/>
      <c r="HX55" s="412"/>
      <c r="HY55" s="412"/>
      <c r="HZ55" s="412"/>
      <c r="IA55" s="412"/>
      <c r="IB55" s="412"/>
      <c r="IC55" s="412"/>
      <c r="ID55" s="412"/>
      <c r="IE55" s="412"/>
      <c r="IF55" s="412"/>
      <c r="IG55" s="412"/>
      <c r="IH55" s="412"/>
      <c r="II55" s="412"/>
      <c r="IJ55" s="412"/>
      <c r="IK55" s="412"/>
      <c r="IL55" s="412"/>
      <c r="IM55" s="412"/>
      <c r="IN55" s="412"/>
      <c r="IO55" s="412"/>
      <c r="IP55" s="412"/>
      <c r="IQ55" s="412"/>
      <c r="IR55" s="412"/>
      <c r="IS55" s="412"/>
      <c r="IT55" s="412"/>
      <c r="IU55" s="412"/>
      <c r="IV55" s="412"/>
      <c r="IW55" s="412"/>
      <c r="IX55" s="412"/>
      <c r="IY55" s="412"/>
      <c r="IZ55" s="412"/>
      <c r="JA55" s="412"/>
      <c r="JB55" s="412"/>
      <c r="JC55" s="412"/>
      <c r="JD55" s="412"/>
      <c r="JE55" s="412"/>
      <c r="JF55" s="412"/>
      <c r="JG55" s="412"/>
      <c r="JH55" s="412"/>
      <c r="JI55" s="412"/>
      <c r="JJ55" s="412"/>
      <c r="JK55" s="412"/>
      <c r="JL55" s="412"/>
      <c r="JM55" s="412"/>
      <c r="JN55" s="412"/>
      <c r="JO55" s="412"/>
      <c r="JP55" s="412"/>
      <c r="JQ55" s="412"/>
      <c r="JR55" s="412"/>
      <c r="JS55" s="412"/>
      <c r="JT55" s="412"/>
      <c r="JU55" s="412"/>
      <c r="JV55" s="412"/>
      <c r="JW55" s="412"/>
      <c r="JX55" s="412"/>
      <c r="JY55" s="412"/>
      <c r="JZ55" s="412"/>
      <c r="KA55" s="412"/>
      <c r="KB55" s="412"/>
      <c r="KC55" s="412"/>
      <c r="KD55" s="412"/>
      <c r="KE55" s="412"/>
      <c r="KF55" s="412"/>
      <c r="KG55" s="412"/>
      <c r="KH55" s="412"/>
      <c r="KI55" s="412"/>
      <c r="KJ55" s="412"/>
      <c r="KK55" s="412"/>
      <c r="KL55" s="412"/>
      <c r="KM55" s="412"/>
      <c r="KN55" s="412"/>
      <c r="KO55" s="412"/>
      <c r="KP55" s="412"/>
      <c r="KQ55" s="412"/>
      <c r="KR55" s="412"/>
      <c r="KS55" s="412"/>
      <c r="KT55" s="412"/>
      <c r="KU55" s="412"/>
      <c r="KV55" s="412"/>
      <c r="KW55" s="412"/>
      <c r="KX55" s="412"/>
      <c r="KY55" s="412"/>
      <c r="KZ55" s="412"/>
      <c r="LA55" s="412"/>
      <c r="LB55" s="412"/>
      <c r="LC55" s="412"/>
      <c r="LD55" s="412"/>
      <c r="LE55" s="412"/>
      <c r="LF55" s="412"/>
      <c r="LG55" s="412"/>
      <c r="LH55" s="412"/>
      <c r="LI55" s="412"/>
      <c r="LJ55" s="412"/>
      <c r="LK55" s="412"/>
      <c r="LL55" s="412"/>
      <c r="LM55" s="412"/>
      <c r="LN55" s="412"/>
      <c r="LO55" s="412"/>
      <c r="LP55" s="412"/>
      <c r="LQ55" s="412"/>
      <c r="LR55" s="412"/>
      <c r="LS55" s="412"/>
      <c r="LT55" s="412"/>
      <c r="LU55" s="412"/>
      <c r="LV55" s="412"/>
      <c r="LW55" s="412"/>
      <c r="LX55" s="412"/>
      <c r="LY55" s="412"/>
      <c r="LZ55" s="412"/>
      <c r="MA55" s="412"/>
      <c r="MB55" s="412"/>
      <c r="MC55" s="412"/>
      <c r="MD55" s="412"/>
      <c r="ME55" s="412"/>
      <c r="MF55" s="412"/>
      <c r="MG55" s="412"/>
      <c r="MH55" s="412"/>
      <c r="MI55" s="412"/>
      <c r="MJ55" s="412"/>
      <c r="MK55" s="412"/>
      <c r="ML55" s="412"/>
      <c r="MM55" s="412"/>
      <c r="MN55" s="412"/>
      <c r="MO55" s="412"/>
      <c r="MP55" s="412"/>
      <c r="MQ55" s="412"/>
      <c r="MR55" s="412"/>
      <c r="MS55" s="412"/>
      <c r="MT55" s="412"/>
      <c r="MU55" s="412"/>
      <c r="MV55" s="412"/>
      <c r="MW55" s="412"/>
      <c r="MX55" s="412"/>
      <c r="MY55" s="412"/>
      <c r="MZ55" s="412"/>
      <c r="NA55" s="412"/>
      <c r="NB55" s="412"/>
      <c r="NC55" s="412"/>
      <c r="ND55" s="412"/>
      <c r="NE55" s="412"/>
      <c r="NF55" s="412"/>
      <c r="NG55" s="412"/>
      <c r="NH55" s="412"/>
      <c r="NI55" s="412"/>
      <c r="NJ55" s="412"/>
      <c r="NK55" s="412"/>
      <c r="NL55" s="412"/>
      <c r="NM55" s="412"/>
      <c r="NN55" s="412"/>
      <c r="NO55" s="412"/>
      <c r="NP55" s="412"/>
      <c r="NQ55" s="412"/>
      <c r="NR55" s="412"/>
      <c r="NS55" s="412"/>
      <c r="NT55" s="412"/>
      <c r="NU55" s="412"/>
      <c r="NV55" s="412"/>
      <c r="NW55" s="412"/>
      <c r="NX55" s="412"/>
      <c r="NY55" s="412"/>
      <c r="NZ55" s="412"/>
      <c r="OA55" s="412"/>
      <c r="OB55" s="412"/>
      <c r="OC55" s="412"/>
      <c r="OD55" s="412"/>
      <c r="OE55" s="412"/>
      <c r="OF55" s="412"/>
      <c r="OG55" s="412"/>
      <c r="OH55" s="412"/>
      <c r="OI55" s="412"/>
      <c r="OJ55" s="412"/>
      <c r="OK55" s="412"/>
      <c r="OL55" s="412"/>
      <c r="OM55" s="412"/>
      <c r="ON55" s="412"/>
      <c r="OO55" s="412"/>
      <c r="OP55" s="412"/>
      <c r="OQ55" s="412"/>
      <c r="OR55" s="412"/>
      <c r="OS55" s="412"/>
      <c r="OT55" s="412"/>
      <c r="OU55" s="412"/>
      <c r="OV55" s="412"/>
      <c r="OW55" s="412"/>
      <c r="OX55" s="412"/>
      <c r="OY55" s="412"/>
      <c r="OZ55" s="412"/>
      <c r="PA55" s="412"/>
      <c r="PB55" s="412"/>
      <c r="PC55" s="412"/>
      <c r="PD55" s="412"/>
      <c r="PE55" s="412"/>
      <c r="PF55" s="412"/>
      <c r="PG55" s="412"/>
      <c r="PH55" s="412"/>
      <c r="PI55" s="412"/>
      <c r="PJ55" s="412"/>
      <c r="PK55" s="412"/>
      <c r="PL55" s="412"/>
      <c r="PM55" s="412"/>
      <c r="PN55" s="412"/>
      <c r="PO55" s="412"/>
      <c r="PP55" s="412"/>
      <c r="PQ55" s="412"/>
      <c r="PR55" s="412"/>
      <c r="PS55" s="412"/>
      <c r="PT55" s="412"/>
      <c r="PU55" s="412"/>
      <c r="PV55" s="412"/>
      <c r="PW55" s="412"/>
      <c r="PX55" s="412"/>
      <c r="PY55" s="412"/>
      <c r="PZ55" s="412"/>
      <c r="QA55" s="412"/>
      <c r="QB55" s="412"/>
      <c r="QC55" s="412"/>
      <c r="QD55" s="412"/>
      <c r="QE55" s="412"/>
      <c r="QF55" s="412"/>
      <c r="QG55" s="412"/>
      <c r="QH55" s="412"/>
      <c r="QI55" s="412"/>
      <c r="QJ55" s="412"/>
      <c r="QK55" s="412"/>
      <c r="QL55" s="412"/>
      <c r="QM55" s="412"/>
      <c r="QN55" s="412"/>
      <c r="QO55" s="412"/>
      <c r="QP55" s="412"/>
      <c r="QQ55" s="412"/>
      <c r="QR55" s="412"/>
      <c r="QS55" s="412"/>
      <c r="QT55" s="412"/>
      <c r="QU55" s="412"/>
      <c r="QV55" s="412"/>
      <c r="QW55" s="412"/>
      <c r="QX55" s="412"/>
      <c r="QY55" s="412"/>
      <c r="QZ55" s="412"/>
      <c r="RA55" s="412"/>
      <c r="RB55" s="412"/>
      <c r="RC55" s="412"/>
      <c r="RD55" s="412"/>
      <c r="RE55" s="412"/>
      <c r="RF55" s="412"/>
      <c r="RG55" s="412"/>
      <c r="RH55" s="412"/>
      <c r="RI55" s="412"/>
      <c r="RJ55" s="412"/>
      <c r="RK55" s="412"/>
      <c r="RL55" s="412"/>
      <c r="RM55" s="412"/>
      <c r="RN55" s="412"/>
      <c r="RO55" s="412"/>
      <c r="RP55" s="412"/>
      <c r="RQ55" s="412"/>
      <c r="RR55" s="412"/>
      <c r="RS55" s="412"/>
      <c r="RT55" s="412"/>
      <c r="RU55" s="412"/>
      <c r="RV55" s="412"/>
      <c r="RW55" s="412"/>
      <c r="RX55" s="412"/>
      <c r="RY55" s="412"/>
      <c r="RZ55" s="412"/>
      <c r="SA55" s="412"/>
      <c r="SB55" s="412"/>
      <c r="SC55" s="412"/>
      <c r="SD55" s="412"/>
      <c r="SE55" s="412"/>
      <c r="SF55" s="412"/>
      <c r="SG55" s="412"/>
    </row>
    <row r="56" spans="1:501" x14ac:dyDescent="0.2">
      <c r="A56" s="391" t="s">
        <v>40</v>
      </c>
      <c r="B56" s="110"/>
      <c r="C56" s="392">
        <v>0.1</v>
      </c>
      <c r="D56" s="392">
        <v>0.16</v>
      </c>
      <c r="E56" s="392">
        <v>-2.9500000000000002E-2</v>
      </c>
      <c r="F56" s="392">
        <v>-2.9500000000000002E-2</v>
      </c>
      <c r="G56" s="392"/>
      <c r="H56" s="110"/>
      <c r="I56" s="410">
        <v>0</v>
      </c>
      <c r="J56" s="410">
        <v>0</v>
      </c>
      <c r="K56" s="410">
        <v>0</v>
      </c>
      <c r="L56" s="410">
        <v>0</v>
      </c>
      <c r="M56" s="410">
        <v>0</v>
      </c>
      <c r="N56" s="410">
        <v>0</v>
      </c>
      <c r="O56" s="387"/>
      <c r="P56" s="393">
        <v>0</v>
      </c>
      <c r="Q56" s="393">
        <v>0</v>
      </c>
      <c r="R56" s="393">
        <v>0</v>
      </c>
      <c r="S56" s="393">
        <v>0</v>
      </c>
      <c r="T56" s="393">
        <v>0</v>
      </c>
      <c r="U56" s="393"/>
      <c r="V56" s="393">
        <v>0</v>
      </c>
      <c r="W56" s="393">
        <v>0</v>
      </c>
      <c r="X56" s="393">
        <v>0</v>
      </c>
      <c r="Y56" s="393">
        <v>0</v>
      </c>
      <c r="Z56" s="393">
        <v>0</v>
      </c>
      <c r="AA56" s="393"/>
      <c r="AB56" s="435"/>
      <c r="AC56" s="393">
        <v>-2.9500000000000002E-2</v>
      </c>
      <c r="AD56" s="411"/>
      <c r="AE56" s="435"/>
      <c r="AF56" s="388">
        <v>-2.9500000000000002E-2</v>
      </c>
      <c r="AG56" s="388">
        <v>-2.9500000000000002E-2</v>
      </c>
      <c r="AH56" s="388">
        <v>-2.9500000000000002E-2</v>
      </c>
      <c r="AI56" s="388">
        <v>-2.9500000000000002E-2</v>
      </c>
      <c r="AJ56" s="388">
        <v>-2.9500000000000002E-2</v>
      </c>
      <c r="AK56" s="388">
        <v>-2.9500000000000002E-2</v>
      </c>
      <c r="AL56" s="388">
        <v>-2.9500000000000002E-2</v>
      </c>
      <c r="AM56" s="388">
        <v>-2.9500000000000002E-2</v>
      </c>
      <c r="AN56" s="388">
        <v>-2.9500000000000002E-2</v>
      </c>
      <c r="AO56" s="388">
        <v>-2.9500000000000002E-2</v>
      </c>
      <c r="AP56" s="388">
        <v>-2.9500000000000002E-2</v>
      </c>
      <c r="AQ56" s="388">
        <v>-2.9500000000000002E-2</v>
      </c>
      <c r="AR56" s="388">
        <v>-2.9500000000000002E-2</v>
      </c>
      <c r="AS56" s="388">
        <v>-2.9500000000000002E-2</v>
      </c>
      <c r="AT56" s="388">
        <v>-2.9500000000000002E-2</v>
      </c>
      <c r="AU56" s="388">
        <v>-2.9500000000000002E-2</v>
      </c>
      <c r="AV56" s="388">
        <v>-2.9500000000000002E-2</v>
      </c>
      <c r="AW56" s="388">
        <v>-2.9500000000000002E-2</v>
      </c>
      <c r="AX56" s="388">
        <v>-2.9500000000000002E-2</v>
      </c>
      <c r="AY56" s="388">
        <v>-2.9500000000000002E-2</v>
      </c>
      <c r="AZ56" s="388">
        <v>-2.9500000000000002E-2</v>
      </c>
      <c r="BA56" s="388">
        <v>-2.9500000000000002E-2</v>
      </c>
      <c r="BB56" s="388">
        <v>-2.9500000000000002E-2</v>
      </c>
      <c r="BC56" s="388">
        <v>-2.9500000000000002E-2</v>
      </c>
      <c r="BD56" s="388">
        <v>-2.9500000000000002E-2</v>
      </c>
      <c r="BE56" s="388">
        <v>-2.9500000000000002E-2</v>
      </c>
      <c r="BF56" s="388">
        <v>-2.9500000000000002E-2</v>
      </c>
      <c r="BG56" s="388">
        <v>-2.9500000000000002E-2</v>
      </c>
      <c r="BH56" s="388">
        <v>-2.9500000000000002E-2</v>
      </c>
      <c r="BI56" s="388">
        <v>-2.9500000000000002E-2</v>
      </c>
      <c r="BJ56" s="388">
        <v>-2.9500000000000002E-2</v>
      </c>
      <c r="BK56" s="388">
        <v>-2.9500000000000002E-2</v>
      </c>
      <c r="BL56" s="388">
        <v>-2.9500000000000002E-2</v>
      </c>
      <c r="BM56" s="388">
        <v>-2.9500000000000002E-2</v>
      </c>
      <c r="BN56" s="388">
        <v>-2.9500000000000002E-2</v>
      </c>
      <c r="BO56" s="388">
        <v>-2.9500000000000002E-2</v>
      </c>
      <c r="BP56" s="388">
        <v>-2.9500000000000002E-2</v>
      </c>
      <c r="BQ56" s="388">
        <v>-2.9500000000000002E-2</v>
      </c>
      <c r="BR56" s="388">
        <v>-2.9500000000000002E-2</v>
      </c>
      <c r="BS56" s="388">
        <v>-2.9500000000000002E-2</v>
      </c>
      <c r="BT56" s="388">
        <v>-2.9500000000000002E-2</v>
      </c>
      <c r="BU56" s="388">
        <v>-2.9500000000000002E-2</v>
      </c>
      <c r="BV56" s="388">
        <v>-2.9500000000000002E-2</v>
      </c>
      <c r="BW56" s="388">
        <v>-2.9500000000000002E-2</v>
      </c>
      <c r="BX56" s="388">
        <v>-2.9500000000000002E-2</v>
      </c>
      <c r="BY56" s="388">
        <v>-2.9500000000000002E-2</v>
      </c>
      <c r="BZ56" s="388">
        <v>-2.9500000000000002E-2</v>
      </c>
      <c r="CA56" s="388">
        <v>-2.9500000000000002E-2</v>
      </c>
      <c r="CB56" s="388">
        <v>-2.9500000000000002E-2</v>
      </c>
      <c r="CC56" s="388">
        <v>-2.9500000000000002E-2</v>
      </c>
      <c r="CD56" s="388">
        <v>-2.9500000000000002E-2</v>
      </c>
      <c r="CE56" s="388">
        <v>-2.9500000000000002E-2</v>
      </c>
      <c r="CF56" s="388">
        <v>-2.9500000000000002E-2</v>
      </c>
      <c r="CG56" s="388">
        <v>-2.9499999999999981E-2</v>
      </c>
      <c r="CH56" s="388">
        <v>-2.9499999999999985E-2</v>
      </c>
      <c r="CI56" s="388">
        <v>-2.9500000000000002E-2</v>
      </c>
      <c r="CJ56" s="388">
        <v>-2.9500000000000002E-2</v>
      </c>
      <c r="CK56" s="388">
        <v>-2.9499999999999971E-2</v>
      </c>
      <c r="CL56" s="388">
        <v>-2.9500000000000002E-2</v>
      </c>
      <c r="CM56" s="388">
        <v>-2.9500000000000002E-2</v>
      </c>
      <c r="CN56" s="388">
        <v>-2.9500000000000002E-2</v>
      </c>
      <c r="CO56" s="388">
        <v>-2.9500000000000002E-2</v>
      </c>
      <c r="CP56" s="388">
        <v>-2.9500000000000002E-2</v>
      </c>
      <c r="CQ56" s="388">
        <v>-2.9500000000000002E-2</v>
      </c>
      <c r="CR56" s="388">
        <v>-2.9500000000000002E-2</v>
      </c>
      <c r="CS56" s="388">
        <v>-2.9500000000000002E-2</v>
      </c>
      <c r="CT56" s="388">
        <v>-2.9500000000000002E-2</v>
      </c>
      <c r="CU56" s="388">
        <v>-2.9500000000000002E-2</v>
      </c>
      <c r="CV56" s="388">
        <v>-2.9500000000000002E-2</v>
      </c>
      <c r="CW56" s="388">
        <v>-2.9500000000000002E-2</v>
      </c>
      <c r="CX56" s="388">
        <v>-2.9500000000000002E-2</v>
      </c>
      <c r="CY56" s="388">
        <v>-2.9500000000000002E-2</v>
      </c>
      <c r="CZ56" s="388">
        <v>-2.9500000000000002E-2</v>
      </c>
      <c r="DA56" s="388">
        <v>-2.9500000000000002E-2</v>
      </c>
      <c r="DB56" s="388">
        <v>-2.9499999999999998E-2</v>
      </c>
      <c r="DC56" s="388">
        <v>-2.9500000000000002E-2</v>
      </c>
      <c r="DD56" s="388">
        <v>-2.9500000000000103E-2</v>
      </c>
      <c r="DE56" s="388">
        <v>-2.9500000000000002E-2</v>
      </c>
      <c r="DF56" s="388">
        <v>-2.9500000000000002E-2</v>
      </c>
      <c r="DG56" s="388">
        <v>-2.9500000000000002E-2</v>
      </c>
      <c r="DH56" s="388">
        <v>-2.9499999999999985E-2</v>
      </c>
      <c r="DI56" s="388">
        <v>-2.9500000000000002E-2</v>
      </c>
      <c r="DJ56" s="388">
        <v>-2.9500000000000002E-2</v>
      </c>
      <c r="DK56" s="388">
        <v>-2.9500000000000002E-2</v>
      </c>
      <c r="DL56" s="388">
        <v>-2.9499999999999957E-2</v>
      </c>
      <c r="DM56" s="388">
        <v>-2.9500000000000002E-2</v>
      </c>
      <c r="DN56" s="388">
        <v>-2.9500000000000002E-2</v>
      </c>
      <c r="DO56" s="388">
        <v>-2.9500000000000002E-2</v>
      </c>
      <c r="DP56" s="388">
        <v>-2.9500000000000002E-2</v>
      </c>
      <c r="DQ56" s="388">
        <v>-2.9500000000000002E-2</v>
      </c>
      <c r="DR56" s="388">
        <v>-2.9499999999999992E-2</v>
      </c>
      <c r="DS56" s="388">
        <v>-2.9499999999999992E-2</v>
      </c>
      <c r="DT56" s="388">
        <v>-2.950000000000004E-2</v>
      </c>
      <c r="DU56" s="388">
        <v>-2.9499999999999971E-2</v>
      </c>
      <c r="DV56" s="388">
        <v>-2.9500000000000002E-2</v>
      </c>
      <c r="DW56" s="388">
        <v>-2.9500000000000002E-2</v>
      </c>
      <c r="DX56" s="388">
        <v>-2.9500000000000002E-2</v>
      </c>
      <c r="DY56" s="388">
        <v>-2.9500000000000002E-2</v>
      </c>
      <c r="DZ56" s="388">
        <v>-2.9499999985952177E-2</v>
      </c>
      <c r="EA56" s="388">
        <v>-2.9499999985952177E-2</v>
      </c>
      <c r="EB56" s="388"/>
      <c r="EC56" s="388"/>
      <c r="ED56" s="388">
        <v>-7.1730503878911908E-5</v>
      </c>
      <c r="EE56" s="388">
        <v>1.1963096439719958E-4</v>
      </c>
      <c r="EF56" s="388">
        <v>8.4014524646057616E-4</v>
      </c>
      <c r="EG56" s="388">
        <v>-2.168599668744949E-3</v>
      </c>
      <c r="EH56" s="388">
        <v>-3.7809162756370423E-3</v>
      </c>
      <c r="EI56" s="388">
        <v>-1.4343100801706686E-3</v>
      </c>
      <c r="EJ56" s="388">
        <v>-3.4214205267408659E-3</v>
      </c>
      <c r="EK56" s="388">
        <v>-2.527285903506502E-3</v>
      </c>
      <c r="EL56" s="388">
        <v>-5.1228364464099849E-3</v>
      </c>
      <c r="EM56" s="388">
        <v>-4.2266307227467901E-4</v>
      </c>
      <c r="EN56" s="388">
        <v>-2.3238921843753951E-2</v>
      </c>
      <c r="EO56" s="388">
        <v>-2.7351403290653133E-2</v>
      </c>
      <c r="EP56" s="388">
        <v>-2.3864770344502378E-2</v>
      </c>
      <c r="EQ56" s="388">
        <v>-1.4489027461323302E-2</v>
      </c>
      <c r="ER56" s="388">
        <v>-2.3168124312104771E-2</v>
      </c>
      <c r="ES56" s="388">
        <v>-2.2648597045741455E-2</v>
      </c>
      <c r="ET56" s="388">
        <v>-1.7675910378218959E-2</v>
      </c>
      <c r="EU56" s="388">
        <v>-2.1596839257522784E-2</v>
      </c>
      <c r="EV56" s="388">
        <v>-2.3789594913284001E-2</v>
      </c>
      <c r="EW56" s="388">
        <v>-2.439159067387096E-2</v>
      </c>
      <c r="EX56" s="388">
        <v>-2.3701911748533009E-2</v>
      </c>
      <c r="EY56" s="388">
        <v>-1.0934839178159254E-3</v>
      </c>
      <c r="EZ56" s="388">
        <v>4.8754085046786216E-4</v>
      </c>
      <c r="FA56" s="388">
        <v>-1.8562321998076205E-2</v>
      </c>
      <c r="FB56" s="388">
        <v>-1.366256731179929E-2</v>
      </c>
      <c r="FC56" s="388">
        <v>-1.182008886270771E-3</v>
      </c>
      <c r="FD56" s="388">
        <v>-1.3573724318457485E-3</v>
      </c>
      <c r="FE56" s="388">
        <v>-7.1724063268011239E-5</v>
      </c>
      <c r="FF56" s="388">
        <v>8.7349593051923495E-5</v>
      </c>
      <c r="FG56" s="388">
        <v>6.3010893484543207E-4</v>
      </c>
      <c r="FH56" s="388">
        <v>-1.1095606280565548E-3</v>
      </c>
      <c r="FI56" s="388">
        <v>-4.2395863048745519E-3</v>
      </c>
      <c r="FJ56" s="388">
        <v>1.0701517043511255E-3</v>
      </c>
      <c r="FK56" s="388">
        <v>-1.0996844317325529E-2</v>
      </c>
      <c r="FL56" s="388">
        <v>-1.1193408809823985E-3</v>
      </c>
      <c r="FM56" s="388">
        <v>2.3960528534334217E-3</v>
      </c>
      <c r="FN56" s="388">
        <v>2.5789232674062372E-3</v>
      </c>
      <c r="FO56" s="388">
        <v>-9.8442511386216008E-4</v>
      </c>
      <c r="FP56" s="388">
        <v>2.5600000000000008E-2</v>
      </c>
      <c r="FQ56" s="388">
        <v>2.9369558774907451E-2</v>
      </c>
      <c r="FR56" s="388">
        <v>2.3864770344502378E-2</v>
      </c>
      <c r="FS56" s="388">
        <v>1.7443181344148385E-2</v>
      </c>
      <c r="FT56" s="388">
        <v>2.4827861579878412E-2</v>
      </c>
      <c r="FU56" s="388">
        <v>2.4401391055097428E-2</v>
      </c>
      <c r="FV56" s="388">
        <v>2.0367438086667664E-2</v>
      </c>
      <c r="FW56" s="388">
        <v>2.2789332179498013E-2</v>
      </c>
      <c r="FX56" s="388">
        <v>2.5446464452927281E-2</v>
      </c>
      <c r="FY56" s="388">
        <v>2.6713326914816194E-2</v>
      </c>
      <c r="FZ56" s="388">
        <v>2.5856885921865753E-2</v>
      </c>
      <c r="GA56" s="388">
        <v>1.7149061214524544E-4</v>
      </c>
      <c r="GB56" s="388"/>
      <c r="GC56" s="388"/>
      <c r="GD56" s="388"/>
      <c r="GE56" s="388"/>
      <c r="GF56" s="388"/>
      <c r="GG56" s="388"/>
      <c r="GH56" s="388"/>
      <c r="GI56" s="388"/>
      <c r="GJ56" s="388"/>
      <c r="GK56" s="388"/>
      <c r="GL56" s="388"/>
      <c r="GM56" s="388"/>
      <c r="GN56" s="388"/>
      <c r="GO56" s="388"/>
      <c r="GP56" s="412"/>
      <c r="GQ56" s="412"/>
      <c r="GR56" s="412"/>
      <c r="GS56" s="412"/>
      <c r="GT56" s="412"/>
      <c r="GU56" s="412"/>
      <c r="GV56" s="412"/>
      <c r="GW56" s="412"/>
      <c r="GX56" s="412"/>
      <c r="GY56" s="412"/>
      <c r="GZ56" s="412"/>
      <c r="HA56" s="412"/>
      <c r="HB56" s="412"/>
      <c r="HC56" s="412"/>
      <c r="HD56" s="412"/>
      <c r="HE56" s="412"/>
      <c r="HF56" s="412"/>
      <c r="HG56" s="412"/>
      <c r="HH56" s="412"/>
      <c r="HI56" s="412"/>
      <c r="HJ56" s="412"/>
      <c r="HK56" s="412"/>
      <c r="HL56" s="412"/>
      <c r="HM56" s="412"/>
      <c r="HN56" s="412"/>
      <c r="HO56" s="412"/>
      <c r="HP56" s="412"/>
      <c r="HQ56" s="412"/>
      <c r="HR56" s="412"/>
      <c r="HS56" s="412"/>
      <c r="HT56" s="412"/>
      <c r="HU56" s="412"/>
      <c r="HV56" s="412"/>
      <c r="HW56" s="412"/>
      <c r="HX56" s="412"/>
      <c r="HY56" s="412"/>
      <c r="HZ56" s="412"/>
      <c r="IA56" s="412"/>
      <c r="IB56" s="412"/>
      <c r="IC56" s="412"/>
      <c r="ID56" s="412"/>
      <c r="IE56" s="412"/>
      <c r="IF56" s="412"/>
      <c r="IG56" s="412"/>
      <c r="IH56" s="412"/>
      <c r="II56" s="412"/>
      <c r="IJ56" s="412"/>
      <c r="IK56" s="412"/>
      <c r="IL56" s="412"/>
      <c r="IM56" s="412"/>
      <c r="IN56" s="412"/>
      <c r="IO56" s="412"/>
      <c r="IP56" s="412"/>
      <c r="IQ56" s="412"/>
      <c r="IR56" s="412"/>
      <c r="IS56" s="412"/>
      <c r="IT56" s="412"/>
      <c r="IU56" s="412"/>
      <c r="IV56" s="412"/>
      <c r="IW56" s="412"/>
      <c r="IX56" s="412"/>
      <c r="IY56" s="412"/>
      <c r="IZ56" s="412"/>
      <c r="JA56" s="412"/>
      <c r="JB56" s="412"/>
      <c r="JC56" s="412"/>
      <c r="JD56" s="412"/>
      <c r="JE56" s="412"/>
      <c r="JF56" s="412"/>
      <c r="JG56" s="412"/>
      <c r="JH56" s="412"/>
      <c r="JI56" s="412"/>
      <c r="JJ56" s="412"/>
      <c r="JK56" s="412"/>
      <c r="JL56" s="412"/>
      <c r="JM56" s="412"/>
      <c r="JN56" s="412"/>
      <c r="JO56" s="412"/>
      <c r="JP56" s="412"/>
      <c r="JQ56" s="412"/>
      <c r="JR56" s="412"/>
      <c r="JS56" s="412"/>
      <c r="JT56" s="412"/>
      <c r="JU56" s="412"/>
      <c r="JV56" s="412"/>
      <c r="JW56" s="412"/>
      <c r="JX56" s="412"/>
      <c r="JY56" s="412"/>
      <c r="JZ56" s="412"/>
      <c r="KA56" s="412"/>
      <c r="KB56" s="412"/>
      <c r="KC56" s="412"/>
      <c r="KD56" s="412"/>
      <c r="KE56" s="412"/>
      <c r="KF56" s="412"/>
      <c r="KG56" s="412"/>
      <c r="KH56" s="412"/>
      <c r="KI56" s="412"/>
      <c r="KJ56" s="412"/>
      <c r="KK56" s="412"/>
      <c r="KL56" s="412"/>
      <c r="KM56" s="412"/>
      <c r="KN56" s="412"/>
      <c r="KO56" s="412"/>
      <c r="KP56" s="412"/>
      <c r="KQ56" s="412"/>
      <c r="KR56" s="412"/>
      <c r="KS56" s="412"/>
      <c r="KT56" s="412"/>
      <c r="KU56" s="412"/>
      <c r="KV56" s="412"/>
      <c r="KW56" s="412"/>
      <c r="KX56" s="412"/>
      <c r="KY56" s="412"/>
      <c r="KZ56" s="412"/>
      <c r="LA56" s="412"/>
      <c r="LB56" s="412"/>
      <c r="LC56" s="412"/>
      <c r="LD56" s="412"/>
      <c r="LE56" s="412"/>
      <c r="LF56" s="412"/>
      <c r="LG56" s="412"/>
      <c r="LH56" s="412"/>
      <c r="LI56" s="412"/>
      <c r="LJ56" s="412"/>
      <c r="LK56" s="412"/>
      <c r="LL56" s="412"/>
      <c r="LM56" s="412"/>
      <c r="LN56" s="412"/>
      <c r="LO56" s="412"/>
      <c r="LP56" s="412"/>
      <c r="LQ56" s="412"/>
      <c r="LR56" s="412"/>
      <c r="LS56" s="412"/>
      <c r="LT56" s="412"/>
      <c r="LU56" s="412"/>
      <c r="LV56" s="412"/>
      <c r="LW56" s="412"/>
      <c r="LX56" s="412"/>
      <c r="LY56" s="412"/>
      <c r="LZ56" s="412"/>
      <c r="MA56" s="412"/>
      <c r="MB56" s="412"/>
      <c r="MC56" s="412"/>
      <c r="MD56" s="412"/>
      <c r="ME56" s="412"/>
      <c r="MF56" s="412"/>
      <c r="MG56" s="412"/>
      <c r="MH56" s="412"/>
      <c r="MI56" s="412"/>
      <c r="MJ56" s="412"/>
      <c r="MK56" s="412"/>
      <c r="ML56" s="412"/>
      <c r="MM56" s="412"/>
      <c r="MN56" s="412"/>
      <c r="MO56" s="412"/>
      <c r="MP56" s="412"/>
      <c r="MQ56" s="412"/>
      <c r="MR56" s="412"/>
      <c r="MS56" s="412"/>
      <c r="MT56" s="412"/>
      <c r="MU56" s="412"/>
      <c r="MV56" s="412"/>
      <c r="MW56" s="412"/>
      <c r="MX56" s="412"/>
      <c r="MY56" s="412"/>
      <c r="MZ56" s="412"/>
      <c r="NA56" s="412"/>
      <c r="NB56" s="412"/>
      <c r="NC56" s="412"/>
      <c r="ND56" s="412"/>
      <c r="NE56" s="412"/>
      <c r="NF56" s="412"/>
      <c r="NG56" s="412"/>
      <c r="NH56" s="412"/>
      <c r="NI56" s="412"/>
      <c r="NJ56" s="412"/>
      <c r="NK56" s="412"/>
      <c r="NL56" s="412"/>
      <c r="NM56" s="412"/>
      <c r="NN56" s="412"/>
      <c r="NO56" s="412"/>
      <c r="NP56" s="412"/>
      <c r="NQ56" s="412"/>
      <c r="NR56" s="412"/>
      <c r="NS56" s="412"/>
      <c r="NT56" s="412"/>
      <c r="NU56" s="412"/>
      <c r="NV56" s="412"/>
      <c r="NW56" s="412"/>
      <c r="NX56" s="412"/>
      <c r="NY56" s="412"/>
      <c r="NZ56" s="412"/>
      <c r="OA56" s="412"/>
      <c r="OB56" s="412"/>
      <c r="OC56" s="412"/>
      <c r="OD56" s="412"/>
      <c r="OE56" s="412"/>
      <c r="OF56" s="412"/>
      <c r="OG56" s="412"/>
      <c r="OH56" s="412"/>
      <c r="OI56" s="412"/>
      <c r="OJ56" s="412"/>
      <c r="OK56" s="412"/>
      <c r="OL56" s="412"/>
      <c r="OM56" s="412"/>
      <c r="ON56" s="412"/>
      <c r="OO56" s="412"/>
      <c r="OP56" s="412"/>
      <c r="OQ56" s="412"/>
      <c r="OR56" s="412"/>
      <c r="OS56" s="412"/>
      <c r="OT56" s="412"/>
      <c r="OU56" s="412"/>
      <c r="OV56" s="412"/>
      <c r="OW56" s="412"/>
      <c r="OX56" s="412"/>
      <c r="OY56" s="412"/>
      <c r="OZ56" s="412"/>
      <c r="PA56" s="412"/>
      <c r="PB56" s="412"/>
      <c r="PC56" s="412"/>
      <c r="PD56" s="412"/>
      <c r="PE56" s="412"/>
      <c r="PF56" s="412"/>
      <c r="PG56" s="412"/>
      <c r="PH56" s="412"/>
      <c r="PI56" s="412"/>
      <c r="PJ56" s="412"/>
      <c r="PK56" s="412"/>
      <c r="PL56" s="412"/>
      <c r="PM56" s="412"/>
      <c r="PN56" s="412"/>
      <c r="PO56" s="412"/>
      <c r="PP56" s="412"/>
      <c r="PQ56" s="412"/>
      <c r="PR56" s="412"/>
      <c r="PS56" s="412"/>
      <c r="PT56" s="412"/>
      <c r="PU56" s="412"/>
      <c r="PV56" s="412"/>
      <c r="PW56" s="412"/>
      <c r="PX56" s="412"/>
      <c r="PY56" s="412"/>
      <c r="PZ56" s="412"/>
      <c r="QA56" s="412"/>
      <c r="QB56" s="412"/>
      <c r="QC56" s="412"/>
      <c r="QD56" s="412"/>
      <c r="QE56" s="412"/>
      <c r="QF56" s="412"/>
      <c r="QG56" s="412"/>
      <c r="QH56" s="412"/>
      <c r="QI56" s="412"/>
      <c r="QJ56" s="412"/>
      <c r="QK56" s="412"/>
      <c r="QL56" s="412"/>
      <c r="QM56" s="412"/>
      <c r="QN56" s="412"/>
      <c r="QO56" s="412"/>
      <c r="QP56" s="412"/>
      <c r="QQ56" s="412"/>
      <c r="QR56" s="412"/>
      <c r="QS56" s="412"/>
      <c r="QT56" s="412"/>
      <c r="QU56" s="412"/>
      <c r="QV56" s="412"/>
      <c r="QW56" s="412"/>
      <c r="QX56" s="412"/>
      <c r="QY56" s="412"/>
      <c r="QZ56" s="412"/>
      <c r="RA56" s="412"/>
      <c r="RB56" s="412"/>
      <c r="RC56" s="412"/>
      <c r="RD56" s="412"/>
      <c r="RE56" s="412"/>
      <c r="RF56" s="412"/>
      <c r="RG56" s="412"/>
      <c r="RH56" s="412"/>
      <c r="RI56" s="412"/>
      <c r="RJ56" s="412"/>
      <c r="RK56" s="412"/>
      <c r="RL56" s="412"/>
      <c r="RM56" s="412"/>
      <c r="RN56" s="412"/>
      <c r="RO56" s="412"/>
      <c r="RP56" s="412"/>
      <c r="RQ56" s="412"/>
      <c r="RR56" s="412"/>
      <c r="RS56" s="412"/>
      <c r="RT56" s="412"/>
      <c r="RU56" s="412"/>
      <c r="RV56" s="412"/>
      <c r="RW56" s="412"/>
      <c r="RX56" s="412"/>
      <c r="RY56" s="412"/>
      <c r="RZ56" s="412"/>
      <c r="SA56" s="412"/>
      <c r="SB56" s="412"/>
      <c r="SC56" s="412"/>
      <c r="SD56" s="412"/>
      <c r="SE56" s="412"/>
      <c r="SF56" s="412"/>
      <c r="SG56" s="412"/>
    </row>
    <row r="57" spans="1:501" x14ac:dyDescent="0.2">
      <c r="A57" s="391" t="s">
        <v>41</v>
      </c>
      <c r="B57" s="110"/>
      <c r="C57" s="392">
        <v>0.105</v>
      </c>
      <c r="D57" s="392">
        <v>0.2</v>
      </c>
      <c r="E57" s="392">
        <v>-9.9999999999999995E-7</v>
      </c>
      <c r="F57" s="392">
        <v>-9.9999999999999995E-7</v>
      </c>
      <c r="G57" s="392"/>
      <c r="H57" s="110"/>
      <c r="I57" s="410">
        <v>0</v>
      </c>
      <c r="J57" s="410">
        <v>0</v>
      </c>
      <c r="K57" s="410">
        <v>0</v>
      </c>
      <c r="L57" s="410">
        <v>0</v>
      </c>
      <c r="M57" s="410">
        <v>0</v>
      </c>
      <c r="N57" s="410">
        <v>0</v>
      </c>
      <c r="O57" s="387"/>
      <c r="P57" s="393">
        <v>0</v>
      </c>
      <c r="Q57" s="393">
        <v>0</v>
      </c>
      <c r="R57" s="393">
        <v>0</v>
      </c>
      <c r="S57" s="393">
        <v>0</v>
      </c>
      <c r="T57" s="393">
        <v>0</v>
      </c>
      <c r="U57" s="393"/>
      <c r="V57" s="393">
        <v>0</v>
      </c>
      <c r="W57" s="393">
        <v>0</v>
      </c>
      <c r="X57" s="393">
        <v>0</v>
      </c>
      <c r="Y57" s="393">
        <v>0</v>
      </c>
      <c r="Z57" s="393">
        <v>0</v>
      </c>
      <c r="AA57" s="393"/>
      <c r="AB57" s="435"/>
      <c r="AC57" s="393">
        <v>-9.9999999999999995E-7</v>
      </c>
      <c r="AD57" s="411"/>
      <c r="AE57" s="435"/>
      <c r="AF57" s="388">
        <v>-1.0000000000000006E-6</v>
      </c>
      <c r="AG57" s="388">
        <v>-9.9999999999999995E-7</v>
      </c>
      <c r="AH57" s="388">
        <v>-9.9999999999999974E-7</v>
      </c>
      <c r="AI57" s="388">
        <v>-9.9999999999999995E-7</v>
      </c>
      <c r="AJ57" s="388">
        <v>-1.0000000000000016E-6</v>
      </c>
      <c r="AK57" s="388">
        <v>-1.0000000000000006E-6</v>
      </c>
      <c r="AL57" s="388">
        <v>-1.0000000000000273E-6</v>
      </c>
      <c r="AM57" s="388">
        <v>-9.9999999999999572E-7</v>
      </c>
      <c r="AN57" s="388">
        <v>-9.9999999999999995E-7</v>
      </c>
      <c r="AO57" s="388">
        <v>-1.0000000000000004E-6</v>
      </c>
      <c r="AP57" s="388">
        <v>-9.9999999999999635E-7</v>
      </c>
      <c r="AQ57" s="388">
        <v>-9.9999999999999995E-7</v>
      </c>
      <c r="AR57" s="388">
        <v>-9.9999999999999995E-7</v>
      </c>
      <c r="AS57" s="388">
        <v>-9.9999999999999995E-7</v>
      </c>
      <c r="AT57" s="388">
        <v>-9.9999999999999995E-7</v>
      </c>
      <c r="AU57" s="388">
        <v>-1.0000000000000023E-6</v>
      </c>
      <c r="AV57" s="388">
        <v>-9.9999999999999995E-7</v>
      </c>
      <c r="AW57" s="388">
        <v>-9.9999999999999995E-7</v>
      </c>
      <c r="AX57" s="388">
        <v>-1.0000000000000002E-6</v>
      </c>
      <c r="AY57" s="388">
        <v>-9.9999999999999995E-7</v>
      </c>
      <c r="AZ57" s="388">
        <v>-9.9999999999999953E-7</v>
      </c>
      <c r="BA57" s="388">
        <v>-9.9999999999999953E-7</v>
      </c>
      <c r="BB57" s="388">
        <v>-9.9999999999999741E-7</v>
      </c>
      <c r="BC57" s="388">
        <v>-9.9999999999999995E-7</v>
      </c>
      <c r="BD57" s="388">
        <v>-1.0000000000000008E-6</v>
      </c>
      <c r="BE57" s="388">
        <v>-1.0000000000000065E-6</v>
      </c>
      <c r="BF57" s="388">
        <v>-1.0000000000000004E-6</v>
      </c>
      <c r="BG57" s="388">
        <v>-9.9999999999999995E-7</v>
      </c>
      <c r="BH57" s="388">
        <v>-9.9999999999999995E-7</v>
      </c>
      <c r="BI57" s="388">
        <v>-9.9999999999999741E-7</v>
      </c>
      <c r="BJ57" s="388">
        <v>-9.9999999999999995E-7</v>
      </c>
      <c r="BK57" s="388">
        <v>-9.9999999999999995E-7</v>
      </c>
      <c r="BL57" s="388">
        <v>-9.9999999999999995E-7</v>
      </c>
      <c r="BM57" s="388">
        <v>-9.9999999999999995E-7</v>
      </c>
      <c r="BN57" s="388">
        <v>-9.9999999999999974E-7</v>
      </c>
      <c r="BO57" s="388">
        <v>-9.9999999999999974E-7</v>
      </c>
      <c r="BP57" s="388">
        <v>-1.0000000000000002E-6</v>
      </c>
      <c r="BQ57" s="388">
        <v>-9.9999999999994574E-7</v>
      </c>
      <c r="BR57" s="388">
        <v>-9.9999999999999995E-7</v>
      </c>
      <c r="BS57" s="388">
        <v>-1.0000000000000004E-6</v>
      </c>
      <c r="BT57" s="388">
        <v>-9.9999999999999995E-7</v>
      </c>
      <c r="BU57" s="388">
        <v>-9.9999999999999995E-7</v>
      </c>
      <c r="BV57" s="388">
        <v>-9.9999999999999995E-7</v>
      </c>
      <c r="BW57" s="388">
        <v>-9.9999999999999995E-7</v>
      </c>
      <c r="BX57" s="388">
        <v>-1.0000000000000002E-6</v>
      </c>
      <c r="BY57" s="388">
        <v>-9.9999999999999953E-7</v>
      </c>
      <c r="BZ57" s="388">
        <v>-9.9999999999999911E-7</v>
      </c>
      <c r="CA57" s="388">
        <v>-1.0000000000002172E-6</v>
      </c>
      <c r="CB57" s="388">
        <v>-1.0000000000000004E-6</v>
      </c>
      <c r="CC57" s="388">
        <v>-9.9999999999999995E-7</v>
      </c>
      <c r="CD57" s="388">
        <v>-1.000000000000001E-6</v>
      </c>
      <c r="CE57" s="388">
        <v>-1.0000000000000002E-6</v>
      </c>
      <c r="CF57" s="388">
        <v>-9.9999999999999995E-7</v>
      </c>
      <c r="CG57" s="388">
        <v>-9.9999999997672518E-7</v>
      </c>
      <c r="CH57" s="388">
        <v>-1.000000000008908E-6</v>
      </c>
      <c r="CI57" s="388">
        <v>-9.999999999993471E-7</v>
      </c>
      <c r="CJ57" s="388">
        <v>-9.9999999999999995E-7</v>
      </c>
      <c r="CK57" s="388">
        <v>-1.0000000000167098E-6</v>
      </c>
      <c r="CL57" s="388">
        <v>-9.9999999999999678E-7</v>
      </c>
      <c r="CM57" s="388">
        <v>-9.9999999999999995E-7</v>
      </c>
      <c r="CN57" s="388">
        <v>-9.9999999999999974E-7</v>
      </c>
      <c r="CO57" s="388">
        <v>-1.0000000000000002E-6</v>
      </c>
      <c r="CP57" s="388">
        <v>-1.0000000000000002E-6</v>
      </c>
      <c r="CQ57" s="388">
        <v>-9.9999999999995866E-7</v>
      </c>
      <c r="CR57" s="388">
        <v>-9.9999999999999995E-7</v>
      </c>
      <c r="CS57" s="388">
        <v>-9.9999999999999911E-7</v>
      </c>
      <c r="CT57" s="388">
        <v>-1.0000000000000016E-6</v>
      </c>
      <c r="CU57" s="388">
        <v>-1.0000000000000046E-6</v>
      </c>
      <c r="CV57" s="388">
        <v>-1.0000000000000002E-6</v>
      </c>
      <c r="CW57" s="388">
        <v>-9.9999999999999064E-7</v>
      </c>
      <c r="CX57" s="388">
        <v>-1.0000000000000004E-6</v>
      </c>
      <c r="CY57" s="388">
        <v>-1.0000000000000006E-6</v>
      </c>
      <c r="CZ57" s="388">
        <v>-9.9999999999999741E-7</v>
      </c>
      <c r="DA57" s="388">
        <v>-9.9999999999999995E-7</v>
      </c>
      <c r="DB57" s="388">
        <v>-1.0000000000107052E-6</v>
      </c>
      <c r="DC57" s="388">
        <v>-1.0000000000000936E-6</v>
      </c>
      <c r="DD57" s="388">
        <v>-9.9999999998327127E-7</v>
      </c>
      <c r="DE57" s="388">
        <v>-9.9999999999999911E-7</v>
      </c>
      <c r="DF57" s="388">
        <v>-9.9999999999999995E-7</v>
      </c>
      <c r="DG57" s="388">
        <v>-9.9999999999990149E-7</v>
      </c>
      <c r="DH57" s="388">
        <v>-1.0000000000228497E-6</v>
      </c>
      <c r="DI57" s="388">
        <v>-1.000000000000706E-6</v>
      </c>
      <c r="DJ57" s="388">
        <v>-1.0000000000003856E-6</v>
      </c>
      <c r="DK57" s="388">
        <v>-9.9999999999999953E-7</v>
      </c>
      <c r="DL57" s="388">
        <v>-1.0000000000226498E-6</v>
      </c>
      <c r="DM57" s="388">
        <v>-1.0000000000001586E-6</v>
      </c>
      <c r="DN57" s="388">
        <v>-9.9999999999998068E-7</v>
      </c>
      <c r="DO57" s="388">
        <v>-9.9999999999990848E-7</v>
      </c>
      <c r="DP57" s="388">
        <v>-9.9999999999946124E-7</v>
      </c>
      <c r="DQ57" s="388">
        <v>-9.9999999999999868E-7</v>
      </c>
      <c r="DR57" s="388">
        <v>-9.9999999999107435E-7</v>
      </c>
      <c r="DS57" s="388">
        <v>-1.0000000000410434E-6</v>
      </c>
      <c r="DT57" s="388">
        <v>-9.9999999998380638E-7</v>
      </c>
      <c r="DU57" s="388">
        <v>-9.9999999998442768E-7</v>
      </c>
      <c r="DV57" s="388">
        <v>-1.0000000000000072E-6</v>
      </c>
      <c r="DW57" s="388">
        <v>-1.000000000000119E-6</v>
      </c>
      <c r="DX57" s="388">
        <v>-1.000000000000163E-6</v>
      </c>
      <c r="DY57" s="388">
        <v>-1.0000000000000696E-6</v>
      </c>
      <c r="DZ57" s="388">
        <v>-9.9999062105153213E-7</v>
      </c>
      <c r="EA57" s="388">
        <v>-9.9999062105153213E-7</v>
      </c>
      <c r="EB57" s="388"/>
      <c r="EC57" s="388"/>
      <c r="ED57" s="388">
        <v>-3.3336250261382575E-5</v>
      </c>
      <c r="EE57" s="388">
        <v>3.2635035557782526E-4</v>
      </c>
      <c r="EF57" s="388">
        <v>1.3408477614879654E-3</v>
      </c>
      <c r="EG57" s="388">
        <v>-2.6198003494587552E-3</v>
      </c>
      <c r="EH57" s="388">
        <v>-4.4592066335499775E-3</v>
      </c>
      <c r="EI57" s="388">
        <v>-1.6233648912141979E-3</v>
      </c>
      <c r="EJ57" s="388">
        <v>-3.8728621798862456E-3</v>
      </c>
      <c r="EK57" s="388">
        <v>-3.0311660073234852E-3</v>
      </c>
      <c r="EL57" s="388">
        <v>-6.0920613968011893E-3</v>
      </c>
      <c r="EM57" s="388">
        <v>-6.4754617568290717E-4</v>
      </c>
      <c r="EN57" s="388">
        <v>-2.5974483556057155E-2</v>
      </c>
      <c r="EO57" s="388">
        <v>-3.7726368207356024E-2</v>
      </c>
      <c r="EP57" s="388">
        <v>-2.9942735106975683E-2</v>
      </c>
      <c r="EQ57" s="388">
        <v>-1.7510582218786559E-2</v>
      </c>
      <c r="ER57" s="388">
        <v>-2.62960317411862E-2</v>
      </c>
      <c r="ES57" s="388">
        <v>-2.4335325596936866E-2</v>
      </c>
      <c r="ET57" s="388">
        <v>-1.8950075586108422E-2</v>
      </c>
      <c r="EU57" s="388">
        <v>-2.6116457121438993E-2</v>
      </c>
      <c r="EV57" s="388">
        <v>-3.0229403463327194E-2</v>
      </c>
      <c r="EW57" s="388">
        <v>-3.1753184457676331E-2</v>
      </c>
      <c r="EX57" s="388">
        <v>-3.2018109012998675E-2</v>
      </c>
      <c r="EY57" s="388">
        <v>-2.4353283994088938E-4</v>
      </c>
      <c r="EZ57" s="388">
        <v>1.7449296752841956E-3</v>
      </c>
      <c r="FA57" s="388">
        <v>-2.3902072024390101E-2</v>
      </c>
      <c r="FB57" s="388">
        <v>-1.9998242367930758E-2</v>
      </c>
      <c r="FC57" s="388">
        <v>-3.8627258710180516E-4</v>
      </c>
      <c r="FD57" s="388">
        <v>-1.6179134074779994E-3</v>
      </c>
      <c r="FE57" s="388">
        <v>-3.3326748607167195E-5</v>
      </c>
      <c r="FF57" s="388">
        <v>2.3828756121555496E-4</v>
      </c>
      <c r="FG57" s="388">
        <v>1.005635821115974E-3</v>
      </c>
      <c r="FH57" s="388">
        <v>-1.255810576222304E-3</v>
      </c>
      <c r="FI57" s="388">
        <v>-4.7989813968155656E-3</v>
      </c>
      <c r="FJ57" s="388">
        <v>1.6668637115984692E-3</v>
      </c>
      <c r="FK57" s="388">
        <v>-1.2836796906089817E-2</v>
      </c>
      <c r="FL57" s="388">
        <v>-1.7481423879371126E-3</v>
      </c>
      <c r="FM57" s="388">
        <v>2.8412209683130324E-3</v>
      </c>
      <c r="FN57" s="388">
        <v>3.0403521496256652E-3</v>
      </c>
      <c r="FO57" s="388">
        <v>-1.520977660714768E-3</v>
      </c>
      <c r="FP57" s="388">
        <v>2.9369558774907451E-2</v>
      </c>
      <c r="FQ57" s="388">
        <v>4.0000000000000015E-2</v>
      </c>
      <c r="FR57" s="388">
        <v>2.9942735106975683E-2</v>
      </c>
      <c r="FS57" s="388">
        <v>2.1299574913201308E-2</v>
      </c>
      <c r="FT57" s="388">
        <v>2.8593398242565279E-2</v>
      </c>
      <c r="FU57" s="388">
        <v>2.6879652267389035E-2</v>
      </c>
      <c r="FV57" s="388">
        <v>2.2532412204143683E-2</v>
      </c>
      <c r="FW57" s="388">
        <v>2.7752390627615513E-2</v>
      </c>
      <c r="FX57" s="388">
        <v>3.2327120105100991E-2</v>
      </c>
      <c r="FY57" s="388">
        <v>3.4611435934721616E-2</v>
      </c>
      <c r="FZ57" s="388">
        <v>3.4612639374137534E-2</v>
      </c>
      <c r="GA57" s="388">
        <v>1.6011177499970024E-4</v>
      </c>
      <c r="GB57" s="388"/>
      <c r="GC57" s="388"/>
      <c r="GD57" s="388"/>
      <c r="GE57" s="388"/>
      <c r="GF57" s="388"/>
      <c r="GG57" s="388"/>
      <c r="GH57" s="388"/>
      <c r="GI57" s="388"/>
      <c r="GJ57" s="388"/>
      <c r="GK57" s="388"/>
      <c r="GL57" s="388"/>
      <c r="GM57" s="388"/>
      <c r="GN57" s="388"/>
      <c r="GO57" s="388"/>
      <c r="GP57" s="412"/>
      <c r="GQ57" s="412"/>
      <c r="GR57" s="412"/>
      <c r="GS57" s="412"/>
      <c r="GT57" s="412"/>
      <c r="GU57" s="412"/>
      <c r="GV57" s="412"/>
      <c r="GW57" s="412"/>
      <c r="GX57" s="412"/>
      <c r="GY57" s="412"/>
      <c r="GZ57" s="412"/>
      <c r="HA57" s="412"/>
      <c r="HB57" s="412"/>
      <c r="HC57" s="412"/>
      <c r="HD57" s="412"/>
      <c r="HE57" s="412"/>
      <c r="HF57" s="412"/>
      <c r="HG57" s="412"/>
      <c r="HH57" s="412"/>
      <c r="HI57" s="412"/>
      <c r="HJ57" s="412"/>
      <c r="HK57" s="412"/>
      <c r="HL57" s="412"/>
      <c r="HM57" s="412"/>
      <c r="HN57" s="412"/>
      <c r="HO57" s="412"/>
      <c r="HP57" s="412"/>
      <c r="HQ57" s="412"/>
      <c r="HR57" s="412"/>
      <c r="HS57" s="412"/>
      <c r="HT57" s="412"/>
      <c r="HU57" s="412"/>
      <c r="HV57" s="412"/>
      <c r="HW57" s="412"/>
      <c r="HX57" s="412"/>
      <c r="HY57" s="412"/>
      <c r="HZ57" s="412"/>
      <c r="IA57" s="412"/>
      <c r="IB57" s="412"/>
      <c r="IC57" s="412"/>
      <c r="ID57" s="412"/>
      <c r="IE57" s="412"/>
      <c r="IF57" s="412"/>
      <c r="IG57" s="412"/>
      <c r="IH57" s="412"/>
      <c r="II57" s="412"/>
      <c r="IJ57" s="412"/>
      <c r="IK57" s="412"/>
      <c r="IL57" s="412"/>
      <c r="IM57" s="412"/>
      <c r="IN57" s="412"/>
      <c r="IO57" s="412"/>
      <c r="IP57" s="412"/>
      <c r="IQ57" s="412"/>
      <c r="IR57" s="412"/>
      <c r="IS57" s="412"/>
      <c r="IT57" s="412"/>
      <c r="IU57" s="412"/>
      <c r="IV57" s="412"/>
      <c r="IW57" s="412"/>
      <c r="IX57" s="412"/>
      <c r="IY57" s="412"/>
      <c r="IZ57" s="412"/>
      <c r="JA57" s="412"/>
      <c r="JB57" s="412"/>
      <c r="JC57" s="412"/>
      <c r="JD57" s="412"/>
      <c r="JE57" s="412"/>
      <c r="JF57" s="412"/>
      <c r="JG57" s="412"/>
      <c r="JH57" s="412"/>
      <c r="JI57" s="412"/>
      <c r="JJ57" s="412"/>
      <c r="JK57" s="412"/>
      <c r="JL57" s="412"/>
      <c r="JM57" s="412"/>
      <c r="JN57" s="412"/>
      <c r="JO57" s="412"/>
      <c r="JP57" s="412"/>
      <c r="JQ57" s="412"/>
      <c r="JR57" s="412"/>
      <c r="JS57" s="412"/>
      <c r="JT57" s="412"/>
      <c r="JU57" s="412"/>
      <c r="JV57" s="412"/>
      <c r="JW57" s="412"/>
      <c r="JX57" s="412"/>
      <c r="JY57" s="412"/>
      <c r="JZ57" s="412"/>
      <c r="KA57" s="412"/>
      <c r="KB57" s="412"/>
      <c r="KC57" s="412"/>
      <c r="KD57" s="412"/>
      <c r="KE57" s="412"/>
      <c r="KF57" s="412"/>
      <c r="KG57" s="412"/>
      <c r="KH57" s="412"/>
      <c r="KI57" s="412"/>
      <c r="KJ57" s="412"/>
      <c r="KK57" s="412"/>
      <c r="KL57" s="412"/>
      <c r="KM57" s="412"/>
      <c r="KN57" s="412"/>
      <c r="KO57" s="412"/>
      <c r="KP57" s="412"/>
      <c r="KQ57" s="412"/>
      <c r="KR57" s="412"/>
      <c r="KS57" s="412"/>
      <c r="KT57" s="412"/>
      <c r="KU57" s="412"/>
      <c r="KV57" s="412"/>
      <c r="KW57" s="412"/>
      <c r="KX57" s="412"/>
      <c r="KY57" s="412"/>
      <c r="KZ57" s="412"/>
      <c r="LA57" s="412"/>
      <c r="LB57" s="412"/>
      <c r="LC57" s="412"/>
      <c r="LD57" s="412"/>
      <c r="LE57" s="412"/>
      <c r="LF57" s="412"/>
      <c r="LG57" s="412"/>
      <c r="LH57" s="412"/>
      <c r="LI57" s="412"/>
      <c r="LJ57" s="412"/>
      <c r="LK57" s="412"/>
      <c r="LL57" s="412"/>
      <c r="LM57" s="412"/>
      <c r="LN57" s="412"/>
      <c r="LO57" s="412"/>
      <c r="LP57" s="412"/>
      <c r="LQ57" s="412"/>
      <c r="LR57" s="412"/>
      <c r="LS57" s="412"/>
      <c r="LT57" s="412"/>
      <c r="LU57" s="412"/>
      <c r="LV57" s="412"/>
      <c r="LW57" s="412"/>
      <c r="LX57" s="412"/>
      <c r="LY57" s="412"/>
      <c r="LZ57" s="412"/>
      <c r="MA57" s="412"/>
      <c r="MB57" s="412"/>
      <c r="MC57" s="412"/>
      <c r="MD57" s="412"/>
      <c r="ME57" s="412"/>
      <c r="MF57" s="412"/>
      <c r="MG57" s="412"/>
      <c r="MH57" s="412"/>
      <c r="MI57" s="412"/>
      <c r="MJ57" s="412"/>
      <c r="MK57" s="412"/>
      <c r="ML57" s="412"/>
      <c r="MM57" s="412"/>
      <c r="MN57" s="412"/>
      <c r="MO57" s="412"/>
      <c r="MP57" s="412"/>
      <c r="MQ57" s="412"/>
      <c r="MR57" s="412"/>
      <c r="MS57" s="412"/>
      <c r="MT57" s="412"/>
      <c r="MU57" s="412"/>
      <c r="MV57" s="412"/>
      <c r="MW57" s="412"/>
      <c r="MX57" s="412"/>
      <c r="MY57" s="412"/>
      <c r="MZ57" s="412"/>
      <c r="NA57" s="412"/>
      <c r="NB57" s="412"/>
      <c r="NC57" s="412"/>
      <c r="ND57" s="412"/>
      <c r="NE57" s="412"/>
      <c r="NF57" s="412"/>
      <c r="NG57" s="412"/>
      <c r="NH57" s="412"/>
      <c r="NI57" s="412"/>
      <c r="NJ57" s="412"/>
      <c r="NK57" s="412"/>
      <c r="NL57" s="412"/>
      <c r="NM57" s="412"/>
      <c r="NN57" s="412"/>
      <c r="NO57" s="412"/>
      <c r="NP57" s="412"/>
      <c r="NQ57" s="412"/>
      <c r="NR57" s="412"/>
      <c r="NS57" s="412"/>
      <c r="NT57" s="412"/>
      <c r="NU57" s="412"/>
      <c r="NV57" s="412"/>
      <c r="NW57" s="412"/>
      <c r="NX57" s="412"/>
      <c r="NY57" s="412"/>
      <c r="NZ57" s="412"/>
      <c r="OA57" s="412"/>
      <c r="OB57" s="412"/>
      <c r="OC57" s="412"/>
      <c r="OD57" s="412"/>
      <c r="OE57" s="412"/>
      <c r="OF57" s="412"/>
      <c r="OG57" s="412"/>
      <c r="OH57" s="412"/>
      <c r="OI57" s="412"/>
      <c r="OJ57" s="412"/>
      <c r="OK57" s="412"/>
      <c r="OL57" s="412"/>
      <c r="OM57" s="412"/>
      <c r="ON57" s="412"/>
      <c r="OO57" s="412"/>
      <c r="OP57" s="412"/>
      <c r="OQ57" s="412"/>
      <c r="OR57" s="412"/>
      <c r="OS57" s="412"/>
      <c r="OT57" s="412"/>
      <c r="OU57" s="412"/>
      <c r="OV57" s="412"/>
      <c r="OW57" s="412"/>
      <c r="OX57" s="412"/>
      <c r="OY57" s="412"/>
      <c r="OZ57" s="412"/>
      <c r="PA57" s="412"/>
      <c r="PB57" s="412"/>
      <c r="PC57" s="412"/>
      <c r="PD57" s="412"/>
      <c r="PE57" s="412"/>
      <c r="PF57" s="412"/>
      <c r="PG57" s="412"/>
      <c r="PH57" s="412"/>
      <c r="PI57" s="412"/>
      <c r="PJ57" s="412"/>
      <c r="PK57" s="412"/>
      <c r="PL57" s="412"/>
      <c r="PM57" s="412"/>
      <c r="PN57" s="412"/>
      <c r="PO57" s="412"/>
      <c r="PP57" s="412"/>
      <c r="PQ57" s="412"/>
      <c r="PR57" s="412"/>
      <c r="PS57" s="412"/>
      <c r="PT57" s="412"/>
      <c r="PU57" s="412"/>
      <c r="PV57" s="412"/>
      <c r="PW57" s="412"/>
      <c r="PX57" s="412"/>
      <c r="PY57" s="412"/>
      <c r="PZ57" s="412"/>
      <c r="QA57" s="412"/>
      <c r="QB57" s="412"/>
      <c r="QC57" s="412"/>
      <c r="QD57" s="412"/>
      <c r="QE57" s="412"/>
      <c r="QF57" s="412"/>
      <c r="QG57" s="412"/>
      <c r="QH57" s="412"/>
      <c r="QI57" s="412"/>
      <c r="QJ57" s="412"/>
      <c r="QK57" s="412"/>
      <c r="QL57" s="412"/>
      <c r="QM57" s="412"/>
      <c r="QN57" s="412"/>
      <c r="QO57" s="412"/>
      <c r="QP57" s="412"/>
      <c r="QQ57" s="412"/>
      <c r="QR57" s="412"/>
      <c r="QS57" s="412"/>
      <c r="QT57" s="412"/>
      <c r="QU57" s="412"/>
      <c r="QV57" s="412"/>
      <c r="QW57" s="412"/>
      <c r="QX57" s="412"/>
      <c r="QY57" s="412"/>
      <c r="QZ57" s="412"/>
      <c r="RA57" s="412"/>
      <c r="RB57" s="412"/>
      <c r="RC57" s="412"/>
      <c r="RD57" s="412"/>
      <c r="RE57" s="412"/>
      <c r="RF57" s="412"/>
      <c r="RG57" s="412"/>
      <c r="RH57" s="412"/>
      <c r="RI57" s="412"/>
      <c r="RJ57" s="412"/>
      <c r="RK57" s="412"/>
      <c r="RL57" s="412"/>
      <c r="RM57" s="412"/>
      <c r="RN57" s="412"/>
      <c r="RO57" s="412"/>
      <c r="RP57" s="412"/>
      <c r="RQ57" s="412"/>
      <c r="RR57" s="412"/>
      <c r="RS57" s="412"/>
      <c r="RT57" s="412"/>
      <c r="RU57" s="412"/>
      <c r="RV57" s="412"/>
      <c r="RW57" s="412"/>
      <c r="RX57" s="412"/>
      <c r="RY57" s="412"/>
      <c r="RZ57" s="412"/>
      <c r="SA57" s="412"/>
      <c r="SB57" s="412"/>
      <c r="SC57" s="412"/>
      <c r="SD57" s="412"/>
      <c r="SE57" s="412"/>
      <c r="SF57" s="412"/>
      <c r="SG57" s="412"/>
    </row>
    <row r="58" spans="1:501" x14ac:dyDescent="0.2">
      <c r="A58" s="391" t="s">
        <v>42</v>
      </c>
      <c r="B58" s="110"/>
      <c r="C58" s="392">
        <v>0.1</v>
      </c>
      <c r="D58" s="392">
        <v>0.18</v>
      </c>
      <c r="E58" s="392">
        <v>-1.3100000000000001E-2</v>
      </c>
      <c r="F58" s="392">
        <v>-1.3100000000000001E-2</v>
      </c>
      <c r="G58" s="392"/>
      <c r="H58" s="110"/>
      <c r="I58" s="410">
        <v>0</v>
      </c>
      <c r="J58" s="410">
        <v>0</v>
      </c>
      <c r="K58" s="410">
        <v>0</v>
      </c>
      <c r="L58" s="410">
        <v>0</v>
      </c>
      <c r="M58" s="410">
        <v>0</v>
      </c>
      <c r="N58" s="410">
        <v>0</v>
      </c>
      <c r="O58" s="387"/>
      <c r="P58" s="393">
        <v>0</v>
      </c>
      <c r="Q58" s="393">
        <v>0</v>
      </c>
      <c r="R58" s="393">
        <v>0</v>
      </c>
      <c r="S58" s="393">
        <v>0</v>
      </c>
      <c r="T58" s="393">
        <v>0</v>
      </c>
      <c r="U58" s="393"/>
      <c r="V58" s="393">
        <v>0</v>
      </c>
      <c r="W58" s="393">
        <v>0</v>
      </c>
      <c r="X58" s="393">
        <v>0</v>
      </c>
      <c r="Y58" s="393">
        <v>0</v>
      </c>
      <c r="Z58" s="393">
        <v>0</v>
      </c>
      <c r="AA58" s="393"/>
      <c r="AB58" s="435"/>
      <c r="AC58" s="393">
        <v>-1.3100000000000001E-2</v>
      </c>
      <c r="AD58" s="411"/>
      <c r="AE58" s="435"/>
      <c r="AF58" s="388">
        <v>-1.3099999829137232E-2</v>
      </c>
      <c r="AG58" s="388">
        <v>-1.3099999829137232E-2</v>
      </c>
      <c r="AH58" s="388">
        <v>-1.3099999829137232E-2</v>
      </c>
      <c r="AI58" s="388">
        <v>-1.3099999829137232E-2</v>
      </c>
      <c r="AJ58" s="388">
        <v>-1.3099999829137232E-2</v>
      </c>
      <c r="AK58" s="388">
        <v>-1.3099999829137232E-2</v>
      </c>
      <c r="AL58" s="388">
        <v>-1.3099999829137232E-2</v>
      </c>
      <c r="AM58" s="388">
        <v>-1.3099999829137232E-2</v>
      </c>
      <c r="AN58" s="388">
        <v>-1.3099999829137232E-2</v>
      </c>
      <c r="AO58" s="388">
        <v>-1.3099999829137232E-2</v>
      </c>
      <c r="AP58" s="388">
        <v>-1.3099999829137232E-2</v>
      </c>
      <c r="AQ58" s="388">
        <v>-1.3099999829137232E-2</v>
      </c>
      <c r="AR58" s="388">
        <v>-1.3099999829137232E-2</v>
      </c>
      <c r="AS58" s="388">
        <v>-1.3099999829137232E-2</v>
      </c>
      <c r="AT58" s="388">
        <v>-1.3099999829137232E-2</v>
      </c>
      <c r="AU58" s="388">
        <v>-1.3099999829137232E-2</v>
      </c>
      <c r="AV58" s="388">
        <v>-1.3099999829137232E-2</v>
      </c>
      <c r="AW58" s="388">
        <v>-1.3099999829137232E-2</v>
      </c>
      <c r="AX58" s="388">
        <v>-1.3099999829137232E-2</v>
      </c>
      <c r="AY58" s="388">
        <v>-1.3099999829137232E-2</v>
      </c>
      <c r="AZ58" s="388">
        <v>-1.3099999829137232E-2</v>
      </c>
      <c r="BA58" s="388">
        <v>-1.3099999829137232E-2</v>
      </c>
      <c r="BB58" s="388">
        <v>-1.3099999829137232E-2</v>
      </c>
      <c r="BC58" s="388">
        <v>-1.3099999829137232E-2</v>
      </c>
      <c r="BD58" s="388">
        <v>-1.3099999829137232E-2</v>
      </c>
      <c r="BE58" s="388">
        <v>-1.3099999829137232E-2</v>
      </c>
      <c r="BF58" s="388">
        <v>-1.3099999829137232E-2</v>
      </c>
      <c r="BG58" s="388">
        <v>-1.3099999829137232E-2</v>
      </c>
      <c r="BH58" s="388">
        <v>-1.3099999829137232E-2</v>
      </c>
      <c r="BI58" s="388">
        <v>-1.3099999829137232E-2</v>
      </c>
      <c r="BJ58" s="388">
        <v>-1.3099999829137232E-2</v>
      </c>
      <c r="BK58" s="388">
        <v>-1.3099999829137232E-2</v>
      </c>
      <c r="BL58" s="388">
        <v>-1.3099999829137232E-2</v>
      </c>
      <c r="BM58" s="388">
        <v>-1.3099999829137232E-2</v>
      </c>
      <c r="BN58" s="388">
        <v>-1.3099999829137232E-2</v>
      </c>
      <c r="BO58" s="388">
        <v>-1.3099999829137232E-2</v>
      </c>
      <c r="BP58" s="388">
        <v>-1.3099999829137232E-2</v>
      </c>
      <c r="BQ58" s="388">
        <v>-1.3099999829137232E-2</v>
      </c>
      <c r="BR58" s="388">
        <v>-1.3099999829137232E-2</v>
      </c>
      <c r="BS58" s="388">
        <v>-1.3099999829137232E-2</v>
      </c>
      <c r="BT58" s="388">
        <v>-1.3099999829137232E-2</v>
      </c>
      <c r="BU58" s="388">
        <v>-1.3099999829137232E-2</v>
      </c>
      <c r="BV58" s="388">
        <v>-1.3099999829137232E-2</v>
      </c>
      <c r="BW58" s="388">
        <v>-1.3099999829137232E-2</v>
      </c>
      <c r="BX58" s="388">
        <v>-1.3099999829137232E-2</v>
      </c>
      <c r="BY58" s="388">
        <v>-1.3099999829137232E-2</v>
      </c>
      <c r="BZ58" s="388">
        <v>-1.3099999829137232E-2</v>
      </c>
      <c r="CA58" s="388">
        <v>-1.3099999829137232E-2</v>
      </c>
      <c r="CB58" s="388">
        <v>-1.3099999829137232E-2</v>
      </c>
      <c r="CC58" s="388">
        <v>-1.3099999829137232E-2</v>
      </c>
      <c r="CD58" s="388">
        <v>-1.3099999829137232E-2</v>
      </c>
      <c r="CE58" s="388">
        <v>-1.3099999829137232E-2</v>
      </c>
      <c r="CF58" s="388">
        <v>-1.3099999829137232E-2</v>
      </c>
      <c r="CG58" s="388">
        <v>-1.3099999829137232E-2</v>
      </c>
      <c r="CH58" s="388">
        <v>-1.3099999829137232E-2</v>
      </c>
      <c r="CI58" s="388">
        <v>-1.3099999829137232E-2</v>
      </c>
      <c r="CJ58" s="388">
        <v>-1.3099999829137232E-2</v>
      </c>
      <c r="CK58" s="388">
        <v>-1.3099999829137232E-2</v>
      </c>
      <c r="CL58" s="388">
        <v>-1.3099999829137232E-2</v>
      </c>
      <c r="CM58" s="388">
        <v>-1.3099999829137232E-2</v>
      </c>
      <c r="CN58" s="388">
        <v>-1.3099999829137232E-2</v>
      </c>
      <c r="CO58" s="388">
        <v>-1.3099999829137232E-2</v>
      </c>
      <c r="CP58" s="388">
        <v>-1.3099999829137232E-2</v>
      </c>
      <c r="CQ58" s="388">
        <v>-1.3099999829137232E-2</v>
      </c>
      <c r="CR58" s="388">
        <v>-1.3099999829137232E-2</v>
      </c>
      <c r="CS58" s="388">
        <v>-1.3099999829137232E-2</v>
      </c>
      <c r="CT58" s="388">
        <v>-1.3099999829137232E-2</v>
      </c>
      <c r="CU58" s="388">
        <v>-1.3099999829137232E-2</v>
      </c>
      <c r="CV58" s="388">
        <v>-1.3099999829137232E-2</v>
      </c>
      <c r="CW58" s="388">
        <v>-1.3099999829137232E-2</v>
      </c>
      <c r="CX58" s="388">
        <v>-1.3099999829137232E-2</v>
      </c>
      <c r="CY58" s="388">
        <v>-1.3099999829137232E-2</v>
      </c>
      <c r="CZ58" s="388">
        <v>-1.3099999829137232E-2</v>
      </c>
      <c r="DA58" s="388">
        <v>-1.3099999829137232E-2</v>
      </c>
      <c r="DB58" s="388">
        <v>-1.3099999829137232E-2</v>
      </c>
      <c r="DC58" s="388">
        <v>-1.3099999829137232E-2</v>
      </c>
      <c r="DD58" s="388">
        <v>-1.3099999829137232E-2</v>
      </c>
      <c r="DE58" s="388">
        <v>-1.3099999829137232E-2</v>
      </c>
      <c r="DF58" s="388">
        <v>-1.3099999829137232E-2</v>
      </c>
      <c r="DG58" s="388">
        <v>-1.3099999829137232E-2</v>
      </c>
      <c r="DH58" s="388">
        <v>-1.3099999829137232E-2</v>
      </c>
      <c r="DI58" s="388">
        <v>-1.3099999829137232E-2</v>
      </c>
      <c r="DJ58" s="388">
        <v>-1.3099999829137232E-2</v>
      </c>
      <c r="DK58" s="388">
        <v>-1.3099999829137232E-2</v>
      </c>
      <c r="DL58" s="388">
        <v>-1.3099999829137232E-2</v>
      </c>
      <c r="DM58" s="388">
        <v>-1.3099999829137232E-2</v>
      </c>
      <c r="DN58" s="388">
        <v>-1.3099999829137232E-2</v>
      </c>
      <c r="DO58" s="388">
        <v>-1.3099999829137232E-2</v>
      </c>
      <c r="DP58" s="388">
        <v>-1.3099999829137232E-2</v>
      </c>
      <c r="DQ58" s="388">
        <v>-1.3099999829137232E-2</v>
      </c>
      <c r="DR58" s="388">
        <v>-1.3099999829137232E-2</v>
      </c>
      <c r="DS58" s="388">
        <v>-1.3099999829137232E-2</v>
      </c>
      <c r="DT58" s="388">
        <v>-1.3099999829137232E-2</v>
      </c>
      <c r="DU58" s="388">
        <v>-1.3099999829137232E-2</v>
      </c>
      <c r="DV58" s="388">
        <v>-1.3099999829137232E-2</v>
      </c>
      <c r="DW58" s="388">
        <v>-1.3099999829137232E-2</v>
      </c>
      <c r="DX58" s="388">
        <v>-1.3099999829137232E-2</v>
      </c>
      <c r="DY58" s="388">
        <v>-1.3099999829137232E-2</v>
      </c>
      <c r="DZ58" s="388">
        <v>-1.3099999827612127E-2</v>
      </c>
      <c r="EA58" s="388">
        <v>-1.3099999827612127E-2</v>
      </c>
      <c r="EB58" s="388"/>
      <c r="EC58" s="388"/>
      <c r="ED58" s="388">
        <v>5.8476691586039542E-5</v>
      </c>
      <c r="EE58" s="388">
        <v>3.4044333351204996E-4</v>
      </c>
      <c r="EF58" s="388">
        <v>1.1616036891823659E-3</v>
      </c>
      <c r="EG58" s="388">
        <v>-2.3412871690831789E-3</v>
      </c>
      <c r="EH58" s="388">
        <v>-3.956531336522834E-3</v>
      </c>
      <c r="EI58" s="388">
        <v>-1.8738564314970411E-3</v>
      </c>
      <c r="EJ58" s="388">
        <v>-4.2731487021385019E-3</v>
      </c>
      <c r="EK58" s="388">
        <v>-3.1957502117812195E-3</v>
      </c>
      <c r="EL58" s="388">
        <v>-6.2948513375897328E-3</v>
      </c>
      <c r="EM58" s="388">
        <v>-7.3593525810095007E-5</v>
      </c>
      <c r="EN58" s="388">
        <v>-2.0212040309021122E-2</v>
      </c>
      <c r="EO58" s="388">
        <v>-2.6954087844403372E-2</v>
      </c>
      <c r="EP58" s="388">
        <v>-3.2399999999999998E-2</v>
      </c>
      <c r="EQ58" s="388">
        <v>-1.5921028490919916E-2</v>
      </c>
      <c r="ER58" s="388">
        <v>-2.2576811429298051E-2</v>
      </c>
      <c r="ES58" s="388">
        <v>-2.1566486576897477E-2</v>
      </c>
      <c r="ET58" s="388">
        <v>-1.5753807233898843E-2</v>
      </c>
      <c r="EU58" s="388">
        <v>-2.4319388084016371E-2</v>
      </c>
      <c r="EV58" s="388">
        <v>-2.6262956164353441E-2</v>
      </c>
      <c r="EW58" s="388">
        <v>-2.8054184670793809E-2</v>
      </c>
      <c r="EX58" s="388">
        <v>-2.8281112492558054E-2</v>
      </c>
      <c r="EY58" s="388">
        <v>-9.3690127446590494E-4</v>
      </c>
      <c r="EZ58" s="388">
        <v>8.3901064514290747E-4</v>
      </c>
      <c r="FA58" s="388">
        <v>-2.2279230646618176E-2</v>
      </c>
      <c r="FB58" s="388">
        <v>-2.6175283448150462E-2</v>
      </c>
      <c r="FC58" s="388">
        <v>-1.4219089985862052E-3</v>
      </c>
      <c r="FD58" s="388">
        <v>-1.5267346735475288E-3</v>
      </c>
      <c r="FE58" s="388">
        <v>5.8489022229296144E-5</v>
      </c>
      <c r="FF58" s="388">
        <v>2.4857767208816343E-4</v>
      </c>
      <c r="FG58" s="388">
        <v>8.712027668867742E-4</v>
      </c>
      <c r="FH58" s="388">
        <v>-1.4495870507807297E-3</v>
      </c>
      <c r="FI58" s="388">
        <v>-5.2949886091716225E-3</v>
      </c>
      <c r="FJ58" s="388">
        <v>1.9525739420064353E-3</v>
      </c>
      <c r="FK58" s="388">
        <v>-1.2417256255355549E-2</v>
      </c>
      <c r="FL58" s="388">
        <v>1.8830288530100822E-3</v>
      </c>
      <c r="FM58" s="388">
        <v>2.5405685724129118E-3</v>
      </c>
      <c r="FN58" s="388">
        <v>3.2367526643224849E-3</v>
      </c>
      <c r="FO58" s="388">
        <v>-7.2639120629192447E-4</v>
      </c>
      <c r="FP58" s="388">
        <v>2.3864770344502378E-2</v>
      </c>
      <c r="FQ58" s="388">
        <v>2.9942735106975683E-2</v>
      </c>
      <c r="FR58" s="388">
        <v>3.2399999999999998E-2</v>
      </c>
      <c r="FS58" s="388">
        <v>1.9456722323634639E-2</v>
      </c>
      <c r="FT58" s="388">
        <v>2.4925316304838064E-2</v>
      </c>
      <c r="FU58" s="388">
        <v>2.4021825767818694E-2</v>
      </c>
      <c r="FV58" s="388">
        <v>1.9169006385953955E-2</v>
      </c>
      <c r="FW58" s="388">
        <v>2.5893248490164535E-2</v>
      </c>
      <c r="FX58" s="388">
        <v>2.8347225422348386E-2</v>
      </c>
      <c r="FY58" s="388">
        <v>3.0766878673958969E-2</v>
      </c>
      <c r="FZ58" s="388">
        <v>3.0736676214905331E-2</v>
      </c>
      <c r="GA58" s="388">
        <v>2.2369339517867336E-4</v>
      </c>
      <c r="GB58" s="388"/>
      <c r="GC58" s="388"/>
      <c r="GD58" s="388"/>
      <c r="GE58" s="388"/>
      <c r="GF58" s="388"/>
      <c r="GG58" s="388"/>
      <c r="GH58" s="388"/>
      <c r="GI58" s="388"/>
      <c r="GJ58" s="388"/>
      <c r="GK58" s="388"/>
      <c r="GL58" s="388"/>
      <c r="GM58" s="388"/>
      <c r="GN58" s="388"/>
      <c r="GO58" s="388"/>
      <c r="GP58" s="412"/>
      <c r="GQ58" s="412"/>
      <c r="GR58" s="412"/>
      <c r="GS58" s="412"/>
      <c r="GT58" s="412"/>
      <c r="GU58" s="412"/>
      <c r="GV58" s="412"/>
      <c r="GW58" s="412"/>
      <c r="GX58" s="412"/>
      <c r="GY58" s="412"/>
      <c r="GZ58" s="412"/>
      <c r="HA58" s="412"/>
      <c r="HB58" s="412"/>
      <c r="HC58" s="412"/>
      <c r="HD58" s="412"/>
      <c r="HE58" s="412"/>
      <c r="HF58" s="412"/>
      <c r="HG58" s="412"/>
      <c r="HH58" s="412"/>
      <c r="HI58" s="412"/>
      <c r="HJ58" s="412"/>
      <c r="HK58" s="412"/>
      <c r="HL58" s="412"/>
      <c r="HM58" s="412"/>
      <c r="HN58" s="412"/>
      <c r="HO58" s="412"/>
      <c r="HP58" s="412"/>
      <c r="HQ58" s="412"/>
      <c r="HR58" s="412"/>
      <c r="HS58" s="412"/>
      <c r="HT58" s="412"/>
      <c r="HU58" s="412"/>
      <c r="HV58" s="412"/>
      <c r="HW58" s="412"/>
      <c r="HX58" s="412"/>
      <c r="HY58" s="412"/>
      <c r="HZ58" s="412"/>
      <c r="IA58" s="412"/>
      <c r="IB58" s="412"/>
      <c r="IC58" s="412"/>
      <c r="ID58" s="412"/>
      <c r="IE58" s="412"/>
      <c r="IF58" s="412"/>
      <c r="IG58" s="412"/>
      <c r="IH58" s="412"/>
      <c r="II58" s="412"/>
      <c r="IJ58" s="412"/>
      <c r="IK58" s="412"/>
      <c r="IL58" s="412"/>
      <c r="IM58" s="412"/>
      <c r="IN58" s="412"/>
      <c r="IO58" s="412"/>
      <c r="IP58" s="412"/>
      <c r="IQ58" s="412"/>
      <c r="IR58" s="412"/>
      <c r="IS58" s="412"/>
      <c r="IT58" s="412"/>
      <c r="IU58" s="412"/>
      <c r="IV58" s="412"/>
      <c r="IW58" s="412"/>
      <c r="IX58" s="412"/>
      <c r="IY58" s="412"/>
      <c r="IZ58" s="412"/>
      <c r="JA58" s="412"/>
      <c r="JB58" s="412"/>
      <c r="JC58" s="412"/>
      <c r="JD58" s="412"/>
      <c r="JE58" s="412"/>
      <c r="JF58" s="412"/>
      <c r="JG58" s="412"/>
      <c r="JH58" s="412"/>
      <c r="JI58" s="412"/>
      <c r="JJ58" s="412"/>
      <c r="JK58" s="412"/>
      <c r="JL58" s="412"/>
      <c r="JM58" s="412"/>
      <c r="JN58" s="412"/>
      <c r="JO58" s="412"/>
      <c r="JP58" s="412"/>
      <c r="JQ58" s="412"/>
      <c r="JR58" s="412"/>
      <c r="JS58" s="412"/>
      <c r="JT58" s="412"/>
      <c r="JU58" s="412"/>
      <c r="JV58" s="412"/>
      <c r="JW58" s="412"/>
      <c r="JX58" s="412"/>
      <c r="JY58" s="412"/>
      <c r="JZ58" s="412"/>
      <c r="KA58" s="412"/>
      <c r="KB58" s="412"/>
      <c r="KC58" s="412"/>
      <c r="KD58" s="412"/>
      <c r="KE58" s="412"/>
      <c r="KF58" s="412"/>
      <c r="KG58" s="412"/>
      <c r="KH58" s="412"/>
      <c r="KI58" s="412"/>
      <c r="KJ58" s="412"/>
      <c r="KK58" s="412"/>
      <c r="KL58" s="412"/>
      <c r="KM58" s="412"/>
      <c r="KN58" s="412"/>
      <c r="KO58" s="412"/>
      <c r="KP58" s="412"/>
      <c r="KQ58" s="412"/>
      <c r="KR58" s="412"/>
      <c r="KS58" s="412"/>
      <c r="KT58" s="412"/>
      <c r="KU58" s="412"/>
      <c r="KV58" s="412"/>
      <c r="KW58" s="412"/>
      <c r="KX58" s="412"/>
      <c r="KY58" s="412"/>
      <c r="KZ58" s="412"/>
      <c r="LA58" s="412"/>
      <c r="LB58" s="412"/>
      <c r="LC58" s="412"/>
      <c r="LD58" s="412"/>
      <c r="LE58" s="412"/>
      <c r="LF58" s="412"/>
      <c r="LG58" s="412"/>
      <c r="LH58" s="412"/>
      <c r="LI58" s="412"/>
      <c r="LJ58" s="412"/>
      <c r="LK58" s="412"/>
      <c r="LL58" s="412"/>
      <c r="LM58" s="412"/>
      <c r="LN58" s="412"/>
      <c r="LO58" s="412"/>
      <c r="LP58" s="412"/>
      <c r="LQ58" s="412"/>
      <c r="LR58" s="412"/>
      <c r="LS58" s="412"/>
      <c r="LT58" s="412"/>
      <c r="LU58" s="412"/>
      <c r="LV58" s="412"/>
      <c r="LW58" s="412"/>
      <c r="LX58" s="412"/>
      <c r="LY58" s="412"/>
      <c r="LZ58" s="412"/>
      <c r="MA58" s="412"/>
      <c r="MB58" s="412"/>
      <c r="MC58" s="412"/>
      <c r="MD58" s="412"/>
      <c r="ME58" s="412"/>
      <c r="MF58" s="412"/>
      <c r="MG58" s="412"/>
      <c r="MH58" s="412"/>
      <c r="MI58" s="412"/>
      <c r="MJ58" s="412"/>
      <c r="MK58" s="412"/>
      <c r="ML58" s="412"/>
      <c r="MM58" s="412"/>
      <c r="MN58" s="412"/>
      <c r="MO58" s="412"/>
      <c r="MP58" s="412"/>
      <c r="MQ58" s="412"/>
      <c r="MR58" s="412"/>
      <c r="MS58" s="412"/>
      <c r="MT58" s="412"/>
      <c r="MU58" s="412"/>
      <c r="MV58" s="412"/>
      <c r="MW58" s="412"/>
      <c r="MX58" s="412"/>
      <c r="MY58" s="412"/>
      <c r="MZ58" s="412"/>
      <c r="NA58" s="412"/>
      <c r="NB58" s="412"/>
      <c r="NC58" s="412"/>
      <c r="ND58" s="412"/>
      <c r="NE58" s="412"/>
      <c r="NF58" s="412"/>
      <c r="NG58" s="412"/>
      <c r="NH58" s="412"/>
      <c r="NI58" s="412"/>
      <c r="NJ58" s="412"/>
      <c r="NK58" s="412"/>
      <c r="NL58" s="412"/>
      <c r="NM58" s="412"/>
      <c r="NN58" s="412"/>
      <c r="NO58" s="412"/>
      <c r="NP58" s="412"/>
      <c r="NQ58" s="412"/>
      <c r="NR58" s="412"/>
      <c r="NS58" s="412"/>
      <c r="NT58" s="412"/>
      <c r="NU58" s="412"/>
      <c r="NV58" s="412"/>
      <c r="NW58" s="412"/>
      <c r="NX58" s="412"/>
      <c r="NY58" s="412"/>
      <c r="NZ58" s="412"/>
      <c r="OA58" s="412"/>
      <c r="OB58" s="412"/>
      <c r="OC58" s="412"/>
      <c r="OD58" s="412"/>
      <c r="OE58" s="412"/>
      <c r="OF58" s="412"/>
      <c r="OG58" s="412"/>
      <c r="OH58" s="412"/>
      <c r="OI58" s="412"/>
      <c r="OJ58" s="412"/>
      <c r="OK58" s="412"/>
      <c r="OL58" s="412"/>
      <c r="OM58" s="412"/>
      <c r="ON58" s="412"/>
      <c r="OO58" s="412"/>
      <c r="OP58" s="412"/>
      <c r="OQ58" s="412"/>
      <c r="OR58" s="412"/>
      <c r="OS58" s="412"/>
      <c r="OT58" s="412"/>
      <c r="OU58" s="412"/>
      <c r="OV58" s="412"/>
      <c r="OW58" s="412"/>
      <c r="OX58" s="412"/>
      <c r="OY58" s="412"/>
      <c r="OZ58" s="412"/>
      <c r="PA58" s="412"/>
      <c r="PB58" s="412"/>
      <c r="PC58" s="412"/>
      <c r="PD58" s="412"/>
      <c r="PE58" s="412"/>
      <c r="PF58" s="412"/>
      <c r="PG58" s="412"/>
      <c r="PH58" s="412"/>
      <c r="PI58" s="412"/>
      <c r="PJ58" s="412"/>
      <c r="PK58" s="412"/>
      <c r="PL58" s="412"/>
      <c r="PM58" s="412"/>
      <c r="PN58" s="412"/>
      <c r="PO58" s="412"/>
      <c r="PP58" s="412"/>
      <c r="PQ58" s="412"/>
      <c r="PR58" s="412"/>
      <c r="PS58" s="412"/>
      <c r="PT58" s="412"/>
      <c r="PU58" s="412"/>
      <c r="PV58" s="412"/>
      <c r="PW58" s="412"/>
      <c r="PX58" s="412"/>
      <c r="PY58" s="412"/>
      <c r="PZ58" s="412"/>
      <c r="QA58" s="412"/>
      <c r="QB58" s="412"/>
      <c r="QC58" s="412"/>
      <c r="QD58" s="412"/>
      <c r="QE58" s="412"/>
      <c r="QF58" s="412"/>
      <c r="QG58" s="412"/>
      <c r="QH58" s="412"/>
      <c r="QI58" s="412"/>
      <c r="QJ58" s="412"/>
      <c r="QK58" s="412"/>
      <c r="QL58" s="412"/>
      <c r="QM58" s="412"/>
      <c r="QN58" s="412"/>
      <c r="QO58" s="412"/>
      <c r="QP58" s="412"/>
      <c r="QQ58" s="412"/>
      <c r="QR58" s="412"/>
      <c r="QS58" s="412"/>
      <c r="QT58" s="412"/>
      <c r="QU58" s="412"/>
      <c r="QV58" s="412"/>
      <c r="QW58" s="412"/>
      <c r="QX58" s="412"/>
      <c r="QY58" s="412"/>
      <c r="QZ58" s="412"/>
      <c r="RA58" s="412"/>
      <c r="RB58" s="412"/>
      <c r="RC58" s="412"/>
      <c r="RD58" s="412"/>
      <c r="RE58" s="412"/>
      <c r="RF58" s="412"/>
      <c r="RG58" s="412"/>
      <c r="RH58" s="412"/>
      <c r="RI58" s="412"/>
      <c r="RJ58" s="412"/>
      <c r="RK58" s="412"/>
      <c r="RL58" s="412"/>
      <c r="RM58" s="412"/>
      <c r="RN58" s="412"/>
      <c r="RO58" s="412"/>
      <c r="RP58" s="412"/>
      <c r="RQ58" s="412"/>
      <c r="RR58" s="412"/>
      <c r="RS58" s="412"/>
      <c r="RT58" s="412"/>
      <c r="RU58" s="412"/>
      <c r="RV58" s="412"/>
      <c r="RW58" s="412"/>
      <c r="RX58" s="412"/>
      <c r="RY58" s="412"/>
      <c r="RZ58" s="412"/>
      <c r="SA58" s="412"/>
      <c r="SB58" s="412"/>
      <c r="SC58" s="412"/>
      <c r="SD58" s="412"/>
      <c r="SE58" s="412"/>
      <c r="SF58" s="412"/>
      <c r="SG58" s="412"/>
    </row>
    <row r="59" spans="1:501" x14ac:dyDescent="0.2">
      <c r="A59" s="391" t="s">
        <v>43</v>
      </c>
      <c r="B59" s="110"/>
      <c r="C59" s="392">
        <v>0.1</v>
      </c>
      <c r="D59" s="392">
        <v>0.24</v>
      </c>
      <c r="E59" s="392">
        <v>-8.199999999999999E-3</v>
      </c>
      <c r="F59" s="392">
        <v>-8.199999999999999E-3</v>
      </c>
      <c r="G59" s="392"/>
      <c r="H59" s="110"/>
      <c r="I59" s="410">
        <v>0</v>
      </c>
      <c r="J59" s="410">
        <v>0</v>
      </c>
      <c r="K59" s="410">
        <v>0</v>
      </c>
      <c r="L59" s="410">
        <v>0</v>
      </c>
      <c r="M59" s="410">
        <v>0</v>
      </c>
      <c r="N59" s="410">
        <v>0</v>
      </c>
      <c r="O59" s="387"/>
      <c r="P59" s="393">
        <v>0</v>
      </c>
      <c r="Q59" s="393">
        <v>0</v>
      </c>
      <c r="R59" s="393">
        <v>0</v>
      </c>
      <c r="S59" s="393">
        <v>0</v>
      </c>
      <c r="T59" s="393">
        <v>0</v>
      </c>
      <c r="U59" s="393"/>
      <c r="V59" s="393">
        <v>0</v>
      </c>
      <c r="W59" s="393">
        <v>0</v>
      </c>
      <c r="X59" s="393">
        <v>0</v>
      </c>
      <c r="Y59" s="393">
        <v>0</v>
      </c>
      <c r="Z59" s="393">
        <v>0</v>
      </c>
      <c r="AA59" s="393"/>
      <c r="AB59" s="435"/>
      <c r="AC59" s="393">
        <v>-8.199999999999999E-3</v>
      </c>
      <c r="AD59" s="411"/>
      <c r="AE59" s="435"/>
      <c r="AF59" s="388">
        <v>-8.1999999910635779E-3</v>
      </c>
      <c r="AG59" s="388">
        <v>-8.1999999910635779E-3</v>
      </c>
      <c r="AH59" s="388">
        <v>-8.1999999910635779E-3</v>
      </c>
      <c r="AI59" s="388">
        <v>-8.1999999910635779E-3</v>
      </c>
      <c r="AJ59" s="388">
        <v>-8.1999999910635779E-3</v>
      </c>
      <c r="AK59" s="388">
        <v>-8.1999999910635779E-3</v>
      </c>
      <c r="AL59" s="388">
        <v>-8.1999999910635779E-3</v>
      </c>
      <c r="AM59" s="388">
        <v>-8.1999999910635779E-3</v>
      </c>
      <c r="AN59" s="388">
        <v>-8.1999999910635779E-3</v>
      </c>
      <c r="AO59" s="388">
        <v>-8.1999999910635779E-3</v>
      </c>
      <c r="AP59" s="388">
        <v>-8.1999999910635779E-3</v>
      </c>
      <c r="AQ59" s="388">
        <v>-8.1999999910635779E-3</v>
      </c>
      <c r="AR59" s="388">
        <v>-8.1999999910635779E-3</v>
      </c>
      <c r="AS59" s="388">
        <v>-8.1999999910635779E-3</v>
      </c>
      <c r="AT59" s="388">
        <v>-8.1999999910635779E-3</v>
      </c>
      <c r="AU59" s="388">
        <v>-8.1999999910635779E-3</v>
      </c>
      <c r="AV59" s="388">
        <v>-8.1999999910635779E-3</v>
      </c>
      <c r="AW59" s="388">
        <v>-8.1999999910635779E-3</v>
      </c>
      <c r="AX59" s="388">
        <v>-8.1999999910635779E-3</v>
      </c>
      <c r="AY59" s="388">
        <v>-8.1999999910635779E-3</v>
      </c>
      <c r="AZ59" s="388">
        <v>-8.1999999910635779E-3</v>
      </c>
      <c r="BA59" s="388">
        <v>-8.1999999910635779E-3</v>
      </c>
      <c r="BB59" s="388">
        <v>-8.1999999910635779E-3</v>
      </c>
      <c r="BC59" s="388">
        <v>-8.1999999910635779E-3</v>
      </c>
      <c r="BD59" s="388">
        <v>-8.1999999910635779E-3</v>
      </c>
      <c r="BE59" s="388">
        <v>-8.1999999910635779E-3</v>
      </c>
      <c r="BF59" s="388">
        <v>-8.1999999910635779E-3</v>
      </c>
      <c r="BG59" s="388">
        <v>-8.1999999910635779E-3</v>
      </c>
      <c r="BH59" s="388">
        <v>-8.1999999910635779E-3</v>
      </c>
      <c r="BI59" s="388">
        <v>-8.1999999910635779E-3</v>
      </c>
      <c r="BJ59" s="388">
        <v>-8.1999999910635779E-3</v>
      </c>
      <c r="BK59" s="388">
        <v>-8.1999999910635779E-3</v>
      </c>
      <c r="BL59" s="388">
        <v>-8.1999999910635779E-3</v>
      </c>
      <c r="BM59" s="388">
        <v>-8.1999999910635779E-3</v>
      </c>
      <c r="BN59" s="388">
        <v>-8.1999999910635779E-3</v>
      </c>
      <c r="BO59" s="388">
        <v>-8.1999999910635779E-3</v>
      </c>
      <c r="BP59" s="388">
        <v>-8.1999999910635779E-3</v>
      </c>
      <c r="BQ59" s="388">
        <v>-8.1999999910635779E-3</v>
      </c>
      <c r="BR59" s="388">
        <v>-8.1999999910635779E-3</v>
      </c>
      <c r="BS59" s="388">
        <v>-8.1999999910635779E-3</v>
      </c>
      <c r="BT59" s="388">
        <v>-8.1999999910635779E-3</v>
      </c>
      <c r="BU59" s="388">
        <v>-8.1999999910635779E-3</v>
      </c>
      <c r="BV59" s="388">
        <v>-8.1999999910635779E-3</v>
      </c>
      <c r="BW59" s="388">
        <v>-8.1999999910635779E-3</v>
      </c>
      <c r="BX59" s="388">
        <v>-8.1999999910635779E-3</v>
      </c>
      <c r="BY59" s="388">
        <v>-8.1999999910635779E-3</v>
      </c>
      <c r="BZ59" s="388">
        <v>-8.1999999910635779E-3</v>
      </c>
      <c r="CA59" s="388">
        <v>-8.1999999910635779E-3</v>
      </c>
      <c r="CB59" s="388">
        <v>-8.1999999910635779E-3</v>
      </c>
      <c r="CC59" s="388">
        <v>-8.1999999910635779E-3</v>
      </c>
      <c r="CD59" s="388">
        <v>-8.1999999910635779E-3</v>
      </c>
      <c r="CE59" s="388">
        <v>-8.1999999910635779E-3</v>
      </c>
      <c r="CF59" s="388">
        <v>-8.1999999910635779E-3</v>
      </c>
      <c r="CG59" s="388">
        <v>-8.1999999910635779E-3</v>
      </c>
      <c r="CH59" s="388">
        <v>-8.1999999910635779E-3</v>
      </c>
      <c r="CI59" s="388">
        <v>-8.1999999910635779E-3</v>
      </c>
      <c r="CJ59" s="388">
        <v>-8.1999999910635779E-3</v>
      </c>
      <c r="CK59" s="388">
        <v>-8.1999999910635779E-3</v>
      </c>
      <c r="CL59" s="388">
        <v>-8.1999999910635779E-3</v>
      </c>
      <c r="CM59" s="388">
        <v>-8.1999999910635779E-3</v>
      </c>
      <c r="CN59" s="388">
        <v>-8.1999999910635779E-3</v>
      </c>
      <c r="CO59" s="388">
        <v>-8.1999999910635779E-3</v>
      </c>
      <c r="CP59" s="388">
        <v>-8.1999999910635779E-3</v>
      </c>
      <c r="CQ59" s="388">
        <v>-8.1999999910635779E-3</v>
      </c>
      <c r="CR59" s="388">
        <v>-8.1999999910635779E-3</v>
      </c>
      <c r="CS59" s="388">
        <v>-8.1999999910635779E-3</v>
      </c>
      <c r="CT59" s="388">
        <v>-8.1999999910635779E-3</v>
      </c>
      <c r="CU59" s="388">
        <v>-8.1999999910635779E-3</v>
      </c>
      <c r="CV59" s="388">
        <v>-8.1999999910635779E-3</v>
      </c>
      <c r="CW59" s="388">
        <v>-8.1999999910635779E-3</v>
      </c>
      <c r="CX59" s="388">
        <v>-8.1999999910635779E-3</v>
      </c>
      <c r="CY59" s="388">
        <v>-8.1999999910635779E-3</v>
      </c>
      <c r="CZ59" s="388">
        <v>-8.1999999910635779E-3</v>
      </c>
      <c r="DA59" s="388">
        <v>-8.1999999910635779E-3</v>
      </c>
      <c r="DB59" s="388">
        <v>-8.1999999910635779E-3</v>
      </c>
      <c r="DC59" s="388">
        <v>-8.1999999910635779E-3</v>
      </c>
      <c r="DD59" s="388">
        <v>-8.1999999910635779E-3</v>
      </c>
      <c r="DE59" s="388">
        <v>-8.1999999910635779E-3</v>
      </c>
      <c r="DF59" s="388">
        <v>-8.1999999910635779E-3</v>
      </c>
      <c r="DG59" s="388">
        <v>-8.1999999910635779E-3</v>
      </c>
      <c r="DH59" s="388">
        <v>-8.1999999910635779E-3</v>
      </c>
      <c r="DI59" s="388">
        <v>-8.1999999910635779E-3</v>
      </c>
      <c r="DJ59" s="388">
        <v>-8.1999999910635779E-3</v>
      </c>
      <c r="DK59" s="388">
        <v>-8.1999999910635779E-3</v>
      </c>
      <c r="DL59" s="388">
        <v>-8.1999999910635779E-3</v>
      </c>
      <c r="DM59" s="388">
        <v>-8.1999999910635779E-3</v>
      </c>
      <c r="DN59" s="388">
        <v>-8.1999999910635779E-3</v>
      </c>
      <c r="DO59" s="388">
        <v>-8.1999999910635779E-3</v>
      </c>
      <c r="DP59" s="388">
        <v>-8.1999999910635779E-3</v>
      </c>
      <c r="DQ59" s="388">
        <v>-8.1999999910635779E-3</v>
      </c>
      <c r="DR59" s="388">
        <v>-8.1999999910635779E-3</v>
      </c>
      <c r="DS59" s="388">
        <v>-8.1999999910635779E-3</v>
      </c>
      <c r="DT59" s="388">
        <v>-8.1999999910635779E-3</v>
      </c>
      <c r="DU59" s="388">
        <v>-8.1999999910635779E-3</v>
      </c>
      <c r="DV59" s="388">
        <v>-8.1999999910635779E-3</v>
      </c>
      <c r="DW59" s="388">
        <v>-8.1999999910635779E-3</v>
      </c>
      <c r="DX59" s="388">
        <v>-8.1999999910635779E-3</v>
      </c>
      <c r="DY59" s="388">
        <v>-8.1999999910635779E-3</v>
      </c>
      <c r="DZ59" s="388">
        <v>-8.1999999824626021E-3</v>
      </c>
      <c r="EA59" s="388">
        <v>-8.1999999824626021E-3</v>
      </c>
      <c r="EB59" s="388"/>
      <c r="EC59" s="388"/>
      <c r="ED59" s="388">
        <v>-1.3902196056236581E-4</v>
      </c>
      <c r="EE59" s="388">
        <v>-3.8164841890334729E-4</v>
      </c>
      <c r="EF59" s="388">
        <v>-1.5995762340536855E-4</v>
      </c>
      <c r="EG59" s="388">
        <v>-1.9548103888416273E-3</v>
      </c>
      <c r="EH59" s="388">
        <v>-2.6706754431651118E-3</v>
      </c>
      <c r="EI59" s="388">
        <v>-9.4033720142078692E-4</v>
      </c>
      <c r="EJ59" s="388">
        <v>-2.2466309568638662E-3</v>
      </c>
      <c r="EK59" s="388">
        <v>-1.5396496500080133E-3</v>
      </c>
      <c r="EL59" s="388">
        <v>-3.3666230097956031E-3</v>
      </c>
      <c r="EM59" s="388">
        <v>-1.6727008122743167E-3</v>
      </c>
      <c r="EN59" s="388">
        <v>-1.6493561288158213E-2</v>
      </c>
      <c r="EO59" s="388">
        <v>-2.0662957597682902E-2</v>
      </c>
      <c r="EP59" s="388">
        <v>-1.9456722323634639E-2</v>
      </c>
      <c r="EQ59" s="388">
        <v>-5.6657315695872804E-2</v>
      </c>
      <c r="ER59" s="388">
        <v>-2.3483974365008244E-2</v>
      </c>
      <c r="ES59" s="388">
        <v>-2.0452102117505529E-2</v>
      </c>
      <c r="ET59" s="388">
        <v>-1.9829736921879625E-2</v>
      </c>
      <c r="EU59" s="388">
        <v>-2.0889841602422465E-2</v>
      </c>
      <c r="EV59" s="388">
        <v>-2.3683708470400393E-2</v>
      </c>
      <c r="EW59" s="388">
        <v>-2.6917423307117126E-2</v>
      </c>
      <c r="EX59" s="388">
        <v>-2.8569432523137941E-2</v>
      </c>
      <c r="EY59" s="388">
        <v>-6.066178934559576E-4</v>
      </c>
      <c r="EZ59" s="388">
        <v>5.745920748723761E-5</v>
      </c>
      <c r="FA59" s="388">
        <v>-1.3450381159002319E-2</v>
      </c>
      <c r="FB59" s="388">
        <v>-1.217368586812716E-2</v>
      </c>
      <c r="FC59" s="388">
        <v>-8.5439722167962205E-4</v>
      </c>
      <c r="FD59" s="388">
        <v>-4.2871638962823531E-3</v>
      </c>
      <c r="FE59" s="388">
        <v>-1.3902645946856798E-4</v>
      </c>
      <c r="FF59" s="388">
        <v>-2.7866392491355515E-4</v>
      </c>
      <c r="FG59" s="388">
        <v>-1.1996821755402639E-4</v>
      </c>
      <c r="FH59" s="388">
        <v>-7.274306652500426E-4</v>
      </c>
      <c r="FI59" s="388">
        <v>-2.7838687943747909E-3</v>
      </c>
      <c r="FJ59" s="388">
        <v>-2.0031229930176672E-3</v>
      </c>
      <c r="FK59" s="388">
        <v>-1.1563664369155137E-2</v>
      </c>
      <c r="FL59" s="388">
        <v>-5.3328136316182755E-3</v>
      </c>
      <c r="FM59" s="388">
        <v>2.0533614525499802E-3</v>
      </c>
      <c r="FN59" s="388">
        <v>1.3665143370969524E-3</v>
      </c>
      <c r="FO59" s="388">
        <v>6.2402363670206601E-3</v>
      </c>
      <c r="FP59" s="388">
        <v>1.7443181344148385E-2</v>
      </c>
      <c r="FQ59" s="388">
        <v>2.1299574913201308E-2</v>
      </c>
      <c r="FR59" s="388">
        <v>1.9456722323634639E-2</v>
      </c>
      <c r="FS59" s="388">
        <v>5.7599999999999991E-2</v>
      </c>
      <c r="FT59" s="388">
        <v>2.3905465815573481E-2</v>
      </c>
      <c r="FU59" s="388">
        <v>2.0915461452876621E-2</v>
      </c>
      <c r="FV59" s="388">
        <v>2.1431258872846241E-2</v>
      </c>
      <c r="FW59" s="388">
        <v>2.0873080325877539E-2</v>
      </c>
      <c r="FX59" s="388">
        <v>2.4120191927193751E-2</v>
      </c>
      <c r="FY59" s="388">
        <v>2.7651422135009696E-2</v>
      </c>
      <c r="FZ59" s="388">
        <v>2.8894810059843443E-2</v>
      </c>
      <c r="GA59" s="388">
        <v>9.2921283780313972E-5</v>
      </c>
      <c r="GB59" s="388"/>
      <c r="GC59" s="388"/>
      <c r="GD59" s="388"/>
      <c r="GE59" s="388"/>
      <c r="GF59" s="388"/>
      <c r="GG59" s="388"/>
      <c r="GH59" s="388"/>
      <c r="GI59" s="388"/>
      <c r="GJ59" s="388"/>
      <c r="GK59" s="388"/>
      <c r="GL59" s="388"/>
      <c r="GM59" s="388"/>
      <c r="GN59" s="388"/>
      <c r="GO59" s="388"/>
      <c r="GP59" s="412"/>
      <c r="GQ59" s="412"/>
      <c r="GR59" s="412"/>
      <c r="GS59" s="412"/>
      <c r="GT59" s="412"/>
      <c r="GU59" s="412"/>
      <c r="GV59" s="412"/>
      <c r="GW59" s="412"/>
      <c r="GX59" s="412"/>
      <c r="GY59" s="412"/>
      <c r="GZ59" s="412"/>
      <c r="HA59" s="412"/>
      <c r="HB59" s="412"/>
      <c r="HC59" s="412"/>
      <c r="HD59" s="412"/>
      <c r="HE59" s="412"/>
      <c r="HF59" s="412"/>
      <c r="HG59" s="412"/>
      <c r="HH59" s="412"/>
      <c r="HI59" s="412"/>
      <c r="HJ59" s="412"/>
      <c r="HK59" s="412"/>
      <c r="HL59" s="412"/>
      <c r="HM59" s="412"/>
      <c r="HN59" s="412"/>
      <c r="HO59" s="412"/>
      <c r="HP59" s="412"/>
      <c r="HQ59" s="412"/>
      <c r="HR59" s="412"/>
      <c r="HS59" s="412"/>
      <c r="HT59" s="412"/>
      <c r="HU59" s="412"/>
      <c r="HV59" s="412"/>
      <c r="HW59" s="412"/>
      <c r="HX59" s="412"/>
      <c r="HY59" s="412"/>
      <c r="HZ59" s="412"/>
      <c r="IA59" s="412"/>
      <c r="IB59" s="412"/>
      <c r="IC59" s="412"/>
      <c r="ID59" s="412"/>
      <c r="IE59" s="412"/>
      <c r="IF59" s="412"/>
      <c r="IG59" s="412"/>
      <c r="IH59" s="412"/>
      <c r="II59" s="412"/>
      <c r="IJ59" s="412"/>
      <c r="IK59" s="412"/>
      <c r="IL59" s="412"/>
      <c r="IM59" s="412"/>
      <c r="IN59" s="412"/>
      <c r="IO59" s="412"/>
      <c r="IP59" s="412"/>
      <c r="IQ59" s="412"/>
      <c r="IR59" s="412"/>
      <c r="IS59" s="412"/>
      <c r="IT59" s="412"/>
      <c r="IU59" s="412"/>
      <c r="IV59" s="412"/>
      <c r="IW59" s="412"/>
      <c r="IX59" s="412"/>
      <c r="IY59" s="412"/>
      <c r="IZ59" s="412"/>
      <c r="JA59" s="412"/>
      <c r="JB59" s="412"/>
      <c r="JC59" s="412"/>
      <c r="JD59" s="412"/>
      <c r="JE59" s="412"/>
      <c r="JF59" s="412"/>
      <c r="JG59" s="412"/>
      <c r="JH59" s="412"/>
      <c r="JI59" s="412"/>
      <c r="JJ59" s="412"/>
      <c r="JK59" s="412"/>
      <c r="JL59" s="412"/>
      <c r="JM59" s="412"/>
      <c r="JN59" s="412"/>
      <c r="JO59" s="412"/>
      <c r="JP59" s="412"/>
      <c r="JQ59" s="412"/>
      <c r="JR59" s="412"/>
      <c r="JS59" s="412"/>
      <c r="JT59" s="412"/>
      <c r="JU59" s="412"/>
      <c r="JV59" s="412"/>
      <c r="JW59" s="412"/>
      <c r="JX59" s="412"/>
      <c r="JY59" s="412"/>
      <c r="JZ59" s="412"/>
      <c r="KA59" s="412"/>
      <c r="KB59" s="412"/>
      <c r="KC59" s="412"/>
      <c r="KD59" s="412"/>
      <c r="KE59" s="412"/>
      <c r="KF59" s="412"/>
      <c r="KG59" s="412"/>
      <c r="KH59" s="412"/>
      <c r="KI59" s="412"/>
      <c r="KJ59" s="412"/>
      <c r="KK59" s="412"/>
      <c r="KL59" s="412"/>
      <c r="KM59" s="412"/>
      <c r="KN59" s="412"/>
      <c r="KO59" s="412"/>
      <c r="KP59" s="412"/>
      <c r="KQ59" s="412"/>
      <c r="KR59" s="412"/>
      <c r="KS59" s="412"/>
      <c r="KT59" s="412"/>
      <c r="KU59" s="412"/>
      <c r="KV59" s="412"/>
      <c r="KW59" s="412"/>
      <c r="KX59" s="412"/>
      <c r="KY59" s="412"/>
      <c r="KZ59" s="412"/>
      <c r="LA59" s="412"/>
      <c r="LB59" s="412"/>
      <c r="LC59" s="412"/>
      <c r="LD59" s="412"/>
      <c r="LE59" s="412"/>
      <c r="LF59" s="412"/>
      <c r="LG59" s="412"/>
      <c r="LH59" s="412"/>
      <c r="LI59" s="412"/>
      <c r="LJ59" s="412"/>
      <c r="LK59" s="412"/>
      <c r="LL59" s="412"/>
      <c r="LM59" s="412"/>
      <c r="LN59" s="412"/>
      <c r="LO59" s="412"/>
      <c r="LP59" s="412"/>
      <c r="LQ59" s="412"/>
      <c r="LR59" s="412"/>
      <c r="LS59" s="412"/>
      <c r="LT59" s="412"/>
      <c r="LU59" s="412"/>
      <c r="LV59" s="412"/>
      <c r="LW59" s="412"/>
      <c r="LX59" s="412"/>
      <c r="LY59" s="412"/>
      <c r="LZ59" s="412"/>
      <c r="MA59" s="412"/>
      <c r="MB59" s="412"/>
      <c r="MC59" s="412"/>
      <c r="MD59" s="412"/>
      <c r="ME59" s="412"/>
      <c r="MF59" s="412"/>
      <c r="MG59" s="412"/>
      <c r="MH59" s="412"/>
      <c r="MI59" s="412"/>
      <c r="MJ59" s="412"/>
      <c r="MK59" s="412"/>
      <c r="ML59" s="412"/>
      <c r="MM59" s="412"/>
      <c r="MN59" s="412"/>
      <c r="MO59" s="412"/>
      <c r="MP59" s="412"/>
      <c r="MQ59" s="412"/>
      <c r="MR59" s="412"/>
      <c r="MS59" s="412"/>
      <c r="MT59" s="412"/>
      <c r="MU59" s="412"/>
      <c r="MV59" s="412"/>
      <c r="MW59" s="412"/>
      <c r="MX59" s="412"/>
      <c r="MY59" s="412"/>
      <c r="MZ59" s="412"/>
      <c r="NA59" s="412"/>
      <c r="NB59" s="412"/>
      <c r="NC59" s="412"/>
      <c r="ND59" s="412"/>
      <c r="NE59" s="412"/>
      <c r="NF59" s="412"/>
      <c r="NG59" s="412"/>
      <c r="NH59" s="412"/>
      <c r="NI59" s="412"/>
      <c r="NJ59" s="412"/>
      <c r="NK59" s="412"/>
      <c r="NL59" s="412"/>
      <c r="NM59" s="412"/>
      <c r="NN59" s="412"/>
      <c r="NO59" s="412"/>
      <c r="NP59" s="412"/>
      <c r="NQ59" s="412"/>
      <c r="NR59" s="412"/>
      <c r="NS59" s="412"/>
      <c r="NT59" s="412"/>
      <c r="NU59" s="412"/>
      <c r="NV59" s="412"/>
      <c r="NW59" s="412"/>
      <c r="NX59" s="412"/>
      <c r="NY59" s="412"/>
      <c r="NZ59" s="412"/>
      <c r="OA59" s="412"/>
      <c r="OB59" s="412"/>
      <c r="OC59" s="412"/>
      <c r="OD59" s="412"/>
      <c r="OE59" s="412"/>
      <c r="OF59" s="412"/>
      <c r="OG59" s="412"/>
      <c r="OH59" s="412"/>
      <c r="OI59" s="412"/>
      <c r="OJ59" s="412"/>
      <c r="OK59" s="412"/>
      <c r="OL59" s="412"/>
      <c r="OM59" s="412"/>
      <c r="ON59" s="412"/>
      <c r="OO59" s="412"/>
      <c r="OP59" s="412"/>
      <c r="OQ59" s="412"/>
      <c r="OR59" s="412"/>
      <c r="OS59" s="412"/>
      <c r="OT59" s="412"/>
      <c r="OU59" s="412"/>
      <c r="OV59" s="412"/>
      <c r="OW59" s="412"/>
      <c r="OX59" s="412"/>
      <c r="OY59" s="412"/>
      <c r="OZ59" s="412"/>
      <c r="PA59" s="412"/>
      <c r="PB59" s="412"/>
      <c r="PC59" s="412"/>
      <c r="PD59" s="412"/>
      <c r="PE59" s="412"/>
      <c r="PF59" s="412"/>
      <c r="PG59" s="412"/>
      <c r="PH59" s="412"/>
      <c r="PI59" s="412"/>
      <c r="PJ59" s="412"/>
      <c r="PK59" s="412"/>
      <c r="PL59" s="412"/>
      <c r="PM59" s="412"/>
      <c r="PN59" s="412"/>
      <c r="PO59" s="412"/>
      <c r="PP59" s="412"/>
      <c r="PQ59" s="412"/>
      <c r="PR59" s="412"/>
      <c r="PS59" s="412"/>
      <c r="PT59" s="412"/>
      <c r="PU59" s="412"/>
      <c r="PV59" s="412"/>
      <c r="PW59" s="412"/>
      <c r="PX59" s="412"/>
      <c r="PY59" s="412"/>
      <c r="PZ59" s="412"/>
      <c r="QA59" s="412"/>
      <c r="QB59" s="412"/>
      <c r="QC59" s="412"/>
      <c r="QD59" s="412"/>
      <c r="QE59" s="412"/>
      <c r="QF59" s="412"/>
      <c r="QG59" s="412"/>
      <c r="QH59" s="412"/>
      <c r="QI59" s="412"/>
      <c r="QJ59" s="412"/>
      <c r="QK59" s="412"/>
      <c r="QL59" s="412"/>
      <c r="QM59" s="412"/>
      <c r="QN59" s="412"/>
      <c r="QO59" s="412"/>
      <c r="QP59" s="412"/>
      <c r="QQ59" s="412"/>
      <c r="QR59" s="412"/>
      <c r="QS59" s="412"/>
      <c r="QT59" s="412"/>
      <c r="QU59" s="412"/>
      <c r="QV59" s="412"/>
      <c r="QW59" s="412"/>
      <c r="QX59" s="412"/>
      <c r="QY59" s="412"/>
      <c r="QZ59" s="412"/>
      <c r="RA59" s="412"/>
      <c r="RB59" s="412"/>
      <c r="RC59" s="412"/>
      <c r="RD59" s="412"/>
      <c r="RE59" s="412"/>
      <c r="RF59" s="412"/>
      <c r="RG59" s="412"/>
      <c r="RH59" s="412"/>
      <c r="RI59" s="412"/>
      <c r="RJ59" s="412"/>
      <c r="RK59" s="412"/>
      <c r="RL59" s="412"/>
      <c r="RM59" s="412"/>
      <c r="RN59" s="412"/>
      <c r="RO59" s="412"/>
      <c r="RP59" s="412"/>
      <c r="RQ59" s="412"/>
      <c r="RR59" s="412"/>
      <c r="RS59" s="412"/>
      <c r="RT59" s="412"/>
      <c r="RU59" s="412"/>
      <c r="RV59" s="412"/>
      <c r="RW59" s="412"/>
      <c r="RX59" s="412"/>
      <c r="RY59" s="412"/>
      <c r="RZ59" s="412"/>
      <c r="SA59" s="412"/>
      <c r="SB59" s="412"/>
      <c r="SC59" s="412"/>
      <c r="SD59" s="412"/>
      <c r="SE59" s="412"/>
      <c r="SF59" s="412"/>
      <c r="SG59" s="412"/>
    </row>
    <row r="60" spans="1:501" x14ac:dyDescent="0.2">
      <c r="A60" s="391" t="s">
        <v>44</v>
      </c>
      <c r="B60" s="110"/>
      <c r="C60" s="392">
        <v>0.1</v>
      </c>
      <c r="D60" s="392">
        <v>0.21</v>
      </c>
      <c r="E60" s="392">
        <v>-9.9999999999999995E-7</v>
      </c>
      <c r="F60" s="392">
        <v>-9.9999999999999995E-7</v>
      </c>
      <c r="G60" s="392"/>
      <c r="H60" s="110"/>
      <c r="I60" s="410">
        <v>0</v>
      </c>
      <c r="J60" s="410">
        <v>0</v>
      </c>
      <c r="K60" s="410">
        <v>0</v>
      </c>
      <c r="L60" s="410">
        <v>0</v>
      </c>
      <c r="M60" s="410">
        <v>0</v>
      </c>
      <c r="N60" s="410">
        <v>0</v>
      </c>
      <c r="O60" s="387"/>
      <c r="P60" s="393">
        <v>0</v>
      </c>
      <c r="Q60" s="393">
        <v>0</v>
      </c>
      <c r="R60" s="393">
        <v>0</v>
      </c>
      <c r="S60" s="393">
        <v>0</v>
      </c>
      <c r="T60" s="393">
        <v>0</v>
      </c>
      <c r="U60" s="393"/>
      <c r="V60" s="393">
        <v>0</v>
      </c>
      <c r="W60" s="393">
        <v>0</v>
      </c>
      <c r="X60" s="393">
        <v>0</v>
      </c>
      <c r="Y60" s="393">
        <v>0</v>
      </c>
      <c r="Z60" s="393">
        <v>0</v>
      </c>
      <c r="AA60" s="393"/>
      <c r="AB60" s="435"/>
      <c r="AC60" s="393">
        <v>-9.9999999999999995E-7</v>
      </c>
      <c r="AD60" s="411"/>
      <c r="AE60" s="435"/>
      <c r="AF60" s="388">
        <v>-9.9999201097489276E-7</v>
      </c>
      <c r="AG60" s="388">
        <v>-9.9999201097489276E-7</v>
      </c>
      <c r="AH60" s="388">
        <v>-9.9999201097489276E-7</v>
      </c>
      <c r="AI60" s="388">
        <v>-9.9999201097489276E-7</v>
      </c>
      <c r="AJ60" s="388">
        <v>-9.9999201097489276E-7</v>
      </c>
      <c r="AK60" s="388">
        <v>-9.9999201097489276E-7</v>
      </c>
      <c r="AL60" s="388">
        <v>-9.9999201097489276E-7</v>
      </c>
      <c r="AM60" s="388">
        <v>-9.9999201097489276E-7</v>
      </c>
      <c r="AN60" s="388">
        <v>-9.9999201097489276E-7</v>
      </c>
      <c r="AO60" s="388">
        <v>-9.9999201097489276E-7</v>
      </c>
      <c r="AP60" s="388">
        <v>-9.9999201097489276E-7</v>
      </c>
      <c r="AQ60" s="388">
        <v>-9.9999201097489276E-7</v>
      </c>
      <c r="AR60" s="388">
        <v>-9.9999201097489276E-7</v>
      </c>
      <c r="AS60" s="388">
        <v>-9.9999201097489276E-7</v>
      </c>
      <c r="AT60" s="388">
        <v>-9.9999201097489276E-7</v>
      </c>
      <c r="AU60" s="388">
        <v>-9.9999201097489276E-7</v>
      </c>
      <c r="AV60" s="388">
        <v>-9.9999201097489276E-7</v>
      </c>
      <c r="AW60" s="388">
        <v>-9.9999201097489276E-7</v>
      </c>
      <c r="AX60" s="388">
        <v>-9.9999201097489276E-7</v>
      </c>
      <c r="AY60" s="388">
        <v>-9.9999201097489276E-7</v>
      </c>
      <c r="AZ60" s="388">
        <v>-9.9999201097489276E-7</v>
      </c>
      <c r="BA60" s="388">
        <v>-9.9999201097489276E-7</v>
      </c>
      <c r="BB60" s="388">
        <v>-9.9999201097489276E-7</v>
      </c>
      <c r="BC60" s="388">
        <v>-9.9999201097489276E-7</v>
      </c>
      <c r="BD60" s="388">
        <v>-9.9999201097489276E-7</v>
      </c>
      <c r="BE60" s="388">
        <v>-9.9999201097489276E-7</v>
      </c>
      <c r="BF60" s="388">
        <v>-9.9999201097489276E-7</v>
      </c>
      <c r="BG60" s="388">
        <v>-9.9999201097489276E-7</v>
      </c>
      <c r="BH60" s="388">
        <v>-9.9999201097489276E-7</v>
      </c>
      <c r="BI60" s="388">
        <v>-9.9999201097489276E-7</v>
      </c>
      <c r="BJ60" s="388">
        <v>-9.9999201097489276E-7</v>
      </c>
      <c r="BK60" s="388">
        <v>-9.9999201097489276E-7</v>
      </c>
      <c r="BL60" s="388">
        <v>-9.9999201097489276E-7</v>
      </c>
      <c r="BM60" s="388">
        <v>-9.9999201097489276E-7</v>
      </c>
      <c r="BN60" s="388">
        <v>-9.9999201097489276E-7</v>
      </c>
      <c r="BO60" s="388">
        <v>-9.9999201097489276E-7</v>
      </c>
      <c r="BP60" s="388">
        <v>-9.9999201097489276E-7</v>
      </c>
      <c r="BQ60" s="388">
        <v>-9.9999201097489276E-7</v>
      </c>
      <c r="BR60" s="388">
        <v>-9.9999201097489276E-7</v>
      </c>
      <c r="BS60" s="388">
        <v>-9.9999201097489276E-7</v>
      </c>
      <c r="BT60" s="388">
        <v>-9.9999201097489276E-7</v>
      </c>
      <c r="BU60" s="388">
        <v>-9.9999201097489276E-7</v>
      </c>
      <c r="BV60" s="388">
        <v>-9.9999201097489276E-7</v>
      </c>
      <c r="BW60" s="388">
        <v>-9.9999201097489276E-7</v>
      </c>
      <c r="BX60" s="388">
        <v>-9.9999201097489276E-7</v>
      </c>
      <c r="BY60" s="388">
        <v>-9.9999201097489276E-7</v>
      </c>
      <c r="BZ60" s="388">
        <v>-9.9999201097489276E-7</v>
      </c>
      <c r="CA60" s="388">
        <v>-9.9999201097489276E-7</v>
      </c>
      <c r="CB60" s="388">
        <v>-9.9999201097489276E-7</v>
      </c>
      <c r="CC60" s="388">
        <v>-9.9999201097489276E-7</v>
      </c>
      <c r="CD60" s="388">
        <v>-9.9999201097489276E-7</v>
      </c>
      <c r="CE60" s="388">
        <v>-9.9999201097489276E-7</v>
      </c>
      <c r="CF60" s="388">
        <v>-9.9999201097489276E-7</v>
      </c>
      <c r="CG60" s="388">
        <v>-9.9999201097489276E-7</v>
      </c>
      <c r="CH60" s="388">
        <v>-9.9999201097489276E-7</v>
      </c>
      <c r="CI60" s="388">
        <v>-9.9999201097489276E-7</v>
      </c>
      <c r="CJ60" s="388">
        <v>-9.9999201097489276E-7</v>
      </c>
      <c r="CK60" s="388">
        <v>-9.9999201097489276E-7</v>
      </c>
      <c r="CL60" s="388">
        <v>-9.9999201097489276E-7</v>
      </c>
      <c r="CM60" s="388">
        <v>-9.9999201097489276E-7</v>
      </c>
      <c r="CN60" s="388">
        <v>-9.9999201097489276E-7</v>
      </c>
      <c r="CO60" s="388">
        <v>-9.9999201097489276E-7</v>
      </c>
      <c r="CP60" s="388">
        <v>-9.9999201097489276E-7</v>
      </c>
      <c r="CQ60" s="388">
        <v>-9.9999201097489276E-7</v>
      </c>
      <c r="CR60" s="388">
        <v>-9.9999201097489276E-7</v>
      </c>
      <c r="CS60" s="388">
        <v>-9.9999201097489276E-7</v>
      </c>
      <c r="CT60" s="388">
        <v>-9.9999201097489276E-7</v>
      </c>
      <c r="CU60" s="388">
        <v>-9.9999201097489276E-7</v>
      </c>
      <c r="CV60" s="388">
        <v>-9.9999201097489276E-7</v>
      </c>
      <c r="CW60" s="388">
        <v>-9.9999201097489276E-7</v>
      </c>
      <c r="CX60" s="388">
        <v>-9.9999201097489276E-7</v>
      </c>
      <c r="CY60" s="388">
        <v>-9.9999201097489276E-7</v>
      </c>
      <c r="CZ60" s="388">
        <v>-9.9999201097489276E-7</v>
      </c>
      <c r="DA60" s="388">
        <v>-9.9999201097489276E-7</v>
      </c>
      <c r="DB60" s="388">
        <v>-9.9999201097489276E-7</v>
      </c>
      <c r="DC60" s="388">
        <v>-9.9999201097489276E-7</v>
      </c>
      <c r="DD60" s="388">
        <v>-9.9999201097489276E-7</v>
      </c>
      <c r="DE60" s="388">
        <v>-9.9999201097489276E-7</v>
      </c>
      <c r="DF60" s="388">
        <v>-9.9999201097489276E-7</v>
      </c>
      <c r="DG60" s="388">
        <v>-9.9999201097489276E-7</v>
      </c>
      <c r="DH60" s="388">
        <v>-9.9999201097489276E-7</v>
      </c>
      <c r="DI60" s="388">
        <v>-9.9999201097489276E-7</v>
      </c>
      <c r="DJ60" s="388">
        <v>-9.9999201097489276E-7</v>
      </c>
      <c r="DK60" s="388">
        <v>-9.9999201097489276E-7</v>
      </c>
      <c r="DL60" s="388">
        <v>-9.9999201097489276E-7</v>
      </c>
      <c r="DM60" s="388">
        <v>-9.9999201097489276E-7</v>
      </c>
      <c r="DN60" s="388">
        <v>-9.9999201097489276E-7</v>
      </c>
      <c r="DO60" s="388">
        <v>-9.9999201097489276E-7</v>
      </c>
      <c r="DP60" s="388">
        <v>-9.9999201097489276E-7</v>
      </c>
      <c r="DQ60" s="388">
        <v>-9.9999201097489276E-7</v>
      </c>
      <c r="DR60" s="388">
        <v>-9.9999201097489276E-7</v>
      </c>
      <c r="DS60" s="388">
        <v>-9.9999201097489276E-7</v>
      </c>
      <c r="DT60" s="388">
        <v>-9.9999201097489276E-7</v>
      </c>
      <c r="DU60" s="388">
        <v>-9.9999201097489276E-7</v>
      </c>
      <c r="DV60" s="388">
        <v>-9.9999201097489276E-7</v>
      </c>
      <c r="DW60" s="388">
        <v>-9.9999201097489276E-7</v>
      </c>
      <c r="DX60" s="388">
        <v>-9.9999201097489276E-7</v>
      </c>
      <c r="DY60" s="388">
        <v>-9.9999201097489276E-7</v>
      </c>
      <c r="DZ60" s="388">
        <v>-9.9998299517966394E-7</v>
      </c>
      <c r="EA60" s="388">
        <v>-9.9998299517966394E-7</v>
      </c>
      <c r="EB60" s="388"/>
      <c r="EC60" s="388"/>
      <c r="ED60" s="388">
        <v>-1.5604030005542865E-5</v>
      </c>
      <c r="EE60" s="388">
        <v>-7.6055406094787927E-5</v>
      </c>
      <c r="EF60" s="388">
        <v>9.3617225795386962E-4</v>
      </c>
      <c r="EG60" s="388">
        <v>-2.9568712829927727E-3</v>
      </c>
      <c r="EH60" s="388">
        <v>-4.9443919736099629E-3</v>
      </c>
      <c r="EI60" s="388">
        <v>-1.0245933917840595E-3</v>
      </c>
      <c r="EJ60" s="388">
        <v>-2.9407500911313813E-3</v>
      </c>
      <c r="EK60" s="388">
        <v>-2.3728190974537122E-3</v>
      </c>
      <c r="EL60" s="388">
        <v>-4.8671979687818752E-3</v>
      </c>
      <c r="EM60" s="388">
        <v>-8.4955969297841668E-4</v>
      </c>
      <c r="EN60" s="388">
        <v>-2.2061496647841929E-2</v>
      </c>
      <c r="EO60" s="388">
        <v>-2.6189885281542778E-2</v>
      </c>
      <c r="EP60" s="388">
        <v>-2.4925316304838064E-2</v>
      </c>
      <c r="EQ60" s="388">
        <v>-2.0873552774849282E-2</v>
      </c>
      <c r="ER60" s="388">
        <v>-4.3212859490079587E-2</v>
      </c>
      <c r="ES60" s="388">
        <v>-3.0306318688849979E-2</v>
      </c>
      <c r="ET60" s="388">
        <v>-3.0527960628561869E-2</v>
      </c>
      <c r="EU60" s="388">
        <v>-2.6364636562037799E-2</v>
      </c>
      <c r="EV60" s="388">
        <v>-2.6050017462065714E-2</v>
      </c>
      <c r="EW60" s="388">
        <v>-2.7804175122708406E-2</v>
      </c>
      <c r="EX60" s="388">
        <v>-3.1360254703103461E-2</v>
      </c>
      <c r="EY60" s="388">
        <v>-1.102696020275626E-3</v>
      </c>
      <c r="EZ60" s="388">
        <v>7.5366682038403865E-4</v>
      </c>
      <c r="FA60" s="388">
        <v>-1.8123761066295825E-2</v>
      </c>
      <c r="FB60" s="388">
        <v>-1.209852203015559E-2</v>
      </c>
      <c r="FC60" s="388">
        <v>-1.2924801997115688E-3</v>
      </c>
      <c r="FD60" s="388">
        <v>-4.1232321488031383E-3</v>
      </c>
      <c r="FE60" s="388">
        <v>-1.5591719940821945E-5</v>
      </c>
      <c r="FF60" s="388">
        <v>-5.5532518735876895E-5</v>
      </c>
      <c r="FG60" s="388">
        <v>7.0212919346540224E-4</v>
      </c>
      <c r="FH60" s="388">
        <v>-7.9260998232351756E-4</v>
      </c>
      <c r="FI60" s="388">
        <v>-3.6439729390106246E-3</v>
      </c>
      <c r="FJ60" s="388">
        <v>-1.5322606121677735E-4</v>
      </c>
      <c r="FK60" s="388">
        <v>-1.1639094506882153E-2</v>
      </c>
      <c r="FL60" s="388">
        <v>-1.712785121301215E-3</v>
      </c>
      <c r="FM60" s="388">
        <v>3.1455443702729817E-3</v>
      </c>
      <c r="FN60" s="388">
        <v>2.2909334357213052E-3</v>
      </c>
      <c r="FO60" s="388">
        <v>7.5718757902414958E-4</v>
      </c>
      <c r="FP60" s="388">
        <v>2.4827861579878412E-2</v>
      </c>
      <c r="FQ60" s="388">
        <v>2.8593398242565279E-2</v>
      </c>
      <c r="FR60" s="388">
        <v>2.4925316304838064E-2</v>
      </c>
      <c r="FS60" s="388">
        <v>2.3905465815573481E-2</v>
      </c>
      <c r="FT60" s="388">
        <v>4.4099999999999993E-2</v>
      </c>
      <c r="FU60" s="388">
        <v>3.170794793889764E-2</v>
      </c>
      <c r="FV60" s="388">
        <v>3.3225986465756627E-2</v>
      </c>
      <c r="FW60" s="388">
        <v>2.7356899643794258E-2</v>
      </c>
      <c r="FX60" s="388">
        <v>2.7838030529912971E-2</v>
      </c>
      <c r="FY60" s="388">
        <v>3.0240156692205027E-2</v>
      </c>
      <c r="FZ60" s="388">
        <v>3.3327921009954631E-2</v>
      </c>
      <c r="GA60" s="388">
        <v>1.9707048238944762E-4</v>
      </c>
      <c r="GB60" s="388"/>
      <c r="GC60" s="388"/>
      <c r="GD60" s="388"/>
      <c r="GE60" s="388"/>
      <c r="GF60" s="388"/>
      <c r="GG60" s="388"/>
      <c r="GH60" s="388"/>
      <c r="GI60" s="388"/>
      <c r="GJ60" s="388"/>
      <c r="GK60" s="388"/>
      <c r="GL60" s="388"/>
      <c r="GM60" s="388"/>
      <c r="GN60" s="388"/>
      <c r="GO60" s="388"/>
      <c r="GP60" s="412"/>
      <c r="GQ60" s="412"/>
      <c r="GR60" s="412"/>
      <c r="GS60" s="412"/>
      <c r="GT60" s="412"/>
      <c r="GU60" s="412"/>
      <c r="GV60" s="412"/>
      <c r="GW60" s="412"/>
      <c r="GX60" s="412"/>
      <c r="GY60" s="412"/>
      <c r="GZ60" s="412"/>
      <c r="HA60" s="412"/>
      <c r="HB60" s="412"/>
      <c r="HC60" s="412"/>
      <c r="HD60" s="412"/>
      <c r="HE60" s="412"/>
      <c r="HF60" s="412"/>
      <c r="HG60" s="412"/>
      <c r="HH60" s="412"/>
      <c r="HI60" s="412"/>
      <c r="HJ60" s="412"/>
      <c r="HK60" s="412"/>
      <c r="HL60" s="412"/>
      <c r="HM60" s="412"/>
      <c r="HN60" s="412"/>
      <c r="HO60" s="412"/>
      <c r="HP60" s="412"/>
      <c r="HQ60" s="412"/>
      <c r="HR60" s="412"/>
      <c r="HS60" s="412"/>
      <c r="HT60" s="412"/>
      <c r="HU60" s="412"/>
      <c r="HV60" s="412"/>
      <c r="HW60" s="412"/>
      <c r="HX60" s="412"/>
      <c r="HY60" s="412"/>
      <c r="HZ60" s="412"/>
      <c r="IA60" s="412"/>
      <c r="IB60" s="412"/>
      <c r="IC60" s="412"/>
      <c r="ID60" s="412"/>
      <c r="IE60" s="412"/>
      <c r="IF60" s="412"/>
      <c r="IG60" s="412"/>
      <c r="IH60" s="412"/>
      <c r="II60" s="412"/>
      <c r="IJ60" s="412"/>
      <c r="IK60" s="412"/>
      <c r="IL60" s="412"/>
      <c r="IM60" s="412"/>
      <c r="IN60" s="412"/>
      <c r="IO60" s="412"/>
      <c r="IP60" s="412"/>
      <c r="IQ60" s="412"/>
      <c r="IR60" s="412"/>
      <c r="IS60" s="412"/>
      <c r="IT60" s="412"/>
      <c r="IU60" s="412"/>
      <c r="IV60" s="412"/>
      <c r="IW60" s="412"/>
      <c r="IX60" s="412"/>
      <c r="IY60" s="412"/>
      <c r="IZ60" s="412"/>
      <c r="JA60" s="412"/>
      <c r="JB60" s="412"/>
      <c r="JC60" s="412"/>
      <c r="JD60" s="412"/>
      <c r="JE60" s="412"/>
      <c r="JF60" s="412"/>
      <c r="JG60" s="412"/>
      <c r="JH60" s="412"/>
      <c r="JI60" s="412"/>
      <c r="JJ60" s="412"/>
      <c r="JK60" s="412"/>
      <c r="JL60" s="412"/>
      <c r="JM60" s="412"/>
      <c r="JN60" s="412"/>
      <c r="JO60" s="412"/>
      <c r="JP60" s="412"/>
      <c r="JQ60" s="412"/>
      <c r="JR60" s="412"/>
      <c r="JS60" s="412"/>
      <c r="JT60" s="412"/>
      <c r="JU60" s="412"/>
      <c r="JV60" s="412"/>
      <c r="JW60" s="412"/>
      <c r="JX60" s="412"/>
      <c r="JY60" s="412"/>
      <c r="JZ60" s="412"/>
      <c r="KA60" s="412"/>
      <c r="KB60" s="412"/>
      <c r="KC60" s="412"/>
      <c r="KD60" s="412"/>
      <c r="KE60" s="412"/>
      <c r="KF60" s="412"/>
      <c r="KG60" s="412"/>
      <c r="KH60" s="412"/>
      <c r="KI60" s="412"/>
      <c r="KJ60" s="412"/>
      <c r="KK60" s="412"/>
      <c r="KL60" s="412"/>
      <c r="KM60" s="412"/>
      <c r="KN60" s="412"/>
      <c r="KO60" s="412"/>
      <c r="KP60" s="412"/>
      <c r="KQ60" s="412"/>
      <c r="KR60" s="412"/>
      <c r="KS60" s="412"/>
      <c r="KT60" s="412"/>
      <c r="KU60" s="412"/>
      <c r="KV60" s="412"/>
      <c r="KW60" s="412"/>
      <c r="KX60" s="412"/>
      <c r="KY60" s="412"/>
      <c r="KZ60" s="412"/>
      <c r="LA60" s="412"/>
      <c r="LB60" s="412"/>
      <c r="LC60" s="412"/>
      <c r="LD60" s="412"/>
      <c r="LE60" s="412"/>
      <c r="LF60" s="412"/>
      <c r="LG60" s="412"/>
      <c r="LH60" s="412"/>
      <c r="LI60" s="412"/>
      <c r="LJ60" s="412"/>
      <c r="LK60" s="412"/>
      <c r="LL60" s="412"/>
      <c r="LM60" s="412"/>
      <c r="LN60" s="412"/>
      <c r="LO60" s="412"/>
      <c r="LP60" s="412"/>
      <c r="LQ60" s="412"/>
      <c r="LR60" s="412"/>
      <c r="LS60" s="412"/>
      <c r="LT60" s="412"/>
      <c r="LU60" s="412"/>
      <c r="LV60" s="412"/>
      <c r="LW60" s="412"/>
      <c r="LX60" s="412"/>
      <c r="LY60" s="412"/>
      <c r="LZ60" s="412"/>
      <c r="MA60" s="412"/>
      <c r="MB60" s="412"/>
      <c r="MC60" s="412"/>
      <c r="MD60" s="412"/>
      <c r="ME60" s="412"/>
      <c r="MF60" s="412"/>
      <c r="MG60" s="412"/>
      <c r="MH60" s="412"/>
      <c r="MI60" s="412"/>
      <c r="MJ60" s="412"/>
      <c r="MK60" s="412"/>
      <c r="ML60" s="412"/>
      <c r="MM60" s="412"/>
      <c r="MN60" s="412"/>
      <c r="MO60" s="412"/>
      <c r="MP60" s="412"/>
      <c r="MQ60" s="412"/>
      <c r="MR60" s="412"/>
      <c r="MS60" s="412"/>
      <c r="MT60" s="412"/>
      <c r="MU60" s="412"/>
      <c r="MV60" s="412"/>
      <c r="MW60" s="412"/>
      <c r="MX60" s="412"/>
      <c r="MY60" s="412"/>
      <c r="MZ60" s="412"/>
      <c r="NA60" s="412"/>
      <c r="NB60" s="412"/>
      <c r="NC60" s="412"/>
      <c r="ND60" s="412"/>
      <c r="NE60" s="412"/>
      <c r="NF60" s="412"/>
      <c r="NG60" s="412"/>
      <c r="NH60" s="412"/>
      <c r="NI60" s="412"/>
      <c r="NJ60" s="412"/>
      <c r="NK60" s="412"/>
      <c r="NL60" s="412"/>
      <c r="NM60" s="412"/>
      <c r="NN60" s="412"/>
      <c r="NO60" s="412"/>
      <c r="NP60" s="412"/>
      <c r="NQ60" s="412"/>
      <c r="NR60" s="412"/>
      <c r="NS60" s="412"/>
      <c r="NT60" s="412"/>
      <c r="NU60" s="412"/>
      <c r="NV60" s="412"/>
      <c r="NW60" s="412"/>
      <c r="NX60" s="412"/>
      <c r="NY60" s="412"/>
      <c r="NZ60" s="412"/>
      <c r="OA60" s="412"/>
      <c r="OB60" s="412"/>
      <c r="OC60" s="412"/>
      <c r="OD60" s="412"/>
      <c r="OE60" s="412"/>
      <c r="OF60" s="412"/>
      <c r="OG60" s="412"/>
      <c r="OH60" s="412"/>
      <c r="OI60" s="412"/>
      <c r="OJ60" s="412"/>
      <c r="OK60" s="412"/>
      <c r="OL60" s="412"/>
      <c r="OM60" s="412"/>
      <c r="ON60" s="412"/>
      <c r="OO60" s="412"/>
      <c r="OP60" s="412"/>
      <c r="OQ60" s="412"/>
      <c r="OR60" s="412"/>
      <c r="OS60" s="412"/>
      <c r="OT60" s="412"/>
      <c r="OU60" s="412"/>
      <c r="OV60" s="412"/>
      <c r="OW60" s="412"/>
      <c r="OX60" s="412"/>
      <c r="OY60" s="412"/>
      <c r="OZ60" s="412"/>
      <c r="PA60" s="412"/>
      <c r="PB60" s="412"/>
      <c r="PC60" s="412"/>
      <c r="PD60" s="412"/>
      <c r="PE60" s="412"/>
      <c r="PF60" s="412"/>
      <c r="PG60" s="412"/>
      <c r="PH60" s="412"/>
      <c r="PI60" s="412"/>
      <c r="PJ60" s="412"/>
      <c r="PK60" s="412"/>
      <c r="PL60" s="412"/>
      <c r="PM60" s="412"/>
      <c r="PN60" s="412"/>
      <c r="PO60" s="412"/>
      <c r="PP60" s="412"/>
      <c r="PQ60" s="412"/>
      <c r="PR60" s="412"/>
      <c r="PS60" s="412"/>
      <c r="PT60" s="412"/>
      <c r="PU60" s="412"/>
      <c r="PV60" s="412"/>
      <c r="PW60" s="412"/>
      <c r="PX60" s="412"/>
      <c r="PY60" s="412"/>
      <c r="PZ60" s="412"/>
      <c r="QA60" s="412"/>
      <c r="QB60" s="412"/>
      <c r="QC60" s="412"/>
      <c r="QD60" s="412"/>
      <c r="QE60" s="412"/>
      <c r="QF60" s="412"/>
      <c r="QG60" s="412"/>
      <c r="QH60" s="412"/>
      <c r="QI60" s="412"/>
      <c r="QJ60" s="412"/>
      <c r="QK60" s="412"/>
      <c r="QL60" s="412"/>
      <c r="QM60" s="412"/>
      <c r="QN60" s="412"/>
      <c r="QO60" s="412"/>
      <c r="QP60" s="412"/>
      <c r="QQ60" s="412"/>
      <c r="QR60" s="412"/>
      <c r="QS60" s="412"/>
      <c r="QT60" s="412"/>
      <c r="QU60" s="412"/>
      <c r="QV60" s="412"/>
      <c r="QW60" s="412"/>
      <c r="QX60" s="412"/>
      <c r="QY60" s="412"/>
      <c r="QZ60" s="412"/>
      <c r="RA60" s="412"/>
      <c r="RB60" s="412"/>
      <c r="RC60" s="412"/>
      <c r="RD60" s="412"/>
      <c r="RE60" s="412"/>
      <c r="RF60" s="412"/>
      <c r="RG60" s="412"/>
      <c r="RH60" s="412"/>
      <c r="RI60" s="412"/>
      <c r="RJ60" s="412"/>
      <c r="RK60" s="412"/>
      <c r="RL60" s="412"/>
      <c r="RM60" s="412"/>
      <c r="RN60" s="412"/>
      <c r="RO60" s="412"/>
      <c r="RP60" s="412"/>
      <c r="RQ60" s="412"/>
      <c r="RR60" s="412"/>
      <c r="RS60" s="412"/>
      <c r="RT60" s="412"/>
      <c r="RU60" s="412"/>
      <c r="RV60" s="412"/>
      <c r="RW60" s="412"/>
      <c r="RX60" s="412"/>
      <c r="RY60" s="412"/>
      <c r="RZ60" s="412"/>
      <c r="SA60" s="412"/>
      <c r="SB60" s="412"/>
      <c r="SC60" s="412"/>
      <c r="SD60" s="412"/>
      <c r="SE60" s="412"/>
      <c r="SF60" s="412"/>
      <c r="SG60" s="412"/>
    </row>
    <row r="61" spans="1:501" x14ac:dyDescent="0.2">
      <c r="A61" s="391" t="s">
        <v>45</v>
      </c>
      <c r="B61" s="110"/>
      <c r="C61" s="392">
        <v>0.1</v>
      </c>
      <c r="D61" s="392">
        <v>0.2</v>
      </c>
      <c r="E61" s="392">
        <v>-9.9999999999999995E-7</v>
      </c>
      <c r="F61" s="392">
        <v>-9.9999999999999995E-7</v>
      </c>
      <c r="G61" s="392"/>
      <c r="H61" s="110"/>
      <c r="I61" s="410">
        <v>0</v>
      </c>
      <c r="J61" s="410">
        <v>0</v>
      </c>
      <c r="K61" s="410">
        <v>0</v>
      </c>
      <c r="L61" s="410">
        <v>0</v>
      </c>
      <c r="M61" s="410">
        <v>0</v>
      </c>
      <c r="N61" s="410">
        <v>0</v>
      </c>
      <c r="O61" s="387"/>
      <c r="P61" s="393">
        <v>0</v>
      </c>
      <c r="Q61" s="393">
        <v>0</v>
      </c>
      <c r="R61" s="393">
        <v>0</v>
      </c>
      <c r="S61" s="393">
        <v>0</v>
      </c>
      <c r="T61" s="393">
        <v>0</v>
      </c>
      <c r="U61" s="393"/>
      <c r="V61" s="393">
        <v>0</v>
      </c>
      <c r="W61" s="393">
        <v>0</v>
      </c>
      <c r="X61" s="393">
        <v>0</v>
      </c>
      <c r="Y61" s="393">
        <v>0</v>
      </c>
      <c r="Z61" s="393">
        <v>0</v>
      </c>
      <c r="AA61" s="393"/>
      <c r="AB61" s="435"/>
      <c r="AC61" s="393">
        <v>-9.9999999999999995E-7</v>
      </c>
      <c r="AD61" s="411"/>
      <c r="AE61" s="435"/>
      <c r="AF61" s="388">
        <v>-9.9994198876629525E-7</v>
      </c>
      <c r="AG61" s="388">
        <v>-9.9994198876629525E-7</v>
      </c>
      <c r="AH61" s="388">
        <v>-9.9994198876629525E-7</v>
      </c>
      <c r="AI61" s="388">
        <v>-9.9994198876629525E-7</v>
      </c>
      <c r="AJ61" s="388">
        <v>-9.9994198876629525E-7</v>
      </c>
      <c r="AK61" s="388">
        <v>-9.9994198876629525E-7</v>
      </c>
      <c r="AL61" s="388">
        <v>-9.9994198876629525E-7</v>
      </c>
      <c r="AM61" s="388">
        <v>-9.9994198876629525E-7</v>
      </c>
      <c r="AN61" s="388">
        <v>-9.9994198876629525E-7</v>
      </c>
      <c r="AO61" s="388">
        <v>-9.9994198876629525E-7</v>
      </c>
      <c r="AP61" s="388">
        <v>-9.9994198876629525E-7</v>
      </c>
      <c r="AQ61" s="388">
        <v>-9.9994198876629525E-7</v>
      </c>
      <c r="AR61" s="388">
        <v>-9.9994198876629525E-7</v>
      </c>
      <c r="AS61" s="388">
        <v>-9.9994198876629525E-7</v>
      </c>
      <c r="AT61" s="388">
        <v>-9.9994198876629525E-7</v>
      </c>
      <c r="AU61" s="388">
        <v>-9.9994198876629525E-7</v>
      </c>
      <c r="AV61" s="388">
        <v>-9.9994198876629525E-7</v>
      </c>
      <c r="AW61" s="388">
        <v>-9.9994198876629525E-7</v>
      </c>
      <c r="AX61" s="388">
        <v>-9.9994198876629525E-7</v>
      </c>
      <c r="AY61" s="388">
        <v>-9.9994198876629525E-7</v>
      </c>
      <c r="AZ61" s="388">
        <v>-9.9994198876629525E-7</v>
      </c>
      <c r="BA61" s="388">
        <v>-9.9994198876629525E-7</v>
      </c>
      <c r="BB61" s="388">
        <v>-9.9994198876629525E-7</v>
      </c>
      <c r="BC61" s="388">
        <v>-9.9994198876629525E-7</v>
      </c>
      <c r="BD61" s="388">
        <v>-9.9994198876629525E-7</v>
      </c>
      <c r="BE61" s="388">
        <v>-9.9994198876629525E-7</v>
      </c>
      <c r="BF61" s="388">
        <v>-9.9994198876629525E-7</v>
      </c>
      <c r="BG61" s="388">
        <v>-9.9994198876629525E-7</v>
      </c>
      <c r="BH61" s="388">
        <v>-9.9994198876629525E-7</v>
      </c>
      <c r="BI61" s="388">
        <v>-9.9994198876629525E-7</v>
      </c>
      <c r="BJ61" s="388">
        <v>-9.9994198876629525E-7</v>
      </c>
      <c r="BK61" s="388">
        <v>-9.9994198876629525E-7</v>
      </c>
      <c r="BL61" s="388">
        <v>-9.9994198876629525E-7</v>
      </c>
      <c r="BM61" s="388">
        <v>-9.9994198876629525E-7</v>
      </c>
      <c r="BN61" s="388">
        <v>-9.9994198876629525E-7</v>
      </c>
      <c r="BO61" s="388">
        <v>-9.9994198876629525E-7</v>
      </c>
      <c r="BP61" s="388">
        <v>-9.9994198876629525E-7</v>
      </c>
      <c r="BQ61" s="388">
        <v>-9.9994198876629525E-7</v>
      </c>
      <c r="BR61" s="388">
        <v>-9.9994198876629525E-7</v>
      </c>
      <c r="BS61" s="388">
        <v>-9.9994198876629525E-7</v>
      </c>
      <c r="BT61" s="388">
        <v>-9.9994198876629525E-7</v>
      </c>
      <c r="BU61" s="388">
        <v>-9.9994198876629525E-7</v>
      </c>
      <c r="BV61" s="388">
        <v>-9.9994198876629525E-7</v>
      </c>
      <c r="BW61" s="388">
        <v>-9.9994198876629525E-7</v>
      </c>
      <c r="BX61" s="388">
        <v>-9.9994198876629525E-7</v>
      </c>
      <c r="BY61" s="388">
        <v>-9.9994198876629525E-7</v>
      </c>
      <c r="BZ61" s="388">
        <v>-9.9994198876629525E-7</v>
      </c>
      <c r="CA61" s="388">
        <v>-9.9994198876629525E-7</v>
      </c>
      <c r="CB61" s="388">
        <v>-9.9994198876629525E-7</v>
      </c>
      <c r="CC61" s="388">
        <v>-9.9994198876629525E-7</v>
      </c>
      <c r="CD61" s="388">
        <v>-9.9994198876629525E-7</v>
      </c>
      <c r="CE61" s="388">
        <v>-9.9994198876629525E-7</v>
      </c>
      <c r="CF61" s="388">
        <v>-9.9994198876629525E-7</v>
      </c>
      <c r="CG61" s="388">
        <v>-9.9994198876629525E-7</v>
      </c>
      <c r="CH61" s="388">
        <v>-9.9994198876629525E-7</v>
      </c>
      <c r="CI61" s="388">
        <v>-9.9994198876629525E-7</v>
      </c>
      <c r="CJ61" s="388">
        <v>-9.9994198876629525E-7</v>
      </c>
      <c r="CK61" s="388">
        <v>-9.9994198876629525E-7</v>
      </c>
      <c r="CL61" s="388">
        <v>-9.9994198876629525E-7</v>
      </c>
      <c r="CM61" s="388">
        <v>-9.9994198876629525E-7</v>
      </c>
      <c r="CN61" s="388">
        <v>-9.9994198876629525E-7</v>
      </c>
      <c r="CO61" s="388">
        <v>-9.9994198876629525E-7</v>
      </c>
      <c r="CP61" s="388">
        <v>-9.9994198876629525E-7</v>
      </c>
      <c r="CQ61" s="388">
        <v>-9.9994198876629525E-7</v>
      </c>
      <c r="CR61" s="388">
        <v>-9.9994198876629525E-7</v>
      </c>
      <c r="CS61" s="388">
        <v>-9.9994198876629525E-7</v>
      </c>
      <c r="CT61" s="388">
        <v>-9.9994198876629525E-7</v>
      </c>
      <c r="CU61" s="388">
        <v>-9.9994198876629525E-7</v>
      </c>
      <c r="CV61" s="388">
        <v>-9.9994198876629525E-7</v>
      </c>
      <c r="CW61" s="388">
        <v>-9.9994198876629525E-7</v>
      </c>
      <c r="CX61" s="388">
        <v>-9.9994198876629525E-7</v>
      </c>
      <c r="CY61" s="388">
        <v>-9.9994198876629525E-7</v>
      </c>
      <c r="CZ61" s="388">
        <v>-9.9994198876629525E-7</v>
      </c>
      <c r="DA61" s="388">
        <v>-9.9994198876629525E-7</v>
      </c>
      <c r="DB61" s="388">
        <v>-9.9994198876629525E-7</v>
      </c>
      <c r="DC61" s="388">
        <v>-9.9994198876629525E-7</v>
      </c>
      <c r="DD61" s="388">
        <v>-9.9994198876629525E-7</v>
      </c>
      <c r="DE61" s="388">
        <v>-9.9994198876629525E-7</v>
      </c>
      <c r="DF61" s="388">
        <v>-9.9994198876629525E-7</v>
      </c>
      <c r="DG61" s="388">
        <v>-9.9994198876629525E-7</v>
      </c>
      <c r="DH61" s="388">
        <v>-9.9994198876629525E-7</v>
      </c>
      <c r="DI61" s="388">
        <v>-9.9994198876629525E-7</v>
      </c>
      <c r="DJ61" s="388">
        <v>-9.9994198876629525E-7</v>
      </c>
      <c r="DK61" s="388">
        <v>-9.9994198876629525E-7</v>
      </c>
      <c r="DL61" s="388">
        <v>-9.9994198876629525E-7</v>
      </c>
      <c r="DM61" s="388">
        <v>-9.9994198876629525E-7</v>
      </c>
      <c r="DN61" s="388">
        <v>-9.9994198876629525E-7</v>
      </c>
      <c r="DO61" s="388">
        <v>-9.9994198876629525E-7</v>
      </c>
      <c r="DP61" s="388">
        <v>-9.9994198876629525E-7</v>
      </c>
      <c r="DQ61" s="388">
        <v>-9.9994198876629525E-7</v>
      </c>
      <c r="DR61" s="388">
        <v>-9.9994198876629525E-7</v>
      </c>
      <c r="DS61" s="388">
        <v>-9.9994198876629525E-7</v>
      </c>
      <c r="DT61" s="388">
        <v>-9.9994198876629525E-7</v>
      </c>
      <c r="DU61" s="388">
        <v>-9.9994198876629525E-7</v>
      </c>
      <c r="DV61" s="388">
        <v>-9.9994198876629525E-7</v>
      </c>
      <c r="DW61" s="388">
        <v>-9.9994198876629525E-7</v>
      </c>
      <c r="DX61" s="388">
        <v>-9.9994198876629525E-7</v>
      </c>
      <c r="DY61" s="388">
        <v>-9.9994198876629525E-7</v>
      </c>
      <c r="DZ61" s="388">
        <v>-9.9994195828407124E-7</v>
      </c>
      <c r="EA61" s="388">
        <v>-9.9994195828407124E-7</v>
      </c>
      <c r="EB61" s="388"/>
      <c r="EC61" s="388"/>
      <c r="ED61" s="388">
        <v>-1.4355589127185869E-4</v>
      </c>
      <c r="EE61" s="388">
        <v>-6.1124680817880011E-4</v>
      </c>
      <c r="EF61" s="388">
        <v>6.9367613622564329E-5</v>
      </c>
      <c r="EG61" s="388">
        <v>-3.3087816870422011E-3</v>
      </c>
      <c r="EH61" s="388">
        <v>-5.1502919057612529E-3</v>
      </c>
      <c r="EI61" s="388">
        <v>-2.3353408783872154E-3</v>
      </c>
      <c r="EJ61" s="388">
        <v>-4.774747322195726E-3</v>
      </c>
      <c r="EK61" s="388">
        <v>-3.4963116040690706E-3</v>
      </c>
      <c r="EL61" s="388">
        <v>-6.6010750085851513E-3</v>
      </c>
      <c r="EM61" s="388">
        <v>-2.2428551855158511E-3</v>
      </c>
      <c r="EN61" s="388">
        <v>-2.1311444871594015E-2</v>
      </c>
      <c r="EO61" s="388">
        <v>-2.3986780334463335E-2</v>
      </c>
      <c r="EP61" s="388">
        <v>-2.4021825767818694E-2</v>
      </c>
      <c r="EQ61" s="388">
        <v>-1.7678732502014551E-2</v>
      </c>
      <c r="ER61" s="388">
        <v>-2.9934112502170738E-2</v>
      </c>
      <c r="ES61" s="388">
        <v>-3.9005557898095594E-2</v>
      </c>
      <c r="ET61" s="388">
        <v>-2.202109086017685E-2</v>
      </c>
      <c r="EU61" s="388">
        <v>-2.8357509750817217E-2</v>
      </c>
      <c r="EV61" s="388">
        <v>-2.8334332879102139E-2</v>
      </c>
      <c r="EW61" s="388">
        <v>-2.570291441130226E-2</v>
      </c>
      <c r="EX61" s="388">
        <v>-2.9183312171341722E-2</v>
      </c>
      <c r="EY61" s="388">
        <v>-1.3740096718275244E-3</v>
      </c>
      <c r="EZ61" s="388">
        <v>4.4662341564281546E-4</v>
      </c>
      <c r="FA61" s="388">
        <v>-1.7794153850247661E-2</v>
      </c>
      <c r="FB61" s="388">
        <v>-1.9024396055000347E-2</v>
      </c>
      <c r="FC61" s="388">
        <v>3.0971417716439063E-4</v>
      </c>
      <c r="FD61" s="388">
        <v>-1.9216969370511442E-3</v>
      </c>
      <c r="FE61" s="388">
        <v>-1.4355653057197538E-4</v>
      </c>
      <c r="FF61" s="388">
        <v>-4.463071932734096E-4</v>
      </c>
      <c r="FG61" s="388">
        <v>5.2025710216923247E-5</v>
      </c>
      <c r="FH61" s="388">
        <v>-1.8065844530919966E-3</v>
      </c>
      <c r="FI61" s="388">
        <v>-5.9165347253294876E-3</v>
      </c>
      <c r="FJ61" s="388">
        <v>3.232389816250588E-4</v>
      </c>
      <c r="FK61" s="388">
        <v>-1.3120066196849842E-2</v>
      </c>
      <c r="FL61" s="388">
        <v>-7.4913237942126829E-3</v>
      </c>
      <c r="FM61" s="388">
        <v>3.6184872308585906E-3</v>
      </c>
      <c r="FN61" s="388">
        <v>3.5519836951402907E-3</v>
      </c>
      <c r="FO61" s="388">
        <v>9.4122294310759736E-4</v>
      </c>
      <c r="FP61" s="388">
        <v>2.4401391055097428E-2</v>
      </c>
      <c r="FQ61" s="388">
        <v>2.6879652267389035E-2</v>
      </c>
      <c r="FR61" s="388">
        <v>2.4021825767818694E-2</v>
      </c>
      <c r="FS61" s="388">
        <v>2.0915461452876621E-2</v>
      </c>
      <c r="FT61" s="388">
        <v>3.170794793889764E-2</v>
      </c>
      <c r="FU61" s="388">
        <v>4.0000000000000008E-2</v>
      </c>
      <c r="FV61" s="388">
        <v>2.5125186617525479E-2</v>
      </c>
      <c r="FW61" s="388">
        <v>2.9402816525921905E-2</v>
      </c>
      <c r="FX61" s="388">
        <v>3.006684094465599E-2</v>
      </c>
      <c r="FY61" s="388">
        <v>2.824700891908212E-2</v>
      </c>
      <c r="FZ61" s="388">
        <v>3.1299939844172162E-2</v>
      </c>
      <c r="GA61" s="388">
        <v>1.6361727085512112E-4</v>
      </c>
      <c r="GB61" s="388"/>
      <c r="GC61" s="388"/>
      <c r="GD61" s="388"/>
      <c r="GE61" s="388"/>
      <c r="GF61" s="388"/>
      <c r="GG61" s="388"/>
      <c r="GH61" s="388"/>
      <c r="GI61" s="388"/>
      <c r="GJ61" s="388"/>
      <c r="GK61" s="388"/>
      <c r="GL61" s="388"/>
      <c r="GM61" s="388"/>
      <c r="GN61" s="388"/>
      <c r="GO61" s="388"/>
      <c r="GP61" s="412"/>
      <c r="GQ61" s="412"/>
      <c r="GR61" s="412"/>
      <c r="GS61" s="412"/>
      <c r="GT61" s="412"/>
      <c r="GU61" s="412"/>
      <c r="GV61" s="412"/>
      <c r="GW61" s="412"/>
      <c r="GX61" s="412"/>
      <c r="GY61" s="412"/>
      <c r="GZ61" s="412"/>
      <c r="HA61" s="412"/>
      <c r="HB61" s="412"/>
      <c r="HC61" s="412"/>
      <c r="HD61" s="412"/>
      <c r="HE61" s="412"/>
      <c r="HF61" s="412"/>
      <c r="HG61" s="412"/>
      <c r="HH61" s="412"/>
      <c r="HI61" s="412"/>
      <c r="HJ61" s="412"/>
      <c r="HK61" s="412"/>
      <c r="HL61" s="412"/>
      <c r="HM61" s="412"/>
      <c r="HN61" s="412"/>
      <c r="HO61" s="412"/>
      <c r="HP61" s="412"/>
      <c r="HQ61" s="412"/>
      <c r="HR61" s="412"/>
      <c r="HS61" s="412"/>
      <c r="HT61" s="412"/>
      <c r="HU61" s="412"/>
      <c r="HV61" s="412"/>
      <c r="HW61" s="412"/>
      <c r="HX61" s="412"/>
      <c r="HY61" s="412"/>
      <c r="HZ61" s="412"/>
      <c r="IA61" s="412"/>
      <c r="IB61" s="412"/>
      <c r="IC61" s="412"/>
      <c r="ID61" s="412"/>
      <c r="IE61" s="412"/>
      <c r="IF61" s="412"/>
      <c r="IG61" s="412"/>
      <c r="IH61" s="412"/>
      <c r="II61" s="412"/>
      <c r="IJ61" s="412"/>
      <c r="IK61" s="412"/>
      <c r="IL61" s="412"/>
      <c r="IM61" s="412"/>
      <c r="IN61" s="412"/>
      <c r="IO61" s="412"/>
      <c r="IP61" s="412"/>
      <c r="IQ61" s="412"/>
      <c r="IR61" s="412"/>
      <c r="IS61" s="412"/>
      <c r="IT61" s="412"/>
      <c r="IU61" s="412"/>
      <c r="IV61" s="412"/>
      <c r="IW61" s="412"/>
      <c r="IX61" s="412"/>
      <c r="IY61" s="412"/>
      <c r="IZ61" s="412"/>
      <c r="JA61" s="412"/>
      <c r="JB61" s="412"/>
      <c r="JC61" s="412"/>
      <c r="JD61" s="412"/>
      <c r="JE61" s="412"/>
      <c r="JF61" s="412"/>
      <c r="JG61" s="412"/>
      <c r="JH61" s="412"/>
      <c r="JI61" s="412"/>
      <c r="JJ61" s="412"/>
      <c r="JK61" s="412"/>
      <c r="JL61" s="412"/>
      <c r="JM61" s="412"/>
      <c r="JN61" s="412"/>
      <c r="JO61" s="412"/>
      <c r="JP61" s="412"/>
      <c r="JQ61" s="412"/>
      <c r="JR61" s="412"/>
      <c r="JS61" s="412"/>
      <c r="JT61" s="412"/>
      <c r="JU61" s="412"/>
      <c r="JV61" s="412"/>
      <c r="JW61" s="412"/>
      <c r="JX61" s="412"/>
      <c r="JY61" s="412"/>
      <c r="JZ61" s="412"/>
      <c r="KA61" s="412"/>
      <c r="KB61" s="412"/>
      <c r="KC61" s="412"/>
      <c r="KD61" s="412"/>
      <c r="KE61" s="412"/>
      <c r="KF61" s="412"/>
      <c r="KG61" s="412"/>
      <c r="KH61" s="412"/>
      <c r="KI61" s="412"/>
      <c r="KJ61" s="412"/>
      <c r="KK61" s="412"/>
      <c r="KL61" s="412"/>
      <c r="KM61" s="412"/>
      <c r="KN61" s="412"/>
      <c r="KO61" s="412"/>
      <c r="KP61" s="412"/>
      <c r="KQ61" s="412"/>
      <c r="KR61" s="412"/>
      <c r="KS61" s="412"/>
      <c r="KT61" s="412"/>
      <c r="KU61" s="412"/>
      <c r="KV61" s="412"/>
      <c r="KW61" s="412"/>
      <c r="KX61" s="412"/>
      <c r="KY61" s="412"/>
      <c r="KZ61" s="412"/>
      <c r="LA61" s="412"/>
      <c r="LB61" s="412"/>
      <c r="LC61" s="412"/>
      <c r="LD61" s="412"/>
      <c r="LE61" s="412"/>
      <c r="LF61" s="412"/>
      <c r="LG61" s="412"/>
      <c r="LH61" s="412"/>
      <c r="LI61" s="412"/>
      <c r="LJ61" s="412"/>
      <c r="LK61" s="412"/>
      <c r="LL61" s="412"/>
      <c r="LM61" s="412"/>
      <c r="LN61" s="412"/>
      <c r="LO61" s="412"/>
      <c r="LP61" s="412"/>
      <c r="LQ61" s="412"/>
      <c r="LR61" s="412"/>
      <c r="LS61" s="412"/>
      <c r="LT61" s="412"/>
      <c r="LU61" s="412"/>
      <c r="LV61" s="412"/>
      <c r="LW61" s="412"/>
      <c r="LX61" s="412"/>
      <c r="LY61" s="412"/>
      <c r="LZ61" s="412"/>
      <c r="MA61" s="412"/>
      <c r="MB61" s="412"/>
      <c r="MC61" s="412"/>
      <c r="MD61" s="412"/>
      <c r="ME61" s="412"/>
      <c r="MF61" s="412"/>
      <c r="MG61" s="412"/>
      <c r="MH61" s="412"/>
      <c r="MI61" s="412"/>
      <c r="MJ61" s="412"/>
      <c r="MK61" s="412"/>
      <c r="ML61" s="412"/>
      <c r="MM61" s="412"/>
      <c r="MN61" s="412"/>
      <c r="MO61" s="412"/>
      <c r="MP61" s="412"/>
      <c r="MQ61" s="412"/>
      <c r="MR61" s="412"/>
      <c r="MS61" s="412"/>
      <c r="MT61" s="412"/>
      <c r="MU61" s="412"/>
      <c r="MV61" s="412"/>
      <c r="MW61" s="412"/>
      <c r="MX61" s="412"/>
      <c r="MY61" s="412"/>
      <c r="MZ61" s="412"/>
      <c r="NA61" s="412"/>
      <c r="NB61" s="412"/>
      <c r="NC61" s="412"/>
      <c r="ND61" s="412"/>
      <c r="NE61" s="412"/>
      <c r="NF61" s="412"/>
      <c r="NG61" s="412"/>
      <c r="NH61" s="412"/>
      <c r="NI61" s="412"/>
      <c r="NJ61" s="412"/>
      <c r="NK61" s="412"/>
      <c r="NL61" s="412"/>
      <c r="NM61" s="412"/>
      <c r="NN61" s="412"/>
      <c r="NO61" s="412"/>
      <c r="NP61" s="412"/>
      <c r="NQ61" s="412"/>
      <c r="NR61" s="412"/>
      <c r="NS61" s="412"/>
      <c r="NT61" s="412"/>
      <c r="NU61" s="412"/>
      <c r="NV61" s="412"/>
      <c r="NW61" s="412"/>
      <c r="NX61" s="412"/>
      <c r="NY61" s="412"/>
      <c r="NZ61" s="412"/>
      <c r="OA61" s="412"/>
      <c r="OB61" s="412"/>
      <c r="OC61" s="412"/>
      <c r="OD61" s="412"/>
      <c r="OE61" s="412"/>
      <c r="OF61" s="412"/>
      <c r="OG61" s="412"/>
      <c r="OH61" s="412"/>
      <c r="OI61" s="412"/>
      <c r="OJ61" s="412"/>
      <c r="OK61" s="412"/>
      <c r="OL61" s="412"/>
      <c r="OM61" s="412"/>
      <c r="ON61" s="412"/>
      <c r="OO61" s="412"/>
      <c r="OP61" s="412"/>
      <c r="OQ61" s="412"/>
      <c r="OR61" s="412"/>
      <c r="OS61" s="412"/>
      <c r="OT61" s="412"/>
      <c r="OU61" s="412"/>
      <c r="OV61" s="412"/>
      <c r="OW61" s="412"/>
      <c r="OX61" s="412"/>
      <c r="OY61" s="412"/>
      <c r="OZ61" s="412"/>
      <c r="PA61" s="412"/>
      <c r="PB61" s="412"/>
      <c r="PC61" s="412"/>
      <c r="PD61" s="412"/>
      <c r="PE61" s="412"/>
      <c r="PF61" s="412"/>
      <c r="PG61" s="412"/>
      <c r="PH61" s="412"/>
      <c r="PI61" s="412"/>
      <c r="PJ61" s="412"/>
      <c r="PK61" s="412"/>
      <c r="PL61" s="412"/>
      <c r="PM61" s="412"/>
      <c r="PN61" s="412"/>
      <c r="PO61" s="412"/>
      <c r="PP61" s="412"/>
      <c r="PQ61" s="412"/>
      <c r="PR61" s="412"/>
      <c r="PS61" s="412"/>
      <c r="PT61" s="412"/>
      <c r="PU61" s="412"/>
      <c r="PV61" s="412"/>
      <c r="PW61" s="412"/>
      <c r="PX61" s="412"/>
      <c r="PY61" s="412"/>
      <c r="PZ61" s="412"/>
      <c r="QA61" s="412"/>
      <c r="QB61" s="412"/>
      <c r="QC61" s="412"/>
      <c r="QD61" s="412"/>
      <c r="QE61" s="412"/>
      <c r="QF61" s="412"/>
      <c r="QG61" s="412"/>
      <c r="QH61" s="412"/>
      <c r="QI61" s="412"/>
      <c r="QJ61" s="412"/>
      <c r="QK61" s="412"/>
      <c r="QL61" s="412"/>
      <c r="QM61" s="412"/>
      <c r="QN61" s="412"/>
      <c r="QO61" s="412"/>
      <c r="QP61" s="412"/>
      <c r="QQ61" s="412"/>
      <c r="QR61" s="412"/>
      <c r="QS61" s="412"/>
      <c r="QT61" s="412"/>
      <c r="QU61" s="412"/>
      <c r="QV61" s="412"/>
      <c r="QW61" s="412"/>
      <c r="QX61" s="412"/>
      <c r="QY61" s="412"/>
      <c r="QZ61" s="412"/>
      <c r="RA61" s="412"/>
      <c r="RB61" s="412"/>
      <c r="RC61" s="412"/>
      <c r="RD61" s="412"/>
      <c r="RE61" s="412"/>
      <c r="RF61" s="412"/>
      <c r="RG61" s="412"/>
      <c r="RH61" s="412"/>
      <c r="RI61" s="412"/>
      <c r="RJ61" s="412"/>
      <c r="RK61" s="412"/>
      <c r="RL61" s="412"/>
      <c r="RM61" s="412"/>
      <c r="RN61" s="412"/>
      <c r="RO61" s="412"/>
      <c r="RP61" s="412"/>
      <c r="RQ61" s="412"/>
      <c r="RR61" s="412"/>
      <c r="RS61" s="412"/>
      <c r="RT61" s="412"/>
      <c r="RU61" s="412"/>
      <c r="RV61" s="412"/>
      <c r="RW61" s="412"/>
      <c r="RX61" s="412"/>
      <c r="RY61" s="412"/>
      <c r="RZ61" s="412"/>
      <c r="SA61" s="412"/>
      <c r="SB61" s="412"/>
      <c r="SC61" s="412"/>
      <c r="SD61" s="412"/>
      <c r="SE61" s="412"/>
      <c r="SF61" s="412"/>
      <c r="SG61" s="412"/>
    </row>
    <row r="62" spans="1:501" x14ac:dyDescent="0.2">
      <c r="A62" s="391" t="s">
        <v>46</v>
      </c>
      <c r="B62" s="110"/>
      <c r="C62" s="392">
        <v>0.1</v>
      </c>
      <c r="D62" s="392">
        <v>0.2</v>
      </c>
      <c r="E62" s="392">
        <v>-9.9999999999999995E-7</v>
      </c>
      <c r="F62" s="392">
        <v>-9.9999999999999995E-7</v>
      </c>
      <c r="G62" s="392"/>
      <c r="H62" s="110"/>
      <c r="I62" s="410">
        <v>0</v>
      </c>
      <c r="J62" s="410">
        <v>0</v>
      </c>
      <c r="K62" s="410">
        <v>0</v>
      </c>
      <c r="L62" s="410">
        <v>0</v>
      </c>
      <c r="M62" s="410">
        <v>0</v>
      </c>
      <c r="N62" s="410">
        <v>0</v>
      </c>
      <c r="O62" s="387"/>
      <c r="P62" s="393">
        <v>0</v>
      </c>
      <c r="Q62" s="393">
        <v>0</v>
      </c>
      <c r="R62" s="393">
        <v>0</v>
      </c>
      <c r="S62" s="393">
        <v>0</v>
      </c>
      <c r="T62" s="393">
        <v>0</v>
      </c>
      <c r="U62" s="393"/>
      <c r="V62" s="393">
        <v>0</v>
      </c>
      <c r="W62" s="393">
        <v>0</v>
      </c>
      <c r="X62" s="393">
        <v>0</v>
      </c>
      <c r="Y62" s="393">
        <v>0</v>
      </c>
      <c r="Z62" s="393">
        <v>0</v>
      </c>
      <c r="AA62" s="393"/>
      <c r="AB62" s="435"/>
      <c r="AC62" s="393">
        <v>-9.9999999999999995E-7</v>
      </c>
      <c r="AD62" s="411"/>
      <c r="AE62" s="435"/>
      <c r="AF62" s="388">
        <v>-9.9999999999999995E-7</v>
      </c>
      <c r="AG62" s="388">
        <v>-9.9999999999999995E-7</v>
      </c>
      <c r="AH62" s="388">
        <v>-9.9999999999999995E-7</v>
      </c>
      <c r="AI62" s="388">
        <v>-9.9999999999999995E-7</v>
      </c>
      <c r="AJ62" s="388">
        <v>-1.0000000000000008E-6</v>
      </c>
      <c r="AK62" s="388">
        <v>-1.0000000000000006E-6</v>
      </c>
      <c r="AL62" s="388">
        <v>-1.0000000000000497E-6</v>
      </c>
      <c r="AM62" s="388">
        <v>-9.9999999999999763E-7</v>
      </c>
      <c r="AN62" s="388">
        <v>-9.9999999999999995E-7</v>
      </c>
      <c r="AO62" s="388">
        <v>-1.0000000000000002E-6</v>
      </c>
      <c r="AP62" s="388">
        <v>-9.9999999999999784E-7</v>
      </c>
      <c r="AQ62" s="388">
        <v>-9.9999999999999995E-7</v>
      </c>
      <c r="AR62" s="388">
        <v>-1.0000000000000008E-6</v>
      </c>
      <c r="AS62" s="388">
        <v>-1.0000000000000002E-6</v>
      </c>
      <c r="AT62" s="388">
        <v>-9.9999999999999995E-7</v>
      </c>
      <c r="AU62" s="388">
        <v>-9.9999999999999614E-7</v>
      </c>
      <c r="AV62" s="388">
        <v>-9.9999999999999974E-7</v>
      </c>
      <c r="AW62" s="388">
        <v>-1.0000000000000006E-6</v>
      </c>
      <c r="AX62" s="388">
        <v>-9.9999999999999995E-7</v>
      </c>
      <c r="AY62" s="388">
        <v>-9.9999999999999995E-7</v>
      </c>
      <c r="AZ62" s="388">
        <v>-9.9999999999999826E-7</v>
      </c>
      <c r="BA62" s="388">
        <v>-9.9999999999999974E-7</v>
      </c>
      <c r="BB62" s="388">
        <v>-9.9999999999999297E-7</v>
      </c>
      <c r="BC62" s="388">
        <v>-9.9999999999999995E-7</v>
      </c>
      <c r="BD62" s="388">
        <v>-9.9999999999999995E-7</v>
      </c>
      <c r="BE62" s="388">
        <v>-1.0000000000000016E-6</v>
      </c>
      <c r="BF62" s="388">
        <v>-1.0000000000000012E-6</v>
      </c>
      <c r="BG62" s="388">
        <v>-9.9999999999999995E-7</v>
      </c>
      <c r="BH62" s="388">
        <v>-9.9999999999999995E-7</v>
      </c>
      <c r="BI62" s="388">
        <v>-1.0000000000000004E-6</v>
      </c>
      <c r="BJ62" s="388">
        <v>-9.9999999999999995E-7</v>
      </c>
      <c r="BK62" s="388">
        <v>-9.9999999999999995E-7</v>
      </c>
      <c r="BL62" s="388">
        <v>-9.9999999999999995E-7</v>
      </c>
      <c r="BM62" s="388">
        <v>-9.9999999999999995E-7</v>
      </c>
      <c r="BN62" s="388">
        <v>-9.9999999999999995E-7</v>
      </c>
      <c r="BO62" s="388">
        <v>-9.9999999999999953E-7</v>
      </c>
      <c r="BP62" s="388">
        <v>-1.0000000000000002E-6</v>
      </c>
      <c r="BQ62" s="388">
        <v>-9.9999999999998534E-7</v>
      </c>
      <c r="BR62" s="388">
        <v>-1.0000000000000002E-6</v>
      </c>
      <c r="BS62" s="388">
        <v>-9.9999999999999953E-7</v>
      </c>
      <c r="BT62" s="388">
        <v>-9.9999999999999974E-7</v>
      </c>
      <c r="BU62" s="388">
        <v>-9.9999999999999995E-7</v>
      </c>
      <c r="BV62" s="388">
        <v>-1.0000000000000002E-6</v>
      </c>
      <c r="BW62" s="388">
        <v>-9.9999999999999995E-7</v>
      </c>
      <c r="BX62" s="388">
        <v>-9.9999999999999995E-7</v>
      </c>
      <c r="BY62" s="388">
        <v>-9.9999999999999995E-7</v>
      </c>
      <c r="BZ62" s="388">
        <v>-9.9999999999998386E-7</v>
      </c>
      <c r="CA62" s="388">
        <v>-1.000000000000072E-6</v>
      </c>
      <c r="CB62" s="388">
        <v>-1.0000000000000027E-6</v>
      </c>
      <c r="CC62" s="388">
        <v>-9.9999999999999995E-7</v>
      </c>
      <c r="CD62" s="388">
        <v>-1.0000000000000027E-6</v>
      </c>
      <c r="CE62" s="388">
        <v>-1.0000000000000002E-6</v>
      </c>
      <c r="CF62" s="388">
        <v>-9.9999999999999995E-7</v>
      </c>
      <c r="CG62" s="388">
        <v>-9.9999999999766003E-7</v>
      </c>
      <c r="CH62" s="388">
        <v>-9.9999999993477143E-7</v>
      </c>
      <c r="CI62" s="388">
        <v>-1.0000000000097313E-6</v>
      </c>
      <c r="CJ62" s="388">
        <v>-9.9999999999999995E-7</v>
      </c>
      <c r="CK62" s="388">
        <v>-9.9999999997300438E-7</v>
      </c>
      <c r="CL62" s="388">
        <v>-1.0000000000000019E-6</v>
      </c>
      <c r="CM62" s="388">
        <v>-9.9999999999999995E-7</v>
      </c>
      <c r="CN62" s="388">
        <v>-9.9999999999999953E-7</v>
      </c>
      <c r="CO62" s="388">
        <v>-9.9999999999999995E-7</v>
      </c>
      <c r="CP62" s="388">
        <v>-1.0000000000000002E-6</v>
      </c>
      <c r="CQ62" s="388">
        <v>-9.999999999999432E-7</v>
      </c>
      <c r="CR62" s="388">
        <v>-9.9999999999999995E-7</v>
      </c>
      <c r="CS62" s="388">
        <v>-9.9999999999999657E-7</v>
      </c>
      <c r="CT62" s="388">
        <v>-1.0000000000000061E-6</v>
      </c>
      <c r="CU62" s="388">
        <v>-1.0000000000000031E-6</v>
      </c>
      <c r="CV62" s="388">
        <v>-9.9999999999999995E-7</v>
      </c>
      <c r="CW62" s="388">
        <v>-9.9999999999999339E-7</v>
      </c>
      <c r="CX62" s="388">
        <v>-1.0000000000000019E-6</v>
      </c>
      <c r="CY62" s="388">
        <v>-1.0000000000000004E-6</v>
      </c>
      <c r="CZ62" s="388">
        <v>-9.9999999999999127E-7</v>
      </c>
      <c r="DA62" s="388">
        <v>-9.9999999999999995E-7</v>
      </c>
      <c r="DB62" s="388">
        <v>-1.0000000000682888E-6</v>
      </c>
      <c r="DC62" s="388">
        <v>-9.9999999999997984E-7</v>
      </c>
      <c r="DD62" s="388">
        <v>-1.000000000165846E-6</v>
      </c>
      <c r="DE62" s="388">
        <v>-9.9999999999999995E-7</v>
      </c>
      <c r="DF62" s="388">
        <v>-9.9999999999999995E-7</v>
      </c>
      <c r="DG62" s="388">
        <v>-1.0000000000000383E-6</v>
      </c>
      <c r="DH62" s="388">
        <v>-9.9999999999405357E-7</v>
      </c>
      <c r="DI62" s="388">
        <v>-9.999999999998549E-7</v>
      </c>
      <c r="DJ62" s="388">
        <v>-9.9999999999979074E-7</v>
      </c>
      <c r="DK62" s="388">
        <v>-9.9999999999999995E-7</v>
      </c>
      <c r="DL62" s="388">
        <v>-9.9999999989491895E-7</v>
      </c>
      <c r="DM62" s="388">
        <v>-1.0000000000003729E-6</v>
      </c>
      <c r="DN62" s="388">
        <v>-9.9999999999998068E-7</v>
      </c>
      <c r="DO62" s="388">
        <v>-9.9999999999996565E-7</v>
      </c>
      <c r="DP62" s="388">
        <v>-9.9999999999940131E-7</v>
      </c>
      <c r="DQ62" s="388">
        <v>-1.0000000000000052E-6</v>
      </c>
      <c r="DR62" s="388">
        <v>-9.9999999999791519E-7</v>
      </c>
      <c r="DS62" s="388">
        <v>-1.0000000000080186E-6</v>
      </c>
      <c r="DT62" s="388">
        <v>-9.9999999999958237E-7</v>
      </c>
      <c r="DU62" s="388">
        <v>-1.0000000000159907E-6</v>
      </c>
      <c r="DV62" s="388">
        <v>-1.0000000000000097E-6</v>
      </c>
      <c r="DW62" s="388">
        <v>-9.9999999999986845E-7</v>
      </c>
      <c r="DX62" s="388">
        <v>-9.9999999999981975E-7</v>
      </c>
      <c r="DY62" s="388">
        <v>-1.0000000000000696E-6</v>
      </c>
      <c r="DZ62" s="388">
        <v>-9.9999095354107582E-7</v>
      </c>
      <c r="EA62" s="388">
        <v>-9.9999095354107582E-7</v>
      </c>
      <c r="EB62" s="388"/>
      <c r="EC62" s="388"/>
      <c r="ED62" s="388">
        <v>8.0036001180183708E-5</v>
      </c>
      <c r="EE62" s="388">
        <v>-2.1745992910824543E-3</v>
      </c>
      <c r="EF62" s="388">
        <v>-2.4931748083613322E-3</v>
      </c>
      <c r="EG62" s="388">
        <v>-3.8095623817195347E-3</v>
      </c>
      <c r="EH62" s="388">
        <v>-6.127981124153462E-3</v>
      </c>
      <c r="EI62" s="388">
        <v>-2.8318330763710568E-3</v>
      </c>
      <c r="EJ62" s="388">
        <v>-5.6615189779552558E-3</v>
      </c>
      <c r="EK62" s="388">
        <v>-3.340585734957038E-3</v>
      </c>
      <c r="EL62" s="388">
        <v>-6.2713147775779431E-3</v>
      </c>
      <c r="EM62" s="388">
        <v>-1.9966678218143984E-3</v>
      </c>
      <c r="EN62" s="388">
        <v>-1.9506031205503437E-2</v>
      </c>
      <c r="EO62" s="388">
        <v>-2.1851918032669788E-2</v>
      </c>
      <c r="EP62" s="388">
        <v>-1.9169006385953955E-2</v>
      </c>
      <c r="EQ62" s="388">
        <v>-1.979699444256762E-2</v>
      </c>
      <c r="ER62" s="388">
        <v>-3.3270015532382034E-2</v>
      </c>
      <c r="ES62" s="388">
        <v>-2.4784158357832965E-2</v>
      </c>
      <c r="ET62" s="388">
        <v>-3.8941572785849136E-2</v>
      </c>
      <c r="EU62" s="388">
        <v>-2.1895590338996272E-2</v>
      </c>
      <c r="EV62" s="388">
        <v>-2.1147762363618417E-2</v>
      </c>
      <c r="EW62" s="388">
        <v>-2.2721882804479947E-2</v>
      </c>
      <c r="EX62" s="388">
        <v>-2.1368252802446114E-2</v>
      </c>
      <c r="EY62" s="388">
        <v>3.3719390017858653E-5</v>
      </c>
      <c r="EZ62" s="388">
        <v>1.8912679654996369E-3</v>
      </c>
      <c r="FA62" s="388">
        <v>-1.5893999710897284E-2</v>
      </c>
      <c r="FB62" s="388">
        <v>-8.5978388657763014E-3</v>
      </c>
      <c r="FC62" s="388">
        <v>-9.5590145983632819E-4</v>
      </c>
      <c r="FD62" s="388">
        <v>-4.1574941599917354E-3</v>
      </c>
      <c r="FE62" s="388">
        <v>8.0044144819274677E-5</v>
      </c>
      <c r="FF62" s="388">
        <v>-1.5878026569808397E-3</v>
      </c>
      <c r="FG62" s="388">
        <v>-1.8698811062709993E-3</v>
      </c>
      <c r="FH62" s="388">
        <v>-2.1906633232304396E-3</v>
      </c>
      <c r="FI62" s="388">
        <v>-7.0153604726836865E-3</v>
      </c>
      <c r="FJ62" s="388">
        <v>-8.3419453800508709E-3</v>
      </c>
      <c r="FK62" s="388">
        <v>-1.8544082848721992E-2</v>
      </c>
      <c r="FL62" s="388">
        <v>-3.7417811160592282E-3</v>
      </c>
      <c r="FM62" s="388">
        <v>4.0742072448981675E-3</v>
      </c>
      <c r="FN62" s="388">
        <v>3.2831618099493764E-3</v>
      </c>
      <c r="FO62" s="388">
        <v>2.808226632237662E-3</v>
      </c>
      <c r="FP62" s="388">
        <v>2.0367438086667664E-2</v>
      </c>
      <c r="FQ62" s="388">
        <v>2.2532412204143683E-2</v>
      </c>
      <c r="FR62" s="388">
        <v>1.9169006385953955E-2</v>
      </c>
      <c r="FS62" s="388">
        <v>2.1431258872846241E-2</v>
      </c>
      <c r="FT62" s="388">
        <v>3.3225986465756627E-2</v>
      </c>
      <c r="FU62" s="388">
        <v>2.5125186617525479E-2</v>
      </c>
      <c r="FV62" s="388">
        <v>4.0000000000000008E-2</v>
      </c>
      <c r="FW62" s="388">
        <v>2.1901608624132689E-2</v>
      </c>
      <c r="FX62" s="388">
        <v>2.1883415542936997E-2</v>
      </c>
      <c r="FY62" s="388">
        <v>2.3930656543876463E-2</v>
      </c>
      <c r="FZ62" s="388">
        <v>2.2361384447521993E-2</v>
      </c>
      <c r="GA62" s="388">
        <v>1.4291611938343438E-4</v>
      </c>
      <c r="GB62" s="388"/>
      <c r="GC62" s="388"/>
      <c r="GD62" s="388"/>
      <c r="GE62" s="388"/>
      <c r="GF62" s="388"/>
      <c r="GG62" s="388"/>
      <c r="GH62" s="388"/>
      <c r="GI62" s="388"/>
      <c r="GJ62" s="388"/>
      <c r="GK62" s="388"/>
      <c r="GL62" s="388"/>
      <c r="GM62" s="388"/>
      <c r="GN62" s="388"/>
      <c r="GO62" s="388"/>
      <c r="GP62" s="412"/>
      <c r="GQ62" s="412"/>
      <c r="GR62" s="412"/>
      <c r="GS62" s="412"/>
      <c r="GT62" s="412"/>
      <c r="GU62" s="412"/>
      <c r="GV62" s="412"/>
      <c r="GW62" s="412"/>
      <c r="GX62" s="412"/>
      <c r="GY62" s="412"/>
      <c r="GZ62" s="412"/>
      <c r="HA62" s="412"/>
      <c r="HB62" s="412"/>
      <c r="HC62" s="412"/>
      <c r="HD62" s="412"/>
      <c r="HE62" s="412"/>
      <c r="HF62" s="412"/>
      <c r="HG62" s="412"/>
      <c r="HH62" s="412"/>
      <c r="HI62" s="412"/>
      <c r="HJ62" s="412"/>
      <c r="HK62" s="412"/>
      <c r="HL62" s="412"/>
      <c r="HM62" s="412"/>
      <c r="HN62" s="412"/>
      <c r="HO62" s="412"/>
      <c r="HP62" s="412"/>
      <c r="HQ62" s="412"/>
      <c r="HR62" s="412"/>
      <c r="HS62" s="412"/>
      <c r="HT62" s="412"/>
      <c r="HU62" s="412"/>
      <c r="HV62" s="412"/>
      <c r="HW62" s="412"/>
      <c r="HX62" s="412"/>
      <c r="HY62" s="412"/>
      <c r="HZ62" s="412"/>
      <c r="IA62" s="412"/>
      <c r="IB62" s="412"/>
      <c r="IC62" s="412"/>
      <c r="ID62" s="412"/>
      <c r="IE62" s="412"/>
      <c r="IF62" s="412"/>
      <c r="IG62" s="412"/>
      <c r="IH62" s="412"/>
      <c r="II62" s="412"/>
      <c r="IJ62" s="412"/>
      <c r="IK62" s="412"/>
      <c r="IL62" s="412"/>
      <c r="IM62" s="412"/>
      <c r="IN62" s="412"/>
      <c r="IO62" s="412"/>
      <c r="IP62" s="412"/>
      <c r="IQ62" s="412"/>
      <c r="IR62" s="412"/>
      <c r="IS62" s="412"/>
      <c r="IT62" s="412"/>
      <c r="IU62" s="412"/>
      <c r="IV62" s="412"/>
      <c r="IW62" s="412"/>
      <c r="IX62" s="412"/>
      <c r="IY62" s="412"/>
      <c r="IZ62" s="412"/>
      <c r="JA62" s="412"/>
      <c r="JB62" s="412"/>
      <c r="JC62" s="412"/>
      <c r="JD62" s="412"/>
      <c r="JE62" s="412"/>
      <c r="JF62" s="412"/>
      <c r="JG62" s="412"/>
      <c r="JH62" s="412"/>
      <c r="JI62" s="412"/>
      <c r="JJ62" s="412"/>
      <c r="JK62" s="412"/>
      <c r="JL62" s="412"/>
      <c r="JM62" s="412"/>
      <c r="JN62" s="412"/>
      <c r="JO62" s="412"/>
      <c r="JP62" s="412"/>
      <c r="JQ62" s="412"/>
      <c r="JR62" s="412"/>
      <c r="JS62" s="412"/>
      <c r="JT62" s="412"/>
      <c r="JU62" s="412"/>
      <c r="JV62" s="412"/>
      <c r="JW62" s="412"/>
      <c r="JX62" s="412"/>
      <c r="JY62" s="412"/>
      <c r="JZ62" s="412"/>
      <c r="KA62" s="412"/>
      <c r="KB62" s="412"/>
      <c r="KC62" s="412"/>
      <c r="KD62" s="412"/>
      <c r="KE62" s="412"/>
      <c r="KF62" s="412"/>
      <c r="KG62" s="412"/>
      <c r="KH62" s="412"/>
      <c r="KI62" s="412"/>
      <c r="KJ62" s="412"/>
      <c r="KK62" s="412"/>
      <c r="KL62" s="412"/>
      <c r="KM62" s="412"/>
      <c r="KN62" s="412"/>
      <c r="KO62" s="412"/>
      <c r="KP62" s="412"/>
      <c r="KQ62" s="412"/>
      <c r="KR62" s="412"/>
      <c r="KS62" s="412"/>
      <c r="KT62" s="412"/>
      <c r="KU62" s="412"/>
      <c r="KV62" s="412"/>
      <c r="KW62" s="412"/>
      <c r="KX62" s="412"/>
      <c r="KY62" s="412"/>
      <c r="KZ62" s="412"/>
      <c r="LA62" s="412"/>
      <c r="LB62" s="412"/>
      <c r="LC62" s="412"/>
      <c r="LD62" s="412"/>
      <c r="LE62" s="412"/>
      <c r="LF62" s="412"/>
      <c r="LG62" s="412"/>
      <c r="LH62" s="412"/>
      <c r="LI62" s="412"/>
      <c r="LJ62" s="412"/>
      <c r="LK62" s="412"/>
      <c r="LL62" s="412"/>
      <c r="LM62" s="412"/>
      <c r="LN62" s="412"/>
      <c r="LO62" s="412"/>
      <c r="LP62" s="412"/>
      <c r="LQ62" s="412"/>
      <c r="LR62" s="412"/>
      <c r="LS62" s="412"/>
      <c r="LT62" s="412"/>
      <c r="LU62" s="412"/>
      <c r="LV62" s="412"/>
      <c r="LW62" s="412"/>
      <c r="LX62" s="412"/>
      <c r="LY62" s="412"/>
      <c r="LZ62" s="412"/>
      <c r="MA62" s="412"/>
      <c r="MB62" s="412"/>
      <c r="MC62" s="412"/>
      <c r="MD62" s="412"/>
      <c r="ME62" s="412"/>
      <c r="MF62" s="412"/>
      <c r="MG62" s="412"/>
      <c r="MH62" s="412"/>
      <c r="MI62" s="412"/>
      <c r="MJ62" s="412"/>
      <c r="MK62" s="412"/>
      <c r="ML62" s="412"/>
      <c r="MM62" s="412"/>
      <c r="MN62" s="412"/>
      <c r="MO62" s="412"/>
      <c r="MP62" s="412"/>
      <c r="MQ62" s="412"/>
      <c r="MR62" s="412"/>
      <c r="MS62" s="412"/>
      <c r="MT62" s="412"/>
      <c r="MU62" s="412"/>
      <c r="MV62" s="412"/>
      <c r="MW62" s="412"/>
      <c r="MX62" s="412"/>
      <c r="MY62" s="412"/>
      <c r="MZ62" s="412"/>
      <c r="NA62" s="412"/>
      <c r="NB62" s="412"/>
      <c r="NC62" s="412"/>
      <c r="ND62" s="412"/>
      <c r="NE62" s="412"/>
      <c r="NF62" s="412"/>
      <c r="NG62" s="412"/>
      <c r="NH62" s="412"/>
      <c r="NI62" s="412"/>
      <c r="NJ62" s="412"/>
      <c r="NK62" s="412"/>
      <c r="NL62" s="412"/>
      <c r="NM62" s="412"/>
      <c r="NN62" s="412"/>
      <c r="NO62" s="412"/>
      <c r="NP62" s="412"/>
      <c r="NQ62" s="412"/>
      <c r="NR62" s="412"/>
      <c r="NS62" s="412"/>
      <c r="NT62" s="412"/>
      <c r="NU62" s="412"/>
      <c r="NV62" s="412"/>
      <c r="NW62" s="412"/>
      <c r="NX62" s="412"/>
      <c r="NY62" s="412"/>
      <c r="NZ62" s="412"/>
      <c r="OA62" s="412"/>
      <c r="OB62" s="412"/>
      <c r="OC62" s="412"/>
      <c r="OD62" s="412"/>
      <c r="OE62" s="412"/>
      <c r="OF62" s="412"/>
      <c r="OG62" s="412"/>
      <c r="OH62" s="412"/>
      <c r="OI62" s="412"/>
      <c r="OJ62" s="412"/>
      <c r="OK62" s="412"/>
      <c r="OL62" s="412"/>
      <c r="OM62" s="412"/>
      <c r="ON62" s="412"/>
      <c r="OO62" s="412"/>
      <c r="OP62" s="412"/>
      <c r="OQ62" s="412"/>
      <c r="OR62" s="412"/>
      <c r="OS62" s="412"/>
      <c r="OT62" s="412"/>
      <c r="OU62" s="412"/>
      <c r="OV62" s="412"/>
      <c r="OW62" s="412"/>
      <c r="OX62" s="412"/>
      <c r="OY62" s="412"/>
      <c r="OZ62" s="412"/>
      <c r="PA62" s="412"/>
      <c r="PB62" s="412"/>
      <c r="PC62" s="412"/>
      <c r="PD62" s="412"/>
      <c r="PE62" s="412"/>
      <c r="PF62" s="412"/>
      <c r="PG62" s="412"/>
      <c r="PH62" s="412"/>
      <c r="PI62" s="412"/>
      <c r="PJ62" s="412"/>
      <c r="PK62" s="412"/>
      <c r="PL62" s="412"/>
      <c r="PM62" s="412"/>
      <c r="PN62" s="412"/>
      <c r="PO62" s="412"/>
      <c r="PP62" s="412"/>
      <c r="PQ62" s="412"/>
      <c r="PR62" s="412"/>
      <c r="PS62" s="412"/>
      <c r="PT62" s="412"/>
      <c r="PU62" s="412"/>
      <c r="PV62" s="412"/>
      <c r="PW62" s="412"/>
      <c r="PX62" s="412"/>
      <c r="PY62" s="412"/>
      <c r="PZ62" s="412"/>
      <c r="QA62" s="412"/>
      <c r="QB62" s="412"/>
      <c r="QC62" s="412"/>
      <c r="QD62" s="412"/>
      <c r="QE62" s="412"/>
      <c r="QF62" s="412"/>
      <c r="QG62" s="412"/>
      <c r="QH62" s="412"/>
      <c r="QI62" s="412"/>
      <c r="QJ62" s="412"/>
      <c r="QK62" s="412"/>
      <c r="QL62" s="412"/>
      <c r="QM62" s="412"/>
      <c r="QN62" s="412"/>
      <c r="QO62" s="412"/>
      <c r="QP62" s="412"/>
      <c r="QQ62" s="412"/>
      <c r="QR62" s="412"/>
      <c r="QS62" s="412"/>
      <c r="QT62" s="412"/>
      <c r="QU62" s="412"/>
      <c r="QV62" s="412"/>
      <c r="QW62" s="412"/>
      <c r="QX62" s="412"/>
      <c r="QY62" s="412"/>
      <c r="QZ62" s="412"/>
      <c r="RA62" s="412"/>
      <c r="RB62" s="412"/>
      <c r="RC62" s="412"/>
      <c r="RD62" s="412"/>
      <c r="RE62" s="412"/>
      <c r="RF62" s="412"/>
      <c r="RG62" s="412"/>
      <c r="RH62" s="412"/>
      <c r="RI62" s="412"/>
      <c r="RJ62" s="412"/>
      <c r="RK62" s="412"/>
      <c r="RL62" s="412"/>
      <c r="RM62" s="412"/>
      <c r="RN62" s="412"/>
      <c r="RO62" s="412"/>
      <c r="RP62" s="412"/>
      <c r="RQ62" s="412"/>
      <c r="RR62" s="412"/>
      <c r="RS62" s="412"/>
      <c r="RT62" s="412"/>
      <c r="RU62" s="412"/>
      <c r="RV62" s="412"/>
      <c r="RW62" s="412"/>
      <c r="RX62" s="412"/>
      <c r="RY62" s="412"/>
      <c r="RZ62" s="412"/>
      <c r="SA62" s="412"/>
      <c r="SB62" s="412"/>
      <c r="SC62" s="412"/>
      <c r="SD62" s="412"/>
      <c r="SE62" s="412"/>
      <c r="SF62" s="412"/>
      <c r="SG62" s="412"/>
    </row>
    <row r="63" spans="1:501" x14ac:dyDescent="0.2">
      <c r="A63" s="391" t="s">
        <v>47</v>
      </c>
      <c r="B63" s="110"/>
      <c r="C63" s="392">
        <v>0.105</v>
      </c>
      <c r="D63" s="392">
        <v>0.22</v>
      </c>
      <c r="E63" s="392">
        <v>-9.9999999999999995E-7</v>
      </c>
      <c r="F63" s="392">
        <v>-9.9999999999999995E-7</v>
      </c>
      <c r="G63" s="392"/>
      <c r="H63" s="110"/>
      <c r="I63" s="410">
        <v>0</v>
      </c>
      <c r="J63" s="410">
        <v>0</v>
      </c>
      <c r="K63" s="410">
        <v>0</v>
      </c>
      <c r="L63" s="410">
        <v>0</v>
      </c>
      <c r="M63" s="410">
        <v>0</v>
      </c>
      <c r="N63" s="410">
        <v>0</v>
      </c>
      <c r="O63" s="387"/>
      <c r="P63" s="393">
        <v>0</v>
      </c>
      <c r="Q63" s="393">
        <v>0</v>
      </c>
      <c r="R63" s="393">
        <v>0</v>
      </c>
      <c r="S63" s="393">
        <v>0</v>
      </c>
      <c r="T63" s="393">
        <v>0</v>
      </c>
      <c r="U63" s="393"/>
      <c r="V63" s="393">
        <v>0</v>
      </c>
      <c r="W63" s="393">
        <v>0</v>
      </c>
      <c r="X63" s="393">
        <v>0</v>
      </c>
      <c r="Y63" s="393">
        <v>0</v>
      </c>
      <c r="Z63" s="393">
        <v>0</v>
      </c>
      <c r="AA63" s="393"/>
      <c r="AB63" s="435"/>
      <c r="AC63" s="393">
        <v>-9.9999999999999995E-7</v>
      </c>
      <c r="AD63" s="411"/>
      <c r="AE63" s="435"/>
      <c r="AF63" s="388">
        <v>-9.9999252256566251E-7</v>
      </c>
      <c r="AG63" s="388">
        <v>-9.9999252256566251E-7</v>
      </c>
      <c r="AH63" s="388">
        <v>-9.9999252256566251E-7</v>
      </c>
      <c r="AI63" s="388">
        <v>-9.9999252256566251E-7</v>
      </c>
      <c r="AJ63" s="388">
        <v>-9.9999252256566251E-7</v>
      </c>
      <c r="AK63" s="388">
        <v>-9.9999252256566251E-7</v>
      </c>
      <c r="AL63" s="388">
        <v>-9.9999252256566251E-7</v>
      </c>
      <c r="AM63" s="388">
        <v>-9.9999252256566251E-7</v>
      </c>
      <c r="AN63" s="388">
        <v>-9.9999252256566251E-7</v>
      </c>
      <c r="AO63" s="388">
        <v>-9.9999252256566251E-7</v>
      </c>
      <c r="AP63" s="388">
        <v>-9.9999252256566251E-7</v>
      </c>
      <c r="AQ63" s="388">
        <v>-9.9999252256566251E-7</v>
      </c>
      <c r="AR63" s="388">
        <v>-9.9999252256566251E-7</v>
      </c>
      <c r="AS63" s="388">
        <v>-9.9999252256566251E-7</v>
      </c>
      <c r="AT63" s="388">
        <v>-9.9999252256566251E-7</v>
      </c>
      <c r="AU63" s="388">
        <v>-9.9999252256566251E-7</v>
      </c>
      <c r="AV63" s="388">
        <v>-9.9999252256566251E-7</v>
      </c>
      <c r="AW63" s="388">
        <v>-9.9999252256566251E-7</v>
      </c>
      <c r="AX63" s="388">
        <v>-9.9999252256566251E-7</v>
      </c>
      <c r="AY63" s="388">
        <v>-9.9999252256566251E-7</v>
      </c>
      <c r="AZ63" s="388">
        <v>-9.9999252256566251E-7</v>
      </c>
      <c r="BA63" s="388">
        <v>-9.9999252256566251E-7</v>
      </c>
      <c r="BB63" s="388">
        <v>-9.9999252256566251E-7</v>
      </c>
      <c r="BC63" s="388">
        <v>-9.9999252256566251E-7</v>
      </c>
      <c r="BD63" s="388">
        <v>-9.9999252256566251E-7</v>
      </c>
      <c r="BE63" s="388">
        <v>-9.9999252256566251E-7</v>
      </c>
      <c r="BF63" s="388">
        <v>-9.9999252256566251E-7</v>
      </c>
      <c r="BG63" s="388">
        <v>-9.9999252256566251E-7</v>
      </c>
      <c r="BH63" s="388">
        <v>-9.9999252256566251E-7</v>
      </c>
      <c r="BI63" s="388">
        <v>-9.9999252256566251E-7</v>
      </c>
      <c r="BJ63" s="388">
        <v>-9.9999252256566251E-7</v>
      </c>
      <c r="BK63" s="388">
        <v>-9.9999252256566251E-7</v>
      </c>
      <c r="BL63" s="388">
        <v>-9.9999252256566251E-7</v>
      </c>
      <c r="BM63" s="388">
        <v>-9.9999252256566251E-7</v>
      </c>
      <c r="BN63" s="388">
        <v>-9.9999252256566251E-7</v>
      </c>
      <c r="BO63" s="388">
        <v>-9.9999252256566251E-7</v>
      </c>
      <c r="BP63" s="388">
        <v>-9.9999252256566251E-7</v>
      </c>
      <c r="BQ63" s="388">
        <v>-9.9999252256566251E-7</v>
      </c>
      <c r="BR63" s="388">
        <v>-9.9999252256566251E-7</v>
      </c>
      <c r="BS63" s="388">
        <v>-9.9999252256566251E-7</v>
      </c>
      <c r="BT63" s="388">
        <v>-9.9999252256566251E-7</v>
      </c>
      <c r="BU63" s="388">
        <v>-9.9999252256566251E-7</v>
      </c>
      <c r="BV63" s="388">
        <v>-9.9999252256566251E-7</v>
      </c>
      <c r="BW63" s="388">
        <v>-9.9999252256566251E-7</v>
      </c>
      <c r="BX63" s="388">
        <v>-9.9999252256566251E-7</v>
      </c>
      <c r="BY63" s="388">
        <v>-9.9999252256566251E-7</v>
      </c>
      <c r="BZ63" s="388">
        <v>-9.9999252256566251E-7</v>
      </c>
      <c r="CA63" s="388">
        <v>-9.9999252256566251E-7</v>
      </c>
      <c r="CB63" s="388">
        <v>-9.9999252256566251E-7</v>
      </c>
      <c r="CC63" s="388">
        <v>-9.9999252256566251E-7</v>
      </c>
      <c r="CD63" s="388">
        <v>-9.9999252256566251E-7</v>
      </c>
      <c r="CE63" s="388">
        <v>-9.9999252256566251E-7</v>
      </c>
      <c r="CF63" s="388">
        <v>-9.9999252256566251E-7</v>
      </c>
      <c r="CG63" s="388">
        <v>-9.9999252256566251E-7</v>
      </c>
      <c r="CH63" s="388">
        <v>-9.9999252256566251E-7</v>
      </c>
      <c r="CI63" s="388">
        <v>-9.9999252256566251E-7</v>
      </c>
      <c r="CJ63" s="388">
        <v>-9.9999252256566251E-7</v>
      </c>
      <c r="CK63" s="388">
        <v>-9.9999252256566251E-7</v>
      </c>
      <c r="CL63" s="388">
        <v>-9.9999252256566251E-7</v>
      </c>
      <c r="CM63" s="388">
        <v>-9.9999252256566251E-7</v>
      </c>
      <c r="CN63" s="388">
        <v>-9.9999252256566251E-7</v>
      </c>
      <c r="CO63" s="388">
        <v>-9.9999252256566251E-7</v>
      </c>
      <c r="CP63" s="388">
        <v>-9.9999252256566251E-7</v>
      </c>
      <c r="CQ63" s="388">
        <v>-9.9999252256566251E-7</v>
      </c>
      <c r="CR63" s="388">
        <v>-9.9999252256566251E-7</v>
      </c>
      <c r="CS63" s="388">
        <v>-9.9999252256566251E-7</v>
      </c>
      <c r="CT63" s="388">
        <v>-9.9999252256566251E-7</v>
      </c>
      <c r="CU63" s="388">
        <v>-9.9999252256566251E-7</v>
      </c>
      <c r="CV63" s="388">
        <v>-9.9999252256566251E-7</v>
      </c>
      <c r="CW63" s="388">
        <v>-9.9999252256566251E-7</v>
      </c>
      <c r="CX63" s="388">
        <v>-9.9999252256566251E-7</v>
      </c>
      <c r="CY63" s="388">
        <v>-9.9999252256566251E-7</v>
      </c>
      <c r="CZ63" s="388">
        <v>-9.9999252256566251E-7</v>
      </c>
      <c r="DA63" s="388">
        <v>-9.9999252256566251E-7</v>
      </c>
      <c r="DB63" s="388">
        <v>-9.9999252256566251E-7</v>
      </c>
      <c r="DC63" s="388">
        <v>-9.9999252256566251E-7</v>
      </c>
      <c r="DD63" s="388">
        <v>-9.9999252256566251E-7</v>
      </c>
      <c r="DE63" s="388">
        <v>-9.9999252256566251E-7</v>
      </c>
      <c r="DF63" s="388">
        <v>-9.9999252256566251E-7</v>
      </c>
      <c r="DG63" s="388">
        <v>-9.9999252256566251E-7</v>
      </c>
      <c r="DH63" s="388">
        <v>-9.9999252256566251E-7</v>
      </c>
      <c r="DI63" s="388">
        <v>-9.9999252256566251E-7</v>
      </c>
      <c r="DJ63" s="388">
        <v>-9.9999252256566251E-7</v>
      </c>
      <c r="DK63" s="388">
        <v>-9.9999252256566251E-7</v>
      </c>
      <c r="DL63" s="388">
        <v>-9.9999252256566251E-7</v>
      </c>
      <c r="DM63" s="388">
        <v>-9.9999252256566251E-7</v>
      </c>
      <c r="DN63" s="388">
        <v>-9.9999252256566251E-7</v>
      </c>
      <c r="DO63" s="388">
        <v>-9.9999252256566251E-7</v>
      </c>
      <c r="DP63" s="388">
        <v>-9.9999252256566251E-7</v>
      </c>
      <c r="DQ63" s="388">
        <v>-9.9999252256566251E-7</v>
      </c>
      <c r="DR63" s="388">
        <v>-9.9999252256566251E-7</v>
      </c>
      <c r="DS63" s="388">
        <v>-9.9999252256566251E-7</v>
      </c>
      <c r="DT63" s="388">
        <v>-9.9999252256566251E-7</v>
      </c>
      <c r="DU63" s="388">
        <v>-9.9999252256566251E-7</v>
      </c>
      <c r="DV63" s="388">
        <v>-9.9999252256566251E-7</v>
      </c>
      <c r="DW63" s="388">
        <v>-9.9999252256566251E-7</v>
      </c>
      <c r="DX63" s="388">
        <v>-9.9999252256566251E-7</v>
      </c>
      <c r="DY63" s="388">
        <v>-9.9999252256566251E-7</v>
      </c>
      <c r="DZ63" s="388">
        <v>-9.9998326073541032E-7</v>
      </c>
      <c r="EA63" s="388">
        <v>-9.9998326073541032E-7</v>
      </c>
      <c r="EB63" s="388"/>
      <c r="EC63" s="388"/>
      <c r="ED63" s="388">
        <v>1.1491340037508662E-4</v>
      </c>
      <c r="EE63" s="388">
        <v>1.7165196504460095E-3</v>
      </c>
      <c r="EF63" s="388">
        <v>4.0826263181454776E-3</v>
      </c>
      <c r="EG63" s="388">
        <v>-1.7072631365735176E-3</v>
      </c>
      <c r="EH63" s="388">
        <v>-2.5540397330866141E-3</v>
      </c>
      <c r="EI63" s="388">
        <v>-1.6519163361736807E-4</v>
      </c>
      <c r="EJ63" s="388">
        <v>-8.5411138000591124E-4</v>
      </c>
      <c r="EK63" s="388">
        <v>-1.524671187296447E-3</v>
      </c>
      <c r="EL63" s="388">
        <v>-3.2876485282394975E-3</v>
      </c>
      <c r="EM63" s="388">
        <v>5.6973574466484512E-4</v>
      </c>
      <c r="EN63" s="388">
        <v>-1.74957347853739E-2</v>
      </c>
      <c r="EO63" s="388">
        <v>-2.2982351694884256E-2</v>
      </c>
      <c r="EP63" s="388">
        <v>-2.5893248490164535E-2</v>
      </c>
      <c r="EQ63" s="388">
        <v>-1.6539979283392816E-2</v>
      </c>
      <c r="ER63" s="388">
        <v>-2.4080158655115567E-2</v>
      </c>
      <c r="ES63" s="388">
        <v>-2.6372198954614335E-2</v>
      </c>
      <c r="ET63" s="388">
        <v>-1.7152902702178702E-2</v>
      </c>
      <c r="EU63" s="388">
        <v>-4.7624577692106394E-2</v>
      </c>
      <c r="EV63" s="388">
        <v>-3.5235331671829344E-2</v>
      </c>
      <c r="EW63" s="388">
        <v>-3.8211622281572592E-2</v>
      </c>
      <c r="EX63" s="388">
        <v>-3.6945713369767937E-2</v>
      </c>
      <c r="EY63" s="388">
        <v>-1.3219740640978549E-4</v>
      </c>
      <c r="EZ63" s="388">
        <v>2.409479365133479E-3</v>
      </c>
      <c r="FA63" s="388">
        <v>-1.6958110745582056E-2</v>
      </c>
      <c r="FB63" s="388">
        <v>-2.6519013997894504E-2</v>
      </c>
      <c r="FC63" s="388">
        <v>1.4993777892246731E-3</v>
      </c>
      <c r="FD63" s="388">
        <v>-2.0251107173606918E-3</v>
      </c>
      <c r="FE63" s="388">
        <v>1.1494183464936962E-4</v>
      </c>
      <c r="FF63" s="388">
        <v>1.2533318082621656E-3</v>
      </c>
      <c r="FG63" s="388">
        <v>3.0619697386091078E-3</v>
      </c>
      <c r="FH63" s="388">
        <v>-1.2778975430777526E-4</v>
      </c>
      <c r="FI63" s="388">
        <v>-1.0583554056594988E-3</v>
      </c>
      <c r="FJ63" s="388">
        <v>1.0722217955346693E-2</v>
      </c>
      <c r="FK63" s="388">
        <v>-2.5341980609005967E-3</v>
      </c>
      <c r="FL63" s="388">
        <v>3.6680000168891479E-3</v>
      </c>
      <c r="FM63" s="388">
        <v>1.82933347359666E-3</v>
      </c>
      <c r="FN63" s="388">
        <v>1.4454920725443306E-3</v>
      </c>
      <c r="FO63" s="388">
        <v>-1.2772516659581485E-3</v>
      </c>
      <c r="FP63" s="388">
        <v>2.2789332179498013E-2</v>
      </c>
      <c r="FQ63" s="388">
        <v>2.7752390627615513E-2</v>
      </c>
      <c r="FR63" s="388">
        <v>2.5893248490164535E-2</v>
      </c>
      <c r="FS63" s="388">
        <v>2.0873080325877539E-2</v>
      </c>
      <c r="FT63" s="388">
        <v>2.7356899643794258E-2</v>
      </c>
      <c r="FU63" s="388">
        <v>2.9402816525921905E-2</v>
      </c>
      <c r="FV63" s="388">
        <v>2.1901608624132689E-2</v>
      </c>
      <c r="FW63" s="388">
        <v>4.8399999999999992E-2</v>
      </c>
      <c r="FX63" s="388">
        <v>3.7698505261154654E-2</v>
      </c>
      <c r="FY63" s="388">
        <v>4.1365416974779502E-2</v>
      </c>
      <c r="FZ63" s="388">
        <v>3.9791338057246751E-2</v>
      </c>
      <c r="GA63" s="388">
        <v>1.4937580540120218E-4</v>
      </c>
      <c r="GB63" s="388"/>
      <c r="GC63" s="388"/>
      <c r="GD63" s="388"/>
      <c r="GE63" s="388"/>
      <c r="GF63" s="388"/>
      <c r="GG63" s="388"/>
      <c r="GH63" s="388"/>
      <c r="GI63" s="388"/>
      <c r="GJ63" s="388"/>
      <c r="GK63" s="388"/>
      <c r="GL63" s="388"/>
      <c r="GM63" s="388"/>
      <c r="GN63" s="388"/>
      <c r="GO63" s="388"/>
      <c r="GP63" s="412"/>
      <c r="GQ63" s="412"/>
      <c r="GR63" s="412"/>
      <c r="GS63" s="412"/>
      <c r="GT63" s="412"/>
      <c r="GU63" s="412"/>
      <c r="GV63" s="412"/>
      <c r="GW63" s="412"/>
      <c r="GX63" s="412"/>
      <c r="GY63" s="412"/>
      <c r="GZ63" s="412"/>
      <c r="HA63" s="412"/>
      <c r="HB63" s="412"/>
      <c r="HC63" s="412"/>
      <c r="HD63" s="412"/>
      <c r="HE63" s="412"/>
      <c r="HF63" s="412"/>
      <c r="HG63" s="412"/>
      <c r="HH63" s="412"/>
      <c r="HI63" s="412"/>
      <c r="HJ63" s="412"/>
      <c r="HK63" s="412"/>
      <c r="HL63" s="412"/>
      <c r="HM63" s="412"/>
      <c r="HN63" s="412"/>
      <c r="HO63" s="412"/>
      <c r="HP63" s="412"/>
      <c r="HQ63" s="412"/>
      <c r="HR63" s="412"/>
      <c r="HS63" s="412"/>
      <c r="HT63" s="412"/>
      <c r="HU63" s="412"/>
      <c r="HV63" s="412"/>
      <c r="HW63" s="412"/>
      <c r="HX63" s="412"/>
      <c r="HY63" s="412"/>
      <c r="HZ63" s="412"/>
      <c r="IA63" s="412"/>
      <c r="IB63" s="412"/>
      <c r="IC63" s="412"/>
      <c r="ID63" s="412"/>
      <c r="IE63" s="412"/>
      <c r="IF63" s="412"/>
      <c r="IG63" s="412"/>
      <c r="IH63" s="412"/>
      <c r="II63" s="412"/>
      <c r="IJ63" s="412"/>
      <c r="IK63" s="412"/>
      <c r="IL63" s="412"/>
      <c r="IM63" s="412"/>
      <c r="IN63" s="412"/>
      <c r="IO63" s="412"/>
      <c r="IP63" s="412"/>
      <c r="IQ63" s="412"/>
      <c r="IR63" s="412"/>
      <c r="IS63" s="412"/>
      <c r="IT63" s="412"/>
      <c r="IU63" s="412"/>
      <c r="IV63" s="412"/>
      <c r="IW63" s="412"/>
      <c r="IX63" s="412"/>
      <c r="IY63" s="412"/>
      <c r="IZ63" s="412"/>
      <c r="JA63" s="412"/>
      <c r="JB63" s="412"/>
      <c r="JC63" s="412"/>
      <c r="JD63" s="412"/>
      <c r="JE63" s="412"/>
      <c r="JF63" s="412"/>
      <c r="JG63" s="412"/>
      <c r="JH63" s="412"/>
      <c r="JI63" s="412"/>
      <c r="JJ63" s="412"/>
      <c r="JK63" s="412"/>
      <c r="JL63" s="412"/>
      <c r="JM63" s="412"/>
      <c r="JN63" s="412"/>
      <c r="JO63" s="412"/>
      <c r="JP63" s="412"/>
      <c r="JQ63" s="412"/>
      <c r="JR63" s="412"/>
      <c r="JS63" s="412"/>
      <c r="JT63" s="412"/>
      <c r="JU63" s="412"/>
      <c r="JV63" s="412"/>
      <c r="JW63" s="412"/>
      <c r="JX63" s="412"/>
      <c r="JY63" s="412"/>
      <c r="JZ63" s="412"/>
      <c r="KA63" s="412"/>
      <c r="KB63" s="412"/>
      <c r="KC63" s="412"/>
      <c r="KD63" s="412"/>
      <c r="KE63" s="412"/>
      <c r="KF63" s="412"/>
      <c r="KG63" s="412"/>
      <c r="KH63" s="412"/>
      <c r="KI63" s="412"/>
      <c r="KJ63" s="412"/>
      <c r="KK63" s="412"/>
      <c r="KL63" s="412"/>
      <c r="KM63" s="412"/>
      <c r="KN63" s="412"/>
      <c r="KO63" s="412"/>
      <c r="KP63" s="412"/>
      <c r="KQ63" s="412"/>
      <c r="KR63" s="412"/>
      <c r="KS63" s="412"/>
      <c r="KT63" s="412"/>
      <c r="KU63" s="412"/>
      <c r="KV63" s="412"/>
      <c r="KW63" s="412"/>
      <c r="KX63" s="412"/>
      <c r="KY63" s="412"/>
      <c r="KZ63" s="412"/>
      <c r="LA63" s="412"/>
      <c r="LB63" s="412"/>
      <c r="LC63" s="412"/>
      <c r="LD63" s="412"/>
      <c r="LE63" s="412"/>
      <c r="LF63" s="412"/>
      <c r="LG63" s="412"/>
      <c r="LH63" s="412"/>
      <c r="LI63" s="412"/>
      <c r="LJ63" s="412"/>
      <c r="LK63" s="412"/>
      <c r="LL63" s="412"/>
      <c r="LM63" s="412"/>
      <c r="LN63" s="412"/>
      <c r="LO63" s="412"/>
      <c r="LP63" s="412"/>
      <c r="LQ63" s="412"/>
      <c r="LR63" s="412"/>
      <c r="LS63" s="412"/>
      <c r="LT63" s="412"/>
      <c r="LU63" s="412"/>
      <c r="LV63" s="412"/>
      <c r="LW63" s="412"/>
      <c r="LX63" s="412"/>
      <c r="LY63" s="412"/>
      <c r="LZ63" s="412"/>
      <c r="MA63" s="412"/>
      <c r="MB63" s="412"/>
      <c r="MC63" s="412"/>
      <c r="MD63" s="412"/>
      <c r="ME63" s="412"/>
      <c r="MF63" s="412"/>
      <c r="MG63" s="412"/>
      <c r="MH63" s="412"/>
      <c r="MI63" s="412"/>
      <c r="MJ63" s="412"/>
      <c r="MK63" s="412"/>
      <c r="ML63" s="412"/>
      <c r="MM63" s="412"/>
      <c r="MN63" s="412"/>
      <c r="MO63" s="412"/>
      <c r="MP63" s="412"/>
      <c r="MQ63" s="412"/>
      <c r="MR63" s="412"/>
      <c r="MS63" s="412"/>
      <c r="MT63" s="412"/>
      <c r="MU63" s="412"/>
      <c r="MV63" s="412"/>
      <c r="MW63" s="412"/>
      <c r="MX63" s="412"/>
      <c r="MY63" s="412"/>
      <c r="MZ63" s="412"/>
      <c r="NA63" s="412"/>
      <c r="NB63" s="412"/>
      <c r="NC63" s="412"/>
      <c r="ND63" s="412"/>
      <c r="NE63" s="412"/>
      <c r="NF63" s="412"/>
      <c r="NG63" s="412"/>
      <c r="NH63" s="412"/>
      <c r="NI63" s="412"/>
      <c r="NJ63" s="412"/>
      <c r="NK63" s="412"/>
      <c r="NL63" s="412"/>
      <c r="NM63" s="412"/>
      <c r="NN63" s="412"/>
      <c r="NO63" s="412"/>
      <c r="NP63" s="412"/>
      <c r="NQ63" s="412"/>
      <c r="NR63" s="412"/>
      <c r="NS63" s="412"/>
      <c r="NT63" s="412"/>
      <c r="NU63" s="412"/>
      <c r="NV63" s="412"/>
      <c r="NW63" s="412"/>
      <c r="NX63" s="412"/>
      <c r="NY63" s="412"/>
      <c r="NZ63" s="412"/>
      <c r="OA63" s="412"/>
      <c r="OB63" s="412"/>
      <c r="OC63" s="412"/>
      <c r="OD63" s="412"/>
      <c r="OE63" s="412"/>
      <c r="OF63" s="412"/>
      <c r="OG63" s="412"/>
      <c r="OH63" s="412"/>
      <c r="OI63" s="412"/>
      <c r="OJ63" s="412"/>
      <c r="OK63" s="412"/>
      <c r="OL63" s="412"/>
      <c r="OM63" s="412"/>
      <c r="ON63" s="412"/>
      <c r="OO63" s="412"/>
      <c r="OP63" s="412"/>
      <c r="OQ63" s="412"/>
      <c r="OR63" s="412"/>
      <c r="OS63" s="412"/>
      <c r="OT63" s="412"/>
      <c r="OU63" s="412"/>
      <c r="OV63" s="412"/>
      <c r="OW63" s="412"/>
      <c r="OX63" s="412"/>
      <c r="OY63" s="412"/>
      <c r="OZ63" s="412"/>
      <c r="PA63" s="412"/>
      <c r="PB63" s="412"/>
      <c r="PC63" s="412"/>
      <c r="PD63" s="412"/>
      <c r="PE63" s="412"/>
      <c r="PF63" s="412"/>
      <c r="PG63" s="412"/>
      <c r="PH63" s="412"/>
      <c r="PI63" s="412"/>
      <c r="PJ63" s="412"/>
      <c r="PK63" s="412"/>
      <c r="PL63" s="412"/>
      <c r="PM63" s="412"/>
      <c r="PN63" s="412"/>
      <c r="PO63" s="412"/>
      <c r="PP63" s="412"/>
      <c r="PQ63" s="412"/>
      <c r="PR63" s="412"/>
      <c r="PS63" s="412"/>
      <c r="PT63" s="412"/>
      <c r="PU63" s="412"/>
      <c r="PV63" s="412"/>
      <c r="PW63" s="412"/>
      <c r="PX63" s="412"/>
      <c r="PY63" s="412"/>
      <c r="PZ63" s="412"/>
      <c r="QA63" s="412"/>
      <c r="QB63" s="412"/>
      <c r="QC63" s="412"/>
      <c r="QD63" s="412"/>
      <c r="QE63" s="412"/>
      <c r="QF63" s="412"/>
      <c r="QG63" s="412"/>
      <c r="QH63" s="412"/>
      <c r="QI63" s="412"/>
      <c r="QJ63" s="412"/>
      <c r="QK63" s="412"/>
      <c r="QL63" s="412"/>
      <c r="QM63" s="412"/>
      <c r="QN63" s="412"/>
      <c r="QO63" s="412"/>
      <c r="QP63" s="412"/>
      <c r="QQ63" s="412"/>
      <c r="QR63" s="412"/>
      <c r="QS63" s="412"/>
      <c r="QT63" s="412"/>
      <c r="QU63" s="412"/>
      <c r="QV63" s="412"/>
      <c r="QW63" s="412"/>
      <c r="QX63" s="412"/>
      <c r="QY63" s="412"/>
      <c r="QZ63" s="412"/>
      <c r="RA63" s="412"/>
      <c r="RB63" s="412"/>
      <c r="RC63" s="412"/>
      <c r="RD63" s="412"/>
      <c r="RE63" s="412"/>
      <c r="RF63" s="412"/>
      <c r="RG63" s="412"/>
      <c r="RH63" s="412"/>
      <c r="RI63" s="412"/>
      <c r="RJ63" s="412"/>
      <c r="RK63" s="412"/>
      <c r="RL63" s="412"/>
      <c r="RM63" s="412"/>
      <c r="RN63" s="412"/>
      <c r="RO63" s="412"/>
      <c r="RP63" s="412"/>
      <c r="RQ63" s="412"/>
      <c r="RR63" s="412"/>
      <c r="RS63" s="412"/>
      <c r="RT63" s="412"/>
      <c r="RU63" s="412"/>
      <c r="RV63" s="412"/>
      <c r="RW63" s="412"/>
      <c r="RX63" s="412"/>
      <c r="RY63" s="412"/>
      <c r="RZ63" s="412"/>
      <c r="SA63" s="412"/>
      <c r="SB63" s="412"/>
      <c r="SC63" s="412"/>
      <c r="SD63" s="412"/>
      <c r="SE63" s="412"/>
      <c r="SF63" s="412"/>
      <c r="SG63" s="412"/>
    </row>
    <row r="64" spans="1:501" x14ac:dyDescent="0.2">
      <c r="A64" s="391" t="s">
        <v>48</v>
      </c>
      <c r="B64" s="110"/>
      <c r="C64" s="392">
        <v>0.105</v>
      </c>
      <c r="D64" s="392">
        <v>0.26</v>
      </c>
      <c r="E64" s="392">
        <v>-2.2599999999999999E-2</v>
      </c>
      <c r="F64" s="392">
        <v>-2.2599999999999999E-2</v>
      </c>
      <c r="G64" s="392"/>
      <c r="H64" s="110"/>
      <c r="I64" s="410">
        <v>0</v>
      </c>
      <c r="J64" s="410">
        <v>0</v>
      </c>
      <c r="K64" s="410">
        <v>0</v>
      </c>
      <c r="L64" s="410">
        <v>0</v>
      </c>
      <c r="M64" s="410">
        <v>0</v>
      </c>
      <c r="N64" s="410">
        <v>0</v>
      </c>
      <c r="O64" s="387"/>
      <c r="P64" s="393">
        <v>0</v>
      </c>
      <c r="Q64" s="393">
        <v>0</v>
      </c>
      <c r="R64" s="393">
        <v>0</v>
      </c>
      <c r="S64" s="393">
        <v>0</v>
      </c>
      <c r="T64" s="393">
        <v>0</v>
      </c>
      <c r="U64" s="393"/>
      <c r="V64" s="393">
        <v>0</v>
      </c>
      <c r="W64" s="393">
        <v>0</v>
      </c>
      <c r="X64" s="393">
        <v>0</v>
      </c>
      <c r="Y64" s="393">
        <v>0</v>
      </c>
      <c r="Z64" s="393">
        <v>0</v>
      </c>
      <c r="AA64" s="393"/>
      <c r="AB64" s="435"/>
      <c r="AC64" s="393">
        <v>-2.2599999999999999E-2</v>
      </c>
      <c r="AD64" s="411"/>
      <c r="AE64" s="435"/>
      <c r="AF64" s="388">
        <v>-2.2599999999982856E-2</v>
      </c>
      <c r="AG64" s="388">
        <v>-2.2599999999982856E-2</v>
      </c>
      <c r="AH64" s="388">
        <v>-2.2599999999982856E-2</v>
      </c>
      <c r="AI64" s="388">
        <v>-2.2599999999982856E-2</v>
      </c>
      <c r="AJ64" s="388">
        <v>-2.2599999999982856E-2</v>
      </c>
      <c r="AK64" s="388">
        <v>-2.2599999999982856E-2</v>
      </c>
      <c r="AL64" s="388">
        <v>-2.2599999999982856E-2</v>
      </c>
      <c r="AM64" s="388">
        <v>-2.2599999999982856E-2</v>
      </c>
      <c r="AN64" s="388">
        <v>-2.2599999999982856E-2</v>
      </c>
      <c r="AO64" s="388">
        <v>-2.2599999999982856E-2</v>
      </c>
      <c r="AP64" s="388">
        <v>-2.2599999999982856E-2</v>
      </c>
      <c r="AQ64" s="388">
        <v>-2.2599999999982856E-2</v>
      </c>
      <c r="AR64" s="388">
        <v>-2.2599999999982856E-2</v>
      </c>
      <c r="AS64" s="388">
        <v>-2.2599999999982856E-2</v>
      </c>
      <c r="AT64" s="388">
        <v>-2.2599999999982856E-2</v>
      </c>
      <c r="AU64" s="388">
        <v>-2.2599999999982856E-2</v>
      </c>
      <c r="AV64" s="388">
        <v>-2.2599999999982856E-2</v>
      </c>
      <c r="AW64" s="388">
        <v>-2.2599999999982856E-2</v>
      </c>
      <c r="AX64" s="388">
        <v>-2.2599999999982856E-2</v>
      </c>
      <c r="AY64" s="388">
        <v>-2.2599999999982856E-2</v>
      </c>
      <c r="AZ64" s="388">
        <v>-2.2599999999982856E-2</v>
      </c>
      <c r="BA64" s="388">
        <v>-2.2599999999982856E-2</v>
      </c>
      <c r="BB64" s="388">
        <v>-2.2599999999982856E-2</v>
      </c>
      <c r="BC64" s="388">
        <v>-2.2599999999982856E-2</v>
      </c>
      <c r="BD64" s="388">
        <v>-2.2599999999982856E-2</v>
      </c>
      <c r="BE64" s="388">
        <v>-2.2599999999982856E-2</v>
      </c>
      <c r="BF64" s="388">
        <v>-2.2599999999982856E-2</v>
      </c>
      <c r="BG64" s="388">
        <v>-2.2599999999982856E-2</v>
      </c>
      <c r="BH64" s="388">
        <v>-2.2599999999982856E-2</v>
      </c>
      <c r="BI64" s="388">
        <v>-2.2599999999982856E-2</v>
      </c>
      <c r="BJ64" s="388">
        <v>-2.2599999999982856E-2</v>
      </c>
      <c r="BK64" s="388">
        <v>-2.2599999999982856E-2</v>
      </c>
      <c r="BL64" s="388">
        <v>-2.2599999999982856E-2</v>
      </c>
      <c r="BM64" s="388">
        <v>-2.2599999999982856E-2</v>
      </c>
      <c r="BN64" s="388">
        <v>-2.2599999999982856E-2</v>
      </c>
      <c r="BO64" s="388">
        <v>-2.2599999999982856E-2</v>
      </c>
      <c r="BP64" s="388">
        <v>-2.2599999999982856E-2</v>
      </c>
      <c r="BQ64" s="388">
        <v>-2.2599999999982856E-2</v>
      </c>
      <c r="BR64" s="388">
        <v>-2.2599999999982856E-2</v>
      </c>
      <c r="BS64" s="388">
        <v>-2.2599999999982856E-2</v>
      </c>
      <c r="BT64" s="388">
        <v>-2.2599999999982856E-2</v>
      </c>
      <c r="BU64" s="388">
        <v>-2.2599999999982856E-2</v>
      </c>
      <c r="BV64" s="388">
        <v>-2.2599999999982856E-2</v>
      </c>
      <c r="BW64" s="388">
        <v>-2.2599999999982856E-2</v>
      </c>
      <c r="BX64" s="388">
        <v>-2.2599999999982856E-2</v>
      </c>
      <c r="BY64" s="388">
        <v>-2.2599999999982856E-2</v>
      </c>
      <c r="BZ64" s="388">
        <v>-2.2599999999982856E-2</v>
      </c>
      <c r="CA64" s="388">
        <v>-2.2599999999982856E-2</v>
      </c>
      <c r="CB64" s="388">
        <v>-2.2599999999982856E-2</v>
      </c>
      <c r="CC64" s="388">
        <v>-2.2599999999982856E-2</v>
      </c>
      <c r="CD64" s="388">
        <v>-2.2599999999982856E-2</v>
      </c>
      <c r="CE64" s="388">
        <v>-2.2599999999982856E-2</v>
      </c>
      <c r="CF64" s="388">
        <v>-2.2599999999982856E-2</v>
      </c>
      <c r="CG64" s="388">
        <v>-2.2599999999982856E-2</v>
      </c>
      <c r="CH64" s="388">
        <v>-2.2599999999982856E-2</v>
      </c>
      <c r="CI64" s="388">
        <v>-2.2599999999982856E-2</v>
      </c>
      <c r="CJ64" s="388">
        <v>-2.2599999999982856E-2</v>
      </c>
      <c r="CK64" s="388">
        <v>-2.2599999999982856E-2</v>
      </c>
      <c r="CL64" s="388">
        <v>-2.2599999999982856E-2</v>
      </c>
      <c r="CM64" s="388">
        <v>-2.2599999999982856E-2</v>
      </c>
      <c r="CN64" s="388">
        <v>-2.2599999999982856E-2</v>
      </c>
      <c r="CO64" s="388">
        <v>-2.2599999999982856E-2</v>
      </c>
      <c r="CP64" s="388">
        <v>-2.2599999999982856E-2</v>
      </c>
      <c r="CQ64" s="388">
        <v>-2.2599999999982856E-2</v>
      </c>
      <c r="CR64" s="388">
        <v>-2.2599999999982856E-2</v>
      </c>
      <c r="CS64" s="388">
        <v>-2.2599999999982856E-2</v>
      </c>
      <c r="CT64" s="388">
        <v>-2.2599999999982856E-2</v>
      </c>
      <c r="CU64" s="388">
        <v>-2.2599999999982856E-2</v>
      </c>
      <c r="CV64" s="388">
        <v>-2.2599999999982856E-2</v>
      </c>
      <c r="CW64" s="388">
        <v>-2.2599999999982856E-2</v>
      </c>
      <c r="CX64" s="388">
        <v>-2.2599999999982856E-2</v>
      </c>
      <c r="CY64" s="388">
        <v>-2.2599999999982856E-2</v>
      </c>
      <c r="CZ64" s="388">
        <v>-2.2599999999982856E-2</v>
      </c>
      <c r="DA64" s="388">
        <v>-2.2599999999982856E-2</v>
      </c>
      <c r="DB64" s="388">
        <v>-2.2599999999982856E-2</v>
      </c>
      <c r="DC64" s="388">
        <v>-2.2599999999982856E-2</v>
      </c>
      <c r="DD64" s="388">
        <v>-2.2599999999982856E-2</v>
      </c>
      <c r="DE64" s="388">
        <v>-2.2599999999982856E-2</v>
      </c>
      <c r="DF64" s="388">
        <v>-2.2599999999982856E-2</v>
      </c>
      <c r="DG64" s="388">
        <v>-2.2599999999982856E-2</v>
      </c>
      <c r="DH64" s="388">
        <v>-2.2599999999982856E-2</v>
      </c>
      <c r="DI64" s="388">
        <v>-2.2599999999982856E-2</v>
      </c>
      <c r="DJ64" s="388">
        <v>-2.2599999999982856E-2</v>
      </c>
      <c r="DK64" s="388">
        <v>-2.2599999999982856E-2</v>
      </c>
      <c r="DL64" s="388">
        <v>-2.2599999999982856E-2</v>
      </c>
      <c r="DM64" s="388">
        <v>-2.2599999999982856E-2</v>
      </c>
      <c r="DN64" s="388">
        <v>-2.2599999999982856E-2</v>
      </c>
      <c r="DO64" s="388">
        <v>-2.2599999999982856E-2</v>
      </c>
      <c r="DP64" s="388">
        <v>-2.2599999999982856E-2</v>
      </c>
      <c r="DQ64" s="388">
        <v>-2.2599999999982856E-2</v>
      </c>
      <c r="DR64" s="388">
        <v>-2.2599999999982856E-2</v>
      </c>
      <c r="DS64" s="388">
        <v>-2.2599999999982856E-2</v>
      </c>
      <c r="DT64" s="388">
        <v>-2.2599999999982856E-2</v>
      </c>
      <c r="DU64" s="388">
        <v>-2.2599999999982856E-2</v>
      </c>
      <c r="DV64" s="388">
        <v>-2.2599999999982856E-2</v>
      </c>
      <c r="DW64" s="388">
        <v>-2.2599999999982856E-2</v>
      </c>
      <c r="DX64" s="388">
        <v>-2.2599999999982856E-2</v>
      </c>
      <c r="DY64" s="388">
        <v>-2.2599999999982856E-2</v>
      </c>
      <c r="DZ64" s="388">
        <v>-2.2599999985942525E-2</v>
      </c>
      <c r="EA64" s="388">
        <v>-2.2599999985942525E-2</v>
      </c>
      <c r="EB64" s="388"/>
      <c r="EC64" s="388"/>
      <c r="ED64" s="388">
        <v>-4.8182749099986747E-5</v>
      </c>
      <c r="EE64" s="388">
        <v>1.8914717601233968E-3</v>
      </c>
      <c r="EF64" s="388">
        <v>5.4257036287845587E-3</v>
      </c>
      <c r="EG64" s="388">
        <v>-1.8430877339150884E-3</v>
      </c>
      <c r="EH64" s="388">
        <v>-2.1493288614528217E-3</v>
      </c>
      <c r="EI64" s="388">
        <v>-4.2182070621471669E-4</v>
      </c>
      <c r="EJ64" s="388">
        <v>-9.7907660999597642E-4</v>
      </c>
      <c r="EK64" s="388">
        <v>-1.81693495355756E-3</v>
      </c>
      <c r="EL64" s="388">
        <v>-3.7985156105122585E-3</v>
      </c>
      <c r="EM64" s="388">
        <v>3.5484892116528538E-4</v>
      </c>
      <c r="EN64" s="388">
        <v>-2.0752669457692836E-2</v>
      </c>
      <c r="EO64" s="388">
        <v>-2.8398120706540186E-2</v>
      </c>
      <c r="EP64" s="388">
        <v>-2.8347225422348386E-2</v>
      </c>
      <c r="EQ64" s="388">
        <v>-1.9907515786255922E-2</v>
      </c>
      <c r="ER64" s="388">
        <v>-2.4796183345219658E-2</v>
      </c>
      <c r="ES64" s="388">
        <v>-2.7241096211222858E-2</v>
      </c>
      <c r="ET64" s="388">
        <v>-1.754649955046151E-2</v>
      </c>
      <c r="EU64" s="388">
        <v>-3.6287725662643461E-2</v>
      </c>
      <c r="EV64" s="388">
        <v>-6.6827935640592209E-2</v>
      </c>
      <c r="EW64" s="388">
        <v>-6.5241943760842969E-2</v>
      </c>
      <c r="EX64" s="388">
        <v>-5.329633331245253E-2</v>
      </c>
      <c r="EY64" s="388">
        <v>1.365335133645542E-3</v>
      </c>
      <c r="EZ64" s="388">
        <v>2.7426896598312582E-3</v>
      </c>
      <c r="FA64" s="388">
        <v>-2.0158107201057481E-2</v>
      </c>
      <c r="FB64" s="388">
        <v>-2.446635160263301E-2</v>
      </c>
      <c r="FC64" s="388">
        <v>2.1163032436111186E-3</v>
      </c>
      <c r="FD64" s="388">
        <v>-1.0386746317907268E-3</v>
      </c>
      <c r="FE64" s="388">
        <v>-4.8180323728076663E-5</v>
      </c>
      <c r="FF64" s="388">
        <v>1.3810746185027975E-3</v>
      </c>
      <c r="FG64" s="388">
        <v>4.0692777215884188E-3</v>
      </c>
      <c r="FH64" s="388">
        <v>-3.2631413122270536E-4</v>
      </c>
      <c r="FI64" s="388">
        <v>-1.2132036254297971E-3</v>
      </c>
      <c r="FJ64" s="388">
        <v>1.4118237833763522E-2</v>
      </c>
      <c r="FK64" s="388">
        <v>-5.2501858998522735E-3</v>
      </c>
      <c r="FL64" s="388">
        <v>3.8281517584171421E-3</v>
      </c>
      <c r="FM64" s="388">
        <v>2.03285765903742E-3</v>
      </c>
      <c r="FN64" s="388">
        <v>1.8102316690531504E-3</v>
      </c>
      <c r="FO64" s="388">
        <v>-1.885466870818661E-3</v>
      </c>
      <c r="FP64" s="388">
        <v>2.5446464452927281E-2</v>
      </c>
      <c r="FQ64" s="388">
        <v>3.2327120105100991E-2</v>
      </c>
      <c r="FR64" s="388">
        <v>2.8347225422348386E-2</v>
      </c>
      <c r="FS64" s="388">
        <v>2.4120191927193751E-2</v>
      </c>
      <c r="FT64" s="388">
        <v>2.7838030529912971E-2</v>
      </c>
      <c r="FU64" s="388">
        <v>3.006684094465599E-2</v>
      </c>
      <c r="FV64" s="388">
        <v>2.1883415542936997E-2</v>
      </c>
      <c r="FW64" s="388">
        <v>3.7698505261154654E-2</v>
      </c>
      <c r="FX64" s="388">
        <v>6.7600000000000021E-2</v>
      </c>
      <c r="FY64" s="388">
        <v>6.7223545398661794E-2</v>
      </c>
      <c r="FZ64" s="388">
        <v>5.5153086207307106E-2</v>
      </c>
      <c r="GA64" s="388">
        <v>1.5869735676379495E-4</v>
      </c>
      <c r="GB64" s="388"/>
      <c r="GC64" s="388"/>
      <c r="GD64" s="388"/>
      <c r="GE64" s="388"/>
      <c r="GF64" s="388"/>
      <c r="GG64" s="388"/>
      <c r="GH64" s="388"/>
      <c r="GI64" s="388"/>
      <c r="GJ64" s="388"/>
      <c r="GK64" s="388"/>
      <c r="GL64" s="388"/>
      <c r="GM64" s="388"/>
      <c r="GN64" s="388"/>
      <c r="GO64" s="388"/>
      <c r="GP64" s="412"/>
      <c r="GQ64" s="412"/>
      <c r="GR64" s="412"/>
      <c r="GS64" s="412"/>
      <c r="GT64" s="412"/>
      <c r="GU64" s="412"/>
      <c r="GV64" s="412"/>
      <c r="GW64" s="412"/>
      <c r="GX64" s="412"/>
      <c r="GY64" s="412"/>
      <c r="GZ64" s="412"/>
      <c r="HA64" s="412"/>
      <c r="HB64" s="412"/>
      <c r="HC64" s="412"/>
      <c r="HD64" s="412"/>
      <c r="HE64" s="412"/>
      <c r="HF64" s="412"/>
      <c r="HG64" s="412"/>
      <c r="HH64" s="412"/>
      <c r="HI64" s="412"/>
      <c r="HJ64" s="412"/>
      <c r="HK64" s="412"/>
      <c r="HL64" s="412"/>
      <c r="HM64" s="412"/>
      <c r="HN64" s="412"/>
      <c r="HO64" s="412"/>
      <c r="HP64" s="412"/>
      <c r="HQ64" s="412"/>
      <c r="HR64" s="412"/>
      <c r="HS64" s="412"/>
      <c r="HT64" s="412"/>
      <c r="HU64" s="412"/>
      <c r="HV64" s="412"/>
      <c r="HW64" s="412"/>
      <c r="HX64" s="412"/>
      <c r="HY64" s="412"/>
      <c r="HZ64" s="412"/>
      <c r="IA64" s="412"/>
      <c r="IB64" s="412"/>
      <c r="IC64" s="412"/>
      <c r="ID64" s="412"/>
      <c r="IE64" s="412"/>
      <c r="IF64" s="412"/>
      <c r="IG64" s="412"/>
      <c r="IH64" s="412"/>
      <c r="II64" s="412"/>
      <c r="IJ64" s="412"/>
      <c r="IK64" s="412"/>
      <c r="IL64" s="412"/>
      <c r="IM64" s="412"/>
      <c r="IN64" s="412"/>
      <c r="IO64" s="412"/>
      <c r="IP64" s="412"/>
      <c r="IQ64" s="412"/>
      <c r="IR64" s="412"/>
      <c r="IS64" s="412"/>
      <c r="IT64" s="412"/>
      <c r="IU64" s="412"/>
      <c r="IV64" s="412"/>
      <c r="IW64" s="412"/>
      <c r="IX64" s="412"/>
      <c r="IY64" s="412"/>
      <c r="IZ64" s="412"/>
      <c r="JA64" s="412"/>
      <c r="JB64" s="412"/>
      <c r="JC64" s="412"/>
      <c r="JD64" s="412"/>
      <c r="JE64" s="412"/>
      <c r="JF64" s="412"/>
      <c r="JG64" s="412"/>
      <c r="JH64" s="412"/>
      <c r="JI64" s="412"/>
      <c r="JJ64" s="412"/>
      <c r="JK64" s="412"/>
      <c r="JL64" s="412"/>
      <c r="JM64" s="412"/>
      <c r="JN64" s="412"/>
      <c r="JO64" s="412"/>
      <c r="JP64" s="412"/>
      <c r="JQ64" s="412"/>
      <c r="JR64" s="412"/>
      <c r="JS64" s="412"/>
      <c r="JT64" s="412"/>
      <c r="JU64" s="412"/>
      <c r="JV64" s="412"/>
      <c r="JW64" s="412"/>
      <c r="JX64" s="412"/>
      <c r="JY64" s="412"/>
      <c r="JZ64" s="412"/>
      <c r="KA64" s="412"/>
      <c r="KB64" s="412"/>
      <c r="KC64" s="412"/>
      <c r="KD64" s="412"/>
      <c r="KE64" s="412"/>
      <c r="KF64" s="412"/>
      <c r="KG64" s="412"/>
      <c r="KH64" s="412"/>
      <c r="KI64" s="412"/>
      <c r="KJ64" s="412"/>
      <c r="KK64" s="412"/>
      <c r="KL64" s="412"/>
      <c r="KM64" s="412"/>
      <c r="KN64" s="412"/>
      <c r="KO64" s="412"/>
      <c r="KP64" s="412"/>
      <c r="KQ64" s="412"/>
      <c r="KR64" s="412"/>
      <c r="KS64" s="412"/>
      <c r="KT64" s="412"/>
      <c r="KU64" s="412"/>
      <c r="KV64" s="412"/>
      <c r="KW64" s="412"/>
      <c r="KX64" s="412"/>
      <c r="KY64" s="412"/>
      <c r="KZ64" s="412"/>
      <c r="LA64" s="412"/>
      <c r="LB64" s="412"/>
      <c r="LC64" s="412"/>
      <c r="LD64" s="412"/>
      <c r="LE64" s="412"/>
      <c r="LF64" s="412"/>
      <c r="LG64" s="412"/>
      <c r="LH64" s="412"/>
      <c r="LI64" s="412"/>
      <c r="LJ64" s="412"/>
      <c r="LK64" s="412"/>
      <c r="LL64" s="412"/>
      <c r="LM64" s="412"/>
      <c r="LN64" s="412"/>
      <c r="LO64" s="412"/>
      <c r="LP64" s="412"/>
      <c r="LQ64" s="412"/>
      <c r="LR64" s="412"/>
      <c r="LS64" s="412"/>
      <c r="LT64" s="412"/>
      <c r="LU64" s="412"/>
      <c r="LV64" s="412"/>
      <c r="LW64" s="412"/>
      <c r="LX64" s="412"/>
      <c r="LY64" s="412"/>
      <c r="LZ64" s="412"/>
      <c r="MA64" s="412"/>
      <c r="MB64" s="412"/>
      <c r="MC64" s="412"/>
      <c r="MD64" s="412"/>
      <c r="ME64" s="412"/>
      <c r="MF64" s="412"/>
      <c r="MG64" s="412"/>
      <c r="MH64" s="412"/>
      <c r="MI64" s="412"/>
      <c r="MJ64" s="412"/>
      <c r="MK64" s="412"/>
      <c r="ML64" s="412"/>
      <c r="MM64" s="412"/>
      <c r="MN64" s="412"/>
      <c r="MO64" s="412"/>
      <c r="MP64" s="412"/>
      <c r="MQ64" s="412"/>
      <c r="MR64" s="412"/>
      <c r="MS64" s="412"/>
      <c r="MT64" s="412"/>
      <c r="MU64" s="412"/>
      <c r="MV64" s="412"/>
      <c r="MW64" s="412"/>
      <c r="MX64" s="412"/>
      <c r="MY64" s="412"/>
      <c r="MZ64" s="412"/>
      <c r="NA64" s="412"/>
      <c r="NB64" s="412"/>
      <c r="NC64" s="412"/>
      <c r="ND64" s="412"/>
      <c r="NE64" s="412"/>
      <c r="NF64" s="412"/>
      <c r="NG64" s="412"/>
      <c r="NH64" s="412"/>
      <c r="NI64" s="412"/>
      <c r="NJ64" s="412"/>
      <c r="NK64" s="412"/>
      <c r="NL64" s="412"/>
      <c r="NM64" s="412"/>
      <c r="NN64" s="412"/>
      <c r="NO64" s="412"/>
      <c r="NP64" s="412"/>
      <c r="NQ64" s="412"/>
      <c r="NR64" s="412"/>
      <c r="NS64" s="412"/>
      <c r="NT64" s="412"/>
      <c r="NU64" s="412"/>
      <c r="NV64" s="412"/>
      <c r="NW64" s="412"/>
      <c r="NX64" s="412"/>
      <c r="NY64" s="412"/>
      <c r="NZ64" s="412"/>
      <c r="OA64" s="412"/>
      <c r="OB64" s="412"/>
      <c r="OC64" s="412"/>
      <c r="OD64" s="412"/>
      <c r="OE64" s="412"/>
      <c r="OF64" s="412"/>
      <c r="OG64" s="412"/>
      <c r="OH64" s="412"/>
      <c r="OI64" s="412"/>
      <c r="OJ64" s="412"/>
      <c r="OK64" s="412"/>
      <c r="OL64" s="412"/>
      <c r="OM64" s="412"/>
      <c r="ON64" s="412"/>
      <c r="OO64" s="412"/>
      <c r="OP64" s="412"/>
      <c r="OQ64" s="412"/>
      <c r="OR64" s="412"/>
      <c r="OS64" s="412"/>
      <c r="OT64" s="412"/>
      <c r="OU64" s="412"/>
      <c r="OV64" s="412"/>
      <c r="OW64" s="412"/>
      <c r="OX64" s="412"/>
      <c r="OY64" s="412"/>
      <c r="OZ64" s="412"/>
      <c r="PA64" s="412"/>
      <c r="PB64" s="412"/>
      <c r="PC64" s="412"/>
      <c r="PD64" s="412"/>
      <c r="PE64" s="412"/>
      <c r="PF64" s="412"/>
      <c r="PG64" s="412"/>
      <c r="PH64" s="412"/>
      <c r="PI64" s="412"/>
      <c r="PJ64" s="412"/>
      <c r="PK64" s="412"/>
      <c r="PL64" s="412"/>
      <c r="PM64" s="412"/>
      <c r="PN64" s="412"/>
      <c r="PO64" s="412"/>
      <c r="PP64" s="412"/>
      <c r="PQ64" s="412"/>
      <c r="PR64" s="412"/>
      <c r="PS64" s="412"/>
      <c r="PT64" s="412"/>
      <c r="PU64" s="412"/>
      <c r="PV64" s="412"/>
      <c r="PW64" s="412"/>
      <c r="PX64" s="412"/>
      <c r="PY64" s="412"/>
      <c r="PZ64" s="412"/>
      <c r="QA64" s="412"/>
      <c r="QB64" s="412"/>
      <c r="QC64" s="412"/>
      <c r="QD64" s="412"/>
      <c r="QE64" s="412"/>
      <c r="QF64" s="412"/>
      <c r="QG64" s="412"/>
      <c r="QH64" s="412"/>
      <c r="QI64" s="412"/>
      <c r="QJ64" s="412"/>
      <c r="QK64" s="412"/>
      <c r="QL64" s="412"/>
      <c r="QM64" s="412"/>
      <c r="QN64" s="412"/>
      <c r="QO64" s="412"/>
      <c r="QP64" s="412"/>
      <c r="QQ64" s="412"/>
      <c r="QR64" s="412"/>
      <c r="QS64" s="412"/>
      <c r="QT64" s="412"/>
      <c r="QU64" s="412"/>
      <c r="QV64" s="412"/>
      <c r="QW64" s="412"/>
      <c r="QX64" s="412"/>
      <c r="QY64" s="412"/>
      <c r="QZ64" s="412"/>
      <c r="RA64" s="412"/>
      <c r="RB64" s="412"/>
      <c r="RC64" s="412"/>
      <c r="RD64" s="412"/>
      <c r="RE64" s="412"/>
      <c r="RF64" s="412"/>
      <c r="RG64" s="412"/>
      <c r="RH64" s="412"/>
      <c r="RI64" s="412"/>
      <c r="RJ64" s="412"/>
      <c r="RK64" s="412"/>
      <c r="RL64" s="412"/>
      <c r="RM64" s="412"/>
      <c r="RN64" s="412"/>
      <c r="RO64" s="412"/>
      <c r="RP64" s="412"/>
      <c r="RQ64" s="412"/>
      <c r="RR64" s="412"/>
      <c r="RS64" s="412"/>
      <c r="RT64" s="412"/>
      <c r="RU64" s="412"/>
      <c r="RV64" s="412"/>
      <c r="RW64" s="412"/>
      <c r="RX64" s="412"/>
      <c r="RY64" s="412"/>
      <c r="RZ64" s="412"/>
      <c r="SA64" s="412"/>
      <c r="SB64" s="412"/>
      <c r="SC64" s="412"/>
      <c r="SD64" s="412"/>
      <c r="SE64" s="412"/>
      <c r="SF64" s="412"/>
      <c r="SG64" s="412"/>
    </row>
    <row r="65" spans="1:501" x14ac:dyDescent="0.2">
      <c r="A65" s="391" t="s">
        <v>49</v>
      </c>
      <c r="B65" s="110"/>
      <c r="C65" s="392">
        <v>0.11</v>
      </c>
      <c r="D65" s="392">
        <v>0.3</v>
      </c>
      <c r="E65" s="392">
        <v>-1.11E-2</v>
      </c>
      <c r="F65" s="392">
        <v>-1.11E-2</v>
      </c>
      <c r="G65" s="392"/>
      <c r="H65" s="110"/>
      <c r="I65" s="410">
        <v>0</v>
      </c>
      <c r="J65" s="410">
        <v>0</v>
      </c>
      <c r="K65" s="410">
        <v>0</v>
      </c>
      <c r="L65" s="410">
        <v>0</v>
      </c>
      <c r="M65" s="410">
        <v>0</v>
      </c>
      <c r="N65" s="410">
        <v>0</v>
      </c>
      <c r="O65" s="387"/>
      <c r="P65" s="393">
        <v>0</v>
      </c>
      <c r="Q65" s="393">
        <v>0</v>
      </c>
      <c r="R65" s="393">
        <v>0</v>
      </c>
      <c r="S65" s="393">
        <v>0</v>
      </c>
      <c r="T65" s="393">
        <v>0</v>
      </c>
      <c r="U65" s="393"/>
      <c r="V65" s="393">
        <v>0</v>
      </c>
      <c r="W65" s="393">
        <v>0</v>
      </c>
      <c r="X65" s="393">
        <v>0</v>
      </c>
      <c r="Y65" s="393">
        <v>0</v>
      </c>
      <c r="Z65" s="393">
        <v>0</v>
      </c>
      <c r="AA65" s="393"/>
      <c r="AB65" s="435"/>
      <c r="AC65" s="393">
        <v>-1.11E-2</v>
      </c>
      <c r="AD65" s="411"/>
      <c r="AE65" s="435"/>
      <c r="AF65" s="388">
        <v>-1.1099999974362618E-2</v>
      </c>
      <c r="AG65" s="388">
        <v>-1.1099999974362618E-2</v>
      </c>
      <c r="AH65" s="388">
        <v>-1.1099999974362618E-2</v>
      </c>
      <c r="AI65" s="388">
        <v>-1.1099999974362618E-2</v>
      </c>
      <c r="AJ65" s="388">
        <v>-1.1099999974362618E-2</v>
      </c>
      <c r="AK65" s="388">
        <v>-1.1099999974362618E-2</v>
      </c>
      <c r="AL65" s="388">
        <v>-1.1099999974362618E-2</v>
      </c>
      <c r="AM65" s="388">
        <v>-1.1099999974362618E-2</v>
      </c>
      <c r="AN65" s="388">
        <v>-1.1099999974362618E-2</v>
      </c>
      <c r="AO65" s="388">
        <v>-1.1099999974362618E-2</v>
      </c>
      <c r="AP65" s="388">
        <v>-1.1099999974362618E-2</v>
      </c>
      <c r="AQ65" s="388">
        <v>-1.1099999974362618E-2</v>
      </c>
      <c r="AR65" s="388">
        <v>-1.1099999974362618E-2</v>
      </c>
      <c r="AS65" s="388">
        <v>-1.1099999974362618E-2</v>
      </c>
      <c r="AT65" s="388">
        <v>-1.1099999974362618E-2</v>
      </c>
      <c r="AU65" s="388">
        <v>-1.1099999974362618E-2</v>
      </c>
      <c r="AV65" s="388">
        <v>-1.1099999974362618E-2</v>
      </c>
      <c r="AW65" s="388">
        <v>-1.1099999974362618E-2</v>
      </c>
      <c r="AX65" s="388">
        <v>-1.1099999974362618E-2</v>
      </c>
      <c r="AY65" s="388">
        <v>-1.1099999974362618E-2</v>
      </c>
      <c r="AZ65" s="388">
        <v>-1.1099999974362618E-2</v>
      </c>
      <c r="BA65" s="388">
        <v>-1.1099999974362618E-2</v>
      </c>
      <c r="BB65" s="388">
        <v>-1.1099999974362618E-2</v>
      </c>
      <c r="BC65" s="388">
        <v>-1.1099999974362618E-2</v>
      </c>
      <c r="BD65" s="388">
        <v>-1.1099999974362618E-2</v>
      </c>
      <c r="BE65" s="388">
        <v>-1.1099999974362618E-2</v>
      </c>
      <c r="BF65" s="388">
        <v>-1.1099999974362618E-2</v>
      </c>
      <c r="BG65" s="388">
        <v>-1.1099999974362618E-2</v>
      </c>
      <c r="BH65" s="388">
        <v>-1.1099999974362618E-2</v>
      </c>
      <c r="BI65" s="388">
        <v>-1.1099999974362618E-2</v>
      </c>
      <c r="BJ65" s="388">
        <v>-1.1099999974362618E-2</v>
      </c>
      <c r="BK65" s="388">
        <v>-1.1099999974362618E-2</v>
      </c>
      <c r="BL65" s="388">
        <v>-1.1099999974362618E-2</v>
      </c>
      <c r="BM65" s="388">
        <v>-1.1099999974362618E-2</v>
      </c>
      <c r="BN65" s="388">
        <v>-1.1099999974362618E-2</v>
      </c>
      <c r="BO65" s="388">
        <v>-1.1099999974362618E-2</v>
      </c>
      <c r="BP65" s="388">
        <v>-1.1099999974362618E-2</v>
      </c>
      <c r="BQ65" s="388">
        <v>-1.1099999974362618E-2</v>
      </c>
      <c r="BR65" s="388">
        <v>-1.1099999974362618E-2</v>
      </c>
      <c r="BS65" s="388">
        <v>-1.1099999974362618E-2</v>
      </c>
      <c r="BT65" s="388">
        <v>-1.1099999974362618E-2</v>
      </c>
      <c r="BU65" s="388">
        <v>-1.1099999974362618E-2</v>
      </c>
      <c r="BV65" s="388">
        <v>-1.1099999974362618E-2</v>
      </c>
      <c r="BW65" s="388">
        <v>-1.1099999974362618E-2</v>
      </c>
      <c r="BX65" s="388">
        <v>-1.1099999974362618E-2</v>
      </c>
      <c r="BY65" s="388">
        <v>-1.1099999974362618E-2</v>
      </c>
      <c r="BZ65" s="388">
        <v>-1.1099999974362618E-2</v>
      </c>
      <c r="CA65" s="388">
        <v>-1.1099999974362618E-2</v>
      </c>
      <c r="CB65" s="388">
        <v>-1.1099999974362618E-2</v>
      </c>
      <c r="CC65" s="388">
        <v>-1.1099999974362618E-2</v>
      </c>
      <c r="CD65" s="388">
        <v>-1.1099999974362618E-2</v>
      </c>
      <c r="CE65" s="388">
        <v>-1.1099999974362618E-2</v>
      </c>
      <c r="CF65" s="388">
        <v>-1.1099999974362618E-2</v>
      </c>
      <c r="CG65" s="388">
        <v>-1.1099999974362618E-2</v>
      </c>
      <c r="CH65" s="388">
        <v>-1.1099999974362618E-2</v>
      </c>
      <c r="CI65" s="388">
        <v>-1.1099999974362618E-2</v>
      </c>
      <c r="CJ65" s="388">
        <v>-1.1099999974362618E-2</v>
      </c>
      <c r="CK65" s="388">
        <v>-1.1099999974362618E-2</v>
      </c>
      <c r="CL65" s="388">
        <v>-1.1099999974362618E-2</v>
      </c>
      <c r="CM65" s="388">
        <v>-1.1099999974362618E-2</v>
      </c>
      <c r="CN65" s="388">
        <v>-1.1099999974362618E-2</v>
      </c>
      <c r="CO65" s="388">
        <v>-1.1099999974362618E-2</v>
      </c>
      <c r="CP65" s="388">
        <v>-1.1099999974362618E-2</v>
      </c>
      <c r="CQ65" s="388">
        <v>-1.1099999974362618E-2</v>
      </c>
      <c r="CR65" s="388">
        <v>-1.1099999974362618E-2</v>
      </c>
      <c r="CS65" s="388">
        <v>-1.1099999974362618E-2</v>
      </c>
      <c r="CT65" s="388">
        <v>-1.1099999974362618E-2</v>
      </c>
      <c r="CU65" s="388">
        <v>-1.1099999974362618E-2</v>
      </c>
      <c r="CV65" s="388">
        <v>-1.1099999974362618E-2</v>
      </c>
      <c r="CW65" s="388">
        <v>-1.1099999974362618E-2</v>
      </c>
      <c r="CX65" s="388">
        <v>-1.1099999974362618E-2</v>
      </c>
      <c r="CY65" s="388">
        <v>-1.1099999974362618E-2</v>
      </c>
      <c r="CZ65" s="388">
        <v>-1.1099999974362618E-2</v>
      </c>
      <c r="DA65" s="388">
        <v>-1.1099999974362618E-2</v>
      </c>
      <c r="DB65" s="388">
        <v>-1.1099999974362618E-2</v>
      </c>
      <c r="DC65" s="388">
        <v>-1.1099999974362618E-2</v>
      </c>
      <c r="DD65" s="388">
        <v>-1.1099999974362618E-2</v>
      </c>
      <c r="DE65" s="388">
        <v>-1.1099999974362618E-2</v>
      </c>
      <c r="DF65" s="388">
        <v>-1.1099999974362618E-2</v>
      </c>
      <c r="DG65" s="388">
        <v>-1.1099999974362618E-2</v>
      </c>
      <c r="DH65" s="388">
        <v>-1.1099999974362618E-2</v>
      </c>
      <c r="DI65" s="388">
        <v>-1.1099999974362618E-2</v>
      </c>
      <c r="DJ65" s="388">
        <v>-1.1099999974362618E-2</v>
      </c>
      <c r="DK65" s="388">
        <v>-1.1099999974362618E-2</v>
      </c>
      <c r="DL65" s="388">
        <v>-1.1099999974362618E-2</v>
      </c>
      <c r="DM65" s="388">
        <v>-1.1099999974362618E-2</v>
      </c>
      <c r="DN65" s="388">
        <v>-1.1099999974362618E-2</v>
      </c>
      <c r="DO65" s="388">
        <v>-1.1099999974362618E-2</v>
      </c>
      <c r="DP65" s="388">
        <v>-1.1099999974362618E-2</v>
      </c>
      <c r="DQ65" s="388">
        <v>-1.1099999974362618E-2</v>
      </c>
      <c r="DR65" s="388">
        <v>-1.1099999974362618E-2</v>
      </c>
      <c r="DS65" s="388">
        <v>-1.1099999974362618E-2</v>
      </c>
      <c r="DT65" s="388">
        <v>-1.1099999974362618E-2</v>
      </c>
      <c r="DU65" s="388">
        <v>-1.1099999974362618E-2</v>
      </c>
      <c r="DV65" s="388">
        <v>-1.1099999974362618E-2</v>
      </c>
      <c r="DW65" s="388">
        <v>-1.1099999974362618E-2</v>
      </c>
      <c r="DX65" s="388">
        <v>-1.1099999974362618E-2</v>
      </c>
      <c r="DY65" s="388">
        <v>-1.1099999974362618E-2</v>
      </c>
      <c r="DZ65" s="388">
        <v>-1.1099999974362616E-2</v>
      </c>
      <c r="EA65" s="388">
        <v>-1.1099999974362616E-2</v>
      </c>
      <c r="EB65" s="388"/>
      <c r="EC65" s="388"/>
      <c r="ED65" s="388">
        <v>1.6457620319997627E-5</v>
      </c>
      <c r="EE65" s="388">
        <v>3.2239969674150953E-3</v>
      </c>
      <c r="EF65" s="388">
        <v>7.3500665776721572E-3</v>
      </c>
      <c r="EG65" s="388">
        <v>-5.4163590879387506E-4</v>
      </c>
      <c r="EH65" s="388">
        <v>-1.9243166543310281E-4</v>
      </c>
      <c r="EI65" s="388">
        <v>5.1439936159235287E-4</v>
      </c>
      <c r="EJ65" s="388">
        <v>4.5548170640619177E-4</v>
      </c>
      <c r="EK65" s="388">
        <v>-1.0319386826429988E-3</v>
      </c>
      <c r="EL65" s="388">
        <v>-2.6259381671516449E-3</v>
      </c>
      <c r="EM65" s="388">
        <v>1.790691960504539E-3</v>
      </c>
      <c r="EN65" s="388">
        <v>-2.2200858952181348E-2</v>
      </c>
      <c r="EO65" s="388">
        <v>-3.1010917969224002E-2</v>
      </c>
      <c r="EP65" s="388">
        <v>-3.0766878673958969E-2</v>
      </c>
      <c r="EQ65" s="388">
        <v>-2.3593809716248051E-2</v>
      </c>
      <c r="ER65" s="388">
        <v>-2.7420664322296714E-2</v>
      </c>
      <c r="ES65" s="388">
        <v>-2.531993357281645E-2</v>
      </c>
      <c r="ET65" s="388">
        <v>-1.9710989848328034E-2</v>
      </c>
      <c r="EU65" s="388">
        <v>-4.0330224988304506E-2</v>
      </c>
      <c r="EV65" s="388">
        <v>-6.6495025248300504E-2</v>
      </c>
      <c r="EW65" s="388">
        <v>-8.9021520621013234E-2</v>
      </c>
      <c r="EX65" s="388">
        <v>-6.6530971449748302E-2</v>
      </c>
      <c r="EY65" s="388">
        <v>3.0297879530377637E-3</v>
      </c>
      <c r="EZ65" s="388">
        <v>4.6708576982261657E-3</v>
      </c>
      <c r="FA65" s="388">
        <v>-2.132720230510721E-2</v>
      </c>
      <c r="FB65" s="388">
        <v>-2.3526147411994672E-2</v>
      </c>
      <c r="FC65" s="388">
        <v>-3.7216068164749519E-4</v>
      </c>
      <c r="FD65" s="388">
        <v>-2.840415802114677E-3</v>
      </c>
      <c r="FE65" s="388">
        <v>1.6468281024138485E-5</v>
      </c>
      <c r="FF65" s="388">
        <v>2.3540295317634029E-3</v>
      </c>
      <c r="FG65" s="388">
        <v>5.5125499332541166E-3</v>
      </c>
      <c r="FH65" s="388">
        <v>3.9793158160917865E-4</v>
      </c>
      <c r="FI65" s="388">
        <v>5.6440124489462895E-4</v>
      </c>
      <c r="FJ65" s="388">
        <v>1.8313416467004837E-2</v>
      </c>
      <c r="FK65" s="388">
        <v>-2.147223892655471E-3</v>
      </c>
      <c r="FL65" s="388">
        <v>9.2811457402793649E-3</v>
      </c>
      <c r="FM65" s="388">
        <v>5.6192823263510124E-4</v>
      </c>
      <c r="FN65" s="388">
        <v>9.4390065652824725E-4</v>
      </c>
      <c r="FO65" s="388">
        <v>-2.6064395169180491E-3</v>
      </c>
      <c r="FP65" s="388">
        <v>2.6713326914816194E-2</v>
      </c>
      <c r="FQ65" s="388">
        <v>3.4611435934721616E-2</v>
      </c>
      <c r="FR65" s="388">
        <v>3.0766878673958969E-2</v>
      </c>
      <c r="FS65" s="388">
        <v>2.7651422135009696E-2</v>
      </c>
      <c r="FT65" s="388">
        <v>3.0240156692205027E-2</v>
      </c>
      <c r="FU65" s="388">
        <v>2.824700891908212E-2</v>
      </c>
      <c r="FV65" s="388">
        <v>2.3930656543876463E-2</v>
      </c>
      <c r="FW65" s="388">
        <v>4.1365416974779502E-2</v>
      </c>
      <c r="FX65" s="388">
        <v>6.7223545398661794E-2</v>
      </c>
      <c r="FY65" s="388">
        <v>0.09</v>
      </c>
      <c r="FZ65" s="388">
        <v>6.7525786612991065E-2</v>
      </c>
      <c r="GA65" s="388">
        <v>1.5916702910822201E-4</v>
      </c>
      <c r="GB65" s="388"/>
      <c r="GC65" s="388"/>
      <c r="GD65" s="388"/>
      <c r="GE65" s="388"/>
      <c r="GF65" s="388"/>
      <c r="GG65" s="388"/>
      <c r="GH65" s="388"/>
      <c r="GI65" s="388"/>
      <c r="GJ65" s="388"/>
      <c r="GK65" s="388"/>
      <c r="GL65" s="388"/>
      <c r="GM65" s="388"/>
      <c r="GN65" s="388"/>
      <c r="GO65" s="388"/>
      <c r="GP65" s="412"/>
      <c r="GQ65" s="412"/>
      <c r="GR65" s="412"/>
      <c r="GS65" s="412"/>
      <c r="GT65" s="412"/>
      <c r="GU65" s="412"/>
      <c r="GV65" s="412"/>
      <c r="GW65" s="412"/>
      <c r="GX65" s="412"/>
      <c r="GY65" s="412"/>
      <c r="GZ65" s="412"/>
      <c r="HA65" s="412"/>
      <c r="HB65" s="412"/>
      <c r="HC65" s="412"/>
      <c r="HD65" s="412"/>
      <c r="HE65" s="412"/>
      <c r="HF65" s="412"/>
      <c r="HG65" s="412"/>
      <c r="HH65" s="412"/>
      <c r="HI65" s="412"/>
      <c r="HJ65" s="412"/>
      <c r="HK65" s="412"/>
      <c r="HL65" s="412"/>
      <c r="HM65" s="412"/>
      <c r="HN65" s="412"/>
      <c r="HO65" s="412"/>
      <c r="HP65" s="412"/>
      <c r="HQ65" s="412"/>
      <c r="HR65" s="412"/>
      <c r="HS65" s="412"/>
      <c r="HT65" s="412"/>
      <c r="HU65" s="412"/>
      <c r="HV65" s="412"/>
      <c r="HW65" s="412"/>
      <c r="HX65" s="412"/>
      <c r="HY65" s="412"/>
      <c r="HZ65" s="412"/>
      <c r="IA65" s="412"/>
      <c r="IB65" s="412"/>
      <c r="IC65" s="412"/>
      <c r="ID65" s="412"/>
      <c r="IE65" s="412"/>
      <c r="IF65" s="412"/>
      <c r="IG65" s="412"/>
      <c r="IH65" s="412"/>
      <c r="II65" s="412"/>
      <c r="IJ65" s="412"/>
      <c r="IK65" s="412"/>
      <c r="IL65" s="412"/>
      <c r="IM65" s="412"/>
      <c r="IN65" s="412"/>
      <c r="IO65" s="412"/>
      <c r="IP65" s="412"/>
      <c r="IQ65" s="412"/>
      <c r="IR65" s="412"/>
      <c r="IS65" s="412"/>
      <c r="IT65" s="412"/>
      <c r="IU65" s="412"/>
      <c r="IV65" s="412"/>
      <c r="IW65" s="412"/>
      <c r="IX65" s="412"/>
      <c r="IY65" s="412"/>
      <c r="IZ65" s="412"/>
      <c r="JA65" s="412"/>
      <c r="JB65" s="412"/>
      <c r="JC65" s="412"/>
      <c r="JD65" s="412"/>
      <c r="JE65" s="412"/>
      <c r="JF65" s="412"/>
      <c r="JG65" s="412"/>
      <c r="JH65" s="412"/>
      <c r="JI65" s="412"/>
      <c r="JJ65" s="412"/>
      <c r="JK65" s="412"/>
      <c r="JL65" s="412"/>
      <c r="JM65" s="412"/>
      <c r="JN65" s="412"/>
      <c r="JO65" s="412"/>
      <c r="JP65" s="412"/>
      <c r="JQ65" s="412"/>
      <c r="JR65" s="412"/>
      <c r="JS65" s="412"/>
      <c r="JT65" s="412"/>
      <c r="JU65" s="412"/>
      <c r="JV65" s="412"/>
      <c r="JW65" s="412"/>
      <c r="JX65" s="412"/>
      <c r="JY65" s="412"/>
      <c r="JZ65" s="412"/>
      <c r="KA65" s="412"/>
      <c r="KB65" s="412"/>
      <c r="KC65" s="412"/>
      <c r="KD65" s="412"/>
      <c r="KE65" s="412"/>
      <c r="KF65" s="412"/>
      <c r="KG65" s="412"/>
      <c r="KH65" s="412"/>
      <c r="KI65" s="412"/>
      <c r="KJ65" s="412"/>
      <c r="KK65" s="412"/>
      <c r="KL65" s="412"/>
      <c r="KM65" s="412"/>
      <c r="KN65" s="412"/>
      <c r="KO65" s="412"/>
      <c r="KP65" s="412"/>
      <c r="KQ65" s="412"/>
      <c r="KR65" s="412"/>
      <c r="KS65" s="412"/>
      <c r="KT65" s="412"/>
      <c r="KU65" s="412"/>
      <c r="KV65" s="412"/>
      <c r="KW65" s="412"/>
      <c r="KX65" s="412"/>
      <c r="KY65" s="412"/>
      <c r="KZ65" s="412"/>
      <c r="LA65" s="412"/>
      <c r="LB65" s="412"/>
      <c r="LC65" s="412"/>
      <c r="LD65" s="412"/>
      <c r="LE65" s="412"/>
      <c r="LF65" s="412"/>
      <c r="LG65" s="412"/>
      <c r="LH65" s="412"/>
      <c r="LI65" s="412"/>
      <c r="LJ65" s="412"/>
      <c r="LK65" s="412"/>
      <c r="LL65" s="412"/>
      <c r="LM65" s="412"/>
      <c r="LN65" s="412"/>
      <c r="LO65" s="412"/>
      <c r="LP65" s="412"/>
      <c r="LQ65" s="412"/>
      <c r="LR65" s="412"/>
      <c r="LS65" s="412"/>
      <c r="LT65" s="412"/>
      <c r="LU65" s="412"/>
      <c r="LV65" s="412"/>
      <c r="LW65" s="412"/>
      <c r="LX65" s="412"/>
      <c r="LY65" s="412"/>
      <c r="LZ65" s="412"/>
      <c r="MA65" s="412"/>
      <c r="MB65" s="412"/>
      <c r="MC65" s="412"/>
      <c r="MD65" s="412"/>
      <c r="ME65" s="412"/>
      <c r="MF65" s="412"/>
      <c r="MG65" s="412"/>
      <c r="MH65" s="412"/>
      <c r="MI65" s="412"/>
      <c r="MJ65" s="412"/>
      <c r="MK65" s="412"/>
      <c r="ML65" s="412"/>
      <c r="MM65" s="412"/>
      <c r="MN65" s="412"/>
      <c r="MO65" s="412"/>
      <c r="MP65" s="412"/>
      <c r="MQ65" s="412"/>
      <c r="MR65" s="412"/>
      <c r="MS65" s="412"/>
      <c r="MT65" s="412"/>
      <c r="MU65" s="412"/>
      <c r="MV65" s="412"/>
      <c r="MW65" s="412"/>
      <c r="MX65" s="412"/>
      <c r="MY65" s="412"/>
      <c r="MZ65" s="412"/>
      <c r="NA65" s="412"/>
      <c r="NB65" s="412"/>
      <c r="NC65" s="412"/>
      <c r="ND65" s="412"/>
      <c r="NE65" s="412"/>
      <c r="NF65" s="412"/>
      <c r="NG65" s="412"/>
      <c r="NH65" s="412"/>
      <c r="NI65" s="412"/>
      <c r="NJ65" s="412"/>
      <c r="NK65" s="412"/>
      <c r="NL65" s="412"/>
      <c r="NM65" s="412"/>
      <c r="NN65" s="412"/>
      <c r="NO65" s="412"/>
      <c r="NP65" s="412"/>
      <c r="NQ65" s="412"/>
      <c r="NR65" s="412"/>
      <c r="NS65" s="412"/>
      <c r="NT65" s="412"/>
      <c r="NU65" s="412"/>
      <c r="NV65" s="412"/>
      <c r="NW65" s="412"/>
      <c r="NX65" s="412"/>
      <c r="NY65" s="412"/>
      <c r="NZ65" s="412"/>
      <c r="OA65" s="412"/>
      <c r="OB65" s="412"/>
      <c r="OC65" s="412"/>
      <c r="OD65" s="412"/>
      <c r="OE65" s="412"/>
      <c r="OF65" s="412"/>
      <c r="OG65" s="412"/>
      <c r="OH65" s="412"/>
      <c r="OI65" s="412"/>
      <c r="OJ65" s="412"/>
      <c r="OK65" s="412"/>
      <c r="OL65" s="412"/>
      <c r="OM65" s="412"/>
      <c r="ON65" s="412"/>
      <c r="OO65" s="412"/>
      <c r="OP65" s="412"/>
      <c r="OQ65" s="412"/>
      <c r="OR65" s="412"/>
      <c r="OS65" s="412"/>
      <c r="OT65" s="412"/>
      <c r="OU65" s="412"/>
      <c r="OV65" s="412"/>
      <c r="OW65" s="412"/>
      <c r="OX65" s="412"/>
      <c r="OY65" s="412"/>
      <c r="OZ65" s="412"/>
      <c r="PA65" s="412"/>
      <c r="PB65" s="412"/>
      <c r="PC65" s="412"/>
      <c r="PD65" s="412"/>
      <c r="PE65" s="412"/>
      <c r="PF65" s="412"/>
      <c r="PG65" s="412"/>
      <c r="PH65" s="412"/>
      <c r="PI65" s="412"/>
      <c r="PJ65" s="412"/>
      <c r="PK65" s="412"/>
      <c r="PL65" s="412"/>
      <c r="PM65" s="412"/>
      <c r="PN65" s="412"/>
      <c r="PO65" s="412"/>
      <c r="PP65" s="412"/>
      <c r="PQ65" s="412"/>
      <c r="PR65" s="412"/>
      <c r="PS65" s="412"/>
      <c r="PT65" s="412"/>
      <c r="PU65" s="412"/>
      <c r="PV65" s="412"/>
      <c r="PW65" s="412"/>
      <c r="PX65" s="412"/>
      <c r="PY65" s="412"/>
      <c r="PZ65" s="412"/>
      <c r="QA65" s="412"/>
      <c r="QB65" s="412"/>
      <c r="QC65" s="412"/>
      <c r="QD65" s="412"/>
      <c r="QE65" s="412"/>
      <c r="QF65" s="412"/>
      <c r="QG65" s="412"/>
      <c r="QH65" s="412"/>
      <c r="QI65" s="412"/>
      <c r="QJ65" s="412"/>
      <c r="QK65" s="412"/>
      <c r="QL65" s="412"/>
      <c r="QM65" s="412"/>
      <c r="QN65" s="412"/>
      <c r="QO65" s="412"/>
      <c r="QP65" s="412"/>
      <c r="QQ65" s="412"/>
      <c r="QR65" s="412"/>
      <c r="QS65" s="412"/>
      <c r="QT65" s="412"/>
      <c r="QU65" s="412"/>
      <c r="QV65" s="412"/>
      <c r="QW65" s="412"/>
      <c r="QX65" s="412"/>
      <c r="QY65" s="412"/>
      <c r="QZ65" s="412"/>
      <c r="RA65" s="412"/>
      <c r="RB65" s="412"/>
      <c r="RC65" s="412"/>
      <c r="RD65" s="412"/>
      <c r="RE65" s="412"/>
      <c r="RF65" s="412"/>
      <c r="RG65" s="412"/>
      <c r="RH65" s="412"/>
      <c r="RI65" s="412"/>
      <c r="RJ65" s="412"/>
      <c r="RK65" s="412"/>
      <c r="RL65" s="412"/>
      <c r="RM65" s="412"/>
      <c r="RN65" s="412"/>
      <c r="RO65" s="412"/>
      <c r="RP65" s="412"/>
      <c r="RQ65" s="412"/>
      <c r="RR65" s="412"/>
      <c r="RS65" s="412"/>
      <c r="RT65" s="412"/>
      <c r="RU65" s="412"/>
      <c r="RV65" s="412"/>
      <c r="RW65" s="412"/>
      <c r="RX65" s="412"/>
      <c r="RY65" s="412"/>
      <c r="RZ65" s="412"/>
      <c r="SA65" s="412"/>
      <c r="SB65" s="412"/>
      <c r="SC65" s="412"/>
      <c r="SD65" s="412"/>
      <c r="SE65" s="412"/>
      <c r="SF65" s="412"/>
      <c r="SG65" s="412"/>
    </row>
    <row r="66" spans="1:501" x14ac:dyDescent="0.2">
      <c r="A66" s="391" t="s">
        <v>50</v>
      </c>
      <c r="B66" s="110"/>
      <c r="C66" s="392">
        <v>0.11</v>
      </c>
      <c r="D66" s="392">
        <v>0.28000000000000003</v>
      </c>
      <c r="E66" s="392">
        <v>-9.9999999999999995E-7</v>
      </c>
      <c r="F66" s="392">
        <v>-9.9999999999999995E-7</v>
      </c>
      <c r="G66" s="392"/>
      <c r="H66" s="110"/>
      <c r="I66" s="410">
        <v>0</v>
      </c>
      <c r="J66" s="410">
        <v>0</v>
      </c>
      <c r="K66" s="410">
        <v>0</v>
      </c>
      <c r="L66" s="410">
        <v>0</v>
      </c>
      <c r="M66" s="410">
        <v>0</v>
      </c>
      <c r="N66" s="410">
        <v>0</v>
      </c>
      <c r="O66" s="387"/>
      <c r="P66" s="393">
        <v>0</v>
      </c>
      <c r="Q66" s="393">
        <v>0</v>
      </c>
      <c r="R66" s="393">
        <v>0</v>
      </c>
      <c r="S66" s="393">
        <v>0</v>
      </c>
      <c r="T66" s="393">
        <v>0</v>
      </c>
      <c r="U66" s="393"/>
      <c r="V66" s="393">
        <v>0</v>
      </c>
      <c r="W66" s="393">
        <v>0</v>
      </c>
      <c r="X66" s="393">
        <v>0</v>
      </c>
      <c r="Y66" s="393">
        <v>0</v>
      </c>
      <c r="Z66" s="393">
        <v>0</v>
      </c>
      <c r="AA66" s="393"/>
      <c r="AB66" s="435"/>
      <c r="AC66" s="393">
        <v>-9.9999999999999995E-7</v>
      </c>
      <c r="AD66" s="411"/>
      <c r="AE66" s="435"/>
      <c r="AF66" s="388">
        <v>-9.9999999747524271E-7</v>
      </c>
      <c r="AG66" s="388">
        <v>-9.9999999747524271E-7</v>
      </c>
      <c r="AH66" s="388">
        <v>-9.9999999747524271E-7</v>
      </c>
      <c r="AI66" s="388">
        <v>-9.9999999747524271E-7</v>
      </c>
      <c r="AJ66" s="388">
        <v>-9.9999999747524271E-7</v>
      </c>
      <c r="AK66" s="388">
        <v>-9.9999999747524271E-7</v>
      </c>
      <c r="AL66" s="388">
        <v>-9.9999999747524271E-7</v>
      </c>
      <c r="AM66" s="388">
        <v>-9.9999999747524271E-7</v>
      </c>
      <c r="AN66" s="388">
        <v>-9.9999999747524271E-7</v>
      </c>
      <c r="AO66" s="388">
        <v>-9.9999999747524271E-7</v>
      </c>
      <c r="AP66" s="388">
        <v>-9.9999999747524271E-7</v>
      </c>
      <c r="AQ66" s="388">
        <v>-9.9999999747524271E-7</v>
      </c>
      <c r="AR66" s="388">
        <v>-9.9999999747524271E-7</v>
      </c>
      <c r="AS66" s="388">
        <v>-9.9999999747524271E-7</v>
      </c>
      <c r="AT66" s="388">
        <v>-9.9999999747524271E-7</v>
      </c>
      <c r="AU66" s="388">
        <v>-9.9999999747524271E-7</v>
      </c>
      <c r="AV66" s="388">
        <v>-9.9999999747524271E-7</v>
      </c>
      <c r="AW66" s="388">
        <v>-9.9999999747524271E-7</v>
      </c>
      <c r="AX66" s="388">
        <v>-9.9999999747524271E-7</v>
      </c>
      <c r="AY66" s="388">
        <v>-9.9999999747524271E-7</v>
      </c>
      <c r="AZ66" s="388">
        <v>-9.9999999747524271E-7</v>
      </c>
      <c r="BA66" s="388">
        <v>-9.9999999747524271E-7</v>
      </c>
      <c r="BB66" s="388">
        <v>-9.9999999747524271E-7</v>
      </c>
      <c r="BC66" s="388">
        <v>-9.9999999747524271E-7</v>
      </c>
      <c r="BD66" s="388">
        <v>-9.9999999747524271E-7</v>
      </c>
      <c r="BE66" s="388">
        <v>-9.9999999747524271E-7</v>
      </c>
      <c r="BF66" s="388">
        <v>-9.9999999747524271E-7</v>
      </c>
      <c r="BG66" s="388">
        <v>-9.9999999747524271E-7</v>
      </c>
      <c r="BH66" s="388">
        <v>-9.9999999747524271E-7</v>
      </c>
      <c r="BI66" s="388">
        <v>-9.9999999747524271E-7</v>
      </c>
      <c r="BJ66" s="388">
        <v>-9.9999999747524271E-7</v>
      </c>
      <c r="BK66" s="388">
        <v>-9.9999999747524271E-7</v>
      </c>
      <c r="BL66" s="388">
        <v>-9.9999999747524271E-7</v>
      </c>
      <c r="BM66" s="388">
        <v>-9.9999999747524271E-7</v>
      </c>
      <c r="BN66" s="388">
        <v>-9.9999999747524271E-7</v>
      </c>
      <c r="BO66" s="388">
        <v>-9.9999999747524271E-7</v>
      </c>
      <c r="BP66" s="388">
        <v>-9.9999999747524271E-7</v>
      </c>
      <c r="BQ66" s="388">
        <v>-9.9999999747524271E-7</v>
      </c>
      <c r="BR66" s="388">
        <v>-9.9999999747524271E-7</v>
      </c>
      <c r="BS66" s="388">
        <v>-9.9999999747524271E-7</v>
      </c>
      <c r="BT66" s="388">
        <v>-9.9999999747524271E-7</v>
      </c>
      <c r="BU66" s="388">
        <v>-9.9999999747524271E-7</v>
      </c>
      <c r="BV66" s="388">
        <v>-9.9999999747524271E-7</v>
      </c>
      <c r="BW66" s="388">
        <v>-9.9999999747524271E-7</v>
      </c>
      <c r="BX66" s="388">
        <v>-9.9999999747524271E-7</v>
      </c>
      <c r="BY66" s="388">
        <v>-9.9999999747524271E-7</v>
      </c>
      <c r="BZ66" s="388">
        <v>-9.9999999747524271E-7</v>
      </c>
      <c r="CA66" s="388">
        <v>-9.9999999747524271E-7</v>
      </c>
      <c r="CB66" s="388">
        <v>-9.9999999747524271E-7</v>
      </c>
      <c r="CC66" s="388">
        <v>-9.9999999747524271E-7</v>
      </c>
      <c r="CD66" s="388">
        <v>-9.9999999747524271E-7</v>
      </c>
      <c r="CE66" s="388">
        <v>-9.9999999747524271E-7</v>
      </c>
      <c r="CF66" s="388">
        <v>-9.9999999747524271E-7</v>
      </c>
      <c r="CG66" s="388">
        <v>-9.9999999747524271E-7</v>
      </c>
      <c r="CH66" s="388">
        <v>-9.9999999747524271E-7</v>
      </c>
      <c r="CI66" s="388">
        <v>-9.9999999747524271E-7</v>
      </c>
      <c r="CJ66" s="388">
        <v>-9.9999999747524271E-7</v>
      </c>
      <c r="CK66" s="388">
        <v>-9.9999999747524271E-7</v>
      </c>
      <c r="CL66" s="388">
        <v>-9.9999999747524271E-7</v>
      </c>
      <c r="CM66" s="388">
        <v>-9.9999999747524271E-7</v>
      </c>
      <c r="CN66" s="388">
        <v>-9.9999999747524271E-7</v>
      </c>
      <c r="CO66" s="388">
        <v>-9.9999999747524271E-7</v>
      </c>
      <c r="CP66" s="388">
        <v>-9.9999999747524271E-7</v>
      </c>
      <c r="CQ66" s="388">
        <v>-9.9999999747524271E-7</v>
      </c>
      <c r="CR66" s="388">
        <v>-9.9999999747524271E-7</v>
      </c>
      <c r="CS66" s="388">
        <v>-9.9999999747524271E-7</v>
      </c>
      <c r="CT66" s="388">
        <v>-9.9999999747524271E-7</v>
      </c>
      <c r="CU66" s="388">
        <v>-9.9999999747524271E-7</v>
      </c>
      <c r="CV66" s="388">
        <v>-9.9999999747524271E-7</v>
      </c>
      <c r="CW66" s="388">
        <v>-9.9999999747524271E-7</v>
      </c>
      <c r="CX66" s="388">
        <v>-9.9999999747524271E-7</v>
      </c>
      <c r="CY66" s="388">
        <v>-9.9999999747524271E-7</v>
      </c>
      <c r="CZ66" s="388">
        <v>-9.9999999747524271E-7</v>
      </c>
      <c r="DA66" s="388">
        <v>-9.9999999747524271E-7</v>
      </c>
      <c r="DB66" s="388">
        <v>-9.9999999747524271E-7</v>
      </c>
      <c r="DC66" s="388">
        <v>-9.9999999747524271E-7</v>
      </c>
      <c r="DD66" s="388">
        <v>-9.9999999747524271E-7</v>
      </c>
      <c r="DE66" s="388">
        <v>-9.9999999747524271E-7</v>
      </c>
      <c r="DF66" s="388">
        <v>-9.9999999747524271E-7</v>
      </c>
      <c r="DG66" s="388">
        <v>-9.9999999747524271E-7</v>
      </c>
      <c r="DH66" s="388">
        <v>-9.9999999747524271E-7</v>
      </c>
      <c r="DI66" s="388">
        <v>-9.9999999747524271E-7</v>
      </c>
      <c r="DJ66" s="388">
        <v>-9.9999999747524271E-7</v>
      </c>
      <c r="DK66" s="388">
        <v>-9.9999999747524271E-7</v>
      </c>
      <c r="DL66" s="388">
        <v>-9.9999999747524271E-7</v>
      </c>
      <c r="DM66" s="388">
        <v>-9.9999999747524271E-7</v>
      </c>
      <c r="DN66" s="388">
        <v>-9.9999999747524271E-7</v>
      </c>
      <c r="DO66" s="388">
        <v>-9.9999999747524271E-7</v>
      </c>
      <c r="DP66" s="388">
        <v>-9.9999999747524271E-7</v>
      </c>
      <c r="DQ66" s="388">
        <v>-9.9999999747524271E-7</v>
      </c>
      <c r="DR66" s="388">
        <v>-9.9999999747524271E-7</v>
      </c>
      <c r="DS66" s="388">
        <v>-9.9999999747524271E-7</v>
      </c>
      <c r="DT66" s="388">
        <v>-9.9999999747524271E-7</v>
      </c>
      <c r="DU66" s="388">
        <v>-9.9999999747524271E-7</v>
      </c>
      <c r="DV66" s="388">
        <v>-9.9999999747524271E-7</v>
      </c>
      <c r="DW66" s="388">
        <v>-9.9999999747524271E-7</v>
      </c>
      <c r="DX66" s="388">
        <v>-9.9999999747524271E-7</v>
      </c>
      <c r="DY66" s="388">
        <v>-9.9999999747524271E-7</v>
      </c>
      <c r="DZ66" s="388">
        <v>-9.9998594532821098E-7</v>
      </c>
      <c r="EA66" s="388">
        <v>-9.9998594532821098E-7</v>
      </c>
      <c r="EB66" s="388"/>
      <c r="EC66" s="388"/>
      <c r="ED66" s="388">
        <v>1.6479952107416615E-5</v>
      </c>
      <c r="EE66" s="388">
        <v>3.0077922785559943E-3</v>
      </c>
      <c r="EF66" s="388">
        <v>6.3176718420888452E-3</v>
      </c>
      <c r="EG66" s="388">
        <v>-1.1512176545484018E-3</v>
      </c>
      <c r="EH66" s="388">
        <v>-1.6800989418362263E-3</v>
      </c>
      <c r="EI66" s="388">
        <v>1.0237452953632151E-4</v>
      </c>
      <c r="EJ66" s="388">
        <v>-6.643807633479685E-4</v>
      </c>
      <c r="EK66" s="388">
        <v>-1.7185392178421166E-3</v>
      </c>
      <c r="EL66" s="388">
        <v>-4.3906726296262114E-3</v>
      </c>
      <c r="EM66" s="388">
        <v>2.01397730802489E-4</v>
      </c>
      <c r="EN66" s="388">
        <v>-1.9993678060353261E-2</v>
      </c>
      <c r="EO66" s="388">
        <v>-2.9764325777090726E-2</v>
      </c>
      <c r="EP66" s="388">
        <v>-3.0736676214905331E-2</v>
      </c>
      <c r="EQ66" s="388">
        <v>-2.4064745661748189E-2</v>
      </c>
      <c r="ER66" s="388">
        <v>-2.9805648832706824E-2</v>
      </c>
      <c r="ES66" s="388">
        <v>-2.7829489993817513E-2</v>
      </c>
      <c r="ET66" s="388">
        <v>-1.7067414299797249E-2</v>
      </c>
      <c r="EU66" s="388">
        <v>-3.7888906165259723E-2</v>
      </c>
      <c r="EV66" s="388">
        <v>-5.3100985035112458E-2</v>
      </c>
      <c r="EW66" s="388">
        <v>-6.4962156620734929E-2</v>
      </c>
      <c r="EX66" s="388">
        <v>-7.7285769210915373E-2</v>
      </c>
      <c r="EY66" s="388">
        <v>2.2526183755958245E-3</v>
      </c>
      <c r="EZ66" s="388">
        <v>3.3266277237141723E-3</v>
      </c>
      <c r="FA66" s="388">
        <v>-1.9245856034768506E-2</v>
      </c>
      <c r="FB66" s="388">
        <v>-2.1151355968788949E-2</v>
      </c>
      <c r="FC66" s="388">
        <v>2.2577040005081501E-3</v>
      </c>
      <c r="FD66" s="388">
        <v>-2.8131781102223728E-3</v>
      </c>
      <c r="FE66" s="388">
        <v>1.6489395158823029E-5</v>
      </c>
      <c r="FF66" s="388">
        <v>2.1961657906916783E-3</v>
      </c>
      <c r="FG66" s="388">
        <v>4.7382538815666335E-3</v>
      </c>
      <c r="FH66" s="388">
        <v>7.919539077338078E-5</v>
      </c>
      <c r="FI66" s="388">
        <v>-8.2325442414856972E-4</v>
      </c>
      <c r="FJ66" s="388">
        <v>1.3533928381291385E-2</v>
      </c>
      <c r="FK66" s="388">
        <v>-4.7430490326181756E-3</v>
      </c>
      <c r="FL66" s="388">
        <v>4.3435445197564194E-4</v>
      </c>
      <c r="FM66" s="388">
        <v>1.2592301772632395E-3</v>
      </c>
      <c r="FN66" s="388">
        <v>1.6998872639373888E-3</v>
      </c>
      <c r="FO66" s="388">
        <v>-1.6718048961702598E-3</v>
      </c>
      <c r="FP66" s="388">
        <v>2.5856885921865753E-2</v>
      </c>
      <c r="FQ66" s="388">
        <v>3.4612639374137534E-2</v>
      </c>
      <c r="FR66" s="388">
        <v>3.0736676214905331E-2</v>
      </c>
      <c r="FS66" s="388">
        <v>2.8894810059843443E-2</v>
      </c>
      <c r="FT66" s="388">
        <v>3.3327921009954631E-2</v>
      </c>
      <c r="FU66" s="388">
        <v>3.1299939844172162E-2</v>
      </c>
      <c r="FV66" s="388">
        <v>2.2361384447521993E-2</v>
      </c>
      <c r="FW66" s="388">
        <v>3.9791338057246751E-2</v>
      </c>
      <c r="FX66" s="388">
        <v>5.5153086207307106E-2</v>
      </c>
      <c r="FY66" s="388">
        <v>6.7525786612991065E-2</v>
      </c>
      <c r="FZ66" s="388">
        <v>7.8400000000000011E-2</v>
      </c>
      <c r="GA66" s="388">
        <v>1.7927333684499447E-4</v>
      </c>
      <c r="GB66" s="388"/>
      <c r="GC66" s="388"/>
      <c r="GD66" s="388"/>
      <c r="GE66" s="388"/>
      <c r="GF66" s="388"/>
      <c r="GG66" s="388"/>
      <c r="GH66" s="388"/>
      <c r="GI66" s="388"/>
      <c r="GJ66" s="388"/>
      <c r="GK66" s="388"/>
      <c r="GL66" s="388"/>
      <c r="GM66" s="388"/>
      <c r="GN66" s="388"/>
      <c r="GO66" s="388"/>
      <c r="GP66" s="412"/>
      <c r="GQ66" s="412"/>
      <c r="GR66" s="412"/>
      <c r="GS66" s="412"/>
      <c r="GT66" s="412"/>
      <c r="GU66" s="412"/>
      <c r="GV66" s="412"/>
      <c r="GW66" s="412"/>
      <c r="GX66" s="412"/>
      <c r="GY66" s="412"/>
      <c r="GZ66" s="412"/>
      <c r="HA66" s="412"/>
      <c r="HB66" s="412"/>
      <c r="HC66" s="412"/>
      <c r="HD66" s="412"/>
      <c r="HE66" s="412"/>
      <c r="HF66" s="412"/>
      <c r="HG66" s="412"/>
      <c r="HH66" s="412"/>
      <c r="HI66" s="412"/>
      <c r="HJ66" s="412"/>
      <c r="HK66" s="412"/>
      <c r="HL66" s="412"/>
      <c r="HM66" s="412"/>
      <c r="HN66" s="412"/>
      <c r="HO66" s="412"/>
      <c r="HP66" s="412"/>
      <c r="HQ66" s="412"/>
      <c r="HR66" s="412"/>
      <c r="HS66" s="412"/>
      <c r="HT66" s="412"/>
      <c r="HU66" s="412"/>
      <c r="HV66" s="412"/>
      <c r="HW66" s="412"/>
      <c r="HX66" s="412"/>
      <c r="HY66" s="412"/>
      <c r="HZ66" s="412"/>
      <c r="IA66" s="412"/>
      <c r="IB66" s="412"/>
      <c r="IC66" s="412"/>
      <c r="ID66" s="412"/>
      <c r="IE66" s="412"/>
      <c r="IF66" s="412"/>
      <c r="IG66" s="412"/>
      <c r="IH66" s="412"/>
      <c r="II66" s="412"/>
      <c r="IJ66" s="412"/>
      <c r="IK66" s="412"/>
      <c r="IL66" s="412"/>
      <c r="IM66" s="412"/>
      <c r="IN66" s="412"/>
      <c r="IO66" s="412"/>
      <c r="IP66" s="412"/>
      <c r="IQ66" s="412"/>
      <c r="IR66" s="412"/>
      <c r="IS66" s="412"/>
      <c r="IT66" s="412"/>
      <c r="IU66" s="412"/>
      <c r="IV66" s="412"/>
      <c r="IW66" s="412"/>
      <c r="IX66" s="412"/>
      <c r="IY66" s="412"/>
      <c r="IZ66" s="412"/>
      <c r="JA66" s="412"/>
      <c r="JB66" s="412"/>
      <c r="JC66" s="412"/>
      <c r="JD66" s="412"/>
      <c r="JE66" s="412"/>
      <c r="JF66" s="412"/>
      <c r="JG66" s="412"/>
      <c r="JH66" s="412"/>
      <c r="JI66" s="412"/>
      <c r="JJ66" s="412"/>
      <c r="JK66" s="412"/>
      <c r="JL66" s="412"/>
      <c r="JM66" s="412"/>
      <c r="JN66" s="412"/>
      <c r="JO66" s="412"/>
      <c r="JP66" s="412"/>
      <c r="JQ66" s="412"/>
      <c r="JR66" s="412"/>
      <c r="JS66" s="412"/>
      <c r="JT66" s="412"/>
      <c r="JU66" s="412"/>
      <c r="JV66" s="412"/>
      <c r="JW66" s="412"/>
      <c r="JX66" s="412"/>
      <c r="JY66" s="412"/>
      <c r="JZ66" s="412"/>
      <c r="KA66" s="412"/>
      <c r="KB66" s="412"/>
      <c r="KC66" s="412"/>
      <c r="KD66" s="412"/>
      <c r="KE66" s="412"/>
      <c r="KF66" s="412"/>
      <c r="KG66" s="412"/>
      <c r="KH66" s="412"/>
      <c r="KI66" s="412"/>
      <c r="KJ66" s="412"/>
      <c r="KK66" s="412"/>
      <c r="KL66" s="412"/>
      <c r="KM66" s="412"/>
      <c r="KN66" s="412"/>
      <c r="KO66" s="412"/>
      <c r="KP66" s="412"/>
      <c r="KQ66" s="412"/>
      <c r="KR66" s="412"/>
      <c r="KS66" s="412"/>
      <c r="KT66" s="412"/>
      <c r="KU66" s="412"/>
      <c r="KV66" s="412"/>
      <c r="KW66" s="412"/>
      <c r="KX66" s="412"/>
      <c r="KY66" s="412"/>
      <c r="KZ66" s="412"/>
      <c r="LA66" s="412"/>
      <c r="LB66" s="412"/>
      <c r="LC66" s="412"/>
      <c r="LD66" s="412"/>
      <c r="LE66" s="412"/>
      <c r="LF66" s="412"/>
      <c r="LG66" s="412"/>
      <c r="LH66" s="412"/>
      <c r="LI66" s="412"/>
      <c r="LJ66" s="412"/>
      <c r="LK66" s="412"/>
      <c r="LL66" s="412"/>
      <c r="LM66" s="412"/>
      <c r="LN66" s="412"/>
      <c r="LO66" s="412"/>
      <c r="LP66" s="412"/>
      <c r="LQ66" s="412"/>
      <c r="LR66" s="412"/>
      <c r="LS66" s="412"/>
      <c r="LT66" s="412"/>
      <c r="LU66" s="412"/>
      <c r="LV66" s="412"/>
      <c r="LW66" s="412"/>
      <c r="LX66" s="412"/>
      <c r="LY66" s="412"/>
      <c r="LZ66" s="412"/>
      <c r="MA66" s="412"/>
      <c r="MB66" s="412"/>
      <c r="MC66" s="412"/>
      <c r="MD66" s="412"/>
      <c r="ME66" s="412"/>
      <c r="MF66" s="412"/>
      <c r="MG66" s="412"/>
      <c r="MH66" s="412"/>
      <c r="MI66" s="412"/>
      <c r="MJ66" s="412"/>
      <c r="MK66" s="412"/>
      <c r="ML66" s="412"/>
      <c r="MM66" s="412"/>
      <c r="MN66" s="412"/>
      <c r="MO66" s="412"/>
      <c r="MP66" s="412"/>
      <c r="MQ66" s="412"/>
      <c r="MR66" s="412"/>
      <c r="MS66" s="412"/>
      <c r="MT66" s="412"/>
      <c r="MU66" s="412"/>
      <c r="MV66" s="412"/>
      <c r="MW66" s="412"/>
      <c r="MX66" s="412"/>
      <c r="MY66" s="412"/>
      <c r="MZ66" s="412"/>
      <c r="NA66" s="412"/>
      <c r="NB66" s="412"/>
      <c r="NC66" s="412"/>
      <c r="ND66" s="412"/>
      <c r="NE66" s="412"/>
      <c r="NF66" s="412"/>
      <c r="NG66" s="412"/>
      <c r="NH66" s="412"/>
      <c r="NI66" s="412"/>
      <c r="NJ66" s="412"/>
      <c r="NK66" s="412"/>
      <c r="NL66" s="412"/>
      <c r="NM66" s="412"/>
      <c r="NN66" s="412"/>
      <c r="NO66" s="412"/>
      <c r="NP66" s="412"/>
      <c r="NQ66" s="412"/>
      <c r="NR66" s="412"/>
      <c r="NS66" s="412"/>
      <c r="NT66" s="412"/>
      <c r="NU66" s="412"/>
      <c r="NV66" s="412"/>
      <c r="NW66" s="412"/>
      <c r="NX66" s="412"/>
      <c r="NY66" s="412"/>
      <c r="NZ66" s="412"/>
      <c r="OA66" s="412"/>
      <c r="OB66" s="412"/>
      <c r="OC66" s="412"/>
      <c r="OD66" s="412"/>
      <c r="OE66" s="412"/>
      <c r="OF66" s="412"/>
      <c r="OG66" s="412"/>
      <c r="OH66" s="412"/>
      <c r="OI66" s="412"/>
      <c r="OJ66" s="412"/>
      <c r="OK66" s="412"/>
      <c r="OL66" s="412"/>
      <c r="OM66" s="412"/>
      <c r="ON66" s="412"/>
      <c r="OO66" s="412"/>
      <c r="OP66" s="412"/>
      <c r="OQ66" s="412"/>
      <c r="OR66" s="412"/>
      <c r="OS66" s="412"/>
      <c r="OT66" s="412"/>
      <c r="OU66" s="412"/>
      <c r="OV66" s="412"/>
      <c r="OW66" s="412"/>
      <c r="OX66" s="412"/>
      <c r="OY66" s="412"/>
      <c r="OZ66" s="412"/>
      <c r="PA66" s="412"/>
      <c r="PB66" s="412"/>
      <c r="PC66" s="412"/>
      <c r="PD66" s="412"/>
      <c r="PE66" s="412"/>
      <c r="PF66" s="412"/>
      <c r="PG66" s="412"/>
      <c r="PH66" s="412"/>
      <c r="PI66" s="412"/>
      <c r="PJ66" s="412"/>
      <c r="PK66" s="412"/>
      <c r="PL66" s="412"/>
      <c r="PM66" s="412"/>
      <c r="PN66" s="412"/>
      <c r="PO66" s="412"/>
      <c r="PP66" s="412"/>
      <c r="PQ66" s="412"/>
      <c r="PR66" s="412"/>
      <c r="PS66" s="412"/>
      <c r="PT66" s="412"/>
      <c r="PU66" s="412"/>
      <c r="PV66" s="412"/>
      <c r="PW66" s="412"/>
      <c r="PX66" s="412"/>
      <c r="PY66" s="412"/>
      <c r="PZ66" s="412"/>
      <c r="QA66" s="412"/>
      <c r="QB66" s="412"/>
      <c r="QC66" s="412"/>
      <c r="QD66" s="412"/>
      <c r="QE66" s="412"/>
      <c r="QF66" s="412"/>
      <c r="QG66" s="412"/>
      <c r="QH66" s="412"/>
      <c r="QI66" s="412"/>
      <c r="QJ66" s="412"/>
      <c r="QK66" s="412"/>
      <c r="QL66" s="412"/>
      <c r="QM66" s="412"/>
      <c r="QN66" s="412"/>
      <c r="QO66" s="412"/>
      <c r="QP66" s="412"/>
      <c r="QQ66" s="412"/>
      <c r="QR66" s="412"/>
      <c r="QS66" s="412"/>
      <c r="QT66" s="412"/>
      <c r="QU66" s="412"/>
      <c r="QV66" s="412"/>
      <c r="QW66" s="412"/>
      <c r="QX66" s="412"/>
      <c r="QY66" s="412"/>
      <c r="QZ66" s="412"/>
      <c r="RA66" s="412"/>
      <c r="RB66" s="412"/>
      <c r="RC66" s="412"/>
      <c r="RD66" s="412"/>
      <c r="RE66" s="412"/>
      <c r="RF66" s="412"/>
      <c r="RG66" s="412"/>
      <c r="RH66" s="412"/>
      <c r="RI66" s="412"/>
      <c r="RJ66" s="412"/>
      <c r="RK66" s="412"/>
      <c r="RL66" s="412"/>
      <c r="RM66" s="412"/>
      <c r="RN66" s="412"/>
      <c r="RO66" s="412"/>
      <c r="RP66" s="412"/>
      <c r="RQ66" s="412"/>
      <c r="RR66" s="412"/>
      <c r="RS66" s="412"/>
      <c r="RT66" s="412"/>
      <c r="RU66" s="412"/>
      <c r="RV66" s="412"/>
      <c r="RW66" s="412"/>
      <c r="RX66" s="412"/>
      <c r="RY66" s="412"/>
      <c r="RZ66" s="412"/>
      <c r="SA66" s="412"/>
      <c r="SB66" s="412"/>
      <c r="SC66" s="412"/>
      <c r="SD66" s="412"/>
      <c r="SE66" s="412"/>
      <c r="SF66" s="412"/>
      <c r="SG66" s="412"/>
    </row>
    <row r="67" spans="1:501" x14ac:dyDescent="0.2">
      <c r="A67" s="397" t="s">
        <v>51</v>
      </c>
      <c r="B67" s="390"/>
      <c r="C67" s="389">
        <v>0.01</v>
      </c>
      <c r="D67" s="389">
        <v>5.0000000000000001E-3</v>
      </c>
      <c r="E67" s="389">
        <v>-2.7652999999999999</v>
      </c>
      <c r="F67" s="389">
        <v>-2.7652999999999999</v>
      </c>
      <c r="G67" s="388"/>
      <c r="H67" s="110"/>
      <c r="I67" s="410">
        <v>0</v>
      </c>
      <c r="J67" s="410">
        <v>0</v>
      </c>
      <c r="K67" s="410">
        <v>0</v>
      </c>
      <c r="L67" s="410">
        <v>0</v>
      </c>
      <c r="M67" s="410">
        <v>0</v>
      </c>
      <c r="N67" s="410">
        <v>0</v>
      </c>
      <c r="O67" s="387"/>
      <c r="P67" s="393">
        <v>0</v>
      </c>
      <c r="Q67" s="393">
        <v>0</v>
      </c>
      <c r="R67" s="393">
        <v>0</v>
      </c>
      <c r="S67" s="393">
        <v>0</v>
      </c>
      <c r="T67" s="393">
        <v>0</v>
      </c>
      <c r="U67" s="393"/>
      <c r="V67" s="393">
        <v>0</v>
      </c>
      <c r="W67" s="393">
        <v>0</v>
      </c>
      <c r="X67" s="393">
        <v>0</v>
      </c>
      <c r="Y67" s="393">
        <v>0</v>
      </c>
      <c r="Z67" s="393">
        <v>0</v>
      </c>
      <c r="AA67" s="393"/>
      <c r="AB67" s="435"/>
      <c r="AC67" s="393">
        <v>-2.7652999999999999</v>
      </c>
      <c r="AD67" s="411"/>
      <c r="AE67" s="435"/>
      <c r="AF67" s="388">
        <v>-2.7652999999999999</v>
      </c>
      <c r="AG67" s="388">
        <v>-2.7652999999999999</v>
      </c>
      <c r="AH67" s="388">
        <v>-2.7652999999999999</v>
      </c>
      <c r="AI67" s="388">
        <v>-2.7652999999999999</v>
      </c>
      <c r="AJ67" s="388">
        <v>-2.7652999999999999</v>
      </c>
      <c r="AK67" s="388">
        <v>-2.7652999999999999</v>
      </c>
      <c r="AL67" s="388">
        <v>-2.7652999999999999</v>
      </c>
      <c r="AM67" s="388">
        <v>-2.7652999999999999</v>
      </c>
      <c r="AN67" s="388">
        <v>-2.7652999999999999</v>
      </c>
      <c r="AO67" s="388">
        <v>-2.7652999999999999</v>
      </c>
      <c r="AP67" s="388">
        <v>-2.7652999999999999</v>
      </c>
      <c r="AQ67" s="388">
        <v>-2.7652999999999999</v>
      </c>
      <c r="AR67" s="388">
        <v>-2.7652999999999999</v>
      </c>
      <c r="AS67" s="388">
        <v>-2.7652999999999999</v>
      </c>
      <c r="AT67" s="388">
        <v>-2.7652999999999999</v>
      </c>
      <c r="AU67" s="388">
        <v>-2.7652999999999999</v>
      </c>
      <c r="AV67" s="388">
        <v>-2.7652999999999999</v>
      </c>
      <c r="AW67" s="388">
        <v>-2.7652999999999999</v>
      </c>
      <c r="AX67" s="388">
        <v>-2.7652999999999999</v>
      </c>
      <c r="AY67" s="388">
        <v>-2.7652999999999999</v>
      </c>
      <c r="AZ67" s="388">
        <v>-2.7652999999999999</v>
      </c>
      <c r="BA67" s="388">
        <v>-2.7652999999999999</v>
      </c>
      <c r="BB67" s="388">
        <v>-2.7652999999999999</v>
      </c>
      <c r="BC67" s="388">
        <v>-2.7652999999999999</v>
      </c>
      <c r="BD67" s="388">
        <v>-2.7652999999999999</v>
      </c>
      <c r="BE67" s="388">
        <v>-2.7652999999999999</v>
      </c>
      <c r="BF67" s="388">
        <v>-2.7652999999999999</v>
      </c>
      <c r="BG67" s="388">
        <v>-2.7652999999999999</v>
      </c>
      <c r="BH67" s="388">
        <v>-2.7652999999999999</v>
      </c>
      <c r="BI67" s="388">
        <v>-2.7652999999999999</v>
      </c>
      <c r="BJ67" s="388">
        <v>-2.7652999999999999</v>
      </c>
      <c r="BK67" s="388">
        <v>-2.7652999999999999</v>
      </c>
      <c r="BL67" s="388">
        <v>-2.7652999999999999</v>
      </c>
      <c r="BM67" s="388">
        <v>-2.7652999999999999</v>
      </c>
      <c r="BN67" s="388">
        <v>-2.7652999999999999</v>
      </c>
      <c r="BO67" s="388">
        <v>-2.7652999999999999</v>
      </c>
      <c r="BP67" s="388">
        <v>-2.7652999999999999</v>
      </c>
      <c r="BQ67" s="388">
        <v>-2.7652999999999999</v>
      </c>
      <c r="BR67" s="388">
        <v>-2.7652999999999999</v>
      </c>
      <c r="BS67" s="388">
        <v>-2.7652999999999999</v>
      </c>
      <c r="BT67" s="388">
        <v>-2.7652999999999999</v>
      </c>
      <c r="BU67" s="388">
        <v>-2.7652999999999999</v>
      </c>
      <c r="BV67" s="388">
        <v>-2.7652999999999999</v>
      </c>
      <c r="BW67" s="388">
        <v>-2.7652999999999999</v>
      </c>
      <c r="BX67" s="388">
        <v>-2.7652999999999999</v>
      </c>
      <c r="BY67" s="388">
        <v>-2.7652999999999999</v>
      </c>
      <c r="BZ67" s="388">
        <v>-2.7652999999999999</v>
      </c>
      <c r="CA67" s="388">
        <v>-2.7652999999999999</v>
      </c>
      <c r="CB67" s="388">
        <v>-2.7652999999999999</v>
      </c>
      <c r="CC67" s="388">
        <v>-2.7652999999999999</v>
      </c>
      <c r="CD67" s="388">
        <v>-2.7652999999999999</v>
      </c>
      <c r="CE67" s="388">
        <v>-2.7652999999999999</v>
      </c>
      <c r="CF67" s="388">
        <v>-2.7652999999999999</v>
      </c>
      <c r="CG67" s="388">
        <v>-2.7652999999999999</v>
      </c>
      <c r="CH67" s="388">
        <v>-2.7653000000000003</v>
      </c>
      <c r="CI67" s="388">
        <v>-2.7652999999999999</v>
      </c>
      <c r="CJ67" s="388">
        <v>-2.7652999999999999</v>
      </c>
      <c r="CK67" s="388">
        <v>-2.7652999999999999</v>
      </c>
      <c r="CL67" s="388">
        <v>-2.7652999999999999</v>
      </c>
      <c r="CM67" s="388">
        <v>-2.7652999999999999</v>
      </c>
      <c r="CN67" s="388">
        <v>-2.7652999999999999</v>
      </c>
      <c r="CO67" s="388">
        <v>-2.7652999999999999</v>
      </c>
      <c r="CP67" s="388">
        <v>-2.7652999999999999</v>
      </c>
      <c r="CQ67" s="388">
        <v>-2.7652999999999999</v>
      </c>
      <c r="CR67" s="388">
        <v>-2.7652999999999999</v>
      </c>
      <c r="CS67" s="388">
        <v>-2.7652999999999999</v>
      </c>
      <c r="CT67" s="388">
        <v>-2.7652999999999999</v>
      </c>
      <c r="CU67" s="388">
        <v>-2.7652999999999999</v>
      </c>
      <c r="CV67" s="388">
        <v>-2.7652999999999999</v>
      </c>
      <c r="CW67" s="388">
        <v>-2.7652999999999999</v>
      </c>
      <c r="CX67" s="388">
        <v>-2.7652999999999999</v>
      </c>
      <c r="CY67" s="388">
        <v>-2.7652999999999999</v>
      </c>
      <c r="CZ67" s="388">
        <v>-2.7652999999999999</v>
      </c>
      <c r="DA67" s="388">
        <v>-2.7652999999999999</v>
      </c>
      <c r="DB67" s="388">
        <v>-2.7652999999999994</v>
      </c>
      <c r="DC67" s="388">
        <v>-2.7652999999999999</v>
      </c>
      <c r="DD67" s="388">
        <v>-2.7652999999999994</v>
      </c>
      <c r="DE67" s="388">
        <v>-2.7652999999999999</v>
      </c>
      <c r="DF67" s="388">
        <v>-2.7652999999999999</v>
      </c>
      <c r="DG67" s="388">
        <v>-2.7652999999999999</v>
      </c>
      <c r="DH67" s="388">
        <v>-2.7652999999999994</v>
      </c>
      <c r="DI67" s="388">
        <v>-2.7652999999999999</v>
      </c>
      <c r="DJ67" s="388">
        <v>-2.7652999999999999</v>
      </c>
      <c r="DK67" s="388">
        <v>-2.7652999999999999</v>
      </c>
      <c r="DL67" s="388">
        <v>-2.765299999999999</v>
      </c>
      <c r="DM67" s="388">
        <v>-2.7652999999999999</v>
      </c>
      <c r="DN67" s="388">
        <v>-2.7652999999999999</v>
      </c>
      <c r="DO67" s="388">
        <v>-2.7652999999999999</v>
      </c>
      <c r="DP67" s="388">
        <v>-2.7652999999999999</v>
      </c>
      <c r="DQ67" s="388">
        <v>-2.7652999999999999</v>
      </c>
      <c r="DR67" s="388">
        <v>-2.7652999999999985</v>
      </c>
      <c r="DS67" s="388">
        <v>-2.7653000000000008</v>
      </c>
      <c r="DT67" s="388">
        <v>-2.765299999999999</v>
      </c>
      <c r="DU67" s="388">
        <v>-2.7653000000000012</v>
      </c>
      <c r="DV67" s="388">
        <v>-2.7652999999999999</v>
      </c>
      <c r="DW67" s="388">
        <v>-2.7652999999999999</v>
      </c>
      <c r="DX67" s="388">
        <v>-2.7652999999999999</v>
      </c>
      <c r="DY67" s="388">
        <v>-2.7652999999999999</v>
      </c>
      <c r="DZ67" s="388">
        <v>-2.7652999999899124</v>
      </c>
      <c r="EA67" s="388">
        <v>-2.7652999999899124</v>
      </c>
      <c r="EB67" s="388"/>
      <c r="EC67" s="388"/>
      <c r="ED67" s="388">
        <v>9.7492573627196088E-6</v>
      </c>
      <c r="EE67" s="388">
        <v>6.9388504619571925E-5</v>
      </c>
      <c r="EF67" s="388">
        <v>7.6576967097803295E-5</v>
      </c>
      <c r="EG67" s="388">
        <v>4.9777508898201988E-5</v>
      </c>
      <c r="EH67" s="388">
        <v>6.0139344231655036E-5</v>
      </c>
      <c r="EI67" s="388">
        <v>3.060103968592947E-5</v>
      </c>
      <c r="EJ67" s="388">
        <v>3.146067549952442E-5</v>
      </c>
      <c r="EK67" s="388">
        <v>2.7900860263931285E-5</v>
      </c>
      <c r="EL67" s="388">
        <v>1.7933472595219041E-5</v>
      </c>
      <c r="EM67" s="388">
        <v>-2.8244549525873482E-6</v>
      </c>
      <c r="EN67" s="388">
        <v>-1.833026649040057E-4</v>
      </c>
      <c r="EO67" s="388">
        <v>-1.7138011995017873E-4</v>
      </c>
      <c r="EP67" s="388">
        <v>-2.2369339517867336E-4</v>
      </c>
      <c r="EQ67" s="388">
        <v>-8.9868633804602118E-5</v>
      </c>
      <c r="ER67" s="388">
        <v>-2.0267104760287956E-4</v>
      </c>
      <c r="ES67" s="388">
        <v>-1.7057542956355436E-4</v>
      </c>
      <c r="ET67" s="388">
        <v>-1.4140924522648579E-4</v>
      </c>
      <c r="EU67" s="388">
        <v>-1.5797131741535154E-4</v>
      </c>
      <c r="EV67" s="388">
        <v>-1.6252451343702769E-4</v>
      </c>
      <c r="EW67" s="388">
        <v>-1.5930139659717284E-4</v>
      </c>
      <c r="EX67" s="388">
        <v>-1.8400352341149467E-4</v>
      </c>
      <c r="EY67" s="388">
        <v>-1.8910078131910475E-4</v>
      </c>
      <c r="EZ67" s="388">
        <v>-2.2554049891224847E-5</v>
      </c>
      <c r="FA67" s="388">
        <v>-2.7116156543826339E-4</v>
      </c>
      <c r="FB67" s="388">
        <v>-2.0909212884045425E-4</v>
      </c>
      <c r="FC67" s="388">
        <v>-5.075191135177788E-5</v>
      </c>
      <c r="FD67" s="388">
        <v>-1.0977881435520797E-4</v>
      </c>
      <c r="FE67" s="388">
        <v>9.749343984796728E-6</v>
      </c>
      <c r="FF67" s="388">
        <v>5.0664622420639817E-5</v>
      </c>
      <c r="FG67" s="388">
        <v>5.7432725323352468E-5</v>
      </c>
      <c r="FH67" s="388">
        <v>2.3672502398549211E-5</v>
      </c>
      <c r="FI67" s="388">
        <v>3.8983880510280264E-5</v>
      </c>
      <c r="FJ67" s="388">
        <v>2.2116248436354798E-4</v>
      </c>
      <c r="FK67" s="388">
        <v>7.7456206313011202E-6</v>
      </c>
      <c r="FL67" s="388">
        <v>-3.9453857740854522E-5</v>
      </c>
      <c r="FM67" s="388">
        <v>-5.3702870981046985E-5</v>
      </c>
      <c r="FN67" s="388">
        <v>-2.8194914331955121E-5</v>
      </c>
      <c r="FO67" s="388">
        <v>-3.2275031343381278E-5</v>
      </c>
      <c r="FP67" s="388">
        <v>1.7149061214524544E-4</v>
      </c>
      <c r="FQ67" s="388">
        <v>1.6011177499970024E-4</v>
      </c>
      <c r="FR67" s="388">
        <v>2.2369339517867336E-4</v>
      </c>
      <c r="FS67" s="388">
        <v>9.2921283780313972E-5</v>
      </c>
      <c r="FT67" s="388">
        <v>1.9707048238944762E-4</v>
      </c>
      <c r="FU67" s="388">
        <v>1.6361727085512112E-4</v>
      </c>
      <c r="FV67" s="388">
        <v>1.4291611938343438E-4</v>
      </c>
      <c r="FW67" s="388">
        <v>1.4937580540120218E-4</v>
      </c>
      <c r="FX67" s="388">
        <v>1.5869735676379495E-4</v>
      </c>
      <c r="FY67" s="388">
        <v>1.5916702910822201E-4</v>
      </c>
      <c r="FZ67" s="388">
        <v>1.7927333684499447E-4</v>
      </c>
      <c r="GA67" s="388">
        <v>2.5000000000000008E-5</v>
      </c>
      <c r="GB67" s="388"/>
      <c r="GC67" s="388"/>
      <c r="GD67" s="388"/>
      <c r="GE67" s="388"/>
      <c r="GF67" s="388"/>
      <c r="GG67" s="388"/>
      <c r="GH67" s="388"/>
      <c r="GI67" s="388"/>
      <c r="GJ67" s="388"/>
      <c r="GK67" s="388"/>
      <c r="GL67" s="388"/>
      <c r="GM67" s="388"/>
      <c r="GN67" s="388"/>
      <c r="GO67" s="388"/>
      <c r="GP67" s="412"/>
      <c r="GQ67" s="412"/>
      <c r="GR67" s="412"/>
      <c r="GS67" s="412"/>
      <c r="GT67" s="412"/>
      <c r="GU67" s="412"/>
      <c r="GV67" s="412"/>
      <c r="GW67" s="412"/>
      <c r="GX67" s="412"/>
      <c r="GY67" s="412"/>
      <c r="GZ67" s="412"/>
      <c r="HA67" s="412"/>
      <c r="HB67" s="412"/>
      <c r="HC67" s="412"/>
      <c r="HD67" s="412"/>
      <c r="HE67" s="412"/>
      <c r="HF67" s="412"/>
      <c r="HG67" s="412"/>
      <c r="HH67" s="412"/>
      <c r="HI67" s="412"/>
      <c r="HJ67" s="412"/>
      <c r="HK67" s="412"/>
      <c r="HL67" s="412"/>
      <c r="HM67" s="412"/>
      <c r="HN67" s="412"/>
      <c r="HO67" s="412"/>
      <c r="HP67" s="412"/>
      <c r="HQ67" s="412"/>
      <c r="HR67" s="412"/>
      <c r="HS67" s="412"/>
      <c r="HT67" s="412"/>
      <c r="HU67" s="412"/>
      <c r="HV67" s="412"/>
      <c r="HW67" s="412"/>
      <c r="HX67" s="412"/>
      <c r="HY67" s="412"/>
      <c r="HZ67" s="412"/>
      <c r="IA67" s="412"/>
      <c r="IB67" s="412"/>
      <c r="IC67" s="412"/>
      <c r="ID67" s="412"/>
      <c r="IE67" s="412"/>
      <c r="IF67" s="412"/>
      <c r="IG67" s="412"/>
      <c r="IH67" s="412"/>
      <c r="II67" s="412"/>
      <c r="IJ67" s="412"/>
      <c r="IK67" s="412"/>
      <c r="IL67" s="412"/>
      <c r="IM67" s="412"/>
      <c r="IN67" s="412"/>
      <c r="IO67" s="412"/>
      <c r="IP67" s="412"/>
      <c r="IQ67" s="412"/>
      <c r="IR67" s="412"/>
      <c r="IS67" s="412"/>
      <c r="IT67" s="412"/>
      <c r="IU67" s="412"/>
      <c r="IV67" s="412"/>
      <c r="IW67" s="412"/>
      <c r="IX67" s="412"/>
      <c r="IY67" s="412"/>
      <c r="IZ67" s="412"/>
      <c r="JA67" s="412"/>
      <c r="JB67" s="412"/>
      <c r="JC67" s="412"/>
      <c r="JD67" s="412"/>
      <c r="JE67" s="412"/>
      <c r="JF67" s="412"/>
      <c r="JG67" s="412"/>
      <c r="JH67" s="412"/>
      <c r="JI67" s="412"/>
      <c r="JJ67" s="412"/>
      <c r="JK67" s="412"/>
      <c r="JL67" s="412"/>
      <c r="JM67" s="412"/>
      <c r="JN67" s="412"/>
      <c r="JO67" s="412"/>
      <c r="JP67" s="412"/>
      <c r="JQ67" s="412"/>
      <c r="JR67" s="412"/>
      <c r="JS67" s="412"/>
      <c r="JT67" s="412"/>
      <c r="JU67" s="412"/>
      <c r="JV67" s="412"/>
      <c r="JW67" s="412"/>
      <c r="JX67" s="412"/>
      <c r="JY67" s="412"/>
      <c r="JZ67" s="412"/>
      <c r="KA67" s="412"/>
      <c r="KB67" s="412"/>
      <c r="KC67" s="412"/>
      <c r="KD67" s="412"/>
      <c r="KE67" s="412"/>
      <c r="KF67" s="412"/>
      <c r="KG67" s="412"/>
      <c r="KH67" s="412"/>
      <c r="KI67" s="412"/>
      <c r="KJ67" s="412"/>
      <c r="KK67" s="412"/>
      <c r="KL67" s="412"/>
      <c r="KM67" s="412"/>
      <c r="KN67" s="412"/>
      <c r="KO67" s="412"/>
      <c r="KP67" s="412"/>
      <c r="KQ67" s="412"/>
      <c r="KR67" s="412"/>
      <c r="KS67" s="412"/>
      <c r="KT67" s="412"/>
      <c r="KU67" s="412"/>
      <c r="KV67" s="412"/>
      <c r="KW67" s="412"/>
      <c r="KX67" s="412"/>
      <c r="KY67" s="412"/>
      <c r="KZ67" s="412"/>
      <c r="LA67" s="412"/>
      <c r="LB67" s="412"/>
      <c r="LC67" s="412"/>
      <c r="LD67" s="412"/>
      <c r="LE67" s="412"/>
      <c r="LF67" s="412"/>
      <c r="LG67" s="412"/>
      <c r="LH67" s="412"/>
      <c r="LI67" s="412"/>
      <c r="LJ67" s="412"/>
      <c r="LK67" s="412"/>
      <c r="LL67" s="412"/>
      <c r="LM67" s="412"/>
      <c r="LN67" s="412"/>
      <c r="LO67" s="412"/>
      <c r="LP67" s="412"/>
      <c r="LQ67" s="412"/>
      <c r="LR67" s="412"/>
      <c r="LS67" s="412"/>
      <c r="LT67" s="412"/>
      <c r="LU67" s="412"/>
      <c r="LV67" s="412"/>
      <c r="LW67" s="412"/>
      <c r="LX67" s="412"/>
      <c r="LY67" s="412"/>
      <c r="LZ67" s="412"/>
      <c r="MA67" s="412"/>
      <c r="MB67" s="412"/>
      <c r="MC67" s="412"/>
      <c r="MD67" s="412"/>
      <c r="ME67" s="412"/>
      <c r="MF67" s="412"/>
      <c r="MG67" s="412"/>
      <c r="MH67" s="412"/>
      <c r="MI67" s="412"/>
      <c r="MJ67" s="412"/>
      <c r="MK67" s="412"/>
      <c r="ML67" s="412"/>
      <c r="MM67" s="412"/>
      <c r="MN67" s="412"/>
      <c r="MO67" s="412"/>
      <c r="MP67" s="412"/>
      <c r="MQ67" s="412"/>
      <c r="MR67" s="412"/>
      <c r="MS67" s="412"/>
      <c r="MT67" s="412"/>
      <c r="MU67" s="412"/>
      <c r="MV67" s="412"/>
      <c r="MW67" s="412"/>
      <c r="MX67" s="412"/>
      <c r="MY67" s="412"/>
      <c r="MZ67" s="412"/>
      <c r="NA67" s="412"/>
      <c r="NB67" s="412"/>
      <c r="NC67" s="412"/>
      <c r="ND67" s="412"/>
      <c r="NE67" s="412"/>
      <c r="NF67" s="412"/>
      <c r="NG67" s="412"/>
      <c r="NH67" s="412"/>
      <c r="NI67" s="412"/>
      <c r="NJ67" s="412"/>
      <c r="NK67" s="412"/>
      <c r="NL67" s="412"/>
      <c r="NM67" s="412"/>
      <c r="NN67" s="412"/>
      <c r="NO67" s="412"/>
      <c r="NP67" s="412"/>
      <c r="NQ67" s="412"/>
      <c r="NR67" s="412"/>
      <c r="NS67" s="412"/>
      <c r="NT67" s="412"/>
      <c r="NU67" s="412"/>
      <c r="NV67" s="412"/>
      <c r="NW67" s="412"/>
      <c r="NX67" s="412"/>
      <c r="NY67" s="412"/>
      <c r="NZ67" s="412"/>
      <c r="OA67" s="412"/>
      <c r="OB67" s="412"/>
      <c r="OC67" s="412"/>
      <c r="OD67" s="412"/>
      <c r="OE67" s="412"/>
      <c r="OF67" s="412"/>
      <c r="OG67" s="412"/>
      <c r="OH67" s="412"/>
      <c r="OI67" s="412"/>
      <c r="OJ67" s="412"/>
      <c r="OK67" s="412"/>
      <c r="OL67" s="412"/>
      <c r="OM67" s="412"/>
      <c r="ON67" s="412"/>
      <c r="OO67" s="412"/>
      <c r="OP67" s="412"/>
      <c r="OQ67" s="412"/>
      <c r="OR67" s="412"/>
      <c r="OS67" s="412"/>
      <c r="OT67" s="412"/>
      <c r="OU67" s="412"/>
      <c r="OV67" s="412"/>
      <c r="OW67" s="412"/>
      <c r="OX67" s="412"/>
      <c r="OY67" s="412"/>
      <c r="OZ67" s="412"/>
      <c r="PA67" s="412"/>
      <c r="PB67" s="412"/>
      <c r="PC67" s="412"/>
      <c r="PD67" s="412"/>
      <c r="PE67" s="412"/>
      <c r="PF67" s="412"/>
      <c r="PG67" s="412"/>
      <c r="PH67" s="412"/>
      <c r="PI67" s="412"/>
      <c r="PJ67" s="412"/>
      <c r="PK67" s="412"/>
      <c r="PL67" s="412"/>
      <c r="PM67" s="412"/>
      <c r="PN67" s="412"/>
      <c r="PO67" s="412"/>
      <c r="PP67" s="412"/>
      <c r="PQ67" s="412"/>
      <c r="PR67" s="412"/>
      <c r="PS67" s="412"/>
      <c r="PT67" s="412"/>
      <c r="PU67" s="412"/>
      <c r="PV67" s="412"/>
      <c r="PW67" s="412"/>
      <c r="PX67" s="412"/>
      <c r="PY67" s="412"/>
      <c r="PZ67" s="412"/>
      <c r="QA67" s="412"/>
      <c r="QB67" s="412"/>
      <c r="QC67" s="412"/>
      <c r="QD67" s="412"/>
      <c r="QE67" s="412"/>
      <c r="QF67" s="412"/>
      <c r="QG67" s="412"/>
      <c r="QH67" s="412"/>
      <c r="QI67" s="412"/>
      <c r="QJ67" s="412"/>
      <c r="QK67" s="412"/>
      <c r="QL67" s="412"/>
      <c r="QM67" s="412"/>
      <c r="QN67" s="412"/>
      <c r="QO67" s="412"/>
      <c r="QP67" s="412"/>
      <c r="QQ67" s="412"/>
      <c r="QR67" s="412"/>
      <c r="QS67" s="412"/>
      <c r="QT67" s="412"/>
      <c r="QU67" s="412"/>
      <c r="QV67" s="412"/>
      <c r="QW67" s="412"/>
      <c r="QX67" s="412"/>
      <c r="QY67" s="412"/>
      <c r="QZ67" s="412"/>
      <c r="RA67" s="412"/>
      <c r="RB67" s="412"/>
      <c r="RC67" s="412"/>
      <c r="RD67" s="412"/>
      <c r="RE67" s="412"/>
      <c r="RF67" s="412"/>
      <c r="RG67" s="412"/>
      <c r="RH67" s="412"/>
      <c r="RI67" s="412"/>
      <c r="RJ67" s="412"/>
      <c r="RK67" s="412"/>
      <c r="RL67" s="412"/>
      <c r="RM67" s="412"/>
      <c r="RN67" s="412"/>
      <c r="RO67" s="412"/>
      <c r="RP67" s="412"/>
      <c r="RQ67" s="412"/>
      <c r="RR67" s="412"/>
      <c r="RS67" s="412"/>
      <c r="RT67" s="412"/>
      <c r="RU67" s="412"/>
      <c r="RV67" s="412"/>
      <c r="RW67" s="412"/>
      <c r="RX67" s="412"/>
      <c r="RY67" s="412"/>
      <c r="RZ67" s="412"/>
      <c r="SA67" s="412"/>
      <c r="SB67" s="412"/>
      <c r="SC67" s="412"/>
      <c r="SD67" s="412"/>
      <c r="SE67" s="412"/>
      <c r="SF67" s="412"/>
      <c r="SG67" s="412"/>
    </row>
    <row r="68" spans="1:50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6"/>
      <c r="P68" s="38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204"/>
      <c r="DO68" s="204"/>
      <c r="DP68" s="204"/>
      <c r="DQ68" s="204"/>
      <c r="DR68" s="204"/>
      <c r="DS68" s="204"/>
      <c r="DT68" s="204"/>
      <c r="DU68" s="204"/>
      <c r="DV68" s="204"/>
      <c r="DW68" s="204"/>
      <c r="DX68" s="204"/>
      <c r="DY68" s="204"/>
      <c r="DZ68" s="204"/>
      <c r="EA68" s="204"/>
      <c r="EB68" s="204"/>
      <c r="EC68" s="204"/>
      <c r="ED68" s="204"/>
      <c r="EE68" s="204"/>
      <c r="EF68" s="204"/>
      <c r="EG68" s="204"/>
      <c r="EH68" s="204"/>
      <c r="EI68" s="204"/>
      <c r="EJ68" s="204"/>
      <c r="EK68" s="204"/>
      <c r="EL68" s="204"/>
      <c r="EM68" s="204"/>
      <c r="EN68" s="204"/>
      <c r="EO68" s="204"/>
      <c r="EP68" s="204"/>
      <c r="EQ68" s="204"/>
      <c r="ER68" s="204"/>
      <c r="ES68" s="204"/>
      <c r="ET68" s="204"/>
      <c r="EU68" s="204"/>
      <c r="EV68" s="204"/>
      <c r="EW68" s="204"/>
      <c r="EX68" s="204"/>
      <c r="EY68" s="204"/>
      <c r="EZ68" s="204"/>
      <c r="FA68" s="204"/>
      <c r="FB68" s="204"/>
      <c r="FC68" s="204"/>
      <c r="FD68" s="204"/>
      <c r="FE68" s="204"/>
      <c r="FF68" s="204"/>
      <c r="FG68" s="204"/>
      <c r="FH68" s="204"/>
      <c r="FI68" s="204"/>
      <c r="FJ68" s="204"/>
      <c r="FK68" s="204"/>
      <c r="FL68" s="204"/>
      <c r="FM68" s="204"/>
      <c r="FN68" s="204"/>
      <c r="FO68" s="204"/>
      <c r="FP68" s="204"/>
      <c r="FQ68" s="204"/>
      <c r="FR68" s="204"/>
      <c r="FS68" s="204"/>
      <c r="FT68" s="204"/>
      <c r="FU68" s="204"/>
      <c r="FV68" s="204"/>
      <c r="FW68" s="204"/>
      <c r="FX68" s="204"/>
      <c r="FY68" s="204"/>
      <c r="FZ68" s="204"/>
      <c r="GA68" s="204"/>
      <c r="GB68" s="204"/>
      <c r="GC68" s="204"/>
      <c r="GD68" s="204"/>
      <c r="GE68" s="204"/>
      <c r="GF68" s="204"/>
      <c r="GG68" s="204"/>
      <c r="GH68" s="204"/>
      <c r="GI68" s="204"/>
      <c r="GJ68" s="204"/>
      <c r="GK68" s="204"/>
      <c r="GL68" s="204"/>
      <c r="GM68" s="204"/>
      <c r="GN68" s="204"/>
      <c r="GO68" s="204"/>
    </row>
    <row r="69" spans="1:501" x14ac:dyDescent="0.2">
      <c r="DN69" s="204"/>
      <c r="DO69" s="204"/>
      <c r="DP69" s="204"/>
      <c r="DQ69" s="204"/>
      <c r="DR69" s="204"/>
      <c r="DS69" s="204"/>
      <c r="DT69" s="204"/>
      <c r="DU69" s="204"/>
      <c r="DV69" s="204"/>
      <c r="DW69" s="204"/>
      <c r="DX69" s="204"/>
      <c r="DY69" s="204"/>
      <c r="DZ69" s="204"/>
      <c r="EA69" s="204"/>
      <c r="EB69" s="204"/>
      <c r="EC69" s="204"/>
      <c r="ED69" s="204"/>
      <c r="EE69" s="204"/>
      <c r="EF69" s="204"/>
      <c r="EG69" s="204"/>
      <c r="EH69" s="204"/>
      <c r="EI69" s="204"/>
      <c r="EJ69" s="204"/>
      <c r="EK69" s="204"/>
      <c r="EL69" s="204"/>
      <c r="EM69" s="204"/>
      <c r="EN69" s="204"/>
      <c r="EO69" s="204"/>
      <c r="EP69" s="204"/>
      <c r="EQ69" s="204"/>
      <c r="ER69" s="204"/>
      <c r="ES69" s="204"/>
      <c r="ET69" s="204"/>
      <c r="EU69" s="204"/>
      <c r="EV69" s="204"/>
      <c r="EW69" s="204"/>
      <c r="EX69" s="204"/>
      <c r="EY69" s="204"/>
      <c r="EZ69" s="204"/>
      <c r="FA69" s="204"/>
      <c r="FB69" s="204"/>
      <c r="FC69" s="204"/>
      <c r="FD69" s="204"/>
      <c r="FE69" s="204"/>
      <c r="FF69" s="204"/>
      <c r="FG69" s="204"/>
      <c r="FH69" s="204"/>
      <c r="FI69" s="204"/>
      <c r="FJ69" s="204"/>
      <c r="FK69" s="204"/>
      <c r="FL69" s="204"/>
      <c r="FM69" s="204"/>
      <c r="FN69" s="204"/>
      <c r="FO69" s="204"/>
      <c r="FP69" s="204"/>
      <c r="FQ69" s="204"/>
      <c r="FR69" s="204"/>
      <c r="FS69" s="204"/>
      <c r="FT69" s="204"/>
      <c r="FU69" s="204"/>
      <c r="FV69" s="204"/>
      <c r="FW69" s="204"/>
      <c r="FX69" s="204"/>
      <c r="FY69" s="204"/>
      <c r="FZ69" s="204"/>
      <c r="GA69" s="204"/>
      <c r="GB69" s="204"/>
      <c r="GC69" s="204"/>
      <c r="GD69" s="204"/>
      <c r="GE69" s="204"/>
      <c r="GF69" s="204"/>
      <c r="GG69" s="204"/>
      <c r="GH69" s="204"/>
      <c r="GI69" s="204"/>
      <c r="GJ69" s="204"/>
      <c r="GK69" s="204"/>
      <c r="GL69" s="204"/>
      <c r="GM69" s="204"/>
      <c r="GN69" s="204"/>
      <c r="GO69" s="204"/>
    </row>
    <row r="70" spans="1:501" x14ac:dyDescent="0.2">
      <c r="DN70" s="204"/>
      <c r="DO70" s="204"/>
      <c r="DP70" s="204"/>
      <c r="DQ70" s="204"/>
      <c r="DR70" s="204"/>
      <c r="DS70" s="204"/>
      <c r="DT70" s="204"/>
      <c r="DU70" s="204"/>
      <c r="DV70" s="204"/>
      <c r="DW70" s="204"/>
      <c r="DX70" s="204"/>
      <c r="DY70" s="204"/>
      <c r="DZ70" s="204"/>
      <c r="EA70" s="204"/>
      <c r="EB70" s="204"/>
      <c r="EC70" s="204"/>
      <c r="ED70" s="204"/>
      <c r="EE70" s="204"/>
      <c r="EF70" s="204"/>
      <c r="EG70" s="204"/>
      <c r="EH70" s="204"/>
      <c r="EI70" s="204"/>
      <c r="EJ70" s="204"/>
      <c r="EK70" s="204"/>
      <c r="EL70" s="204"/>
      <c r="EM70" s="204"/>
      <c r="EN70" s="204"/>
      <c r="EO70" s="204"/>
      <c r="EP70" s="204"/>
      <c r="EQ70" s="204"/>
      <c r="ER70" s="204"/>
      <c r="ES70" s="204"/>
      <c r="ET70" s="204"/>
      <c r="EU70" s="204"/>
      <c r="EV70" s="204"/>
      <c r="EW70" s="204"/>
      <c r="EX70" s="204"/>
      <c r="EY70" s="204"/>
      <c r="EZ70" s="204"/>
      <c r="FA70" s="204"/>
      <c r="FB70" s="204"/>
      <c r="FC70" s="204"/>
      <c r="FD70" s="204"/>
      <c r="FE70" s="204"/>
      <c r="FF70" s="204"/>
      <c r="FG70" s="204"/>
      <c r="FH70" s="204"/>
      <c r="FI70" s="204"/>
      <c r="FJ70" s="204"/>
      <c r="FK70" s="204"/>
      <c r="FL70" s="204"/>
      <c r="FM70" s="204"/>
      <c r="FN70" s="204"/>
      <c r="FO70" s="204"/>
      <c r="FP70" s="204"/>
      <c r="FQ70" s="204"/>
      <c r="FR70" s="204"/>
      <c r="FS70" s="204"/>
      <c r="FT70" s="204"/>
      <c r="FU70" s="204"/>
      <c r="FV70" s="204"/>
      <c r="FW70" s="204"/>
      <c r="FX70" s="204"/>
      <c r="FY70" s="204"/>
      <c r="FZ70" s="204"/>
      <c r="GA70" s="204"/>
      <c r="GB70" s="204"/>
      <c r="GC70" s="204"/>
      <c r="GD70" s="204"/>
      <c r="GE70" s="204"/>
      <c r="GF70" s="204"/>
      <c r="GG70" s="204"/>
      <c r="GH70" s="204"/>
      <c r="GI70" s="204"/>
      <c r="GJ70" s="204"/>
      <c r="GK70" s="204"/>
      <c r="GL70" s="204"/>
      <c r="GM70" s="204"/>
      <c r="GN70" s="204"/>
      <c r="GO70" s="204"/>
    </row>
    <row r="71" spans="1:501" x14ac:dyDescent="0.2">
      <c r="DN71" s="204"/>
      <c r="DO71" s="204"/>
      <c r="DP71" s="204"/>
      <c r="DQ71" s="204"/>
      <c r="DR71" s="204"/>
      <c r="DS71" s="204"/>
      <c r="DT71" s="204"/>
      <c r="DU71" s="204"/>
      <c r="DV71" s="204"/>
      <c r="DW71" s="204"/>
      <c r="DX71" s="204"/>
      <c r="DY71" s="204"/>
      <c r="DZ71" s="204"/>
      <c r="EA71" s="204"/>
      <c r="EB71" s="204"/>
      <c r="EC71" s="204"/>
      <c r="ED71" s="204"/>
      <c r="EE71" s="204"/>
      <c r="EF71" s="204"/>
      <c r="EG71" s="204"/>
      <c r="EH71" s="204"/>
      <c r="EI71" s="204"/>
      <c r="EJ71" s="204"/>
      <c r="EK71" s="204"/>
      <c r="EL71" s="204"/>
      <c r="EM71" s="204"/>
      <c r="EN71" s="204"/>
      <c r="EO71" s="204"/>
      <c r="EP71" s="204"/>
      <c r="EQ71" s="204"/>
      <c r="ER71" s="204"/>
      <c r="ES71" s="204"/>
      <c r="ET71" s="204"/>
      <c r="EU71" s="204"/>
      <c r="EV71" s="204"/>
      <c r="EW71" s="204"/>
      <c r="EX71" s="204"/>
      <c r="EY71" s="204"/>
      <c r="EZ71" s="204"/>
      <c r="FA71" s="204"/>
      <c r="FB71" s="204"/>
      <c r="FC71" s="204"/>
      <c r="FD71" s="204"/>
      <c r="FE71" s="204"/>
      <c r="FF71" s="204"/>
      <c r="FG71" s="204"/>
      <c r="FH71" s="204"/>
      <c r="FI71" s="204"/>
      <c r="FJ71" s="204"/>
      <c r="FK71" s="204"/>
      <c r="FL71" s="204"/>
      <c r="FM71" s="204"/>
      <c r="FN71" s="204"/>
      <c r="FO71" s="204"/>
      <c r="FP71" s="204"/>
      <c r="FQ71" s="204"/>
      <c r="FR71" s="204"/>
      <c r="FS71" s="204"/>
      <c r="FT71" s="204"/>
      <c r="FU71" s="204"/>
      <c r="FV71" s="204"/>
      <c r="FW71" s="204"/>
      <c r="FX71" s="204"/>
      <c r="FY71" s="204"/>
      <c r="FZ71" s="204"/>
      <c r="GA71" s="204"/>
      <c r="GB71" s="204"/>
      <c r="GC71" s="204"/>
      <c r="GD71" s="204"/>
      <c r="GE71" s="204"/>
      <c r="GF71" s="204"/>
      <c r="GG71" s="204"/>
      <c r="GH71" s="204"/>
      <c r="GI71" s="204"/>
      <c r="GJ71" s="204"/>
      <c r="GK71" s="204"/>
      <c r="GL71" s="204"/>
      <c r="GM71" s="204"/>
      <c r="GN71" s="204"/>
      <c r="GO71" s="204"/>
    </row>
    <row r="72" spans="1:501" x14ac:dyDescent="0.2">
      <c r="DN72" s="204"/>
      <c r="DO72" s="204"/>
      <c r="DP72" s="204"/>
      <c r="DQ72" s="204"/>
      <c r="DR72" s="204"/>
      <c r="DS72" s="204"/>
      <c r="DT72" s="204"/>
      <c r="DU72" s="204"/>
      <c r="DV72" s="204"/>
      <c r="DW72" s="204"/>
      <c r="DX72" s="204"/>
      <c r="DY72" s="204"/>
      <c r="DZ72" s="204"/>
      <c r="EA72" s="204"/>
      <c r="EB72" s="204"/>
      <c r="EC72" s="204"/>
      <c r="ED72" s="204"/>
      <c r="EE72" s="204"/>
      <c r="EF72" s="204"/>
      <c r="EG72" s="204"/>
      <c r="EH72" s="204"/>
      <c r="EI72" s="204"/>
      <c r="EJ72" s="204"/>
      <c r="EK72" s="204"/>
      <c r="EL72" s="204"/>
      <c r="EM72" s="204"/>
      <c r="EN72" s="204"/>
      <c r="EO72" s="204"/>
      <c r="EP72" s="204"/>
      <c r="EQ72" s="204"/>
      <c r="ER72" s="204"/>
      <c r="ES72" s="204"/>
      <c r="ET72" s="204"/>
      <c r="EU72" s="204"/>
      <c r="EV72" s="204"/>
      <c r="EW72" s="204"/>
      <c r="EX72" s="204"/>
      <c r="EY72" s="204"/>
      <c r="EZ72" s="204"/>
      <c r="FA72" s="204"/>
      <c r="FB72" s="204"/>
      <c r="FC72" s="204"/>
      <c r="FD72" s="204"/>
      <c r="FE72" s="204"/>
      <c r="FF72" s="204"/>
      <c r="FG72" s="204"/>
      <c r="FH72" s="204"/>
      <c r="FI72" s="204"/>
      <c r="FJ72" s="204"/>
      <c r="FK72" s="204"/>
      <c r="FL72" s="204"/>
      <c r="FM72" s="204"/>
      <c r="FN72" s="204"/>
      <c r="FO72" s="204"/>
      <c r="FP72" s="204"/>
      <c r="FQ72" s="204"/>
      <c r="FR72" s="204"/>
      <c r="FS72" s="204"/>
      <c r="FT72" s="204"/>
      <c r="FU72" s="204"/>
      <c r="FV72" s="204"/>
      <c r="FW72" s="204"/>
      <c r="FX72" s="204"/>
      <c r="FY72" s="204"/>
      <c r="FZ72" s="204"/>
      <c r="GA72" s="204"/>
      <c r="GB72" s="204"/>
      <c r="GC72" s="204"/>
      <c r="GD72" s="204"/>
      <c r="GE72" s="204"/>
      <c r="GF72" s="204"/>
      <c r="GG72" s="204"/>
      <c r="GH72" s="204"/>
      <c r="GI72" s="204"/>
      <c r="GJ72" s="204"/>
      <c r="GK72" s="204"/>
      <c r="GL72" s="204"/>
      <c r="GM72" s="204"/>
      <c r="GN72" s="204"/>
      <c r="GO72" s="204"/>
    </row>
  </sheetData>
  <mergeCells count="31">
    <mergeCell ref="AB18:AB67"/>
    <mergeCell ref="A12:B12"/>
    <mergeCell ref="A13:B13"/>
    <mergeCell ref="H18:H44"/>
    <mergeCell ref="O18:O44"/>
    <mergeCell ref="U18:U44"/>
    <mergeCell ref="V17:Z17"/>
    <mergeCell ref="E8:F8"/>
    <mergeCell ref="E9:F9"/>
    <mergeCell ref="E10:F10"/>
    <mergeCell ref="E1:F1"/>
    <mergeCell ref="E2:F2"/>
    <mergeCell ref="E3:F3"/>
    <mergeCell ref="E4:F4"/>
    <mergeCell ref="E5:F5"/>
    <mergeCell ref="EC18:EC44"/>
    <mergeCell ref="AE18:AE67"/>
    <mergeCell ref="A1:B1"/>
    <mergeCell ref="A2:B2"/>
    <mergeCell ref="A4:B4"/>
    <mergeCell ref="A5:B5"/>
    <mergeCell ref="A6:B6"/>
    <mergeCell ref="E11:F11"/>
    <mergeCell ref="E12:F12"/>
    <mergeCell ref="A7:B7"/>
    <mergeCell ref="A8:B8"/>
    <mergeCell ref="A9:B9"/>
    <mergeCell ref="A10:B10"/>
    <mergeCell ref="A11:B11"/>
    <mergeCell ref="E6:F6"/>
    <mergeCell ref="E7:F7"/>
  </mergeCells>
  <conditionalFormatting sqref="I18:N67">
    <cfRule type="cellIs" dxfId="0" priority="1" operator="equal">
      <formula>0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HistSample">
    <tabColor theme="1"/>
  </sheetPr>
  <dimension ref="A1:DQ299"/>
  <sheetViews>
    <sheetView workbookViewId="0">
      <pane xSplit="1" ySplit="7" topLeftCell="B8" activePane="bottomRight" state="frozen"/>
      <selection pane="topRight" activeCell="B1" sqref="B1"/>
      <selection pane="bottomLeft" activeCell="A6" sqref="A6"/>
      <selection pane="bottomRight" activeCell="B8" sqref="B8:AY151"/>
    </sheetView>
  </sheetViews>
  <sheetFormatPr defaultColWidth="8.85546875" defaultRowHeight="12.75" x14ac:dyDescent="0.2"/>
  <cols>
    <col min="1" max="8" width="8.85546875" style="301"/>
    <col min="9" max="9" width="10.140625" style="301" customWidth="1"/>
    <col min="10" max="11" width="8.85546875" style="301"/>
    <col min="12" max="12" width="10.140625" style="301" customWidth="1"/>
    <col min="13" max="51" width="8.85546875" style="301"/>
  </cols>
  <sheetData>
    <row r="1" spans="1:121" ht="15" x14ac:dyDescent="0.25">
      <c r="A1" s="315" t="s">
        <v>59</v>
      </c>
      <c r="B1" s="314" t="s">
        <v>239</v>
      </c>
      <c r="C1" s="313">
        <v>50</v>
      </c>
      <c r="E1" s="312" t="s">
        <v>242</v>
      </c>
      <c r="F1" s="311">
        <v>27</v>
      </c>
    </row>
    <row r="2" spans="1:121" ht="15" x14ac:dyDescent="0.25">
      <c r="B2" s="314" t="s">
        <v>241</v>
      </c>
      <c r="C2" s="313">
        <v>144</v>
      </c>
      <c r="E2" s="312" t="s">
        <v>240</v>
      </c>
      <c r="F2" s="311">
        <v>23</v>
      </c>
    </row>
    <row r="3" spans="1:121" x14ac:dyDescent="0.2">
      <c r="A3" s="301" t="s">
        <v>239</v>
      </c>
      <c r="B3" s="304">
        <v>1</v>
      </c>
      <c r="C3" s="304">
        <v>2</v>
      </c>
      <c r="D3" s="304">
        <v>3</v>
      </c>
      <c r="E3" s="304">
        <v>4</v>
      </c>
      <c r="F3" s="304">
        <v>5</v>
      </c>
      <c r="G3" s="304">
        <v>6</v>
      </c>
      <c r="H3" s="304">
        <v>7</v>
      </c>
      <c r="I3" s="304">
        <v>8</v>
      </c>
      <c r="J3" s="304">
        <v>9</v>
      </c>
      <c r="K3" s="304">
        <v>10</v>
      </c>
      <c r="L3" s="304">
        <v>11</v>
      </c>
      <c r="M3" s="304">
        <v>12</v>
      </c>
      <c r="N3" s="304">
        <v>13</v>
      </c>
      <c r="O3" s="304">
        <v>14</v>
      </c>
      <c r="P3" s="304">
        <v>15</v>
      </c>
      <c r="Q3" s="304">
        <v>16</v>
      </c>
      <c r="R3" s="304">
        <v>17</v>
      </c>
      <c r="S3" s="304">
        <v>18</v>
      </c>
      <c r="T3" s="304">
        <v>19</v>
      </c>
      <c r="U3" s="304">
        <v>20</v>
      </c>
      <c r="V3" s="304">
        <v>21</v>
      </c>
      <c r="W3" s="304">
        <v>22</v>
      </c>
      <c r="X3" s="304">
        <v>23</v>
      </c>
      <c r="Y3" s="304">
        <v>24</v>
      </c>
      <c r="Z3" s="304">
        <v>25</v>
      </c>
      <c r="AA3" s="304">
        <v>26</v>
      </c>
      <c r="AB3" s="304">
        <v>27</v>
      </c>
      <c r="AC3" s="304">
        <v>28</v>
      </c>
      <c r="AD3" s="304">
        <v>29</v>
      </c>
      <c r="AE3" s="304">
        <v>30</v>
      </c>
      <c r="AF3" s="304">
        <v>31</v>
      </c>
      <c r="AG3" s="304">
        <v>32</v>
      </c>
      <c r="AH3" s="304">
        <v>33</v>
      </c>
      <c r="AI3" s="304">
        <v>34</v>
      </c>
      <c r="AJ3" s="304">
        <v>35</v>
      </c>
      <c r="AK3" s="304">
        <v>36</v>
      </c>
      <c r="AL3" s="304">
        <v>37</v>
      </c>
      <c r="AM3" s="304">
        <v>38</v>
      </c>
      <c r="AN3" s="304">
        <v>39</v>
      </c>
      <c r="AO3" s="304">
        <v>40</v>
      </c>
      <c r="AP3" s="304">
        <v>41</v>
      </c>
      <c r="AQ3" s="304">
        <v>42</v>
      </c>
      <c r="AR3" s="304">
        <v>43</v>
      </c>
      <c r="AS3" s="304">
        <v>44</v>
      </c>
      <c r="AT3" s="304">
        <v>45</v>
      </c>
      <c r="AU3" s="304">
        <v>46</v>
      </c>
      <c r="AV3" s="304">
        <v>47</v>
      </c>
      <c r="AW3" s="304">
        <v>48</v>
      </c>
      <c r="AX3" s="304">
        <v>49</v>
      </c>
      <c r="AY3" s="304">
        <v>50</v>
      </c>
      <c r="AZ3" s="304">
        <v>51</v>
      </c>
      <c r="BA3" s="304">
        <v>52</v>
      </c>
      <c r="BB3" s="304">
        <v>53</v>
      </c>
      <c r="BC3" s="304">
        <v>54</v>
      </c>
      <c r="BD3" s="304">
        <v>55</v>
      </c>
      <c r="BE3" s="304">
        <v>56</v>
      </c>
      <c r="BF3" s="304">
        <v>57</v>
      </c>
      <c r="BG3" s="304">
        <v>58</v>
      </c>
      <c r="BH3" s="304">
        <v>59</v>
      </c>
      <c r="BI3" s="304">
        <v>60</v>
      </c>
      <c r="BJ3" s="304">
        <v>61</v>
      </c>
      <c r="BK3" s="304">
        <v>62</v>
      </c>
      <c r="BL3" s="304">
        <v>63</v>
      </c>
      <c r="BM3" s="304">
        <v>64</v>
      </c>
      <c r="BN3" s="304">
        <v>65</v>
      </c>
      <c r="BO3" s="304">
        <v>66</v>
      </c>
      <c r="BP3" s="304">
        <v>67</v>
      </c>
      <c r="BQ3" s="304">
        <v>68</v>
      </c>
      <c r="BR3" s="304">
        <v>69</v>
      </c>
      <c r="BS3" s="304">
        <v>70</v>
      </c>
      <c r="BT3" s="304">
        <v>71</v>
      </c>
      <c r="BU3" s="304">
        <v>72</v>
      </c>
      <c r="BV3" s="304">
        <v>73</v>
      </c>
      <c r="BW3" s="304">
        <v>74</v>
      </c>
      <c r="BX3" s="304">
        <v>75</v>
      </c>
      <c r="BY3" s="304">
        <v>76</v>
      </c>
      <c r="BZ3" s="304">
        <v>77</v>
      </c>
      <c r="CA3" s="304">
        <v>78</v>
      </c>
      <c r="CB3" s="304">
        <v>79</v>
      </c>
      <c r="CC3" s="304">
        <v>80</v>
      </c>
      <c r="CD3" s="304">
        <v>81</v>
      </c>
      <c r="CE3" s="304">
        <v>82</v>
      </c>
      <c r="CF3" s="304">
        <v>83</v>
      </c>
      <c r="CG3" s="304">
        <v>84</v>
      </c>
      <c r="CH3" s="304">
        <v>85</v>
      </c>
      <c r="CI3" s="304">
        <v>86</v>
      </c>
      <c r="CJ3" s="304">
        <v>87</v>
      </c>
      <c r="CK3" s="304">
        <v>88</v>
      </c>
      <c r="CL3" s="304">
        <v>89</v>
      </c>
      <c r="CM3" s="304">
        <v>90</v>
      </c>
      <c r="CN3" s="304">
        <v>91</v>
      </c>
      <c r="CO3" s="304">
        <v>92</v>
      </c>
      <c r="CP3" s="304">
        <v>93</v>
      </c>
      <c r="CQ3" s="304">
        <v>94</v>
      </c>
      <c r="CR3" s="304">
        <v>95</v>
      </c>
      <c r="CS3" s="304">
        <v>96</v>
      </c>
      <c r="CT3" s="304">
        <v>97</v>
      </c>
      <c r="CU3" s="304">
        <v>98</v>
      </c>
      <c r="CV3" s="304">
        <v>99</v>
      </c>
      <c r="CW3" s="304">
        <v>100</v>
      </c>
      <c r="CX3" s="304">
        <v>101</v>
      </c>
      <c r="CY3" s="304">
        <v>102</v>
      </c>
      <c r="CZ3" s="304">
        <v>103</v>
      </c>
      <c r="DA3" s="304">
        <v>104</v>
      </c>
      <c r="DB3" s="304">
        <v>105</v>
      </c>
      <c r="DC3" s="304">
        <v>106</v>
      </c>
      <c r="DD3" s="304">
        <v>107</v>
      </c>
      <c r="DE3" s="304">
        <v>108</v>
      </c>
      <c r="DF3" s="304">
        <v>109</v>
      </c>
      <c r="DG3" s="304">
        <v>110</v>
      </c>
      <c r="DH3" s="304">
        <v>111</v>
      </c>
      <c r="DI3" s="304">
        <v>112</v>
      </c>
      <c r="DJ3" s="304">
        <v>113</v>
      </c>
      <c r="DK3" s="304">
        <v>114</v>
      </c>
      <c r="DL3" s="304">
        <v>115</v>
      </c>
      <c r="DM3" s="304">
        <v>116</v>
      </c>
      <c r="DN3" s="304">
        <v>117</v>
      </c>
      <c r="DO3" s="304">
        <v>118</v>
      </c>
      <c r="DP3" s="304">
        <v>119</v>
      </c>
      <c r="DQ3" s="304">
        <v>120</v>
      </c>
    </row>
    <row r="4" spans="1:121" x14ac:dyDescent="0.2">
      <c r="B4" s="310" t="s">
        <v>238</v>
      </c>
      <c r="AB4" s="309"/>
    </row>
    <row r="5" spans="1:121" x14ac:dyDescent="0.2">
      <c r="A5" s="301" t="s">
        <v>237</v>
      </c>
      <c r="B5" s="308">
        <v>1</v>
      </c>
      <c r="C5" s="301">
        <v>2</v>
      </c>
      <c r="D5" s="301">
        <v>3</v>
      </c>
      <c r="E5" s="301">
        <v>4</v>
      </c>
      <c r="F5" s="301">
        <v>5</v>
      </c>
      <c r="G5" s="301">
        <v>6</v>
      </c>
      <c r="H5" s="301">
        <v>7</v>
      </c>
      <c r="I5" s="301">
        <v>8</v>
      </c>
      <c r="J5" s="301">
        <v>9</v>
      </c>
      <c r="K5" s="301">
        <v>10</v>
      </c>
      <c r="L5" s="301">
        <v>11</v>
      </c>
      <c r="M5" s="301">
        <v>12</v>
      </c>
      <c r="N5" s="301">
        <v>13</v>
      </c>
      <c r="O5" s="301">
        <v>14</v>
      </c>
      <c r="P5" s="301">
        <v>15</v>
      </c>
      <c r="Q5" s="301">
        <v>16</v>
      </c>
      <c r="R5" s="301">
        <v>17</v>
      </c>
      <c r="S5" s="301">
        <v>18</v>
      </c>
      <c r="T5" s="301">
        <v>19</v>
      </c>
      <c r="U5" s="301">
        <v>20</v>
      </c>
      <c r="V5" s="301">
        <v>21</v>
      </c>
      <c r="W5" s="301">
        <v>22</v>
      </c>
      <c r="X5" s="301">
        <v>23</v>
      </c>
      <c r="Y5" s="301">
        <v>24</v>
      </c>
      <c r="Z5" s="301">
        <v>25</v>
      </c>
      <c r="AA5" s="301">
        <v>26</v>
      </c>
      <c r="AB5" s="307">
        <v>27</v>
      </c>
      <c r="AC5" s="301">
        <v>28</v>
      </c>
      <c r="AD5" s="301">
        <v>29</v>
      </c>
      <c r="AE5" s="301">
        <v>30</v>
      </c>
      <c r="AF5" s="301">
        <v>31</v>
      </c>
      <c r="AG5" s="301">
        <v>32</v>
      </c>
      <c r="AH5" s="301">
        <v>33</v>
      </c>
      <c r="AI5" s="301">
        <v>34</v>
      </c>
      <c r="AJ5" s="301">
        <v>35</v>
      </c>
      <c r="AK5" s="301">
        <v>36</v>
      </c>
      <c r="AL5" s="301">
        <v>37</v>
      </c>
      <c r="AM5" s="301">
        <v>38</v>
      </c>
      <c r="AN5" s="301">
        <v>39</v>
      </c>
      <c r="AO5" s="301">
        <v>40</v>
      </c>
      <c r="AP5" s="301">
        <v>41</v>
      </c>
      <c r="AQ5" s="301">
        <v>42</v>
      </c>
      <c r="AR5" s="301">
        <v>43</v>
      </c>
      <c r="AS5" s="301">
        <v>44</v>
      </c>
      <c r="AT5" s="301">
        <v>45</v>
      </c>
      <c r="AU5" s="301">
        <v>46</v>
      </c>
      <c r="AV5" s="301">
        <v>47</v>
      </c>
      <c r="AW5" s="301">
        <v>48</v>
      </c>
      <c r="AX5" s="301">
        <v>49</v>
      </c>
      <c r="AY5" s="301">
        <v>50</v>
      </c>
    </row>
    <row r="6" spans="1:121" ht="36" x14ac:dyDescent="0.2">
      <c r="A6" s="306" t="s">
        <v>236</v>
      </c>
      <c r="B6" s="304" t="s">
        <v>0</v>
      </c>
      <c r="C6" s="304" t="s">
        <v>1</v>
      </c>
      <c r="D6" s="304" t="s">
        <v>2</v>
      </c>
      <c r="E6" s="304" t="s">
        <v>3</v>
      </c>
      <c r="F6" s="304" t="s">
        <v>4</v>
      </c>
      <c r="G6" s="304" t="s">
        <v>5</v>
      </c>
      <c r="H6" s="304" t="s">
        <v>6</v>
      </c>
      <c r="I6" s="304" t="s">
        <v>7</v>
      </c>
      <c r="J6" s="304" t="s">
        <v>8</v>
      </c>
      <c r="K6" s="304" t="s">
        <v>9</v>
      </c>
      <c r="L6" s="304" t="s">
        <v>10</v>
      </c>
      <c r="M6" s="304" t="s">
        <v>11</v>
      </c>
      <c r="N6" s="304" t="s">
        <v>12</v>
      </c>
      <c r="O6" s="304" t="s">
        <v>13</v>
      </c>
      <c r="P6" s="304" t="s">
        <v>14</v>
      </c>
      <c r="Q6" s="304" t="s">
        <v>15</v>
      </c>
      <c r="R6" s="304" t="s">
        <v>16</v>
      </c>
      <c r="S6" s="304" t="s">
        <v>17</v>
      </c>
      <c r="T6" s="304" t="s">
        <v>146</v>
      </c>
      <c r="U6" s="304" t="s">
        <v>18</v>
      </c>
      <c r="V6" s="304" t="s">
        <v>19</v>
      </c>
      <c r="W6" s="304" t="s">
        <v>20</v>
      </c>
      <c r="X6" s="304" t="s">
        <v>21</v>
      </c>
      <c r="Y6" s="304" t="s">
        <v>22</v>
      </c>
      <c r="Z6" s="304" t="s">
        <v>23</v>
      </c>
      <c r="AA6" s="304" t="s">
        <v>24</v>
      </c>
      <c r="AB6" s="304" t="s">
        <v>25</v>
      </c>
      <c r="AC6" s="304" t="s">
        <v>29</v>
      </c>
      <c r="AD6" s="304" t="s">
        <v>30</v>
      </c>
      <c r="AE6" s="304" t="s">
        <v>31</v>
      </c>
      <c r="AF6" s="304" t="s">
        <v>32</v>
      </c>
      <c r="AG6" s="304" t="s">
        <v>33</v>
      </c>
      <c r="AH6" s="304" t="s">
        <v>34</v>
      </c>
      <c r="AI6" s="304" t="s">
        <v>35</v>
      </c>
      <c r="AJ6" s="304" t="s">
        <v>36</v>
      </c>
      <c r="AK6" s="304" t="s">
        <v>37</v>
      </c>
      <c r="AL6" s="304" t="s">
        <v>38</v>
      </c>
      <c r="AM6" s="304" t="s">
        <v>39</v>
      </c>
      <c r="AN6" s="304" t="s">
        <v>40</v>
      </c>
      <c r="AO6" s="304" t="s">
        <v>41</v>
      </c>
      <c r="AP6" s="304" t="s">
        <v>42</v>
      </c>
      <c r="AQ6" s="304" t="s">
        <v>43</v>
      </c>
      <c r="AR6" s="304" t="s">
        <v>44</v>
      </c>
      <c r="AS6" s="304" t="s">
        <v>45</v>
      </c>
      <c r="AT6" s="304" t="s">
        <v>46</v>
      </c>
      <c r="AU6" s="304" t="s">
        <v>47</v>
      </c>
      <c r="AV6" s="304" t="s">
        <v>48</v>
      </c>
      <c r="AW6" s="304" t="s">
        <v>49</v>
      </c>
      <c r="AX6" s="304" t="s">
        <v>50</v>
      </c>
      <c r="AY6" s="304" t="s">
        <v>51</v>
      </c>
    </row>
    <row r="7" spans="1:121" x14ac:dyDescent="0.2">
      <c r="A7" s="305" t="s">
        <v>59</v>
      </c>
      <c r="B7" s="304" t="s">
        <v>235</v>
      </c>
      <c r="C7" s="304" t="s">
        <v>235</v>
      </c>
      <c r="D7" s="304" t="s">
        <v>235</v>
      </c>
      <c r="E7" s="304" t="s">
        <v>235</v>
      </c>
      <c r="F7" s="304" t="s">
        <v>235</v>
      </c>
      <c r="G7" s="304" t="s">
        <v>235</v>
      </c>
      <c r="H7" s="304" t="s">
        <v>235</v>
      </c>
      <c r="I7" s="304" t="s">
        <v>235</v>
      </c>
      <c r="J7" s="304" t="s">
        <v>235</v>
      </c>
      <c r="K7" s="304" t="s">
        <v>235</v>
      </c>
      <c r="L7" s="304" t="s">
        <v>235</v>
      </c>
      <c r="M7" s="304" t="s">
        <v>235</v>
      </c>
      <c r="N7" s="304" t="s">
        <v>235</v>
      </c>
      <c r="O7" s="304" t="s">
        <v>235</v>
      </c>
      <c r="P7" s="304" t="s">
        <v>235</v>
      </c>
      <c r="Q7" s="304" t="s">
        <v>235</v>
      </c>
      <c r="R7" s="304" t="s">
        <v>235</v>
      </c>
      <c r="S7" s="304" t="s">
        <v>235</v>
      </c>
      <c r="T7" s="304" t="s">
        <v>235</v>
      </c>
      <c r="U7" s="304" t="s">
        <v>235</v>
      </c>
      <c r="V7" s="304" t="s">
        <v>235</v>
      </c>
      <c r="W7" s="304" t="s">
        <v>235</v>
      </c>
      <c r="X7" s="304" t="s">
        <v>235</v>
      </c>
      <c r="Y7" s="304" t="s">
        <v>235</v>
      </c>
      <c r="Z7" s="304" t="s">
        <v>235</v>
      </c>
      <c r="AA7" s="304" t="s">
        <v>235</v>
      </c>
      <c r="AB7" s="304" t="s">
        <v>235</v>
      </c>
      <c r="AC7" s="304" t="s">
        <v>234</v>
      </c>
      <c r="AD7" s="304" t="s">
        <v>234</v>
      </c>
      <c r="AE7" s="304" t="s">
        <v>234</v>
      </c>
      <c r="AF7" s="304" t="s">
        <v>234</v>
      </c>
      <c r="AG7" s="304" t="s">
        <v>234</v>
      </c>
      <c r="AH7" s="304" t="s">
        <v>234</v>
      </c>
      <c r="AI7" s="304" t="s">
        <v>234</v>
      </c>
      <c r="AJ7" s="304" t="s">
        <v>234</v>
      </c>
      <c r="AK7" s="304" t="s">
        <v>234</v>
      </c>
      <c r="AL7" s="304" t="s">
        <v>234</v>
      </c>
      <c r="AM7" s="304" t="s">
        <v>234</v>
      </c>
      <c r="AN7" s="304" t="s">
        <v>234</v>
      </c>
      <c r="AO7" s="304" t="s">
        <v>234</v>
      </c>
      <c r="AP7" s="304" t="s">
        <v>234</v>
      </c>
      <c r="AQ7" s="304" t="s">
        <v>234</v>
      </c>
      <c r="AR7" s="304" t="s">
        <v>234</v>
      </c>
      <c r="AS7" s="304" t="s">
        <v>234</v>
      </c>
      <c r="AT7" s="304" t="s">
        <v>234</v>
      </c>
      <c r="AU7" s="304" t="s">
        <v>234</v>
      </c>
      <c r="AV7" s="304" t="s">
        <v>234</v>
      </c>
      <c r="AW7" s="304" t="s">
        <v>234</v>
      </c>
      <c r="AX7" s="304" t="s">
        <v>234</v>
      </c>
      <c r="AY7" s="304" t="s">
        <v>234</v>
      </c>
    </row>
    <row r="8" spans="1:121" x14ac:dyDescent="0.2">
      <c r="A8" s="303">
        <v>29281</v>
      </c>
      <c r="B8" s="302">
        <v>3.3152560000000005E-2</v>
      </c>
      <c r="C8" s="302">
        <v>-4.5911179999999996E-2</v>
      </c>
      <c r="D8" s="302">
        <v>-0.13524304000000001</v>
      </c>
      <c r="E8" s="302">
        <v>-7.101905E-2</v>
      </c>
      <c r="F8" s="302">
        <v>-0.14096688000000002</v>
      </c>
      <c r="G8" s="302">
        <v>-5.9818379999999997E-2</v>
      </c>
      <c r="H8" s="302">
        <v>-0.10761669</v>
      </c>
      <c r="I8" s="302">
        <v>-5.7990769999999997E-2</v>
      </c>
      <c r="J8" s="302">
        <v>-9.1989090000000009E-2</v>
      </c>
      <c r="K8" s="302">
        <v>-6.3314099999999998E-2</v>
      </c>
      <c r="L8" s="302">
        <v>-2.1580409999999998E-2</v>
      </c>
      <c r="M8" s="302">
        <v>-0.10604358</v>
      </c>
      <c r="N8" s="302">
        <v>8.6700000000000007E-5</v>
      </c>
      <c r="O8" s="302">
        <v>-2.3907520000000002E-2</v>
      </c>
      <c r="P8" s="302">
        <v>-0.10923458</v>
      </c>
      <c r="Q8" s="302">
        <v>4.2935869999999994E-2</v>
      </c>
      <c r="R8" s="302">
        <v>-0.19670591000000001</v>
      </c>
      <c r="S8" s="302">
        <v>3.7466179999999995E-2</v>
      </c>
      <c r="T8" s="302">
        <v>-2.514096E-2</v>
      </c>
      <c r="U8" s="302">
        <v>-8.2761689999999999E-2</v>
      </c>
      <c r="V8" s="302">
        <v>8.1959740000000003E-2</v>
      </c>
      <c r="W8" s="302">
        <v>0.1067</v>
      </c>
      <c r="X8" s="302">
        <v>0.11088194</v>
      </c>
      <c r="Y8" s="302">
        <v>-9.6479219999999991E-2</v>
      </c>
      <c r="Z8" s="302">
        <v>3.1784309999999996E-2</v>
      </c>
      <c r="AA8" s="302">
        <v>1.2699999999999999E-2</v>
      </c>
      <c r="AB8" s="302">
        <v>5.6000000000000008E-3</v>
      </c>
      <c r="AC8" s="302">
        <v>3.3152560000000005E-2</v>
      </c>
      <c r="AD8" s="302">
        <v>-4.5911179999999996E-2</v>
      </c>
      <c r="AE8" s="302">
        <v>-0.13524304000000001</v>
      </c>
      <c r="AF8" s="302">
        <v>-5.9818379999999997E-2</v>
      </c>
      <c r="AG8" s="302">
        <v>-0.10761669</v>
      </c>
      <c r="AH8" s="302">
        <v>-0.41240000000000004</v>
      </c>
      <c r="AI8" s="302">
        <v>-0.44369999999999998</v>
      </c>
      <c r="AJ8" s="302">
        <v>-6.3314099999999998E-2</v>
      </c>
      <c r="AK8" s="302">
        <v>7.101905E-2</v>
      </c>
      <c r="AL8" s="302">
        <v>5.7990769999999997E-2</v>
      </c>
      <c r="AM8" s="302">
        <v>9.4403310000000004E-2</v>
      </c>
      <c r="AN8" s="302">
        <v>4.0715229999999998E-2</v>
      </c>
      <c r="AO8" s="302">
        <v>0.12352655999999999</v>
      </c>
      <c r="AP8" s="302">
        <v>-8.6700000000000007E-5</v>
      </c>
      <c r="AQ8" s="302">
        <v>3.5361110000000001E-2</v>
      </c>
      <c r="AR8" s="302">
        <v>0.12001982999999999</v>
      </c>
      <c r="AS8" s="302">
        <v>-3.0697930000000002E-2</v>
      </c>
      <c r="AT8" s="302">
        <v>0.20516102</v>
      </c>
      <c r="AU8" s="302">
        <v>-2.5061619999999996E-2</v>
      </c>
      <c r="AV8" s="302">
        <v>3.6580069999999999E-2</v>
      </c>
      <c r="AW8" s="302">
        <v>9.3385879999999991E-2</v>
      </c>
      <c r="AX8" s="302">
        <v>-6.9427619999999995E-2</v>
      </c>
      <c r="AY8" s="302">
        <v>0</v>
      </c>
    </row>
    <row r="9" spans="1:121" x14ac:dyDescent="0.2">
      <c r="A9" s="303">
        <v>29373</v>
      </c>
      <c r="B9" s="302">
        <v>3.5663090000000001E-2</v>
      </c>
      <c r="C9" s="302">
        <v>0.14436161</v>
      </c>
      <c r="D9" s="302">
        <v>0.22918659000000002</v>
      </c>
      <c r="E9" s="302">
        <v>0.17321080999999999</v>
      </c>
      <c r="F9" s="302">
        <v>0.24503617999999999</v>
      </c>
      <c r="G9" s="302">
        <v>0.15540417000000001</v>
      </c>
      <c r="H9" s="302">
        <v>0.189053</v>
      </c>
      <c r="I9" s="302">
        <v>0.13484159000000001</v>
      </c>
      <c r="J9" s="302">
        <v>0.15784053000000001</v>
      </c>
      <c r="K9" s="302">
        <v>0.11646426</v>
      </c>
      <c r="L9" s="302">
        <v>9.5668140000000013E-2</v>
      </c>
      <c r="M9" s="302">
        <v>0.16430633</v>
      </c>
      <c r="N9" s="302">
        <v>0.15970645</v>
      </c>
      <c r="O9" s="302">
        <v>0.15503648</v>
      </c>
      <c r="P9" s="302">
        <v>0.16138057</v>
      </c>
      <c r="Q9" s="302">
        <v>0.19464517000000001</v>
      </c>
      <c r="R9" s="302">
        <v>0.18048089</v>
      </c>
      <c r="S9" s="302">
        <v>0.27043182999999998</v>
      </c>
      <c r="T9" s="302">
        <v>0.29990029000000001</v>
      </c>
      <c r="U9" s="302">
        <v>0.17901658999999998</v>
      </c>
      <c r="V9" s="302">
        <v>0.14655595999999999</v>
      </c>
      <c r="W9" s="302">
        <v>2.6499999999999999E-2</v>
      </c>
      <c r="X9" s="302">
        <v>4.9947829999999999E-2</v>
      </c>
      <c r="Y9" s="302">
        <v>0.21093361000000002</v>
      </c>
      <c r="Z9" s="302">
        <v>0.23877492</v>
      </c>
      <c r="AA9" s="302">
        <v>6.3799999999999996E-2</v>
      </c>
      <c r="AB9" s="302">
        <v>1.4999999999999999E-2</v>
      </c>
      <c r="AC9" s="302">
        <v>3.5663090000000001E-2</v>
      </c>
      <c r="AD9" s="302">
        <v>0.14436161</v>
      </c>
      <c r="AE9" s="302">
        <v>0.22918659000000002</v>
      </c>
      <c r="AF9" s="302">
        <v>0.15540417000000001</v>
      </c>
      <c r="AG9" s="302">
        <v>0.189053</v>
      </c>
      <c r="AH9" s="302">
        <v>0.65439999999999998</v>
      </c>
      <c r="AI9" s="302">
        <v>0.37630000000000002</v>
      </c>
      <c r="AJ9" s="302">
        <v>0.11646426</v>
      </c>
      <c r="AK9" s="302">
        <v>-0.17321080999999999</v>
      </c>
      <c r="AL9" s="302">
        <v>-0.13484159000000001</v>
      </c>
      <c r="AM9" s="302">
        <v>-0.25312033</v>
      </c>
      <c r="AN9" s="302">
        <v>-0.13412601999999998</v>
      </c>
      <c r="AO9" s="302">
        <v>-0.20517340999999997</v>
      </c>
      <c r="AP9" s="302">
        <v>-0.15970645</v>
      </c>
      <c r="AQ9" s="302">
        <v>-0.17936151</v>
      </c>
      <c r="AR9" s="302">
        <v>-0.18589383999999998</v>
      </c>
      <c r="AS9" s="302">
        <v>-0.21980435000000001</v>
      </c>
      <c r="AT9" s="302">
        <v>-0.19979643</v>
      </c>
      <c r="AU9" s="302">
        <v>-0.29722343000000001</v>
      </c>
      <c r="AV9" s="302">
        <v>-0.32727614000000005</v>
      </c>
      <c r="AW9" s="302">
        <v>-0.20382491000000003</v>
      </c>
      <c r="AX9" s="302">
        <v>-0.17068124999999998</v>
      </c>
      <c r="AY9" s="302">
        <v>1E-3</v>
      </c>
    </row>
    <row r="10" spans="1:121" x14ac:dyDescent="0.2">
      <c r="A10" s="303">
        <v>29465</v>
      </c>
      <c r="B10" s="302">
        <v>2.6849930000000001E-2</v>
      </c>
      <c r="C10" s="302">
        <v>-3.9124829999999999E-2</v>
      </c>
      <c r="D10" s="302">
        <v>-0.10312064</v>
      </c>
      <c r="E10" s="302">
        <v>-4.1911420000000005E-2</v>
      </c>
      <c r="F10" s="302">
        <v>-0.10212404</v>
      </c>
      <c r="G10" s="302">
        <v>-5.3213080000000003E-2</v>
      </c>
      <c r="H10" s="302">
        <v>-7.8602320000000003E-2</v>
      </c>
      <c r="I10" s="302">
        <v>-5.3364209999999995E-2</v>
      </c>
      <c r="J10" s="302">
        <v>-7.92741E-2</v>
      </c>
      <c r="K10" s="302">
        <v>-1.697537E-2</v>
      </c>
      <c r="L10" s="302">
        <v>0.13078418999999999</v>
      </c>
      <c r="M10" s="302">
        <v>0.21454353999999998</v>
      </c>
      <c r="N10" s="302">
        <v>0.10665841000000001</v>
      </c>
      <c r="O10" s="302">
        <v>8.4757909999999992E-2</v>
      </c>
      <c r="P10" s="302">
        <v>3.0932270000000001E-2</v>
      </c>
      <c r="Q10" s="302">
        <v>0.11283243999999999</v>
      </c>
      <c r="R10" s="302">
        <v>2.9673140000000001E-2</v>
      </c>
      <c r="S10" s="302">
        <v>0.14376728</v>
      </c>
      <c r="T10" s="302">
        <v>0.10663744</v>
      </c>
      <c r="U10" s="302">
        <v>0.11050045000000001</v>
      </c>
      <c r="V10" s="302">
        <v>5.3856789999999995E-2</v>
      </c>
      <c r="W10" s="302">
        <v>3.85E-2</v>
      </c>
      <c r="X10" s="302">
        <v>5.2911210000000007E-2</v>
      </c>
      <c r="Y10" s="302">
        <v>0.20166937999999998</v>
      </c>
      <c r="Z10" s="302">
        <v>-4.1524680000000001E-2</v>
      </c>
      <c r="AA10" s="302">
        <v>3.2799999999999996E-2</v>
      </c>
      <c r="AB10" s="302">
        <v>1.8E-3</v>
      </c>
      <c r="AC10" s="302">
        <v>2.6849930000000001E-2</v>
      </c>
      <c r="AD10" s="302">
        <v>-3.9124829999999999E-2</v>
      </c>
      <c r="AE10" s="302">
        <v>-0.10312064</v>
      </c>
      <c r="AF10" s="302">
        <v>-5.3213080000000003E-2</v>
      </c>
      <c r="AG10" s="302">
        <v>-7.8602320000000003E-2</v>
      </c>
      <c r="AH10" s="302">
        <v>-0.34850000000000003</v>
      </c>
      <c r="AI10" s="302">
        <v>-0.31670000000000004</v>
      </c>
      <c r="AJ10" s="302">
        <v>-1.697537E-2</v>
      </c>
      <c r="AK10" s="302">
        <v>4.1911420000000005E-2</v>
      </c>
      <c r="AL10" s="302">
        <v>5.3364209999999995E-2</v>
      </c>
      <c r="AM10" s="302">
        <v>-3.0974230000000002E-2</v>
      </c>
      <c r="AN10" s="302">
        <v>-0.11194583</v>
      </c>
      <c r="AO10" s="302">
        <v>-0.19430977999999999</v>
      </c>
      <c r="AP10" s="302">
        <v>-0.10665841000000001</v>
      </c>
      <c r="AQ10" s="302">
        <v>-7.3914960000000002E-2</v>
      </c>
      <c r="AR10" s="302">
        <v>-2.0895700000000003E-2</v>
      </c>
      <c r="AS10" s="302">
        <v>-0.10170886</v>
      </c>
      <c r="AT10" s="302">
        <v>-1.4443330000000001E-2</v>
      </c>
      <c r="AU10" s="302">
        <v>-0.13251192000000001</v>
      </c>
      <c r="AV10" s="302">
        <v>-9.5575779999999999E-2</v>
      </c>
      <c r="AW10" s="302">
        <v>-9.9283420000000011E-2</v>
      </c>
      <c r="AX10" s="302">
        <v>-4.3211909999999999E-2</v>
      </c>
      <c r="AY10" s="302">
        <v>1E-3</v>
      </c>
    </row>
    <row r="11" spans="1:121" x14ac:dyDescent="0.2">
      <c r="A11" s="303">
        <v>29556</v>
      </c>
      <c r="B11" s="302">
        <v>2.9414019999999999E-2</v>
      </c>
      <c r="C11" s="302">
        <v>1.655357E-2</v>
      </c>
      <c r="D11" s="302">
        <v>1.787132E-2</v>
      </c>
      <c r="E11" s="302">
        <v>8.7490999999999992E-3</v>
      </c>
      <c r="F11" s="302">
        <v>1.4257280000000001E-2</v>
      </c>
      <c r="G11" s="302">
        <v>3.9776159999999998E-2</v>
      </c>
      <c r="H11" s="302">
        <v>4.7878249999999997E-2</v>
      </c>
      <c r="I11" s="302">
        <v>4.0534590000000002E-2</v>
      </c>
      <c r="J11" s="302">
        <v>4.7643980000000002E-2</v>
      </c>
      <c r="K11" s="302">
        <v>9.7174099999999992E-3</v>
      </c>
      <c r="L11" s="302">
        <v>0.11724035000000001</v>
      </c>
      <c r="M11" s="302">
        <v>8.6215279999999991E-2</v>
      </c>
      <c r="N11" s="302">
        <v>1.3895709999999999E-2</v>
      </c>
      <c r="O11" s="302">
        <v>8.0809719999999988E-2</v>
      </c>
      <c r="P11" s="302">
        <v>-2.1030989999999999E-2</v>
      </c>
      <c r="Q11" s="302">
        <v>4.3356320000000004E-2</v>
      </c>
      <c r="R11" s="302">
        <v>-3.3749590000000003E-2</v>
      </c>
      <c r="S11" s="302">
        <v>5.0591540000000004E-2</v>
      </c>
      <c r="T11" s="302">
        <v>0.19930338</v>
      </c>
      <c r="U11" s="302">
        <v>0.11529146000000001</v>
      </c>
      <c r="V11" s="302">
        <v>1.6694260000000002E-2</v>
      </c>
      <c r="W11" s="302">
        <v>6.7900000000000002E-2</v>
      </c>
      <c r="X11" s="302">
        <v>8.2672310000000013E-2</v>
      </c>
      <c r="Y11" s="302">
        <v>0.10405652</v>
      </c>
      <c r="Z11" s="302">
        <v>-3.658844E-2</v>
      </c>
      <c r="AA11" s="302">
        <v>7.7899999999999997E-2</v>
      </c>
      <c r="AB11" s="302">
        <v>6.9999999999999993E-3</v>
      </c>
      <c r="AC11" s="302">
        <v>2.9414019999999999E-2</v>
      </c>
      <c r="AD11" s="302">
        <v>1.655357E-2</v>
      </c>
      <c r="AE11" s="302">
        <v>1.787132E-2</v>
      </c>
      <c r="AF11" s="302">
        <v>3.9776159999999998E-2</v>
      </c>
      <c r="AG11" s="302">
        <v>4.7878249999999997E-2</v>
      </c>
      <c r="AH11" s="302">
        <v>2.86E-2</v>
      </c>
      <c r="AI11" s="302">
        <v>0.19149999999999998</v>
      </c>
      <c r="AJ11" s="302">
        <v>9.7174099999999992E-3</v>
      </c>
      <c r="AK11" s="302">
        <v>-8.7490999999999992E-3</v>
      </c>
      <c r="AL11" s="302">
        <v>-4.0534590000000002E-2</v>
      </c>
      <c r="AM11" s="302">
        <v>-5.6058500000000004E-2</v>
      </c>
      <c r="AN11" s="302">
        <v>-9.460942E-2</v>
      </c>
      <c r="AO11" s="302">
        <v>-6.4212790000000006E-2</v>
      </c>
      <c r="AP11" s="302">
        <v>-1.3895709999999999E-2</v>
      </c>
      <c r="AQ11" s="302">
        <v>-6.7673930000000007E-2</v>
      </c>
      <c r="AR11" s="302">
        <v>3.2442400000000003E-2</v>
      </c>
      <c r="AS11" s="302">
        <v>-3.0675720000000004E-2</v>
      </c>
      <c r="AT11" s="302">
        <v>3.8415390000000001E-2</v>
      </c>
      <c r="AU11" s="302">
        <v>-3.8133790000000001E-2</v>
      </c>
      <c r="AV11" s="302">
        <v>-0.18472744999999999</v>
      </c>
      <c r="AW11" s="302">
        <v>-0.1015122</v>
      </c>
      <c r="AX11" s="302">
        <v>-4.1331600000000003E-3</v>
      </c>
      <c r="AY11" s="302">
        <v>1E-3</v>
      </c>
    </row>
    <row r="12" spans="1:121" x14ac:dyDescent="0.2">
      <c r="A12" s="303">
        <v>29646</v>
      </c>
      <c r="B12" s="302">
        <v>4.3921010000000003E-2</v>
      </c>
      <c r="C12" s="302">
        <v>1.721986E-2</v>
      </c>
      <c r="D12" s="302">
        <v>-1.8800500000000001E-2</v>
      </c>
      <c r="E12" s="302">
        <v>1.4623850000000001E-2</v>
      </c>
      <c r="F12" s="302">
        <v>-1.0601590000000001E-2</v>
      </c>
      <c r="G12" s="302">
        <v>-1.0195300000000001E-2</v>
      </c>
      <c r="H12" s="302">
        <v>-3.1138569999999997E-2</v>
      </c>
      <c r="I12" s="302">
        <v>-2.5749999999999999E-5</v>
      </c>
      <c r="J12" s="302">
        <v>-2.0435200000000001E-2</v>
      </c>
      <c r="K12" s="302">
        <v>9.8581800000000011E-2</v>
      </c>
      <c r="L12" s="302">
        <v>6.4806500000000001E-3</v>
      </c>
      <c r="M12" s="302">
        <v>7.6678360000000001E-2</v>
      </c>
      <c r="N12" s="302">
        <v>3.7623280000000002E-2</v>
      </c>
      <c r="O12" s="302">
        <v>3.5194549999999998E-2</v>
      </c>
      <c r="P12" s="302">
        <v>-2.404792E-2</v>
      </c>
      <c r="Q12" s="302">
        <v>-2.638269E-2</v>
      </c>
      <c r="R12" s="302">
        <v>-9.4130359999999996E-2</v>
      </c>
      <c r="S12" s="302">
        <v>-5.4666370000000006E-2</v>
      </c>
      <c r="T12" s="302">
        <v>5.4125529999999998E-2</v>
      </c>
      <c r="U12" s="302">
        <v>2.1599670000000001E-2</v>
      </c>
      <c r="V12" s="302">
        <v>-4.2573160000000006E-2</v>
      </c>
      <c r="W12" s="302">
        <v>3.5799999999999998E-2</v>
      </c>
      <c r="X12" s="302">
        <v>5.9869360000000003E-2</v>
      </c>
      <c r="Y12" s="302">
        <v>-2.248526E-2</v>
      </c>
      <c r="Z12" s="302">
        <v>1.5452239999999999E-2</v>
      </c>
      <c r="AA12" s="302">
        <v>2.75E-2</v>
      </c>
      <c r="AB12" s="302">
        <v>-8.8999999999999999E-3</v>
      </c>
      <c r="AC12" s="302">
        <v>4.3921010000000003E-2</v>
      </c>
      <c r="AD12" s="302">
        <v>1.721986E-2</v>
      </c>
      <c r="AE12" s="302">
        <v>-1.8800500000000001E-2</v>
      </c>
      <c r="AF12" s="302">
        <v>-1.0195300000000001E-2</v>
      </c>
      <c r="AG12" s="302">
        <v>-3.1138569999999997E-2</v>
      </c>
      <c r="AH12" s="302">
        <v>-0.14960000000000001</v>
      </c>
      <c r="AI12" s="302">
        <v>-0.1585</v>
      </c>
      <c r="AJ12" s="302">
        <v>9.8581800000000011E-2</v>
      </c>
      <c r="AK12" s="302">
        <v>-1.4623850000000001E-2</v>
      </c>
      <c r="AL12" s="302">
        <v>2.5749999999999999E-5</v>
      </c>
      <c r="AM12" s="302">
        <v>-5.4437550000000001E-2</v>
      </c>
      <c r="AN12" s="302">
        <v>-1.3180339999999999E-2</v>
      </c>
      <c r="AO12" s="302">
        <v>-8.3845320000000001E-2</v>
      </c>
      <c r="AP12" s="302">
        <v>-3.7623280000000002E-2</v>
      </c>
      <c r="AQ12" s="302">
        <v>-3.9329049999999997E-2</v>
      </c>
      <c r="AR12" s="302">
        <v>1.9813580000000001E-2</v>
      </c>
      <c r="AS12" s="302">
        <v>2.2494130000000001E-2</v>
      </c>
      <c r="AT12" s="302">
        <v>9.3745580000000009E-2</v>
      </c>
      <c r="AU12" s="302">
        <v>5.0694710000000004E-2</v>
      </c>
      <c r="AV12" s="302">
        <v>-5.8335640000000001E-2</v>
      </c>
      <c r="AW12" s="302">
        <v>-2.5539599999999999E-2</v>
      </c>
      <c r="AX12" s="302">
        <v>3.8880720000000001E-2</v>
      </c>
      <c r="AY12" s="302">
        <v>8.9999999999999998E-4</v>
      </c>
    </row>
    <row r="13" spans="1:121" x14ac:dyDescent="0.2">
      <c r="A13" s="303">
        <v>29738</v>
      </c>
      <c r="B13" s="302">
        <v>4.4812049999999999E-2</v>
      </c>
      <c r="C13" s="302">
        <v>8.4642700000000012E-3</v>
      </c>
      <c r="D13" s="302">
        <v>-1.2668260000000001E-2</v>
      </c>
      <c r="E13" s="302">
        <v>8.7359000000000004E-4</v>
      </c>
      <c r="F13" s="302">
        <v>-1.801724E-2</v>
      </c>
      <c r="G13" s="302">
        <v>-2.7285849999999997E-2</v>
      </c>
      <c r="H13" s="302">
        <v>-5.772327E-2</v>
      </c>
      <c r="I13" s="302">
        <v>-4.9730610000000001E-2</v>
      </c>
      <c r="J13" s="302">
        <v>-5.0905539999999999E-2</v>
      </c>
      <c r="K13" s="302">
        <v>-1.1378550000000001E-2</v>
      </c>
      <c r="L13" s="302">
        <v>-1.183333E-2</v>
      </c>
      <c r="M13" s="302">
        <v>4.3823649999999999E-2</v>
      </c>
      <c r="N13" s="302">
        <v>2.2085379999999998E-2</v>
      </c>
      <c r="O13" s="302">
        <v>4.7560680000000001E-2</v>
      </c>
      <c r="P13" s="302">
        <v>-0.11396096999999999</v>
      </c>
      <c r="Q13" s="302">
        <v>-8.1960180000000007E-2</v>
      </c>
      <c r="R13" s="302">
        <v>-7.8246109999999994E-2</v>
      </c>
      <c r="S13" s="302">
        <v>-2.086236E-2</v>
      </c>
      <c r="T13" s="302">
        <v>0.19895882000000001</v>
      </c>
      <c r="U13" s="302">
        <v>0.19463306</v>
      </c>
      <c r="V13" s="302">
        <v>7.4562820000000002E-2</v>
      </c>
      <c r="W13" s="302">
        <v>5.4800000000000001E-2</v>
      </c>
      <c r="X13" s="302">
        <v>8.4570619999999999E-2</v>
      </c>
      <c r="Y13" s="302">
        <v>-9.2180999999999999E-3</v>
      </c>
      <c r="Z13" s="302">
        <v>0.16919319000000002</v>
      </c>
      <c r="AA13" s="302">
        <v>0.1048</v>
      </c>
      <c r="AB13" s="302">
        <v>-1.54E-2</v>
      </c>
      <c r="AC13" s="302">
        <v>4.4812049999999999E-2</v>
      </c>
      <c r="AD13" s="302">
        <v>8.4642700000000012E-3</v>
      </c>
      <c r="AE13" s="302">
        <v>-1.2668260000000001E-2</v>
      </c>
      <c r="AF13" s="302">
        <v>-2.7285849999999997E-2</v>
      </c>
      <c r="AG13" s="302">
        <v>-5.772327E-2</v>
      </c>
      <c r="AH13" s="302">
        <v>-0.1164</v>
      </c>
      <c r="AI13" s="302">
        <v>-0.32840000000000003</v>
      </c>
      <c r="AJ13" s="302">
        <v>-1.1378550000000001E-2</v>
      </c>
      <c r="AK13" s="302">
        <v>-8.7359000000000004E-4</v>
      </c>
      <c r="AL13" s="302">
        <v>4.9730610000000001E-2</v>
      </c>
      <c r="AM13" s="302">
        <v>7.5258690000000003E-2</v>
      </c>
      <c r="AN13" s="302">
        <v>2.3110200000000001E-2</v>
      </c>
      <c r="AO13" s="302">
        <v>-3.1911620000000002E-2</v>
      </c>
      <c r="AP13" s="302">
        <v>-2.2085379999999998E-2</v>
      </c>
      <c r="AQ13" s="302">
        <v>-4.0387869999999999E-2</v>
      </c>
      <c r="AR13" s="302">
        <v>0.12070750999999999</v>
      </c>
      <c r="AS13" s="302">
        <v>8.8246129999999992E-2</v>
      </c>
      <c r="AT13" s="302">
        <v>8.2145069999999987E-2</v>
      </c>
      <c r="AU13" s="302">
        <v>2.801526E-2</v>
      </c>
      <c r="AV13" s="302">
        <v>-0.19074936999999997</v>
      </c>
      <c r="AW13" s="302">
        <v>-0.18682260000000001</v>
      </c>
      <c r="AX13" s="302">
        <v>-6.7537380000000008E-2</v>
      </c>
      <c r="AY13" s="302">
        <v>8.0000000000000004E-4</v>
      </c>
    </row>
    <row r="14" spans="1:121" x14ac:dyDescent="0.2">
      <c r="A14" s="303">
        <v>29830</v>
      </c>
      <c r="B14" s="302">
        <v>5.1278490000000003E-2</v>
      </c>
      <c r="C14" s="302">
        <v>-8.63652E-3</v>
      </c>
      <c r="D14" s="302">
        <v>-8.6607829999999997E-2</v>
      </c>
      <c r="E14" s="302">
        <v>-2.5871369999999998E-2</v>
      </c>
      <c r="F14" s="302">
        <v>-8.503078E-2</v>
      </c>
      <c r="G14" s="302">
        <v>-7.4102929999999997E-2</v>
      </c>
      <c r="H14" s="302">
        <v>-0.12424747999999999</v>
      </c>
      <c r="I14" s="302">
        <v>-8.0899689999999996E-2</v>
      </c>
      <c r="J14" s="302">
        <v>-0.12209208000000001</v>
      </c>
      <c r="K14" s="302">
        <v>6.3686699999999999E-3</v>
      </c>
      <c r="L14" s="302">
        <v>-9.747937999999999E-2</v>
      </c>
      <c r="M14" s="302">
        <v>-0.15018727000000001</v>
      </c>
      <c r="N14" s="302">
        <v>-0.19440278</v>
      </c>
      <c r="O14" s="302">
        <v>-7.8399960000000005E-2</v>
      </c>
      <c r="P14" s="302">
        <v>-1.876127E-2</v>
      </c>
      <c r="Q14" s="302">
        <v>-0.16797666999999999</v>
      </c>
      <c r="R14" s="302">
        <v>-5.713323E-2</v>
      </c>
      <c r="S14" s="302">
        <v>-0.18105838999999999</v>
      </c>
      <c r="T14" s="302">
        <v>-0.32861579999999996</v>
      </c>
      <c r="U14" s="302">
        <v>-0.27793050999999996</v>
      </c>
      <c r="V14" s="302">
        <v>-0.17951675</v>
      </c>
      <c r="W14" s="302">
        <v>2.7200000000000002E-2</v>
      </c>
      <c r="X14" s="302">
        <v>5.7609389999999996E-2</v>
      </c>
      <c r="Y14" s="302">
        <v>-0.17271354999999999</v>
      </c>
      <c r="Z14" s="302">
        <v>-0.30146625999999999</v>
      </c>
      <c r="AA14" s="302">
        <v>8.5900000000000004E-2</v>
      </c>
      <c r="AB14" s="302">
        <v>-1.3999999999999999E-2</v>
      </c>
      <c r="AC14" s="302">
        <v>5.1278490000000003E-2</v>
      </c>
      <c r="AD14" s="302">
        <v>-8.63652E-3</v>
      </c>
      <c r="AE14" s="302">
        <v>-8.6607829999999997E-2</v>
      </c>
      <c r="AF14" s="302">
        <v>-7.4102929999999997E-2</v>
      </c>
      <c r="AG14" s="302">
        <v>-0.12424747999999999</v>
      </c>
      <c r="AH14" s="302">
        <v>-0.33630000000000004</v>
      </c>
      <c r="AI14" s="302">
        <v>-0.49450000000000005</v>
      </c>
      <c r="AJ14" s="302">
        <v>6.3686699999999999E-3</v>
      </c>
      <c r="AK14" s="302">
        <v>2.5871369999999998E-2</v>
      </c>
      <c r="AL14" s="302">
        <v>8.0899689999999996E-2</v>
      </c>
      <c r="AM14" s="302">
        <v>1.5547150000000001E-2</v>
      </c>
      <c r="AN14" s="302">
        <v>0.10219089000000001</v>
      </c>
      <c r="AO14" s="302">
        <v>0.15462363000000001</v>
      </c>
      <c r="AP14" s="302">
        <v>0.19440278</v>
      </c>
      <c r="AQ14" s="302">
        <v>8.1286629999999999E-2</v>
      </c>
      <c r="AR14" s="302">
        <v>2.1707339999999999E-2</v>
      </c>
      <c r="AS14" s="302">
        <v>0.17058276</v>
      </c>
      <c r="AT14" s="302">
        <v>6.5211810000000009E-2</v>
      </c>
      <c r="AU14" s="302">
        <v>0.18355984</v>
      </c>
      <c r="AV14" s="302">
        <v>0.33071872999999996</v>
      </c>
      <c r="AW14" s="302">
        <v>0.28022981999999996</v>
      </c>
      <c r="AX14" s="302">
        <v>0.18212944</v>
      </c>
      <c r="AY14" s="302">
        <v>1.1999999999999999E-3</v>
      </c>
    </row>
    <row r="15" spans="1:121" x14ac:dyDescent="0.2">
      <c r="A15" s="303">
        <v>29921</v>
      </c>
      <c r="B15" s="302">
        <v>4.5543790000000001E-2</v>
      </c>
      <c r="C15" s="302">
        <v>8.938660000000001E-2</v>
      </c>
      <c r="D15" s="302">
        <v>0.13555761</v>
      </c>
      <c r="E15" s="302">
        <v>0.10168952000000001</v>
      </c>
      <c r="F15" s="302">
        <v>0.12314487</v>
      </c>
      <c r="G15" s="302">
        <v>0.17445779000000003</v>
      </c>
      <c r="H15" s="302">
        <v>0.22281779000000002</v>
      </c>
      <c r="I15" s="302">
        <v>0.16933430000000002</v>
      </c>
      <c r="J15" s="302">
        <v>0.20100915</v>
      </c>
      <c r="K15" s="302">
        <v>9.6966079999999996E-2</v>
      </c>
      <c r="L15" s="302">
        <v>5.1566380000000002E-2</v>
      </c>
      <c r="M15" s="302">
        <v>7.0290679999999994E-2</v>
      </c>
      <c r="N15" s="302">
        <v>5.0529890000000001E-2</v>
      </c>
      <c r="O15" s="302">
        <v>7.9530690000000001E-2</v>
      </c>
      <c r="P15" s="302">
        <v>4.8695880000000004E-2</v>
      </c>
      <c r="Q15" s="302">
        <v>0.20132536000000001</v>
      </c>
      <c r="R15" s="302">
        <v>0.14651117999999999</v>
      </c>
      <c r="S15" s="302">
        <v>8.3459000000000007E-4</v>
      </c>
      <c r="T15" s="302">
        <v>0.19237023</v>
      </c>
      <c r="U15" s="302">
        <v>0.13480054999999999</v>
      </c>
      <c r="V15" s="302">
        <v>5.0388219999999997E-2</v>
      </c>
      <c r="W15" s="302">
        <v>7.1399999999999991E-2</v>
      </c>
      <c r="X15" s="302">
        <v>7.1712049999999999E-2</v>
      </c>
      <c r="Y15" s="302">
        <v>0.10412356</v>
      </c>
      <c r="Z15" s="302">
        <v>3.7037589999999995E-2</v>
      </c>
      <c r="AA15" s="302">
        <v>-3.3700000000000001E-2</v>
      </c>
      <c r="AB15" s="302">
        <v>1.8500000000000003E-2</v>
      </c>
      <c r="AC15" s="302">
        <v>4.5543790000000001E-2</v>
      </c>
      <c r="AD15" s="302">
        <v>8.938660000000001E-2</v>
      </c>
      <c r="AE15" s="302">
        <v>0.13555761</v>
      </c>
      <c r="AF15" s="302">
        <v>0.17445779000000003</v>
      </c>
      <c r="AG15" s="302">
        <v>0.22281779000000002</v>
      </c>
      <c r="AH15" s="302">
        <v>0.2354</v>
      </c>
      <c r="AI15" s="302">
        <v>0.83260000000000001</v>
      </c>
      <c r="AJ15" s="302">
        <v>9.6966079999999996E-2</v>
      </c>
      <c r="AK15" s="302">
        <v>-0.10168952000000001</v>
      </c>
      <c r="AL15" s="302">
        <v>-0.16933430000000002</v>
      </c>
      <c r="AM15" s="302">
        <v>-0.15333227000000002</v>
      </c>
      <c r="AN15" s="302">
        <v>-7.0098930000000004E-2</v>
      </c>
      <c r="AO15" s="302">
        <v>-8.9153219999999991E-2</v>
      </c>
      <c r="AP15" s="302">
        <v>-5.0529890000000001E-2</v>
      </c>
      <c r="AQ15" s="302">
        <v>-9.094592E-2</v>
      </c>
      <c r="AR15" s="302">
        <v>-5.7004570000000004E-2</v>
      </c>
      <c r="AS15" s="302">
        <v>-0.21402847999999999</v>
      </c>
      <c r="AT15" s="302">
        <v>-0.15406412999999999</v>
      </c>
      <c r="AU15" s="302">
        <v>-9.8144100000000008E-3</v>
      </c>
      <c r="AV15" s="302">
        <v>-0.20497865000000001</v>
      </c>
      <c r="AW15" s="302">
        <v>-0.14799426999999998</v>
      </c>
      <c r="AX15" s="302">
        <v>-6.2600519999999993E-2</v>
      </c>
      <c r="AY15" s="302">
        <v>1.7000000000000001E-3</v>
      </c>
    </row>
    <row r="16" spans="1:121" x14ac:dyDescent="0.2">
      <c r="A16" s="303">
        <v>30011</v>
      </c>
      <c r="B16" s="302">
        <v>3.7235959999999999E-2</v>
      </c>
      <c r="C16" s="302">
        <v>3.1198980000000001E-2</v>
      </c>
      <c r="D16" s="302">
        <v>4.569343E-2</v>
      </c>
      <c r="E16" s="302">
        <v>3.4214340000000003E-2</v>
      </c>
      <c r="F16" s="302">
        <v>4.412452E-2</v>
      </c>
      <c r="G16" s="302">
        <v>2.025097E-2</v>
      </c>
      <c r="H16" s="302">
        <v>1.3073090000000001E-2</v>
      </c>
      <c r="I16" s="302">
        <v>2.5455990000000001E-2</v>
      </c>
      <c r="J16" s="302">
        <v>1.0171989999999999E-2</v>
      </c>
      <c r="K16" s="302">
        <v>4.3958750000000005E-2</v>
      </c>
      <c r="L16" s="302">
        <v>-3.7531160000000001E-2</v>
      </c>
      <c r="M16" s="302">
        <v>-5.5364760000000006E-2</v>
      </c>
      <c r="N16" s="302">
        <v>-0.17695091999999998</v>
      </c>
      <c r="O16" s="302">
        <v>-0.12689286</v>
      </c>
      <c r="P16" s="302">
        <v>6.5183000000000003E-3</v>
      </c>
      <c r="Q16" s="302">
        <v>2.3215089999999997E-2</v>
      </c>
      <c r="R16" s="302">
        <v>-4.2488669999999999E-2</v>
      </c>
      <c r="S16" s="302">
        <v>-0.23813825000000002</v>
      </c>
      <c r="T16" s="302">
        <v>-0.13405623999999999</v>
      </c>
      <c r="U16" s="302">
        <v>-0.13404892000000002</v>
      </c>
      <c r="V16" s="302">
        <v>-0.14857307</v>
      </c>
      <c r="W16" s="302">
        <v>2.8999999999999998E-2</v>
      </c>
      <c r="X16" s="302">
        <v>5.3269169999999998E-2</v>
      </c>
      <c r="Y16" s="302">
        <v>-0.15254500999999998</v>
      </c>
      <c r="Z16" s="302">
        <v>-0.30083157999999999</v>
      </c>
      <c r="AA16" s="302">
        <v>5.3099999999999994E-2</v>
      </c>
      <c r="AB16" s="302">
        <v>1.6899999999999998E-2</v>
      </c>
      <c r="AC16" s="302">
        <v>3.7235959999999999E-2</v>
      </c>
      <c r="AD16" s="302">
        <v>3.1198980000000001E-2</v>
      </c>
      <c r="AE16" s="302">
        <v>4.569343E-2</v>
      </c>
      <c r="AF16" s="302">
        <v>2.025097E-2</v>
      </c>
      <c r="AG16" s="302">
        <v>1.3073090000000001E-2</v>
      </c>
      <c r="AH16" s="302">
        <v>7.6700000000000004E-2</v>
      </c>
      <c r="AI16" s="302">
        <v>-5.2499999999999998E-2</v>
      </c>
      <c r="AJ16" s="302">
        <v>4.3958750000000005E-2</v>
      </c>
      <c r="AK16" s="302">
        <v>-3.4214340000000003E-2</v>
      </c>
      <c r="AL16" s="302">
        <v>-2.5455990000000001E-2</v>
      </c>
      <c r="AM16" s="302">
        <v>6.2273180000000004E-2</v>
      </c>
      <c r="AN16" s="302">
        <v>7.2265449999999995E-2</v>
      </c>
      <c r="AO16" s="302">
        <v>8.9455449999999992E-2</v>
      </c>
      <c r="AP16" s="302">
        <v>0.17695091999999998</v>
      </c>
      <c r="AQ16" s="302">
        <v>0.14579845999999999</v>
      </c>
      <c r="AR16" s="302">
        <v>1.264066E-2</v>
      </c>
      <c r="AS16" s="302">
        <v>-1.0591699999999999E-3</v>
      </c>
      <c r="AT16" s="302">
        <v>6.1644730000000002E-2</v>
      </c>
      <c r="AU16" s="302">
        <v>0.25345579000000001</v>
      </c>
      <c r="AV16" s="302">
        <v>0.15280673</v>
      </c>
      <c r="AW16" s="302">
        <v>0.15372412000000002</v>
      </c>
      <c r="AX16" s="302">
        <v>0.16791827000000001</v>
      </c>
      <c r="AY16" s="302">
        <v>2.5999999999999999E-3</v>
      </c>
    </row>
    <row r="17" spans="1:51" x14ac:dyDescent="0.2">
      <c r="A17" s="303">
        <v>30103</v>
      </c>
      <c r="B17" s="302">
        <v>3.8658329999999998E-2</v>
      </c>
      <c r="C17" s="302">
        <v>2.7524400000000001E-2</v>
      </c>
      <c r="D17" s="302">
        <v>1.8706259999999999E-2</v>
      </c>
      <c r="E17" s="302">
        <v>2.9094699999999998E-2</v>
      </c>
      <c r="F17" s="302">
        <v>3.065915E-2</v>
      </c>
      <c r="G17" s="302">
        <v>-5.3317999999999996E-4</v>
      </c>
      <c r="H17" s="302">
        <v>-1.2805830000000001E-2</v>
      </c>
      <c r="I17" s="302">
        <v>-2.2588999999999999E-3</v>
      </c>
      <c r="J17" s="302">
        <v>-7.9714700000000013E-3</v>
      </c>
      <c r="K17" s="302">
        <v>-4.4025019999999998E-2</v>
      </c>
      <c r="L17" s="302">
        <v>4.4456889999999999E-2</v>
      </c>
      <c r="M17" s="302">
        <v>4.19712E-2</v>
      </c>
      <c r="N17" s="302">
        <v>-0.12654301000000001</v>
      </c>
      <c r="O17" s="302">
        <v>3.2138390000000003E-2</v>
      </c>
      <c r="P17" s="302">
        <v>-3.3450679999999997E-2</v>
      </c>
      <c r="Q17" s="302">
        <v>4.2391980000000003E-2</v>
      </c>
      <c r="R17" s="302">
        <v>-7.4439350000000001E-2</v>
      </c>
      <c r="S17" s="302">
        <v>6.8261710000000003E-2</v>
      </c>
      <c r="T17" s="302">
        <v>7.1199799999999994E-2</v>
      </c>
      <c r="U17" s="302">
        <v>2.3953449999999998E-2</v>
      </c>
      <c r="V17" s="302">
        <v>4.013829E-2</v>
      </c>
      <c r="W17" s="302">
        <v>1.72E-2</v>
      </c>
      <c r="X17" s="302">
        <v>2.719682E-2</v>
      </c>
      <c r="Y17" s="302">
        <v>-1.9383790000000001E-2</v>
      </c>
      <c r="Z17" s="302">
        <v>-6.7914920000000004E-2</v>
      </c>
      <c r="AA17" s="302">
        <v>2.9600000000000001E-2</v>
      </c>
      <c r="AB17" s="302">
        <v>-1.3000000000000001E-2</v>
      </c>
      <c r="AC17" s="302">
        <v>3.8658329999999998E-2</v>
      </c>
      <c r="AD17" s="302">
        <v>2.7524400000000001E-2</v>
      </c>
      <c r="AE17" s="302">
        <v>1.8706259999999999E-2</v>
      </c>
      <c r="AF17" s="302">
        <v>-5.3317999999999996E-4</v>
      </c>
      <c r="AG17" s="302">
        <v>-1.2805830000000001E-2</v>
      </c>
      <c r="AH17" s="302">
        <v>-4.3700000000000003E-2</v>
      </c>
      <c r="AI17" s="302">
        <v>-0.12359999999999999</v>
      </c>
      <c r="AJ17" s="302">
        <v>-4.4025019999999998E-2</v>
      </c>
      <c r="AK17" s="302">
        <v>-2.9094699999999998E-2</v>
      </c>
      <c r="AL17" s="302">
        <v>2.2588999999999999E-3</v>
      </c>
      <c r="AM17" s="302">
        <v>5.1012290000000002E-2</v>
      </c>
      <c r="AN17" s="302">
        <v>6.1908099999999997E-3</v>
      </c>
      <c r="AO17" s="302">
        <v>8.5559700000000013E-3</v>
      </c>
      <c r="AP17" s="302">
        <v>0.12654301000000001</v>
      </c>
      <c r="AQ17" s="302">
        <v>-2.1081799999999999E-3</v>
      </c>
      <c r="AR17" s="302">
        <v>5.7634230000000002E-2</v>
      </c>
      <c r="AS17" s="302">
        <v>-1.2063440000000002E-2</v>
      </c>
      <c r="AT17" s="302">
        <v>0.10205007999999999</v>
      </c>
      <c r="AU17" s="302">
        <v>-3.9739969999999999E-2</v>
      </c>
      <c r="AV17" s="302">
        <v>-4.003309E-2</v>
      </c>
      <c r="AW17" s="302">
        <v>7.55034E-3</v>
      </c>
      <c r="AX17" s="302">
        <v>-8.1365399999999994E-3</v>
      </c>
      <c r="AY17" s="302">
        <v>3.4999999999999996E-3</v>
      </c>
    </row>
    <row r="18" spans="1:51" x14ac:dyDescent="0.2">
      <c r="A18" s="303">
        <v>30195</v>
      </c>
      <c r="B18" s="302">
        <v>3.7548129999999999E-2</v>
      </c>
      <c r="C18" s="302">
        <v>0.10821146000000001</v>
      </c>
      <c r="D18" s="302">
        <v>0.20271452000000001</v>
      </c>
      <c r="E18" s="302">
        <v>0.12438587999999999</v>
      </c>
      <c r="F18" s="302">
        <v>0.20669510999999999</v>
      </c>
      <c r="G18" s="302">
        <v>0.16715637</v>
      </c>
      <c r="H18" s="302">
        <v>0.23370674000000002</v>
      </c>
      <c r="I18" s="302">
        <v>0.19345298</v>
      </c>
      <c r="J18" s="302">
        <v>0.23688095000000001</v>
      </c>
      <c r="K18" s="302">
        <v>2.8890010000000001E-2</v>
      </c>
      <c r="L18" s="302">
        <v>6.5726160000000006E-2</v>
      </c>
      <c r="M18" s="302">
        <v>7.2937059999999998E-2</v>
      </c>
      <c r="N18" s="302">
        <v>0.18671015000000002</v>
      </c>
      <c r="O18" s="302">
        <v>-0.11793314000000001</v>
      </c>
      <c r="P18" s="302">
        <v>-2.7257669999999998E-2</v>
      </c>
      <c r="Q18" s="302">
        <v>5.7248260000000002E-2</v>
      </c>
      <c r="R18" s="302">
        <v>-3.7946849999999997E-2</v>
      </c>
      <c r="S18" s="302">
        <v>-3.3650859999999998E-2</v>
      </c>
      <c r="T18" s="302">
        <v>-0.21341441999999999</v>
      </c>
      <c r="U18" s="302">
        <v>-0.17924213000000003</v>
      </c>
      <c r="V18" s="302">
        <v>-0.18756062000000001</v>
      </c>
      <c r="W18" s="302">
        <v>1.66E-2</v>
      </c>
      <c r="X18" s="302">
        <v>5.1869899999999997E-2</v>
      </c>
      <c r="Y18" s="302">
        <v>0.10343023999999999</v>
      </c>
      <c r="Z18" s="302">
        <v>0.15549376000000001</v>
      </c>
      <c r="AA18" s="302">
        <v>0.14679999999999999</v>
      </c>
      <c r="AB18" s="302">
        <v>-1.5E-3</v>
      </c>
      <c r="AC18" s="302">
        <v>3.7548129999999999E-2</v>
      </c>
      <c r="AD18" s="302">
        <v>0.10821146000000001</v>
      </c>
      <c r="AE18" s="302">
        <v>0.20271452000000001</v>
      </c>
      <c r="AF18" s="302">
        <v>0.16715637</v>
      </c>
      <c r="AG18" s="302">
        <v>0.23370674000000002</v>
      </c>
      <c r="AH18" s="302">
        <v>0.35920000000000002</v>
      </c>
      <c r="AI18" s="302">
        <v>0.26269999999999999</v>
      </c>
      <c r="AJ18" s="302">
        <v>2.8890010000000001E-2</v>
      </c>
      <c r="AK18" s="302">
        <v>-0.12438587999999999</v>
      </c>
      <c r="AL18" s="302">
        <v>-0.19345298</v>
      </c>
      <c r="AM18" s="302">
        <v>3.934116E-2</v>
      </c>
      <c r="AN18" s="302">
        <v>-0.11460319000000001</v>
      </c>
      <c r="AO18" s="302">
        <v>-0.12214479</v>
      </c>
      <c r="AP18" s="302">
        <v>-0.18671015000000002</v>
      </c>
      <c r="AQ18" s="302">
        <v>9.3660779999999999E-2</v>
      </c>
      <c r="AR18" s="302">
        <v>4.3883000000000004E-3</v>
      </c>
      <c r="AS18" s="302">
        <v>-8.6341189999999998E-2</v>
      </c>
      <c r="AT18" s="302">
        <v>8.1037599999999998E-3</v>
      </c>
      <c r="AU18" s="302">
        <v>9.4242600000000003E-3</v>
      </c>
      <c r="AV18" s="302">
        <v>0.19176947999999999</v>
      </c>
      <c r="AW18" s="302">
        <v>0.15537144</v>
      </c>
      <c r="AX18" s="302">
        <v>0.16393186000000001</v>
      </c>
      <c r="AY18" s="302">
        <v>2.5000000000000001E-3</v>
      </c>
    </row>
    <row r="19" spans="1:51" x14ac:dyDescent="0.2">
      <c r="A19" s="303">
        <v>30286</v>
      </c>
      <c r="B19" s="302">
        <v>2.999483E-2</v>
      </c>
      <c r="C19" s="302">
        <v>6.8054370000000003E-2</v>
      </c>
      <c r="D19" s="302">
        <v>0.10892528</v>
      </c>
      <c r="E19" s="302">
        <v>8.6500730000000012E-2</v>
      </c>
      <c r="F19" s="302">
        <v>0.11296178</v>
      </c>
      <c r="G19" s="302">
        <v>0.13033281999999999</v>
      </c>
      <c r="H19" s="302">
        <v>0.18287924</v>
      </c>
      <c r="I19" s="302">
        <v>0.12878099000000001</v>
      </c>
      <c r="J19" s="302">
        <v>0.16458804000000002</v>
      </c>
      <c r="K19" s="302">
        <v>8.4624349999999987E-2</v>
      </c>
      <c r="L19" s="302">
        <v>0.17482924</v>
      </c>
      <c r="M19" s="302">
        <v>0.24360506000000001</v>
      </c>
      <c r="N19" s="302">
        <v>0.23711165999999997</v>
      </c>
      <c r="O19" s="302">
        <v>0.29435386000000002</v>
      </c>
      <c r="P19" s="302">
        <v>0.12364169999999999</v>
      </c>
      <c r="Q19" s="302">
        <v>1.1232E-3</v>
      </c>
      <c r="R19" s="302">
        <v>0.24895593000000002</v>
      </c>
      <c r="S19" s="302">
        <v>2.268498E-2</v>
      </c>
      <c r="T19" s="302">
        <v>-1.219187E-2</v>
      </c>
      <c r="U19" s="302">
        <v>2.7632460000000001E-2</v>
      </c>
      <c r="V19" s="302">
        <v>-3.7911799999999999E-3</v>
      </c>
      <c r="W19" s="302">
        <v>3.2099999999999997E-2</v>
      </c>
      <c r="X19" s="302">
        <v>3.3251759999999998E-2</v>
      </c>
      <c r="Y19" s="302">
        <v>0.25369255000000002</v>
      </c>
      <c r="Z19" s="302">
        <v>-1.521749E-2</v>
      </c>
      <c r="AA19" s="302">
        <v>1.0500000000000001E-2</v>
      </c>
      <c r="AB19" s="302">
        <v>2.2599999999999999E-2</v>
      </c>
      <c r="AC19" s="302">
        <v>2.999483E-2</v>
      </c>
      <c r="AD19" s="302">
        <v>6.8054370000000003E-2</v>
      </c>
      <c r="AE19" s="302">
        <v>0.10892528</v>
      </c>
      <c r="AF19" s="302">
        <v>0.13033281999999999</v>
      </c>
      <c r="AG19" s="302">
        <v>0.18287924</v>
      </c>
      <c r="AH19" s="302">
        <v>0.4829</v>
      </c>
      <c r="AI19" s="302">
        <v>0.9215000000000001</v>
      </c>
      <c r="AJ19" s="302">
        <v>8.4624349999999987E-2</v>
      </c>
      <c r="AK19" s="302">
        <v>-8.6500730000000012E-2</v>
      </c>
      <c r="AL19" s="302">
        <v>-0.12878099000000001</v>
      </c>
      <c r="AM19" s="302">
        <v>-0.23586673999999999</v>
      </c>
      <c r="AN19" s="302">
        <v>-0.18142292000000002</v>
      </c>
      <c r="AO19" s="302">
        <v>-0.25058474000000003</v>
      </c>
      <c r="AP19" s="302">
        <v>-0.23711165999999997</v>
      </c>
      <c r="AQ19" s="302">
        <v>-0.29871257000000001</v>
      </c>
      <c r="AR19" s="302">
        <v>-0.12670669000000001</v>
      </c>
      <c r="AS19" s="302">
        <v>-4.4944600000000005E-3</v>
      </c>
      <c r="AT19" s="302">
        <v>-0.25735913999999999</v>
      </c>
      <c r="AU19" s="302">
        <v>-2.573541E-2</v>
      </c>
      <c r="AV19" s="302">
        <v>8.8654500000000004E-3</v>
      </c>
      <c r="AW19" s="302">
        <v>-3.135524E-2</v>
      </c>
      <c r="AX19" s="302">
        <v>1.8224000000000002E-4</v>
      </c>
      <c r="AY19" s="302">
        <v>1.6000000000000001E-3</v>
      </c>
    </row>
    <row r="20" spans="1:51" x14ac:dyDescent="0.2">
      <c r="A20" s="303">
        <v>30376</v>
      </c>
      <c r="B20" s="302">
        <v>2.4109569999999997E-2</v>
      </c>
      <c r="C20" s="302">
        <v>2.3529420000000002E-2</v>
      </c>
      <c r="D20" s="302">
        <v>1.4366550000000001E-2</v>
      </c>
      <c r="E20" s="302">
        <v>4.7714740000000005E-2</v>
      </c>
      <c r="F20" s="302">
        <v>5.643542E-2</v>
      </c>
      <c r="G20" s="302">
        <v>2.4472170000000001E-2</v>
      </c>
      <c r="H20" s="302">
        <v>1.9339660000000002E-2</v>
      </c>
      <c r="I20" s="302">
        <v>4.8851079999999998E-2</v>
      </c>
      <c r="J20" s="302">
        <v>4.2332359999999999E-2</v>
      </c>
      <c r="K20" s="302">
        <v>1.5209209999999999E-2</v>
      </c>
      <c r="L20" s="302">
        <v>0.10448497</v>
      </c>
      <c r="M20" s="302">
        <v>0.15763629999999998</v>
      </c>
      <c r="N20" s="302">
        <v>0.11220706</v>
      </c>
      <c r="O20" s="302">
        <v>3.2068239999999998E-2</v>
      </c>
      <c r="P20" s="302">
        <v>0.19920497000000001</v>
      </c>
      <c r="Q20" s="302">
        <v>6.9282699999999994E-3</v>
      </c>
      <c r="R20" s="302">
        <v>3.1046809999999998E-2</v>
      </c>
      <c r="S20" s="302">
        <v>-3.6039229999999998E-2</v>
      </c>
      <c r="T20" s="302">
        <v>0.20554539999999999</v>
      </c>
      <c r="U20" s="302">
        <v>0.14808695999999999</v>
      </c>
      <c r="V20" s="302">
        <v>5.002935E-2</v>
      </c>
      <c r="W20" s="302">
        <v>1.5100000000000001E-2</v>
      </c>
      <c r="X20" s="302">
        <v>3.8026800000000001E-3</v>
      </c>
      <c r="Y20" s="302">
        <v>0.12970976000000001</v>
      </c>
      <c r="Z20" s="302">
        <v>4.5088999999999997E-2</v>
      </c>
      <c r="AA20" s="302">
        <v>3.5499999999999997E-2</v>
      </c>
      <c r="AB20" s="302">
        <v>2.3E-2</v>
      </c>
      <c r="AC20" s="302">
        <v>2.4109569999999997E-2</v>
      </c>
      <c r="AD20" s="302">
        <v>2.3529420000000002E-2</v>
      </c>
      <c r="AE20" s="302">
        <v>1.4366550000000001E-2</v>
      </c>
      <c r="AF20" s="302">
        <v>2.4472170000000001E-2</v>
      </c>
      <c r="AG20" s="302">
        <v>1.9339660000000002E-2</v>
      </c>
      <c r="AH20" s="302">
        <v>-8.2699999999999996E-2</v>
      </c>
      <c r="AI20" s="302">
        <v>-6.2800000000000009E-2</v>
      </c>
      <c r="AJ20" s="302">
        <v>1.5209209999999999E-2</v>
      </c>
      <c r="AK20" s="302">
        <v>-4.7714740000000005E-2</v>
      </c>
      <c r="AL20" s="302">
        <v>-4.8851079999999998E-2</v>
      </c>
      <c r="AM20" s="302">
        <v>6.7047999999999999E-4</v>
      </c>
      <c r="AN20" s="302">
        <v>-0.10045703</v>
      </c>
      <c r="AO20" s="302">
        <v>-0.15341451</v>
      </c>
      <c r="AP20" s="302">
        <v>-0.11220706</v>
      </c>
      <c r="AQ20" s="302">
        <v>-2.9809929999999998E-2</v>
      </c>
      <c r="AR20" s="302">
        <v>-0.19722021000000001</v>
      </c>
      <c r="AS20" s="302">
        <v>-4.7249700000000002E-3</v>
      </c>
      <c r="AT20" s="302">
        <v>-2.4773130000000001E-2</v>
      </c>
      <c r="AU20" s="302">
        <v>3.7840650000000003E-2</v>
      </c>
      <c r="AV20" s="302">
        <v>-0.20290749999999999</v>
      </c>
      <c r="AW20" s="302">
        <v>-0.14532956999999999</v>
      </c>
      <c r="AX20" s="302">
        <v>-4.7507469999999996E-2</v>
      </c>
      <c r="AY20" s="302">
        <v>1.1000000000000001E-3</v>
      </c>
    </row>
    <row r="21" spans="1:51" x14ac:dyDescent="0.2">
      <c r="A21" s="303">
        <v>30468</v>
      </c>
      <c r="B21" s="302">
        <v>2.26676E-2</v>
      </c>
      <c r="C21" s="302">
        <v>1.610077E-2</v>
      </c>
      <c r="D21" s="302">
        <v>4.3992099999999998E-3</v>
      </c>
      <c r="E21" s="302">
        <v>1.995655E-2</v>
      </c>
      <c r="F21" s="302">
        <v>1.9627019999999998E-2</v>
      </c>
      <c r="G21" s="302">
        <v>2.5936689999999998E-2</v>
      </c>
      <c r="H21" s="302">
        <v>4.4029720000000001E-2</v>
      </c>
      <c r="I21" s="302">
        <v>4.1551829999999998E-2</v>
      </c>
      <c r="J21" s="302">
        <v>5.2415209999999997E-2</v>
      </c>
      <c r="K21" s="302">
        <v>2.2838690000000002E-2</v>
      </c>
      <c r="L21" s="302">
        <v>0.10514469999999999</v>
      </c>
      <c r="M21" s="302">
        <v>0.16864983</v>
      </c>
      <c r="N21" s="302">
        <v>0.14484188000000001</v>
      </c>
      <c r="O21" s="302">
        <v>5.7149650000000003E-2</v>
      </c>
      <c r="P21" s="302">
        <v>2.8861439999999999E-2</v>
      </c>
      <c r="Q21" s="302">
        <v>0.18029582999999999</v>
      </c>
      <c r="R21" s="302">
        <v>3.2869900000000001E-2</v>
      </c>
      <c r="S21" s="302">
        <v>0.19983304000000002</v>
      </c>
      <c r="T21" s="302">
        <v>1.0217160000000001E-2</v>
      </c>
      <c r="U21" s="302">
        <v>7.0543069999999999E-2</v>
      </c>
      <c r="V21" s="302">
        <v>5.8706719999999997E-2</v>
      </c>
      <c r="W21" s="302">
        <v>2.4199999999999999E-2</v>
      </c>
      <c r="X21" s="302">
        <v>-9.3395100000000005E-3</v>
      </c>
      <c r="Y21" s="302">
        <v>0.19046204999999999</v>
      </c>
      <c r="Z21" s="302">
        <v>0.34012008999999999</v>
      </c>
      <c r="AA21" s="302">
        <v>6.9099999999999995E-2</v>
      </c>
      <c r="AB21" s="302">
        <v>2.5000000000000001E-2</v>
      </c>
      <c r="AC21" s="302">
        <v>2.26676E-2</v>
      </c>
      <c r="AD21" s="302">
        <v>1.610077E-2</v>
      </c>
      <c r="AE21" s="302">
        <v>4.3992099999999998E-3</v>
      </c>
      <c r="AF21" s="302">
        <v>2.5936689999999998E-2</v>
      </c>
      <c r="AG21" s="302">
        <v>4.4029720000000001E-2</v>
      </c>
      <c r="AH21" s="302">
        <v>-9.7799999999999998E-2</v>
      </c>
      <c r="AI21" s="302">
        <v>0.21179999999999999</v>
      </c>
      <c r="AJ21" s="302">
        <v>2.2838690000000002E-2</v>
      </c>
      <c r="AK21" s="302">
        <v>-1.995655E-2</v>
      </c>
      <c r="AL21" s="302">
        <v>-4.1551829999999998E-2</v>
      </c>
      <c r="AM21" s="302">
        <v>-2.6264010000000001E-2</v>
      </c>
      <c r="AN21" s="302">
        <v>-0.1110877</v>
      </c>
      <c r="AO21" s="302">
        <v>-0.17493433</v>
      </c>
      <c r="AP21" s="302">
        <v>-0.14484188000000001</v>
      </c>
      <c r="AQ21" s="302">
        <v>-6.0560600000000006E-2</v>
      </c>
      <c r="AR21" s="302">
        <v>-2.7660399999999998E-2</v>
      </c>
      <c r="AS21" s="302">
        <v>-0.18410410999999999</v>
      </c>
      <c r="AT21" s="302">
        <v>-2.5465810000000002E-2</v>
      </c>
      <c r="AU21" s="302">
        <v>-0.20053441</v>
      </c>
      <c r="AV21" s="302">
        <v>-1.3476680000000001E-2</v>
      </c>
      <c r="AW21" s="302">
        <v>-7.5880970000000006E-2</v>
      </c>
      <c r="AX21" s="302">
        <v>-6.3985600000000004E-2</v>
      </c>
      <c r="AY21" s="302">
        <v>5.0000000000000001E-4</v>
      </c>
    </row>
    <row r="22" spans="1:51" x14ac:dyDescent="0.2">
      <c r="A22" s="303">
        <v>30560</v>
      </c>
      <c r="B22" s="302">
        <v>2.2586339999999996E-2</v>
      </c>
      <c r="C22" s="302">
        <v>2.0465480000000001E-2</v>
      </c>
      <c r="D22" s="302">
        <v>2.0831299999999999E-3</v>
      </c>
      <c r="E22" s="302">
        <v>1.505075E-2</v>
      </c>
      <c r="F22" s="302">
        <v>4.2440500000000001E-3</v>
      </c>
      <c r="G22" s="302">
        <v>1.7664240000000001E-2</v>
      </c>
      <c r="H22" s="302">
        <v>1.5945819999999999E-2</v>
      </c>
      <c r="I22" s="302">
        <v>2.2932030000000003E-2</v>
      </c>
      <c r="J22" s="302">
        <v>2.045201E-2</v>
      </c>
      <c r="K22" s="302">
        <v>3.3474419999999998E-2</v>
      </c>
      <c r="L22" s="302">
        <v>2.6343199999999999E-3</v>
      </c>
      <c r="M22" s="302">
        <v>-2.4697079999999996E-2</v>
      </c>
      <c r="N22" s="302">
        <v>2.9559220000000001E-2</v>
      </c>
      <c r="O22" s="302">
        <v>8.0998570000000006E-2</v>
      </c>
      <c r="P22" s="302">
        <v>6.8409299999999994E-3</v>
      </c>
      <c r="Q22" s="302">
        <v>-3.8326119999999998E-2</v>
      </c>
      <c r="R22" s="302">
        <v>3.2644499999999999E-3</v>
      </c>
      <c r="S22" s="302">
        <v>0.22167801000000001</v>
      </c>
      <c r="T22" s="302">
        <v>-0.15894759999999999</v>
      </c>
      <c r="U22" s="302">
        <v>-0.11360348999999999</v>
      </c>
      <c r="V22" s="302">
        <v>-7.6753979999999999E-2</v>
      </c>
      <c r="W22" s="302">
        <v>0.03</v>
      </c>
      <c r="X22" s="302">
        <v>6.0387510000000005E-2</v>
      </c>
      <c r="Y22" s="302">
        <v>-5.4387890000000001E-2</v>
      </c>
      <c r="Z22" s="302">
        <v>7.4384399999999993E-3</v>
      </c>
      <c r="AA22" s="302">
        <v>3.9100000000000003E-2</v>
      </c>
      <c r="AB22" s="302">
        <v>8.199999999999999E-3</v>
      </c>
      <c r="AC22" s="302">
        <v>2.2586339999999996E-2</v>
      </c>
      <c r="AD22" s="302">
        <v>2.0465480000000001E-2</v>
      </c>
      <c r="AE22" s="302">
        <v>2.0831299999999999E-3</v>
      </c>
      <c r="AF22" s="302">
        <v>1.7664240000000001E-2</v>
      </c>
      <c r="AG22" s="302">
        <v>1.5945819999999999E-2</v>
      </c>
      <c r="AH22" s="302">
        <v>-0.10009999999999999</v>
      </c>
      <c r="AI22" s="302">
        <v>-9.9900000000000003E-2</v>
      </c>
      <c r="AJ22" s="302">
        <v>3.3474419999999998E-2</v>
      </c>
      <c r="AK22" s="302">
        <v>-1.505075E-2</v>
      </c>
      <c r="AL22" s="302">
        <v>-2.2932030000000003E-2</v>
      </c>
      <c r="AM22" s="302">
        <v>-4.3555380000000005E-2</v>
      </c>
      <c r="AN22" s="302">
        <v>1.4338200000000001E-3</v>
      </c>
      <c r="AO22" s="302">
        <v>2.865432E-2</v>
      </c>
      <c r="AP22" s="302">
        <v>-2.9559220000000001E-2</v>
      </c>
      <c r="AQ22" s="302">
        <v>-7.8366909999999998E-2</v>
      </c>
      <c r="AR22" s="302">
        <v>-8.12972E-3</v>
      </c>
      <c r="AS22" s="302">
        <v>4.0667289999999995E-2</v>
      </c>
      <c r="AT22" s="302">
        <v>-5.8407500000000005E-3</v>
      </c>
      <c r="AU22" s="302">
        <v>-0.22142219000000002</v>
      </c>
      <c r="AV22" s="302">
        <v>0.16099512000000002</v>
      </c>
      <c r="AW22" s="302">
        <v>0.11707672000000001</v>
      </c>
      <c r="AX22" s="302">
        <v>8.0371600000000001E-2</v>
      </c>
      <c r="AY22" s="302">
        <v>8.9999999999999998E-4</v>
      </c>
    </row>
    <row r="23" spans="1:51" x14ac:dyDescent="0.2">
      <c r="A23" s="303">
        <v>30651</v>
      </c>
      <c r="B23" s="302">
        <v>2.2948529999999998E-2</v>
      </c>
      <c r="C23" s="302">
        <v>1.967414E-2</v>
      </c>
      <c r="D23" s="302">
        <v>1.33248E-3</v>
      </c>
      <c r="E23" s="302">
        <v>2.0140910000000001E-2</v>
      </c>
      <c r="F23" s="302">
        <v>1.3583E-3</v>
      </c>
      <c r="G23" s="302">
        <v>2.441161E-2</v>
      </c>
      <c r="H23" s="302">
        <v>1.043703E-2</v>
      </c>
      <c r="I23" s="302">
        <v>7.2107200000000003E-3</v>
      </c>
      <c r="J23" s="302">
        <v>7.2343299999999998E-3</v>
      </c>
      <c r="K23" s="302">
        <v>4.2997550000000002E-2</v>
      </c>
      <c r="L23" s="302">
        <v>1.3281989999999999E-2</v>
      </c>
      <c r="M23" s="302">
        <v>-2.0564160000000001E-2</v>
      </c>
      <c r="N23" s="302">
        <v>3.3511489999999998E-2</v>
      </c>
      <c r="O23" s="302">
        <v>8.9055229999999999E-2</v>
      </c>
      <c r="P23" s="302">
        <v>4.062056E-2</v>
      </c>
      <c r="Q23" s="302">
        <v>4.0276509999999995E-2</v>
      </c>
      <c r="R23" s="302">
        <v>0.13579603000000001</v>
      </c>
      <c r="S23" s="302">
        <v>0.11574268</v>
      </c>
      <c r="T23" s="302">
        <v>0.14675827</v>
      </c>
      <c r="U23" s="302">
        <v>9.1614360000000006E-2</v>
      </c>
      <c r="V23" s="302">
        <v>0.16442230999999999</v>
      </c>
      <c r="W23" s="302">
        <v>5.2699999999999997E-2</v>
      </c>
      <c r="X23" s="302">
        <v>5.0420079999999999E-2</v>
      </c>
      <c r="Y23" s="302">
        <v>-6.3703170000000003E-2</v>
      </c>
      <c r="Z23" s="302">
        <v>-6.0931340000000001E-2</v>
      </c>
      <c r="AA23" s="302">
        <v>-1.3600000000000001E-2</v>
      </c>
      <c r="AB23" s="302">
        <v>3.6299999999999999E-2</v>
      </c>
      <c r="AC23" s="302">
        <v>2.2948529999999998E-2</v>
      </c>
      <c r="AD23" s="302">
        <v>1.967414E-2</v>
      </c>
      <c r="AE23" s="302">
        <v>1.33248E-3</v>
      </c>
      <c r="AF23" s="302">
        <v>2.441161E-2</v>
      </c>
      <c r="AG23" s="302">
        <v>1.043703E-2</v>
      </c>
      <c r="AH23" s="302">
        <v>-0.12590000000000001</v>
      </c>
      <c r="AI23" s="302">
        <v>-4.2599999999999999E-2</v>
      </c>
      <c r="AJ23" s="302">
        <v>4.2997550000000002E-2</v>
      </c>
      <c r="AK23" s="302">
        <v>-2.0140910000000001E-2</v>
      </c>
      <c r="AL23" s="302">
        <v>-7.2107200000000003E-3</v>
      </c>
      <c r="AM23" s="302">
        <v>-6.4931859999999994E-2</v>
      </c>
      <c r="AN23" s="302">
        <v>-3.4292899999999998E-3</v>
      </c>
      <c r="AO23" s="302">
        <v>3.008775E-2</v>
      </c>
      <c r="AP23" s="302">
        <v>-3.3511489999999998E-2</v>
      </c>
      <c r="AQ23" s="302">
        <v>-8.2701540000000004E-2</v>
      </c>
      <c r="AR23" s="302">
        <v>-3.4839139999999998E-2</v>
      </c>
      <c r="AS23" s="302">
        <v>-3.4207410000000001E-2</v>
      </c>
      <c r="AT23" s="302">
        <v>-0.13379448999999999</v>
      </c>
      <c r="AU23" s="302">
        <v>-0.10941893</v>
      </c>
      <c r="AV23" s="302">
        <v>-0.14006793000000001</v>
      </c>
      <c r="AW23" s="302">
        <v>-8.5123510000000013E-2</v>
      </c>
      <c r="AX23" s="302">
        <v>-0.15749853999999999</v>
      </c>
      <c r="AY23" s="302">
        <v>1.1999999999999999E-3</v>
      </c>
    </row>
    <row r="24" spans="1:51" x14ac:dyDescent="0.2">
      <c r="A24" s="303">
        <v>30742</v>
      </c>
      <c r="B24" s="302">
        <v>2.3897659999999998E-2</v>
      </c>
      <c r="C24" s="302">
        <v>1.0332019999999999E-2</v>
      </c>
      <c r="D24" s="302">
        <v>-1.9429330000000002E-2</v>
      </c>
      <c r="E24" s="302">
        <v>1.8410960000000001E-2</v>
      </c>
      <c r="F24" s="302">
        <v>-7.6870300000000001E-3</v>
      </c>
      <c r="G24" s="302">
        <v>-3.4654400000000002E-2</v>
      </c>
      <c r="H24" s="302">
        <v>-4.5645360000000003E-2</v>
      </c>
      <c r="I24" s="302">
        <v>-2.4705170000000002E-2</v>
      </c>
      <c r="J24" s="302">
        <v>-3.3754279999999998E-2</v>
      </c>
      <c r="K24" s="302">
        <v>3.8983730000000001E-2</v>
      </c>
      <c r="L24" s="302">
        <v>2.55595E-3</v>
      </c>
      <c r="M24" s="302">
        <v>-5.4016799999999997E-2</v>
      </c>
      <c r="N24" s="302">
        <v>-5.8441979999999998E-2</v>
      </c>
      <c r="O24" s="302">
        <v>0.26886659000000002</v>
      </c>
      <c r="P24" s="302">
        <v>0.13015924000000001</v>
      </c>
      <c r="Q24" s="302">
        <v>0.15152915</v>
      </c>
      <c r="R24" s="302">
        <v>1.803766E-2</v>
      </c>
      <c r="S24" s="302">
        <v>2.7084489999999999E-2</v>
      </c>
      <c r="T24" s="302">
        <v>8.1344600000000003E-2</v>
      </c>
      <c r="U24" s="302">
        <v>0.10098635</v>
      </c>
      <c r="V24" s="302">
        <v>0.12652864999999999</v>
      </c>
      <c r="W24" s="302">
        <v>2.7200000000000002E-2</v>
      </c>
      <c r="X24" s="302">
        <v>3.9516300000000004E-2</v>
      </c>
      <c r="Y24" s="302">
        <v>-0.03</v>
      </c>
      <c r="Z24" s="302">
        <v>-1.1782399999999999E-3</v>
      </c>
      <c r="AA24" s="302">
        <v>2.0099999999999996E-2</v>
      </c>
      <c r="AB24" s="302">
        <v>3.39E-2</v>
      </c>
      <c r="AC24" s="302">
        <v>2.3897659999999998E-2</v>
      </c>
      <c r="AD24" s="302">
        <v>1.0332019999999999E-2</v>
      </c>
      <c r="AE24" s="302">
        <v>-1.9429330000000002E-2</v>
      </c>
      <c r="AF24" s="302">
        <v>-3.4654400000000002E-2</v>
      </c>
      <c r="AG24" s="302">
        <v>-4.5645360000000003E-2</v>
      </c>
      <c r="AH24" s="302">
        <v>-0.16440000000000002</v>
      </c>
      <c r="AI24" s="302">
        <v>-9.2899999999999996E-2</v>
      </c>
      <c r="AJ24" s="302">
        <v>3.8983730000000001E-2</v>
      </c>
      <c r="AK24" s="302">
        <v>-1.8410960000000001E-2</v>
      </c>
      <c r="AL24" s="302">
        <v>2.4705170000000002E-2</v>
      </c>
      <c r="AM24" s="302">
        <v>-8.3658330000000003E-2</v>
      </c>
      <c r="AN24" s="302">
        <v>2.265518E-2</v>
      </c>
      <c r="AO24" s="302">
        <v>7.7805299999999994E-2</v>
      </c>
      <c r="AP24" s="302">
        <v>5.8441979999999998E-2</v>
      </c>
      <c r="AQ24" s="302">
        <v>-0.24972178</v>
      </c>
      <c r="AR24" s="302">
        <v>-0.11255494000000001</v>
      </c>
      <c r="AS24" s="302">
        <v>-0.13415475000000002</v>
      </c>
      <c r="AT24" s="302">
        <v>-1.4039899999999999E-3</v>
      </c>
      <c r="AU24" s="302">
        <v>-1.128963E-2</v>
      </c>
      <c r="AV24" s="302">
        <v>-6.5029149999999994E-2</v>
      </c>
      <c r="AW24" s="302">
        <v>-8.4593170000000009E-2</v>
      </c>
      <c r="AX24" s="302">
        <v>-0.10975517</v>
      </c>
      <c r="AY24" s="302">
        <v>1.6000000000000001E-3</v>
      </c>
    </row>
    <row r="25" spans="1:51" x14ac:dyDescent="0.2">
      <c r="A25" s="303">
        <v>30834</v>
      </c>
      <c r="B25" s="302">
        <v>2.5341269999999999E-2</v>
      </c>
      <c r="C25" s="302">
        <v>-5.2568099999999998E-3</v>
      </c>
      <c r="D25" s="302">
        <v>-4.9997350000000003E-2</v>
      </c>
      <c r="E25" s="302">
        <v>-1.8078129999999998E-2</v>
      </c>
      <c r="F25" s="302">
        <v>-4.3086399999999997E-2</v>
      </c>
      <c r="G25" s="302">
        <v>-1.5689379999999999E-2</v>
      </c>
      <c r="H25" s="302">
        <v>-1.0102729999999999E-2</v>
      </c>
      <c r="I25" s="302">
        <v>-1.0681989999999999E-2</v>
      </c>
      <c r="J25" s="302">
        <v>-1.7963260000000002E-2</v>
      </c>
      <c r="K25" s="302">
        <v>-1.7947279999999999E-2</v>
      </c>
      <c r="L25" s="302">
        <v>6.9360299999999993E-3</v>
      </c>
      <c r="M25" s="302">
        <v>4.6145500000000002E-3</v>
      </c>
      <c r="N25" s="302">
        <v>-5.8444940000000001E-2</v>
      </c>
      <c r="O25" s="302">
        <v>-0.10590434999999999</v>
      </c>
      <c r="P25" s="302">
        <v>-4.0832649999999998E-2</v>
      </c>
      <c r="Q25" s="302">
        <v>-7.5796450000000001E-2</v>
      </c>
      <c r="R25" s="302">
        <v>-5.7788159999999998E-2</v>
      </c>
      <c r="S25" s="302">
        <v>-0.15282861</v>
      </c>
      <c r="T25" s="302">
        <v>-9.1782520000000006E-2</v>
      </c>
      <c r="U25" s="302">
        <v>-4.1432409999999996E-2</v>
      </c>
      <c r="V25" s="302">
        <v>-5.8590289999999996E-2</v>
      </c>
      <c r="W25" s="302">
        <v>3.56E-2</v>
      </c>
      <c r="X25" s="302">
        <v>4.5228330000000004E-2</v>
      </c>
      <c r="Y25" s="302">
        <v>1.8000000000000002E-2</v>
      </c>
      <c r="Z25" s="302">
        <v>-6.7533159999999995E-2</v>
      </c>
      <c r="AA25" s="302">
        <v>5.6100000000000004E-2</v>
      </c>
      <c r="AB25" s="302">
        <v>1.9E-3</v>
      </c>
      <c r="AC25" s="302">
        <v>2.5341269999999999E-2</v>
      </c>
      <c r="AD25" s="302">
        <v>-5.2568099999999998E-3</v>
      </c>
      <c r="AE25" s="302">
        <v>-4.9997350000000003E-2</v>
      </c>
      <c r="AF25" s="302">
        <v>-1.5689379999999999E-2</v>
      </c>
      <c r="AG25" s="302">
        <v>-1.0102729999999999E-2</v>
      </c>
      <c r="AH25" s="302">
        <v>-0.17129999999999998</v>
      </c>
      <c r="AI25" s="302">
        <v>-0.12539999999999998</v>
      </c>
      <c r="AJ25" s="302">
        <v>-1.7947279999999999E-2</v>
      </c>
      <c r="AK25" s="302">
        <v>1.8078129999999998E-2</v>
      </c>
      <c r="AL25" s="302">
        <v>1.0681989999999999E-2</v>
      </c>
      <c r="AM25" s="302">
        <v>5.8567549999999996E-2</v>
      </c>
      <c r="AN25" s="302">
        <v>2.5804250000000001E-2</v>
      </c>
      <c r="AO25" s="302">
        <v>2.8050250000000002E-2</v>
      </c>
      <c r="AP25" s="302">
        <v>5.8444940000000001E-2</v>
      </c>
      <c r="AQ25" s="302">
        <v>0.12334713000000001</v>
      </c>
      <c r="AR25" s="302">
        <v>5.880784E-2</v>
      </c>
      <c r="AS25" s="302">
        <v>9.3826599999999996E-2</v>
      </c>
      <c r="AT25" s="302">
        <v>7.4689169999999999E-2</v>
      </c>
      <c r="AU25" s="302">
        <v>0.16897053000000001</v>
      </c>
      <c r="AV25" s="302">
        <v>0.1095008</v>
      </c>
      <c r="AW25" s="302">
        <v>6.0433229999999998E-2</v>
      </c>
      <c r="AX25" s="302">
        <v>7.7251010000000009E-2</v>
      </c>
      <c r="AY25" s="302">
        <v>1.9E-3</v>
      </c>
    </row>
    <row r="26" spans="1:51" x14ac:dyDescent="0.2">
      <c r="A26" s="303">
        <v>30926</v>
      </c>
      <c r="B26" s="302">
        <v>2.9618519999999999E-2</v>
      </c>
      <c r="C26" s="302">
        <v>6.4200460000000001E-2</v>
      </c>
      <c r="D26" s="302">
        <v>0.13388569</v>
      </c>
      <c r="E26" s="302">
        <v>7.5460340000000001E-2</v>
      </c>
      <c r="F26" s="302">
        <v>0.13417994</v>
      </c>
      <c r="G26" s="302">
        <v>9.5215560000000005E-2</v>
      </c>
      <c r="H26" s="302">
        <v>0.12289873</v>
      </c>
      <c r="I26" s="302">
        <v>9.3397910000000001E-2</v>
      </c>
      <c r="J26" s="302">
        <v>0.12880084</v>
      </c>
      <c r="K26" s="302">
        <v>4.1332810000000005E-2</v>
      </c>
      <c r="L26" s="302">
        <v>9.5646759999999997E-2</v>
      </c>
      <c r="M26" s="302">
        <v>7.1987629999999997E-2</v>
      </c>
      <c r="N26" s="302">
        <v>8.7089739999999999E-2</v>
      </c>
      <c r="O26" s="302">
        <v>3.7920499999999999E-3</v>
      </c>
      <c r="P26" s="302">
        <v>-1.22218E-2</v>
      </c>
      <c r="Q26" s="302">
        <v>2.229273E-2</v>
      </c>
      <c r="R26" s="302">
        <v>-2.4130189999999999E-2</v>
      </c>
      <c r="S26" s="302">
        <v>8.978883E-2</v>
      </c>
      <c r="T26" s="302">
        <v>7.0600509999999991E-2</v>
      </c>
      <c r="U26" s="302">
        <v>1.2524489999999999E-2</v>
      </c>
      <c r="V26" s="302">
        <v>9.3678999999999995E-4</v>
      </c>
      <c r="W26" s="302">
        <v>2.1000000000000001E-2</v>
      </c>
      <c r="X26" s="302">
        <v>5.3793689999999998E-2</v>
      </c>
      <c r="Y26" s="302">
        <v>-3.4000000000000002E-2</v>
      </c>
      <c r="Z26" s="302">
        <v>0.10376671999999999</v>
      </c>
      <c r="AA26" s="302">
        <v>8.6599999999999996E-2</v>
      </c>
      <c r="AB26" s="302">
        <v>-6.1999999999999998E-3</v>
      </c>
      <c r="AC26" s="302">
        <v>2.9618519999999999E-2</v>
      </c>
      <c r="AD26" s="302">
        <v>6.4200460000000001E-2</v>
      </c>
      <c r="AE26" s="302">
        <v>0.13388569</v>
      </c>
      <c r="AF26" s="302">
        <v>9.5215560000000005E-2</v>
      </c>
      <c r="AG26" s="302">
        <v>0.12289873</v>
      </c>
      <c r="AH26" s="302">
        <v>0.42520000000000002</v>
      </c>
      <c r="AI26" s="302">
        <v>0.34789999999999999</v>
      </c>
      <c r="AJ26" s="302">
        <v>4.1332810000000005E-2</v>
      </c>
      <c r="AK26" s="302">
        <v>-7.5460340000000001E-2</v>
      </c>
      <c r="AL26" s="302">
        <v>-9.3397910000000001E-2</v>
      </c>
      <c r="AM26" s="302">
        <v>-5.4033600000000003E-3</v>
      </c>
      <c r="AN26" s="302">
        <v>-9.6810569999999985E-2</v>
      </c>
      <c r="AO26" s="302">
        <v>-7.312631E-2</v>
      </c>
      <c r="AP26" s="302">
        <v>-8.7089739999999999E-2</v>
      </c>
      <c r="AQ26" s="302">
        <v>-4.4317899999999997E-3</v>
      </c>
      <c r="AR26" s="302">
        <v>1.1538980000000001E-2</v>
      </c>
      <c r="AS26" s="302">
        <v>-2.2944260000000001E-2</v>
      </c>
      <c r="AT26" s="302">
        <v>1.6045110000000001E-2</v>
      </c>
      <c r="AU26" s="302">
        <v>-9.0518660000000001E-2</v>
      </c>
      <c r="AV26" s="302">
        <v>-7.1282829999999991E-2</v>
      </c>
      <c r="AW26" s="302">
        <v>-1.314796E-2</v>
      </c>
      <c r="AX26" s="302">
        <v>-1.5531400000000002E-3</v>
      </c>
      <c r="AY26" s="302">
        <v>1.6000000000000001E-3</v>
      </c>
    </row>
    <row r="27" spans="1:51" x14ac:dyDescent="0.2">
      <c r="A27" s="303">
        <v>31017</v>
      </c>
      <c r="B27" s="302">
        <v>2.8597239999999999E-2</v>
      </c>
      <c r="C27" s="302">
        <v>6.859092E-2</v>
      </c>
      <c r="D27" s="302">
        <v>8.688208E-2</v>
      </c>
      <c r="E27" s="302">
        <v>6.8100859999999999E-2</v>
      </c>
      <c r="F27" s="302">
        <v>9.2507940000000011E-2</v>
      </c>
      <c r="G27" s="302">
        <v>9.699199E-2</v>
      </c>
      <c r="H27" s="302">
        <v>0.10145997</v>
      </c>
      <c r="I27" s="302">
        <v>9.4150290000000011E-2</v>
      </c>
      <c r="J27" s="302">
        <v>0.10046906</v>
      </c>
      <c r="K27" s="302">
        <v>5.2588969999999999E-2</v>
      </c>
      <c r="L27" s="302">
        <v>2.0208420000000001E-2</v>
      </c>
      <c r="M27" s="302">
        <v>-8.9591000000000009E-4</v>
      </c>
      <c r="N27" s="302">
        <v>1.2801670000000001E-2</v>
      </c>
      <c r="O27" s="302">
        <v>8.9516369999999998E-2</v>
      </c>
      <c r="P27" s="302">
        <v>-6.2536099999999997E-3</v>
      </c>
      <c r="Q27" s="302">
        <v>2.6070220000000002E-2</v>
      </c>
      <c r="R27" s="302">
        <v>6.72223E-3</v>
      </c>
      <c r="S27" s="302">
        <v>-2.033832E-2</v>
      </c>
      <c r="T27" s="302">
        <v>4.8803200000000005E-2</v>
      </c>
      <c r="U27" s="302">
        <v>1.57715E-3</v>
      </c>
      <c r="V27" s="302">
        <v>9.692249E-2</v>
      </c>
      <c r="W27" s="302">
        <v>3.49E-2</v>
      </c>
      <c r="X27" s="302">
        <v>5.6953170000000004E-2</v>
      </c>
      <c r="Y27" s="302">
        <v>-1.3000000000000001E-2</v>
      </c>
      <c r="Z27" s="302">
        <v>-0.14613185000000001</v>
      </c>
      <c r="AA27" s="302">
        <v>3.8300000000000001E-2</v>
      </c>
      <c r="AB27" s="302">
        <v>2.7900000000000001E-2</v>
      </c>
      <c r="AC27" s="302">
        <v>2.8597239999999999E-2</v>
      </c>
      <c r="AD27" s="302">
        <v>6.859092E-2</v>
      </c>
      <c r="AE27" s="302">
        <v>8.688208E-2</v>
      </c>
      <c r="AF27" s="302">
        <v>9.699199E-2</v>
      </c>
      <c r="AG27" s="302">
        <v>0.10145997</v>
      </c>
      <c r="AH27" s="302">
        <v>0.12189999999999999</v>
      </c>
      <c r="AI27" s="302">
        <v>6.8099999999999994E-2</v>
      </c>
      <c r="AJ27" s="302">
        <v>5.2588969999999999E-2</v>
      </c>
      <c r="AK27" s="302">
        <v>-6.8100859999999999E-2</v>
      </c>
      <c r="AL27" s="302">
        <v>-9.4150290000000011E-2</v>
      </c>
      <c r="AM27" s="302">
        <v>-2.977113E-2</v>
      </c>
      <c r="AN27" s="302">
        <v>-1.7583329999999998E-2</v>
      </c>
      <c r="AO27" s="302">
        <v>3.4666999999999996E-3</v>
      </c>
      <c r="AP27" s="302">
        <v>-1.2801670000000001E-2</v>
      </c>
      <c r="AQ27" s="302">
        <v>-8.7834309999999999E-2</v>
      </c>
      <c r="AR27" s="302">
        <v>8.3454399999999991E-3</v>
      </c>
      <c r="AS27" s="302">
        <v>-2.4486119999999997E-2</v>
      </c>
      <c r="AT27" s="302">
        <v>-2.8512999999999998E-3</v>
      </c>
      <c r="AU27" s="302">
        <v>2.2180270000000002E-2</v>
      </c>
      <c r="AV27" s="302">
        <v>-4.7183999999999997E-2</v>
      </c>
      <c r="AW27" s="302">
        <v>-2.5614000000000002E-4</v>
      </c>
      <c r="AX27" s="302">
        <v>-9.547572E-2</v>
      </c>
      <c r="AY27" s="302">
        <v>1.2999999999999999E-3</v>
      </c>
    </row>
    <row r="28" spans="1:51" x14ac:dyDescent="0.2">
      <c r="A28" s="303">
        <v>31107</v>
      </c>
      <c r="B28" s="302">
        <v>2.4850770000000001E-2</v>
      </c>
      <c r="C28" s="302">
        <v>2.2327919999999998E-2</v>
      </c>
      <c r="D28" s="302">
        <v>1.553293E-2</v>
      </c>
      <c r="E28" s="302">
        <v>2.7837200000000003E-2</v>
      </c>
      <c r="F28" s="302">
        <v>1.8574610000000002E-2</v>
      </c>
      <c r="G28" s="302">
        <v>1.8992309999999998E-2</v>
      </c>
      <c r="H28" s="302">
        <v>2.4751240000000001E-2</v>
      </c>
      <c r="I28" s="302">
        <v>2.592378E-2</v>
      </c>
      <c r="J28" s="302">
        <v>2.3085650000000003E-2</v>
      </c>
      <c r="K28" s="302">
        <v>-6.0046200000000004E-3</v>
      </c>
      <c r="L28" s="302">
        <v>0.13125292</v>
      </c>
      <c r="M28" s="302">
        <v>0.16261142000000001</v>
      </c>
      <c r="N28" s="302">
        <v>9.7827049999999999E-2</v>
      </c>
      <c r="O28" s="302">
        <v>0.13077605</v>
      </c>
      <c r="P28" s="302">
        <v>0.16374733</v>
      </c>
      <c r="Q28" s="302">
        <v>0.17519346999999999</v>
      </c>
      <c r="R28" s="302">
        <v>0.10391152999999999</v>
      </c>
      <c r="S28" s="302">
        <v>1.4927669999999999E-2</v>
      </c>
      <c r="T28" s="302">
        <v>0.10825847</v>
      </c>
      <c r="U28" s="302">
        <v>2.5715479999999999E-2</v>
      </c>
      <c r="V28" s="302">
        <v>-1.6285580000000001E-2</v>
      </c>
      <c r="W28" s="302">
        <v>1.7399999999999999E-2</v>
      </c>
      <c r="X28" s="302">
        <v>1.2699999999999999E-2</v>
      </c>
      <c r="Y28" s="302">
        <v>6.2E-2</v>
      </c>
      <c r="Z28" s="302">
        <v>0.16922424999999999</v>
      </c>
      <c r="AA28" s="302">
        <v>5.5999999999999994E-2</v>
      </c>
      <c r="AB28" s="302">
        <v>6.8999999999999999E-3</v>
      </c>
      <c r="AC28" s="302">
        <v>2.4850770000000001E-2</v>
      </c>
      <c r="AD28" s="302">
        <v>2.2327919999999998E-2</v>
      </c>
      <c r="AE28" s="302">
        <v>1.553293E-2</v>
      </c>
      <c r="AF28" s="302">
        <v>1.8992309999999998E-2</v>
      </c>
      <c r="AG28" s="302">
        <v>2.4751240000000001E-2</v>
      </c>
      <c r="AH28" s="302">
        <v>-9.7999999999999997E-3</v>
      </c>
      <c r="AI28" s="302">
        <v>-6.3200000000000006E-2</v>
      </c>
      <c r="AJ28" s="302">
        <v>-6.0046200000000004E-3</v>
      </c>
      <c r="AK28" s="302">
        <v>-2.7837200000000003E-2</v>
      </c>
      <c r="AL28" s="302">
        <v>-2.592378E-2</v>
      </c>
      <c r="AM28" s="302">
        <v>-1.0824499999999999E-2</v>
      </c>
      <c r="AN28" s="302">
        <v>-9.3516949999999988E-2</v>
      </c>
      <c r="AO28" s="302">
        <v>-0.12382941</v>
      </c>
      <c r="AP28" s="302">
        <v>-9.7827049999999999E-2</v>
      </c>
      <c r="AQ28" s="302">
        <v>-0.10814401</v>
      </c>
      <c r="AR28" s="302">
        <v>-0.14304046000000001</v>
      </c>
      <c r="AS28" s="302">
        <v>-0.15167243999999999</v>
      </c>
      <c r="AT28" s="302">
        <v>-6.9407029999999995E-2</v>
      </c>
      <c r="AU28" s="302">
        <v>4.05143E-3</v>
      </c>
      <c r="AV28" s="302">
        <v>-8.6077119999999993E-2</v>
      </c>
      <c r="AW28" s="302">
        <v>-4.2582999999999996E-3</v>
      </c>
      <c r="AX28" s="302">
        <v>3.6864130000000002E-2</v>
      </c>
      <c r="AY28" s="302">
        <v>8.9999999999999998E-4</v>
      </c>
    </row>
    <row r="29" spans="1:51" x14ac:dyDescent="0.2">
      <c r="A29" s="303">
        <v>31199</v>
      </c>
      <c r="B29" s="302">
        <v>2.458012E-2</v>
      </c>
      <c r="C29" s="302">
        <v>6.8681359999999997E-2</v>
      </c>
      <c r="D29" s="302">
        <v>0.12250021999999999</v>
      </c>
      <c r="E29" s="302">
        <v>6.9007970000000002E-2</v>
      </c>
      <c r="F29" s="302">
        <v>0.11432059</v>
      </c>
      <c r="G29" s="302">
        <v>8.7235350000000003E-2</v>
      </c>
      <c r="H29" s="302">
        <v>0.11760384</v>
      </c>
      <c r="I29" s="302">
        <v>9.6476720000000002E-2</v>
      </c>
      <c r="J29" s="302">
        <v>0.11742540999999999</v>
      </c>
      <c r="K29" s="302">
        <v>4.1308009999999999E-2</v>
      </c>
      <c r="L29" s="302">
        <v>6.8400459999999996E-2</v>
      </c>
      <c r="M29" s="302">
        <v>4.9929519999999998E-2</v>
      </c>
      <c r="N29" s="302">
        <v>4.8027220000000002E-2</v>
      </c>
      <c r="O29" s="302">
        <v>3.8824230000000001E-2</v>
      </c>
      <c r="P29" s="302">
        <v>0.12949558999999999</v>
      </c>
      <c r="Q29" s="302">
        <v>1.4413039999999998E-2</v>
      </c>
      <c r="R29" s="302">
        <v>0.16499932</v>
      </c>
      <c r="S29" s="302">
        <v>1.8454310000000002E-2</v>
      </c>
      <c r="T29" s="302">
        <v>4.8457119999999999E-2</v>
      </c>
      <c r="U29" s="302">
        <v>-6.0638319999999996E-2</v>
      </c>
      <c r="V29" s="302">
        <v>7.5629260000000004E-2</v>
      </c>
      <c r="W29" s="302">
        <v>2.12E-2</v>
      </c>
      <c r="X29" s="302">
        <v>2.12E-2</v>
      </c>
      <c r="Y29" s="302">
        <v>-0.02</v>
      </c>
      <c r="Z29" s="302">
        <v>-7.1001679999999998E-2</v>
      </c>
      <c r="AA29" s="302">
        <v>3.1200000000000002E-2</v>
      </c>
      <c r="AB29" s="302">
        <v>1.0800000000000001E-2</v>
      </c>
      <c r="AC29" s="302">
        <v>2.458012E-2</v>
      </c>
      <c r="AD29" s="302">
        <v>6.8681359999999997E-2</v>
      </c>
      <c r="AE29" s="302">
        <v>0.12250021999999999</v>
      </c>
      <c r="AF29" s="302">
        <v>8.7235350000000003E-2</v>
      </c>
      <c r="AG29" s="302">
        <v>0.11760384</v>
      </c>
      <c r="AH29" s="302">
        <v>0.25359999999999999</v>
      </c>
      <c r="AI29" s="302">
        <v>0.3543</v>
      </c>
      <c r="AJ29" s="302">
        <v>4.1308009999999999E-2</v>
      </c>
      <c r="AK29" s="302">
        <v>-6.9007970000000002E-2</v>
      </c>
      <c r="AL29" s="302">
        <v>-9.6476720000000002E-2</v>
      </c>
      <c r="AM29" s="302">
        <v>-4.8442470000000001E-2</v>
      </c>
      <c r="AN29" s="302">
        <v>-7.492704E-2</v>
      </c>
      <c r="AO29" s="302">
        <v>-5.6343270000000001E-2</v>
      </c>
      <c r="AP29" s="302">
        <v>-4.8027220000000002E-2</v>
      </c>
      <c r="AQ29" s="302">
        <v>-4.2631780000000001E-2</v>
      </c>
      <c r="AR29" s="302">
        <v>-0.13046637999999999</v>
      </c>
      <c r="AS29" s="302">
        <v>-1.8131109999999999E-2</v>
      </c>
      <c r="AT29" s="302">
        <v>-0.16493770999999999</v>
      </c>
      <c r="AU29" s="302">
        <v>-2.0468500000000001E-2</v>
      </c>
      <c r="AV29" s="302">
        <v>-5.2299970000000001E-2</v>
      </c>
      <c r="AW29" s="302">
        <v>5.6141980000000001E-2</v>
      </c>
      <c r="AX29" s="302">
        <v>-8.0777849999999998E-2</v>
      </c>
      <c r="AY29" s="302">
        <v>5.0000000000000001E-4</v>
      </c>
    </row>
    <row r="30" spans="1:51" x14ac:dyDescent="0.2">
      <c r="A30" s="303">
        <v>31291</v>
      </c>
      <c r="B30" s="302">
        <v>2.262163E-2</v>
      </c>
      <c r="C30" s="302">
        <v>2.1732700000000001E-2</v>
      </c>
      <c r="D30" s="302">
        <v>1.14705E-2</v>
      </c>
      <c r="E30" s="302">
        <v>2.3383810000000001E-2</v>
      </c>
      <c r="F30" s="302">
        <v>1.8095609999999998E-2</v>
      </c>
      <c r="G30" s="302">
        <v>1.305051E-2</v>
      </c>
      <c r="H30" s="302">
        <v>4.46576E-3</v>
      </c>
      <c r="I30" s="302">
        <v>1.330624E-2</v>
      </c>
      <c r="J30" s="302">
        <v>7.9929300000000005E-3</v>
      </c>
      <c r="K30" s="302">
        <v>4.3255259999999997E-2</v>
      </c>
      <c r="L30" s="302">
        <v>-3.1819279999999998E-2</v>
      </c>
      <c r="M30" s="302">
        <v>-3.3896490000000001E-2</v>
      </c>
      <c r="N30" s="302">
        <v>-2.188994E-2</v>
      </c>
      <c r="O30" s="302">
        <v>0.16001764000000002</v>
      </c>
      <c r="P30" s="302">
        <v>0.19618862000000001</v>
      </c>
      <c r="Q30" s="302">
        <v>0.16121104</v>
      </c>
      <c r="R30" s="302">
        <v>0.19452808000000002</v>
      </c>
      <c r="S30" s="302">
        <v>0.23410205000000001</v>
      </c>
      <c r="T30" s="302">
        <v>-1.7695499999999999E-2</v>
      </c>
      <c r="U30" s="302">
        <v>6.8889610000000004E-2</v>
      </c>
      <c r="V30" s="302">
        <v>0.18422433999999999</v>
      </c>
      <c r="W30" s="302">
        <v>2.4E-2</v>
      </c>
      <c r="X30" s="302">
        <v>1.95E-2</v>
      </c>
      <c r="Y30" s="302">
        <v>-3.5000000000000003E-2</v>
      </c>
      <c r="Z30" s="302">
        <v>2.0315720000000002E-2</v>
      </c>
      <c r="AA30" s="302">
        <v>8.6999999999999994E-3</v>
      </c>
      <c r="AB30" s="302">
        <v>2.4300000000000002E-2</v>
      </c>
      <c r="AC30" s="302">
        <v>2.262163E-2</v>
      </c>
      <c r="AD30" s="302">
        <v>2.1732700000000001E-2</v>
      </c>
      <c r="AE30" s="302">
        <v>1.14705E-2</v>
      </c>
      <c r="AF30" s="302">
        <v>1.305051E-2</v>
      </c>
      <c r="AG30" s="302">
        <v>4.46576E-3</v>
      </c>
      <c r="AH30" s="302">
        <v>-2.9600000000000001E-2</v>
      </c>
      <c r="AI30" s="302">
        <v>0.1802</v>
      </c>
      <c r="AJ30" s="302">
        <v>4.3255259999999997E-2</v>
      </c>
      <c r="AK30" s="302">
        <v>-2.3383810000000001E-2</v>
      </c>
      <c r="AL30" s="302">
        <v>-1.330624E-2</v>
      </c>
      <c r="AM30" s="302">
        <v>-0.20118933999999999</v>
      </c>
      <c r="AN30" s="302">
        <v>4.0505380000000007E-2</v>
      </c>
      <c r="AO30" s="302">
        <v>4.2563950000000003E-2</v>
      </c>
      <c r="AP30" s="302">
        <v>2.188994E-2</v>
      </c>
      <c r="AQ30" s="302">
        <v>-0.15377333999999998</v>
      </c>
      <c r="AR30" s="302">
        <v>-0.19381834000000001</v>
      </c>
      <c r="AS30" s="302">
        <v>-0.15496030999999999</v>
      </c>
      <c r="AT30" s="302">
        <v>-0.20983226999999999</v>
      </c>
      <c r="AU30" s="302">
        <v>-0.22996848</v>
      </c>
      <c r="AV30" s="302">
        <v>2.2983189999999997E-2</v>
      </c>
      <c r="AW30" s="302">
        <v>-6.1678660000000003E-2</v>
      </c>
      <c r="AX30" s="302">
        <v>-0.17623532</v>
      </c>
      <c r="AY30" s="302">
        <v>1.1999999999999999E-3</v>
      </c>
    </row>
    <row r="31" spans="1:51" x14ac:dyDescent="0.2">
      <c r="A31" s="303">
        <v>31382</v>
      </c>
      <c r="B31" s="302">
        <v>2.1763569999999999E-2</v>
      </c>
      <c r="C31" s="302">
        <v>5.7078790000000004E-2</v>
      </c>
      <c r="D31" s="302">
        <v>0.14086942</v>
      </c>
      <c r="E31" s="302">
        <v>5.3419610000000006E-2</v>
      </c>
      <c r="F31" s="302">
        <v>0.10760465</v>
      </c>
      <c r="G31" s="302">
        <v>7.9616010000000001E-2</v>
      </c>
      <c r="H31" s="302">
        <v>9.6465169999999989E-2</v>
      </c>
      <c r="I31" s="302">
        <v>7.8838000000000005E-2</v>
      </c>
      <c r="J31" s="302">
        <v>8.3340330000000004E-2</v>
      </c>
      <c r="K31" s="302">
        <v>1.981896E-2</v>
      </c>
      <c r="L31" s="302">
        <v>0.19443048999999998</v>
      </c>
      <c r="M31" s="302">
        <v>0.18314824000000002</v>
      </c>
      <c r="N31" s="302">
        <v>0.1113301</v>
      </c>
      <c r="O31" s="302">
        <v>0.12945997000000001</v>
      </c>
      <c r="P31" s="302">
        <v>0.34095619999999999</v>
      </c>
      <c r="Q31" s="302">
        <v>0.17378398</v>
      </c>
      <c r="R31" s="302">
        <v>0.44273690000000004</v>
      </c>
      <c r="S31" s="302">
        <v>5.2021799999999998E-3</v>
      </c>
      <c r="T31" s="302">
        <v>-2.4733109999999999E-2</v>
      </c>
      <c r="U31" s="302">
        <v>8.62599E-3</v>
      </c>
      <c r="V31" s="302">
        <v>3.1458960000000001E-2</v>
      </c>
      <c r="W31" s="302">
        <v>2.5000000000000001E-2</v>
      </c>
      <c r="X31" s="302">
        <v>3.4599999999999999E-2</v>
      </c>
      <c r="Y31" s="302">
        <v>6.9000000000000006E-2</v>
      </c>
      <c r="Z31" s="302">
        <v>1.770998E-2</v>
      </c>
      <c r="AA31" s="302">
        <v>7.1199999999999999E-2</v>
      </c>
      <c r="AB31" s="302">
        <v>3.4500000000000003E-2</v>
      </c>
      <c r="AC31" s="302">
        <v>2.1763569999999999E-2</v>
      </c>
      <c r="AD31" s="302">
        <v>5.7078790000000004E-2</v>
      </c>
      <c r="AE31" s="302">
        <v>0.14086942</v>
      </c>
      <c r="AF31" s="302">
        <v>7.9616010000000001E-2</v>
      </c>
      <c r="AG31" s="302">
        <v>9.6465169999999989E-2</v>
      </c>
      <c r="AH31" s="302">
        <v>0.502</v>
      </c>
      <c r="AI31" s="302">
        <v>0.30890000000000001</v>
      </c>
      <c r="AJ31" s="302">
        <v>1.981896E-2</v>
      </c>
      <c r="AK31" s="302">
        <v>-5.3419610000000006E-2</v>
      </c>
      <c r="AL31" s="302">
        <v>-7.8838000000000005E-2</v>
      </c>
      <c r="AM31" s="302">
        <v>-0.11225930999999999</v>
      </c>
      <c r="AN31" s="302">
        <v>-0.17178119</v>
      </c>
      <c r="AO31" s="302">
        <v>-0.16071288</v>
      </c>
      <c r="AP31" s="302">
        <v>-0.1113301</v>
      </c>
      <c r="AQ31" s="302">
        <v>-0.11660947999999999</v>
      </c>
      <c r="AR31" s="302">
        <v>-0.31926857999999997</v>
      </c>
      <c r="AS31" s="302">
        <v>-0.16042930999999999</v>
      </c>
      <c r="AT31" s="302">
        <v>-0.39891770999999998</v>
      </c>
      <c r="AU31" s="302">
        <v>9.1047200000000002E-3</v>
      </c>
      <c r="AV31" s="302">
        <v>3.5829159999999999E-2</v>
      </c>
      <c r="AW31" s="302">
        <v>8.8292999999999998E-4</v>
      </c>
      <c r="AX31" s="302">
        <v>-2.1734779999999999E-2</v>
      </c>
      <c r="AY31" s="302">
        <v>1.8E-3</v>
      </c>
    </row>
    <row r="32" spans="1:51" x14ac:dyDescent="0.2">
      <c r="A32" s="303">
        <v>31472</v>
      </c>
      <c r="B32" s="302">
        <v>2.614002E-2</v>
      </c>
      <c r="C32" s="302">
        <v>5.7750329999999996E-2</v>
      </c>
      <c r="D32" s="302">
        <v>0.19957686999999999</v>
      </c>
      <c r="E32" s="302">
        <v>5.3915350000000001E-2</v>
      </c>
      <c r="F32" s="302">
        <v>0.10048711</v>
      </c>
      <c r="G32" s="302">
        <v>7.7751509999999996E-2</v>
      </c>
      <c r="H32" s="302">
        <v>0.1160717</v>
      </c>
      <c r="I32" s="302">
        <v>6.7320279999999996E-2</v>
      </c>
      <c r="J32" s="302">
        <v>8.9949940000000006E-2</v>
      </c>
      <c r="K32" s="302">
        <v>3.9569610000000005E-2</v>
      </c>
      <c r="L32" s="302">
        <v>0.14054981</v>
      </c>
      <c r="M32" s="302">
        <v>0.15121361</v>
      </c>
      <c r="N32" s="302">
        <v>5.8389449999999996E-2</v>
      </c>
      <c r="O32" s="302">
        <v>0.35211669000000001</v>
      </c>
      <c r="P32" s="302">
        <v>0.27171703999999997</v>
      </c>
      <c r="Q32" s="302">
        <v>0.23254842000000001</v>
      </c>
      <c r="R32" s="302">
        <v>5.681779E-2</v>
      </c>
      <c r="S32" s="302">
        <v>0.17306708000000001</v>
      </c>
      <c r="T32" s="302">
        <v>-4.5527430000000008E-2</v>
      </c>
      <c r="U32" s="302">
        <v>-3.1838600000000002E-2</v>
      </c>
      <c r="V32" s="302">
        <v>0.19022960999999999</v>
      </c>
      <c r="W32" s="302">
        <v>2.2099999999999998E-2</v>
      </c>
      <c r="X32" s="302">
        <v>2.0400000000000001E-2</v>
      </c>
      <c r="Y32" s="302">
        <v>2.8999999999999998E-2</v>
      </c>
      <c r="Z32" s="302">
        <v>-0.14733124</v>
      </c>
      <c r="AA32" s="302">
        <v>7.17E-2</v>
      </c>
      <c r="AB32" s="302">
        <v>3.8399999999999997E-2</v>
      </c>
      <c r="AC32" s="302">
        <v>2.614002E-2</v>
      </c>
      <c r="AD32" s="302">
        <v>5.7750329999999996E-2</v>
      </c>
      <c r="AE32" s="302">
        <v>0.19957686999999999</v>
      </c>
      <c r="AF32" s="302">
        <v>7.7751509999999996E-2</v>
      </c>
      <c r="AG32" s="302">
        <v>0.1160717</v>
      </c>
      <c r="AH32" s="302">
        <v>0.81769999999999998</v>
      </c>
      <c r="AI32" s="302">
        <v>6.0199999999999997E-2</v>
      </c>
      <c r="AJ32" s="302">
        <v>0.10257856999999999</v>
      </c>
      <c r="AK32" s="302">
        <v>-5.3915350000000001E-2</v>
      </c>
      <c r="AL32" s="302">
        <v>-6.7320279999999996E-2</v>
      </c>
      <c r="AM32" s="302">
        <v>-0.17058583999999999</v>
      </c>
      <c r="AN32" s="302">
        <v>-0.14071308999999999</v>
      </c>
      <c r="AO32" s="302">
        <v>-0.15137841999999999</v>
      </c>
      <c r="AP32" s="302">
        <v>-5.8389449999999996E-2</v>
      </c>
      <c r="AQ32" s="302">
        <v>-0.35223283</v>
      </c>
      <c r="AR32" s="302">
        <v>-0.27574483</v>
      </c>
      <c r="AS32" s="302">
        <v>-0.23265429000000001</v>
      </c>
      <c r="AT32" s="302">
        <v>-7.4593660000000006E-2</v>
      </c>
      <c r="AU32" s="302">
        <v>-0.17533672</v>
      </c>
      <c r="AV32" s="302">
        <v>4.5445450000000005E-2</v>
      </c>
      <c r="AW32" s="302">
        <v>3.2944960000000002E-2</v>
      </c>
      <c r="AX32" s="302">
        <v>-0.18886948000000001</v>
      </c>
      <c r="AY32" s="302">
        <v>2.8000000000000004E-3</v>
      </c>
    </row>
    <row r="33" spans="1:51" x14ac:dyDescent="0.2">
      <c r="A33" s="303">
        <v>31564</v>
      </c>
      <c r="B33" s="302">
        <v>2.2823470000000002E-2</v>
      </c>
      <c r="C33" s="302">
        <v>1.7627070000000002E-2</v>
      </c>
      <c r="D33" s="302">
        <v>-2.4682200000000001E-3</v>
      </c>
      <c r="E33" s="302">
        <v>2.0665610000000001E-2</v>
      </c>
      <c r="F33" s="302">
        <v>7.6092099999999999E-3</v>
      </c>
      <c r="G33" s="302">
        <v>1.945421E-2</v>
      </c>
      <c r="H33" s="302">
        <v>1.9179649999999999E-2</v>
      </c>
      <c r="I33" s="302">
        <v>1.8991480000000002E-2</v>
      </c>
      <c r="J33" s="302">
        <v>1.3161480000000001E-2</v>
      </c>
      <c r="K33" s="302">
        <v>-1.1614560000000001E-2</v>
      </c>
      <c r="L33" s="302">
        <v>5.107896E-2</v>
      </c>
      <c r="M33" s="302">
        <v>5.5615669999999999E-2</v>
      </c>
      <c r="N33" s="302">
        <v>2.0248390000000002E-2</v>
      </c>
      <c r="O33" s="302">
        <v>0.16066299999999997</v>
      </c>
      <c r="P33" s="302">
        <v>2.1131150000000001E-2</v>
      </c>
      <c r="Q33" s="302">
        <v>2.8605269999999999E-2</v>
      </c>
      <c r="R33" s="302">
        <v>5.8756539999999996E-2</v>
      </c>
      <c r="S33" s="302">
        <v>-1.1292180000000001E-2</v>
      </c>
      <c r="T33" s="302">
        <v>0.16077248999999999</v>
      </c>
      <c r="U33" s="302">
        <v>9.3342460000000002E-2</v>
      </c>
      <c r="V33" s="302">
        <v>2.1888660000000001E-2</v>
      </c>
      <c r="W33" s="302">
        <v>1.4499999999999999E-2</v>
      </c>
      <c r="X33" s="302">
        <v>1.9900000000000001E-2</v>
      </c>
      <c r="Y33" s="302">
        <v>5.2600000000000001E-2</v>
      </c>
      <c r="Z33" s="302">
        <v>-8.2760700000000006E-2</v>
      </c>
      <c r="AA33" s="302">
        <v>2.4E-2</v>
      </c>
      <c r="AB33" s="302">
        <v>1.7000000000000001E-2</v>
      </c>
      <c r="AC33" s="302">
        <v>2.2823470000000002E-2</v>
      </c>
      <c r="AD33" s="302">
        <v>1.7627070000000002E-2</v>
      </c>
      <c r="AE33" s="302">
        <v>-2.4682200000000001E-3</v>
      </c>
      <c r="AF33" s="302">
        <v>1.945421E-2</v>
      </c>
      <c r="AG33" s="302">
        <v>1.9179649999999999E-2</v>
      </c>
      <c r="AH33" s="302">
        <v>9.1700000000000004E-2</v>
      </c>
      <c r="AI33" s="302">
        <v>0.31869999999999998</v>
      </c>
      <c r="AJ33" s="302">
        <v>-9.306720000000001E-3</v>
      </c>
      <c r="AK33" s="302">
        <v>-2.0665610000000001E-2</v>
      </c>
      <c r="AL33" s="302">
        <v>-1.8991480000000002E-2</v>
      </c>
      <c r="AM33" s="302">
        <v>-7.0030200000000001E-2</v>
      </c>
      <c r="AN33" s="302">
        <v>-5.9113439999999996E-2</v>
      </c>
      <c r="AO33" s="302">
        <v>-6.3684829999999998E-2</v>
      </c>
      <c r="AP33" s="302">
        <v>-2.0248390000000002E-2</v>
      </c>
      <c r="AQ33" s="302">
        <v>-0.16598628000000001</v>
      </c>
      <c r="AR33" s="302">
        <v>-2.820042E-2</v>
      </c>
      <c r="AS33" s="302">
        <v>-3.3322879999999999E-2</v>
      </c>
      <c r="AT33" s="302">
        <v>-5.543501E-2</v>
      </c>
      <c r="AU33" s="302">
        <v>5.3672299999999997E-3</v>
      </c>
      <c r="AV33" s="302">
        <v>-0.16609626999999999</v>
      </c>
      <c r="AW33" s="302">
        <v>-9.7342150000000002E-2</v>
      </c>
      <c r="AX33" s="302">
        <v>-2.5626950000000003E-2</v>
      </c>
      <c r="AY33" s="302">
        <v>3.7000000000000002E-3</v>
      </c>
    </row>
    <row r="34" spans="1:51" x14ac:dyDescent="0.2">
      <c r="A34" s="303">
        <v>31656</v>
      </c>
      <c r="B34" s="302">
        <v>2.021804E-2</v>
      </c>
      <c r="C34" s="302">
        <v>2.4839150000000001E-2</v>
      </c>
      <c r="D34" s="302">
        <v>9.4267999999999999E-4</v>
      </c>
      <c r="E34" s="302">
        <v>2.2095359999999998E-2</v>
      </c>
      <c r="F34" s="302">
        <v>2.226438E-2</v>
      </c>
      <c r="G34" s="302">
        <v>1.719588E-2</v>
      </c>
      <c r="H34" s="302">
        <v>2.153648E-2</v>
      </c>
      <c r="I34" s="302">
        <v>1.304071E-2</v>
      </c>
      <c r="J34" s="302">
        <v>2.7163199999999999E-3</v>
      </c>
      <c r="K34" s="302">
        <v>1.116936E-2</v>
      </c>
      <c r="L34" s="302">
        <v>-6.8470089999999997E-2</v>
      </c>
      <c r="M34" s="302">
        <v>-9.6411399999999994E-2</v>
      </c>
      <c r="N34" s="302">
        <v>-2.7401460000000002E-2</v>
      </c>
      <c r="O34" s="302">
        <v>0.20459603999999998</v>
      </c>
      <c r="P34" s="302">
        <v>0.12734557000000002</v>
      </c>
      <c r="Q34" s="302">
        <v>-0.10542617</v>
      </c>
      <c r="R34" s="302">
        <v>7.1118470000000003E-2</v>
      </c>
      <c r="S34" s="302">
        <v>-1.756804E-2</v>
      </c>
      <c r="T34" s="302">
        <v>0.14871308999999999</v>
      </c>
      <c r="U34" s="302">
        <v>4.815875E-2</v>
      </c>
      <c r="V34" s="302">
        <v>-4.8266249999999997E-2</v>
      </c>
      <c r="W34" s="302">
        <v>1.1000000000000001E-2</v>
      </c>
      <c r="X34" s="302">
        <v>1.9699999999999999E-2</v>
      </c>
      <c r="Y34" s="302">
        <v>-1.7399999999999999E-2</v>
      </c>
      <c r="Z34" s="302">
        <v>6.4635220000000007E-2</v>
      </c>
      <c r="AA34" s="302">
        <v>4.7800000000000002E-2</v>
      </c>
      <c r="AB34" s="302">
        <v>3.2500000000000001E-2</v>
      </c>
      <c r="AC34" s="302">
        <v>2.021804E-2</v>
      </c>
      <c r="AD34" s="302">
        <v>2.4839150000000001E-2</v>
      </c>
      <c r="AE34" s="302">
        <v>9.4267999999999999E-4</v>
      </c>
      <c r="AF34" s="302">
        <v>1.719588E-2</v>
      </c>
      <c r="AG34" s="302">
        <v>2.153648E-2</v>
      </c>
      <c r="AH34" s="302">
        <v>-0.14760000000000001</v>
      </c>
      <c r="AI34" s="302">
        <v>3.5000000000000003E-2</v>
      </c>
      <c r="AJ34" s="302">
        <v>1.043089E-2</v>
      </c>
      <c r="AK34" s="302">
        <v>-2.2095359999999998E-2</v>
      </c>
      <c r="AL34" s="302">
        <v>-1.304071E-2</v>
      </c>
      <c r="AM34" s="302">
        <v>-7.3297540000000008E-2</v>
      </c>
      <c r="AN34" s="302">
        <v>6.9677649999999994E-2</v>
      </c>
      <c r="AO34" s="302">
        <v>9.7582740000000001E-2</v>
      </c>
      <c r="AP34" s="302">
        <v>2.7401460000000002E-2</v>
      </c>
      <c r="AQ34" s="302">
        <v>-0.20365912000000003</v>
      </c>
      <c r="AR34" s="302">
        <v>-0.12321593</v>
      </c>
      <c r="AS34" s="302">
        <v>0.10612197</v>
      </c>
      <c r="AT34" s="302">
        <v>-7.5411099999999995E-2</v>
      </c>
      <c r="AU34" s="302">
        <v>2.0032089999999999E-2</v>
      </c>
      <c r="AV34" s="302">
        <v>-0.14781962999999998</v>
      </c>
      <c r="AW34" s="302">
        <v>-4.8557670000000004E-2</v>
      </c>
      <c r="AX34" s="302">
        <v>4.7904020000000005E-2</v>
      </c>
      <c r="AY34" s="302">
        <v>2.8000000000000004E-3</v>
      </c>
    </row>
    <row r="35" spans="1:51" x14ac:dyDescent="0.2">
      <c r="A35" s="303">
        <v>31747</v>
      </c>
      <c r="B35" s="302">
        <v>2.0293540000000002E-2</v>
      </c>
      <c r="C35" s="302">
        <v>2.4934460000000002E-2</v>
      </c>
      <c r="D35" s="302">
        <v>3.5932819999999997E-2</v>
      </c>
      <c r="E35" s="302">
        <v>3.2197070000000001E-2</v>
      </c>
      <c r="F35" s="302">
        <v>4.7237889999999998E-2</v>
      </c>
      <c r="G35" s="302">
        <v>4.2434239999999998E-2</v>
      </c>
      <c r="H35" s="302">
        <v>4.0688809999999999E-2</v>
      </c>
      <c r="I35" s="302">
        <v>3.4464120000000001E-2</v>
      </c>
      <c r="J35" s="302">
        <v>4.067204E-2</v>
      </c>
      <c r="K35" s="302">
        <v>3.5093720000000002E-2</v>
      </c>
      <c r="L35" s="302">
        <v>4.7969109999999995E-2</v>
      </c>
      <c r="M35" s="302">
        <v>7.3569500000000001E-3</v>
      </c>
      <c r="N35" s="302">
        <v>3.7428400000000001E-2</v>
      </c>
      <c r="O35" s="302">
        <v>-1.485534E-2</v>
      </c>
      <c r="P35" s="302">
        <v>6.6109460000000009E-2</v>
      </c>
      <c r="Q35" s="302">
        <v>0.1053848</v>
      </c>
      <c r="R35" s="302">
        <v>0.11188936999999999</v>
      </c>
      <c r="S35" s="302">
        <v>0.24553291000000002</v>
      </c>
      <c r="T35" s="302">
        <v>0.21149301999999998</v>
      </c>
      <c r="U35" s="302">
        <v>8.0140569999999994E-2</v>
      </c>
      <c r="V35" s="302">
        <v>-7.0685390000000001E-2</v>
      </c>
      <c r="W35" s="302">
        <v>8.3000000000000001E-3</v>
      </c>
      <c r="X35" s="302">
        <v>4.9299999999999997E-2</v>
      </c>
      <c r="Y35" s="302">
        <v>1.7950000000000001E-2</v>
      </c>
      <c r="Z35" s="302">
        <v>0.13870660000000001</v>
      </c>
      <c r="AA35" s="302">
        <v>7.9699999999999993E-2</v>
      </c>
      <c r="AB35" s="302">
        <v>2.86E-2</v>
      </c>
      <c r="AC35" s="302">
        <v>2.0293540000000002E-2</v>
      </c>
      <c r="AD35" s="302">
        <v>2.4934460000000002E-2</v>
      </c>
      <c r="AE35" s="302">
        <v>3.5932819999999997E-2</v>
      </c>
      <c r="AF35" s="302">
        <v>4.2434239999999998E-2</v>
      </c>
      <c r="AG35" s="302">
        <v>4.0688809999999999E-2</v>
      </c>
      <c r="AH35" s="302">
        <v>1.9400000000000001E-2</v>
      </c>
      <c r="AI35" s="302">
        <v>4.7199999999999999E-2</v>
      </c>
      <c r="AJ35" s="302">
        <v>4.3213580000000001E-2</v>
      </c>
      <c r="AK35" s="302">
        <v>-3.2197070000000001E-2</v>
      </c>
      <c r="AL35" s="302">
        <v>-3.4464120000000001E-2</v>
      </c>
      <c r="AM35" s="302">
        <v>-8.1604600000000013E-3</v>
      </c>
      <c r="AN35" s="302">
        <v>-5.4042100000000003E-2</v>
      </c>
      <c r="AO35" s="302">
        <v>-1.3194589999999999E-2</v>
      </c>
      <c r="AP35" s="302">
        <v>-3.7428400000000001E-2</v>
      </c>
      <c r="AQ35" s="302">
        <v>1.142989E-2</v>
      </c>
      <c r="AR35" s="302">
        <v>-6.9045839999999997E-2</v>
      </c>
      <c r="AS35" s="302">
        <v>-0.10922823</v>
      </c>
      <c r="AT35" s="302">
        <v>-0.10142419</v>
      </c>
      <c r="AU35" s="302">
        <v>-0.24932229</v>
      </c>
      <c r="AV35" s="302">
        <v>-0.21570539</v>
      </c>
      <c r="AW35" s="302">
        <v>-8.4207619999999997E-2</v>
      </c>
      <c r="AX35" s="302">
        <v>6.7186240000000008E-2</v>
      </c>
      <c r="AY35" s="302">
        <v>1.9E-3</v>
      </c>
    </row>
    <row r="36" spans="1:51" x14ac:dyDescent="0.2">
      <c r="A36" s="303">
        <v>31837</v>
      </c>
      <c r="B36" s="302">
        <v>1.896548E-2</v>
      </c>
      <c r="C36" s="302">
        <v>1.1782859999999999E-2</v>
      </c>
      <c r="D36" s="302">
        <v>1.178945E-2</v>
      </c>
      <c r="E36" s="302">
        <v>2.0577230000000002E-2</v>
      </c>
      <c r="F36" s="302">
        <v>2.65302E-2</v>
      </c>
      <c r="G36" s="302">
        <v>4.9771629999999997E-2</v>
      </c>
      <c r="H36" s="302">
        <v>4.2489260000000001E-2</v>
      </c>
      <c r="I36" s="302">
        <v>4.4865099999999998E-2</v>
      </c>
      <c r="J36" s="302">
        <v>4.1526519999999997E-2</v>
      </c>
      <c r="K36" s="302">
        <v>6.5028879999999997E-2</v>
      </c>
      <c r="L36" s="302">
        <v>0.14700732</v>
      </c>
      <c r="M36" s="302">
        <v>0.15370931000000002</v>
      </c>
      <c r="N36" s="302">
        <v>0.22704583</v>
      </c>
      <c r="O36" s="302">
        <v>0.23429172999999998</v>
      </c>
      <c r="P36" s="302">
        <v>8.1773000000000002E-4</v>
      </c>
      <c r="Q36" s="302">
        <v>0.23986483</v>
      </c>
      <c r="R36" s="302">
        <v>-4.5012200000000002E-2</v>
      </c>
      <c r="S36" s="302">
        <v>0.19075103999999998</v>
      </c>
      <c r="T36" s="302">
        <v>0.11712829</v>
      </c>
      <c r="U36" s="302">
        <v>0.12689548</v>
      </c>
      <c r="V36" s="302">
        <v>8.3502439999999997E-2</v>
      </c>
      <c r="W36" s="302">
        <v>1.4199999999999999E-2</v>
      </c>
      <c r="X36" s="302">
        <v>2.2799999999999997E-2</v>
      </c>
      <c r="Y36" s="302">
        <v>4.6950000000000006E-2</v>
      </c>
      <c r="Z36" s="302">
        <v>0.29236285000000001</v>
      </c>
      <c r="AA36" s="302">
        <v>-5.9999999999999995E-4</v>
      </c>
      <c r="AB36" s="302">
        <v>-1.1999999999999999E-3</v>
      </c>
      <c r="AC36" s="302">
        <v>1.896548E-2</v>
      </c>
      <c r="AD36" s="302">
        <v>1.1782859999999999E-2</v>
      </c>
      <c r="AE36" s="302">
        <v>1.178945E-2</v>
      </c>
      <c r="AF36" s="302">
        <v>4.9771629999999997E-2</v>
      </c>
      <c r="AG36" s="302">
        <v>4.2489260000000001E-2</v>
      </c>
      <c r="AH36" s="302">
        <v>-9.4E-2</v>
      </c>
      <c r="AI36" s="302">
        <v>4.2900000000000001E-2</v>
      </c>
      <c r="AJ36" s="302">
        <v>0.10152005000000001</v>
      </c>
      <c r="AK36" s="302">
        <v>-2.0577230000000002E-2</v>
      </c>
      <c r="AL36" s="302">
        <v>-4.4865099999999998E-2</v>
      </c>
      <c r="AM36" s="302">
        <v>-0.13139344</v>
      </c>
      <c r="AN36" s="302">
        <v>-0.21327378</v>
      </c>
      <c r="AO36" s="302">
        <v>-0.22036295</v>
      </c>
      <c r="AP36" s="302">
        <v>-0.22704583</v>
      </c>
      <c r="AQ36" s="302">
        <v>-0.27707723000000001</v>
      </c>
      <c r="AR36" s="302">
        <v>-3.5192809999999998E-2</v>
      </c>
      <c r="AS36" s="302">
        <v>-0.28284351000000002</v>
      </c>
      <c r="AT36" s="302">
        <v>4.3245899999999997E-3</v>
      </c>
      <c r="AU36" s="302">
        <v>-0.23179569999999999</v>
      </c>
      <c r="AV36" s="302">
        <v>-0.15585243000000001</v>
      </c>
      <c r="AW36" s="302">
        <v>-0.16609634000000001</v>
      </c>
      <c r="AX36" s="302">
        <v>-0.12119381000000001</v>
      </c>
      <c r="AY36" s="302">
        <v>1.7000000000000001E-3</v>
      </c>
    </row>
    <row r="37" spans="1:51" x14ac:dyDescent="0.2">
      <c r="A37" s="303">
        <v>31929</v>
      </c>
      <c r="B37" s="302">
        <v>1.8432750000000001E-2</v>
      </c>
      <c r="C37" s="302">
        <v>-8.2837099999999997E-3</v>
      </c>
      <c r="D37" s="302">
        <v>-4.9359919999999995E-2</v>
      </c>
      <c r="E37" s="302">
        <v>-1.1093189999999999E-2</v>
      </c>
      <c r="F37" s="302">
        <v>-3.3264000000000002E-2</v>
      </c>
      <c r="G37" s="302">
        <v>-2.6479149999999996E-2</v>
      </c>
      <c r="H37" s="302">
        <v>-2.9910990000000002E-2</v>
      </c>
      <c r="I37" s="302">
        <v>-1.4604610000000001E-2</v>
      </c>
      <c r="J37" s="302">
        <v>-1.8240780000000002E-2</v>
      </c>
      <c r="K37" s="302">
        <v>-6.2623799999999997E-3</v>
      </c>
      <c r="L37" s="302">
        <v>7.2405700000000003E-2</v>
      </c>
      <c r="M37" s="302">
        <v>2.607201E-2</v>
      </c>
      <c r="N37" s="302">
        <v>6.7850799999999998E-3</v>
      </c>
      <c r="O37" s="302">
        <v>0.10286697</v>
      </c>
      <c r="P37" s="302">
        <v>2.3304849999999998E-2</v>
      </c>
      <c r="Q37" s="302">
        <v>0.18565547999999998</v>
      </c>
      <c r="R37" s="302">
        <v>2.829243E-2</v>
      </c>
      <c r="S37" s="302">
        <v>0.1161811</v>
      </c>
      <c r="T37" s="302">
        <v>0.20835363999999998</v>
      </c>
      <c r="U37" s="302">
        <v>0.23062819000000001</v>
      </c>
      <c r="V37" s="302">
        <v>0.21787821000000002</v>
      </c>
      <c r="W37" s="302">
        <v>-8.9999999999999998E-4</v>
      </c>
      <c r="X37" s="302">
        <v>1.6299999999999999E-2</v>
      </c>
      <c r="Y37" s="302">
        <v>1.9199999999999998E-2</v>
      </c>
      <c r="Z37" s="302">
        <v>0.10385362000000001</v>
      </c>
      <c r="AA37" s="302">
        <v>4.9100000000000005E-2</v>
      </c>
      <c r="AB37" s="302">
        <v>1.24E-2</v>
      </c>
      <c r="AC37" s="302">
        <v>1.8432750000000001E-2</v>
      </c>
      <c r="AD37" s="302">
        <v>-8.2837099999999997E-3</v>
      </c>
      <c r="AE37" s="302">
        <v>-4.9359919999999995E-2</v>
      </c>
      <c r="AF37" s="302">
        <v>-2.6479149999999996E-2</v>
      </c>
      <c r="AG37" s="302">
        <v>-2.9910990000000002E-2</v>
      </c>
      <c r="AH37" s="302">
        <v>-0.1648</v>
      </c>
      <c r="AI37" s="302">
        <v>-0.221</v>
      </c>
      <c r="AJ37" s="302">
        <v>-1.0374680000000001E-2</v>
      </c>
      <c r="AK37" s="302">
        <v>1.1093189999999999E-2</v>
      </c>
      <c r="AL37" s="302">
        <v>1.4604610000000001E-2</v>
      </c>
      <c r="AM37" s="302">
        <v>6.0495600000000007E-3</v>
      </c>
      <c r="AN37" s="302">
        <v>-5.1379689999999999E-2</v>
      </c>
      <c r="AO37" s="302">
        <v>-5.9544400000000001E-3</v>
      </c>
      <c r="AP37" s="302">
        <v>-6.7850799999999998E-3</v>
      </c>
      <c r="AQ37" s="302">
        <v>-8.9893020000000004E-2</v>
      </c>
      <c r="AR37" s="302">
        <v>-1.096928E-2</v>
      </c>
      <c r="AS37" s="302">
        <v>-0.17170762000000001</v>
      </c>
      <c r="AT37" s="302">
        <v>-1.2562789999999999E-2</v>
      </c>
      <c r="AU37" s="302">
        <v>-0.10285731999999999</v>
      </c>
      <c r="AV37" s="302">
        <v>-0.19413875999999999</v>
      </c>
      <c r="AW37" s="302">
        <v>-0.21629617000000001</v>
      </c>
      <c r="AX37" s="302">
        <v>-0.20369468000000002</v>
      </c>
      <c r="AY37" s="302">
        <v>1.4000000000000002E-3</v>
      </c>
    </row>
    <row r="38" spans="1:51" x14ac:dyDescent="0.2">
      <c r="A38" s="303">
        <v>32021</v>
      </c>
      <c r="B38" s="302">
        <v>2.114218E-2</v>
      </c>
      <c r="C38" s="302">
        <v>-1.2882029999999999E-2</v>
      </c>
      <c r="D38" s="302">
        <v>-7.6377819999999999E-2</v>
      </c>
      <c r="E38" s="302">
        <v>-1.5155460000000001E-2</v>
      </c>
      <c r="F38" s="302">
        <v>-5.5591700000000001E-2</v>
      </c>
      <c r="G38" s="302">
        <v>-4.5559040000000002E-2</v>
      </c>
      <c r="H38" s="302">
        <v>-7.1373560000000003E-2</v>
      </c>
      <c r="I38" s="302">
        <v>-4.1436840000000003E-2</v>
      </c>
      <c r="J38" s="302">
        <v>-6.3306649999999992E-2</v>
      </c>
      <c r="K38" s="302">
        <v>-3.6445770000000002E-2</v>
      </c>
      <c r="L38" s="302">
        <v>4.8530839999999999E-2</v>
      </c>
      <c r="M38" s="302">
        <v>3.1556090000000002E-2</v>
      </c>
      <c r="N38" s="302">
        <v>4.9430930000000005E-2</v>
      </c>
      <c r="O38" s="302">
        <v>3.7180409999999997E-2</v>
      </c>
      <c r="P38" s="302">
        <v>2.2688280000000002E-2</v>
      </c>
      <c r="Q38" s="302">
        <v>3.8783249999999998E-2</v>
      </c>
      <c r="R38" s="302">
        <v>0.10098262999999999</v>
      </c>
      <c r="S38" s="302">
        <v>0.25546760000000002</v>
      </c>
      <c r="T38" s="302">
        <v>0.14695595</v>
      </c>
      <c r="U38" s="302">
        <v>0.42966389999999999</v>
      </c>
      <c r="V38" s="302">
        <v>-8.1112980000000001E-2</v>
      </c>
      <c r="W38" s="302">
        <v>1.77E-2</v>
      </c>
      <c r="X38" s="302">
        <v>1.8700000000000001E-2</v>
      </c>
      <c r="Y38" s="302">
        <v>2.0199999999999999E-2</v>
      </c>
      <c r="Z38" s="302">
        <v>1.056999E-2</v>
      </c>
      <c r="AA38" s="302">
        <v>0.1188</v>
      </c>
      <c r="AB38" s="302">
        <v>4.0300000000000002E-2</v>
      </c>
      <c r="AC38" s="302">
        <v>2.114218E-2</v>
      </c>
      <c r="AD38" s="302">
        <v>-1.2882029999999999E-2</v>
      </c>
      <c r="AE38" s="302">
        <v>-7.6377819999999999E-2</v>
      </c>
      <c r="AF38" s="302">
        <v>-4.5559040000000002E-2</v>
      </c>
      <c r="AG38" s="302">
        <v>-7.1373560000000003E-2</v>
      </c>
      <c r="AH38" s="302">
        <v>-0.32850000000000001</v>
      </c>
      <c r="AI38" s="302">
        <v>-0.36759999999999998</v>
      </c>
      <c r="AJ38" s="302">
        <v>-8.5190859999999993E-2</v>
      </c>
      <c r="AK38" s="302">
        <v>1.5155460000000001E-2</v>
      </c>
      <c r="AL38" s="302">
        <v>4.1436840000000003E-2</v>
      </c>
      <c r="AM38" s="302">
        <v>3.915946E-2</v>
      </c>
      <c r="AN38" s="302">
        <v>-6.6232520000000003E-2</v>
      </c>
      <c r="AO38" s="302">
        <v>-4.8971189999999998E-2</v>
      </c>
      <c r="AP38" s="302">
        <v>-4.9430930000000005E-2</v>
      </c>
      <c r="AQ38" s="302">
        <v>-4.7686440000000004E-2</v>
      </c>
      <c r="AR38" s="302">
        <v>-3.1933589999999998E-2</v>
      </c>
      <c r="AS38" s="302">
        <v>-4.9305519999999999E-2</v>
      </c>
      <c r="AT38" s="302">
        <v>-0.11549125</v>
      </c>
      <c r="AU38" s="302">
        <v>-0.26735878000000002</v>
      </c>
      <c r="AV38" s="302">
        <v>-0.15857394</v>
      </c>
      <c r="AW38" s="302">
        <v>-0.44476286000000004</v>
      </c>
      <c r="AX38" s="302">
        <v>7.1408430000000009E-2</v>
      </c>
      <c r="AY38" s="302">
        <v>1.2999999999999999E-3</v>
      </c>
    </row>
    <row r="39" spans="1:51" x14ac:dyDescent="0.2">
      <c r="A39" s="303">
        <v>32112</v>
      </c>
      <c r="B39" s="302">
        <v>2.0048020000000003E-2</v>
      </c>
      <c r="C39" s="302">
        <v>4.6018990000000003E-2</v>
      </c>
      <c r="D39" s="302">
        <v>9.5548830000000001E-2</v>
      </c>
      <c r="E39" s="302">
        <v>4.5718759999999997E-2</v>
      </c>
      <c r="F39" s="302">
        <v>8.264357E-2</v>
      </c>
      <c r="G39" s="302">
        <v>6.3679650000000004E-2</v>
      </c>
      <c r="H39" s="302">
        <v>8.1316469999999988E-2</v>
      </c>
      <c r="I39" s="302">
        <v>5.7753889999999995E-2</v>
      </c>
      <c r="J39" s="302">
        <v>7.8879679999999994E-2</v>
      </c>
      <c r="K39" s="302">
        <v>9.003709E-2</v>
      </c>
      <c r="L39" s="302">
        <v>-0.23191464000000001</v>
      </c>
      <c r="M39" s="302">
        <v>-0.26515387000000001</v>
      </c>
      <c r="N39" s="302">
        <v>-0.18330950999999998</v>
      </c>
      <c r="O39" s="302">
        <v>-2.866345E-2</v>
      </c>
      <c r="P39" s="302">
        <v>-0.19831264000000001</v>
      </c>
      <c r="Q39" s="302">
        <v>-0.16727787</v>
      </c>
      <c r="R39" s="302">
        <v>-0.21046371</v>
      </c>
      <c r="S39" s="302">
        <v>-0.37745694000000002</v>
      </c>
      <c r="T39" s="302">
        <v>-0.40214796999999997</v>
      </c>
      <c r="U39" s="302">
        <v>-0.29376218000000004</v>
      </c>
      <c r="V39" s="302">
        <v>-6.2949289999999991E-2</v>
      </c>
      <c r="W39" s="302">
        <v>8.199999999999999E-3</v>
      </c>
      <c r="X39" s="302">
        <v>7.4999999999999997E-2</v>
      </c>
      <c r="Y39" s="302">
        <v>-4.9950000000000001E-2</v>
      </c>
      <c r="Z39" s="302">
        <v>-0.24195768999999998</v>
      </c>
      <c r="AA39" s="302">
        <v>7.85E-2</v>
      </c>
      <c r="AB39" s="302">
        <v>3.6799999999999999E-2</v>
      </c>
      <c r="AC39" s="302">
        <v>2.0048020000000003E-2</v>
      </c>
      <c r="AD39" s="302">
        <v>4.6018990000000003E-2</v>
      </c>
      <c r="AE39" s="302">
        <v>9.5548830000000001E-2</v>
      </c>
      <c r="AF39" s="302">
        <v>6.3679650000000004E-2</v>
      </c>
      <c r="AG39" s="302">
        <v>8.1316469999999988E-2</v>
      </c>
      <c r="AH39" s="302">
        <v>0.31859999999999999</v>
      </c>
      <c r="AI39" s="302">
        <v>0.25269999999999998</v>
      </c>
      <c r="AJ39" s="302">
        <v>0.11259461</v>
      </c>
      <c r="AK39" s="302">
        <v>-4.5718759999999997E-2</v>
      </c>
      <c r="AL39" s="302">
        <v>-5.7753889999999995E-2</v>
      </c>
      <c r="AM39" s="302">
        <v>-0.31140177999999996</v>
      </c>
      <c r="AN39" s="302">
        <v>0.22630038</v>
      </c>
      <c r="AO39" s="302">
        <v>0.25978257999999999</v>
      </c>
      <c r="AP39" s="302">
        <v>0.18330950999999998</v>
      </c>
      <c r="AQ39" s="302">
        <v>2.4403510000000003E-2</v>
      </c>
      <c r="AR39" s="302">
        <v>0.19350517</v>
      </c>
      <c r="AS39" s="302">
        <v>0.16362583999999999</v>
      </c>
      <c r="AT39" s="302">
        <v>0.20468682000000002</v>
      </c>
      <c r="AU39" s="302">
        <v>0.37412317</v>
      </c>
      <c r="AV39" s="302">
        <v>0.39952600999999999</v>
      </c>
      <c r="AW39" s="302">
        <v>0.29111726999999998</v>
      </c>
      <c r="AX39" s="302">
        <v>5.943996E-2</v>
      </c>
      <c r="AY39" s="302">
        <v>1.1000000000000001E-3</v>
      </c>
    </row>
    <row r="40" spans="1:51" x14ac:dyDescent="0.2">
      <c r="A40" s="303">
        <v>32203</v>
      </c>
      <c r="B40" s="302">
        <v>1.9899549999999998E-2</v>
      </c>
      <c r="C40" s="302">
        <v>3.1308250000000003E-2</v>
      </c>
      <c r="D40" s="302">
        <v>3.9929890000000003E-2</v>
      </c>
      <c r="E40" s="302">
        <v>4.0902550000000003E-2</v>
      </c>
      <c r="F40" s="302">
        <v>4.7806319999999999E-2</v>
      </c>
      <c r="G40" s="302">
        <v>5.0110620000000002E-2</v>
      </c>
      <c r="H40" s="302">
        <v>4.823616E-2</v>
      </c>
      <c r="I40" s="302">
        <v>5.5061400000000003E-2</v>
      </c>
      <c r="J40" s="302">
        <v>5.7902550000000004E-2</v>
      </c>
      <c r="K40" s="302">
        <v>2.8799969999999998E-2</v>
      </c>
      <c r="L40" s="302">
        <v>6.3544999999999999E-3</v>
      </c>
      <c r="M40" s="302">
        <v>0.10289160999999999</v>
      </c>
      <c r="N40" s="302">
        <v>5.6533779999999999E-2</v>
      </c>
      <c r="O40" s="302">
        <v>0.15411941000000001</v>
      </c>
      <c r="P40" s="302">
        <v>6.8827799999999998E-3</v>
      </c>
      <c r="Q40" s="302">
        <v>-1.3684760000000001E-2</v>
      </c>
      <c r="R40" s="302">
        <v>-7.039920999999999E-2</v>
      </c>
      <c r="S40" s="302">
        <v>5.9046459999999995E-2</v>
      </c>
      <c r="T40" s="302">
        <v>8.9212410000000006E-2</v>
      </c>
      <c r="U40" s="302">
        <v>6.9956569999999996E-2</v>
      </c>
      <c r="V40" s="302">
        <v>0.16007936999999997</v>
      </c>
      <c r="W40" s="302">
        <v>1.5300000000000001E-2</v>
      </c>
      <c r="X40" s="302">
        <v>1.3300000000000001E-2</v>
      </c>
      <c r="Y40" s="302">
        <v>1.83E-2</v>
      </c>
      <c r="Z40" s="302">
        <v>0.16813465</v>
      </c>
      <c r="AA40" s="302">
        <v>3.9800000000000002E-2</v>
      </c>
      <c r="AB40" s="302">
        <v>3.5099999999999999E-2</v>
      </c>
      <c r="AC40" s="302">
        <v>1.9899549999999998E-2</v>
      </c>
      <c r="AD40" s="302">
        <v>3.1308250000000003E-2</v>
      </c>
      <c r="AE40" s="302">
        <v>3.9929890000000003E-2</v>
      </c>
      <c r="AF40" s="302">
        <v>5.0110620000000002E-2</v>
      </c>
      <c r="AG40" s="302">
        <v>4.823616E-2</v>
      </c>
      <c r="AH40" s="302">
        <v>-8.199999999999999E-3</v>
      </c>
      <c r="AI40" s="302">
        <v>-5.4000000000000003E-3</v>
      </c>
      <c r="AJ40" s="302">
        <v>6.4100039999999997E-2</v>
      </c>
      <c r="AK40" s="302">
        <v>-4.0902550000000003E-2</v>
      </c>
      <c r="AL40" s="302">
        <v>-5.5061400000000003E-2</v>
      </c>
      <c r="AM40" s="302">
        <v>1.9085350000000001E-2</v>
      </c>
      <c r="AN40" s="302">
        <v>-5.8737350000000001E-2</v>
      </c>
      <c r="AO40" s="302">
        <v>-0.16029941</v>
      </c>
      <c r="AP40" s="302">
        <v>-5.6533779999999999E-2</v>
      </c>
      <c r="AQ40" s="302">
        <v>-0.190164</v>
      </c>
      <c r="AR40" s="302">
        <v>-3.9334430000000004E-2</v>
      </c>
      <c r="AS40" s="302">
        <v>-1.7119100000000002E-2</v>
      </c>
      <c r="AT40" s="302">
        <v>3.943646E-2</v>
      </c>
      <c r="AU40" s="302">
        <v>-9.276914E-2</v>
      </c>
      <c r="AV40" s="302">
        <v>-0.12322986999999999</v>
      </c>
      <c r="AW40" s="302">
        <v>-0.10295862</v>
      </c>
      <c r="AX40" s="302">
        <v>-0.19586118999999999</v>
      </c>
      <c r="AY40" s="302">
        <v>7.000000000000001E-4</v>
      </c>
    </row>
    <row r="41" spans="1:51" x14ac:dyDescent="0.2">
      <c r="A41" s="303">
        <v>32295</v>
      </c>
      <c r="B41" s="302">
        <v>2.133782E-2</v>
      </c>
      <c r="C41" s="302">
        <v>9.7033399999999995E-3</v>
      </c>
      <c r="D41" s="302">
        <v>7.9712199999999993E-3</v>
      </c>
      <c r="E41" s="302">
        <v>1.0150030000000001E-2</v>
      </c>
      <c r="F41" s="302">
        <v>1.2212460000000001E-2</v>
      </c>
      <c r="G41" s="302">
        <v>1.7177109999999999E-2</v>
      </c>
      <c r="H41" s="302">
        <v>2.7338990000000001E-2</v>
      </c>
      <c r="I41" s="302">
        <v>2.069584E-2</v>
      </c>
      <c r="J41" s="302">
        <v>2.4969459999999999E-2</v>
      </c>
      <c r="K41" s="302">
        <v>-1.8273689999999999E-2</v>
      </c>
      <c r="L41" s="302">
        <v>4.6584260000000002E-2</v>
      </c>
      <c r="M41" s="302">
        <v>4.8460080000000003E-2</v>
      </c>
      <c r="N41" s="302">
        <v>4.7190789999999996E-2</v>
      </c>
      <c r="O41" s="302">
        <v>-6.7054000000000002E-2</v>
      </c>
      <c r="P41" s="302">
        <v>-2.6787600000000001E-3</v>
      </c>
      <c r="Q41" s="302">
        <v>-5.0303529999999999E-2</v>
      </c>
      <c r="R41" s="302">
        <v>-3.9922369999999999E-2</v>
      </c>
      <c r="S41" s="302">
        <v>0.17225321999999998</v>
      </c>
      <c r="T41" s="302">
        <v>0.13137658999999999</v>
      </c>
      <c r="U41" s="302">
        <v>0.21506350000000002</v>
      </c>
      <c r="V41" s="302">
        <v>0.10141714</v>
      </c>
      <c r="W41" s="302">
        <v>1.1200000000000002E-2</v>
      </c>
      <c r="X41" s="302">
        <v>2.3799999999999998E-2</v>
      </c>
      <c r="Y41" s="302">
        <v>2.0899999999999998E-2</v>
      </c>
      <c r="Z41" s="302">
        <v>2.3810910000000001E-2</v>
      </c>
      <c r="AA41" s="302">
        <v>6.3299999999999995E-2</v>
      </c>
      <c r="AB41" s="302">
        <v>-2.3E-3</v>
      </c>
      <c r="AC41" s="302">
        <v>2.133782E-2</v>
      </c>
      <c r="AD41" s="302">
        <v>9.7033399999999995E-3</v>
      </c>
      <c r="AE41" s="302">
        <v>7.9712199999999993E-3</v>
      </c>
      <c r="AF41" s="302">
        <v>1.7177109999999999E-2</v>
      </c>
      <c r="AG41" s="302">
        <v>2.7338990000000001E-2</v>
      </c>
      <c r="AH41" s="302">
        <v>5.7999999999999996E-2</v>
      </c>
      <c r="AI41" s="302">
        <v>9.1199999999999989E-2</v>
      </c>
      <c r="AJ41" s="302">
        <v>8.2698700000000003E-3</v>
      </c>
      <c r="AK41" s="302">
        <v>-1.0150030000000001E-2</v>
      </c>
      <c r="AL41" s="302">
        <v>-2.069584E-2</v>
      </c>
      <c r="AM41" s="302">
        <v>8.9954920000000008E-2</v>
      </c>
      <c r="AN41" s="302">
        <v>-6.5951190000000007E-2</v>
      </c>
      <c r="AO41" s="302">
        <v>-6.7861710000000006E-2</v>
      </c>
      <c r="AP41" s="302">
        <v>-4.7190789999999996E-2</v>
      </c>
      <c r="AQ41" s="302">
        <v>5.6695559999999999E-2</v>
      </c>
      <c r="AR41" s="302">
        <v>-6.5472699999999991E-3</v>
      </c>
      <c r="AS41" s="302">
        <v>3.975911E-2</v>
      </c>
      <c r="AT41" s="302">
        <v>3.0583010000000001E-2</v>
      </c>
      <c r="AU41" s="302">
        <v>-0.18395644</v>
      </c>
      <c r="AV41" s="302">
        <v>-0.14393818</v>
      </c>
      <c r="AW41" s="302">
        <v>-0.22944618999999999</v>
      </c>
      <c r="AX41" s="302">
        <v>-0.1144546</v>
      </c>
      <c r="AY41" s="302">
        <v>4.0000000000000002E-4</v>
      </c>
    </row>
    <row r="42" spans="1:51" x14ac:dyDescent="0.2">
      <c r="A42" s="303">
        <v>32387</v>
      </c>
      <c r="B42" s="302">
        <v>2.2843100000000002E-2</v>
      </c>
      <c r="C42" s="302">
        <v>1.5613179999999999E-2</v>
      </c>
      <c r="D42" s="302">
        <v>2.1051460000000001E-2</v>
      </c>
      <c r="E42" s="302">
        <v>2.157941E-2</v>
      </c>
      <c r="F42" s="302">
        <v>2.5462269999999999E-2</v>
      </c>
      <c r="G42" s="302">
        <v>8.4971200000000004E-3</v>
      </c>
      <c r="H42" s="302">
        <v>9.7912900000000011E-3</v>
      </c>
      <c r="I42" s="302">
        <v>6.0036100000000004E-3</v>
      </c>
      <c r="J42" s="302">
        <v>9.6578900000000006E-3</v>
      </c>
      <c r="K42" s="302">
        <v>5.6435599999999997E-3</v>
      </c>
      <c r="L42" s="302">
        <v>7.28569E-3</v>
      </c>
      <c r="M42" s="302">
        <v>-4.8472599999999999E-3</v>
      </c>
      <c r="N42" s="302">
        <v>-3.6448700000000001E-2</v>
      </c>
      <c r="O42" s="302">
        <v>-1.3484359999999999E-2</v>
      </c>
      <c r="P42" s="302">
        <v>3.0974590000000003E-2</v>
      </c>
      <c r="Q42" s="302">
        <v>-9.69858E-3</v>
      </c>
      <c r="R42" s="302">
        <v>-3.0827799999999998E-3</v>
      </c>
      <c r="S42" s="302">
        <v>-4.4732000000000002E-4</v>
      </c>
      <c r="T42" s="302">
        <v>-6.2321889999999998E-2</v>
      </c>
      <c r="U42" s="302">
        <v>-5.787465E-2</v>
      </c>
      <c r="V42" s="302">
        <v>1.337853E-2</v>
      </c>
      <c r="W42" s="302">
        <v>1.9799999999999998E-2</v>
      </c>
      <c r="X42" s="302">
        <v>2.12E-2</v>
      </c>
      <c r="Y42" s="302">
        <v>1.695E-2</v>
      </c>
      <c r="Z42" s="302">
        <v>-6.9649679999999992E-2</v>
      </c>
      <c r="AA42" s="302">
        <v>4.4299999999999999E-2</v>
      </c>
      <c r="AB42" s="302">
        <v>8.6E-3</v>
      </c>
      <c r="AC42" s="302">
        <v>2.2843100000000002E-2</v>
      </c>
      <c r="AD42" s="302">
        <v>1.5613179999999999E-2</v>
      </c>
      <c r="AE42" s="302">
        <v>2.1051460000000001E-2</v>
      </c>
      <c r="AF42" s="302">
        <v>8.4971200000000004E-3</v>
      </c>
      <c r="AG42" s="302">
        <v>9.7912900000000011E-3</v>
      </c>
      <c r="AH42" s="302">
        <v>-3.56E-2</v>
      </c>
      <c r="AI42" s="302">
        <v>-2.7200000000000002E-2</v>
      </c>
      <c r="AJ42" s="302">
        <v>-6.9903999999999999E-3</v>
      </c>
      <c r="AK42" s="302">
        <v>-2.157941E-2</v>
      </c>
      <c r="AL42" s="302">
        <v>-6.0036100000000004E-3</v>
      </c>
      <c r="AM42" s="302">
        <v>-3.2032200000000001E-3</v>
      </c>
      <c r="AN42" s="302">
        <v>-3.8649699999999997E-3</v>
      </c>
      <c r="AO42" s="302">
        <v>8.2267699999999996E-3</v>
      </c>
      <c r="AP42" s="302">
        <v>3.6448700000000001E-2</v>
      </c>
      <c r="AQ42" s="302">
        <v>1.549447E-2</v>
      </c>
      <c r="AR42" s="302">
        <v>-3.0342910000000001E-2</v>
      </c>
      <c r="AS42" s="302">
        <v>1.17164E-2</v>
      </c>
      <c r="AT42" s="302">
        <v>5.6280300000000009E-3</v>
      </c>
      <c r="AU42" s="302">
        <v>1.6306100000000002E-3</v>
      </c>
      <c r="AV42" s="302">
        <v>6.4232490000000003E-2</v>
      </c>
      <c r="AW42" s="302">
        <v>6.0331610000000001E-2</v>
      </c>
      <c r="AX42" s="302">
        <v>-1.0735749999999999E-2</v>
      </c>
      <c r="AY42" s="302">
        <v>1E-3</v>
      </c>
    </row>
    <row r="43" spans="1:51" x14ac:dyDescent="0.2">
      <c r="A43" s="303">
        <v>32478</v>
      </c>
      <c r="B43" s="302">
        <v>2.5686840000000002E-2</v>
      </c>
      <c r="C43" s="302">
        <v>6.0349600000000007E-3</v>
      </c>
      <c r="D43" s="302">
        <v>2.0617480000000001E-2</v>
      </c>
      <c r="E43" s="302">
        <v>5.1052800000000002E-3</v>
      </c>
      <c r="F43" s="302">
        <v>1.5891200000000001E-2</v>
      </c>
      <c r="G43" s="302">
        <v>1.171879E-2</v>
      </c>
      <c r="H43" s="302">
        <v>2.291851E-2</v>
      </c>
      <c r="I43" s="302">
        <v>1.6829179999999999E-2</v>
      </c>
      <c r="J43" s="302">
        <v>2.1266159999999999E-2</v>
      </c>
      <c r="K43" s="302">
        <v>5.3165319999999995E-2</v>
      </c>
      <c r="L43" s="302">
        <v>1.074637E-2</v>
      </c>
      <c r="M43" s="302">
        <v>-2.0929120000000002E-2</v>
      </c>
      <c r="N43" s="302">
        <v>4.1974869999999997E-2</v>
      </c>
      <c r="O43" s="302">
        <v>0.15021538000000001</v>
      </c>
      <c r="P43" s="302">
        <v>0.11904502</v>
      </c>
      <c r="Q43" s="302">
        <v>4.8597169999999995E-2</v>
      </c>
      <c r="R43" s="302">
        <v>0.10229096999999999</v>
      </c>
      <c r="S43" s="302">
        <v>2.1625789999999999E-2</v>
      </c>
      <c r="T43" s="302">
        <v>7.1086129999999997E-2</v>
      </c>
      <c r="U43" s="302">
        <v>-1.166989E-2</v>
      </c>
      <c r="V43" s="302">
        <v>-4.4058600000000002E-3</v>
      </c>
      <c r="W43" s="302">
        <v>1.2199999999999999E-2</v>
      </c>
      <c r="X43" s="302">
        <v>9.9399999999999988E-2</v>
      </c>
      <c r="Y43" s="302">
        <v>1.9900000000000001E-2</v>
      </c>
      <c r="Z43" s="302">
        <v>1.1535729999999999E-2</v>
      </c>
      <c r="AA43" s="302">
        <v>0.127</v>
      </c>
      <c r="AB43" s="302">
        <v>7.2900000000000006E-2</v>
      </c>
      <c r="AC43" s="302">
        <v>2.5686840000000002E-2</v>
      </c>
      <c r="AD43" s="302">
        <v>6.0349600000000007E-3</v>
      </c>
      <c r="AE43" s="302">
        <v>2.0617480000000001E-2</v>
      </c>
      <c r="AF43" s="302">
        <v>1.171879E-2</v>
      </c>
      <c r="AG43" s="302">
        <v>2.291851E-2</v>
      </c>
      <c r="AH43" s="302">
        <v>4.4999999999999998E-2</v>
      </c>
      <c r="AI43" s="302">
        <v>0.18350000000000002</v>
      </c>
      <c r="AJ43" s="302">
        <v>5.9226559999999998E-2</v>
      </c>
      <c r="AK43" s="302">
        <v>-5.1052800000000002E-3</v>
      </c>
      <c r="AL43" s="302">
        <v>-1.6829179999999999E-2</v>
      </c>
      <c r="AM43" s="302">
        <v>-0.11888826999999999</v>
      </c>
      <c r="AN43" s="302">
        <v>-3.1042429999999999E-2</v>
      </c>
      <c r="AO43" s="302">
        <v>1.2691099999999999E-3</v>
      </c>
      <c r="AP43" s="302">
        <v>-4.1974869999999997E-2</v>
      </c>
      <c r="AQ43" s="302">
        <v>-0.16407336</v>
      </c>
      <c r="AR43" s="302">
        <v>-0.13257986999999999</v>
      </c>
      <c r="AS43" s="302">
        <v>-6.1230840000000002E-2</v>
      </c>
      <c r="AT43" s="302">
        <v>-0.11224951000000001</v>
      </c>
      <c r="AU43" s="302">
        <v>-3.3963439999999998E-2</v>
      </c>
      <c r="AV43" s="302">
        <v>-8.3990750000000003E-2</v>
      </c>
      <c r="AW43" s="302">
        <v>-2.1938E-4</v>
      </c>
      <c r="AX43" s="302">
        <v>-7.5707899999999991E-3</v>
      </c>
      <c r="AY43" s="302">
        <v>1.6000000000000001E-3</v>
      </c>
    </row>
    <row r="44" spans="1:51" x14ac:dyDescent="0.2">
      <c r="A44" s="303">
        <v>32568</v>
      </c>
      <c r="B44" s="302">
        <v>2.715884E-2</v>
      </c>
      <c r="C44" s="302">
        <v>1.036834E-2</v>
      </c>
      <c r="D44" s="302">
        <v>1.1062430000000002E-2</v>
      </c>
      <c r="E44" s="302">
        <v>1.1673260000000001E-2</v>
      </c>
      <c r="F44" s="302">
        <v>1.2383740000000001E-2</v>
      </c>
      <c r="G44" s="302">
        <v>9.5338000000000003E-3</v>
      </c>
      <c r="H44" s="302">
        <v>1.9154420000000002E-2</v>
      </c>
      <c r="I44" s="302">
        <v>1.516489E-2</v>
      </c>
      <c r="J44" s="302">
        <v>2.2024129999999999E-2</v>
      </c>
      <c r="K44" s="302">
        <v>-7.7592000000000008E-3</v>
      </c>
      <c r="L44" s="302">
        <v>6.9797949999999997E-2</v>
      </c>
      <c r="M44" s="302">
        <v>7.6801049999999996E-2</v>
      </c>
      <c r="N44" s="302">
        <v>6.4650390000000002E-2</v>
      </c>
      <c r="O44" s="302">
        <v>-1.041622E-2</v>
      </c>
      <c r="P44" s="302">
        <v>8.4237000000000005E-4</v>
      </c>
      <c r="Q44" s="302">
        <v>9.0131610000000001E-2</v>
      </c>
      <c r="R44" s="302">
        <v>-2.0378650000000002E-2</v>
      </c>
      <c r="S44" s="302">
        <v>-4.8574469999999995E-2</v>
      </c>
      <c r="T44" s="302">
        <v>0.14204698999999998</v>
      </c>
      <c r="U44" s="302">
        <v>0.11403736</v>
      </c>
      <c r="V44" s="302">
        <v>0.16831790999999999</v>
      </c>
      <c r="W44" s="302">
        <v>1.18E-2</v>
      </c>
      <c r="X44" s="302">
        <v>4.4500000000000005E-2</v>
      </c>
      <c r="Y44" s="302">
        <v>2.4900000000000002E-2</v>
      </c>
      <c r="Z44" s="302">
        <v>0.11686157</v>
      </c>
      <c r="AA44" s="302">
        <v>4.1700000000000001E-2</v>
      </c>
      <c r="AB44" s="302">
        <v>-1.09E-2</v>
      </c>
      <c r="AC44" s="302">
        <v>2.715884E-2</v>
      </c>
      <c r="AD44" s="302">
        <v>1.036834E-2</v>
      </c>
      <c r="AE44" s="302">
        <v>1.1062430000000002E-2</v>
      </c>
      <c r="AF44" s="302">
        <v>9.5338000000000003E-3</v>
      </c>
      <c r="AG44" s="302">
        <v>1.9154420000000002E-2</v>
      </c>
      <c r="AH44" s="302">
        <v>-1.78E-2</v>
      </c>
      <c r="AI44" s="302">
        <v>-7.1099999999999997E-2</v>
      </c>
      <c r="AJ44" s="302">
        <v>-5.93707E-3</v>
      </c>
      <c r="AK44" s="302">
        <v>-1.1673260000000001E-2</v>
      </c>
      <c r="AL44" s="302">
        <v>-1.516489E-2</v>
      </c>
      <c r="AM44" s="302">
        <v>6.6327839999999999E-2</v>
      </c>
      <c r="AN44" s="302">
        <v>-7.0275879999999999E-2</v>
      </c>
      <c r="AO44" s="302">
        <v>-7.7282099999999992E-2</v>
      </c>
      <c r="AP44" s="302">
        <v>-6.4650390000000002E-2</v>
      </c>
      <c r="AQ44" s="302">
        <v>1.0150960000000001E-2</v>
      </c>
      <c r="AR44" s="302">
        <v>9.1109999999999987E-5</v>
      </c>
      <c r="AS44" s="302">
        <v>-9.0423820000000002E-2</v>
      </c>
      <c r="AT44" s="302">
        <v>1.7671060000000002E-2</v>
      </c>
      <c r="AU44" s="302">
        <v>4.9005020000000003E-2</v>
      </c>
      <c r="AV44" s="302">
        <v>-0.14235312</v>
      </c>
      <c r="AW44" s="302">
        <v>-0.11487154000000001</v>
      </c>
      <c r="AX44" s="302">
        <v>-0.16919274000000001</v>
      </c>
      <c r="AY44" s="302">
        <v>2E-3</v>
      </c>
    </row>
    <row r="45" spans="1:51" x14ac:dyDescent="0.2">
      <c r="A45" s="303">
        <v>32660</v>
      </c>
      <c r="B45" s="302">
        <v>2.9910990000000002E-2</v>
      </c>
      <c r="C45" s="302">
        <v>6.6384830000000006E-2</v>
      </c>
      <c r="D45" s="302">
        <v>0.12458391000000001</v>
      </c>
      <c r="E45" s="302">
        <v>6.5545820000000005E-2</v>
      </c>
      <c r="F45" s="302">
        <v>9.3623879999999993E-2</v>
      </c>
      <c r="G45" s="302">
        <v>8.602282E-2</v>
      </c>
      <c r="H45" s="302">
        <v>9.1220479999999993E-2</v>
      </c>
      <c r="I45" s="302">
        <v>8.399711E-2</v>
      </c>
      <c r="J45" s="302">
        <v>8.3748690000000001E-2</v>
      </c>
      <c r="K45" s="302">
        <v>-1.0081020000000001E-2</v>
      </c>
      <c r="L45" s="302">
        <v>9.1616719999999999E-2</v>
      </c>
      <c r="M45" s="302">
        <v>7.9508389999999998E-2</v>
      </c>
      <c r="N45" s="302">
        <v>6.1488810000000005E-2</v>
      </c>
      <c r="O45" s="302">
        <v>-8.1032379999999987E-2</v>
      </c>
      <c r="P45" s="302">
        <v>5.4077630000000002E-2</v>
      </c>
      <c r="Q45" s="302">
        <v>-4.5396200000000005E-2</v>
      </c>
      <c r="R45" s="302">
        <v>0.10876735999999999</v>
      </c>
      <c r="S45" s="302">
        <v>1.2807199999999999E-3</v>
      </c>
      <c r="T45" s="302">
        <v>-8.0384060000000007E-2</v>
      </c>
      <c r="U45" s="302">
        <v>0.16866982</v>
      </c>
      <c r="V45" s="302">
        <v>6.3070639999999997E-2</v>
      </c>
      <c r="W45" s="302">
        <v>1.6299999999999999E-2</v>
      </c>
      <c r="X45" s="302">
        <v>2.06E-2</v>
      </c>
      <c r="Y45" s="302">
        <v>2.0649999999999998E-2</v>
      </c>
      <c r="Z45" s="302">
        <v>4.2539769999999998E-2</v>
      </c>
      <c r="AA45" s="302">
        <v>0.14460000000000001</v>
      </c>
      <c r="AB45" s="302">
        <v>1.6299999999999999E-2</v>
      </c>
      <c r="AC45" s="302">
        <v>2.9910990000000002E-2</v>
      </c>
      <c r="AD45" s="302">
        <v>6.6384830000000006E-2</v>
      </c>
      <c r="AE45" s="302">
        <v>0.12458391000000001</v>
      </c>
      <c r="AF45" s="302">
        <v>8.602282E-2</v>
      </c>
      <c r="AG45" s="302">
        <v>9.1220479999999993E-2</v>
      </c>
      <c r="AH45" s="302">
        <v>0.30299999999999999</v>
      </c>
      <c r="AI45" s="302">
        <v>0.17859999999999998</v>
      </c>
      <c r="AJ45" s="302">
        <v>-4.4574000000000003E-4</v>
      </c>
      <c r="AK45" s="302">
        <v>-6.5545820000000005E-2</v>
      </c>
      <c r="AL45" s="302">
        <v>-8.399711E-2</v>
      </c>
      <c r="AM45" s="302">
        <v>8.4421380000000004E-2</v>
      </c>
      <c r="AN45" s="302">
        <v>-8.7967400000000001E-2</v>
      </c>
      <c r="AO45" s="302">
        <v>-7.5899549999999996E-2</v>
      </c>
      <c r="AP45" s="302">
        <v>-6.1488810000000005E-2</v>
      </c>
      <c r="AQ45" s="302">
        <v>8.2875660000000004E-2</v>
      </c>
      <c r="AR45" s="302">
        <v>-5.2845000000000003E-2</v>
      </c>
      <c r="AS45" s="302">
        <v>4.7310970000000001E-2</v>
      </c>
      <c r="AT45" s="302">
        <v>-0.10739438</v>
      </c>
      <c r="AU45" s="302">
        <v>2.2583999999999999E-4</v>
      </c>
      <c r="AV45" s="302">
        <v>8.222865E-2</v>
      </c>
      <c r="AW45" s="302">
        <v>-0.16593421</v>
      </c>
      <c r="AX45" s="302">
        <v>-6.0582209999999997E-2</v>
      </c>
      <c r="AY45" s="302">
        <v>2.5000000000000001E-3</v>
      </c>
    </row>
    <row r="46" spans="1:51" x14ac:dyDescent="0.2">
      <c r="A46" s="303">
        <v>32752</v>
      </c>
      <c r="B46" s="302">
        <v>3.0499830000000002E-2</v>
      </c>
      <c r="C46" s="302">
        <v>1.1341479999999999E-2</v>
      </c>
      <c r="D46" s="302">
        <v>-9.164799999999999E-4</v>
      </c>
      <c r="E46" s="302">
        <v>1.571345E-2</v>
      </c>
      <c r="F46" s="302">
        <v>1.012089E-2</v>
      </c>
      <c r="G46" s="302">
        <v>-3.48212E-3</v>
      </c>
      <c r="H46" s="302">
        <v>-4.2554999999999997E-3</v>
      </c>
      <c r="I46" s="302">
        <v>-4.7632200000000003E-3</v>
      </c>
      <c r="J46" s="302">
        <v>-6.3070000000000001E-3</v>
      </c>
      <c r="K46" s="302">
        <v>2.7600660000000003E-2</v>
      </c>
      <c r="L46" s="302">
        <v>8.8745119999999997E-2</v>
      </c>
      <c r="M46" s="302">
        <v>5.5826010000000002E-2</v>
      </c>
      <c r="N46" s="302">
        <v>5.7236179999999998E-2</v>
      </c>
      <c r="O46" s="302">
        <v>0.12301728000000001</v>
      </c>
      <c r="P46" s="302">
        <v>0.10912570000000001</v>
      </c>
      <c r="Q46" s="302">
        <v>0.1007508</v>
      </c>
      <c r="R46" s="302">
        <v>0.11453814</v>
      </c>
      <c r="S46" s="302">
        <v>0.16496300999999999</v>
      </c>
      <c r="T46" s="302">
        <v>0.12783702</v>
      </c>
      <c r="U46" s="302">
        <v>0.11412661</v>
      </c>
      <c r="V46" s="302">
        <v>0.20825995</v>
      </c>
      <c r="W46" s="302">
        <v>1.2500000000000001E-2</v>
      </c>
      <c r="X46" s="302">
        <v>3.1600000000000003E-2</v>
      </c>
      <c r="Y46" s="302">
        <v>1.985E-2</v>
      </c>
      <c r="Z46" s="302">
        <v>4.1775E-2</v>
      </c>
      <c r="AA46" s="302">
        <v>3.5400000000000001E-2</v>
      </c>
      <c r="AB46" s="302">
        <v>8.8999999999999999E-3</v>
      </c>
      <c r="AC46" s="302">
        <v>3.0499830000000002E-2</v>
      </c>
      <c r="AD46" s="302">
        <v>1.1341479999999999E-2</v>
      </c>
      <c r="AE46" s="302">
        <v>-9.164799999999999E-4</v>
      </c>
      <c r="AF46" s="302">
        <v>-3.48212E-3</v>
      </c>
      <c r="AG46" s="302">
        <v>-4.2554999999999997E-3</v>
      </c>
      <c r="AH46" s="302">
        <v>-4.6399999999999997E-2</v>
      </c>
      <c r="AI46" s="302">
        <v>-1.3300000000000001E-2</v>
      </c>
      <c r="AJ46" s="302">
        <v>2.0244399999999999E-2</v>
      </c>
      <c r="AK46" s="302">
        <v>-1.571345E-2</v>
      </c>
      <c r="AL46" s="302">
        <v>4.7632200000000003E-3</v>
      </c>
      <c r="AM46" s="302">
        <v>-5.3549179999999995E-2</v>
      </c>
      <c r="AN46" s="302">
        <v>-0.10650089</v>
      </c>
      <c r="AO46" s="302">
        <v>-7.3044919999999999E-2</v>
      </c>
      <c r="AP46" s="302">
        <v>-5.7236179999999998E-2</v>
      </c>
      <c r="AQ46" s="302">
        <v>-0.13400610000000002</v>
      </c>
      <c r="AR46" s="302">
        <v>-0.11969630000000001</v>
      </c>
      <c r="AS46" s="302">
        <v>-0.11152174000000001</v>
      </c>
      <c r="AT46" s="302">
        <v>-0.12477905</v>
      </c>
      <c r="AU46" s="302">
        <v>-0.17618323</v>
      </c>
      <c r="AV46" s="302">
        <v>-0.138873</v>
      </c>
      <c r="AW46" s="302">
        <v>-0.12514079</v>
      </c>
      <c r="AX46" s="302">
        <v>-0.22020472999999999</v>
      </c>
      <c r="AY46" s="302">
        <v>2.5000000000000001E-3</v>
      </c>
    </row>
    <row r="47" spans="1:51" x14ac:dyDescent="0.2">
      <c r="A47" s="303">
        <v>32843</v>
      </c>
      <c r="B47" s="302">
        <v>3.0442999999999998E-2</v>
      </c>
      <c r="C47" s="302">
        <v>3.4118789999999996E-2</v>
      </c>
      <c r="D47" s="302">
        <v>4.7797140000000002E-2</v>
      </c>
      <c r="E47" s="302">
        <v>3.1451440000000004E-2</v>
      </c>
      <c r="F47" s="302">
        <v>3.0865420000000001E-2</v>
      </c>
      <c r="G47" s="302">
        <v>3.1912889999999999E-2</v>
      </c>
      <c r="H47" s="302">
        <v>4.1223499999999996E-2</v>
      </c>
      <c r="I47" s="302">
        <v>3.1582810000000003E-2</v>
      </c>
      <c r="J47" s="302">
        <v>3.6957580000000004E-2</v>
      </c>
      <c r="K47" s="302">
        <v>-1.9264630000000001E-2</v>
      </c>
      <c r="L47" s="302">
        <v>3.8146899999999999E-3</v>
      </c>
      <c r="M47" s="302">
        <v>-5.5467579999999995E-2</v>
      </c>
      <c r="N47" s="302">
        <v>1.5843510000000002E-2</v>
      </c>
      <c r="O47" s="302">
        <v>1.515771E-2</v>
      </c>
      <c r="P47" s="302">
        <v>0.11158442</v>
      </c>
      <c r="Q47" s="302">
        <v>3.3164069999999997E-2</v>
      </c>
      <c r="R47" s="302">
        <v>1.6425260000000001E-2</v>
      </c>
      <c r="S47" s="302">
        <v>-3.0142319999999997E-2</v>
      </c>
      <c r="T47" s="302">
        <v>3.2632550000000003E-2</v>
      </c>
      <c r="U47" s="302">
        <v>0.12948962</v>
      </c>
      <c r="V47" s="302">
        <v>6.6971929999999999E-2</v>
      </c>
      <c r="W47" s="302">
        <v>2.9999999999999997E-4</v>
      </c>
      <c r="X47" s="302">
        <v>6.6000000000000003E-2</v>
      </c>
      <c r="Y47" s="302">
        <v>1.2849999999999999E-2</v>
      </c>
      <c r="Z47" s="302">
        <v>3.9911809999999999E-2</v>
      </c>
      <c r="AA47" s="302">
        <v>0.11259999999999999</v>
      </c>
      <c r="AB47" s="302">
        <v>2.9500000000000002E-2</v>
      </c>
      <c r="AC47" s="302">
        <v>3.0442999999999998E-2</v>
      </c>
      <c r="AD47" s="302">
        <v>3.4118789999999996E-2</v>
      </c>
      <c r="AE47" s="302">
        <v>4.7797140000000002E-2</v>
      </c>
      <c r="AF47" s="302">
        <v>3.1912889999999999E-2</v>
      </c>
      <c r="AG47" s="302">
        <v>4.1223499999999996E-2</v>
      </c>
      <c r="AH47" s="302">
        <v>5.4600000000000003E-2</v>
      </c>
      <c r="AI47" s="302">
        <v>0.1125</v>
      </c>
      <c r="AJ47" s="302">
        <v>-3.5402120000000002E-2</v>
      </c>
      <c r="AK47" s="302">
        <v>-3.1451440000000004E-2</v>
      </c>
      <c r="AL47" s="302">
        <v>-3.1582810000000003E-2</v>
      </c>
      <c r="AM47" s="302">
        <v>5.7565480000000002E-2</v>
      </c>
      <c r="AN47" s="302">
        <v>-2.0544920000000001E-2</v>
      </c>
      <c r="AO47" s="302">
        <v>3.9725380000000005E-2</v>
      </c>
      <c r="AP47" s="302">
        <v>-1.5843510000000002E-2</v>
      </c>
      <c r="AQ47" s="302">
        <v>-2.530928E-2</v>
      </c>
      <c r="AR47" s="302">
        <v>-0.1228926</v>
      </c>
      <c r="AS47" s="302">
        <v>-4.3495699999999998E-2</v>
      </c>
      <c r="AT47" s="302">
        <v>-2.5799720000000002E-2</v>
      </c>
      <c r="AU47" s="302">
        <v>2.0342389999999998E-2</v>
      </c>
      <c r="AV47" s="302">
        <v>-4.2958860000000001E-2</v>
      </c>
      <c r="AW47" s="302">
        <v>-0.14070711</v>
      </c>
      <c r="AX47" s="302">
        <v>-7.7568530000000011E-2</v>
      </c>
      <c r="AY47" s="302">
        <v>2.5000000000000001E-3</v>
      </c>
    </row>
    <row r="48" spans="1:51" x14ac:dyDescent="0.2">
      <c r="A48" s="303">
        <v>32933</v>
      </c>
      <c r="B48" s="302">
        <v>3.1585390000000005E-2</v>
      </c>
      <c r="C48" s="302">
        <v>-1.35826E-3</v>
      </c>
      <c r="D48" s="302">
        <v>-4.3371820000000005E-2</v>
      </c>
      <c r="E48" s="302">
        <v>-1.93929E-3</v>
      </c>
      <c r="F48" s="302">
        <v>-1.600352E-2</v>
      </c>
      <c r="G48" s="302">
        <v>-5.5357370000000003E-2</v>
      </c>
      <c r="H48" s="302">
        <v>-7.8027639999999995E-2</v>
      </c>
      <c r="I48" s="302">
        <v>-4.9595200000000006E-2</v>
      </c>
      <c r="J48" s="302">
        <v>-7.319871E-2</v>
      </c>
      <c r="K48" s="302">
        <v>-8.0366440000000011E-2</v>
      </c>
      <c r="L48" s="302">
        <v>-2.0415429999999998E-2</v>
      </c>
      <c r="M48" s="302">
        <v>-1.7969059999999999E-2</v>
      </c>
      <c r="N48" s="302">
        <v>-7.5672900000000001E-2</v>
      </c>
      <c r="O48" s="302">
        <v>-0.28828615000000002</v>
      </c>
      <c r="P48" s="302">
        <v>2.4361570000000003E-2</v>
      </c>
      <c r="Q48" s="302">
        <v>-3.6360820000000002E-2</v>
      </c>
      <c r="R48" s="302">
        <v>-2.034302E-2</v>
      </c>
      <c r="S48" s="302">
        <v>-8.4671430000000006E-2</v>
      </c>
      <c r="T48" s="302">
        <v>5.0770619999999995E-2</v>
      </c>
      <c r="U48" s="302">
        <v>2.8060700000000001E-2</v>
      </c>
      <c r="V48" s="302">
        <v>-6.2434679999999999E-2</v>
      </c>
      <c r="W48" s="302">
        <v>1.1200000000000002E-2</v>
      </c>
      <c r="X48" s="302">
        <v>2.6200000000000001E-2</v>
      </c>
      <c r="Y48" s="302">
        <v>1.6399999999999998E-2</v>
      </c>
      <c r="Z48" s="302">
        <v>-4.7474540000000003E-2</v>
      </c>
      <c r="AA48" s="302">
        <v>2.6600000000000002E-2</v>
      </c>
      <c r="AB48" s="302">
        <v>-3.2899999999999999E-2</v>
      </c>
      <c r="AC48" s="302">
        <v>3.1585390000000005E-2</v>
      </c>
      <c r="AD48" s="302">
        <v>-1.35826E-3</v>
      </c>
      <c r="AE48" s="302">
        <v>-4.3371820000000005E-2</v>
      </c>
      <c r="AF48" s="302">
        <v>-5.5357370000000003E-2</v>
      </c>
      <c r="AG48" s="302">
        <v>-7.8027639999999995E-2</v>
      </c>
      <c r="AH48" s="302">
        <v>-0.16190000000000002</v>
      </c>
      <c r="AI48" s="302">
        <v>-0.33710000000000001</v>
      </c>
      <c r="AJ48" s="302">
        <v>-0.11880381</v>
      </c>
      <c r="AK48" s="302">
        <v>1.93929E-3</v>
      </c>
      <c r="AL48" s="302">
        <v>4.9595200000000006E-2</v>
      </c>
      <c r="AM48" s="302">
        <v>0.15840878</v>
      </c>
      <c r="AN48" s="302">
        <v>3.0213819999999999E-2</v>
      </c>
      <c r="AO48" s="302">
        <v>2.7791920000000001E-2</v>
      </c>
      <c r="AP48" s="302">
        <v>7.5672900000000001E-2</v>
      </c>
      <c r="AQ48" s="302">
        <v>0.29255754</v>
      </c>
      <c r="AR48" s="302">
        <v>-1.760393E-2</v>
      </c>
      <c r="AS48" s="302">
        <v>4.2144149999999998E-2</v>
      </c>
      <c r="AT48" s="302">
        <v>2.6034739999999997E-2</v>
      </c>
      <c r="AU48" s="302">
        <v>9.0490490000000007E-2</v>
      </c>
      <c r="AV48" s="302">
        <v>-4.4464360000000001E-2</v>
      </c>
      <c r="AW48" s="302">
        <v>-2.2137199999999999E-2</v>
      </c>
      <c r="AX48" s="302">
        <v>6.7836759999999996E-2</v>
      </c>
      <c r="AY48" s="302">
        <v>2.7000000000000001E-3</v>
      </c>
    </row>
    <row r="49" spans="1:51" x14ac:dyDescent="0.2">
      <c r="A49" s="303">
        <v>33025</v>
      </c>
      <c r="B49" s="302">
        <v>3.3647410000000003E-2</v>
      </c>
      <c r="C49" s="302">
        <v>3.137069E-2</v>
      </c>
      <c r="D49" s="302">
        <v>4.5173909999999998E-2</v>
      </c>
      <c r="E49" s="302">
        <v>3.4809949999999999E-2</v>
      </c>
      <c r="F49" s="302">
        <v>4.4040290000000003E-2</v>
      </c>
      <c r="G49" s="302">
        <v>4.7534449999999999E-2</v>
      </c>
      <c r="H49" s="302">
        <v>5.3425830000000001E-2</v>
      </c>
      <c r="I49" s="302">
        <v>4.7559610000000002E-2</v>
      </c>
      <c r="J49" s="302">
        <v>6.2028819999999998E-2</v>
      </c>
      <c r="K49" s="302">
        <v>2.4645730000000001E-2</v>
      </c>
      <c r="L49" s="302">
        <v>5.7446810000000001E-2</v>
      </c>
      <c r="M49" s="302">
        <v>3.3997949999999999E-2</v>
      </c>
      <c r="N49" s="302">
        <v>-1.6948640000000001E-2</v>
      </c>
      <c r="O49" s="302">
        <v>8.9235930000000005E-2</v>
      </c>
      <c r="P49" s="302">
        <v>4.9501129999999997E-2</v>
      </c>
      <c r="Q49" s="302">
        <v>0.12985235000000001</v>
      </c>
      <c r="R49" s="302">
        <v>0.16019616</v>
      </c>
      <c r="S49" s="302">
        <v>6.0451569999999996E-2</v>
      </c>
      <c r="T49" s="302">
        <v>5.6321950000000003E-2</v>
      </c>
      <c r="U49" s="302">
        <v>5.779492E-2</v>
      </c>
      <c r="V49" s="302">
        <v>0.19413644000000002</v>
      </c>
      <c r="W49" s="302">
        <v>7.7000000000000002E-3</v>
      </c>
      <c r="X49" s="302">
        <v>1.7500000000000002E-2</v>
      </c>
      <c r="Y49" s="302">
        <v>6.4349999999999991E-2</v>
      </c>
      <c r="Z49" s="302">
        <v>-4.6354909999999999E-2</v>
      </c>
      <c r="AA49" s="302">
        <v>3.0600000000000002E-2</v>
      </c>
      <c r="AB49" s="302">
        <v>-1.9199999999999998E-2</v>
      </c>
      <c r="AC49" s="302">
        <v>3.3647410000000003E-2</v>
      </c>
      <c r="AD49" s="302">
        <v>3.137069E-2</v>
      </c>
      <c r="AE49" s="302">
        <v>4.5173909999999998E-2</v>
      </c>
      <c r="AF49" s="302">
        <v>4.7534449999999999E-2</v>
      </c>
      <c r="AG49" s="302">
        <v>5.3425830000000001E-2</v>
      </c>
      <c r="AH49" s="302">
        <v>6.3099999999999989E-2</v>
      </c>
      <c r="AI49" s="302">
        <v>8.9499999999999996E-2</v>
      </c>
      <c r="AJ49" s="302">
        <v>3.3936689999999999E-2</v>
      </c>
      <c r="AK49" s="302">
        <v>-3.4809949999999999E-2</v>
      </c>
      <c r="AL49" s="302">
        <v>-4.7559610000000002E-2</v>
      </c>
      <c r="AM49" s="302">
        <v>-6.1033949999999997E-2</v>
      </c>
      <c r="AN49" s="302">
        <v>-6.2899010000000005E-2</v>
      </c>
      <c r="AO49" s="302">
        <v>-3.9329250000000003E-2</v>
      </c>
      <c r="AP49" s="302">
        <v>1.6948640000000001E-2</v>
      </c>
      <c r="AQ49" s="302">
        <v>-9.2605590000000002E-2</v>
      </c>
      <c r="AR49" s="302">
        <v>-5.2112489999999997E-2</v>
      </c>
      <c r="AS49" s="302">
        <v>-0.13334767</v>
      </c>
      <c r="AT49" s="302">
        <v>-0.16336074</v>
      </c>
      <c r="AU49" s="302">
        <v>-6.3346189999999997E-2</v>
      </c>
      <c r="AV49" s="302">
        <v>-5.9589790000000004E-2</v>
      </c>
      <c r="AW49" s="302">
        <v>-6.1322840000000003E-2</v>
      </c>
      <c r="AX49" s="302">
        <v>-0.19811907000000001</v>
      </c>
      <c r="AY49" s="302">
        <v>3.0000000000000001E-3</v>
      </c>
    </row>
    <row r="50" spans="1:51" x14ac:dyDescent="0.2">
      <c r="A50" s="303">
        <v>33117</v>
      </c>
      <c r="B50" s="302">
        <v>3.3218379999999999E-2</v>
      </c>
      <c r="C50" s="302">
        <v>1.9398510000000001E-2</v>
      </c>
      <c r="D50" s="302">
        <v>-2.2610000000000002E-2</v>
      </c>
      <c r="E50" s="302">
        <v>1.0327379999999999E-2</v>
      </c>
      <c r="F50" s="302">
        <v>-1.236057E-2</v>
      </c>
      <c r="G50" s="302">
        <v>1.5325979999999999E-2</v>
      </c>
      <c r="H50" s="302">
        <v>-1.621175E-2</v>
      </c>
      <c r="I50" s="302">
        <v>1.47656E-2</v>
      </c>
      <c r="J50" s="302">
        <v>-2.2077589999999998E-2</v>
      </c>
      <c r="K50" s="302">
        <v>-5.3818349999999994E-2</v>
      </c>
      <c r="L50" s="302">
        <v>-0.14352989000000002</v>
      </c>
      <c r="M50" s="302">
        <v>-0.22495577</v>
      </c>
      <c r="N50" s="302">
        <v>-0.10014816</v>
      </c>
      <c r="O50" s="302">
        <v>-0.26689413000000001</v>
      </c>
      <c r="P50" s="302">
        <v>-0.21519495999999999</v>
      </c>
      <c r="Q50" s="302">
        <v>-0.10525690000000001</v>
      </c>
      <c r="R50" s="302">
        <v>-0.20341481000000003</v>
      </c>
      <c r="S50" s="302">
        <v>-2.8128959999999998E-2</v>
      </c>
      <c r="T50" s="302">
        <v>-0.22270095999999998</v>
      </c>
      <c r="U50" s="302">
        <v>-0.27499574999999998</v>
      </c>
      <c r="V50" s="302">
        <v>-0.17735951</v>
      </c>
      <c r="W50" s="302">
        <v>4.8999999999999998E-3</v>
      </c>
      <c r="X50" s="302">
        <v>3.0999999999999999E-3</v>
      </c>
      <c r="Y50" s="302">
        <v>-8.199999999999999E-3</v>
      </c>
      <c r="Z50" s="302">
        <v>0.13251541999999999</v>
      </c>
      <c r="AA50" s="302">
        <v>1.4199999999999999E-2</v>
      </c>
      <c r="AB50" s="302">
        <v>-6.3099999999999989E-2</v>
      </c>
      <c r="AC50" s="302">
        <v>3.3218379999999999E-2</v>
      </c>
      <c r="AD50" s="302">
        <v>1.9398510000000001E-2</v>
      </c>
      <c r="AE50" s="302">
        <v>-2.2610000000000002E-2</v>
      </c>
      <c r="AF50" s="302">
        <v>1.5325979999999999E-2</v>
      </c>
      <c r="AG50" s="302">
        <v>-1.621175E-2</v>
      </c>
      <c r="AH50" s="302">
        <v>-0.18789999999999998</v>
      </c>
      <c r="AI50" s="302">
        <v>-0.26390000000000002</v>
      </c>
      <c r="AJ50" s="302">
        <v>-9.7871529999999998E-2</v>
      </c>
      <c r="AK50" s="302">
        <v>-1.0327379999999999E-2</v>
      </c>
      <c r="AL50" s="302">
        <v>-1.47656E-2</v>
      </c>
      <c r="AM50" s="302">
        <v>-3.842686E-2</v>
      </c>
      <c r="AN50" s="302">
        <v>0.13782506</v>
      </c>
      <c r="AO50" s="302">
        <v>0.2197933</v>
      </c>
      <c r="AP50" s="302">
        <v>0.10014816</v>
      </c>
      <c r="AQ50" s="302">
        <v>0.26396426000000001</v>
      </c>
      <c r="AR50" s="302">
        <v>0.21165558000000001</v>
      </c>
      <c r="AS50" s="302">
        <v>0.10168104</v>
      </c>
      <c r="AT50" s="302">
        <v>0.19977042999999997</v>
      </c>
      <c r="AU50" s="302">
        <v>2.3944709999999998E-2</v>
      </c>
      <c r="AV50" s="302">
        <v>0.21959447000000001</v>
      </c>
      <c r="AW50" s="302">
        <v>0.27224646000000002</v>
      </c>
      <c r="AX50" s="302">
        <v>0.17423996999999999</v>
      </c>
      <c r="AY50" s="302">
        <v>2.8000000000000004E-3</v>
      </c>
    </row>
    <row r="51" spans="1:51" x14ac:dyDescent="0.2">
      <c r="A51" s="303">
        <v>33208</v>
      </c>
      <c r="B51" s="302">
        <v>3.0948280000000002E-2</v>
      </c>
      <c r="C51" s="302">
        <v>4.344195E-2</v>
      </c>
      <c r="D51" s="302">
        <v>8.7615750000000006E-2</v>
      </c>
      <c r="E51" s="302">
        <v>3.1535420000000002E-2</v>
      </c>
      <c r="F51" s="302">
        <v>4.9482540000000005E-2</v>
      </c>
      <c r="G51" s="302">
        <v>7.0125659999999992E-2</v>
      </c>
      <c r="H51" s="302">
        <v>9.1534959999999999E-2</v>
      </c>
      <c r="I51" s="302">
        <v>7.0296230000000001E-2</v>
      </c>
      <c r="J51" s="302">
        <v>8.6006219999999994E-2</v>
      </c>
      <c r="K51" s="302">
        <v>0.10443809</v>
      </c>
      <c r="L51" s="302">
        <v>9.3288280000000001E-2</v>
      </c>
      <c r="M51" s="302">
        <v>8.346307E-2</v>
      </c>
      <c r="N51" s="302">
        <v>4.2022130000000005E-2</v>
      </c>
      <c r="O51" s="302">
        <v>0.12999359999999999</v>
      </c>
      <c r="P51" s="302">
        <v>5.4440619999999995E-2</v>
      </c>
      <c r="Q51" s="302">
        <v>0.13426125999999999</v>
      </c>
      <c r="R51" s="302">
        <v>5.6304299999999995E-2</v>
      </c>
      <c r="S51" s="302">
        <v>-0.10725782</v>
      </c>
      <c r="T51" s="302">
        <v>9.3495620000000002E-2</v>
      </c>
      <c r="U51" s="302">
        <v>4.8030730000000001E-2</v>
      </c>
      <c r="V51" s="302">
        <v>-2.7117200000000001E-2</v>
      </c>
      <c r="W51" s="302">
        <v>-3.3799999999999997E-2</v>
      </c>
      <c r="X51" s="302">
        <v>-6.3E-3</v>
      </c>
      <c r="Y51" s="302">
        <v>-2.6949999999999998E-2</v>
      </c>
      <c r="Z51" s="302">
        <v>-0.12103514999999999</v>
      </c>
      <c r="AA51" s="302">
        <v>3.5000000000000003E-2</v>
      </c>
      <c r="AB51" s="302">
        <v>-1.23E-2</v>
      </c>
      <c r="AC51" s="302">
        <v>3.0948280000000002E-2</v>
      </c>
      <c r="AD51" s="302">
        <v>4.344195E-2</v>
      </c>
      <c r="AE51" s="302">
        <v>8.7615750000000006E-2</v>
      </c>
      <c r="AF51" s="302">
        <v>7.0125659999999992E-2</v>
      </c>
      <c r="AG51" s="302">
        <v>9.1534959999999999E-2</v>
      </c>
      <c r="AH51" s="302">
        <v>0.22159999999999999</v>
      </c>
      <c r="AI51" s="302">
        <v>0.3357</v>
      </c>
      <c r="AJ51" s="302">
        <v>0.16295479000000002</v>
      </c>
      <c r="AK51" s="302">
        <v>-3.1535420000000002E-2</v>
      </c>
      <c r="AL51" s="302">
        <v>-7.0296230000000001E-2</v>
      </c>
      <c r="AM51" s="302">
        <v>-0.13041193000000001</v>
      </c>
      <c r="AN51" s="302">
        <v>-8.951837E-2</v>
      </c>
      <c r="AO51" s="302">
        <v>-7.9727039999999999E-2</v>
      </c>
      <c r="AP51" s="302">
        <v>-4.2022130000000005E-2</v>
      </c>
      <c r="AQ51" s="302">
        <v>-0.12765571000000001</v>
      </c>
      <c r="AR51" s="302">
        <v>-5.298696E-2</v>
      </c>
      <c r="AS51" s="302">
        <v>-0.13191454</v>
      </c>
      <c r="AT51" s="302">
        <v>-4.8245589999999998E-2</v>
      </c>
      <c r="AU51" s="302">
        <v>0.10873559000000001</v>
      </c>
      <c r="AV51" s="302">
        <v>-9.1233249999999988E-2</v>
      </c>
      <c r="AW51" s="302">
        <v>-4.5572629999999996E-2</v>
      </c>
      <c r="AX51" s="302">
        <v>2.9399039999999998E-2</v>
      </c>
      <c r="AY51" s="302">
        <v>2.5999999999999999E-3</v>
      </c>
    </row>
    <row r="52" spans="1:51" x14ac:dyDescent="0.2">
      <c r="A52" s="303">
        <v>33298</v>
      </c>
      <c r="B52" s="302">
        <v>2.669728E-2</v>
      </c>
      <c r="C52" s="302">
        <v>2.201651E-2</v>
      </c>
      <c r="D52" s="302">
        <v>2.0804680000000002E-2</v>
      </c>
      <c r="E52" s="302">
        <v>3.7490660000000002E-2</v>
      </c>
      <c r="F52" s="302">
        <v>4.9109600000000003E-2</v>
      </c>
      <c r="G52" s="302">
        <v>6.569469E-2</v>
      </c>
      <c r="H52" s="302">
        <v>7.2655349999999994E-2</v>
      </c>
      <c r="I52" s="302">
        <v>6.4120990000000003E-2</v>
      </c>
      <c r="J52" s="302">
        <v>8.0718960000000006E-2</v>
      </c>
      <c r="K52" s="302">
        <v>2.2825359999999999E-2</v>
      </c>
      <c r="L52" s="302">
        <v>0.14362094</v>
      </c>
      <c r="M52" s="302">
        <v>0.25293607000000001</v>
      </c>
      <c r="N52" s="302">
        <v>8.3049590000000006E-2</v>
      </c>
      <c r="O52" s="302">
        <v>9.9929749999999998E-2</v>
      </c>
      <c r="P52" s="302">
        <v>3.6290079999999995E-2</v>
      </c>
      <c r="Q52" s="302">
        <v>5.94364E-2</v>
      </c>
      <c r="R52" s="302">
        <v>6.3864309999999994E-2</v>
      </c>
      <c r="S52" s="302">
        <v>0.15650389000000001</v>
      </c>
      <c r="T52" s="302">
        <v>0.23820172000000001</v>
      </c>
      <c r="U52" s="302">
        <v>0.22530097000000002</v>
      </c>
      <c r="V52" s="302">
        <v>0.28951264999999998</v>
      </c>
      <c r="W52" s="302">
        <v>-5.6999999999999993E-3</v>
      </c>
      <c r="X52" s="302">
        <v>3.2000000000000002E-3</v>
      </c>
      <c r="Y52" s="302">
        <v>3.015E-2</v>
      </c>
      <c r="Z52" s="302">
        <v>-1.9282669999999998E-2</v>
      </c>
      <c r="AA52" s="302">
        <v>1.6500000000000001E-2</v>
      </c>
      <c r="AB52" s="302">
        <v>5.9999999999999995E-4</v>
      </c>
      <c r="AC52" s="302">
        <v>2.669728E-2</v>
      </c>
      <c r="AD52" s="302">
        <v>2.201651E-2</v>
      </c>
      <c r="AE52" s="302">
        <v>2.0804680000000002E-2</v>
      </c>
      <c r="AF52" s="302">
        <v>6.569469E-2</v>
      </c>
      <c r="AG52" s="302">
        <v>7.2655349999999994E-2</v>
      </c>
      <c r="AH52" s="302">
        <v>9.4999999999999998E-3</v>
      </c>
      <c r="AI52" s="302">
        <v>0.1105</v>
      </c>
      <c r="AJ52" s="302">
        <v>2.6166100000000001E-2</v>
      </c>
      <c r="AK52" s="302">
        <v>-3.7490660000000002E-2</v>
      </c>
      <c r="AL52" s="302">
        <v>-6.4120990000000003E-2</v>
      </c>
      <c r="AM52" s="302">
        <v>1.58475E-2</v>
      </c>
      <c r="AN52" s="302">
        <v>-0.14559608000000002</v>
      </c>
      <c r="AO52" s="302">
        <v>-0.25510000999999999</v>
      </c>
      <c r="AP52" s="302">
        <v>-8.3049590000000006E-2</v>
      </c>
      <c r="AQ52" s="302">
        <v>-0.10106946999999999</v>
      </c>
      <c r="AR52" s="302">
        <v>-3.6379559999999998E-2</v>
      </c>
      <c r="AS52" s="302">
        <v>-6.0534239999999996E-2</v>
      </c>
      <c r="AT52" s="302">
        <v>-7.1313269999999998E-2</v>
      </c>
      <c r="AU52" s="302">
        <v>-0.15704273000000002</v>
      </c>
      <c r="AV52" s="302">
        <v>-0.23948481000000002</v>
      </c>
      <c r="AW52" s="302">
        <v>-0.22703621999999998</v>
      </c>
      <c r="AX52" s="302">
        <v>-0.29133882999999999</v>
      </c>
      <c r="AY52" s="302">
        <v>3.0000000000000001E-3</v>
      </c>
    </row>
    <row r="53" spans="1:51" x14ac:dyDescent="0.2">
      <c r="A53" s="303">
        <v>33390</v>
      </c>
      <c r="B53" s="302">
        <v>2.3116460000000002E-2</v>
      </c>
      <c r="C53" s="302">
        <v>1.686609E-2</v>
      </c>
      <c r="D53" s="302">
        <v>4.2830000000000003E-3</v>
      </c>
      <c r="E53" s="302">
        <v>2.1485690000000002E-2</v>
      </c>
      <c r="F53" s="302">
        <v>1.7673270000000001E-2</v>
      </c>
      <c r="G53" s="302">
        <v>7.0065000000000004E-4</v>
      </c>
      <c r="H53" s="302">
        <v>-1.1420189999999998E-2</v>
      </c>
      <c r="I53" s="302">
        <v>6.9386700000000001E-3</v>
      </c>
      <c r="J53" s="302">
        <v>-1.4911000000000001E-4</v>
      </c>
      <c r="K53" s="302">
        <v>1.9690599999999999E-3</v>
      </c>
      <c r="L53" s="302">
        <v>-1.5857920000000001E-2</v>
      </c>
      <c r="M53" s="302">
        <v>-1.5467070000000001E-2</v>
      </c>
      <c r="N53" s="302">
        <v>3.1017699999999998E-3</v>
      </c>
      <c r="O53" s="302">
        <v>-6.9936170000000006E-2</v>
      </c>
      <c r="P53" s="302">
        <v>-6.3232099999999999E-2</v>
      </c>
      <c r="Q53" s="302">
        <v>-0.10096249</v>
      </c>
      <c r="R53" s="302">
        <v>-6.2744530000000007E-2</v>
      </c>
      <c r="S53" s="302">
        <v>4.5054780000000003E-2</v>
      </c>
      <c r="T53" s="302">
        <v>-9.0814399999999997E-3</v>
      </c>
      <c r="U53" s="302">
        <v>-8.5799790000000001E-2</v>
      </c>
      <c r="V53" s="302">
        <v>3.6371010000000002E-2</v>
      </c>
      <c r="W53" s="302">
        <v>-1.26E-2</v>
      </c>
      <c r="X53" s="302">
        <v>1.1699999999999999E-2</v>
      </c>
      <c r="Y53" s="302">
        <v>1.225E-2</v>
      </c>
      <c r="Z53" s="302">
        <v>-4.4843300000000003E-2</v>
      </c>
      <c r="AA53" s="302">
        <v>5.7000000000000002E-2</v>
      </c>
      <c r="AB53" s="302">
        <v>-2.3999999999999998E-3</v>
      </c>
      <c r="AC53" s="302">
        <v>2.3116460000000002E-2</v>
      </c>
      <c r="AD53" s="302">
        <v>1.686609E-2</v>
      </c>
      <c r="AE53" s="302">
        <v>4.2830000000000003E-3</v>
      </c>
      <c r="AF53" s="302">
        <v>7.0065000000000004E-4</v>
      </c>
      <c r="AG53" s="302">
        <v>-1.1420189999999998E-2</v>
      </c>
      <c r="AH53" s="302">
        <v>-5.7500000000000002E-2</v>
      </c>
      <c r="AI53" s="302">
        <v>-0.111</v>
      </c>
      <c r="AJ53" s="302">
        <v>3.5107300000000001E-3</v>
      </c>
      <c r="AK53" s="302">
        <v>-2.1485690000000002E-2</v>
      </c>
      <c r="AL53" s="302">
        <v>-6.9386700000000001E-3</v>
      </c>
      <c r="AM53" s="302">
        <v>-1.7988360000000002E-2</v>
      </c>
      <c r="AN53" s="302">
        <v>2.0695599999999998E-3</v>
      </c>
      <c r="AO53" s="302">
        <v>1.6732299999999999E-3</v>
      </c>
      <c r="AP53" s="302">
        <v>-3.1017699999999998E-3</v>
      </c>
      <c r="AQ53" s="302">
        <v>6.2117749999999999E-2</v>
      </c>
      <c r="AR53" s="302">
        <v>5.4541599999999996E-2</v>
      </c>
      <c r="AS53" s="302">
        <v>9.3404890000000004E-2</v>
      </c>
      <c r="AT53" s="302">
        <v>5.7302169999999999E-2</v>
      </c>
      <c r="AU53" s="302">
        <v>-5.4388899999999997E-2</v>
      </c>
      <c r="AV53" s="302">
        <v>7.5146000000000002E-4</v>
      </c>
      <c r="AW53" s="302">
        <v>7.8430239999999998E-2</v>
      </c>
      <c r="AX53" s="302">
        <v>-4.4725409999999993E-2</v>
      </c>
      <c r="AY53" s="302">
        <v>3.4999999999999996E-3</v>
      </c>
    </row>
    <row r="54" spans="1:51" x14ac:dyDescent="0.2">
      <c r="A54" s="303">
        <v>33482</v>
      </c>
      <c r="B54" s="302">
        <v>2.1403200000000001E-2</v>
      </c>
      <c r="C54" s="302">
        <v>4.7526359999999997E-2</v>
      </c>
      <c r="D54" s="302">
        <v>8.4162470000000003E-2</v>
      </c>
      <c r="E54" s="302">
        <v>5.0513630000000004E-2</v>
      </c>
      <c r="F54" s="302">
        <v>6.958020999999999E-2</v>
      </c>
      <c r="G54" s="302">
        <v>8.3619239999999997E-2</v>
      </c>
      <c r="H54" s="302">
        <v>9.9559080000000008E-2</v>
      </c>
      <c r="I54" s="302">
        <v>8.5585299999999989E-2</v>
      </c>
      <c r="J54" s="302">
        <v>0.10250413</v>
      </c>
      <c r="K54" s="302">
        <v>6.6067749999999995E-2</v>
      </c>
      <c r="L54" s="302">
        <v>4.4139569999999996E-2</v>
      </c>
      <c r="M54" s="302">
        <v>7.6285470000000008E-2</v>
      </c>
      <c r="N54" s="302">
        <v>-1.4409160000000001E-2</v>
      </c>
      <c r="O54" s="302">
        <v>3.6920309999999998E-2</v>
      </c>
      <c r="P54" s="302">
        <v>7.2582370000000007E-2</v>
      </c>
      <c r="Q54" s="302">
        <v>0.17699565</v>
      </c>
      <c r="R54" s="302">
        <v>6.0401049999999998E-2</v>
      </c>
      <c r="S54" s="302">
        <v>9.059847E-2</v>
      </c>
      <c r="T54" s="302">
        <v>-1.3998509999999999E-2</v>
      </c>
      <c r="U54" s="302">
        <v>-0.14021575999999999</v>
      </c>
      <c r="V54" s="302">
        <v>2.3340879999999998E-2</v>
      </c>
      <c r="W54" s="302">
        <v>-1.26E-2</v>
      </c>
      <c r="X54" s="302">
        <v>-2.8000000000000004E-3</v>
      </c>
      <c r="Y54" s="302">
        <v>2.2349999999999998E-2</v>
      </c>
      <c r="Z54" s="302">
        <v>-1.010259E-2</v>
      </c>
      <c r="AA54" s="302">
        <v>2.4700000000000003E-2</v>
      </c>
      <c r="AB54" s="302">
        <v>9.5999999999999992E-3</v>
      </c>
      <c r="AC54" s="302">
        <v>2.1403200000000001E-2</v>
      </c>
      <c r="AD54" s="302">
        <v>4.7526359999999997E-2</v>
      </c>
      <c r="AE54" s="302">
        <v>8.4162470000000003E-2</v>
      </c>
      <c r="AF54" s="302">
        <v>8.3619239999999997E-2</v>
      </c>
      <c r="AG54" s="302">
        <v>9.9559080000000008E-2</v>
      </c>
      <c r="AH54" s="302">
        <v>0.14679999999999999</v>
      </c>
      <c r="AI54" s="302">
        <v>0.217</v>
      </c>
      <c r="AJ54" s="302">
        <v>7.0336949999999995E-2</v>
      </c>
      <c r="AK54" s="302">
        <v>-5.0513630000000004E-2</v>
      </c>
      <c r="AL54" s="302">
        <v>-8.5585299999999989E-2</v>
      </c>
      <c r="AM54" s="302">
        <v>-0.10031712000000001</v>
      </c>
      <c r="AN54" s="302">
        <v>-5.3828839999999996E-2</v>
      </c>
      <c r="AO54" s="302">
        <v>-8.6273050000000004E-2</v>
      </c>
      <c r="AP54" s="302">
        <v>1.4409160000000001E-2</v>
      </c>
      <c r="AQ54" s="302">
        <v>-4.2693679999999998E-2</v>
      </c>
      <c r="AR54" s="302">
        <v>-7.8077949999999993E-2</v>
      </c>
      <c r="AS54" s="302">
        <v>-0.18354893</v>
      </c>
      <c r="AT54" s="302">
        <v>-6.7444050000000005E-2</v>
      </c>
      <c r="AU54" s="302">
        <v>-9.6379029999999991E-2</v>
      </c>
      <c r="AV54" s="302">
        <v>8.5086499999999995E-3</v>
      </c>
      <c r="AW54" s="302">
        <v>0.1352767</v>
      </c>
      <c r="AX54" s="302">
        <v>-2.9219510000000001E-2</v>
      </c>
      <c r="AY54" s="302">
        <v>2.5999999999999999E-3</v>
      </c>
    </row>
    <row r="55" spans="1:51" x14ac:dyDescent="0.2">
      <c r="A55" s="303">
        <v>33573</v>
      </c>
      <c r="B55" s="302">
        <v>2.0099870000000002E-2</v>
      </c>
      <c r="C55" s="302">
        <v>4.8180790000000001E-2</v>
      </c>
      <c r="D55" s="302">
        <v>6.7804359999999994E-2</v>
      </c>
      <c r="E55" s="302">
        <v>4.743054E-2</v>
      </c>
      <c r="F55" s="302">
        <v>5.9421099999999998E-2</v>
      </c>
      <c r="G55" s="302">
        <v>7.0302980000000001E-2</v>
      </c>
      <c r="H55" s="302">
        <v>7.3272630000000005E-2</v>
      </c>
      <c r="I55" s="302">
        <v>5.9441480000000005E-2</v>
      </c>
      <c r="J55" s="302">
        <v>5.8982479999999997E-2</v>
      </c>
      <c r="K55" s="302">
        <v>5.0561800000000004E-2</v>
      </c>
      <c r="L55" s="302">
        <v>0.10659494</v>
      </c>
      <c r="M55" s="302">
        <v>0.10209142</v>
      </c>
      <c r="N55" s="302">
        <v>4.6132239999999998E-2</v>
      </c>
      <c r="O55" s="302">
        <v>1.7792740000000001E-2</v>
      </c>
      <c r="P55" s="302">
        <v>6.7201750000000005E-2</v>
      </c>
      <c r="Q55" s="302">
        <v>3.137417E-2</v>
      </c>
      <c r="R55" s="302">
        <v>9.5303439999999989E-2</v>
      </c>
      <c r="S55" s="302">
        <v>2.4854299999999999E-2</v>
      </c>
      <c r="T55" s="302">
        <v>9.1894500000000004E-2</v>
      </c>
      <c r="U55" s="302">
        <v>0.13676579999999999</v>
      </c>
      <c r="V55" s="302">
        <v>0.16473715</v>
      </c>
      <c r="W55" s="302">
        <v>-8.6500000000000007E-2</v>
      </c>
      <c r="X55" s="302">
        <v>-1.3000000000000001E-2</v>
      </c>
      <c r="Y55" s="302">
        <v>3.6450000000000003E-2</v>
      </c>
      <c r="Z55" s="302">
        <v>-0.10711482999999999</v>
      </c>
      <c r="AA55" s="302">
        <v>9.2399999999999996E-2</v>
      </c>
      <c r="AB55" s="302">
        <v>3.3E-3</v>
      </c>
      <c r="AC55" s="302">
        <v>2.0099870000000002E-2</v>
      </c>
      <c r="AD55" s="302">
        <v>4.8180790000000001E-2</v>
      </c>
      <c r="AE55" s="302">
        <v>6.7804359999999994E-2</v>
      </c>
      <c r="AF55" s="302">
        <v>7.0302980000000001E-2</v>
      </c>
      <c r="AG55" s="302">
        <v>7.3272630000000005E-2</v>
      </c>
      <c r="AH55" s="302">
        <v>5.1500000000000004E-2</v>
      </c>
      <c r="AI55" s="302">
        <v>4.87E-2</v>
      </c>
      <c r="AJ55" s="302">
        <v>5.1780489999999998E-2</v>
      </c>
      <c r="AK55" s="302">
        <v>-4.743054E-2</v>
      </c>
      <c r="AL55" s="302">
        <v>-5.9441480000000005E-2</v>
      </c>
      <c r="AM55" s="302">
        <v>-0.12757351</v>
      </c>
      <c r="AN55" s="302">
        <v>-8.3610659999999989E-2</v>
      </c>
      <c r="AO55" s="302">
        <v>-7.9200690000000004E-2</v>
      </c>
      <c r="AP55" s="302">
        <v>-4.6132239999999998E-2</v>
      </c>
      <c r="AQ55" s="302">
        <v>-5.1088399999999999E-3</v>
      </c>
      <c r="AR55" s="302">
        <v>-5.445912E-2</v>
      </c>
      <c r="AS55" s="302">
        <v>-1.8521019999999999E-2</v>
      </c>
      <c r="AT55" s="302">
        <v>-8.2823330000000001E-2</v>
      </c>
      <c r="AU55" s="302">
        <v>-1.2400649999999999E-2</v>
      </c>
      <c r="AV55" s="302">
        <v>-7.8287139999999991E-2</v>
      </c>
      <c r="AW55" s="302">
        <v>-0.12235905000000001</v>
      </c>
      <c r="AX55" s="302">
        <v>-0.1499759</v>
      </c>
      <c r="AY55" s="302">
        <v>1.7000000000000001E-3</v>
      </c>
    </row>
    <row r="56" spans="1:51" x14ac:dyDescent="0.2">
      <c r="A56" s="303">
        <v>33664</v>
      </c>
      <c r="B56" s="302">
        <v>1.8033729999999998E-2</v>
      </c>
      <c r="C56" s="302">
        <v>-1.0497000000000001E-2</v>
      </c>
      <c r="D56" s="302">
        <v>-3.6020789999999997E-2</v>
      </c>
      <c r="E56" s="302">
        <v>-2.9914400000000002E-3</v>
      </c>
      <c r="F56" s="302">
        <v>-1.250721E-2</v>
      </c>
      <c r="G56" s="302">
        <v>-2.1216460000000003E-2</v>
      </c>
      <c r="H56" s="302">
        <v>-2.1481910000000003E-2</v>
      </c>
      <c r="I56" s="302">
        <v>-1.5905139999999998E-2</v>
      </c>
      <c r="J56" s="302">
        <v>-9.2839899999999989E-3</v>
      </c>
      <c r="K56" s="302">
        <v>1.4789440000000001E-2</v>
      </c>
      <c r="L56" s="302">
        <v>2.90084E-3</v>
      </c>
      <c r="M56" s="302">
        <v>7.2954530000000004E-2</v>
      </c>
      <c r="N56" s="302">
        <v>-2.052476E-2</v>
      </c>
      <c r="O56" s="302">
        <v>-0.19573926</v>
      </c>
      <c r="P56" s="302">
        <v>2.9404799999999998E-2</v>
      </c>
      <c r="Q56" s="302">
        <v>-5.0868209999999997E-2</v>
      </c>
      <c r="R56" s="302">
        <v>2.5056440000000003E-2</v>
      </c>
      <c r="S56" s="302">
        <v>1.8875369999999999E-2</v>
      </c>
      <c r="T56" s="302">
        <v>0.108087</v>
      </c>
      <c r="U56" s="302">
        <v>0.11830761000000001</v>
      </c>
      <c r="V56" s="302">
        <v>0.23990312</v>
      </c>
      <c r="W56" s="302">
        <v>-5.0000000000000001E-4</v>
      </c>
      <c r="X56" s="302">
        <v>0</v>
      </c>
      <c r="Y56" s="302">
        <v>2.87E-2</v>
      </c>
      <c r="Z56" s="302">
        <v>-5.7475100000000001E-2</v>
      </c>
      <c r="AA56" s="302">
        <v>1.6899999999999998E-2</v>
      </c>
      <c r="AB56" s="302">
        <v>1.3600000000000001E-2</v>
      </c>
      <c r="AC56" s="302">
        <v>1.8033729999999998E-2</v>
      </c>
      <c r="AD56" s="302">
        <v>-1.0497000000000001E-2</v>
      </c>
      <c r="AE56" s="302">
        <v>-3.6020789999999997E-2</v>
      </c>
      <c r="AF56" s="302">
        <v>-2.1216460000000003E-2</v>
      </c>
      <c r="AG56" s="302">
        <v>-2.1481910000000003E-2</v>
      </c>
      <c r="AH56" s="302">
        <v>-0.1045</v>
      </c>
      <c r="AI56" s="302">
        <v>-5.74E-2</v>
      </c>
      <c r="AJ56" s="302">
        <v>6.2152399999999995E-3</v>
      </c>
      <c r="AK56" s="302">
        <v>2.9914400000000002E-3</v>
      </c>
      <c r="AL56" s="302">
        <v>1.5905139999999998E-2</v>
      </c>
      <c r="AM56" s="302">
        <v>3.5117210000000003E-2</v>
      </c>
      <c r="AN56" s="302">
        <v>2.5519729999999997E-2</v>
      </c>
      <c r="AO56" s="302">
        <v>-4.2548750000000003E-2</v>
      </c>
      <c r="AP56" s="302">
        <v>2.052476E-2</v>
      </c>
      <c r="AQ56" s="302">
        <v>0.20941412000000001</v>
      </c>
      <c r="AR56" s="302">
        <v>-1.1644090000000001E-2</v>
      </c>
      <c r="AS56" s="302">
        <v>6.7006309999999999E-2</v>
      </c>
      <c r="AT56" s="302">
        <v>-8.0414100000000006E-3</v>
      </c>
      <c r="AU56" s="302">
        <v>-1.4001199999999999E-3</v>
      </c>
      <c r="AV56" s="302">
        <v>-8.924617E-2</v>
      </c>
      <c r="AW56" s="302">
        <v>-9.9406960000000003E-2</v>
      </c>
      <c r="AX56" s="302">
        <v>-0.21894737</v>
      </c>
      <c r="AY56" s="302">
        <v>1.4000000000000002E-3</v>
      </c>
    </row>
    <row r="57" spans="1:51" x14ac:dyDescent="0.2">
      <c r="A57" s="303">
        <v>33756</v>
      </c>
      <c r="B57" s="302">
        <v>1.648782E-2</v>
      </c>
      <c r="C57" s="302">
        <v>3.8784979999999997E-2</v>
      </c>
      <c r="D57" s="302">
        <v>4.1686649999999999E-2</v>
      </c>
      <c r="E57" s="302">
        <v>4.2863280000000004E-2</v>
      </c>
      <c r="F57" s="302">
        <v>4.4269780000000002E-2</v>
      </c>
      <c r="G57" s="302">
        <v>6.8204039999999994E-2</v>
      </c>
      <c r="H57" s="302">
        <v>6.9344229999999993E-2</v>
      </c>
      <c r="I57" s="302">
        <v>6.2613969999999991E-2</v>
      </c>
      <c r="J57" s="302">
        <v>6.336427E-2</v>
      </c>
      <c r="K57" s="302">
        <v>1.638535E-2</v>
      </c>
      <c r="L57" s="302">
        <v>2.805738E-2</v>
      </c>
      <c r="M57" s="302">
        <v>-3.7648180000000003E-2</v>
      </c>
      <c r="N57" s="302">
        <v>1.18297E-3</v>
      </c>
      <c r="O57" s="302">
        <v>-7.2133909999999996E-2</v>
      </c>
      <c r="P57" s="302">
        <v>6.8869340000000001E-2</v>
      </c>
      <c r="Q57" s="302">
        <v>0.15096037000000001</v>
      </c>
      <c r="R57" s="302">
        <v>0.13586999</v>
      </c>
      <c r="S57" s="302">
        <v>2.502913E-2</v>
      </c>
      <c r="T57" s="302">
        <v>0.13628397</v>
      </c>
      <c r="U57" s="302">
        <v>1.6615420000000002E-2</v>
      </c>
      <c r="V57" s="302">
        <v>-0.10132013000000001</v>
      </c>
      <c r="W57" s="302">
        <v>-1.8799999999999997E-2</v>
      </c>
      <c r="X57" s="302">
        <v>-6.4000000000000003E-3</v>
      </c>
      <c r="Y57" s="302">
        <v>2.5150000000000002E-2</v>
      </c>
      <c r="Z57" s="302">
        <v>8.425350999999999E-2</v>
      </c>
      <c r="AA57" s="302">
        <v>8.3400000000000002E-2</v>
      </c>
      <c r="AB57" s="302">
        <v>1.84E-2</v>
      </c>
      <c r="AC57" s="302">
        <v>1.648782E-2</v>
      </c>
      <c r="AD57" s="302">
        <v>3.8784979999999997E-2</v>
      </c>
      <c r="AE57" s="302">
        <v>4.1686649999999999E-2</v>
      </c>
      <c r="AF57" s="302">
        <v>6.8204039999999994E-2</v>
      </c>
      <c r="AG57" s="302">
        <v>6.9344229999999993E-2</v>
      </c>
      <c r="AH57" s="302">
        <v>6.9472099999999995E-2</v>
      </c>
      <c r="AI57" s="302">
        <v>6.2899999999999998E-2</v>
      </c>
      <c r="AJ57" s="302">
        <v>1.8368019999999999E-2</v>
      </c>
      <c r="AK57" s="302">
        <v>-4.2863280000000004E-2</v>
      </c>
      <c r="AL57" s="302">
        <v>-6.2613969999999991E-2</v>
      </c>
      <c r="AM57" s="302">
        <v>-7.5935990000000009E-2</v>
      </c>
      <c r="AN57" s="302">
        <v>-1.9654609999999999E-2</v>
      </c>
      <c r="AO57" s="302">
        <v>4.5513899999999996E-2</v>
      </c>
      <c r="AP57" s="302">
        <v>-1.18297E-3</v>
      </c>
      <c r="AQ57" s="302">
        <v>7.6684229999999992E-2</v>
      </c>
      <c r="AR57" s="302">
        <v>-6.4961050000000006E-2</v>
      </c>
      <c r="AS57" s="302">
        <v>-0.14531598000000001</v>
      </c>
      <c r="AT57" s="302">
        <v>-0.13153921000000002</v>
      </c>
      <c r="AU57" s="302">
        <v>-2.0767090000000002E-2</v>
      </c>
      <c r="AV57" s="302">
        <v>-0.13071156</v>
      </c>
      <c r="AW57" s="302">
        <v>-1.1120680000000001E-2</v>
      </c>
      <c r="AX57" s="302">
        <v>0.10617744</v>
      </c>
      <c r="AY57" s="302">
        <v>1.1000000000000001E-3</v>
      </c>
    </row>
    <row r="58" spans="1:51" x14ac:dyDescent="0.2">
      <c r="A58" s="303">
        <v>33848</v>
      </c>
      <c r="B58" s="302">
        <v>1.3072830000000001E-2</v>
      </c>
      <c r="C58" s="302">
        <v>4.3781489999999999E-2</v>
      </c>
      <c r="D58" s="302">
        <v>6.4954629999999999E-2</v>
      </c>
      <c r="E58" s="302">
        <v>4.5243330000000005E-2</v>
      </c>
      <c r="F58" s="302">
        <v>4.9627579999999998E-2</v>
      </c>
      <c r="G58" s="302">
        <v>2.9083060000000001E-2</v>
      </c>
      <c r="H58" s="302">
        <v>4.614364E-2</v>
      </c>
      <c r="I58" s="302">
        <v>2.5876649999999998E-2</v>
      </c>
      <c r="J58" s="302">
        <v>4.7975190000000001E-2</v>
      </c>
      <c r="K58" s="302">
        <v>5.1198759999999996E-2</v>
      </c>
      <c r="L58" s="302">
        <v>7.2282409999999991E-2</v>
      </c>
      <c r="M58" s="302">
        <v>6.7996200000000007E-2</v>
      </c>
      <c r="N58" s="302">
        <v>-1.871623E-2</v>
      </c>
      <c r="O58" s="302">
        <v>0.15971042000000002</v>
      </c>
      <c r="P58" s="302">
        <v>-3.8741339999999999E-2</v>
      </c>
      <c r="Q58" s="302">
        <v>-2.0946859999999998E-2</v>
      </c>
      <c r="R58" s="302">
        <v>0.16488019000000001</v>
      </c>
      <c r="S58" s="302">
        <v>-9.9994449999999999E-2</v>
      </c>
      <c r="T58" s="302">
        <v>-4.4365330000000001E-2</v>
      </c>
      <c r="U58" s="302">
        <v>7.7512209999999998E-2</v>
      </c>
      <c r="V58" s="302">
        <v>5.7642800000000001E-3</v>
      </c>
      <c r="W58" s="302">
        <v>-9.8999999999999991E-3</v>
      </c>
      <c r="X58" s="302">
        <v>-1.5300000000000001E-2</v>
      </c>
      <c r="Y58" s="302">
        <v>3.3E-3</v>
      </c>
      <c r="Z58" s="302">
        <v>7.0260639999999999E-2</v>
      </c>
      <c r="AA58" s="302">
        <v>1.8799999999999997E-2</v>
      </c>
      <c r="AB58" s="302">
        <v>7.6E-3</v>
      </c>
      <c r="AC58" s="302">
        <v>1.3072830000000001E-2</v>
      </c>
      <c r="AD58" s="302">
        <v>4.3781489999999999E-2</v>
      </c>
      <c r="AE58" s="302">
        <v>6.4954629999999999E-2</v>
      </c>
      <c r="AF58" s="302">
        <v>2.9083060000000001E-2</v>
      </c>
      <c r="AG58" s="302">
        <v>4.614364E-2</v>
      </c>
      <c r="AH58" s="302">
        <v>0.10975422999999999</v>
      </c>
      <c r="AI58" s="302">
        <v>0.24100000000000002</v>
      </c>
      <c r="AJ58" s="302">
        <v>4.5810050000000005E-2</v>
      </c>
      <c r="AK58" s="302">
        <v>-4.5243330000000005E-2</v>
      </c>
      <c r="AL58" s="302">
        <v>-2.5876649999999998E-2</v>
      </c>
      <c r="AM58" s="302">
        <v>-0.11932857999999999</v>
      </c>
      <c r="AN58" s="302">
        <v>-3.1007729999999997E-2</v>
      </c>
      <c r="AO58" s="302">
        <v>-2.6886500000000001E-2</v>
      </c>
      <c r="AP58" s="302">
        <v>1.871623E-2</v>
      </c>
      <c r="AQ58" s="302">
        <v>-0.13292643000000001</v>
      </c>
      <c r="AR58" s="302">
        <v>6.2185810000000001E-2</v>
      </c>
      <c r="AS58" s="302">
        <v>4.35585E-2</v>
      </c>
      <c r="AT58" s="302">
        <v>-0.13305101</v>
      </c>
      <c r="AU58" s="302">
        <v>0.12146815999999999</v>
      </c>
      <c r="AV58" s="302">
        <v>6.6436109999999993E-2</v>
      </c>
      <c r="AW58" s="302">
        <v>-5.3198239999999994E-2</v>
      </c>
      <c r="AX58" s="302">
        <v>1.69307E-2</v>
      </c>
      <c r="AY58" s="302">
        <v>8.9999999999999998E-4</v>
      </c>
    </row>
    <row r="59" spans="1:51" x14ac:dyDescent="0.2">
      <c r="A59" s="303">
        <v>33939</v>
      </c>
      <c r="B59" s="302">
        <v>1.9123460000000002E-2</v>
      </c>
      <c r="C59" s="302">
        <v>-3.3484799999999996E-3</v>
      </c>
      <c r="D59" s="302">
        <v>1.078403E-2</v>
      </c>
      <c r="E59" s="302">
        <v>-4.3859500000000004E-3</v>
      </c>
      <c r="F59" s="302">
        <v>1.019838E-2</v>
      </c>
      <c r="G59" s="302">
        <v>1.639461E-2</v>
      </c>
      <c r="H59" s="302">
        <v>1.9223749999999998E-2</v>
      </c>
      <c r="I59" s="302">
        <v>1.450108E-2</v>
      </c>
      <c r="J59" s="302">
        <v>1.0903410000000001E-2</v>
      </c>
      <c r="K59" s="302">
        <v>3.1982119999999996E-2</v>
      </c>
      <c r="L59" s="302">
        <v>7.1576639999999997E-2</v>
      </c>
      <c r="M59" s="302">
        <v>0.15833942000000001</v>
      </c>
      <c r="N59" s="302">
        <v>2.4304019999999999E-2</v>
      </c>
      <c r="O59" s="302">
        <v>-2.1478160000000003E-2</v>
      </c>
      <c r="P59" s="302">
        <v>-4.0800619999999996E-2</v>
      </c>
      <c r="Q59" s="302">
        <v>-1.0502119999999998E-2</v>
      </c>
      <c r="R59" s="302">
        <v>-4.4912960000000002E-2</v>
      </c>
      <c r="S59" s="302">
        <v>5.5690820000000002E-2</v>
      </c>
      <c r="T59" s="302">
        <v>4.6935739999999997E-2</v>
      </c>
      <c r="U59" s="302">
        <v>6.8063990000000005E-2</v>
      </c>
      <c r="V59" s="302">
        <v>9.376182999999999E-2</v>
      </c>
      <c r="W59" s="302">
        <v>-5.2999999999999999E-2</v>
      </c>
      <c r="X59" s="302">
        <v>-4.8399999999999999E-2</v>
      </c>
      <c r="Y59" s="302">
        <v>6.4850000000000005E-2</v>
      </c>
      <c r="Z59" s="302">
        <v>-3.4015949999999996E-2</v>
      </c>
      <c r="AA59" s="302">
        <v>0.22339999999999999</v>
      </c>
      <c r="AB59" s="302">
        <v>2.2499999999999999E-2</v>
      </c>
      <c r="AC59" s="302">
        <v>1.9123460000000002E-2</v>
      </c>
      <c r="AD59" s="302">
        <v>-3.3484799999999996E-3</v>
      </c>
      <c r="AE59" s="302">
        <v>1.078403E-2</v>
      </c>
      <c r="AF59" s="302">
        <v>1.639461E-2</v>
      </c>
      <c r="AG59" s="302">
        <v>1.9223749999999998E-2</v>
      </c>
      <c r="AH59" s="302">
        <v>-5.6514110000000006E-2</v>
      </c>
      <c r="AI59" s="302">
        <v>7.9000000000000008E-3</v>
      </c>
      <c r="AJ59" s="302">
        <v>2.4496340000000002E-2</v>
      </c>
      <c r="AK59" s="302">
        <v>4.3859500000000004E-3</v>
      </c>
      <c r="AL59" s="302">
        <v>-1.450108E-2</v>
      </c>
      <c r="AM59" s="302">
        <v>-3.4459999999999997E-4</v>
      </c>
      <c r="AN59" s="302">
        <v>-5.1011540000000001E-2</v>
      </c>
      <c r="AO59" s="302">
        <v>-0.13610922</v>
      </c>
      <c r="AP59" s="302">
        <v>-2.4304019999999999E-2</v>
      </c>
      <c r="AQ59" s="302">
        <v>3.2745700000000003E-2</v>
      </c>
      <c r="AR59" s="302">
        <v>5.1505660000000002E-2</v>
      </c>
      <c r="AS59" s="302">
        <v>2.1896049999999997E-2</v>
      </c>
      <c r="AT59" s="302">
        <v>5.3334039999999999E-2</v>
      </c>
      <c r="AU59" s="302">
        <v>-4.3757460000000005E-2</v>
      </c>
      <c r="AV59" s="302">
        <v>-3.4880410000000001E-2</v>
      </c>
      <c r="AW59" s="302">
        <v>-5.5612229999999999E-2</v>
      </c>
      <c r="AX59" s="302">
        <v>-8.101048000000001E-2</v>
      </c>
      <c r="AY59" s="302">
        <v>8.0000000000000004E-4</v>
      </c>
    </row>
    <row r="60" spans="1:51" x14ac:dyDescent="0.2">
      <c r="A60" s="303">
        <v>34029</v>
      </c>
      <c r="B60" s="302">
        <v>1.5451010000000001E-2</v>
      </c>
      <c r="C60" s="302">
        <v>3.7398790000000001E-2</v>
      </c>
      <c r="D60" s="302">
        <v>6.6038739999999999E-2</v>
      </c>
      <c r="E60" s="302">
        <v>4.8275949999999998E-2</v>
      </c>
      <c r="F60" s="302">
        <v>5.3395289999999998E-2</v>
      </c>
      <c r="G60" s="302">
        <v>4.3623909999999995E-2</v>
      </c>
      <c r="H60" s="302">
        <v>4.4939699999999999E-2</v>
      </c>
      <c r="I60" s="302">
        <v>4.4604400000000002E-2</v>
      </c>
      <c r="J60" s="302">
        <v>4.4854230000000002E-2</v>
      </c>
      <c r="K60" s="302">
        <v>2.0461510000000002E-2</v>
      </c>
      <c r="L60" s="302">
        <v>3.2102760000000001E-2</v>
      </c>
      <c r="M60" s="302">
        <v>3.6531840000000003E-2</v>
      </c>
      <c r="N60" s="302">
        <v>8.2744810000000002E-2</v>
      </c>
      <c r="O60" s="302">
        <v>0.18336959</v>
      </c>
      <c r="P60" s="302">
        <v>9.1634150000000011E-2</v>
      </c>
      <c r="Q60" s="302">
        <v>1.9401060000000001E-2</v>
      </c>
      <c r="R60" s="302">
        <v>3.5823580000000001E-2</v>
      </c>
      <c r="S60" s="302">
        <v>7.3892449999999998E-2</v>
      </c>
      <c r="T60" s="302">
        <v>8.7526610000000005E-2</v>
      </c>
      <c r="U60" s="302">
        <v>3.5063669999999998E-2</v>
      </c>
      <c r="V60" s="302">
        <v>4.4598570000000004E-2</v>
      </c>
      <c r="W60" s="302">
        <v>5.0000000000000001E-3</v>
      </c>
      <c r="X60" s="302">
        <v>1.1000000000000001E-3</v>
      </c>
      <c r="Y60" s="302">
        <v>3.2599999999999997E-2</v>
      </c>
      <c r="Z60" s="302">
        <v>0.21533383</v>
      </c>
      <c r="AA60" s="302">
        <v>1.9199999999999998E-2</v>
      </c>
      <c r="AB60" s="302">
        <v>1.41E-2</v>
      </c>
      <c r="AC60" s="302">
        <v>1.5451010000000001E-2</v>
      </c>
      <c r="AD60" s="302">
        <v>3.7398790000000001E-2</v>
      </c>
      <c r="AE60" s="302">
        <v>6.6038739999999999E-2</v>
      </c>
      <c r="AF60" s="302">
        <v>4.3623909999999995E-2</v>
      </c>
      <c r="AG60" s="302">
        <v>4.4939699999999999E-2</v>
      </c>
      <c r="AH60" s="302">
        <v>0.12818424</v>
      </c>
      <c r="AI60" s="302">
        <v>2.7000000000000001E-3</v>
      </c>
      <c r="AJ60" s="302">
        <v>3.6350090000000002E-2</v>
      </c>
      <c r="AK60" s="302">
        <v>-4.8275949999999998E-2</v>
      </c>
      <c r="AL60" s="302">
        <v>-4.4604400000000002E-2</v>
      </c>
      <c r="AM60" s="302">
        <v>-0.10394603999999999</v>
      </c>
      <c r="AN60" s="302">
        <v>-4.2847869999999996E-2</v>
      </c>
      <c r="AO60" s="302">
        <v>-4.732306E-2</v>
      </c>
      <c r="AP60" s="302">
        <v>-8.2744810000000002E-2</v>
      </c>
      <c r="AQ60" s="302">
        <v>-0.19076155</v>
      </c>
      <c r="AR60" s="302">
        <v>-9.9240729999999999E-2</v>
      </c>
      <c r="AS60" s="302">
        <v>-2.576879E-2</v>
      </c>
      <c r="AT60" s="302">
        <v>-4.4023899999999998E-2</v>
      </c>
      <c r="AU60" s="302">
        <v>-8.1067389999999989E-2</v>
      </c>
      <c r="AV60" s="302">
        <v>-9.4319890000000003E-2</v>
      </c>
      <c r="AW60" s="302">
        <v>-4.1232569999999996E-2</v>
      </c>
      <c r="AX60" s="302">
        <v>-5.0824299999999996E-2</v>
      </c>
      <c r="AY60" s="302">
        <v>5.9999999999999995E-4</v>
      </c>
    </row>
    <row r="61" spans="1:51" x14ac:dyDescent="0.2">
      <c r="A61" s="303">
        <v>34121</v>
      </c>
      <c r="B61" s="302">
        <v>1.198867E-2</v>
      </c>
      <c r="C61" s="302">
        <v>1.9620780000000001E-2</v>
      </c>
      <c r="D61" s="302">
        <v>5.3700530000000003E-2</v>
      </c>
      <c r="E61" s="302">
        <v>2.902561E-2</v>
      </c>
      <c r="F61" s="302">
        <v>3.9639430000000003E-2</v>
      </c>
      <c r="G61" s="302">
        <v>3.9372490000000003E-2</v>
      </c>
      <c r="H61" s="302">
        <v>4.6015439999999998E-2</v>
      </c>
      <c r="I61" s="302">
        <v>4.6398250000000002E-2</v>
      </c>
      <c r="J61" s="302">
        <v>5.0081000000000001E-2</v>
      </c>
      <c r="K61" s="302">
        <v>9.1473800000000001E-3</v>
      </c>
      <c r="L61" s="302">
        <v>2.39966E-2</v>
      </c>
      <c r="M61" s="302">
        <v>4.0317140000000001E-2</v>
      </c>
      <c r="N61" s="302">
        <v>0.11027304</v>
      </c>
      <c r="O61" s="302">
        <v>0.20610721999999998</v>
      </c>
      <c r="P61" s="302">
        <v>1.8731930000000001E-2</v>
      </c>
      <c r="Q61" s="302">
        <v>2.8023729999999997E-2</v>
      </c>
      <c r="R61" s="302">
        <v>0.11332934</v>
      </c>
      <c r="S61" s="302">
        <v>-9.6628700000000005E-3</v>
      </c>
      <c r="T61" s="302">
        <v>0.10434587000000001</v>
      </c>
      <c r="U61" s="302">
        <v>0.14905525999999999</v>
      </c>
      <c r="V61" s="302">
        <v>0.10298526000000001</v>
      </c>
      <c r="W61" s="302">
        <v>-1.9400000000000001E-2</v>
      </c>
      <c r="X61" s="302">
        <v>-3.9000000000000003E-3</v>
      </c>
      <c r="Y61" s="302">
        <v>5.4000000000000006E-2</v>
      </c>
      <c r="Z61" s="302">
        <v>0.25897606000000001</v>
      </c>
      <c r="AA61" s="302">
        <v>0.17379999999999998</v>
      </c>
      <c r="AB61" s="302">
        <v>2.1299999999999999E-2</v>
      </c>
      <c r="AC61" s="302">
        <v>1.198867E-2</v>
      </c>
      <c r="AD61" s="302">
        <v>1.9620780000000001E-2</v>
      </c>
      <c r="AE61" s="302">
        <v>5.3700530000000003E-2</v>
      </c>
      <c r="AF61" s="302">
        <v>3.9372490000000003E-2</v>
      </c>
      <c r="AG61" s="302">
        <v>4.6015439999999998E-2</v>
      </c>
      <c r="AH61" s="302">
        <v>4.0729920000000003E-2</v>
      </c>
      <c r="AI61" s="302">
        <v>5.2400000000000002E-2</v>
      </c>
      <c r="AJ61" s="302">
        <v>5.8937499999999997E-3</v>
      </c>
      <c r="AK61" s="302">
        <v>-2.902561E-2</v>
      </c>
      <c r="AL61" s="302">
        <v>-4.6398250000000002E-2</v>
      </c>
      <c r="AM61" s="302">
        <v>-9.7968860000000005E-2</v>
      </c>
      <c r="AN61" s="302">
        <v>-5.1445700000000002E-3</v>
      </c>
      <c r="AO61" s="302">
        <v>-2.1164640000000002E-2</v>
      </c>
      <c r="AP61" s="302">
        <v>-0.11027304</v>
      </c>
      <c r="AQ61" s="302">
        <v>-0.19278448000000001</v>
      </c>
      <c r="AR61" s="302">
        <v>-6.2457600000000004E-3</v>
      </c>
      <c r="AS61" s="302">
        <v>-1.666803E-2</v>
      </c>
      <c r="AT61" s="302">
        <v>-9.5898219999999992E-2</v>
      </c>
      <c r="AU61" s="302">
        <v>2.1316169999999999E-2</v>
      </c>
      <c r="AV61" s="302">
        <v>-9.2147099999999996E-2</v>
      </c>
      <c r="AW61" s="302">
        <v>-0.13692586000000001</v>
      </c>
      <c r="AX61" s="302">
        <v>-9.1342180000000009E-2</v>
      </c>
      <c r="AY61" s="302">
        <v>5.0000000000000001E-4</v>
      </c>
    </row>
    <row r="62" spans="1:51" x14ac:dyDescent="0.2">
      <c r="A62" s="303">
        <v>34213</v>
      </c>
      <c r="B62" s="302">
        <v>1.0522460000000001E-2</v>
      </c>
      <c r="C62" s="302">
        <v>2.1071579999999999E-2</v>
      </c>
      <c r="D62" s="302">
        <v>6.2000659999999999E-2</v>
      </c>
      <c r="E62" s="302">
        <v>2.8023840000000001E-2</v>
      </c>
      <c r="F62" s="302">
        <v>4.4541510000000006E-2</v>
      </c>
      <c r="G62" s="302">
        <v>3.4314089999999998E-2</v>
      </c>
      <c r="H62" s="302">
        <v>5.0646219999999999E-2</v>
      </c>
      <c r="I62" s="302">
        <v>3.6467060000000003E-2</v>
      </c>
      <c r="J62" s="302">
        <v>4.8086120000000003E-2</v>
      </c>
      <c r="K62" s="302">
        <v>5.8665700000000001E-2</v>
      </c>
      <c r="L62" s="302">
        <v>6.7337300000000003E-2</v>
      </c>
      <c r="M62" s="302">
        <v>0.11444654999999999</v>
      </c>
      <c r="N62" s="302">
        <v>1.197528E-2</v>
      </c>
      <c r="O62" s="302">
        <v>8.4906659999999995E-2</v>
      </c>
      <c r="P62" s="302">
        <v>0.15798743000000001</v>
      </c>
      <c r="Q62" s="302">
        <v>0.10929978</v>
      </c>
      <c r="R62" s="302">
        <v>0.15995961</v>
      </c>
      <c r="S62" s="302">
        <v>0.16207477000000001</v>
      </c>
      <c r="T62" s="302">
        <v>0.14013120000000001</v>
      </c>
      <c r="U62" s="302">
        <v>0.21565615999999999</v>
      </c>
      <c r="V62" s="302">
        <v>0.20077863000000001</v>
      </c>
      <c r="W62" s="302">
        <v>4.8999999999999998E-3</v>
      </c>
      <c r="X62" s="302">
        <v>-4.3799999999999999E-2</v>
      </c>
      <c r="Y62" s="302">
        <v>4.7550000000000002E-2</v>
      </c>
      <c r="Z62" s="302">
        <v>-8.5583099999999995E-3</v>
      </c>
      <c r="AA62" s="302">
        <v>1.06E-2</v>
      </c>
      <c r="AB62" s="302">
        <v>1.0700000000000001E-2</v>
      </c>
      <c r="AC62" s="302">
        <v>1.0522460000000001E-2</v>
      </c>
      <c r="AD62" s="302">
        <v>2.1071579999999999E-2</v>
      </c>
      <c r="AE62" s="302">
        <v>6.2000659999999999E-2</v>
      </c>
      <c r="AF62" s="302">
        <v>3.4314089999999998E-2</v>
      </c>
      <c r="AG62" s="302">
        <v>5.0646219999999999E-2</v>
      </c>
      <c r="AH62" s="302">
        <v>7.0990259999999999E-2</v>
      </c>
      <c r="AI62" s="302">
        <v>0.16239999999999999</v>
      </c>
      <c r="AJ62" s="302">
        <v>0.11089675</v>
      </c>
      <c r="AK62" s="302">
        <v>-2.8023840000000001E-2</v>
      </c>
      <c r="AL62" s="302">
        <v>-3.6467060000000003E-2</v>
      </c>
      <c r="AM62" s="302">
        <v>-8.0325670000000002E-2</v>
      </c>
      <c r="AN62" s="302">
        <v>-2.5575100000000003E-2</v>
      </c>
      <c r="AO62" s="302">
        <v>-7.0841070000000006E-2</v>
      </c>
      <c r="AP62" s="302">
        <v>-1.197528E-2</v>
      </c>
      <c r="AQ62" s="302">
        <v>-5.9436869999999996E-2</v>
      </c>
      <c r="AR62" s="302">
        <v>-0.12988791</v>
      </c>
      <c r="AS62" s="302">
        <v>-8.325732000000001E-2</v>
      </c>
      <c r="AT62" s="302">
        <v>-0.13687905</v>
      </c>
      <c r="AU62" s="302">
        <v>-0.13425179000000001</v>
      </c>
      <c r="AV62" s="302">
        <v>-0.11336493</v>
      </c>
      <c r="AW62" s="302">
        <v>-0.18751021000000001</v>
      </c>
      <c r="AX62" s="302">
        <v>-0.17297714</v>
      </c>
      <c r="AY62" s="302">
        <v>4.0000000000000002E-4</v>
      </c>
    </row>
    <row r="63" spans="1:51" x14ac:dyDescent="0.2">
      <c r="A63" s="303">
        <v>34304</v>
      </c>
      <c r="B63" s="302">
        <v>1.050279E-2</v>
      </c>
      <c r="C63" s="302">
        <v>1.53264E-3</v>
      </c>
      <c r="D63" s="302">
        <v>-1.5664880000000003E-2</v>
      </c>
      <c r="E63" s="302">
        <v>2.1643700000000001E-3</v>
      </c>
      <c r="F63" s="302">
        <v>-6.5582300000000008E-3</v>
      </c>
      <c r="G63" s="302">
        <v>5.8639549999999999E-2</v>
      </c>
      <c r="H63" s="302">
        <v>6.3028199999999993E-2</v>
      </c>
      <c r="I63" s="302">
        <v>5.7995089999999999E-2</v>
      </c>
      <c r="J63" s="302">
        <v>6.3070459999999995E-2</v>
      </c>
      <c r="K63" s="302">
        <v>5.801767E-2</v>
      </c>
      <c r="L63" s="302">
        <v>1.5241650000000001E-2</v>
      </c>
      <c r="M63" s="302">
        <v>9.8590099999999996E-3</v>
      </c>
      <c r="N63" s="302">
        <v>8.9547170000000009E-2</v>
      </c>
      <c r="O63" s="302">
        <v>-0.16546019999999997</v>
      </c>
      <c r="P63" s="302">
        <v>6.0092689999999997E-2</v>
      </c>
      <c r="Q63" s="302">
        <v>0.11494882000000001</v>
      </c>
      <c r="R63" s="302">
        <v>0.14115859</v>
      </c>
      <c r="S63" s="302">
        <v>0.15080419</v>
      </c>
      <c r="T63" s="302">
        <v>0.41386329999999999</v>
      </c>
      <c r="U63" s="302">
        <v>0.43855907999999999</v>
      </c>
      <c r="V63" s="302">
        <v>0.31580432999999997</v>
      </c>
      <c r="W63" s="302">
        <v>-3.0099999999999998E-2</v>
      </c>
      <c r="X63" s="302">
        <v>-6.6000000000000003E-2</v>
      </c>
      <c r="Y63" s="302">
        <v>7.4050000000000005E-2</v>
      </c>
      <c r="Z63" s="302">
        <v>-0.11075659</v>
      </c>
      <c r="AA63" s="302">
        <v>1.21E-2</v>
      </c>
      <c r="AB63" s="302">
        <v>3.6400000000000002E-2</v>
      </c>
      <c r="AC63" s="302">
        <v>1.050279E-2</v>
      </c>
      <c r="AD63" s="302">
        <v>1.53264E-3</v>
      </c>
      <c r="AE63" s="302">
        <v>-1.5664880000000003E-2</v>
      </c>
      <c r="AF63" s="302">
        <v>5.8639549999999999E-2</v>
      </c>
      <c r="AG63" s="302">
        <v>6.3028199999999993E-2</v>
      </c>
      <c r="AH63" s="302">
        <v>-6.198066E-2</v>
      </c>
      <c r="AI63" s="302">
        <v>5.16E-2</v>
      </c>
      <c r="AJ63" s="302">
        <v>9.6803240000000013E-2</v>
      </c>
      <c r="AK63" s="302">
        <v>-2.1643700000000001E-3</v>
      </c>
      <c r="AL63" s="302">
        <v>-5.7995089999999999E-2</v>
      </c>
      <c r="AM63" s="302">
        <v>-1.8335199999999999E-3</v>
      </c>
      <c r="AN63" s="302">
        <v>-2.3140900000000002E-2</v>
      </c>
      <c r="AO63" s="302">
        <v>-1.771638E-2</v>
      </c>
      <c r="AP63" s="302">
        <v>-8.9547170000000009E-2</v>
      </c>
      <c r="AQ63" s="302">
        <v>0.16156423</v>
      </c>
      <c r="AR63" s="302">
        <v>-6.6157830000000001E-2</v>
      </c>
      <c r="AS63" s="302">
        <v>-0.12015384</v>
      </c>
      <c r="AT63" s="302">
        <v>-0.14559601999999999</v>
      </c>
      <c r="AU63" s="302">
        <v>-0.15690588999999999</v>
      </c>
      <c r="AV63" s="302">
        <v>-0.42046377999999995</v>
      </c>
      <c r="AW63" s="302">
        <v>-0.44467241000000002</v>
      </c>
      <c r="AX63" s="302">
        <v>-0.32139600000000002</v>
      </c>
      <c r="AY63" s="302">
        <v>4.0000000000000002E-4</v>
      </c>
    </row>
    <row r="64" spans="1:51" x14ac:dyDescent="0.2">
      <c r="A64" s="303">
        <v>34394</v>
      </c>
      <c r="B64" s="302">
        <v>8.9930200000000009E-3</v>
      </c>
      <c r="C64" s="302">
        <v>-1.851438E-2</v>
      </c>
      <c r="D64" s="302">
        <v>-6.1259100000000004E-2</v>
      </c>
      <c r="E64" s="302">
        <v>-2.7296730000000002E-2</v>
      </c>
      <c r="F64" s="302">
        <v>-4.6536869999999994E-2</v>
      </c>
      <c r="G64" s="302">
        <v>-6.1881869999999999E-2</v>
      </c>
      <c r="H64" s="302">
        <v>-7.3567660000000007E-2</v>
      </c>
      <c r="I64" s="302">
        <v>-5.0682060000000001E-2</v>
      </c>
      <c r="J64" s="302">
        <v>-5.6814679999999999E-2</v>
      </c>
      <c r="K64" s="302">
        <v>-4.19526E-2</v>
      </c>
      <c r="L64" s="302">
        <v>5.5924900000000003E-3</v>
      </c>
      <c r="M64" s="302">
        <v>2.2225990000000001E-2</v>
      </c>
      <c r="N64" s="302">
        <v>7.6457900000000004E-3</v>
      </c>
      <c r="O64" s="302">
        <v>0.24083979999999999</v>
      </c>
      <c r="P64" s="302">
        <v>6.7293409999999998E-2</v>
      </c>
      <c r="Q64" s="302">
        <v>-3.0832869999999998E-2</v>
      </c>
      <c r="R64" s="302">
        <v>6.1917470000000002E-2</v>
      </c>
      <c r="S64" s="302">
        <v>1.883046E-2</v>
      </c>
      <c r="T64" s="302">
        <v>-0.16899021</v>
      </c>
      <c r="U64" s="302">
        <v>-0.16064540999999999</v>
      </c>
      <c r="V64" s="302">
        <v>-4.9052239999999997E-2</v>
      </c>
      <c r="W64" s="302">
        <v>9.1000000000000004E-3</v>
      </c>
      <c r="X64" s="302">
        <v>-1.8E-3</v>
      </c>
      <c r="Y64" s="302">
        <v>1.4499999999999999E-3</v>
      </c>
      <c r="Z64" s="302">
        <v>9.7161699999999997E-3</v>
      </c>
      <c r="AA64" s="302">
        <v>2.4700000000000003E-2</v>
      </c>
      <c r="AB64" s="302">
        <v>1.77E-2</v>
      </c>
      <c r="AC64" s="302">
        <v>8.9930200000000009E-3</v>
      </c>
      <c r="AD64" s="302">
        <v>-1.851438E-2</v>
      </c>
      <c r="AE64" s="302">
        <v>-6.1259100000000004E-2</v>
      </c>
      <c r="AF64" s="302">
        <v>-6.1881869999999999E-2</v>
      </c>
      <c r="AG64" s="302">
        <v>-7.3567660000000007E-2</v>
      </c>
      <c r="AH64" s="302">
        <v>-0.14593898999999999</v>
      </c>
      <c r="AI64" s="302">
        <v>-0.18379999999999999</v>
      </c>
      <c r="AJ64" s="302">
        <v>-9.482757E-2</v>
      </c>
      <c r="AK64" s="302">
        <v>2.7296730000000002E-2</v>
      </c>
      <c r="AL64" s="302">
        <v>5.0682060000000001E-2</v>
      </c>
      <c r="AM64" s="302">
        <v>-5.9034990000000002E-2</v>
      </c>
      <c r="AN64" s="302">
        <v>3.8147899999999998E-2</v>
      </c>
      <c r="AO64" s="302">
        <v>2.223791E-2</v>
      </c>
      <c r="AP64" s="302">
        <v>-7.6457900000000004E-3</v>
      </c>
      <c r="AQ64" s="302">
        <v>-0.20845601</v>
      </c>
      <c r="AR64" s="302">
        <v>-4.0648629999999998E-2</v>
      </c>
      <c r="AS64" s="302">
        <v>5.6126469999999998E-2</v>
      </c>
      <c r="AT64" s="302">
        <v>-3.3133599999999999E-2</v>
      </c>
      <c r="AU64" s="302">
        <v>7.0787599999999999E-3</v>
      </c>
      <c r="AV64" s="302">
        <v>0.19067813</v>
      </c>
      <c r="AW64" s="302">
        <v>0.18294142000000002</v>
      </c>
      <c r="AX64" s="302">
        <v>7.4312530000000002E-2</v>
      </c>
      <c r="AY64" s="302">
        <v>4.0000000000000002E-4</v>
      </c>
    </row>
    <row r="65" spans="1:51" x14ac:dyDescent="0.2">
      <c r="A65" s="303">
        <v>34486</v>
      </c>
      <c r="B65" s="302">
        <v>1.3440499999999999E-2</v>
      </c>
      <c r="C65" s="302">
        <v>-5.5572800000000004E-3</v>
      </c>
      <c r="D65" s="302">
        <v>-2.8289290000000002E-2</v>
      </c>
      <c r="E65" s="302">
        <v>-7.7568899999999998E-3</v>
      </c>
      <c r="F65" s="302">
        <v>-2.7866050000000003E-2</v>
      </c>
      <c r="G65" s="302">
        <v>-4.4224370000000006E-2</v>
      </c>
      <c r="H65" s="302">
        <v>-6.8414249999999996E-2</v>
      </c>
      <c r="I65" s="302">
        <v>-3.7118659999999998E-2</v>
      </c>
      <c r="J65" s="302">
        <v>-5.7245629999999999E-2</v>
      </c>
      <c r="K65" s="302">
        <v>-1.2501679999999999E-2</v>
      </c>
      <c r="L65" s="302">
        <v>3.7202099999999998E-3</v>
      </c>
      <c r="M65" s="302">
        <v>-3.5853130000000004E-2</v>
      </c>
      <c r="N65" s="302">
        <v>-6.4559320000000003E-2</v>
      </c>
      <c r="O65" s="302">
        <v>0.11397496</v>
      </c>
      <c r="P65" s="302">
        <v>-1.3660230000000001E-2</v>
      </c>
      <c r="Q65" s="302">
        <v>-1.5080130000000001E-2</v>
      </c>
      <c r="R65" s="302">
        <v>-2.6307199999999996E-3</v>
      </c>
      <c r="S65" s="302">
        <v>3.1757729999999998E-2</v>
      </c>
      <c r="T65" s="302">
        <v>2.0902750000000001E-2</v>
      </c>
      <c r="U65" s="302">
        <v>5.6604390000000004E-2</v>
      </c>
      <c r="V65" s="302">
        <v>-1.475573E-2</v>
      </c>
      <c r="W65" s="302">
        <v>1.5600000000000001E-2</v>
      </c>
      <c r="X65" s="302">
        <v>5.1999999999999998E-3</v>
      </c>
      <c r="Y65" s="302">
        <v>1.805E-2</v>
      </c>
      <c r="Z65" s="302">
        <v>2.0442710000000003E-2</v>
      </c>
      <c r="AA65" s="302">
        <v>2.9900000000000003E-2</v>
      </c>
      <c r="AB65" s="302">
        <v>2.8399999999999998E-2</v>
      </c>
      <c r="AC65" s="302">
        <v>1.3440499999999999E-2</v>
      </c>
      <c r="AD65" s="302">
        <v>-5.5572800000000004E-3</v>
      </c>
      <c r="AE65" s="302">
        <v>-2.8289290000000002E-2</v>
      </c>
      <c r="AF65" s="302">
        <v>-4.4224370000000006E-2</v>
      </c>
      <c r="AG65" s="302">
        <v>-6.8414249999999996E-2</v>
      </c>
      <c r="AH65" s="302">
        <v>-0.64040246000000001</v>
      </c>
      <c r="AI65" s="302">
        <v>-0.25379999999999997</v>
      </c>
      <c r="AJ65" s="302">
        <v>4.5999400000000003E-3</v>
      </c>
      <c r="AK65" s="302">
        <v>7.7568899999999998E-3</v>
      </c>
      <c r="AL65" s="302">
        <v>3.7118659999999998E-2</v>
      </c>
      <c r="AM65" s="302">
        <v>-2.8294380000000001E-2</v>
      </c>
      <c r="AN65" s="302">
        <v>-4.0829600000000001E-3</v>
      </c>
      <c r="AO65" s="302">
        <v>3.5504689999999998E-2</v>
      </c>
      <c r="AP65" s="302">
        <v>6.4559320000000003E-2</v>
      </c>
      <c r="AQ65" s="302">
        <v>-0.11421651000000001</v>
      </c>
      <c r="AR65" s="302">
        <v>1.308896E-2</v>
      </c>
      <c r="AS65" s="302">
        <v>1.4866559999999999E-2</v>
      </c>
      <c r="AT65" s="302">
        <v>-3.5185699999999999E-3</v>
      </c>
      <c r="AU65" s="302">
        <v>-3.22058E-2</v>
      </c>
      <c r="AV65" s="302">
        <v>-2.1124130000000001E-2</v>
      </c>
      <c r="AW65" s="302">
        <v>-5.668045E-2</v>
      </c>
      <c r="AX65" s="302">
        <v>1.46848E-2</v>
      </c>
      <c r="AY65" s="302">
        <v>2.9999999999999997E-4</v>
      </c>
    </row>
    <row r="66" spans="1:51" x14ac:dyDescent="0.2">
      <c r="A66" s="303">
        <v>34578</v>
      </c>
      <c r="B66" s="302">
        <v>1.3562270000000001E-2</v>
      </c>
      <c r="C66" s="302">
        <v>7.6838200000000001E-3</v>
      </c>
      <c r="D66" s="302">
        <v>-6.2252799999999997E-3</v>
      </c>
      <c r="E66" s="302">
        <v>1.0267710000000001E-2</v>
      </c>
      <c r="F66" s="302">
        <v>2.30079E-3</v>
      </c>
      <c r="G66" s="302">
        <v>5.3519870000000004E-2</v>
      </c>
      <c r="H66" s="302">
        <v>5.9858529999999993E-2</v>
      </c>
      <c r="I66" s="302">
        <v>5.4779220000000003E-2</v>
      </c>
      <c r="J66" s="302">
        <v>6.2062160000000005E-2</v>
      </c>
      <c r="K66" s="302">
        <v>-1.1633400000000001E-3</v>
      </c>
      <c r="L66" s="302">
        <v>1.814203E-2</v>
      </c>
      <c r="M66" s="302">
        <v>3.9891250000000003E-2</v>
      </c>
      <c r="N66" s="302">
        <v>8.7565969999999993E-2</v>
      </c>
      <c r="O66" s="302">
        <v>-8.7961310000000015E-2</v>
      </c>
      <c r="P66" s="302">
        <v>7.6985300000000003E-3</v>
      </c>
      <c r="Q66" s="302">
        <v>3.090329E-2</v>
      </c>
      <c r="R66" s="302">
        <v>-1.7140160000000002E-2</v>
      </c>
      <c r="S66" s="302">
        <v>1.356395E-2</v>
      </c>
      <c r="T66" s="302">
        <v>7.7256480000000002E-2</v>
      </c>
      <c r="U66" s="302">
        <v>8.6486009999999988E-2</v>
      </c>
      <c r="V66" s="302">
        <v>0.17179245999999998</v>
      </c>
      <c r="W66" s="302">
        <v>3.0999999999999999E-3</v>
      </c>
      <c r="X66" s="302">
        <v>6.5000000000000006E-3</v>
      </c>
      <c r="Y66" s="302">
        <v>3.9E-2</v>
      </c>
      <c r="Z66" s="302">
        <v>4.6197399999999998E-3</v>
      </c>
      <c r="AA66" s="302">
        <v>1.4800000000000001E-2</v>
      </c>
      <c r="AB66" s="302">
        <v>1.3100000000000001E-2</v>
      </c>
      <c r="AC66" s="302">
        <v>1.3562270000000001E-2</v>
      </c>
      <c r="AD66" s="302">
        <v>7.6838200000000001E-3</v>
      </c>
      <c r="AE66" s="302">
        <v>-6.2252799999999997E-3</v>
      </c>
      <c r="AF66" s="302">
        <v>5.3519870000000004E-2</v>
      </c>
      <c r="AG66" s="302">
        <v>5.9858529999999993E-2</v>
      </c>
      <c r="AH66" s="302">
        <v>-6.4902680000000004E-2</v>
      </c>
      <c r="AI66" s="302">
        <v>9.2499999999999999E-2</v>
      </c>
      <c r="AJ66" s="302">
        <v>2.4635630000000002E-2</v>
      </c>
      <c r="AK66" s="302">
        <v>-1.0267710000000001E-2</v>
      </c>
      <c r="AL66" s="302">
        <v>-5.4779220000000003E-2</v>
      </c>
      <c r="AM66" s="302">
        <v>1.6030300000000001E-2</v>
      </c>
      <c r="AN66" s="302">
        <v>-4.9236120000000001E-2</v>
      </c>
      <c r="AO66" s="302">
        <v>-7.1649569999999996E-2</v>
      </c>
      <c r="AP66" s="302">
        <v>-8.7565969999999993E-2</v>
      </c>
      <c r="AQ66" s="302">
        <v>7.1249090000000001E-2</v>
      </c>
      <c r="AR66" s="302">
        <v>-2.5594700000000001E-2</v>
      </c>
      <c r="AS66" s="302">
        <v>-4.9793589999999999E-2</v>
      </c>
      <c r="AT66" s="302">
        <v>3.3590500000000001E-3</v>
      </c>
      <c r="AU66" s="302">
        <v>-3.1789060000000001E-2</v>
      </c>
      <c r="AV66" s="302">
        <v>-9.6996150000000003E-2</v>
      </c>
      <c r="AW66" s="302">
        <v>-0.10663588</v>
      </c>
      <c r="AX66" s="302">
        <v>-0.19352442</v>
      </c>
      <c r="AY66" s="302">
        <v>2.9999999999999997E-4</v>
      </c>
    </row>
    <row r="67" spans="1:51" x14ac:dyDescent="0.2">
      <c r="A67" s="303">
        <v>34669</v>
      </c>
      <c r="B67" s="302">
        <v>1.274574E-2</v>
      </c>
      <c r="C67" s="302">
        <v>-1.0012699999999999E-3</v>
      </c>
      <c r="D67" s="302">
        <v>1.7895790000000002E-2</v>
      </c>
      <c r="E67" s="302">
        <v>-1.6821900000000001E-3</v>
      </c>
      <c r="F67" s="302">
        <v>1.438736E-2</v>
      </c>
      <c r="G67" s="302">
        <v>6.7588999999999995E-4</v>
      </c>
      <c r="H67" s="302">
        <v>8.4221000000000001E-3</v>
      </c>
      <c r="I67" s="302">
        <v>2.1565300000000003E-3</v>
      </c>
      <c r="J67" s="302">
        <v>8.1402999999999996E-3</v>
      </c>
      <c r="K67" s="302">
        <v>1.335982E-2</v>
      </c>
      <c r="L67" s="302">
        <v>4.4576140000000007E-2</v>
      </c>
      <c r="M67" s="302">
        <v>2.304703E-2</v>
      </c>
      <c r="N67" s="302">
        <v>-2.6236470000000001E-2</v>
      </c>
      <c r="O67" s="302">
        <v>2.7697259999999998E-2</v>
      </c>
      <c r="P67" s="302">
        <v>5.3581320000000002E-2</v>
      </c>
      <c r="Q67" s="302">
        <v>5.9527409999999996E-2</v>
      </c>
      <c r="R67" s="302">
        <v>6.0269079999999996E-2</v>
      </c>
      <c r="S67" s="302">
        <v>5.8803580000000001E-2</v>
      </c>
      <c r="T67" s="302">
        <v>-6.1947080000000002E-2</v>
      </c>
      <c r="U67" s="302">
        <v>-5.8492800000000005E-2</v>
      </c>
      <c r="V67" s="302">
        <v>-0.10547124999999999</v>
      </c>
      <c r="W67" s="302">
        <v>1.09E-2</v>
      </c>
      <c r="X67" s="302">
        <v>-3.5200000000000002E-2</v>
      </c>
      <c r="Y67" s="302">
        <v>7.0900000000000005E-2</v>
      </c>
      <c r="Z67" s="302">
        <v>-9.4242740000000005E-2</v>
      </c>
      <c r="AA67" s="302">
        <v>7.8E-2</v>
      </c>
      <c r="AB67" s="302">
        <v>3.1300000000000001E-2</v>
      </c>
      <c r="AC67" s="302">
        <v>1.274574E-2</v>
      </c>
      <c r="AD67" s="302">
        <v>-1.0012699999999999E-3</v>
      </c>
      <c r="AE67" s="302">
        <v>1.7895790000000002E-2</v>
      </c>
      <c r="AF67" s="302">
        <v>6.7588999999999995E-4</v>
      </c>
      <c r="AG67" s="302">
        <v>8.4221000000000001E-3</v>
      </c>
      <c r="AH67" s="302">
        <v>3.794053E-2</v>
      </c>
      <c r="AI67" s="302">
        <v>1.6799999999999999E-2</v>
      </c>
      <c r="AJ67" s="302">
        <v>1.044814E-2</v>
      </c>
      <c r="AK67" s="302">
        <v>1.6821900000000001E-3</v>
      </c>
      <c r="AL67" s="302">
        <v>-2.1565300000000003E-3</v>
      </c>
      <c r="AM67" s="302">
        <v>-2.3609300000000003E-2</v>
      </c>
      <c r="AN67" s="302">
        <v>2.5418000000000001E-4</v>
      </c>
      <c r="AO67" s="302">
        <v>2.0859320000000001E-2</v>
      </c>
      <c r="AP67" s="302">
        <v>2.6236470000000001E-2</v>
      </c>
      <c r="AQ67" s="302">
        <v>-1.2337099999999998E-3</v>
      </c>
      <c r="AR67" s="302">
        <v>-2.56102E-2</v>
      </c>
      <c r="AS67" s="302">
        <v>-3.2244220000000004E-2</v>
      </c>
      <c r="AT67" s="302">
        <v>-3.275662E-2</v>
      </c>
      <c r="AU67" s="302">
        <v>-3.104084E-2</v>
      </c>
      <c r="AV67" s="302">
        <v>8.6102260000000014E-2</v>
      </c>
      <c r="AW67" s="302">
        <v>8.2428100000000004E-2</v>
      </c>
      <c r="AX67" s="302">
        <v>0.12821225</v>
      </c>
      <c r="AY67" s="302">
        <v>4.0000000000000002E-4</v>
      </c>
    </row>
    <row r="68" spans="1:51" x14ac:dyDescent="0.2">
      <c r="A68" s="303">
        <v>34759</v>
      </c>
      <c r="B68" s="302">
        <v>1.632927E-2</v>
      </c>
      <c r="C68" s="302">
        <v>4.157218E-2</v>
      </c>
      <c r="D68" s="302">
        <v>6.4474450000000003E-2</v>
      </c>
      <c r="E68" s="302">
        <v>5.3275360000000001E-2</v>
      </c>
      <c r="F68" s="302">
        <v>6.9301459999999995E-2</v>
      </c>
      <c r="G68" s="302">
        <v>5.6876349999999999E-2</v>
      </c>
      <c r="H68" s="302">
        <v>6.3022590000000003E-2</v>
      </c>
      <c r="I68" s="302">
        <v>6.0433770000000005E-2</v>
      </c>
      <c r="J68" s="302">
        <v>6.2512040000000005E-2</v>
      </c>
      <c r="K68" s="302">
        <v>7.1597590000000003E-2</v>
      </c>
      <c r="L68" s="302">
        <v>9.4696859999999994E-2</v>
      </c>
      <c r="M68" s="302">
        <v>7.12227E-2</v>
      </c>
      <c r="N68" s="302">
        <v>2.9905930000000001E-2</v>
      </c>
      <c r="O68" s="302">
        <v>-3.2165340000000001E-2</v>
      </c>
      <c r="P68" s="302">
        <v>5.0821930000000001E-2</v>
      </c>
      <c r="Q68" s="302">
        <v>5.7273669999999999E-2</v>
      </c>
      <c r="R68" s="302">
        <v>0.12023839</v>
      </c>
      <c r="S68" s="302">
        <v>-3.7562899999999996E-2</v>
      </c>
      <c r="T68" s="302">
        <v>-5.07479E-3</v>
      </c>
      <c r="U68" s="302">
        <v>-6.6042160000000003E-2</v>
      </c>
      <c r="V68" s="302">
        <v>-0.12590165</v>
      </c>
      <c r="W68" s="302">
        <v>1.9099999999999999E-2</v>
      </c>
      <c r="X68" s="302">
        <v>1.78E-2</v>
      </c>
      <c r="Y68" s="302">
        <v>4.0250000000000001E-2</v>
      </c>
      <c r="Z68" s="302">
        <v>6.5040959999999995E-2</v>
      </c>
      <c r="AA68" s="302">
        <v>2.7799999999999998E-2</v>
      </c>
      <c r="AB68" s="302">
        <v>1.0200000000000001E-2</v>
      </c>
      <c r="AC68" s="302">
        <v>1.632927E-2</v>
      </c>
      <c r="AD68" s="302">
        <v>4.157218E-2</v>
      </c>
      <c r="AE68" s="302">
        <v>6.4474450000000003E-2</v>
      </c>
      <c r="AF68" s="302">
        <v>5.6876349999999999E-2</v>
      </c>
      <c r="AG68" s="302">
        <v>6.3022590000000003E-2</v>
      </c>
      <c r="AH68" s="302">
        <v>0.11401782000000001</v>
      </c>
      <c r="AI68" s="302">
        <v>0.11346493000000001</v>
      </c>
      <c r="AJ68" s="302">
        <v>9.7608069999999991E-2</v>
      </c>
      <c r="AK68" s="302">
        <v>-5.3275360000000001E-2</v>
      </c>
      <c r="AL68" s="302">
        <v>-6.0433770000000005E-2</v>
      </c>
      <c r="AM68" s="302">
        <v>-0.23745763</v>
      </c>
      <c r="AN68" s="302">
        <v>-9.7356739999999997E-2</v>
      </c>
      <c r="AO68" s="302">
        <v>-7.3825539999999995E-2</v>
      </c>
      <c r="AP68" s="302">
        <v>-2.9905930000000001E-2</v>
      </c>
      <c r="AQ68" s="302">
        <v>3.0754359999999998E-2</v>
      </c>
      <c r="AR68" s="302">
        <v>-4.9728260000000003E-2</v>
      </c>
      <c r="AS68" s="302">
        <v>-5.8815039999999999E-2</v>
      </c>
      <c r="AT68" s="302">
        <v>-0.11378360000000001</v>
      </c>
      <c r="AU68" s="302">
        <v>3.7604069999999996E-2</v>
      </c>
      <c r="AV68" s="302">
        <v>3.6243099999999999E-3</v>
      </c>
      <c r="AW68" s="302">
        <v>6.3746140000000007E-2</v>
      </c>
      <c r="AX68" s="302">
        <v>0.12375279</v>
      </c>
      <c r="AY68" s="302">
        <v>4.0000000000000002E-4</v>
      </c>
    </row>
    <row r="69" spans="1:51" x14ac:dyDescent="0.2">
      <c r="A69" s="303">
        <v>34851</v>
      </c>
      <c r="B69" s="302">
        <v>1.9690369999999999E-2</v>
      </c>
      <c r="C69" s="302">
        <v>4.6737870000000001E-2</v>
      </c>
      <c r="D69" s="302">
        <v>0.10897617999999999</v>
      </c>
      <c r="E69" s="302">
        <v>6.2699169999999999E-2</v>
      </c>
      <c r="F69" s="302">
        <v>9.4222669999999994E-2</v>
      </c>
      <c r="G69" s="302">
        <v>5.7167429999999998E-2</v>
      </c>
      <c r="H69" s="302">
        <v>6.8090109999999995E-2</v>
      </c>
      <c r="I69" s="302">
        <v>5.8039300000000002E-2</v>
      </c>
      <c r="J69" s="302">
        <v>6.7046510000000004E-2</v>
      </c>
      <c r="K69" s="302">
        <v>7.1482650000000009E-2</v>
      </c>
      <c r="L69" s="302">
        <v>7.3840539999999996E-2</v>
      </c>
      <c r="M69" s="302">
        <v>6.8250859999999997E-2</v>
      </c>
      <c r="N69" s="302">
        <v>5.5914450000000004E-2</v>
      </c>
      <c r="O69" s="302">
        <v>-8.2564960000000007E-2</v>
      </c>
      <c r="P69" s="302">
        <v>5.1269559999999999E-2</v>
      </c>
      <c r="Q69" s="302">
        <v>2.5996149999999999E-2</v>
      </c>
      <c r="R69" s="302">
        <v>7.7164070000000001E-2</v>
      </c>
      <c r="S69" s="302">
        <v>1.303761E-2</v>
      </c>
      <c r="T69" s="302">
        <v>4.0163950000000004E-2</v>
      </c>
      <c r="U69" s="302">
        <v>6.3229750000000001E-2</v>
      </c>
      <c r="V69" s="302">
        <v>8.2484870000000002E-2</v>
      </c>
      <c r="W69" s="302">
        <v>1.9799999999999998E-2</v>
      </c>
      <c r="X69" s="302">
        <v>1.72E-2</v>
      </c>
      <c r="Y69" s="302">
        <v>5.1249999999999997E-2</v>
      </c>
      <c r="Z69" s="302">
        <v>1.9126089999999998E-2</v>
      </c>
      <c r="AA69" s="302">
        <v>4.24E-2</v>
      </c>
      <c r="AB69" s="302">
        <v>4.2500000000000003E-2</v>
      </c>
      <c r="AC69" s="302">
        <v>1.9690369999999999E-2</v>
      </c>
      <c r="AD69" s="302">
        <v>4.6737870000000001E-2</v>
      </c>
      <c r="AE69" s="302">
        <v>0.10897617999999999</v>
      </c>
      <c r="AF69" s="302">
        <v>5.7167429999999998E-2</v>
      </c>
      <c r="AG69" s="302">
        <v>6.8090109999999995E-2</v>
      </c>
      <c r="AH69" s="302">
        <v>0.27921849000000004</v>
      </c>
      <c r="AI69" s="302">
        <v>6.2866970000000008E-2</v>
      </c>
      <c r="AJ69" s="302">
        <v>0.10873390000000001</v>
      </c>
      <c r="AK69" s="302">
        <v>-6.2699169999999999E-2</v>
      </c>
      <c r="AL69" s="302">
        <v>-5.8039300000000002E-2</v>
      </c>
      <c r="AM69" s="302">
        <v>-8.142777000000001E-2</v>
      </c>
      <c r="AN69" s="302">
        <v>-9.4888559999999997E-2</v>
      </c>
      <c r="AO69" s="302">
        <v>-8.9189330000000011E-2</v>
      </c>
      <c r="AP69" s="302">
        <v>-5.5914450000000004E-2</v>
      </c>
      <c r="AQ69" s="302">
        <v>7.1775539999999999E-2</v>
      </c>
      <c r="AR69" s="302">
        <v>-6.5129179999999995E-2</v>
      </c>
      <c r="AS69" s="302">
        <v>-3.8062289999999999E-2</v>
      </c>
      <c r="AT69" s="302">
        <v>-9.9648620000000007E-2</v>
      </c>
      <c r="AU69" s="302">
        <v>-2.5823170000000003E-2</v>
      </c>
      <c r="AV69" s="302">
        <v>-5.2396719999999994E-2</v>
      </c>
      <c r="AW69" s="302">
        <v>-7.5136350000000005E-2</v>
      </c>
      <c r="AX69" s="302">
        <v>-9.4607089999999991E-2</v>
      </c>
      <c r="AY69" s="302">
        <v>5.0000000000000001E-4</v>
      </c>
    </row>
    <row r="70" spans="1:51" x14ac:dyDescent="0.2">
      <c r="A70" s="303">
        <v>34943</v>
      </c>
      <c r="B70" s="302">
        <v>1.6238989999999998E-2</v>
      </c>
      <c r="C70" s="302">
        <v>1.5501249999999999E-2</v>
      </c>
      <c r="D70" s="302">
        <v>2.452182E-2</v>
      </c>
      <c r="E70" s="302">
        <v>2.054897E-2</v>
      </c>
      <c r="F70" s="302">
        <v>2.8875510000000004E-2</v>
      </c>
      <c r="G70" s="302">
        <v>3.018094E-2</v>
      </c>
      <c r="H70" s="302">
        <v>3.5430299999999998E-2</v>
      </c>
      <c r="I70" s="302">
        <v>3.3533769999999997E-2</v>
      </c>
      <c r="J70" s="302">
        <v>3.740748E-2</v>
      </c>
      <c r="K70" s="302">
        <v>1.301301E-2</v>
      </c>
      <c r="L70" s="302">
        <v>5.5511390000000001E-2</v>
      </c>
      <c r="M70" s="302">
        <v>7.1744100000000005E-2</v>
      </c>
      <c r="N70" s="302">
        <v>6.05917E-3</v>
      </c>
      <c r="O70" s="302">
        <v>1.05451E-3</v>
      </c>
      <c r="P70" s="302">
        <v>5.4197899999999999E-3</v>
      </c>
      <c r="Q70" s="302">
        <v>3.6579649999999998E-2</v>
      </c>
      <c r="R70" s="302">
        <v>5.1263719999999999E-2</v>
      </c>
      <c r="S70" s="302">
        <v>8.756541000000001E-2</v>
      </c>
      <c r="T70" s="302">
        <v>2.6859399999999999E-3</v>
      </c>
      <c r="U70" s="302">
        <v>-6.6637009999999997E-2</v>
      </c>
      <c r="V70" s="302">
        <v>-2.8457560000000003E-2</v>
      </c>
      <c r="W70" s="302">
        <v>2.1700000000000001E-2</v>
      </c>
      <c r="X70" s="302">
        <v>5.8999999999999999E-3</v>
      </c>
      <c r="Y70" s="302">
        <v>3.0950000000000002E-2</v>
      </c>
      <c r="Z70" s="302">
        <v>5.8533000000000001E-4</v>
      </c>
      <c r="AA70" s="302">
        <v>8.6999999999999994E-3</v>
      </c>
      <c r="AB70" s="302">
        <v>1.2E-2</v>
      </c>
      <c r="AC70" s="302">
        <v>1.6238989999999998E-2</v>
      </c>
      <c r="AD70" s="302">
        <v>1.5501249999999999E-2</v>
      </c>
      <c r="AE70" s="302">
        <v>2.452182E-2</v>
      </c>
      <c r="AF70" s="302">
        <v>3.018094E-2</v>
      </c>
      <c r="AG70" s="302">
        <v>3.5430299999999998E-2</v>
      </c>
      <c r="AH70" s="302">
        <v>8.1194840000000004E-2</v>
      </c>
      <c r="AI70" s="302">
        <v>0.13346901</v>
      </c>
      <c r="AJ70" s="302">
        <v>4.2995299999999993E-3</v>
      </c>
      <c r="AK70" s="302">
        <v>-2.054897E-2</v>
      </c>
      <c r="AL70" s="302">
        <v>-3.3533769999999997E-2</v>
      </c>
      <c r="AM70" s="302">
        <v>0.13501027000000002</v>
      </c>
      <c r="AN70" s="302">
        <v>-7.9502080000000003E-2</v>
      </c>
      <c r="AO70" s="302">
        <v>-9.6103729999999998E-2</v>
      </c>
      <c r="AP70" s="302">
        <v>-6.05917E-3</v>
      </c>
      <c r="AQ70" s="302">
        <v>-1.4706269999999999E-2</v>
      </c>
      <c r="AR70" s="302">
        <v>-1.6382129999999998E-2</v>
      </c>
      <c r="AS70" s="302">
        <v>-5.0715880000000005E-2</v>
      </c>
      <c r="AT70" s="302">
        <v>-5.3627870000000001E-2</v>
      </c>
      <c r="AU70" s="302">
        <v>-0.10059682</v>
      </c>
      <c r="AV70" s="302">
        <v>-1.6359950000000002E-2</v>
      </c>
      <c r="AW70" s="302">
        <v>5.289862E-2</v>
      </c>
      <c r="AX70" s="302">
        <v>1.415719E-2</v>
      </c>
      <c r="AY70" s="302">
        <v>4.0000000000000002E-4</v>
      </c>
    </row>
    <row r="71" spans="1:51" x14ac:dyDescent="0.2">
      <c r="A71" s="303">
        <v>35034</v>
      </c>
      <c r="B71" s="302">
        <v>1.5209410000000001E-2</v>
      </c>
      <c r="C71" s="302">
        <v>3.3384330000000004E-2</v>
      </c>
      <c r="D71" s="302">
        <v>8.2358569999999992E-2</v>
      </c>
      <c r="E71" s="302">
        <v>4.1708700000000001E-2</v>
      </c>
      <c r="F71" s="302">
        <v>6.2607770000000007E-2</v>
      </c>
      <c r="G71" s="302">
        <v>5.7485179999999997E-2</v>
      </c>
      <c r="H71" s="302">
        <v>7.4584770000000009E-2</v>
      </c>
      <c r="I71" s="302">
        <v>5.6417159999999994E-2</v>
      </c>
      <c r="J71" s="302">
        <v>7.4150839999999996E-2</v>
      </c>
      <c r="K71" s="302">
        <v>-7.7307599999999997E-3</v>
      </c>
      <c r="L71" s="302">
        <v>7.7358869999999996E-2</v>
      </c>
      <c r="M71" s="302">
        <v>4.4541789999999998E-2</v>
      </c>
      <c r="N71" s="302">
        <v>4.6807990000000001E-2</v>
      </c>
      <c r="O71" s="302">
        <v>7.5787279999999999E-2</v>
      </c>
      <c r="P71" s="302">
        <v>3.7117480000000001E-2</v>
      </c>
      <c r="Q71" s="302">
        <v>4.9046110000000004E-2</v>
      </c>
      <c r="R71" s="302">
        <v>0.11169361</v>
      </c>
      <c r="S71" s="302">
        <v>3.1279140000000004E-2</v>
      </c>
      <c r="T71" s="302">
        <v>7.285345E-2</v>
      </c>
      <c r="U71" s="302">
        <v>-1.0627560000000001E-2</v>
      </c>
      <c r="V71" s="302">
        <v>3.00249E-3</v>
      </c>
      <c r="W71" s="302">
        <v>9.3999999999999986E-3</v>
      </c>
      <c r="X71" s="302">
        <v>-2.3099999999999999E-2</v>
      </c>
      <c r="Y71" s="302">
        <v>0.12164999999999999</v>
      </c>
      <c r="Z71" s="302">
        <v>7.3094390000000009E-2</v>
      </c>
      <c r="AA71" s="302">
        <v>5.3399999999999996E-2</v>
      </c>
      <c r="AB71" s="302">
        <v>2.8799999999999999E-2</v>
      </c>
      <c r="AC71" s="302">
        <v>1.5209410000000001E-2</v>
      </c>
      <c r="AD71" s="302">
        <v>3.3384330000000004E-2</v>
      </c>
      <c r="AE71" s="302">
        <v>8.2358569999999992E-2</v>
      </c>
      <c r="AF71" s="302">
        <v>5.7485179999999997E-2</v>
      </c>
      <c r="AG71" s="302">
        <v>7.4584770000000009E-2</v>
      </c>
      <c r="AH71" s="302">
        <v>0.16041149000000002</v>
      </c>
      <c r="AI71" s="302">
        <v>0.13997854000000001</v>
      </c>
      <c r="AJ71" s="302">
        <v>-1.5697470000000002E-2</v>
      </c>
      <c r="AK71" s="302">
        <v>-4.1708700000000001E-2</v>
      </c>
      <c r="AL71" s="302">
        <v>-5.6417159999999994E-2</v>
      </c>
      <c r="AM71" s="302">
        <v>4.6302990000000002E-2</v>
      </c>
      <c r="AN71" s="302">
        <v>-5.9592400000000004E-2</v>
      </c>
      <c r="AO71" s="302">
        <v>-2.7316500000000001E-2</v>
      </c>
      <c r="AP71" s="302">
        <v>-4.6807990000000001E-2</v>
      </c>
      <c r="AQ71" s="302">
        <v>-6.5142939999999996E-2</v>
      </c>
      <c r="AR71" s="302">
        <v>-3.1136279999999999E-2</v>
      </c>
      <c r="AS71" s="302">
        <v>-3.8666369999999999E-2</v>
      </c>
      <c r="AT71" s="302">
        <v>-0.10864523</v>
      </c>
      <c r="AU71" s="302">
        <v>-2.3612030000000003E-2</v>
      </c>
      <c r="AV71" s="302">
        <v>-6.2238139999999997E-2</v>
      </c>
      <c r="AW71" s="302">
        <v>2.2059730000000003E-2</v>
      </c>
      <c r="AX71" s="302">
        <v>8.5871699999999999E-3</v>
      </c>
      <c r="AY71" s="302">
        <v>2.9999999999999997E-4</v>
      </c>
    </row>
    <row r="72" spans="1:51" x14ac:dyDescent="0.2">
      <c r="A72" s="303">
        <v>35125</v>
      </c>
      <c r="B72" s="302">
        <v>1.3389420000000001E-2</v>
      </c>
      <c r="C72" s="302">
        <v>-6.7792399999999997E-3</v>
      </c>
      <c r="D72" s="302">
        <v>-6.7548109999999995E-2</v>
      </c>
      <c r="E72" s="302">
        <v>-1.394803E-2</v>
      </c>
      <c r="F72" s="302">
        <v>-4.5701970000000001E-2</v>
      </c>
      <c r="G72" s="302">
        <v>-4.9493799999999998E-3</v>
      </c>
      <c r="H72" s="302">
        <v>-2.6986119999999999E-2</v>
      </c>
      <c r="I72" s="302">
        <v>-3.2841999999999997E-3</v>
      </c>
      <c r="J72" s="302">
        <v>-2.0673469999999999E-2</v>
      </c>
      <c r="K72" s="302">
        <v>5.7407300000000003E-3</v>
      </c>
      <c r="L72" s="302">
        <v>5.0414729999999998E-2</v>
      </c>
      <c r="M72" s="302">
        <v>5.4608610000000002E-2</v>
      </c>
      <c r="N72" s="302">
        <v>6.0251279999999997E-2</v>
      </c>
      <c r="O72" s="302">
        <v>6.9016999999999993E-4</v>
      </c>
      <c r="P72" s="302">
        <v>5.3518690000000001E-2</v>
      </c>
      <c r="Q72" s="302">
        <v>-2.1738199999999999E-3</v>
      </c>
      <c r="R72" s="302">
        <v>6.7885489999999993E-2</v>
      </c>
      <c r="S72" s="302">
        <v>5.9834810000000002E-2</v>
      </c>
      <c r="T72" s="302">
        <v>7.8482990000000002E-2</v>
      </c>
      <c r="U72" s="302">
        <v>8.7253980000000009E-2</v>
      </c>
      <c r="V72" s="302">
        <v>5.8291139999999998E-2</v>
      </c>
      <c r="W72" s="302">
        <v>2.6699999999999998E-2</v>
      </c>
      <c r="X72" s="302">
        <v>3.4999999999999996E-3</v>
      </c>
      <c r="Y72" s="302">
        <v>7.2649999999999992E-2</v>
      </c>
      <c r="Z72" s="302">
        <v>6.980111E-2</v>
      </c>
      <c r="AA72" s="302">
        <v>2.1400000000000002E-2</v>
      </c>
      <c r="AB72" s="302">
        <v>1.21E-2</v>
      </c>
      <c r="AC72" s="302">
        <v>1.3389420000000001E-2</v>
      </c>
      <c r="AD72" s="302">
        <v>-6.7792399999999997E-3</v>
      </c>
      <c r="AE72" s="302">
        <v>-6.7548109999999995E-2</v>
      </c>
      <c r="AF72" s="302">
        <v>-4.9493799999999998E-3</v>
      </c>
      <c r="AG72" s="302">
        <v>-2.6986119999999999E-2</v>
      </c>
      <c r="AH72" s="302">
        <v>-0.19027932</v>
      </c>
      <c r="AI72" s="302">
        <v>-0.27808261000000001</v>
      </c>
      <c r="AJ72" s="302">
        <v>7.9221299999999995E-3</v>
      </c>
      <c r="AK72" s="302">
        <v>1.394803E-2</v>
      </c>
      <c r="AL72" s="302">
        <v>3.2841999999999997E-3</v>
      </c>
      <c r="AM72" s="302">
        <v>2.898326E-2</v>
      </c>
      <c r="AN72" s="302">
        <v>-5.4355809999999997E-2</v>
      </c>
      <c r="AO72" s="302">
        <v>-5.856542E-2</v>
      </c>
      <c r="AP72" s="302">
        <v>-6.0251279999999997E-2</v>
      </c>
      <c r="AQ72" s="302">
        <v>-2.9428800000000001E-3</v>
      </c>
      <c r="AR72" s="302">
        <v>-5.3024399999999999E-2</v>
      </c>
      <c r="AS72" s="302">
        <v>-7.2439999999999991E-5</v>
      </c>
      <c r="AT72" s="302">
        <v>-6.935231E-2</v>
      </c>
      <c r="AU72" s="302">
        <v>-6.0488210000000001E-2</v>
      </c>
      <c r="AV72" s="302">
        <v>-8.0910819999999994E-2</v>
      </c>
      <c r="AW72" s="302">
        <v>-9.0885190000000005E-2</v>
      </c>
      <c r="AX72" s="302">
        <v>-6.1825619999999998E-2</v>
      </c>
      <c r="AY72" s="302">
        <v>2.0000000000000001E-4</v>
      </c>
    </row>
    <row r="73" spans="1:51" x14ac:dyDescent="0.2">
      <c r="A73" s="303">
        <v>35217</v>
      </c>
      <c r="B73" s="302">
        <v>1.187651E-2</v>
      </c>
      <c r="C73" s="302">
        <v>6.6898299999999999E-3</v>
      </c>
      <c r="D73" s="302">
        <v>-8.4650000000000003E-4</v>
      </c>
      <c r="E73" s="302">
        <v>4.8348699999999998E-3</v>
      </c>
      <c r="F73" s="302">
        <v>4.0263799999999995E-3</v>
      </c>
      <c r="G73" s="302">
        <v>2.1060889999999999E-2</v>
      </c>
      <c r="H73" s="302">
        <v>2.2993929999999999E-2</v>
      </c>
      <c r="I73" s="302">
        <v>2.4559210000000001E-2</v>
      </c>
      <c r="J73" s="302">
        <v>2.7860630000000001E-2</v>
      </c>
      <c r="K73" s="302">
        <v>6.6981199999999992E-3</v>
      </c>
      <c r="L73" s="302">
        <v>4.8529960000000004E-2</v>
      </c>
      <c r="M73" s="302">
        <v>4.5000920000000007E-2</v>
      </c>
      <c r="N73" s="302">
        <v>2.03669E-2</v>
      </c>
      <c r="O73" s="302">
        <v>2.6282160000000002E-2</v>
      </c>
      <c r="P73" s="302">
        <v>4.224986E-2</v>
      </c>
      <c r="Q73" s="302">
        <v>2.6819120000000002E-2</v>
      </c>
      <c r="R73" s="302">
        <v>-2.171824E-2</v>
      </c>
      <c r="S73" s="302">
        <v>1.1943530000000001E-2</v>
      </c>
      <c r="T73" s="302">
        <v>-3.1390319999999999E-2</v>
      </c>
      <c r="U73" s="302">
        <v>3.1888390000000003E-2</v>
      </c>
      <c r="V73" s="302">
        <v>4.5175750000000001E-2</v>
      </c>
      <c r="W73" s="302">
        <v>2.7400000000000001E-2</v>
      </c>
      <c r="X73" s="302">
        <v>2.0899999999999998E-2</v>
      </c>
      <c r="Y73" s="302">
        <v>5.1449999999999996E-2</v>
      </c>
      <c r="Z73" s="302">
        <v>1.946517E-2</v>
      </c>
      <c r="AA73" s="302">
        <v>1.1999999999999999E-3</v>
      </c>
      <c r="AB73" s="302">
        <v>3.2300000000000002E-2</v>
      </c>
      <c r="AC73" s="302">
        <v>1.187651E-2</v>
      </c>
      <c r="AD73" s="302">
        <v>6.6898299999999999E-3</v>
      </c>
      <c r="AE73" s="302">
        <v>-8.4650000000000003E-4</v>
      </c>
      <c r="AF73" s="302">
        <v>2.1060889999999999E-2</v>
      </c>
      <c r="AG73" s="302">
        <v>2.2993929999999999E-2</v>
      </c>
      <c r="AH73" s="302">
        <v>-2.90049E-2</v>
      </c>
      <c r="AI73" s="302">
        <v>0.22386057000000001</v>
      </c>
      <c r="AJ73" s="302">
        <v>7.4488900000000005E-3</v>
      </c>
      <c r="AK73" s="302">
        <v>-4.8348699999999998E-3</v>
      </c>
      <c r="AL73" s="302">
        <v>-2.4559210000000001E-2</v>
      </c>
      <c r="AM73" s="302">
        <v>1.8859790000000001E-2</v>
      </c>
      <c r="AN73" s="302">
        <v>-4.5146860000000004E-2</v>
      </c>
      <c r="AO73" s="302">
        <v>-4.162921E-2</v>
      </c>
      <c r="AP73" s="302">
        <v>-2.03669E-2</v>
      </c>
      <c r="AQ73" s="302">
        <v>-2.4295369999999997E-2</v>
      </c>
      <c r="AR73" s="302">
        <v>-4.1154070000000001E-2</v>
      </c>
      <c r="AS73" s="302">
        <v>-2.4831289999999999E-2</v>
      </c>
      <c r="AT73" s="302">
        <v>2.3186990000000001E-2</v>
      </c>
      <c r="AU73" s="302">
        <v>-1.052086E-2</v>
      </c>
      <c r="AV73" s="302">
        <v>3.3265459999999997E-2</v>
      </c>
      <c r="AW73" s="302">
        <v>-2.9525269999999999E-2</v>
      </c>
      <c r="AX73" s="302">
        <v>-4.2782189999999998E-2</v>
      </c>
      <c r="AY73" s="302">
        <v>1E-4</v>
      </c>
    </row>
    <row r="74" spans="1:51" x14ac:dyDescent="0.2">
      <c r="A74" s="303">
        <v>35309</v>
      </c>
      <c r="B74" s="302">
        <v>1.1350030000000001E-2</v>
      </c>
      <c r="C74" s="302">
        <v>1.7226720000000001E-2</v>
      </c>
      <c r="D74" s="302">
        <v>1.5362750000000001E-2</v>
      </c>
      <c r="E74" s="302">
        <v>1.9496240000000001E-2</v>
      </c>
      <c r="F74" s="302">
        <v>2.0968049999999998E-2</v>
      </c>
      <c r="G74" s="302">
        <v>5.2713380000000004E-2</v>
      </c>
      <c r="H74" s="302">
        <v>6.3132729999999998E-2</v>
      </c>
      <c r="I74" s="302">
        <v>5.4088159999999996E-2</v>
      </c>
      <c r="J74" s="302">
        <v>6.372201999999999E-2</v>
      </c>
      <c r="K74" s="302">
        <v>3.3904190000000001E-2</v>
      </c>
      <c r="L74" s="302">
        <v>2.9309370000000001E-2</v>
      </c>
      <c r="M74" s="302">
        <v>2.1293099999999999E-2</v>
      </c>
      <c r="N74" s="302">
        <v>5.4023990000000001E-2</v>
      </c>
      <c r="O74" s="302">
        <v>-6.1983589999999998E-2</v>
      </c>
      <c r="P74" s="302">
        <v>1.9666690000000001E-2</v>
      </c>
      <c r="Q74" s="302">
        <v>8.4553840000000005E-2</v>
      </c>
      <c r="R74" s="302">
        <v>-3.52491E-3</v>
      </c>
      <c r="S74" s="302">
        <v>1.553647E-2</v>
      </c>
      <c r="T74" s="302">
        <v>-4.5180999999999997E-3</v>
      </c>
      <c r="U74" s="302">
        <v>-6.4477800000000002E-2</v>
      </c>
      <c r="V74" s="302">
        <v>-3.7419859999999999E-2</v>
      </c>
      <c r="W74" s="302">
        <v>2.5699999999999997E-2</v>
      </c>
      <c r="X74" s="302">
        <v>1.4999999999999999E-2</v>
      </c>
      <c r="Y74" s="302">
        <v>4.8349999999999997E-2</v>
      </c>
      <c r="Z74" s="302">
        <v>8.0228950000000007E-2</v>
      </c>
      <c r="AA74" s="302">
        <v>1.9900000000000001E-2</v>
      </c>
      <c r="AB74" s="302">
        <v>1.1000000000000001E-2</v>
      </c>
      <c r="AC74" s="302">
        <v>1.1350030000000001E-2</v>
      </c>
      <c r="AD74" s="302">
        <v>1.7226720000000001E-2</v>
      </c>
      <c r="AE74" s="302">
        <v>1.5362750000000001E-2</v>
      </c>
      <c r="AF74" s="302">
        <v>5.2713380000000004E-2</v>
      </c>
      <c r="AG74" s="302">
        <v>6.3132729999999998E-2</v>
      </c>
      <c r="AH74" s="302">
        <v>-3.5996790000000001E-2</v>
      </c>
      <c r="AI74" s="302">
        <v>0.12468962</v>
      </c>
      <c r="AJ74" s="302">
        <v>4.4617810000000001E-2</v>
      </c>
      <c r="AK74" s="302">
        <v>-1.9496240000000001E-2</v>
      </c>
      <c r="AL74" s="302">
        <v>-5.4088159999999996E-2</v>
      </c>
      <c r="AM74" s="302">
        <v>-1.7201890000000001E-2</v>
      </c>
      <c r="AN74" s="302">
        <v>-3.0594119999999999E-2</v>
      </c>
      <c r="AO74" s="302">
        <v>-2.2567849999999997E-2</v>
      </c>
      <c r="AP74" s="302">
        <v>-5.4023990000000001E-2</v>
      </c>
      <c r="AQ74" s="302">
        <v>6.128111E-2</v>
      </c>
      <c r="AR74" s="302">
        <v>-2.1701830000000002E-2</v>
      </c>
      <c r="AS74" s="302">
        <v>-8.5366060000000007E-2</v>
      </c>
      <c r="AT74" s="302">
        <v>1.21594E-3</v>
      </c>
      <c r="AU74" s="302">
        <v>-1.705721E-2</v>
      </c>
      <c r="AV74" s="302">
        <v>3.7725900000000001E-3</v>
      </c>
      <c r="AW74" s="302">
        <v>6.4242889999999997E-2</v>
      </c>
      <c r="AX74" s="302">
        <v>3.7178170000000003E-2</v>
      </c>
      <c r="AY74" s="302">
        <v>2.0000000000000001E-4</v>
      </c>
    </row>
    <row r="75" spans="1:51" x14ac:dyDescent="0.2">
      <c r="A75" s="303">
        <v>35400</v>
      </c>
      <c r="B75" s="302">
        <v>8.7178500000000009E-3</v>
      </c>
      <c r="C75" s="302">
        <v>2.3123249999999998E-2</v>
      </c>
      <c r="D75" s="302">
        <v>4.8274600000000001E-2</v>
      </c>
      <c r="E75" s="302">
        <v>2.9216579999999999E-2</v>
      </c>
      <c r="F75" s="302">
        <v>4.4910579999999999E-2</v>
      </c>
      <c r="G75" s="302">
        <v>5.3085389999999996E-2</v>
      </c>
      <c r="H75" s="302">
        <v>7.7843869999999996E-2</v>
      </c>
      <c r="I75" s="302">
        <v>5.2210679999999995E-2</v>
      </c>
      <c r="J75" s="302">
        <v>7.3376849999999993E-2</v>
      </c>
      <c r="K75" s="302">
        <v>2.33352E-2</v>
      </c>
      <c r="L75" s="302">
        <v>9.0477489999999994E-2</v>
      </c>
      <c r="M75" s="302">
        <v>6.2281170000000004E-2</v>
      </c>
      <c r="N75" s="302">
        <v>0.12555779</v>
      </c>
      <c r="O75" s="302">
        <v>-0.12553496</v>
      </c>
      <c r="P75" s="302">
        <v>9.7110509999999997E-2</v>
      </c>
      <c r="Q75" s="302">
        <v>0.15233453999999999</v>
      </c>
      <c r="R75" s="302">
        <v>-7.1396999999999997E-3</v>
      </c>
      <c r="S75" s="302">
        <v>8.7275390000000008E-2</v>
      </c>
      <c r="T75" s="302">
        <v>7.0424059999999997E-2</v>
      </c>
      <c r="U75" s="302">
        <v>-1.492856E-2</v>
      </c>
      <c r="V75" s="302">
        <v>3.1823999999999996E-4</v>
      </c>
      <c r="W75" s="302">
        <v>4.9599999999999998E-2</v>
      </c>
      <c r="X75" s="302">
        <v>1.77E-2</v>
      </c>
      <c r="Y75" s="302">
        <v>9.8750000000000004E-2</v>
      </c>
      <c r="Z75" s="302">
        <v>0.16980664000000001</v>
      </c>
      <c r="AA75" s="302">
        <v>6.1699999999999998E-2</v>
      </c>
      <c r="AB75" s="302">
        <v>3.9599999999999996E-2</v>
      </c>
      <c r="AC75" s="302">
        <v>8.7178500000000009E-3</v>
      </c>
      <c r="AD75" s="302">
        <v>2.3123249999999998E-2</v>
      </c>
      <c r="AE75" s="302">
        <v>4.8274600000000001E-2</v>
      </c>
      <c r="AF75" s="302">
        <v>5.3085389999999996E-2</v>
      </c>
      <c r="AG75" s="302">
        <v>7.7843869999999996E-2</v>
      </c>
      <c r="AH75" s="302">
        <v>0.11064718</v>
      </c>
      <c r="AI75" s="302">
        <v>0.25416327999999999</v>
      </c>
      <c r="AJ75" s="302">
        <v>1.928146E-2</v>
      </c>
      <c r="AK75" s="302">
        <v>-2.9216579999999999E-2</v>
      </c>
      <c r="AL75" s="302">
        <v>-5.2210679999999995E-2</v>
      </c>
      <c r="AM75" s="302">
        <v>1.563664E-2</v>
      </c>
      <c r="AN75" s="302">
        <v>-8.3714220000000006E-2</v>
      </c>
      <c r="AO75" s="302">
        <v>-5.5692779999999997E-2</v>
      </c>
      <c r="AP75" s="302">
        <v>-0.12555779</v>
      </c>
      <c r="AQ75" s="302">
        <v>0.12878908</v>
      </c>
      <c r="AR75" s="302">
        <v>-9.3109090000000005E-2</v>
      </c>
      <c r="AS75" s="302">
        <v>-0.14804639</v>
      </c>
      <c r="AT75" s="302">
        <v>7.61197E-3</v>
      </c>
      <c r="AU75" s="302">
        <v>-8.3277529999999989E-2</v>
      </c>
      <c r="AV75" s="302">
        <v>-6.6440730000000003E-2</v>
      </c>
      <c r="AW75" s="302">
        <v>1.8623549999999999E-2</v>
      </c>
      <c r="AX75" s="302">
        <v>3.4339499999999998E-3</v>
      </c>
      <c r="AY75" s="302">
        <v>2.0000000000000001E-4</v>
      </c>
    </row>
    <row r="76" spans="1:51" x14ac:dyDescent="0.2">
      <c r="A76" s="303">
        <v>35490</v>
      </c>
      <c r="B76" s="302">
        <v>6.1129900000000004E-3</v>
      </c>
      <c r="C76" s="302">
        <v>-2.4604E-4</v>
      </c>
      <c r="D76" s="302">
        <v>-3.1945849999999998E-2</v>
      </c>
      <c r="E76" s="302">
        <v>-4.0975000000000004E-3</v>
      </c>
      <c r="F76" s="302">
        <v>-2.0349219999999998E-2</v>
      </c>
      <c r="G76" s="302">
        <v>-5.1986100000000002E-3</v>
      </c>
      <c r="H76" s="302">
        <v>-7.3716099999999998E-3</v>
      </c>
      <c r="I76" s="302">
        <v>-3.0635200000000001E-3</v>
      </c>
      <c r="J76" s="302">
        <v>-4.3450699999999995E-3</v>
      </c>
      <c r="K76" s="302">
        <v>2.8544870000000003E-2</v>
      </c>
      <c r="L76" s="302">
        <v>3.6794010000000002E-2</v>
      </c>
      <c r="M76" s="302">
        <v>-2.346117E-2</v>
      </c>
      <c r="N76" s="302">
        <v>-8.3527099999999993E-3</v>
      </c>
      <c r="O76" s="302">
        <v>-0.11254616000000001</v>
      </c>
      <c r="P76" s="302">
        <v>7.1265239999999994E-2</v>
      </c>
      <c r="Q76" s="302">
        <v>1.977112E-2</v>
      </c>
      <c r="R76" s="302">
        <v>0.11324895</v>
      </c>
      <c r="S76" s="302">
        <v>-6.1161100000000001E-3</v>
      </c>
      <c r="T76" s="302">
        <v>-5.6763849999999998E-2</v>
      </c>
      <c r="U76" s="302">
        <v>2.377543E-2</v>
      </c>
      <c r="V76" s="302">
        <v>9.593502000000001E-2</v>
      </c>
      <c r="W76" s="302">
        <v>3.04E-2</v>
      </c>
      <c r="X76" s="302">
        <v>3.3500000000000002E-2</v>
      </c>
      <c r="Y76" s="302">
        <v>7.0999999999999995E-3</v>
      </c>
      <c r="Z76" s="302">
        <v>-2.4039600000000001E-2</v>
      </c>
      <c r="AA76" s="302">
        <v>2.8900000000000002E-2</v>
      </c>
      <c r="AB76" s="302">
        <v>1.2199999999999999E-2</v>
      </c>
      <c r="AC76" s="302">
        <v>6.1129900000000004E-3</v>
      </c>
      <c r="AD76" s="302">
        <v>-2.4604E-4</v>
      </c>
      <c r="AE76" s="302">
        <v>-3.1945849999999998E-2</v>
      </c>
      <c r="AF76" s="302">
        <v>-5.1986100000000002E-3</v>
      </c>
      <c r="AG76" s="302">
        <v>-7.3716099999999998E-3</v>
      </c>
      <c r="AH76" s="302">
        <v>-0.10847699000000001</v>
      </c>
      <c r="AI76" s="302">
        <v>-9.1844110000000007E-2</v>
      </c>
      <c r="AJ76" s="302">
        <v>4.4729660000000004E-2</v>
      </c>
      <c r="AK76" s="302">
        <v>4.0975000000000004E-3</v>
      </c>
      <c r="AL76" s="302">
        <v>3.0635200000000001E-3</v>
      </c>
      <c r="AM76" s="302">
        <v>3.2715770000000005E-2</v>
      </c>
      <c r="AN76" s="302">
        <v>-2.6161759999999999E-2</v>
      </c>
      <c r="AO76" s="302">
        <v>3.347551E-2</v>
      </c>
      <c r="AP76" s="302">
        <v>8.3527099999999993E-3</v>
      </c>
      <c r="AQ76" s="302">
        <v>0.11800663</v>
      </c>
      <c r="AR76" s="302">
        <v>-6.7295640000000004E-2</v>
      </c>
      <c r="AS76" s="302">
        <v>-1.349651E-2</v>
      </c>
      <c r="AT76" s="302">
        <v>-0.10074482</v>
      </c>
      <c r="AU76" s="302">
        <v>1.077798E-2</v>
      </c>
      <c r="AV76" s="302">
        <v>6.2567540000000005E-2</v>
      </c>
      <c r="AW76" s="302">
        <v>-1.6470209999999999E-2</v>
      </c>
      <c r="AX76" s="302">
        <v>-8.8114899999999996E-2</v>
      </c>
      <c r="AY76" s="302">
        <v>1E-4</v>
      </c>
    </row>
    <row r="77" spans="1:51" x14ac:dyDescent="0.2">
      <c r="A77" s="303">
        <v>35582</v>
      </c>
      <c r="B77" s="302">
        <v>7.0396E-3</v>
      </c>
      <c r="C77" s="302">
        <v>2.7878899999999998E-2</v>
      </c>
      <c r="D77" s="302">
        <v>5.5939170000000003E-2</v>
      </c>
      <c r="E77" s="302">
        <v>3.4749720000000005E-2</v>
      </c>
      <c r="F77" s="302">
        <v>5.2323670000000003E-2</v>
      </c>
      <c r="G77" s="302">
        <v>4.0081860000000004E-2</v>
      </c>
      <c r="H77" s="302">
        <v>6.3959009999999997E-2</v>
      </c>
      <c r="I77" s="302">
        <v>4.2276139999999997E-2</v>
      </c>
      <c r="J77" s="302">
        <v>6.6486879999999998E-2</v>
      </c>
      <c r="K77" s="302">
        <v>-1.7013100000000001E-3</v>
      </c>
      <c r="L77" s="302">
        <v>0.17179063999999999</v>
      </c>
      <c r="M77" s="302">
        <v>0.14798971</v>
      </c>
      <c r="N77" s="302">
        <v>0.10547102000000001</v>
      </c>
      <c r="O77" s="302">
        <v>0.21823678000000002</v>
      </c>
      <c r="P77" s="302">
        <v>7.6349429999999996E-2</v>
      </c>
      <c r="Q77" s="302">
        <v>7.8537030000000008E-2</v>
      </c>
      <c r="R77" s="302">
        <v>0.18992284999999998</v>
      </c>
      <c r="S77" s="302">
        <v>8.118584999999999E-2</v>
      </c>
      <c r="T77" s="302">
        <v>8.6953410000000009E-2</v>
      </c>
      <c r="U77" s="302">
        <v>1.221992E-2</v>
      </c>
      <c r="V77" s="302">
        <v>8.2682610000000004E-2</v>
      </c>
      <c r="W77" s="302">
        <v>3.3599999999999998E-2</v>
      </c>
      <c r="X77" s="302">
        <v>2.7999999999999997E-2</v>
      </c>
      <c r="Y77" s="302">
        <v>9.8900000000000002E-2</v>
      </c>
      <c r="Z77" s="302">
        <v>7.8134629999999997E-2</v>
      </c>
      <c r="AA77" s="302">
        <v>3.1200000000000002E-2</v>
      </c>
      <c r="AB77" s="302">
        <v>3.5799999999999998E-2</v>
      </c>
      <c r="AC77" s="302">
        <v>7.0396E-3</v>
      </c>
      <c r="AD77" s="302">
        <v>2.7878899999999998E-2</v>
      </c>
      <c r="AE77" s="302">
        <v>5.5939170000000003E-2</v>
      </c>
      <c r="AF77" s="302">
        <v>4.0081860000000004E-2</v>
      </c>
      <c r="AG77" s="302">
        <v>6.3959009999999997E-2</v>
      </c>
      <c r="AH77" s="302">
        <v>6.9581989999999996E-2</v>
      </c>
      <c r="AI77" s="302">
        <v>0.13273583999999999</v>
      </c>
      <c r="AJ77" s="302">
        <v>6.8301599999999992E-3</v>
      </c>
      <c r="AK77" s="302">
        <v>-3.4749720000000005E-2</v>
      </c>
      <c r="AL77" s="302">
        <v>-4.2276139999999997E-2</v>
      </c>
      <c r="AM77" s="302">
        <v>-7.953644E-2</v>
      </c>
      <c r="AN77" s="302">
        <v>-0.17493011999999999</v>
      </c>
      <c r="AO77" s="302">
        <v>-0.15106542000000001</v>
      </c>
      <c r="AP77" s="302">
        <v>-0.10547102000000001</v>
      </c>
      <c r="AQ77" s="302">
        <v>-0.22019512999999999</v>
      </c>
      <c r="AR77" s="302">
        <v>-7.6679780000000003E-2</v>
      </c>
      <c r="AS77" s="302">
        <v>-8.0270810000000012E-2</v>
      </c>
      <c r="AT77" s="302">
        <v>-0.19345508</v>
      </c>
      <c r="AU77" s="302">
        <v>-8.2079260000000001E-2</v>
      </c>
      <c r="AV77" s="302">
        <v>-8.8700720000000011E-2</v>
      </c>
      <c r="AW77" s="302">
        <v>-1.4373530000000001E-2</v>
      </c>
      <c r="AX77" s="302">
        <v>-8.4986140000000002E-2</v>
      </c>
      <c r="AY77" s="302">
        <v>0</v>
      </c>
    </row>
    <row r="78" spans="1:51" x14ac:dyDescent="0.2">
      <c r="A78" s="303">
        <v>35674</v>
      </c>
      <c r="B78" s="302">
        <v>7.3232699999999998E-3</v>
      </c>
      <c r="C78" s="302">
        <v>2.557251E-2</v>
      </c>
      <c r="D78" s="302">
        <v>5.7579330000000005E-2</v>
      </c>
      <c r="E78" s="302">
        <v>3.1666090000000001E-2</v>
      </c>
      <c r="F78" s="302">
        <v>5.2106510000000002E-2</v>
      </c>
      <c r="G78" s="302">
        <v>4.7270979999999997E-2</v>
      </c>
      <c r="H78" s="302">
        <v>7.6338710000000004E-2</v>
      </c>
      <c r="I78" s="302">
        <v>4.6211779999999994E-2</v>
      </c>
      <c r="J78" s="302">
        <v>7.439374E-2</v>
      </c>
      <c r="K78" s="302">
        <v>4.1699960000000001E-2</v>
      </c>
      <c r="L78" s="302">
        <v>7.529139E-2</v>
      </c>
      <c r="M78" s="302">
        <v>0.14360253000000001</v>
      </c>
      <c r="N78" s="302">
        <v>9.7624849999999999E-2</v>
      </c>
      <c r="O78" s="302">
        <v>-0.14593360999999999</v>
      </c>
      <c r="P78" s="302">
        <v>7.9671290000000006E-2</v>
      </c>
      <c r="Q78" s="302">
        <v>0.12103927</v>
      </c>
      <c r="R78" s="302">
        <v>1.8212300000000001E-2</v>
      </c>
      <c r="S78" s="302">
        <v>-2.7273649999999997E-2</v>
      </c>
      <c r="T78" s="302">
        <v>-1.3455410000000001E-2</v>
      </c>
      <c r="U78" s="302">
        <v>-0.24866707000000002</v>
      </c>
      <c r="V78" s="302">
        <v>-8.9612200000000003E-2</v>
      </c>
      <c r="W78" s="302">
        <v>3.8699999999999998E-2</v>
      </c>
      <c r="X78" s="302">
        <v>6.3600000000000004E-2</v>
      </c>
      <c r="Y78" s="302">
        <v>6.2899999999999998E-2</v>
      </c>
      <c r="Z78" s="302">
        <v>0.12799623999999998</v>
      </c>
      <c r="AA78" s="302">
        <v>2.35E-2</v>
      </c>
      <c r="AB78" s="302">
        <v>6.3E-3</v>
      </c>
      <c r="AC78" s="302">
        <v>7.3232699999999998E-3</v>
      </c>
      <c r="AD78" s="302">
        <v>2.557251E-2</v>
      </c>
      <c r="AE78" s="302">
        <v>5.7579330000000005E-2</v>
      </c>
      <c r="AF78" s="302">
        <v>4.7270979999999997E-2</v>
      </c>
      <c r="AG78" s="302">
        <v>7.6338710000000004E-2</v>
      </c>
      <c r="AH78" s="302">
        <v>0.12264764</v>
      </c>
      <c r="AI78" s="302">
        <v>0.16799785</v>
      </c>
      <c r="AJ78" s="302">
        <v>5.9096700000000002E-2</v>
      </c>
      <c r="AK78" s="302">
        <v>-3.1666090000000001E-2</v>
      </c>
      <c r="AL78" s="302">
        <v>-4.6211779999999994E-2</v>
      </c>
      <c r="AM78" s="302">
        <v>1.174246E-2</v>
      </c>
      <c r="AN78" s="302">
        <v>-7.5213530000000001E-2</v>
      </c>
      <c r="AO78" s="302">
        <v>-0.14351972999999998</v>
      </c>
      <c r="AP78" s="302">
        <v>-9.7624849999999999E-2</v>
      </c>
      <c r="AQ78" s="302">
        <v>0.14597071</v>
      </c>
      <c r="AR78" s="302">
        <v>-7.7203969999999997E-2</v>
      </c>
      <c r="AS78" s="302">
        <v>-0.12099057000000001</v>
      </c>
      <c r="AT78" s="302">
        <v>-2.1770830000000001E-2</v>
      </c>
      <c r="AU78" s="302">
        <v>2.8624269999999997E-2</v>
      </c>
      <c r="AV78" s="302">
        <v>1.3498270000000001E-2</v>
      </c>
      <c r="AW78" s="302">
        <v>0.24802442999999999</v>
      </c>
      <c r="AX78" s="302">
        <v>8.8833519999999999E-2</v>
      </c>
      <c r="AY78" s="302">
        <v>4.0000000000000002E-4</v>
      </c>
    </row>
    <row r="79" spans="1:51" x14ac:dyDescent="0.2">
      <c r="A79" s="303">
        <v>35765</v>
      </c>
      <c r="B79" s="302">
        <v>7.8731200000000008E-3</v>
      </c>
      <c r="C79" s="302">
        <v>2.2132930000000002E-2</v>
      </c>
      <c r="D79" s="302">
        <v>6.4915440000000005E-2</v>
      </c>
      <c r="E79" s="302">
        <v>1.9227890000000001E-2</v>
      </c>
      <c r="F79" s="302">
        <v>4.6151629999999999E-2</v>
      </c>
      <c r="G79" s="302">
        <v>1.291195E-2</v>
      </c>
      <c r="H79" s="302">
        <v>4.3360860000000001E-2</v>
      </c>
      <c r="I79" s="302">
        <v>7.3986300000000007E-3</v>
      </c>
      <c r="J79" s="302">
        <v>3.1735109999999997E-2</v>
      </c>
      <c r="K79" s="302">
        <v>2.1574650000000001E-2</v>
      </c>
      <c r="L79" s="302">
        <v>6.5364660000000005E-2</v>
      </c>
      <c r="M79" s="302">
        <v>1.2319100000000001E-2</v>
      </c>
      <c r="N79" s="302">
        <v>-4.4447189999999998E-2</v>
      </c>
      <c r="O79" s="302">
        <v>-0.19183413000000002</v>
      </c>
      <c r="P79" s="302">
        <v>1.9094159999999999E-2</v>
      </c>
      <c r="Q79" s="302">
        <v>4.047133E-2</v>
      </c>
      <c r="R79" s="302">
        <v>0.12120009</v>
      </c>
      <c r="S79" s="302">
        <v>-9.6227289999999993E-2</v>
      </c>
      <c r="T79" s="302">
        <v>-0.18216391000000001</v>
      </c>
      <c r="U79" s="302">
        <v>-0.30571753000000002</v>
      </c>
      <c r="V79" s="302">
        <v>-0.14579639</v>
      </c>
      <c r="W79" s="302">
        <v>6.5500000000000003E-2</v>
      </c>
      <c r="X79" s="302">
        <v>0.1018</v>
      </c>
      <c r="Y79" s="302">
        <v>8.9749999999999996E-2</v>
      </c>
      <c r="Z79" s="302">
        <v>-0.12733102000000002</v>
      </c>
      <c r="AA79" s="302">
        <v>9.5000000000000001E-2</v>
      </c>
      <c r="AB79" s="302">
        <v>3.1200000000000002E-2</v>
      </c>
      <c r="AC79" s="302">
        <v>7.8731200000000008E-3</v>
      </c>
      <c r="AD79" s="302">
        <v>2.2132930000000002E-2</v>
      </c>
      <c r="AE79" s="302">
        <v>6.4915440000000005E-2</v>
      </c>
      <c r="AF79" s="302">
        <v>1.291195E-2</v>
      </c>
      <c r="AG79" s="302">
        <v>4.3360860000000001E-2</v>
      </c>
      <c r="AH79" s="302">
        <v>0.15117860999999999</v>
      </c>
      <c r="AI79" s="302">
        <v>0.15531497</v>
      </c>
      <c r="AJ79" s="302">
        <v>3.2628320000000002E-2</v>
      </c>
      <c r="AK79" s="302">
        <v>-1.9227890000000001E-2</v>
      </c>
      <c r="AL79" s="302">
        <v>-7.3986300000000007E-3</v>
      </c>
      <c r="AM79" s="302">
        <v>3.8201139999999995E-2</v>
      </c>
      <c r="AN79" s="302">
        <v>-2.8717839999999998E-2</v>
      </c>
      <c r="AO79" s="302">
        <v>2.2503039999999998E-2</v>
      </c>
      <c r="AP79" s="302">
        <v>4.4447189999999998E-2</v>
      </c>
      <c r="AQ79" s="302">
        <v>0.20851389000000001</v>
      </c>
      <c r="AR79" s="302">
        <v>1.2690499999999999E-3</v>
      </c>
      <c r="AS79" s="302">
        <v>-1.899702E-2</v>
      </c>
      <c r="AT79" s="302">
        <v>-9.3141420000000003E-2</v>
      </c>
      <c r="AU79" s="302">
        <v>0.11452883</v>
      </c>
      <c r="AV79" s="302">
        <v>0.19904325</v>
      </c>
      <c r="AW79" s="302">
        <v>0.32023311999999998</v>
      </c>
      <c r="AX79" s="302">
        <v>0.16365551</v>
      </c>
      <c r="AY79" s="302">
        <v>7.000000000000001E-4</v>
      </c>
    </row>
    <row r="80" spans="1:51" x14ac:dyDescent="0.2">
      <c r="A80" s="303">
        <v>35855</v>
      </c>
      <c r="B80" s="302">
        <v>9.3813500000000001E-3</v>
      </c>
      <c r="C80" s="302">
        <v>1.51252E-2</v>
      </c>
      <c r="D80" s="302">
        <v>1.5059050000000001E-2</v>
      </c>
      <c r="E80" s="302">
        <v>1.68436E-2</v>
      </c>
      <c r="F80" s="302">
        <v>1.27169E-2</v>
      </c>
      <c r="G80" s="302">
        <v>2.8375009999999999E-2</v>
      </c>
      <c r="H80" s="302">
        <v>4.136985E-2</v>
      </c>
      <c r="I80" s="302">
        <v>2.928528E-2</v>
      </c>
      <c r="J80" s="302">
        <v>4.1482669999999999E-2</v>
      </c>
      <c r="K80" s="302">
        <v>1.0109109999999999E-2</v>
      </c>
      <c r="L80" s="302">
        <v>0.13088869</v>
      </c>
      <c r="M80" s="302">
        <v>9.4225220000000012E-2</v>
      </c>
      <c r="N80" s="302">
        <v>0.13251431</v>
      </c>
      <c r="O80" s="302">
        <v>4.1868450000000001E-2</v>
      </c>
      <c r="P80" s="302">
        <v>0.21757238999999998</v>
      </c>
      <c r="Q80" s="302">
        <v>0.16562480999999998</v>
      </c>
      <c r="R80" s="302">
        <v>0.15503344999999999</v>
      </c>
      <c r="S80" s="302">
        <v>8.377881999999999E-2</v>
      </c>
      <c r="T80" s="302">
        <v>-8.1446899999999996E-3</v>
      </c>
      <c r="U80" s="302">
        <v>0.15293380000000001</v>
      </c>
      <c r="V80" s="302">
        <v>5.3908899999999996E-2</v>
      </c>
      <c r="W80" s="302">
        <v>5.5E-2</v>
      </c>
      <c r="X80" s="302">
        <v>4.4699999999999997E-2</v>
      </c>
      <c r="Y80" s="302">
        <v>8.7799999999999989E-2</v>
      </c>
      <c r="Z80" s="302">
        <v>-1.2959490000000001E-2</v>
      </c>
      <c r="AA80" s="302">
        <v>2.2400000000000003E-2</v>
      </c>
      <c r="AB80" s="302">
        <v>1.04E-2</v>
      </c>
      <c r="AC80" s="302">
        <v>9.3813500000000001E-3</v>
      </c>
      <c r="AD80" s="302">
        <v>1.51252E-2</v>
      </c>
      <c r="AE80" s="302">
        <v>1.5059050000000001E-2</v>
      </c>
      <c r="AF80" s="302">
        <v>2.8375009999999999E-2</v>
      </c>
      <c r="AG80" s="302">
        <v>4.136985E-2</v>
      </c>
      <c r="AH80" s="302">
        <v>-8.5471200000000001E-3</v>
      </c>
      <c r="AI80" s="302">
        <v>-3.4768999999999998E-3</v>
      </c>
      <c r="AJ80" s="302">
        <v>1.477873E-2</v>
      </c>
      <c r="AK80" s="302">
        <v>-1.68436E-2</v>
      </c>
      <c r="AL80" s="302">
        <v>-2.928528E-2</v>
      </c>
      <c r="AM80" s="302">
        <v>1.756427E-2</v>
      </c>
      <c r="AN80" s="302">
        <v>-0.13949285</v>
      </c>
      <c r="AO80" s="302">
        <v>-0.10255043000000001</v>
      </c>
      <c r="AP80" s="302">
        <v>-0.13251431</v>
      </c>
      <c r="AQ80" s="302">
        <v>-4.6624569999999997E-2</v>
      </c>
      <c r="AR80" s="302">
        <v>-0.22149134000000001</v>
      </c>
      <c r="AS80" s="302">
        <v>-0.17094587</v>
      </c>
      <c r="AT80" s="302">
        <v>-0.16165778</v>
      </c>
      <c r="AU80" s="302">
        <v>-8.7848129999999996E-2</v>
      </c>
      <c r="AV80" s="302">
        <v>3.6168800000000003E-3</v>
      </c>
      <c r="AW80" s="302">
        <v>-0.15881582</v>
      </c>
      <c r="AX80" s="302">
        <v>-5.928572E-2</v>
      </c>
      <c r="AY80" s="302">
        <v>1.1000000000000001E-3</v>
      </c>
    </row>
    <row r="81" spans="1:51" x14ac:dyDescent="0.2">
      <c r="A81" s="303">
        <v>35947</v>
      </c>
      <c r="B81" s="302">
        <v>1.13445E-2</v>
      </c>
      <c r="C81" s="302">
        <v>1.8488519999999998E-2</v>
      </c>
      <c r="D81" s="302">
        <v>4.6710849999999998E-2</v>
      </c>
      <c r="E81" s="302">
        <v>1.9912319999999997E-2</v>
      </c>
      <c r="F81" s="302">
        <v>3.5369299999999999E-2</v>
      </c>
      <c r="G81" s="302">
        <v>1.102558E-2</v>
      </c>
      <c r="H81" s="302">
        <v>3.2076109999999998E-2</v>
      </c>
      <c r="I81" s="302">
        <v>1.2548419999999999E-2</v>
      </c>
      <c r="J81" s="302">
        <v>3.3508400000000001E-2</v>
      </c>
      <c r="K81" s="302">
        <v>2.3781210000000001E-2</v>
      </c>
      <c r="L81" s="302">
        <v>6.8099270000000003E-2</v>
      </c>
      <c r="M81" s="302">
        <v>-9.1494699999999998E-3</v>
      </c>
      <c r="N81" s="302">
        <v>-2.1586850000000001E-2</v>
      </c>
      <c r="O81" s="302">
        <v>-2.5217869999999996E-2</v>
      </c>
      <c r="P81" s="302">
        <v>0.13008883000000002</v>
      </c>
      <c r="Q81" s="302">
        <v>1.479398E-2</v>
      </c>
      <c r="R81" s="302">
        <v>7.3993249999999997E-2</v>
      </c>
      <c r="S81" s="302">
        <v>-3.5623019999999998E-2</v>
      </c>
      <c r="T81" s="302">
        <v>-0.26898569</v>
      </c>
      <c r="U81" s="302">
        <v>-0.30898882999999999</v>
      </c>
      <c r="V81" s="302">
        <v>-0.21003440999999998</v>
      </c>
      <c r="W81" s="302">
        <v>4.87E-2</v>
      </c>
      <c r="X81" s="302">
        <v>3.1800000000000002E-2</v>
      </c>
      <c r="Y81" s="302">
        <v>4.5949999999999998E-2</v>
      </c>
      <c r="Z81" s="302">
        <v>-7.4575840000000004E-2</v>
      </c>
      <c r="AA81" s="302">
        <v>9.3999999999999986E-3</v>
      </c>
      <c r="AB81" s="302">
        <v>2.6200000000000001E-2</v>
      </c>
      <c r="AC81" s="302">
        <v>1.13445E-2</v>
      </c>
      <c r="AD81" s="302">
        <v>1.8488519999999998E-2</v>
      </c>
      <c r="AE81" s="302">
        <v>4.6710849999999998E-2</v>
      </c>
      <c r="AF81" s="302">
        <v>1.102558E-2</v>
      </c>
      <c r="AG81" s="302">
        <v>3.2076109999999998E-2</v>
      </c>
      <c r="AH81" s="302">
        <v>9.4712420000000005E-2</v>
      </c>
      <c r="AI81" s="302">
        <v>0.17401039000000001</v>
      </c>
      <c r="AJ81" s="302">
        <v>4.1352149999999997E-2</v>
      </c>
      <c r="AK81" s="302">
        <v>-1.9912319999999997E-2</v>
      </c>
      <c r="AL81" s="302">
        <v>-1.2548419999999999E-2</v>
      </c>
      <c r="AM81" s="302">
        <v>2.8833299999999999E-3</v>
      </c>
      <c r="AN81" s="302">
        <v>-3.3022360000000001E-2</v>
      </c>
      <c r="AO81" s="302">
        <v>4.1689489999999996E-2</v>
      </c>
      <c r="AP81" s="302">
        <v>2.1586850000000001E-2</v>
      </c>
      <c r="AQ81" s="302">
        <v>4.4425270000000003E-2</v>
      </c>
      <c r="AR81" s="302">
        <v>-0.10773961999999999</v>
      </c>
      <c r="AS81" s="302">
        <v>5.2018200000000002E-3</v>
      </c>
      <c r="AT81" s="302">
        <v>-4.9364619999999998E-2</v>
      </c>
      <c r="AU81" s="302">
        <v>5.4666610000000004E-2</v>
      </c>
      <c r="AV81" s="302">
        <v>0.28338981000000002</v>
      </c>
      <c r="AW81" s="302">
        <v>0.32258436000000001</v>
      </c>
      <c r="AX81" s="302">
        <v>0.22557685</v>
      </c>
      <c r="AY81" s="302">
        <v>1.5E-3</v>
      </c>
    </row>
    <row r="82" spans="1:51" x14ac:dyDescent="0.2">
      <c r="A82" s="303">
        <v>36039</v>
      </c>
      <c r="B82" s="302">
        <v>1.2269259999999999E-2</v>
      </c>
      <c r="C82" s="302">
        <v>4.670216E-2</v>
      </c>
      <c r="D82" s="302">
        <v>7.7107849999999992E-2</v>
      </c>
      <c r="E82" s="302">
        <v>3.997655E-2</v>
      </c>
      <c r="F82" s="302">
        <v>3.0371470000000001E-2</v>
      </c>
      <c r="G82" s="302">
        <v>3.4259360000000003E-2</v>
      </c>
      <c r="H82" s="302">
        <v>2.7338849999999998E-2</v>
      </c>
      <c r="I82" s="302">
        <v>1.3546590000000001E-2</v>
      </c>
      <c r="J82" s="302">
        <v>-1.694565E-2</v>
      </c>
      <c r="K82" s="302">
        <v>6.2137060000000001E-2</v>
      </c>
      <c r="L82" s="302">
        <v>-6.0079979999999998E-2</v>
      </c>
      <c r="M82" s="302">
        <v>-0.15530602999999998</v>
      </c>
      <c r="N82" s="302">
        <v>-0.23461552000000002</v>
      </c>
      <c r="O82" s="302">
        <v>-9.6506380000000003E-2</v>
      </c>
      <c r="P82" s="302">
        <v>-0.12344340000000001</v>
      </c>
      <c r="Q82" s="302">
        <v>-6.9792030000000005E-2</v>
      </c>
      <c r="R82" s="302">
        <v>-0.14130200000000001</v>
      </c>
      <c r="S82" s="302">
        <v>-4.7238920000000004E-2</v>
      </c>
      <c r="T82" s="302">
        <v>-2.560399E-2</v>
      </c>
      <c r="U82" s="302">
        <v>-0.10554748999999999</v>
      </c>
      <c r="V82" s="302">
        <v>-0.18596283</v>
      </c>
      <c r="W82" s="302">
        <v>3.7900000000000003E-2</v>
      </c>
      <c r="X82" s="302">
        <v>2.9500000000000002E-2</v>
      </c>
      <c r="Y82" s="302">
        <v>-7.0599999999999996E-2</v>
      </c>
      <c r="Z82" s="302">
        <v>-0.13396439000000002</v>
      </c>
      <c r="AA82" s="302">
        <v>6.9999999999999993E-3</v>
      </c>
      <c r="AB82" s="302">
        <v>1.21E-2</v>
      </c>
      <c r="AC82" s="302">
        <v>1.2269259999999999E-2</v>
      </c>
      <c r="AD82" s="302">
        <v>4.670216E-2</v>
      </c>
      <c r="AE82" s="302">
        <v>7.7107849999999992E-2</v>
      </c>
      <c r="AF82" s="302">
        <v>3.4259360000000003E-2</v>
      </c>
      <c r="AG82" s="302">
        <v>2.7338849999999998E-2</v>
      </c>
      <c r="AH82" s="302">
        <v>2.3371279999999998E-2</v>
      </c>
      <c r="AI82" s="302">
        <v>3.7662179999999996E-2</v>
      </c>
      <c r="AJ82" s="302">
        <v>0.11940592999999999</v>
      </c>
      <c r="AK82" s="302">
        <v>-3.997655E-2</v>
      </c>
      <c r="AL82" s="302">
        <v>-1.3546590000000001E-2</v>
      </c>
      <c r="AM82" s="302">
        <v>-9.9309170000000002E-2</v>
      </c>
      <c r="AN82" s="302">
        <v>9.947085E-2</v>
      </c>
      <c r="AO82" s="302">
        <v>0.19070609999999999</v>
      </c>
      <c r="AP82" s="302">
        <v>0.23461552000000002</v>
      </c>
      <c r="AQ82" s="302">
        <v>0.11922495</v>
      </c>
      <c r="AR82" s="302">
        <v>0.14059848999999999</v>
      </c>
      <c r="AS82" s="302">
        <v>9.3182329999999994E-2</v>
      </c>
      <c r="AT82" s="302">
        <v>0.15288307000000001</v>
      </c>
      <c r="AU82" s="302">
        <v>6.8064570000000005E-2</v>
      </c>
      <c r="AV82" s="302">
        <v>5.0105419999999998E-2</v>
      </c>
      <c r="AW82" s="302">
        <v>0.13007289</v>
      </c>
      <c r="AX82" s="302">
        <v>0.20828327999999999</v>
      </c>
      <c r="AY82" s="302">
        <v>1.2999999999999999E-3</v>
      </c>
    </row>
    <row r="83" spans="1:51" x14ac:dyDescent="0.2">
      <c r="A83" s="303">
        <v>36130</v>
      </c>
      <c r="B83" s="302">
        <v>1.219977E-2</v>
      </c>
      <c r="C83" s="302">
        <v>2.4775399999999999E-3</v>
      </c>
      <c r="D83" s="302">
        <v>-9.0185300000000003E-3</v>
      </c>
      <c r="E83" s="302">
        <v>4.0595399999999995E-3</v>
      </c>
      <c r="F83" s="302">
        <v>9.1900799999999998E-3</v>
      </c>
      <c r="G83" s="302">
        <v>1.6946740000000002E-2</v>
      </c>
      <c r="H83" s="302">
        <v>2.6601400000000001E-2</v>
      </c>
      <c r="I83" s="302">
        <v>2.2159209999999999E-2</v>
      </c>
      <c r="J83" s="302">
        <v>4.1424709999999997E-2</v>
      </c>
      <c r="K83" s="302">
        <v>-8.6750500000000008E-2</v>
      </c>
      <c r="L83" s="302">
        <v>0.21170159999999999</v>
      </c>
      <c r="M83" s="302">
        <v>0.17274525000000002</v>
      </c>
      <c r="N83" s="302">
        <v>0.16043110999999999</v>
      </c>
      <c r="O83" s="302">
        <v>0.25382790999999999</v>
      </c>
      <c r="P83" s="302">
        <v>0.20953549999999999</v>
      </c>
      <c r="Q83" s="302">
        <v>0.13879411</v>
      </c>
      <c r="R83" s="302">
        <v>0.24993323000000001</v>
      </c>
      <c r="S83" s="302">
        <v>0.15391589999999999</v>
      </c>
      <c r="T83" s="302">
        <v>0.34590511999999995</v>
      </c>
      <c r="U83" s="302">
        <v>0.33621139</v>
      </c>
      <c r="V83" s="302">
        <v>0.17864544999999998</v>
      </c>
      <c r="W83" s="302">
        <v>4.1700000000000001E-2</v>
      </c>
      <c r="X83" s="302">
        <v>6.1500000000000006E-2</v>
      </c>
      <c r="Y83" s="302">
        <v>8.6249999999999993E-2</v>
      </c>
      <c r="Z83" s="302">
        <v>-0.11320817</v>
      </c>
      <c r="AA83" s="302">
        <v>1.8799999999999997E-2</v>
      </c>
      <c r="AB83" s="302">
        <v>2.18E-2</v>
      </c>
      <c r="AC83" s="302">
        <v>1.219977E-2</v>
      </c>
      <c r="AD83" s="302">
        <v>2.4775399999999999E-3</v>
      </c>
      <c r="AE83" s="302">
        <v>-9.0185300000000003E-3</v>
      </c>
      <c r="AF83" s="302">
        <v>1.6946740000000002E-2</v>
      </c>
      <c r="AG83" s="302">
        <v>2.6601400000000001E-2</v>
      </c>
      <c r="AH83" s="302">
        <v>3.1807849999999999E-2</v>
      </c>
      <c r="AI83" s="302">
        <v>8.0905690000000002E-2</v>
      </c>
      <c r="AJ83" s="302">
        <v>-0.17145873</v>
      </c>
      <c r="AK83" s="302">
        <v>-4.0595399999999995E-3</v>
      </c>
      <c r="AL83" s="302">
        <v>-2.2159209999999999E-2</v>
      </c>
      <c r="AM83" s="302">
        <v>-0.10488309</v>
      </c>
      <c r="AN83" s="302">
        <v>-0.21296849000000001</v>
      </c>
      <c r="AO83" s="302">
        <v>-0.17397141000000002</v>
      </c>
      <c r="AP83" s="302">
        <v>-0.16043110999999999</v>
      </c>
      <c r="AQ83" s="302">
        <v>-0.25461446999999998</v>
      </c>
      <c r="AR83" s="302">
        <v>-0.20131631999999999</v>
      </c>
      <c r="AS83" s="302">
        <v>-0.13950851</v>
      </c>
      <c r="AT83" s="302">
        <v>-0.23785714999999999</v>
      </c>
      <c r="AU83" s="302">
        <v>-0.14949856</v>
      </c>
      <c r="AV83" s="302">
        <v>-0.34674944000000002</v>
      </c>
      <c r="AW83" s="302">
        <v>-0.34104407000000003</v>
      </c>
      <c r="AX83" s="302">
        <v>-0.18290825999999999</v>
      </c>
      <c r="AY83" s="302">
        <v>1.1000000000000001E-3</v>
      </c>
    </row>
    <row r="84" spans="1:51" x14ac:dyDescent="0.2">
      <c r="A84" s="303">
        <v>36220</v>
      </c>
      <c r="B84" s="302">
        <v>1.090469E-2</v>
      </c>
      <c r="C84" s="302">
        <v>-2.7484300000000001E-3</v>
      </c>
      <c r="D84" s="302">
        <v>-4.2221089999999996E-2</v>
      </c>
      <c r="E84" s="302">
        <v>7.7390000000000003E-5</v>
      </c>
      <c r="F84" s="302">
        <v>-1.9620490000000001E-2</v>
      </c>
      <c r="G84" s="302">
        <v>4.4717899999999998E-3</v>
      </c>
      <c r="H84" s="302">
        <v>4.7723000000000002E-3</v>
      </c>
      <c r="I84" s="302">
        <v>1.102702E-2</v>
      </c>
      <c r="J84" s="302">
        <v>1.16253E-2</v>
      </c>
      <c r="K84" s="302">
        <v>4.0510879999999999E-2</v>
      </c>
      <c r="L84" s="302">
        <v>3.500574E-2</v>
      </c>
      <c r="M84" s="302">
        <v>-6.0798459999999999E-2</v>
      </c>
      <c r="N84" s="302">
        <v>2.1179090000000001E-2</v>
      </c>
      <c r="O84" s="302">
        <v>0.10248129</v>
      </c>
      <c r="P84" s="302">
        <v>-5.9107839999999995E-2</v>
      </c>
      <c r="Q84" s="302">
        <v>2.954472E-2</v>
      </c>
      <c r="R84" s="302">
        <v>-7.8873540000000006E-2</v>
      </c>
      <c r="S84" s="302">
        <v>6.2673149999999997E-2</v>
      </c>
      <c r="T84" s="302">
        <v>0.10359256</v>
      </c>
      <c r="U84" s="302">
        <v>9.5040689999999997E-2</v>
      </c>
      <c r="V84" s="302">
        <v>0.10849126999999999</v>
      </c>
      <c r="W84" s="302">
        <v>2.7799999999999998E-2</v>
      </c>
      <c r="X84" s="302">
        <v>4.2900000000000001E-2</v>
      </c>
      <c r="Y84" s="302">
        <v>4.1900000000000007E-2</v>
      </c>
      <c r="Z84" s="302">
        <v>7.4650949999999994E-2</v>
      </c>
      <c r="AA84" s="302">
        <v>1.44E-2</v>
      </c>
      <c r="AB84" s="302">
        <v>1.2E-2</v>
      </c>
      <c r="AC84" s="302">
        <v>1.090469E-2</v>
      </c>
      <c r="AD84" s="302">
        <v>-2.7484300000000001E-3</v>
      </c>
      <c r="AE84" s="302">
        <v>-4.2221089999999996E-2</v>
      </c>
      <c r="AF84" s="302">
        <v>4.4717899999999998E-3</v>
      </c>
      <c r="AG84" s="302">
        <v>4.7723000000000002E-3</v>
      </c>
      <c r="AH84" s="302">
        <v>-0.13623395999999999</v>
      </c>
      <c r="AI84" s="302">
        <v>-2.362071E-2</v>
      </c>
      <c r="AJ84" s="302">
        <v>4.6383210000000001E-2</v>
      </c>
      <c r="AK84" s="302">
        <v>-7.7390000000000003E-5</v>
      </c>
      <c r="AL84" s="302">
        <v>-1.102702E-2</v>
      </c>
      <c r="AM84" s="302">
        <v>1.494115E-2</v>
      </c>
      <c r="AN84" s="302">
        <v>-4.9823880000000001E-2</v>
      </c>
      <c r="AO84" s="302">
        <v>4.7351950000000004E-2</v>
      </c>
      <c r="AP84" s="302">
        <v>-2.1179090000000001E-2</v>
      </c>
      <c r="AQ84" s="302">
        <v>-0.1119518</v>
      </c>
      <c r="AR84" s="302">
        <v>5.0072200000000004E-2</v>
      </c>
      <c r="AS84" s="302">
        <v>-3.8388699999999998E-2</v>
      </c>
      <c r="AT84" s="302">
        <v>7.1582920000000008E-2</v>
      </c>
      <c r="AU84" s="302">
        <v>-7.2451309999999991E-2</v>
      </c>
      <c r="AV84" s="302">
        <v>-0.11307262</v>
      </c>
      <c r="AW84" s="302">
        <v>-0.10400776</v>
      </c>
      <c r="AX84" s="302">
        <v>-0.11756848</v>
      </c>
      <c r="AY84" s="302">
        <v>1E-3</v>
      </c>
    </row>
    <row r="85" spans="1:51" x14ac:dyDescent="0.2">
      <c r="A85" s="303">
        <v>36312</v>
      </c>
      <c r="B85" s="302">
        <v>1.135297E-2</v>
      </c>
      <c r="C85" s="302">
        <v>-2.0003399999999998E-3</v>
      </c>
      <c r="D85" s="302">
        <v>-2.4966469999999998E-2</v>
      </c>
      <c r="E85" s="302">
        <v>-8.1341199999999999E-3</v>
      </c>
      <c r="F85" s="302">
        <v>-2.94653E-2</v>
      </c>
      <c r="G85" s="302">
        <v>-1.119034E-2</v>
      </c>
      <c r="H85" s="302">
        <v>-2.5336239999999999E-2</v>
      </c>
      <c r="I85" s="302">
        <v>-1.0680510000000001E-2</v>
      </c>
      <c r="J85" s="302">
        <v>-2.9550800000000002E-2</v>
      </c>
      <c r="K85" s="302">
        <v>-7.6237100000000006E-3</v>
      </c>
      <c r="L85" s="302">
        <v>4.5152310000000001E-2</v>
      </c>
      <c r="M85" s="302">
        <v>0.13641113000000002</v>
      </c>
      <c r="N85" s="302">
        <v>6.6500649999999994E-2</v>
      </c>
      <c r="O85" s="302">
        <v>6.9757849999999996E-2</v>
      </c>
      <c r="P85" s="302">
        <v>-5.2253300000000003E-3</v>
      </c>
      <c r="Q85" s="302">
        <v>-3.743494E-2</v>
      </c>
      <c r="R85" s="302">
        <v>-8.7689229999999993E-2</v>
      </c>
      <c r="S85" s="302">
        <v>4.1354490000000001E-2</v>
      </c>
      <c r="T85" s="302">
        <v>0.31551466</v>
      </c>
      <c r="U85" s="302">
        <v>0.36601554999999997</v>
      </c>
      <c r="V85" s="302">
        <v>0.21453992</v>
      </c>
      <c r="W85" s="302">
        <v>2.7999999999999997E-2</v>
      </c>
      <c r="X85" s="302">
        <v>2.4199999999999999E-2</v>
      </c>
      <c r="Y85" s="302">
        <v>9.4299999999999995E-2</v>
      </c>
      <c r="Z85" s="302">
        <v>0.19866576</v>
      </c>
      <c r="AA85" s="302">
        <v>5.9999999999999995E-4</v>
      </c>
      <c r="AB85" s="302">
        <v>1.41E-2</v>
      </c>
      <c r="AC85" s="302">
        <v>1.135297E-2</v>
      </c>
      <c r="AD85" s="302">
        <v>-2.0003399999999998E-3</v>
      </c>
      <c r="AE85" s="302">
        <v>-2.4966469999999998E-2</v>
      </c>
      <c r="AF85" s="302">
        <v>-1.119034E-2</v>
      </c>
      <c r="AG85" s="302">
        <v>-2.5336239999999999E-2</v>
      </c>
      <c r="AH85" s="302">
        <v>-0.12245716</v>
      </c>
      <c r="AI85" s="302">
        <v>7.3134600000000008E-3</v>
      </c>
      <c r="AJ85" s="302">
        <v>-2.2488329999999997E-2</v>
      </c>
      <c r="AK85" s="302">
        <v>8.1341199999999999E-3</v>
      </c>
      <c r="AL85" s="302">
        <v>1.0680510000000001E-2</v>
      </c>
      <c r="AM85" s="302">
        <v>3.7417720000000002E-2</v>
      </c>
      <c r="AN85" s="302">
        <v>-7.0482889999999992E-2</v>
      </c>
      <c r="AO85" s="302">
        <v>-0.16395347999999998</v>
      </c>
      <c r="AP85" s="302">
        <v>-6.6500649999999994E-2</v>
      </c>
      <c r="AQ85" s="302">
        <v>-8.5314000000000001E-2</v>
      </c>
      <c r="AR85" s="302">
        <v>-7.1286600000000002E-3</v>
      </c>
      <c r="AS85" s="302">
        <v>2.343756E-2</v>
      </c>
      <c r="AT85" s="302">
        <v>7.2861229999999999E-2</v>
      </c>
      <c r="AU85" s="302">
        <v>-5.5158539999999999E-2</v>
      </c>
      <c r="AV85" s="302">
        <v>-0.33464454999999999</v>
      </c>
      <c r="AW85" s="302">
        <v>-0.38702551999999996</v>
      </c>
      <c r="AX85" s="302">
        <v>-0.23322012999999997</v>
      </c>
      <c r="AY85" s="302">
        <v>1E-3</v>
      </c>
    </row>
    <row r="86" spans="1:51" x14ac:dyDescent="0.2">
      <c r="A86" s="303">
        <v>36404</v>
      </c>
      <c r="B86" s="302">
        <v>1.146699E-2</v>
      </c>
      <c r="C86" s="302">
        <v>1.0133270000000002E-2</v>
      </c>
      <c r="D86" s="302">
        <v>-1.9875299999999999E-3</v>
      </c>
      <c r="E86" s="302">
        <v>7.0207699999999991E-3</v>
      </c>
      <c r="F86" s="302">
        <v>-5.0943300000000002E-3</v>
      </c>
      <c r="G86" s="302">
        <v>-5.0958000000000004E-4</v>
      </c>
      <c r="H86" s="302">
        <v>-1.4750129999999998E-2</v>
      </c>
      <c r="I86" s="302">
        <v>3.18951E-3</v>
      </c>
      <c r="J86" s="302">
        <v>-1.2868649999999999E-2</v>
      </c>
      <c r="K86" s="302">
        <v>2.3481660000000001E-2</v>
      </c>
      <c r="L86" s="302">
        <v>-6.5626699999999996E-2</v>
      </c>
      <c r="M86" s="302">
        <v>-6.7638730000000008E-2</v>
      </c>
      <c r="N86" s="302">
        <v>-3.5796000000000001E-3</v>
      </c>
      <c r="O86" s="302">
        <v>0.21248940000000002</v>
      </c>
      <c r="P86" s="302">
        <v>1.0669649999999999E-2</v>
      </c>
      <c r="Q86" s="302">
        <v>-8.9209300000000005E-3</v>
      </c>
      <c r="R86" s="302">
        <v>2.9512969999999999E-2</v>
      </c>
      <c r="S86" s="302">
        <v>-5.7984530000000006E-2</v>
      </c>
      <c r="T86" s="302">
        <v>-3.6539519999999999E-2</v>
      </c>
      <c r="U86" s="302">
        <v>-7.9904890000000006E-2</v>
      </c>
      <c r="V86" s="302">
        <v>-5.4756890000000003E-2</v>
      </c>
      <c r="W86" s="302">
        <v>3.1699999999999999E-2</v>
      </c>
      <c r="X86" s="302">
        <v>2.0899999999999998E-2</v>
      </c>
      <c r="Y86" s="302">
        <v>3.2250000000000001E-2</v>
      </c>
      <c r="Z86" s="302">
        <v>5.2029310000000002E-2</v>
      </c>
      <c r="AA86" s="302">
        <v>2.46E-2</v>
      </c>
      <c r="AB86" s="302">
        <v>7.9000000000000008E-3</v>
      </c>
      <c r="AC86" s="302">
        <v>1.146699E-2</v>
      </c>
      <c r="AD86" s="302">
        <v>1.0133270000000002E-2</v>
      </c>
      <c r="AE86" s="302">
        <v>-1.9875299999999999E-3</v>
      </c>
      <c r="AF86" s="302">
        <v>-5.0958000000000004E-4</v>
      </c>
      <c r="AG86" s="302">
        <v>-1.4750129999999998E-2</v>
      </c>
      <c r="AH86" s="302">
        <v>-7.4008859999999996E-2</v>
      </c>
      <c r="AI86" s="302">
        <v>-9.2697360000000006E-2</v>
      </c>
      <c r="AJ86" s="302">
        <v>4.6011369999999996E-2</v>
      </c>
      <c r="AK86" s="302">
        <v>-7.0207699999999991E-3</v>
      </c>
      <c r="AL86" s="302">
        <v>-3.18951E-3</v>
      </c>
      <c r="AM86" s="302">
        <v>-0.16020793</v>
      </c>
      <c r="AN86" s="302">
        <v>6.2444230000000003E-2</v>
      </c>
      <c r="AO86" s="302">
        <v>6.446310999999999E-2</v>
      </c>
      <c r="AP86" s="302">
        <v>3.5796000000000001E-3</v>
      </c>
      <c r="AQ86" s="302">
        <v>-0.21496724</v>
      </c>
      <c r="AR86" s="302">
        <v>-1.65778E-2</v>
      </c>
      <c r="AS86" s="302">
        <v>6.8955599999999994E-3</v>
      </c>
      <c r="AT86" s="302">
        <v>-3.6190769999999997E-2</v>
      </c>
      <c r="AU86" s="302">
        <v>5.3907489999999995E-2</v>
      </c>
      <c r="AV86" s="302">
        <v>3.45706E-2</v>
      </c>
      <c r="AW86" s="302">
        <v>7.9415799999999995E-2</v>
      </c>
      <c r="AX86" s="302">
        <v>5.4254429999999992E-2</v>
      </c>
      <c r="AY86" s="302">
        <v>1E-3</v>
      </c>
    </row>
    <row r="87" spans="1:51" x14ac:dyDescent="0.2">
      <c r="A87" s="303">
        <v>36495</v>
      </c>
      <c r="B87" s="302">
        <v>1.135218E-2</v>
      </c>
      <c r="C87" s="302">
        <v>-4.7405E-4</v>
      </c>
      <c r="D87" s="302">
        <v>-2.0702519999999999E-2</v>
      </c>
      <c r="E87" s="302">
        <v>2.7016600000000003E-3</v>
      </c>
      <c r="F87" s="302">
        <v>-4.7251100000000002E-3</v>
      </c>
      <c r="G87" s="302">
        <v>-1.4773039999999999E-2</v>
      </c>
      <c r="H87" s="302">
        <v>-2.8082919999999997E-2</v>
      </c>
      <c r="I87" s="302">
        <v>-9.0685899999999996E-3</v>
      </c>
      <c r="J87" s="302">
        <v>-1.6970320000000001E-2</v>
      </c>
      <c r="K87" s="302">
        <v>2.5964199999999999E-3</v>
      </c>
      <c r="L87" s="302">
        <v>0.13016633999999999</v>
      </c>
      <c r="M87" s="302">
        <v>0.17733668999999999</v>
      </c>
      <c r="N87" s="302">
        <v>0.21374356999999999</v>
      </c>
      <c r="O87" s="302">
        <v>0.17079937999999997</v>
      </c>
      <c r="P87" s="302">
        <v>0.22120609000000002</v>
      </c>
      <c r="Q87" s="302">
        <v>8.5674709999999987E-2</v>
      </c>
      <c r="R87" s="302">
        <v>2.0145369999999999E-2</v>
      </c>
      <c r="S87" s="302">
        <v>7.5591459999999999E-2</v>
      </c>
      <c r="T87" s="302">
        <v>0.24996125999999999</v>
      </c>
      <c r="U87" s="302">
        <v>0.16164978999999999</v>
      </c>
      <c r="V87" s="302">
        <v>0.23406478</v>
      </c>
      <c r="W87" s="302">
        <v>2.9500000000000002E-2</v>
      </c>
      <c r="X87" s="302">
        <v>2.06E-2</v>
      </c>
      <c r="Y87" s="302">
        <v>0.14130000000000001</v>
      </c>
      <c r="Z87" s="302">
        <v>-6.0963989999999996E-2</v>
      </c>
      <c r="AA87" s="302">
        <v>6.6600000000000006E-2</v>
      </c>
      <c r="AB87" s="302">
        <v>3.39E-2</v>
      </c>
      <c r="AC87" s="302">
        <v>1.135218E-2</v>
      </c>
      <c r="AD87" s="302">
        <v>-4.7405E-4</v>
      </c>
      <c r="AE87" s="302">
        <v>-2.0702519999999999E-2</v>
      </c>
      <c r="AF87" s="302">
        <v>-1.4773039999999999E-2</v>
      </c>
      <c r="AG87" s="302">
        <v>-2.8082919999999997E-2</v>
      </c>
      <c r="AH87" s="302">
        <v>-8.6907399999999996E-2</v>
      </c>
      <c r="AI87" s="302">
        <v>-0.14450421999999999</v>
      </c>
      <c r="AJ87" s="302">
        <v>2.5804919999999999E-2</v>
      </c>
      <c r="AK87" s="302">
        <v>-2.7016600000000003E-3</v>
      </c>
      <c r="AL87" s="302">
        <v>9.0685899999999996E-3</v>
      </c>
      <c r="AM87" s="302">
        <v>-3.7737400000000004E-2</v>
      </c>
      <c r="AN87" s="302">
        <v>-0.14879116000000001</v>
      </c>
      <c r="AO87" s="302">
        <v>-0.19673885999999999</v>
      </c>
      <c r="AP87" s="302">
        <v>-0.21374356999999999</v>
      </c>
      <c r="AQ87" s="302">
        <v>-0.18237604000000002</v>
      </c>
      <c r="AR87" s="302">
        <v>-0.22850175</v>
      </c>
      <c r="AS87" s="302">
        <v>-9.6409680000000011E-2</v>
      </c>
      <c r="AT87" s="302">
        <v>-2.8207200000000002E-2</v>
      </c>
      <c r="AU87" s="302">
        <v>-8.3684519999999998E-2</v>
      </c>
      <c r="AV87" s="302">
        <v>-0.26232065999999998</v>
      </c>
      <c r="AW87" s="302">
        <v>-0.17494372</v>
      </c>
      <c r="AX87" s="302">
        <v>-0.24818741999999999</v>
      </c>
      <c r="AY87" s="302">
        <v>1E-3</v>
      </c>
    </row>
    <row r="88" spans="1:51" x14ac:dyDescent="0.2">
      <c r="A88" s="303">
        <v>36586</v>
      </c>
      <c r="B88" s="302">
        <v>1.126604E-2</v>
      </c>
      <c r="C88" s="302">
        <v>1.636694E-2</v>
      </c>
      <c r="D88" s="302">
        <v>7.7163380000000004E-2</v>
      </c>
      <c r="E88" s="302">
        <v>1.2390179999999999E-2</v>
      </c>
      <c r="F88" s="302">
        <v>1.8554930000000001E-2</v>
      </c>
      <c r="G88" s="302">
        <v>3.0371169999999999E-2</v>
      </c>
      <c r="H88" s="302">
        <v>6.3009339999999997E-2</v>
      </c>
      <c r="I88" s="302">
        <v>2.9956809999999997E-2</v>
      </c>
      <c r="J88" s="302">
        <v>4.9553140000000002E-2</v>
      </c>
      <c r="K88" s="302">
        <v>-3.7668300000000001E-3</v>
      </c>
      <c r="L88" s="302">
        <v>2.6687989999999998E-2</v>
      </c>
      <c r="M88" s="302">
        <v>0.10502138999999999</v>
      </c>
      <c r="N88" s="302">
        <v>0.12792851999999999</v>
      </c>
      <c r="O88" s="302">
        <v>-1.07826E-2</v>
      </c>
      <c r="P88" s="302">
        <v>3.1035979999999998E-2</v>
      </c>
      <c r="Q88" s="302">
        <v>-5.6396800000000004E-2</v>
      </c>
      <c r="R88" s="302">
        <v>-5.787668E-2</v>
      </c>
      <c r="S88" s="302">
        <v>-6.4638580000000001E-2</v>
      </c>
      <c r="T88" s="302">
        <v>-9.300398E-2</v>
      </c>
      <c r="U88" s="302">
        <v>4.7640870000000002E-2</v>
      </c>
      <c r="V88" s="302">
        <v>2.7978160000000002E-2</v>
      </c>
      <c r="W88" s="302">
        <v>2.6600000000000002E-2</v>
      </c>
      <c r="X88" s="302">
        <v>2.6678E-2</v>
      </c>
      <c r="Y88" s="302">
        <v>0.12869999999999998</v>
      </c>
      <c r="Z88" s="302">
        <v>6.225485E-2</v>
      </c>
      <c r="AA88" s="302">
        <v>1.6399999999999998E-2</v>
      </c>
      <c r="AB88" s="302">
        <v>1.0700000000000001E-2</v>
      </c>
      <c r="AC88" s="302">
        <v>1.126604E-2</v>
      </c>
      <c r="AD88" s="302">
        <v>1.636694E-2</v>
      </c>
      <c r="AE88" s="302">
        <v>7.7163380000000004E-2</v>
      </c>
      <c r="AF88" s="302">
        <v>3.0371169999999999E-2</v>
      </c>
      <c r="AG88" s="302">
        <v>6.3009339999999997E-2</v>
      </c>
      <c r="AH88" s="302">
        <v>9.1457029999999995E-2</v>
      </c>
      <c r="AI88" s="302">
        <v>0.23395949999999999</v>
      </c>
      <c r="AJ88" s="302">
        <v>2.0472929999999997E-2</v>
      </c>
      <c r="AK88" s="302">
        <v>-1.2390179999999999E-2</v>
      </c>
      <c r="AL88" s="302">
        <v>-2.9956809999999997E-2</v>
      </c>
      <c r="AM88" s="302">
        <v>5.6696000000000003E-3</v>
      </c>
      <c r="AN88" s="302">
        <v>-2.293398E-2</v>
      </c>
      <c r="AO88" s="302">
        <v>-0.10098095000000001</v>
      </c>
      <c r="AP88" s="302">
        <v>-0.12792851999999999</v>
      </c>
      <c r="AQ88" s="302">
        <v>1.2952809999999999E-2</v>
      </c>
      <c r="AR88" s="302">
        <v>-3.2193869999999999E-2</v>
      </c>
      <c r="AS88" s="302">
        <v>5.846693E-2</v>
      </c>
      <c r="AT88" s="302">
        <v>6.3124550000000001E-2</v>
      </c>
      <c r="AU88" s="302">
        <v>6.4831860000000005E-2</v>
      </c>
      <c r="AV88" s="302">
        <v>9.4993800000000003E-2</v>
      </c>
      <c r="AW88" s="302">
        <v>-4.3954090000000001E-2</v>
      </c>
      <c r="AX88" s="302">
        <v>-2.4360569999999998E-2</v>
      </c>
      <c r="AY88" s="302">
        <v>8.9999999999999998E-4</v>
      </c>
    </row>
    <row r="89" spans="1:51" x14ac:dyDescent="0.2">
      <c r="A89" s="303">
        <v>36678</v>
      </c>
      <c r="B89" s="302">
        <v>1.2426090000000001E-2</v>
      </c>
      <c r="C89" s="302">
        <v>1.818695E-2</v>
      </c>
      <c r="D89" s="302">
        <v>9.8037100000000002E-3</v>
      </c>
      <c r="E89" s="302">
        <v>1.4489799999999999E-2</v>
      </c>
      <c r="F89" s="302">
        <v>7.6321899999999996E-3</v>
      </c>
      <c r="G89" s="302">
        <v>1.9382179999999999E-2</v>
      </c>
      <c r="H89" s="302">
        <v>1.8775219999999999E-2</v>
      </c>
      <c r="I89" s="302">
        <v>1.6224309999999999E-2</v>
      </c>
      <c r="J89" s="302">
        <v>3.2681400000000001E-3</v>
      </c>
      <c r="K89" s="302">
        <v>1.12487E-2</v>
      </c>
      <c r="L89" s="302">
        <v>-6.4178400000000002E-3</v>
      </c>
      <c r="M89" s="302">
        <v>-2.013328E-2</v>
      </c>
      <c r="N89" s="302">
        <v>8.0625660000000002E-2</v>
      </c>
      <c r="O89" s="302">
        <v>-7.4700160000000002E-2</v>
      </c>
      <c r="P89" s="302">
        <v>1.09745E-3</v>
      </c>
      <c r="Q89" s="302">
        <v>-4.1593349999999994E-2</v>
      </c>
      <c r="R89" s="302">
        <v>8.1055390000000005E-2</v>
      </c>
      <c r="S89" s="302">
        <v>9.9289520000000006E-2</v>
      </c>
      <c r="T89" s="302">
        <v>-6.1834480000000004E-2</v>
      </c>
      <c r="U89" s="302">
        <v>-0.11740428</v>
      </c>
      <c r="V89" s="302">
        <v>-8.3055109999999988E-2</v>
      </c>
      <c r="W89" s="302">
        <v>3.4799999999999998E-2</v>
      </c>
      <c r="X89" s="302">
        <v>2.1851799999999998E-2</v>
      </c>
      <c r="Y89" s="302">
        <v>-3.7000000000000002E-3</v>
      </c>
      <c r="Z89" s="302">
        <v>0.20575188</v>
      </c>
      <c r="AA89" s="302">
        <v>6.9999999999999993E-3</v>
      </c>
      <c r="AB89" s="302">
        <v>1.3300000000000001E-2</v>
      </c>
      <c r="AC89" s="302">
        <v>1.2426090000000001E-2</v>
      </c>
      <c r="AD89" s="302">
        <v>1.818695E-2</v>
      </c>
      <c r="AE89" s="302">
        <v>9.8037100000000002E-3</v>
      </c>
      <c r="AF89" s="302">
        <v>1.9382179999999999E-2</v>
      </c>
      <c r="AG89" s="302">
        <v>1.8775219999999999E-2</v>
      </c>
      <c r="AH89" s="302">
        <v>-1.503118E-2</v>
      </c>
      <c r="AI89" s="302">
        <v>-4.050463E-2</v>
      </c>
      <c r="AJ89" s="302">
        <v>1.42597E-2</v>
      </c>
      <c r="AK89" s="302">
        <v>-1.4489799999999999E-2</v>
      </c>
      <c r="AL89" s="302">
        <v>-1.6224309999999999E-2</v>
      </c>
      <c r="AM89" s="302">
        <v>1.164253E-2</v>
      </c>
      <c r="AN89" s="302">
        <v>2.6564819999999999E-2</v>
      </c>
      <c r="AO89" s="302">
        <v>4.000215E-2</v>
      </c>
      <c r="AP89" s="302">
        <v>-8.0625660000000002E-2</v>
      </c>
      <c r="AQ89" s="302">
        <v>8.595760999999999E-2</v>
      </c>
      <c r="AR89" s="302">
        <v>1.0983659999999999E-2</v>
      </c>
      <c r="AS89" s="302">
        <v>5.3253589999999996E-2</v>
      </c>
      <c r="AT89" s="302">
        <v>-6.5295069999999997E-2</v>
      </c>
      <c r="AU89" s="302">
        <v>-8.5979639999999996E-2</v>
      </c>
      <c r="AV89" s="302">
        <v>7.3248460000000001E-2</v>
      </c>
      <c r="AW89" s="302">
        <v>0.12817734</v>
      </c>
      <c r="AX89" s="302">
        <v>9.4247449999999997E-2</v>
      </c>
      <c r="AY89" s="302">
        <v>8.0000000000000004E-4</v>
      </c>
    </row>
    <row r="90" spans="1:51" x14ac:dyDescent="0.2">
      <c r="A90" s="303">
        <v>36770</v>
      </c>
      <c r="B90" s="302">
        <v>1.3521380000000001E-2</v>
      </c>
      <c r="C90" s="302">
        <v>2.681447E-2</v>
      </c>
      <c r="D90" s="302">
        <v>2.9378620000000001E-2</v>
      </c>
      <c r="E90" s="302">
        <v>3.2072660000000003E-2</v>
      </c>
      <c r="F90" s="302">
        <v>2.7072310000000002E-2</v>
      </c>
      <c r="G90" s="302">
        <v>2.2497509999999998E-2</v>
      </c>
      <c r="H90" s="302">
        <v>1.5280759999999999E-2</v>
      </c>
      <c r="I90" s="302">
        <v>2.6008440000000001E-2</v>
      </c>
      <c r="J90" s="302">
        <v>2.6316480000000003E-2</v>
      </c>
      <c r="K90" s="302">
        <v>-1.4488699999999999E-3</v>
      </c>
      <c r="L90" s="302">
        <v>5.8425000000000005E-3</v>
      </c>
      <c r="M90" s="302">
        <v>4.0076189999999998E-2</v>
      </c>
      <c r="N90" s="302">
        <v>2.0457580000000003E-2</v>
      </c>
      <c r="O90" s="302">
        <v>-7.7954919999999997E-2</v>
      </c>
      <c r="P90" s="302">
        <v>-8.8702169999999997E-2</v>
      </c>
      <c r="Q90" s="302">
        <v>3.2731000000000004E-4</v>
      </c>
      <c r="R90" s="302">
        <v>-5.7894170000000002E-2</v>
      </c>
      <c r="S90" s="302">
        <v>-7.6498389999999999E-2</v>
      </c>
      <c r="T90" s="302">
        <v>-2.0418800000000001E-2</v>
      </c>
      <c r="U90" s="302">
        <v>-0.20905213</v>
      </c>
      <c r="V90" s="302">
        <v>-0.11635579</v>
      </c>
      <c r="W90" s="302">
        <v>3.3099999999999997E-2</v>
      </c>
      <c r="X90" s="302">
        <v>2.62019E-2</v>
      </c>
      <c r="Y90" s="302">
        <v>-1.1650000000000001E-2</v>
      </c>
      <c r="Z90" s="302">
        <v>7.4277129999999997E-2</v>
      </c>
      <c r="AA90" s="302">
        <v>2.4700000000000003E-2</v>
      </c>
      <c r="AB90" s="302">
        <v>1.55E-2</v>
      </c>
      <c r="AC90" s="302">
        <v>1.3521380000000001E-2</v>
      </c>
      <c r="AD90" s="302">
        <v>2.681447E-2</v>
      </c>
      <c r="AE90" s="302">
        <v>2.9378620000000001E-2</v>
      </c>
      <c r="AF90" s="302">
        <v>2.2497509999999998E-2</v>
      </c>
      <c r="AG90" s="302">
        <v>1.5280759999999999E-2</v>
      </c>
      <c r="AH90" s="302">
        <v>5.2419250000000001E-2</v>
      </c>
      <c r="AI90" s="302">
        <v>2.9151199999999998E-3</v>
      </c>
      <c r="AJ90" s="302">
        <v>-2.9352390000000003E-2</v>
      </c>
      <c r="AK90" s="302">
        <v>-3.2072660000000003E-2</v>
      </c>
      <c r="AL90" s="302">
        <v>-2.6008440000000001E-2</v>
      </c>
      <c r="AM90" s="302">
        <v>1.6242360000000001E-2</v>
      </c>
      <c r="AN90" s="302">
        <v>9.6865800000000002E-3</v>
      </c>
      <c r="AO90" s="302">
        <v>-2.4018579999999998E-2</v>
      </c>
      <c r="AP90" s="302">
        <v>-2.0457580000000003E-2</v>
      </c>
      <c r="AQ90" s="302">
        <v>8.6496119999999996E-2</v>
      </c>
      <c r="AR90" s="302">
        <v>9.694309000000001E-2</v>
      </c>
      <c r="AS90" s="302">
        <v>8.9390499999999987E-3</v>
      </c>
      <c r="AT90" s="302">
        <v>6.1494390000000003E-2</v>
      </c>
      <c r="AU90" s="302">
        <v>8.4931800000000002E-2</v>
      </c>
      <c r="AV90" s="302">
        <v>2.9492980000000002E-2</v>
      </c>
      <c r="AW90" s="302">
        <v>0.21644926</v>
      </c>
      <c r="AX90" s="302">
        <v>0.12461983</v>
      </c>
      <c r="AY90" s="302">
        <v>1.1000000000000001E-3</v>
      </c>
    </row>
    <row r="91" spans="1:51" x14ac:dyDescent="0.2">
      <c r="A91" s="303">
        <v>36861</v>
      </c>
      <c r="B91" s="302">
        <v>1.346729E-2</v>
      </c>
      <c r="C91" s="302">
        <v>3.9659149999999997E-2</v>
      </c>
      <c r="D91" s="302">
        <v>7.4293739999999997E-2</v>
      </c>
      <c r="E91" s="302">
        <v>3.26795E-2</v>
      </c>
      <c r="F91" s="302">
        <v>3.60392E-2</v>
      </c>
      <c r="G91" s="302">
        <v>3.5999959999999998E-2</v>
      </c>
      <c r="H91" s="302">
        <v>3.4074380000000001E-2</v>
      </c>
      <c r="I91" s="302">
        <v>2.3548469999999998E-2</v>
      </c>
      <c r="J91" s="302">
        <v>1.1718820000000001E-2</v>
      </c>
      <c r="K91" s="302">
        <v>2.260707E-2</v>
      </c>
      <c r="L91" s="302">
        <v>-8.0637039999999993E-2</v>
      </c>
      <c r="M91" s="302">
        <v>-3.9137089999999999E-2</v>
      </c>
      <c r="N91" s="302">
        <v>-0.13644951999999999</v>
      </c>
      <c r="O91" s="302">
        <v>-0.17595051</v>
      </c>
      <c r="P91" s="302">
        <v>2.8462999999999996E-4</v>
      </c>
      <c r="Q91" s="302">
        <v>1.2259279999999999E-2</v>
      </c>
      <c r="R91" s="302">
        <v>0.14737406</v>
      </c>
      <c r="S91" s="302">
        <v>-9.1173899999999995E-3</v>
      </c>
      <c r="T91" s="302">
        <v>-1.299002E-2</v>
      </c>
      <c r="U91" s="302">
        <v>-0.17393452000000001</v>
      </c>
      <c r="V91" s="302">
        <v>-0.13541244999999999</v>
      </c>
      <c r="W91" s="302">
        <v>3.9699999999999999E-2</v>
      </c>
      <c r="X91" s="302">
        <v>4.6293300000000003E-2</v>
      </c>
      <c r="Y91" s="302">
        <v>-6.8750000000000006E-2</v>
      </c>
      <c r="Z91" s="302">
        <v>6.9977360000000002E-2</v>
      </c>
      <c r="AA91" s="302">
        <v>-4.5000000000000005E-3</v>
      </c>
      <c r="AB91" s="302">
        <v>2.87E-2</v>
      </c>
      <c r="AC91" s="302">
        <v>1.346729E-2</v>
      </c>
      <c r="AD91" s="302">
        <v>3.9659149999999997E-2</v>
      </c>
      <c r="AE91" s="302">
        <v>7.4293739999999997E-2</v>
      </c>
      <c r="AF91" s="302">
        <v>3.5999959999999998E-2</v>
      </c>
      <c r="AG91" s="302">
        <v>3.4074380000000001E-2</v>
      </c>
      <c r="AH91" s="302">
        <v>0.1863194</v>
      </c>
      <c r="AI91" s="302">
        <v>6.1320400000000001E-3</v>
      </c>
      <c r="AJ91" s="302">
        <v>3.9061600000000002E-2</v>
      </c>
      <c r="AK91" s="302">
        <v>-3.26795E-2</v>
      </c>
      <c r="AL91" s="302">
        <v>-2.3548469999999998E-2</v>
      </c>
      <c r="AM91" s="302">
        <v>3.304257E-2</v>
      </c>
      <c r="AN91" s="302">
        <v>7.824478E-2</v>
      </c>
      <c r="AO91" s="302">
        <v>3.6636849999999999E-2</v>
      </c>
      <c r="AP91" s="302">
        <v>0.13644951999999999</v>
      </c>
      <c r="AQ91" s="302">
        <v>0.17466396000000001</v>
      </c>
      <c r="AR91" s="302">
        <v>-9.7592999999999996E-4</v>
      </c>
      <c r="AS91" s="302">
        <v>-1.383967E-2</v>
      </c>
      <c r="AT91" s="302">
        <v>-0.15354829</v>
      </c>
      <c r="AU91" s="302">
        <v>8.08825E-3</v>
      </c>
      <c r="AV91" s="302">
        <v>1.1449050000000001E-2</v>
      </c>
      <c r="AW91" s="302">
        <v>0.17235750999999999</v>
      </c>
      <c r="AX91" s="302">
        <v>0.13376188999999999</v>
      </c>
      <c r="AY91" s="302">
        <v>1.5E-3</v>
      </c>
    </row>
    <row r="92" spans="1:51" x14ac:dyDescent="0.2">
      <c r="A92" s="303">
        <v>36951</v>
      </c>
      <c r="B92" s="302">
        <v>1.331325E-2</v>
      </c>
      <c r="C92" s="302">
        <v>3.0019830000000001E-2</v>
      </c>
      <c r="D92" s="302">
        <v>1.392439E-2</v>
      </c>
      <c r="E92" s="302">
        <v>3.9708839999999995E-2</v>
      </c>
      <c r="F92" s="302">
        <v>5.017361E-2</v>
      </c>
      <c r="G92" s="302">
        <v>1.8017249999999999E-2</v>
      </c>
      <c r="H92" s="302">
        <v>8.1686999999999992E-4</v>
      </c>
      <c r="I92" s="302">
        <v>2.689826E-2</v>
      </c>
      <c r="J92" s="302">
        <v>1.8211770000000002E-2</v>
      </c>
      <c r="K92" s="302">
        <v>4.0232509999999999E-2</v>
      </c>
      <c r="L92" s="302">
        <v>-7.3093919999999993E-2</v>
      </c>
      <c r="M92" s="302">
        <v>-3.955703E-2</v>
      </c>
      <c r="N92" s="302">
        <v>-0.14530620999999999</v>
      </c>
      <c r="O92" s="302">
        <v>-4.787127E-2</v>
      </c>
      <c r="P92" s="302">
        <v>-0.1273735</v>
      </c>
      <c r="Q92" s="302">
        <v>-8.119773999999999E-2</v>
      </c>
      <c r="R92" s="302">
        <v>-0.13481560000000001</v>
      </c>
      <c r="S92" s="302">
        <v>-6.6999299999999998E-2</v>
      </c>
      <c r="T92" s="302">
        <v>-0.10370896</v>
      </c>
      <c r="U92" s="302">
        <v>5.5303250000000005E-2</v>
      </c>
      <c r="V92" s="302">
        <v>-5.6089299999999998E-3</v>
      </c>
      <c r="W92" s="302">
        <v>2.35E-2</v>
      </c>
      <c r="X92" s="302">
        <v>2.3227899999999999E-2</v>
      </c>
      <c r="Y92" s="302">
        <v>-3.73E-2</v>
      </c>
      <c r="Z92" s="302">
        <v>1.70499E-2</v>
      </c>
      <c r="AA92" s="302">
        <v>4.8999999999999998E-3</v>
      </c>
      <c r="AB92" s="302">
        <v>6.8000000000000005E-3</v>
      </c>
      <c r="AC92" s="302">
        <v>1.331325E-2</v>
      </c>
      <c r="AD92" s="302">
        <v>3.0019830000000001E-2</v>
      </c>
      <c r="AE92" s="302">
        <v>1.392439E-2</v>
      </c>
      <c r="AF92" s="302">
        <v>1.8017249999999999E-2</v>
      </c>
      <c r="AG92" s="302">
        <v>8.1686999999999992E-4</v>
      </c>
      <c r="AH92" s="302">
        <v>-3.2380590000000001E-2</v>
      </c>
      <c r="AI92" s="302">
        <v>-7.5277490000000002E-2</v>
      </c>
      <c r="AJ92" s="302">
        <v>6.4953849999999994E-2</v>
      </c>
      <c r="AK92" s="302">
        <v>-3.9708839999999995E-2</v>
      </c>
      <c r="AL92" s="302">
        <v>-2.689826E-2</v>
      </c>
      <c r="AM92" s="302">
        <v>3.3742729999999999E-2</v>
      </c>
      <c r="AN92" s="302">
        <v>0.11855413000000001</v>
      </c>
      <c r="AO92" s="302">
        <v>8.6662060000000013E-2</v>
      </c>
      <c r="AP92" s="302">
        <v>0.14530620999999999</v>
      </c>
      <c r="AQ92" s="302">
        <v>7.588963E-2</v>
      </c>
      <c r="AR92" s="302">
        <v>0.15043551999999999</v>
      </c>
      <c r="AS92" s="302">
        <v>0.10823539</v>
      </c>
      <c r="AT92" s="302">
        <v>0.17013011</v>
      </c>
      <c r="AU92" s="302">
        <v>9.2809989999999995E-2</v>
      </c>
      <c r="AV92" s="302">
        <v>0.13008417999999999</v>
      </c>
      <c r="AW92" s="302">
        <v>-2.2948569999999998E-2</v>
      </c>
      <c r="AX92" s="302">
        <v>3.6096099999999999E-2</v>
      </c>
      <c r="AY92" s="302">
        <v>1.4000000000000002E-3</v>
      </c>
    </row>
    <row r="93" spans="1:51" x14ac:dyDescent="0.2">
      <c r="A93" s="303">
        <v>37043</v>
      </c>
      <c r="B93" s="302">
        <v>1.155627E-2</v>
      </c>
      <c r="C93" s="302">
        <v>4.1580000000000002E-3</v>
      </c>
      <c r="D93" s="302">
        <v>-1.7534790000000001E-2</v>
      </c>
      <c r="E93" s="302">
        <v>1.0122880000000001E-2</v>
      </c>
      <c r="F93" s="302">
        <v>1.221214E-2</v>
      </c>
      <c r="G93" s="302">
        <v>-1.410516E-2</v>
      </c>
      <c r="H93" s="302">
        <v>-1.9824580000000001E-2</v>
      </c>
      <c r="I93" s="302">
        <v>-6.1743499999999995E-3</v>
      </c>
      <c r="J93" s="302">
        <v>-5.2031500000000001E-3</v>
      </c>
      <c r="K93" s="302">
        <v>1.4432169999999999E-2</v>
      </c>
      <c r="L93" s="302">
        <v>1.7220899999999997E-2</v>
      </c>
      <c r="M93" s="302">
        <v>9.2600429999999997E-2</v>
      </c>
      <c r="N93" s="302">
        <v>2.0946360000000001E-2</v>
      </c>
      <c r="O93" s="302">
        <v>-9.0816000000000004E-3</v>
      </c>
      <c r="P93" s="302">
        <v>-5.615697E-2</v>
      </c>
      <c r="Q93" s="302">
        <v>-3.6389450000000004E-2</v>
      </c>
      <c r="R93" s="302">
        <v>-6.2323409999999996E-2</v>
      </c>
      <c r="S93" s="302">
        <v>0.11969908</v>
      </c>
      <c r="T93" s="302">
        <v>-5.2752840000000002E-2</v>
      </c>
      <c r="U93" s="302">
        <v>-4.894801E-2</v>
      </c>
      <c r="V93" s="302">
        <v>-4.4637000000000002E-4</v>
      </c>
      <c r="W93" s="302">
        <v>2.3199999999999998E-2</v>
      </c>
      <c r="X93" s="302">
        <v>2.2113299999999999E-2</v>
      </c>
      <c r="Y93" s="302">
        <v>1.915E-2</v>
      </c>
      <c r="Z93" s="302">
        <v>3.8480900000000002E-3</v>
      </c>
      <c r="AA93" s="302">
        <v>5.0000000000000001E-4</v>
      </c>
      <c r="AB93" s="302">
        <v>1.3100000000000001E-2</v>
      </c>
      <c r="AC93" s="302">
        <v>1.155627E-2</v>
      </c>
      <c r="AD93" s="302">
        <v>4.1580000000000002E-3</v>
      </c>
      <c r="AE93" s="302">
        <v>-1.7534790000000001E-2</v>
      </c>
      <c r="AF93" s="302">
        <v>-1.410516E-2</v>
      </c>
      <c r="AG93" s="302">
        <v>-1.9824580000000001E-2</v>
      </c>
      <c r="AH93" s="302">
        <v>-6.3939170000000004E-2</v>
      </c>
      <c r="AI93" s="302">
        <v>-5.9473989999999997E-2</v>
      </c>
      <c r="AJ93" s="302">
        <v>5.3611900000000001E-3</v>
      </c>
      <c r="AK93" s="302">
        <v>-1.0122880000000001E-2</v>
      </c>
      <c r="AL93" s="302">
        <v>6.1743499999999995E-3</v>
      </c>
      <c r="AM93" s="302">
        <v>-4.5527900000000001E-3</v>
      </c>
      <c r="AN93" s="302">
        <v>-5.8524930000000003E-2</v>
      </c>
      <c r="AO93" s="302">
        <v>-0.13696522999999999</v>
      </c>
      <c r="AP93" s="302">
        <v>-2.0946360000000001E-2</v>
      </c>
      <c r="AQ93" s="302">
        <v>-1.506002E-2</v>
      </c>
      <c r="AR93" s="302">
        <v>3.5991840000000004E-2</v>
      </c>
      <c r="AS93" s="302">
        <v>1.291313E-2</v>
      </c>
      <c r="AT93" s="302">
        <v>3.1483629999999999E-2</v>
      </c>
      <c r="AU93" s="302">
        <v>-0.14493214999999998</v>
      </c>
      <c r="AV93" s="302">
        <v>2.9675180000000002E-2</v>
      </c>
      <c r="AW93" s="302">
        <v>2.466103E-2</v>
      </c>
      <c r="AX93" s="302">
        <v>-2.5079189999999998E-2</v>
      </c>
      <c r="AY93" s="302">
        <v>1.4000000000000002E-3</v>
      </c>
    </row>
    <row r="94" spans="1:51" x14ac:dyDescent="0.2">
      <c r="A94" s="303">
        <v>37135</v>
      </c>
      <c r="B94" s="302">
        <v>1.0704760000000001E-2</v>
      </c>
      <c r="C94" s="302">
        <v>4.9651019999999997E-2</v>
      </c>
      <c r="D94" s="302">
        <v>6.7332870000000003E-2</v>
      </c>
      <c r="E94" s="302">
        <v>4.1539310000000003E-2</v>
      </c>
      <c r="F94" s="302">
        <v>2.848788E-2</v>
      </c>
      <c r="G94" s="302">
        <v>5.6187100000000004E-2</v>
      </c>
      <c r="H94" s="302">
        <v>4.7021819999999999E-2</v>
      </c>
      <c r="I94" s="302">
        <v>4.5691740000000002E-2</v>
      </c>
      <c r="J94" s="302">
        <v>2.9170729999999999E-2</v>
      </c>
      <c r="K94" s="302">
        <v>-1.1060499999999999E-2</v>
      </c>
      <c r="L94" s="302">
        <v>-0.11027779</v>
      </c>
      <c r="M94" s="302">
        <v>-0.15331165999999999</v>
      </c>
      <c r="N94" s="302">
        <v>-0.11245941</v>
      </c>
      <c r="O94" s="302">
        <v>-0.14020555000000001</v>
      </c>
      <c r="P94" s="302">
        <v>-0.12176906999999999</v>
      </c>
      <c r="Q94" s="302">
        <v>-3.7452159999999998E-2</v>
      </c>
      <c r="R94" s="302">
        <v>-1.760811E-2</v>
      </c>
      <c r="S94" s="302">
        <v>-0.1297807</v>
      </c>
      <c r="T94" s="302">
        <v>-0.2052438</v>
      </c>
      <c r="U94" s="302">
        <v>-0.16215686999999998</v>
      </c>
      <c r="V94" s="302">
        <v>-0.18245694000000001</v>
      </c>
      <c r="W94" s="302">
        <v>1.4499999999999999E-2</v>
      </c>
      <c r="X94" s="302">
        <v>2.1806100000000002E-2</v>
      </c>
      <c r="Y94" s="302">
        <v>-8.6400000000000005E-2</v>
      </c>
      <c r="Z94" s="302">
        <v>-4.5886909999999996E-2</v>
      </c>
      <c r="AA94" s="302">
        <v>8.3999999999999995E-3</v>
      </c>
      <c r="AB94" s="302">
        <v>2.9999999999999997E-4</v>
      </c>
      <c r="AC94" s="302">
        <v>1.0704760000000001E-2</v>
      </c>
      <c r="AD94" s="302">
        <v>4.9651019999999997E-2</v>
      </c>
      <c r="AE94" s="302">
        <v>6.7332870000000003E-2</v>
      </c>
      <c r="AF94" s="302">
        <v>5.6187100000000004E-2</v>
      </c>
      <c r="AG94" s="302">
        <v>4.7021819999999999E-2</v>
      </c>
      <c r="AH94" s="302">
        <v>0.15513165000000001</v>
      </c>
      <c r="AI94" s="302">
        <v>-2.3814250000000002E-2</v>
      </c>
      <c r="AJ94" s="302">
        <v>-2.1607379999999999E-2</v>
      </c>
      <c r="AK94" s="302">
        <v>-4.1539310000000003E-2</v>
      </c>
      <c r="AL94" s="302">
        <v>-4.5691740000000002E-2</v>
      </c>
      <c r="AM94" s="302">
        <v>-5.2290489999999995E-2</v>
      </c>
      <c r="AN94" s="302">
        <v>0.14678152999999999</v>
      </c>
      <c r="AO94" s="302">
        <v>0.18804978999999999</v>
      </c>
      <c r="AP94" s="302">
        <v>0.11245941</v>
      </c>
      <c r="AQ94" s="302">
        <v>0.16137105999999998</v>
      </c>
      <c r="AR94" s="302">
        <v>0.14185472000000002</v>
      </c>
      <c r="AS94" s="302">
        <v>6.1147150000000004E-2</v>
      </c>
      <c r="AT94" s="302">
        <v>4.4973050000000001E-2</v>
      </c>
      <c r="AU94" s="302">
        <v>0.15030635000000001</v>
      </c>
      <c r="AV94" s="302">
        <v>0.22480827</v>
      </c>
      <c r="AW94" s="302">
        <v>0.18338098</v>
      </c>
      <c r="AX94" s="302">
        <v>0.20316681</v>
      </c>
      <c r="AY94" s="302">
        <v>2.0999999999999999E-3</v>
      </c>
    </row>
    <row r="95" spans="1:51" x14ac:dyDescent="0.2">
      <c r="A95" s="303">
        <v>37226</v>
      </c>
      <c r="B95" s="302">
        <v>7.3555800000000005E-3</v>
      </c>
      <c r="C95" s="302">
        <v>-1.37944E-3</v>
      </c>
      <c r="D95" s="302">
        <v>-1.8611470000000001E-2</v>
      </c>
      <c r="E95" s="302">
        <v>3.5002699999999998E-3</v>
      </c>
      <c r="F95" s="302">
        <v>2.590872E-2</v>
      </c>
      <c r="G95" s="302">
        <v>1.35067E-2</v>
      </c>
      <c r="H95" s="302">
        <v>2.8956260000000001E-2</v>
      </c>
      <c r="I95" s="302">
        <v>2.2653389999999999E-2</v>
      </c>
      <c r="J95" s="302">
        <v>3.5926119999999999E-2</v>
      </c>
      <c r="K95" s="302">
        <v>6.5350900000000003E-3</v>
      </c>
      <c r="L95" s="302">
        <v>0.11560999000000001</v>
      </c>
      <c r="M95" s="302">
        <v>0.20999033</v>
      </c>
      <c r="N95" s="302">
        <v>0.12888029000000001</v>
      </c>
      <c r="O95" s="302">
        <v>-7.7882579999999993E-2</v>
      </c>
      <c r="P95" s="302">
        <v>0.14388040999999999</v>
      </c>
      <c r="Q95" s="302">
        <v>7.2118779999999993E-2</v>
      </c>
      <c r="R95" s="302">
        <v>5.240247E-2</v>
      </c>
      <c r="S95" s="302">
        <v>0.20005389999999998</v>
      </c>
      <c r="T95" s="302">
        <v>0.24858928</v>
      </c>
      <c r="U95" s="302">
        <v>0.34120327000000006</v>
      </c>
      <c r="V95" s="302">
        <v>0.27606461999999998</v>
      </c>
      <c r="W95" s="302">
        <v>-4.0000000000000002E-4</v>
      </c>
      <c r="X95" s="302">
        <v>2.4170299999999999E-2</v>
      </c>
      <c r="Y95" s="302">
        <v>-4.5000000000000005E-3</v>
      </c>
      <c r="Z95" s="302">
        <v>9.8504010000000003E-2</v>
      </c>
      <c r="AA95" s="302">
        <v>-6.54E-2</v>
      </c>
      <c r="AB95" s="302">
        <v>-1E-4</v>
      </c>
      <c r="AC95" s="302">
        <v>7.3555800000000005E-3</v>
      </c>
      <c r="AD95" s="302">
        <v>-1.37944E-3</v>
      </c>
      <c r="AE95" s="302">
        <v>-1.8611470000000001E-2</v>
      </c>
      <c r="AF95" s="302">
        <v>1.35067E-2</v>
      </c>
      <c r="AG95" s="302">
        <v>2.8956260000000001E-2</v>
      </c>
      <c r="AH95" s="302">
        <v>-2.2980209999999997E-2</v>
      </c>
      <c r="AI95" s="302">
        <v>7.2208090000000003E-2</v>
      </c>
      <c r="AJ95" s="302">
        <v>7.6092700000000004E-3</v>
      </c>
      <c r="AK95" s="302">
        <v>-3.5002699999999998E-3</v>
      </c>
      <c r="AL95" s="302">
        <v>-2.2653389999999999E-2</v>
      </c>
      <c r="AM95" s="302">
        <v>8.1241109999999991E-2</v>
      </c>
      <c r="AN95" s="302">
        <v>-0.10684993999999999</v>
      </c>
      <c r="AO95" s="302">
        <v>-0.20048918000000002</v>
      </c>
      <c r="AP95" s="302">
        <v>-0.12888029000000001</v>
      </c>
      <c r="AQ95" s="302">
        <v>8.2226999999999995E-2</v>
      </c>
      <c r="AR95" s="302">
        <v>-0.13556873</v>
      </c>
      <c r="AS95" s="302">
        <v>-6.7067649999999993E-2</v>
      </c>
      <c r="AT95" s="302">
        <v>-4.8926480000000001E-2</v>
      </c>
      <c r="AU95" s="302">
        <v>-0.19256624999999999</v>
      </c>
      <c r="AV95" s="302">
        <v>-0.24270674</v>
      </c>
      <c r="AW95" s="302">
        <v>-0.33626506</v>
      </c>
      <c r="AX95" s="302">
        <v>-0.27136624000000004</v>
      </c>
      <c r="AY95" s="302">
        <v>2.8999999999999998E-3</v>
      </c>
    </row>
    <row r="96" spans="1:51" x14ac:dyDescent="0.2">
      <c r="A96" s="303">
        <v>37316</v>
      </c>
      <c r="B96" s="302">
        <v>4.5368199999999996E-3</v>
      </c>
      <c r="C96" s="302">
        <v>-2.6336100000000002E-3</v>
      </c>
      <c r="D96" s="302">
        <v>-1.667888E-2</v>
      </c>
      <c r="E96" s="302">
        <v>-1.7199700000000001E-3</v>
      </c>
      <c r="F96" s="302">
        <v>-5.8677299999999998E-3</v>
      </c>
      <c r="G96" s="302">
        <v>-1.2810999999999999E-2</v>
      </c>
      <c r="H96" s="302">
        <v>-1.783067E-2</v>
      </c>
      <c r="I96" s="302">
        <v>1.3258200000000001E-3</v>
      </c>
      <c r="J96" s="302">
        <v>3.9503000000000003E-3</v>
      </c>
      <c r="K96" s="302">
        <v>1.7865700000000001E-3</v>
      </c>
      <c r="L96" s="302">
        <v>5.0795299999999996E-3</v>
      </c>
      <c r="M96" s="302">
        <v>3.9791739999999999E-2</v>
      </c>
      <c r="N96" s="302">
        <v>2.5273449999999999E-2</v>
      </c>
      <c r="O96" s="302">
        <v>2.62679E-2</v>
      </c>
      <c r="P96" s="302">
        <v>-6.4985000000000008E-3</v>
      </c>
      <c r="Q96" s="302">
        <v>4.3160999999999997E-4</v>
      </c>
      <c r="R96" s="302">
        <v>3.4273789999999998E-2</v>
      </c>
      <c r="S96" s="302">
        <v>4.4741200000000002E-2</v>
      </c>
      <c r="T96" s="302">
        <v>6.8115720000000005E-2</v>
      </c>
      <c r="U96" s="302">
        <v>0.15736371999999998</v>
      </c>
      <c r="V96" s="302">
        <v>0.11667261999999999</v>
      </c>
      <c r="W96" s="302">
        <v>9.4999999999999998E-3</v>
      </c>
      <c r="X96" s="302">
        <v>2.0693800000000002E-2</v>
      </c>
      <c r="Y96" s="302">
        <v>2.2500000000000003E-3</v>
      </c>
      <c r="Z96" s="302">
        <v>0.15001928</v>
      </c>
      <c r="AA96" s="302">
        <v>5.4000000000000003E-3</v>
      </c>
      <c r="AB96" s="302">
        <v>6.5000000000000006E-3</v>
      </c>
      <c r="AC96" s="302">
        <v>4.5368199999999996E-3</v>
      </c>
      <c r="AD96" s="302">
        <v>-2.6336100000000002E-3</v>
      </c>
      <c r="AE96" s="302">
        <v>-1.667888E-2</v>
      </c>
      <c r="AF96" s="302">
        <v>-1.2810999999999999E-2</v>
      </c>
      <c r="AG96" s="302">
        <v>-1.783067E-2</v>
      </c>
      <c r="AH96" s="302">
        <v>-6.4357339999999999E-2</v>
      </c>
      <c r="AI96" s="302">
        <v>-0.10214042</v>
      </c>
      <c r="AJ96" s="302">
        <v>-2.3182400000000001E-3</v>
      </c>
      <c r="AK96" s="302">
        <v>1.7199700000000001E-3</v>
      </c>
      <c r="AL96" s="302">
        <v>-1.3258200000000001E-3</v>
      </c>
      <c r="AM96" s="302">
        <v>9.5858599999999999E-3</v>
      </c>
      <c r="AN96" s="302">
        <v>-2.7488800000000004E-3</v>
      </c>
      <c r="AO96" s="302">
        <v>-3.7380589999999998E-2</v>
      </c>
      <c r="AP96" s="302">
        <v>-2.5273449999999999E-2</v>
      </c>
      <c r="AQ96" s="302">
        <v>-2.4840029999999999E-2</v>
      </c>
      <c r="AR96" s="302">
        <v>5.0138600000000002E-3</v>
      </c>
      <c r="AS96" s="302">
        <v>9.6032000000000008E-4</v>
      </c>
      <c r="AT96" s="302">
        <v>-3.4202150000000001E-2</v>
      </c>
      <c r="AU96" s="302">
        <v>-4.5094820000000001E-2</v>
      </c>
      <c r="AV96" s="302">
        <v>-6.6629620000000001E-2</v>
      </c>
      <c r="AW96" s="302">
        <v>-0.15441953</v>
      </c>
      <c r="AX96" s="302">
        <v>-0.11383193999999999</v>
      </c>
      <c r="AY96" s="302">
        <v>4.3E-3</v>
      </c>
    </row>
    <row r="97" spans="1:51" x14ac:dyDescent="0.2">
      <c r="A97" s="303">
        <v>37408</v>
      </c>
      <c r="B97" s="302">
        <v>5.4881100000000009E-3</v>
      </c>
      <c r="C97" s="302">
        <v>3.8638749999999999E-2</v>
      </c>
      <c r="D97" s="302">
        <v>6.0667920000000007E-2</v>
      </c>
      <c r="E97" s="302">
        <v>3.1777039999999999E-2</v>
      </c>
      <c r="F97" s="302">
        <v>2.0184549999999999E-2</v>
      </c>
      <c r="G97" s="302">
        <v>3.9017700000000002E-2</v>
      </c>
      <c r="H97" s="302">
        <v>4.0203059999999999E-2</v>
      </c>
      <c r="I97" s="302">
        <v>3.113223E-2</v>
      </c>
      <c r="J97" s="302">
        <v>1.852879E-2</v>
      </c>
      <c r="K97" s="302">
        <v>1.596347E-2</v>
      </c>
      <c r="L97" s="302">
        <v>-0.17673663000000001</v>
      </c>
      <c r="M97" s="302">
        <v>-0.1314641</v>
      </c>
      <c r="N97" s="302">
        <v>-8.601483E-2</v>
      </c>
      <c r="O97" s="302">
        <v>2.0474280000000001E-2</v>
      </c>
      <c r="P97" s="302">
        <v>-9.1694639999999994E-2</v>
      </c>
      <c r="Q97" s="302">
        <v>-9.8027660000000003E-2</v>
      </c>
      <c r="R97" s="302">
        <v>-2.1568149999999998E-2</v>
      </c>
      <c r="S97" s="302">
        <v>-4.6982650000000001E-2</v>
      </c>
      <c r="T97" s="302">
        <v>-0.1188482</v>
      </c>
      <c r="U97" s="302">
        <v>-0.10526964</v>
      </c>
      <c r="V97" s="302">
        <v>-0.12909688999999999</v>
      </c>
      <c r="W97" s="302">
        <v>7.8000000000000005E-3</v>
      </c>
      <c r="X97" s="302">
        <v>2.1157599999999999E-2</v>
      </c>
      <c r="Y97" s="302">
        <v>-1.7399999999999999E-2</v>
      </c>
      <c r="Z97" s="302">
        <v>1.133985E-2</v>
      </c>
      <c r="AA97" s="302">
        <v>1.2999999999999999E-3</v>
      </c>
      <c r="AB97" s="302">
        <v>1.6799999999999999E-2</v>
      </c>
      <c r="AC97" s="302">
        <v>5.4881100000000009E-3</v>
      </c>
      <c r="AD97" s="302">
        <v>3.8638749999999999E-2</v>
      </c>
      <c r="AE97" s="302">
        <v>6.0667920000000007E-2</v>
      </c>
      <c r="AF97" s="302">
        <v>3.9017700000000002E-2</v>
      </c>
      <c r="AG97" s="302">
        <v>4.0203059999999999E-2</v>
      </c>
      <c r="AH97" s="302">
        <v>5.6617119999999993E-2</v>
      </c>
      <c r="AI97" s="302">
        <v>-4.1462570000000004E-2</v>
      </c>
      <c r="AJ97" s="302">
        <v>2.5876640000000003E-2</v>
      </c>
      <c r="AK97" s="302">
        <v>-3.1777039999999999E-2</v>
      </c>
      <c r="AL97" s="302">
        <v>-3.113223E-2</v>
      </c>
      <c r="AM97" s="302">
        <v>-0.1024163</v>
      </c>
      <c r="AN97" s="302">
        <v>0.13396687999999998</v>
      </c>
      <c r="AO97" s="302">
        <v>8.6342370000000002E-2</v>
      </c>
      <c r="AP97" s="302">
        <v>8.601483E-2</v>
      </c>
      <c r="AQ97" s="302">
        <v>-5.2283359999999994E-2</v>
      </c>
      <c r="AR97" s="302">
        <v>6.6023949999999998E-2</v>
      </c>
      <c r="AS97" s="302">
        <v>6.9912390000000005E-2</v>
      </c>
      <c r="AT97" s="302">
        <v>-1.134342E-2</v>
      </c>
      <c r="AU97" s="302">
        <v>1.8973009999999998E-2</v>
      </c>
      <c r="AV97" s="302">
        <v>9.1381920000000005E-2</v>
      </c>
      <c r="AW97" s="302">
        <v>7.636772E-2</v>
      </c>
      <c r="AX97" s="302">
        <v>0.10096463999999999</v>
      </c>
      <c r="AY97" s="302">
        <v>5.7999999999999996E-3</v>
      </c>
    </row>
    <row r="98" spans="1:51" x14ac:dyDescent="0.2">
      <c r="A98" s="303">
        <v>37500</v>
      </c>
      <c r="B98" s="302">
        <v>6.7999900000000005E-3</v>
      </c>
      <c r="C98" s="302">
        <v>4.8188290000000002E-2</v>
      </c>
      <c r="D98" s="302">
        <v>0.12087173999999999</v>
      </c>
      <c r="E98" s="302">
        <v>4.1902130000000003E-2</v>
      </c>
      <c r="F98" s="302">
        <v>5.5145770000000004E-2</v>
      </c>
      <c r="G98" s="302">
        <v>5.1402900000000001E-2</v>
      </c>
      <c r="H98" s="302">
        <v>6.4195799999999997E-2</v>
      </c>
      <c r="I98" s="302">
        <v>3.9243139999999996E-2</v>
      </c>
      <c r="J98" s="302">
        <v>4.0581120000000005E-2</v>
      </c>
      <c r="K98" s="302">
        <v>1.8153019999999999E-2</v>
      </c>
      <c r="L98" s="302">
        <v>-0.13448005999999998</v>
      </c>
      <c r="M98" s="302">
        <v>-0.14901592999999999</v>
      </c>
      <c r="N98" s="302">
        <v>-0.13099859999999999</v>
      </c>
      <c r="O98" s="302">
        <v>-7.2661000000000003E-2</v>
      </c>
      <c r="P98" s="302">
        <v>-0.24784481</v>
      </c>
      <c r="Q98" s="302">
        <v>-0.14089341999999999</v>
      </c>
      <c r="R98" s="302">
        <v>-0.14355985000000002</v>
      </c>
      <c r="S98" s="302">
        <v>-6.4612569999999994E-2</v>
      </c>
      <c r="T98" s="302">
        <v>-0.12060984</v>
      </c>
      <c r="U98" s="302">
        <v>-0.12625218999999999</v>
      </c>
      <c r="V98" s="302">
        <v>-0.12430495999999999</v>
      </c>
      <c r="W98" s="302">
        <v>8.1000000000000013E-3</v>
      </c>
      <c r="X98" s="302">
        <v>1.7623099999999999E-2</v>
      </c>
      <c r="Y98" s="302">
        <v>-5.7249999999999995E-2</v>
      </c>
      <c r="Z98" s="302">
        <v>-1.2458519999999999E-2</v>
      </c>
      <c r="AA98" s="302">
        <v>5.0000000000000001E-3</v>
      </c>
      <c r="AB98" s="302">
        <v>8.3999999999999995E-3</v>
      </c>
      <c r="AC98" s="302">
        <v>6.7999900000000005E-3</v>
      </c>
      <c r="AD98" s="302">
        <v>4.8188290000000002E-2</v>
      </c>
      <c r="AE98" s="302">
        <v>0.12087173999999999</v>
      </c>
      <c r="AF98" s="302">
        <v>5.1402900000000001E-2</v>
      </c>
      <c r="AG98" s="302">
        <v>6.4195799999999997E-2</v>
      </c>
      <c r="AH98" s="302">
        <v>0.29783904999999999</v>
      </c>
      <c r="AI98" s="302">
        <v>9.2214810000000008E-2</v>
      </c>
      <c r="AJ98" s="302">
        <v>2.532688E-2</v>
      </c>
      <c r="AK98" s="302">
        <v>-4.1902130000000003E-2</v>
      </c>
      <c r="AL98" s="302">
        <v>-3.9243139999999996E-2</v>
      </c>
      <c r="AM98" s="302">
        <v>-1.9645719999999998E-2</v>
      </c>
      <c r="AN98" s="302">
        <v>0.17276580999999999</v>
      </c>
      <c r="AO98" s="302">
        <v>0.18665871000000001</v>
      </c>
      <c r="AP98" s="302">
        <v>0.13099859999999999</v>
      </c>
      <c r="AQ98" s="302">
        <v>9.7273169999999992E-2</v>
      </c>
      <c r="AR98" s="302">
        <v>0.26545805</v>
      </c>
      <c r="AS98" s="302">
        <v>0.16369465999999999</v>
      </c>
      <c r="AT98" s="302">
        <v>0.16957657000000001</v>
      </c>
      <c r="AU98" s="302">
        <v>8.7717150000000008E-2</v>
      </c>
      <c r="AV98" s="302">
        <v>0.14394941999999999</v>
      </c>
      <c r="AW98" s="302">
        <v>0.15055989</v>
      </c>
      <c r="AX98" s="302">
        <v>0.14866683999999999</v>
      </c>
      <c r="AY98" s="302">
        <v>4.0999999999999995E-3</v>
      </c>
    </row>
    <row r="99" spans="1:51" x14ac:dyDescent="0.2">
      <c r="A99" s="303">
        <v>37591</v>
      </c>
      <c r="B99" s="302">
        <v>6.6701500000000006E-3</v>
      </c>
      <c r="C99" s="302">
        <v>9.7357699999999995E-3</v>
      </c>
      <c r="D99" s="302">
        <v>7.3649000000000002E-4</v>
      </c>
      <c r="E99" s="302">
        <v>2.6279540000000001E-2</v>
      </c>
      <c r="F99" s="302">
        <v>4.5885800000000004E-2</v>
      </c>
      <c r="G99" s="302">
        <v>2.2409219999999997E-2</v>
      </c>
      <c r="H99" s="302">
        <v>2.3443580000000002E-2</v>
      </c>
      <c r="I99" s="302">
        <v>3.4705899999999998E-2</v>
      </c>
      <c r="J99" s="302">
        <v>3.6608210000000002E-2</v>
      </c>
      <c r="K99" s="302">
        <v>2.1992349999999997E-2</v>
      </c>
      <c r="L99" s="302">
        <v>7.4330649999999998E-2</v>
      </c>
      <c r="M99" s="302">
        <v>5.6480439999999993E-2</v>
      </c>
      <c r="N99" s="302">
        <v>7.5267989999999993E-2</v>
      </c>
      <c r="O99" s="302">
        <v>-6.9761970000000006E-2</v>
      </c>
      <c r="P99" s="302">
        <v>0.14173994000000001</v>
      </c>
      <c r="Q99" s="302">
        <v>7.9430300000000009E-2</v>
      </c>
      <c r="R99" s="302">
        <v>2.8222269999999997E-2</v>
      </c>
      <c r="S99" s="302">
        <v>5.9683229999999997E-2</v>
      </c>
      <c r="T99" s="302">
        <v>1.7171300000000001E-3</v>
      </c>
      <c r="U99" s="302">
        <v>3.978541E-2</v>
      </c>
      <c r="V99" s="302">
        <v>9.0179779999999987E-2</v>
      </c>
      <c r="W99" s="302">
        <v>2.0999999999999999E-3</v>
      </c>
      <c r="X99" s="302">
        <v>4.2157000000000002E-3</v>
      </c>
      <c r="Y99" s="302">
        <v>1.095E-2</v>
      </c>
      <c r="Z99" s="302">
        <v>-2.7081629999999999E-2</v>
      </c>
      <c r="AA99" s="302">
        <v>6.9999999999999993E-3</v>
      </c>
      <c r="AB99" s="302">
        <v>3.5499999999999997E-2</v>
      </c>
      <c r="AC99" s="302">
        <v>6.6701500000000006E-3</v>
      </c>
      <c r="AD99" s="302">
        <v>9.7357699999999995E-3</v>
      </c>
      <c r="AE99" s="302">
        <v>7.3649000000000002E-4</v>
      </c>
      <c r="AF99" s="302">
        <v>2.2409219999999997E-2</v>
      </c>
      <c r="AG99" s="302">
        <v>2.3443580000000002E-2</v>
      </c>
      <c r="AH99" s="302">
        <v>-1.8726759999999999E-2</v>
      </c>
      <c r="AI99" s="302">
        <v>4.0596249999999993E-2</v>
      </c>
      <c r="AJ99" s="302">
        <v>5.0038479999999996E-2</v>
      </c>
      <c r="AK99" s="302">
        <v>-2.6279540000000001E-2</v>
      </c>
      <c r="AL99" s="302">
        <v>-3.4705899999999998E-2</v>
      </c>
      <c r="AM99" s="302">
        <v>-4.6739269999999999E-2</v>
      </c>
      <c r="AN99" s="302">
        <v>-8.4374950000000004E-2</v>
      </c>
      <c r="AO99" s="302">
        <v>-6.6357849999999996E-2</v>
      </c>
      <c r="AP99" s="302">
        <v>-7.5267989999999993E-2</v>
      </c>
      <c r="AQ99" s="302">
        <v>6.4543690000000001E-2</v>
      </c>
      <c r="AR99" s="302">
        <v>-0.14211790000000002</v>
      </c>
      <c r="AS99" s="302">
        <v>-8.5485489999999997E-2</v>
      </c>
      <c r="AT99" s="302">
        <v>-3.183561E-2</v>
      </c>
      <c r="AU99" s="302">
        <v>-6.225899E-2</v>
      </c>
      <c r="AV99" s="302">
        <v>-7.33638E-3</v>
      </c>
      <c r="AW99" s="302">
        <v>-4.7812919999999995E-2</v>
      </c>
      <c r="AX99" s="302">
        <v>-9.8596359999999994E-2</v>
      </c>
      <c r="AY99" s="302">
        <v>2.3999999999999998E-3</v>
      </c>
    </row>
    <row r="100" spans="1:51" x14ac:dyDescent="0.2">
      <c r="A100" s="303">
        <v>37681</v>
      </c>
      <c r="B100" s="302">
        <v>6.5391800000000003E-3</v>
      </c>
      <c r="C100" s="302">
        <v>9.2638500000000006E-3</v>
      </c>
      <c r="D100" s="302">
        <v>1.485206E-2</v>
      </c>
      <c r="E100" s="302">
        <v>2.2563550000000002E-2</v>
      </c>
      <c r="F100" s="302">
        <v>2.902076E-2</v>
      </c>
      <c r="G100" s="302">
        <v>-7.88552E-3</v>
      </c>
      <c r="H100" s="302">
        <v>-1.071101E-2</v>
      </c>
      <c r="I100" s="302">
        <v>-5.2995300000000002E-3</v>
      </c>
      <c r="J100" s="302">
        <v>-1.8525659999999999E-2</v>
      </c>
      <c r="K100" s="302">
        <v>1.686965E-2</v>
      </c>
      <c r="L100" s="302">
        <v>-9.4570640000000011E-2</v>
      </c>
      <c r="M100" s="302">
        <v>-0.10336835999999999</v>
      </c>
      <c r="N100" s="302">
        <v>-3.5201570000000001E-2</v>
      </c>
      <c r="O100" s="302">
        <v>-0.11634185000000001</v>
      </c>
      <c r="P100" s="302">
        <v>-0.15841160000000001</v>
      </c>
      <c r="Q100" s="302">
        <v>-0.14602788</v>
      </c>
      <c r="R100" s="302">
        <v>-0.15171015000000002</v>
      </c>
      <c r="S100" s="302">
        <v>-2.9259499999999997E-2</v>
      </c>
      <c r="T100" s="302">
        <v>-8.4952570000000005E-2</v>
      </c>
      <c r="U100" s="302">
        <v>-0.14486490999999999</v>
      </c>
      <c r="V100" s="302">
        <v>-0.120001</v>
      </c>
      <c r="W100" s="302">
        <v>1.23E-2</v>
      </c>
      <c r="X100" s="302">
        <v>2.13057E-2</v>
      </c>
      <c r="Y100" s="302">
        <v>-3.0499999999999998E-3</v>
      </c>
      <c r="Z100" s="302">
        <v>9.4225200000000002E-3</v>
      </c>
      <c r="AA100" s="302">
        <v>6.0999999999999995E-3</v>
      </c>
      <c r="AB100" s="302">
        <v>1.21E-2</v>
      </c>
      <c r="AC100" s="302">
        <v>6.5391800000000003E-3</v>
      </c>
      <c r="AD100" s="302">
        <v>9.2638500000000006E-3</v>
      </c>
      <c r="AE100" s="302">
        <v>1.485206E-2</v>
      </c>
      <c r="AF100" s="302">
        <v>-7.88552E-3</v>
      </c>
      <c r="AG100" s="302">
        <v>-1.071101E-2</v>
      </c>
      <c r="AH100" s="302">
        <v>1.5827500000000001E-2</v>
      </c>
      <c r="AI100" s="302">
        <v>2.441482E-2</v>
      </c>
      <c r="AJ100" s="302">
        <v>5.8364149999999997E-2</v>
      </c>
      <c r="AK100" s="302">
        <v>-2.2563550000000002E-2</v>
      </c>
      <c r="AL100" s="302">
        <v>5.2995300000000002E-3</v>
      </c>
      <c r="AM100" s="302">
        <v>1.0405230000000001E-2</v>
      </c>
      <c r="AN100" s="302">
        <v>3.1494270000000005E-2</v>
      </c>
      <c r="AO100" s="302">
        <v>4.0904870000000003E-2</v>
      </c>
      <c r="AP100" s="302">
        <v>3.5201570000000001E-2</v>
      </c>
      <c r="AQ100" s="302">
        <v>7.9406040000000011E-2</v>
      </c>
      <c r="AR100" s="302">
        <v>0.11968084</v>
      </c>
      <c r="AS100" s="302">
        <v>0.11033291000000001</v>
      </c>
      <c r="AT100" s="302">
        <v>0.11484754999999999</v>
      </c>
      <c r="AU100" s="302">
        <v>-1.3841259999999999E-2</v>
      </c>
      <c r="AV100" s="302">
        <v>4.6704720000000005E-2</v>
      </c>
      <c r="AW100" s="302">
        <v>0.11050203</v>
      </c>
      <c r="AX100" s="302">
        <v>8.4638980000000003E-2</v>
      </c>
      <c r="AY100" s="302">
        <v>1.8E-3</v>
      </c>
    </row>
    <row r="101" spans="1:51" x14ac:dyDescent="0.2">
      <c r="A101" s="303">
        <v>37773</v>
      </c>
      <c r="B101" s="302">
        <v>7.5469899999999999E-3</v>
      </c>
      <c r="C101" s="302">
        <v>1.6884690000000001E-2</v>
      </c>
      <c r="D101" s="302">
        <v>5.0964340000000004E-2</v>
      </c>
      <c r="E101" s="302">
        <v>4.0170709999999998E-2</v>
      </c>
      <c r="F101" s="302">
        <v>7.4873250000000002E-2</v>
      </c>
      <c r="G101" s="302">
        <v>5.2727799999999998E-2</v>
      </c>
      <c r="H101" s="302">
        <v>7.4178079999999993E-2</v>
      </c>
      <c r="I101" s="302">
        <v>5.9655769999999997E-2</v>
      </c>
      <c r="J101" s="302">
        <v>9.2831579999999997E-2</v>
      </c>
      <c r="K101" s="302">
        <v>-9.0232200000000002E-3</v>
      </c>
      <c r="L101" s="302">
        <v>5.7843140000000001E-2</v>
      </c>
      <c r="M101" s="302">
        <v>0.11757519</v>
      </c>
      <c r="N101" s="302">
        <v>0.10623027</v>
      </c>
      <c r="O101" s="302">
        <v>3.8257510000000002E-2</v>
      </c>
      <c r="P101" s="302">
        <v>0.16901876000000002</v>
      </c>
      <c r="Q101" s="302">
        <v>8.7450700000000006E-2</v>
      </c>
      <c r="R101" s="302">
        <v>9.5922999999999994E-2</v>
      </c>
      <c r="S101" s="302">
        <v>7.3313519999999993E-2</v>
      </c>
      <c r="T101" s="302">
        <v>8.2418720000000001E-2</v>
      </c>
      <c r="U101" s="302">
        <v>0.12165865000000001</v>
      </c>
      <c r="V101" s="302">
        <v>0.13102522999999999</v>
      </c>
      <c r="W101" s="302">
        <v>1.44E-2</v>
      </c>
      <c r="X101" s="302">
        <v>1.73349E-2</v>
      </c>
      <c r="Y101" s="302">
        <v>7.5300000000000006E-2</v>
      </c>
      <c r="Z101" s="302">
        <v>5.4551749999999996E-2</v>
      </c>
      <c r="AA101" s="302">
        <v>1.67E-2</v>
      </c>
      <c r="AB101" s="302">
        <v>1.7399999999999999E-2</v>
      </c>
      <c r="AC101" s="302">
        <v>7.5469899999999999E-3</v>
      </c>
      <c r="AD101" s="302">
        <v>1.6884690000000001E-2</v>
      </c>
      <c r="AE101" s="302">
        <v>5.0964340000000004E-2</v>
      </c>
      <c r="AF101" s="302">
        <v>5.2727799999999998E-2</v>
      </c>
      <c r="AG101" s="302">
        <v>7.4178079999999993E-2</v>
      </c>
      <c r="AH101" s="302">
        <v>8.4933090000000003E-2</v>
      </c>
      <c r="AI101" s="302">
        <v>0.17019749999999997</v>
      </c>
      <c r="AJ101" s="302">
        <v>-6.6259000000000005E-3</v>
      </c>
      <c r="AK101" s="302">
        <v>-4.0170709999999998E-2</v>
      </c>
      <c r="AL101" s="302">
        <v>-5.9655769999999997E-2</v>
      </c>
      <c r="AM101" s="302">
        <v>5.1220489999999994E-2</v>
      </c>
      <c r="AN101" s="302">
        <v>-0.15393219</v>
      </c>
      <c r="AO101" s="302">
        <v>-0.21908999999999998</v>
      </c>
      <c r="AP101" s="302">
        <v>-0.10623027</v>
      </c>
      <c r="AQ101" s="302">
        <v>-9.4843510000000006E-2</v>
      </c>
      <c r="AR101" s="302">
        <v>-0.22339804999999999</v>
      </c>
      <c r="AS101" s="302">
        <v>-0.14671777</v>
      </c>
      <c r="AT101" s="302">
        <v>-0.15148894999999998</v>
      </c>
      <c r="AU101" s="302">
        <v>-0.12649141999999999</v>
      </c>
      <c r="AV101" s="302">
        <v>-0.14141154</v>
      </c>
      <c r="AW101" s="302">
        <v>-0.18621293999999999</v>
      </c>
      <c r="AX101" s="302">
        <v>-0.1961186</v>
      </c>
      <c r="AY101" s="302">
        <v>1.1000000000000001E-3</v>
      </c>
    </row>
    <row r="102" spans="1:51" x14ac:dyDescent="0.2">
      <c r="A102" s="303">
        <v>37865</v>
      </c>
      <c r="B102" s="302">
        <v>7.5200599999999994E-3</v>
      </c>
      <c r="C102" s="302">
        <v>-1.3257399999999999E-3</v>
      </c>
      <c r="D102" s="302">
        <v>-2.6827589999999998E-2</v>
      </c>
      <c r="E102" s="302">
        <v>1.2211699999999999E-3</v>
      </c>
      <c r="F102" s="302">
        <v>-9.8664800000000004E-3</v>
      </c>
      <c r="G102" s="302">
        <v>1.1448439999999999E-2</v>
      </c>
      <c r="H102" s="302">
        <v>8.61314E-3</v>
      </c>
      <c r="I102" s="302">
        <v>1.9646139999999999E-2</v>
      </c>
      <c r="J102" s="302">
        <v>2.6074799999999999E-2</v>
      </c>
      <c r="K102" s="302">
        <v>-3.752399E-2</v>
      </c>
      <c r="L102" s="302">
        <v>2.7831109999999999E-2</v>
      </c>
      <c r="M102" s="302">
        <v>8.8968820000000004E-2</v>
      </c>
      <c r="N102" s="302">
        <v>6.7012189999999999E-2</v>
      </c>
      <c r="O102" s="302">
        <v>0.21722124000000001</v>
      </c>
      <c r="P102" s="302">
        <v>2.8845350000000002E-2</v>
      </c>
      <c r="Q102" s="302">
        <v>3.4207550000000003E-2</v>
      </c>
      <c r="R102" s="302">
        <v>6.7411499999999999E-2</v>
      </c>
      <c r="S102" s="302">
        <v>5.6028399999999999E-2</v>
      </c>
      <c r="T102" s="302">
        <v>0.19535818999999999</v>
      </c>
      <c r="U102" s="302">
        <v>0.15979009</v>
      </c>
      <c r="V102" s="302">
        <v>0.14379069999999999</v>
      </c>
      <c r="W102" s="302">
        <v>1.2500000000000001E-2</v>
      </c>
      <c r="X102" s="302">
        <v>1.95409E-2</v>
      </c>
      <c r="Y102" s="302">
        <v>5.2350000000000001E-2</v>
      </c>
      <c r="Z102" s="302">
        <v>4.3121669999999994E-2</v>
      </c>
      <c r="AA102" s="302">
        <v>1.4499999999999999E-2</v>
      </c>
      <c r="AB102" s="302">
        <v>9.4999999999999998E-3</v>
      </c>
      <c r="AC102" s="302">
        <v>7.5200599999999994E-3</v>
      </c>
      <c r="AD102" s="302">
        <v>-1.3257399999999999E-3</v>
      </c>
      <c r="AE102" s="302">
        <v>-2.6827589999999998E-2</v>
      </c>
      <c r="AF102" s="302">
        <v>1.1448439999999999E-2</v>
      </c>
      <c r="AG102" s="302">
        <v>8.61314E-3</v>
      </c>
      <c r="AH102" s="302">
        <v>-0.1022204</v>
      </c>
      <c r="AI102" s="302">
        <v>-4.6654049999999996E-2</v>
      </c>
      <c r="AJ102" s="302">
        <v>-8.7166110000000005E-2</v>
      </c>
      <c r="AK102" s="302">
        <v>-1.2211699999999999E-3</v>
      </c>
      <c r="AL102" s="302">
        <v>-1.9646139999999999E-2</v>
      </c>
      <c r="AM102" s="302">
        <v>-3.1668889999999998E-2</v>
      </c>
      <c r="AN102" s="302">
        <v>-2.6459959999999998E-2</v>
      </c>
      <c r="AO102" s="302">
        <v>-8.7516110000000008E-2</v>
      </c>
      <c r="AP102" s="302">
        <v>-6.7012189999999999E-2</v>
      </c>
      <c r="AQ102" s="302">
        <v>-0.21624695999999999</v>
      </c>
      <c r="AR102" s="302">
        <v>-3.6489359999999998E-2</v>
      </c>
      <c r="AS102" s="302">
        <v>-3.337975E-2</v>
      </c>
      <c r="AT102" s="302">
        <v>-7.5206549999999997E-2</v>
      </c>
      <c r="AU102" s="302">
        <v>-6.03951E-2</v>
      </c>
      <c r="AV102" s="302">
        <v>-0.19440141</v>
      </c>
      <c r="AW102" s="302">
        <v>-0.15507185000000001</v>
      </c>
      <c r="AX102" s="302">
        <v>-0.13913755</v>
      </c>
      <c r="AY102" s="302">
        <v>8.0000000000000004E-4</v>
      </c>
    </row>
    <row r="103" spans="1:51" x14ac:dyDescent="0.2">
      <c r="A103" s="303">
        <v>37956</v>
      </c>
      <c r="B103" s="302">
        <v>6.6773700000000002E-3</v>
      </c>
      <c r="C103" s="302">
        <v>-2.0158100000000003E-3</v>
      </c>
      <c r="D103" s="302">
        <v>-1.1415010000000001E-2</v>
      </c>
      <c r="E103" s="302">
        <v>3.9196500000000002E-3</v>
      </c>
      <c r="F103" s="302">
        <v>8.3208499999999994E-3</v>
      </c>
      <c r="G103" s="302">
        <v>5.0007699999999999E-3</v>
      </c>
      <c r="H103" s="302">
        <v>7.2766100000000002E-3</v>
      </c>
      <c r="I103" s="302">
        <v>1.288865E-2</v>
      </c>
      <c r="J103" s="302">
        <v>2.780144E-2</v>
      </c>
      <c r="K103" s="302">
        <v>1.081793E-2</v>
      </c>
      <c r="L103" s="302">
        <v>7.7702220000000002E-2</v>
      </c>
      <c r="M103" s="302">
        <v>9.9397070000000004E-2</v>
      </c>
      <c r="N103" s="302">
        <v>0.11278249000000001</v>
      </c>
      <c r="O103" s="302">
        <v>2.2316410000000002E-2</v>
      </c>
      <c r="P103" s="302">
        <v>0.17598121999999999</v>
      </c>
      <c r="Q103" s="302">
        <v>0.13112634000000001</v>
      </c>
      <c r="R103" s="302">
        <v>0.11282633</v>
      </c>
      <c r="S103" s="302">
        <v>0.12522539999999999</v>
      </c>
      <c r="T103" s="302">
        <v>4.8989140000000007E-2</v>
      </c>
      <c r="U103" s="302">
        <v>0.11889219000000001</v>
      </c>
      <c r="V103" s="302">
        <v>0.13178966</v>
      </c>
      <c r="W103" s="302">
        <v>1.6299999999999999E-2</v>
      </c>
      <c r="X103" s="302">
        <v>-3.1936999999999998E-3</v>
      </c>
      <c r="Y103" s="302">
        <v>9.2499999999999999E-2</v>
      </c>
      <c r="Z103" s="302">
        <v>0.17532105000000001</v>
      </c>
      <c r="AA103" s="302">
        <v>3.7499999999999999E-2</v>
      </c>
      <c r="AB103" s="302">
        <v>5.5099999999999996E-2</v>
      </c>
      <c r="AC103" s="302">
        <v>6.6773700000000002E-3</v>
      </c>
      <c r="AD103" s="302">
        <v>-2.0158100000000003E-3</v>
      </c>
      <c r="AE103" s="302">
        <v>-1.1415010000000001E-2</v>
      </c>
      <c r="AF103" s="302">
        <v>5.0007699999999999E-3</v>
      </c>
      <c r="AG103" s="302">
        <v>7.2766100000000002E-3</v>
      </c>
      <c r="AH103" s="302">
        <v>-4.7918659999999995E-2</v>
      </c>
      <c r="AI103" s="302">
        <v>1.1655300000000001E-3</v>
      </c>
      <c r="AJ103" s="302">
        <v>8.7352300000000001E-3</v>
      </c>
      <c r="AK103" s="302">
        <v>-3.9196500000000002E-3</v>
      </c>
      <c r="AL103" s="302">
        <v>-1.288865E-2</v>
      </c>
      <c r="AM103" s="302">
        <v>-3.5820660000000004E-2</v>
      </c>
      <c r="AN103" s="302">
        <v>-0.12176472000000001</v>
      </c>
      <c r="AO103" s="302">
        <v>-0.14434658</v>
      </c>
      <c r="AP103" s="302">
        <v>-0.11278249000000001</v>
      </c>
      <c r="AQ103" s="302">
        <v>-4.7395220000000002E-2</v>
      </c>
      <c r="AR103" s="302">
        <v>-0.20874001</v>
      </c>
      <c r="AS103" s="302">
        <v>-0.15887441000000002</v>
      </c>
      <c r="AT103" s="302">
        <v>-0.13778333000000001</v>
      </c>
      <c r="AU103" s="302">
        <v>-0.15510951000000001</v>
      </c>
      <c r="AV103" s="302">
        <v>-7.4722270000000007E-2</v>
      </c>
      <c r="AW103" s="302">
        <v>-0.14489225</v>
      </c>
      <c r="AX103" s="302">
        <v>-0.15808943</v>
      </c>
      <c r="AY103" s="302">
        <v>5.9999999999999995E-4</v>
      </c>
    </row>
    <row r="104" spans="1:51" x14ac:dyDescent="0.2">
      <c r="A104" s="303">
        <v>38047</v>
      </c>
      <c r="B104" s="302">
        <v>6.1110600000000006E-3</v>
      </c>
      <c r="C104" s="302">
        <v>2.2062709999999999E-2</v>
      </c>
      <c r="D104" s="302">
        <v>5.3599949999999993E-2</v>
      </c>
      <c r="E104" s="302">
        <v>2.8237849999999998E-2</v>
      </c>
      <c r="F104" s="302">
        <v>4.7320070000000006E-2</v>
      </c>
      <c r="G104" s="302">
        <v>3.5671919999999996E-2</v>
      </c>
      <c r="H104" s="302">
        <v>3.2606959999999997E-2</v>
      </c>
      <c r="I104" s="302">
        <v>3.8285779999999998E-2</v>
      </c>
      <c r="J104" s="302">
        <v>3.6957110000000001E-2</v>
      </c>
      <c r="K104" s="302">
        <v>-4.6165999999999997E-4</v>
      </c>
      <c r="L104" s="302">
        <v>2.8543209999999999E-2</v>
      </c>
      <c r="M104" s="302">
        <v>7.0926329999999996E-2</v>
      </c>
      <c r="N104" s="302">
        <v>4.8604349999999998E-2</v>
      </c>
      <c r="O104" s="302">
        <v>0.18191811999999999</v>
      </c>
      <c r="P104" s="302">
        <v>2.1105390000000002E-2</v>
      </c>
      <c r="Q104" s="302">
        <v>3.5346309999999999E-2</v>
      </c>
      <c r="R104" s="302">
        <v>2.4400829999999998E-2</v>
      </c>
      <c r="S104" s="302">
        <v>8.056896999999999E-2</v>
      </c>
      <c r="T104" s="302">
        <v>6.1475439999999999E-2</v>
      </c>
      <c r="U104" s="302">
        <v>9.7385219999999995E-2</v>
      </c>
      <c r="V104" s="302">
        <v>0.10972927</v>
      </c>
      <c r="W104" s="302">
        <v>2.2400000000000003E-2</v>
      </c>
      <c r="X104" s="302">
        <v>2.09897E-2</v>
      </c>
      <c r="Y104" s="302">
        <v>2.6000000000000002E-2</v>
      </c>
      <c r="Z104" s="302">
        <v>6.7695550000000007E-2</v>
      </c>
      <c r="AA104" s="302">
        <v>2.0400000000000001E-2</v>
      </c>
      <c r="AB104" s="302">
        <v>1.6899999999999998E-2</v>
      </c>
      <c r="AC104" s="302">
        <v>6.1110600000000006E-3</v>
      </c>
      <c r="AD104" s="302">
        <v>2.2062709999999999E-2</v>
      </c>
      <c r="AE104" s="302">
        <v>5.3599949999999993E-2</v>
      </c>
      <c r="AF104" s="302">
        <v>3.5671919999999996E-2</v>
      </c>
      <c r="AG104" s="302">
        <v>3.2606959999999997E-2</v>
      </c>
      <c r="AH104" s="302">
        <v>8.4660349999999995E-2</v>
      </c>
      <c r="AI104" s="302">
        <v>-1.301779E-2</v>
      </c>
      <c r="AJ104" s="302">
        <v>-3.3913900000000002E-3</v>
      </c>
      <c r="AK104" s="302">
        <v>-2.8237849999999998E-2</v>
      </c>
      <c r="AL104" s="302">
        <v>-3.8285779999999998E-2</v>
      </c>
      <c r="AM104" s="302">
        <v>-3.6670319999999999E-2</v>
      </c>
      <c r="AN104" s="302">
        <v>-1.693277E-2</v>
      </c>
      <c r="AO104" s="302">
        <v>-5.8837460000000001E-2</v>
      </c>
      <c r="AP104" s="302">
        <v>-4.8604349999999998E-2</v>
      </c>
      <c r="AQ104" s="302">
        <v>-0.17391306000000001</v>
      </c>
      <c r="AR104" s="302">
        <v>-8.5976799999999999E-3</v>
      </c>
      <c r="AS104" s="302">
        <v>-2.833397E-2</v>
      </c>
      <c r="AT104" s="302">
        <v>-1.503878E-2</v>
      </c>
      <c r="AU104" s="302">
        <v>-6.9716E-2</v>
      </c>
      <c r="AV104" s="302">
        <v>-5.4286130000000002E-2</v>
      </c>
      <c r="AW104" s="302">
        <v>-9.2386330000000003E-2</v>
      </c>
      <c r="AX104" s="302">
        <v>-0.10467415000000001</v>
      </c>
      <c r="AY104" s="302">
        <v>2.9999999999999997E-4</v>
      </c>
    </row>
    <row r="105" spans="1:51" x14ac:dyDescent="0.2">
      <c r="A105" s="303">
        <v>38139</v>
      </c>
      <c r="B105" s="302">
        <v>4.9300799999999999E-3</v>
      </c>
      <c r="C105" s="302">
        <v>-2.3008479999999998E-2</v>
      </c>
      <c r="D105" s="302">
        <v>-5.2135509999999996E-2</v>
      </c>
      <c r="E105" s="302">
        <v>-2.8199019999999998E-2</v>
      </c>
      <c r="F105" s="302">
        <v>-5.367574E-2</v>
      </c>
      <c r="G105" s="302">
        <v>-2.4832049999999998E-2</v>
      </c>
      <c r="H105" s="302">
        <v>-2.8154460000000003E-2</v>
      </c>
      <c r="I105" s="302">
        <v>-2.490786E-2</v>
      </c>
      <c r="J105" s="302">
        <v>-3.34191E-2</v>
      </c>
      <c r="K105" s="302">
        <v>-1.776117E-2</v>
      </c>
      <c r="L105" s="302">
        <v>3.4900559999999997E-2</v>
      </c>
      <c r="M105" s="302">
        <v>2.0802670000000002E-2</v>
      </c>
      <c r="N105" s="302">
        <v>-2.4639999999999997E-4</v>
      </c>
      <c r="O105" s="302">
        <v>-1.5021139999999999E-2</v>
      </c>
      <c r="P105" s="302">
        <v>5.1608400000000006E-2</v>
      </c>
      <c r="Q105" s="302">
        <v>3.2604470000000003E-2</v>
      </c>
      <c r="R105" s="302">
        <v>4.6258189999999998E-2</v>
      </c>
      <c r="S105" s="302">
        <v>-3.3756359999999999E-2</v>
      </c>
      <c r="T105" s="302">
        <v>-1.1446609999999999E-2</v>
      </c>
      <c r="U105" s="302">
        <v>-0.10066380000000001</v>
      </c>
      <c r="V105" s="302">
        <v>-8.0005579999999993E-2</v>
      </c>
      <c r="W105" s="302">
        <v>2.3599999999999999E-2</v>
      </c>
      <c r="X105" s="302">
        <v>2.72038E-2</v>
      </c>
      <c r="Y105" s="302">
        <v>4.0549999999999996E-2</v>
      </c>
      <c r="Z105" s="302">
        <v>2.4070950000000001E-2</v>
      </c>
      <c r="AA105" s="302">
        <v>8.6E-3</v>
      </c>
      <c r="AB105" s="302">
        <v>2.6099999999999998E-2</v>
      </c>
      <c r="AC105" s="302">
        <v>4.9300799999999999E-3</v>
      </c>
      <c r="AD105" s="302">
        <v>-2.3008479999999998E-2</v>
      </c>
      <c r="AE105" s="302">
        <v>-5.2135509999999996E-2</v>
      </c>
      <c r="AF105" s="302">
        <v>-2.4832049999999998E-2</v>
      </c>
      <c r="AG105" s="302">
        <v>-2.8154460000000003E-2</v>
      </c>
      <c r="AH105" s="302">
        <v>-0.13408530000000002</v>
      </c>
      <c r="AI105" s="302">
        <v>-5.5442440000000003E-2</v>
      </c>
      <c r="AJ105" s="302">
        <v>-4.9094759999999994E-2</v>
      </c>
      <c r="AK105" s="302">
        <v>2.8199019999999998E-2</v>
      </c>
      <c r="AL105" s="302">
        <v>2.490786E-2</v>
      </c>
      <c r="AM105" s="302">
        <v>5.5937299999999995E-2</v>
      </c>
      <c r="AN105" s="302">
        <v>-1.7211279999999999E-2</v>
      </c>
      <c r="AO105" s="302">
        <v>-3.3543600000000002E-3</v>
      </c>
      <c r="AP105" s="302">
        <v>2.4639999999999997E-4</v>
      </c>
      <c r="AQ105" s="302">
        <v>2.5122729999999999E-2</v>
      </c>
      <c r="AR105" s="302">
        <v>-3.7993699999999998E-2</v>
      </c>
      <c r="AS105" s="302">
        <v>-2.2014450000000001E-2</v>
      </c>
      <c r="AT105" s="302">
        <v>-3.4906010000000001E-2</v>
      </c>
      <c r="AU105" s="302">
        <v>4.5215079999999998E-2</v>
      </c>
      <c r="AV105" s="302">
        <v>2.1584859999999997E-2</v>
      </c>
      <c r="AW105" s="302">
        <v>0.10890636000000001</v>
      </c>
      <c r="AX105" s="302">
        <v>8.8437470000000004E-2</v>
      </c>
      <c r="AY105" s="302">
        <v>0</v>
      </c>
    </row>
    <row r="106" spans="1:51" x14ac:dyDescent="0.2">
      <c r="A106" s="303">
        <v>38231</v>
      </c>
      <c r="B106" s="302">
        <v>5.0341499999999994E-3</v>
      </c>
      <c r="C106" s="302">
        <v>2.2596569999999996E-2</v>
      </c>
      <c r="D106" s="302">
        <v>6.4169299999999999E-2</v>
      </c>
      <c r="E106" s="302">
        <v>3.3662310000000001E-2</v>
      </c>
      <c r="F106" s="302">
        <v>7.1860019999999997E-2</v>
      </c>
      <c r="G106" s="302">
        <v>3.092199E-2</v>
      </c>
      <c r="H106" s="302">
        <v>4.7404640000000005E-2</v>
      </c>
      <c r="I106" s="302">
        <v>3.1549809999999998E-2</v>
      </c>
      <c r="J106" s="302">
        <v>4.662268E-2</v>
      </c>
      <c r="K106" s="302">
        <v>3.3770790000000002E-2</v>
      </c>
      <c r="L106" s="302">
        <v>-7.2008070000000007E-2</v>
      </c>
      <c r="M106" s="302">
        <v>-7.8148689999999993E-2</v>
      </c>
      <c r="N106" s="302">
        <v>1.8803730000000001E-2</v>
      </c>
      <c r="O106" s="302">
        <v>-0.12984772</v>
      </c>
      <c r="P106" s="302">
        <v>-4.8031319999999995E-2</v>
      </c>
      <c r="Q106" s="302">
        <v>-2.9866239999999999E-2</v>
      </c>
      <c r="R106" s="302">
        <v>-7.6295580000000002E-2</v>
      </c>
      <c r="S106" s="302">
        <v>3.0762360000000002E-2</v>
      </c>
      <c r="T106" s="302">
        <v>6.2631590000000001E-2</v>
      </c>
      <c r="U106" s="302">
        <v>-4.5025300000000002E-3</v>
      </c>
      <c r="V106" s="302">
        <v>2.371063E-2</v>
      </c>
      <c r="W106" s="302">
        <v>3.1699999999999999E-2</v>
      </c>
      <c r="X106" s="302">
        <v>2.0915499999999997E-2</v>
      </c>
      <c r="Y106" s="302">
        <v>1.7600000000000001E-2</v>
      </c>
      <c r="Z106" s="302">
        <v>0.11885865000000001</v>
      </c>
      <c r="AA106" s="302">
        <v>1.9699999999999999E-2</v>
      </c>
      <c r="AB106" s="302">
        <v>7.4000000000000003E-3</v>
      </c>
      <c r="AC106" s="302">
        <v>5.0341499999999994E-3</v>
      </c>
      <c r="AD106" s="302">
        <v>2.2596569999999996E-2</v>
      </c>
      <c r="AE106" s="302">
        <v>6.4169299999999999E-2</v>
      </c>
      <c r="AF106" s="302">
        <v>3.092199E-2</v>
      </c>
      <c r="AG106" s="302">
        <v>4.7404640000000005E-2</v>
      </c>
      <c r="AH106" s="302">
        <v>0.13422692999999999</v>
      </c>
      <c r="AI106" s="302">
        <v>9.0299249999999998E-2</v>
      </c>
      <c r="AJ106" s="302">
        <v>4.6661109999999999E-2</v>
      </c>
      <c r="AK106" s="302">
        <v>-3.3662310000000001E-2</v>
      </c>
      <c r="AL106" s="302">
        <v>-3.1549809999999998E-2</v>
      </c>
      <c r="AM106" s="302">
        <v>-4.9186E-4</v>
      </c>
      <c r="AN106" s="302">
        <v>1.8670969999999999E-2</v>
      </c>
      <c r="AO106" s="302">
        <v>2.5164529999999997E-2</v>
      </c>
      <c r="AP106" s="302">
        <v>-1.8803730000000001E-2</v>
      </c>
      <c r="AQ106" s="302">
        <v>9.9840090000000006E-2</v>
      </c>
      <c r="AR106" s="302">
        <v>1.3390899999999999E-2</v>
      </c>
      <c r="AS106" s="302">
        <v>-3.5893000000000001E-3</v>
      </c>
      <c r="AT106" s="302">
        <v>4.2215860000000001E-2</v>
      </c>
      <c r="AU106" s="302">
        <v>-6.7511599999999991E-2</v>
      </c>
      <c r="AV106" s="302">
        <v>-9.9276959999999997E-2</v>
      </c>
      <c r="AW106" s="302">
        <v>-2.9096639999999997E-2</v>
      </c>
      <c r="AX106" s="302">
        <v>-5.8262029999999992E-2</v>
      </c>
      <c r="AY106" s="302">
        <v>1E-4</v>
      </c>
    </row>
    <row r="107" spans="1:51" x14ac:dyDescent="0.2">
      <c r="A107" s="303">
        <v>38322</v>
      </c>
      <c r="B107" s="302">
        <v>6.1893900000000003E-3</v>
      </c>
      <c r="C107" s="302">
        <v>2.1791499999999999E-3</v>
      </c>
      <c r="D107" s="302">
        <v>1.569922E-2</v>
      </c>
      <c r="E107" s="302">
        <v>7.6789200000000005E-3</v>
      </c>
      <c r="F107" s="302">
        <v>2.9590100000000001E-2</v>
      </c>
      <c r="G107" s="302">
        <v>3.3599909999999997E-2</v>
      </c>
      <c r="H107" s="302">
        <v>4.8107189999999994E-2</v>
      </c>
      <c r="I107" s="302">
        <v>3.6101689999999999E-2</v>
      </c>
      <c r="J107" s="302">
        <v>5.4254439999999994E-2</v>
      </c>
      <c r="K107" s="302">
        <v>8.8905500000000005E-3</v>
      </c>
      <c r="L107" s="302">
        <v>3.8701069999999997E-2</v>
      </c>
      <c r="M107" s="302">
        <v>8.6162509999999998E-2</v>
      </c>
      <c r="N107" s="302">
        <v>7.1848460000000003E-2</v>
      </c>
      <c r="O107" s="302">
        <v>6.6261E-2</v>
      </c>
      <c r="P107" s="302">
        <v>0.12237327000000001</v>
      </c>
      <c r="Q107" s="302">
        <v>6.8525809999999993E-2</v>
      </c>
      <c r="R107" s="302">
        <v>8.2676399999999997E-2</v>
      </c>
      <c r="S107" s="302">
        <v>0.13681226000000002</v>
      </c>
      <c r="T107" s="302">
        <v>4.836708E-2</v>
      </c>
      <c r="U107" s="302">
        <v>8.6195280000000013E-2</v>
      </c>
      <c r="V107" s="302">
        <v>0.11511627000000001</v>
      </c>
      <c r="W107" s="302">
        <v>3.7400000000000003E-2</v>
      </c>
      <c r="X107" s="302">
        <v>3.6067999999999996E-2</v>
      </c>
      <c r="Y107" s="302">
        <v>0.14165</v>
      </c>
      <c r="Z107" s="302">
        <v>5.1762379999999997E-2</v>
      </c>
      <c r="AA107" s="302">
        <v>5.96E-2</v>
      </c>
      <c r="AB107" s="302">
        <v>0.14630000000000001</v>
      </c>
      <c r="AC107" s="302">
        <v>6.1893900000000003E-3</v>
      </c>
      <c r="AD107" s="302">
        <v>2.1791499999999999E-3</v>
      </c>
      <c r="AE107" s="302">
        <v>1.569922E-2</v>
      </c>
      <c r="AF107" s="302">
        <v>3.3599909999999997E-2</v>
      </c>
      <c r="AG107" s="302">
        <v>4.8107189999999994E-2</v>
      </c>
      <c r="AH107" s="302">
        <v>7.2765299999999998E-3</v>
      </c>
      <c r="AI107" s="302">
        <v>8.6941909999999997E-2</v>
      </c>
      <c r="AJ107" s="302">
        <v>9.8257299999999995E-3</v>
      </c>
      <c r="AK107" s="302">
        <v>-7.6789200000000005E-3</v>
      </c>
      <c r="AL107" s="302">
        <v>-3.6101689999999999E-2</v>
      </c>
      <c r="AM107" s="302">
        <v>-6.2028769999999997E-2</v>
      </c>
      <c r="AN107" s="302">
        <v>-9.2303070000000001E-2</v>
      </c>
      <c r="AO107" s="302">
        <v>-0.14221374000000001</v>
      </c>
      <c r="AP107" s="302">
        <v>-7.1848460000000003E-2</v>
      </c>
      <c r="AQ107" s="302">
        <v>-9.9275540000000009E-2</v>
      </c>
      <c r="AR107" s="302">
        <v>-0.1622402</v>
      </c>
      <c r="AS107" s="302">
        <v>-0.10161046999999999</v>
      </c>
      <c r="AT107" s="302">
        <v>-0.11514720000000001</v>
      </c>
      <c r="AU107" s="302">
        <v>-0.17518198000000001</v>
      </c>
      <c r="AV107" s="302">
        <v>-8.0827570000000015E-2</v>
      </c>
      <c r="AW107" s="302">
        <v>-0.11791491000000001</v>
      </c>
      <c r="AX107" s="302">
        <v>-0.14768046000000001</v>
      </c>
      <c r="AY107" s="302">
        <v>1E-4</v>
      </c>
    </row>
    <row r="108" spans="1:51" x14ac:dyDescent="0.2">
      <c r="A108" s="303">
        <v>38412</v>
      </c>
      <c r="B108" s="302">
        <v>5.9293599999999998E-3</v>
      </c>
      <c r="C108" s="302">
        <v>-6.7719900000000003E-3</v>
      </c>
      <c r="D108" s="302">
        <v>5.8890100000000001E-3</v>
      </c>
      <c r="E108" s="302">
        <v>-1.1686490000000001E-2</v>
      </c>
      <c r="F108" s="302">
        <v>-6.5966800000000006E-3</v>
      </c>
      <c r="G108" s="302">
        <v>8.5080699999999995E-3</v>
      </c>
      <c r="H108" s="302">
        <v>2.1528239999999997E-2</v>
      </c>
      <c r="I108" s="302">
        <v>1.1259269999999998E-2</v>
      </c>
      <c r="J108" s="302">
        <v>1.9864369999999999E-2</v>
      </c>
      <c r="K108" s="302">
        <v>1.4468410000000001E-2</v>
      </c>
      <c r="L108" s="302">
        <v>-1.2999670000000001E-2</v>
      </c>
      <c r="M108" s="302">
        <v>-2.3006240000000001E-2</v>
      </c>
      <c r="N108" s="302">
        <v>4.3581469999999997E-2</v>
      </c>
      <c r="O108" s="302">
        <v>-2.98066E-3</v>
      </c>
      <c r="P108" s="302">
        <v>1.048991E-2</v>
      </c>
      <c r="Q108" s="302">
        <v>2.3600910000000003E-2</v>
      </c>
      <c r="R108" s="302">
        <v>9.1784699999999993E-3</v>
      </c>
      <c r="S108" s="302">
        <v>3.191306E-2</v>
      </c>
      <c r="T108" s="302">
        <v>-2.02557E-3</v>
      </c>
      <c r="U108" s="302">
        <v>3.8543269999999998E-2</v>
      </c>
      <c r="V108" s="302">
        <v>2.8197049999999998E-2</v>
      </c>
      <c r="W108" s="302">
        <v>3.2500000000000001E-2</v>
      </c>
      <c r="X108" s="302">
        <v>2.6541899999999997E-2</v>
      </c>
      <c r="Y108" s="302">
        <v>2.2099999999999998E-2</v>
      </c>
      <c r="Z108" s="302">
        <v>0.19485202999999998</v>
      </c>
      <c r="AA108" s="302">
        <v>1.8100000000000002E-2</v>
      </c>
      <c r="AB108" s="302">
        <v>2.0799999999999999E-2</v>
      </c>
      <c r="AC108" s="302">
        <v>5.9293599999999998E-3</v>
      </c>
      <c r="AD108" s="302">
        <v>-6.7719900000000003E-3</v>
      </c>
      <c r="AE108" s="302">
        <v>5.8890100000000001E-3</v>
      </c>
      <c r="AF108" s="302">
        <v>8.5080699999999995E-3</v>
      </c>
      <c r="AG108" s="302">
        <v>2.1528239999999997E-2</v>
      </c>
      <c r="AH108" s="302">
        <v>2.3272750000000002E-2</v>
      </c>
      <c r="AI108" s="302">
        <v>9.9202819999999997E-2</v>
      </c>
      <c r="AJ108" s="302">
        <v>2.4654029999999997E-2</v>
      </c>
      <c r="AK108" s="302">
        <v>1.1686490000000001E-2</v>
      </c>
      <c r="AL108" s="302">
        <v>-1.1259269999999998E-2</v>
      </c>
      <c r="AM108" s="302">
        <v>2.4321060000000002E-2</v>
      </c>
      <c r="AN108" s="302">
        <v>2.1483680000000002E-2</v>
      </c>
      <c r="AO108" s="302">
        <v>3.140424E-2</v>
      </c>
      <c r="AP108" s="302">
        <v>-4.3581469999999997E-2</v>
      </c>
      <c r="AQ108" s="302">
        <v>8.1227399999999998E-3</v>
      </c>
      <c r="AR108" s="302">
        <v>-4.1884499999999998E-3</v>
      </c>
      <c r="AS108" s="302">
        <v>-1.832174E-2</v>
      </c>
      <c r="AT108" s="302">
        <v>-1.7442E-3</v>
      </c>
      <c r="AU108" s="302">
        <v>-2.5925520000000001E-2</v>
      </c>
      <c r="AV108" s="302">
        <v>7.1725700000000005E-3</v>
      </c>
      <c r="AW108" s="302">
        <v>-3.363791E-2</v>
      </c>
      <c r="AX108" s="302">
        <v>-2.334056E-2</v>
      </c>
      <c r="AY108" s="302">
        <v>2.0000000000000001E-4</v>
      </c>
    </row>
    <row r="109" spans="1:51" x14ac:dyDescent="0.2">
      <c r="A109" s="303">
        <v>38504</v>
      </c>
      <c r="B109" s="302">
        <v>6.0835200000000002E-3</v>
      </c>
      <c r="C109" s="302">
        <v>2.307992E-2</v>
      </c>
      <c r="D109" s="302">
        <v>7.7520850000000002E-2</v>
      </c>
      <c r="E109" s="302">
        <v>2.7617259999999998E-2</v>
      </c>
      <c r="F109" s="302">
        <v>6.3529849999999999E-2</v>
      </c>
      <c r="G109" s="302">
        <v>4.633864E-2</v>
      </c>
      <c r="H109" s="302">
        <v>7.8618980000000005E-2</v>
      </c>
      <c r="I109" s="302">
        <v>4.7164379999999999E-2</v>
      </c>
      <c r="J109" s="302">
        <v>7.4090409999999995E-2</v>
      </c>
      <c r="K109" s="302">
        <v>1.9393149999999998E-2</v>
      </c>
      <c r="L109" s="302">
        <v>2.6337609999999997E-2</v>
      </c>
      <c r="M109" s="302">
        <v>5.8263700000000002E-2</v>
      </c>
      <c r="N109" s="302">
        <v>3.5810019999999998E-2</v>
      </c>
      <c r="O109" s="302">
        <v>-2.4411559999999999E-2</v>
      </c>
      <c r="P109" s="302">
        <v>7.0060999999999995E-3</v>
      </c>
      <c r="Q109" s="302">
        <v>7.1656699999999999E-3</v>
      </c>
      <c r="R109" s="302">
        <v>6.5668400000000009E-3</v>
      </c>
      <c r="S109" s="302">
        <v>5.2928810000000007E-2</v>
      </c>
      <c r="T109" s="302">
        <v>7.5699889999999992E-2</v>
      </c>
      <c r="U109" s="302">
        <v>4.958941E-2</v>
      </c>
      <c r="V109" s="302">
        <v>5.5408039999999999E-2</v>
      </c>
      <c r="W109" s="302">
        <v>4.7699999999999992E-2</v>
      </c>
      <c r="X109" s="302">
        <v>3.3424099999999998E-2</v>
      </c>
      <c r="Y109" s="302">
        <v>7.6200000000000004E-2</v>
      </c>
      <c r="Z109" s="302">
        <v>0.16100822999999997</v>
      </c>
      <c r="AA109" s="302">
        <v>3.7000000000000005E-2</v>
      </c>
      <c r="AB109" s="302">
        <v>3.6600000000000001E-2</v>
      </c>
      <c r="AC109" s="302">
        <v>6.0835200000000002E-3</v>
      </c>
      <c r="AD109" s="302">
        <v>2.307992E-2</v>
      </c>
      <c r="AE109" s="302">
        <v>7.7520850000000002E-2</v>
      </c>
      <c r="AF109" s="302">
        <v>4.633864E-2</v>
      </c>
      <c r="AG109" s="302">
        <v>7.8618980000000005E-2</v>
      </c>
      <c r="AH109" s="302">
        <v>0.21603959</v>
      </c>
      <c r="AI109" s="302">
        <v>0.11720596999999999</v>
      </c>
      <c r="AJ109" s="302">
        <v>2.3868339999999998E-2</v>
      </c>
      <c r="AK109" s="302">
        <v>-2.7617259999999998E-2</v>
      </c>
      <c r="AL109" s="302">
        <v>-4.7164379999999999E-2</v>
      </c>
      <c r="AM109" s="302">
        <v>1.1161250000000001E-2</v>
      </c>
      <c r="AN109" s="302">
        <v>-1.3686430000000001E-2</v>
      </c>
      <c r="AO109" s="302">
        <v>-4.5218979999999999E-2</v>
      </c>
      <c r="AP109" s="302">
        <v>-3.5810019999999998E-2</v>
      </c>
      <c r="AQ109" s="302">
        <v>3.1626929999999998E-2</v>
      </c>
      <c r="AR109" s="302">
        <v>3.1973E-4</v>
      </c>
      <c r="AS109" s="302">
        <v>2.8324999999999997E-4</v>
      </c>
      <c r="AT109" s="302">
        <v>-2.4642600000000002E-3</v>
      </c>
      <c r="AU109" s="302">
        <v>-4.5217530000000006E-2</v>
      </c>
      <c r="AV109" s="302">
        <v>-6.7744100000000002E-2</v>
      </c>
      <c r="AW109" s="302">
        <v>-4.1775529999999998E-2</v>
      </c>
      <c r="AX109" s="302">
        <v>-4.7550850000000006E-2</v>
      </c>
      <c r="AY109" s="302">
        <v>2.9999999999999997E-4</v>
      </c>
    </row>
    <row r="110" spans="1:51" x14ac:dyDescent="0.2">
      <c r="A110" s="303">
        <v>38596</v>
      </c>
      <c r="B110" s="302">
        <v>6.23472E-3</v>
      </c>
      <c r="C110" s="302">
        <v>-5.2194099999999998E-3</v>
      </c>
      <c r="D110" s="302">
        <v>-2.6291989999999998E-2</v>
      </c>
      <c r="E110" s="302">
        <v>-5.2238900000000001E-3</v>
      </c>
      <c r="F110" s="302">
        <v>-2.6056330000000003E-2</v>
      </c>
      <c r="G110" s="302">
        <v>-2.14022E-3</v>
      </c>
      <c r="H110" s="302">
        <v>7.8269399999999992E-3</v>
      </c>
      <c r="I110" s="302">
        <v>1.4257E-3</v>
      </c>
      <c r="J110" s="302">
        <v>1.2809939999999999E-2</v>
      </c>
      <c r="K110" s="302">
        <v>-2.231381E-2</v>
      </c>
      <c r="L110" s="302">
        <v>-1.689537E-2</v>
      </c>
      <c r="M110" s="302">
        <v>-4.7312700000000001E-3</v>
      </c>
      <c r="N110" s="302">
        <v>0.11633328000000001</v>
      </c>
      <c r="O110" s="302">
        <v>0.1166889</v>
      </c>
      <c r="P110" s="302">
        <v>2.6699359999999998E-2</v>
      </c>
      <c r="Q110" s="302">
        <v>4.9295399999999996E-3</v>
      </c>
      <c r="R110" s="302">
        <v>4.1127940000000002E-2</v>
      </c>
      <c r="S110" s="302">
        <v>5.2395709999999998E-2</v>
      </c>
      <c r="T110" s="302">
        <v>3.4402540000000002E-2</v>
      </c>
      <c r="U110" s="302">
        <v>4.2360160000000001E-2</v>
      </c>
      <c r="V110" s="302">
        <v>0.12078182</v>
      </c>
      <c r="W110" s="302">
        <v>5.0599999999999999E-2</v>
      </c>
      <c r="X110" s="302">
        <v>2.88046E-2</v>
      </c>
      <c r="Y110" s="302">
        <v>7.4349999999999999E-2</v>
      </c>
      <c r="Z110" s="302">
        <v>0.25205040000000001</v>
      </c>
      <c r="AA110" s="302">
        <v>9.4999999999999998E-3</v>
      </c>
      <c r="AB110" s="302">
        <v>3.0600000000000002E-2</v>
      </c>
      <c r="AC110" s="302">
        <v>6.23472E-3</v>
      </c>
      <c r="AD110" s="302">
        <v>-5.2194099999999998E-3</v>
      </c>
      <c r="AE110" s="302">
        <v>-2.6291989999999998E-2</v>
      </c>
      <c r="AF110" s="302">
        <v>-2.14022E-3</v>
      </c>
      <c r="AG110" s="302">
        <v>7.8269399999999992E-3</v>
      </c>
      <c r="AH110" s="302">
        <v>-0.10855935999999999</v>
      </c>
      <c r="AI110" s="302">
        <v>-1.6543220000000001E-2</v>
      </c>
      <c r="AJ110" s="302">
        <v>-2.3499919999999997E-2</v>
      </c>
      <c r="AK110" s="302">
        <v>5.2238900000000001E-3</v>
      </c>
      <c r="AL110" s="302">
        <v>-1.4257E-3</v>
      </c>
      <c r="AM110" s="302">
        <v>6.4179199999999992E-2</v>
      </c>
      <c r="AN110" s="302">
        <v>-3.6048839999999999E-2</v>
      </c>
      <c r="AO110" s="302">
        <v>-4.8868029999999993E-2</v>
      </c>
      <c r="AP110" s="302">
        <v>-0.11633328000000001</v>
      </c>
      <c r="AQ110" s="302">
        <v>-0.15277186000000001</v>
      </c>
      <c r="AR110" s="302">
        <v>-6.1345010000000005E-2</v>
      </c>
      <c r="AS110" s="302">
        <v>-3.7401280000000002E-2</v>
      </c>
      <c r="AT110" s="302">
        <v>-7.2562699999999994E-2</v>
      </c>
      <c r="AU110" s="302">
        <v>-8.7324439999999989E-2</v>
      </c>
      <c r="AV110" s="302">
        <v>-6.7826629999999999E-2</v>
      </c>
      <c r="AW110" s="302">
        <v>-7.5463710000000003E-2</v>
      </c>
      <c r="AX110" s="302">
        <v>-0.15637591000000001</v>
      </c>
      <c r="AY110" s="302">
        <v>2.0000000000000001E-4</v>
      </c>
    </row>
    <row r="111" spans="1:51" x14ac:dyDescent="0.2">
      <c r="A111" s="303">
        <v>38687</v>
      </c>
      <c r="B111" s="302">
        <v>7.2547200000000001E-3</v>
      </c>
      <c r="C111" s="302">
        <v>5.9293899999999997E-3</v>
      </c>
      <c r="D111" s="302">
        <v>1.0147129999999999E-2</v>
      </c>
      <c r="E111" s="302">
        <v>3.8752999999999999E-3</v>
      </c>
      <c r="F111" s="302">
        <v>8.3534999999999998E-3</v>
      </c>
      <c r="G111" s="302">
        <v>1.2454499999999999E-3</v>
      </c>
      <c r="H111" s="302">
        <v>2.6760720000000002E-2</v>
      </c>
      <c r="I111" s="302">
        <v>2.8254499999999997E-3</v>
      </c>
      <c r="J111" s="302">
        <v>2.0106449999999998E-2</v>
      </c>
      <c r="K111" s="302">
        <v>2.47284E-3</v>
      </c>
      <c r="L111" s="302">
        <v>2.1227330000000003E-2</v>
      </c>
      <c r="M111" s="302">
        <v>1.844179E-2</v>
      </c>
      <c r="N111" s="302">
        <v>2.864214E-2</v>
      </c>
      <c r="O111" s="302">
        <v>0.12545109999999998</v>
      </c>
      <c r="P111" s="302">
        <v>2.9100799999999996E-2</v>
      </c>
      <c r="Q111" s="302">
        <v>7.6509300000000002E-3</v>
      </c>
      <c r="R111" s="302">
        <v>7.9829879999999992E-2</v>
      </c>
      <c r="S111" s="302">
        <v>2.1916000000000001E-3</v>
      </c>
      <c r="T111" s="302">
        <v>-1.8462999999999999E-3</v>
      </c>
      <c r="U111" s="302">
        <v>8.7774480000000002E-2</v>
      </c>
      <c r="V111" s="302">
        <v>7.2372729999999996E-2</v>
      </c>
      <c r="W111" s="302">
        <v>5.1200000000000002E-2</v>
      </c>
      <c r="X111" s="302">
        <v>7.5431399999999996E-2</v>
      </c>
      <c r="Y111" s="302">
        <v>7.8550000000000009E-2</v>
      </c>
      <c r="Z111" s="302">
        <v>-2.4630309999999999E-2</v>
      </c>
      <c r="AA111" s="302">
        <v>0.1198</v>
      </c>
      <c r="AB111" s="302">
        <v>0.2278</v>
      </c>
      <c r="AC111" s="302">
        <v>7.2547200000000001E-3</v>
      </c>
      <c r="AD111" s="302">
        <v>5.9293899999999997E-3</v>
      </c>
      <c r="AE111" s="302">
        <v>1.0147129999999999E-2</v>
      </c>
      <c r="AF111" s="302">
        <v>1.2454499999999999E-3</v>
      </c>
      <c r="AG111" s="302">
        <v>2.6760720000000002E-2</v>
      </c>
      <c r="AH111" s="302">
        <v>2.1963099999999999E-3</v>
      </c>
      <c r="AI111" s="302">
        <v>5.3490299999999998E-2</v>
      </c>
      <c r="AJ111" s="302">
        <v>1.203274E-2</v>
      </c>
      <c r="AK111" s="302">
        <v>-3.8752999999999999E-3</v>
      </c>
      <c r="AL111" s="302">
        <v>-2.8254499999999997E-3</v>
      </c>
      <c r="AM111" s="302">
        <v>3.4856199999999997E-2</v>
      </c>
      <c r="AN111" s="302">
        <v>-2.087603E-2</v>
      </c>
      <c r="AO111" s="302">
        <v>-1.8091449999999999E-2</v>
      </c>
      <c r="AP111" s="302">
        <v>-2.864214E-2</v>
      </c>
      <c r="AQ111" s="302">
        <v>-0.12521879999999999</v>
      </c>
      <c r="AR111" s="302">
        <v>-2.2590240000000001E-2</v>
      </c>
      <c r="AS111" s="302">
        <v>-7.4429500000000003E-3</v>
      </c>
      <c r="AT111" s="302">
        <v>-8.0686739999999993E-2</v>
      </c>
      <c r="AU111" s="302">
        <v>1.69483E-3</v>
      </c>
      <c r="AV111" s="302">
        <v>2.0523199999999998E-3</v>
      </c>
      <c r="AW111" s="302">
        <v>-9.0229820000000002E-2</v>
      </c>
      <c r="AX111" s="302">
        <v>-7.4793289999999998E-2</v>
      </c>
      <c r="AY111" s="302">
        <v>2.0000000000000001E-4</v>
      </c>
    </row>
    <row r="112" spans="1:51" x14ac:dyDescent="0.2">
      <c r="A112" s="303">
        <v>38777</v>
      </c>
      <c r="B112" s="302">
        <v>8.4389499999999989E-3</v>
      </c>
      <c r="C112" s="302">
        <v>-2.9827300000000003E-3</v>
      </c>
      <c r="D112" s="302">
        <v>-3.5172639999999998E-2</v>
      </c>
      <c r="E112" s="302">
        <v>-5.2762900000000003E-3</v>
      </c>
      <c r="F112" s="302">
        <v>-3.2316999999999999E-2</v>
      </c>
      <c r="G112" s="302">
        <v>-5.4952999999999998E-3</v>
      </c>
      <c r="H112" s="302">
        <v>-1.7875369999999998E-2</v>
      </c>
      <c r="I112" s="302">
        <v>-5.9458699999999998E-3</v>
      </c>
      <c r="J112" s="302">
        <v>-1.4352130000000001E-2</v>
      </c>
      <c r="K112" s="302">
        <v>-2.1594080000000002E-2</v>
      </c>
      <c r="L112" s="302">
        <v>4.6824640000000001E-2</v>
      </c>
      <c r="M112" s="302">
        <v>0.11650328</v>
      </c>
      <c r="N112" s="302">
        <v>7.9764299999999996E-2</v>
      </c>
      <c r="O112" s="302">
        <v>6.0175470000000002E-2</v>
      </c>
      <c r="P112" s="302">
        <v>0.13076841</v>
      </c>
      <c r="Q112" s="302">
        <v>8.6814490000000008E-2</v>
      </c>
      <c r="R112" s="302">
        <v>7.1437780000000006E-2</v>
      </c>
      <c r="S112" s="302">
        <v>6.0893790000000003E-2</v>
      </c>
      <c r="T112" s="302">
        <v>7.8675220000000004E-2</v>
      </c>
      <c r="U112" s="302">
        <v>0.10156815999999999</v>
      </c>
      <c r="V112" s="302">
        <v>0.12631139</v>
      </c>
      <c r="W112" s="302">
        <v>3.9100000000000003E-2</v>
      </c>
      <c r="X112" s="302">
        <v>3.6427000000000001E-2</v>
      </c>
      <c r="Y112" s="302">
        <v>4.9000000000000002E-2</v>
      </c>
      <c r="Z112" s="302">
        <v>8.9978210000000003E-2</v>
      </c>
      <c r="AA112" s="302">
        <v>2.3099999999999999E-2</v>
      </c>
      <c r="AB112" s="302">
        <v>4.0199999999999993E-2</v>
      </c>
      <c r="AC112" s="302">
        <v>8.4389499999999989E-3</v>
      </c>
      <c r="AD112" s="302">
        <v>-2.9827300000000003E-3</v>
      </c>
      <c r="AE112" s="302">
        <v>-3.5172639999999998E-2</v>
      </c>
      <c r="AF112" s="302">
        <v>-5.4952999999999998E-3</v>
      </c>
      <c r="AG112" s="302">
        <v>-1.7875369999999998E-2</v>
      </c>
      <c r="AH112" s="302">
        <v>-0.11021362999999999</v>
      </c>
      <c r="AI112" s="302">
        <v>-4.3804450000000002E-2</v>
      </c>
      <c r="AJ112" s="302">
        <v>-7.9898499999999997E-3</v>
      </c>
      <c r="AK112" s="302">
        <v>5.2762900000000003E-3</v>
      </c>
      <c r="AL112" s="302">
        <v>5.9458699999999998E-3</v>
      </c>
      <c r="AM112" s="302">
        <v>2.178186E-2</v>
      </c>
      <c r="AN112" s="302">
        <v>-4.2074899999999998E-2</v>
      </c>
      <c r="AO112" s="302">
        <v>-0.11143738</v>
      </c>
      <c r="AP112" s="302">
        <v>-7.9764299999999996E-2</v>
      </c>
      <c r="AQ112" s="302">
        <v>-5.7289279999999998E-2</v>
      </c>
      <c r="AR112" s="302">
        <v>-0.13433514999999999</v>
      </c>
      <c r="AS112" s="302">
        <v>-8.3855780000000005E-2</v>
      </c>
      <c r="AT112" s="302">
        <v>-7.4433970000000002E-2</v>
      </c>
      <c r="AU112" s="302">
        <v>-6.1739519999999999E-2</v>
      </c>
      <c r="AV112" s="302">
        <v>-7.5738659999999999E-2</v>
      </c>
      <c r="AW112" s="302">
        <v>-9.5988019999999993E-2</v>
      </c>
      <c r="AX112" s="302">
        <v>-0.12060591000000001</v>
      </c>
      <c r="AY112" s="302">
        <v>2.0000000000000001E-4</v>
      </c>
    </row>
    <row r="113" spans="1:51" x14ac:dyDescent="0.2">
      <c r="A113" s="303">
        <v>38869</v>
      </c>
      <c r="B113" s="302">
        <v>9.6864199999999994E-3</v>
      </c>
      <c r="C113" s="302">
        <v>3.0470199999999997E-3</v>
      </c>
      <c r="D113" s="302">
        <v>-1.21849E-2</v>
      </c>
      <c r="E113" s="302">
        <v>5.5247999999999994E-4</v>
      </c>
      <c r="F113" s="302">
        <v>-1.839615E-2</v>
      </c>
      <c r="G113" s="302">
        <v>-8.1367499999999999E-3</v>
      </c>
      <c r="H113" s="302">
        <v>-2.9356179999999999E-2</v>
      </c>
      <c r="I113" s="302">
        <v>-8.8247699999999991E-3</v>
      </c>
      <c r="J113" s="302">
        <v>-2.6775500000000001E-2</v>
      </c>
      <c r="K113" s="302">
        <v>-4.62905E-3</v>
      </c>
      <c r="L113" s="302">
        <v>-5.8028120000000002E-2</v>
      </c>
      <c r="M113" s="302">
        <v>-8.5753860000000001E-2</v>
      </c>
      <c r="N113" s="302">
        <v>-3.5047969999999998E-2</v>
      </c>
      <c r="O113" s="302">
        <v>-9.6797500000000009E-2</v>
      </c>
      <c r="P113" s="302">
        <v>-3.2234940000000004E-2</v>
      </c>
      <c r="Q113" s="302">
        <v>1.60249E-3</v>
      </c>
      <c r="R113" s="302">
        <v>-1.7228609999999998E-2</v>
      </c>
      <c r="S113" s="302">
        <v>-8.7772399999999987E-3</v>
      </c>
      <c r="T113" s="302">
        <v>-3.241774E-2</v>
      </c>
      <c r="U113" s="302">
        <v>-6.3191700000000003E-2</v>
      </c>
      <c r="V113" s="302">
        <v>-8.5067530000000002E-2</v>
      </c>
      <c r="W113" s="302">
        <v>4.0999999999999995E-2</v>
      </c>
      <c r="X113" s="302">
        <v>4.3062699999999995E-2</v>
      </c>
      <c r="Y113" s="302">
        <v>4.0050000000000002E-2</v>
      </c>
      <c r="Z113" s="302">
        <v>-1.485964E-2</v>
      </c>
      <c r="AA113" s="302">
        <v>3.49E-2</v>
      </c>
      <c r="AB113" s="302">
        <v>2.4399999999999998E-2</v>
      </c>
      <c r="AC113" s="302">
        <v>9.6864199999999994E-3</v>
      </c>
      <c r="AD113" s="302">
        <v>3.0470199999999997E-3</v>
      </c>
      <c r="AE113" s="302">
        <v>-1.21849E-2</v>
      </c>
      <c r="AF113" s="302">
        <v>-8.1367499999999999E-3</v>
      </c>
      <c r="AG113" s="302">
        <v>-2.9356179999999999E-2</v>
      </c>
      <c r="AH113" s="302">
        <v>-8.7156380000000006E-2</v>
      </c>
      <c r="AI113" s="302">
        <v>-8.7200249999999993E-2</v>
      </c>
      <c r="AJ113" s="302">
        <v>-3.0650719999999999E-2</v>
      </c>
      <c r="AK113" s="302">
        <v>-5.5247999999999994E-4</v>
      </c>
      <c r="AL113" s="302">
        <v>8.8247699999999991E-3</v>
      </c>
      <c r="AM113" s="302">
        <v>-8.1718999999999993E-3</v>
      </c>
      <c r="AN113" s="302">
        <v>1.4405809999999998E-2</v>
      </c>
      <c r="AO113" s="302">
        <v>4.3415519999999999E-2</v>
      </c>
      <c r="AP113" s="302">
        <v>3.5047969999999998E-2</v>
      </c>
      <c r="AQ113" s="302">
        <v>7.1701349999999997E-2</v>
      </c>
      <c r="AR113" s="302">
        <v>2.7811999999999997E-3</v>
      </c>
      <c r="AS113" s="302">
        <v>-2.9432759999999999E-2</v>
      </c>
      <c r="AT113" s="302">
        <v>-1.1592439999999999E-2</v>
      </c>
      <c r="AU113" s="302">
        <v>-2.0368499999999998E-2</v>
      </c>
      <c r="AV113" s="302">
        <v>5.5327499999999995E-3</v>
      </c>
      <c r="AW113" s="302">
        <v>3.8125140000000002E-2</v>
      </c>
      <c r="AX113" s="302">
        <v>6.0586300000000003E-2</v>
      </c>
      <c r="AY113" s="302">
        <v>2.0000000000000001E-4</v>
      </c>
    </row>
    <row r="114" spans="1:51" x14ac:dyDescent="0.2">
      <c r="A114" s="303">
        <v>38961</v>
      </c>
      <c r="B114" s="302">
        <v>1.023103E-2</v>
      </c>
      <c r="C114" s="302">
        <v>2.9225930000000001E-2</v>
      </c>
      <c r="D114" s="302">
        <v>6.4808770000000002E-2</v>
      </c>
      <c r="E114" s="302">
        <v>3.6713429999999998E-2</v>
      </c>
      <c r="F114" s="302">
        <v>7.2251499999999996E-2</v>
      </c>
      <c r="G114" s="302">
        <v>4.8637139999999995E-2</v>
      </c>
      <c r="H114" s="302">
        <v>8.3244650000000003E-2</v>
      </c>
      <c r="I114" s="302">
        <v>5.1217689999999996E-2</v>
      </c>
      <c r="J114" s="302">
        <v>8.2325170000000003E-2</v>
      </c>
      <c r="K114" s="302">
        <v>2.9190710000000002E-2</v>
      </c>
      <c r="L114" s="302">
        <v>5.7979339999999997E-2</v>
      </c>
      <c r="M114" s="302">
        <v>6.4438500000000001E-3</v>
      </c>
      <c r="N114" s="302">
        <v>1.9198699999999999E-2</v>
      </c>
      <c r="O114" s="302">
        <v>-1.1062099999999998E-2</v>
      </c>
      <c r="P114" s="302">
        <v>6.5873500000000001E-2</v>
      </c>
      <c r="Q114" s="302">
        <v>4.6338489999999996E-2</v>
      </c>
      <c r="R114" s="302">
        <v>7.8486330000000007E-2</v>
      </c>
      <c r="S114" s="302">
        <v>3.3095319999999998E-2</v>
      </c>
      <c r="T114" s="302">
        <v>6.8678530000000002E-2</v>
      </c>
      <c r="U114" s="302">
        <v>7.7206650000000002E-2</v>
      </c>
      <c r="V114" s="302">
        <v>5.1134039999999999E-2</v>
      </c>
      <c r="W114" s="302">
        <v>4.1399999999999999E-2</v>
      </c>
      <c r="X114" s="302">
        <v>3.0205799999999998E-2</v>
      </c>
      <c r="Y114" s="302">
        <v>4.0750000000000001E-2</v>
      </c>
      <c r="Z114" s="302">
        <v>-6.6985450000000002E-2</v>
      </c>
      <c r="AA114" s="302">
        <v>8.5000000000000006E-3</v>
      </c>
      <c r="AB114" s="302">
        <v>1.9299999999999998E-2</v>
      </c>
      <c r="AC114" s="302">
        <v>1.023103E-2</v>
      </c>
      <c r="AD114" s="302">
        <v>2.9225930000000001E-2</v>
      </c>
      <c r="AE114" s="302">
        <v>6.4808770000000002E-2</v>
      </c>
      <c r="AF114" s="302">
        <v>4.8637139999999995E-2</v>
      </c>
      <c r="AG114" s="302">
        <v>8.3244650000000003E-2</v>
      </c>
      <c r="AH114" s="302">
        <v>0.15555905</v>
      </c>
      <c r="AI114" s="302">
        <v>0.15752375000000002</v>
      </c>
      <c r="AJ114" s="302">
        <v>2.7828149999999999E-2</v>
      </c>
      <c r="AK114" s="302">
        <v>-3.6713429999999998E-2</v>
      </c>
      <c r="AL114" s="302">
        <v>-5.1217689999999996E-2</v>
      </c>
      <c r="AM114" s="302">
        <v>2.2262100000000002E-3</v>
      </c>
      <c r="AN114" s="302">
        <v>-5.6654259999999998E-2</v>
      </c>
      <c r="AO114" s="302">
        <v>-5.1833199999999999E-3</v>
      </c>
      <c r="AP114" s="302">
        <v>-1.9198699999999999E-2</v>
      </c>
      <c r="AQ114" s="302">
        <v>1.1805270000000001E-2</v>
      </c>
      <c r="AR114" s="302">
        <v>-6.3014840000000003E-2</v>
      </c>
      <c r="AS114" s="302">
        <v>-4.5552189999999999E-2</v>
      </c>
      <c r="AT114" s="302">
        <v>-7.679706E-2</v>
      </c>
      <c r="AU114" s="302">
        <v>-3.1122930000000004E-2</v>
      </c>
      <c r="AV114" s="302">
        <v>-6.7875439999999995E-2</v>
      </c>
      <c r="AW114" s="302">
        <v>-7.7231209999999995E-2</v>
      </c>
      <c r="AX114" s="302">
        <v>-5.1158010000000004E-2</v>
      </c>
      <c r="AY114" s="302">
        <v>2.0000000000000001E-4</v>
      </c>
    </row>
    <row r="115" spans="1:51" x14ac:dyDescent="0.2">
      <c r="A115" s="303">
        <v>39052</v>
      </c>
      <c r="B115" s="302">
        <v>1.039789E-2</v>
      </c>
      <c r="C115" s="302">
        <v>8.9006499999999995E-3</v>
      </c>
      <c r="D115" s="302">
        <v>5.7112399999999994E-3</v>
      </c>
      <c r="E115" s="302">
        <v>1.272773E-2</v>
      </c>
      <c r="F115" s="302">
        <v>1.593777E-2</v>
      </c>
      <c r="G115" s="302">
        <v>4.5902199999999999E-3</v>
      </c>
      <c r="H115" s="302">
        <v>5.7523500000000007E-3</v>
      </c>
      <c r="I115" s="302">
        <v>8.3654200000000001E-3</v>
      </c>
      <c r="J115" s="302">
        <v>1.0057050000000001E-2</v>
      </c>
      <c r="K115" s="302">
        <v>2.9877599999999999E-3</v>
      </c>
      <c r="L115" s="302">
        <v>0.11299091</v>
      </c>
      <c r="M115" s="302">
        <v>0.13385575</v>
      </c>
      <c r="N115" s="302">
        <v>0.10423194000000001</v>
      </c>
      <c r="O115" s="302">
        <v>8.1123410000000007E-2</v>
      </c>
      <c r="P115" s="302">
        <v>0.17836943999999999</v>
      </c>
      <c r="Q115" s="302">
        <v>0.1483495</v>
      </c>
      <c r="R115" s="302">
        <v>0.12490145</v>
      </c>
      <c r="S115" s="302">
        <v>0.21506160999999999</v>
      </c>
      <c r="T115" s="302">
        <v>0.1939178</v>
      </c>
      <c r="U115" s="302">
        <v>0.20174079</v>
      </c>
      <c r="V115" s="302">
        <v>0.22708164</v>
      </c>
      <c r="W115" s="302">
        <v>5.7699999999999994E-2</v>
      </c>
      <c r="X115" s="302">
        <v>8.62483E-2</v>
      </c>
      <c r="Y115" s="302">
        <v>0.11164999999999999</v>
      </c>
      <c r="Z115" s="302">
        <v>9.5271349999999991E-2</v>
      </c>
      <c r="AA115" s="302">
        <v>6.4600000000000005E-2</v>
      </c>
      <c r="AB115" s="302">
        <v>0.11550000000000001</v>
      </c>
      <c r="AC115" s="302">
        <v>1.039789E-2</v>
      </c>
      <c r="AD115" s="302">
        <v>8.9006499999999995E-3</v>
      </c>
      <c r="AE115" s="302">
        <v>5.7112399999999994E-3</v>
      </c>
      <c r="AF115" s="302">
        <v>4.5902199999999999E-3</v>
      </c>
      <c r="AG115" s="302">
        <v>5.7523500000000007E-3</v>
      </c>
      <c r="AH115" s="302">
        <v>-9.8246299999999991E-3</v>
      </c>
      <c r="AI115" s="302">
        <v>-3.028109E-2</v>
      </c>
      <c r="AJ115" s="302">
        <v>2.071195E-2</v>
      </c>
      <c r="AK115" s="302">
        <v>-1.272773E-2</v>
      </c>
      <c r="AL115" s="302">
        <v>-8.3654200000000001E-3</v>
      </c>
      <c r="AM115" s="302">
        <v>-1.0933720000000001E-2</v>
      </c>
      <c r="AN115" s="302">
        <v>-6.6982200000000006E-2</v>
      </c>
      <c r="AO115" s="302">
        <v>-8.6984530000000004E-2</v>
      </c>
      <c r="AP115" s="302">
        <v>-0.10423194000000001</v>
      </c>
      <c r="AQ115" s="302">
        <v>-5.4308579999999995E-2</v>
      </c>
      <c r="AR115" s="302">
        <v>-0.14919921999999999</v>
      </c>
      <c r="AS115" s="302">
        <v>-0.11986727999999999</v>
      </c>
      <c r="AT115" s="302">
        <v>-9.5477030000000004E-2</v>
      </c>
      <c r="AU115" s="302">
        <v>-0.18495916000000001</v>
      </c>
      <c r="AV115" s="302">
        <v>-0.16430536000000001</v>
      </c>
      <c r="AW115" s="302">
        <v>-0.17191065999999999</v>
      </c>
      <c r="AX115" s="302">
        <v>-0.19662248000000002</v>
      </c>
      <c r="AY115" s="302">
        <v>2.0000000000000001E-4</v>
      </c>
    </row>
    <row r="116" spans="1:51" x14ac:dyDescent="0.2">
      <c r="A116" s="303">
        <v>39142</v>
      </c>
      <c r="B116" s="302">
        <v>1.0409939999999999E-2</v>
      </c>
      <c r="C116" s="302">
        <v>1.5281009999999999E-2</v>
      </c>
      <c r="D116" s="302">
        <v>1.0180910000000001E-2</v>
      </c>
      <c r="E116" s="302">
        <v>1.6905570000000002E-2</v>
      </c>
      <c r="F116" s="302">
        <v>9.4211599999999996E-3</v>
      </c>
      <c r="G116" s="302">
        <v>1.0538270000000001E-2</v>
      </c>
      <c r="H116" s="302">
        <v>5.4445600000000002E-3</v>
      </c>
      <c r="I116" s="302">
        <v>1.215627E-2</v>
      </c>
      <c r="J116" s="302">
        <v>7.4693099999999998E-3</v>
      </c>
      <c r="K116" s="302">
        <v>8.9386699999999993E-3</v>
      </c>
      <c r="L116" s="302">
        <v>-3.4389799999999999E-3</v>
      </c>
      <c r="M116" s="302">
        <v>2.5394459999999997E-2</v>
      </c>
      <c r="N116" s="302">
        <v>2.601728E-2</v>
      </c>
      <c r="O116" s="302">
        <v>2.5480230000000003E-2</v>
      </c>
      <c r="P116" s="302">
        <v>3.7979699999999998E-2</v>
      </c>
      <c r="Q116" s="302">
        <v>2.2914609999999998E-2</v>
      </c>
      <c r="R116" s="302">
        <v>1.7639659999999998E-2</v>
      </c>
      <c r="S116" s="302">
        <v>8.6299709999999988E-2</v>
      </c>
      <c r="T116" s="302">
        <v>4.3143909999999994E-2</v>
      </c>
      <c r="U116" s="302">
        <v>-7.3395600000000002E-3</v>
      </c>
      <c r="V116" s="302">
        <v>1.3581559999999999E-2</v>
      </c>
      <c r="W116" s="302">
        <v>4.5999999999999999E-2</v>
      </c>
      <c r="X116" s="302">
        <v>3.41167E-2</v>
      </c>
      <c r="Y116" s="302">
        <v>6.3099999999999989E-2</v>
      </c>
      <c r="Z116" s="302">
        <v>-3.7108100000000002E-3</v>
      </c>
      <c r="AA116" s="302">
        <v>1.8600000000000002E-2</v>
      </c>
      <c r="AB116" s="302">
        <v>2.1299999999999999E-2</v>
      </c>
      <c r="AC116" s="302">
        <v>1.0409939999999999E-2</v>
      </c>
      <c r="AD116" s="302">
        <v>1.5281009999999999E-2</v>
      </c>
      <c r="AE116" s="302">
        <v>1.0180910000000001E-2</v>
      </c>
      <c r="AF116" s="302">
        <v>1.0538270000000001E-2</v>
      </c>
      <c r="AG116" s="302">
        <v>5.4445600000000002E-3</v>
      </c>
      <c r="AH116" s="302">
        <v>-2.7371010000000001E-2</v>
      </c>
      <c r="AI116" s="302">
        <v>-1.3953189999999999E-2</v>
      </c>
      <c r="AJ116" s="302">
        <v>4.0218300000000005E-3</v>
      </c>
      <c r="AK116" s="302">
        <v>-1.6905570000000002E-2</v>
      </c>
      <c r="AL116" s="302">
        <v>-1.215627E-2</v>
      </c>
      <c r="AM116" s="302">
        <v>-1.46499E-2</v>
      </c>
      <c r="AN116" s="302">
        <v>-6.4006200000000001E-3</v>
      </c>
      <c r="AO116" s="302">
        <v>-3.551874E-2</v>
      </c>
      <c r="AP116" s="302">
        <v>-2.601728E-2</v>
      </c>
      <c r="AQ116" s="302">
        <v>-3.1555309999999996E-2</v>
      </c>
      <c r="AR116" s="302">
        <v>-4.2927340000000001E-2</v>
      </c>
      <c r="AS116" s="302">
        <v>-2.8974489999999999E-2</v>
      </c>
      <c r="AT116" s="302">
        <v>-2.5518700000000002E-2</v>
      </c>
      <c r="AU116" s="302">
        <v>-9.1977680000000006E-2</v>
      </c>
      <c r="AV116" s="302">
        <v>-4.9323629999999993E-2</v>
      </c>
      <c r="AW116" s="302">
        <v>1.0014799999999999E-3</v>
      </c>
      <c r="AX116" s="302">
        <v>-2.005322E-2</v>
      </c>
      <c r="AY116" s="302">
        <v>1E-4</v>
      </c>
    </row>
    <row r="117" spans="1:51" x14ac:dyDescent="0.2">
      <c r="A117" s="303">
        <v>39234</v>
      </c>
      <c r="B117" s="302">
        <v>1.0449759999999999E-2</v>
      </c>
      <c r="C117" s="302">
        <v>4.481E-5</v>
      </c>
      <c r="D117" s="302">
        <v>-1.9766280000000001E-2</v>
      </c>
      <c r="E117" s="302">
        <v>-4.0100700000000001E-3</v>
      </c>
      <c r="F117" s="302">
        <v>-1.712762E-2</v>
      </c>
      <c r="G117" s="302">
        <v>-1.77666E-2</v>
      </c>
      <c r="H117" s="302">
        <v>-2.95769E-2</v>
      </c>
      <c r="I117" s="302">
        <v>-2.444263E-2</v>
      </c>
      <c r="J117" s="302">
        <v>-4.0308529999999995E-2</v>
      </c>
      <c r="K117" s="302">
        <v>-1.427454E-2</v>
      </c>
      <c r="L117" s="302">
        <v>-1.9232809999999999E-2</v>
      </c>
      <c r="M117" s="302">
        <v>-3.1555849999999996E-2</v>
      </c>
      <c r="N117" s="302">
        <v>6.2849130000000003E-2</v>
      </c>
      <c r="O117" s="302">
        <v>-8.4753010000000004E-2</v>
      </c>
      <c r="P117" s="302">
        <v>1.5979879999999998E-2</v>
      </c>
      <c r="Q117" s="302">
        <v>-9.4837099999999994E-3</v>
      </c>
      <c r="R117" s="302">
        <v>-4.3758749999999999E-2</v>
      </c>
      <c r="S117" s="302">
        <v>1.9514260000000002E-2</v>
      </c>
      <c r="T117" s="302">
        <v>4.3406300000000002E-2</v>
      </c>
      <c r="U117" s="302">
        <v>9.341627000000001E-2</v>
      </c>
      <c r="V117" s="302">
        <v>6.1919009999999997E-2</v>
      </c>
      <c r="W117" s="302">
        <v>5.9299999999999999E-2</v>
      </c>
      <c r="X117" s="302">
        <v>4.1203099999999999E-2</v>
      </c>
      <c r="Y117" s="302">
        <v>7.2050000000000003E-2</v>
      </c>
      <c r="Z117" s="302">
        <v>8.0303540000000007E-2</v>
      </c>
      <c r="AA117" s="302">
        <v>2.3099999999999999E-2</v>
      </c>
      <c r="AB117" s="302">
        <v>2.3300000000000001E-2</v>
      </c>
      <c r="AC117" s="302">
        <v>1.0449759999999999E-2</v>
      </c>
      <c r="AD117" s="302">
        <v>4.481E-5</v>
      </c>
      <c r="AE117" s="302">
        <v>-1.9766280000000001E-2</v>
      </c>
      <c r="AF117" s="302">
        <v>-1.77666E-2</v>
      </c>
      <c r="AG117" s="302">
        <v>-2.95769E-2</v>
      </c>
      <c r="AH117" s="302">
        <v>-0.11388256000000001</v>
      </c>
      <c r="AI117" s="302">
        <v>-6.0961179999999997E-2</v>
      </c>
      <c r="AJ117" s="302">
        <v>-1.883023E-2</v>
      </c>
      <c r="AK117" s="302">
        <v>4.0100700000000001E-3</v>
      </c>
      <c r="AL117" s="302">
        <v>2.444263E-2</v>
      </c>
      <c r="AM117" s="302">
        <v>8.6913649999999995E-2</v>
      </c>
      <c r="AN117" s="302">
        <v>-6.2781599999999993E-2</v>
      </c>
      <c r="AO117" s="302">
        <v>-4.9428080000000006E-2</v>
      </c>
      <c r="AP117" s="302">
        <v>-6.2849130000000003E-2</v>
      </c>
      <c r="AQ117" s="302">
        <v>3.8831749999999998E-2</v>
      </c>
      <c r="AR117" s="302">
        <v>-6.7831219999999998E-2</v>
      </c>
      <c r="AS117" s="302">
        <v>-4.0214090000000001E-2</v>
      </c>
      <c r="AT117" s="302">
        <v>-4.0387599999999997E-3</v>
      </c>
      <c r="AU117" s="302">
        <v>-7.1211179999999999E-2</v>
      </c>
      <c r="AV117" s="302">
        <v>-9.5757780000000001E-2</v>
      </c>
      <c r="AW117" s="302">
        <v>-0.14791816000000002</v>
      </c>
      <c r="AX117" s="302">
        <v>-0.11485089</v>
      </c>
      <c r="AY117" s="302">
        <v>0</v>
      </c>
    </row>
    <row r="118" spans="1:51" x14ac:dyDescent="0.2">
      <c r="A118" s="303">
        <v>39326</v>
      </c>
      <c r="B118" s="302">
        <v>1.0982670000000002E-2</v>
      </c>
      <c r="C118" s="302">
        <v>3.3580560000000002E-2</v>
      </c>
      <c r="D118" s="302">
        <v>4.8744379999999997E-2</v>
      </c>
      <c r="E118" s="302">
        <v>2.0491570000000001E-2</v>
      </c>
      <c r="F118" s="302">
        <v>2.1490390000000002E-2</v>
      </c>
      <c r="G118" s="302">
        <v>2.54249E-2</v>
      </c>
      <c r="H118" s="302">
        <v>1.866835E-2</v>
      </c>
      <c r="I118" s="302">
        <v>6.3448800000000007E-3</v>
      </c>
      <c r="J118" s="302">
        <v>-4.2246200000000001E-3</v>
      </c>
      <c r="K118" s="302">
        <v>2.6556609999999998E-2</v>
      </c>
      <c r="L118" s="302">
        <v>-4.768555E-2</v>
      </c>
      <c r="M118" s="302">
        <v>-8.9995270000000002E-2</v>
      </c>
      <c r="N118" s="302">
        <v>1.9876400000000002E-2</v>
      </c>
      <c r="O118" s="302">
        <v>-8.3974080000000006E-2</v>
      </c>
      <c r="P118" s="302">
        <v>-4.1299820000000001E-2</v>
      </c>
      <c r="Q118" s="302">
        <v>-6.1718260000000004E-2</v>
      </c>
      <c r="R118" s="302">
        <v>-5.1006080000000002E-2</v>
      </c>
      <c r="S118" s="302">
        <v>4.1773900000000003E-2</v>
      </c>
      <c r="T118" s="302">
        <v>0.10648041</v>
      </c>
      <c r="U118" s="302">
        <v>0.11031352999999999</v>
      </c>
      <c r="V118" s="302">
        <v>6.890309E-2</v>
      </c>
      <c r="W118" s="302">
        <v>4.7599999999999996E-2</v>
      </c>
      <c r="X118" s="302">
        <v>3.4916599999999999E-2</v>
      </c>
      <c r="Y118" s="302">
        <v>2.3250000000000003E-2</v>
      </c>
      <c r="Z118" s="302">
        <v>-1.757367E-2</v>
      </c>
      <c r="AA118" s="302">
        <v>3.9E-2</v>
      </c>
      <c r="AB118" s="302">
        <v>2.76E-2</v>
      </c>
      <c r="AC118" s="302">
        <v>1.0982670000000002E-2</v>
      </c>
      <c r="AD118" s="302">
        <v>3.3580560000000002E-2</v>
      </c>
      <c r="AE118" s="302">
        <v>4.8744379999999997E-2</v>
      </c>
      <c r="AF118" s="302">
        <v>2.54249E-2</v>
      </c>
      <c r="AG118" s="302">
        <v>1.866835E-2</v>
      </c>
      <c r="AH118" s="302">
        <v>0.10399692999999999</v>
      </c>
      <c r="AI118" s="302">
        <v>-2.225893E-2</v>
      </c>
      <c r="AJ118" s="302">
        <v>2.1081599999999999E-2</v>
      </c>
      <c r="AK118" s="302">
        <v>-2.0491570000000001E-2</v>
      </c>
      <c r="AL118" s="302">
        <v>-6.3448800000000007E-3</v>
      </c>
      <c r="AM118" s="302">
        <v>-7.3210159999999996E-2</v>
      </c>
      <c r="AN118" s="302">
        <v>-2.0302709999999998E-2</v>
      </c>
      <c r="AO118" s="302">
        <v>2.5027609999999999E-2</v>
      </c>
      <c r="AP118" s="302">
        <v>-1.9876400000000002E-2</v>
      </c>
      <c r="AQ118" s="302">
        <v>4.4735569999999995E-2</v>
      </c>
      <c r="AR118" s="302">
        <v>1.0717999999999999E-3</v>
      </c>
      <c r="AS118" s="302">
        <v>2.1526399999999998E-2</v>
      </c>
      <c r="AT118" s="302">
        <v>1.11033E-2</v>
      </c>
      <c r="AU118" s="302">
        <v>-8.583724999999999E-2</v>
      </c>
      <c r="AV118" s="302">
        <v>-0.15387714999999999</v>
      </c>
      <c r="AW118" s="302">
        <v>-0.15824726</v>
      </c>
      <c r="AX118" s="302">
        <v>-0.11504906999999999</v>
      </c>
      <c r="AY118" s="302">
        <v>8.0000000000000004E-4</v>
      </c>
    </row>
    <row r="119" spans="1:51" x14ac:dyDescent="0.2">
      <c r="A119" s="303">
        <v>39417</v>
      </c>
      <c r="B119" s="302">
        <v>1.0171680000000001E-2</v>
      </c>
      <c r="C119" s="302">
        <v>3.3575670000000002E-2</v>
      </c>
      <c r="D119" s="302">
        <v>5.5865359999999996E-2</v>
      </c>
      <c r="E119" s="302">
        <v>2.173245E-2</v>
      </c>
      <c r="F119" s="302">
        <v>2.2250779999999998E-2</v>
      </c>
      <c r="G119" s="302">
        <v>2.6888789999999999E-2</v>
      </c>
      <c r="H119" s="302">
        <v>5.0273600000000002E-2</v>
      </c>
      <c r="I119" s="302">
        <v>1.6279490000000001E-2</v>
      </c>
      <c r="J119" s="302">
        <v>3.6751269999999996E-2</v>
      </c>
      <c r="K119" s="302">
        <v>2.165916E-2</v>
      </c>
      <c r="L119" s="302">
        <v>-3.4095640000000003E-2</v>
      </c>
      <c r="M119" s="302">
        <v>-4.394025E-2</v>
      </c>
      <c r="N119" s="302">
        <v>-1.2460629999999999E-2</v>
      </c>
      <c r="O119" s="302">
        <v>-5.906434E-2</v>
      </c>
      <c r="P119" s="302">
        <v>2.45036E-3</v>
      </c>
      <c r="Q119" s="302">
        <v>-3.064269E-2</v>
      </c>
      <c r="R119" s="302">
        <v>-2.5945559999999999E-2</v>
      </c>
      <c r="S119" s="302">
        <v>-4.594177E-2</v>
      </c>
      <c r="T119" s="302">
        <v>3.2911200000000002E-3</v>
      </c>
      <c r="U119" s="302">
        <v>1.1798799999999999E-3</v>
      </c>
      <c r="V119" s="302">
        <v>3.572446E-2</v>
      </c>
      <c r="W119" s="302">
        <v>3.8199999999999998E-2</v>
      </c>
      <c r="X119" s="302">
        <v>7.9879499999999992E-2</v>
      </c>
      <c r="Y119" s="302">
        <v>1.345E-2</v>
      </c>
      <c r="Z119" s="302">
        <v>4.1511600000000003E-2</v>
      </c>
      <c r="AA119" s="302">
        <v>9.3800000000000008E-2</v>
      </c>
      <c r="AB119" s="302">
        <v>7.9199999999999993E-2</v>
      </c>
      <c r="AC119" s="302">
        <v>1.0171680000000001E-2</v>
      </c>
      <c r="AD119" s="302">
        <v>3.3575670000000002E-2</v>
      </c>
      <c r="AE119" s="302">
        <v>5.5865359999999996E-2</v>
      </c>
      <c r="AF119" s="302">
        <v>2.6888789999999999E-2</v>
      </c>
      <c r="AG119" s="302">
        <v>5.0273600000000002E-2</v>
      </c>
      <c r="AH119" s="302">
        <v>0.11498239</v>
      </c>
      <c r="AI119" s="302">
        <v>0.12086503</v>
      </c>
      <c r="AJ119" s="302">
        <v>2.2224629999999999E-2</v>
      </c>
      <c r="AK119" s="302">
        <v>-2.173245E-2</v>
      </c>
      <c r="AL119" s="302">
        <v>-1.6279490000000001E-2</v>
      </c>
      <c r="AM119" s="302">
        <v>-4.8980439999999993E-2</v>
      </c>
      <c r="AN119" s="302">
        <v>3.3318020000000004E-2</v>
      </c>
      <c r="AO119" s="302">
        <v>4.3170550000000002E-2</v>
      </c>
      <c r="AP119" s="302">
        <v>1.2460629999999999E-2</v>
      </c>
      <c r="AQ119" s="302">
        <v>5.8609830000000002E-2</v>
      </c>
      <c r="AR119" s="302">
        <v>-8.9816099999999992E-3</v>
      </c>
      <c r="AS119" s="302">
        <v>3.0174449999999998E-2</v>
      </c>
      <c r="AT119" s="302">
        <v>2.3858869999999997E-2</v>
      </c>
      <c r="AU119" s="302">
        <v>4.2026750000000002E-2</v>
      </c>
      <c r="AV119" s="302">
        <v>-3.77575E-3</v>
      </c>
      <c r="AW119" s="302">
        <v>7.3661000000000006E-4</v>
      </c>
      <c r="AX119" s="302">
        <v>-3.3741840000000002E-2</v>
      </c>
      <c r="AY119" s="302">
        <v>1.6000000000000001E-3</v>
      </c>
    </row>
    <row r="120" spans="1:51" x14ac:dyDescent="0.2">
      <c r="A120" s="303">
        <v>39508</v>
      </c>
      <c r="B120" s="302">
        <v>8.9568800000000004E-3</v>
      </c>
      <c r="C120" s="302">
        <v>4.1108830000000006E-2</v>
      </c>
      <c r="D120" s="302">
        <v>3.7519110000000001E-2</v>
      </c>
      <c r="E120" s="302">
        <v>1.288514E-2</v>
      </c>
      <c r="F120" s="302">
        <v>-2.02414E-2</v>
      </c>
      <c r="G120" s="302">
        <v>4.7433709999999997E-2</v>
      </c>
      <c r="H120" s="302">
        <v>2.1982059999999998E-2</v>
      </c>
      <c r="I120" s="302">
        <v>2.3997899999999999E-2</v>
      </c>
      <c r="J120" s="302">
        <v>-3.34937E-3</v>
      </c>
      <c r="K120" s="302">
        <v>2.7786240000000004E-2</v>
      </c>
      <c r="L120" s="302">
        <v>-6.4373150000000004E-2</v>
      </c>
      <c r="M120" s="302">
        <v>-6.3567720000000008E-2</v>
      </c>
      <c r="N120" s="302">
        <v>-2.843445E-2</v>
      </c>
      <c r="O120" s="302">
        <v>-4.1373179999999996E-2</v>
      </c>
      <c r="P120" s="302">
        <v>-4.9929050000000003E-2</v>
      </c>
      <c r="Q120" s="302">
        <v>-7.5134839999999994E-2</v>
      </c>
      <c r="R120" s="302">
        <v>2.071943E-2</v>
      </c>
      <c r="S120" s="302">
        <v>-7.8708479999999997E-2</v>
      </c>
      <c r="T120" s="302">
        <v>-0.13752114000000001</v>
      </c>
      <c r="U120" s="302">
        <v>-0.11254868999999999</v>
      </c>
      <c r="V120" s="302">
        <v>-7.9661099999999999E-2</v>
      </c>
      <c r="W120" s="302">
        <v>1.9599999999999999E-2</v>
      </c>
      <c r="X120" s="302">
        <v>2.9217699999999999E-2</v>
      </c>
      <c r="Y120" s="302">
        <v>-1.1850000000000001E-2</v>
      </c>
      <c r="Z120" s="302">
        <v>1.3453250000000002E-2</v>
      </c>
      <c r="AA120" s="302">
        <v>4.4999999999999998E-2</v>
      </c>
      <c r="AB120" s="302">
        <v>1.1699999999999999E-2</v>
      </c>
      <c r="AC120" s="302">
        <v>8.9568800000000004E-3</v>
      </c>
      <c r="AD120" s="302">
        <v>4.1108830000000006E-2</v>
      </c>
      <c r="AE120" s="302">
        <v>3.7519110000000001E-2</v>
      </c>
      <c r="AF120" s="302">
        <v>4.7433709999999997E-2</v>
      </c>
      <c r="AG120" s="302">
        <v>2.1982059999999998E-2</v>
      </c>
      <c r="AH120" s="302">
        <v>9.58624E-2</v>
      </c>
      <c r="AI120" s="302">
        <v>3.5473279999999996E-2</v>
      </c>
      <c r="AJ120" s="302">
        <v>1.255102E-2</v>
      </c>
      <c r="AK120" s="302">
        <v>-1.288514E-2</v>
      </c>
      <c r="AL120" s="302">
        <v>-2.3997899999999999E-2</v>
      </c>
      <c r="AM120" s="302">
        <v>-0.17183552999999999</v>
      </c>
      <c r="AN120" s="302">
        <v>9.4445899999999999E-2</v>
      </c>
      <c r="AO120" s="302">
        <v>9.3666350000000009E-2</v>
      </c>
      <c r="AP120" s="302">
        <v>2.843445E-2</v>
      </c>
      <c r="AQ120" s="302">
        <v>5.9860280000000002E-2</v>
      </c>
      <c r="AR120" s="302">
        <v>7.3994179999999993E-2</v>
      </c>
      <c r="AS120" s="302">
        <v>9.2970950000000011E-2</v>
      </c>
      <c r="AT120" s="302">
        <v>8.460839999999999E-3</v>
      </c>
      <c r="AU120" s="302">
        <v>9.9773239999999999E-2</v>
      </c>
      <c r="AV120" s="302">
        <v>0.15415412000000001</v>
      </c>
      <c r="AW120" s="302">
        <v>0.12746173999999999</v>
      </c>
      <c r="AX120" s="302">
        <v>9.5126810000000006E-2</v>
      </c>
      <c r="AY120" s="302">
        <v>2.7000000000000001E-3</v>
      </c>
    </row>
    <row r="121" spans="1:51" x14ac:dyDescent="0.2">
      <c r="A121" s="303">
        <v>39600</v>
      </c>
      <c r="B121" s="302">
        <v>5.4405899999999995E-3</v>
      </c>
      <c r="C121" s="302">
        <v>-1.841054E-2</v>
      </c>
      <c r="D121" s="302">
        <v>-2.2470279999999999E-2</v>
      </c>
      <c r="E121" s="302">
        <v>-1.003708E-2</v>
      </c>
      <c r="F121" s="302">
        <v>-6.0847100000000001E-3</v>
      </c>
      <c r="G121" s="302">
        <v>-1.184002E-2</v>
      </c>
      <c r="H121" s="302">
        <v>-9.5370400000000001E-3</v>
      </c>
      <c r="I121" s="302">
        <v>-5.6839600000000001E-3</v>
      </c>
      <c r="J121" s="302">
        <v>-1.385105E-2</v>
      </c>
      <c r="K121" s="302">
        <v>-2.652678E-2</v>
      </c>
      <c r="L121" s="302">
        <v>-3.3805349999999998E-2</v>
      </c>
      <c r="M121" s="302">
        <v>7.0469199999999999E-3</v>
      </c>
      <c r="N121" s="302">
        <v>9.0919059999999996E-2</v>
      </c>
      <c r="O121" s="302">
        <v>1.5591820000000001E-2</v>
      </c>
      <c r="P121" s="302">
        <v>-6.0890890000000003E-2</v>
      </c>
      <c r="Q121" s="302">
        <v>-1.2160610000000001E-2</v>
      </c>
      <c r="R121" s="302">
        <v>-6.1619200000000006E-2</v>
      </c>
      <c r="S121" s="302">
        <v>3.1163180000000002E-2</v>
      </c>
      <c r="T121" s="302">
        <v>-3.4117660000000001E-2</v>
      </c>
      <c r="U121" s="302">
        <v>-9.6914840000000002E-2</v>
      </c>
      <c r="V121" s="302">
        <v>-1.47312E-2</v>
      </c>
      <c r="W121" s="302">
        <v>5.1999999999999998E-3</v>
      </c>
      <c r="X121" s="302">
        <v>2.8150300000000003E-2</v>
      </c>
      <c r="Y121" s="302">
        <v>2.5999999999999999E-3</v>
      </c>
      <c r="Z121" s="302">
        <v>0.20445636</v>
      </c>
      <c r="AA121" s="302">
        <v>1.01E-2</v>
      </c>
      <c r="AB121" s="302">
        <v>4.4999999999999998E-2</v>
      </c>
      <c r="AC121" s="302">
        <v>5.4405899999999995E-3</v>
      </c>
      <c r="AD121" s="302">
        <v>-1.841054E-2</v>
      </c>
      <c r="AE121" s="302">
        <v>-2.2470279999999999E-2</v>
      </c>
      <c r="AF121" s="302">
        <v>-1.184002E-2</v>
      </c>
      <c r="AG121" s="302">
        <v>-9.5370400000000001E-3</v>
      </c>
      <c r="AH121" s="302">
        <v>-6.6690310000000003E-2</v>
      </c>
      <c r="AI121" s="302">
        <v>-4.4105069999999996E-2</v>
      </c>
      <c r="AJ121" s="302">
        <v>-1.438713E-2</v>
      </c>
      <c r="AK121" s="302">
        <v>1.003708E-2</v>
      </c>
      <c r="AL121" s="302">
        <v>5.6839600000000001E-3</v>
      </c>
      <c r="AM121" s="302">
        <v>9.0040449999999994E-2</v>
      </c>
      <c r="AN121" s="302">
        <v>2.7268050000000002E-2</v>
      </c>
      <c r="AO121" s="302">
        <v>-1.386064E-2</v>
      </c>
      <c r="AP121" s="302">
        <v>-9.0919059999999996E-2</v>
      </c>
      <c r="AQ121" s="302">
        <v>-1.9714739999999998E-2</v>
      </c>
      <c r="AR121" s="302">
        <v>5.2799169999999999E-2</v>
      </c>
      <c r="AS121" s="302">
        <v>8.1503600000000006E-3</v>
      </c>
      <c r="AT121" s="302">
        <v>5.2446770000000004E-2</v>
      </c>
      <c r="AU121" s="302">
        <v>-3.8176169999999995E-2</v>
      </c>
      <c r="AV121" s="302">
        <v>3.0196540000000001E-2</v>
      </c>
      <c r="AW121" s="302">
        <v>9.4880650000000011E-2</v>
      </c>
      <c r="AX121" s="302">
        <v>1.2511899999999999E-2</v>
      </c>
      <c r="AY121" s="302">
        <v>3.8E-3</v>
      </c>
    </row>
    <row r="122" spans="1:51" x14ac:dyDescent="0.2">
      <c r="A122" s="303">
        <v>39692</v>
      </c>
      <c r="B122" s="302">
        <v>5.5963899999999997E-3</v>
      </c>
      <c r="C122" s="302">
        <v>1.7912580000000001E-2</v>
      </c>
      <c r="D122" s="302">
        <v>2.583717E-2</v>
      </c>
      <c r="E122" s="302">
        <v>-5.5959149999999999E-2</v>
      </c>
      <c r="F122" s="302">
        <v>-8.7763460000000001E-2</v>
      </c>
      <c r="G122" s="302">
        <v>6.1403600000000001E-3</v>
      </c>
      <c r="H122" s="302">
        <v>-2.5632780000000001E-2</v>
      </c>
      <c r="I122" s="302">
        <v>-1.7846770000000001E-2</v>
      </c>
      <c r="J122" s="302">
        <v>-5.1224510000000001E-2</v>
      </c>
      <c r="K122" s="302">
        <v>1.5777579999999999E-2</v>
      </c>
      <c r="L122" s="302">
        <v>-4.3895419999999997E-2</v>
      </c>
      <c r="M122" s="302">
        <v>-2.669007E-2</v>
      </c>
      <c r="N122" s="302">
        <v>-0.18215904999999999</v>
      </c>
      <c r="O122" s="302">
        <v>-0.13471884000000001</v>
      </c>
      <c r="P122" s="302">
        <v>-0.18228550999999998</v>
      </c>
      <c r="Q122" s="302">
        <v>-0.17826751999999998</v>
      </c>
      <c r="R122" s="302">
        <v>-9.0484500000000009E-2</v>
      </c>
      <c r="S122" s="302">
        <v>-0.22686557000000002</v>
      </c>
      <c r="T122" s="302">
        <v>-0.18827621</v>
      </c>
      <c r="U122" s="302">
        <v>-0.19602467999999998</v>
      </c>
      <c r="V122" s="302">
        <v>-0.23680458000000001</v>
      </c>
      <c r="W122" s="302">
        <v>-3.0999999999999999E-3</v>
      </c>
      <c r="X122" s="302">
        <v>2.25863E-2</v>
      </c>
      <c r="Y122" s="302">
        <v>-6.8750000000000006E-2</v>
      </c>
      <c r="Z122" s="302">
        <v>-0.22879157999999999</v>
      </c>
      <c r="AA122" s="302">
        <v>9.8999999999999991E-3</v>
      </c>
      <c r="AB122" s="302">
        <v>2.0899999999999998E-2</v>
      </c>
      <c r="AC122" s="302">
        <v>5.5963899999999997E-3</v>
      </c>
      <c r="AD122" s="302">
        <v>1.7912580000000001E-2</v>
      </c>
      <c r="AE122" s="302">
        <v>2.583717E-2</v>
      </c>
      <c r="AF122" s="302">
        <v>6.1403600000000001E-3</v>
      </c>
      <c r="AG122" s="302">
        <v>-2.5632780000000001E-2</v>
      </c>
      <c r="AH122" s="302">
        <v>9.4674140000000004E-2</v>
      </c>
      <c r="AI122" s="302">
        <v>-0.17450024</v>
      </c>
      <c r="AJ122" s="302">
        <v>1.795861E-2</v>
      </c>
      <c r="AK122" s="302">
        <v>5.5959149999999999E-2</v>
      </c>
      <c r="AL122" s="302">
        <v>1.7846770000000001E-2</v>
      </c>
      <c r="AM122" s="302">
        <v>-3.370099E-2</v>
      </c>
      <c r="AN122" s="302">
        <v>8.3699410000000002E-2</v>
      </c>
      <c r="AO122" s="302">
        <v>6.7210350000000002E-2</v>
      </c>
      <c r="AP122" s="302">
        <v>0.18215904999999999</v>
      </c>
      <c r="AQ122" s="302">
        <v>0.15633257</v>
      </c>
      <c r="AR122" s="302">
        <v>0.20614414</v>
      </c>
      <c r="AS122" s="302">
        <v>0.19879345000000001</v>
      </c>
      <c r="AT122" s="302">
        <v>0.11665837</v>
      </c>
      <c r="AU122" s="302">
        <v>0.24809186</v>
      </c>
      <c r="AV122" s="302">
        <v>0.20855214</v>
      </c>
      <c r="AW122" s="302">
        <v>0.21471633000000001</v>
      </c>
      <c r="AX122" s="302">
        <v>0.25454813999999998</v>
      </c>
      <c r="AY122" s="302">
        <v>3.3E-3</v>
      </c>
    </row>
    <row r="123" spans="1:51" x14ac:dyDescent="0.2">
      <c r="A123" s="303">
        <v>39783</v>
      </c>
      <c r="B123" s="302">
        <v>5.3692700000000006E-3</v>
      </c>
      <c r="C123" s="302">
        <v>6.1607669999999996E-2</v>
      </c>
      <c r="D123" s="302">
        <v>0.17921928000000001</v>
      </c>
      <c r="E123" s="302">
        <v>2.7205309999999996E-2</v>
      </c>
      <c r="F123" s="302">
        <v>8.1565520000000002E-2</v>
      </c>
      <c r="G123" s="302">
        <v>7.2181309999999999E-2</v>
      </c>
      <c r="H123" s="302">
        <v>7.6334429999999995E-2</v>
      </c>
      <c r="I123" s="302">
        <v>-1.209527E-2</v>
      </c>
      <c r="J123" s="302">
        <v>-5.3093320000000006E-2</v>
      </c>
      <c r="K123" s="302">
        <v>2.961944E-2</v>
      </c>
      <c r="L123" s="302">
        <v>-0.10742093000000001</v>
      </c>
      <c r="M123" s="302">
        <v>-0.15669940000000002</v>
      </c>
      <c r="N123" s="302">
        <v>-0.22710819000000002</v>
      </c>
      <c r="O123" s="302">
        <v>6.0309229999999998E-2</v>
      </c>
      <c r="P123" s="302">
        <v>-0.10170261</v>
      </c>
      <c r="Q123" s="302">
        <v>-0.14300666000000001</v>
      </c>
      <c r="R123" s="302">
        <v>6.5106600000000006E-3</v>
      </c>
      <c r="S123" s="302">
        <v>-0.14782134999999999</v>
      </c>
      <c r="T123" s="302">
        <v>-0.16525287</v>
      </c>
      <c r="U123" s="302">
        <v>-0.10241883</v>
      </c>
      <c r="V123" s="302">
        <v>-0.17162883999999998</v>
      </c>
      <c r="W123" s="302">
        <v>-9.2600000000000002E-2</v>
      </c>
      <c r="X123" s="302">
        <v>-5.8069999999999997E-3</v>
      </c>
      <c r="Y123" s="302">
        <v>-0.1489</v>
      </c>
      <c r="Z123" s="302">
        <v>-0.23739180999999998</v>
      </c>
      <c r="AA123" s="302">
        <v>2.7400000000000001E-2</v>
      </c>
      <c r="AB123" s="302">
        <v>7.3300000000000004E-2</v>
      </c>
      <c r="AC123" s="302">
        <v>5.3692700000000006E-3</v>
      </c>
      <c r="AD123" s="302">
        <v>6.1607669999999996E-2</v>
      </c>
      <c r="AE123" s="302">
        <v>0.17921928000000001</v>
      </c>
      <c r="AF123" s="302">
        <v>7.2181309999999999E-2</v>
      </c>
      <c r="AG123" s="302">
        <v>7.6334429999999995E-2</v>
      </c>
      <c r="AH123" s="302">
        <v>0.82726635000000004</v>
      </c>
      <c r="AI123" s="302">
        <v>4.2938879999999999E-2</v>
      </c>
      <c r="AJ123" s="302">
        <v>6.585705E-2</v>
      </c>
      <c r="AK123" s="302">
        <v>-2.7205309999999996E-2</v>
      </c>
      <c r="AL123" s="302">
        <v>1.209527E-2</v>
      </c>
      <c r="AM123" s="302">
        <v>-0.28355437999999999</v>
      </c>
      <c r="AN123" s="302">
        <v>0.21943345</v>
      </c>
      <c r="AO123" s="302">
        <v>0.26252780999999997</v>
      </c>
      <c r="AP123" s="302">
        <v>0.22710819000000002</v>
      </c>
      <c r="AQ123" s="302">
        <v>1.9527659999999999E-2</v>
      </c>
      <c r="AR123" s="302">
        <v>0.18194299</v>
      </c>
      <c r="AS123" s="302">
        <v>0.20753471000000001</v>
      </c>
      <c r="AT123" s="302">
        <v>8.3524180000000003E-2</v>
      </c>
      <c r="AU123" s="302">
        <v>0.21877066000000001</v>
      </c>
      <c r="AV123" s="302">
        <v>0.22810587000000002</v>
      </c>
      <c r="AW123" s="302">
        <v>0.16447202</v>
      </c>
      <c r="AX123" s="302">
        <v>0.22889728000000001</v>
      </c>
      <c r="AY123" s="302">
        <v>2.8999999999999998E-3</v>
      </c>
    </row>
    <row r="124" spans="1:51" x14ac:dyDescent="0.2">
      <c r="A124" s="303">
        <v>39873</v>
      </c>
      <c r="B124" s="302">
        <v>1.97028E-3</v>
      </c>
      <c r="C124" s="302">
        <v>-7.8019000000000005E-4</v>
      </c>
      <c r="D124" s="302">
        <v>-5.2954790000000002E-2</v>
      </c>
      <c r="E124" s="302">
        <v>-4.9415000000000006E-4</v>
      </c>
      <c r="F124" s="302">
        <v>-6.93965E-2</v>
      </c>
      <c r="G124" s="302">
        <v>1.5846349999999999E-2</v>
      </c>
      <c r="H124" s="302">
        <v>-3.2865799999999999E-3</v>
      </c>
      <c r="I124" s="302">
        <v>4.660007E-2</v>
      </c>
      <c r="J124" s="302">
        <v>3.4422689999999999E-2</v>
      </c>
      <c r="K124" s="302">
        <v>-6.7195900000000001E-3</v>
      </c>
      <c r="L124" s="302">
        <v>-7.7866629999999992E-2</v>
      </c>
      <c r="M124" s="302">
        <v>-8.2214670000000004E-2</v>
      </c>
      <c r="N124" s="302">
        <v>-2.0040119999999998E-2</v>
      </c>
      <c r="O124" s="302">
        <v>-0.13391907</v>
      </c>
      <c r="P124" s="302">
        <v>-0.14751755999999999</v>
      </c>
      <c r="Q124" s="302">
        <v>-8.715038E-2</v>
      </c>
      <c r="R124" s="302">
        <v>-0.13328999</v>
      </c>
      <c r="S124" s="302">
        <v>3.6293100000000002E-3</v>
      </c>
      <c r="T124" s="302">
        <v>-3.9950999999999997E-3</v>
      </c>
      <c r="U124" s="302">
        <v>5.3428199999999995E-2</v>
      </c>
      <c r="V124" s="302">
        <v>4.6849499999999995E-2</v>
      </c>
      <c r="W124" s="302">
        <v>-7.9699999999999993E-2</v>
      </c>
      <c r="X124" s="302">
        <v>-7.5101999999999999E-3</v>
      </c>
      <c r="Y124" s="302">
        <v>-3.6499999999999998E-2</v>
      </c>
      <c r="Z124" s="302">
        <v>-1.0515999999999999E-4</v>
      </c>
      <c r="AA124" s="302">
        <v>7.3000000000000001E-3</v>
      </c>
      <c r="AB124" s="302">
        <v>1.32E-2</v>
      </c>
      <c r="AC124" s="302">
        <v>1.97028E-3</v>
      </c>
      <c r="AD124" s="302">
        <v>-7.8019000000000005E-4</v>
      </c>
      <c r="AE124" s="302">
        <v>-5.2954790000000002E-2</v>
      </c>
      <c r="AF124" s="302">
        <v>1.5846349999999999E-2</v>
      </c>
      <c r="AG124" s="302">
        <v>-3.2865799999999999E-3</v>
      </c>
      <c r="AH124" s="302">
        <v>-0.16045006999999997</v>
      </c>
      <c r="AI124" s="302">
        <v>-8.9159939999999993E-2</v>
      </c>
      <c r="AJ124" s="302">
        <v>-2.6872159999999999E-2</v>
      </c>
      <c r="AK124" s="302">
        <v>4.9415000000000006E-4</v>
      </c>
      <c r="AL124" s="302">
        <v>-4.660007E-2</v>
      </c>
      <c r="AM124" s="302">
        <v>8.1392579999999992E-2</v>
      </c>
      <c r="AN124" s="302">
        <v>0.11011826</v>
      </c>
      <c r="AO124" s="302">
        <v>0.11431421999999999</v>
      </c>
      <c r="AP124" s="302">
        <v>2.0040119999999998E-2</v>
      </c>
      <c r="AQ124" s="302">
        <v>0.15209377999999998</v>
      </c>
      <c r="AR124" s="302">
        <v>0.15141589</v>
      </c>
      <c r="AS124" s="302">
        <v>0.10630654</v>
      </c>
      <c r="AT124" s="302">
        <v>0.13581238000000001</v>
      </c>
      <c r="AU124" s="302">
        <v>7.6900900000000001E-3</v>
      </c>
      <c r="AV124" s="302">
        <v>2.4896270000000002E-2</v>
      </c>
      <c r="AW124" s="302">
        <v>-2.437464E-2</v>
      </c>
      <c r="AX124" s="302">
        <v>-1.7977380000000001E-2</v>
      </c>
      <c r="AY124" s="302">
        <v>2.8000000000000004E-3</v>
      </c>
    </row>
    <row r="125" spans="1:51" x14ac:dyDescent="0.2">
      <c r="A125" s="303">
        <v>39965</v>
      </c>
      <c r="B125" s="302">
        <v>7.2164000000000006E-4</v>
      </c>
      <c r="C125" s="302">
        <v>-1.4405220000000002E-2</v>
      </c>
      <c r="D125" s="302">
        <v>-6.665625E-2</v>
      </c>
      <c r="E125" s="302">
        <v>7.5864239999999999E-2</v>
      </c>
      <c r="F125" s="302">
        <v>0.12926128000000001</v>
      </c>
      <c r="G125" s="302">
        <v>-1.3417449999999999E-2</v>
      </c>
      <c r="H125" s="302">
        <v>-1.8511700000000001E-3</v>
      </c>
      <c r="I125" s="302">
        <v>8.3052700000000007E-2</v>
      </c>
      <c r="J125" s="302">
        <v>0.13633784000000002</v>
      </c>
      <c r="K125" s="302">
        <v>5.9506800000000007E-3</v>
      </c>
      <c r="L125" s="302">
        <v>6.9463759999999999E-2</v>
      </c>
      <c r="M125" s="302">
        <v>0.10954040000000001</v>
      </c>
      <c r="N125" s="302">
        <v>0.19967964999999999</v>
      </c>
      <c r="O125" s="302">
        <v>0.13797332000000001</v>
      </c>
      <c r="P125" s="302">
        <v>0.17687805999999998</v>
      </c>
      <c r="Q125" s="302">
        <v>0.16563275</v>
      </c>
      <c r="R125" s="302">
        <v>7.9053780000000004E-2</v>
      </c>
      <c r="S125" s="302">
        <v>0.18539470999999999</v>
      </c>
      <c r="T125" s="302">
        <v>0.32266100999999997</v>
      </c>
      <c r="U125" s="302">
        <v>0.23612919000000002</v>
      </c>
      <c r="V125" s="302">
        <v>0.24395085999999999</v>
      </c>
      <c r="W125" s="302">
        <v>-6.5199999999999994E-2</v>
      </c>
      <c r="X125" s="302">
        <v>-3.3373999999999999E-3</v>
      </c>
      <c r="Y125" s="302">
        <v>5.2249999999999998E-2</v>
      </c>
      <c r="Z125" s="302">
        <v>0.19813635000000002</v>
      </c>
      <c r="AA125" s="302">
        <v>-1.2E-2</v>
      </c>
      <c r="AB125" s="302">
        <v>1.15E-2</v>
      </c>
      <c r="AC125" s="302">
        <v>7.2164000000000006E-4</v>
      </c>
      <c r="AD125" s="302">
        <v>-1.4405220000000002E-2</v>
      </c>
      <c r="AE125" s="302">
        <v>-6.665625E-2</v>
      </c>
      <c r="AF125" s="302">
        <v>-1.3417449999999999E-2</v>
      </c>
      <c r="AG125" s="302">
        <v>-1.8511700000000001E-3</v>
      </c>
      <c r="AH125" s="302">
        <v>-0.25980568000000004</v>
      </c>
      <c r="AI125" s="302">
        <v>4.8700029999999998E-2</v>
      </c>
      <c r="AJ125" s="302">
        <v>-3.7949100000000003E-3</v>
      </c>
      <c r="AK125" s="302">
        <v>-7.5864239999999999E-2</v>
      </c>
      <c r="AL125" s="302">
        <v>-8.3052700000000007E-2</v>
      </c>
      <c r="AM125" s="302">
        <v>1.9176099999999999E-3</v>
      </c>
      <c r="AN125" s="302">
        <v>-0.15929061999999999</v>
      </c>
      <c r="AO125" s="302">
        <v>-0.20273340000000001</v>
      </c>
      <c r="AP125" s="302">
        <v>-0.19967964999999999</v>
      </c>
      <c r="AQ125" s="302">
        <v>-0.19532201000000002</v>
      </c>
      <c r="AR125" s="302">
        <v>-0.23545618999999998</v>
      </c>
      <c r="AS125" s="302">
        <v>-0.22437535</v>
      </c>
      <c r="AT125" s="302">
        <v>-0.13499973000000001</v>
      </c>
      <c r="AU125" s="302">
        <v>-0.24467721000000001</v>
      </c>
      <c r="AV125" s="302">
        <v>-0.38931711999999996</v>
      </c>
      <c r="AW125" s="302">
        <v>-0.29871712</v>
      </c>
      <c r="AX125" s="302">
        <v>-0.30693482</v>
      </c>
      <c r="AY125" s="302">
        <v>2.7000000000000001E-3</v>
      </c>
    </row>
    <row r="126" spans="1:51" x14ac:dyDescent="0.2">
      <c r="A126" s="303">
        <v>40057</v>
      </c>
      <c r="B126" s="302">
        <v>4.4386000000000002E-4</v>
      </c>
      <c r="C126" s="302">
        <v>1.6329059999999999E-2</v>
      </c>
      <c r="D126" s="302">
        <v>4.6557550000000003E-2</v>
      </c>
      <c r="E126" s="302">
        <v>6.1010450000000001E-2</v>
      </c>
      <c r="F126" s="302">
        <v>0.1196068</v>
      </c>
      <c r="G126" s="302">
        <v>2.3104010000000001E-2</v>
      </c>
      <c r="H126" s="302">
        <v>3.6405109999999997E-2</v>
      </c>
      <c r="I126" s="302">
        <v>5.821395E-2</v>
      </c>
      <c r="J126" s="302">
        <v>6.7524410000000007E-2</v>
      </c>
      <c r="K126" s="302">
        <v>1.3226180000000001E-2</v>
      </c>
      <c r="L126" s="302">
        <v>6.4126839999999991E-2</v>
      </c>
      <c r="M126" s="302">
        <v>0.10512842999999999</v>
      </c>
      <c r="N126" s="302">
        <v>0.10613526999999999</v>
      </c>
      <c r="O126" s="302">
        <v>-2.6205929999999999E-2</v>
      </c>
      <c r="P126" s="302">
        <v>0.16104287</v>
      </c>
      <c r="Q126" s="302">
        <v>9.1123030000000008E-2</v>
      </c>
      <c r="R126" s="302">
        <v>0.13360044999999998</v>
      </c>
      <c r="S126" s="302">
        <v>0.23081527000000002</v>
      </c>
      <c r="T126" s="302">
        <v>0.10751020999999999</v>
      </c>
      <c r="U126" s="302">
        <v>0.10275109</v>
      </c>
      <c r="V126" s="302">
        <v>0.11411554</v>
      </c>
      <c r="W126" s="302">
        <v>-3.3000000000000002E-2</v>
      </c>
      <c r="X126" s="302">
        <v>8.2799999999999993E-5</v>
      </c>
      <c r="Y126" s="302">
        <v>6.4399999999999999E-2</v>
      </c>
      <c r="Z126" s="302">
        <v>6.4616129999999994E-2</v>
      </c>
      <c r="AA126" s="302">
        <v>2.5999999999999999E-3</v>
      </c>
      <c r="AB126" s="302">
        <v>1.01E-2</v>
      </c>
      <c r="AC126" s="302">
        <v>4.4386000000000002E-4</v>
      </c>
      <c r="AD126" s="302">
        <v>1.6329059999999999E-2</v>
      </c>
      <c r="AE126" s="302">
        <v>4.6557550000000003E-2</v>
      </c>
      <c r="AF126" s="302">
        <v>2.3104010000000001E-2</v>
      </c>
      <c r="AG126" s="302">
        <v>3.6405109999999997E-2</v>
      </c>
      <c r="AH126" s="302">
        <v>7.7398090000000003E-2</v>
      </c>
      <c r="AI126" s="302">
        <v>5.7351979999999997E-2</v>
      </c>
      <c r="AJ126" s="302">
        <v>6.7677399999999995E-3</v>
      </c>
      <c r="AK126" s="302">
        <v>-6.1010450000000001E-2</v>
      </c>
      <c r="AL126" s="302">
        <v>-5.821395E-2</v>
      </c>
      <c r="AM126" s="302">
        <v>-5.8763040000000002E-2</v>
      </c>
      <c r="AN126" s="302">
        <v>-0.15605897000000002</v>
      </c>
      <c r="AO126" s="302">
        <v>-0.20060276999999999</v>
      </c>
      <c r="AP126" s="302">
        <v>-0.10613526999999999</v>
      </c>
      <c r="AQ126" s="302">
        <v>-2.4270920000000001E-2</v>
      </c>
      <c r="AR126" s="302">
        <v>-0.21632989</v>
      </c>
      <c r="AS126" s="302">
        <v>-0.14768166000000002</v>
      </c>
      <c r="AT126" s="302">
        <v>-0.18820388000000002</v>
      </c>
      <c r="AU126" s="302">
        <v>-0.29139849000000001</v>
      </c>
      <c r="AV126" s="302">
        <v>-0.16491828000000003</v>
      </c>
      <c r="AW126" s="302">
        <v>-0.16168797000000001</v>
      </c>
      <c r="AX126" s="302">
        <v>-0.1736598</v>
      </c>
      <c r="AY126" s="302">
        <v>2.7000000000000001E-3</v>
      </c>
    </row>
    <row r="127" spans="1:51" x14ac:dyDescent="0.2">
      <c r="A127" s="303">
        <v>40148</v>
      </c>
      <c r="B127" s="302">
        <v>4.9908000000000005E-4</v>
      </c>
      <c r="C127" s="302">
        <v>-4.1514300000000002E-3</v>
      </c>
      <c r="D127" s="302">
        <v>-5.0735700000000002E-2</v>
      </c>
      <c r="E127" s="302">
        <v>1.606177E-2</v>
      </c>
      <c r="F127" s="302">
        <v>-7.2630500000000001E-3</v>
      </c>
      <c r="G127" s="302">
        <v>-9.5901300000000005E-3</v>
      </c>
      <c r="H127" s="302">
        <v>-1.8032060000000003E-2</v>
      </c>
      <c r="I127" s="302">
        <v>1.1250119999999999E-2</v>
      </c>
      <c r="J127" s="302">
        <v>3.0954100000000003E-3</v>
      </c>
      <c r="K127" s="302">
        <v>7.2233699999999998E-3</v>
      </c>
      <c r="L127" s="302">
        <v>4.1172719999999996E-2</v>
      </c>
      <c r="M127" s="302">
        <v>3.1743559999999997E-2</v>
      </c>
      <c r="N127" s="302">
        <v>3.8553130000000005E-2</v>
      </c>
      <c r="O127" s="302">
        <v>-5.5631830000000007E-2</v>
      </c>
      <c r="P127" s="302">
        <v>-1.1584829999999999E-2</v>
      </c>
      <c r="Q127" s="302">
        <v>5.223274E-2</v>
      </c>
      <c r="R127" s="302">
        <v>1.4158980000000002E-2</v>
      </c>
      <c r="S127" s="302">
        <v>2.5177170000000002E-2</v>
      </c>
      <c r="T127" s="302">
        <v>5.6093440000000001E-2</v>
      </c>
      <c r="U127" s="302">
        <v>4.8146979999999999E-2</v>
      </c>
      <c r="V127" s="302">
        <v>6.6092479999999995E-2</v>
      </c>
      <c r="W127" s="302">
        <v>-2.75E-2</v>
      </c>
      <c r="X127" s="302">
        <v>-1.5514500000000001E-2</v>
      </c>
      <c r="Y127" s="302">
        <v>6.0499999999999998E-2</v>
      </c>
      <c r="Z127" s="302">
        <v>4.5342250000000001E-2</v>
      </c>
      <c r="AA127" s="302">
        <v>-4.5499999999999999E-2</v>
      </c>
      <c r="AB127" s="302">
        <v>2.7099999999999999E-2</v>
      </c>
      <c r="AC127" s="302">
        <v>4.9908000000000005E-4</v>
      </c>
      <c r="AD127" s="302">
        <v>-4.1514300000000002E-3</v>
      </c>
      <c r="AE127" s="302">
        <v>-5.0735700000000002E-2</v>
      </c>
      <c r="AF127" s="302">
        <v>-9.5901300000000005E-3</v>
      </c>
      <c r="AG127" s="302">
        <v>-1.8032060000000003E-2</v>
      </c>
      <c r="AH127" s="302">
        <v>-0.18163399</v>
      </c>
      <c r="AI127" s="302">
        <v>-2.22375E-2</v>
      </c>
      <c r="AJ127" s="302">
        <v>2.83286E-3</v>
      </c>
      <c r="AK127" s="302">
        <v>-1.606177E-2</v>
      </c>
      <c r="AL127" s="302">
        <v>-1.1250119999999999E-2</v>
      </c>
      <c r="AM127" s="302">
        <v>4.0300809999999999E-2</v>
      </c>
      <c r="AN127" s="302">
        <v>-6.0385840000000003E-2</v>
      </c>
      <c r="AO127" s="302">
        <v>-5.0782670000000002E-2</v>
      </c>
      <c r="AP127" s="302">
        <v>-3.8553130000000005E-2</v>
      </c>
      <c r="AQ127" s="302">
        <v>4.5175780000000006E-2</v>
      </c>
      <c r="AR127" s="302">
        <v>-4.6046400000000001E-3</v>
      </c>
      <c r="AS127" s="302">
        <v>-6.388307E-2</v>
      </c>
      <c r="AT127" s="302">
        <v>-2.7689169999999999E-2</v>
      </c>
      <c r="AU127" s="302">
        <v>-3.9816270000000001E-2</v>
      </c>
      <c r="AV127" s="302">
        <v>-6.7786520000000003E-2</v>
      </c>
      <c r="AW127" s="302">
        <v>-5.7562829999999995E-2</v>
      </c>
      <c r="AX127" s="302">
        <v>-7.5669539999999993E-2</v>
      </c>
      <c r="AY127" s="302">
        <v>2.5999999999999999E-3</v>
      </c>
    </row>
    <row r="128" spans="1:51" x14ac:dyDescent="0.2">
      <c r="A128" s="303">
        <v>40238</v>
      </c>
      <c r="B128" s="302">
        <v>3.3252999999999999E-4</v>
      </c>
      <c r="C128" s="302">
        <v>1.121405E-2</v>
      </c>
      <c r="D128" s="302">
        <v>9.74124E-3</v>
      </c>
      <c r="E128" s="302">
        <v>2.3547920000000003E-2</v>
      </c>
      <c r="F128" s="302">
        <v>2.019164E-2</v>
      </c>
      <c r="G128" s="302">
        <v>1.0426049999999999E-2</v>
      </c>
      <c r="H128" s="302">
        <v>1.983909E-2</v>
      </c>
      <c r="I128" s="302">
        <v>2.7671279999999999E-2</v>
      </c>
      <c r="J128" s="302">
        <v>5.0193329999999994E-2</v>
      </c>
      <c r="K128" s="302">
        <v>-2.4503200000000002E-3</v>
      </c>
      <c r="L128" s="302">
        <v>1.8078159999999999E-2</v>
      </c>
      <c r="M128" s="302">
        <v>5.5034520000000003E-2</v>
      </c>
      <c r="N128" s="302">
        <v>3.1426780000000001E-2</v>
      </c>
      <c r="O128" s="302">
        <v>4.6521199999999999E-2</v>
      </c>
      <c r="P128" s="302">
        <v>-6.7302460000000008E-2</v>
      </c>
      <c r="Q128" s="302">
        <v>-4.0311279999999998E-2</v>
      </c>
      <c r="R128" s="302">
        <v>1.04972E-2</v>
      </c>
      <c r="S128" s="302">
        <v>8.5261199999999999E-3</v>
      </c>
      <c r="T128" s="302">
        <v>-1.3535390000000001E-2</v>
      </c>
      <c r="U128" s="302">
        <v>-2.0490719999999997E-2</v>
      </c>
      <c r="V128" s="302">
        <v>-1.0275970000000001E-2</v>
      </c>
      <c r="W128" s="302">
        <v>8.6E-3</v>
      </c>
      <c r="X128" s="302">
        <v>7.9086E-3</v>
      </c>
      <c r="Y128" s="302">
        <v>4.3200000000000002E-2</v>
      </c>
      <c r="Z128" s="302">
        <v>-3.7306600000000002E-3</v>
      </c>
      <c r="AA128" s="302">
        <v>-2.5000000000000001E-3</v>
      </c>
      <c r="AB128" s="302">
        <v>1.11E-2</v>
      </c>
      <c r="AC128" s="302">
        <v>3.3252999999999999E-4</v>
      </c>
      <c r="AD128" s="302">
        <v>1.121405E-2</v>
      </c>
      <c r="AE128" s="302">
        <v>9.74124E-3</v>
      </c>
      <c r="AF128" s="302">
        <v>1.0426049999999999E-2</v>
      </c>
      <c r="AG128" s="302">
        <v>1.983909E-2</v>
      </c>
      <c r="AH128" s="302">
        <v>-2.4027100000000002E-3</v>
      </c>
      <c r="AI128" s="302">
        <v>-1.0456160000000001E-2</v>
      </c>
      <c r="AJ128" s="302">
        <v>-3.4062900000000002E-3</v>
      </c>
      <c r="AK128" s="302">
        <v>-2.3547920000000003E-2</v>
      </c>
      <c r="AL128" s="302">
        <v>-2.7671279999999999E-2</v>
      </c>
      <c r="AM128" s="302">
        <v>1.895084E-2</v>
      </c>
      <c r="AN128" s="302">
        <v>-5.3865280000000001E-2</v>
      </c>
      <c r="AO128" s="302">
        <v>-9.21207E-2</v>
      </c>
      <c r="AP128" s="302">
        <v>-3.1426780000000001E-2</v>
      </c>
      <c r="AQ128" s="302">
        <v>-6.8593359999999992E-2</v>
      </c>
      <c r="AR128" s="302">
        <v>4.9320469999999998E-2</v>
      </c>
      <c r="AS128" s="302">
        <v>2.0070500000000002E-2</v>
      </c>
      <c r="AT128" s="302">
        <v>-2.98128E-2</v>
      </c>
      <c r="AU128" s="302">
        <v>-2.8685710000000003E-2</v>
      </c>
      <c r="AV128" s="302">
        <v>-7.2701199999999997E-3</v>
      </c>
      <c r="AW128" s="302">
        <v>-8.6439999999999998E-4</v>
      </c>
      <c r="AX128" s="302">
        <v>-1.130185E-2</v>
      </c>
      <c r="AY128" s="302">
        <v>1.3081599999999998E-3</v>
      </c>
    </row>
    <row r="129" spans="1:51" x14ac:dyDescent="0.2">
      <c r="A129" s="303">
        <v>40330</v>
      </c>
      <c r="B129" s="302">
        <v>7.7570000000000004E-4</v>
      </c>
      <c r="C129" s="302">
        <v>3.2558869999999997E-2</v>
      </c>
      <c r="D129" s="302">
        <v>0.11832696999999999</v>
      </c>
      <c r="E129" s="302">
        <v>2.4065590000000001E-2</v>
      </c>
      <c r="F129" s="302">
        <v>5.9303439999999999E-2</v>
      </c>
      <c r="G129" s="302">
        <v>3.7900499999999997E-2</v>
      </c>
      <c r="H129" s="302">
        <v>5.2193919999999998E-2</v>
      </c>
      <c r="I129" s="302">
        <v>2.3504770000000001E-2</v>
      </c>
      <c r="J129" s="302">
        <v>4.207288E-2</v>
      </c>
      <c r="K129" s="302">
        <v>3.1920259999999999E-2</v>
      </c>
      <c r="L129" s="302">
        <v>-7.1517410000000003E-2</v>
      </c>
      <c r="M129" s="302">
        <v>-5.6388140000000003E-2</v>
      </c>
      <c r="N129" s="302">
        <v>-5.5145920000000001E-2</v>
      </c>
      <c r="O129" s="302">
        <v>-4.5859829999999997E-2</v>
      </c>
      <c r="P129" s="302">
        <v>-0.12221166</v>
      </c>
      <c r="Q129" s="302">
        <v>-9.8380960000000003E-2</v>
      </c>
      <c r="R129" s="302">
        <v>-7.0707939999999997E-2</v>
      </c>
      <c r="S129" s="302">
        <v>-0.15113469000000002</v>
      </c>
      <c r="T129" s="302">
        <v>-6.4185400000000004E-3</v>
      </c>
      <c r="U129" s="302">
        <v>-5.4704699999999998E-3</v>
      </c>
      <c r="V129" s="302">
        <v>-3.8644029999999996E-2</v>
      </c>
      <c r="W129" s="302">
        <v>3.3700000000000001E-2</v>
      </c>
      <c r="X129" s="302">
        <v>1.9273200000000001E-2</v>
      </c>
      <c r="Y129" s="302">
        <v>1.5600000000000001E-2</v>
      </c>
      <c r="Z129" s="302">
        <v>-4.243036E-2</v>
      </c>
      <c r="AA129" s="302">
        <v>9.8999999999999991E-3</v>
      </c>
      <c r="AB129" s="302">
        <v>6.7000000000000002E-3</v>
      </c>
      <c r="AC129" s="302">
        <v>7.7570000000000004E-4</v>
      </c>
      <c r="AD129" s="302">
        <v>3.2558869999999997E-2</v>
      </c>
      <c r="AE129" s="302">
        <v>0.11832696999999999</v>
      </c>
      <c r="AF129" s="302">
        <v>3.7900499999999997E-2</v>
      </c>
      <c r="AG129" s="302">
        <v>5.2193919999999998E-2</v>
      </c>
      <c r="AH129" s="302">
        <v>0.29745894000000001</v>
      </c>
      <c r="AI129" s="302">
        <v>8.017705E-2</v>
      </c>
      <c r="AJ129" s="302">
        <v>5.8853049999999997E-2</v>
      </c>
      <c r="AK129" s="302">
        <v>-2.4065590000000001E-2</v>
      </c>
      <c r="AL129" s="302">
        <v>-2.3504770000000001E-2</v>
      </c>
      <c r="AM129" s="302">
        <v>-0.11030844999999999</v>
      </c>
      <c r="AN129" s="302">
        <v>0.11425238</v>
      </c>
      <c r="AO129" s="302">
        <v>9.981944999999999E-2</v>
      </c>
      <c r="AP129" s="302">
        <v>5.5145920000000001E-2</v>
      </c>
      <c r="AQ129" s="302">
        <v>7.2209369999999995E-2</v>
      </c>
      <c r="AR129" s="302">
        <v>0.14577045999999999</v>
      </c>
      <c r="AS129" s="302">
        <v>0.12328008</v>
      </c>
      <c r="AT129" s="302">
        <v>9.351305E-2</v>
      </c>
      <c r="AU129" s="302">
        <v>0.17418862000000002</v>
      </c>
      <c r="AV129" s="302">
        <v>3.3857289999999998E-2</v>
      </c>
      <c r="AW129" s="302">
        <v>3.3253110000000002E-2</v>
      </c>
      <c r="AX129" s="302">
        <v>6.5499950000000001E-2</v>
      </c>
      <c r="AY129" s="302">
        <v>4.9860288566432021E-4</v>
      </c>
    </row>
    <row r="130" spans="1:51" x14ac:dyDescent="0.2">
      <c r="A130" s="303">
        <v>40422</v>
      </c>
      <c r="B130" s="302">
        <v>9.1356000000000011E-4</v>
      </c>
      <c r="C130" s="302">
        <v>2.126662E-2</v>
      </c>
      <c r="D130" s="302">
        <v>5.2605829999999992E-2</v>
      </c>
      <c r="E130" s="302">
        <v>4.0721889999999997E-2</v>
      </c>
      <c r="F130" s="302">
        <v>6.3348909999999994E-2</v>
      </c>
      <c r="G130" s="302">
        <v>3.8545179999999998E-2</v>
      </c>
      <c r="H130" s="302">
        <v>5.7051040000000004E-2</v>
      </c>
      <c r="I130" s="302">
        <v>3.5557970000000001E-2</v>
      </c>
      <c r="J130" s="302">
        <v>5.4114269999999999E-2</v>
      </c>
      <c r="K130" s="302">
        <v>1.7464529999999999E-2</v>
      </c>
      <c r="L130" s="302">
        <v>7.5516520000000004E-2</v>
      </c>
      <c r="M130" s="302">
        <v>8.4411979999999998E-2</v>
      </c>
      <c r="N130" s="302">
        <v>0.10261531</v>
      </c>
      <c r="O130" s="302">
        <v>1.7143409999999998E-2</v>
      </c>
      <c r="P130" s="302">
        <v>0.16414988</v>
      </c>
      <c r="Q130" s="302">
        <v>0.15579558999999998</v>
      </c>
      <c r="R130" s="302">
        <v>9.3861939999999991E-2</v>
      </c>
      <c r="S130" s="302">
        <v>0.19394385</v>
      </c>
      <c r="T130" s="302">
        <v>0.13508655999999999</v>
      </c>
      <c r="U130" s="302">
        <v>0.12061102999999999</v>
      </c>
      <c r="V130" s="302">
        <v>0.14186946</v>
      </c>
      <c r="W130" s="302">
        <v>3.1200000000000002E-2</v>
      </c>
      <c r="X130" s="302">
        <v>1.73362E-2</v>
      </c>
      <c r="Y130" s="302">
        <v>5.1399999999999994E-2</v>
      </c>
      <c r="Z130" s="302">
        <v>4.8826919999999996E-2</v>
      </c>
      <c r="AA130" s="302">
        <v>-1E-3</v>
      </c>
      <c r="AB130" s="302">
        <v>1.03E-2</v>
      </c>
      <c r="AC130" s="302">
        <v>9.1356000000000011E-4</v>
      </c>
      <c r="AD130" s="302">
        <v>2.126662E-2</v>
      </c>
      <c r="AE130" s="302">
        <v>5.2605829999999992E-2</v>
      </c>
      <c r="AF130" s="302">
        <v>3.8545179999999998E-2</v>
      </c>
      <c r="AG130" s="302">
        <v>5.7051040000000004E-2</v>
      </c>
      <c r="AH130" s="302">
        <v>0.10665974</v>
      </c>
      <c r="AI130" s="302">
        <v>9.7818609999999986E-2</v>
      </c>
      <c r="AJ130" s="302">
        <v>2.5421280000000001E-2</v>
      </c>
      <c r="AK130" s="302">
        <v>-4.0721889999999997E-2</v>
      </c>
      <c r="AL130" s="302">
        <v>-3.5557970000000001E-2</v>
      </c>
      <c r="AM130" s="302">
        <v>-6.282320999999999E-2</v>
      </c>
      <c r="AN130" s="302">
        <v>-0.11294216</v>
      </c>
      <c r="AO130" s="302">
        <v>-0.12214715999999999</v>
      </c>
      <c r="AP130" s="302">
        <v>-0.10261531</v>
      </c>
      <c r="AQ130" s="302">
        <v>-3.8380040000000004E-2</v>
      </c>
      <c r="AR130" s="302">
        <v>-0.18969028000000002</v>
      </c>
      <c r="AS130" s="302">
        <v>-0.17992709000000001</v>
      </c>
      <c r="AT130" s="302">
        <v>-0.11076278000000001</v>
      </c>
      <c r="AU130" s="302">
        <v>-0.21964184</v>
      </c>
      <c r="AV130" s="302">
        <v>-0.15878567999999998</v>
      </c>
      <c r="AW130" s="302">
        <v>-0.1435428</v>
      </c>
      <c r="AX130" s="302">
        <v>-0.16523627000000002</v>
      </c>
      <c r="AY130" s="302">
        <v>2.226321070085458E-4</v>
      </c>
    </row>
    <row r="131" spans="1:51" x14ac:dyDescent="0.2">
      <c r="A131" s="303">
        <v>40513</v>
      </c>
      <c r="B131" s="302">
        <v>2.2677000000000001E-3</v>
      </c>
      <c r="C131" s="302">
        <v>-1.5510729999999999E-2</v>
      </c>
      <c r="D131" s="302">
        <v>-7.938721E-2</v>
      </c>
      <c r="E131" s="302">
        <v>-1.220335E-2</v>
      </c>
      <c r="F131" s="302">
        <v>-3.6762929999999999E-2</v>
      </c>
      <c r="G131" s="302">
        <v>-1.2586379999999999E-2</v>
      </c>
      <c r="H131" s="302">
        <v>-1.223425E-2</v>
      </c>
      <c r="I131" s="302">
        <v>-6.3442799999999999E-3</v>
      </c>
      <c r="J131" s="302">
        <v>-9.9124E-3</v>
      </c>
      <c r="K131" s="302">
        <v>-1.2746779999999999E-2</v>
      </c>
      <c r="L131" s="302">
        <v>7.3976769999999997E-2</v>
      </c>
      <c r="M131" s="302">
        <v>0.11373643</v>
      </c>
      <c r="N131" s="302">
        <v>9.4464260000000008E-2</v>
      </c>
      <c r="O131" s="302">
        <v>8.102121000000001E-2</v>
      </c>
      <c r="P131" s="302">
        <v>-2.3796300000000002E-3</v>
      </c>
      <c r="Q131" s="302">
        <v>2.7617679999999999E-2</v>
      </c>
      <c r="R131" s="302">
        <v>4.1363740000000003E-2</v>
      </c>
      <c r="S131" s="302">
        <v>6.3899330000000004E-2</v>
      </c>
      <c r="T131" s="302">
        <v>2.8089270000000003E-2</v>
      </c>
      <c r="U131" s="302">
        <v>3.7494019999999996E-2</v>
      </c>
      <c r="V131" s="302">
        <v>4.1059340000000007E-2</v>
      </c>
      <c r="W131" s="302">
        <v>3.9300000000000002E-2</v>
      </c>
      <c r="X131" s="302">
        <v>4.2645099999999998E-2</v>
      </c>
      <c r="Y131" s="302">
        <v>8.0700000000000008E-2</v>
      </c>
      <c r="Z131" s="302">
        <v>0.11965337999999999</v>
      </c>
      <c r="AA131" s="302">
        <v>-7.9000000000000008E-3</v>
      </c>
      <c r="AB131" s="302">
        <v>5.79E-2</v>
      </c>
      <c r="AC131" s="302">
        <v>2.2677000000000001E-3</v>
      </c>
      <c r="AD131" s="302">
        <v>-1.5510729999999999E-2</v>
      </c>
      <c r="AE131" s="302">
        <v>-7.938721E-2</v>
      </c>
      <c r="AF131" s="302">
        <v>-1.2586379999999999E-2</v>
      </c>
      <c r="AG131" s="302">
        <v>-1.223425E-2</v>
      </c>
      <c r="AH131" s="302">
        <v>-0.20889668</v>
      </c>
      <c r="AI131" s="302">
        <v>-6.6999420000000004E-2</v>
      </c>
      <c r="AJ131" s="302">
        <v>-1.9941439999999998E-2</v>
      </c>
      <c r="AK131" s="302">
        <v>1.220335E-2</v>
      </c>
      <c r="AL131" s="302">
        <v>6.3442799999999999E-3</v>
      </c>
      <c r="AM131" s="302">
        <v>-4.1257899999999998E-3</v>
      </c>
      <c r="AN131" s="302">
        <v>-0.10756544999999999</v>
      </c>
      <c r="AO131" s="302">
        <v>-0.1485686</v>
      </c>
      <c r="AP131" s="302">
        <v>-9.4464260000000008E-2</v>
      </c>
      <c r="AQ131" s="302">
        <v>-0.10130661000000001</v>
      </c>
      <c r="AR131" s="302">
        <v>-1.7455089999999999E-2</v>
      </c>
      <c r="AS131" s="302">
        <v>-4.690097E-2</v>
      </c>
      <c r="AT131" s="302">
        <v>-6.5695550000000005E-2</v>
      </c>
      <c r="AU131" s="302">
        <v>-8.4585220000000003E-2</v>
      </c>
      <c r="AV131" s="302">
        <v>-4.7381399999999997E-2</v>
      </c>
      <c r="AW131" s="302">
        <v>-5.650811E-2</v>
      </c>
      <c r="AX131" s="302">
        <v>-6.0138770000000001E-2</v>
      </c>
      <c r="AY131" s="302">
        <v>4.6092394598596672E-4</v>
      </c>
    </row>
    <row r="132" spans="1:51" x14ac:dyDescent="0.2">
      <c r="A132" s="303">
        <v>40603</v>
      </c>
      <c r="B132" s="302">
        <v>2.2902400000000002E-3</v>
      </c>
      <c r="C132" s="302">
        <v>1.7423999999999999E-4</v>
      </c>
      <c r="D132" s="302">
        <v>-8.5583200000000012E-3</v>
      </c>
      <c r="E132" s="302">
        <v>9.9321300000000008E-3</v>
      </c>
      <c r="F132" s="302">
        <v>6.3743000000000003E-3</v>
      </c>
      <c r="G132" s="302">
        <v>-5.8009799999999999E-3</v>
      </c>
      <c r="H132" s="302">
        <v>-1.6027720000000002E-2</v>
      </c>
      <c r="I132" s="302">
        <v>5.5898499999999995E-3</v>
      </c>
      <c r="J132" s="302">
        <v>-4.4581100000000004E-3</v>
      </c>
      <c r="K132" s="302">
        <v>-3.3546700000000001E-3</v>
      </c>
      <c r="L132" s="302">
        <v>2.9465100000000001E-2</v>
      </c>
      <c r="M132" s="302">
        <v>5.6496169999999998E-2</v>
      </c>
      <c r="N132" s="302">
        <v>5.5981550000000005E-2</v>
      </c>
      <c r="O132" s="302">
        <v>-7.1773329999999996E-2</v>
      </c>
      <c r="P132" s="302">
        <v>7.0541640000000003E-2</v>
      </c>
      <c r="Q132" s="302">
        <v>1.339887E-2</v>
      </c>
      <c r="R132" s="302">
        <v>-2.3712099999999999E-3</v>
      </c>
      <c r="S132" s="302">
        <v>2.2896200000000002E-2</v>
      </c>
      <c r="T132" s="302">
        <v>-2.7069040000000003E-2</v>
      </c>
      <c r="U132" s="302">
        <v>-1.254282E-2</v>
      </c>
      <c r="V132" s="302">
        <v>-7.6898299999999999E-3</v>
      </c>
      <c r="W132" s="302">
        <v>3.1899999999999998E-2</v>
      </c>
      <c r="X132" s="302">
        <v>3.1204800000000001E-2</v>
      </c>
      <c r="Y132" s="302">
        <v>5.28E-2</v>
      </c>
      <c r="Z132" s="302">
        <v>0.11411282</v>
      </c>
      <c r="AA132" s="302">
        <v>7.4999999999999997E-3</v>
      </c>
      <c r="AB132" s="302">
        <v>2.4E-2</v>
      </c>
      <c r="AC132" s="302">
        <v>2.2902400000000002E-3</v>
      </c>
      <c r="AD132" s="302">
        <v>1.7423999999999999E-4</v>
      </c>
      <c r="AE132" s="302">
        <v>-8.5583200000000012E-3</v>
      </c>
      <c r="AF132" s="302">
        <v>-5.8009799999999999E-3</v>
      </c>
      <c r="AG132" s="302">
        <v>-1.6027720000000002E-2</v>
      </c>
      <c r="AH132" s="302">
        <v>-5.5362400000000006E-2</v>
      </c>
      <c r="AI132" s="302">
        <v>-8.7407140000000008E-2</v>
      </c>
      <c r="AJ132" s="302">
        <v>-2.0150800000000003E-2</v>
      </c>
      <c r="AK132" s="302">
        <v>-9.9321300000000008E-3</v>
      </c>
      <c r="AL132" s="302">
        <v>-5.5898499999999995E-3</v>
      </c>
      <c r="AM132" s="302">
        <v>3.2904950000000002E-2</v>
      </c>
      <c r="AN132" s="302">
        <v>-5.9193879999999997E-2</v>
      </c>
      <c r="AO132" s="302">
        <v>-8.7005550000000001E-2</v>
      </c>
      <c r="AP132" s="302">
        <v>-5.5981550000000005E-2</v>
      </c>
      <c r="AQ132" s="302">
        <v>5.5690200000000002E-2</v>
      </c>
      <c r="AR132" s="302">
        <v>-8.1265599999999993E-2</v>
      </c>
      <c r="AS132" s="302">
        <v>-3.0957759999999997E-2</v>
      </c>
      <c r="AT132" s="302">
        <v>-6.0966299999999996E-3</v>
      </c>
      <c r="AU132" s="302">
        <v>-3.6082650000000001E-2</v>
      </c>
      <c r="AV132" s="302">
        <v>1.0211330000000001E-2</v>
      </c>
      <c r="AW132" s="302">
        <v>-7.4250499999999999E-3</v>
      </c>
      <c r="AX132" s="302">
        <v>-1.2376180000000001E-2</v>
      </c>
      <c r="AY132" s="302">
        <v>1.2167770657412532E-3</v>
      </c>
    </row>
    <row r="133" spans="1:51" x14ac:dyDescent="0.2">
      <c r="A133" s="303">
        <v>40695</v>
      </c>
      <c r="B133" s="302">
        <v>2.3124700000000001E-3</v>
      </c>
      <c r="C133" s="302">
        <v>2.0807619999999999E-2</v>
      </c>
      <c r="D133" s="302">
        <v>3.2515509999999997E-2</v>
      </c>
      <c r="E133" s="302">
        <v>2.2115019999999999E-2</v>
      </c>
      <c r="F133" s="302">
        <v>3.3249670000000002E-2</v>
      </c>
      <c r="G133" s="302">
        <v>3.0090599999999999E-2</v>
      </c>
      <c r="H133" s="302">
        <v>3.9648290000000003E-2</v>
      </c>
      <c r="I133" s="302">
        <v>2.7032549999999999E-2</v>
      </c>
      <c r="J133" s="302">
        <v>3.611139E-2</v>
      </c>
      <c r="K133" s="302">
        <v>1.4592600000000001E-2</v>
      </c>
      <c r="L133" s="302">
        <v>-5.4087500000000004E-3</v>
      </c>
      <c r="M133" s="302">
        <v>-1.221331E-2</v>
      </c>
      <c r="N133" s="302">
        <v>-5.1478610000000001E-2</v>
      </c>
      <c r="O133" s="302">
        <v>3.0950499999999998E-3</v>
      </c>
      <c r="P133" s="302">
        <v>1.748628E-2</v>
      </c>
      <c r="Q133" s="302">
        <v>9.7871E-3</v>
      </c>
      <c r="R133" s="302">
        <v>6.4325830000000001E-2</v>
      </c>
      <c r="S133" s="302">
        <v>-1.3465119999999999E-2</v>
      </c>
      <c r="T133" s="302">
        <v>-1.0448230000000001E-2</v>
      </c>
      <c r="U133" s="302">
        <v>-5.7564299999999999E-3</v>
      </c>
      <c r="V133" s="302">
        <v>-1.676091E-2</v>
      </c>
      <c r="W133" s="302">
        <v>4.4500000000000005E-2</v>
      </c>
      <c r="X133" s="302">
        <v>3.2668300000000004E-2</v>
      </c>
      <c r="Y133" s="302">
        <v>4.5899999999999996E-2</v>
      </c>
      <c r="Z133" s="302">
        <v>-7.8723559999999998E-2</v>
      </c>
      <c r="AA133" s="302">
        <v>6.6E-3</v>
      </c>
      <c r="AB133" s="302">
        <v>1.4800000000000001E-2</v>
      </c>
      <c r="AC133" s="302">
        <v>2.3124700000000001E-3</v>
      </c>
      <c r="AD133" s="302">
        <v>2.0807619999999999E-2</v>
      </c>
      <c r="AE133" s="302">
        <v>3.2515509999999997E-2</v>
      </c>
      <c r="AF133" s="302">
        <v>3.0090599999999999E-2</v>
      </c>
      <c r="AG133" s="302">
        <v>3.9648290000000003E-2</v>
      </c>
      <c r="AH133" s="302">
        <v>5.9732849999999997E-2</v>
      </c>
      <c r="AI133" s="302">
        <v>9.5138180000000003E-2</v>
      </c>
      <c r="AJ133" s="302">
        <v>2.896518E-2</v>
      </c>
      <c r="AK133" s="302">
        <v>-2.2115019999999999E-2</v>
      </c>
      <c r="AL133" s="302">
        <v>-2.7032549999999999E-2</v>
      </c>
      <c r="AM133" s="302">
        <v>-3.7950879999999999E-2</v>
      </c>
      <c r="AN133" s="302">
        <v>-9.9197999999999995E-4</v>
      </c>
      <c r="AO133" s="302">
        <v>5.8563699999999996E-3</v>
      </c>
      <c r="AP133" s="302">
        <v>5.1478610000000001E-2</v>
      </c>
      <c r="AQ133" s="302">
        <v>-6.96833E-3</v>
      </c>
      <c r="AR133" s="302">
        <v>-2.2928419999999998E-2</v>
      </c>
      <c r="AS133" s="302">
        <v>-1.3686220000000001E-2</v>
      </c>
      <c r="AT133" s="302">
        <v>-7.6087669999999996E-2</v>
      </c>
      <c r="AU133" s="302">
        <v>8.7731800000000002E-3</v>
      </c>
      <c r="AV133" s="302">
        <v>6.6272500000000003E-3</v>
      </c>
      <c r="AW133" s="302">
        <v>2.5056800000000001E-3</v>
      </c>
      <c r="AX133" s="302">
        <v>1.354613E-2</v>
      </c>
      <c r="AY133" s="302">
        <v>1.455068904718674E-3</v>
      </c>
    </row>
    <row r="134" spans="1:51" x14ac:dyDescent="0.2">
      <c r="A134" s="303">
        <v>40787</v>
      </c>
      <c r="B134" s="302">
        <v>2.2797300000000002E-3</v>
      </c>
      <c r="C134" s="302">
        <v>3.1914640000000001E-2</v>
      </c>
      <c r="D134" s="302">
        <v>0.23924635</v>
      </c>
      <c r="E134" s="302">
        <v>9.3544700000000001E-3</v>
      </c>
      <c r="F134" s="302">
        <v>9.1347330000000004E-2</v>
      </c>
      <c r="G134" s="302">
        <v>6.6243879999999991E-2</v>
      </c>
      <c r="H134" s="302">
        <v>0.10312519000000001</v>
      </c>
      <c r="I134" s="302">
        <v>4.0551830000000004E-2</v>
      </c>
      <c r="J134" s="302">
        <v>8.1937040000000003E-2</v>
      </c>
      <c r="K134" s="302">
        <v>1.325483E-2</v>
      </c>
      <c r="L134" s="302">
        <v>-6.1435060000000007E-2</v>
      </c>
      <c r="M134" s="302">
        <v>-0.14156078999999999</v>
      </c>
      <c r="N134" s="302">
        <v>-0.12019903</v>
      </c>
      <c r="O134" s="302">
        <v>3.1983959999999999E-2</v>
      </c>
      <c r="P134" s="302">
        <v>-0.22154093</v>
      </c>
      <c r="Q134" s="302">
        <v>-7.7322349999999998E-2</v>
      </c>
      <c r="R134" s="302">
        <v>-0.10893841</v>
      </c>
      <c r="S134" s="302">
        <v>-0.13775816000000002</v>
      </c>
      <c r="T134" s="302">
        <v>-0.12936066999999998</v>
      </c>
      <c r="U134" s="302">
        <v>-0.14010096</v>
      </c>
      <c r="V134" s="302">
        <v>-0.15504946999999999</v>
      </c>
      <c r="W134" s="302">
        <v>2.9600000000000001E-2</v>
      </c>
      <c r="X134" s="302">
        <v>2.6456E-2</v>
      </c>
      <c r="Y134" s="302">
        <v>-4.2599999999999999E-2</v>
      </c>
      <c r="Z134" s="302">
        <v>-0.17784683999999998</v>
      </c>
      <c r="AA134" s="302">
        <v>-3.4999999999999996E-3</v>
      </c>
      <c r="AB134" s="302">
        <v>1.9699999999999999E-2</v>
      </c>
      <c r="AC134" s="302">
        <v>2.2797300000000002E-3</v>
      </c>
      <c r="AD134" s="302">
        <v>3.1914640000000001E-2</v>
      </c>
      <c r="AE134" s="302">
        <v>0.23924635</v>
      </c>
      <c r="AF134" s="302">
        <v>6.6243879999999991E-2</v>
      </c>
      <c r="AG134" s="302">
        <v>0.10312519000000001</v>
      </c>
      <c r="AH134" s="302">
        <v>0.56940060999999997</v>
      </c>
      <c r="AI134" s="302">
        <v>0.18166425</v>
      </c>
      <c r="AJ134" s="302">
        <v>2.7468740000000002E-2</v>
      </c>
      <c r="AK134" s="302">
        <v>-9.3544700000000001E-3</v>
      </c>
      <c r="AL134" s="302">
        <v>-4.0551830000000004E-2</v>
      </c>
      <c r="AM134" s="302">
        <v>-9.5488900000000002E-2</v>
      </c>
      <c r="AN134" s="302">
        <v>0.13868026</v>
      </c>
      <c r="AO134" s="302">
        <v>0.21221153000000001</v>
      </c>
      <c r="AP134" s="302">
        <v>0.12019903</v>
      </c>
      <c r="AQ134" s="302">
        <v>1.897627E-2</v>
      </c>
      <c r="AR134" s="302">
        <v>0.25316263999999999</v>
      </c>
      <c r="AS134" s="302">
        <v>0.12288494999999999</v>
      </c>
      <c r="AT134" s="302">
        <v>0.14656356000000001</v>
      </c>
      <c r="AU134" s="302">
        <v>0.17596142000000001</v>
      </c>
      <c r="AV134" s="302">
        <v>0.17235357000000001</v>
      </c>
      <c r="AW134" s="302">
        <v>0.18570413</v>
      </c>
      <c r="AX134" s="302">
        <v>0.19985987000000002</v>
      </c>
      <c r="AY134" s="302">
        <v>1.6764028796104169E-3</v>
      </c>
    </row>
    <row r="135" spans="1:51" x14ac:dyDescent="0.2">
      <c r="A135" s="303">
        <v>40878</v>
      </c>
      <c r="B135" s="302">
        <v>2.1100799999999999E-3</v>
      </c>
      <c r="C135" s="302">
        <v>6.8485099999999995E-3</v>
      </c>
      <c r="D135" s="302">
        <v>1.8030839999999999E-2</v>
      </c>
      <c r="E135" s="302">
        <v>1.1302890000000001E-2</v>
      </c>
      <c r="F135" s="302">
        <v>3.2133129999999996E-2</v>
      </c>
      <c r="G135" s="302">
        <v>2.155499E-2</v>
      </c>
      <c r="H135" s="302">
        <v>5.2600439999999998E-2</v>
      </c>
      <c r="I135" s="302">
        <v>1.4396830000000001E-2</v>
      </c>
      <c r="J135" s="302">
        <v>3.7936940000000002E-2</v>
      </c>
      <c r="K135" s="302">
        <v>7.8161800000000007E-3</v>
      </c>
      <c r="L135" s="302">
        <v>8.748808000000001E-2</v>
      </c>
      <c r="M135" s="302">
        <v>0.1137649</v>
      </c>
      <c r="N135" s="302">
        <v>3.5935019999999998E-2</v>
      </c>
      <c r="O135" s="302">
        <v>-6.6500409999999996E-2</v>
      </c>
      <c r="P135" s="302">
        <v>9.60657E-3</v>
      </c>
      <c r="Q135" s="302">
        <v>6.0723630000000001E-2</v>
      </c>
      <c r="R135" s="302">
        <v>1.7602320000000001E-2</v>
      </c>
      <c r="S135" s="302">
        <v>5.0624330000000002E-2</v>
      </c>
      <c r="T135" s="302">
        <v>9.23737E-3</v>
      </c>
      <c r="U135" s="302">
        <v>4.3214100000000004E-3</v>
      </c>
      <c r="V135" s="302">
        <v>1.5842519999999999E-2</v>
      </c>
      <c r="W135" s="302">
        <v>2.5099999999999997E-2</v>
      </c>
      <c r="X135" s="302">
        <v>6.8943699999999997E-2</v>
      </c>
      <c r="Y135" s="302">
        <v>5.3200000000000004E-2</v>
      </c>
      <c r="Z135" s="302">
        <v>0.1067975</v>
      </c>
      <c r="AA135" s="302">
        <v>5.1000000000000004E-3</v>
      </c>
      <c r="AB135" s="302">
        <v>8.6999999999999994E-2</v>
      </c>
      <c r="AC135" s="302">
        <v>2.1100799999999999E-3</v>
      </c>
      <c r="AD135" s="302">
        <v>6.8485099999999995E-3</v>
      </c>
      <c r="AE135" s="302">
        <v>1.8030839999999999E-2</v>
      </c>
      <c r="AF135" s="302">
        <v>2.155499E-2</v>
      </c>
      <c r="AG135" s="302">
        <v>5.2600439999999998E-2</v>
      </c>
      <c r="AH135" s="302">
        <v>2.6664530000000002E-2</v>
      </c>
      <c r="AI135" s="302">
        <v>0.12227813</v>
      </c>
      <c r="AJ135" s="302">
        <v>7.8474200000000008E-3</v>
      </c>
      <c r="AK135" s="302">
        <v>-1.1302890000000001E-2</v>
      </c>
      <c r="AL135" s="302">
        <v>-1.4396830000000001E-2</v>
      </c>
      <c r="AM135" s="302">
        <v>-4.26E-4</v>
      </c>
      <c r="AN135" s="302">
        <v>-0.11816356</v>
      </c>
      <c r="AO135" s="302">
        <v>-0.14518157000000001</v>
      </c>
      <c r="AP135" s="302">
        <v>-3.5935019999999998E-2</v>
      </c>
      <c r="AQ135" s="302">
        <v>5.0701320000000001E-2</v>
      </c>
      <c r="AR135" s="302">
        <v>-2.1866650000000001E-2</v>
      </c>
      <c r="AS135" s="302">
        <v>-7.867594E-2</v>
      </c>
      <c r="AT135" s="302">
        <v>-2.7538999999999998E-2</v>
      </c>
      <c r="AU135" s="302">
        <v>-6.5358349999999996E-2</v>
      </c>
      <c r="AV135" s="302">
        <v>-2.6318290000000001E-2</v>
      </c>
      <c r="AW135" s="302">
        <v>-2.3216819999999999E-2</v>
      </c>
      <c r="AX135" s="302">
        <v>-3.4954679999999995E-2</v>
      </c>
      <c r="AY135" s="302">
        <v>1.6594450155247389E-3</v>
      </c>
    </row>
    <row r="136" spans="1:51" x14ac:dyDescent="0.2">
      <c r="A136" s="303">
        <v>40969</v>
      </c>
      <c r="B136" s="302">
        <v>1.9688800000000001E-3</v>
      </c>
      <c r="C136" s="302">
        <v>-3.78429E-3</v>
      </c>
      <c r="D136" s="302">
        <v>-5.5729319999999999E-2</v>
      </c>
      <c r="E136" s="302">
        <v>2.5042930000000001E-2</v>
      </c>
      <c r="F136" s="302">
        <v>7.9989600000000011E-3</v>
      </c>
      <c r="G136" s="302">
        <v>-6.9859800000000001E-3</v>
      </c>
      <c r="H136" s="302">
        <v>-1.6093839999999998E-2</v>
      </c>
      <c r="I136" s="302">
        <v>2.1094940000000003E-2</v>
      </c>
      <c r="J136" s="302">
        <v>1.993731E-2</v>
      </c>
      <c r="K136" s="302">
        <v>3.5486899999999997E-3</v>
      </c>
      <c r="L136" s="302">
        <v>0.10017400999999999</v>
      </c>
      <c r="M136" s="302">
        <v>0.10407159000000001</v>
      </c>
      <c r="N136" s="302">
        <v>4.3896829999999998E-2</v>
      </c>
      <c r="O136" s="302">
        <v>7.5915570000000002E-2</v>
      </c>
      <c r="P136" s="302">
        <v>0.11030082000000001</v>
      </c>
      <c r="Q136" s="302">
        <v>5.4037550000000004E-2</v>
      </c>
      <c r="R136" s="302">
        <v>8.5441710000000004E-2</v>
      </c>
      <c r="S136" s="302">
        <v>6.9946679999999997E-2</v>
      </c>
      <c r="T136" s="302">
        <v>0.13305117999999999</v>
      </c>
      <c r="U136" s="302">
        <v>0.10769131</v>
      </c>
      <c r="V136" s="302">
        <v>0.11521189</v>
      </c>
      <c r="W136" s="302">
        <v>2.3399999999999997E-2</v>
      </c>
      <c r="X136" s="302">
        <v>3.4046300000000002E-2</v>
      </c>
      <c r="Y136" s="302">
        <v>5.4800000000000001E-2</v>
      </c>
      <c r="Z136" s="302">
        <v>-4.8208299999999999E-3</v>
      </c>
      <c r="AA136" s="302">
        <v>3.5999999999999999E-3</v>
      </c>
      <c r="AB136" s="302">
        <v>3.78E-2</v>
      </c>
      <c r="AC136" s="302">
        <v>1.9688800000000001E-3</v>
      </c>
      <c r="AD136" s="302">
        <v>-3.78429E-3</v>
      </c>
      <c r="AE136" s="302">
        <v>-5.5729319999999999E-2</v>
      </c>
      <c r="AF136" s="302">
        <v>-6.9859800000000001E-3</v>
      </c>
      <c r="AG136" s="302">
        <v>-1.6093839999999998E-2</v>
      </c>
      <c r="AH136" s="302">
        <v>-0.13452301999999999</v>
      </c>
      <c r="AI136" s="302">
        <v>-2.2078850000000001E-2</v>
      </c>
      <c r="AJ136" s="302">
        <v>4.1241799999999999E-3</v>
      </c>
      <c r="AK136" s="302">
        <v>-2.5042930000000001E-2</v>
      </c>
      <c r="AL136" s="302">
        <v>-2.1094940000000003E-2</v>
      </c>
      <c r="AM136" s="302">
        <v>6.8682170000000001E-2</v>
      </c>
      <c r="AN136" s="302">
        <v>-0.12586715999999998</v>
      </c>
      <c r="AO136" s="302">
        <v>-0.12985575999999999</v>
      </c>
      <c r="AP136" s="302">
        <v>-4.3896829999999998E-2</v>
      </c>
      <c r="AQ136" s="302">
        <v>-9.099154999999999E-2</v>
      </c>
      <c r="AR136" s="302">
        <v>-0.12086015</v>
      </c>
      <c r="AS136" s="302">
        <v>-6.8806969999999995E-2</v>
      </c>
      <c r="AT136" s="302">
        <v>-9.9624439999999995E-2</v>
      </c>
      <c r="AU136" s="302">
        <v>-8.202232000000001E-2</v>
      </c>
      <c r="AV136" s="302">
        <v>-0.14892775999999999</v>
      </c>
      <c r="AW136" s="302">
        <v>-0.12518841999999999</v>
      </c>
      <c r="AX136" s="302">
        <v>-0.1328278</v>
      </c>
      <c r="AY136" s="302">
        <v>1.6273092808944487E-3</v>
      </c>
    </row>
    <row r="137" spans="1:51" x14ac:dyDescent="0.2">
      <c r="A137" s="303">
        <v>41061</v>
      </c>
      <c r="B137" s="302">
        <v>2.3471300000000002E-3</v>
      </c>
      <c r="C137" s="302">
        <v>1.451654E-2</v>
      </c>
      <c r="D137" s="302">
        <v>0.10315492000000001</v>
      </c>
      <c r="E137" s="302">
        <v>1.5297760000000001E-2</v>
      </c>
      <c r="F137" s="302">
        <v>4.9696520000000001E-2</v>
      </c>
      <c r="G137" s="302">
        <v>2.9768059999999999E-2</v>
      </c>
      <c r="H137" s="302">
        <v>4.1854040000000002E-2</v>
      </c>
      <c r="I137" s="302">
        <v>2.1866430000000003E-2</v>
      </c>
      <c r="J137" s="302">
        <v>3.0875799999999998E-2</v>
      </c>
      <c r="K137" s="302">
        <v>1.7219189999999999E-2</v>
      </c>
      <c r="L137" s="302">
        <v>-8.9003799999999994E-3</v>
      </c>
      <c r="M137" s="302">
        <v>-2.30747E-2</v>
      </c>
      <c r="N137" s="302">
        <v>-5.6724199999999995E-2</v>
      </c>
      <c r="O137" s="302">
        <v>-4.5395459999999999E-2</v>
      </c>
      <c r="P137" s="302">
        <v>-7.6663030000000007E-2</v>
      </c>
      <c r="Q137" s="302">
        <v>-2.220169E-2</v>
      </c>
      <c r="R137" s="302">
        <v>-3.782257E-2</v>
      </c>
      <c r="S137" s="302">
        <v>-3.120589E-2</v>
      </c>
      <c r="T137" s="302">
        <v>-3.059568E-2</v>
      </c>
      <c r="U137" s="302">
        <v>-5.4717729999999999E-2</v>
      </c>
      <c r="V137" s="302">
        <v>-7.0231680000000005E-2</v>
      </c>
      <c r="W137" s="302">
        <v>2.3399999999999997E-2</v>
      </c>
      <c r="X137" s="302">
        <v>3.83393E-2</v>
      </c>
      <c r="Y137" s="302">
        <v>-1E-3</v>
      </c>
      <c r="Z137" s="302">
        <v>-7.1401469999999995E-2</v>
      </c>
      <c r="AA137" s="302">
        <v>6.0999999999999995E-3</v>
      </c>
      <c r="AB137" s="302">
        <v>2.3399999999999997E-2</v>
      </c>
      <c r="AC137" s="302">
        <v>2.3471300000000002E-3</v>
      </c>
      <c r="AD137" s="302">
        <v>1.451654E-2</v>
      </c>
      <c r="AE137" s="302">
        <v>0.10315492000000001</v>
      </c>
      <c r="AF137" s="302">
        <v>2.9768059999999999E-2</v>
      </c>
      <c r="AG137" s="302">
        <v>4.1854040000000002E-2</v>
      </c>
      <c r="AH137" s="302">
        <v>0.18605128000000001</v>
      </c>
      <c r="AI137" s="302">
        <v>5.3010399999999999E-3</v>
      </c>
      <c r="AJ137" s="302">
        <v>1.9183499999999999E-2</v>
      </c>
      <c r="AK137" s="302">
        <v>-1.5297760000000001E-2</v>
      </c>
      <c r="AL137" s="302">
        <v>-2.1866430000000003E-2</v>
      </c>
      <c r="AM137" s="302">
        <v>-5.7552550000000001E-2</v>
      </c>
      <c r="AN137" s="302">
        <v>2.751762E-2</v>
      </c>
      <c r="AO137" s="302">
        <v>4.1425669999999998E-2</v>
      </c>
      <c r="AP137" s="302">
        <v>5.6724199999999995E-2</v>
      </c>
      <c r="AQ137" s="302">
        <v>5.6154469999999998E-2</v>
      </c>
      <c r="AR137" s="302">
        <v>8.784560000000001E-2</v>
      </c>
      <c r="AS137" s="302">
        <v>3.3222120000000001E-2</v>
      </c>
      <c r="AT137" s="302">
        <v>5.2886550000000004E-2</v>
      </c>
      <c r="AU137" s="302">
        <v>4.2609620000000001E-2</v>
      </c>
      <c r="AV137" s="302">
        <v>4.1521499999999996E-2</v>
      </c>
      <c r="AW137" s="302">
        <v>6.505002E-2</v>
      </c>
      <c r="AX137" s="302">
        <v>8.0394400000000005E-2</v>
      </c>
      <c r="AY137" s="302">
        <v>1.6103514168087703E-3</v>
      </c>
    </row>
    <row r="138" spans="1:51" x14ac:dyDescent="0.2">
      <c r="A138" s="303">
        <v>41153</v>
      </c>
      <c r="B138" s="302">
        <v>2.3143700000000001E-3</v>
      </c>
      <c r="C138" s="302">
        <v>6.2158199999999995E-3</v>
      </c>
      <c r="D138" s="302">
        <v>3.4057500000000004E-3</v>
      </c>
      <c r="E138" s="302">
        <v>2.8973369999999998E-2</v>
      </c>
      <c r="F138" s="302">
        <v>5.2235379999999998E-2</v>
      </c>
      <c r="G138" s="302">
        <v>1.0008129999999999E-2</v>
      </c>
      <c r="H138" s="302">
        <v>1.557218E-2</v>
      </c>
      <c r="I138" s="302">
        <v>2.499548E-2</v>
      </c>
      <c r="J138" s="302">
        <v>3.1745920000000004E-2</v>
      </c>
      <c r="K138" s="302">
        <v>8.1138400000000006E-3</v>
      </c>
      <c r="L138" s="302">
        <v>2.8790119999999999E-2</v>
      </c>
      <c r="M138" s="302">
        <v>2.1185809999999999E-2</v>
      </c>
      <c r="N138" s="302">
        <v>7.0179119999999998E-2</v>
      </c>
      <c r="O138" s="302">
        <v>-4.1421919999999994E-2</v>
      </c>
      <c r="P138" s="302">
        <v>6.4032519999999996E-2</v>
      </c>
      <c r="Q138" s="302">
        <v>3.5342359999999996E-2</v>
      </c>
      <c r="R138" s="302">
        <v>4.0280129999999997E-2</v>
      </c>
      <c r="S138" s="302">
        <v>6.667331E-2</v>
      </c>
      <c r="T138" s="302">
        <v>8.076048999999999E-2</v>
      </c>
      <c r="U138" s="302">
        <v>5.3061619999999997E-2</v>
      </c>
      <c r="V138" s="302">
        <v>4.3637290000000002E-2</v>
      </c>
      <c r="W138" s="302">
        <v>2.3199999999999998E-2</v>
      </c>
      <c r="X138" s="302">
        <v>2.4699599999999999E-2</v>
      </c>
      <c r="Y138" s="302">
        <v>4.4699999999999997E-2</v>
      </c>
      <c r="Z138" s="302">
        <v>0.10188831000000001</v>
      </c>
      <c r="AA138" s="302">
        <v>7.4999999999999997E-3</v>
      </c>
      <c r="AB138" s="302">
        <v>1.9099999999999999E-2</v>
      </c>
      <c r="AC138" s="302">
        <v>2.3143700000000001E-3</v>
      </c>
      <c r="AD138" s="302">
        <v>6.2158199999999995E-3</v>
      </c>
      <c r="AE138" s="302">
        <v>3.4057500000000004E-3</v>
      </c>
      <c r="AF138" s="302">
        <v>1.0008129999999999E-2</v>
      </c>
      <c r="AG138" s="302">
        <v>1.557218E-2</v>
      </c>
      <c r="AH138" s="302">
        <v>-3.9883269999999998E-2</v>
      </c>
      <c r="AI138" s="302">
        <v>2.1678299999999998E-2</v>
      </c>
      <c r="AJ138" s="302">
        <v>1.0190339999999999E-2</v>
      </c>
      <c r="AK138" s="302">
        <v>-2.8973369999999998E-2</v>
      </c>
      <c r="AL138" s="302">
        <v>-2.499548E-2</v>
      </c>
      <c r="AM138" s="302">
        <v>-1.949851E-2</v>
      </c>
      <c r="AN138" s="302">
        <v>-6.3515450000000001E-2</v>
      </c>
      <c r="AO138" s="302">
        <v>-5.5654469999999998E-2</v>
      </c>
      <c r="AP138" s="302">
        <v>-7.0179119999999998E-2</v>
      </c>
      <c r="AQ138" s="302">
        <v>2.2008670000000001E-2</v>
      </c>
      <c r="AR138" s="302">
        <v>-8.8023560000000001E-2</v>
      </c>
      <c r="AS138" s="302">
        <v>-5.6310249999999999E-2</v>
      </c>
      <c r="AT138" s="302">
        <v>-6.6208249999999996E-2</v>
      </c>
      <c r="AU138" s="302">
        <v>-8.9764060000000007E-2</v>
      </c>
      <c r="AV138" s="302">
        <v>-0.10264820000000001</v>
      </c>
      <c r="AW138" s="302">
        <v>-7.3442920000000009E-2</v>
      </c>
      <c r="AX138" s="302">
        <v>-6.3836180000000006E-2</v>
      </c>
      <c r="AY138" s="302">
        <v>1.3640336317480356E-3</v>
      </c>
    </row>
    <row r="139" spans="1:51" x14ac:dyDescent="0.2">
      <c r="A139" s="303">
        <v>41244</v>
      </c>
      <c r="B139" s="302">
        <v>2.4128399999999999E-3</v>
      </c>
      <c r="C139" s="302">
        <v>3.0220000000000003E-4</v>
      </c>
      <c r="D139" s="302">
        <v>-7.0589500000000005E-3</v>
      </c>
      <c r="E139" s="302">
        <v>9.4722799999999996E-3</v>
      </c>
      <c r="F139" s="302">
        <v>1.250938E-2</v>
      </c>
      <c r="G139" s="302">
        <v>1.6034599999999999E-3</v>
      </c>
      <c r="H139" s="302">
        <v>-6.4037999999999996E-4</v>
      </c>
      <c r="I139" s="302">
        <v>1.0830610000000001E-2</v>
      </c>
      <c r="J139" s="302">
        <v>9.2045600000000005E-3</v>
      </c>
      <c r="K139" s="302">
        <v>9.5590999999999992E-4</v>
      </c>
      <c r="L139" s="302">
        <v>5.5459999999999997E-3</v>
      </c>
      <c r="M139" s="302">
        <v>4.063626E-2</v>
      </c>
      <c r="N139" s="302">
        <v>1.7168579999999999E-2</v>
      </c>
      <c r="O139" s="302">
        <v>5.8517599999999996E-2</v>
      </c>
      <c r="P139" s="302">
        <v>0.10093916999999999</v>
      </c>
      <c r="Q139" s="302">
        <v>5.0083030000000001E-2</v>
      </c>
      <c r="R139" s="302">
        <v>9.3303899999999995E-2</v>
      </c>
      <c r="S139" s="302">
        <v>8.1655619999999998E-2</v>
      </c>
      <c r="T139" s="302">
        <v>4.7373200000000004E-2</v>
      </c>
      <c r="U139" s="302">
        <v>6.9190630000000003E-2</v>
      </c>
      <c r="V139" s="302">
        <v>6.5953319999999996E-2</v>
      </c>
      <c r="W139" s="302">
        <v>2.1700000000000001E-2</v>
      </c>
      <c r="X139" s="302">
        <v>6.1128200000000001E-2</v>
      </c>
      <c r="Y139" s="302">
        <v>3.5200000000000002E-2</v>
      </c>
      <c r="Z139" s="302">
        <v>-3.134021E-2</v>
      </c>
      <c r="AA139" s="302">
        <v>5.9200000000000003E-2</v>
      </c>
      <c r="AB139" s="302">
        <v>9.5600000000000004E-2</v>
      </c>
      <c r="AC139" s="302">
        <v>2.4128399999999999E-3</v>
      </c>
      <c r="AD139" s="302">
        <v>3.0220000000000003E-4</v>
      </c>
      <c r="AE139" s="302">
        <v>-7.0589500000000005E-3</v>
      </c>
      <c r="AF139" s="302">
        <v>1.6034599999999999E-3</v>
      </c>
      <c r="AG139" s="302">
        <v>-6.4037999999999996E-4</v>
      </c>
      <c r="AH139" s="302">
        <v>-7.1186520000000003E-2</v>
      </c>
      <c r="AI139" s="302">
        <v>5.8785999999999995E-4</v>
      </c>
      <c r="AJ139" s="302">
        <v>-4.8984299999999996E-3</v>
      </c>
      <c r="AK139" s="302">
        <v>-9.4722799999999996E-3</v>
      </c>
      <c r="AL139" s="302">
        <v>-1.0830610000000001E-2</v>
      </c>
      <c r="AM139" s="302">
        <v>9.5051759999999999E-2</v>
      </c>
      <c r="AN139" s="302">
        <v>3.7721100000000004E-3</v>
      </c>
      <c r="AO139" s="302">
        <v>-3.099298E-2</v>
      </c>
      <c r="AP139" s="302">
        <v>-1.7168579999999999E-2</v>
      </c>
      <c r="AQ139" s="302">
        <v>-5.2632209999999999E-2</v>
      </c>
      <c r="AR139" s="302">
        <v>-9.2017659999999987E-2</v>
      </c>
      <c r="AS139" s="302">
        <v>-4.4244529999999997E-2</v>
      </c>
      <c r="AT139" s="302">
        <v>-8.462211E-2</v>
      </c>
      <c r="AU139" s="302">
        <v>-7.3997019999999997E-2</v>
      </c>
      <c r="AV139" s="302">
        <v>-4.154977E-2</v>
      </c>
      <c r="AW139" s="302">
        <v>-6.4342579999999996E-2</v>
      </c>
      <c r="AX139" s="302">
        <v>-6.1119950000000006E-2</v>
      </c>
      <c r="AY139" s="302">
        <v>1.134673710772979E-3</v>
      </c>
    </row>
    <row r="140" spans="1:51" x14ac:dyDescent="0.2">
      <c r="A140" s="303">
        <v>41334</v>
      </c>
      <c r="B140" s="302">
        <v>2.15424E-3</v>
      </c>
      <c r="C140" s="302">
        <v>1.4387200000000001E-3</v>
      </c>
      <c r="D140" s="302">
        <v>-2.2619379999999998E-2</v>
      </c>
      <c r="E140" s="302">
        <v>4.7123299999999998E-3</v>
      </c>
      <c r="F140" s="302">
        <v>-1.7947329999999997E-2</v>
      </c>
      <c r="G140" s="302">
        <v>1.079956E-2</v>
      </c>
      <c r="H140" s="302">
        <v>-7.0099300000000002E-3</v>
      </c>
      <c r="I140" s="302">
        <v>2.2537639999999998E-2</v>
      </c>
      <c r="J140" s="302">
        <v>1.3198080000000001E-2</v>
      </c>
      <c r="K140" s="302">
        <v>1.9529709999999999E-2</v>
      </c>
      <c r="L140" s="302">
        <v>0.13368334000000001</v>
      </c>
      <c r="M140" s="302">
        <v>0.15668537000000002</v>
      </c>
      <c r="N140" s="302">
        <v>3.3365890000000002E-2</v>
      </c>
      <c r="O140" s="302">
        <v>0.14608570000000001</v>
      </c>
      <c r="P140" s="302">
        <v>2.8640089999999997E-2</v>
      </c>
      <c r="Q140" s="302">
        <v>5.2241269999999999E-2</v>
      </c>
      <c r="R140" s="302">
        <v>0.13946152000000001</v>
      </c>
      <c r="S140" s="302">
        <v>0.11313159</v>
      </c>
      <c r="T140" s="302">
        <v>5.3758819999999999E-2</v>
      </c>
      <c r="U140" s="302">
        <v>1.171967E-2</v>
      </c>
      <c r="V140" s="302">
        <v>8.9081400000000002E-3</v>
      </c>
      <c r="W140" s="302">
        <v>1.9199999999999998E-2</v>
      </c>
      <c r="X140" s="302">
        <v>2.01181E-2</v>
      </c>
      <c r="Y140" s="302">
        <v>4.6900000000000004E-2</v>
      </c>
      <c r="Z140" s="302">
        <v>5.1165820000000001E-2</v>
      </c>
      <c r="AA140" s="302">
        <v>1.5300000000000001E-2</v>
      </c>
      <c r="AB140" s="302">
        <v>5.4400000000000004E-2</v>
      </c>
      <c r="AC140" s="302">
        <v>2.15424E-3</v>
      </c>
      <c r="AD140" s="302">
        <v>1.4387200000000001E-3</v>
      </c>
      <c r="AE140" s="302">
        <v>-2.2619379999999998E-2</v>
      </c>
      <c r="AF140" s="302">
        <v>1.079956E-2</v>
      </c>
      <c r="AG140" s="302">
        <v>-7.0099300000000002E-3</v>
      </c>
      <c r="AH140" s="302">
        <v>-5.4661020000000005E-2</v>
      </c>
      <c r="AI140" s="302">
        <v>-6.3393240000000003E-2</v>
      </c>
      <c r="AJ140" s="302">
        <v>6.4827640000000006E-2</v>
      </c>
      <c r="AK140" s="302">
        <v>-4.7123299999999998E-3</v>
      </c>
      <c r="AL140" s="302">
        <v>-2.2537639999999998E-2</v>
      </c>
      <c r="AM140" s="302">
        <v>5.4767450000000002E-2</v>
      </c>
      <c r="AN140" s="302">
        <v>-0.10605427000000001</v>
      </c>
      <c r="AO140" s="302">
        <v>-0.12849570999999999</v>
      </c>
      <c r="AP140" s="302">
        <v>-3.3365890000000002E-2</v>
      </c>
      <c r="AQ140" s="302">
        <v>-0.12932689999999999</v>
      </c>
      <c r="AR140" s="302">
        <v>-1.8210400000000002E-2</v>
      </c>
      <c r="AS140" s="302">
        <v>-3.6854720000000001E-2</v>
      </c>
      <c r="AT140" s="302">
        <v>-0.12469436</v>
      </c>
      <c r="AU140" s="302">
        <v>-9.9819370000000004E-2</v>
      </c>
      <c r="AV140" s="302">
        <v>-3.8350080000000002E-2</v>
      </c>
      <c r="AW140" s="302">
        <v>4.90728E-3</v>
      </c>
      <c r="AX140" s="302">
        <v>7.6726099999999998E-3</v>
      </c>
      <c r="AY140" s="302">
        <v>8.3046808174921905E-4</v>
      </c>
    </row>
    <row r="141" spans="1:51" x14ac:dyDescent="0.2">
      <c r="A141" s="303">
        <v>41426</v>
      </c>
      <c r="B141" s="302">
        <v>2.3951100000000002E-3</v>
      </c>
      <c r="C141" s="302">
        <v>-1.3729789999999999E-2</v>
      </c>
      <c r="D141" s="302">
        <v>-5.7110640000000004E-2</v>
      </c>
      <c r="E141" s="302">
        <v>-2.299727E-2</v>
      </c>
      <c r="F141" s="302">
        <v>-6.3251329999999995E-2</v>
      </c>
      <c r="G141" s="302">
        <v>-2.9012660000000003E-2</v>
      </c>
      <c r="H141" s="302">
        <v>-4.7686680000000002E-2</v>
      </c>
      <c r="I141" s="302">
        <v>-2.6892349999999999E-2</v>
      </c>
      <c r="J141" s="302">
        <v>-4.1343069999999996E-2</v>
      </c>
      <c r="K141" s="302">
        <v>-2.1489099999999997E-2</v>
      </c>
      <c r="L141" s="302">
        <v>6.3688029999999993E-2</v>
      </c>
      <c r="M141" s="302">
        <v>5.7107570000000003E-2</v>
      </c>
      <c r="N141" s="302">
        <v>-4.0814370000000003E-2</v>
      </c>
      <c r="O141" s="302">
        <v>7.8160069999999998E-2</v>
      </c>
      <c r="P141" s="302">
        <v>5.045496E-2</v>
      </c>
      <c r="Q141" s="302">
        <v>1.3188189999999999E-2</v>
      </c>
      <c r="R141" s="302">
        <v>3.8799229999999997E-2</v>
      </c>
      <c r="S141" s="302">
        <v>-0.10580584999999999</v>
      </c>
      <c r="T141" s="302">
        <v>-2.8334999999999999E-2</v>
      </c>
      <c r="U141" s="302">
        <v>-2.0219919999999999E-2</v>
      </c>
      <c r="V141" s="302">
        <v>-4.860333E-2</v>
      </c>
      <c r="W141" s="302">
        <v>2.8399999999999998E-2</v>
      </c>
      <c r="X141" s="302">
        <v>1.7069600000000001E-2</v>
      </c>
      <c r="Y141" s="302">
        <v>0.03</v>
      </c>
      <c r="Z141" s="302">
        <v>-2.5596930000000004E-2</v>
      </c>
      <c r="AA141" s="302">
        <v>9.300000000000001E-3</v>
      </c>
      <c r="AB141" s="302">
        <v>1.9699999999999999E-2</v>
      </c>
      <c r="AC141" s="302">
        <v>2.3951100000000002E-3</v>
      </c>
      <c r="AD141" s="302">
        <v>-1.3729789999999999E-2</v>
      </c>
      <c r="AE141" s="302">
        <v>-5.7110640000000004E-2</v>
      </c>
      <c r="AF141" s="302">
        <v>-2.9012660000000003E-2</v>
      </c>
      <c r="AG141" s="302">
        <v>-4.7686680000000002E-2</v>
      </c>
      <c r="AH141" s="302">
        <v>-0.1197846</v>
      </c>
      <c r="AI141" s="302">
        <v>-9.7817870000000001E-2</v>
      </c>
      <c r="AJ141" s="302">
        <v>-3.871703E-2</v>
      </c>
      <c r="AK141" s="302">
        <v>2.299727E-2</v>
      </c>
      <c r="AL141" s="302">
        <v>2.6892349999999999E-2</v>
      </c>
      <c r="AM141" s="302">
        <v>5.9623929999999999E-2</v>
      </c>
      <c r="AN141" s="302">
        <v>-2.9101479999999999E-2</v>
      </c>
      <c r="AO141" s="302">
        <v>-2.273499E-2</v>
      </c>
      <c r="AP141" s="302">
        <v>4.0814370000000003E-2</v>
      </c>
      <c r="AQ141" s="302">
        <v>-5.7125799999999997E-2</v>
      </c>
      <c r="AR141" s="302">
        <v>-2.5220760000000002E-2</v>
      </c>
      <c r="AS141" s="302">
        <v>6.57852E-3</v>
      </c>
      <c r="AT141" s="302">
        <v>-1.8027620000000001E-2</v>
      </c>
      <c r="AU141" s="302">
        <v>0.1256401</v>
      </c>
      <c r="AV141" s="302">
        <v>4.7291619999999999E-2</v>
      </c>
      <c r="AW141" s="302">
        <v>3.7522720000000002E-2</v>
      </c>
      <c r="AX141" s="302">
        <v>6.5404889999999993E-2</v>
      </c>
      <c r="AY141" s="302">
        <v>6.0110816077416215E-4</v>
      </c>
    </row>
    <row r="142" spans="1:51" x14ac:dyDescent="0.2">
      <c r="A142" s="303">
        <v>41518</v>
      </c>
      <c r="B142" s="302">
        <v>2.5857200000000001E-3</v>
      </c>
      <c r="C142" s="302">
        <v>4.0329300000000005E-3</v>
      </c>
      <c r="D142" s="302">
        <v>-2.1156370000000001E-2</v>
      </c>
      <c r="E142" s="302">
        <v>1.0076140000000001E-2</v>
      </c>
      <c r="F142" s="302">
        <v>-3.4748E-4</v>
      </c>
      <c r="G142" s="302">
        <v>4.3028600000000004E-3</v>
      </c>
      <c r="H142" s="302">
        <v>-1.1484669999999999E-2</v>
      </c>
      <c r="I142" s="302">
        <v>6.4357399999999997E-3</v>
      </c>
      <c r="J142" s="302">
        <v>-1.0013069999999999E-2</v>
      </c>
      <c r="K142" s="302">
        <v>1.7623639999999999E-2</v>
      </c>
      <c r="L142" s="302">
        <v>3.123658E-2</v>
      </c>
      <c r="M142" s="302">
        <v>6.8766610000000006E-2</v>
      </c>
      <c r="N142" s="302">
        <v>6.2496799999999998E-2</v>
      </c>
      <c r="O142" s="302">
        <v>4.8772419999999997E-2</v>
      </c>
      <c r="P142" s="302">
        <v>0.12879114</v>
      </c>
      <c r="Q142" s="302">
        <v>9.4254829999999998E-2</v>
      </c>
      <c r="R142" s="302">
        <v>6.6873570000000007E-2</v>
      </c>
      <c r="S142" s="302">
        <v>9.1167200000000004E-2</v>
      </c>
      <c r="T142" s="302">
        <v>5.1819879999999999E-2</v>
      </c>
      <c r="U142" s="302">
        <v>3.3580459999999999E-2</v>
      </c>
      <c r="V142" s="302">
        <v>3.7635589999999997E-2</v>
      </c>
      <c r="W142" s="302">
        <v>2.4199999999999999E-2</v>
      </c>
      <c r="X142" s="302">
        <v>1.7013400000000001E-2</v>
      </c>
      <c r="Y142" s="302">
        <v>4.99E-2</v>
      </c>
      <c r="Z142" s="302">
        <v>5.6664279999999997E-2</v>
      </c>
      <c r="AA142" s="302">
        <v>1.0500000000000001E-2</v>
      </c>
      <c r="AB142" s="302">
        <v>2.9399999999999999E-2</v>
      </c>
      <c r="AC142" s="302">
        <v>2.5857200000000001E-3</v>
      </c>
      <c r="AD142" s="302">
        <v>4.0329300000000005E-3</v>
      </c>
      <c r="AE142" s="302">
        <v>-2.1156370000000001E-2</v>
      </c>
      <c r="AF142" s="302">
        <v>4.3028600000000004E-3</v>
      </c>
      <c r="AG142" s="302">
        <v>-1.1484669999999999E-2</v>
      </c>
      <c r="AH142" s="302">
        <v>-7.7998300000000007E-2</v>
      </c>
      <c r="AI142" s="302">
        <v>1.1198090000000001E-2</v>
      </c>
      <c r="AJ142" s="302">
        <v>2.7494480000000002E-2</v>
      </c>
      <c r="AK142" s="302">
        <v>-1.0076140000000001E-2</v>
      </c>
      <c r="AL142" s="302">
        <v>-6.4357399999999997E-3</v>
      </c>
      <c r="AM142" s="302">
        <v>-1.96063E-2</v>
      </c>
      <c r="AN142" s="302">
        <v>-5.2449679999999999E-2</v>
      </c>
      <c r="AO142" s="302">
        <v>-9.0751720000000008E-2</v>
      </c>
      <c r="AP142" s="302">
        <v>-6.2496799999999998E-2</v>
      </c>
      <c r="AQ142" s="302">
        <v>-6.1716710000000001E-2</v>
      </c>
      <c r="AR142" s="302">
        <v>-0.14915595000000001</v>
      </c>
      <c r="AS142" s="302">
        <v>-0.10776047999999999</v>
      </c>
      <c r="AT142" s="302">
        <v>-8.4032120000000002E-2</v>
      </c>
      <c r="AU142" s="302">
        <v>-0.10839615999999999</v>
      </c>
      <c r="AV142" s="302">
        <v>-6.4801780000000003E-2</v>
      </c>
      <c r="AW142" s="302">
        <v>-4.4022880000000007E-2</v>
      </c>
      <c r="AX142" s="302">
        <v>-4.8118970000000004E-2</v>
      </c>
      <c r="AY142" s="302">
        <v>3.3559376729968372E-4</v>
      </c>
    </row>
    <row r="143" spans="1:51" x14ac:dyDescent="0.2">
      <c r="A143" s="303">
        <v>41609</v>
      </c>
      <c r="B143" s="302">
        <v>2.4551999999999998E-3</v>
      </c>
      <c r="C143" s="302">
        <v>-4.1815000000000003E-3</v>
      </c>
      <c r="D143" s="302">
        <v>-2.9735770000000002E-2</v>
      </c>
      <c r="E143" s="302">
        <v>6.8413100000000006E-3</v>
      </c>
      <c r="F143" s="302">
        <v>1.5390109999999999E-2</v>
      </c>
      <c r="G143" s="302">
        <v>2.3849000000000001E-3</v>
      </c>
      <c r="H143" s="302">
        <v>-5.2096900000000003E-3</v>
      </c>
      <c r="I143" s="302">
        <v>9.1541799999999996E-3</v>
      </c>
      <c r="J143" s="302">
        <v>6.6866499999999997E-3</v>
      </c>
      <c r="K143" s="302">
        <v>-8.1015000000000004E-4</v>
      </c>
      <c r="L143" s="302">
        <v>0.13901459999999999</v>
      </c>
      <c r="M143" s="302">
        <v>0.11996206000000001</v>
      </c>
      <c r="N143" s="302">
        <v>7.2908269999999997E-2</v>
      </c>
      <c r="O143" s="302">
        <v>4.9993280000000001E-2</v>
      </c>
      <c r="P143" s="302">
        <v>0.12867503</v>
      </c>
      <c r="Q143" s="302">
        <v>0.10719856999999999</v>
      </c>
      <c r="R143" s="302">
        <v>7.7865000000000004E-2</v>
      </c>
      <c r="S143" s="302">
        <v>2.5136620000000002E-2</v>
      </c>
      <c r="T143" s="302">
        <v>3.9183889999999999E-2</v>
      </c>
      <c r="U143" s="302">
        <v>6.8350250000000001E-2</v>
      </c>
      <c r="V143" s="302">
        <v>4.9853220000000004E-2</v>
      </c>
      <c r="W143" s="302">
        <v>2.3399999999999997E-2</v>
      </c>
      <c r="X143" s="302">
        <v>2.8721700000000003E-2</v>
      </c>
      <c r="Y143" s="302">
        <v>6.6799999999999998E-2</v>
      </c>
      <c r="Z143" s="302">
        <v>5.6659639999999997E-2</v>
      </c>
      <c r="AA143" s="302">
        <v>5.9200000000000003E-2</v>
      </c>
      <c r="AB143" s="302">
        <v>9.2600000000000002E-2</v>
      </c>
      <c r="AC143" s="302">
        <v>2.4551999999999998E-3</v>
      </c>
      <c r="AD143" s="302">
        <v>-4.1815000000000003E-3</v>
      </c>
      <c r="AE143" s="302">
        <v>-2.9735770000000002E-2</v>
      </c>
      <c r="AF143" s="302">
        <v>2.3849000000000001E-3</v>
      </c>
      <c r="AG143" s="302">
        <v>-5.2096900000000003E-3</v>
      </c>
      <c r="AH143" s="302">
        <v>-7.9072250000000011E-2</v>
      </c>
      <c r="AI143" s="302">
        <v>-2.2882669999999997E-2</v>
      </c>
      <c r="AJ143" s="302">
        <v>5.5800099999999998E-3</v>
      </c>
      <c r="AK143" s="302">
        <v>-6.8413100000000006E-3</v>
      </c>
      <c r="AL143" s="302">
        <v>-9.1541799999999996E-3</v>
      </c>
      <c r="AM143" s="302">
        <v>5.4606130000000003E-2</v>
      </c>
      <c r="AN143" s="302">
        <v>-0.10512938999999999</v>
      </c>
      <c r="AO143" s="302">
        <v>-8.6643659999999997E-2</v>
      </c>
      <c r="AP143" s="302">
        <v>-7.2908269999999997E-2</v>
      </c>
      <c r="AQ143" s="302">
        <v>-3.1251170000000002E-2</v>
      </c>
      <c r="AR143" s="302">
        <v>-0.10531212999999999</v>
      </c>
      <c r="AS143" s="302">
        <v>-8.7435360000000004E-2</v>
      </c>
      <c r="AT143" s="302">
        <v>-5.1762439999999993E-2</v>
      </c>
      <c r="AU143" s="302">
        <v>-5.1066599999999998E-3</v>
      </c>
      <c r="AV143" s="302">
        <v>-2.0634719999999999E-2</v>
      </c>
      <c r="AW143" s="302">
        <v>-5.0523980000000003E-2</v>
      </c>
      <c r="AX143" s="302">
        <v>-3.2335589999999997E-2</v>
      </c>
      <c r="AY143" s="302">
        <v>2.9943929480026198E-4</v>
      </c>
    </row>
    <row r="144" spans="1:51" x14ac:dyDescent="0.2">
      <c r="A144" s="303">
        <v>41699</v>
      </c>
      <c r="B144" s="302">
        <v>2.0136299999999998E-3</v>
      </c>
      <c r="C144" s="302">
        <v>6.3551299999999996E-3</v>
      </c>
      <c r="D144" s="302">
        <v>7.0105570000000006E-2</v>
      </c>
      <c r="E144" s="302">
        <v>1.634888E-2</v>
      </c>
      <c r="F144" s="302">
        <v>6.3011410000000004E-2</v>
      </c>
      <c r="G144" s="302">
        <v>2.9906799999999997E-2</v>
      </c>
      <c r="H144" s="302">
        <v>4.8375579999999994E-2</v>
      </c>
      <c r="I144" s="302">
        <v>3.8452259999999995E-2</v>
      </c>
      <c r="J144" s="302">
        <v>6.0626860000000005E-2</v>
      </c>
      <c r="K144" s="302">
        <v>1.1736420000000001E-2</v>
      </c>
      <c r="L144" s="302">
        <v>5.9096460000000003E-2</v>
      </c>
      <c r="M144" s="302">
        <v>6.4225820000000003E-2</v>
      </c>
      <c r="N144" s="302">
        <v>6.0610009999999999E-2</v>
      </c>
      <c r="O144" s="302">
        <v>-1.0248269999999999E-2</v>
      </c>
      <c r="P144" s="302">
        <v>7.2974910000000004E-2</v>
      </c>
      <c r="Q144" s="302">
        <v>3.169628E-2</v>
      </c>
      <c r="R144" s="302">
        <v>9.2120090000000002E-2</v>
      </c>
      <c r="S144" s="302">
        <v>0.10076969</v>
      </c>
      <c r="T144" s="302">
        <v>-3.2623400000000003E-3</v>
      </c>
      <c r="U144" s="302">
        <v>3.7810139999999999E-2</v>
      </c>
      <c r="V144" s="302">
        <v>3.6496270000000004E-2</v>
      </c>
      <c r="W144" s="302">
        <v>2.23E-2</v>
      </c>
      <c r="X144" s="302">
        <v>1.5469999999999999E-2</v>
      </c>
      <c r="Y144" s="302">
        <v>3.0600000000000002E-2</v>
      </c>
      <c r="Z144" s="302">
        <v>7.6948809999999992E-2</v>
      </c>
      <c r="AA144" s="302">
        <v>1.6E-2</v>
      </c>
      <c r="AB144" s="302">
        <v>2.41E-2</v>
      </c>
      <c r="AC144" s="302">
        <v>2.0136299999999998E-3</v>
      </c>
      <c r="AD144" s="302">
        <v>6.3551299999999996E-3</v>
      </c>
      <c r="AE144" s="302">
        <v>7.0105570000000006E-2</v>
      </c>
      <c r="AF144" s="302">
        <v>2.9906799999999997E-2</v>
      </c>
      <c r="AG144" s="302">
        <v>4.8375579999999994E-2</v>
      </c>
      <c r="AH144" s="302">
        <v>0.14754435206297201</v>
      </c>
      <c r="AI144" s="302">
        <v>0.10515285133751839</v>
      </c>
      <c r="AJ144" s="302">
        <v>1.4869829999999999E-2</v>
      </c>
      <c r="AK144" s="302">
        <v>-1.634888E-2</v>
      </c>
      <c r="AL144" s="302">
        <v>-3.8452259999999995E-2</v>
      </c>
      <c r="AM144" s="302">
        <v>-4.859865E-2</v>
      </c>
      <c r="AN144" s="302">
        <v>-1.8074440000000001E-2</v>
      </c>
      <c r="AO144" s="302">
        <v>-2.3005129999999999E-2</v>
      </c>
      <c r="AP144" s="302">
        <v>-6.0610009999999999E-2</v>
      </c>
      <c r="AQ144" s="302">
        <v>3.3249920000000002E-2</v>
      </c>
      <c r="AR144" s="302">
        <v>-4.9522419999999998E-2</v>
      </c>
      <c r="AS144" s="302">
        <v>-7.7198400000000004E-3</v>
      </c>
      <c r="AT144" s="302">
        <v>-7.1118020000000004E-2</v>
      </c>
      <c r="AU144" s="302">
        <v>-7.6086520000000005E-2</v>
      </c>
      <c r="AV144" s="302">
        <v>2.6426340000000003E-2</v>
      </c>
      <c r="AW144" s="302">
        <v>-1.3104949999999999E-2</v>
      </c>
      <c r="AX144" s="302">
        <v>-1.1822349999999999E-2</v>
      </c>
      <c r="AY144" s="302">
        <v>4.1722752678242177E-4</v>
      </c>
    </row>
    <row r="145" spans="1:51" x14ac:dyDescent="0.2">
      <c r="A145" s="303">
        <v>41791</v>
      </c>
      <c r="B145" s="302">
        <v>2.2645E-3</v>
      </c>
      <c r="C145" s="302">
        <v>9.0563299999999996E-3</v>
      </c>
      <c r="D145" s="302">
        <v>4.7330339999999999E-2</v>
      </c>
      <c r="E145" s="302">
        <v>1.7852099999999999E-2</v>
      </c>
      <c r="F145" s="302">
        <v>5.0427970000000003E-2</v>
      </c>
      <c r="G145" s="302">
        <v>2.066395E-2</v>
      </c>
      <c r="H145" s="302">
        <v>3.8532839999999999E-2</v>
      </c>
      <c r="I145" s="302">
        <v>2.283338E-2</v>
      </c>
      <c r="J145" s="302">
        <v>3.6798499999999998E-2</v>
      </c>
      <c r="K145" s="302">
        <v>9.8078899999999997E-3</v>
      </c>
      <c r="L145" s="302">
        <v>1.614931E-2</v>
      </c>
      <c r="M145" s="302">
        <v>3.5840000000000002E-5</v>
      </c>
      <c r="N145" s="302">
        <v>6.4133289999999996E-2</v>
      </c>
      <c r="O145" s="302">
        <v>3.4324430000000003E-2</v>
      </c>
      <c r="P145" s="302">
        <v>-9.8603100000000006E-3</v>
      </c>
      <c r="Q145" s="302">
        <v>2.5044819999999999E-2</v>
      </c>
      <c r="R145" s="302">
        <v>-1.1524689999999999E-2</v>
      </c>
      <c r="S145" s="302">
        <v>-7.4863100000000004E-3</v>
      </c>
      <c r="T145" s="302">
        <v>4.6806760000000003E-2</v>
      </c>
      <c r="U145" s="302">
        <v>3.5825410000000002E-2</v>
      </c>
      <c r="V145" s="302">
        <v>3.0365540000000003E-2</v>
      </c>
      <c r="W145" s="302">
        <v>2.9300000000000003E-2</v>
      </c>
      <c r="X145" s="302">
        <v>1.6423900000000002E-2</v>
      </c>
      <c r="Y145" s="302">
        <v>5.6500000000000002E-2</v>
      </c>
      <c r="Z145" s="302">
        <v>0.10191591999999999</v>
      </c>
      <c r="AA145" s="302">
        <v>1.0800000000000001E-2</v>
      </c>
      <c r="AB145" s="302">
        <v>1.7299999999999999E-2</v>
      </c>
      <c r="AC145" s="302">
        <v>2.2645E-3</v>
      </c>
      <c r="AD145" s="302">
        <v>9.0563299999999996E-3</v>
      </c>
      <c r="AE145" s="302">
        <v>4.7330339999999999E-2</v>
      </c>
      <c r="AF145" s="302">
        <v>2.066395E-2</v>
      </c>
      <c r="AG145" s="302">
        <v>3.8532839999999999E-2</v>
      </c>
      <c r="AH145" s="302">
        <v>6.8223589291667608E-2</v>
      </c>
      <c r="AI145" s="302">
        <v>6.516028996010359E-2</v>
      </c>
      <c r="AJ145" s="302">
        <v>1.5788429999999999E-2</v>
      </c>
      <c r="AK145" s="302">
        <v>-1.7852099999999999E-2</v>
      </c>
      <c r="AL145" s="302">
        <v>-2.283338E-2</v>
      </c>
      <c r="AM145" s="302">
        <v>-9.8078899999999997E-3</v>
      </c>
      <c r="AN145" s="302">
        <v>-5.2338319999999994E-2</v>
      </c>
      <c r="AO145" s="302">
        <v>-3.565099E-2</v>
      </c>
      <c r="AP145" s="302">
        <v>-6.4133289999999996E-2</v>
      </c>
      <c r="AQ145" s="302">
        <v>-5.6426210000000004E-2</v>
      </c>
      <c r="AR145" s="302">
        <v>-1.1907794000000001E-2</v>
      </c>
      <c r="AS145" s="302">
        <v>-4.6588310000000001E-2</v>
      </c>
      <c r="AT145" s="302">
        <v>-1.9362899999999994E-3</v>
      </c>
      <c r="AU145" s="302">
        <v>-1.4104700000000001E-2</v>
      </c>
      <c r="AV145" s="302">
        <v>-6.9175269999999997E-2</v>
      </c>
      <c r="AW145" s="302">
        <v>-5.7959259999999999E-2</v>
      </c>
      <c r="AX145" s="302">
        <v>-5.2382726000000004E-2</v>
      </c>
      <c r="AY145" s="302">
        <v>3.8107305428300003E-4</v>
      </c>
    </row>
    <row r="146" spans="1:51" x14ac:dyDescent="0.2">
      <c r="A146" s="303">
        <v>41912</v>
      </c>
      <c r="B146" s="302">
        <v>2.3247979993179513E-3</v>
      </c>
      <c r="C146" s="302">
        <v>1.5562474479713373E-4</v>
      </c>
      <c r="D146" s="302">
        <v>2.6280024194156759E-2</v>
      </c>
      <c r="E146" s="302">
        <v>-1.1010156971615892E-3</v>
      </c>
      <c r="F146" s="302">
        <v>1.7444275647449103E-3</v>
      </c>
      <c r="G146" s="302">
        <v>9.044806429000074E-3</v>
      </c>
      <c r="H146" s="302">
        <v>2.4288383194999819E-2</v>
      </c>
      <c r="I146" s="302">
        <v>6.7497786499999268E-3</v>
      </c>
      <c r="J146" s="302">
        <v>1.7591300792000109E-2</v>
      </c>
      <c r="K146" s="302">
        <v>5.4202894593688988E-3</v>
      </c>
      <c r="L146" s="302">
        <v>6.1132030000000004E-2</v>
      </c>
      <c r="M146" s="302">
        <v>-6.7952000000000004E-3</v>
      </c>
      <c r="N146" s="302">
        <v>-5.8897999999999997E-3</v>
      </c>
      <c r="O146" s="302">
        <v>2.612766E-2</v>
      </c>
      <c r="P146" s="302">
        <v>-3.6308310000000003E-2</v>
      </c>
      <c r="Q146" s="302">
        <v>-1.4190210000000002E-2</v>
      </c>
      <c r="R146" s="302">
        <v>-6.8991699999999996E-3</v>
      </c>
      <c r="S146" s="302">
        <v>-3.3574140000000002E-2</v>
      </c>
      <c r="T146" s="302">
        <v>1.6547940000000001E-2</v>
      </c>
      <c r="U146" s="302">
        <v>3.4533100000000004E-2</v>
      </c>
      <c r="V146" s="302">
        <v>1.4061850000000001E-2</v>
      </c>
      <c r="W146" s="302">
        <v>2.7799999999999998E-2</v>
      </c>
      <c r="X146" s="302">
        <v>1.4622100000000001E-2</v>
      </c>
      <c r="Y146" s="302">
        <v>1.66E-2</v>
      </c>
      <c r="Z146" s="302">
        <v>-8.2323629999999995E-2</v>
      </c>
      <c r="AA146" s="302">
        <v>1.47E-2</v>
      </c>
      <c r="AB146" s="302">
        <v>1.4499999999999999E-2</v>
      </c>
      <c r="AC146" s="302">
        <v>2.3247979993179513E-3</v>
      </c>
      <c r="AD146" s="302">
        <v>1.5562474479713373E-4</v>
      </c>
      <c r="AE146" s="302">
        <v>2.6280024194156759E-2</v>
      </c>
      <c r="AF146" s="302">
        <v>9.044806429000074E-3</v>
      </c>
      <c r="AG146" s="302">
        <v>2.4288383194999819E-2</v>
      </c>
      <c r="AH146" s="302">
        <v>5.5331012400629653E-2</v>
      </c>
      <c r="AI146" s="302">
        <v>3.8940066726846023E-2</v>
      </c>
      <c r="AJ146" s="302">
        <v>2.2986476708631853E-2</v>
      </c>
      <c r="AK146" s="302">
        <v>1.1010156971615892E-3</v>
      </c>
      <c r="AL146" s="302">
        <v>-6.7497786499999268E-3</v>
      </c>
      <c r="AM146" s="302">
        <v>-5.4202894593688988E-3</v>
      </c>
      <c r="AN146" s="302">
        <v>-1.127892E-2</v>
      </c>
      <c r="AO146" s="302">
        <v>5.3457020000000001E-2</v>
      </c>
      <c r="AP146" s="302">
        <v>5.8897999999999997E-3</v>
      </c>
      <c r="AQ146" s="302">
        <v>2.7974819999999978E-3</v>
      </c>
      <c r="AR146" s="302">
        <v>6.3473472000000003E-2</v>
      </c>
      <c r="AS146" s="302">
        <v>4.2174461999999996E-2</v>
      </c>
      <c r="AT146" s="302">
        <v>3.4893328000000001E-2</v>
      </c>
      <c r="AU146" s="302">
        <v>6.0816366000000004E-2</v>
      </c>
      <c r="AV146" s="302">
        <v>1.2107165999999996E-2</v>
      </c>
      <c r="AW146" s="302">
        <v>-5.3710180000000017E-3</v>
      </c>
      <c r="AX146" s="302">
        <v>1.4523175999999997E-2</v>
      </c>
      <c r="AY146" s="302">
        <v>3.4491858178357823E-4</v>
      </c>
    </row>
    <row r="147" spans="1:51" x14ac:dyDescent="0.2">
      <c r="A147" s="303">
        <v>42004</v>
      </c>
      <c r="B147" s="302">
        <v>2.3145755464786255E-3</v>
      </c>
      <c r="C147" s="302">
        <v>9.459301600832859E-3</v>
      </c>
      <c r="D147" s="302">
        <v>8.3826349355131224E-2</v>
      </c>
      <c r="E147" s="302">
        <v>7.9926114700092921E-3</v>
      </c>
      <c r="F147" s="302">
        <v>4.0570085478866647E-2</v>
      </c>
      <c r="G147" s="302">
        <v>2.8642603104000131E-2</v>
      </c>
      <c r="H147" s="302">
        <v>5.7005129264000143E-2</v>
      </c>
      <c r="I147" s="302">
        <v>2.1616601191999818E-2</v>
      </c>
      <c r="J147" s="302">
        <v>3.7737617040000115E-2</v>
      </c>
      <c r="K147" s="302">
        <v>1.7575912469928179E-2</v>
      </c>
      <c r="L147" s="302">
        <v>8.9159100000000005E-2</v>
      </c>
      <c r="M147" s="302">
        <v>0.10819542</v>
      </c>
      <c r="N147" s="302">
        <v>-1.465845E-2</v>
      </c>
      <c r="O147" s="302">
        <v>1.0233229999999999E-2</v>
      </c>
      <c r="P147" s="302">
        <v>-1.2678490000000001E-2</v>
      </c>
      <c r="Q147" s="302">
        <v>-5.95591E-3</v>
      </c>
      <c r="R147" s="302">
        <v>1.625014E-2</v>
      </c>
      <c r="S147" s="302">
        <v>-3.1735999999999998E-4</v>
      </c>
      <c r="T147" s="302">
        <v>5.2602320000000001E-2</v>
      </c>
      <c r="U147" s="302">
        <v>3.562655E-2</v>
      </c>
      <c r="V147" s="302">
        <v>-8.1337400000000004E-3</v>
      </c>
      <c r="W147" s="302">
        <v>3.0899999999999997E-2</v>
      </c>
      <c r="X147" s="302">
        <v>1.8693599999999998E-2</v>
      </c>
      <c r="Y147" s="302">
        <v>7.6E-3</v>
      </c>
      <c r="Z147" s="302">
        <v>-0.18029634999999999</v>
      </c>
      <c r="AA147" s="302">
        <v>6.0199999999999997E-2</v>
      </c>
      <c r="AB147" s="302">
        <v>6.5599999999999992E-2</v>
      </c>
      <c r="AC147" s="302">
        <v>2.3145755464786255E-3</v>
      </c>
      <c r="AD147" s="302">
        <v>9.459301600832859E-3</v>
      </c>
      <c r="AE147" s="302">
        <v>8.3826349355131224E-2</v>
      </c>
      <c r="AF147" s="302">
        <v>2.8642603104000131E-2</v>
      </c>
      <c r="AG147" s="302">
        <v>5.7005129264000143E-2</v>
      </c>
      <c r="AH147" s="302">
        <v>0.1732977208979225</v>
      </c>
      <c r="AI147" s="302">
        <v>0.13622240874498059</v>
      </c>
      <c r="AJ147" s="302">
        <v>0.11632003361598198</v>
      </c>
      <c r="AK147" s="302">
        <v>-7.9926114700092921E-3</v>
      </c>
      <c r="AL147" s="302">
        <v>-2.1616601191999818E-2</v>
      </c>
      <c r="AM147" s="302">
        <v>-1.7575912469928179E-2</v>
      </c>
      <c r="AN147" s="302">
        <v>-4.9326670000000003E-2</v>
      </c>
      <c r="AO147" s="302">
        <v>-6.7666799999999999E-2</v>
      </c>
      <c r="AP147" s="302">
        <v>1.465845E-2</v>
      </c>
      <c r="AQ147" s="302">
        <v>1.1934351999999999E-2</v>
      </c>
      <c r="AR147" s="302">
        <v>3.4343319999999997E-2</v>
      </c>
      <c r="AS147" s="302">
        <v>2.0196395999999998E-2</v>
      </c>
      <c r="AT147" s="302">
        <v>6.0494719999999976E-3</v>
      </c>
      <c r="AU147" s="302">
        <v>2.2253431999999997E-2</v>
      </c>
      <c r="AV147" s="302">
        <v>-2.9505032E-2</v>
      </c>
      <c r="AW147" s="302">
        <v>-1.2901766000000002E-2</v>
      </c>
      <c r="AX147" s="302">
        <v>2.9898296000000001E-2</v>
      </c>
      <c r="AY147" s="302">
        <v>3.4491858178357823E-4</v>
      </c>
    </row>
    <row r="148" spans="1:51" x14ac:dyDescent="0.2">
      <c r="A148" s="303">
        <v>42094</v>
      </c>
      <c r="B148" s="302">
        <v>1.9532E-3</v>
      </c>
      <c r="C148" s="302">
        <v>1.25191E-2</v>
      </c>
      <c r="D148" s="302">
        <v>3.89305E-2</v>
      </c>
      <c r="E148" s="302">
        <v>1.7727E-2</v>
      </c>
      <c r="F148" s="302">
        <v>3.056E-2</v>
      </c>
      <c r="G148" s="302">
        <v>4.3121549303501538E-2</v>
      </c>
      <c r="H148" s="302">
        <v>7.3778344704106269E-2</v>
      </c>
      <c r="I148" s="302">
        <v>4.2305813716269958E-2</v>
      </c>
      <c r="J148" s="302">
        <v>6.2714541526242451E-2</v>
      </c>
      <c r="K148" s="302">
        <v>-4.4219003696386316E-3</v>
      </c>
      <c r="L148" s="302">
        <v>0.10202128131830324</v>
      </c>
      <c r="M148" s="302">
        <v>0.14806990026675848</v>
      </c>
      <c r="N148" s="302">
        <v>2.4315737853885189E-2</v>
      </c>
      <c r="O148" s="302">
        <v>0.202118139049698</v>
      </c>
      <c r="P148" s="302">
        <v>0.15530182633164102</v>
      </c>
      <c r="Q148" s="302">
        <v>8.1327851045521093E-2</v>
      </c>
      <c r="R148" s="302">
        <v>0.14772417647362546</v>
      </c>
      <c r="S148" s="302">
        <v>0.12583190228035468</v>
      </c>
      <c r="T148" s="302">
        <v>0.11400543259735674</v>
      </c>
      <c r="U148" s="302">
        <v>0.14906088890867775</v>
      </c>
      <c r="V148" s="302">
        <v>0.1165391586359994</v>
      </c>
      <c r="W148" s="302">
        <v>3.299999945672738E-2</v>
      </c>
      <c r="X148" s="302">
        <v>1.6400000000000001E-2</v>
      </c>
      <c r="Y148" s="302">
        <v>2.6300001319754518E-2</v>
      </c>
      <c r="Z148" s="302">
        <v>-1.8651506084180758E-2</v>
      </c>
      <c r="AA148" s="302">
        <v>1.7500011675073202E-2</v>
      </c>
      <c r="AB148" s="302">
        <v>2.0800017211581645E-2</v>
      </c>
      <c r="AC148" s="302">
        <v>1.9532E-3</v>
      </c>
      <c r="AD148" s="302">
        <v>1.25191E-2</v>
      </c>
      <c r="AE148" s="302">
        <v>3.89305E-2</v>
      </c>
      <c r="AF148" s="302">
        <v>4.3121549303501538E-2</v>
      </c>
      <c r="AG148" s="302">
        <v>7.3778344704106269E-2</v>
      </c>
      <c r="AH148" s="302">
        <v>0.10306365448835075</v>
      </c>
      <c r="AI148" s="302">
        <v>0.10641386565857913</v>
      </c>
      <c r="AJ148" s="302">
        <v>-3.0334260219589737E-2</v>
      </c>
      <c r="AK148" s="302">
        <v>1.7727E-2</v>
      </c>
      <c r="AL148" s="302">
        <v>4.2305813716269958E-2</v>
      </c>
      <c r="AM148" s="302">
        <v>-2.8244419582213864E-2</v>
      </c>
      <c r="AN148" s="302">
        <v>-9.5057000000000006E-3</v>
      </c>
      <c r="AO148" s="302">
        <v>-5.1688499999999998E-2</v>
      </c>
      <c r="AP148" s="302">
        <v>-2.4315737853885189E-2</v>
      </c>
      <c r="AQ148" s="302">
        <v>-0.14156686277248243</v>
      </c>
      <c r="AR148" s="302">
        <v>-9.2508748988899409E-2</v>
      </c>
      <c r="AS148" s="302">
        <v>-2.6860840418208441E-2</v>
      </c>
      <c r="AT148" s="302">
        <v>-8.9912750589450183E-2</v>
      </c>
      <c r="AU148" s="302">
        <v>-6.9123200912141872E-2</v>
      </c>
      <c r="AV148" s="302">
        <v>-5.7892436268355413E-2</v>
      </c>
      <c r="AW148" s="302">
        <v>-9.1182132167967916E-2</v>
      </c>
      <c r="AX148" s="302">
        <v>-6.0298537292123915E-2</v>
      </c>
      <c r="AY148" s="302">
        <v>1.2664806642969494E-3</v>
      </c>
    </row>
    <row r="149" spans="1:51" x14ac:dyDescent="0.2">
      <c r="A149" s="303">
        <v>42185</v>
      </c>
      <c r="B149" s="302">
        <v>1.4E-3</v>
      </c>
      <c r="C149" s="302">
        <v>-4.2944999999999997E-3</v>
      </c>
      <c r="D149" s="302">
        <v>-8.0974500000000005E-2</v>
      </c>
      <c r="E149" s="302">
        <v>-9.3714999999999996E-3</v>
      </c>
      <c r="F149" s="302">
        <v>-7.2559600000000002E-2</v>
      </c>
      <c r="G149" s="302">
        <v>-1.2507829346542376E-2</v>
      </c>
      <c r="H149" s="302">
        <v>-4.5011987510095497E-2</v>
      </c>
      <c r="I149" s="302">
        <v>-1.0942870322844911E-2</v>
      </c>
      <c r="J149" s="302">
        <v>-4.7271972583619815E-2</v>
      </c>
      <c r="K149" s="302">
        <v>-1.6068987694233261E-3</v>
      </c>
      <c r="L149" s="302">
        <v>-1.2396179583793132E-2</v>
      </c>
      <c r="M149" s="302">
        <v>-1.8506874239318849E-2</v>
      </c>
      <c r="N149" s="302">
        <v>-1.5004693567712279E-2</v>
      </c>
      <c r="O149" s="302">
        <v>2.2191454050807469E-2</v>
      </c>
      <c r="P149" s="302">
        <v>-2.2636709506542507E-2</v>
      </c>
      <c r="Q149" s="302">
        <v>1.4398654122654841E-2</v>
      </c>
      <c r="R149" s="302">
        <v>-1.764264228283019E-3</v>
      </c>
      <c r="S149" s="302">
        <v>-7.5530372678543123E-2</v>
      </c>
      <c r="T149" s="302">
        <v>1.2037388545929062E-2</v>
      </c>
      <c r="U149" s="302">
        <v>-1.5521954809381455E-2</v>
      </c>
      <c r="V149" s="302">
        <v>-7.0929154033984032E-3</v>
      </c>
      <c r="W149" s="302">
        <v>3.1100017976806171E-2</v>
      </c>
      <c r="X149" s="302">
        <v>1.41E-2</v>
      </c>
      <c r="Y149" s="302">
        <v>3.7700008545241248E-2</v>
      </c>
      <c r="Z149" s="302">
        <v>-4.7387945929464263E-2</v>
      </c>
      <c r="AA149" s="302">
        <v>5.0999853947619744E-3</v>
      </c>
      <c r="AB149" s="302">
        <v>1.1600025453436524E-2</v>
      </c>
      <c r="AC149" s="302">
        <v>1.4219E-3</v>
      </c>
      <c r="AD149" s="302">
        <v>-4.2944999999999997E-3</v>
      </c>
      <c r="AE149" s="302">
        <v>-8.0974500000000005E-2</v>
      </c>
      <c r="AF149" s="302">
        <v>-1.2507829346542376E-2</v>
      </c>
      <c r="AG149" s="302">
        <v>-4.5011987510095497E-2</v>
      </c>
      <c r="AH149" s="302">
        <v>-0.16107480052286038</v>
      </c>
      <c r="AI149" s="302">
        <v>-0.12111571553293055</v>
      </c>
      <c r="AJ149" s="302">
        <v>-2.6568148697078686E-2</v>
      </c>
      <c r="AK149" s="302">
        <v>-9.3714999999999996E-3</v>
      </c>
      <c r="AL149" s="302">
        <v>-1.0942870322844911E-2</v>
      </c>
      <c r="AM149" s="302">
        <v>2.6844767531095284E-2</v>
      </c>
      <c r="AN149" s="302">
        <v>-2.7806999999999997E-3</v>
      </c>
      <c r="AO149" s="302">
        <v>3.4239000000000001E-3</v>
      </c>
      <c r="AP149" s="302">
        <v>1.5004693567712279E-2</v>
      </c>
      <c r="AQ149" s="302">
        <v>-3.161649451076038E-2</v>
      </c>
      <c r="AR149" s="302">
        <v>1.4699061939145488E-2</v>
      </c>
      <c r="AS149" s="302">
        <v>-2.3751841649061935E-2</v>
      </c>
      <c r="AT149" s="302">
        <v>-7.4398943086867921E-3</v>
      </c>
      <c r="AU149" s="302">
        <v>6.7006369071417257E-2</v>
      </c>
      <c r="AV149" s="302">
        <v>-2.1368804198281442E-2</v>
      </c>
      <c r="AW149" s="302">
        <v>6.4446480376543214E-3</v>
      </c>
      <c r="AX149" s="302">
        <v>-2.0621107007738446E-3</v>
      </c>
      <c r="AY149" s="302">
        <v>1.2038000164241286E-3</v>
      </c>
    </row>
    <row r="150" spans="1:51" x14ac:dyDescent="0.2">
      <c r="A150" s="303">
        <v>42277</v>
      </c>
      <c r="B150" s="302">
        <v>1.1711E-3</v>
      </c>
      <c r="C150" s="302">
        <v>1.2068000000000001E-2</v>
      </c>
      <c r="D150" s="302">
        <v>4.9669999999999999E-2</v>
      </c>
      <c r="E150" s="302">
        <v>5.3704E-3</v>
      </c>
      <c r="F150" s="302">
        <v>5.1929000000000003E-3</v>
      </c>
      <c r="G150" s="302">
        <v>9.3776781434444789E-3</v>
      </c>
      <c r="H150" s="302">
        <v>-4.6880514620206704E-4</v>
      </c>
      <c r="I150" s="302">
        <v>3.2656446302028463E-3</v>
      </c>
      <c r="J150" s="302">
        <v>-3.6014087210125556E-3</v>
      </c>
      <c r="K150" s="302">
        <v>1.1635560452812665E-2</v>
      </c>
      <c r="L150" s="302">
        <v>-3.053427020970223E-3</v>
      </c>
      <c r="M150" s="302">
        <v>-4.4165492628461811E-2</v>
      </c>
      <c r="N150" s="302">
        <v>-8.5591043476869078E-2</v>
      </c>
      <c r="O150" s="302">
        <v>-5.0264251389482872E-2</v>
      </c>
      <c r="P150" s="302">
        <v>-2.3291339434928893E-2</v>
      </c>
      <c r="Q150" s="302">
        <v>-4.114646566351865E-2</v>
      </c>
      <c r="R150" s="302">
        <v>-8.3757500320156275E-3</v>
      </c>
      <c r="S150" s="302">
        <v>-9.7375723011045467E-2</v>
      </c>
      <c r="T150" s="302">
        <v>-0.12425506442207401</v>
      </c>
      <c r="U150" s="302">
        <v>-0.11443222911340156</v>
      </c>
      <c r="V150" s="302">
        <v>-0.12390674761727982</v>
      </c>
      <c r="W150" s="302">
        <v>2.9700009593661481E-2</v>
      </c>
      <c r="X150" s="302">
        <v>2.3800000000000002E-2</v>
      </c>
      <c r="Y150" s="302">
        <v>-1.3600006640504092E-2</v>
      </c>
      <c r="Z150" s="302">
        <v>-0.18225707503134092</v>
      </c>
      <c r="AA150" s="302">
        <v>7.700011791276884E-3</v>
      </c>
      <c r="AB150" s="302">
        <v>2.4500002437359392E-2</v>
      </c>
      <c r="AC150" s="302">
        <v>1.1711E-3</v>
      </c>
      <c r="AD150" s="302">
        <v>1.2068000000000001E-2</v>
      </c>
      <c r="AE150" s="302">
        <v>4.9669999999999999E-2</v>
      </c>
      <c r="AF150" s="302">
        <v>9.3776781434444789E-3</v>
      </c>
      <c r="AG150" s="302">
        <v>-4.6880514620206704E-4</v>
      </c>
      <c r="AH150" s="302">
        <v>0.13617917997282669</v>
      </c>
      <c r="AI150" s="302">
        <v>-4.7402089858072594E-2</v>
      </c>
      <c r="AJ150" s="302">
        <v>9.2125535286129434E-3</v>
      </c>
      <c r="AK150" s="302">
        <v>5.3704E-3</v>
      </c>
      <c r="AL150" s="302">
        <v>3.2656446302028463E-3</v>
      </c>
      <c r="AM150" s="302">
        <v>-6.092629941969667E-2</v>
      </c>
      <c r="AN150" s="302">
        <v>6.4384399999999994E-2</v>
      </c>
      <c r="AO150" s="302">
        <v>0.1029673</v>
      </c>
      <c r="AP150" s="302">
        <v>8.5591043476869078E-2</v>
      </c>
      <c r="AQ150" s="302">
        <v>8.5320222760864775E-2</v>
      </c>
      <c r="AR150" s="302">
        <v>5.9561706002881437E-2</v>
      </c>
      <c r="AS150" s="302">
        <v>7.6538986265407463E-2</v>
      </c>
      <c r="AT150" s="302">
        <v>4.497788001280624E-2</v>
      </c>
      <c r="AU150" s="302">
        <v>0.13069274920441817</v>
      </c>
      <c r="AV150" s="302">
        <v>0.15657993945722701</v>
      </c>
      <c r="AW150" s="302">
        <v>0.14711967766847356</v>
      </c>
      <c r="AX150" s="302">
        <v>0.15624447947492781</v>
      </c>
      <c r="AY150" s="302">
        <v>1.5515118762317577E-3</v>
      </c>
    </row>
    <row r="151" spans="1:51" x14ac:dyDescent="0.2">
      <c r="A151" s="303">
        <v>42369</v>
      </c>
      <c r="B151" s="302">
        <v>1.0709999999999999E-3</v>
      </c>
      <c r="C151" s="302">
        <v>-8.3577000000000009E-3</v>
      </c>
      <c r="D151" s="302">
        <v>-1.38453E-2</v>
      </c>
      <c r="E151" s="302">
        <v>-4.5345000000000003E-3</v>
      </c>
      <c r="F151" s="302">
        <v>-6.6374999999999993E-3</v>
      </c>
      <c r="G151" s="302">
        <v>1.0925323476110416E-2</v>
      </c>
      <c r="H151" s="302">
        <v>1.93546109024334E-2</v>
      </c>
      <c r="I151" s="302">
        <v>6.2538518767696338E-3</v>
      </c>
      <c r="J151" s="302">
        <v>6.2515444609669846E-3</v>
      </c>
      <c r="K151" s="302">
        <v>7.2478352193137141E-3</v>
      </c>
      <c r="L151" s="302">
        <v>0.11271849037031467</v>
      </c>
      <c r="M151" s="302">
        <v>7.3584983429730411E-2</v>
      </c>
      <c r="N151" s="302">
        <v>-8.0402722752196398E-3</v>
      </c>
      <c r="O151" s="302">
        <v>0.13815572613099403</v>
      </c>
      <c r="P151" s="302">
        <v>7.7569842034101999E-2</v>
      </c>
      <c r="Q151" s="302">
        <v>4.7184437579809391E-2</v>
      </c>
      <c r="R151" s="302">
        <v>6.0741522399158754E-2</v>
      </c>
      <c r="S151" s="302">
        <v>0.14371512685345156</v>
      </c>
      <c r="T151" s="302">
        <v>9.292044812487732E-2</v>
      </c>
      <c r="U151" s="302">
        <v>7.6190230025865002E-2</v>
      </c>
      <c r="V151" s="302">
        <v>4.7110649278134353E-2</v>
      </c>
      <c r="W151" s="302">
        <v>2.5799975259878094E-2</v>
      </c>
      <c r="X151" s="302">
        <v>2.6200000000000001E-2</v>
      </c>
      <c r="Y151" s="302">
        <v>5.160265E-2</v>
      </c>
      <c r="Z151" s="302">
        <v>-8.1218605258001064E-3</v>
      </c>
      <c r="AA151" s="302">
        <v>1.8599989742588363E-2</v>
      </c>
      <c r="AB151" s="302">
        <v>4.3000000782160708E-2</v>
      </c>
      <c r="AC151" s="302">
        <v>1.0709999999999999E-3</v>
      </c>
      <c r="AD151" s="302">
        <v>-8.3577000000000009E-3</v>
      </c>
      <c r="AE151" s="302">
        <v>-1.38453E-2</v>
      </c>
      <c r="AF151" s="302">
        <v>1.0925323476110416E-2</v>
      </c>
      <c r="AG151" s="302">
        <v>1.93546109024334E-2</v>
      </c>
      <c r="AH151" s="302">
        <v>-2.5235623029571275E-2</v>
      </c>
      <c r="AI151" s="302">
        <v>1.661387374552592E-2</v>
      </c>
      <c r="AJ151" s="302">
        <v>4.0161217579022468E-2</v>
      </c>
      <c r="AK151" s="302">
        <v>-4.5345000000000003E-3</v>
      </c>
      <c r="AL151" s="302">
        <v>6.2538518767696338E-3</v>
      </c>
      <c r="AM151" s="302">
        <v>-1.9977483428582542E-2</v>
      </c>
      <c r="AN151" s="302">
        <v>-7.0425700000000008E-2</v>
      </c>
      <c r="AO151" s="302">
        <v>-3.2779599999999999E-2</v>
      </c>
      <c r="AP151" s="302">
        <v>8.0402722752196398E-3</v>
      </c>
      <c r="AQ151" s="302">
        <v>-0.11219995279715902</v>
      </c>
      <c r="AR151" s="302">
        <v>-5.3009145427777404E-2</v>
      </c>
      <c r="AS151" s="302">
        <v>-2.3303275031923757E-2</v>
      </c>
      <c r="AT151" s="302">
        <v>-3.65511889596635E-2</v>
      </c>
      <c r="AU151" s="302">
        <v>-0.11763257074138062</v>
      </c>
      <c r="AV151" s="302">
        <v>-6.7996270552205071E-2</v>
      </c>
      <c r="AW151" s="302">
        <v>-5.1647587017254269E-2</v>
      </c>
      <c r="AX151" s="302">
        <v>-2.3231169481026149E-2</v>
      </c>
      <c r="AY151" s="302">
        <v>1.317285172797375E-3</v>
      </c>
    </row>
    <row r="152" spans="1:51" x14ac:dyDescent="0.2">
      <c r="A152" s="303"/>
      <c r="B152" s="302"/>
      <c r="C152" s="302"/>
      <c r="D152" s="302"/>
      <c r="E152" s="302"/>
      <c r="F152" s="302"/>
      <c r="G152" s="302"/>
      <c r="H152" s="302"/>
      <c r="I152" s="302"/>
      <c r="J152" s="302"/>
      <c r="K152" s="302"/>
      <c r="L152" s="302"/>
      <c r="M152" s="302"/>
      <c r="N152" s="302"/>
      <c r="O152" s="302"/>
      <c r="P152" s="302"/>
      <c r="Q152" s="302"/>
      <c r="R152" s="302"/>
      <c r="S152" s="302"/>
      <c r="T152" s="302"/>
      <c r="U152" s="302"/>
      <c r="V152" s="302"/>
      <c r="W152" s="302"/>
      <c r="X152" s="302"/>
      <c r="Y152" s="302"/>
      <c r="Z152" s="302"/>
      <c r="AA152" s="302"/>
      <c r="AB152" s="302"/>
      <c r="AC152" s="302"/>
      <c r="AD152" s="302"/>
      <c r="AE152" s="302"/>
      <c r="AF152" s="302"/>
      <c r="AG152" s="302"/>
      <c r="AH152" s="302"/>
      <c r="AI152" s="302"/>
      <c r="AJ152" s="302"/>
      <c r="AK152" s="302"/>
      <c r="AL152" s="302"/>
      <c r="AM152" s="302"/>
      <c r="AN152" s="302"/>
      <c r="AO152" s="302"/>
      <c r="AP152" s="302"/>
      <c r="AQ152" s="302"/>
      <c r="AR152" s="302"/>
      <c r="AS152" s="302"/>
      <c r="AT152" s="302"/>
      <c r="AU152" s="302"/>
      <c r="AV152" s="302"/>
      <c r="AW152" s="302"/>
      <c r="AX152" s="302"/>
      <c r="AY152" s="302"/>
    </row>
    <row r="153" spans="1:51" x14ac:dyDescent="0.2">
      <c r="A153" s="303"/>
      <c r="B153" s="302"/>
      <c r="C153" s="302"/>
      <c r="D153" s="302"/>
      <c r="E153" s="302"/>
      <c r="F153" s="302"/>
      <c r="G153" s="302"/>
      <c r="H153" s="302"/>
      <c r="I153" s="302"/>
      <c r="J153" s="302"/>
      <c r="K153" s="302"/>
      <c r="L153" s="302"/>
      <c r="M153" s="302"/>
      <c r="N153" s="302"/>
      <c r="O153" s="302"/>
      <c r="P153" s="302"/>
      <c r="Q153" s="302"/>
      <c r="R153" s="302"/>
      <c r="S153" s="302"/>
      <c r="T153" s="302"/>
      <c r="U153" s="302"/>
      <c r="V153" s="302"/>
      <c r="W153" s="302"/>
      <c r="X153" s="302"/>
      <c r="Y153" s="302"/>
      <c r="Z153" s="302"/>
      <c r="AA153" s="302"/>
      <c r="AB153" s="302"/>
      <c r="AC153" s="302"/>
      <c r="AD153" s="302"/>
      <c r="AE153" s="302"/>
      <c r="AF153" s="302"/>
      <c r="AG153" s="302"/>
      <c r="AH153" s="302"/>
      <c r="AI153" s="302"/>
      <c r="AJ153" s="302"/>
      <c r="AK153" s="302"/>
      <c r="AL153" s="302"/>
      <c r="AM153" s="302"/>
      <c r="AN153" s="302"/>
      <c r="AO153" s="302"/>
      <c r="AP153" s="302"/>
      <c r="AQ153" s="302"/>
      <c r="AR153" s="302"/>
      <c r="AS153" s="302"/>
      <c r="AT153" s="302"/>
      <c r="AU153" s="302"/>
      <c r="AV153" s="302"/>
      <c r="AW153" s="302"/>
      <c r="AX153" s="302"/>
      <c r="AY153" s="302"/>
    </row>
    <row r="154" spans="1:51" x14ac:dyDescent="0.2">
      <c r="A154" s="303"/>
      <c r="B154" s="302"/>
      <c r="C154" s="302"/>
      <c r="D154" s="302"/>
      <c r="E154" s="302"/>
      <c r="F154" s="302"/>
      <c r="G154" s="302"/>
      <c r="H154" s="302"/>
      <c r="I154" s="302"/>
      <c r="J154" s="302"/>
      <c r="K154" s="302"/>
      <c r="L154" s="302"/>
      <c r="M154" s="302"/>
      <c r="N154" s="302"/>
      <c r="O154" s="302"/>
      <c r="P154" s="302"/>
      <c r="Q154" s="302"/>
      <c r="R154" s="302"/>
      <c r="S154" s="302"/>
      <c r="T154" s="302"/>
      <c r="U154" s="302"/>
      <c r="V154" s="302"/>
      <c r="W154" s="302"/>
      <c r="X154" s="302"/>
      <c r="Y154" s="302"/>
      <c r="Z154" s="302"/>
      <c r="AA154" s="302"/>
      <c r="AB154" s="302"/>
      <c r="AC154" s="302"/>
      <c r="AD154" s="302"/>
      <c r="AE154" s="302"/>
      <c r="AF154" s="302"/>
      <c r="AG154" s="302"/>
      <c r="AH154" s="302"/>
      <c r="AI154" s="302"/>
      <c r="AJ154" s="302"/>
      <c r="AK154" s="302"/>
      <c r="AL154" s="302"/>
      <c r="AM154" s="302"/>
      <c r="AN154" s="302"/>
      <c r="AO154" s="302"/>
      <c r="AP154" s="302"/>
      <c r="AQ154" s="302"/>
      <c r="AR154" s="302"/>
      <c r="AS154" s="302"/>
      <c r="AT154" s="302"/>
      <c r="AU154" s="302"/>
      <c r="AV154" s="302"/>
      <c r="AW154" s="302"/>
      <c r="AX154" s="302"/>
      <c r="AY154" s="302"/>
    </row>
    <row r="155" spans="1:51" x14ac:dyDescent="0.2">
      <c r="A155" s="303"/>
      <c r="B155" s="302"/>
      <c r="C155" s="302"/>
      <c r="D155" s="302"/>
      <c r="E155" s="302"/>
      <c r="F155" s="302"/>
      <c r="G155" s="302"/>
      <c r="H155" s="302"/>
      <c r="I155" s="302"/>
      <c r="J155" s="302"/>
      <c r="K155" s="302"/>
      <c r="L155" s="302"/>
      <c r="M155" s="302"/>
      <c r="N155" s="302"/>
      <c r="O155" s="302"/>
      <c r="P155" s="302"/>
      <c r="Q155" s="302"/>
      <c r="R155" s="302"/>
      <c r="S155" s="302"/>
      <c r="T155" s="302"/>
      <c r="U155" s="302"/>
      <c r="V155" s="302"/>
      <c r="W155" s="302"/>
      <c r="X155" s="302"/>
      <c r="Y155" s="302"/>
      <c r="Z155" s="302"/>
      <c r="AA155" s="302"/>
      <c r="AB155" s="302"/>
      <c r="AC155" s="302"/>
      <c r="AD155" s="302"/>
      <c r="AE155" s="302"/>
      <c r="AF155" s="302"/>
      <c r="AG155" s="302"/>
      <c r="AH155" s="302"/>
      <c r="AI155" s="302"/>
      <c r="AJ155" s="302"/>
      <c r="AK155" s="302"/>
      <c r="AL155" s="302"/>
      <c r="AM155" s="302"/>
      <c r="AN155" s="302"/>
      <c r="AO155" s="302"/>
      <c r="AP155" s="302"/>
      <c r="AQ155" s="302"/>
      <c r="AR155" s="302"/>
      <c r="AS155" s="302"/>
      <c r="AT155" s="302"/>
      <c r="AU155" s="302"/>
      <c r="AV155" s="302"/>
      <c r="AW155" s="302"/>
      <c r="AX155" s="302"/>
      <c r="AY155" s="302"/>
    </row>
    <row r="156" spans="1:51" x14ac:dyDescent="0.2">
      <c r="A156" s="303"/>
      <c r="B156" s="302"/>
      <c r="C156" s="302"/>
      <c r="D156" s="302"/>
      <c r="E156" s="302"/>
      <c r="F156" s="302"/>
      <c r="G156" s="302"/>
      <c r="H156" s="302"/>
      <c r="I156" s="302"/>
      <c r="J156" s="302"/>
      <c r="K156" s="302"/>
      <c r="L156" s="302"/>
      <c r="M156" s="302"/>
      <c r="N156" s="302"/>
      <c r="O156" s="302"/>
      <c r="P156" s="302"/>
      <c r="Q156" s="302"/>
      <c r="R156" s="302"/>
      <c r="S156" s="302"/>
      <c r="T156" s="302"/>
      <c r="U156" s="302"/>
      <c r="V156" s="302"/>
      <c r="W156" s="302"/>
      <c r="X156" s="302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  <c r="AI156" s="302"/>
      <c r="AJ156" s="302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2"/>
      <c r="AY156" s="302"/>
    </row>
    <row r="157" spans="1:51" x14ac:dyDescent="0.2">
      <c r="A157" s="303"/>
      <c r="B157" s="302"/>
      <c r="C157" s="302"/>
      <c r="D157" s="302"/>
      <c r="E157" s="302"/>
      <c r="F157" s="302"/>
      <c r="G157" s="302"/>
      <c r="H157" s="302"/>
      <c r="I157" s="302"/>
      <c r="J157" s="302"/>
      <c r="K157" s="302"/>
      <c r="L157" s="302"/>
      <c r="M157" s="302"/>
      <c r="N157" s="302"/>
      <c r="O157" s="302"/>
      <c r="P157" s="302"/>
      <c r="Q157" s="302"/>
      <c r="R157" s="302"/>
      <c r="S157" s="302"/>
      <c r="T157" s="302"/>
      <c r="U157" s="302"/>
      <c r="V157" s="302"/>
      <c r="W157" s="302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  <c r="AI157" s="302"/>
      <c r="AJ157" s="302"/>
      <c r="AK157" s="302"/>
      <c r="AL157" s="302"/>
      <c r="AM157" s="302"/>
      <c r="AN157" s="302"/>
      <c r="AO157" s="302"/>
      <c r="AP157" s="302"/>
      <c r="AQ157" s="302"/>
      <c r="AR157" s="302"/>
      <c r="AS157" s="302"/>
      <c r="AT157" s="302"/>
      <c r="AU157" s="302"/>
      <c r="AV157" s="302"/>
      <c r="AW157" s="302"/>
      <c r="AX157" s="302"/>
      <c r="AY157" s="302"/>
    </row>
    <row r="158" spans="1:51" x14ac:dyDescent="0.2">
      <c r="A158" s="303"/>
      <c r="B158" s="302"/>
      <c r="C158" s="302"/>
      <c r="D158" s="302"/>
      <c r="E158" s="302"/>
      <c r="F158" s="302"/>
      <c r="G158" s="302"/>
      <c r="H158" s="302"/>
      <c r="I158" s="302"/>
      <c r="J158" s="302"/>
      <c r="K158" s="302"/>
      <c r="L158" s="302"/>
      <c r="M158" s="302"/>
      <c r="N158" s="302"/>
      <c r="O158" s="302"/>
      <c r="P158" s="302"/>
      <c r="Q158" s="302"/>
      <c r="R158" s="302"/>
      <c r="S158" s="302"/>
      <c r="T158" s="302"/>
      <c r="U158" s="302"/>
      <c r="V158" s="302"/>
      <c r="W158" s="302"/>
      <c r="X158" s="302"/>
      <c r="Y158" s="302"/>
      <c r="Z158" s="302"/>
      <c r="AA158" s="302"/>
      <c r="AB158" s="302"/>
      <c r="AC158" s="302"/>
      <c r="AD158" s="302"/>
      <c r="AE158" s="302"/>
      <c r="AF158" s="302"/>
      <c r="AG158" s="302"/>
      <c r="AH158" s="302"/>
      <c r="AI158" s="302"/>
      <c r="AJ158" s="302"/>
      <c r="AK158" s="302"/>
      <c r="AL158" s="302"/>
      <c r="AM158" s="302"/>
      <c r="AN158" s="302"/>
      <c r="AO158" s="302"/>
      <c r="AP158" s="302"/>
      <c r="AQ158" s="302"/>
      <c r="AR158" s="302"/>
      <c r="AS158" s="302"/>
      <c r="AT158" s="302"/>
      <c r="AU158" s="302"/>
      <c r="AV158" s="302"/>
      <c r="AW158" s="302"/>
      <c r="AX158" s="302"/>
      <c r="AY158" s="302"/>
    </row>
    <row r="159" spans="1:51" x14ac:dyDescent="0.2">
      <c r="A159" s="303"/>
      <c r="B159" s="302"/>
      <c r="C159" s="302"/>
      <c r="D159" s="302"/>
      <c r="E159" s="302"/>
      <c r="F159" s="302"/>
      <c r="G159" s="302"/>
      <c r="H159" s="302"/>
      <c r="I159" s="302"/>
      <c r="J159" s="302"/>
      <c r="K159" s="302"/>
      <c r="L159" s="302"/>
      <c r="M159" s="302"/>
      <c r="N159" s="302"/>
      <c r="O159" s="302"/>
      <c r="P159" s="302"/>
      <c r="Q159" s="302"/>
      <c r="R159" s="302"/>
      <c r="S159" s="302"/>
      <c r="T159" s="302"/>
      <c r="U159" s="302"/>
      <c r="V159" s="302"/>
      <c r="W159" s="302"/>
      <c r="X159" s="302"/>
      <c r="Y159" s="302"/>
      <c r="Z159" s="302"/>
      <c r="AA159" s="302"/>
      <c r="AB159" s="302"/>
      <c r="AC159" s="302"/>
      <c r="AD159" s="302"/>
      <c r="AE159" s="302"/>
      <c r="AF159" s="302"/>
      <c r="AG159" s="302"/>
      <c r="AH159" s="302"/>
      <c r="AI159" s="302"/>
      <c r="AJ159" s="302"/>
      <c r="AK159" s="302"/>
      <c r="AL159" s="302"/>
      <c r="AM159" s="302"/>
      <c r="AN159" s="302"/>
      <c r="AO159" s="302"/>
      <c r="AP159" s="302"/>
      <c r="AQ159" s="302"/>
      <c r="AR159" s="302"/>
      <c r="AS159" s="302"/>
      <c r="AT159" s="302"/>
      <c r="AU159" s="302"/>
      <c r="AV159" s="302"/>
      <c r="AW159" s="302"/>
      <c r="AX159" s="302"/>
      <c r="AY159" s="302"/>
    </row>
    <row r="160" spans="1:51" x14ac:dyDescent="0.2">
      <c r="A160" s="303"/>
      <c r="B160" s="302"/>
      <c r="C160" s="302"/>
      <c r="D160" s="302"/>
      <c r="E160" s="302"/>
      <c r="F160" s="302"/>
      <c r="G160" s="302"/>
      <c r="H160" s="302"/>
      <c r="I160" s="302"/>
      <c r="J160" s="302"/>
      <c r="K160" s="302"/>
      <c r="L160" s="302"/>
      <c r="M160" s="302"/>
      <c r="N160" s="302"/>
      <c r="O160" s="302"/>
      <c r="P160" s="302"/>
      <c r="Q160" s="302"/>
      <c r="R160" s="302"/>
      <c r="S160" s="302"/>
      <c r="T160" s="302"/>
      <c r="U160" s="302"/>
      <c r="V160" s="302"/>
      <c r="W160" s="302"/>
      <c r="X160" s="302"/>
      <c r="Y160" s="302"/>
      <c r="Z160" s="302"/>
      <c r="AA160" s="302"/>
      <c r="AB160" s="302"/>
      <c r="AC160" s="302"/>
      <c r="AD160" s="302"/>
      <c r="AE160" s="302"/>
      <c r="AF160" s="302"/>
      <c r="AG160" s="302"/>
      <c r="AH160" s="302"/>
      <c r="AI160" s="302"/>
      <c r="AJ160" s="302"/>
      <c r="AK160" s="302"/>
      <c r="AL160" s="302"/>
      <c r="AM160" s="302"/>
      <c r="AN160" s="302"/>
      <c r="AO160" s="302"/>
      <c r="AP160" s="302"/>
      <c r="AQ160" s="302"/>
      <c r="AR160" s="302"/>
      <c r="AS160" s="302"/>
      <c r="AT160" s="302"/>
      <c r="AU160" s="302"/>
      <c r="AV160" s="302"/>
      <c r="AW160" s="302"/>
      <c r="AX160" s="302"/>
      <c r="AY160" s="302"/>
    </row>
    <row r="161" spans="1:51" x14ac:dyDescent="0.2">
      <c r="A161" s="303"/>
      <c r="B161" s="302"/>
      <c r="C161" s="302"/>
      <c r="D161" s="302"/>
      <c r="E161" s="302"/>
      <c r="F161" s="302"/>
      <c r="G161" s="302"/>
      <c r="H161" s="302"/>
      <c r="I161" s="302"/>
      <c r="J161" s="302"/>
      <c r="K161" s="302"/>
      <c r="L161" s="302"/>
      <c r="M161" s="302"/>
      <c r="N161" s="302"/>
      <c r="O161" s="302"/>
      <c r="P161" s="302"/>
      <c r="Q161" s="302"/>
      <c r="R161" s="302"/>
      <c r="S161" s="302"/>
      <c r="T161" s="302"/>
      <c r="U161" s="302"/>
      <c r="V161" s="302"/>
      <c r="W161" s="302"/>
      <c r="X161" s="302"/>
      <c r="Y161" s="302"/>
      <c r="Z161" s="302"/>
      <c r="AA161" s="302"/>
      <c r="AB161" s="302"/>
      <c r="AC161" s="302"/>
      <c r="AD161" s="302"/>
      <c r="AE161" s="302"/>
      <c r="AF161" s="302"/>
      <c r="AG161" s="302"/>
      <c r="AH161" s="302"/>
      <c r="AI161" s="302"/>
      <c r="AJ161" s="302"/>
      <c r="AK161" s="302"/>
      <c r="AL161" s="302"/>
      <c r="AM161" s="302"/>
      <c r="AN161" s="302"/>
      <c r="AO161" s="302"/>
      <c r="AP161" s="302"/>
      <c r="AQ161" s="302"/>
      <c r="AR161" s="302"/>
      <c r="AS161" s="302"/>
      <c r="AT161" s="302"/>
      <c r="AU161" s="302"/>
      <c r="AV161" s="302"/>
      <c r="AW161" s="302"/>
      <c r="AX161" s="302"/>
      <c r="AY161" s="302"/>
    </row>
    <row r="162" spans="1:51" x14ac:dyDescent="0.2">
      <c r="A162" s="303"/>
      <c r="B162" s="302"/>
      <c r="C162" s="302"/>
      <c r="D162" s="302"/>
      <c r="E162" s="302"/>
      <c r="F162" s="302"/>
      <c r="G162" s="302"/>
      <c r="H162" s="302"/>
      <c r="I162" s="302"/>
      <c r="J162" s="302"/>
      <c r="K162" s="302"/>
      <c r="L162" s="302"/>
      <c r="M162" s="302"/>
      <c r="N162" s="302"/>
      <c r="O162" s="302"/>
      <c r="P162" s="302"/>
      <c r="Q162" s="302"/>
      <c r="R162" s="302"/>
      <c r="S162" s="302"/>
      <c r="T162" s="302"/>
      <c r="U162" s="302"/>
      <c r="V162" s="302"/>
      <c r="W162" s="302"/>
      <c r="X162" s="302"/>
      <c r="Y162" s="302"/>
      <c r="Z162" s="302"/>
      <c r="AA162" s="302"/>
      <c r="AB162" s="302"/>
      <c r="AC162" s="302"/>
      <c r="AD162" s="302"/>
      <c r="AE162" s="302"/>
      <c r="AF162" s="302"/>
      <c r="AG162" s="302"/>
      <c r="AH162" s="302"/>
      <c r="AI162" s="302"/>
      <c r="AJ162" s="302"/>
      <c r="AK162" s="302"/>
      <c r="AL162" s="302"/>
      <c r="AM162" s="302"/>
      <c r="AN162" s="302"/>
      <c r="AO162" s="302"/>
      <c r="AP162" s="302"/>
      <c r="AQ162" s="302"/>
      <c r="AR162" s="302"/>
      <c r="AS162" s="302"/>
      <c r="AT162" s="302"/>
      <c r="AU162" s="302"/>
      <c r="AV162" s="302"/>
      <c r="AW162" s="302"/>
      <c r="AX162" s="302"/>
      <c r="AY162" s="302"/>
    </row>
    <row r="163" spans="1:51" x14ac:dyDescent="0.2">
      <c r="A163" s="303"/>
      <c r="B163" s="302"/>
      <c r="C163" s="302"/>
      <c r="D163" s="302"/>
      <c r="E163" s="302"/>
      <c r="F163" s="302"/>
      <c r="G163" s="302"/>
      <c r="H163" s="302"/>
      <c r="I163" s="302"/>
      <c r="J163" s="302"/>
      <c r="K163" s="302"/>
      <c r="L163" s="302"/>
      <c r="M163" s="302"/>
      <c r="N163" s="302"/>
      <c r="O163" s="302"/>
      <c r="P163" s="302"/>
      <c r="Q163" s="302"/>
      <c r="R163" s="302"/>
      <c r="S163" s="302"/>
      <c r="T163" s="302"/>
      <c r="U163" s="302"/>
      <c r="V163" s="302"/>
      <c r="W163" s="302"/>
      <c r="X163" s="302"/>
      <c r="Y163" s="302"/>
      <c r="Z163" s="302"/>
      <c r="AA163" s="302"/>
      <c r="AB163" s="302"/>
      <c r="AC163" s="302"/>
      <c r="AD163" s="302"/>
      <c r="AE163" s="302"/>
      <c r="AF163" s="302"/>
      <c r="AG163" s="302"/>
      <c r="AH163" s="302"/>
      <c r="AI163" s="302"/>
      <c r="AJ163" s="302"/>
      <c r="AK163" s="302"/>
      <c r="AL163" s="302"/>
      <c r="AM163" s="302"/>
      <c r="AN163" s="302"/>
      <c r="AO163" s="302"/>
      <c r="AP163" s="302"/>
      <c r="AQ163" s="302"/>
      <c r="AR163" s="302"/>
      <c r="AS163" s="302"/>
      <c r="AT163" s="302"/>
      <c r="AU163" s="302"/>
      <c r="AV163" s="302"/>
      <c r="AW163" s="302"/>
      <c r="AX163" s="302"/>
      <c r="AY163" s="302"/>
    </row>
    <row r="164" spans="1:51" x14ac:dyDescent="0.2">
      <c r="A164" s="303"/>
      <c r="B164" s="302"/>
      <c r="C164" s="302"/>
      <c r="D164" s="302"/>
      <c r="E164" s="302"/>
      <c r="F164" s="302"/>
      <c r="G164" s="302"/>
      <c r="H164" s="302"/>
      <c r="I164" s="302"/>
      <c r="J164" s="302"/>
      <c r="K164" s="302"/>
      <c r="L164" s="302"/>
      <c r="M164" s="302"/>
      <c r="N164" s="302"/>
      <c r="O164" s="302"/>
      <c r="P164" s="302"/>
      <c r="Q164" s="302"/>
      <c r="R164" s="302"/>
      <c r="S164" s="302"/>
      <c r="T164" s="302"/>
      <c r="U164" s="302"/>
      <c r="V164" s="302"/>
      <c r="W164" s="302"/>
      <c r="X164" s="302"/>
      <c r="Y164" s="302"/>
      <c r="Z164" s="302"/>
      <c r="AA164" s="302"/>
      <c r="AB164" s="302"/>
      <c r="AC164" s="302"/>
      <c r="AD164" s="302"/>
      <c r="AE164" s="302"/>
      <c r="AF164" s="302"/>
      <c r="AG164" s="302"/>
      <c r="AH164" s="302"/>
      <c r="AI164" s="302"/>
      <c r="AJ164" s="302"/>
      <c r="AK164" s="302"/>
      <c r="AL164" s="302"/>
      <c r="AM164" s="302"/>
      <c r="AN164" s="302"/>
      <c r="AO164" s="302"/>
      <c r="AP164" s="302"/>
      <c r="AQ164" s="302"/>
      <c r="AR164" s="302"/>
      <c r="AS164" s="302"/>
      <c r="AT164" s="302"/>
      <c r="AU164" s="302"/>
      <c r="AV164" s="302"/>
      <c r="AW164" s="302"/>
      <c r="AX164" s="302"/>
      <c r="AY164" s="302"/>
    </row>
    <row r="165" spans="1:51" x14ac:dyDescent="0.2">
      <c r="A165" s="303"/>
      <c r="B165" s="302"/>
      <c r="C165" s="302"/>
      <c r="D165" s="302"/>
      <c r="E165" s="302"/>
      <c r="F165" s="302"/>
      <c r="G165" s="302"/>
      <c r="H165" s="302"/>
      <c r="I165" s="302"/>
      <c r="J165" s="302"/>
      <c r="K165" s="302"/>
      <c r="L165" s="302"/>
      <c r="M165" s="302"/>
      <c r="N165" s="302"/>
      <c r="O165" s="302"/>
      <c r="P165" s="302"/>
      <c r="Q165" s="302"/>
      <c r="R165" s="302"/>
      <c r="S165" s="302"/>
      <c r="T165" s="302"/>
      <c r="U165" s="302"/>
      <c r="V165" s="302"/>
      <c r="W165" s="302"/>
      <c r="X165" s="302"/>
      <c r="Y165" s="302"/>
      <c r="Z165" s="302"/>
      <c r="AA165" s="302"/>
      <c r="AB165" s="302"/>
      <c r="AC165" s="302"/>
      <c r="AD165" s="302"/>
      <c r="AE165" s="302"/>
      <c r="AF165" s="302"/>
      <c r="AG165" s="302"/>
      <c r="AH165" s="302"/>
      <c r="AI165" s="302"/>
      <c r="AJ165" s="302"/>
      <c r="AK165" s="302"/>
      <c r="AL165" s="302"/>
      <c r="AM165" s="302"/>
      <c r="AN165" s="302"/>
      <c r="AO165" s="302"/>
      <c r="AP165" s="302"/>
      <c r="AQ165" s="302"/>
      <c r="AR165" s="302"/>
      <c r="AS165" s="302"/>
      <c r="AT165" s="302"/>
      <c r="AU165" s="302"/>
      <c r="AV165" s="302"/>
      <c r="AW165" s="302"/>
      <c r="AX165" s="302"/>
      <c r="AY165" s="302"/>
    </row>
    <row r="166" spans="1:51" x14ac:dyDescent="0.2">
      <c r="A166" s="303"/>
      <c r="B166" s="302"/>
      <c r="C166" s="302"/>
      <c r="D166" s="302"/>
      <c r="E166" s="302"/>
      <c r="F166" s="302"/>
      <c r="G166" s="302"/>
      <c r="H166" s="302"/>
      <c r="I166" s="302"/>
      <c r="J166" s="302"/>
      <c r="K166" s="302"/>
      <c r="L166" s="302"/>
      <c r="M166" s="302"/>
      <c r="N166" s="302"/>
      <c r="O166" s="302"/>
      <c r="P166" s="302"/>
      <c r="Q166" s="302"/>
      <c r="R166" s="302"/>
      <c r="S166" s="302"/>
      <c r="T166" s="302"/>
      <c r="U166" s="302"/>
      <c r="V166" s="302"/>
      <c r="W166" s="302"/>
      <c r="X166" s="302"/>
      <c r="Y166" s="302"/>
      <c r="Z166" s="302"/>
      <c r="AA166" s="302"/>
      <c r="AB166" s="302"/>
      <c r="AC166" s="302"/>
      <c r="AD166" s="302"/>
      <c r="AE166" s="302"/>
      <c r="AF166" s="302"/>
      <c r="AG166" s="302"/>
      <c r="AH166" s="302"/>
      <c r="AI166" s="302"/>
      <c r="AJ166" s="302"/>
      <c r="AK166" s="302"/>
      <c r="AL166" s="302"/>
      <c r="AM166" s="302"/>
      <c r="AN166" s="302"/>
      <c r="AO166" s="302"/>
      <c r="AP166" s="302"/>
      <c r="AQ166" s="302"/>
      <c r="AR166" s="302"/>
      <c r="AS166" s="302"/>
      <c r="AT166" s="302"/>
      <c r="AU166" s="302"/>
      <c r="AV166" s="302"/>
      <c r="AW166" s="302"/>
      <c r="AX166" s="302"/>
      <c r="AY166" s="302"/>
    </row>
    <row r="167" spans="1:51" x14ac:dyDescent="0.2">
      <c r="A167" s="303"/>
      <c r="B167" s="302"/>
      <c r="C167" s="302"/>
      <c r="D167" s="302"/>
      <c r="E167" s="302"/>
      <c r="F167" s="302"/>
      <c r="G167" s="302"/>
      <c r="H167" s="302"/>
      <c r="I167" s="302"/>
      <c r="J167" s="302"/>
      <c r="K167" s="302"/>
      <c r="L167" s="302"/>
      <c r="M167" s="302"/>
      <c r="N167" s="302"/>
      <c r="O167" s="302"/>
      <c r="P167" s="302"/>
      <c r="Q167" s="302"/>
      <c r="R167" s="302"/>
      <c r="S167" s="302"/>
      <c r="T167" s="302"/>
      <c r="U167" s="302"/>
      <c r="V167" s="302"/>
      <c r="W167" s="302"/>
      <c r="X167" s="302"/>
      <c r="Y167" s="302"/>
      <c r="Z167" s="302"/>
      <c r="AA167" s="302"/>
      <c r="AB167" s="302"/>
      <c r="AC167" s="302"/>
      <c r="AD167" s="302"/>
      <c r="AE167" s="302"/>
      <c r="AF167" s="302"/>
      <c r="AG167" s="302"/>
      <c r="AH167" s="302"/>
      <c r="AI167" s="302"/>
      <c r="AJ167" s="302"/>
      <c r="AK167" s="302"/>
      <c r="AL167" s="302"/>
      <c r="AM167" s="302"/>
      <c r="AN167" s="302"/>
      <c r="AO167" s="302"/>
      <c r="AP167" s="302"/>
      <c r="AQ167" s="302"/>
      <c r="AR167" s="302"/>
      <c r="AS167" s="302"/>
      <c r="AT167" s="302"/>
      <c r="AU167" s="302"/>
      <c r="AV167" s="302"/>
      <c r="AW167" s="302"/>
      <c r="AX167" s="302"/>
      <c r="AY167" s="302"/>
    </row>
    <row r="168" spans="1:51" x14ac:dyDescent="0.2">
      <c r="A168" s="303"/>
      <c r="B168" s="302"/>
      <c r="C168" s="302"/>
      <c r="D168" s="302"/>
      <c r="E168" s="302"/>
      <c r="F168" s="302"/>
      <c r="G168" s="302"/>
      <c r="H168" s="302"/>
      <c r="I168" s="302"/>
      <c r="J168" s="302"/>
      <c r="K168" s="302"/>
      <c r="L168" s="302"/>
      <c r="M168" s="302"/>
      <c r="N168" s="302"/>
      <c r="O168" s="302"/>
      <c r="P168" s="302"/>
      <c r="Q168" s="302"/>
      <c r="R168" s="302"/>
      <c r="S168" s="302"/>
      <c r="T168" s="302"/>
      <c r="U168" s="302"/>
      <c r="V168" s="302"/>
      <c r="W168" s="302"/>
      <c r="X168" s="302"/>
      <c r="Y168" s="302"/>
      <c r="Z168" s="302"/>
      <c r="AA168" s="302"/>
      <c r="AB168" s="302"/>
      <c r="AC168" s="302"/>
      <c r="AD168" s="302"/>
      <c r="AE168" s="302"/>
      <c r="AF168" s="302"/>
      <c r="AG168" s="302"/>
      <c r="AH168" s="302"/>
      <c r="AI168" s="302"/>
      <c r="AJ168" s="302"/>
      <c r="AK168" s="302"/>
      <c r="AL168" s="302"/>
      <c r="AM168" s="302"/>
      <c r="AN168" s="302"/>
      <c r="AO168" s="302"/>
      <c r="AP168" s="302"/>
      <c r="AQ168" s="302"/>
      <c r="AR168" s="302"/>
      <c r="AS168" s="302"/>
      <c r="AT168" s="302"/>
      <c r="AU168" s="302"/>
      <c r="AV168" s="302"/>
      <c r="AW168" s="302"/>
      <c r="AX168" s="302"/>
      <c r="AY168" s="302"/>
    </row>
    <row r="169" spans="1:51" x14ac:dyDescent="0.2">
      <c r="A169" s="303"/>
      <c r="B169" s="302"/>
      <c r="C169" s="302"/>
      <c r="D169" s="302"/>
      <c r="E169" s="302"/>
      <c r="F169" s="302"/>
      <c r="G169" s="302"/>
      <c r="H169" s="302"/>
      <c r="I169" s="302"/>
      <c r="J169" s="302"/>
      <c r="K169" s="302"/>
      <c r="L169" s="302"/>
      <c r="M169" s="302"/>
      <c r="N169" s="302"/>
      <c r="O169" s="302"/>
      <c r="P169" s="302"/>
      <c r="Q169" s="302"/>
      <c r="R169" s="302"/>
      <c r="S169" s="302"/>
      <c r="T169" s="302"/>
      <c r="U169" s="302"/>
      <c r="V169" s="302"/>
      <c r="W169" s="302"/>
      <c r="X169" s="302"/>
      <c r="Y169" s="302"/>
      <c r="Z169" s="302"/>
      <c r="AA169" s="302"/>
      <c r="AB169" s="302"/>
      <c r="AC169" s="302"/>
      <c r="AD169" s="302"/>
      <c r="AE169" s="302"/>
      <c r="AF169" s="302"/>
      <c r="AG169" s="302"/>
      <c r="AH169" s="302"/>
      <c r="AI169" s="302"/>
      <c r="AJ169" s="302"/>
      <c r="AK169" s="302"/>
      <c r="AL169" s="302"/>
      <c r="AM169" s="302"/>
      <c r="AN169" s="302"/>
      <c r="AO169" s="302"/>
      <c r="AP169" s="302"/>
      <c r="AQ169" s="302"/>
      <c r="AR169" s="302"/>
      <c r="AS169" s="302"/>
      <c r="AT169" s="302"/>
      <c r="AU169" s="302"/>
      <c r="AV169" s="302"/>
      <c r="AW169" s="302"/>
      <c r="AX169" s="302"/>
      <c r="AY169" s="302"/>
    </row>
    <row r="170" spans="1:51" x14ac:dyDescent="0.2">
      <c r="A170" s="303"/>
      <c r="B170" s="302"/>
      <c r="C170" s="302"/>
      <c r="D170" s="302"/>
      <c r="E170" s="302"/>
      <c r="F170" s="302"/>
      <c r="G170" s="302"/>
      <c r="H170" s="302"/>
      <c r="I170" s="302"/>
      <c r="J170" s="302"/>
      <c r="K170" s="302"/>
      <c r="L170" s="302"/>
      <c r="M170" s="302"/>
      <c r="N170" s="302"/>
      <c r="O170" s="302"/>
      <c r="P170" s="302"/>
      <c r="Q170" s="302"/>
      <c r="R170" s="302"/>
      <c r="S170" s="302"/>
      <c r="T170" s="302"/>
      <c r="U170" s="302"/>
      <c r="V170" s="302"/>
      <c r="W170" s="302"/>
      <c r="X170" s="302"/>
      <c r="Y170" s="302"/>
      <c r="Z170" s="302"/>
      <c r="AA170" s="302"/>
      <c r="AB170" s="302"/>
      <c r="AC170" s="302"/>
      <c r="AD170" s="302"/>
      <c r="AE170" s="302"/>
      <c r="AF170" s="302"/>
      <c r="AG170" s="302"/>
      <c r="AH170" s="302"/>
      <c r="AI170" s="302"/>
      <c r="AJ170" s="302"/>
      <c r="AK170" s="302"/>
      <c r="AL170" s="302"/>
      <c r="AM170" s="302"/>
      <c r="AN170" s="302"/>
      <c r="AO170" s="302"/>
      <c r="AP170" s="302"/>
      <c r="AQ170" s="302"/>
      <c r="AR170" s="302"/>
      <c r="AS170" s="302"/>
      <c r="AT170" s="302"/>
      <c r="AU170" s="302"/>
      <c r="AV170" s="302"/>
      <c r="AW170" s="302"/>
      <c r="AX170" s="302"/>
      <c r="AY170" s="302"/>
    </row>
    <row r="171" spans="1:51" x14ac:dyDescent="0.2">
      <c r="A171" s="303"/>
      <c r="B171" s="302"/>
      <c r="C171" s="302"/>
      <c r="D171" s="302"/>
      <c r="E171" s="302"/>
      <c r="F171" s="302"/>
      <c r="G171" s="302"/>
      <c r="H171" s="302"/>
      <c r="I171" s="302"/>
      <c r="J171" s="302"/>
      <c r="K171" s="302"/>
      <c r="L171" s="302"/>
      <c r="M171" s="302"/>
      <c r="N171" s="302"/>
      <c r="O171" s="302"/>
      <c r="P171" s="302"/>
      <c r="Q171" s="302"/>
      <c r="R171" s="302"/>
      <c r="S171" s="302"/>
      <c r="T171" s="302"/>
      <c r="U171" s="302"/>
      <c r="V171" s="302"/>
      <c r="W171" s="302"/>
      <c r="X171" s="302"/>
      <c r="Y171" s="302"/>
      <c r="Z171" s="302"/>
      <c r="AA171" s="302"/>
      <c r="AB171" s="302"/>
      <c r="AC171" s="302"/>
      <c r="AD171" s="302"/>
      <c r="AE171" s="302"/>
      <c r="AF171" s="302"/>
      <c r="AG171" s="302"/>
      <c r="AH171" s="302"/>
      <c r="AI171" s="302"/>
      <c r="AJ171" s="302"/>
      <c r="AK171" s="302"/>
      <c r="AL171" s="302"/>
      <c r="AM171" s="302"/>
      <c r="AN171" s="302"/>
      <c r="AO171" s="302"/>
      <c r="AP171" s="302"/>
      <c r="AQ171" s="302"/>
      <c r="AR171" s="302"/>
      <c r="AS171" s="302"/>
      <c r="AT171" s="302"/>
      <c r="AU171" s="302"/>
      <c r="AV171" s="302"/>
      <c r="AW171" s="302"/>
      <c r="AX171" s="302"/>
      <c r="AY171" s="302"/>
    </row>
    <row r="172" spans="1:51" x14ac:dyDescent="0.2">
      <c r="A172" s="303"/>
      <c r="B172" s="302"/>
      <c r="C172" s="302"/>
      <c r="D172" s="302"/>
      <c r="E172" s="302"/>
      <c r="F172" s="302"/>
      <c r="G172" s="302"/>
      <c r="H172" s="302"/>
      <c r="I172" s="302"/>
      <c r="J172" s="302"/>
      <c r="K172" s="302"/>
      <c r="L172" s="302"/>
      <c r="M172" s="302"/>
      <c r="N172" s="302"/>
      <c r="O172" s="302"/>
      <c r="P172" s="302"/>
      <c r="Q172" s="302"/>
      <c r="R172" s="302"/>
      <c r="S172" s="302"/>
      <c r="T172" s="302"/>
      <c r="U172" s="302"/>
      <c r="V172" s="302"/>
      <c r="W172" s="302"/>
      <c r="X172" s="302"/>
      <c r="Y172" s="302"/>
      <c r="Z172" s="302"/>
      <c r="AA172" s="302"/>
      <c r="AB172" s="302"/>
      <c r="AC172" s="302"/>
      <c r="AD172" s="302"/>
      <c r="AE172" s="302"/>
      <c r="AF172" s="302"/>
      <c r="AG172" s="302"/>
      <c r="AH172" s="302"/>
      <c r="AI172" s="302"/>
      <c r="AJ172" s="302"/>
      <c r="AK172" s="302"/>
      <c r="AL172" s="302"/>
      <c r="AM172" s="302"/>
      <c r="AN172" s="302"/>
      <c r="AO172" s="302"/>
      <c r="AP172" s="302"/>
      <c r="AQ172" s="302"/>
      <c r="AR172" s="302"/>
      <c r="AS172" s="302"/>
      <c r="AT172" s="302"/>
      <c r="AU172" s="302"/>
      <c r="AV172" s="302"/>
      <c r="AW172" s="302"/>
      <c r="AX172" s="302"/>
      <c r="AY172" s="302"/>
    </row>
    <row r="173" spans="1:51" x14ac:dyDescent="0.2">
      <c r="A173" s="303"/>
      <c r="B173" s="302"/>
      <c r="C173" s="302"/>
      <c r="D173" s="302"/>
      <c r="E173" s="302"/>
      <c r="F173" s="302"/>
      <c r="G173" s="302"/>
      <c r="H173" s="302"/>
      <c r="I173" s="302"/>
      <c r="J173" s="302"/>
      <c r="K173" s="302"/>
      <c r="L173" s="302"/>
      <c r="M173" s="302"/>
      <c r="N173" s="302"/>
      <c r="O173" s="302"/>
      <c r="P173" s="302"/>
      <c r="Q173" s="302"/>
      <c r="R173" s="302"/>
      <c r="S173" s="302"/>
      <c r="T173" s="302"/>
      <c r="U173" s="302"/>
      <c r="V173" s="302"/>
      <c r="W173" s="302"/>
      <c r="X173" s="302"/>
      <c r="Y173" s="302"/>
      <c r="Z173" s="302"/>
      <c r="AA173" s="302"/>
      <c r="AB173" s="302"/>
      <c r="AC173" s="302"/>
      <c r="AD173" s="302"/>
      <c r="AE173" s="302"/>
      <c r="AF173" s="302"/>
      <c r="AG173" s="302"/>
      <c r="AH173" s="302"/>
      <c r="AI173" s="302"/>
      <c r="AJ173" s="302"/>
      <c r="AK173" s="302"/>
      <c r="AL173" s="302"/>
      <c r="AM173" s="302"/>
      <c r="AN173" s="302"/>
      <c r="AO173" s="302"/>
      <c r="AP173" s="302"/>
      <c r="AQ173" s="302"/>
      <c r="AR173" s="302"/>
      <c r="AS173" s="302"/>
      <c r="AT173" s="302"/>
      <c r="AU173" s="302"/>
      <c r="AV173" s="302"/>
      <c r="AW173" s="302"/>
      <c r="AX173" s="302"/>
      <c r="AY173" s="302"/>
    </row>
    <row r="174" spans="1:51" x14ac:dyDescent="0.2">
      <c r="A174" s="303"/>
      <c r="B174" s="302"/>
      <c r="C174" s="302"/>
      <c r="D174" s="302"/>
      <c r="E174" s="302"/>
      <c r="F174" s="302"/>
      <c r="G174" s="302"/>
      <c r="H174" s="302"/>
      <c r="I174" s="302"/>
      <c r="J174" s="302"/>
      <c r="K174" s="302"/>
      <c r="L174" s="302"/>
      <c r="M174" s="302"/>
      <c r="N174" s="302"/>
      <c r="O174" s="302"/>
      <c r="P174" s="302"/>
      <c r="Q174" s="302"/>
      <c r="R174" s="302"/>
      <c r="S174" s="302"/>
      <c r="T174" s="302"/>
      <c r="U174" s="302"/>
      <c r="V174" s="302"/>
      <c r="W174" s="302"/>
      <c r="X174" s="302"/>
      <c r="Y174" s="302"/>
      <c r="Z174" s="302"/>
      <c r="AA174" s="302"/>
      <c r="AB174" s="302"/>
      <c r="AC174" s="302"/>
      <c r="AD174" s="302"/>
      <c r="AE174" s="302"/>
      <c r="AF174" s="302"/>
      <c r="AG174" s="302"/>
      <c r="AH174" s="302"/>
      <c r="AI174" s="302"/>
      <c r="AJ174" s="302"/>
      <c r="AK174" s="302"/>
      <c r="AL174" s="302"/>
      <c r="AM174" s="302"/>
      <c r="AN174" s="302"/>
      <c r="AO174" s="302"/>
      <c r="AP174" s="302"/>
      <c r="AQ174" s="302"/>
      <c r="AR174" s="302"/>
      <c r="AS174" s="302"/>
      <c r="AT174" s="302"/>
      <c r="AU174" s="302"/>
      <c r="AV174" s="302"/>
      <c r="AW174" s="302"/>
      <c r="AX174" s="302"/>
      <c r="AY174" s="302"/>
    </row>
    <row r="175" spans="1:51" x14ac:dyDescent="0.2">
      <c r="A175" s="303"/>
      <c r="B175" s="302"/>
      <c r="C175" s="302"/>
      <c r="D175" s="302"/>
      <c r="E175" s="302"/>
      <c r="F175" s="302"/>
      <c r="G175" s="302"/>
      <c r="H175" s="302"/>
      <c r="I175" s="302"/>
      <c r="J175" s="302"/>
      <c r="K175" s="302"/>
      <c r="L175" s="302"/>
      <c r="M175" s="302"/>
      <c r="N175" s="302"/>
      <c r="O175" s="302"/>
      <c r="P175" s="302"/>
      <c r="Q175" s="302"/>
      <c r="R175" s="302"/>
      <c r="S175" s="302"/>
      <c r="T175" s="302"/>
      <c r="U175" s="302"/>
      <c r="V175" s="302"/>
      <c r="W175" s="302"/>
      <c r="X175" s="302"/>
      <c r="Y175" s="302"/>
      <c r="Z175" s="302"/>
      <c r="AA175" s="302"/>
      <c r="AB175" s="302"/>
      <c r="AC175" s="302"/>
      <c r="AD175" s="302"/>
      <c r="AE175" s="302"/>
      <c r="AF175" s="302"/>
      <c r="AG175" s="302"/>
      <c r="AH175" s="302"/>
      <c r="AI175" s="302"/>
      <c r="AJ175" s="302"/>
      <c r="AK175" s="302"/>
      <c r="AL175" s="302"/>
      <c r="AM175" s="302"/>
      <c r="AN175" s="302"/>
      <c r="AO175" s="302"/>
      <c r="AP175" s="302"/>
      <c r="AQ175" s="302"/>
      <c r="AR175" s="302"/>
      <c r="AS175" s="302"/>
      <c r="AT175" s="302"/>
      <c r="AU175" s="302"/>
      <c r="AV175" s="302"/>
      <c r="AW175" s="302"/>
      <c r="AX175" s="302"/>
      <c r="AY175" s="302"/>
    </row>
    <row r="176" spans="1:51" x14ac:dyDescent="0.2">
      <c r="A176" s="303"/>
      <c r="B176" s="302"/>
      <c r="C176" s="302"/>
      <c r="D176" s="302"/>
      <c r="E176" s="302"/>
      <c r="F176" s="302"/>
      <c r="G176" s="302"/>
      <c r="H176" s="302"/>
      <c r="I176" s="302"/>
      <c r="J176" s="302"/>
      <c r="K176" s="302"/>
      <c r="L176" s="302"/>
      <c r="M176" s="302"/>
      <c r="N176" s="302"/>
      <c r="O176" s="302"/>
      <c r="P176" s="302"/>
      <c r="Q176" s="302"/>
      <c r="R176" s="302"/>
      <c r="S176" s="302"/>
      <c r="T176" s="302"/>
      <c r="U176" s="302"/>
      <c r="V176" s="302"/>
      <c r="W176" s="302"/>
      <c r="X176" s="302"/>
      <c r="Y176" s="302"/>
      <c r="Z176" s="302"/>
      <c r="AA176" s="302"/>
      <c r="AB176" s="302"/>
      <c r="AC176" s="302"/>
      <c r="AD176" s="302"/>
      <c r="AE176" s="302"/>
      <c r="AF176" s="302"/>
      <c r="AG176" s="302"/>
      <c r="AH176" s="302"/>
      <c r="AI176" s="302"/>
      <c r="AJ176" s="302"/>
      <c r="AK176" s="302"/>
      <c r="AL176" s="302"/>
      <c r="AM176" s="302"/>
      <c r="AN176" s="302"/>
      <c r="AO176" s="302"/>
      <c r="AP176" s="302"/>
      <c r="AQ176" s="302"/>
      <c r="AR176" s="302"/>
      <c r="AS176" s="302"/>
      <c r="AT176" s="302"/>
      <c r="AU176" s="302"/>
      <c r="AV176" s="302"/>
      <c r="AW176" s="302"/>
      <c r="AX176" s="302"/>
      <c r="AY176" s="302"/>
    </row>
    <row r="177" spans="1:51" x14ac:dyDescent="0.2">
      <c r="A177" s="303"/>
      <c r="B177" s="302"/>
      <c r="C177" s="302"/>
      <c r="D177" s="302"/>
      <c r="E177" s="302"/>
      <c r="F177" s="302"/>
      <c r="G177" s="302"/>
      <c r="H177" s="302"/>
      <c r="I177" s="302"/>
      <c r="J177" s="302"/>
      <c r="K177" s="302"/>
      <c r="L177" s="302"/>
      <c r="M177" s="302"/>
      <c r="N177" s="302"/>
      <c r="O177" s="302"/>
      <c r="P177" s="302"/>
      <c r="Q177" s="302"/>
      <c r="R177" s="302"/>
      <c r="S177" s="302"/>
      <c r="T177" s="302"/>
      <c r="U177" s="302"/>
      <c r="V177" s="302"/>
      <c r="W177" s="302"/>
      <c r="X177" s="302"/>
      <c r="Y177" s="302"/>
      <c r="Z177" s="302"/>
      <c r="AA177" s="302"/>
      <c r="AB177" s="302"/>
      <c r="AC177" s="302"/>
      <c r="AD177" s="302"/>
      <c r="AE177" s="302"/>
      <c r="AF177" s="302"/>
      <c r="AG177" s="302"/>
      <c r="AH177" s="302"/>
      <c r="AI177" s="302"/>
      <c r="AJ177" s="302"/>
      <c r="AK177" s="302"/>
      <c r="AL177" s="302"/>
      <c r="AM177" s="302"/>
      <c r="AN177" s="302"/>
      <c r="AO177" s="302"/>
      <c r="AP177" s="302"/>
      <c r="AQ177" s="302"/>
      <c r="AR177" s="302"/>
      <c r="AS177" s="302"/>
      <c r="AT177" s="302"/>
      <c r="AU177" s="302"/>
      <c r="AV177" s="302"/>
      <c r="AW177" s="302"/>
      <c r="AX177" s="302"/>
      <c r="AY177" s="302"/>
    </row>
    <row r="178" spans="1:51" x14ac:dyDescent="0.2">
      <c r="A178" s="303"/>
      <c r="B178" s="302"/>
      <c r="C178" s="302"/>
      <c r="D178" s="302"/>
      <c r="E178" s="302"/>
      <c r="F178" s="302"/>
      <c r="G178" s="302"/>
      <c r="H178" s="302"/>
      <c r="I178" s="302"/>
      <c r="J178" s="302"/>
      <c r="K178" s="302"/>
      <c r="L178" s="302"/>
      <c r="M178" s="302"/>
      <c r="N178" s="302"/>
      <c r="O178" s="302"/>
      <c r="P178" s="302"/>
      <c r="Q178" s="302"/>
      <c r="R178" s="302"/>
      <c r="S178" s="302"/>
      <c r="T178" s="302"/>
      <c r="U178" s="302"/>
      <c r="V178" s="302"/>
      <c r="W178" s="302"/>
      <c r="X178" s="302"/>
      <c r="Y178" s="302"/>
      <c r="Z178" s="302"/>
      <c r="AA178" s="302"/>
      <c r="AB178" s="302"/>
      <c r="AC178" s="302"/>
      <c r="AD178" s="302"/>
      <c r="AE178" s="302"/>
      <c r="AF178" s="302"/>
      <c r="AG178" s="302"/>
      <c r="AH178" s="302"/>
      <c r="AI178" s="302"/>
      <c r="AJ178" s="302"/>
      <c r="AK178" s="302"/>
      <c r="AL178" s="302"/>
      <c r="AM178" s="302"/>
      <c r="AN178" s="302"/>
      <c r="AO178" s="302"/>
      <c r="AP178" s="302"/>
      <c r="AQ178" s="302"/>
      <c r="AR178" s="302"/>
      <c r="AS178" s="302"/>
      <c r="AT178" s="302"/>
      <c r="AU178" s="302"/>
      <c r="AV178" s="302"/>
      <c r="AW178" s="302"/>
      <c r="AX178" s="302"/>
      <c r="AY178" s="302"/>
    </row>
    <row r="179" spans="1:51" x14ac:dyDescent="0.2">
      <c r="A179" s="303"/>
      <c r="B179" s="302"/>
      <c r="C179" s="302"/>
      <c r="D179" s="302"/>
      <c r="E179" s="302"/>
      <c r="F179" s="302"/>
      <c r="G179" s="302"/>
      <c r="H179" s="302"/>
      <c r="I179" s="302"/>
      <c r="J179" s="302"/>
      <c r="K179" s="302"/>
      <c r="L179" s="302"/>
      <c r="M179" s="302"/>
      <c r="N179" s="302"/>
      <c r="O179" s="302"/>
      <c r="P179" s="302"/>
      <c r="Q179" s="302"/>
      <c r="R179" s="302"/>
      <c r="S179" s="302"/>
      <c r="T179" s="302"/>
      <c r="U179" s="302"/>
      <c r="V179" s="302"/>
      <c r="W179" s="302"/>
      <c r="X179" s="302"/>
      <c r="Y179" s="302"/>
      <c r="Z179" s="302"/>
      <c r="AA179" s="302"/>
      <c r="AB179" s="302"/>
      <c r="AC179" s="302"/>
      <c r="AD179" s="302"/>
      <c r="AE179" s="302"/>
      <c r="AF179" s="302"/>
      <c r="AG179" s="302"/>
      <c r="AH179" s="302"/>
      <c r="AI179" s="302"/>
      <c r="AJ179" s="302"/>
      <c r="AK179" s="302"/>
      <c r="AL179" s="302"/>
      <c r="AM179" s="302"/>
      <c r="AN179" s="302"/>
      <c r="AO179" s="302"/>
      <c r="AP179" s="302"/>
      <c r="AQ179" s="302"/>
      <c r="AR179" s="302"/>
      <c r="AS179" s="302"/>
      <c r="AT179" s="302"/>
      <c r="AU179" s="302"/>
      <c r="AV179" s="302"/>
      <c r="AW179" s="302"/>
      <c r="AX179" s="302"/>
      <c r="AY179" s="302"/>
    </row>
    <row r="180" spans="1:51" x14ac:dyDescent="0.2">
      <c r="A180" s="303"/>
      <c r="B180" s="302"/>
      <c r="C180" s="302"/>
      <c r="D180" s="302"/>
      <c r="E180" s="302"/>
      <c r="F180" s="302"/>
      <c r="G180" s="302"/>
      <c r="H180" s="302"/>
      <c r="I180" s="302"/>
      <c r="J180" s="302"/>
      <c r="K180" s="302"/>
      <c r="L180" s="302"/>
      <c r="M180" s="302"/>
      <c r="N180" s="302"/>
      <c r="O180" s="302"/>
      <c r="P180" s="302"/>
      <c r="Q180" s="302"/>
      <c r="R180" s="302"/>
      <c r="S180" s="302"/>
      <c r="T180" s="302"/>
      <c r="U180" s="302"/>
      <c r="V180" s="302"/>
      <c r="W180" s="302"/>
      <c r="X180" s="302"/>
      <c r="Y180" s="302"/>
      <c r="Z180" s="302"/>
      <c r="AA180" s="302"/>
      <c r="AB180" s="302"/>
      <c r="AC180" s="302"/>
      <c r="AD180" s="302"/>
      <c r="AE180" s="302"/>
      <c r="AF180" s="302"/>
      <c r="AG180" s="302"/>
      <c r="AH180" s="302"/>
      <c r="AI180" s="302"/>
      <c r="AJ180" s="302"/>
      <c r="AK180" s="302"/>
      <c r="AL180" s="302"/>
      <c r="AM180" s="302"/>
      <c r="AN180" s="302"/>
      <c r="AO180" s="302"/>
      <c r="AP180" s="302"/>
      <c r="AQ180" s="302"/>
      <c r="AR180" s="302"/>
      <c r="AS180" s="302"/>
      <c r="AT180" s="302"/>
      <c r="AU180" s="302"/>
      <c r="AV180" s="302"/>
      <c r="AW180" s="302"/>
      <c r="AX180" s="302"/>
      <c r="AY180" s="302"/>
    </row>
    <row r="181" spans="1:51" x14ac:dyDescent="0.2">
      <c r="A181" s="303"/>
      <c r="B181" s="302"/>
      <c r="C181" s="302"/>
      <c r="D181" s="302"/>
      <c r="E181" s="302"/>
      <c r="F181" s="302"/>
      <c r="G181" s="302"/>
      <c r="H181" s="302"/>
      <c r="I181" s="302"/>
      <c r="J181" s="302"/>
      <c r="K181" s="302"/>
      <c r="L181" s="302"/>
      <c r="M181" s="302"/>
      <c r="N181" s="302"/>
      <c r="O181" s="302"/>
      <c r="P181" s="302"/>
      <c r="Q181" s="302"/>
      <c r="R181" s="302"/>
      <c r="S181" s="302"/>
      <c r="T181" s="302"/>
      <c r="U181" s="302"/>
      <c r="V181" s="302"/>
      <c r="W181" s="302"/>
      <c r="X181" s="302"/>
      <c r="Y181" s="302"/>
      <c r="Z181" s="302"/>
      <c r="AA181" s="302"/>
      <c r="AB181" s="302"/>
      <c r="AC181" s="302"/>
      <c r="AD181" s="302"/>
      <c r="AE181" s="302"/>
      <c r="AF181" s="302"/>
      <c r="AG181" s="302"/>
      <c r="AH181" s="302"/>
      <c r="AI181" s="302"/>
      <c r="AJ181" s="302"/>
      <c r="AK181" s="302"/>
      <c r="AL181" s="302"/>
      <c r="AM181" s="302"/>
      <c r="AN181" s="302"/>
      <c r="AO181" s="302"/>
      <c r="AP181" s="302"/>
      <c r="AQ181" s="302"/>
      <c r="AR181" s="302"/>
      <c r="AS181" s="302"/>
      <c r="AT181" s="302"/>
      <c r="AU181" s="302"/>
      <c r="AV181" s="302"/>
      <c r="AW181" s="302"/>
      <c r="AX181" s="302"/>
      <c r="AY181" s="302"/>
    </row>
    <row r="182" spans="1:51" x14ac:dyDescent="0.2">
      <c r="A182" s="303"/>
      <c r="B182" s="302"/>
      <c r="C182" s="302"/>
      <c r="D182" s="302"/>
      <c r="E182" s="302"/>
      <c r="F182" s="302"/>
      <c r="G182" s="302"/>
      <c r="H182" s="302"/>
      <c r="I182" s="302"/>
      <c r="J182" s="302"/>
      <c r="K182" s="302"/>
      <c r="L182" s="302"/>
      <c r="M182" s="302"/>
      <c r="N182" s="302"/>
      <c r="O182" s="302"/>
      <c r="P182" s="302"/>
      <c r="Q182" s="302"/>
      <c r="R182" s="302"/>
      <c r="S182" s="302"/>
      <c r="T182" s="302"/>
      <c r="U182" s="302"/>
      <c r="V182" s="302"/>
      <c r="W182" s="302"/>
      <c r="X182" s="302"/>
      <c r="Y182" s="302"/>
      <c r="Z182" s="302"/>
      <c r="AA182" s="302"/>
      <c r="AB182" s="302"/>
      <c r="AC182" s="302"/>
      <c r="AD182" s="302"/>
      <c r="AE182" s="302"/>
      <c r="AF182" s="302"/>
      <c r="AG182" s="302"/>
      <c r="AH182" s="302"/>
      <c r="AI182" s="302"/>
      <c r="AJ182" s="302"/>
      <c r="AK182" s="302"/>
      <c r="AL182" s="302"/>
      <c r="AM182" s="302"/>
      <c r="AN182" s="302"/>
      <c r="AO182" s="302"/>
      <c r="AP182" s="302"/>
      <c r="AQ182" s="302"/>
      <c r="AR182" s="302"/>
      <c r="AS182" s="302"/>
      <c r="AT182" s="302"/>
      <c r="AU182" s="302"/>
      <c r="AV182" s="302"/>
      <c r="AW182" s="302"/>
      <c r="AX182" s="302"/>
      <c r="AY182" s="302"/>
    </row>
    <row r="183" spans="1:51" x14ac:dyDescent="0.2">
      <c r="A183" s="303"/>
      <c r="B183" s="302"/>
      <c r="C183" s="302"/>
      <c r="D183" s="302"/>
      <c r="E183" s="302"/>
      <c r="F183" s="302"/>
      <c r="G183" s="302"/>
      <c r="H183" s="302"/>
      <c r="I183" s="302"/>
      <c r="J183" s="302"/>
      <c r="K183" s="302"/>
      <c r="L183" s="302"/>
      <c r="M183" s="302"/>
      <c r="N183" s="302"/>
      <c r="O183" s="302"/>
      <c r="P183" s="302"/>
      <c r="Q183" s="302"/>
      <c r="R183" s="302"/>
      <c r="S183" s="302"/>
      <c r="T183" s="302"/>
      <c r="U183" s="302"/>
      <c r="V183" s="302"/>
      <c r="W183" s="302"/>
      <c r="X183" s="302"/>
      <c r="Y183" s="302"/>
      <c r="Z183" s="302"/>
      <c r="AA183" s="302"/>
      <c r="AB183" s="302"/>
      <c r="AC183" s="302"/>
      <c r="AD183" s="302"/>
      <c r="AE183" s="302"/>
      <c r="AF183" s="302"/>
      <c r="AG183" s="302"/>
      <c r="AH183" s="302"/>
      <c r="AI183" s="302"/>
      <c r="AJ183" s="302"/>
      <c r="AK183" s="302"/>
      <c r="AL183" s="302"/>
      <c r="AM183" s="302"/>
      <c r="AN183" s="302"/>
      <c r="AO183" s="302"/>
      <c r="AP183" s="302"/>
      <c r="AQ183" s="302"/>
      <c r="AR183" s="302"/>
      <c r="AS183" s="302"/>
      <c r="AT183" s="302"/>
      <c r="AU183" s="302"/>
      <c r="AV183" s="302"/>
      <c r="AW183" s="302"/>
      <c r="AX183" s="302"/>
      <c r="AY183" s="302"/>
    </row>
    <row r="184" spans="1:51" x14ac:dyDescent="0.2">
      <c r="A184" s="303"/>
      <c r="B184" s="302"/>
      <c r="C184" s="302"/>
      <c r="D184" s="302"/>
      <c r="E184" s="302"/>
      <c r="F184" s="302"/>
      <c r="G184" s="302"/>
      <c r="H184" s="302"/>
      <c r="I184" s="302"/>
      <c r="J184" s="302"/>
      <c r="K184" s="302"/>
      <c r="L184" s="302"/>
      <c r="M184" s="302"/>
      <c r="N184" s="302"/>
      <c r="O184" s="302"/>
      <c r="P184" s="302"/>
      <c r="Q184" s="302"/>
      <c r="R184" s="302"/>
      <c r="S184" s="302"/>
      <c r="T184" s="302"/>
      <c r="U184" s="302"/>
      <c r="V184" s="302"/>
      <c r="W184" s="302"/>
      <c r="X184" s="302"/>
      <c r="Y184" s="302"/>
      <c r="Z184" s="302"/>
      <c r="AA184" s="302"/>
      <c r="AB184" s="302"/>
      <c r="AC184" s="302"/>
      <c r="AD184" s="302"/>
      <c r="AE184" s="302"/>
      <c r="AF184" s="302"/>
      <c r="AG184" s="302"/>
      <c r="AH184" s="302"/>
      <c r="AI184" s="302"/>
      <c r="AJ184" s="302"/>
      <c r="AK184" s="302"/>
      <c r="AL184" s="302"/>
      <c r="AM184" s="302"/>
      <c r="AN184" s="302"/>
      <c r="AO184" s="302"/>
      <c r="AP184" s="302"/>
      <c r="AQ184" s="302"/>
      <c r="AR184" s="302"/>
      <c r="AS184" s="302"/>
      <c r="AT184" s="302"/>
      <c r="AU184" s="302"/>
      <c r="AV184" s="302"/>
      <c r="AW184" s="302"/>
      <c r="AX184" s="302"/>
      <c r="AY184" s="302"/>
    </row>
    <row r="185" spans="1:51" x14ac:dyDescent="0.2">
      <c r="A185" s="303"/>
      <c r="B185" s="302"/>
      <c r="C185" s="302"/>
      <c r="D185" s="302"/>
      <c r="E185" s="302"/>
      <c r="F185" s="302"/>
      <c r="G185" s="302"/>
      <c r="H185" s="302"/>
      <c r="I185" s="302"/>
      <c r="J185" s="302"/>
      <c r="K185" s="302"/>
      <c r="L185" s="302"/>
      <c r="M185" s="302"/>
      <c r="N185" s="302"/>
      <c r="O185" s="302"/>
      <c r="P185" s="302"/>
      <c r="Q185" s="302"/>
      <c r="R185" s="302"/>
      <c r="S185" s="302"/>
      <c r="T185" s="302"/>
      <c r="U185" s="302"/>
      <c r="V185" s="302"/>
      <c r="W185" s="302"/>
      <c r="X185" s="302"/>
      <c r="Y185" s="302"/>
      <c r="Z185" s="302"/>
      <c r="AA185" s="302"/>
      <c r="AB185" s="302"/>
      <c r="AC185" s="302"/>
      <c r="AD185" s="302"/>
      <c r="AE185" s="302"/>
      <c r="AF185" s="302"/>
      <c r="AG185" s="302"/>
      <c r="AH185" s="302"/>
      <c r="AI185" s="302"/>
      <c r="AJ185" s="302"/>
      <c r="AK185" s="302"/>
      <c r="AL185" s="302"/>
      <c r="AM185" s="302"/>
      <c r="AN185" s="302"/>
      <c r="AO185" s="302"/>
      <c r="AP185" s="302"/>
      <c r="AQ185" s="302"/>
      <c r="AR185" s="302"/>
      <c r="AS185" s="302"/>
      <c r="AT185" s="302"/>
      <c r="AU185" s="302"/>
      <c r="AV185" s="302"/>
      <c r="AW185" s="302"/>
      <c r="AX185" s="302"/>
      <c r="AY185" s="302"/>
    </row>
    <row r="186" spans="1:51" x14ac:dyDescent="0.2">
      <c r="A186" s="303"/>
      <c r="B186" s="302"/>
      <c r="C186" s="302"/>
      <c r="D186" s="302"/>
      <c r="E186" s="302"/>
      <c r="F186" s="302"/>
      <c r="G186" s="302"/>
      <c r="H186" s="302"/>
      <c r="I186" s="302"/>
      <c r="J186" s="302"/>
      <c r="K186" s="302"/>
      <c r="L186" s="302"/>
      <c r="M186" s="302"/>
      <c r="N186" s="302"/>
      <c r="O186" s="302"/>
      <c r="P186" s="302"/>
      <c r="Q186" s="302"/>
      <c r="R186" s="302"/>
      <c r="S186" s="302"/>
      <c r="T186" s="302"/>
      <c r="U186" s="302"/>
      <c r="V186" s="302"/>
      <c r="W186" s="302"/>
      <c r="X186" s="302"/>
      <c r="Y186" s="302"/>
      <c r="Z186" s="302"/>
      <c r="AA186" s="302"/>
      <c r="AB186" s="302"/>
      <c r="AC186" s="302"/>
      <c r="AD186" s="302"/>
      <c r="AE186" s="302"/>
      <c r="AF186" s="302"/>
      <c r="AG186" s="302"/>
      <c r="AH186" s="302"/>
      <c r="AI186" s="302"/>
      <c r="AJ186" s="302"/>
      <c r="AK186" s="302"/>
      <c r="AL186" s="302"/>
      <c r="AM186" s="302"/>
      <c r="AN186" s="302"/>
      <c r="AO186" s="302"/>
      <c r="AP186" s="302"/>
      <c r="AQ186" s="302"/>
      <c r="AR186" s="302"/>
      <c r="AS186" s="302"/>
      <c r="AT186" s="302"/>
      <c r="AU186" s="302"/>
      <c r="AV186" s="302"/>
      <c r="AW186" s="302"/>
      <c r="AX186" s="302"/>
      <c r="AY186" s="302"/>
    </row>
    <row r="187" spans="1:51" x14ac:dyDescent="0.2">
      <c r="A187" s="303"/>
      <c r="B187" s="302"/>
      <c r="C187" s="302"/>
      <c r="D187" s="302"/>
      <c r="E187" s="302"/>
      <c r="F187" s="302"/>
      <c r="G187" s="302"/>
      <c r="H187" s="302"/>
      <c r="I187" s="302"/>
      <c r="J187" s="302"/>
      <c r="K187" s="302"/>
      <c r="L187" s="302"/>
      <c r="M187" s="302"/>
      <c r="N187" s="302"/>
      <c r="O187" s="302"/>
      <c r="P187" s="302"/>
      <c r="Q187" s="302"/>
      <c r="R187" s="302"/>
      <c r="S187" s="302"/>
      <c r="T187" s="302"/>
      <c r="U187" s="302"/>
      <c r="V187" s="302"/>
      <c r="W187" s="302"/>
      <c r="X187" s="302"/>
      <c r="Y187" s="302"/>
      <c r="Z187" s="302"/>
      <c r="AA187" s="302"/>
      <c r="AB187" s="302"/>
      <c r="AC187" s="302"/>
      <c r="AD187" s="302"/>
      <c r="AE187" s="302"/>
      <c r="AF187" s="302"/>
      <c r="AG187" s="302"/>
      <c r="AH187" s="302"/>
      <c r="AI187" s="302"/>
      <c r="AJ187" s="302"/>
      <c r="AK187" s="302"/>
      <c r="AL187" s="302"/>
      <c r="AM187" s="302"/>
      <c r="AN187" s="302"/>
      <c r="AO187" s="302"/>
      <c r="AP187" s="302"/>
      <c r="AQ187" s="302"/>
      <c r="AR187" s="302"/>
      <c r="AS187" s="302"/>
      <c r="AT187" s="302"/>
      <c r="AU187" s="302"/>
      <c r="AV187" s="302"/>
      <c r="AW187" s="302"/>
      <c r="AX187" s="302"/>
      <c r="AY187" s="302"/>
    </row>
    <row r="188" spans="1:51" x14ac:dyDescent="0.2">
      <c r="A188" s="303"/>
      <c r="B188" s="302"/>
      <c r="C188" s="302"/>
      <c r="D188" s="302"/>
      <c r="E188" s="302"/>
      <c r="F188" s="302"/>
      <c r="G188" s="302"/>
      <c r="H188" s="302"/>
      <c r="I188" s="302"/>
      <c r="J188" s="302"/>
      <c r="K188" s="302"/>
      <c r="L188" s="302"/>
      <c r="M188" s="302"/>
      <c r="N188" s="302"/>
      <c r="O188" s="302"/>
      <c r="P188" s="302"/>
      <c r="Q188" s="302"/>
      <c r="R188" s="302"/>
      <c r="S188" s="302"/>
      <c r="T188" s="302"/>
      <c r="U188" s="302"/>
      <c r="V188" s="302"/>
      <c r="W188" s="302"/>
      <c r="X188" s="302"/>
      <c r="Y188" s="302"/>
      <c r="Z188" s="302"/>
      <c r="AA188" s="302"/>
      <c r="AB188" s="302"/>
      <c r="AC188" s="302"/>
      <c r="AD188" s="302"/>
      <c r="AE188" s="302"/>
      <c r="AF188" s="302"/>
      <c r="AG188" s="302"/>
      <c r="AH188" s="302"/>
      <c r="AI188" s="302"/>
      <c r="AJ188" s="302"/>
      <c r="AK188" s="302"/>
      <c r="AL188" s="302"/>
      <c r="AM188" s="302"/>
      <c r="AN188" s="302"/>
      <c r="AO188" s="302"/>
      <c r="AP188" s="302"/>
      <c r="AQ188" s="302"/>
      <c r="AR188" s="302"/>
      <c r="AS188" s="302"/>
      <c r="AT188" s="302"/>
      <c r="AU188" s="302"/>
      <c r="AV188" s="302"/>
      <c r="AW188" s="302"/>
      <c r="AX188" s="302"/>
      <c r="AY188" s="302"/>
    </row>
    <row r="189" spans="1:51" x14ac:dyDescent="0.2">
      <c r="A189" s="303"/>
      <c r="B189" s="302"/>
      <c r="C189" s="302"/>
      <c r="D189" s="302"/>
      <c r="E189" s="302"/>
      <c r="F189" s="302"/>
      <c r="G189" s="302"/>
      <c r="H189" s="302"/>
      <c r="I189" s="302"/>
      <c r="J189" s="302"/>
      <c r="K189" s="302"/>
      <c r="L189" s="302"/>
      <c r="M189" s="302"/>
      <c r="N189" s="302"/>
      <c r="O189" s="302"/>
      <c r="P189" s="302"/>
      <c r="Q189" s="302"/>
      <c r="R189" s="302"/>
      <c r="S189" s="302"/>
      <c r="T189" s="302"/>
      <c r="U189" s="302"/>
      <c r="V189" s="302"/>
      <c r="W189" s="302"/>
      <c r="X189" s="302"/>
      <c r="Y189" s="302"/>
      <c r="Z189" s="302"/>
      <c r="AA189" s="302"/>
      <c r="AB189" s="302"/>
      <c r="AC189" s="302"/>
      <c r="AD189" s="302"/>
      <c r="AE189" s="302"/>
      <c r="AF189" s="302"/>
      <c r="AG189" s="302"/>
      <c r="AH189" s="302"/>
      <c r="AI189" s="302"/>
      <c r="AJ189" s="302"/>
      <c r="AK189" s="302"/>
      <c r="AL189" s="302"/>
      <c r="AM189" s="302"/>
      <c r="AN189" s="302"/>
      <c r="AO189" s="302"/>
      <c r="AP189" s="302"/>
      <c r="AQ189" s="302"/>
      <c r="AR189" s="302"/>
      <c r="AS189" s="302"/>
      <c r="AT189" s="302"/>
      <c r="AU189" s="302"/>
      <c r="AV189" s="302"/>
      <c r="AW189" s="302"/>
      <c r="AX189" s="302"/>
      <c r="AY189" s="302"/>
    </row>
    <row r="190" spans="1:51" x14ac:dyDescent="0.2">
      <c r="A190" s="303"/>
      <c r="B190" s="302"/>
      <c r="C190" s="302"/>
      <c r="D190" s="302"/>
      <c r="E190" s="302"/>
      <c r="F190" s="302"/>
      <c r="G190" s="302"/>
      <c r="H190" s="302"/>
      <c r="I190" s="302"/>
      <c r="J190" s="302"/>
      <c r="K190" s="302"/>
      <c r="L190" s="302"/>
      <c r="M190" s="302"/>
      <c r="N190" s="302"/>
      <c r="O190" s="302"/>
      <c r="P190" s="302"/>
      <c r="Q190" s="302"/>
      <c r="R190" s="302"/>
      <c r="S190" s="302"/>
      <c r="T190" s="302"/>
      <c r="U190" s="302"/>
      <c r="V190" s="302"/>
      <c r="W190" s="302"/>
      <c r="X190" s="302"/>
      <c r="Y190" s="302"/>
      <c r="Z190" s="302"/>
      <c r="AA190" s="302"/>
      <c r="AB190" s="302"/>
      <c r="AC190" s="302"/>
      <c r="AD190" s="302"/>
      <c r="AE190" s="302"/>
      <c r="AF190" s="302"/>
      <c r="AG190" s="302"/>
      <c r="AH190" s="302"/>
      <c r="AI190" s="302"/>
      <c r="AJ190" s="302"/>
      <c r="AK190" s="302"/>
      <c r="AL190" s="302"/>
      <c r="AM190" s="302"/>
      <c r="AN190" s="302"/>
      <c r="AO190" s="302"/>
      <c r="AP190" s="302"/>
      <c r="AQ190" s="302"/>
      <c r="AR190" s="302"/>
      <c r="AS190" s="302"/>
      <c r="AT190" s="302"/>
      <c r="AU190" s="302"/>
      <c r="AV190" s="302"/>
      <c r="AW190" s="302"/>
      <c r="AX190" s="302"/>
      <c r="AY190" s="302"/>
    </row>
    <row r="191" spans="1:51" x14ac:dyDescent="0.2">
      <c r="A191" s="303"/>
      <c r="B191" s="302"/>
      <c r="C191" s="302"/>
      <c r="D191" s="302"/>
      <c r="E191" s="302"/>
      <c r="F191" s="302"/>
      <c r="G191" s="302"/>
      <c r="H191" s="302"/>
      <c r="I191" s="302"/>
      <c r="J191" s="302"/>
      <c r="K191" s="302"/>
      <c r="L191" s="302"/>
      <c r="M191" s="302"/>
      <c r="N191" s="302"/>
      <c r="O191" s="302"/>
      <c r="P191" s="302"/>
      <c r="Q191" s="302"/>
      <c r="R191" s="302"/>
      <c r="S191" s="302"/>
      <c r="T191" s="302"/>
      <c r="U191" s="302"/>
      <c r="V191" s="302"/>
      <c r="W191" s="302"/>
      <c r="X191" s="302"/>
      <c r="Y191" s="302"/>
      <c r="Z191" s="302"/>
      <c r="AA191" s="302"/>
      <c r="AB191" s="302"/>
      <c r="AC191" s="302"/>
      <c r="AD191" s="302"/>
      <c r="AE191" s="302"/>
      <c r="AF191" s="302"/>
      <c r="AG191" s="302"/>
      <c r="AH191" s="302"/>
      <c r="AI191" s="302"/>
      <c r="AJ191" s="302"/>
      <c r="AK191" s="302"/>
      <c r="AL191" s="302"/>
      <c r="AM191" s="302"/>
      <c r="AN191" s="302"/>
      <c r="AO191" s="302"/>
      <c r="AP191" s="302"/>
      <c r="AQ191" s="302"/>
      <c r="AR191" s="302"/>
      <c r="AS191" s="302"/>
      <c r="AT191" s="302"/>
      <c r="AU191" s="302"/>
      <c r="AV191" s="302"/>
      <c r="AW191" s="302"/>
      <c r="AX191" s="302"/>
      <c r="AY191" s="302"/>
    </row>
    <row r="192" spans="1:51" x14ac:dyDescent="0.2">
      <c r="A192" s="303"/>
      <c r="B192" s="302"/>
      <c r="C192" s="302"/>
      <c r="D192" s="302"/>
      <c r="E192" s="302"/>
      <c r="F192" s="302"/>
      <c r="G192" s="302"/>
      <c r="H192" s="302"/>
      <c r="I192" s="302"/>
      <c r="J192" s="302"/>
      <c r="K192" s="302"/>
      <c r="L192" s="302"/>
      <c r="M192" s="302"/>
      <c r="N192" s="302"/>
      <c r="O192" s="302"/>
      <c r="P192" s="302"/>
      <c r="Q192" s="302"/>
      <c r="R192" s="302"/>
      <c r="S192" s="302"/>
      <c r="T192" s="302"/>
      <c r="U192" s="302"/>
      <c r="V192" s="302"/>
      <c r="W192" s="302"/>
      <c r="X192" s="302"/>
      <c r="Y192" s="302"/>
      <c r="Z192" s="302"/>
      <c r="AA192" s="302"/>
      <c r="AB192" s="302"/>
      <c r="AC192" s="302"/>
      <c r="AD192" s="302"/>
      <c r="AE192" s="302"/>
      <c r="AF192" s="302"/>
      <c r="AG192" s="302"/>
      <c r="AH192" s="302"/>
      <c r="AI192" s="302"/>
      <c r="AJ192" s="302"/>
      <c r="AK192" s="302"/>
      <c r="AL192" s="302"/>
      <c r="AM192" s="302"/>
      <c r="AN192" s="302"/>
      <c r="AO192" s="302"/>
      <c r="AP192" s="302"/>
      <c r="AQ192" s="302"/>
      <c r="AR192" s="302"/>
      <c r="AS192" s="302"/>
      <c r="AT192" s="302"/>
      <c r="AU192" s="302"/>
      <c r="AV192" s="302"/>
      <c r="AW192" s="302"/>
      <c r="AX192" s="302"/>
      <c r="AY192" s="302"/>
    </row>
    <row r="193" spans="1:51" x14ac:dyDescent="0.2">
      <c r="A193" s="303"/>
      <c r="B193" s="302"/>
      <c r="C193" s="302"/>
      <c r="D193" s="302"/>
      <c r="E193" s="302"/>
      <c r="F193" s="302"/>
      <c r="G193" s="302"/>
      <c r="H193" s="302"/>
      <c r="I193" s="302"/>
      <c r="J193" s="302"/>
      <c r="K193" s="302"/>
      <c r="L193" s="302"/>
      <c r="M193" s="302"/>
      <c r="N193" s="302"/>
      <c r="O193" s="302"/>
      <c r="P193" s="302"/>
      <c r="Q193" s="302"/>
      <c r="R193" s="302"/>
      <c r="S193" s="302"/>
      <c r="T193" s="302"/>
      <c r="U193" s="302"/>
      <c r="V193" s="302"/>
      <c r="W193" s="302"/>
      <c r="X193" s="302"/>
      <c r="Y193" s="302"/>
      <c r="Z193" s="302"/>
      <c r="AA193" s="302"/>
      <c r="AB193" s="302"/>
      <c r="AC193" s="302"/>
      <c r="AD193" s="302"/>
      <c r="AE193" s="302"/>
      <c r="AF193" s="302"/>
      <c r="AG193" s="302"/>
      <c r="AH193" s="302"/>
      <c r="AI193" s="302"/>
      <c r="AJ193" s="302"/>
      <c r="AK193" s="302"/>
      <c r="AL193" s="302"/>
      <c r="AM193" s="302"/>
      <c r="AN193" s="302"/>
      <c r="AO193" s="302"/>
      <c r="AP193" s="302"/>
      <c r="AQ193" s="302"/>
      <c r="AR193" s="302"/>
      <c r="AS193" s="302"/>
      <c r="AT193" s="302"/>
      <c r="AU193" s="302"/>
      <c r="AV193" s="302"/>
      <c r="AW193" s="302"/>
      <c r="AX193" s="302"/>
      <c r="AY193" s="302"/>
    </row>
    <row r="194" spans="1:51" x14ac:dyDescent="0.2">
      <c r="A194" s="303"/>
      <c r="B194" s="302"/>
      <c r="C194" s="302"/>
      <c r="D194" s="302"/>
      <c r="E194" s="302"/>
      <c r="F194" s="302"/>
      <c r="G194" s="302"/>
      <c r="H194" s="302"/>
      <c r="I194" s="302"/>
      <c r="J194" s="302"/>
      <c r="K194" s="302"/>
      <c r="L194" s="302"/>
      <c r="M194" s="302"/>
      <c r="N194" s="302"/>
      <c r="O194" s="302"/>
      <c r="P194" s="302"/>
      <c r="Q194" s="302"/>
      <c r="R194" s="302"/>
      <c r="S194" s="302"/>
      <c r="T194" s="302"/>
      <c r="U194" s="302"/>
      <c r="V194" s="302"/>
      <c r="W194" s="302"/>
      <c r="X194" s="302"/>
      <c r="Y194" s="302"/>
      <c r="Z194" s="302"/>
      <c r="AA194" s="302"/>
      <c r="AB194" s="302"/>
      <c r="AC194" s="302"/>
      <c r="AD194" s="302"/>
      <c r="AE194" s="302"/>
      <c r="AF194" s="302"/>
      <c r="AG194" s="302"/>
      <c r="AH194" s="302"/>
      <c r="AI194" s="302"/>
      <c r="AJ194" s="302"/>
      <c r="AK194" s="302"/>
      <c r="AL194" s="302"/>
      <c r="AM194" s="302"/>
      <c r="AN194" s="302"/>
      <c r="AO194" s="302"/>
      <c r="AP194" s="302"/>
      <c r="AQ194" s="302"/>
      <c r="AR194" s="302"/>
      <c r="AS194" s="302"/>
      <c r="AT194" s="302"/>
      <c r="AU194" s="302"/>
      <c r="AV194" s="302"/>
      <c r="AW194" s="302"/>
      <c r="AX194" s="302"/>
      <c r="AY194" s="302"/>
    </row>
    <row r="195" spans="1:51" x14ac:dyDescent="0.2">
      <c r="A195" s="303"/>
      <c r="B195" s="302"/>
      <c r="C195" s="302"/>
      <c r="D195" s="302"/>
      <c r="E195" s="302"/>
      <c r="F195" s="302"/>
      <c r="G195" s="302"/>
      <c r="H195" s="302"/>
      <c r="I195" s="302"/>
      <c r="J195" s="302"/>
      <c r="K195" s="302"/>
      <c r="L195" s="302"/>
      <c r="M195" s="302"/>
      <c r="N195" s="302"/>
      <c r="O195" s="302"/>
      <c r="P195" s="302"/>
      <c r="Q195" s="302"/>
      <c r="R195" s="302"/>
      <c r="S195" s="302"/>
      <c r="T195" s="302"/>
      <c r="U195" s="302"/>
      <c r="V195" s="302"/>
      <c r="W195" s="302"/>
      <c r="X195" s="302"/>
      <c r="Y195" s="302"/>
      <c r="Z195" s="302"/>
      <c r="AA195" s="302"/>
      <c r="AB195" s="302"/>
      <c r="AC195" s="302"/>
      <c r="AD195" s="302"/>
      <c r="AE195" s="302"/>
      <c r="AF195" s="302"/>
      <c r="AG195" s="302"/>
      <c r="AH195" s="302"/>
      <c r="AI195" s="302"/>
      <c r="AJ195" s="302"/>
      <c r="AK195" s="302"/>
      <c r="AL195" s="302"/>
      <c r="AM195" s="302"/>
      <c r="AN195" s="302"/>
      <c r="AO195" s="302"/>
      <c r="AP195" s="302"/>
      <c r="AQ195" s="302"/>
      <c r="AR195" s="302"/>
      <c r="AS195" s="302"/>
      <c r="AT195" s="302"/>
      <c r="AU195" s="302"/>
      <c r="AV195" s="302"/>
      <c r="AW195" s="302"/>
      <c r="AX195" s="302"/>
      <c r="AY195" s="302"/>
    </row>
    <row r="196" spans="1:51" x14ac:dyDescent="0.2">
      <c r="A196" s="303"/>
      <c r="B196" s="302"/>
      <c r="C196" s="302"/>
      <c r="D196" s="302"/>
      <c r="E196" s="302"/>
      <c r="F196" s="302"/>
      <c r="G196" s="302"/>
      <c r="H196" s="302"/>
      <c r="I196" s="302"/>
      <c r="J196" s="302"/>
      <c r="K196" s="302"/>
      <c r="L196" s="302"/>
      <c r="M196" s="302"/>
      <c r="N196" s="302"/>
      <c r="O196" s="302"/>
      <c r="P196" s="302"/>
      <c r="Q196" s="302"/>
      <c r="R196" s="302"/>
      <c r="S196" s="302"/>
      <c r="T196" s="302"/>
      <c r="U196" s="302"/>
      <c r="V196" s="302"/>
      <c r="W196" s="302"/>
      <c r="X196" s="302"/>
      <c r="Y196" s="302"/>
      <c r="Z196" s="302"/>
      <c r="AA196" s="302"/>
      <c r="AB196" s="302"/>
      <c r="AC196" s="302"/>
      <c r="AD196" s="302"/>
      <c r="AE196" s="302"/>
      <c r="AF196" s="302"/>
      <c r="AG196" s="302"/>
      <c r="AH196" s="302"/>
      <c r="AI196" s="302"/>
      <c r="AJ196" s="302"/>
      <c r="AK196" s="302"/>
      <c r="AL196" s="302"/>
      <c r="AM196" s="302"/>
      <c r="AN196" s="302"/>
      <c r="AO196" s="302"/>
      <c r="AP196" s="302"/>
      <c r="AQ196" s="302"/>
      <c r="AR196" s="302"/>
      <c r="AS196" s="302"/>
      <c r="AT196" s="302"/>
      <c r="AU196" s="302"/>
      <c r="AV196" s="302"/>
      <c r="AW196" s="302"/>
      <c r="AX196" s="302"/>
      <c r="AY196" s="302"/>
    </row>
    <row r="197" spans="1:51" x14ac:dyDescent="0.2">
      <c r="A197" s="303"/>
      <c r="B197" s="302"/>
      <c r="C197" s="302"/>
      <c r="D197" s="302"/>
      <c r="E197" s="302"/>
      <c r="F197" s="302"/>
      <c r="G197" s="302"/>
      <c r="H197" s="302"/>
      <c r="I197" s="302"/>
      <c r="J197" s="302"/>
      <c r="K197" s="302"/>
      <c r="L197" s="302"/>
      <c r="M197" s="302"/>
      <c r="N197" s="302"/>
      <c r="O197" s="302"/>
      <c r="P197" s="302"/>
      <c r="Q197" s="302"/>
      <c r="R197" s="302"/>
      <c r="S197" s="302"/>
      <c r="T197" s="302"/>
      <c r="U197" s="302"/>
      <c r="V197" s="302"/>
      <c r="W197" s="302"/>
      <c r="X197" s="302"/>
      <c r="Y197" s="302"/>
      <c r="Z197" s="302"/>
      <c r="AA197" s="302"/>
      <c r="AB197" s="302"/>
      <c r="AC197" s="302"/>
      <c r="AD197" s="302"/>
      <c r="AE197" s="302"/>
      <c r="AF197" s="302"/>
      <c r="AG197" s="302"/>
      <c r="AH197" s="302"/>
      <c r="AI197" s="302"/>
      <c r="AJ197" s="302"/>
      <c r="AK197" s="302"/>
      <c r="AL197" s="302"/>
      <c r="AM197" s="302"/>
      <c r="AN197" s="302"/>
      <c r="AO197" s="302"/>
      <c r="AP197" s="302"/>
      <c r="AQ197" s="302"/>
      <c r="AR197" s="302"/>
      <c r="AS197" s="302"/>
      <c r="AT197" s="302"/>
      <c r="AU197" s="302"/>
      <c r="AV197" s="302"/>
      <c r="AW197" s="302"/>
      <c r="AX197" s="302"/>
      <c r="AY197" s="302"/>
    </row>
    <row r="198" spans="1:51" x14ac:dyDescent="0.2">
      <c r="A198" s="303"/>
      <c r="B198" s="302"/>
      <c r="C198" s="302"/>
      <c r="D198" s="302"/>
      <c r="E198" s="302"/>
      <c r="F198" s="302"/>
      <c r="G198" s="302"/>
      <c r="H198" s="302"/>
      <c r="I198" s="302"/>
      <c r="J198" s="302"/>
      <c r="K198" s="302"/>
      <c r="L198" s="302"/>
      <c r="M198" s="302"/>
      <c r="N198" s="302"/>
      <c r="O198" s="302"/>
      <c r="P198" s="302"/>
      <c r="Q198" s="302"/>
      <c r="R198" s="302"/>
      <c r="S198" s="302"/>
      <c r="T198" s="302"/>
      <c r="U198" s="302"/>
      <c r="V198" s="302"/>
      <c r="W198" s="302"/>
      <c r="X198" s="302"/>
      <c r="Y198" s="302"/>
      <c r="Z198" s="302"/>
      <c r="AA198" s="302"/>
      <c r="AB198" s="302"/>
      <c r="AC198" s="302"/>
      <c r="AD198" s="302"/>
      <c r="AE198" s="302"/>
      <c r="AF198" s="302"/>
      <c r="AG198" s="302"/>
      <c r="AH198" s="302"/>
      <c r="AI198" s="302"/>
      <c r="AJ198" s="302"/>
      <c r="AK198" s="302"/>
      <c r="AL198" s="302"/>
      <c r="AM198" s="302"/>
      <c r="AN198" s="302"/>
      <c r="AO198" s="302"/>
      <c r="AP198" s="302"/>
      <c r="AQ198" s="302"/>
      <c r="AR198" s="302"/>
      <c r="AS198" s="302"/>
      <c r="AT198" s="302"/>
      <c r="AU198" s="302"/>
      <c r="AV198" s="302"/>
      <c r="AW198" s="302"/>
      <c r="AX198" s="302"/>
      <c r="AY198" s="302"/>
    </row>
    <row r="199" spans="1:51" x14ac:dyDescent="0.2">
      <c r="A199" s="303"/>
      <c r="B199" s="302"/>
      <c r="C199" s="302"/>
      <c r="D199" s="302"/>
      <c r="E199" s="302"/>
      <c r="F199" s="302"/>
      <c r="G199" s="302"/>
      <c r="H199" s="302"/>
      <c r="I199" s="302"/>
      <c r="J199" s="302"/>
      <c r="K199" s="302"/>
      <c r="L199" s="302"/>
      <c r="M199" s="302"/>
      <c r="N199" s="302"/>
      <c r="O199" s="302"/>
      <c r="P199" s="302"/>
      <c r="Q199" s="302"/>
      <c r="R199" s="302"/>
      <c r="S199" s="302"/>
      <c r="T199" s="302"/>
      <c r="U199" s="302"/>
      <c r="V199" s="302"/>
      <c r="W199" s="302"/>
      <c r="X199" s="302"/>
      <c r="Y199" s="302"/>
      <c r="Z199" s="302"/>
      <c r="AA199" s="302"/>
      <c r="AB199" s="302"/>
      <c r="AC199" s="302"/>
      <c r="AD199" s="302"/>
      <c r="AE199" s="302"/>
      <c r="AF199" s="302"/>
      <c r="AG199" s="302"/>
      <c r="AH199" s="302"/>
      <c r="AI199" s="302"/>
      <c r="AJ199" s="302"/>
      <c r="AK199" s="302"/>
      <c r="AL199" s="302"/>
      <c r="AM199" s="302"/>
      <c r="AN199" s="302"/>
      <c r="AO199" s="302"/>
      <c r="AP199" s="302"/>
      <c r="AQ199" s="302"/>
      <c r="AR199" s="302"/>
      <c r="AS199" s="302"/>
      <c r="AT199" s="302"/>
      <c r="AU199" s="302"/>
      <c r="AV199" s="302"/>
      <c r="AW199" s="302"/>
      <c r="AX199" s="302"/>
      <c r="AY199" s="302"/>
    </row>
    <row r="200" spans="1:51" x14ac:dyDescent="0.2">
      <c r="A200" s="303"/>
      <c r="B200" s="302"/>
      <c r="C200" s="302"/>
      <c r="D200" s="302"/>
      <c r="E200" s="302"/>
      <c r="F200" s="302"/>
      <c r="G200" s="302"/>
      <c r="H200" s="302"/>
      <c r="I200" s="302"/>
      <c r="J200" s="302"/>
      <c r="K200" s="302"/>
      <c r="L200" s="302"/>
      <c r="M200" s="302"/>
      <c r="N200" s="302"/>
      <c r="O200" s="302"/>
      <c r="P200" s="302"/>
      <c r="Q200" s="302"/>
      <c r="R200" s="302"/>
      <c r="S200" s="302"/>
      <c r="T200" s="302"/>
      <c r="U200" s="302"/>
      <c r="V200" s="302"/>
      <c r="W200" s="302"/>
      <c r="X200" s="302"/>
      <c r="Y200" s="302"/>
      <c r="Z200" s="302"/>
      <c r="AA200" s="302"/>
      <c r="AB200" s="302"/>
      <c r="AC200" s="302"/>
      <c r="AD200" s="302"/>
      <c r="AE200" s="302"/>
      <c r="AF200" s="302"/>
      <c r="AG200" s="302"/>
      <c r="AH200" s="302"/>
      <c r="AI200" s="302"/>
      <c r="AJ200" s="302"/>
      <c r="AK200" s="302"/>
      <c r="AL200" s="302"/>
      <c r="AM200" s="302"/>
      <c r="AN200" s="302"/>
      <c r="AO200" s="302"/>
      <c r="AP200" s="302"/>
      <c r="AQ200" s="302"/>
      <c r="AR200" s="302"/>
      <c r="AS200" s="302"/>
      <c r="AT200" s="302"/>
      <c r="AU200" s="302"/>
      <c r="AV200" s="302"/>
      <c r="AW200" s="302"/>
      <c r="AX200" s="302"/>
      <c r="AY200" s="302"/>
    </row>
    <row r="201" spans="1:51" x14ac:dyDescent="0.2">
      <c r="A201" s="303"/>
      <c r="B201" s="302"/>
      <c r="C201" s="302"/>
      <c r="D201" s="302"/>
      <c r="E201" s="302"/>
      <c r="F201" s="302"/>
      <c r="G201" s="302"/>
      <c r="H201" s="302"/>
      <c r="I201" s="302"/>
      <c r="J201" s="302"/>
      <c r="K201" s="302"/>
      <c r="L201" s="302"/>
      <c r="M201" s="302"/>
      <c r="N201" s="302"/>
      <c r="O201" s="302"/>
      <c r="P201" s="302"/>
      <c r="Q201" s="302"/>
      <c r="R201" s="302"/>
      <c r="S201" s="302"/>
      <c r="T201" s="302"/>
      <c r="U201" s="302"/>
      <c r="V201" s="302"/>
      <c r="W201" s="302"/>
      <c r="X201" s="302"/>
      <c r="Y201" s="302"/>
      <c r="Z201" s="302"/>
      <c r="AA201" s="302"/>
      <c r="AB201" s="302"/>
      <c r="AC201" s="302"/>
      <c r="AD201" s="302"/>
      <c r="AE201" s="302"/>
      <c r="AF201" s="302"/>
      <c r="AG201" s="302"/>
      <c r="AH201" s="302"/>
      <c r="AI201" s="302"/>
      <c r="AJ201" s="302"/>
      <c r="AK201" s="302"/>
      <c r="AL201" s="302"/>
      <c r="AM201" s="302"/>
      <c r="AN201" s="302"/>
      <c r="AO201" s="302"/>
      <c r="AP201" s="302"/>
      <c r="AQ201" s="302"/>
      <c r="AR201" s="302"/>
      <c r="AS201" s="302"/>
      <c r="AT201" s="302"/>
      <c r="AU201" s="302"/>
      <c r="AV201" s="302"/>
      <c r="AW201" s="302"/>
      <c r="AX201" s="302"/>
      <c r="AY201" s="302"/>
    </row>
    <row r="202" spans="1:51" x14ac:dyDescent="0.2">
      <c r="A202" s="303"/>
      <c r="B202" s="302"/>
      <c r="C202" s="302"/>
      <c r="D202" s="302"/>
      <c r="E202" s="302"/>
      <c r="F202" s="302"/>
      <c r="G202" s="302"/>
      <c r="H202" s="302"/>
      <c r="I202" s="302"/>
      <c r="J202" s="302"/>
      <c r="K202" s="302"/>
      <c r="L202" s="302"/>
      <c r="M202" s="302"/>
      <c r="N202" s="302"/>
      <c r="O202" s="302"/>
      <c r="P202" s="302"/>
      <c r="Q202" s="302"/>
      <c r="R202" s="302"/>
      <c r="S202" s="302"/>
      <c r="T202" s="302"/>
      <c r="U202" s="302"/>
      <c r="V202" s="302"/>
      <c r="W202" s="302"/>
      <c r="X202" s="302"/>
      <c r="Y202" s="302"/>
      <c r="Z202" s="302"/>
      <c r="AA202" s="302"/>
      <c r="AB202" s="302"/>
      <c r="AC202" s="302"/>
      <c r="AD202" s="302"/>
      <c r="AE202" s="302"/>
      <c r="AF202" s="302"/>
      <c r="AG202" s="302"/>
      <c r="AH202" s="302"/>
      <c r="AI202" s="302"/>
      <c r="AJ202" s="302"/>
      <c r="AK202" s="302"/>
      <c r="AL202" s="302"/>
      <c r="AM202" s="302"/>
      <c r="AN202" s="302"/>
      <c r="AO202" s="302"/>
      <c r="AP202" s="302"/>
      <c r="AQ202" s="302"/>
      <c r="AR202" s="302"/>
      <c r="AS202" s="302"/>
      <c r="AT202" s="302"/>
      <c r="AU202" s="302"/>
      <c r="AV202" s="302"/>
      <c r="AW202" s="302"/>
      <c r="AX202" s="302"/>
      <c r="AY202" s="302"/>
    </row>
    <row r="203" spans="1:51" x14ac:dyDescent="0.2">
      <c r="A203" s="303"/>
      <c r="B203" s="302"/>
      <c r="C203" s="302"/>
      <c r="D203" s="302"/>
      <c r="E203" s="302"/>
      <c r="F203" s="302"/>
      <c r="G203" s="302"/>
      <c r="H203" s="302"/>
      <c r="I203" s="302"/>
      <c r="J203" s="302"/>
      <c r="K203" s="302"/>
      <c r="L203" s="302"/>
      <c r="M203" s="302"/>
      <c r="N203" s="302"/>
      <c r="O203" s="302"/>
      <c r="P203" s="302"/>
      <c r="Q203" s="302"/>
      <c r="R203" s="302"/>
      <c r="S203" s="302"/>
      <c r="T203" s="302"/>
      <c r="U203" s="302"/>
      <c r="V203" s="302"/>
      <c r="W203" s="302"/>
      <c r="X203" s="302"/>
      <c r="Y203" s="302"/>
      <c r="Z203" s="302"/>
      <c r="AA203" s="302"/>
      <c r="AB203" s="302"/>
      <c r="AC203" s="302"/>
      <c r="AD203" s="302"/>
      <c r="AE203" s="302"/>
      <c r="AF203" s="302"/>
      <c r="AG203" s="302"/>
      <c r="AH203" s="302"/>
      <c r="AI203" s="302"/>
      <c r="AJ203" s="302"/>
      <c r="AK203" s="302"/>
      <c r="AL203" s="302"/>
      <c r="AM203" s="302"/>
      <c r="AN203" s="302"/>
      <c r="AO203" s="302"/>
      <c r="AP203" s="302"/>
      <c r="AQ203" s="302"/>
      <c r="AR203" s="302"/>
      <c r="AS203" s="302"/>
      <c r="AT203" s="302"/>
      <c r="AU203" s="302"/>
      <c r="AV203" s="302"/>
      <c r="AW203" s="302"/>
      <c r="AX203" s="302"/>
      <c r="AY203" s="302"/>
    </row>
    <row r="204" spans="1:51" x14ac:dyDescent="0.2">
      <c r="A204" s="303"/>
      <c r="B204" s="302"/>
      <c r="C204" s="302"/>
      <c r="D204" s="302"/>
      <c r="E204" s="302"/>
      <c r="F204" s="302"/>
      <c r="G204" s="302"/>
      <c r="H204" s="302"/>
      <c r="I204" s="302"/>
      <c r="J204" s="302"/>
      <c r="K204" s="302"/>
      <c r="L204" s="302"/>
      <c r="M204" s="302"/>
      <c r="N204" s="302"/>
      <c r="O204" s="302"/>
      <c r="P204" s="302"/>
      <c r="Q204" s="302"/>
      <c r="R204" s="302"/>
      <c r="S204" s="302"/>
      <c r="T204" s="302"/>
      <c r="U204" s="302"/>
      <c r="V204" s="302"/>
      <c r="W204" s="302"/>
      <c r="X204" s="302"/>
      <c r="Y204" s="302"/>
      <c r="Z204" s="302"/>
      <c r="AA204" s="302"/>
      <c r="AB204" s="302"/>
      <c r="AC204" s="302"/>
      <c r="AD204" s="302"/>
      <c r="AE204" s="302"/>
      <c r="AF204" s="302"/>
      <c r="AG204" s="302"/>
      <c r="AH204" s="302"/>
      <c r="AI204" s="302"/>
      <c r="AJ204" s="302"/>
      <c r="AK204" s="302"/>
      <c r="AL204" s="302"/>
      <c r="AM204" s="302"/>
      <c r="AN204" s="302"/>
      <c r="AO204" s="302"/>
      <c r="AP204" s="302"/>
      <c r="AQ204" s="302"/>
      <c r="AR204" s="302"/>
      <c r="AS204" s="302"/>
      <c r="AT204" s="302"/>
      <c r="AU204" s="302"/>
      <c r="AV204" s="302"/>
      <c r="AW204" s="302"/>
      <c r="AX204" s="302"/>
      <c r="AY204" s="302"/>
    </row>
    <row r="205" spans="1:51" x14ac:dyDescent="0.2">
      <c r="A205" s="303"/>
      <c r="B205" s="302"/>
      <c r="C205" s="302"/>
      <c r="D205" s="302"/>
      <c r="E205" s="302"/>
      <c r="F205" s="302"/>
      <c r="G205" s="302"/>
      <c r="H205" s="302"/>
      <c r="I205" s="302"/>
      <c r="J205" s="302"/>
      <c r="K205" s="302"/>
      <c r="L205" s="302"/>
      <c r="M205" s="302"/>
      <c r="N205" s="302"/>
      <c r="O205" s="302"/>
      <c r="P205" s="302"/>
      <c r="Q205" s="302"/>
      <c r="R205" s="302"/>
      <c r="S205" s="302"/>
      <c r="T205" s="302"/>
      <c r="U205" s="302"/>
      <c r="V205" s="302"/>
      <c r="W205" s="302"/>
      <c r="X205" s="302"/>
      <c r="Y205" s="302"/>
      <c r="Z205" s="302"/>
      <c r="AA205" s="302"/>
      <c r="AB205" s="302"/>
      <c r="AC205" s="302"/>
      <c r="AD205" s="302"/>
      <c r="AE205" s="302"/>
      <c r="AF205" s="302"/>
      <c r="AG205" s="302"/>
      <c r="AH205" s="302"/>
      <c r="AI205" s="302"/>
      <c r="AJ205" s="302"/>
      <c r="AK205" s="302"/>
      <c r="AL205" s="302"/>
      <c r="AM205" s="302"/>
      <c r="AN205" s="302"/>
      <c r="AO205" s="302"/>
      <c r="AP205" s="302"/>
      <c r="AQ205" s="302"/>
      <c r="AR205" s="302"/>
      <c r="AS205" s="302"/>
      <c r="AT205" s="302"/>
      <c r="AU205" s="302"/>
      <c r="AV205" s="302"/>
      <c r="AW205" s="302"/>
      <c r="AX205" s="302"/>
      <c r="AY205" s="302"/>
    </row>
    <row r="206" spans="1:51" x14ac:dyDescent="0.2">
      <c r="A206" s="303"/>
      <c r="B206" s="302"/>
      <c r="C206" s="302"/>
      <c r="D206" s="302"/>
      <c r="E206" s="302"/>
      <c r="F206" s="302"/>
      <c r="G206" s="302"/>
      <c r="H206" s="302"/>
      <c r="I206" s="302"/>
      <c r="J206" s="302"/>
      <c r="K206" s="302"/>
      <c r="L206" s="302"/>
      <c r="M206" s="302"/>
      <c r="N206" s="302"/>
      <c r="O206" s="302"/>
      <c r="P206" s="302"/>
      <c r="Q206" s="302"/>
      <c r="R206" s="302"/>
      <c r="S206" s="302"/>
      <c r="T206" s="302"/>
      <c r="U206" s="302"/>
      <c r="V206" s="302"/>
      <c r="W206" s="302"/>
      <c r="X206" s="302"/>
      <c r="Y206" s="302"/>
      <c r="Z206" s="302"/>
      <c r="AA206" s="302"/>
      <c r="AB206" s="302"/>
      <c r="AC206" s="302"/>
      <c r="AD206" s="302"/>
      <c r="AE206" s="302"/>
      <c r="AF206" s="302"/>
      <c r="AG206" s="302"/>
      <c r="AH206" s="302"/>
      <c r="AI206" s="302"/>
      <c r="AJ206" s="302"/>
      <c r="AK206" s="302"/>
      <c r="AL206" s="302"/>
      <c r="AM206" s="302"/>
      <c r="AN206" s="302"/>
      <c r="AO206" s="302"/>
      <c r="AP206" s="302"/>
      <c r="AQ206" s="302"/>
      <c r="AR206" s="302"/>
      <c r="AS206" s="302"/>
      <c r="AT206" s="302"/>
      <c r="AU206" s="302"/>
      <c r="AV206" s="302"/>
      <c r="AW206" s="302"/>
      <c r="AX206" s="302"/>
      <c r="AY206" s="302"/>
    </row>
    <row r="207" spans="1:51" x14ac:dyDescent="0.2">
      <c r="A207" s="303"/>
      <c r="B207" s="302"/>
      <c r="C207" s="302"/>
      <c r="D207" s="302"/>
      <c r="E207" s="302"/>
      <c r="F207" s="302"/>
      <c r="G207" s="302"/>
      <c r="H207" s="302"/>
      <c r="I207" s="302"/>
      <c r="J207" s="302"/>
      <c r="K207" s="302"/>
      <c r="L207" s="302"/>
      <c r="M207" s="302"/>
      <c r="N207" s="302"/>
      <c r="O207" s="302"/>
      <c r="P207" s="302"/>
      <c r="Q207" s="302"/>
      <c r="R207" s="302"/>
      <c r="S207" s="302"/>
      <c r="T207" s="302"/>
      <c r="U207" s="302"/>
      <c r="V207" s="302"/>
      <c r="W207" s="302"/>
      <c r="X207" s="302"/>
      <c r="Y207" s="302"/>
      <c r="Z207" s="302"/>
      <c r="AA207" s="302"/>
      <c r="AB207" s="302"/>
      <c r="AC207" s="302"/>
      <c r="AD207" s="302"/>
      <c r="AE207" s="302"/>
      <c r="AF207" s="302"/>
      <c r="AG207" s="302"/>
      <c r="AH207" s="302"/>
      <c r="AI207" s="302"/>
      <c r="AJ207" s="302"/>
      <c r="AK207" s="302"/>
      <c r="AL207" s="302"/>
      <c r="AM207" s="302"/>
      <c r="AN207" s="302"/>
      <c r="AO207" s="302"/>
      <c r="AP207" s="302"/>
      <c r="AQ207" s="302"/>
      <c r="AR207" s="302"/>
      <c r="AS207" s="302"/>
      <c r="AT207" s="302"/>
      <c r="AU207" s="302"/>
      <c r="AV207" s="302"/>
      <c r="AW207" s="302"/>
      <c r="AX207" s="302"/>
      <c r="AY207" s="302"/>
    </row>
    <row r="208" spans="1:51" x14ac:dyDescent="0.2">
      <c r="A208" s="303"/>
      <c r="B208" s="302"/>
      <c r="C208" s="302"/>
      <c r="D208" s="302"/>
      <c r="E208" s="302"/>
      <c r="F208" s="302"/>
      <c r="G208" s="302"/>
      <c r="H208" s="302"/>
      <c r="I208" s="302"/>
      <c r="J208" s="302"/>
      <c r="K208" s="302"/>
      <c r="L208" s="302"/>
      <c r="M208" s="302"/>
      <c r="N208" s="302"/>
      <c r="O208" s="302"/>
      <c r="P208" s="302"/>
      <c r="Q208" s="302"/>
      <c r="R208" s="302"/>
      <c r="S208" s="302"/>
      <c r="T208" s="302"/>
      <c r="U208" s="302"/>
      <c r="V208" s="302"/>
      <c r="W208" s="302"/>
      <c r="X208" s="302"/>
      <c r="Y208" s="302"/>
      <c r="Z208" s="302"/>
      <c r="AA208" s="302"/>
      <c r="AB208" s="302"/>
      <c r="AC208" s="302"/>
      <c r="AD208" s="302"/>
      <c r="AE208" s="302"/>
      <c r="AF208" s="302"/>
      <c r="AG208" s="302"/>
      <c r="AH208" s="302"/>
      <c r="AI208" s="302"/>
      <c r="AJ208" s="302"/>
      <c r="AK208" s="302"/>
      <c r="AL208" s="302"/>
      <c r="AM208" s="302"/>
      <c r="AN208" s="302"/>
      <c r="AO208" s="302"/>
      <c r="AP208" s="302"/>
      <c r="AQ208" s="302"/>
      <c r="AR208" s="302"/>
      <c r="AS208" s="302"/>
      <c r="AT208" s="302"/>
      <c r="AU208" s="302"/>
      <c r="AV208" s="302"/>
      <c r="AW208" s="302"/>
      <c r="AX208" s="302"/>
      <c r="AY208" s="302"/>
    </row>
    <row r="209" spans="1:51" x14ac:dyDescent="0.2">
      <c r="A209" s="303"/>
      <c r="B209" s="302"/>
      <c r="C209" s="302"/>
      <c r="D209" s="302"/>
      <c r="E209" s="302"/>
      <c r="F209" s="302"/>
      <c r="G209" s="302"/>
      <c r="H209" s="302"/>
      <c r="I209" s="302"/>
      <c r="J209" s="302"/>
      <c r="K209" s="302"/>
      <c r="L209" s="302"/>
      <c r="M209" s="302"/>
      <c r="N209" s="302"/>
      <c r="O209" s="302"/>
      <c r="P209" s="302"/>
      <c r="Q209" s="302"/>
      <c r="R209" s="302"/>
      <c r="S209" s="302"/>
      <c r="T209" s="302"/>
      <c r="U209" s="302"/>
      <c r="V209" s="302"/>
      <c r="W209" s="302"/>
      <c r="X209" s="302"/>
      <c r="Y209" s="302"/>
      <c r="Z209" s="302"/>
      <c r="AA209" s="302"/>
      <c r="AB209" s="302"/>
      <c r="AC209" s="302"/>
      <c r="AD209" s="302"/>
      <c r="AE209" s="302"/>
      <c r="AF209" s="302"/>
      <c r="AG209" s="302"/>
      <c r="AH209" s="302"/>
      <c r="AI209" s="302"/>
      <c r="AJ209" s="302"/>
      <c r="AK209" s="302"/>
      <c r="AL209" s="302"/>
      <c r="AM209" s="302"/>
      <c r="AN209" s="302"/>
      <c r="AO209" s="302"/>
      <c r="AP209" s="302"/>
      <c r="AQ209" s="302"/>
      <c r="AR209" s="302"/>
      <c r="AS209" s="302"/>
      <c r="AT209" s="302"/>
      <c r="AU209" s="302"/>
      <c r="AV209" s="302"/>
      <c r="AW209" s="302"/>
      <c r="AX209" s="302"/>
      <c r="AY209" s="302"/>
    </row>
    <row r="210" spans="1:51" x14ac:dyDescent="0.2">
      <c r="A210" s="303"/>
      <c r="B210" s="302"/>
      <c r="C210" s="302"/>
      <c r="D210" s="302"/>
      <c r="E210" s="302"/>
      <c r="F210" s="302"/>
      <c r="G210" s="302"/>
      <c r="H210" s="302"/>
      <c r="I210" s="302"/>
      <c r="J210" s="302"/>
      <c r="K210" s="302"/>
      <c r="L210" s="302"/>
      <c r="M210" s="302"/>
      <c r="N210" s="302"/>
      <c r="O210" s="302"/>
      <c r="P210" s="302"/>
      <c r="Q210" s="302"/>
      <c r="R210" s="302"/>
      <c r="S210" s="302"/>
      <c r="T210" s="302"/>
      <c r="U210" s="302"/>
      <c r="V210" s="302"/>
      <c r="W210" s="302"/>
      <c r="X210" s="302"/>
      <c r="Y210" s="302"/>
      <c r="Z210" s="302"/>
      <c r="AA210" s="302"/>
      <c r="AB210" s="302"/>
      <c r="AC210" s="302"/>
      <c r="AD210" s="302"/>
      <c r="AE210" s="302"/>
      <c r="AF210" s="302"/>
      <c r="AG210" s="302"/>
      <c r="AH210" s="302"/>
      <c r="AI210" s="302"/>
      <c r="AJ210" s="302"/>
      <c r="AK210" s="302"/>
      <c r="AL210" s="302"/>
      <c r="AM210" s="302"/>
      <c r="AN210" s="302"/>
      <c r="AO210" s="302"/>
      <c r="AP210" s="302"/>
      <c r="AQ210" s="302"/>
      <c r="AR210" s="302"/>
      <c r="AS210" s="302"/>
      <c r="AT210" s="302"/>
      <c r="AU210" s="302"/>
      <c r="AV210" s="302"/>
      <c r="AW210" s="302"/>
      <c r="AX210" s="302"/>
      <c r="AY210" s="302"/>
    </row>
    <row r="211" spans="1:51" x14ac:dyDescent="0.2">
      <c r="A211" s="303"/>
      <c r="B211" s="302"/>
      <c r="C211" s="302"/>
      <c r="D211" s="302"/>
      <c r="E211" s="302"/>
      <c r="F211" s="302"/>
      <c r="G211" s="302"/>
      <c r="H211" s="302"/>
      <c r="I211" s="302"/>
      <c r="J211" s="302"/>
      <c r="K211" s="302"/>
      <c r="L211" s="302"/>
      <c r="M211" s="302"/>
      <c r="N211" s="302"/>
      <c r="O211" s="302"/>
      <c r="P211" s="302"/>
      <c r="Q211" s="302"/>
      <c r="R211" s="302"/>
      <c r="S211" s="302"/>
      <c r="T211" s="302"/>
      <c r="U211" s="302"/>
      <c r="V211" s="302"/>
      <c r="W211" s="302"/>
      <c r="X211" s="302"/>
      <c r="Y211" s="302"/>
      <c r="Z211" s="302"/>
      <c r="AA211" s="302"/>
      <c r="AB211" s="302"/>
      <c r="AC211" s="302"/>
      <c r="AD211" s="302"/>
      <c r="AE211" s="302"/>
      <c r="AF211" s="302"/>
      <c r="AG211" s="302"/>
      <c r="AH211" s="302"/>
      <c r="AI211" s="302"/>
      <c r="AJ211" s="302"/>
      <c r="AK211" s="302"/>
      <c r="AL211" s="302"/>
      <c r="AM211" s="302"/>
      <c r="AN211" s="302"/>
      <c r="AO211" s="302"/>
      <c r="AP211" s="302"/>
      <c r="AQ211" s="302"/>
      <c r="AR211" s="302"/>
      <c r="AS211" s="302"/>
      <c r="AT211" s="302"/>
      <c r="AU211" s="302"/>
      <c r="AV211" s="302"/>
      <c r="AW211" s="302"/>
      <c r="AX211" s="302"/>
      <c r="AY211" s="302"/>
    </row>
    <row r="212" spans="1:51" x14ac:dyDescent="0.2">
      <c r="A212" s="303"/>
      <c r="B212" s="302"/>
      <c r="C212" s="302"/>
      <c r="D212" s="302"/>
      <c r="E212" s="302"/>
      <c r="F212" s="302"/>
      <c r="G212" s="302"/>
      <c r="H212" s="302"/>
      <c r="I212" s="302"/>
      <c r="J212" s="302"/>
      <c r="K212" s="302"/>
      <c r="L212" s="302"/>
      <c r="M212" s="302"/>
      <c r="N212" s="302"/>
      <c r="O212" s="302"/>
      <c r="P212" s="302"/>
      <c r="Q212" s="302"/>
      <c r="R212" s="302"/>
      <c r="S212" s="302"/>
      <c r="T212" s="302"/>
      <c r="U212" s="302"/>
      <c r="V212" s="302"/>
      <c r="W212" s="302"/>
      <c r="X212" s="302"/>
      <c r="Y212" s="302"/>
      <c r="Z212" s="302"/>
      <c r="AA212" s="302"/>
      <c r="AB212" s="302"/>
      <c r="AC212" s="302"/>
      <c r="AD212" s="302"/>
      <c r="AE212" s="302"/>
      <c r="AF212" s="302"/>
      <c r="AG212" s="302"/>
      <c r="AH212" s="302"/>
      <c r="AI212" s="302"/>
      <c r="AJ212" s="302"/>
      <c r="AK212" s="302"/>
      <c r="AL212" s="302"/>
      <c r="AM212" s="302"/>
      <c r="AN212" s="302"/>
      <c r="AO212" s="302"/>
      <c r="AP212" s="302"/>
      <c r="AQ212" s="302"/>
      <c r="AR212" s="302"/>
      <c r="AS212" s="302"/>
      <c r="AT212" s="302"/>
      <c r="AU212" s="302"/>
      <c r="AV212" s="302"/>
      <c r="AW212" s="302"/>
      <c r="AX212" s="302"/>
      <c r="AY212" s="302"/>
    </row>
    <row r="213" spans="1:51" x14ac:dyDescent="0.2">
      <c r="A213" s="303"/>
      <c r="B213" s="302"/>
      <c r="C213" s="302"/>
      <c r="D213" s="302"/>
      <c r="E213" s="302"/>
      <c r="F213" s="302"/>
      <c r="G213" s="302"/>
      <c r="H213" s="302"/>
      <c r="I213" s="302"/>
      <c r="J213" s="302"/>
      <c r="K213" s="302"/>
      <c r="L213" s="302"/>
      <c r="M213" s="302"/>
      <c r="N213" s="302"/>
      <c r="O213" s="302"/>
      <c r="P213" s="302"/>
      <c r="Q213" s="302"/>
      <c r="R213" s="302"/>
      <c r="S213" s="302"/>
      <c r="T213" s="302"/>
      <c r="U213" s="302"/>
      <c r="V213" s="302"/>
      <c r="W213" s="302"/>
      <c r="X213" s="302"/>
      <c r="Y213" s="302"/>
      <c r="Z213" s="302"/>
      <c r="AA213" s="302"/>
      <c r="AB213" s="302"/>
      <c r="AC213" s="302"/>
      <c r="AD213" s="302"/>
      <c r="AE213" s="302"/>
      <c r="AF213" s="302"/>
      <c r="AG213" s="302"/>
      <c r="AH213" s="302"/>
      <c r="AI213" s="302"/>
      <c r="AJ213" s="302"/>
      <c r="AK213" s="302"/>
      <c r="AL213" s="302"/>
      <c r="AM213" s="302"/>
      <c r="AN213" s="302"/>
      <c r="AO213" s="302"/>
      <c r="AP213" s="302"/>
      <c r="AQ213" s="302"/>
      <c r="AR213" s="302"/>
      <c r="AS213" s="302"/>
      <c r="AT213" s="302"/>
      <c r="AU213" s="302"/>
      <c r="AV213" s="302"/>
      <c r="AW213" s="302"/>
      <c r="AX213" s="302"/>
      <c r="AY213" s="302"/>
    </row>
    <row r="214" spans="1:51" x14ac:dyDescent="0.2">
      <c r="A214" s="303"/>
      <c r="B214" s="302"/>
      <c r="C214" s="302"/>
      <c r="D214" s="302"/>
      <c r="E214" s="302"/>
      <c r="F214" s="302"/>
      <c r="G214" s="302"/>
      <c r="H214" s="302"/>
      <c r="I214" s="302"/>
      <c r="J214" s="302"/>
      <c r="K214" s="302"/>
      <c r="L214" s="302"/>
      <c r="M214" s="302"/>
      <c r="N214" s="302"/>
      <c r="O214" s="302"/>
      <c r="P214" s="302"/>
      <c r="Q214" s="302"/>
      <c r="R214" s="302"/>
      <c r="S214" s="302"/>
      <c r="T214" s="302"/>
      <c r="U214" s="302"/>
      <c r="V214" s="302"/>
      <c r="W214" s="302"/>
      <c r="X214" s="302"/>
      <c r="Y214" s="302"/>
      <c r="Z214" s="302"/>
      <c r="AA214" s="302"/>
      <c r="AB214" s="302"/>
      <c r="AC214" s="302"/>
      <c r="AD214" s="302"/>
      <c r="AE214" s="302"/>
      <c r="AF214" s="302"/>
      <c r="AG214" s="302"/>
      <c r="AH214" s="302"/>
      <c r="AI214" s="302"/>
      <c r="AJ214" s="302"/>
      <c r="AK214" s="302"/>
      <c r="AL214" s="302"/>
      <c r="AM214" s="302"/>
      <c r="AN214" s="302"/>
      <c r="AO214" s="302"/>
      <c r="AP214" s="302"/>
      <c r="AQ214" s="302"/>
      <c r="AR214" s="302"/>
      <c r="AS214" s="302"/>
      <c r="AT214" s="302"/>
      <c r="AU214" s="302"/>
      <c r="AV214" s="302"/>
      <c r="AW214" s="302"/>
      <c r="AX214" s="302"/>
      <c r="AY214" s="302"/>
    </row>
    <row r="215" spans="1:51" x14ac:dyDescent="0.2">
      <c r="A215" s="303"/>
      <c r="B215" s="302"/>
      <c r="C215" s="302"/>
      <c r="D215" s="302"/>
      <c r="E215" s="302"/>
      <c r="F215" s="302"/>
      <c r="G215" s="302"/>
      <c r="H215" s="302"/>
      <c r="I215" s="302"/>
      <c r="J215" s="302"/>
      <c r="K215" s="302"/>
      <c r="L215" s="302"/>
      <c r="M215" s="302"/>
      <c r="N215" s="302"/>
      <c r="O215" s="302"/>
      <c r="P215" s="302"/>
      <c r="Q215" s="302"/>
      <c r="R215" s="302"/>
      <c r="S215" s="302"/>
      <c r="T215" s="302"/>
      <c r="U215" s="302"/>
      <c r="V215" s="302"/>
      <c r="W215" s="302"/>
      <c r="X215" s="302"/>
      <c r="Y215" s="302"/>
      <c r="Z215" s="302"/>
      <c r="AA215" s="302"/>
      <c r="AB215" s="302"/>
      <c r="AC215" s="302"/>
      <c r="AD215" s="302"/>
      <c r="AE215" s="302"/>
      <c r="AF215" s="302"/>
      <c r="AG215" s="302"/>
      <c r="AH215" s="302"/>
      <c r="AI215" s="302"/>
      <c r="AJ215" s="302"/>
      <c r="AK215" s="302"/>
      <c r="AL215" s="302"/>
      <c r="AM215" s="302"/>
      <c r="AN215" s="302"/>
      <c r="AO215" s="302"/>
      <c r="AP215" s="302"/>
      <c r="AQ215" s="302"/>
      <c r="AR215" s="302"/>
      <c r="AS215" s="302"/>
      <c r="AT215" s="302"/>
      <c r="AU215" s="302"/>
      <c r="AV215" s="302"/>
      <c r="AW215" s="302"/>
      <c r="AX215" s="302"/>
      <c r="AY215" s="302"/>
    </row>
    <row r="216" spans="1:51" x14ac:dyDescent="0.2">
      <c r="A216" s="303"/>
      <c r="B216" s="302"/>
      <c r="C216" s="302"/>
      <c r="D216" s="302"/>
      <c r="E216" s="302"/>
      <c r="F216" s="302"/>
      <c r="G216" s="302"/>
      <c r="H216" s="302"/>
      <c r="I216" s="302"/>
      <c r="J216" s="302"/>
      <c r="K216" s="302"/>
      <c r="L216" s="302"/>
      <c r="M216" s="302"/>
      <c r="N216" s="302"/>
      <c r="O216" s="302"/>
      <c r="P216" s="302"/>
      <c r="Q216" s="302"/>
      <c r="R216" s="302"/>
      <c r="S216" s="302"/>
      <c r="T216" s="302"/>
      <c r="U216" s="302"/>
      <c r="V216" s="302"/>
      <c r="W216" s="302"/>
      <c r="X216" s="302"/>
      <c r="Y216" s="302"/>
      <c r="Z216" s="302"/>
      <c r="AA216" s="302"/>
      <c r="AB216" s="302"/>
      <c r="AC216" s="302"/>
      <c r="AD216" s="302"/>
      <c r="AE216" s="302"/>
      <c r="AF216" s="302"/>
      <c r="AG216" s="302"/>
      <c r="AH216" s="302"/>
      <c r="AI216" s="302"/>
      <c r="AJ216" s="302"/>
      <c r="AK216" s="302"/>
      <c r="AL216" s="302"/>
      <c r="AM216" s="302"/>
      <c r="AN216" s="302"/>
      <c r="AO216" s="302"/>
      <c r="AP216" s="302"/>
      <c r="AQ216" s="302"/>
      <c r="AR216" s="302"/>
      <c r="AS216" s="302"/>
      <c r="AT216" s="302"/>
      <c r="AU216" s="302"/>
      <c r="AV216" s="302"/>
      <c r="AW216" s="302"/>
      <c r="AX216" s="302"/>
      <c r="AY216" s="302"/>
    </row>
    <row r="217" spans="1:51" x14ac:dyDescent="0.2">
      <c r="A217" s="303"/>
      <c r="B217" s="302"/>
      <c r="C217" s="302"/>
      <c r="D217" s="302"/>
      <c r="E217" s="302"/>
      <c r="F217" s="302"/>
      <c r="G217" s="302"/>
      <c r="H217" s="302"/>
      <c r="I217" s="302"/>
      <c r="J217" s="302"/>
      <c r="K217" s="302"/>
      <c r="L217" s="302"/>
      <c r="M217" s="302"/>
      <c r="N217" s="302"/>
      <c r="O217" s="302"/>
      <c r="P217" s="302"/>
      <c r="Q217" s="302"/>
      <c r="R217" s="302"/>
      <c r="S217" s="302"/>
      <c r="T217" s="302"/>
      <c r="U217" s="302"/>
      <c r="V217" s="302"/>
      <c r="W217" s="302"/>
      <c r="X217" s="302"/>
      <c r="Y217" s="302"/>
      <c r="Z217" s="302"/>
      <c r="AA217" s="302"/>
      <c r="AB217" s="302"/>
      <c r="AC217" s="302"/>
      <c r="AD217" s="302"/>
      <c r="AE217" s="302"/>
      <c r="AF217" s="302"/>
      <c r="AG217" s="302"/>
      <c r="AH217" s="302"/>
      <c r="AI217" s="302"/>
      <c r="AJ217" s="302"/>
      <c r="AK217" s="302"/>
      <c r="AL217" s="302"/>
      <c r="AM217" s="302"/>
      <c r="AN217" s="302"/>
      <c r="AO217" s="302"/>
      <c r="AP217" s="302"/>
      <c r="AQ217" s="302"/>
      <c r="AR217" s="302"/>
      <c r="AS217" s="302"/>
      <c r="AT217" s="302"/>
      <c r="AU217" s="302"/>
      <c r="AV217" s="302"/>
      <c r="AW217" s="302"/>
      <c r="AX217" s="302"/>
      <c r="AY217" s="302"/>
    </row>
    <row r="218" spans="1:51" x14ac:dyDescent="0.2">
      <c r="A218" s="303"/>
      <c r="B218" s="302"/>
      <c r="C218" s="302"/>
      <c r="D218" s="302"/>
      <c r="E218" s="302"/>
      <c r="F218" s="302"/>
      <c r="G218" s="302"/>
      <c r="H218" s="302"/>
      <c r="I218" s="302"/>
      <c r="J218" s="302"/>
      <c r="K218" s="302"/>
      <c r="L218" s="302"/>
      <c r="M218" s="302"/>
      <c r="N218" s="302"/>
      <c r="O218" s="302"/>
      <c r="P218" s="302"/>
      <c r="Q218" s="302"/>
      <c r="R218" s="302"/>
      <c r="S218" s="302"/>
      <c r="T218" s="302"/>
      <c r="U218" s="302"/>
      <c r="V218" s="302"/>
      <c r="W218" s="302"/>
      <c r="X218" s="302"/>
      <c r="Y218" s="302"/>
      <c r="Z218" s="302"/>
      <c r="AA218" s="302"/>
      <c r="AB218" s="302"/>
      <c r="AC218" s="302"/>
      <c r="AD218" s="302"/>
      <c r="AE218" s="302"/>
      <c r="AF218" s="302"/>
      <c r="AG218" s="302"/>
      <c r="AH218" s="302"/>
      <c r="AI218" s="302"/>
      <c r="AJ218" s="302"/>
      <c r="AK218" s="302"/>
      <c r="AL218" s="302"/>
      <c r="AM218" s="302"/>
      <c r="AN218" s="302"/>
      <c r="AO218" s="302"/>
      <c r="AP218" s="302"/>
      <c r="AQ218" s="302"/>
      <c r="AR218" s="302"/>
      <c r="AS218" s="302"/>
      <c r="AT218" s="302"/>
      <c r="AU218" s="302"/>
      <c r="AV218" s="302"/>
      <c r="AW218" s="302"/>
      <c r="AX218" s="302"/>
      <c r="AY218" s="302"/>
    </row>
    <row r="219" spans="1:51" x14ac:dyDescent="0.2">
      <c r="A219" s="303"/>
      <c r="B219" s="302"/>
      <c r="C219" s="302"/>
      <c r="D219" s="302"/>
      <c r="E219" s="302"/>
      <c r="F219" s="302"/>
      <c r="G219" s="302"/>
      <c r="H219" s="302"/>
      <c r="I219" s="302"/>
      <c r="J219" s="302"/>
      <c r="K219" s="302"/>
      <c r="L219" s="302"/>
      <c r="M219" s="302"/>
      <c r="N219" s="302"/>
      <c r="O219" s="302"/>
      <c r="P219" s="302"/>
      <c r="Q219" s="302"/>
      <c r="R219" s="302"/>
      <c r="S219" s="302"/>
      <c r="T219" s="302"/>
      <c r="U219" s="302"/>
      <c r="V219" s="302"/>
      <c r="W219" s="302"/>
      <c r="X219" s="302"/>
      <c r="Y219" s="302"/>
      <c r="Z219" s="302"/>
      <c r="AA219" s="302"/>
      <c r="AB219" s="302"/>
      <c r="AC219" s="302"/>
      <c r="AD219" s="302"/>
      <c r="AE219" s="302"/>
      <c r="AF219" s="302"/>
      <c r="AG219" s="302"/>
      <c r="AH219" s="302"/>
      <c r="AI219" s="302"/>
      <c r="AJ219" s="302"/>
      <c r="AK219" s="302"/>
      <c r="AL219" s="302"/>
      <c r="AM219" s="302"/>
      <c r="AN219" s="302"/>
      <c r="AO219" s="302"/>
      <c r="AP219" s="302"/>
      <c r="AQ219" s="302"/>
      <c r="AR219" s="302"/>
      <c r="AS219" s="302"/>
      <c r="AT219" s="302"/>
      <c r="AU219" s="302"/>
      <c r="AV219" s="302"/>
      <c r="AW219" s="302"/>
      <c r="AX219" s="302"/>
      <c r="AY219" s="302"/>
    </row>
    <row r="220" spans="1:51" x14ac:dyDescent="0.2">
      <c r="A220" s="303"/>
      <c r="B220" s="302"/>
      <c r="C220" s="302"/>
      <c r="D220" s="302"/>
      <c r="E220" s="302"/>
      <c r="F220" s="302"/>
      <c r="G220" s="302"/>
      <c r="H220" s="302"/>
      <c r="I220" s="302"/>
      <c r="J220" s="302"/>
      <c r="K220" s="302"/>
      <c r="L220" s="302"/>
      <c r="M220" s="302"/>
      <c r="N220" s="302"/>
      <c r="O220" s="302"/>
      <c r="P220" s="302"/>
      <c r="Q220" s="302"/>
      <c r="R220" s="302"/>
      <c r="S220" s="302"/>
      <c r="T220" s="302"/>
      <c r="U220" s="302"/>
      <c r="V220" s="302"/>
      <c r="W220" s="302"/>
      <c r="X220" s="302"/>
      <c r="Y220" s="302"/>
      <c r="Z220" s="302"/>
      <c r="AA220" s="302"/>
      <c r="AB220" s="302"/>
      <c r="AC220" s="302"/>
      <c r="AD220" s="302"/>
      <c r="AE220" s="302"/>
      <c r="AF220" s="302"/>
      <c r="AG220" s="302"/>
      <c r="AH220" s="302"/>
      <c r="AI220" s="302"/>
      <c r="AJ220" s="302"/>
      <c r="AK220" s="302"/>
      <c r="AL220" s="302"/>
      <c r="AM220" s="302"/>
      <c r="AN220" s="302"/>
      <c r="AO220" s="302"/>
      <c r="AP220" s="302"/>
      <c r="AQ220" s="302"/>
      <c r="AR220" s="302"/>
      <c r="AS220" s="302"/>
      <c r="AT220" s="302"/>
      <c r="AU220" s="302"/>
      <c r="AV220" s="302"/>
      <c r="AW220" s="302"/>
      <c r="AX220" s="302"/>
      <c r="AY220" s="302"/>
    </row>
    <row r="221" spans="1:51" x14ac:dyDescent="0.2">
      <c r="A221" s="303"/>
      <c r="B221" s="302"/>
      <c r="C221" s="302"/>
      <c r="D221" s="302"/>
      <c r="E221" s="302"/>
      <c r="F221" s="302"/>
      <c r="G221" s="302"/>
      <c r="H221" s="302"/>
      <c r="I221" s="302"/>
      <c r="J221" s="302"/>
      <c r="K221" s="302"/>
      <c r="L221" s="302"/>
      <c r="M221" s="302"/>
      <c r="N221" s="302"/>
      <c r="O221" s="302"/>
      <c r="P221" s="302"/>
      <c r="Q221" s="302"/>
      <c r="R221" s="302"/>
      <c r="S221" s="302"/>
      <c r="T221" s="302"/>
      <c r="U221" s="302"/>
      <c r="V221" s="302"/>
      <c r="W221" s="302"/>
      <c r="X221" s="302"/>
      <c r="Y221" s="302"/>
      <c r="Z221" s="302"/>
      <c r="AA221" s="302"/>
      <c r="AB221" s="302"/>
      <c r="AC221" s="302"/>
      <c r="AD221" s="302"/>
      <c r="AE221" s="302"/>
      <c r="AF221" s="302"/>
      <c r="AG221" s="302"/>
      <c r="AH221" s="302"/>
      <c r="AI221" s="302"/>
      <c r="AJ221" s="302"/>
      <c r="AK221" s="302"/>
      <c r="AL221" s="302"/>
      <c r="AM221" s="302"/>
      <c r="AN221" s="302"/>
      <c r="AO221" s="302"/>
      <c r="AP221" s="302"/>
      <c r="AQ221" s="302"/>
      <c r="AR221" s="302"/>
      <c r="AS221" s="302"/>
      <c r="AT221" s="302"/>
      <c r="AU221" s="302"/>
      <c r="AV221" s="302"/>
      <c r="AW221" s="302"/>
      <c r="AX221" s="302"/>
      <c r="AY221" s="302"/>
    </row>
    <row r="222" spans="1:51" x14ac:dyDescent="0.2">
      <c r="A222" s="303"/>
      <c r="B222" s="302"/>
      <c r="C222" s="302"/>
      <c r="D222" s="302"/>
      <c r="E222" s="302"/>
      <c r="F222" s="302"/>
      <c r="G222" s="302"/>
      <c r="H222" s="302"/>
      <c r="I222" s="302"/>
      <c r="J222" s="302"/>
      <c r="K222" s="302"/>
      <c r="L222" s="302"/>
      <c r="M222" s="302"/>
      <c r="N222" s="302"/>
      <c r="O222" s="302"/>
      <c r="P222" s="302"/>
      <c r="Q222" s="302"/>
      <c r="R222" s="302"/>
      <c r="S222" s="302"/>
      <c r="T222" s="302"/>
      <c r="U222" s="302"/>
      <c r="V222" s="302"/>
      <c r="W222" s="302"/>
      <c r="X222" s="302"/>
      <c r="Y222" s="302"/>
      <c r="Z222" s="302"/>
      <c r="AA222" s="302"/>
      <c r="AB222" s="302"/>
      <c r="AC222" s="302"/>
      <c r="AD222" s="302"/>
      <c r="AE222" s="302"/>
      <c r="AF222" s="302"/>
      <c r="AG222" s="302"/>
      <c r="AH222" s="302"/>
      <c r="AI222" s="302"/>
      <c r="AJ222" s="302"/>
      <c r="AK222" s="302"/>
      <c r="AL222" s="302"/>
      <c r="AM222" s="302"/>
      <c r="AN222" s="302"/>
      <c r="AO222" s="302"/>
      <c r="AP222" s="302"/>
      <c r="AQ222" s="302"/>
      <c r="AR222" s="302"/>
      <c r="AS222" s="302"/>
      <c r="AT222" s="302"/>
      <c r="AU222" s="302"/>
      <c r="AV222" s="302"/>
      <c r="AW222" s="302"/>
      <c r="AX222" s="302"/>
      <c r="AY222" s="302"/>
    </row>
    <row r="223" spans="1:51" x14ac:dyDescent="0.2">
      <c r="A223" s="303"/>
      <c r="B223" s="302"/>
      <c r="C223" s="302"/>
      <c r="D223" s="302"/>
      <c r="E223" s="302"/>
      <c r="F223" s="302"/>
      <c r="G223" s="302"/>
      <c r="H223" s="302"/>
      <c r="I223" s="302"/>
      <c r="J223" s="302"/>
      <c r="K223" s="302"/>
      <c r="L223" s="302"/>
      <c r="M223" s="302"/>
      <c r="N223" s="302"/>
      <c r="O223" s="302"/>
      <c r="P223" s="302"/>
      <c r="Q223" s="302"/>
      <c r="R223" s="302"/>
      <c r="S223" s="302"/>
      <c r="T223" s="302"/>
      <c r="U223" s="302"/>
      <c r="V223" s="302"/>
      <c r="W223" s="302"/>
      <c r="X223" s="302"/>
      <c r="Y223" s="302"/>
      <c r="Z223" s="302"/>
      <c r="AA223" s="302"/>
      <c r="AB223" s="302"/>
      <c r="AC223" s="302"/>
      <c r="AD223" s="302"/>
      <c r="AE223" s="302"/>
      <c r="AF223" s="302"/>
      <c r="AG223" s="302"/>
      <c r="AH223" s="302"/>
      <c r="AI223" s="302"/>
      <c r="AJ223" s="302"/>
      <c r="AK223" s="302"/>
      <c r="AL223" s="302"/>
      <c r="AM223" s="302"/>
      <c r="AN223" s="302"/>
      <c r="AO223" s="302"/>
      <c r="AP223" s="302"/>
      <c r="AQ223" s="302"/>
      <c r="AR223" s="302"/>
      <c r="AS223" s="302"/>
      <c r="AT223" s="302"/>
      <c r="AU223" s="302"/>
      <c r="AV223" s="302"/>
      <c r="AW223" s="302"/>
      <c r="AX223" s="302"/>
      <c r="AY223" s="302"/>
    </row>
    <row r="224" spans="1:51" x14ac:dyDescent="0.2">
      <c r="A224" s="303"/>
      <c r="B224" s="302"/>
      <c r="C224" s="302"/>
      <c r="D224" s="302"/>
      <c r="E224" s="302"/>
      <c r="F224" s="302"/>
      <c r="G224" s="302"/>
      <c r="H224" s="302"/>
      <c r="I224" s="302"/>
      <c r="J224" s="302"/>
      <c r="K224" s="302"/>
      <c r="L224" s="302"/>
      <c r="M224" s="302"/>
      <c r="N224" s="302"/>
      <c r="O224" s="302"/>
      <c r="P224" s="302"/>
      <c r="Q224" s="302"/>
      <c r="R224" s="302"/>
      <c r="S224" s="302"/>
      <c r="T224" s="302"/>
      <c r="U224" s="302"/>
      <c r="V224" s="302"/>
      <c r="W224" s="302"/>
      <c r="X224" s="302"/>
      <c r="Y224" s="302"/>
      <c r="Z224" s="302"/>
      <c r="AA224" s="302"/>
      <c r="AB224" s="302"/>
      <c r="AC224" s="302"/>
      <c r="AD224" s="302"/>
      <c r="AE224" s="302"/>
      <c r="AF224" s="302"/>
      <c r="AG224" s="302"/>
      <c r="AH224" s="302"/>
      <c r="AI224" s="302"/>
      <c r="AJ224" s="302"/>
      <c r="AK224" s="302"/>
      <c r="AL224" s="302"/>
      <c r="AM224" s="302"/>
      <c r="AN224" s="302"/>
      <c r="AO224" s="302"/>
      <c r="AP224" s="302"/>
      <c r="AQ224" s="302"/>
      <c r="AR224" s="302"/>
      <c r="AS224" s="302"/>
      <c r="AT224" s="302"/>
      <c r="AU224" s="302"/>
      <c r="AV224" s="302"/>
      <c r="AW224" s="302"/>
      <c r="AX224" s="302"/>
      <c r="AY224" s="302"/>
    </row>
    <row r="225" spans="1:51" x14ac:dyDescent="0.2">
      <c r="A225" s="303"/>
      <c r="B225" s="302"/>
      <c r="C225" s="302"/>
      <c r="D225" s="302"/>
      <c r="E225" s="302"/>
      <c r="F225" s="302"/>
      <c r="G225" s="302"/>
      <c r="H225" s="302"/>
      <c r="I225" s="302"/>
      <c r="J225" s="302"/>
      <c r="K225" s="302"/>
      <c r="L225" s="302"/>
      <c r="M225" s="302"/>
      <c r="N225" s="302"/>
      <c r="O225" s="302"/>
      <c r="P225" s="302"/>
      <c r="Q225" s="302"/>
      <c r="R225" s="302"/>
      <c r="S225" s="302"/>
      <c r="T225" s="302"/>
      <c r="U225" s="302"/>
      <c r="V225" s="302"/>
      <c r="W225" s="302"/>
      <c r="X225" s="302"/>
      <c r="Y225" s="302"/>
      <c r="Z225" s="302"/>
      <c r="AA225" s="302"/>
      <c r="AB225" s="302"/>
      <c r="AC225" s="302"/>
      <c r="AD225" s="302"/>
      <c r="AE225" s="302"/>
      <c r="AF225" s="302"/>
      <c r="AG225" s="302"/>
      <c r="AH225" s="302"/>
      <c r="AI225" s="302"/>
      <c r="AJ225" s="302"/>
      <c r="AK225" s="302"/>
      <c r="AL225" s="302"/>
      <c r="AM225" s="302"/>
      <c r="AN225" s="302"/>
      <c r="AO225" s="302"/>
      <c r="AP225" s="302"/>
      <c r="AQ225" s="302"/>
      <c r="AR225" s="302"/>
      <c r="AS225" s="302"/>
      <c r="AT225" s="302"/>
      <c r="AU225" s="302"/>
      <c r="AV225" s="302"/>
      <c r="AW225" s="302"/>
      <c r="AX225" s="302"/>
      <c r="AY225" s="302"/>
    </row>
    <row r="226" spans="1:51" x14ac:dyDescent="0.2">
      <c r="A226" s="303"/>
      <c r="B226" s="302"/>
      <c r="C226" s="302"/>
      <c r="D226" s="302"/>
      <c r="E226" s="302"/>
      <c r="F226" s="302"/>
      <c r="G226" s="302"/>
      <c r="H226" s="302"/>
      <c r="I226" s="302"/>
      <c r="J226" s="302"/>
      <c r="K226" s="302"/>
      <c r="L226" s="302"/>
      <c r="M226" s="302"/>
      <c r="N226" s="302"/>
      <c r="O226" s="302"/>
      <c r="P226" s="302"/>
      <c r="Q226" s="302"/>
      <c r="R226" s="302"/>
      <c r="S226" s="302"/>
      <c r="T226" s="302"/>
      <c r="U226" s="302"/>
      <c r="V226" s="302"/>
      <c r="W226" s="302"/>
      <c r="X226" s="302"/>
      <c r="Y226" s="302"/>
      <c r="Z226" s="302"/>
      <c r="AA226" s="302"/>
      <c r="AB226" s="302"/>
      <c r="AC226" s="302"/>
      <c r="AD226" s="302"/>
      <c r="AE226" s="302"/>
      <c r="AF226" s="302"/>
      <c r="AG226" s="302"/>
      <c r="AH226" s="302"/>
      <c r="AI226" s="302"/>
      <c r="AJ226" s="302"/>
      <c r="AK226" s="302"/>
      <c r="AL226" s="302"/>
      <c r="AM226" s="302"/>
      <c r="AN226" s="302"/>
      <c r="AO226" s="302"/>
      <c r="AP226" s="302"/>
      <c r="AQ226" s="302"/>
      <c r="AR226" s="302"/>
      <c r="AS226" s="302"/>
      <c r="AT226" s="302"/>
      <c r="AU226" s="302"/>
      <c r="AV226" s="302"/>
      <c r="AW226" s="302"/>
      <c r="AX226" s="302"/>
      <c r="AY226" s="302"/>
    </row>
    <row r="227" spans="1:51" x14ac:dyDescent="0.2">
      <c r="A227" s="303"/>
      <c r="B227" s="302"/>
      <c r="C227" s="302"/>
      <c r="D227" s="302"/>
      <c r="E227" s="302"/>
      <c r="F227" s="302"/>
      <c r="G227" s="302"/>
      <c r="H227" s="302"/>
      <c r="I227" s="302"/>
      <c r="J227" s="302"/>
      <c r="K227" s="302"/>
      <c r="L227" s="302"/>
      <c r="M227" s="302"/>
      <c r="N227" s="302"/>
      <c r="O227" s="302"/>
      <c r="P227" s="302"/>
      <c r="Q227" s="302"/>
      <c r="R227" s="302"/>
      <c r="S227" s="302"/>
      <c r="T227" s="302"/>
      <c r="U227" s="302"/>
      <c r="V227" s="302"/>
      <c r="W227" s="302"/>
      <c r="X227" s="302"/>
      <c r="Y227" s="302"/>
      <c r="Z227" s="302"/>
      <c r="AA227" s="302"/>
      <c r="AB227" s="302"/>
      <c r="AC227" s="302"/>
      <c r="AD227" s="302"/>
      <c r="AE227" s="302"/>
      <c r="AF227" s="302"/>
      <c r="AG227" s="302"/>
      <c r="AH227" s="302"/>
      <c r="AI227" s="302"/>
      <c r="AJ227" s="302"/>
      <c r="AK227" s="302"/>
      <c r="AL227" s="302"/>
      <c r="AM227" s="302"/>
      <c r="AN227" s="302"/>
      <c r="AO227" s="302"/>
      <c r="AP227" s="302"/>
      <c r="AQ227" s="302"/>
      <c r="AR227" s="302"/>
      <c r="AS227" s="302"/>
      <c r="AT227" s="302"/>
      <c r="AU227" s="302"/>
      <c r="AV227" s="302"/>
      <c r="AW227" s="302"/>
      <c r="AX227" s="302"/>
      <c r="AY227" s="302"/>
    </row>
    <row r="228" spans="1:51" x14ac:dyDescent="0.2">
      <c r="A228" s="303"/>
      <c r="B228" s="302"/>
      <c r="C228" s="302"/>
      <c r="D228" s="302"/>
      <c r="E228" s="302"/>
      <c r="F228" s="302"/>
      <c r="G228" s="302"/>
      <c r="H228" s="302"/>
      <c r="I228" s="302"/>
      <c r="J228" s="302"/>
      <c r="K228" s="302"/>
      <c r="L228" s="302"/>
      <c r="M228" s="302"/>
      <c r="N228" s="302"/>
      <c r="O228" s="302"/>
      <c r="P228" s="302"/>
      <c r="Q228" s="302"/>
      <c r="R228" s="302"/>
      <c r="S228" s="302"/>
      <c r="T228" s="302"/>
      <c r="U228" s="302"/>
      <c r="V228" s="302"/>
      <c r="W228" s="302"/>
      <c r="X228" s="302"/>
      <c r="Y228" s="302"/>
      <c r="Z228" s="302"/>
      <c r="AA228" s="302"/>
      <c r="AB228" s="302"/>
      <c r="AC228" s="302"/>
      <c r="AD228" s="302"/>
      <c r="AE228" s="302"/>
      <c r="AF228" s="302"/>
      <c r="AG228" s="302"/>
      <c r="AH228" s="302"/>
      <c r="AI228" s="302"/>
      <c r="AJ228" s="302"/>
      <c r="AK228" s="302"/>
      <c r="AL228" s="302"/>
      <c r="AM228" s="302"/>
      <c r="AN228" s="302"/>
      <c r="AO228" s="302"/>
      <c r="AP228" s="302"/>
      <c r="AQ228" s="302"/>
      <c r="AR228" s="302"/>
      <c r="AS228" s="302"/>
      <c r="AT228" s="302"/>
      <c r="AU228" s="302"/>
      <c r="AV228" s="302"/>
      <c r="AW228" s="302"/>
      <c r="AX228" s="302"/>
      <c r="AY228" s="302"/>
    </row>
    <row r="229" spans="1:51" x14ac:dyDescent="0.2">
      <c r="A229" s="303"/>
      <c r="B229" s="302"/>
      <c r="C229" s="302"/>
      <c r="D229" s="302"/>
      <c r="E229" s="302"/>
      <c r="F229" s="302"/>
      <c r="G229" s="302"/>
      <c r="H229" s="302"/>
      <c r="I229" s="302"/>
      <c r="J229" s="302"/>
      <c r="K229" s="302"/>
      <c r="L229" s="302"/>
      <c r="M229" s="302"/>
      <c r="N229" s="302"/>
      <c r="O229" s="302"/>
      <c r="P229" s="302"/>
      <c r="Q229" s="302"/>
      <c r="R229" s="302"/>
      <c r="S229" s="302"/>
      <c r="T229" s="302"/>
      <c r="U229" s="302"/>
      <c r="V229" s="302"/>
      <c r="W229" s="302"/>
      <c r="X229" s="302"/>
      <c r="Y229" s="302"/>
      <c r="Z229" s="302"/>
      <c r="AA229" s="302"/>
      <c r="AB229" s="302"/>
      <c r="AC229" s="302"/>
      <c r="AD229" s="302"/>
      <c r="AE229" s="302"/>
      <c r="AF229" s="302"/>
      <c r="AG229" s="302"/>
      <c r="AH229" s="302"/>
      <c r="AI229" s="302"/>
      <c r="AJ229" s="302"/>
      <c r="AK229" s="302"/>
      <c r="AL229" s="302"/>
      <c r="AM229" s="302"/>
      <c r="AN229" s="302"/>
      <c r="AO229" s="302"/>
      <c r="AP229" s="302"/>
      <c r="AQ229" s="302"/>
      <c r="AR229" s="302"/>
      <c r="AS229" s="302"/>
      <c r="AT229" s="302"/>
      <c r="AU229" s="302"/>
      <c r="AV229" s="302"/>
      <c r="AW229" s="302"/>
      <c r="AX229" s="302"/>
      <c r="AY229" s="302"/>
    </row>
    <row r="230" spans="1:51" x14ac:dyDescent="0.2">
      <c r="A230" s="303"/>
      <c r="B230" s="302"/>
      <c r="C230" s="302"/>
      <c r="D230" s="302"/>
      <c r="E230" s="302"/>
      <c r="F230" s="302"/>
      <c r="G230" s="302"/>
      <c r="H230" s="302"/>
      <c r="I230" s="302"/>
      <c r="J230" s="302"/>
      <c r="K230" s="302"/>
      <c r="L230" s="302"/>
      <c r="M230" s="302"/>
      <c r="N230" s="302"/>
      <c r="O230" s="302"/>
      <c r="P230" s="302"/>
      <c r="Q230" s="302"/>
      <c r="R230" s="302"/>
      <c r="S230" s="302"/>
      <c r="T230" s="302"/>
      <c r="U230" s="302"/>
      <c r="V230" s="302"/>
      <c r="W230" s="302"/>
      <c r="X230" s="302"/>
      <c r="Y230" s="302"/>
      <c r="Z230" s="302"/>
      <c r="AA230" s="302"/>
      <c r="AB230" s="302"/>
      <c r="AC230" s="302"/>
      <c r="AD230" s="302"/>
      <c r="AE230" s="302"/>
      <c r="AF230" s="302"/>
      <c r="AG230" s="302"/>
      <c r="AH230" s="302"/>
      <c r="AI230" s="302"/>
      <c r="AJ230" s="302"/>
      <c r="AK230" s="302"/>
      <c r="AL230" s="302"/>
      <c r="AM230" s="302"/>
      <c r="AN230" s="302"/>
      <c r="AO230" s="302"/>
      <c r="AP230" s="302"/>
      <c r="AQ230" s="302"/>
      <c r="AR230" s="302"/>
      <c r="AS230" s="302"/>
      <c r="AT230" s="302"/>
      <c r="AU230" s="302"/>
      <c r="AV230" s="302"/>
      <c r="AW230" s="302"/>
      <c r="AX230" s="302"/>
      <c r="AY230" s="302"/>
    </row>
    <row r="231" spans="1:51" x14ac:dyDescent="0.2">
      <c r="A231" s="303"/>
      <c r="B231" s="302"/>
      <c r="C231" s="302"/>
      <c r="D231" s="302"/>
      <c r="E231" s="302"/>
      <c r="F231" s="302"/>
      <c r="G231" s="302"/>
      <c r="H231" s="302"/>
      <c r="I231" s="302"/>
      <c r="J231" s="302"/>
      <c r="K231" s="302"/>
      <c r="L231" s="302"/>
      <c r="M231" s="302"/>
      <c r="N231" s="302"/>
      <c r="O231" s="302"/>
      <c r="P231" s="302"/>
      <c r="Q231" s="302"/>
      <c r="R231" s="302"/>
      <c r="S231" s="302"/>
      <c r="T231" s="302"/>
      <c r="U231" s="302"/>
      <c r="V231" s="302"/>
      <c r="W231" s="302"/>
      <c r="X231" s="302"/>
      <c r="Y231" s="302"/>
      <c r="Z231" s="302"/>
      <c r="AA231" s="302"/>
      <c r="AB231" s="302"/>
      <c r="AC231" s="302"/>
      <c r="AD231" s="302"/>
      <c r="AE231" s="302"/>
      <c r="AF231" s="302"/>
      <c r="AG231" s="302"/>
      <c r="AH231" s="302"/>
      <c r="AI231" s="302"/>
      <c r="AJ231" s="302"/>
      <c r="AK231" s="302"/>
      <c r="AL231" s="302"/>
      <c r="AM231" s="302"/>
      <c r="AN231" s="302"/>
      <c r="AO231" s="302"/>
      <c r="AP231" s="302"/>
      <c r="AQ231" s="302"/>
      <c r="AR231" s="302"/>
      <c r="AS231" s="302"/>
      <c r="AT231" s="302"/>
      <c r="AU231" s="302"/>
      <c r="AV231" s="302"/>
      <c r="AW231" s="302"/>
      <c r="AX231" s="302"/>
      <c r="AY231" s="302"/>
    </row>
    <row r="232" spans="1:51" x14ac:dyDescent="0.2">
      <c r="A232" s="303"/>
      <c r="B232" s="302"/>
      <c r="C232" s="302"/>
      <c r="D232" s="302"/>
      <c r="E232" s="302"/>
      <c r="F232" s="302"/>
      <c r="G232" s="302"/>
      <c r="H232" s="302"/>
      <c r="I232" s="302"/>
      <c r="J232" s="302"/>
      <c r="K232" s="302"/>
      <c r="L232" s="302"/>
      <c r="M232" s="302"/>
      <c r="N232" s="302"/>
      <c r="O232" s="302"/>
      <c r="P232" s="302"/>
      <c r="Q232" s="302"/>
      <c r="R232" s="302"/>
      <c r="S232" s="302"/>
      <c r="T232" s="302"/>
      <c r="U232" s="302"/>
      <c r="V232" s="302"/>
      <c r="W232" s="302"/>
      <c r="X232" s="302"/>
      <c r="Y232" s="302"/>
      <c r="Z232" s="302"/>
      <c r="AA232" s="302"/>
      <c r="AB232" s="302"/>
      <c r="AC232" s="302"/>
      <c r="AD232" s="302"/>
      <c r="AE232" s="302"/>
      <c r="AF232" s="302"/>
      <c r="AG232" s="302"/>
      <c r="AH232" s="302"/>
      <c r="AI232" s="302"/>
      <c r="AJ232" s="302"/>
      <c r="AK232" s="302"/>
      <c r="AL232" s="302"/>
      <c r="AM232" s="302"/>
      <c r="AN232" s="302"/>
      <c r="AO232" s="302"/>
      <c r="AP232" s="302"/>
      <c r="AQ232" s="302"/>
      <c r="AR232" s="302"/>
      <c r="AS232" s="302"/>
      <c r="AT232" s="302"/>
      <c r="AU232" s="302"/>
      <c r="AV232" s="302"/>
      <c r="AW232" s="302"/>
      <c r="AX232" s="302"/>
      <c r="AY232" s="302"/>
    </row>
    <row r="233" spans="1:51" x14ac:dyDescent="0.2">
      <c r="A233" s="303"/>
      <c r="B233" s="302"/>
      <c r="C233" s="302"/>
      <c r="D233" s="302"/>
      <c r="E233" s="302"/>
      <c r="F233" s="302"/>
      <c r="G233" s="302"/>
      <c r="H233" s="302"/>
      <c r="I233" s="302"/>
      <c r="J233" s="302"/>
      <c r="K233" s="302"/>
      <c r="L233" s="302"/>
      <c r="M233" s="302"/>
      <c r="N233" s="302"/>
      <c r="O233" s="302"/>
      <c r="P233" s="302"/>
      <c r="Q233" s="302"/>
      <c r="R233" s="302"/>
      <c r="S233" s="302"/>
      <c r="T233" s="302"/>
      <c r="U233" s="302"/>
      <c r="V233" s="302"/>
      <c r="W233" s="302"/>
      <c r="X233" s="302"/>
      <c r="Y233" s="302"/>
      <c r="Z233" s="302"/>
      <c r="AA233" s="302"/>
      <c r="AB233" s="302"/>
      <c r="AC233" s="302"/>
      <c r="AD233" s="302"/>
      <c r="AE233" s="302"/>
      <c r="AF233" s="302"/>
      <c r="AG233" s="302"/>
      <c r="AH233" s="302"/>
      <c r="AI233" s="302"/>
      <c r="AJ233" s="302"/>
      <c r="AK233" s="302"/>
      <c r="AL233" s="302"/>
      <c r="AM233" s="302"/>
      <c r="AN233" s="302"/>
      <c r="AO233" s="302"/>
      <c r="AP233" s="302"/>
      <c r="AQ233" s="302"/>
      <c r="AR233" s="302"/>
      <c r="AS233" s="302"/>
      <c r="AT233" s="302"/>
      <c r="AU233" s="302"/>
      <c r="AV233" s="302"/>
      <c r="AW233" s="302"/>
      <c r="AX233" s="302"/>
      <c r="AY233" s="302"/>
    </row>
    <row r="234" spans="1:51" x14ac:dyDescent="0.2">
      <c r="A234" s="303"/>
      <c r="B234" s="302"/>
      <c r="C234" s="302"/>
      <c r="D234" s="302"/>
      <c r="E234" s="302"/>
      <c r="F234" s="302"/>
      <c r="G234" s="302"/>
      <c r="H234" s="302"/>
      <c r="I234" s="302"/>
      <c r="J234" s="302"/>
      <c r="K234" s="302"/>
      <c r="L234" s="302"/>
      <c r="M234" s="302"/>
      <c r="N234" s="302"/>
      <c r="O234" s="302"/>
      <c r="P234" s="302"/>
      <c r="Q234" s="302"/>
      <c r="R234" s="302"/>
      <c r="S234" s="302"/>
      <c r="T234" s="302"/>
      <c r="U234" s="302"/>
      <c r="V234" s="302"/>
      <c r="W234" s="302"/>
      <c r="X234" s="302"/>
      <c r="Y234" s="302"/>
      <c r="Z234" s="302"/>
      <c r="AA234" s="302"/>
      <c r="AB234" s="302"/>
      <c r="AC234" s="302"/>
      <c r="AD234" s="302"/>
      <c r="AE234" s="302"/>
      <c r="AF234" s="302"/>
      <c r="AG234" s="302"/>
      <c r="AH234" s="302"/>
      <c r="AI234" s="302"/>
      <c r="AJ234" s="302"/>
      <c r="AK234" s="302"/>
      <c r="AL234" s="302"/>
      <c r="AM234" s="302"/>
      <c r="AN234" s="302"/>
      <c r="AO234" s="302"/>
      <c r="AP234" s="302"/>
      <c r="AQ234" s="302"/>
      <c r="AR234" s="302"/>
      <c r="AS234" s="302"/>
      <c r="AT234" s="302"/>
      <c r="AU234" s="302"/>
      <c r="AV234" s="302"/>
      <c r="AW234" s="302"/>
      <c r="AX234" s="302"/>
      <c r="AY234" s="302"/>
    </row>
    <row r="235" spans="1:51" x14ac:dyDescent="0.2">
      <c r="A235" s="303"/>
      <c r="B235" s="302"/>
      <c r="C235" s="302"/>
      <c r="D235" s="302"/>
      <c r="E235" s="302"/>
      <c r="F235" s="302"/>
      <c r="G235" s="302"/>
      <c r="H235" s="302"/>
      <c r="I235" s="302"/>
      <c r="J235" s="302"/>
      <c r="K235" s="302"/>
      <c r="L235" s="302"/>
      <c r="M235" s="302"/>
      <c r="N235" s="302"/>
      <c r="O235" s="302"/>
      <c r="P235" s="302"/>
      <c r="Q235" s="302"/>
      <c r="R235" s="302"/>
      <c r="S235" s="302"/>
      <c r="T235" s="302"/>
      <c r="U235" s="302"/>
      <c r="V235" s="302"/>
      <c r="W235" s="302"/>
      <c r="X235" s="302"/>
      <c r="Y235" s="302"/>
      <c r="Z235" s="302"/>
      <c r="AA235" s="302"/>
      <c r="AB235" s="302"/>
      <c r="AC235" s="302"/>
      <c r="AD235" s="302"/>
      <c r="AE235" s="302"/>
      <c r="AF235" s="302"/>
      <c r="AG235" s="302"/>
      <c r="AH235" s="302"/>
      <c r="AI235" s="302"/>
      <c r="AJ235" s="302"/>
      <c r="AK235" s="302"/>
      <c r="AL235" s="302"/>
      <c r="AM235" s="302"/>
      <c r="AN235" s="302"/>
      <c r="AO235" s="302"/>
      <c r="AP235" s="302"/>
      <c r="AQ235" s="302"/>
      <c r="AR235" s="302"/>
      <c r="AS235" s="302"/>
      <c r="AT235" s="302"/>
      <c r="AU235" s="302"/>
      <c r="AV235" s="302"/>
      <c r="AW235" s="302"/>
      <c r="AX235" s="302"/>
      <c r="AY235" s="302"/>
    </row>
    <row r="236" spans="1:51" x14ac:dyDescent="0.2">
      <c r="A236" s="303"/>
      <c r="B236" s="302"/>
      <c r="C236" s="302"/>
      <c r="D236" s="302"/>
      <c r="E236" s="302"/>
      <c r="F236" s="302"/>
      <c r="G236" s="302"/>
      <c r="H236" s="302"/>
      <c r="I236" s="302"/>
      <c r="J236" s="302"/>
      <c r="K236" s="302"/>
      <c r="L236" s="302"/>
      <c r="M236" s="302"/>
      <c r="N236" s="302"/>
      <c r="O236" s="302"/>
      <c r="P236" s="302"/>
      <c r="Q236" s="302"/>
      <c r="R236" s="302"/>
      <c r="S236" s="302"/>
      <c r="T236" s="302"/>
      <c r="U236" s="302"/>
      <c r="V236" s="302"/>
      <c r="W236" s="302"/>
      <c r="X236" s="302"/>
      <c r="Y236" s="302"/>
      <c r="Z236" s="302"/>
      <c r="AA236" s="302"/>
      <c r="AB236" s="302"/>
      <c r="AC236" s="302"/>
      <c r="AD236" s="302"/>
      <c r="AE236" s="302"/>
      <c r="AF236" s="302"/>
      <c r="AG236" s="302"/>
      <c r="AH236" s="302"/>
      <c r="AI236" s="302"/>
      <c r="AJ236" s="302"/>
      <c r="AK236" s="302"/>
      <c r="AL236" s="302"/>
      <c r="AM236" s="302"/>
      <c r="AN236" s="302"/>
      <c r="AO236" s="302"/>
      <c r="AP236" s="302"/>
      <c r="AQ236" s="302"/>
      <c r="AR236" s="302"/>
      <c r="AS236" s="302"/>
      <c r="AT236" s="302"/>
      <c r="AU236" s="302"/>
      <c r="AV236" s="302"/>
      <c r="AW236" s="302"/>
      <c r="AX236" s="302"/>
      <c r="AY236" s="302"/>
    </row>
    <row r="237" spans="1:51" x14ac:dyDescent="0.2">
      <c r="A237" s="303"/>
      <c r="B237" s="302"/>
      <c r="C237" s="302"/>
      <c r="D237" s="302"/>
      <c r="E237" s="302"/>
      <c r="F237" s="302"/>
      <c r="G237" s="302"/>
      <c r="H237" s="302"/>
      <c r="I237" s="302"/>
      <c r="J237" s="302"/>
      <c r="K237" s="302"/>
      <c r="L237" s="302"/>
      <c r="M237" s="302"/>
      <c r="N237" s="302"/>
      <c r="O237" s="302"/>
      <c r="P237" s="302"/>
      <c r="Q237" s="302"/>
      <c r="R237" s="302"/>
      <c r="S237" s="302"/>
      <c r="T237" s="302"/>
      <c r="U237" s="302"/>
      <c r="V237" s="302"/>
      <c r="W237" s="302"/>
      <c r="X237" s="302"/>
      <c r="Y237" s="302"/>
      <c r="Z237" s="302"/>
      <c r="AA237" s="302"/>
      <c r="AB237" s="302"/>
      <c r="AC237" s="302"/>
      <c r="AD237" s="302"/>
      <c r="AE237" s="302"/>
      <c r="AF237" s="302"/>
      <c r="AG237" s="302"/>
      <c r="AH237" s="302"/>
      <c r="AI237" s="302"/>
      <c r="AJ237" s="302"/>
      <c r="AK237" s="302"/>
      <c r="AL237" s="302"/>
      <c r="AM237" s="302"/>
      <c r="AN237" s="302"/>
      <c r="AO237" s="302"/>
      <c r="AP237" s="302"/>
      <c r="AQ237" s="302"/>
      <c r="AR237" s="302"/>
      <c r="AS237" s="302"/>
      <c r="AT237" s="302"/>
      <c r="AU237" s="302"/>
      <c r="AV237" s="302"/>
      <c r="AW237" s="302"/>
      <c r="AX237" s="302"/>
      <c r="AY237" s="302"/>
    </row>
    <row r="238" spans="1:51" x14ac:dyDescent="0.2">
      <c r="A238" s="303"/>
      <c r="B238" s="302"/>
      <c r="C238" s="302"/>
      <c r="D238" s="302"/>
      <c r="E238" s="302"/>
      <c r="F238" s="302"/>
      <c r="G238" s="302"/>
      <c r="H238" s="302"/>
      <c r="I238" s="302"/>
      <c r="J238" s="302"/>
      <c r="K238" s="302"/>
      <c r="L238" s="302"/>
      <c r="M238" s="302"/>
      <c r="N238" s="302"/>
      <c r="O238" s="302"/>
      <c r="P238" s="302"/>
      <c r="Q238" s="302"/>
      <c r="R238" s="302"/>
      <c r="S238" s="302"/>
      <c r="T238" s="302"/>
      <c r="U238" s="302"/>
      <c r="V238" s="302"/>
      <c r="W238" s="302"/>
      <c r="X238" s="302"/>
      <c r="Y238" s="302"/>
      <c r="Z238" s="302"/>
      <c r="AA238" s="302"/>
      <c r="AB238" s="302"/>
      <c r="AC238" s="302"/>
      <c r="AD238" s="302"/>
      <c r="AE238" s="302"/>
      <c r="AF238" s="302"/>
      <c r="AG238" s="302"/>
      <c r="AH238" s="302"/>
      <c r="AI238" s="302"/>
      <c r="AJ238" s="302"/>
      <c r="AK238" s="302"/>
      <c r="AL238" s="302"/>
      <c r="AM238" s="302"/>
      <c r="AN238" s="302"/>
      <c r="AO238" s="302"/>
      <c r="AP238" s="302"/>
      <c r="AQ238" s="302"/>
      <c r="AR238" s="302"/>
      <c r="AS238" s="302"/>
      <c r="AT238" s="302"/>
      <c r="AU238" s="302"/>
      <c r="AV238" s="302"/>
      <c r="AW238" s="302"/>
      <c r="AX238" s="302"/>
      <c r="AY238" s="302"/>
    </row>
    <row r="239" spans="1:51" x14ac:dyDescent="0.2">
      <c r="A239" s="303"/>
      <c r="B239" s="302"/>
      <c r="C239" s="302"/>
      <c r="D239" s="302"/>
      <c r="E239" s="302"/>
      <c r="F239" s="302"/>
      <c r="G239" s="302"/>
      <c r="H239" s="302"/>
      <c r="I239" s="302"/>
      <c r="J239" s="302"/>
      <c r="K239" s="302"/>
      <c r="L239" s="302"/>
      <c r="M239" s="302"/>
      <c r="N239" s="302"/>
      <c r="O239" s="302"/>
      <c r="P239" s="302"/>
      <c r="Q239" s="302"/>
      <c r="R239" s="302"/>
      <c r="S239" s="302"/>
      <c r="T239" s="302"/>
      <c r="U239" s="302"/>
      <c r="V239" s="302"/>
      <c r="W239" s="302"/>
      <c r="X239" s="302"/>
      <c r="Y239" s="302"/>
      <c r="Z239" s="302"/>
      <c r="AA239" s="302"/>
      <c r="AB239" s="302"/>
      <c r="AC239" s="302"/>
      <c r="AD239" s="302"/>
      <c r="AE239" s="302"/>
      <c r="AF239" s="302"/>
      <c r="AG239" s="302"/>
      <c r="AH239" s="302"/>
      <c r="AI239" s="302"/>
      <c r="AJ239" s="302"/>
      <c r="AK239" s="302"/>
      <c r="AL239" s="302"/>
      <c r="AM239" s="302"/>
      <c r="AN239" s="302"/>
      <c r="AO239" s="302"/>
      <c r="AP239" s="302"/>
      <c r="AQ239" s="302"/>
      <c r="AR239" s="302"/>
      <c r="AS239" s="302"/>
      <c r="AT239" s="302"/>
      <c r="AU239" s="302"/>
      <c r="AV239" s="302"/>
      <c r="AW239" s="302"/>
      <c r="AX239" s="302"/>
      <c r="AY239" s="302"/>
    </row>
    <row r="240" spans="1:51" x14ac:dyDescent="0.2">
      <c r="A240" s="303"/>
      <c r="B240" s="302"/>
      <c r="C240" s="302"/>
      <c r="D240" s="302"/>
      <c r="E240" s="302"/>
      <c r="F240" s="302"/>
      <c r="G240" s="302"/>
      <c r="H240" s="302"/>
      <c r="I240" s="302"/>
      <c r="J240" s="302"/>
      <c r="K240" s="302"/>
      <c r="L240" s="302"/>
      <c r="M240" s="302"/>
      <c r="N240" s="302"/>
      <c r="O240" s="302"/>
      <c r="P240" s="302"/>
      <c r="Q240" s="302"/>
      <c r="R240" s="302"/>
      <c r="S240" s="302"/>
      <c r="T240" s="302"/>
      <c r="U240" s="302"/>
      <c r="V240" s="302"/>
      <c r="W240" s="302"/>
      <c r="X240" s="302"/>
      <c r="Y240" s="302"/>
      <c r="Z240" s="302"/>
      <c r="AA240" s="302"/>
      <c r="AB240" s="302"/>
      <c r="AC240" s="302"/>
      <c r="AD240" s="302"/>
      <c r="AE240" s="302"/>
      <c r="AF240" s="302"/>
      <c r="AG240" s="302"/>
      <c r="AH240" s="302"/>
      <c r="AI240" s="302"/>
      <c r="AJ240" s="302"/>
      <c r="AK240" s="302"/>
      <c r="AL240" s="302"/>
      <c r="AM240" s="302"/>
      <c r="AN240" s="302"/>
      <c r="AO240" s="302"/>
      <c r="AP240" s="302"/>
      <c r="AQ240" s="302"/>
      <c r="AR240" s="302"/>
      <c r="AS240" s="302"/>
      <c r="AT240" s="302"/>
      <c r="AU240" s="302"/>
      <c r="AV240" s="302"/>
      <c r="AW240" s="302"/>
      <c r="AX240" s="302"/>
      <c r="AY240" s="302"/>
    </row>
    <row r="241" spans="1:51" x14ac:dyDescent="0.2">
      <c r="A241" s="303"/>
      <c r="B241" s="302"/>
      <c r="C241" s="302"/>
      <c r="D241" s="302"/>
      <c r="E241" s="302"/>
      <c r="F241" s="302"/>
      <c r="G241" s="302"/>
      <c r="H241" s="302"/>
      <c r="I241" s="302"/>
      <c r="J241" s="302"/>
      <c r="K241" s="302"/>
      <c r="L241" s="302"/>
      <c r="M241" s="302"/>
      <c r="N241" s="302"/>
      <c r="O241" s="302"/>
      <c r="P241" s="302"/>
      <c r="Q241" s="302"/>
      <c r="R241" s="302"/>
      <c r="S241" s="302"/>
      <c r="T241" s="302"/>
      <c r="U241" s="302"/>
      <c r="V241" s="302"/>
      <c r="W241" s="302"/>
      <c r="X241" s="302"/>
      <c r="Y241" s="302"/>
      <c r="Z241" s="302"/>
      <c r="AA241" s="302"/>
      <c r="AB241" s="302"/>
      <c r="AC241" s="302"/>
      <c r="AD241" s="302"/>
      <c r="AE241" s="302"/>
      <c r="AF241" s="302"/>
      <c r="AG241" s="302"/>
      <c r="AH241" s="302"/>
      <c r="AI241" s="302"/>
      <c r="AJ241" s="302"/>
      <c r="AK241" s="302"/>
      <c r="AL241" s="302"/>
      <c r="AM241" s="302"/>
      <c r="AN241" s="302"/>
      <c r="AO241" s="302"/>
      <c r="AP241" s="302"/>
      <c r="AQ241" s="302"/>
      <c r="AR241" s="302"/>
      <c r="AS241" s="302"/>
      <c r="AT241" s="302"/>
      <c r="AU241" s="302"/>
      <c r="AV241" s="302"/>
      <c r="AW241" s="302"/>
      <c r="AX241" s="302"/>
      <c r="AY241" s="302"/>
    </row>
    <row r="242" spans="1:51" x14ac:dyDescent="0.2">
      <c r="A242" s="303"/>
      <c r="B242" s="302"/>
      <c r="C242" s="302"/>
      <c r="D242" s="302"/>
      <c r="E242" s="302"/>
      <c r="F242" s="302"/>
      <c r="G242" s="302"/>
      <c r="H242" s="302"/>
      <c r="I242" s="302"/>
      <c r="J242" s="302"/>
      <c r="K242" s="302"/>
      <c r="L242" s="302"/>
      <c r="M242" s="302"/>
      <c r="N242" s="302"/>
      <c r="O242" s="302"/>
      <c r="P242" s="302"/>
      <c r="Q242" s="302"/>
      <c r="R242" s="302"/>
      <c r="S242" s="302"/>
      <c r="T242" s="302"/>
      <c r="U242" s="302"/>
      <c r="V242" s="302"/>
      <c r="W242" s="302"/>
      <c r="X242" s="302"/>
      <c r="Y242" s="302"/>
      <c r="Z242" s="302"/>
      <c r="AA242" s="302"/>
      <c r="AB242" s="302"/>
      <c r="AC242" s="302"/>
      <c r="AD242" s="302"/>
      <c r="AE242" s="302"/>
      <c r="AF242" s="302"/>
      <c r="AG242" s="302"/>
      <c r="AH242" s="302"/>
      <c r="AI242" s="302"/>
      <c r="AJ242" s="302"/>
      <c r="AK242" s="302"/>
      <c r="AL242" s="302"/>
      <c r="AM242" s="302"/>
      <c r="AN242" s="302"/>
      <c r="AO242" s="302"/>
      <c r="AP242" s="302"/>
      <c r="AQ242" s="302"/>
      <c r="AR242" s="302"/>
      <c r="AS242" s="302"/>
      <c r="AT242" s="302"/>
      <c r="AU242" s="302"/>
      <c r="AV242" s="302"/>
      <c r="AW242" s="302"/>
      <c r="AX242" s="302"/>
      <c r="AY242" s="302"/>
    </row>
    <row r="243" spans="1:51" x14ac:dyDescent="0.2">
      <c r="A243" s="303"/>
      <c r="B243" s="302"/>
      <c r="C243" s="302"/>
      <c r="D243" s="302"/>
      <c r="E243" s="302"/>
      <c r="F243" s="302"/>
      <c r="G243" s="302"/>
      <c r="H243" s="302"/>
      <c r="I243" s="302"/>
      <c r="J243" s="302"/>
      <c r="K243" s="302"/>
      <c r="L243" s="302"/>
      <c r="M243" s="302"/>
      <c r="N243" s="302"/>
      <c r="O243" s="302"/>
      <c r="P243" s="302"/>
      <c r="Q243" s="302"/>
      <c r="R243" s="302"/>
      <c r="S243" s="302"/>
      <c r="T243" s="302"/>
      <c r="U243" s="302"/>
      <c r="V243" s="302"/>
      <c r="W243" s="302"/>
      <c r="X243" s="302"/>
      <c r="Y243" s="302"/>
      <c r="Z243" s="302"/>
      <c r="AA243" s="302"/>
      <c r="AB243" s="302"/>
      <c r="AC243" s="302"/>
      <c r="AD243" s="302"/>
      <c r="AE243" s="302"/>
      <c r="AF243" s="302"/>
      <c r="AG243" s="302"/>
      <c r="AH243" s="302"/>
      <c r="AI243" s="302"/>
      <c r="AJ243" s="302"/>
      <c r="AK243" s="302"/>
      <c r="AL243" s="302"/>
      <c r="AM243" s="302"/>
      <c r="AN243" s="302"/>
      <c r="AO243" s="302"/>
      <c r="AP243" s="302"/>
      <c r="AQ243" s="302"/>
      <c r="AR243" s="302"/>
      <c r="AS243" s="302"/>
      <c r="AT243" s="302"/>
      <c r="AU243" s="302"/>
      <c r="AV243" s="302"/>
      <c r="AW243" s="302"/>
      <c r="AX243" s="302"/>
      <c r="AY243" s="302"/>
    </row>
    <row r="244" spans="1:51" x14ac:dyDescent="0.2">
      <c r="A244" s="303"/>
      <c r="B244" s="302"/>
      <c r="C244" s="302"/>
      <c r="D244" s="302"/>
      <c r="E244" s="302"/>
      <c r="F244" s="302"/>
      <c r="G244" s="302"/>
      <c r="H244" s="302"/>
      <c r="I244" s="302"/>
      <c r="J244" s="302"/>
      <c r="K244" s="302"/>
      <c r="L244" s="302"/>
      <c r="M244" s="302"/>
      <c r="N244" s="302"/>
      <c r="O244" s="302"/>
      <c r="P244" s="302"/>
      <c r="Q244" s="302"/>
      <c r="R244" s="302"/>
      <c r="S244" s="302"/>
      <c r="T244" s="302"/>
      <c r="U244" s="302"/>
      <c r="V244" s="302"/>
      <c r="W244" s="302"/>
      <c r="X244" s="302"/>
      <c r="Y244" s="302"/>
      <c r="Z244" s="302"/>
      <c r="AA244" s="302"/>
      <c r="AB244" s="302"/>
      <c r="AC244" s="302"/>
      <c r="AD244" s="302"/>
      <c r="AE244" s="302"/>
      <c r="AF244" s="302"/>
      <c r="AG244" s="302"/>
      <c r="AH244" s="302"/>
      <c r="AI244" s="302"/>
      <c r="AJ244" s="302"/>
      <c r="AK244" s="302"/>
      <c r="AL244" s="302"/>
      <c r="AM244" s="302"/>
      <c r="AN244" s="302"/>
      <c r="AO244" s="302"/>
      <c r="AP244" s="302"/>
      <c r="AQ244" s="302"/>
      <c r="AR244" s="302"/>
      <c r="AS244" s="302"/>
      <c r="AT244" s="302"/>
      <c r="AU244" s="302"/>
      <c r="AV244" s="302"/>
      <c r="AW244" s="302"/>
      <c r="AX244" s="302"/>
      <c r="AY244" s="302"/>
    </row>
    <row r="245" spans="1:51" x14ac:dyDescent="0.2">
      <c r="A245" s="303"/>
      <c r="B245" s="302"/>
      <c r="C245" s="302"/>
      <c r="D245" s="302"/>
      <c r="E245" s="302"/>
      <c r="F245" s="302"/>
      <c r="G245" s="302"/>
      <c r="H245" s="302"/>
      <c r="I245" s="302"/>
      <c r="J245" s="302"/>
      <c r="K245" s="302"/>
      <c r="L245" s="302"/>
      <c r="M245" s="302"/>
      <c r="N245" s="302"/>
      <c r="O245" s="302"/>
      <c r="P245" s="302"/>
      <c r="Q245" s="302"/>
      <c r="R245" s="302"/>
      <c r="S245" s="302"/>
      <c r="T245" s="302"/>
      <c r="U245" s="302"/>
      <c r="V245" s="302"/>
      <c r="W245" s="302"/>
      <c r="X245" s="302"/>
      <c r="Y245" s="302"/>
      <c r="Z245" s="302"/>
      <c r="AA245" s="302"/>
      <c r="AB245" s="302"/>
      <c r="AC245" s="302"/>
      <c r="AD245" s="302"/>
      <c r="AE245" s="302"/>
      <c r="AF245" s="302"/>
      <c r="AG245" s="302"/>
      <c r="AH245" s="302"/>
      <c r="AI245" s="302"/>
      <c r="AJ245" s="302"/>
      <c r="AK245" s="302"/>
      <c r="AL245" s="302"/>
      <c r="AM245" s="302"/>
      <c r="AN245" s="302"/>
      <c r="AO245" s="302"/>
      <c r="AP245" s="302"/>
      <c r="AQ245" s="302"/>
      <c r="AR245" s="302"/>
      <c r="AS245" s="302"/>
      <c r="AT245" s="302"/>
      <c r="AU245" s="302"/>
      <c r="AV245" s="302"/>
      <c r="AW245" s="302"/>
      <c r="AX245" s="302"/>
      <c r="AY245" s="302"/>
    </row>
    <row r="246" spans="1:51" x14ac:dyDescent="0.2">
      <c r="A246" s="303"/>
      <c r="B246" s="302"/>
      <c r="C246" s="302"/>
      <c r="D246" s="302"/>
      <c r="E246" s="302"/>
      <c r="F246" s="302"/>
      <c r="G246" s="302"/>
      <c r="H246" s="302"/>
      <c r="I246" s="302"/>
      <c r="J246" s="302"/>
      <c r="K246" s="302"/>
      <c r="L246" s="302"/>
      <c r="M246" s="302"/>
      <c r="N246" s="302"/>
      <c r="O246" s="302"/>
      <c r="P246" s="302"/>
      <c r="Q246" s="302"/>
      <c r="R246" s="302"/>
      <c r="S246" s="302"/>
      <c r="T246" s="302"/>
      <c r="U246" s="302"/>
      <c r="V246" s="302"/>
      <c r="W246" s="302"/>
      <c r="X246" s="302"/>
      <c r="Y246" s="302"/>
      <c r="Z246" s="302"/>
      <c r="AA246" s="302"/>
      <c r="AB246" s="302"/>
      <c r="AC246" s="302"/>
      <c r="AD246" s="302"/>
      <c r="AE246" s="302"/>
      <c r="AF246" s="302"/>
      <c r="AG246" s="302"/>
      <c r="AH246" s="302"/>
      <c r="AI246" s="302"/>
      <c r="AJ246" s="302"/>
      <c r="AK246" s="302"/>
      <c r="AL246" s="302"/>
      <c r="AM246" s="302"/>
      <c r="AN246" s="302"/>
      <c r="AO246" s="302"/>
      <c r="AP246" s="302"/>
      <c r="AQ246" s="302"/>
      <c r="AR246" s="302"/>
      <c r="AS246" s="302"/>
      <c r="AT246" s="302"/>
      <c r="AU246" s="302"/>
      <c r="AV246" s="302"/>
      <c r="AW246" s="302"/>
      <c r="AX246" s="302"/>
      <c r="AY246" s="302"/>
    </row>
    <row r="247" spans="1:51" x14ac:dyDescent="0.2">
      <c r="A247" s="303"/>
      <c r="B247" s="302"/>
      <c r="C247" s="302"/>
      <c r="D247" s="302"/>
      <c r="E247" s="302"/>
      <c r="F247" s="302"/>
      <c r="G247" s="302"/>
      <c r="H247" s="302"/>
      <c r="I247" s="302"/>
      <c r="J247" s="302"/>
      <c r="K247" s="302"/>
      <c r="L247" s="302"/>
      <c r="M247" s="302"/>
      <c r="N247" s="302"/>
      <c r="O247" s="302"/>
      <c r="P247" s="302"/>
      <c r="Q247" s="302"/>
      <c r="R247" s="302"/>
      <c r="S247" s="302"/>
      <c r="T247" s="302"/>
      <c r="U247" s="302"/>
      <c r="V247" s="302"/>
      <c r="W247" s="302"/>
      <c r="X247" s="302"/>
      <c r="Y247" s="302"/>
      <c r="Z247" s="302"/>
      <c r="AA247" s="302"/>
      <c r="AB247" s="302"/>
      <c r="AC247" s="302"/>
      <c r="AD247" s="302"/>
      <c r="AE247" s="302"/>
      <c r="AF247" s="302"/>
      <c r="AG247" s="302"/>
      <c r="AH247" s="302"/>
      <c r="AI247" s="302"/>
      <c r="AJ247" s="302"/>
      <c r="AK247" s="302"/>
      <c r="AL247" s="302"/>
      <c r="AM247" s="302"/>
      <c r="AN247" s="302"/>
      <c r="AO247" s="302"/>
      <c r="AP247" s="302"/>
      <c r="AQ247" s="302"/>
      <c r="AR247" s="302"/>
      <c r="AS247" s="302"/>
      <c r="AT247" s="302"/>
      <c r="AU247" s="302"/>
      <c r="AV247" s="302"/>
      <c r="AW247" s="302"/>
      <c r="AX247" s="302"/>
      <c r="AY247" s="302"/>
    </row>
    <row r="248" spans="1:51" x14ac:dyDescent="0.2">
      <c r="A248" s="303"/>
      <c r="B248" s="302"/>
      <c r="C248" s="302"/>
      <c r="D248" s="302"/>
      <c r="E248" s="302"/>
      <c r="F248" s="302"/>
      <c r="G248" s="302"/>
      <c r="H248" s="302"/>
      <c r="I248" s="302"/>
      <c r="J248" s="302"/>
      <c r="K248" s="302"/>
      <c r="L248" s="302"/>
      <c r="M248" s="302"/>
      <c r="N248" s="302"/>
      <c r="O248" s="302"/>
      <c r="P248" s="302"/>
      <c r="Q248" s="302"/>
      <c r="R248" s="302"/>
      <c r="S248" s="302"/>
      <c r="T248" s="302"/>
      <c r="U248" s="302"/>
      <c r="V248" s="302"/>
      <c r="W248" s="302"/>
      <c r="X248" s="302"/>
      <c r="Y248" s="302"/>
      <c r="Z248" s="302"/>
      <c r="AA248" s="302"/>
      <c r="AB248" s="302"/>
      <c r="AC248" s="302"/>
      <c r="AD248" s="302"/>
      <c r="AE248" s="302"/>
      <c r="AF248" s="302"/>
      <c r="AG248" s="302"/>
      <c r="AH248" s="302"/>
      <c r="AI248" s="302"/>
      <c r="AJ248" s="302"/>
      <c r="AK248" s="302"/>
      <c r="AL248" s="302"/>
      <c r="AM248" s="302"/>
      <c r="AN248" s="302"/>
      <c r="AO248" s="302"/>
      <c r="AP248" s="302"/>
      <c r="AQ248" s="302"/>
      <c r="AR248" s="302"/>
      <c r="AS248" s="302"/>
      <c r="AT248" s="302"/>
      <c r="AU248" s="302"/>
      <c r="AV248" s="302"/>
      <c r="AW248" s="302"/>
      <c r="AX248" s="302"/>
      <c r="AY248" s="302"/>
    </row>
    <row r="249" spans="1:51" x14ac:dyDescent="0.2">
      <c r="A249" s="303"/>
      <c r="B249" s="302"/>
      <c r="C249" s="302"/>
      <c r="D249" s="302"/>
      <c r="E249" s="302"/>
      <c r="F249" s="302"/>
      <c r="G249" s="302"/>
      <c r="H249" s="302"/>
      <c r="I249" s="302"/>
      <c r="J249" s="302"/>
      <c r="K249" s="302"/>
      <c r="L249" s="302"/>
      <c r="M249" s="302"/>
      <c r="N249" s="302"/>
      <c r="O249" s="302"/>
      <c r="P249" s="302"/>
      <c r="Q249" s="302"/>
      <c r="R249" s="302"/>
      <c r="S249" s="302"/>
      <c r="T249" s="302"/>
      <c r="U249" s="302"/>
      <c r="V249" s="302"/>
      <c r="W249" s="302"/>
      <c r="X249" s="302"/>
      <c r="Y249" s="302"/>
      <c r="Z249" s="302"/>
      <c r="AA249" s="302"/>
      <c r="AB249" s="302"/>
      <c r="AC249" s="302"/>
      <c r="AD249" s="302"/>
      <c r="AE249" s="302"/>
      <c r="AF249" s="302"/>
      <c r="AG249" s="302"/>
      <c r="AH249" s="302"/>
      <c r="AI249" s="302"/>
      <c r="AJ249" s="302"/>
      <c r="AK249" s="302"/>
      <c r="AL249" s="302"/>
      <c r="AM249" s="302"/>
      <c r="AN249" s="302"/>
      <c r="AO249" s="302"/>
      <c r="AP249" s="302"/>
      <c r="AQ249" s="302"/>
      <c r="AR249" s="302"/>
      <c r="AS249" s="302"/>
      <c r="AT249" s="302"/>
      <c r="AU249" s="302"/>
      <c r="AV249" s="302"/>
      <c r="AW249" s="302"/>
      <c r="AX249" s="302"/>
      <c r="AY249" s="302"/>
    </row>
    <row r="250" spans="1:51" x14ac:dyDescent="0.2">
      <c r="A250" s="303"/>
      <c r="B250" s="302"/>
      <c r="C250" s="302"/>
      <c r="D250" s="302"/>
      <c r="E250" s="302"/>
      <c r="F250" s="302"/>
      <c r="G250" s="302"/>
      <c r="H250" s="302"/>
      <c r="I250" s="302"/>
      <c r="J250" s="302"/>
      <c r="K250" s="302"/>
      <c r="L250" s="302"/>
      <c r="M250" s="302"/>
      <c r="N250" s="302"/>
      <c r="O250" s="302"/>
      <c r="P250" s="302"/>
      <c r="Q250" s="302"/>
      <c r="R250" s="302"/>
      <c r="S250" s="302"/>
      <c r="T250" s="302"/>
      <c r="U250" s="302"/>
      <c r="V250" s="302"/>
      <c r="W250" s="302"/>
      <c r="X250" s="302"/>
      <c r="Y250" s="302"/>
      <c r="Z250" s="302"/>
      <c r="AA250" s="302"/>
      <c r="AB250" s="302"/>
      <c r="AC250" s="302"/>
      <c r="AD250" s="302"/>
      <c r="AE250" s="302"/>
      <c r="AF250" s="302"/>
      <c r="AG250" s="302"/>
      <c r="AH250" s="302"/>
      <c r="AI250" s="302"/>
      <c r="AJ250" s="302"/>
      <c r="AK250" s="302"/>
      <c r="AL250" s="302"/>
      <c r="AM250" s="302"/>
      <c r="AN250" s="302"/>
      <c r="AO250" s="302"/>
      <c r="AP250" s="302"/>
      <c r="AQ250" s="302"/>
      <c r="AR250" s="302"/>
      <c r="AS250" s="302"/>
      <c r="AT250" s="302"/>
      <c r="AU250" s="302"/>
      <c r="AV250" s="302"/>
      <c r="AW250" s="302"/>
      <c r="AX250" s="302"/>
      <c r="AY250" s="302"/>
    </row>
    <row r="251" spans="1:51" x14ac:dyDescent="0.2">
      <c r="A251" s="303"/>
      <c r="B251" s="302"/>
      <c r="C251" s="302"/>
      <c r="D251" s="302"/>
      <c r="E251" s="302"/>
      <c r="F251" s="302"/>
      <c r="G251" s="302"/>
      <c r="H251" s="302"/>
      <c r="I251" s="302"/>
      <c r="J251" s="302"/>
      <c r="K251" s="302"/>
      <c r="L251" s="302"/>
      <c r="M251" s="302"/>
      <c r="N251" s="302"/>
      <c r="O251" s="302"/>
      <c r="P251" s="302"/>
      <c r="Q251" s="302"/>
      <c r="R251" s="302"/>
      <c r="S251" s="302"/>
      <c r="T251" s="302"/>
      <c r="U251" s="302"/>
      <c r="V251" s="302"/>
      <c r="W251" s="302"/>
      <c r="X251" s="302"/>
      <c r="Y251" s="302"/>
      <c r="Z251" s="302"/>
      <c r="AA251" s="302"/>
      <c r="AB251" s="302"/>
      <c r="AC251" s="302"/>
      <c r="AD251" s="302"/>
      <c r="AE251" s="302"/>
      <c r="AF251" s="302"/>
      <c r="AG251" s="302"/>
      <c r="AH251" s="302"/>
      <c r="AI251" s="302"/>
      <c r="AJ251" s="302"/>
      <c r="AK251" s="302"/>
      <c r="AL251" s="302"/>
      <c r="AM251" s="302"/>
      <c r="AN251" s="302"/>
      <c r="AO251" s="302"/>
      <c r="AP251" s="302"/>
      <c r="AQ251" s="302"/>
      <c r="AR251" s="302"/>
      <c r="AS251" s="302"/>
      <c r="AT251" s="302"/>
      <c r="AU251" s="302"/>
      <c r="AV251" s="302"/>
      <c r="AW251" s="302"/>
      <c r="AX251" s="302"/>
      <c r="AY251" s="302"/>
    </row>
    <row r="252" spans="1:51" x14ac:dyDescent="0.2">
      <c r="A252" s="303"/>
      <c r="B252" s="302"/>
      <c r="C252" s="302"/>
      <c r="D252" s="302"/>
      <c r="E252" s="302"/>
      <c r="F252" s="302"/>
      <c r="G252" s="302"/>
      <c r="H252" s="302"/>
      <c r="I252" s="302"/>
      <c r="J252" s="302"/>
      <c r="K252" s="302"/>
      <c r="L252" s="302"/>
      <c r="M252" s="302"/>
      <c r="N252" s="302"/>
      <c r="O252" s="302"/>
      <c r="P252" s="302"/>
      <c r="Q252" s="302"/>
      <c r="R252" s="302"/>
      <c r="S252" s="302"/>
      <c r="T252" s="302"/>
      <c r="U252" s="302"/>
      <c r="V252" s="302"/>
      <c r="W252" s="302"/>
      <c r="X252" s="302"/>
      <c r="Y252" s="302"/>
      <c r="Z252" s="302"/>
      <c r="AA252" s="302"/>
      <c r="AB252" s="302"/>
      <c r="AC252" s="302"/>
      <c r="AD252" s="302"/>
      <c r="AE252" s="302"/>
      <c r="AF252" s="302"/>
      <c r="AG252" s="302"/>
      <c r="AH252" s="302"/>
      <c r="AI252" s="302"/>
      <c r="AJ252" s="302"/>
      <c r="AK252" s="302"/>
      <c r="AL252" s="302"/>
      <c r="AM252" s="302"/>
      <c r="AN252" s="302"/>
      <c r="AO252" s="302"/>
      <c r="AP252" s="302"/>
      <c r="AQ252" s="302"/>
      <c r="AR252" s="302"/>
      <c r="AS252" s="302"/>
      <c r="AT252" s="302"/>
      <c r="AU252" s="302"/>
      <c r="AV252" s="302"/>
      <c r="AW252" s="302"/>
      <c r="AX252" s="302"/>
      <c r="AY252" s="302"/>
    </row>
    <row r="253" spans="1:51" x14ac:dyDescent="0.2">
      <c r="A253" s="303"/>
      <c r="B253" s="302"/>
      <c r="C253" s="302"/>
      <c r="D253" s="302"/>
      <c r="E253" s="302"/>
      <c r="F253" s="302"/>
      <c r="G253" s="302"/>
      <c r="H253" s="302"/>
      <c r="I253" s="302"/>
      <c r="J253" s="302"/>
      <c r="K253" s="302"/>
      <c r="L253" s="302"/>
      <c r="M253" s="302"/>
      <c r="N253" s="302"/>
      <c r="O253" s="302"/>
      <c r="P253" s="302"/>
      <c r="Q253" s="302"/>
      <c r="R253" s="302"/>
      <c r="S253" s="302"/>
      <c r="T253" s="302"/>
      <c r="U253" s="302"/>
      <c r="V253" s="302"/>
      <c r="W253" s="302"/>
      <c r="X253" s="302"/>
      <c r="Y253" s="302"/>
      <c r="Z253" s="302"/>
      <c r="AA253" s="302"/>
      <c r="AB253" s="302"/>
      <c r="AC253" s="302"/>
      <c r="AD253" s="302"/>
      <c r="AE253" s="302"/>
      <c r="AF253" s="302"/>
      <c r="AG253" s="302"/>
      <c r="AH253" s="302"/>
      <c r="AI253" s="302"/>
      <c r="AJ253" s="302"/>
      <c r="AK253" s="302"/>
      <c r="AL253" s="302"/>
      <c r="AM253" s="302"/>
      <c r="AN253" s="302"/>
      <c r="AO253" s="302"/>
      <c r="AP253" s="302"/>
      <c r="AQ253" s="302"/>
      <c r="AR253" s="302"/>
      <c r="AS253" s="302"/>
      <c r="AT253" s="302"/>
      <c r="AU253" s="302"/>
      <c r="AV253" s="302"/>
      <c r="AW253" s="302"/>
      <c r="AX253" s="302"/>
      <c r="AY253" s="302"/>
    </row>
    <row r="254" spans="1:51" x14ac:dyDescent="0.2">
      <c r="A254" s="303"/>
      <c r="B254" s="302"/>
      <c r="C254" s="302"/>
      <c r="D254" s="302"/>
      <c r="E254" s="302"/>
      <c r="F254" s="302"/>
      <c r="G254" s="302"/>
      <c r="H254" s="302"/>
      <c r="I254" s="302"/>
      <c r="J254" s="302"/>
      <c r="K254" s="302"/>
      <c r="L254" s="302"/>
      <c r="M254" s="302"/>
      <c r="N254" s="302"/>
      <c r="O254" s="302"/>
      <c r="P254" s="302"/>
      <c r="Q254" s="302"/>
      <c r="R254" s="302"/>
      <c r="S254" s="302"/>
      <c r="T254" s="302"/>
      <c r="U254" s="302"/>
      <c r="V254" s="302"/>
      <c r="W254" s="302"/>
      <c r="X254" s="302"/>
      <c r="Y254" s="302"/>
      <c r="Z254" s="302"/>
      <c r="AA254" s="302"/>
      <c r="AB254" s="302"/>
      <c r="AC254" s="302"/>
      <c r="AD254" s="302"/>
      <c r="AE254" s="302"/>
      <c r="AF254" s="302"/>
      <c r="AG254" s="302"/>
      <c r="AH254" s="302"/>
      <c r="AI254" s="302"/>
      <c r="AJ254" s="302"/>
      <c r="AK254" s="302"/>
      <c r="AL254" s="302"/>
      <c r="AM254" s="302"/>
      <c r="AN254" s="302"/>
      <c r="AO254" s="302"/>
      <c r="AP254" s="302"/>
      <c r="AQ254" s="302"/>
      <c r="AR254" s="302"/>
      <c r="AS254" s="302"/>
      <c r="AT254" s="302"/>
      <c r="AU254" s="302"/>
      <c r="AV254" s="302"/>
      <c r="AW254" s="302"/>
      <c r="AX254" s="302"/>
      <c r="AY254" s="302"/>
    </row>
    <row r="255" spans="1:51" x14ac:dyDescent="0.2">
      <c r="A255" s="303"/>
      <c r="B255" s="302"/>
      <c r="C255" s="302"/>
      <c r="D255" s="302"/>
      <c r="E255" s="302"/>
      <c r="F255" s="302"/>
      <c r="G255" s="302"/>
      <c r="H255" s="302"/>
      <c r="I255" s="302"/>
      <c r="J255" s="302"/>
      <c r="K255" s="302"/>
      <c r="L255" s="302"/>
      <c r="M255" s="302"/>
      <c r="N255" s="302"/>
      <c r="O255" s="302"/>
      <c r="P255" s="302"/>
      <c r="Q255" s="302"/>
      <c r="R255" s="302"/>
      <c r="S255" s="302"/>
      <c r="T255" s="302"/>
      <c r="U255" s="302"/>
      <c r="V255" s="302"/>
      <c r="W255" s="302"/>
      <c r="X255" s="302"/>
      <c r="Y255" s="302"/>
      <c r="Z255" s="302"/>
      <c r="AA255" s="302"/>
      <c r="AB255" s="302"/>
      <c r="AC255" s="302"/>
      <c r="AD255" s="302"/>
      <c r="AE255" s="302"/>
      <c r="AF255" s="302"/>
      <c r="AG255" s="302"/>
      <c r="AH255" s="302"/>
      <c r="AI255" s="302"/>
      <c r="AJ255" s="302"/>
      <c r="AK255" s="302"/>
      <c r="AL255" s="302"/>
      <c r="AM255" s="302"/>
      <c r="AN255" s="302"/>
      <c r="AO255" s="302"/>
      <c r="AP255" s="302"/>
      <c r="AQ255" s="302"/>
      <c r="AR255" s="302"/>
      <c r="AS255" s="302"/>
      <c r="AT255" s="302"/>
      <c r="AU255" s="302"/>
      <c r="AV255" s="302"/>
      <c r="AW255" s="302"/>
      <c r="AX255" s="302"/>
      <c r="AY255" s="302"/>
    </row>
    <row r="256" spans="1:51" x14ac:dyDescent="0.2">
      <c r="A256" s="303"/>
      <c r="B256" s="302"/>
      <c r="C256" s="302"/>
      <c r="D256" s="302"/>
      <c r="E256" s="302"/>
      <c r="F256" s="302"/>
      <c r="G256" s="302"/>
      <c r="H256" s="302"/>
      <c r="I256" s="302"/>
      <c r="J256" s="302"/>
      <c r="K256" s="302"/>
      <c r="L256" s="302"/>
      <c r="M256" s="302"/>
      <c r="N256" s="302"/>
      <c r="O256" s="302"/>
      <c r="P256" s="302"/>
      <c r="Q256" s="302"/>
      <c r="R256" s="302"/>
      <c r="S256" s="302"/>
      <c r="T256" s="302"/>
      <c r="U256" s="302"/>
      <c r="V256" s="302"/>
      <c r="W256" s="302"/>
      <c r="X256" s="302"/>
      <c r="Y256" s="302"/>
      <c r="Z256" s="302"/>
      <c r="AA256" s="302"/>
      <c r="AB256" s="302"/>
      <c r="AC256" s="302"/>
      <c r="AD256" s="302"/>
      <c r="AE256" s="302"/>
      <c r="AF256" s="302"/>
      <c r="AG256" s="302"/>
      <c r="AH256" s="302"/>
      <c r="AI256" s="302"/>
      <c r="AJ256" s="302"/>
      <c r="AK256" s="302"/>
      <c r="AL256" s="302"/>
      <c r="AM256" s="302"/>
      <c r="AN256" s="302"/>
      <c r="AO256" s="302"/>
      <c r="AP256" s="302"/>
      <c r="AQ256" s="302"/>
      <c r="AR256" s="302"/>
      <c r="AS256" s="302"/>
      <c r="AT256" s="302"/>
      <c r="AU256" s="302"/>
      <c r="AV256" s="302"/>
      <c r="AW256" s="302"/>
      <c r="AX256" s="302"/>
      <c r="AY256" s="302"/>
    </row>
    <row r="257" spans="1:51" x14ac:dyDescent="0.2">
      <c r="A257" s="303"/>
      <c r="B257" s="302"/>
      <c r="C257" s="302"/>
      <c r="D257" s="302"/>
      <c r="E257" s="302"/>
      <c r="F257" s="302"/>
      <c r="G257" s="302"/>
      <c r="H257" s="302"/>
      <c r="I257" s="302"/>
      <c r="J257" s="302"/>
      <c r="K257" s="302"/>
      <c r="L257" s="302"/>
      <c r="M257" s="302"/>
      <c r="N257" s="302"/>
      <c r="O257" s="302"/>
      <c r="P257" s="302"/>
      <c r="Q257" s="302"/>
      <c r="R257" s="302"/>
      <c r="S257" s="302"/>
      <c r="T257" s="302"/>
      <c r="U257" s="302"/>
      <c r="V257" s="302"/>
      <c r="W257" s="302"/>
      <c r="X257" s="302"/>
      <c r="Y257" s="302"/>
      <c r="Z257" s="302"/>
      <c r="AA257" s="302"/>
      <c r="AB257" s="302"/>
      <c r="AC257" s="302"/>
      <c r="AD257" s="302"/>
      <c r="AE257" s="302"/>
      <c r="AF257" s="302"/>
      <c r="AG257" s="302"/>
      <c r="AH257" s="302"/>
      <c r="AI257" s="302"/>
      <c r="AJ257" s="302"/>
      <c r="AK257" s="302"/>
      <c r="AL257" s="302"/>
      <c r="AM257" s="302"/>
      <c r="AN257" s="302"/>
      <c r="AO257" s="302"/>
      <c r="AP257" s="302"/>
      <c r="AQ257" s="302"/>
      <c r="AR257" s="302"/>
      <c r="AS257" s="302"/>
      <c r="AT257" s="302"/>
      <c r="AU257" s="302"/>
      <c r="AV257" s="302"/>
      <c r="AW257" s="302"/>
      <c r="AX257" s="302"/>
      <c r="AY257" s="302"/>
    </row>
    <row r="258" spans="1:51" x14ac:dyDescent="0.2">
      <c r="A258" s="303"/>
      <c r="B258" s="302"/>
      <c r="C258" s="302"/>
      <c r="D258" s="302"/>
      <c r="E258" s="302"/>
      <c r="F258" s="302"/>
      <c r="G258" s="302"/>
      <c r="H258" s="302"/>
      <c r="I258" s="302"/>
      <c r="J258" s="302"/>
      <c r="K258" s="302"/>
      <c r="L258" s="302"/>
      <c r="M258" s="302"/>
      <c r="N258" s="302"/>
      <c r="O258" s="302"/>
      <c r="P258" s="302"/>
      <c r="Q258" s="302"/>
      <c r="R258" s="302"/>
      <c r="S258" s="302"/>
      <c r="T258" s="302"/>
      <c r="U258" s="302"/>
      <c r="V258" s="302"/>
      <c r="W258" s="302"/>
      <c r="X258" s="302"/>
      <c r="Y258" s="302"/>
      <c r="Z258" s="302"/>
      <c r="AA258" s="302"/>
      <c r="AB258" s="302"/>
      <c r="AC258" s="302"/>
      <c r="AD258" s="302"/>
      <c r="AE258" s="302"/>
      <c r="AF258" s="302"/>
      <c r="AG258" s="302"/>
      <c r="AH258" s="302"/>
      <c r="AI258" s="302"/>
      <c r="AJ258" s="302"/>
      <c r="AK258" s="302"/>
      <c r="AL258" s="302"/>
      <c r="AM258" s="302"/>
      <c r="AN258" s="302"/>
      <c r="AO258" s="302"/>
      <c r="AP258" s="302"/>
      <c r="AQ258" s="302"/>
      <c r="AR258" s="302"/>
      <c r="AS258" s="302"/>
      <c r="AT258" s="302"/>
      <c r="AU258" s="302"/>
      <c r="AV258" s="302"/>
      <c r="AW258" s="302"/>
      <c r="AX258" s="302"/>
      <c r="AY258" s="302"/>
    </row>
    <row r="259" spans="1:51" x14ac:dyDescent="0.2">
      <c r="A259" s="303"/>
      <c r="B259" s="302"/>
      <c r="C259" s="302"/>
      <c r="D259" s="302"/>
      <c r="E259" s="302"/>
      <c r="F259" s="302"/>
      <c r="G259" s="302"/>
      <c r="H259" s="302"/>
      <c r="I259" s="302"/>
      <c r="J259" s="302"/>
      <c r="K259" s="302"/>
      <c r="L259" s="302"/>
      <c r="M259" s="302"/>
      <c r="N259" s="302"/>
      <c r="O259" s="302"/>
      <c r="P259" s="302"/>
      <c r="Q259" s="302"/>
      <c r="R259" s="302"/>
      <c r="S259" s="302"/>
      <c r="T259" s="302"/>
      <c r="U259" s="302"/>
      <c r="V259" s="302"/>
      <c r="W259" s="302"/>
      <c r="X259" s="302"/>
      <c r="Y259" s="302"/>
      <c r="Z259" s="302"/>
      <c r="AA259" s="302"/>
      <c r="AB259" s="302"/>
      <c r="AC259" s="302"/>
      <c r="AD259" s="302"/>
      <c r="AE259" s="302"/>
      <c r="AF259" s="302"/>
      <c r="AG259" s="302"/>
      <c r="AH259" s="302"/>
      <c r="AI259" s="302"/>
      <c r="AJ259" s="302"/>
      <c r="AK259" s="302"/>
      <c r="AL259" s="302"/>
      <c r="AM259" s="302"/>
      <c r="AN259" s="302"/>
      <c r="AO259" s="302"/>
      <c r="AP259" s="302"/>
      <c r="AQ259" s="302"/>
      <c r="AR259" s="302"/>
      <c r="AS259" s="302"/>
      <c r="AT259" s="302"/>
      <c r="AU259" s="302"/>
      <c r="AV259" s="302"/>
      <c r="AW259" s="302"/>
      <c r="AX259" s="302"/>
      <c r="AY259" s="302"/>
    </row>
    <row r="260" spans="1:51" x14ac:dyDescent="0.2">
      <c r="A260" s="303"/>
      <c r="B260" s="302"/>
      <c r="C260" s="302"/>
      <c r="D260" s="302"/>
      <c r="E260" s="302"/>
      <c r="F260" s="302"/>
      <c r="G260" s="302"/>
      <c r="H260" s="302"/>
      <c r="I260" s="302"/>
      <c r="J260" s="302"/>
      <c r="K260" s="302"/>
      <c r="L260" s="302"/>
      <c r="M260" s="302"/>
      <c r="N260" s="302"/>
      <c r="O260" s="302"/>
      <c r="P260" s="302"/>
      <c r="Q260" s="302"/>
      <c r="R260" s="302"/>
      <c r="S260" s="302"/>
      <c r="T260" s="302"/>
      <c r="U260" s="302"/>
      <c r="V260" s="302"/>
      <c r="W260" s="302"/>
      <c r="X260" s="302"/>
      <c r="Y260" s="302"/>
      <c r="Z260" s="302"/>
      <c r="AA260" s="302"/>
      <c r="AB260" s="302"/>
      <c r="AC260" s="302"/>
      <c r="AD260" s="302"/>
      <c r="AE260" s="302"/>
      <c r="AF260" s="302"/>
      <c r="AG260" s="302"/>
      <c r="AH260" s="302"/>
      <c r="AI260" s="302"/>
      <c r="AJ260" s="302"/>
      <c r="AK260" s="302"/>
      <c r="AL260" s="302"/>
      <c r="AM260" s="302"/>
      <c r="AN260" s="302"/>
      <c r="AO260" s="302"/>
      <c r="AP260" s="302"/>
      <c r="AQ260" s="302"/>
      <c r="AR260" s="302"/>
      <c r="AS260" s="302"/>
      <c r="AT260" s="302"/>
      <c r="AU260" s="302"/>
      <c r="AV260" s="302"/>
      <c r="AW260" s="302"/>
      <c r="AX260" s="302"/>
      <c r="AY260" s="302"/>
    </row>
    <row r="261" spans="1:51" x14ac:dyDescent="0.2">
      <c r="A261" s="303"/>
      <c r="B261" s="302"/>
      <c r="C261" s="302"/>
      <c r="D261" s="302"/>
      <c r="E261" s="302"/>
      <c r="F261" s="302"/>
      <c r="G261" s="302"/>
      <c r="H261" s="302"/>
      <c r="I261" s="302"/>
      <c r="J261" s="302"/>
      <c r="K261" s="302"/>
      <c r="L261" s="302"/>
      <c r="M261" s="302"/>
      <c r="N261" s="302"/>
      <c r="O261" s="302"/>
      <c r="P261" s="302"/>
      <c r="Q261" s="302"/>
      <c r="R261" s="302"/>
      <c r="S261" s="302"/>
      <c r="T261" s="302"/>
      <c r="U261" s="302"/>
      <c r="V261" s="302"/>
      <c r="W261" s="302"/>
      <c r="X261" s="302"/>
      <c r="Y261" s="302"/>
      <c r="Z261" s="302"/>
      <c r="AA261" s="302"/>
      <c r="AB261" s="302"/>
      <c r="AC261" s="302"/>
      <c r="AD261" s="302"/>
      <c r="AE261" s="302"/>
      <c r="AF261" s="302"/>
      <c r="AG261" s="302"/>
      <c r="AH261" s="302"/>
      <c r="AI261" s="302"/>
      <c r="AJ261" s="302"/>
      <c r="AK261" s="302"/>
      <c r="AL261" s="302"/>
      <c r="AM261" s="302"/>
      <c r="AN261" s="302"/>
      <c r="AO261" s="302"/>
      <c r="AP261" s="302"/>
      <c r="AQ261" s="302"/>
      <c r="AR261" s="302"/>
      <c r="AS261" s="302"/>
      <c r="AT261" s="302"/>
      <c r="AU261" s="302"/>
      <c r="AV261" s="302"/>
      <c r="AW261" s="302"/>
      <c r="AX261" s="302"/>
      <c r="AY261" s="302"/>
    </row>
    <row r="262" spans="1:51" x14ac:dyDescent="0.2">
      <c r="A262" s="303"/>
      <c r="B262" s="302"/>
      <c r="C262" s="302"/>
      <c r="D262" s="302"/>
      <c r="E262" s="302"/>
      <c r="F262" s="302"/>
      <c r="G262" s="302"/>
      <c r="H262" s="302"/>
      <c r="I262" s="302"/>
      <c r="J262" s="302"/>
      <c r="K262" s="302"/>
      <c r="L262" s="302"/>
      <c r="M262" s="302"/>
      <c r="N262" s="302"/>
      <c r="O262" s="302"/>
      <c r="P262" s="302"/>
      <c r="Q262" s="302"/>
      <c r="R262" s="302"/>
      <c r="S262" s="302"/>
      <c r="T262" s="302"/>
      <c r="U262" s="302"/>
      <c r="V262" s="302"/>
      <c r="W262" s="302"/>
      <c r="X262" s="302"/>
      <c r="Y262" s="302"/>
      <c r="Z262" s="302"/>
      <c r="AA262" s="302"/>
      <c r="AB262" s="302"/>
      <c r="AC262" s="302"/>
      <c r="AD262" s="302"/>
      <c r="AE262" s="302"/>
      <c r="AF262" s="302"/>
      <c r="AG262" s="302"/>
      <c r="AH262" s="302"/>
      <c r="AI262" s="302"/>
      <c r="AJ262" s="302"/>
      <c r="AK262" s="302"/>
      <c r="AL262" s="302"/>
      <c r="AM262" s="302"/>
      <c r="AN262" s="302"/>
      <c r="AO262" s="302"/>
      <c r="AP262" s="302"/>
      <c r="AQ262" s="302"/>
      <c r="AR262" s="302"/>
      <c r="AS262" s="302"/>
      <c r="AT262" s="302"/>
      <c r="AU262" s="302"/>
      <c r="AV262" s="302"/>
      <c r="AW262" s="302"/>
      <c r="AX262" s="302"/>
      <c r="AY262" s="302"/>
    </row>
    <row r="263" spans="1:51" x14ac:dyDescent="0.2">
      <c r="A263" s="303"/>
      <c r="B263" s="302"/>
      <c r="C263" s="302"/>
      <c r="D263" s="302"/>
      <c r="E263" s="302"/>
      <c r="F263" s="302"/>
      <c r="G263" s="302"/>
      <c r="H263" s="302"/>
      <c r="I263" s="302"/>
      <c r="J263" s="302"/>
      <c r="K263" s="302"/>
      <c r="L263" s="302"/>
      <c r="M263" s="302"/>
      <c r="N263" s="302"/>
      <c r="O263" s="302"/>
      <c r="P263" s="302"/>
      <c r="Q263" s="302"/>
      <c r="R263" s="302"/>
      <c r="S263" s="302"/>
      <c r="T263" s="302"/>
      <c r="U263" s="302"/>
      <c r="V263" s="302"/>
      <c r="W263" s="302"/>
      <c r="X263" s="302"/>
      <c r="Y263" s="302"/>
      <c r="Z263" s="302"/>
      <c r="AA263" s="302"/>
      <c r="AB263" s="302"/>
      <c r="AC263" s="302"/>
      <c r="AD263" s="302"/>
      <c r="AE263" s="302"/>
      <c r="AF263" s="302"/>
      <c r="AG263" s="302"/>
      <c r="AH263" s="302"/>
      <c r="AI263" s="302"/>
      <c r="AJ263" s="302"/>
      <c r="AK263" s="302"/>
      <c r="AL263" s="302"/>
      <c r="AM263" s="302"/>
      <c r="AN263" s="302"/>
      <c r="AO263" s="302"/>
      <c r="AP263" s="302"/>
      <c r="AQ263" s="302"/>
      <c r="AR263" s="302"/>
      <c r="AS263" s="302"/>
      <c r="AT263" s="302"/>
      <c r="AU263" s="302"/>
      <c r="AV263" s="302"/>
      <c r="AW263" s="302"/>
      <c r="AX263" s="302"/>
      <c r="AY263" s="302"/>
    </row>
    <row r="264" spans="1:51" x14ac:dyDescent="0.2">
      <c r="A264" s="303"/>
      <c r="B264" s="302"/>
      <c r="C264" s="302"/>
      <c r="D264" s="302"/>
      <c r="E264" s="302"/>
      <c r="F264" s="302"/>
      <c r="G264" s="302"/>
      <c r="H264" s="302"/>
      <c r="I264" s="302"/>
      <c r="J264" s="302"/>
      <c r="K264" s="302"/>
      <c r="L264" s="302"/>
      <c r="M264" s="302"/>
      <c r="N264" s="302"/>
      <c r="O264" s="302"/>
      <c r="P264" s="302"/>
      <c r="Q264" s="302"/>
      <c r="R264" s="302"/>
      <c r="S264" s="302"/>
      <c r="T264" s="302"/>
      <c r="U264" s="302"/>
      <c r="V264" s="302"/>
      <c r="W264" s="302"/>
      <c r="X264" s="302"/>
      <c r="Y264" s="302"/>
      <c r="Z264" s="302"/>
      <c r="AA264" s="302"/>
      <c r="AB264" s="302"/>
      <c r="AC264" s="302"/>
      <c r="AD264" s="302"/>
      <c r="AE264" s="302"/>
      <c r="AF264" s="302"/>
      <c r="AG264" s="302"/>
      <c r="AH264" s="302"/>
      <c r="AI264" s="302"/>
      <c r="AJ264" s="302"/>
      <c r="AK264" s="302"/>
      <c r="AL264" s="302"/>
      <c r="AM264" s="302"/>
      <c r="AN264" s="302"/>
      <c r="AO264" s="302"/>
      <c r="AP264" s="302"/>
      <c r="AQ264" s="302"/>
      <c r="AR264" s="302"/>
      <c r="AS264" s="302"/>
      <c r="AT264" s="302"/>
      <c r="AU264" s="302"/>
      <c r="AV264" s="302"/>
      <c r="AW264" s="302"/>
      <c r="AX264" s="302"/>
      <c r="AY264" s="302"/>
    </row>
    <row r="265" spans="1:51" x14ac:dyDescent="0.2">
      <c r="A265" s="303"/>
      <c r="B265" s="302"/>
      <c r="C265" s="302"/>
      <c r="D265" s="302"/>
      <c r="E265" s="302"/>
      <c r="F265" s="302"/>
      <c r="G265" s="302"/>
      <c r="H265" s="302"/>
      <c r="I265" s="302"/>
      <c r="J265" s="302"/>
      <c r="K265" s="302"/>
      <c r="L265" s="302"/>
      <c r="M265" s="302"/>
      <c r="N265" s="302"/>
      <c r="O265" s="302"/>
      <c r="P265" s="302"/>
      <c r="Q265" s="302"/>
      <c r="R265" s="302"/>
      <c r="S265" s="302"/>
      <c r="T265" s="302"/>
      <c r="U265" s="302"/>
      <c r="V265" s="302"/>
      <c r="W265" s="302"/>
      <c r="X265" s="302"/>
      <c r="Y265" s="302"/>
      <c r="Z265" s="302"/>
      <c r="AA265" s="302"/>
      <c r="AB265" s="302"/>
      <c r="AC265" s="302"/>
      <c r="AD265" s="302"/>
      <c r="AE265" s="302"/>
      <c r="AF265" s="302"/>
      <c r="AG265" s="302"/>
      <c r="AH265" s="302"/>
      <c r="AI265" s="302"/>
      <c r="AJ265" s="302"/>
      <c r="AK265" s="302"/>
      <c r="AL265" s="302"/>
      <c r="AM265" s="302"/>
      <c r="AN265" s="302"/>
      <c r="AO265" s="302"/>
      <c r="AP265" s="302"/>
      <c r="AQ265" s="302"/>
      <c r="AR265" s="302"/>
      <c r="AS265" s="302"/>
      <c r="AT265" s="302"/>
      <c r="AU265" s="302"/>
      <c r="AV265" s="302"/>
      <c r="AW265" s="302"/>
      <c r="AX265" s="302"/>
      <c r="AY265" s="302"/>
    </row>
    <row r="266" spans="1:51" x14ac:dyDescent="0.2">
      <c r="A266" s="303"/>
      <c r="B266" s="302"/>
      <c r="C266" s="302"/>
      <c r="D266" s="302"/>
      <c r="E266" s="302"/>
      <c r="F266" s="302"/>
      <c r="G266" s="302"/>
      <c r="H266" s="302"/>
      <c r="I266" s="302"/>
      <c r="J266" s="302"/>
      <c r="K266" s="302"/>
      <c r="L266" s="302"/>
      <c r="M266" s="302"/>
      <c r="N266" s="302"/>
      <c r="O266" s="302"/>
      <c r="P266" s="302"/>
      <c r="Q266" s="302"/>
      <c r="R266" s="302"/>
      <c r="S266" s="302"/>
      <c r="T266" s="302"/>
      <c r="U266" s="302"/>
      <c r="V266" s="302"/>
      <c r="W266" s="302"/>
      <c r="X266" s="302"/>
      <c r="Y266" s="302"/>
      <c r="Z266" s="302"/>
      <c r="AA266" s="302"/>
      <c r="AB266" s="302"/>
      <c r="AC266" s="302"/>
      <c r="AD266" s="302"/>
      <c r="AE266" s="302"/>
      <c r="AF266" s="302"/>
      <c r="AG266" s="302"/>
      <c r="AH266" s="302"/>
      <c r="AI266" s="302"/>
      <c r="AJ266" s="302"/>
      <c r="AK266" s="302"/>
      <c r="AL266" s="302"/>
      <c r="AM266" s="302"/>
      <c r="AN266" s="302"/>
      <c r="AO266" s="302"/>
      <c r="AP266" s="302"/>
      <c r="AQ266" s="302"/>
      <c r="AR266" s="302"/>
      <c r="AS266" s="302"/>
      <c r="AT266" s="302"/>
      <c r="AU266" s="302"/>
      <c r="AV266" s="302"/>
      <c r="AW266" s="302"/>
      <c r="AX266" s="302"/>
      <c r="AY266" s="302"/>
    </row>
    <row r="267" spans="1:51" x14ac:dyDescent="0.2">
      <c r="A267" s="303"/>
      <c r="B267" s="302"/>
      <c r="C267" s="302"/>
      <c r="D267" s="302"/>
      <c r="E267" s="302"/>
      <c r="F267" s="302"/>
      <c r="G267" s="302"/>
      <c r="H267" s="302"/>
      <c r="I267" s="302"/>
      <c r="J267" s="302"/>
      <c r="K267" s="302"/>
      <c r="L267" s="302"/>
      <c r="M267" s="302"/>
      <c r="N267" s="302"/>
      <c r="O267" s="302"/>
      <c r="P267" s="302"/>
      <c r="Q267" s="302"/>
      <c r="R267" s="302"/>
      <c r="S267" s="302"/>
      <c r="T267" s="302"/>
      <c r="U267" s="302"/>
      <c r="V267" s="302"/>
      <c r="W267" s="302"/>
      <c r="X267" s="302"/>
      <c r="Y267" s="302"/>
      <c r="Z267" s="302"/>
      <c r="AA267" s="302"/>
      <c r="AB267" s="302"/>
      <c r="AC267" s="302"/>
      <c r="AD267" s="302"/>
      <c r="AE267" s="302"/>
      <c r="AF267" s="302"/>
      <c r="AG267" s="302"/>
      <c r="AH267" s="302"/>
      <c r="AI267" s="302"/>
      <c r="AJ267" s="302"/>
      <c r="AK267" s="302"/>
      <c r="AL267" s="302"/>
      <c r="AM267" s="302"/>
      <c r="AN267" s="302"/>
      <c r="AO267" s="302"/>
      <c r="AP267" s="302"/>
      <c r="AQ267" s="302"/>
      <c r="AR267" s="302"/>
      <c r="AS267" s="302"/>
      <c r="AT267" s="302"/>
      <c r="AU267" s="302"/>
      <c r="AV267" s="302"/>
      <c r="AW267" s="302"/>
      <c r="AX267" s="302"/>
      <c r="AY267" s="302"/>
    </row>
    <row r="268" spans="1:51" x14ac:dyDescent="0.2">
      <c r="A268" s="303"/>
      <c r="B268" s="302"/>
      <c r="C268" s="302"/>
      <c r="D268" s="302"/>
      <c r="E268" s="302"/>
      <c r="F268" s="302"/>
      <c r="G268" s="302"/>
      <c r="H268" s="302"/>
      <c r="I268" s="302"/>
      <c r="J268" s="302"/>
      <c r="K268" s="302"/>
      <c r="L268" s="302"/>
      <c r="M268" s="302"/>
      <c r="N268" s="302"/>
      <c r="O268" s="302"/>
      <c r="P268" s="302"/>
      <c r="Q268" s="302"/>
      <c r="R268" s="302"/>
      <c r="S268" s="302"/>
      <c r="T268" s="302"/>
      <c r="U268" s="302"/>
      <c r="V268" s="302"/>
      <c r="W268" s="302"/>
      <c r="X268" s="302"/>
      <c r="Y268" s="302"/>
      <c r="Z268" s="302"/>
      <c r="AA268" s="302"/>
      <c r="AB268" s="302"/>
      <c r="AC268" s="302"/>
      <c r="AD268" s="302"/>
      <c r="AE268" s="302"/>
      <c r="AF268" s="302"/>
      <c r="AG268" s="302"/>
      <c r="AH268" s="302"/>
      <c r="AI268" s="302"/>
      <c r="AJ268" s="302"/>
      <c r="AK268" s="302"/>
      <c r="AL268" s="302"/>
      <c r="AM268" s="302"/>
      <c r="AN268" s="302"/>
      <c r="AO268" s="302"/>
      <c r="AP268" s="302"/>
      <c r="AQ268" s="302"/>
      <c r="AR268" s="302"/>
      <c r="AS268" s="302"/>
      <c r="AT268" s="302"/>
      <c r="AU268" s="302"/>
      <c r="AV268" s="302"/>
      <c r="AW268" s="302"/>
      <c r="AX268" s="302"/>
      <c r="AY268" s="302"/>
    </row>
    <row r="269" spans="1:51" x14ac:dyDescent="0.2">
      <c r="A269" s="303"/>
      <c r="B269" s="302"/>
      <c r="C269" s="302"/>
      <c r="D269" s="302"/>
      <c r="E269" s="302"/>
      <c r="F269" s="302"/>
      <c r="G269" s="302"/>
      <c r="H269" s="302"/>
      <c r="I269" s="302"/>
      <c r="J269" s="302"/>
      <c r="K269" s="302"/>
      <c r="L269" s="302"/>
      <c r="M269" s="302"/>
      <c r="N269" s="302"/>
      <c r="O269" s="302"/>
      <c r="P269" s="302"/>
      <c r="Q269" s="302"/>
      <c r="R269" s="302"/>
      <c r="S269" s="302"/>
      <c r="T269" s="302"/>
      <c r="U269" s="302"/>
      <c r="V269" s="302"/>
      <c r="W269" s="302"/>
      <c r="X269" s="302"/>
      <c r="Y269" s="302"/>
      <c r="Z269" s="302"/>
      <c r="AA269" s="302"/>
      <c r="AB269" s="302"/>
      <c r="AC269" s="302"/>
      <c r="AD269" s="302"/>
      <c r="AE269" s="302"/>
      <c r="AF269" s="302"/>
      <c r="AG269" s="302"/>
      <c r="AH269" s="302"/>
      <c r="AI269" s="302"/>
      <c r="AJ269" s="302"/>
      <c r="AK269" s="302"/>
      <c r="AL269" s="302"/>
      <c r="AM269" s="302"/>
      <c r="AN269" s="302"/>
      <c r="AO269" s="302"/>
      <c r="AP269" s="302"/>
      <c r="AQ269" s="302"/>
      <c r="AR269" s="302"/>
      <c r="AS269" s="302"/>
      <c r="AT269" s="302"/>
      <c r="AU269" s="302"/>
      <c r="AV269" s="302"/>
      <c r="AW269" s="302"/>
      <c r="AX269" s="302"/>
      <c r="AY269" s="302"/>
    </row>
    <row r="270" spans="1:51" x14ac:dyDescent="0.2">
      <c r="A270" s="303"/>
      <c r="B270" s="302"/>
      <c r="C270" s="302"/>
      <c r="D270" s="302"/>
      <c r="E270" s="302"/>
      <c r="F270" s="302"/>
      <c r="G270" s="302"/>
      <c r="H270" s="302"/>
      <c r="I270" s="302"/>
      <c r="J270" s="302"/>
      <c r="K270" s="302"/>
      <c r="L270" s="302"/>
      <c r="M270" s="302"/>
      <c r="N270" s="302"/>
      <c r="O270" s="302"/>
      <c r="P270" s="302"/>
      <c r="Q270" s="302"/>
      <c r="R270" s="302"/>
      <c r="S270" s="302"/>
      <c r="T270" s="302"/>
      <c r="U270" s="302"/>
      <c r="V270" s="302"/>
      <c r="W270" s="302"/>
      <c r="X270" s="302"/>
      <c r="Y270" s="302"/>
      <c r="Z270" s="302"/>
      <c r="AA270" s="302"/>
      <c r="AB270" s="302"/>
      <c r="AC270" s="302"/>
      <c r="AD270" s="302"/>
      <c r="AE270" s="302"/>
      <c r="AF270" s="302"/>
      <c r="AG270" s="302"/>
      <c r="AH270" s="302"/>
      <c r="AI270" s="302"/>
      <c r="AJ270" s="302"/>
      <c r="AK270" s="302"/>
      <c r="AL270" s="302"/>
      <c r="AM270" s="302"/>
      <c r="AN270" s="302"/>
      <c r="AO270" s="302"/>
      <c r="AP270" s="302"/>
      <c r="AQ270" s="302"/>
      <c r="AR270" s="302"/>
      <c r="AS270" s="302"/>
      <c r="AT270" s="302"/>
      <c r="AU270" s="302"/>
      <c r="AV270" s="302"/>
      <c r="AW270" s="302"/>
      <c r="AX270" s="302"/>
      <c r="AY270" s="302"/>
    </row>
    <row r="271" spans="1:51" x14ac:dyDescent="0.2">
      <c r="A271" s="303"/>
      <c r="B271" s="302"/>
      <c r="C271" s="302"/>
      <c r="D271" s="302"/>
      <c r="E271" s="302"/>
      <c r="F271" s="302"/>
      <c r="G271" s="302"/>
      <c r="H271" s="302"/>
      <c r="I271" s="302"/>
      <c r="J271" s="302"/>
      <c r="K271" s="302"/>
      <c r="L271" s="302"/>
      <c r="M271" s="302"/>
      <c r="N271" s="302"/>
      <c r="O271" s="302"/>
      <c r="P271" s="302"/>
      <c r="Q271" s="302"/>
      <c r="R271" s="302"/>
      <c r="S271" s="302"/>
      <c r="T271" s="302"/>
      <c r="U271" s="302"/>
      <c r="V271" s="302"/>
      <c r="W271" s="302"/>
      <c r="X271" s="302"/>
      <c r="Y271" s="302"/>
      <c r="Z271" s="302"/>
      <c r="AA271" s="302"/>
      <c r="AB271" s="302"/>
      <c r="AC271" s="302"/>
      <c r="AD271" s="302"/>
      <c r="AE271" s="302"/>
      <c r="AF271" s="302"/>
      <c r="AG271" s="302"/>
      <c r="AH271" s="302"/>
      <c r="AI271" s="302"/>
      <c r="AJ271" s="302"/>
      <c r="AK271" s="302"/>
      <c r="AL271" s="302"/>
      <c r="AM271" s="302"/>
      <c r="AN271" s="302"/>
      <c r="AO271" s="302"/>
      <c r="AP271" s="302"/>
      <c r="AQ271" s="302"/>
      <c r="AR271" s="302"/>
      <c r="AS271" s="302"/>
      <c r="AT271" s="302"/>
      <c r="AU271" s="302"/>
      <c r="AV271" s="302"/>
      <c r="AW271" s="302"/>
      <c r="AX271" s="302"/>
      <c r="AY271" s="302"/>
    </row>
    <row r="272" spans="1:51" x14ac:dyDescent="0.2">
      <c r="A272" s="303"/>
      <c r="B272" s="302"/>
      <c r="C272" s="302"/>
      <c r="D272" s="302"/>
      <c r="E272" s="302"/>
      <c r="F272" s="302"/>
      <c r="G272" s="302"/>
      <c r="H272" s="302"/>
      <c r="I272" s="302"/>
      <c r="J272" s="302"/>
      <c r="K272" s="302"/>
      <c r="L272" s="302"/>
      <c r="M272" s="302"/>
      <c r="N272" s="302"/>
      <c r="O272" s="302"/>
      <c r="P272" s="302"/>
      <c r="Q272" s="302"/>
      <c r="R272" s="302"/>
      <c r="S272" s="302"/>
      <c r="T272" s="302"/>
      <c r="U272" s="302"/>
      <c r="V272" s="302"/>
      <c r="W272" s="302"/>
      <c r="X272" s="302"/>
      <c r="Y272" s="302"/>
      <c r="Z272" s="302"/>
      <c r="AA272" s="302"/>
      <c r="AB272" s="302"/>
      <c r="AC272" s="302"/>
      <c r="AD272" s="302"/>
      <c r="AE272" s="302"/>
      <c r="AF272" s="302"/>
      <c r="AG272" s="302"/>
      <c r="AH272" s="302"/>
      <c r="AI272" s="302"/>
      <c r="AJ272" s="302"/>
      <c r="AK272" s="302"/>
      <c r="AL272" s="302"/>
      <c r="AM272" s="302"/>
      <c r="AN272" s="302"/>
      <c r="AO272" s="302"/>
      <c r="AP272" s="302"/>
      <c r="AQ272" s="302"/>
      <c r="AR272" s="302"/>
      <c r="AS272" s="302"/>
      <c r="AT272" s="302"/>
      <c r="AU272" s="302"/>
      <c r="AV272" s="302"/>
      <c r="AW272" s="302"/>
      <c r="AX272" s="302"/>
      <c r="AY272" s="302"/>
    </row>
    <row r="273" spans="1:51" x14ac:dyDescent="0.2">
      <c r="A273" s="303"/>
      <c r="B273" s="302"/>
      <c r="C273" s="302"/>
      <c r="D273" s="302"/>
      <c r="E273" s="302"/>
      <c r="F273" s="302"/>
      <c r="G273" s="302"/>
      <c r="H273" s="302"/>
      <c r="I273" s="302"/>
      <c r="J273" s="302"/>
      <c r="K273" s="302"/>
      <c r="L273" s="302"/>
      <c r="M273" s="302"/>
      <c r="N273" s="302"/>
      <c r="O273" s="302"/>
      <c r="P273" s="302"/>
      <c r="Q273" s="302"/>
      <c r="R273" s="302"/>
      <c r="S273" s="302"/>
      <c r="T273" s="302"/>
      <c r="U273" s="302"/>
      <c r="V273" s="302"/>
      <c r="W273" s="302"/>
      <c r="X273" s="302"/>
      <c r="Y273" s="302"/>
      <c r="Z273" s="302"/>
      <c r="AA273" s="302"/>
      <c r="AB273" s="302"/>
      <c r="AC273" s="302"/>
      <c r="AD273" s="302"/>
      <c r="AE273" s="302"/>
      <c r="AF273" s="302"/>
      <c r="AG273" s="302"/>
      <c r="AH273" s="302"/>
      <c r="AI273" s="302"/>
      <c r="AJ273" s="302"/>
      <c r="AK273" s="302"/>
      <c r="AL273" s="302"/>
      <c r="AM273" s="302"/>
      <c r="AN273" s="302"/>
      <c r="AO273" s="302"/>
      <c r="AP273" s="302"/>
      <c r="AQ273" s="302"/>
      <c r="AR273" s="302"/>
      <c r="AS273" s="302"/>
      <c r="AT273" s="302"/>
      <c r="AU273" s="302"/>
      <c r="AV273" s="302"/>
      <c r="AW273" s="302"/>
      <c r="AX273" s="302"/>
      <c r="AY273" s="302"/>
    </row>
    <row r="274" spans="1:51" x14ac:dyDescent="0.2">
      <c r="A274" s="303"/>
      <c r="B274" s="302"/>
      <c r="C274" s="302"/>
      <c r="D274" s="302"/>
      <c r="E274" s="302"/>
      <c r="F274" s="302"/>
      <c r="G274" s="302"/>
      <c r="H274" s="302"/>
      <c r="I274" s="302"/>
      <c r="J274" s="302"/>
      <c r="K274" s="302"/>
      <c r="L274" s="302"/>
      <c r="M274" s="302"/>
      <c r="N274" s="302"/>
      <c r="O274" s="302"/>
      <c r="P274" s="302"/>
      <c r="Q274" s="302"/>
      <c r="R274" s="302"/>
      <c r="S274" s="302"/>
      <c r="T274" s="302"/>
      <c r="U274" s="302"/>
      <c r="V274" s="302"/>
      <c r="W274" s="302"/>
      <c r="X274" s="302"/>
      <c r="Y274" s="302"/>
      <c r="Z274" s="302"/>
      <c r="AA274" s="302"/>
      <c r="AB274" s="302"/>
      <c r="AC274" s="302"/>
      <c r="AD274" s="302"/>
      <c r="AE274" s="302"/>
      <c r="AF274" s="302"/>
      <c r="AG274" s="302"/>
      <c r="AH274" s="302"/>
      <c r="AI274" s="302"/>
      <c r="AJ274" s="302"/>
      <c r="AK274" s="302"/>
      <c r="AL274" s="302"/>
      <c r="AM274" s="302"/>
      <c r="AN274" s="302"/>
      <c r="AO274" s="302"/>
      <c r="AP274" s="302"/>
      <c r="AQ274" s="302"/>
      <c r="AR274" s="302"/>
      <c r="AS274" s="302"/>
      <c r="AT274" s="302"/>
      <c r="AU274" s="302"/>
      <c r="AV274" s="302"/>
      <c r="AW274" s="302"/>
      <c r="AX274" s="302"/>
      <c r="AY274" s="302"/>
    </row>
    <row r="275" spans="1:51" x14ac:dyDescent="0.2">
      <c r="A275" s="303"/>
      <c r="B275" s="302"/>
      <c r="C275" s="302"/>
      <c r="D275" s="302"/>
      <c r="E275" s="302"/>
      <c r="F275" s="302"/>
      <c r="G275" s="302"/>
      <c r="H275" s="302"/>
      <c r="I275" s="302"/>
      <c r="J275" s="302"/>
      <c r="K275" s="302"/>
      <c r="L275" s="302"/>
      <c r="M275" s="302"/>
      <c r="N275" s="302"/>
      <c r="O275" s="302"/>
      <c r="P275" s="302"/>
      <c r="Q275" s="302"/>
      <c r="R275" s="302"/>
      <c r="S275" s="302"/>
      <c r="T275" s="302"/>
      <c r="U275" s="302"/>
      <c r="V275" s="302"/>
      <c r="W275" s="302"/>
      <c r="X275" s="302"/>
      <c r="Y275" s="302"/>
      <c r="Z275" s="302"/>
      <c r="AA275" s="302"/>
      <c r="AB275" s="302"/>
      <c r="AC275" s="302"/>
      <c r="AD275" s="302"/>
      <c r="AE275" s="302"/>
      <c r="AF275" s="302"/>
      <c r="AG275" s="302"/>
      <c r="AH275" s="302"/>
      <c r="AI275" s="302"/>
      <c r="AJ275" s="302"/>
      <c r="AK275" s="302"/>
      <c r="AL275" s="302"/>
      <c r="AM275" s="302"/>
      <c r="AN275" s="302"/>
      <c r="AO275" s="302"/>
      <c r="AP275" s="302"/>
      <c r="AQ275" s="302"/>
      <c r="AR275" s="302"/>
      <c r="AS275" s="302"/>
      <c r="AT275" s="302"/>
      <c r="AU275" s="302"/>
      <c r="AV275" s="302"/>
      <c r="AW275" s="302"/>
      <c r="AX275" s="302"/>
      <c r="AY275" s="302"/>
    </row>
    <row r="276" spans="1:51" x14ac:dyDescent="0.2">
      <c r="A276" s="303"/>
      <c r="B276" s="302"/>
      <c r="C276" s="302"/>
      <c r="D276" s="302"/>
      <c r="E276" s="302"/>
      <c r="F276" s="302"/>
      <c r="G276" s="302"/>
      <c r="H276" s="302"/>
      <c r="I276" s="302"/>
      <c r="J276" s="302"/>
      <c r="K276" s="302"/>
      <c r="L276" s="302"/>
      <c r="M276" s="302"/>
      <c r="N276" s="302"/>
      <c r="O276" s="302"/>
      <c r="P276" s="302"/>
      <c r="Q276" s="302"/>
      <c r="R276" s="302"/>
      <c r="S276" s="302"/>
      <c r="T276" s="302"/>
      <c r="U276" s="302"/>
      <c r="V276" s="302"/>
      <c r="W276" s="302"/>
      <c r="X276" s="302"/>
      <c r="Y276" s="302"/>
      <c r="Z276" s="302"/>
      <c r="AA276" s="302"/>
      <c r="AB276" s="302"/>
      <c r="AC276" s="302"/>
      <c r="AD276" s="302"/>
      <c r="AE276" s="302"/>
      <c r="AF276" s="302"/>
      <c r="AG276" s="302"/>
      <c r="AH276" s="302"/>
      <c r="AI276" s="302"/>
      <c r="AJ276" s="302"/>
      <c r="AK276" s="302"/>
      <c r="AL276" s="302"/>
      <c r="AM276" s="302"/>
      <c r="AN276" s="302"/>
      <c r="AO276" s="302"/>
      <c r="AP276" s="302"/>
      <c r="AQ276" s="302"/>
      <c r="AR276" s="302"/>
      <c r="AS276" s="302"/>
      <c r="AT276" s="302"/>
      <c r="AU276" s="302"/>
      <c r="AV276" s="302"/>
      <c r="AW276" s="302"/>
      <c r="AX276" s="302"/>
      <c r="AY276" s="302"/>
    </row>
    <row r="277" spans="1:51" x14ac:dyDescent="0.2">
      <c r="A277" s="303"/>
      <c r="B277" s="302"/>
      <c r="C277" s="302"/>
      <c r="D277" s="302"/>
      <c r="E277" s="302"/>
      <c r="F277" s="302"/>
      <c r="G277" s="302"/>
      <c r="H277" s="302"/>
      <c r="I277" s="302"/>
      <c r="J277" s="302"/>
      <c r="K277" s="302"/>
      <c r="L277" s="302"/>
      <c r="M277" s="302"/>
      <c r="N277" s="302"/>
      <c r="O277" s="302"/>
      <c r="P277" s="302"/>
      <c r="Q277" s="302"/>
      <c r="R277" s="302"/>
      <c r="S277" s="302"/>
      <c r="T277" s="302"/>
      <c r="U277" s="302"/>
      <c r="V277" s="302"/>
      <c r="W277" s="302"/>
      <c r="X277" s="302"/>
      <c r="Y277" s="302"/>
      <c r="Z277" s="302"/>
      <c r="AA277" s="302"/>
      <c r="AB277" s="302"/>
      <c r="AC277" s="302"/>
      <c r="AD277" s="302"/>
      <c r="AE277" s="302"/>
      <c r="AF277" s="302"/>
      <c r="AG277" s="302"/>
      <c r="AH277" s="302"/>
      <c r="AI277" s="302"/>
      <c r="AJ277" s="302"/>
      <c r="AK277" s="302"/>
      <c r="AL277" s="302"/>
      <c r="AM277" s="302"/>
      <c r="AN277" s="302"/>
      <c r="AO277" s="302"/>
      <c r="AP277" s="302"/>
      <c r="AQ277" s="302"/>
      <c r="AR277" s="302"/>
      <c r="AS277" s="302"/>
      <c r="AT277" s="302"/>
      <c r="AU277" s="302"/>
      <c r="AV277" s="302"/>
      <c r="AW277" s="302"/>
      <c r="AX277" s="302"/>
      <c r="AY277" s="302"/>
    </row>
    <row r="278" spans="1:51" x14ac:dyDescent="0.2">
      <c r="A278" s="303"/>
      <c r="B278" s="302"/>
      <c r="C278" s="302"/>
      <c r="D278" s="302"/>
      <c r="E278" s="302"/>
      <c r="F278" s="302"/>
      <c r="G278" s="302"/>
      <c r="H278" s="302"/>
      <c r="I278" s="302"/>
      <c r="J278" s="302"/>
      <c r="K278" s="302"/>
      <c r="L278" s="302"/>
      <c r="M278" s="302"/>
      <c r="N278" s="302"/>
      <c r="O278" s="302"/>
      <c r="P278" s="302"/>
      <c r="Q278" s="302"/>
      <c r="R278" s="302"/>
      <c r="S278" s="302"/>
      <c r="T278" s="302"/>
      <c r="U278" s="302"/>
      <c r="V278" s="302"/>
      <c r="W278" s="302"/>
      <c r="X278" s="302"/>
      <c r="Y278" s="302"/>
      <c r="Z278" s="302"/>
      <c r="AA278" s="302"/>
      <c r="AB278" s="302"/>
      <c r="AC278" s="302"/>
      <c r="AD278" s="302"/>
      <c r="AE278" s="302"/>
      <c r="AF278" s="302"/>
      <c r="AG278" s="302"/>
      <c r="AH278" s="302"/>
      <c r="AI278" s="302"/>
      <c r="AJ278" s="302"/>
      <c r="AK278" s="302"/>
      <c r="AL278" s="302"/>
      <c r="AM278" s="302"/>
      <c r="AN278" s="302"/>
      <c r="AO278" s="302"/>
      <c r="AP278" s="302"/>
      <c r="AQ278" s="302"/>
      <c r="AR278" s="302"/>
      <c r="AS278" s="302"/>
      <c r="AT278" s="302"/>
      <c r="AU278" s="302"/>
      <c r="AV278" s="302"/>
      <c r="AW278" s="302"/>
      <c r="AX278" s="302"/>
      <c r="AY278" s="302"/>
    </row>
    <row r="279" spans="1:51" x14ac:dyDescent="0.2">
      <c r="A279" s="303"/>
      <c r="B279" s="302"/>
      <c r="C279" s="302"/>
      <c r="D279" s="302"/>
      <c r="E279" s="302"/>
      <c r="F279" s="302"/>
      <c r="G279" s="302"/>
      <c r="H279" s="302"/>
      <c r="I279" s="302"/>
      <c r="J279" s="302"/>
      <c r="K279" s="302"/>
      <c r="L279" s="302"/>
      <c r="M279" s="302"/>
      <c r="N279" s="302"/>
      <c r="O279" s="302"/>
      <c r="P279" s="302"/>
      <c r="Q279" s="302"/>
      <c r="R279" s="302"/>
      <c r="S279" s="302"/>
      <c r="T279" s="302"/>
      <c r="U279" s="302"/>
      <c r="V279" s="302"/>
      <c r="W279" s="302"/>
      <c r="X279" s="302"/>
      <c r="Y279" s="302"/>
      <c r="Z279" s="302"/>
      <c r="AA279" s="302"/>
      <c r="AB279" s="302"/>
      <c r="AC279" s="302"/>
      <c r="AD279" s="302"/>
      <c r="AE279" s="302"/>
      <c r="AF279" s="302"/>
      <c r="AG279" s="302"/>
      <c r="AH279" s="302"/>
      <c r="AI279" s="302"/>
      <c r="AJ279" s="302"/>
      <c r="AK279" s="302"/>
      <c r="AL279" s="302"/>
      <c r="AM279" s="302"/>
      <c r="AN279" s="302"/>
      <c r="AO279" s="302"/>
      <c r="AP279" s="302"/>
      <c r="AQ279" s="302"/>
      <c r="AR279" s="302"/>
      <c r="AS279" s="302"/>
      <c r="AT279" s="302"/>
      <c r="AU279" s="302"/>
      <c r="AV279" s="302"/>
      <c r="AW279" s="302"/>
      <c r="AX279" s="302"/>
      <c r="AY279" s="302"/>
    </row>
    <row r="280" spans="1:51" x14ac:dyDescent="0.2">
      <c r="A280" s="303"/>
      <c r="B280" s="302"/>
      <c r="C280" s="302"/>
      <c r="D280" s="302"/>
      <c r="E280" s="302"/>
      <c r="F280" s="302"/>
      <c r="G280" s="302"/>
      <c r="H280" s="302"/>
      <c r="I280" s="302"/>
      <c r="J280" s="302"/>
      <c r="K280" s="302"/>
      <c r="L280" s="302"/>
      <c r="M280" s="302"/>
      <c r="N280" s="302"/>
      <c r="O280" s="302"/>
      <c r="P280" s="302"/>
      <c r="Q280" s="302"/>
      <c r="R280" s="302"/>
      <c r="S280" s="302"/>
      <c r="T280" s="302"/>
      <c r="U280" s="302"/>
      <c r="V280" s="302"/>
      <c r="W280" s="302"/>
      <c r="X280" s="302"/>
      <c r="Y280" s="302"/>
      <c r="Z280" s="302"/>
      <c r="AA280" s="302"/>
      <c r="AB280" s="302"/>
      <c r="AC280" s="302"/>
      <c r="AD280" s="302"/>
      <c r="AE280" s="302"/>
      <c r="AF280" s="302"/>
      <c r="AG280" s="302"/>
      <c r="AH280" s="302"/>
      <c r="AI280" s="302"/>
      <c r="AJ280" s="302"/>
      <c r="AK280" s="302"/>
      <c r="AL280" s="302"/>
      <c r="AM280" s="302"/>
      <c r="AN280" s="302"/>
      <c r="AO280" s="302"/>
      <c r="AP280" s="302"/>
      <c r="AQ280" s="302"/>
      <c r="AR280" s="302"/>
      <c r="AS280" s="302"/>
      <c r="AT280" s="302"/>
      <c r="AU280" s="302"/>
      <c r="AV280" s="302"/>
      <c r="AW280" s="302"/>
      <c r="AX280" s="302"/>
      <c r="AY280" s="302"/>
    </row>
    <row r="281" spans="1:51" x14ac:dyDescent="0.2">
      <c r="A281" s="303"/>
      <c r="B281" s="302"/>
      <c r="C281" s="302"/>
      <c r="D281" s="302"/>
      <c r="E281" s="302"/>
      <c r="F281" s="302"/>
      <c r="G281" s="302"/>
      <c r="H281" s="302"/>
      <c r="I281" s="302"/>
      <c r="J281" s="302"/>
      <c r="K281" s="302"/>
      <c r="L281" s="302"/>
      <c r="M281" s="302"/>
      <c r="N281" s="302"/>
      <c r="O281" s="302"/>
      <c r="P281" s="302"/>
      <c r="Q281" s="302"/>
      <c r="R281" s="302"/>
      <c r="S281" s="302"/>
      <c r="T281" s="302"/>
      <c r="U281" s="302"/>
      <c r="V281" s="302"/>
      <c r="W281" s="302"/>
      <c r="X281" s="302"/>
      <c r="Y281" s="302"/>
      <c r="Z281" s="302"/>
      <c r="AA281" s="302"/>
      <c r="AB281" s="302"/>
      <c r="AC281" s="302"/>
      <c r="AD281" s="302"/>
      <c r="AE281" s="302"/>
      <c r="AF281" s="302"/>
      <c r="AG281" s="302"/>
      <c r="AH281" s="302"/>
      <c r="AI281" s="302"/>
      <c r="AJ281" s="302"/>
      <c r="AK281" s="302"/>
      <c r="AL281" s="302"/>
      <c r="AM281" s="302"/>
      <c r="AN281" s="302"/>
      <c r="AO281" s="302"/>
      <c r="AP281" s="302"/>
      <c r="AQ281" s="302"/>
      <c r="AR281" s="302"/>
      <c r="AS281" s="302"/>
      <c r="AT281" s="302"/>
      <c r="AU281" s="302"/>
      <c r="AV281" s="302"/>
      <c r="AW281" s="302"/>
      <c r="AX281" s="302"/>
      <c r="AY281" s="302"/>
    </row>
    <row r="282" spans="1:51" x14ac:dyDescent="0.2">
      <c r="A282" s="303"/>
      <c r="B282" s="302"/>
      <c r="C282" s="302"/>
      <c r="D282" s="302"/>
      <c r="E282" s="302"/>
      <c r="F282" s="302"/>
      <c r="G282" s="302"/>
      <c r="H282" s="302"/>
      <c r="I282" s="302"/>
      <c r="J282" s="302"/>
      <c r="K282" s="302"/>
      <c r="L282" s="302"/>
      <c r="M282" s="302"/>
      <c r="N282" s="302"/>
      <c r="O282" s="302"/>
      <c r="P282" s="302"/>
      <c r="Q282" s="302"/>
      <c r="R282" s="302"/>
      <c r="S282" s="302"/>
      <c r="T282" s="302"/>
      <c r="U282" s="302"/>
      <c r="V282" s="302"/>
      <c r="W282" s="302"/>
      <c r="X282" s="302"/>
      <c r="Y282" s="302"/>
      <c r="Z282" s="302"/>
      <c r="AA282" s="302"/>
      <c r="AB282" s="302"/>
      <c r="AC282" s="302"/>
      <c r="AD282" s="302"/>
      <c r="AE282" s="302"/>
      <c r="AF282" s="302"/>
      <c r="AG282" s="302"/>
      <c r="AH282" s="302"/>
      <c r="AI282" s="302"/>
      <c r="AJ282" s="302"/>
      <c r="AK282" s="302"/>
      <c r="AL282" s="302"/>
      <c r="AM282" s="302"/>
      <c r="AN282" s="302"/>
      <c r="AO282" s="302"/>
      <c r="AP282" s="302"/>
      <c r="AQ282" s="302"/>
      <c r="AR282" s="302"/>
      <c r="AS282" s="302"/>
      <c r="AT282" s="302"/>
      <c r="AU282" s="302"/>
      <c r="AV282" s="302"/>
      <c r="AW282" s="302"/>
      <c r="AX282" s="302"/>
      <c r="AY282" s="302"/>
    </row>
    <row r="283" spans="1:51" x14ac:dyDescent="0.2">
      <c r="A283" s="303"/>
      <c r="B283" s="302"/>
      <c r="C283" s="302"/>
      <c r="D283" s="302"/>
      <c r="E283" s="302"/>
      <c r="F283" s="302"/>
      <c r="G283" s="302"/>
      <c r="H283" s="302"/>
      <c r="I283" s="302"/>
      <c r="J283" s="302"/>
      <c r="K283" s="302"/>
      <c r="L283" s="302"/>
      <c r="M283" s="302"/>
      <c r="N283" s="302"/>
      <c r="O283" s="302"/>
      <c r="P283" s="302"/>
      <c r="Q283" s="302"/>
      <c r="R283" s="302"/>
      <c r="S283" s="302"/>
      <c r="T283" s="302"/>
      <c r="U283" s="302"/>
      <c r="V283" s="302"/>
      <c r="W283" s="302"/>
      <c r="X283" s="302"/>
      <c r="Y283" s="302"/>
      <c r="Z283" s="302"/>
      <c r="AA283" s="302"/>
      <c r="AB283" s="302"/>
      <c r="AC283" s="302"/>
      <c r="AD283" s="302"/>
      <c r="AE283" s="302"/>
      <c r="AF283" s="302"/>
      <c r="AG283" s="302"/>
      <c r="AH283" s="302"/>
      <c r="AI283" s="302"/>
      <c r="AJ283" s="302"/>
      <c r="AK283" s="302"/>
      <c r="AL283" s="302"/>
      <c r="AM283" s="302"/>
      <c r="AN283" s="302"/>
      <c r="AO283" s="302"/>
      <c r="AP283" s="302"/>
      <c r="AQ283" s="302"/>
      <c r="AR283" s="302"/>
      <c r="AS283" s="302"/>
      <c r="AT283" s="302"/>
      <c r="AU283" s="302"/>
      <c r="AV283" s="302"/>
      <c r="AW283" s="302"/>
      <c r="AX283" s="302"/>
      <c r="AY283" s="302"/>
    </row>
    <row r="284" spans="1:51" x14ac:dyDescent="0.2">
      <c r="A284" s="303"/>
      <c r="B284" s="302"/>
      <c r="C284" s="302"/>
      <c r="D284" s="302"/>
      <c r="E284" s="302"/>
      <c r="F284" s="302"/>
      <c r="G284" s="302"/>
      <c r="H284" s="302"/>
      <c r="I284" s="302"/>
      <c r="J284" s="302"/>
      <c r="K284" s="302"/>
      <c r="L284" s="302"/>
      <c r="M284" s="302"/>
      <c r="N284" s="302"/>
      <c r="O284" s="302"/>
      <c r="P284" s="302"/>
      <c r="Q284" s="302"/>
      <c r="R284" s="302"/>
      <c r="S284" s="302"/>
      <c r="T284" s="302"/>
      <c r="U284" s="302"/>
      <c r="V284" s="302"/>
      <c r="W284" s="302"/>
      <c r="X284" s="302"/>
      <c r="Y284" s="302"/>
      <c r="Z284" s="302"/>
      <c r="AA284" s="302"/>
      <c r="AB284" s="302"/>
      <c r="AC284" s="302"/>
      <c r="AD284" s="302"/>
      <c r="AE284" s="302"/>
      <c r="AF284" s="302"/>
      <c r="AG284" s="302"/>
      <c r="AH284" s="302"/>
      <c r="AI284" s="302"/>
      <c r="AJ284" s="302"/>
      <c r="AK284" s="302"/>
      <c r="AL284" s="302"/>
      <c r="AM284" s="302"/>
      <c r="AN284" s="302"/>
      <c r="AO284" s="302"/>
      <c r="AP284" s="302"/>
      <c r="AQ284" s="302"/>
      <c r="AR284" s="302"/>
      <c r="AS284" s="302"/>
      <c r="AT284" s="302"/>
      <c r="AU284" s="302"/>
      <c r="AV284" s="302"/>
      <c r="AW284" s="302"/>
      <c r="AX284" s="302"/>
      <c r="AY284" s="302"/>
    </row>
    <row r="285" spans="1:51" x14ac:dyDescent="0.2">
      <c r="A285" s="303"/>
      <c r="B285" s="302"/>
      <c r="C285" s="302"/>
      <c r="D285" s="302"/>
      <c r="E285" s="302"/>
      <c r="F285" s="302"/>
      <c r="G285" s="302"/>
      <c r="H285" s="302"/>
      <c r="I285" s="302"/>
      <c r="J285" s="302"/>
      <c r="K285" s="302"/>
      <c r="L285" s="302"/>
      <c r="M285" s="302"/>
      <c r="N285" s="302"/>
      <c r="O285" s="302"/>
      <c r="P285" s="302"/>
      <c r="Q285" s="302"/>
      <c r="R285" s="302"/>
      <c r="S285" s="302"/>
      <c r="T285" s="302"/>
      <c r="U285" s="302"/>
      <c r="V285" s="302"/>
      <c r="W285" s="302"/>
      <c r="X285" s="302"/>
      <c r="Y285" s="302"/>
      <c r="Z285" s="302"/>
      <c r="AA285" s="302"/>
      <c r="AB285" s="302"/>
      <c r="AC285" s="302"/>
      <c r="AD285" s="302"/>
      <c r="AE285" s="302"/>
      <c r="AF285" s="302"/>
      <c r="AG285" s="302"/>
      <c r="AH285" s="302"/>
      <c r="AI285" s="302"/>
      <c r="AJ285" s="302"/>
      <c r="AK285" s="302"/>
      <c r="AL285" s="302"/>
      <c r="AM285" s="302"/>
      <c r="AN285" s="302"/>
      <c r="AO285" s="302"/>
      <c r="AP285" s="302"/>
      <c r="AQ285" s="302"/>
      <c r="AR285" s="302"/>
      <c r="AS285" s="302"/>
      <c r="AT285" s="302"/>
      <c r="AU285" s="302"/>
      <c r="AV285" s="302"/>
      <c r="AW285" s="302"/>
      <c r="AX285" s="302"/>
      <c r="AY285" s="302"/>
    </row>
    <row r="286" spans="1:51" x14ac:dyDescent="0.2">
      <c r="A286" s="303"/>
      <c r="B286" s="302"/>
      <c r="C286" s="302"/>
      <c r="D286" s="302"/>
      <c r="E286" s="302"/>
      <c r="F286" s="302"/>
      <c r="G286" s="302"/>
      <c r="H286" s="302"/>
      <c r="I286" s="302"/>
      <c r="J286" s="302"/>
      <c r="K286" s="302"/>
      <c r="L286" s="302"/>
      <c r="M286" s="302"/>
      <c r="N286" s="302"/>
      <c r="O286" s="302"/>
      <c r="P286" s="302"/>
      <c r="Q286" s="302"/>
      <c r="R286" s="302"/>
      <c r="S286" s="302"/>
      <c r="T286" s="302"/>
      <c r="U286" s="302"/>
      <c r="V286" s="302"/>
      <c r="W286" s="302"/>
      <c r="X286" s="302"/>
      <c r="Y286" s="302"/>
      <c r="Z286" s="302"/>
      <c r="AA286" s="302"/>
      <c r="AB286" s="302"/>
      <c r="AC286" s="302"/>
      <c r="AD286" s="302"/>
      <c r="AE286" s="302"/>
      <c r="AF286" s="302"/>
      <c r="AG286" s="302"/>
      <c r="AH286" s="302"/>
      <c r="AI286" s="302"/>
      <c r="AJ286" s="302"/>
      <c r="AK286" s="302"/>
      <c r="AL286" s="302"/>
      <c r="AM286" s="302"/>
      <c r="AN286" s="302"/>
      <c r="AO286" s="302"/>
      <c r="AP286" s="302"/>
      <c r="AQ286" s="302"/>
      <c r="AR286" s="302"/>
      <c r="AS286" s="302"/>
      <c r="AT286" s="302"/>
      <c r="AU286" s="302"/>
      <c r="AV286" s="302"/>
      <c r="AW286" s="302"/>
      <c r="AX286" s="302"/>
      <c r="AY286" s="302"/>
    </row>
    <row r="287" spans="1:51" x14ac:dyDescent="0.2">
      <c r="A287" s="303"/>
      <c r="B287" s="302"/>
      <c r="C287" s="302"/>
      <c r="D287" s="302"/>
      <c r="E287" s="302"/>
      <c r="F287" s="302"/>
      <c r="G287" s="302"/>
      <c r="H287" s="302"/>
      <c r="I287" s="302"/>
      <c r="J287" s="302"/>
      <c r="K287" s="302"/>
      <c r="L287" s="302"/>
      <c r="M287" s="302"/>
      <c r="N287" s="302"/>
      <c r="O287" s="302"/>
      <c r="P287" s="302"/>
      <c r="Q287" s="302"/>
      <c r="R287" s="302"/>
      <c r="S287" s="302"/>
      <c r="T287" s="302"/>
      <c r="U287" s="302"/>
      <c r="V287" s="302"/>
      <c r="W287" s="302"/>
      <c r="X287" s="302"/>
      <c r="Y287" s="302"/>
      <c r="Z287" s="302"/>
      <c r="AA287" s="302"/>
      <c r="AB287" s="302"/>
      <c r="AC287" s="302"/>
      <c r="AD287" s="302"/>
      <c r="AE287" s="302"/>
      <c r="AF287" s="302"/>
      <c r="AG287" s="302"/>
      <c r="AH287" s="302"/>
      <c r="AI287" s="302"/>
      <c r="AJ287" s="302"/>
      <c r="AK287" s="302"/>
      <c r="AL287" s="302"/>
      <c r="AM287" s="302"/>
      <c r="AN287" s="302"/>
      <c r="AO287" s="302"/>
      <c r="AP287" s="302"/>
      <c r="AQ287" s="302"/>
      <c r="AR287" s="302"/>
      <c r="AS287" s="302"/>
      <c r="AT287" s="302"/>
      <c r="AU287" s="302"/>
      <c r="AV287" s="302"/>
      <c r="AW287" s="302"/>
      <c r="AX287" s="302"/>
      <c r="AY287" s="302"/>
    </row>
    <row r="288" spans="1:51" x14ac:dyDescent="0.2">
      <c r="A288" s="303"/>
      <c r="B288" s="302"/>
      <c r="C288" s="302"/>
      <c r="D288" s="302"/>
      <c r="E288" s="302"/>
      <c r="F288" s="302"/>
      <c r="G288" s="302"/>
      <c r="H288" s="302"/>
      <c r="I288" s="302"/>
      <c r="J288" s="302"/>
      <c r="K288" s="302"/>
      <c r="L288" s="302"/>
      <c r="M288" s="302"/>
      <c r="N288" s="302"/>
      <c r="O288" s="302"/>
      <c r="P288" s="302"/>
      <c r="Q288" s="302"/>
      <c r="R288" s="302"/>
      <c r="S288" s="302"/>
      <c r="T288" s="302"/>
      <c r="U288" s="302"/>
      <c r="V288" s="302"/>
      <c r="W288" s="302"/>
      <c r="X288" s="302"/>
      <c r="Y288" s="302"/>
      <c r="Z288" s="302"/>
      <c r="AA288" s="302"/>
      <c r="AB288" s="302"/>
      <c r="AC288" s="302"/>
      <c r="AD288" s="302"/>
      <c r="AE288" s="302"/>
      <c r="AF288" s="302"/>
      <c r="AG288" s="302"/>
      <c r="AH288" s="302"/>
      <c r="AI288" s="302"/>
      <c r="AJ288" s="302"/>
      <c r="AK288" s="302"/>
      <c r="AL288" s="302"/>
      <c r="AM288" s="302"/>
      <c r="AN288" s="302"/>
      <c r="AO288" s="302"/>
      <c r="AP288" s="302"/>
      <c r="AQ288" s="302"/>
      <c r="AR288" s="302"/>
      <c r="AS288" s="302"/>
      <c r="AT288" s="302"/>
      <c r="AU288" s="302"/>
      <c r="AV288" s="302"/>
      <c r="AW288" s="302"/>
      <c r="AX288" s="302"/>
      <c r="AY288" s="302"/>
    </row>
    <row r="289" spans="1:51" x14ac:dyDescent="0.2">
      <c r="A289" s="303"/>
      <c r="B289" s="302"/>
      <c r="C289" s="302"/>
      <c r="D289" s="302"/>
      <c r="E289" s="302"/>
      <c r="F289" s="302"/>
      <c r="G289" s="302"/>
      <c r="H289" s="302"/>
      <c r="I289" s="302"/>
      <c r="J289" s="302"/>
      <c r="K289" s="302"/>
      <c r="L289" s="302"/>
      <c r="M289" s="302"/>
      <c r="N289" s="302"/>
      <c r="O289" s="302"/>
      <c r="P289" s="302"/>
      <c r="Q289" s="302"/>
      <c r="R289" s="302"/>
      <c r="S289" s="302"/>
      <c r="T289" s="302"/>
      <c r="U289" s="302"/>
      <c r="V289" s="302"/>
      <c r="W289" s="302"/>
      <c r="X289" s="302"/>
      <c r="Y289" s="302"/>
      <c r="Z289" s="302"/>
      <c r="AA289" s="302"/>
      <c r="AB289" s="302"/>
      <c r="AC289" s="302"/>
      <c r="AD289" s="302"/>
      <c r="AE289" s="302"/>
      <c r="AF289" s="302"/>
      <c r="AG289" s="302"/>
      <c r="AH289" s="302"/>
      <c r="AI289" s="302"/>
      <c r="AJ289" s="302"/>
      <c r="AK289" s="302"/>
      <c r="AL289" s="302"/>
      <c r="AM289" s="302"/>
      <c r="AN289" s="302"/>
      <c r="AO289" s="302"/>
      <c r="AP289" s="302"/>
      <c r="AQ289" s="302"/>
      <c r="AR289" s="302"/>
      <c r="AS289" s="302"/>
      <c r="AT289" s="302"/>
      <c r="AU289" s="302"/>
      <c r="AV289" s="302"/>
      <c r="AW289" s="302"/>
      <c r="AX289" s="302"/>
      <c r="AY289" s="302"/>
    </row>
    <row r="290" spans="1:51" x14ac:dyDescent="0.2">
      <c r="A290" s="303"/>
      <c r="B290" s="302"/>
      <c r="C290" s="302"/>
      <c r="D290" s="302"/>
      <c r="E290" s="302"/>
      <c r="F290" s="302"/>
      <c r="G290" s="302"/>
      <c r="H290" s="302"/>
      <c r="I290" s="302"/>
      <c r="J290" s="302"/>
      <c r="K290" s="302"/>
      <c r="L290" s="302"/>
      <c r="M290" s="302"/>
      <c r="N290" s="302"/>
      <c r="O290" s="302"/>
      <c r="P290" s="302"/>
      <c r="Q290" s="302"/>
      <c r="R290" s="302"/>
      <c r="S290" s="302"/>
      <c r="T290" s="302"/>
      <c r="U290" s="302"/>
      <c r="V290" s="302"/>
      <c r="W290" s="302"/>
      <c r="X290" s="302"/>
      <c r="Y290" s="302"/>
      <c r="Z290" s="302"/>
      <c r="AA290" s="302"/>
      <c r="AB290" s="302"/>
      <c r="AC290" s="302"/>
      <c r="AD290" s="302"/>
      <c r="AE290" s="302"/>
      <c r="AF290" s="302"/>
      <c r="AG290" s="302"/>
      <c r="AH290" s="302"/>
      <c r="AI290" s="302"/>
      <c r="AJ290" s="302"/>
      <c r="AK290" s="302"/>
      <c r="AL290" s="302"/>
      <c r="AM290" s="302"/>
      <c r="AN290" s="302"/>
      <c r="AO290" s="302"/>
      <c r="AP290" s="302"/>
      <c r="AQ290" s="302"/>
      <c r="AR290" s="302"/>
      <c r="AS290" s="302"/>
      <c r="AT290" s="302"/>
      <c r="AU290" s="302"/>
      <c r="AV290" s="302"/>
      <c r="AW290" s="302"/>
      <c r="AX290" s="302"/>
      <c r="AY290" s="302"/>
    </row>
    <row r="291" spans="1:51" x14ac:dyDescent="0.2">
      <c r="A291" s="303"/>
      <c r="B291" s="302"/>
      <c r="C291" s="302"/>
      <c r="D291" s="302"/>
      <c r="E291" s="302"/>
      <c r="F291" s="302"/>
      <c r="G291" s="302"/>
      <c r="H291" s="302"/>
      <c r="I291" s="302"/>
      <c r="J291" s="302"/>
      <c r="K291" s="302"/>
      <c r="L291" s="302"/>
      <c r="M291" s="302"/>
      <c r="N291" s="302"/>
      <c r="O291" s="302"/>
      <c r="P291" s="302"/>
      <c r="Q291" s="302"/>
      <c r="R291" s="302"/>
      <c r="S291" s="302"/>
      <c r="T291" s="302"/>
      <c r="U291" s="302"/>
      <c r="V291" s="302"/>
      <c r="W291" s="302"/>
      <c r="X291" s="302"/>
      <c r="Y291" s="302"/>
      <c r="Z291" s="302"/>
      <c r="AA291" s="302"/>
      <c r="AB291" s="302"/>
      <c r="AC291" s="302"/>
      <c r="AD291" s="302"/>
      <c r="AE291" s="302"/>
      <c r="AF291" s="302"/>
      <c r="AG291" s="302"/>
      <c r="AH291" s="302"/>
      <c r="AI291" s="302"/>
      <c r="AJ291" s="302"/>
      <c r="AK291" s="302"/>
      <c r="AL291" s="302"/>
      <c r="AM291" s="302"/>
      <c r="AN291" s="302"/>
      <c r="AO291" s="302"/>
      <c r="AP291" s="302"/>
      <c r="AQ291" s="302"/>
      <c r="AR291" s="302"/>
      <c r="AS291" s="302"/>
      <c r="AT291" s="302"/>
      <c r="AU291" s="302"/>
      <c r="AV291" s="302"/>
      <c r="AW291" s="302"/>
      <c r="AX291" s="302"/>
      <c r="AY291" s="302"/>
    </row>
    <row r="292" spans="1:51" x14ac:dyDescent="0.2">
      <c r="A292" s="303"/>
      <c r="B292" s="302"/>
      <c r="C292" s="302"/>
      <c r="D292" s="302"/>
      <c r="E292" s="302"/>
      <c r="F292" s="302"/>
      <c r="G292" s="302"/>
      <c r="H292" s="302"/>
      <c r="I292" s="302"/>
      <c r="J292" s="302"/>
      <c r="K292" s="302"/>
      <c r="L292" s="302"/>
      <c r="M292" s="302"/>
      <c r="N292" s="302"/>
      <c r="O292" s="302"/>
      <c r="P292" s="302"/>
      <c r="Q292" s="302"/>
      <c r="R292" s="302"/>
      <c r="S292" s="302"/>
      <c r="T292" s="302"/>
      <c r="U292" s="302"/>
      <c r="V292" s="302"/>
      <c r="W292" s="302"/>
      <c r="X292" s="302"/>
      <c r="Y292" s="302"/>
      <c r="Z292" s="302"/>
      <c r="AA292" s="302"/>
      <c r="AB292" s="302"/>
      <c r="AC292" s="302"/>
      <c r="AD292" s="302"/>
      <c r="AE292" s="302"/>
      <c r="AF292" s="302"/>
      <c r="AG292" s="302"/>
      <c r="AH292" s="302"/>
      <c r="AI292" s="302"/>
      <c r="AJ292" s="302"/>
      <c r="AK292" s="302"/>
      <c r="AL292" s="302"/>
      <c r="AM292" s="302"/>
      <c r="AN292" s="302"/>
      <c r="AO292" s="302"/>
      <c r="AP292" s="302"/>
      <c r="AQ292" s="302"/>
      <c r="AR292" s="302"/>
      <c r="AS292" s="302"/>
      <c r="AT292" s="302"/>
      <c r="AU292" s="302"/>
      <c r="AV292" s="302"/>
      <c r="AW292" s="302"/>
      <c r="AX292" s="302"/>
      <c r="AY292" s="302"/>
    </row>
    <row r="293" spans="1:51" x14ac:dyDescent="0.2">
      <c r="A293" s="303"/>
      <c r="B293" s="302"/>
      <c r="C293" s="302"/>
      <c r="D293" s="302"/>
      <c r="E293" s="302"/>
      <c r="F293" s="302"/>
      <c r="G293" s="302"/>
      <c r="H293" s="302"/>
      <c r="I293" s="302"/>
      <c r="J293" s="302"/>
      <c r="K293" s="302"/>
      <c r="L293" s="302"/>
      <c r="M293" s="302"/>
      <c r="N293" s="302"/>
      <c r="O293" s="302"/>
      <c r="P293" s="302"/>
      <c r="Q293" s="302"/>
      <c r="R293" s="302"/>
      <c r="S293" s="302"/>
      <c r="T293" s="302"/>
      <c r="U293" s="302"/>
      <c r="V293" s="302"/>
      <c r="W293" s="302"/>
      <c r="X293" s="302"/>
      <c r="Y293" s="302"/>
      <c r="Z293" s="302"/>
      <c r="AA293" s="302"/>
      <c r="AB293" s="302"/>
      <c r="AC293" s="302"/>
      <c r="AD293" s="302"/>
      <c r="AE293" s="302"/>
      <c r="AF293" s="302"/>
      <c r="AG293" s="302"/>
      <c r="AH293" s="302"/>
      <c r="AI293" s="302"/>
      <c r="AJ293" s="302"/>
      <c r="AK293" s="302"/>
      <c r="AL293" s="302"/>
      <c r="AM293" s="302"/>
      <c r="AN293" s="302"/>
      <c r="AO293" s="302"/>
      <c r="AP293" s="302"/>
      <c r="AQ293" s="302"/>
      <c r="AR293" s="302"/>
      <c r="AS293" s="302"/>
      <c r="AT293" s="302"/>
      <c r="AU293" s="302"/>
      <c r="AV293" s="302"/>
      <c r="AW293" s="302"/>
      <c r="AX293" s="302"/>
      <c r="AY293" s="302"/>
    </row>
    <row r="294" spans="1:51" x14ac:dyDescent="0.2">
      <c r="A294" s="303"/>
      <c r="B294" s="302"/>
      <c r="C294" s="302"/>
      <c r="D294" s="302"/>
      <c r="E294" s="302"/>
      <c r="F294" s="302"/>
      <c r="G294" s="302"/>
      <c r="H294" s="302"/>
      <c r="I294" s="302"/>
      <c r="J294" s="302"/>
      <c r="K294" s="302"/>
      <c r="L294" s="302"/>
      <c r="M294" s="302"/>
      <c r="N294" s="302"/>
      <c r="O294" s="302"/>
      <c r="P294" s="302"/>
      <c r="Q294" s="302"/>
      <c r="R294" s="302"/>
      <c r="S294" s="302"/>
      <c r="T294" s="302"/>
      <c r="U294" s="302"/>
      <c r="V294" s="302"/>
      <c r="W294" s="302"/>
      <c r="X294" s="302"/>
      <c r="Y294" s="302"/>
      <c r="Z294" s="302"/>
      <c r="AA294" s="302"/>
      <c r="AB294" s="302"/>
      <c r="AC294" s="302"/>
      <c r="AD294" s="302"/>
      <c r="AE294" s="302"/>
      <c r="AF294" s="302"/>
      <c r="AG294" s="302"/>
      <c r="AH294" s="302"/>
      <c r="AI294" s="302"/>
      <c r="AJ294" s="302"/>
      <c r="AK294" s="302"/>
      <c r="AL294" s="302"/>
      <c r="AM294" s="302"/>
      <c r="AN294" s="302"/>
      <c r="AO294" s="302"/>
      <c r="AP294" s="302"/>
      <c r="AQ294" s="302"/>
      <c r="AR294" s="302"/>
      <c r="AS294" s="302"/>
      <c r="AT294" s="302"/>
      <c r="AU294" s="302"/>
      <c r="AV294" s="302"/>
      <c r="AW294" s="302"/>
      <c r="AX294" s="302"/>
      <c r="AY294" s="302"/>
    </row>
    <row r="295" spans="1:51" x14ac:dyDescent="0.2">
      <c r="A295" s="303"/>
      <c r="B295" s="302"/>
      <c r="C295" s="302"/>
      <c r="D295" s="302"/>
      <c r="E295" s="302"/>
      <c r="F295" s="302"/>
      <c r="G295" s="302"/>
      <c r="H295" s="302"/>
      <c r="I295" s="302"/>
      <c r="J295" s="302"/>
      <c r="K295" s="302"/>
      <c r="L295" s="302"/>
      <c r="M295" s="302"/>
      <c r="N295" s="302"/>
      <c r="O295" s="302"/>
      <c r="P295" s="302"/>
      <c r="Q295" s="302"/>
      <c r="R295" s="302"/>
      <c r="S295" s="302"/>
      <c r="T295" s="302"/>
      <c r="U295" s="302"/>
      <c r="V295" s="302"/>
      <c r="W295" s="302"/>
      <c r="X295" s="302"/>
      <c r="Y295" s="302"/>
      <c r="Z295" s="302"/>
      <c r="AA295" s="302"/>
      <c r="AB295" s="302"/>
      <c r="AC295" s="302"/>
      <c r="AD295" s="302"/>
      <c r="AE295" s="302"/>
      <c r="AF295" s="302"/>
      <c r="AG295" s="302"/>
      <c r="AH295" s="302"/>
      <c r="AI295" s="302"/>
      <c r="AJ295" s="302"/>
      <c r="AK295" s="302"/>
      <c r="AL295" s="302"/>
      <c r="AM295" s="302"/>
      <c r="AN295" s="302"/>
      <c r="AO295" s="302"/>
      <c r="AP295" s="302"/>
      <c r="AQ295" s="302"/>
      <c r="AR295" s="302"/>
      <c r="AS295" s="302"/>
      <c r="AT295" s="302"/>
      <c r="AU295" s="302"/>
      <c r="AV295" s="302"/>
      <c r="AW295" s="302"/>
      <c r="AX295" s="302"/>
      <c r="AY295" s="302"/>
    </row>
    <row r="296" spans="1:51" x14ac:dyDescent="0.2">
      <c r="A296" s="303"/>
      <c r="B296" s="302"/>
      <c r="C296" s="302"/>
      <c r="D296" s="302"/>
      <c r="E296" s="302"/>
      <c r="F296" s="302"/>
      <c r="G296" s="302"/>
      <c r="H296" s="302"/>
      <c r="I296" s="302"/>
      <c r="J296" s="302"/>
      <c r="K296" s="302"/>
      <c r="L296" s="302"/>
      <c r="M296" s="302"/>
      <c r="N296" s="302"/>
      <c r="O296" s="302"/>
      <c r="P296" s="302"/>
      <c r="Q296" s="302"/>
      <c r="R296" s="302"/>
      <c r="S296" s="302"/>
      <c r="T296" s="302"/>
      <c r="U296" s="302"/>
      <c r="V296" s="302"/>
      <c r="W296" s="302"/>
      <c r="X296" s="302"/>
      <c r="Y296" s="302"/>
      <c r="Z296" s="302"/>
      <c r="AA296" s="302"/>
      <c r="AB296" s="302"/>
      <c r="AC296" s="302"/>
      <c r="AD296" s="302"/>
      <c r="AE296" s="302"/>
      <c r="AF296" s="302"/>
      <c r="AG296" s="302"/>
      <c r="AH296" s="302"/>
      <c r="AI296" s="302"/>
      <c r="AJ296" s="302"/>
      <c r="AK296" s="302"/>
      <c r="AL296" s="302"/>
      <c r="AM296" s="302"/>
      <c r="AN296" s="302"/>
      <c r="AO296" s="302"/>
      <c r="AP296" s="302"/>
      <c r="AQ296" s="302"/>
      <c r="AR296" s="302"/>
      <c r="AS296" s="302"/>
      <c r="AT296" s="302"/>
      <c r="AU296" s="302"/>
      <c r="AV296" s="302"/>
      <c r="AW296" s="302"/>
      <c r="AX296" s="302"/>
      <c r="AY296" s="302"/>
    </row>
    <row r="297" spans="1:51" x14ac:dyDescent="0.2">
      <c r="A297" s="303"/>
      <c r="B297" s="302"/>
      <c r="C297" s="302"/>
      <c r="D297" s="302"/>
      <c r="E297" s="302"/>
      <c r="F297" s="302"/>
      <c r="G297" s="302"/>
      <c r="H297" s="302"/>
      <c r="I297" s="302"/>
      <c r="J297" s="302"/>
      <c r="K297" s="302"/>
      <c r="L297" s="302"/>
      <c r="M297" s="302"/>
      <c r="N297" s="302"/>
      <c r="O297" s="302"/>
      <c r="P297" s="302"/>
      <c r="Q297" s="302"/>
      <c r="R297" s="302"/>
      <c r="S297" s="302"/>
      <c r="T297" s="302"/>
      <c r="U297" s="302"/>
      <c r="V297" s="302"/>
      <c r="W297" s="302"/>
      <c r="X297" s="302"/>
      <c r="Y297" s="302"/>
      <c r="Z297" s="302"/>
      <c r="AA297" s="302"/>
      <c r="AB297" s="302"/>
      <c r="AC297" s="302"/>
      <c r="AD297" s="302"/>
      <c r="AE297" s="302"/>
      <c r="AF297" s="302"/>
      <c r="AG297" s="302"/>
      <c r="AH297" s="302"/>
      <c r="AI297" s="302"/>
      <c r="AJ297" s="302"/>
      <c r="AK297" s="302"/>
      <c r="AL297" s="302"/>
      <c r="AM297" s="302"/>
      <c r="AN297" s="302"/>
      <c r="AO297" s="302"/>
      <c r="AP297" s="302"/>
      <c r="AQ297" s="302"/>
      <c r="AR297" s="302"/>
      <c r="AS297" s="302"/>
      <c r="AT297" s="302"/>
      <c r="AU297" s="302"/>
      <c r="AV297" s="302"/>
      <c r="AW297" s="302"/>
      <c r="AX297" s="302"/>
      <c r="AY297" s="302"/>
    </row>
    <row r="298" spans="1:51" x14ac:dyDescent="0.2">
      <c r="A298" s="303"/>
      <c r="B298" s="302"/>
      <c r="C298" s="302"/>
      <c r="D298" s="302"/>
      <c r="E298" s="302"/>
      <c r="F298" s="302"/>
      <c r="G298" s="302"/>
      <c r="H298" s="302"/>
      <c r="I298" s="302"/>
      <c r="J298" s="302"/>
      <c r="K298" s="302"/>
      <c r="L298" s="302"/>
      <c r="M298" s="302"/>
      <c r="N298" s="302"/>
      <c r="O298" s="302"/>
      <c r="P298" s="302"/>
      <c r="Q298" s="302"/>
      <c r="R298" s="302"/>
      <c r="S298" s="302"/>
      <c r="T298" s="302"/>
      <c r="U298" s="302"/>
      <c r="V298" s="302"/>
      <c r="W298" s="302"/>
      <c r="X298" s="302"/>
      <c r="Y298" s="302"/>
      <c r="Z298" s="302"/>
      <c r="AA298" s="302"/>
      <c r="AB298" s="302"/>
      <c r="AC298" s="302"/>
      <c r="AD298" s="302"/>
      <c r="AE298" s="302"/>
      <c r="AF298" s="302"/>
      <c r="AG298" s="302"/>
      <c r="AH298" s="302"/>
      <c r="AI298" s="302"/>
      <c r="AJ298" s="302"/>
      <c r="AK298" s="302"/>
      <c r="AL298" s="302"/>
      <c r="AM298" s="302"/>
      <c r="AN298" s="302"/>
      <c r="AO298" s="302"/>
      <c r="AP298" s="302"/>
      <c r="AQ298" s="302"/>
      <c r="AR298" s="302"/>
      <c r="AS298" s="302"/>
      <c r="AT298" s="302"/>
      <c r="AU298" s="302"/>
      <c r="AV298" s="302"/>
      <c r="AW298" s="302"/>
      <c r="AX298" s="302"/>
      <c r="AY298" s="302"/>
    </row>
    <row r="299" spans="1:51" x14ac:dyDescent="0.2">
      <c r="A299" s="303"/>
      <c r="B299" s="302"/>
      <c r="C299" s="302"/>
      <c r="D299" s="302"/>
      <c r="E299" s="302"/>
      <c r="F299" s="302"/>
      <c r="G299" s="302"/>
      <c r="H299" s="302"/>
      <c r="I299" s="302"/>
      <c r="J299" s="302"/>
      <c r="K299" s="302"/>
      <c r="L299" s="302"/>
      <c r="M299" s="302"/>
      <c r="N299" s="302"/>
      <c r="O299" s="302"/>
      <c r="P299" s="302"/>
      <c r="Q299" s="302"/>
      <c r="R299" s="302"/>
      <c r="S299" s="302"/>
      <c r="T299" s="302"/>
      <c r="U299" s="302"/>
      <c r="V299" s="302"/>
      <c r="W299" s="302"/>
      <c r="X299" s="302"/>
      <c r="Y299" s="302"/>
      <c r="Z299" s="302"/>
      <c r="AA299" s="302"/>
      <c r="AB299" s="302"/>
      <c r="AC299" s="302"/>
      <c r="AD299" s="302"/>
      <c r="AE299" s="302"/>
      <c r="AF299" s="302"/>
      <c r="AG299" s="302"/>
      <c r="AH299" s="302"/>
      <c r="AI299" s="302"/>
      <c r="AJ299" s="302"/>
      <c r="AK299" s="302"/>
      <c r="AL299" s="302"/>
      <c r="AM299" s="302"/>
      <c r="AN299" s="302"/>
      <c r="AO299" s="302"/>
      <c r="AP299" s="302"/>
      <c r="AQ299" s="302"/>
      <c r="AR299" s="302"/>
      <c r="AS299" s="302"/>
      <c r="AT299" s="302"/>
      <c r="AU299" s="302"/>
      <c r="AV299" s="302"/>
      <c r="AW299" s="302"/>
      <c r="AX299" s="302"/>
      <c r="AY299" s="30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pdateHistoricalData">
                <anchor moveWithCells="1" sizeWithCells="1">
                  <from>
                    <xdr:col>10</xdr:col>
                    <xdr:colOff>28575</xdr:colOff>
                    <xdr:row>0</xdr:row>
                    <xdr:rowOff>95250</xdr:rowOff>
                  </from>
                  <to>
                    <xdr:col>13</xdr:col>
                    <xdr:colOff>152400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15"/>
  <sheetViews>
    <sheetView workbookViewId="0">
      <selection activeCell="E39" sqref="E39"/>
    </sheetView>
  </sheetViews>
  <sheetFormatPr defaultColWidth="8.85546875" defaultRowHeight="12.75" x14ac:dyDescent="0.2"/>
  <cols>
    <col min="1" max="16384" width="8.85546875" style="190"/>
  </cols>
  <sheetData>
    <row r="3" spans="1:1" x14ac:dyDescent="0.2">
      <c r="A3" s="190" t="s">
        <v>163</v>
      </c>
    </row>
    <row r="4" spans="1:1" x14ac:dyDescent="0.2">
      <c r="A4" s="190" t="s">
        <v>164</v>
      </c>
    </row>
    <row r="5" spans="1:1" x14ac:dyDescent="0.2">
      <c r="A5" s="190" t="s">
        <v>165</v>
      </c>
    </row>
    <row r="6" spans="1:1" x14ac:dyDescent="0.2">
      <c r="A6" s="190" t="s">
        <v>166</v>
      </c>
    </row>
    <row r="7" spans="1:1" x14ac:dyDescent="0.2">
      <c r="A7" s="190" t="s">
        <v>167</v>
      </c>
    </row>
    <row r="8" spans="1:1" x14ac:dyDescent="0.2">
      <c r="A8" s="190" t="s">
        <v>163</v>
      </c>
    </row>
    <row r="9" spans="1:1" x14ac:dyDescent="0.2">
      <c r="A9" s="190" t="s">
        <v>168</v>
      </c>
    </row>
    <row r="10" spans="1:1" x14ac:dyDescent="0.2">
      <c r="A10" s="190" t="s">
        <v>169</v>
      </c>
    </row>
    <row r="11" spans="1:1" x14ac:dyDescent="0.2">
      <c r="A11" s="190" t="s">
        <v>170</v>
      </c>
    </row>
    <row r="12" spans="1:1" x14ac:dyDescent="0.2">
      <c r="A12" s="190" t="s">
        <v>171</v>
      </c>
    </row>
    <row r="13" spans="1:1" x14ac:dyDescent="0.2">
      <c r="A13" s="190" t="s">
        <v>172</v>
      </c>
    </row>
    <row r="14" spans="1:1" x14ac:dyDescent="0.2">
      <c r="A14" s="190" t="s">
        <v>173</v>
      </c>
    </row>
    <row r="15" spans="1:1" x14ac:dyDescent="0.2">
      <c r="A15" s="190" t="s">
        <v>174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A81791-D108-4F9C-B72D-0113047C2E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78</vt:i4>
      </vt:variant>
    </vt:vector>
  </HeadingPairs>
  <TitlesOfParts>
    <vt:vector size="84" baseType="lpstr">
      <vt:lpstr>Design</vt:lpstr>
      <vt:lpstr>Graphs</vt:lpstr>
      <vt:lpstr>Calculations</vt:lpstr>
      <vt:lpstr>MATLAB_Data</vt:lpstr>
      <vt:lpstr>Historical_Data</vt:lpstr>
      <vt:lpstr>License_Info</vt:lpstr>
      <vt:lpstr>_num_AL</vt:lpstr>
      <vt:lpstr>_num_assets</vt:lpstr>
      <vt:lpstr>_num_groups</vt:lpstr>
      <vt:lpstr>_num_liab</vt:lpstr>
      <vt:lpstr>AL_list_start</vt:lpstr>
      <vt:lpstr>asset_min_start</vt:lpstr>
      <vt:lpstr>curr_wts_start</vt:lpstr>
      <vt:lpstr>date_end_row</vt:lpstr>
      <vt:lpstr>date_rows</vt:lpstr>
      <vt:lpstr>date_start_row</vt:lpstr>
      <vt:lpstr>fpathDataSource</vt:lpstr>
      <vt:lpstr>graph_area</vt:lpstr>
      <vt:lpstr>group_combo_start</vt:lpstr>
      <vt:lpstr>group_max_start</vt:lpstr>
      <vt:lpstr>group_min_start</vt:lpstr>
      <vt:lpstr>grph_aggregate_matrix</vt:lpstr>
      <vt:lpstr>grph_CorpData1</vt:lpstr>
      <vt:lpstr>grph_CorpData2</vt:lpstr>
      <vt:lpstr>grph_scale</vt:lpstr>
      <vt:lpstr>grph_seriesList</vt:lpstr>
      <vt:lpstr>grph_targetScen1</vt:lpstr>
      <vt:lpstr>grph_targetScen2</vt:lpstr>
      <vt:lpstr>Historical_Data_Columns</vt:lpstr>
      <vt:lpstr>Historical_Data_Rows</vt:lpstr>
      <vt:lpstr>Historical_Data_Start</vt:lpstr>
      <vt:lpstr>inp_AL_maxs</vt:lpstr>
      <vt:lpstr>inp_AL_mins</vt:lpstr>
      <vt:lpstr>inp_correl_start</vt:lpstr>
      <vt:lpstr>inp_covar_start</vt:lpstr>
      <vt:lpstr>inp_curr_wts</vt:lpstr>
      <vt:lpstr>inp_hist_end</vt:lpstr>
      <vt:lpstr>inp_hist_start</vt:lpstr>
      <vt:lpstr>inp_ML_dir</vt:lpstr>
      <vt:lpstr>inp_num_AL</vt:lpstr>
      <vt:lpstr>inp_num_assts</vt:lpstr>
      <vt:lpstr>inp_num_cv</vt:lpstr>
      <vt:lpstr>inp_num_ef</vt:lpstr>
      <vt:lpstr>inp_num_grps</vt:lpstr>
      <vt:lpstr>inp_num_obs</vt:lpstr>
      <vt:lpstr>inp_num_relative_grps</vt:lpstr>
      <vt:lpstr>inp_num_rs</vt:lpstr>
      <vt:lpstr>inp_prob_cv</vt:lpstr>
      <vt:lpstr>inp_random_seed</vt:lpstr>
      <vt:lpstr>inp_relwt_rs</vt:lpstr>
      <vt:lpstr>inp_return_source</vt:lpstr>
      <vt:lpstr>inp_run_name</vt:lpstr>
      <vt:lpstr>inp_type_opt</vt:lpstr>
      <vt:lpstr>inp_type_rs</vt:lpstr>
      <vt:lpstr>inp_type_tr</vt:lpstr>
      <vt:lpstr>model_group_max_start</vt:lpstr>
      <vt:lpstr>model_group_min_start</vt:lpstr>
      <vt:lpstr>model_output_asset_return_start</vt:lpstr>
      <vt:lpstr>model_output_asset_vol_start</vt:lpstr>
      <vt:lpstr>model_output_curr_return</vt:lpstr>
      <vt:lpstr>model_output_curr_risk</vt:lpstr>
      <vt:lpstr>model_output_curr_wts_start</vt:lpstr>
      <vt:lpstr>model_output_datetime</vt:lpstr>
      <vt:lpstr>model_output_ef_labels_start</vt:lpstr>
      <vt:lpstr>model_output_ef_return_start</vt:lpstr>
      <vt:lpstr>model_output_ef_risk_start</vt:lpstr>
      <vt:lpstr>model_output_ef_wts_start</vt:lpstr>
      <vt:lpstr>model_output_return_start</vt:lpstr>
      <vt:lpstr>model_output_risk_start</vt:lpstr>
      <vt:lpstr>model_output_sr_return</vt:lpstr>
      <vt:lpstr>model_output_sr_risk</vt:lpstr>
      <vt:lpstr>model_output_sr_wts_start</vt:lpstr>
      <vt:lpstr>model_relative_max_start</vt:lpstr>
      <vt:lpstr>model_relative_min_start</vt:lpstr>
      <vt:lpstr>model_TR_start</vt:lpstr>
      <vt:lpstr>model_Vol_start</vt:lpstr>
      <vt:lpstr>relative_combination_count</vt:lpstr>
      <vt:lpstr>relative_comboA_start</vt:lpstr>
      <vt:lpstr>relative_comboB_start</vt:lpstr>
      <vt:lpstr>RunMode</vt:lpstr>
      <vt:lpstr>Series1Anchor</vt:lpstr>
      <vt:lpstr>Series2Anchor</vt:lpstr>
      <vt:lpstr>Start_Calc</vt:lpstr>
      <vt:lpstr>Start_Output</vt:lpstr>
    </vt:vector>
  </TitlesOfParts>
  <Company>John Hancock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Murray</dc:creator>
  <cp:lastModifiedBy>Michael Wang</cp:lastModifiedBy>
  <cp:lastPrinted>2016-03-17T13:57:18Z</cp:lastPrinted>
  <dcterms:created xsi:type="dcterms:W3CDTF">2015-12-18T15:04:16Z</dcterms:created>
  <dcterms:modified xsi:type="dcterms:W3CDTF">2017-10-19T19:41:09Z</dcterms:modified>
</cp:coreProperties>
</file>