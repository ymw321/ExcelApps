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ExcelSamples\"/>
    </mc:Choice>
  </mc:AlternateContent>
  <xr:revisionPtr revIDLastSave="0" documentId="13_ncr:1_{2413ABFE-078C-4446-A2D3-091499652218}" xr6:coauthVersionLast="45" xr6:coauthVersionMax="45" xr10:uidLastSave="{00000000-0000-0000-0000-000000000000}"/>
  <bookViews>
    <workbookView xWindow="19280" yWindow="40" windowWidth="25430" windowHeight="11000" xr2:uid="{00000000-000D-0000-FFFF-FFFF00000000}"/>
  </bookViews>
  <sheets>
    <sheet name="Data" sheetId="1" r:id="rId1"/>
  </sheets>
  <functionGroups builtInGroupCount="19"/>
  <definedNames>
    <definedName name="_xlnm._FilterDatabase" localSheetId="0" hidden="1">Data!$A$1:$G$105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1" l="1"/>
  <c r="K3" i="1" l="1"/>
  <c r="J8" i="1"/>
  <c r="K8" i="1"/>
  <c r="L8" i="1"/>
  <c r="M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CIBC</author>
  </authors>
  <commentList>
    <comment ref="J8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>MW:</t>
        </r>
        <r>
          <rPr>
            <sz val="10"/>
            <color indexed="81"/>
            <rFont val="Tahoma"/>
            <family val="2"/>
          </rPr>
          <t xml:space="preserve">
use the key string "key1;key2;key3…" consistently with the DataKeys</t>
        </r>
      </text>
    </comment>
    <comment ref="L8" authorId="0" shapeId="0" xr:uid="{00000000-0006-0000-0000-000002000000}">
      <text>
        <r>
          <rPr>
            <b/>
            <sz val="10"/>
            <color indexed="81"/>
            <rFont val="Tahoma"/>
            <family val="2"/>
          </rPr>
          <t>CIBC:</t>
        </r>
        <r>
          <rPr>
            <sz val="10"/>
            <color indexed="81"/>
            <rFont val="Tahoma"/>
            <family val="2"/>
          </rPr>
          <t xml:space="preserve">
use the key string "key1;key2;key3…" consistently with the DataKeys</t>
        </r>
      </text>
    </comment>
    <comment ref="M8" authorId="0" shapeId="0" xr:uid="{00000000-0006-0000-0000-000003000000}">
      <text>
        <r>
          <rPr>
            <b/>
            <sz val="10"/>
            <color indexed="81"/>
            <rFont val="Tahoma"/>
            <family val="2"/>
          </rPr>
          <t>CIBC:</t>
        </r>
        <r>
          <rPr>
            <sz val="10"/>
            <color indexed="81"/>
            <rFont val="Tahoma"/>
            <family val="2"/>
          </rPr>
          <t xml:space="preserve">
use the key string "key1;key2;key3…" consistently with the DataKeys</t>
        </r>
      </text>
    </comment>
  </commentList>
</comments>
</file>

<file path=xl/sharedStrings.xml><?xml version="1.0" encoding="utf-8"?>
<sst xmlns="http://schemas.openxmlformats.org/spreadsheetml/2006/main" count="332" uniqueCount="24">
  <si>
    <t>MarkDate</t>
  </si>
  <si>
    <t>ScenarioName</t>
  </si>
  <si>
    <t>LOB</t>
  </si>
  <si>
    <t>SecType</t>
  </si>
  <si>
    <t>NPV</t>
  </si>
  <si>
    <t>DV01</t>
  </si>
  <si>
    <t>CashSettle</t>
  </si>
  <si>
    <t>BASE_Close</t>
  </si>
  <si>
    <t>BBB</t>
  </si>
  <si>
    <t>RT_Swaption</t>
  </si>
  <si>
    <t>CMI</t>
  </si>
  <si>
    <t xml:space="preserve">RT_FRA     </t>
  </si>
  <si>
    <t>FLT</t>
  </si>
  <si>
    <t>PCF</t>
  </si>
  <si>
    <t>BASE_New</t>
  </si>
  <si>
    <t>CloseT+1</t>
  </si>
  <si>
    <t>ConstLiq</t>
  </si>
  <si>
    <t>ConstLiq+1</t>
  </si>
  <si>
    <t>SWP_Close</t>
  </si>
  <si>
    <t>SWP_Open</t>
  </si>
  <si>
    <t>SWP_T+1</t>
  </si>
  <si>
    <t>add grid</t>
  </si>
  <si>
    <t>name</t>
  </si>
  <si>
    <t>PreviousDate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</si>
</sst>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mm/dd/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7">
    <xf numFmtId="0" fontId="0" fillId="0" borderId="0" xfId="0"/>
    <xf numFmtId="0" fontId="2" fillId="2" borderId="0" xfId="0" applyFont="1" applyFill="1"/>
    <xf numFmtId="164" fontId="0" fillId="0" borderId="0" xfId="0" applyNumberFormat="1"/>
    <xf numFmtId="4" fontId="0" fillId="0" borderId="0" xfId="1" applyNumberFormat="1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43" fontId="0" fillId="0" borderId="7" xfId="1" applyFont="1" applyBorder="1"/>
    <xf numFmtId="43" fontId="0" fillId="0" borderId="4" xfId="1" applyFont="1" applyBorder="1"/>
    <xf numFmtId="43" fontId="0" fillId="0" borderId="8" xfId="1" applyFont="1" applyBorder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15</xdr:row>
      <xdr:rowOff>47625</xdr:rowOff>
    </xdr:from>
    <xdr:to>
      <xdr:col>11</xdr:col>
      <xdr:colOff>847725</xdr:colOff>
      <xdr:row>29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3D3EFAB-257B-45CA-83C6-94F4B4CFE55A}"/>
            </a:ext>
          </a:extLst>
        </xdr:cNvPr>
        <xdr:cNvSpPr txBox="1"/>
      </xdr:nvSpPr>
      <xdr:spPr>
        <a:xfrm>
          <a:off x="5705475" y="2933700"/>
          <a:ext cx="4514850" cy="2743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Functions</a:t>
          </a:r>
          <a:r>
            <a:rPr lang="en-US" sz="1100"/>
            <a:t>	</a:t>
          </a:r>
        </a:p>
        <a:p>
          <a:r>
            <a:rPr lang="en-US" sz="1100" b="1"/>
            <a:t>BuildMWDataGrid</a:t>
          </a:r>
          <a:r>
            <a:rPr lang="en-US" sz="1100"/>
            <a:t>	</a:t>
          </a:r>
        </a:p>
        <a:p>
          <a:pPr lvl="1"/>
          <a:r>
            <a:rPr lang="en-US" sz="1100"/>
            <a:t>build a reference to a data grid:</a:t>
          </a:r>
        </a:p>
        <a:p>
          <a:pPr lvl="1"/>
          <a:r>
            <a:rPr lang="en-US" sz="1000" i="1"/>
            <a:t>(GridName As String, HeaderRow As Range, KeyColumns As Range)</a:t>
          </a:r>
        </a:p>
        <a:p>
          <a:pPr lvl="1"/>
          <a:r>
            <a:rPr lang="en-US" sz="1000" i="1"/>
            <a:t>KeyDelimit default to [;]</a:t>
          </a:r>
        </a:p>
        <a:p>
          <a:r>
            <a:rPr lang="en-US" sz="1100"/>
            <a:t>	</a:t>
          </a:r>
        </a:p>
        <a:p>
          <a:r>
            <a:rPr lang="en-US" sz="1100" b="1"/>
            <a:t>DataGridLookupSum</a:t>
          </a:r>
          <a:r>
            <a:rPr lang="en-US" sz="1100" b="0" baseline="0"/>
            <a:t> 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(GridName As String, LookupFieldName As String, KeyStr As String)</a:t>
          </a:r>
          <a:endParaRPr lang="en-US" sz="1100" b="0" baseline="0"/>
        </a:p>
        <a:p>
          <a:pPr lvl="1"/>
          <a:r>
            <a:rPr lang="en-US" sz="1100"/>
            <a:t>look up the values given the key=value list delimited as indicated,</a:t>
          </a:r>
          <a:r>
            <a:rPr lang="en-US" sz="1100" baseline="0"/>
            <a:t> e.g. </a:t>
          </a:r>
          <a:r>
            <a:rPr lang="en-US" sz="800" i="1" baseline="0">
              <a:solidFill>
                <a:srgbClr val="FF0000"/>
              </a:solidFill>
            </a:rPr>
            <a:t>"MarkDate=39820;ScenarioName=BASE_Close;LOB=BBB;SecType=RT_Swaption"</a:t>
          </a:r>
          <a:endParaRPr lang="en-US" sz="800" i="1">
            <a:solidFill>
              <a:srgbClr val="FF0000"/>
            </a:solidFill>
          </a:endParaRPr>
        </a:p>
        <a:p>
          <a:pPr lvl="1"/>
          <a:r>
            <a:rPr lang="en-US" sz="1100"/>
            <a:t>At least one key has to be provided.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5"/>
  <sheetViews>
    <sheetView tabSelected="1" workbookViewId="0">
      <selection activeCell="I12" sqref="I12"/>
    </sheetView>
  </sheetViews>
  <sheetFormatPr defaultRowHeight="15" x14ac:dyDescent="0.25"/>
  <cols>
    <col min="1" max="1" width="10.42578125" bestFit="1" customWidth="1"/>
    <col min="2" max="2" width="14.5703125" bestFit="1" customWidth="1"/>
    <col min="3" max="3" width="4.85546875" bestFit="1" customWidth="1"/>
    <col min="5" max="5" width="12.7109375" bestFit="1" customWidth="1"/>
    <col min="6" max="6" width="10.140625" bestFit="1" customWidth="1"/>
    <col min="7" max="7" width="11.7109375" bestFit="1" customWidth="1"/>
    <col min="8" max="8" width="11.7109375" customWidth="1"/>
    <col min="9" max="9" width="21.140625" customWidth="1"/>
    <col min="10" max="10" width="18.5703125" customWidth="1"/>
    <col min="11" max="11" width="15.5703125" customWidth="1"/>
    <col min="12" max="13" width="13.285156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/>
    </row>
    <row r="2" spans="1:13" x14ac:dyDescent="0.25">
      <c r="A2" s="2">
        <v>39820</v>
      </c>
      <c r="B2" t="s">
        <v>7</v>
      </c>
      <c r="C2" t="s">
        <v>8</v>
      </c>
      <c r="D2" t="s">
        <v>9</v>
      </c>
      <c r="E2" s="3">
        <v>142104.1102</v>
      </c>
      <c r="F2" s="3">
        <v>2610.4180999999999</v>
      </c>
      <c r="G2" s="3">
        <v>0</v>
      </c>
      <c r="H2" s="3"/>
      <c r="J2" t="s">
        <v>21</v>
      </c>
      <c r="K2" t="str">
        <f>BuildMWDataGrid("GridMTM",A1:G1,A1:D105)</f>
        <v>GridMTM: Keys= MarkDate;ScenarioName;LOB;SecType;
(2020-12-18 11:31:26 AM)</v>
      </c>
    </row>
    <row r="3" spans="1:13" x14ac:dyDescent="0.25">
      <c r="A3" s="2">
        <v>39820</v>
      </c>
      <c r="B3" t="s">
        <v>7</v>
      </c>
      <c r="C3" t="s">
        <v>10</v>
      </c>
      <c r="D3" t="s">
        <v>11</v>
      </c>
      <c r="E3" s="3">
        <v>-727622.43839999998</v>
      </c>
      <c r="F3" s="3">
        <v>27477.802899999999</v>
      </c>
      <c r="G3" s="3">
        <v>-2157.5862000000002</v>
      </c>
      <c r="H3" s="3"/>
      <c r="J3" t="s">
        <v>22</v>
      </c>
      <c r="K3" t="str">
        <f>LEFT(K2, FIND(":",K2,1)-1)</f>
        <v>GridMTM</v>
      </c>
    </row>
    <row r="4" spans="1:13" x14ac:dyDescent="0.25">
      <c r="A4" s="2">
        <v>39820</v>
      </c>
      <c r="B4" t="s">
        <v>7</v>
      </c>
      <c r="C4" t="s">
        <v>10</v>
      </c>
      <c r="D4" t="s">
        <v>9</v>
      </c>
      <c r="E4" s="3">
        <v>4983002.4995999997</v>
      </c>
      <c r="F4" s="3">
        <v>81968.940400000007</v>
      </c>
      <c r="G4" s="3">
        <v>0.97729999999999995</v>
      </c>
      <c r="H4" s="3"/>
    </row>
    <row r="5" spans="1:13" ht="15.75" thickBot="1" x14ac:dyDescent="0.3">
      <c r="A5" s="2">
        <v>39820</v>
      </c>
      <c r="B5" t="s">
        <v>7</v>
      </c>
      <c r="C5" t="s">
        <v>12</v>
      </c>
      <c r="D5" t="s">
        <v>11</v>
      </c>
      <c r="E5" s="3">
        <v>-4277.5369000000001</v>
      </c>
      <c r="F5" s="3">
        <v>377.8931</v>
      </c>
      <c r="G5" s="3">
        <v>0</v>
      </c>
      <c r="H5" s="3"/>
    </row>
    <row r="6" spans="1:13" x14ac:dyDescent="0.25">
      <c r="A6" s="2">
        <v>39820</v>
      </c>
      <c r="B6" t="s">
        <v>7</v>
      </c>
      <c r="C6" t="s">
        <v>12</v>
      </c>
      <c r="D6" t="s">
        <v>9</v>
      </c>
      <c r="E6" s="3">
        <v>3876082.5318</v>
      </c>
      <c r="F6" s="3">
        <v>59650.805500000002</v>
      </c>
      <c r="G6" s="3">
        <v>189.75800000000001</v>
      </c>
      <c r="H6" s="3"/>
      <c r="J6" s="14" t="s">
        <v>4</v>
      </c>
      <c r="K6" s="15"/>
      <c r="L6" s="15"/>
      <c r="M6" s="16"/>
    </row>
    <row r="7" spans="1:13" ht="15.75" thickBot="1" x14ac:dyDescent="0.3">
      <c r="A7" s="2">
        <v>39820</v>
      </c>
      <c r="B7" t="s">
        <v>7</v>
      </c>
      <c r="C7" t="s">
        <v>13</v>
      </c>
      <c r="D7" t="s">
        <v>11</v>
      </c>
      <c r="E7" s="3">
        <v>69.691299999999998</v>
      </c>
      <c r="F7" s="3">
        <v>31.424299999999999</v>
      </c>
      <c r="G7" s="3">
        <v>0</v>
      </c>
      <c r="H7" s="3"/>
      <c r="J7" s="4" t="s">
        <v>8</v>
      </c>
      <c r="K7" s="5" t="s">
        <v>10</v>
      </c>
      <c r="L7" s="5" t="s">
        <v>12</v>
      </c>
      <c r="M7" s="6" t="s">
        <v>13</v>
      </c>
    </row>
    <row r="8" spans="1:13" x14ac:dyDescent="0.25">
      <c r="A8" s="2">
        <v>39820</v>
      </c>
      <c r="B8" t="s">
        <v>7</v>
      </c>
      <c r="C8" t="s">
        <v>13</v>
      </c>
      <c r="D8" t="s">
        <v>9</v>
      </c>
      <c r="E8" s="3">
        <v>1411065.6244999999</v>
      </c>
      <c r="F8" s="3">
        <v>19480.519899999999</v>
      </c>
      <c r="G8" s="3">
        <v>0</v>
      </c>
      <c r="H8" s="3"/>
      <c r="I8" s="10" t="s">
        <v>9</v>
      </c>
      <c r="J8" s="7">
        <f t="shared" ref="J8:M8" si="0">MWGridLookupSum($K$3,$J$6, "MarkDate=" &amp; $K$11 &amp;";ScenarioName=" &amp;$K$12&amp;";LOB=" &amp;J$7 &amp;";SecType="&amp;$I8)</f>
        <v>142104.1102</v>
      </c>
      <c r="K8" s="7">
        <f t="shared" si="0"/>
        <v>4983002.4995999997</v>
      </c>
      <c r="L8" s="7">
        <f t="shared" si="0"/>
        <v>3876082.5318</v>
      </c>
      <c r="M8" s="7">
        <f t="shared" si="0"/>
        <v>1411065.6244999999</v>
      </c>
    </row>
    <row r="9" spans="1:13" ht="15.75" thickBot="1" x14ac:dyDescent="0.3">
      <c r="A9" s="2">
        <v>39820</v>
      </c>
      <c r="B9" t="s">
        <v>14</v>
      </c>
      <c r="C9" t="s">
        <v>8</v>
      </c>
      <c r="D9" t="s">
        <v>9</v>
      </c>
      <c r="E9" s="3">
        <v>15626.477800000001</v>
      </c>
      <c r="F9" s="3">
        <v>247.73910000000001</v>
      </c>
      <c r="G9" s="3">
        <v>0</v>
      </c>
      <c r="H9" s="3"/>
      <c r="I9" s="10" t="s">
        <v>11</v>
      </c>
      <c r="J9" s="8"/>
      <c r="K9" s="8"/>
      <c r="L9" s="8"/>
      <c r="M9" s="9"/>
    </row>
    <row r="10" spans="1:13" x14ac:dyDescent="0.25">
      <c r="A10" s="2">
        <v>39820</v>
      </c>
      <c r="B10" t="s">
        <v>14</v>
      </c>
      <c r="C10" t="s">
        <v>10</v>
      </c>
      <c r="D10" t="s">
        <v>11</v>
      </c>
      <c r="E10" s="3">
        <v>1580.0214000000001</v>
      </c>
      <c r="F10" s="3">
        <v>5148.7428</v>
      </c>
      <c r="G10" s="3">
        <v>0</v>
      </c>
      <c r="H10" s="3"/>
    </row>
    <row r="11" spans="1:13" x14ac:dyDescent="0.25">
      <c r="A11" s="2">
        <v>39820</v>
      </c>
      <c r="B11" t="s">
        <v>14</v>
      </c>
      <c r="C11" t="s">
        <v>10</v>
      </c>
      <c r="D11" t="s">
        <v>9</v>
      </c>
      <c r="E11" s="3">
        <v>346757.6287</v>
      </c>
      <c r="F11" s="3">
        <v>6069.9416000000001</v>
      </c>
      <c r="G11" s="3">
        <v>0</v>
      </c>
      <c r="H11" s="3"/>
      <c r="J11" t="s">
        <v>0</v>
      </c>
      <c r="K11" s="11">
        <v>39820</v>
      </c>
    </row>
    <row r="12" spans="1:13" x14ac:dyDescent="0.25">
      <c r="A12" s="2">
        <v>39820</v>
      </c>
      <c r="B12" t="s">
        <v>14</v>
      </c>
      <c r="C12" t="s">
        <v>12</v>
      </c>
      <c r="D12" t="s">
        <v>11</v>
      </c>
      <c r="E12" s="3">
        <v>28.424800000000001</v>
      </c>
      <c r="F12" s="3">
        <v>81.308099999999996</v>
      </c>
      <c r="G12" s="3">
        <v>0</v>
      </c>
      <c r="H12" s="3"/>
      <c r="J12" t="s">
        <v>1</v>
      </c>
      <c r="K12" t="s">
        <v>7</v>
      </c>
    </row>
    <row r="13" spans="1:13" x14ac:dyDescent="0.25">
      <c r="A13" s="2">
        <v>39820</v>
      </c>
      <c r="B13" t="s">
        <v>14</v>
      </c>
      <c r="C13" t="s">
        <v>12</v>
      </c>
      <c r="D13" t="s">
        <v>9</v>
      </c>
      <c r="E13" s="3">
        <v>393381.63760000002</v>
      </c>
      <c r="F13" s="3">
        <v>5699.2116999999998</v>
      </c>
      <c r="G13" s="3">
        <v>0</v>
      </c>
      <c r="H13" s="3"/>
      <c r="J13" t="s">
        <v>23</v>
      </c>
      <c r="K13" s="11">
        <v>39819</v>
      </c>
    </row>
    <row r="14" spans="1:13" x14ac:dyDescent="0.25">
      <c r="A14" s="2">
        <v>39820</v>
      </c>
      <c r="B14" t="s">
        <v>14</v>
      </c>
      <c r="C14" t="s">
        <v>13</v>
      </c>
      <c r="D14" t="s">
        <v>11</v>
      </c>
      <c r="E14" s="3">
        <v>25.6538</v>
      </c>
      <c r="F14" s="3">
        <v>31.440799999999999</v>
      </c>
      <c r="G14" s="3">
        <v>0</v>
      </c>
      <c r="H14" s="3"/>
    </row>
    <row r="15" spans="1:13" x14ac:dyDescent="0.25">
      <c r="A15" s="2">
        <v>39820</v>
      </c>
      <c r="B15" t="s">
        <v>14</v>
      </c>
      <c r="C15" t="s">
        <v>13</v>
      </c>
      <c r="D15" t="s">
        <v>9</v>
      </c>
      <c r="E15" s="3">
        <v>83622.584400000007</v>
      </c>
      <c r="F15" s="3">
        <v>1312.0451</v>
      </c>
      <c r="G15" s="3">
        <v>0</v>
      </c>
      <c r="H15" s="3"/>
    </row>
    <row r="16" spans="1:13" x14ac:dyDescent="0.25">
      <c r="A16" s="2">
        <v>39820</v>
      </c>
      <c r="B16" t="s">
        <v>15</v>
      </c>
      <c r="C16" t="s">
        <v>8</v>
      </c>
      <c r="D16" t="s">
        <v>9</v>
      </c>
      <c r="E16" s="3">
        <v>136763.81950000001</v>
      </c>
      <c r="F16" s="3">
        <v>2538.3157999999999</v>
      </c>
      <c r="G16" s="3">
        <v>0</v>
      </c>
      <c r="H16" s="3"/>
    </row>
    <row r="17" spans="1:10" x14ac:dyDescent="0.25">
      <c r="A17" s="2">
        <v>39820</v>
      </c>
      <c r="B17" t="s">
        <v>15</v>
      </c>
      <c r="C17" t="s">
        <v>10</v>
      </c>
      <c r="D17" t="s">
        <v>11</v>
      </c>
      <c r="E17" s="3">
        <v>-732549.07400000002</v>
      </c>
      <c r="F17" s="3">
        <v>27480.891199999998</v>
      </c>
      <c r="G17" s="3">
        <v>0</v>
      </c>
      <c r="H17" s="3"/>
      <c r="I17" s="10"/>
    </row>
    <row r="18" spans="1:10" x14ac:dyDescent="0.25">
      <c r="A18" s="2">
        <v>39820</v>
      </c>
      <c r="B18" t="s">
        <v>15</v>
      </c>
      <c r="C18" t="s">
        <v>10</v>
      </c>
      <c r="D18" t="s">
        <v>9</v>
      </c>
      <c r="E18" s="3">
        <v>4809946.5080000004</v>
      </c>
      <c r="F18" s="3">
        <v>79730.352400000003</v>
      </c>
      <c r="G18" s="3">
        <v>0</v>
      </c>
      <c r="H18" s="3"/>
    </row>
    <row r="19" spans="1:10" x14ac:dyDescent="0.25">
      <c r="A19" s="2">
        <v>39820</v>
      </c>
      <c r="B19" t="s">
        <v>15</v>
      </c>
      <c r="C19" t="s">
        <v>12</v>
      </c>
      <c r="D19" t="s">
        <v>11</v>
      </c>
      <c r="E19" s="3">
        <v>-4350.2700999999997</v>
      </c>
      <c r="F19" s="3">
        <v>377.93430000000001</v>
      </c>
      <c r="G19" s="3">
        <v>0</v>
      </c>
      <c r="H19" s="3"/>
    </row>
    <row r="20" spans="1:10" x14ac:dyDescent="0.25">
      <c r="A20" s="2">
        <v>39820</v>
      </c>
      <c r="B20" t="s">
        <v>15</v>
      </c>
      <c r="C20" t="s">
        <v>12</v>
      </c>
      <c r="D20" t="s">
        <v>9</v>
      </c>
      <c r="E20" s="3">
        <v>3754836.9345999998</v>
      </c>
      <c r="F20" s="3">
        <v>57926.274100000002</v>
      </c>
      <c r="G20" s="3">
        <v>0</v>
      </c>
      <c r="H20" s="3"/>
      <c r="I20" s="12"/>
      <c r="J20" s="13"/>
    </row>
    <row r="21" spans="1:10" x14ac:dyDescent="0.25">
      <c r="A21" s="2">
        <v>39820</v>
      </c>
      <c r="B21" t="s">
        <v>15</v>
      </c>
      <c r="C21" t="s">
        <v>13</v>
      </c>
      <c r="D21" t="s">
        <v>11</v>
      </c>
      <c r="E21" s="3">
        <v>63.846600000000002</v>
      </c>
      <c r="F21" s="3">
        <v>31.428100000000001</v>
      </c>
      <c r="G21" s="3">
        <v>0</v>
      </c>
      <c r="H21" s="3"/>
    </row>
    <row r="22" spans="1:10" x14ac:dyDescent="0.25">
      <c r="A22" s="2">
        <v>39820</v>
      </c>
      <c r="B22" t="s">
        <v>15</v>
      </c>
      <c r="C22" t="s">
        <v>13</v>
      </c>
      <c r="D22" t="s">
        <v>9</v>
      </c>
      <c r="E22" s="3">
        <v>1374974.6558000001</v>
      </c>
      <c r="F22" s="3">
        <v>18986.767599999999</v>
      </c>
      <c r="G22" s="3">
        <v>0</v>
      </c>
      <c r="H22" s="3"/>
    </row>
    <row r="23" spans="1:10" x14ac:dyDescent="0.25">
      <c r="A23" s="2">
        <v>39820</v>
      </c>
      <c r="B23" t="s">
        <v>16</v>
      </c>
      <c r="C23" t="s">
        <v>8</v>
      </c>
      <c r="D23" t="s">
        <v>9</v>
      </c>
      <c r="E23" s="3">
        <v>177494.83809999999</v>
      </c>
      <c r="F23" s="3">
        <v>3033.7123999999999</v>
      </c>
      <c r="G23" s="3">
        <v>0</v>
      </c>
      <c r="H23" s="3"/>
    </row>
    <row r="24" spans="1:10" x14ac:dyDescent="0.25">
      <c r="A24" s="2">
        <v>39820</v>
      </c>
      <c r="B24" t="s">
        <v>16</v>
      </c>
      <c r="C24" t="s">
        <v>10</v>
      </c>
      <c r="D24" t="s">
        <v>11</v>
      </c>
      <c r="E24" s="3">
        <v>-346770.11560000002</v>
      </c>
      <c r="F24" s="3">
        <v>26145.047399999999</v>
      </c>
      <c r="G24" s="3">
        <v>-722.37310000000002</v>
      </c>
      <c r="H24" s="3"/>
    </row>
    <row r="25" spans="1:10" x14ac:dyDescent="0.25">
      <c r="A25" s="2">
        <v>39820</v>
      </c>
      <c r="B25" t="s">
        <v>16</v>
      </c>
      <c r="C25" t="s">
        <v>10</v>
      </c>
      <c r="D25" t="s">
        <v>9</v>
      </c>
      <c r="E25" s="3">
        <v>5774132.1852000002</v>
      </c>
      <c r="F25" s="3">
        <v>90149.519400000005</v>
      </c>
      <c r="G25" s="3">
        <v>669.04420000000005</v>
      </c>
      <c r="H25" s="3"/>
    </row>
    <row r="26" spans="1:10" x14ac:dyDescent="0.25">
      <c r="A26" s="2">
        <v>39820</v>
      </c>
      <c r="B26" t="s">
        <v>16</v>
      </c>
      <c r="C26" t="s">
        <v>12</v>
      </c>
      <c r="D26" t="s">
        <v>11</v>
      </c>
      <c r="E26" s="3">
        <v>-1046.269</v>
      </c>
      <c r="F26" s="3">
        <v>376.49200000000002</v>
      </c>
      <c r="G26" s="3">
        <v>0</v>
      </c>
      <c r="H26" s="3"/>
    </row>
    <row r="27" spans="1:10" x14ac:dyDescent="0.25">
      <c r="A27" s="2">
        <v>39820</v>
      </c>
      <c r="B27" t="s">
        <v>16</v>
      </c>
      <c r="C27" t="s">
        <v>12</v>
      </c>
      <c r="D27" t="s">
        <v>9</v>
      </c>
      <c r="E27" s="3">
        <v>3996754.4663</v>
      </c>
      <c r="F27" s="3">
        <v>58413.879099999998</v>
      </c>
      <c r="G27" s="3">
        <v>457.80860000000001</v>
      </c>
      <c r="H27" s="3"/>
    </row>
    <row r="28" spans="1:10" x14ac:dyDescent="0.25">
      <c r="A28" s="2">
        <v>39820</v>
      </c>
      <c r="B28" t="s">
        <v>16</v>
      </c>
      <c r="C28" t="s">
        <v>13</v>
      </c>
      <c r="D28" t="s">
        <v>11</v>
      </c>
      <c r="E28" s="3">
        <v>69.691299999999998</v>
      </c>
      <c r="F28" s="3">
        <v>31.424299999999999</v>
      </c>
      <c r="G28" s="3">
        <v>0</v>
      </c>
      <c r="H28" s="3"/>
    </row>
    <row r="29" spans="1:10" x14ac:dyDescent="0.25">
      <c r="A29" s="2">
        <v>39820</v>
      </c>
      <c r="B29" t="s">
        <v>16</v>
      </c>
      <c r="C29" t="s">
        <v>13</v>
      </c>
      <c r="D29" t="s">
        <v>9</v>
      </c>
      <c r="E29" s="3">
        <v>1189044.1407000001</v>
      </c>
      <c r="F29" s="3">
        <v>16008.2328</v>
      </c>
      <c r="G29" s="3">
        <v>1638.0427</v>
      </c>
      <c r="H29" s="3"/>
    </row>
    <row r="30" spans="1:10" x14ac:dyDescent="0.25">
      <c r="A30" s="2">
        <v>39820</v>
      </c>
      <c r="B30" t="s">
        <v>17</v>
      </c>
      <c r="C30" t="s">
        <v>8</v>
      </c>
      <c r="D30" t="s">
        <v>9</v>
      </c>
      <c r="E30" s="3">
        <v>171181.2781</v>
      </c>
      <c r="F30" s="3">
        <v>2959.9097999999999</v>
      </c>
      <c r="G30" s="3">
        <v>0</v>
      </c>
      <c r="H30" s="3"/>
    </row>
    <row r="31" spans="1:10" x14ac:dyDescent="0.25">
      <c r="A31" s="2">
        <v>39820</v>
      </c>
      <c r="B31" t="s">
        <v>17</v>
      </c>
      <c r="C31" t="s">
        <v>10</v>
      </c>
      <c r="D31" t="s">
        <v>11</v>
      </c>
      <c r="E31" s="3">
        <v>-351693.36979999999</v>
      </c>
      <c r="F31" s="3">
        <v>26148.141500000002</v>
      </c>
      <c r="G31" s="3">
        <v>0</v>
      </c>
      <c r="H31" s="3"/>
    </row>
    <row r="32" spans="1:10" x14ac:dyDescent="0.25">
      <c r="A32" s="2">
        <v>39820</v>
      </c>
      <c r="B32" t="s">
        <v>17</v>
      </c>
      <c r="C32" t="s">
        <v>10</v>
      </c>
      <c r="D32" t="s">
        <v>9</v>
      </c>
      <c r="E32" s="3">
        <v>5589614.3820000002</v>
      </c>
      <c r="F32" s="3">
        <v>88446.468800000002</v>
      </c>
      <c r="G32" s="3">
        <v>0</v>
      </c>
      <c r="H32" s="3"/>
    </row>
    <row r="33" spans="1:8" x14ac:dyDescent="0.25">
      <c r="A33" s="2">
        <v>39820</v>
      </c>
      <c r="B33" t="s">
        <v>17</v>
      </c>
      <c r="C33" t="s">
        <v>12</v>
      </c>
      <c r="D33" t="s">
        <v>11</v>
      </c>
      <c r="E33" s="3">
        <v>-1121.2103</v>
      </c>
      <c r="F33" s="3">
        <v>376.53500000000003</v>
      </c>
      <c r="G33" s="3">
        <v>0</v>
      </c>
      <c r="H33" s="3"/>
    </row>
    <row r="34" spans="1:8" x14ac:dyDescent="0.25">
      <c r="A34" s="2">
        <v>39820</v>
      </c>
      <c r="B34" t="s">
        <v>17</v>
      </c>
      <c r="C34" t="s">
        <v>12</v>
      </c>
      <c r="D34" t="s">
        <v>9</v>
      </c>
      <c r="E34" s="3">
        <v>3884176.8739</v>
      </c>
      <c r="F34" s="3">
        <v>57662.089500000002</v>
      </c>
      <c r="G34" s="3">
        <v>0</v>
      </c>
      <c r="H34" s="3"/>
    </row>
    <row r="35" spans="1:8" x14ac:dyDescent="0.25">
      <c r="A35" s="2">
        <v>39820</v>
      </c>
      <c r="B35" t="s">
        <v>17</v>
      </c>
      <c r="C35" t="s">
        <v>13</v>
      </c>
      <c r="D35" t="s">
        <v>11</v>
      </c>
      <c r="E35" s="3">
        <v>63.846600000000002</v>
      </c>
      <c r="F35" s="3">
        <v>31.428100000000001</v>
      </c>
      <c r="G35" s="3">
        <v>0</v>
      </c>
      <c r="H35" s="3"/>
    </row>
    <row r="36" spans="1:8" x14ac:dyDescent="0.25">
      <c r="A36" s="2">
        <v>39820</v>
      </c>
      <c r="B36" t="s">
        <v>17</v>
      </c>
      <c r="C36" t="s">
        <v>13</v>
      </c>
      <c r="D36" t="s">
        <v>9</v>
      </c>
      <c r="E36" s="3">
        <v>1160672.9979999999</v>
      </c>
      <c r="F36" s="3">
        <v>15820.8632</v>
      </c>
      <c r="G36" s="3">
        <v>0</v>
      </c>
      <c r="H36" s="3"/>
    </row>
    <row r="37" spans="1:8" x14ac:dyDescent="0.25">
      <c r="A37" s="2">
        <v>39820</v>
      </c>
      <c r="B37" t="s">
        <v>18</v>
      </c>
      <c r="C37" t="s">
        <v>8</v>
      </c>
      <c r="D37" t="s">
        <v>9</v>
      </c>
      <c r="E37" s="3">
        <v>71665.592399999994</v>
      </c>
      <c r="F37" s="3">
        <v>2621.7986000000001</v>
      </c>
      <c r="G37" s="3">
        <v>0</v>
      </c>
      <c r="H37" s="3"/>
    </row>
    <row r="38" spans="1:8" x14ac:dyDescent="0.25">
      <c r="A38" s="2">
        <v>39820</v>
      </c>
      <c r="B38" t="s">
        <v>18</v>
      </c>
      <c r="C38" t="s">
        <v>10</v>
      </c>
      <c r="D38" t="s">
        <v>11</v>
      </c>
      <c r="E38" s="3">
        <v>-685164.19259999995</v>
      </c>
      <c r="F38" s="3">
        <v>28849.137999999999</v>
      </c>
      <c r="G38" s="3">
        <v>-553.43920000000003</v>
      </c>
      <c r="H38" s="3"/>
    </row>
    <row r="39" spans="1:8" x14ac:dyDescent="0.25">
      <c r="A39" s="2">
        <v>39820</v>
      </c>
      <c r="B39" t="s">
        <v>18</v>
      </c>
      <c r="C39" t="s">
        <v>10</v>
      </c>
      <c r="D39" t="s">
        <v>9</v>
      </c>
      <c r="E39" s="3">
        <v>2381596.3516000002</v>
      </c>
      <c r="F39" s="3">
        <v>80532.593099999998</v>
      </c>
      <c r="G39" s="3">
        <v>624.27970000000005</v>
      </c>
      <c r="H39" s="3"/>
    </row>
    <row r="40" spans="1:8" x14ac:dyDescent="0.25">
      <c r="A40" s="2">
        <v>39820</v>
      </c>
      <c r="B40" t="s">
        <v>18</v>
      </c>
      <c r="C40" t="s">
        <v>12</v>
      </c>
      <c r="D40" t="s">
        <v>11</v>
      </c>
      <c r="E40" s="3">
        <v>-1088.7505000000001</v>
      </c>
      <c r="F40" s="3">
        <v>391.51889999999997</v>
      </c>
      <c r="G40" s="3">
        <v>0</v>
      </c>
      <c r="H40" s="3"/>
    </row>
    <row r="41" spans="1:8" x14ac:dyDescent="0.25">
      <c r="A41" s="2">
        <v>39820</v>
      </c>
      <c r="B41" t="s">
        <v>18</v>
      </c>
      <c r="C41" t="s">
        <v>12</v>
      </c>
      <c r="D41" t="s">
        <v>9</v>
      </c>
      <c r="E41" s="3">
        <v>1641024.8266</v>
      </c>
      <c r="F41" s="3">
        <v>52466.852800000001</v>
      </c>
      <c r="G41" s="3">
        <v>167.25810000000001</v>
      </c>
      <c r="H41" s="3"/>
    </row>
    <row r="42" spans="1:8" x14ac:dyDescent="0.25">
      <c r="A42" s="2">
        <v>39820</v>
      </c>
      <c r="B42" t="s">
        <v>18</v>
      </c>
      <c r="C42" t="s">
        <v>13</v>
      </c>
      <c r="D42" t="s">
        <v>11</v>
      </c>
      <c r="E42" s="3">
        <v>52.809199999999997</v>
      </c>
      <c r="F42" s="3">
        <v>32.841900000000003</v>
      </c>
      <c r="G42" s="3">
        <v>0</v>
      </c>
      <c r="H42" s="3"/>
    </row>
    <row r="43" spans="1:8" x14ac:dyDescent="0.25">
      <c r="A43" s="2">
        <v>39820</v>
      </c>
      <c r="B43" t="s">
        <v>18</v>
      </c>
      <c r="C43" t="s">
        <v>13</v>
      </c>
      <c r="D43" t="s">
        <v>9</v>
      </c>
      <c r="E43" s="3">
        <v>498186.81880000001</v>
      </c>
      <c r="F43" s="3">
        <v>14692.6744</v>
      </c>
      <c r="G43" s="3">
        <v>1726.5186000000001</v>
      </c>
      <c r="H43" s="3"/>
    </row>
    <row r="44" spans="1:8" x14ac:dyDescent="0.25">
      <c r="A44" s="2">
        <v>39820</v>
      </c>
      <c r="B44" t="s">
        <v>19</v>
      </c>
      <c r="C44" t="s">
        <v>8</v>
      </c>
      <c r="D44" t="s">
        <v>9</v>
      </c>
      <c r="E44" s="3">
        <v>7029.0630000000001</v>
      </c>
      <c r="F44" s="3">
        <v>250.82470000000001</v>
      </c>
      <c r="G44" s="3">
        <v>0</v>
      </c>
      <c r="H44" s="3"/>
    </row>
    <row r="45" spans="1:8" x14ac:dyDescent="0.25">
      <c r="A45" s="2">
        <v>39820</v>
      </c>
      <c r="B45" t="s">
        <v>19</v>
      </c>
      <c r="C45" t="s">
        <v>10</v>
      </c>
      <c r="D45" t="s">
        <v>11</v>
      </c>
      <c r="E45" s="3">
        <v>-86.965900000000005</v>
      </c>
      <c r="F45" s="3">
        <v>5392.6062000000002</v>
      </c>
      <c r="G45" s="3">
        <v>0</v>
      </c>
      <c r="H45" s="3"/>
    </row>
    <row r="46" spans="1:8" x14ac:dyDescent="0.25">
      <c r="A46" s="2">
        <v>39820</v>
      </c>
      <c r="B46" t="s">
        <v>19</v>
      </c>
      <c r="C46" t="s">
        <v>10</v>
      </c>
      <c r="D46" t="s">
        <v>9</v>
      </c>
      <c r="E46" s="3">
        <v>161870.20499999999</v>
      </c>
      <c r="F46" s="3">
        <v>6233.2479999999996</v>
      </c>
      <c r="G46" s="3">
        <v>0</v>
      </c>
      <c r="H46" s="3"/>
    </row>
    <row r="47" spans="1:8" x14ac:dyDescent="0.25">
      <c r="A47" s="2">
        <v>39820</v>
      </c>
      <c r="B47" t="s">
        <v>19</v>
      </c>
      <c r="C47" t="s">
        <v>12</v>
      </c>
      <c r="D47" t="s">
        <v>11</v>
      </c>
      <c r="E47" s="3">
        <v>18.648800000000001</v>
      </c>
      <c r="F47" s="3">
        <v>83.988299999999995</v>
      </c>
      <c r="G47" s="3">
        <v>0</v>
      </c>
      <c r="H47" s="3"/>
    </row>
    <row r="48" spans="1:8" x14ac:dyDescent="0.25">
      <c r="A48" s="2">
        <v>39820</v>
      </c>
      <c r="B48" t="s">
        <v>19</v>
      </c>
      <c r="C48" t="s">
        <v>12</v>
      </c>
      <c r="D48" t="s">
        <v>9</v>
      </c>
      <c r="E48" s="3">
        <v>183408.77160000001</v>
      </c>
      <c r="F48" s="3">
        <v>5838.8262999999997</v>
      </c>
      <c r="G48" s="3">
        <v>0</v>
      </c>
      <c r="H48" s="3"/>
    </row>
    <row r="49" spans="1:8" x14ac:dyDescent="0.25">
      <c r="A49" s="2">
        <v>39820</v>
      </c>
      <c r="B49" t="s">
        <v>19</v>
      </c>
      <c r="C49" t="s">
        <v>13</v>
      </c>
      <c r="D49" t="s">
        <v>11</v>
      </c>
      <c r="E49" s="3">
        <v>17.846</v>
      </c>
      <c r="F49" s="3">
        <v>32.855400000000003</v>
      </c>
      <c r="G49" s="3">
        <v>0</v>
      </c>
      <c r="H49" s="3"/>
    </row>
    <row r="50" spans="1:8" x14ac:dyDescent="0.25">
      <c r="A50" s="2">
        <v>39820</v>
      </c>
      <c r="B50" t="s">
        <v>19</v>
      </c>
      <c r="C50" t="s">
        <v>13</v>
      </c>
      <c r="D50" t="s">
        <v>9</v>
      </c>
      <c r="E50" s="3">
        <v>38738.575900000003</v>
      </c>
      <c r="F50" s="3">
        <v>1340.5089</v>
      </c>
      <c r="G50" s="3">
        <v>0</v>
      </c>
      <c r="H50" s="3"/>
    </row>
    <row r="51" spans="1:8" x14ac:dyDescent="0.25">
      <c r="A51" s="2">
        <v>39820</v>
      </c>
      <c r="B51" t="s">
        <v>20</v>
      </c>
      <c r="C51" t="s">
        <v>8</v>
      </c>
      <c r="D51" t="s">
        <v>9</v>
      </c>
      <c r="E51" s="3">
        <v>69697.374200000006</v>
      </c>
      <c r="F51" s="3">
        <v>2586.317</v>
      </c>
      <c r="G51" s="3">
        <v>0</v>
      </c>
      <c r="H51" s="3"/>
    </row>
    <row r="52" spans="1:8" x14ac:dyDescent="0.25">
      <c r="A52" s="2">
        <v>39820</v>
      </c>
      <c r="B52" t="s">
        <v>20</v>
      </c>
      <c r="C52" t="s">
        <v>10</v>
      </c>
      <c r="D52" t="s">
        <v>11</v>
      </c>
      <c r="E52" s="3">
        <v>-686891.44819999998</v>
      </c>
      <c r="F52" s="3">
        <v>28850.799900000002</v>
      </c>
      <c r="G52" s="3">
        <v>0</v>
      </c>
      <c r="H52" s="3"/>
    </row>
    <row r="53" spans="1:8" x14ac:dyDescent="0.25">
      <c r="A53" s="2">
        <v>39820</v>
      </c>
      <c r="B53" t="s">
        <v>20</v>
      </c>
      <c r="C53" t="s">
        <v>10</v>
      </c>
      <c r="D53" t="s">
        <v>9</v>
      </c>
      <c r="E53" s="3">
        <v>2319180.9728999999</v>
      </c>
      <c r="F53" s="3">
        <v>79747.530799999993</v>
      </c>
      <c r="G53" s="3">
        <v>0</v>
      </c>
      <c r="H53" s="3"/>
    </row>
    <row r="54" spans="1:8" x14ac:dyDescent="0.25">
      <c r="A54" s="2">
        <v>39820</v>
      </c>
      <c r="B54" t="s">
        <v>20</v>
      </c>
      <c r="C54" t="s">
        <v>12</v>
      </c>
      <c r="D54" t="s">
        <v>11</v>
      </c>
      <c r="E54" s="3">
        <v>-1102.4331</v>
      </c>
      <c r="F54" s="3">
        <v>391.5403</v>
      </c>
      <c r="G54" s="3">
        <v>0</v>
      </c>
      <c r="H54" s="3"/>
    </row>
    <row r="55" spans="1:8" x14ac:dyDescent="0.25">
      <c r="A55" s="2">
        <v>39820</v>
      </c>
      <c r="B55" t="s">
        <v>20</v>
      </c>
      <c r="C55" t="s">
        <v>12</v>
      </c>
      <c r="D55" t="s">
        <v>9</v>
      </c>
      <c r="E55" s="3">
        <v>1599669.2217999999</v>
      </c>
      <c r="F55" s="3">
        <v>51818.650500000003</v>
      </c>
      <c r="G55" s="3">
        <v>0</v>
      </c>
      <c r="H55" s="3"/>
    </row>
    <row r="56" spans="1:8" x14ac:dyDescent="0.25">
      <c r="A56" s="2">
        <v>39820</v>
      </c>
      <c r="B56" t="s">
        <v>20</v>
      </c>
      <c r="C56" t="s">
        <v>13</v>
      </c>
      <c r="D56" t="s">
        <v>11</v>
      </c>
      <c r="E56" s="3">
        <v>51.302599999999998</v>
      </c>
      <c r="F56" s="3">
        <v>32.843899999999998</v>
      </c>
      <c r="G56" s="3">
        <v>0</v>
      </c>
      <c r="H56" s="3"/>
    </row>
    <row r="57" spans="1:8" x14ac:dyDescent="0.25">
      <c r="A57" s="2">
        <v>39820</v>
      </c>
      <c r="B57" t="s">
        <v>20</v>
      </c>
      <c r="C57" t="s">
        <v>13</v>
      </c>
      <c r="D57" t="s">
        <v>9</v>
      </c>
      <c r="E57" s="3">
        <v>486949.34580000001</v>
      </c>
      <c r="F57" s="3">
        <v>14491.2405</v>
      </c>
      <c r="G57" s="3">
        <v>0</v>
      </c>
      <c r="H57" s="3"/>
    </row>
    <row r="58" spans="1:8" x14ac:dyDescent="0.25">
      <c r="A58" s="2">
        <v>39819</v>
      </c>
      <c r="B58" t="s">
        <v>7</v>
      </c>
      <c r="C58" t="s">
        <v>8</v>
      </c>
      <c r="D58" t="s">
        <v>9</v>
      </c>
      <c r="E58" s="3">
        <v>157088.16130000001</v>
      </c>
      <c r="F58" s="3">
        <v>2781.5176000000001</v>
      </c>
      <c r="G58" s="3">
        <v>0</v>
      </c>
      <c r="H58" s="3"/>
    </row>
    <row r="59" spans="1:8" x14ac:dyDescent="0.25">
      <c r="A59" s="2">
        <v>39819</v>
      </c>
      <c r="B59" t="s">
        <v>7</v>
      </c>
      <c r="C59" t="s">
        <v>10</v>
      </c>
      <c r="D59" t="s">
        <v>11</v>
      </c>
      <c r="E59" s="3">
        <v>-518532.43150000001</v>
      </c>
      <c r="F59" s="3">
        <v>22305.012999999999</v>
      </c>
      <c r="G59" s="3">
        <v>94.460300000000004</v>
      </c>
      <c r="H59" s="3"/>
    </row>
    <row r="60" spans="1:8" x14ac:dyDescent="0.25">
      <c r="A60" s="2">
        <v>39819</v>
      </c>
      <c r="B60" t="s">
        <v>7</v>
      </c>
      <c r="C60" t="s">
        <v>10</v>
      </c>
      <c r="D60" t="s">
        <v>9</v>
      </c>
      <c r="E60" s="3">
        <v>5589803.9134</v>
      </c>
      <c r="F60" s="3">
        <v>88188.651599999997</v>
      </c>
      <c r="G60" s="3">
        <v>1203.1780000000001</v>
      </c>
      <c r="H60" s="3"/>
    </row>
    <row r="61" spans="1:8" x14ac:dyDescent="0.25">
      <c r="A61" s="2">
        <v>39819</v>
      </c>
      <c r="B61" t="s">
        <v>7</v>
      </c>
      <c r="C61" t="s">
        <v>12</v>
      </c>
      <c r="D61" t="s">
        <v>11</v>
      </c>
      <c r="E61" s="3">
        <v>-1119.941</v>
      </c>
      <c r="F61" s="3">
        <v>295.08350000000002</v>
      </c>
      <c r="G61" s="3">
        <v>0</v>
      </c>
      <c r="H61" s="3"/>
    </row>
    <row r="62" spans="1:8" x14ac:dyDescent="0.25">
      <c r="A62" s="2">
        <v>39819</v>
      </c>
      <c r="B62" t="s">
        <v>7</v>
      </c>
      <c r="C62" t="s">
        <v>12</v>
      </c>
      <c r="D62" t="s">
        <v>9</v>
      </c>
      <c r="E62" s="3">
        <v>4105492.0274</v>
      </c>
      <c r="F62" s="3">
        <v>61930.603600000002</v>
      </c>
      <c r="G62" s="3">
        <v>733.42750000000001</v>
      </c>
      <c r="H62" s="3"/>
    </row>
    <row r="63" spans="1:8" x14ac:dyDescent="0.25">
      <c r="A63" s="2">
        <v>39819</v>
      </c>
      <c r="B63" t="s">
        <v>7</v>
      </c>
      <c r="C63" t="s">
        <v>13</v>
      </c>
      <c r="D63" t="s">
        <v>9</v>
      </c>
      <c r="E63" s="3">
        <v>1535858.8319000001</v>
      </c>
      <c r="F63" s="3">
        <v>20533.643599999999</v>
      </c>
      <c r="G63" s="3">
        <v>147.37430000000001</v>
      </c>
      <c r="H63" s="3"/>
    </row>
    <row r="64" spans="1:8" x14ac:dyDescent="0.25">
      <c r="A64" s="2">
        <v>39819</v>
      </c>
      <c r="B64" t="s">
        <v>14</v>
      </c>
      <c r="C64" t="s">
        <v>8</v>
      </c>
      <c r="D64" t="s">
        <v>9</v>
      </c>
      <c r="E64" s="3">
        <v>10524.1003</v>
      </c>
      <c r="F64" s="3">
        <v>145.25040000000001</v>
      </c>
      <c r="G64" s="3">
        <v>0</v>
      </c>
      <c r="H64" s="3"/>
    </row>
    <row r="65" spans="1:8" x14ac:dyDescent="0.25">
      <c r="A65" s="2">
        <v>39819</v>
      </c>
      <c r="B65" t="s">
        <v>14</v>
      </c>
      <c r="C65" t="s">
        <v>10</v>
      </c>
      <c r="D65" t="s">
        <v>11</v>
      </c>
      <c r="E65" s="3">
        <v>555.71960000000001</v>
      </c>
      <c r="F65" s="3">
        <v>344.11009999999999</v>
      </c>
      <c r="G65" s="3">
        <v>0</v>
      </c>
      <c r="H65" s="3"/>
    </row>
    <row r="66" spans="1:8" x14ac:dyDescent="0.25">
      <c r="A66" s="2">
        <v>39819</v>
      </c>
      <c r="B66" t="s">
        <v>14</v>
      </c>
      <c r="C66" t="s">
        <v>10</v>
      </c>
      <c r="D66" t="s">
        <v>9</v>
      </c>
      <c r="E66" s="3">
        <v>277780.8849</v>
      </c>
      <c r="F66" s="3">
        <v>4088.7899000000002</v>
      </c>
      <c r="G66" s="3">
        <v>0</v>
      </c>
      <c r="H66" s="3"/>
    </row>
    <row r="67" spans="1:8" x14ac:dyDescent="0.25">
      <c r="A67" s="2">
        <v>39819</v>
      </c>
      <c r="B67" t="s">
        <v>14</v>
      </c>
      <c r="C67" t="s">
        <v>12</v>
      </c>
      <c r="D67" t="s">
        <v>11</v>
      </c>
      <c r="E67" s="3">
        <v>33.945999999999998</v>
      </c>
      <c r="F67" s="3">
        <v>187.63210000000001</v>
      </c>
      <c r="G67" s="3">
        <v>0</v>
      </c>
      <c r="H67" s="3"/>
    </row>
    <row r="68" spans="1:8" x14ac:dyDescent="0.25">
      <c r="A68" s="2">
        <v>39819</v>
      </c>
      <c r="B68" t="s">
        <v>14</v>
      </c>
      <c r="C68" t="s">
        <v>12</v>
      </c>
      <c r="D68" t="s">
        <v>9</v>
      </c>
      <c r="E68" s="3">
        <v>275503.5466</v>
      </c>
      <c r="F68" s="3">
        <v>3820.2132000000001</v>
      </c>
      <c r="G68" s="3">
        <v>0</v>
      </c>
      <c r="H68" s="3"/>
    </row>
    <row r="69" spans="1:8" x14ac:dyDescent="0.25">
      <c r="A69" s="2">
        <v>39819</v>
      </c>
      <c r="B69" t="s">
        <v>14</v>
      </c>
      <c r="C69" t="s">
        <v>13</v>
      </c>
      <c r="D69" t="s">
        <v>9</v>
      </c>
      <c r="E69" s="3">
        <v>80281.936100000006</v>
      </c>
      <c r="F69" s="3">
        <v>947.82960000000003</v>
      </c>
      <c r="G69" s="3">
        <v>0</v>
      </c>
      <c r="H69" s="3"/>
    </row>
    <row r="70" spans="1:8" x14ac:dyDescent="0.25">
      <c r="A70" s="2">
        <v>39819</v>
      </c>
      <c r="B70" t="s">
        <v>15</v>
      </c>
      <c r="C70" t="s">
        <v>8</v>
      </c>
      <c r="D70" t="s">
        <v>9</v>
      </c>
      <c r="E70" s="3">
        <v>172709.01010000001</v>
      </c>
      <c r="F70" s="3">
        <v>2934.7981</v>
      </c>
      <c r="G70" s="3">
        <v>0</v>
      </c>
      <c r="H70" s="3"/>
    </row>
    <row r="71" spans="1:8" x14ac:dyDescent="0.25">
      <c r="A71" s="2">
        <v>39819</v>
      </c>
      <c r="B71" t="s">
        <v>15</v>
      </c>
      <c r="C71" t="s">
        <v>10</v>
      </c>
      <c r="D71" t="s">
        <v>11</v>
      </c>
      <c r="E71" s="3">
        <v>-294234.75109999999</v>
      </c>
      <c r="F71" s="3">
        <v>21846.972300000001</v>
      </c>
      <c r="G71" s="3">
        <v>1495.4504999999999</v>
      </c>
      <c r="H71" s="3"/>
    </row>
    <row r="72" spans="1:8" x14ac:dyDescent="0.25">
      <c r="A72" s="2">
        <v>39819</v>
      </c>
      <c r="B72" t="s">
        <v>15</v>
      </c>
      <c r="C72" t="s">
        <v>10</v>
      </c>
      <c r="D72" t="s">
        <v>9</v>
      </c>
      <c r="E72" s="3">
        <v>6207550.4018999999</v>
      </c>
      <c r="F72" s="3">
        <v>94197.589800000002</v>
      </c>
      <c r="G72" s="3">
        <v>3175.9765000000002</v>
      </c>
      <c r="H72" s="3"/>
    </row>
    <row r="73" spans="1:8" x14ac:dyDescent="0.25">
      <c r="A73" s="2">
        <v>39819</v>
      </c>
      <c r="B73" t="s">
        <v>15</v>
      </c>
      <c r="C73" t="s">
        <v>12</v>
      </c>
      <c r="D73" t="s">
        <v>11</v>
      </c>
      <c r="E73" s="3">
        <v>379.08850000000001</v>
      </c>
      <c r="F73" s="3">
        <v>106.8437</v>
      </c>
      <c r="G73" s="3">
        <v>0</v>
      </c>
      <c r="H73" s="3"/>
    </row>
    <row r="74" spans="1:8" x14ac:dyDescent="0.25">
      <c r="A74" s="2">
        <v>39819</v>
      </c>
      <c r="B74" t="s">
        <v>15</v>
      </c>
      <c r="C74" t="s">
        <v>12</v>
      </c>
      <c r="D74" t="s">
        <v>9</v>
      </c>
      <c r="E74" s="3">
        <v>4445981.8876</v>
      </c>
      <c r="F74" s="3">
        <v>64764.076300000001</v>
      </c>
      <c r="G74" s="3">
        <v>1955.6777999999999</v>
      </c>
      <c r="H74" s="3"/>
    </row>
    <row r="75" spans="1:8" x14ac:dyDescent="0.25">
      <c r="A75" s="2">
        <v>39819</v>
      </c>
      <c r="B75" t="s">
        <v>15</v>
      </c>
      <c r="C75" t="s">
        <v>13</v>
      </c>
      <c r="D75" t="s">
        <v>9</v>
      </c>
      <c r="E75" s="3">
        <v>1661970.135</v>
      </c>
      <c r="F75" s="3">
        <v>21581.022700000001</v>
      </c>
      <c r="G75" s="3">
        <v>548.81970000000001</v>
      </c>
      <c r="H75" s="3"/>
    </row>
    <row r="76" spans="1:8" x14ac:dyDescent="0.25">
      <c r="A76" s="2">
        <v>39819</v>
      </c>
      <c r="B76" t="s">
        <v>16</v>
      </c>
      <c r="C76" t="s">
        <v>8</v>
      </c>
      <c r="D76" t="s">
        <v>9</v>
      </c>
      <c r="E76" s="3">
        <v>173749.04579999999</v>
      </c>
      <c r="F76" s="3">
        <v>2952.9641999999999</v>
      </c>
      <c r="G76" s="3">
        <v>0</v>
      </c>
      <c r="H76" s="3"/>
    </row>
    <row r="77" spans="1:8" x14ac:dyDescent="0.25">
      <c r="A77" s="2">
        <v>39819</v>
      </c>
      <c r="B77" t="s">
        <v>16</v>
      </c>
      <c r="C77" t="s">
        <v>10</v>
      </c>
      <c r="D77" t="s">
        <v>11</v>
      </c>
      <c r="E77" s="3">
        <v>-314938.1814</v>
      </c>
      <c r="F77" s="3">
        <v>21067.634300000002</v>
      </c>
      <c r="G77" s="3">
        <v>919.7441</v>
      </c>
      <c r="H77" s="3"/>
    </row>
    <row r="78" spans="1:8" x14ac:dyDescent="0.25">
      <c r="A78" s="2">
        <v>39819</v>
      </c>
      <c r="B78" t="s">
        <v>16</v>
      </c>
      <c r="C78" t="s">
        <v>10</v>
      </c>
      <c r="D78" t="s">
        <v>9</v>
      </c>
      <c r="E78" s="3">
        <v>5743208.3384999996</v>
      </c>
      <c r="F78" s="3">
        <v>88747.099100000007</v>
      </c>
      <c r="G78" s="3">
        <v>2656.4796999999999</v>
      </c>
      <c r="H78" s="3"/>
    </row>
    <row r="79" spans="1:8" x14ac:dyDescent="0.25">
      <c r="A79" s="2">
        <v>39819</v>
      </c>
      <c r="B79" t="s">
        <v>16</v>
      </c>
      <c r="C79" t="s">
        <v>12</v>
      </c>
      <c r="D79" t="s">
        <v>11</v>
      </c>
      <c r="E79" s="3">
        <v>-267.28989999999999</v>
      </c>
      <c r="F79" s="3">
        <v>294.74599999999998</v>
      </c>
      <c r="G79" s="3">
        <v>0</v>
      </c>
      <c r="H79" s="3"/>
    </row>
    <row r="80" spans="1:8" x14ac:dyDescent="0.25">
      <c r="A80" s="2">
        <v>39819</v>
      </c>
      <c r="B80" t="s">
        <v>16</v>
      </c>
      <c r="C80" t="s">
        <v>12</v>
      </c>
      <c r="D80" t="s">
        <v>9</v>
      </c>
      <c r="E80" s="3">
        <v>3753751.3459000001</v>
      </c>
      <c r="F80" s="3">
        <v>55280.494200000001</v>
      </c>
      <c r="G80" s="3">
        <v>1656.2112999999999</v>
      </c>
      <c r="H80" s="3"/>
    </row>
    <row r="81" spans="1:8" x14ac:dyDescent="0.25">
      <c r="A81" s="2">
        <v>39819</v>
      </c>
      <c r="B81" t="s">
        <v>16</v>
      </c>
      <c r="C81" t="s">
        <v>13</v>
      </c>
      <c r="D81" t="s">
        <v>9</v>
      </c>
      <c r="E81" s="3">
        <v>1146144.0315</v>
      </c>
      <c r="F81" s="3">
        <v>15219.552100000001</v>
      </c>
      <c r="G81" s="3">
        <v>466.4162</v>
      </c>
      <c r="H81" s="3"/>
    </row>
    <row r="82" spans="1:8" x14ac:dyDescent="0.25">
      <c r="A82" s="2">
        <v>39819</v>
      </c>
      <c r="B82" t="s">
        <v>17</v>
      </c>
      <c r="C82" t="s">
        <v>8</v>
      </c>
      <c r="D82" t="s">
        <v>9</v>
      </c>
      <c r="E82" s="3">
        <v>168355.26980000001</v>
      </c>
      <c r="F82" s="3">
        <v>2861.7136</v>
      </c>
      <c r="G82" s="3">
        <v>0</v>
      </c>
      <c r="H82" s="3"/>
    </row>
    <row r="83" spans="1:8" x14ac:dyDescent="0.25">
      <c r="A83" s="2">
        <v>39819</v>
      </c>
      <c r="B83" t="s">
        <v>17</v>
      </c>
      <c r="C83" t="s">
        <v>10</v>
      </c>
      <c r="D83" t="s">
        <v>11</v>
      </c>
      <c r="E83" s="3">
        <v>-262262.17349999998</v>
      </c>
      <c r="F83" s="3">
        <v>20701.066500000001</v>
      </c>
      <c r="G83" s="3">
        <v>1239.7209</v>
      </c>
      <c r="H83" s="3"/>
    </row>
    <row r="84" spans="1:8" x14ac:dyDescent="0.25">
      <c r="A84" s="2">
        <v>39819</v>
      </c>
      <c r="B84" t="s">
        <v>17</v>
      </c>
      <c r="C84" t="s">
        <v>10</v>
      </c>
      <c r="D84" t="s">
        <v>9</v>
      </c>
      <c r="E84" s="3">
        <v>5650126.7899000002</v>
      </c>
      <c r="F84" s="3">
        <v>86683.5429</v>
      </c>
      <c r="G84" s="3">
        <v>3072.7736</v>
      </c>
      <c r="H84" s="3"/>
    </row>
    <row r="85" spans="1:8" x14ac:dyDescent="0.25">
      <c r="A85" s="2">
        <v>39819</v>
      </c>
      <c r="B85" t="s">
        <v>17</v>
      </c>
      <c r="C85" t="s">
        <v>12</v>
      </c>
      <c r="D85" t="s">
        <v>11</v>
      </c>
      <c r="E85" s="3">
        <v>379.08850000000001</v>
      </c>
      <c r="F85" s="3">
        <v>106.8437</v>
      </c>
      <c r="G85" s="3">
        <v>0</v>
      </c>
      <c r="H85" s="3"/>
    </row>
    <row r="86" spans="1:8" x14ac:dyDescent="0.25">
      <c r="A86" s="2">
        <v>39819</v>
      </c>
      <c r="B86" t="s">
        <v>17</v>
      </c>
      <c r="C86" t="s">
        <v>12</v>
      </c>
      <c r="D86" t="s">
        <v>9</v>
      </c>
      <c r="E86" s="3">
        <v>3591546.0246000001</v>
      </c>
      <c r="F86" s="3">
        <v>52662.588199999998</v>
      </c>
      <c r="G86" s="3">
        <v>1962.0945999999999</v>
      </c>
      <c r="H86" s="3"/>
    </row>
    <row r="87" spans="1:8" x14ac:dyDescent="0.25">
      <c r="A87" s="2">
        <v>39819</v>
      </c>
      <c r="B87" t="s">
        <v>17</v>
      </c>
      <c r="C87" t="s">
        <v>13</v>
      </c>
      <c r="D87" t="s">
        <v>9</v>
      </c>
      <c r="E87" s="3">
        <v>1092736.4742000001</v>
      </c>
      <c r="F87" s="3">
        <v>14513.3357</v>
      </c>
      <c r="G87" s="3">
        <v>535.60619999999994</v>
      </c>
      <c r="H87" s="3"/>
    </row>
    <row r="88" spans="1:8" x14ac:dyDescent="0.25">
      <c r="A88" s="2">
        <v>39819</v>
      </c>
      <c r="B88" t="s">
        <v>18</v>
      </c>
      <c r="C88" t="s">
        <v>8</v>
      </c>
      <c r="D88" t="s">
        <v>9</v>
      </c>
      <c r="E88" s="3">
        <v>72001.347599999994</v>
      </c>
      <c r="F88" s="3">
        <v>2581.1088</v>
      </c>
      <c r="G88" s="3">
        <v>0</v>
      </c>
      <c r="H88" s="3"/>
    </row>
    <row r="89" spans="1:8" x14ac:dyDescent="0.25">
      <c r="A89" s="2">
        <v>39819</v>
      </c>
      <c r="B89" t="s">
        <v>18</v>
      </c>
      <c r="C89" t="s">
        <v>10</v>
      </c>
      <c r="D89" t="s">
        <v>11</v>
      </c>
      <c r="E89" s="3">
        <v>-652587.19550000003</v>
      </c>
      <c r="F89" s="3">
        <v>23531.577300000001</v>
      </c>
      <c r="G89" s="3">
        <v>1202.94</v>
      </c>
      <c r="H89" s="3"/>
    </row>
    <row r="90" spans="1:8" x14ac:dyDescent="0.25">
      <c r="A90" s="2">
        <v>39819</v>
      </c>
      <c r="B90" t="s">
        <v>18</v>
      </c>
      <c r="C90" t="s">
        <v>10</v>
      </c>
      <c r="D90" t="s">
        <v>9</v>
      </c>
      <c r="E90" s="3">
        <v>2415727.4105000002</v>
      </c>
      <c r="F90" s="3">
        <v>79221.932400000005</v>
      </c>
      <c r="G90" s="3">
        <v>2526.1983</v>
      </c>
      <c r="H90" s="3"/>
    </row>
    <row r="91" spans="1:8" x14ac:dyDescent="0.25">
      <c r="A91" s="2">
        <v>39819</v>
      </c>
      <c r="B91" t="s">
        <v>18</v>
      </c>
      <c r="C91" t="s">
        <v>12</v>
      </c>
      <c r="D91" t="s">
        <v>11</v>
      </c>
      <c r="E91" s="3">
        <v>-312.52229999999997</v>
      </c>
      <c r="F91" s="3">
        <v>307.08350000000002</v>
      </c>
      <c r="G91" s="3">
        <v>0</v>
      </c>
      <c r="H91" s="3"/>
    </row>
    <row r="92" spans="1:8" x14ac:dyDescent="0.25">
      <c r="A92" s="2">
        <v>39819</v>
      </c>
      <c r="B92" t="s">
        <v>18</v>
      </c>
      <c r="C92" t="s">
        <v>12</v>
      </c>
      <c r="D92" t="s">
        <v>9</v>
      </c>
      <c r="E92" s="3">
        <v>1553131.3304000001</v>
      </c>
      <c r="F92" s="3">
        <v>49529.678699999997</v>
      </c>
      <c r="G92" s="3">
        <v>1592.9235000000001</v>
      </c>
      <c r="H92" s="3"/>
    </row>
    <row r="93" spans="1:8" x14ac:dyDescent="0.25">
      <c r="A93" s="2">
        <v>39819</v>
      </c>
      <c r="B93" t="s">
        <v>18</v>
      </c>
      <c r="C93" t="s">
        <v>13</v>
      </c>
      <c r="D93" t="s">
        <v>9</v>
      </c>
      <c r="E93" s="3">
        <v>487678.6863</v>
      </c>
      <c r="F93" s="3">
        <v>14123.3665</v>
      </c>
      <c r="G93" s="3">
        <v>475.28539999999998</v>
      </c>
      <c r="H93" s="3"/>
    </row>
    <row r="94" spans="1:8" x14ac:dyDescent="0.25">
      <c r="A94" s="2">
        <v>39819</v>
      </c>
      <c r="B94" t="s">
        <v>19</v>
      </c>
      <c r="C94" t="s">
        <v>8</v>
      </c>
      <c r="D94" t="s">
        <v>9</v>
      </c>
      <c r="E94" s="3">
        <v>4644.7705999999998</v>
      </c>
      <c r="F94" s="3">
        <v>146.17599999999999</v>
      </c>
      <c r="G94" s="3">
        <v>0</v>
      </c>
      <c r="H94" s="3"/>
    </row>
    <row r="95" spans="1:8" x14ac:dyDescent="0.25">
      <c r="A95" s="2">
        <v>39819</v>
      </c>
      <c r="B95" t="s">
        <v>19</v>
      </c>
      <c r="C95" t="s">
        <v>10</v>
      </c>
      <c r="D95" t="s">
        <v>11</v>
      </c>
      <c r="E95" s="3">
        <v>370.79680000000002</v>
      </c>
      <c r="F95" s="3">
        <v>359.06169999999997</v>
      </c>
      <c r="G95" s="3">
        <v>0</v>
      </c>
      <c r="H95" s="3"/>
    </row>
    <row r="96" spans="1:8" x14ac:dyDescent="0.25">
      <c r="A96" s="2">
        <v>39819</v>
      </c>
      <c r="B96" t="s">
        <v>19</v>
      </c>
      <c r="C96" t="s">
        <v>10</v>
      </c>
      <c r="D96" t="s">
        <v>9</v>
      </c>
      <c r="E96" s="3">
        <v>128442.1513</v>
      </c>
      <c r="F96" s="3">
        <v>4210.71</v>
      </c>
      <c r="G96" s="3">
        <v>0</v>
      </c>
      <c r="H96" s="3"/>
    </row>
    <row r="97" spans="1:8" x14ac:dyDescent="0.25">
      <c r="A97" s="2">
        <v>39819</v>
      </c>
      <c r="B97" t="s">
        <v>19</v>
      </c>
      <c r="C97" t="s">
        <v>12</v>
      </c>
      <c r="D97" t="s">
        <v>11</v>
      </c>
      <c r="E97" s="3">
        <v>21.947800000000001</v>
      </c>
      <c r="F97" s="3">
        <v>195.69579999999999</v>
      </c>
      <c r="G97" s="3">
        <v>0</v>
      </c>
      <c r="H97" s="3"/>
    </row>
    <row r="98" spans="1:8" x14ac:dyDescent="0.25">
      <c r="A98" s="2">
        <v>39819</v>
      </c>
      <c r="B98" t="s">
        <v>19</v>
      </c>
      <c r="C98" t="s">
        <v>12</v>
      </c>
      <c r="D98" t="s">
        <v>9</v>
      </c>
      <c r="E98" s="3">
        <v>129218.7932</v>
      </c>
      <c r="F98" s="3">
        <v>3946.6127999999999</v>
      </c>
      <c r="G98" s="3">
        <v>0</v>
      </c>
      <c r="H98" s="3"/>
    </row>
    <row r="99" spans="1:8" x14ac:dyDescent="0.25">
      <c r="A99" s="2">
        <v>39819</v>
      </c>
      <c r="B99" t="s">
        <v>19</v>
      </c>
      <c r="C99" t="s">
        <v>13</v>
      </c>
      <c r="D99" t="s">
        <v>9</v>
      </c>
      <c r="E99" s="3">
        <v>35910.574699999997</v>
      </c>
      <c r="F99" s="3">
        <v>966.59670000000006</v>
      </c>
      <c r="G99" s="3">
        <v>0</v>
      </c>
      <c r="H99" s="3"/>
    </row>
    <row r="100" spans="1:8" x14ac:dyDescent="0.25">
      <c r="A100" s="2">
        <v>39819</v>
      </c>
      <c r="B100" t="s">
        <v>20</v>
      </c>
      <c r="C100" t="s">
        <v>8</v>
      </c>
      <c r="D100" t="s">
        <v>9</v>
      </c>
      <c r="E100" s="3">
        <v>1060900.4268</v>
      </c>
      <c r="F100" s="3">
        <v>6161.4459999999999</v>
      </c>
      <c r="G100" s="3">
        <v>2524.9778000000001</v>
      </c>
      <c r="H100" s="3"/>
    </row>
    <row r="101" spans="1:8" x14ac:dyDescent="0.25">
      <c r="A101" s="2">
        <v>39819</v>
      </c>
      <c r="B101" t="s">
        <v>20</v>
      </c>
      <c r="C101" t="s">
        <v>10</v>
      </c>
      <c r="D101" t="s">
        <v>11</v>
      </c>
      <c r="E101" s="3">
        <v>3619038.4279999998</v>
      </c>
      <c r="F101" s="3">
        <v>20882.584999999999</v>
      </c>
      <c r="G101" s="3">
        <v>27662.3073</v>
      </c>
      <c r="H101" s="3"/>
    </row>
    <row r="102" spans="1:8" x14ac:dyDescent="0.25">
      <c r="A102" s="2">
        <v>39819</v>
      </c>
      <c r="B102" t="s">
        <v>20</v>
      </c>
      <c r="C102" t="s">
        <v>10</v>
      </c>
      <c r="D102" t="s">
        <v>9</v>
      </c>
      <c r="E102" s="3">
        <v>33583716.245099999</v>
      </c>
      <c r="F102" s="3">
        <v>196744.18549999999</v>
      </c>
      <c r="G102" s="3">
        <v>1098689.1396000001</v>
      </c>
      <c r="H102" s="3"/>
    </row>
    <row r="103" spans="1:8" x14ac:dyDescent="0.25">
      <c r="A103" s="2">
        <v>39819</v>
      </c>
      <c r="B103" t="s">
        <v>20</v>
      </c>
      <c r="C103" t="s">
        <v>12</v>
      </c>
      <c r="D103" t="s">
        <v>11</v>
      </c>
      <c r="E103" s="3">
        <v>19909.420999999998</v>
      </c>
      <c r="F103" s="3">
        <v>103.1443</v>
      </c>
      <c r="G103" s="3">
        <v>0</v>
      </c>
      <c r="H103" s="3"/>
    </row>
    <row r="104" spans="1:8" x14ac:dyDescent="0.25">
      <c r="A104" s="2">
        <v>39819</v>
      </c>
      <c r="B104" t="s">
        <v>20</v>
      </c>
      <c r="C104" t="s">
        <v>12</v>
      </c>
      <c r="D104" t="s">
        <v>9</v>
      </c>
      <c r="E104" s="3">
        <v>21820428.081300002</v>
      </c>
      <c r="F104" s="3">
        <v>140356.91680000001</v>
      </c>
      <c r="G104" s="3">
        <v>296672.43489999999</v>
      </c>
      <c r="H104" s="3"/>
    </row>
    <row r="105" spans="1:8" x14ac:dyDescent="0.25">
      <c r="A105" s="2">
        <v>39819</v>
      </c>
      <c r="B105" t="s">
        <v>20</v>
      </c>
      <c r="C105" t="s">
        <v>13</v>
      </c>
      <c r="D105" t="s">
        <v>9</v>
      </c>
      <c r="E105" s="3">
        <v>6917192.5393000003</v>
      </c>
      <c r="F105" s="3">
        <v>48584.610999999997</v>
      </c>
      <c r="G105" s="3">
        <v>104586.15300000001</v>
      </c>
      <c r="H105" s="3"/>
    </row>
  </sheetData>
  <mergeCells count="1">
    <mergeCell ref="J6:M6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Wang</dc:creator>
  <cp:lastModifiedBy>Michael Wang</cp:lastModifiedBy>
  <dcterms:created xsi:type="dcterms:W3CDTF">2017-10-16T22:25:01Z</dcterms:created>
  <dcterms:modified xsi:type="dcterms:W3CDTF">2020-12-18T16:32:31Z</dcterms:modified>
</cp:coreProperties>
</file>