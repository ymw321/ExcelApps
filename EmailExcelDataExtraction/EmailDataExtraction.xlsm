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dev\VenerableDB\"/>
    </mc:Choice>
  </mc:AlternateContent>
  <xr:revisionPtr revIDLastSave="0" documentId="13_ncr:1_{CCC79710-F33E-4026-BA82-61DCFE8DEB5D}" xr6:coauthVersionLast="47" xr6:coauthVersionMax="47" xr10:uidLastSave="{00000000-0000-0000-0000-000000000000}"/>
  <bookViews>
    <workbookView xWindow="28830" yWindow="720" windowWidth="19440" windowHeight="15000" xr2:uid="{299B99C2-4055-4C57-ADCC-EB2D66B2227E}"/>
  </bookViews>
  <sheets>
    <sheet name="Config" sheetId="1" r:id="rId1"/>
    <sheet name="RunLog" sheetId="2" r:id="rId2"/>
  </sheets>
  <definedNames>
    <definedName name="archiveFolder">Config!$B$8</definedName>
    <definedName name="balanceSearch">Config!$A$36</definedName>
    <definedName name="dailyBalanceSheet">Config!$B$16</definedName>
    <definedName name="dailyValueSheet">Config!$B$15</definedName>
    <definedName name="dbFile">Config!$B$9</definedName>
    <definedName name="fileName">Config!$B$13</definedName>
    <definedName name="isSharedBox">Config!$B$10</definedName>
    <definedName name="lastRowInLog">RunLog!$B$1</definedName>
    <definedName name="lastSyncDt">Config!$B$14</definedName>
    <definedName name="sender">Config!$B$11</definedName>
    <definedName name="subjectLine">Config!$B$12</definedName>
    <definedName name="valuationSearch">Config!$A$21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1" l="1"/>
  <c r="B1" i="2"/>
  <c r="B7" i="1" a="1"/>
  <c r="B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Wang</author>
  </authors>
  <commentList>
    <comment ref="B12" authorId="0" shapeId="0" xr:uid="{E2196320-CF20-4B42-9182-AD66EC54D1C8}">
      <text>
        <r>
          <rPr>
            <b/>
            <sz val="9"/>
            <color indexed="81"/>
            <rFont val="Tahoma"/>
            <family val="2"/>
          </rPr>
          <t>Note:</t>
        </r>
        <r>
          <rPr>
            <sz val="9"/>
            <color indexed="81"/>
            <rFont val="Tahoma"/>
            <family val="2"/>
          </rPr>
          <t xml:space="preserve">
Update these two values for first use
Note: The subject line has to be an exact string from the beginning:
JHLIC Required Balance  didn’t find any files 
[EXTERNAL] JHLIC Required Balance  found all files except next one
FW: JHLIC Required Balance   found a file someone forwarded to me. 
</t>
        </r>
      </text>
    </comment>
    <comment ref="A15" authorId="0" shapeId="0" xr:uid="{00965464-2080-4434-AB44-B8AEE035B4BC}">
      <text>
        <r>
          <rPr>
            <b/>
            <sz val="9"/>
            <color indexed="81"/>
            <rFont val="Tahoma"/>
            <family val="2"/>
          </rPr>
          <t>Michael Wang:</t>
        </r>
        <r>
          <rPr>
            <sz val="9"/>
            <color indexed="81"/>
            <rFont val="Tahoma"/>
            <family val="2"/>
          </rPr>
          <t xml:space="preserve">
 name of worksheet containing the daily valuation data</t>
        </r>
      </text>
    </comment>
    <comment ref="A16" authorId="0" shapeId="0" xr:uid="{BD0F69EC-8258-41EF-923B-8591F46D0871}">
      <text>
        <r>
          <rPr>
            <b/>
            <sz val="9"/>
            <color indexed="81"/>
            <rFont val="Tahoma"/>
            <family val="2"/>
          </rPr>
          <t>Michael Wang:</t>
        </r>
        <r>
          <rPr>
            <sz val="9"/>
            <color indexed="81"/>
            <rFont val="Tahoma"/>
            <family val="2"/>
          </rPr>
          <t xml:space="preserve">
name of worksheet containing required balance</t>
        </r>
      </text>
    </comment>
    <comment ref="B20" authorId="0" shapeId="0" xr:uid="{89CD2C0A-3ADA-418A-A748-E19C66192EC6}">
      <text>
        <r>
          <rPr>
            <b/>
            <sz val="9"/>
            <color indexed="81"/>
            <rFont val="Tahoma"/>
            <family val="2"/>
          </rPr>
          <t>Michael Wang:</t>
        </r>
        <r>
          <rPr>
            <sz val="9"/>
            <color indexed="81"/>
            <rFont val="Tahoma"/>
            <family val="2"/>
          </rPr>
          <t xml:space="preserve">
it is assumed that values to be copied are on the same row as the description.  Also the first value to search for must be the valuation date at the top.  Subsequent searches will continue from the one just searched.</t>
        </r>
      </text>
    </comment>
    <comment ref="C20" authorId="0" shapeId="0" xr:uid="{80BD821C-A065-41C8-B6D1-BF86AAAFFF5B}">
      <text>
        <r>
          <rPr>
            <b/>
            <sz val="9"/>
            <color indexed="81"/>
            <rFont val="Tahoma"/>
            <family val="2"/>
          </rPr>
          <t>Michael Wang:</t>
        </r>
        <r>
          <rPr>
            <sz val="9"/>
            <color indexed="81"/>
            <rFont val="Tahoma"/>
            <family val="2"/>
          </rPr>
          <t xml:space="preserve">
values to be searched from DailyValuation sheet</t>
        </r>
      </text>
    </comment>
    <comment ref="C35" authorId="0" shapeId="0" xr:uid="{BF15004D-C189-409F-8C85-AD554D351E1B}">
      <text>
        <r>
          <rPr>
            <b/>
            <sz val="9"/>
            <color indexed="81"/>
            <rFont val="Tahoma"/>
            <family val="2"/>
          </rPr>
          <t>Michael Wang:</t>
        </r>
        <r>
          <rPr>
            <sz val="9"/>
            <color indexed="81"/>
            <rFont val="Tahoma"/>
            <family val="2"/>
          </rPr>
          <t xml:space="preserve">
values to be searched from DailyBalance sheet</t>
        </r>
      </text>
    </comment>
    <comment ref="A38" authorId="0" shapeId="0" xr:uid="{56049F41-CD2E-403C-B1BA-4CC55EEB216C}">
      <text>
        <r>
          <rPr>
            <b/>
            <sz val="9"/>
            <color indexed="81"/>
            <rFont val="Tahoma"/>
            <family val="2"/>
          </rPr>
          <t>Michael Wang:</t>
        </r>
        <r>
          <rPr>
            <sz val="9"/>
            <color indexed="81"/>
            <rFont val="Tahoma"/>
            <family val="2"/>
          </rPr>
          <t xml:space="preserve">
this is a dummy field as it has a description with exact the same spelling as the next one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<sst xmlns="http://schemas.openxmlformats.org/spreadsheetml/2006/main" count="61" uniqueCount="51">
  <si>
    <t>Purpose</t>
  </si>
  <si>
    <t>This tool will search for emails from a particular sender with specific subject line and attachment, and then save the attachment to an archive before extracting some data to a DB</t>
  </si>
  <si>
    <t>Configuration</t>
  </si>
  <si>
    <t>Parameter</t>
  </si>
  <si>
    <t>Value</t>
  </si>
  <si>
    <t>This file path</t>
  </si>
  <si>
    <t>Archive path</t>
  </si>
  <si>
    <t>Subject contains</t>
  </si>
  <si>
    <t>Last sync date</t>
  </si>
  <si>
    <t>Database</t>
  </si>
  <si>
    <t>Values to be extracted</t>
  </si>
  <si>
    <t>Business Day immediately preceding the Daily Funding Date</t>
  </si>
  <si>
    <t>FMV Triggering Event in continuation?</t>
  </si>
  <si>
    <t>Estimated Initial Required Balance</t>
  </si>
  <si>
    <t>Equity return from Reference Date of Reinsurer Sensitivity Grid to Business</t>
  </si>
  <si>
    <t>Rate change from Reference Date of Reinsurer Sensitivity Grid to Business</t>
  </si>
  <si>
    <t>Adjustment for Reinsurer Sensitivity Grid</t>
  </si>
  <si>
    <t>Multiplier</t>
  </si>
  <si>
    <t>Save to "DailyValuation"</t>
  </si>
  <si>
    <t>Business Day immediately preceding the Security Funding Date</t>
  </si>
  <si>
    <t>Value of Eligible Assets in the Trust Account</t>
  </si>
  <si>
    <t>Deposits into and Withdrawals out of trust account on Security Funding Date</t>
  </si>
  <si>
    <t>Deposits into and Withdrawals out of Designated Administrative Account on Security Funding Date</t>
  </si>
  <si>
    <t>Trust Account Value adjusted for Deposits and Withdrawals</t>
  </si>
  <si>
    <t>Value for comparison to required balance</t>
  </si>
  <si>
    <t>Net Trust Balance</t>
  </si>
  <si>
    <t>Destination</t>
  </si>
  <si>
    <t>SourceOffset</t>
  </si>
  <si>
    <t>SearchStr</t>
  </si>
  <si>
    <t>Save to DailyRequiredBalance</t>
  </si>
  <si>
    <t>Balance as of immediately preceeding Business Day</t>
  </si>
  <si>
    <t>Daily Required Balance (a) - (b)</t>
  </si>
  <si>
    <t>RunLogs:</t>
  </si>
  <si>
    <t>Time</t>
  </si>
  <si>
    <t>EventInfo</t>
  </si>
  <si>
    <t>LastRowRef</t>
  </si>
  <si>
    <t>Start searching for attachments</t>
  </si>
  <si>
    <t>.\Archive\</t>
  </si>
  <si>
    <t>DailyValuation sheet</t>
  </si>
  <si>
    <t>Daily Asset Valuation</t>
  </si>
  <si>
    <t>DailyBalance sheet</t>
  </si>
  <si>
    <t>Initial Daily Required Balance</t>
  </si>
  <si>
    <t>IsSharedInBox</t>
  </si>
  <si>
    <t>No</t>
  </si>
  <si>
    <t>Attachment contains</t>
  </si>
  <si>
    <t>Automated Matching for Derivatives</t>
  </si>
  <si>
    <t>Bond Selection</t>
  </si>
  <si>
    <t>Search and copy complete with 1 emails containing THE file and 0 files saved</t>
  </si>
  <si>
    <t>Sender contains</t>
  </si>
  <si>
    <t>Neeraj Thomas</t>
  </si>
  <si>
    <t>Found "20230914-Bond Selection v3.xlsb" and saved to "C:\dev\VenerableDB.\Archive\"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</si>
</sst>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4"/>
      <color theme="1"/>
      <name val="Calibri"/>
      <family val="2"/>
      <scheme val="minor"/>
    </font>
    <font>
      <b/>
      <sz val="11"/>
      <color theme="1"/>
      <name val="Calibri"/>
      <family val="2"/>
      <scheme val="minor"/>
    </font>
    <font>
      <b/>
      <sz val="11"/>
      <color theme="4"/>
      <name val="Calibri"/>
      <family val="2"/>
      <scheme val="minor"/>
    </font>
    <font>
      <b/>
      <sz val="16"/>
      <color theme="1"/>
      <name val="Calibri"/>
      <family val="2"/>
      <scheme val="minor"/>
    </font>
    <font>
      <sz val="11"/>
      <color theme="4"/>
      <name val="Calibri"/>
      <family val="2"/>
      <scheme val="minor"/>
    </font>
    <font>
      <sz val="9"/>
      <color indexed="81"/>
      <name val="Tahoma"/>
      <family val="2"/>
    </font>
    <font>
      <b/>
      <sz val="9"/>
      <color indexed="81"/>
      <name val="Tahoma"/>
      <family val="2"/>
    </font>
    <font>
      <sz val="11"/>
      <color theme="2" tint="-9.9978637043366805E-2"/>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0" fontId="1" fillId="0" borderId="0" xfId="0" applyFont="1"/>
    <xf numFmtId="0" fontId="0" fillId="0" borderId="0" xfId="0" applyAlignment="1">
      <alignment vertical="top" wrapText="1"/>
    </xf>
    <xf numFmtId="0" fontId="2" fillId="0" borderId="0" xfId="0" applyFont="1"/>
    <xf numFmtId="22" fontId="0" fillId="0" borderId="0" xfId="0" applyNumberFormat="1"/>
    <xf numFmtId="0" fontId="2" fillId="0" borderId="0" xfId="0" applyFont="1" applyAlignment="1">
      <alignment wrapText="1"/>
    </xf>
    <xf numFmtId="0" fontId="0" fillId="0" borderId="0" xfId="0" applyAlignment="1">
      <alignment wrapText="1"/>
    </xf>
    <xf numFmtId="0" fontId="3" fillId="0" borderId="0" xfId="0" applyFont="1" applyAlignment="1">
      <alignment horizontal="left" vertical="top" wrapText="1"/>
    </xf>
    <xf numFmtId="0" fontId="5" fillId="0" borderId="0" xfId="0" applyFont="1"/>
    <xf numFmtId="14" fontId="5" fillId="0" borderId="0" xfId="0" applyNumberFormat="1" applyFont="1"/>
    <xf numFmtId="0" fontId="8" fillId="0" borderId="0" xfId="0" applyFont="1"/>
    <xf numFmtId="0" fontId="0" fillId="0" borderId="0" xfId="0" applyAlignment="1">
      <alignment horizontal="left" vertical="top" wrapText="1"/>
    </xf>
    <xf numFmtId="0" fontId="1" fillId="0" borderId="0" xfId="0" applyFont="1" applyAlignment="1">
      <alignment horizontal="left" vertical="top"/>
    </xf>
    <xf numFmtId="0" fontId="4"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10</xdr:row>
          <xdr:rowOff>171450</xdr:rowOff>
        </xdr:from>
        <xdr:to>
          <xdr:col>6</xdr:col>
          <xdr:colOff>0</xdr:colOff>
          <xdr:row>13</xdr:row>
          <xdr:rowOff>0</xdr:rowOff>
        </xdr:to>
        <xdr:sp macro="" textlink="">
          <xdr:nvSpPr>
            <xdr:cNvPr id="1025" name="cmdButtonUpd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9700A-0802-4092-8605-0495726C987A}">
  <sheetPr codeName="shConfig"/>
  <dimension ref="A2:R45"/>
  <sheetViews>
    <sheetView tabSelected="1" zoomScaleNormal="100" workbookViewId="0">
      <selection activeCell="B10" sqref="B10"/>
    </sheetView>
  </sheetViews>
  <sheetFormatPr defaultRowHeight="15" x14ac:dyDescent="0.25"/>
  <cols>
    <col min="1" max="1" width="19.5703125" customWidth="1"/>
    <col min="2" max="2" width="13" customWidth="1"/>
    <col min="3" max="3" width="16.85546875" customWidth="1"/>
  </cols>
  <sheetData>
    <row r="2" spans="1:18" ht="18.75" customHeight="1" x14ac:dyDescent="0.25">
      <c r="A2" s="12" t="s">
        <v>0</v>
      </c>
      <c r="B2" s="11" t="s">
        <v>1</v>
      </c>
      <c r="C2" s="11"/>
      <c r="D2" s="11"/>
      <c r="E2" s="11"/>
      <c r="F2" s="11"/>
      <c r="G2" s="11"/>
      <c r="H2" s="11"/>
      <c r="I2" s="11"/>
      <c r="J2" s="2"/>
      <c r="K2" s="2"/>
      <c r="L2" s="2"/>
      <c r="M2" s="2"/>
      <c r="N2" s="2"/>
      <c r="O2" s="2"/>
      <c r="P2" s="2"/>
      <c r="Q2" s="2"/>
      <c r="R2" s="2"/>
    </row>
    <row r="3" spans="1:18" x14ac:dyDescent="0.25">
      <c r="A3" s="12"/>
      <c r="B3" s="11"/>
      <c r="C3" s="11"/>
      <c r="D3" s="11"/>
      <c r="E3" s="11"/>
      <c r="F3" s="11"/>
      <c r="G3" s="11"/>
      <c r="H3" s="11"/>
      <c r="I3" s="11"/>
      <c r="J3" s="2"/>
      <c r="K3" s="2"/>
      <c r="L3" s="2"/>
      <c r="M3" s="2"/>
      <c r="N3" s="2"/>
      <c r="O3" s="2"/>
      <c r="P3" s="2"/>
      <c r="Q3" s="2"/>
      <c r="R3" s="2"/>
    </row>
    <row r="5" spans="1:18" ht="18.75" x14ac:dyDescent="0.3">
      <c r="A5" s="1" t="s">
        <v>2</v>
      </c>
    </row>
    <row r="6" spans="1:18" x14ac:dyDescent="0.25">
      <c r="A6" s="3" t="s">
        <v>3</v>
      </c>
      <c r="B6" s="3" t="s">
        <v>4</v>
      </c>
    </row>
    <row r="7" spans="1:18" x14ac:dyDescent="0.25">
      <c r="A7" t="s">
        <v>5</v>
      </c>
      <c r="B7" s="10" t="str" cm="1">
        <f t="array" aca="1" ref="B7" ca="1">LEFT(CELL("filename"),FIND("[",CELL("filename"))-2) &amp;"\"</f>
        <v>C:\dev\VenerableDB\</v>
      </c>
    </row>
    <row r="8" spans="1:18" x14ac:dyDescent="0.25">
      <c r="A8" t="s">
        <v>6</v>
      </c>
      <c r="B8" s="10" t="s">
        <v>37</v>
      </c>
    </row>
    <row r="9" spans="1:18" x14ac:dyDescent="0.25">
      <c r="A9" t="s">
        <v>9</v>
      </c>
      <c r="B9" s="10" t="str">
        <f>".\TheDatabase.xlsx"</f>
        <v>.\TheDatabase.xlsx</v>
      </c>
    </row>
    <row r="10" spans="1:18" x14ac:dyDescent="0.25">
      <c r="A10" t="s">
        <v>42</v>
      </c>
      <c r="B10" s="8" t="s">
        <v>43</v>
      </c>
    </row>
    <row r="11" spans="1:18" x14ac:dyDescent="0.25">
      <c r="A11" t="s">
        <v>48</v>
      </c>
      <c r="B11" s="8" t="s">
        <v>49</v>
      </c>
    </row>
    <row r="12" spans="1:18" x14ac:dyDescent="0.25">
      <c r="A12" s="3" t="s">
        <v>7</v>
      </c>
      <c r="B12" s="8" t="s">
        <v>45</v>
      </c>
    </row>
    <row r="13" spans="1:18" x14ac:dyDescent="0.25">
      <c r="A13" s="3" t="s">
        <v>44</v>
      </c>
      <c r="B13" s="8" t="s">
        <v>46</v>
      </c>
    </row>
    <row r="14" spans="1:18" x14ac:dyDescent="0.25">
      <c r="A14" t="s">
        <v>8</v>
      </c>
      <c r="B14" s="9">
        <v>45179</v>
      </c>
    </row>
    <row r="15" spans="1:18" x14ac:dyDescent="0.25">
      <c r="A15" t="s">
        <v>38</v>
      </c>
      <c r="B15" s="9" t="s">
        <v>39</v>
      </c>
    </row>
    <row r="16" spans="1:18" x14ac:dyDescent="0.25">
      <c r="A16" t="s">
        <v>40</v>
      </c>
      <c r="B16" s="9" t="s">
        <v>41</v>
      </c>
    </row>
    <row r="18" spans="1:4" ht="18.75" x14ac:dyDescent="0.3">
      <c r="A18" s="1" t="s">
        <v>10</v>
      </c>
    </row>
    <row r="19" spans="1:4" x14ac:dyDescent="0.25">
      <c r="A19" s="3" t="s">
        <v>18</v>
      </c>
    </row>
    <row r="20" spans="1:4" x14ac:dyDescent="0.25">
      <c r="A20" s="3" t="s">
        <v>26</v>
      </c>
      <c r="B20" s="3" t="s">
        <v>27</v>
      </c>
      <c r="C20" s="3" t="s">
        <v>28</v>
      </c>
    </row>
    <row r="21" spans="1:4" x14ac:dyDescent="0.25">
      <c r="A21" s="8">
        <v>1</v>
      </c>
      <c r="B21" s="8">
        <v>3</v>
      </c>
      <c r="C21" s="8" t="s">
        <v>19</v>
      </c>
      <c r="D21" s="8"/>
    </row>
    <row r="22" spans="1:4" x14ac:dyDescent="0.25">
      <c r="A22" s="8">
        <v>2</v>
      </c>
      <c r="B22" s="8">
        <v>3</v>
      </c>
      <c r="C22" s="8" t="s">
        <v>12</v>
      </c>
      <c r="D22" s="8"/>
    </row>
    <row r="23" spans="1:4" x14ac:dyDescent="0.25">
      <c r="A23" s="8">
        <v>3</v>
      </c>
      <c r="B23" s="8">
        <v>3</v>
      </c>
      <c r="C23" s="8" t="s">
        <v>20</v>
      </c>
      <c r="D23" s="8"/>
    </row>
    <row r="24" spans="1:4" x14ac:dyDescent="0.25">
      <c r="A24" s="8">
        <v>4</v>
      </c>
      <c r="B24" s="8">
        <v>5</v>
      </c>
      <c r="C24" s="8" t="s">
        <v>20</v>
      </c>
      <c r="D24" s="8"/>
    </row>
    <row r="25" spans="1:4" x14ac:dyDescent="0.25">
      <c r="A25" s="8">
        <v>5</v>
      </c>
      <c r="B25" s="8">
        <v>3</v>
      </c>
      <c r="C25" s="8" t="s">
        <v>21</v>
      </c>
      <c r="D25" s="8"/>
    </row>
    <row r="26" spans="1:4" x14ac:dyDescent="0.25">
      <c r="A26" s="8">
        <v>6</v>
      </c>
      <c r="B26" s="8">
        <v>5</v>
      </c>
      <c r="C26" s="8" t="s">
        <v>21</v>
      </c>
      <c r="D26" s="8"/>
    </row>
    <row r="27" spans="1:4" x14ac:dyDescent="0.25">
      <c r="A27" s="8">
        <v>7</v>
      </c>
      <c r="B27" s="8">
        <v>3</v>
      </c>
      <c r="C27" s="8" t="s">
        <v>22</v>
      </c>
      <c r="D27" s="8"/>
    </row>
    <row r="28" spans="1:4" x14ac:dyDescent="0.25">
      <c r="A28" s="8">
        <v>8</v>
      </c>
      <c r="B28" s="8">
        <v>5</v>
      </c>
      <c r="C28" s="8" t="s">
        <v>22</v>
      </c>
      <c r="D28" s="8"/>
    </row>
    <row r="29" spans="1:4" x14ac:dyDescent="0.25">
      <c r="A29" s="8">
        <v>9</v>
      </c>
      <c r="B29" s="8">
        <v>3</v>
      </c>
      <c r="C29" s="8" t="s">
        <v>23</v>
      </c>
      <c r="D29" s="8"/>
    </row>
    <row r="30" spans="1:4" x14ac:dyDescent="0.25">
      <c r="A30" s="8">
        <v>10</v>
      </c>
      <c r="B30" s="8">
        <v>5</v>
      </c>
      <c r="C30" s="8" t="s">
        <v>23</v>
      </c>
      <c r="D30" s="8"/>
    </row>
    <row r="31" spans="1:4" x14ac:dyDescent="0.25">
      <c r="A31" s="8">
        <v>11</v>
      </c>
      <c r="B31" s="8">
        <v>3</v>
      </c>
      <c r="C31" s="8" t="s">
        <v>24</v>
      </c>
      <c r="D31" s="8"/>
    </row>
    <row r="32" spans="1:4" x14ac:dyDescent="0.25">
      <c r="A32" s="8">
        <v>12</v>
      </c>
      <c r="B32" s="8">
        <v>3</v>
      </c>
      <c r="C32" s="8" t="s">
        <v>25</v>
      </c>
      <c r="D32" s="8"/>
    </row>
    <row r="34" spans="1:3" x14ac:dyDescent="0.25">
      <c r="A34" s="3" t="s">
        <v>29</v>
      </c>
    </row>
    <row r="35" spans="1:3" x14ac:dyDescent="0.25">
      <c r="A35" s="3" t="s">
        <v>26</v>
      </c>
      <c r="B35" s="3" t="s">
        <v>27</v>
      </c>
      <c r="C35" s="3" t="s">
        <v>28</v>
      </c>
    </row>
    <row r="36" spans="1:3" x14ac:dyDescent="0.25">
      <c r="A36" s="8">
        <v>1</v>
      </c>
      <c r="B36" s="8">
        <v>3</v>
      </c>
      <c r="C36" s="8" t="s">
        <v>11</v>
      </c>
    </row>
    <row r="37" spans="1:3" x14ac:dyDescent="0.25">
      <c r="A37" s="8">
        <v>2</v>
      </c>
      <c r="B37" s="8">
        <v>3</v>
      </c>
      <c r="C37" s="8" t="s">
        <v>12</v>
      </c>
    </row>
    <row r="38" spans="1:3" x14ac:dyDescent="0.25">
      <c r="A38" s="8">
        <v>15</v>
      </c>
      <c r="B38" s="8">
        <v>3</v>
      </c>
      <c r="C38" s="8" t="s">
        <v>13</v>
      </c>
    </row>
    <row r="39" spans="1:3" x14ac:dyDescent="0.25">
      <c r="A39" s="8">
        <v>3</v>
      </c>
      <c r="B39" s="8">
        <v>3</v>
      </c>
      <c r="C39" s="8" t="s">
        <v>13</v>
      </c>
    </row>
    <row r="40" spans="1:3" x14ac:dyDescent="0.25">
      <c r="A40" s="8">
        <v>4</v>
      </c>
      <c r="B40" s="8">
        <v>3</v>
      </c>
      <c r="C40" s="8" t="s">
        <v>14</v>
      </c>
    </row>
    <row r="41" spans="1:3" x14ac:dyDescent="0.25">
      <c r="A41" s="8">
        <v>5</v>
      </c>
      <c r="B41" s="8">
        <v>3</v>
      </c>
      <c r="C41" s="8" t="s">
        <v>15</v>
      </c>
    </row>
    <row r="42" spans="1:3" x14ac:dyDescent="0.25">
      <c r="A42" s="8">
        <v>6</v>
      </c>
      <c r="B42" s="8">
        <v>3</v>
      </c>
      <c r="C42" s="8" t="s">
        <v>16</v>
      </c>
    </row>
    <row r="43" spans="1:3" x14ac:dyDescent="0.25">
      <c r="A43" s="8">
        <v>7</v>
      </c>
      <c r="B43" s="8">
        <v>3</v>
      </c>
      <c r="C43" s="8" t="s">
        <v>17</v>
      </c>
    </row>
    <row r="44" spans="1:3" x14ac:dyDescent="0.25">
      <c r="A44" s="8">
        <v>9</v>
      </c>
      <c r="B44" s="8">
        <v>3</v>
      </c>
      <c r="C44" s="8" t="s">
        <v>30</v>
      </c>
    </row>
    <row r="45" spans="1:3" x14ac:dyDescent="0.25">
      <c r="A45" s="8">
        <v>10</v>
      </c>
      <c r="B45" s="8">
        <v>3</v>
      </c>
      <c r="C45" s="8" t="s">
        <v>31</v>
      </c>
    </row>
  </sheetData>
  <mergeCells count="2">
    <mergeCell ref="B2:I3"/>
    <mergeCell ref="A2:A3"/>
  </mergeCells>
  <pageMargins left="0.7" right="0.7" top="0.75" bottom="0.75" header="0.3" footer="0.3"/>
  <pageSetup orientation="portrait" r:id="rId1"/>
  <headerFooter>
    <oddFooter>&amp;C&amp;1#&amp;"Calibri"&amp;10&amp;K000000CONFIDENTIAL</oddFooter>
  </headerFooter>
  <drawing r:id="rId2"/>
  <legacyDrawing r:id="rId3"/>
  <controls>
    <mc:AlternateContent xmlns:mc="http://schemas.openxmlformats.org/markup-compatibility/2006">
      <mc:Choice Requires="x14">
        <control shapeId="1025" r:id="rId4" name="cmdButtonUpdate">
          <controlPr defaultSize="0" autoLine="0" r:id="rId5">
            <anchor moveWithCells="1">
              <from>
                <xdr:col>3</xdr:col>
                <xdr:colOff>0</xdr:colOff>
                <xdr:row>10</xdr:row>
                <xdr:rowOff>171450</xdr:rowOff>
              </from>
              <to>
                <xdr:col>6</xdr:col>
                <xdr:colOff>0</xdr:colOff>
                <xdr:row>13</xdr:row>
                <xdr:rowOff>0</xdr:rowOff>
              </to>
            </anchor>
          </controlPr>
        </control>
      </mc:Choice>
      <mc:Fallback>
        <control shapeId="1025" r:id="rId4" name="cmdButto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CEAA1-C6D7-448B-AE6A-2F74B99D2AE8}">
  <sheetPr codeName="shRunLog"/>
  <dimension ref="A1:B9"/>
  <sheetViews>
    <sheetView workbookViewId="0">
      <selection activeCell="A8" sqref="A8"/>
    </sheetView>
  </sheetViews>
  <sheetFormatPr defaultRowHeight="15" x14ac:dyDescent="0.25"/>
  <cols>
    <col min="1" max="1" width="15.5703125" bestFit="1" customWidth="1"/>
    <col min="2" max="2" width="122.42578125" style="6" customWidth="1"/>
  </cols>
  <sheetData>
    <row r="1" spans="1:2" x14ac:dyDescent="0.25">
      <c r="A1" s="3" t="s">
        <v>35</v>
      </c>
      <c r="B1" s="7">
        <f>COUNTA(A:A)+2</f>
        <v>9</v>
      </c>
    </row>
    <row r="4" spans="1:2" ht="21" x14ac:dyDescent="0.35">
      <c r="A4" s="13" t="s">
        <v>32</v>
      </c>
      <c r="B4" s="13"/>
    </row>
    <row r="5" spans="1:2" x14ac:dyDescent="0.25">
      <c r="A5" s="3" t="s">
        <v>33</v>
      </c>
      <c r="B5" s="5" t="s">
        <v>34</v>
      </c>
    </row>
    <row r="6" spans="1:2" x14ac:dyDescent="0.25">
      <c r="A6" s="4">
        <v>45188.523402777777</v>
      </c>
      <c r="B6" s="6" t="s">
        <v>36</v>
      </c>
    </row>
    <row r="7" spans="1:2" x14ac:dyDescent="0.25">
      <c r="A7" s="4">
        <v>45188.525381944448</v>
      </c>
      <c r="B7" s="6" t="s">
        <v>47</v>
      </c>
    </row>
    <row r="8" spans="1:2" x14ac:dyDescent="0.25">
      <c r="A8" s="4">
        <v>45188.531585648147</v>
      </c>
      <c r="B8" s="6" t="s">
        <v>36</v>
      </c>
    </row>
    <row r="9" spans="1:2" x14ac:dyDescent="0.25">
      <c r="A9" s="4">
        <v>45188.534884259258</v>
      </c>
      <c r="B9" s="6" t="s">
        <v>50</v>
      </c>
    </row>
  </sheetData>
  <mergeCells count="1">
    <mergeCell ref="A4:B4"/>
  </mergeCells>
  <pageMargins left="0.7" right="0.7" top="0.75" bottom="0.75" header="0.3" footer="0.3"/>
  <pageSetup orientation="portrait" r:id="rId1"/>
  <headerFooter>
    <oddFooter>&amp;C&amp;1#&amp;"Calibri"&amp;10&amp;K000000CONFIDENTIAL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Config</vt:lpstr>
      <vt:lpstr>RunLog</vt:lpstr>
      <vt:lpstr>archiveFolder</vt:lpstr>
      <vt:lpstr>balanceSearch</vt:lpstr>
      <vt:lpstr>dailyBalanceSheet</vt:lpstr>
      <vt:lpstr>dailyValueSheet</vt:lpstr>
      <vt:lpstr>dbFile</vt:lpstr>
      <vt:lpstr>fileName</vt:lpstr>
      <vt:lpstr>isSharedBox</vt:lpstr>
      <vt:lpstr>lastRowInLog</vt:lpstr>
      <vt:lpstr>lastSyncDt</vt:lpstr>
      <vt:lpstr>sender</vt:lpstr>
      <vt:lpstr>subjectLine</vt:lpstr>
      <vt:lpstr>valuationSearch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Wang</dc:creator>
  <cp:lastModifiedBy>Michael Wang</cp:lastModifiedBy>
  <dcterms:created xsi:type="dcterms:W3CDTF">2022-02-12T19:20:02Z</dcterms:created>
  <dcterms:modified xsi:type="dcterms:W3CDTF">2023-09-19T16:56:37Z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c9aa860-6a65-4942-a19a-0478291725e1_Enabled">
    <vt:lpwstr>true</vt:lpwstr>
  </property>
  <property fmtid="{D5CDD505-2E9C-101B-9397-08002B2CF9AE}" pid="3" name="MSIP_Label_3c9aa860-6a65-4942-a19a-0478291725e1_SetDate">
    <vt:lpwstr>2022-02-15T21:44:02Z</vt:lpwstr>
  </property>
  <property fmtid="{D5CDD505-2E9C-101B-9397-08002B2CF9AE}" pid="4" name="MSIP_Label_3c9aa860-6a65-4942-a19a-0478291725e1_Method">
    <vt:lpwstr>Privileged</vt:lpwstr>
  </property>
  <property fmtid="{D5CDD505-2E9C-101B-9397-08002B2CF9AE}" pid="5" name="MSIP_Label_3c9aa860-6a65-4942-a19a-0478291725e1_Name">
    <vt:lpwstr>CONFIDENTIAL</vt:lpwstr>
  </property>
  <property fmtid="{D5CDD505-2E9C-101B-9397-08002B2CF9AE}" pid="6" name="MSIP_Label_3c9aa860-6a65-4942-a19a-0478291725e1_SiteId">
    <vt:lpwstr>5d3e2773-e07f-4432-a630-1a0f68a28a05</vt:lpwstr>
  </property>
  <property fmtid="{D5CDD505-2E9C-101B-9397-08002B2CF9AE}" pid="7" name="MSIP_Label_3c9aa860-6a65-4942-a19a-0478291725e1_ActionId">
    <vt:lpwstr>4df8ef90-09cb-4380-9234-632e48bbd65d</vt:lpwstr>
  </property>
  <property fmtid="{D5CDD505-2E9C-101B-9397-08002B2CF9AE}" pid="8" name="MSIP_Label_3c9aa860-6a65-4942-a19a-0478291725e1_ContentBits">
    <vt:lpwstr>2</vt:lpwstr>
  </property>
</Properties>
</file>