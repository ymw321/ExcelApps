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ExcelSamples\"/>
    </mc:Choice>
  </mc:AlternateContent>
  <xr:revisionPtr revIDLastSave="0" documentId="13_ncr:1_{24CE419A-FD76-492D-9E9A-293328B873C7}" xr6:coauthVersionLast="46" xr6:coauthVersionMax="46" xr10:uidLastSave="{00000000-0000-0000-0000-000000000000}"/>
  <bookViews>
    <workbookView xWindow="390" yWindow="390" windowWidth="17160" windowHeight="15285" xr2:uid="{00000000-000D-0000-FFFF-FFFF00000000}"/>
  </bookViews>
  <sheets>
    <sheet name="Main" sheetId="1" r:id="rId1"/>
    <sheet name="PivotRawData" sheetId="15" r:id="rId2"/>
    <sheet name="RawData" sheetId="13" r:id="rId3"/>
    <sheet name="Current" sheetId="16" r:id="rId4"/>
    <sheet name="Trace" sheetId="17" r:id="rId5"/>
    <sheet name="ImprtReject" sheetId="19" r:id="rId6"/>
    <sheet name="ErrReview" sheetId="20" r:id="rId7"/>
    <sheet name="Exception" sheetId="18" r:id="rId8"/>
  </sheets>
  <functionGroups builtInGroupCount="19"/>
  <definedNames>
    <definedName name="Current">Current!$C$3</definedName>
    <definedName name="CurrentData">Current!$A$11:$R$1240</definedName>
    <definedName name="CurrentSql">Current!$C$5</definedName>
    <definedName name="DataHead">RawData!$A$1</definedName>
    <definedName name="dbDatabase">Main!$C$6</definedName>
    <definedName name="dbServer">Main!$C$5</definedName>
    <definedName name="DSN">Main!$C$10</definedName>
    <definedName name="ErrReview">ErrReview!$C$4</definedName>
    <definedName name="ErrReview_outName">ErrReview!$H$3</definedName>
    <definedName name="ErrReviewData">ErrReview!$A$10:$P$50</definedName>
    <definedName name="ErrReviewSql">ErrReview!$C$6</definedName>
    <definedName name="Exception">Exception!$C$4</definedName>
    <definedName name="ExceptionData">Exception!$A$10:$V$1145</definedName>
    <definedName name="ExceptionSql">Exception!$C$6</definedName>
    <definedName name="ImprtReject">ImprtReject!$C$4</definedName>
    <definedName name="ImprtReject_outName">ImprtReject!$I$3</definedName>
    <definedName name="ImprtRejectData">ImprtReject!$A$10:$V$143</definedName>
    <definedName name="ImprtRejectSql">ImprtReject!$C$6</definedName>
    <definedName name="Main">Main!$C$7</definedName>
    <definedName name="sqlGetData">Main!$B$14</definedName>
    <definedName name="sqlRangeName">Main!#REF!</definedName>
    <definedName name="Trace">Trace!$C$4</definedName>
    <definedName name="TraceData">Trace!$A$11:$R$1555</definedName>
    <definedName name="TraceSql">Trace!$C$6</definedName>
  </definedNames>
  <calcPr calcId="191029"/>
  <pivotCaches>
    <pivotCache cacheId="0" r:id="rId9"/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" l="1"/>
  <c r="C7" i="17"/>
  <c r="A1" i="20"/>
  <c r="E3" i="1"/>
  <c r="J3" i="19" a="1"/>
  <c r="J3" i="19" l="1"/>
  <c r="J8" i="19"/>
  <c r="J6" i="19"/>
  <c r="J4" i="19"/>
  <c r="K7" i="19"/>
  <c r="K5" i="19"/>
  <c r="K3" i="19"/>
  <c r="J7" i="19"/>
  <c r="J5" i="19"/>
  <c r="K8" i="19"/>
  <c r="K6" i="19"/>
  <c r="K4" i="19"/>
</calcChain>
</file>

<file path=xl/sharedStrings.xml><?xml version="1.0" encoding="utf-8"?>
<sst xmlns="http://schemas.openxmlformats.org/spreadsheetml/2006/main" count="1416" uniqueCount="232">
  <si>
    <t>EOF</t>
  </si>
  <si>
    <t>DSN:</t>
  </si>
  <si>
    <t>Database</t>
  </si>
  <si>
    <t>select *</t>
  </si>
  <si>
    <t>Retrieve a single value=&gt;</t>
  </si>
  <si>
    <t>ODBC Server</t>
  </si>
  <si>
    <t>Variable</t>
  </si>
  <si>
    <t>Mtg</t>
  </si>
  <si>
    <t>FileDate</t>
  </si>
  <si>
    <t>Mortgage_Number</t>
  </si>
  <si>
    <t>Insurance_type</t>
  </si>
  <si>
    <t>Insurance_reference</t>
  </si>
  <si>
    <t>Gross_Mortgage</t>
  </si>
  <si>
    <t>Commitment_date</t>
  </si>
  <si>
    <t>Interest_rate</t>
  </si>
  <si>
    <t>Closing_date</t>
  </si>
  <si>
    <t>Term</t>
  </si>
  <si>
    <t>VRM_Indicator</t>
  </si>
  <si>
    <t>Payment_frequency</t>
  </si>
  <si>
    <t>Monthly_payment</t>
  </si>
  <si>
    <t>AMORTIZATION</t>
  </si>
  <si>
    <t>CMHC</t>
  </si>
  <si>
    <t>71-932-789</t>
  </si>
  <si>
    <t>M</t>
  </si>
  <si>
    <t>RISC_FNAT</t>
  </si>
  <si>
    <t>GE</t>
  </si>
  <si>
    <t>N</t>
  </si>
  <si>
    <t>select max(FileDate) from Commitment</t>
  </si>
  <si>
    <t>Grand Total</t>
  </si>
  <si>
    <t>from vMtgCommitment</t>
  </si>
  <si>
    <t>SourceName</t>
  </si>
  <si>
    <t>MtgNumber</t>
  </si>
  <si>
    <t>CommitAmt</t>
  </si>
  <si>
    <t>Coupon</t>
  </si>
  <si>
    <t>MtgTerm</t>
  </si>
  <si>
    <t>Closing</t>
  </si>
  <si>
    <t>ComStartDate</t>
  </si>
  <si>
    <t>PreApproval</t>
  </si>
  <si>
    <t>Maturity_date</t>
  </si>
  <si>
    <t>Range Names</t>
  </si>
  <si>
    <t>sqlGetData for raw commitment data</t>
  </si>
  <si>
    <t>sqlGetData:RawData:DataHead</t>
  </si>
  <si>
    <t>Named ranges</t>
  </si>
  <si>
    <t xml:space="preserve">Sql statements </t>
  </si>
  <si>
    <t>Sql terminator</t>
  </si>
  <si>
    <t>select * from</t>
  </si>
  <si>
    <t>AcctId</t>
  </si>
  <si>
    <t>CreateDate</t>
  </si>
  <si>
    <t>ExitDate</t>
  </si>
  <si>
    <t>Status</t>
  </si>
  <si>
    <t>CommitedRate</t>
  </si>
  <si>
    <t>ComEndDate</t>
  </si>
  <si>
    <t>MatDate</t>
  </si>
  <si>
    <t>RateType</t>
  </si>
  <si>
    <t>RamTerm</t>
  </si>
  <si>
    <t>RecordStatus</t>
  </si>
  <si>
    <t>UpdateDate</t>
  </si>
  <si>
    <t>ChangeNote</t>
  </si>
  <si>
    <t>Approved</t>
  </si>
  <si>
    <t>Fixed</t>
  </si>
  <si>
    <t>Modified</t>
  </si>
  <si>
    <t>Reappeared</t>
  </si>
  <si>
    <t>ComStatus(Approved - Expired);ComEndDate(20070214 - 20070209);MatDate(20120214 - 20120209);</t>
  </si>
  <si>
    <t>NewCert</t>
  </si>
  <si>
    <t>Expired</t>
  </si>
  <si>
    <t>select * from vComHistory</t>
  </si>
  <si>
    <t>InsurerName</t>
  </si>
  <si>
    <t>select * from Com_FNAT_Import_Exception</t>
  </si>
  <si>
    <t>select * from ComDetailCurrent_Exception</t>
  </si>
  <si>
    <t>SourceId</t>
  </si>
  <si>
    <t>Exception</t>
  </si>
  <si>
    <t>(blank)</t>
  </si>
  <si>
    <t>ProcessDateId</t>
  </si>
  <si>
    <t>ComStatusCode</t>
  </si>
  <si>
    <t>InsReference</t>
  </si>
  <si>
    <t>RateTypeCode</t>
  </si>
  <si>
    <t>PmtFrqCode</t>
  </si>
  <si>
    <t>MonthlyPandI</t>
  </si>
  <si>
    <t>ComStatusId</t>
  </si>
  <si>
    <t>RateTypeId</t>
  </si>
  <si>
    <t>InsurerId</t>
  </si>
  <si>
    <t>RecordStatusId</t>
  </si>
  <si>
    <t>MtgTermId</t>
  </si>
  <si>
    <t>RamTermId</t>
  </si>
  <si>
    <t>ApprovedRateId</t>
  </si>
  <si>
    <t xml:space="preserve"> </t>
  </si>
  <si>
    <t>fixed</t>
  </si>
  <si>
    <t>32-946-958</t>
  </si>
  <si>
    <t>B</t>
  </si>
  <si>
    <t>45-120-488</t>
  </si>
  <si>
    <t>45-902-117</t>
  </si>
  <si>
    <t>S</t>
  </si>
  <si>
    <t>44-948-729</t>
  </si>
  <si>
    <t>86-703-819</t>
  </si>
  <si>
    <t>55-546-245</t>
  </si>
  <si>
    <t>89-661-914</t>
  </si>
  <si>
    <t>73-545-223</t>
  </si>
  <si>
    <t>77-695-991</t>
  </si>
  <si>
    <t>20-0408068-0</t>
  </si>
  <si>
    <t>50-325-452</t>
  </si>
  <si>
    <t>49-762-747</t>
  </si>
  <si>
    <t>20-0408193-7</t>
  </si>
  <si>
    <t>69-903-885</t>
  </si>
  <si>
    <t>79-560-589</t>
  </si>
  <si>
    <t>24-473-591</t>
  </si>
  <si>
    <t>93-331-223</t>
  </si>
  <si>
    <t>90-946-174</t>
  </si>
  <si>
    <t>20-0411007-4</t>
  </si>
  <si>
    <t>44-006-970</t>
  </si>
  <si>
    <t>20-0422890-3</t>
  </si>
  <si>
    <t>51-027-153</t>
  </si>
  <si>
    <t>ComStatus(Expired - Approved);</t>
  </si>
  <si>
    <t>CommitAmt(274379.00 - 253360.00);CommitedRate(5.10 - 5.24);RamTerm(420.00 - 264.00);RateType(Variable - Fixed);</t>
  </si>
  <si>
    <t>CommitAmt(258048.00 - 274379.00);</t>
  </si>
  <si>
    <t>CommitAmt(253360.00 - 258048.00);CommitedRate(5.24 - 5.10);RamTerm(264.00 - 420.00);RateType(Fixed - Variable);</t>
  </si>
  <si>
    <t>CommitedRate(5.24 - 5.30);CommitAmt(152957.50 - 155550.00);ComStatus(Approved - PreApproval);ComEndDate(20070515 - 20070531);MatDate(20120515 - 20120531);</t>
  </si>
  <si>
    <t>ComStatus(Approved - Expired);ComEndDate(20070216 - 20070214);MatDate(20120216 - 20120214);</t>
  </si>
  <si>
    <t>ComDetailCurrent</t>
  </si>
  <si>
    <t>89-626-538</t>
  </si>
  <si>
    <t>20-0405427-1</t>
  </si>
  <si>
    <t>CommitAmt(363118.50 - 370829.89);</t>
  </si>
  <si>
    <t>17-356-173</t>
  </si>
  <si>
    <t>20-0382021-3</t>
  </si>
  <si>
    <t>11-974-270</t>
  </si>
  <si>
    <t>20-0399745-8</t>
  </si>
  <si>
    <t>20-0404915-4</t>
  </si>
  <si>
    <t>20-0423059-2</t>
  </si>
  <si>
    <t>71-648-494</t>
  </si>
  <si>
    <t>78-744-843</t>
  </si>
  <si>
    <t>79-295-349</t>
  </si>
  <si>
    <t>20-0408384-0</t>
  </si>
  <si>
    <t>41-839-837</t>
  </si>
  <si>
    <t>20-0401627-2</t>
  </si>
  <si>
    <t>20-0408431-6</t>
  </si>
  <si>
    <t>20-0420295-5</t>
  </si>
  <si>
    <t>20-0425133-6</t>
  </si>
  <si>
    <t>CommitAmt(449675.85 - 449421.25);</t>
  </si>
  <si>
    <t>31-381-329</t>
  </si>
  <si>
    <t>13-989-760</t>
  </si>
  <si>
    <t>20-0409421-4</t>
  </si>
  <si>
    <t>20-0414644-3</t>
  </si>
  <si>
    <t>20-0414213-8</t>
  </si>
  <si>
    <t>20-0406464-1</t>
  </si>
  <si>
    <t>70-020-857</t>
  </si>
  <si>
    <t>20-0393112-0</t>
  </si>
  <si>
    <t>20-0393678-5</t>
  </si>
  <si>
    <t>20-0408392-1</t>
  </si>
  <si>
    <t>51-038-441</t>
  </si>
  <si>
    <t>98-875-709</t>
  </si>
  <si>
    <t>77-026-283</t>
  </si>
  <si>
    <t>20-0407923-1</t>
  </si>
  <si>
    <t>15-794-952</t>
  </si>
  <si>
    <t>96-126-375</t>
  </si>
  <si>
    <t>42-325-887</t>
  </si>
  <si>
    <t>20-0406022-0</t>
  </si>
  <si>
    <t>82-804-742</t>
  </si>
  <si>
    <t>52-165-582</t>
  </si>
  <si>
    <t>41-178-307</t>
  </si>
  <si>
    <t>20-0406957-0</t>
  </si>
  <si>
    <t>54-883-762</t>
  </si>
  <si>
    <t>CommitAmt(129280.00 - 128270.00);</t>
  </si>
  <si>
    <t>12-911-928</t>
  </si>
  <si>
    <t>65-567-557</t>
  </si>
  <si>
    <t>36-668-362</t>
  </si>
  <si>
    <t>20-0406873-6</t>
  </si>
  <si>
    <t>W</t>
  </si>
  <si>
    <t>46-179-739</t>
  </si>
  <si>
    <t>96-423-707</t>
  </si>
  <si>
    <t>20-0414330-4</t>
  </si>
  <si>
    <t>20-0415559-0</t>
  </si>
  <si>
    <t>59-198-201</t>
  </si>
  <si>
    <t>46-426-025</t>
  </si>
  <si>
    <t>91-141-902</t>
  </si>
  <si>
    <t>30-221-897</t>
  </si>
  <si>
    <t>59-185-887</t>
  </si>
  <si>
    <t>23-540-286</t>
  </si>
  <si>
    <t>73-267-959</t>
  </si>
  <si>
    <t>72-795-118</t>
  </si>
  <si>
    <t>20-0416866-8</t>
  </si>
  <si>
    <t>21-727-752</t>
  </si>
  <si>
    <t>CommitAmt(178500.00 - 178420.00);</t>
  </si>
  <si>
    <t>44-583-337</t>
  </si>
  <si>
    <t>79-333-276</t>
  </si>
  <si>
    <t>91-223-509</t>
  </si>
  <si>
    <t>56-482-808</t>
  </si>
  <si>
    <t>92-308-537</t>
  </si>
  <si>
    <t>20-0425264-2</t>
  </si>
  <si>
    <t>RecordStatusBitwise</t>
  </si>
  <si>
    <t>Invalid Rate</t>
  </si>
  <si>
    <t>Outstanding,InvalidRate</t>
  </si>
  <si>
    <t>93-463-174</t>
  </si>
  <si>
    <t>SQL Statements:</t>
  </si>
  <si>
    <t>Property_address</t>
  </si>
  <si>
    <t>Postal_code</t>
  </si>
  <si>
    <t>Import_Source</t>
  </si>
  <si>
    <t>FileDateId</t>
  </si>
  <si>
    <t>20070123</t>
  </si>
  <si>
    <t>20070628</t>
  </si>
  <si>
    <t>20120628</t>
  </si>
  <si>
    <t>20070126</t>
  </si>
  <si>
    <t>20070601</t>
  </si>
  <si>
    <t>20120601</t>
  </si>
  <si>
    <t>20080118</t>
  </si>
  <si>
    <t>20130118</t>
  </si>
  <si>
    <t>CurrentSql:Current:CurrentData</t>
  </si>
  <si>
    <t>TraceSql:Trace:TraceData</t>
  </si>
  <si>
    <t>ComStatus(Expired - Approved);ComEndDate(20070214 - 20070216);MatDate(20120214 - 20120216);</t>
  </si>
  <si>
    <t>ComStatus(Approved - Expired);</t>
  </si>
  <si>
    <t>ComStatus(Expired - Approved);ComEndDate(20070216 - 20070223);MatDate(20120216 - 20120223);</t>
  </si>
  <si>
    <t>ImprtRejectSql:ImprtReject:ImprtRejectData</t>
  </si>
  <si>
    <t>ExceptionSql:Exception:ExceptionData</t>
  </si>
  <si>
    <t>range names:</t>
  </si>
  <si>
    <t>ErrReviewSql:ErrReview:ErrReviewData</t>
  </si>
  <si>
    <t>select * from Com_ExceptionReview</t>
  </si>
  <si>
    <t>HandleCode</t>
  </si>
  <si>
    <t>AuthorizedBy</t>
  </si>
  <si>
    <t>ProcessDate</t>
  </si>
  <si>
    <t xml:space="preserve">Output File Name: </t>
  </si>
  <si>
    <t>\\Cbmcc-fn-00004c\Treasury\TREASURY\PUBLIC\FirstNational\ExceptionReviewd.txt</t>
  </si>
  <si>
    <t>3rdPartyMtgUAT</t>
  </si>
  <si>
    <t>20070124</t>
  </si>
  <si>
    <t>20070530</t>
  </si>
  <si>
    <t>20120530</t>
  </si>
  <si>
    <t>P</t>
  </si>
  <si>
    <t xml:space="preserve">select JobStep, Msg </t>
  </si>
  <si>
    <t>from dbo.fnDTSMessages(0,1)</t>
  </si>
  <si>
    <t>commitment_date: 20070123</t>
  </si>
  <si>
    <t>commitment_date: 20070126</t>
  </si>
  <si>
    <t>Com period: 126</t>
  </si>
  <si>
    <t>Modified,InvalidRate</t>
  </si>
  <si>
    <t>CommitAmt(101553.50 - 101947.50);ComStatus(Approved - Expired);RamTerm(300.00 - 420.00);</t>
  </si>
  <si>
    <t>AccountId: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</si>
</sst>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* #,##0.0000_);_(* \(#,##0.0000\);_(* &quot;-&quot;??_);_(@_)"/>
    <numFmt numFmtId="166" formatCode="0.0000"/>
    <numFmt numFmtId="167" formatCode="mmmm\ d\,\ yyyy"/>
    <numFmt numFmtId="168" formatCode="m/d/yy"/>
    <numFmt numFmtId="169" formatCode="mm/dd/yy"/>
    <numFmt numFmtId="170" formatCode="d\-mmm\-yyyy"/>
  </numFmts>
  <fonts count="11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14"/>
      <name val="Arial"/>
      <family val="2"/>
    </font>
    <font>
      <sz val="10"/>
      <color indexed="55"/>
      <name val="Arial"/>
      <family val="2"/>
    </font>
    <font>
      <sz val="10"/>
      <color indexed="12"/>
      <name val="Arial"/>
      <family val="2"/>
    </font>
    <font>
      <b/>
      <sz val="10"/>
      <color indexed="54"/>
      <name val="Arial"/>
    </font>
    <font>
      <b/>
      <sz val="10"/>
      <color indexed="62"/>
      <name val="Arial"/>
    </font>
    <font>
      <b/>
      <sz val="10"/>
      <color indexed="8"/>
      <name val="Arial"/>
    </font>
    <font>
      <b/>
      <sz val="12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</fills>
  <borders count="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6">
    <xf numFmtId="0" fontId="0" fillId="0" borderId="0" xfId="0"/>
    <xf numFmtId="164" fontId="0" fillId="0" borderId="0" xfId="1" applyNumberFormat="1" applyFont="1"/>
    <xf numFmtId="0" fontId="4" fillId="0" borderId="0" xfId="0" applyFont="1"/>
    <xf numFmtId="0" fontId="5" fillId="0" borderId="0" xfId="0" applyFont="1"/>
    <xf numFmtId="164" fontId="0" fillId="0" borderId="0" xfId="0" applyNumberFormat="1"/>
    <xf numFmtId="165" fontId="0" fillId="0" borderId="0" xfId="1" applyNumberFormat="1" applyFont="1"/>
    <xf numFmtId="165" fontId="0" fillId="0" borderId="0" xfId="0" applyNumberFormat="1"/>
    <xf numFmtId="43" fontId="0" fillId="0" borderId="0" xfId="1" applyFont="1"/>
    <xf numFmtId="0" fontId="0" fillId="0" borderId="0" xfId="0" applyProtection="1">
      <protection locked="0"/>
    </xf>
    <xf numFmtId="164" fontId="0" fillId="0" borderId="0" xfId="1" applyNumberFormat="1" applyFon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4" fontId="0" fillId="0" borderId="0" xfId="0" applyNumberFormat="1"/>
    <xf numFmtId="167" fontId="0" fillId="0" borderId="0" xfId="0" applyNumberFormat="1" applyProtection="1">
      <protection locked="0"/>
    </xf>
    <xf numFmtId="0" fontId="0" fillId="0" borderId="0" xfId="0" applyNumberFormat="1"/>
    <xf numFmtId="0" fontId="2" fillId="0" borderId="0" xfId="0" applyFont="1" applyProtection="1">
      <protection locked="0"/>
    </xf>
    <xf numFmtId="0" fontId="6" fillId="0" borderId="0" xfId="0" applyFont="1" applyProtection="1">
      <protection locked="0"/>
    </xf>
    <xf numFmtId="169" fontId="0" fillId="0" borderId="0" xfId="0" applyNumberFormat="1" applyProtection="1">
      <protection locked="0"/>
    </xf>
    <xf numFmtId="0" fontId="6" fillId="0" borderId="0" xfId="0" applyFont="1"/>
    <xf numFmtId="168" fontId="0" fillId="0" borderId="0" xfId="0" applyNumberFormat="1" applyProtection="1">
      <protection locked="0"/>
    </xf>
    <xf numFmtId="168" fontId="0" fillId="0" borderId="0" xfId="1" applyNumberFormat="1" applyFont="1" applyProtection="1">
      <protection locked="0"/>
    </xf>
    <xf numFmtId="0" fontId="2" fillId="2" borderId="0" xfId="0" applyNumberFormat="1" applyFont="1" applyFill="1"/>
    <xf numFmtId="0" fontId="0" fillId="0" borderId="0" xfId="1" applyNumberFormat="1" applyFont="1"/>
    <xf numFmtId="0" fontId="0" fillId="0" borderId="1" xfId="0" pivotButton="1" applyBorder="1"/>
    <xf numFmtId="0" fontId="0" fillId="0" borderId="1" xfId="0" applyBorder="1"/>
    <xf numFmtId="0" fontId="7" fillId="3" borderId="2" xfId="0" applyFont="1" applyFill="1" applyBorder="1"/>
    <xf numFmtId="0" fontId="9" fillId="0" borderId="3" xfId="0" applyFont="1" applyBorder="1"/>
    <xf numFmtId="0" fontId="8" fillId="3" borderId="3" xfId="0" applyFont="1" applyFill="1" applyBorder="1" applyAlignment="1">
      <alignment horizontal="right"/>
    </xf>
    <xf numFmtId="0" fontId="8" fillId="3" borderId="4" xfId="0" applyFont="1" applyFill="1" applyBorder="1" applyAlignment="1">
      <alignment horizontal="right"/>
    </xf>
    <xf numFmtId="0" fontId="8" fillId="3" borderId="5" xfId="0" applyFont="1" applyFill="1" applyBorder="1" applyAlignment="1">
      <alignment horizontal="right"/>
    </xf>
    <xf numFmtId="14" fontId="0" fillId="0" borderId="0" xfId="1" applyNumberFormat="1" applyFont="1"/>
    <xf numFmtId="0" fontId="2" fillId="2" borderId="0" xfId="1" applyNumberFormat="1" applyFont="1" applyFill="1"/>
    <xf numFmtId="41" fontId="7" fillId="3" borderId="6" xfId="0" applyNumberFormat="1" applyFont="1" applyFill="1" applyBorder="1" applyAlignment="1">
      <alignment horizontal="right"/>
    </xf>
    <xf numFmtId="1" fontId="7" fillId="3" borderId="6" xfId="0" applyNumberFormat="1" applyFont="1" applyFill="1" applyBorder="1" applyAlignment="1">
      <alignment horizontal="right"/>
    </xf>
    <xf numFmtId="168" fontId="7" fillId="3" borderId="6" xfId="0" applyNumberFormat="1" applyFont="1" applyFill="1" applyBorder="1" applyAlignment="1">
      <alignment horizontal="right"/>
    </xf>
    <xf numFmtId="166" fontId="7" fillId="3" borderId="6" xfId="0" applyNumberFormat="1" applyFont="1" applyFill="1" applyBorder="1" applyAlignment="1">
      <alignment horizontal="right"/>
    </xf>
    <xf numFmtId="168" fontId="7" fillId="3" borderId="7" xfId="0" applyNumberFormat="1" applyFont="1" applyFill="1" applyBorder="1" applyAlignment="1">
      <alignment horizontal="right"/>
    </xf>
    <xf numFmtId="0" fontId="0" fillId="0" borderId="0" xfId="0" applyAlignment="1"/>
    <xf numFmtId="14" fontId="0" fillId="0" borderId="1" xfId="0" applyNumberFormat="1" applyBorder="1"/>
    <xf numFmtId="0" fontId="0" fillId="0" borderId="0" xfId="1" quotePrefix="1" applyNumberFormat="1" applyFont="1"/>
    <xf numFmtId="0" fontId="2" fillId="0" borderId="0" xfId="0" applyNumberFormat="1" applyFont="1"/>
    <xf numFmtId="0" fontId="6" fillId="0" borderId="0" xfId="0" applyNumberFormat="1" applyFont="1"/>
    <xf numFmtId="0" fontId="0" fillId="0" borderId="0" xfId="0" quotePrefix="1" applyNumberFormat="1"/>
    <xf numFmtId="0" fontId="3" fillId="4" borderId="0" xfId="0" applyNumberFormat="1" applyFont="1" applyFill="1"/>
    <xf numFmtId="0" fontId="3" fillId="4" borderId="0" xfId="1" applyNumberFormat="1" applyFont="1" applyFill="1"/>
    <xf numFmtId="168" fontId="0" fillId="0" borderId="0" xfId="0" applyNumberFormat="1"/>
    <xf numFmtId="168" fontId="3" fillId="4" borderId="0" xfId="0" applyNumberFormat="1" applyFont="1" applyFill="1"/>
    <xf numFmtId="0" fontId="6" fillId="4" borderId="0" xfId="0" applyFont="1" applyFill="1"/>
    <xf numFmtId="0" fontId="0" fillId="0" borderId="0" xfId="0" applyAlignment="1">
      <alignment horizontal="right"/>
    </xf>
    <xf numFmtId="0" fontId="3" fillId="4" borderId="0" xfId="0" applyFont="1" applyFill="1"/>
    <xf numFmtId="0" fontId="0" fillId="0" borderId="0" xfId="0" quotePrefix="1"/>
    <xf numFmtId="170" fontId="0" fillId="0" borderId="0" xfId="0" applyNumberFormat="1"/>
    <xf numFmtId="170" fontId="3" fillId="4" borderId="0" xfId="0" applyNumberFormat="1" applyFont="1" applyFill="1"/>
    <xf numFmtId="43" fontId="3" fillId="4" borderId="0" xfId="1" applyFont="1" applyFill="1"/>
    <xf numFmtId="165" fontId="6" fillId="0" borderId="0" xfId="0" quotePrefix="1" applyNumberFormat="1" applyFont="1" applyProtection="1">
      <protection locked="0"/>
    </xf>
    <xf numFmtId="0" fontId="2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0</xdr:rowOff>
    </xdr:from>
    <xdr:to>
      <xdr:col>8</xdr:col>
      <xdr:colOff>285750</xdr:colOff>
      <xdr:row>0</xdr:row>
      <xdr:rowOff>0</xdr:rowOff>
    </xdr:to>
    <xdr:sp macro="" textlink="">
      <xdr:nvSpPr>
        <xdr:cNvPr id="1027" name="Text Box 3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 txBox="1">
          <a:spLocks noChangeArrowheads="1"/>
        </xdr:cNvSpPr>
      </xdr:nvSpPr>
      <xdr:spPr bwMode="auto">
        <a:xfrm>
          <a:off x="4362450" y="0"/>
          <a:ext cx="45529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Fields in </a:t>
          </a:r>
          <a:r>
            <a:rPr lang="en-US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blue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are user inputs.  The rest are calculated.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Always make sure there is something in cell below NISBalance before updating the data.</a:t>
          </a:r>
        </a:p>
      </xdr:txBody>
    </xdr:sp>
    <xdr:clientData/>
  </xdr:twoCellAnchor>
  <xdr:twoCellAnchor>
    <xdr:from>
      <xdr:col>2</xdr:col>
      <xdr:colOff>314325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1048" name="AutoShape 24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>
          <a:spLocks/>
        </xdr:cNvSpPr>
      </xdr:nvSpPr>
      <xdr:spPr bwMode="auto">
        <a:xfrm>
          <a:off x="2038350" y="0"/>
          <a:ext cx="152400" cy="0"/>
        </a:xfrm>
        <a:prstGeom prst="rightBrace">
          <a:avLst>
            <a:gd name="adj1" fmla="val -2147483648"/>
            <a:gd name="adj2" fmla="val 50000"/>
          </a:avLst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77" name="cmdUpdateData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Raw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0</xdr:row>
          <xdr:rowOff>9525</xdr:rowOff>
        </xdr:from>
        <xdr:to>
          <xdr:col>5</xdr:col>
          <xdr:colOff>685800</xdr:colOff>
          <xdr:row>2</xdr:row>
          <xdr:rowOff>0</xdr:rowOff>
        </xdr:to>
        <xdr:sp macro="" textlink="">
          <xdr:nvSpPr>
            <xdr:cNvPr id="7211" name="Button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1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Pivot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38100</xdr:rowOff>
        </xdr:from>
        <xdr:to>
          <xdr:col>5</xdr:col>
          <xdr:colOff>0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Current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38100</xdr:rowOff>
        </xdr:from>
        <xdr:to>
          <xdr:col>4</xdr:col>
          <xdr:colOff>333375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Cert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38100</xdr:rowOff>
        </xdr:from>
        <xdr:to>
          <xdr:col>5</xdr:col>
          <xdr:colOff>0</xdr:colOff>
          <xdr:row>1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Reject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0</xdr:row>
          <xdr:rowOff>38100</xdr:rowOff>
        </xdr:from>
        <xdr:to>
          <xdr:col>4</xdr:col>
          <xdr:colOff>533400</xdr:colOff>
          <xdr:row>1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Exception 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0</xdr:row>
          <xdr:rowOff>57150</xdr:rowOff>
        </xdr:from>
        <xdr:to>
          <xdr:col>8</xdr:col>
          <xdr:colOff>390525</xdr:colOff>
          <xdr:row>2</xdr:row>
          <xdr:rowOff>9525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Selected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400050</xdr:colOff>
          <xdr:row>0</xdr:row>
          <xdr:rowOff>47625</xdr:rowOff>
        </xdr:from>
        <xdr:to>
          <xdr:col>11</xdr:col>
          <xdr:colOff>114300</xdr:colOff>
          <xdr:row>2</xdr:row>
          <xdr:rowOff>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the saved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38100</xdr:rowOff>
        </xdr:from>
        <xdr:to>
          <xdr:col>5</xdr:col>
          <xdr:colOff>542925</xdr:colOff>
          <xdr:row>1</xdr:row>
          <xdr:rowOff>152400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Current Exception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ngmic" refreshedDate="39128.685740277775" createdVersion="1" recordCount="21538" upgradeOnRefresh="1" xr:uid="{00000000-000A-0000-FFFF-FFFF00000000}">
  <cacheSource type="worksheet">
    <worksheetSource ref="A1:Q21539" sheet="RawData"/>
  </cacheSource>
  <cacheFields count="17">
    <cacheField name="FileDate" numFmtId="0">
      <sharedItems containsDate="1" containsString="0" containsBlank="1" minDate="2007-01-24T00:00:00" maxDate="2007-02-15T00:00:00" count="17">
        <d v="2007-01-24T00:00:00"/>
        <m/>
        <d v="2007-01-25T00:00:00" u="1"/>
        <d v="2007-01-26T00:00:00" u="1"/>
        <d v="2007-01-29T00:00:00" u="1"/>
        <d v="2007-01-30T00:00:00" u="1"/>
        <d v="2007-01-31T00:00:00" u="1"/>
        <d v="2007-02-01T00:00:00" u="1"/>
        <d v="2007-02-02T00:00:00" u="1"/>
        <d v="2007-02-05T00:00:00" u="1"/>
        <d v="2007-02-06T00:00:00" u="1"/>
        <d v="2007-02-07T00:00:00" u="1"/>
        <d v="2007-02-08T00:00:00" u="1"/>
        <d v="2007-02-09T00:00:00" u="1"/>
        <d v="2007-02-12T00:00:00" u="1"/>
        <d v="2007-02-13T00:00:00" u="1"/>
        <d v="2007-02-14T00:00:00" u="1"/>
      </sharedItems>
    </cacheField>
    <cacheField name="SourceName" numFmtId="0">
      <sharedItems containsBlank="1" count="3">
        <s v="RISC_FNAT"/>
        <m/>
        <s v="EXCEL" u="1"/>
      </sharedItems>
    </cacheField>
    <cacheField name="MtgNumber" numFmtId="0">
      <sharedItems containsString="0" containsBlank="1" containsNumber="1" containsInteger="1" minValue="762793" maxValue="762793" count="2">
        <n v="762793"/>
        <m/>
      </sharedItems>
    </cacheField>
    <cacheField name="PreApproval" numFmtId="0">
      <sharedItems containsBlank="1" count="5">
        <s v="N"/>
        <m/>
        <s v="Y" u="1"/>
        <s v=" " u="1"/>
        <s v="P" u="1"/>
      </sharedItems>
    </cacheField>
    <cacheField name="Mortgage_Number" numFmtId="0">
      <sharedItems containsString="0" containsBlank="1" containsNumber="1" containsInteger="1" minValue="354512" maxValue="2141400" count="252">
        <n v="762793"/>
        <m/>
        <n v="354512" u="1"/>
        <n v="381243" u="1"/>
        <n v="383222" u="1"/>
        <n v="383451" u="1"/>
        <n v="384445" u="1"/>
        <n v="384539" u="1"/>
        <n v="385497" u="1"/>
        <n v="385498" u="1"/>
        <n v="385581" u="1"/>
        <n v="386340" u="1"/>
        <n v="386500" u="1"/>
        <n v="386633" u="1"/>
        <n v="386935" u="1"/>
        <n v="386938" u="1"/>
        <n v="386992" u="1"/>
        <n v="387020" u="1"/>
        <n v="387051" u="1"/>
        <n v="387082" u="1"/>
        <n v="387110" u="1"/>
        <n v="387146" u="1"/>
        <n v="387151" u="1"/>
        <n v="387152" u="1"/>
        <n v="387154" u="1"/>
        <n v="387187" u="1"/>
        <n v="387195" u="1"/>
        <n v="387228" u="1"/>
        <n v="387248" u="1"/>
        <n v="387277" u="1"/>
        <n v="387407" u="1"/>
        <n v="387638" u="1"/>
        <n v="387640" u="1"/>
        <n v="387666" u="1"/>
        <n v="760732" u="1"/>
        <n v="762171" u="1"/>
        <n v="762175" u="1"/>
        <n v="762247" u="1"/>
        <n v="762318" u="1"/>
        <n v="762407" u="1"/>
        <n v="762677" u="1"/>
        <n v="762759" u="1"/>
        <n v="762774" u="1"/>
        <n v="762897" u="1"/>
        <n v="762968" u="1"/>
        <n v="763105" u="1"/>
        <n v="763115" u="1"/>
        <n v="763118" u="1"/>
        <n v="763165" u="1"/>
        <n v="763186" u="1"/>
        <n v="763220" u="1"/>
        <n v="763230" u="1"/>
        <n v="763279" u="1"/>
        <n v="763299" u="1"/>
        <n v="763325" u="1"/>
        <n v="763340" u="1"/>
        <n v="763345" u="1"/>
        <n v="763352" u="1"/>
        <n v="763357" u="1"/>
        <n v="763371" u="1"/>
        <n v="763378" u="1"/>
        <n v="763383" u="1"/>
        <n v="763391" u="1"/>
        <n v="763393" u="1"/>
        <n v="763402" u="1"/>
        <n v="763404" u="1"/>
        <n v="763409" u="1"/>
        <n v="763414" u="1"/>
        <n v="763440" u="1"/>
        <n v="763465" u="1"/>
        <n v="763470" u="1"/>
        <n v="763477" u="1"/>
        <n v="763482" u="1"/>
        <n v="763529" u="1"/>
        <n v="763544" u="1"/>
        <n v="763555" u="1"/>
        <n v="763559" u="1"/>
        <n v="763596" u="1"/>
        <n v="2034515" u="1"/>
        <n v="2081963" u="1"/>
        <n v="2130764" u="1"/>
        <n v="2133456" u="1"/>
        <n v="2135076" u="1"/>
        <n v="2135267" u="1"/>
        <n v="2136108" u="1"/>
        <n v="2136136" u="1"/>
        <n v="2136197" u="1"/>
        <n v="2136222" u="1"/>
        <n v="2136231" u="1"/>
        <n v="2136350" u="1"/>
        <n v="2136366" u="1"/>
        <n v="2137567" u="1"/>
        <n v="2137679" u="1"/>
        <n v="2137681" u="1"/>
        <n v="2137764" u="1"/>
        <n v="2137815" u="1"/>
        <n v="2138071" u="1"/>
        <n v="2138114" u="1"/>
        <n v="2138129" u="1"/>
        <n v="2138165" u="1"/>
        <n v="2138204" u="1"/>
        <n v="2138248" u="1"/>
        <n v="2138259" u="1"/>
        <n v="2138387" u="1"/>
        <n v="2138420" u="1"/>
        <n v="2138435" u="1"/>
        <n v="2138449" u="1"/>
        <n v="2138454" u="1"/>
        <n v="2138503" u="1"/>
        <n v="2138509" u="1"/>
        <n v="2138531" u="1"/>
        <n v="2138542" u="1"/>
        <n v="2138552" u="1"/>
        <n v="2138586" u="1"/>
        <n v="2138598" u="1"/>
        <n v="2138610" u="1"/>
        <n v="2138612" u="1"/>
        <n v="2138622" u="1"/>
        <n v="2138627" u="1"/>
        <n v="2138628" u="1"/>
        <n v="2138660" u="1"/>
        <n v="2138661" u="1"/>
        <n v="2138676" u="1"/>
        <n v="2138677" u="1"/>
        <n v="2138698" u="1"/>
        <n v="2138704" u="1"/>
        <n v="2138710" u="1"/>
        <n v="2138716" u="1"/>
        <n v="2138730" u="1"/>
        <n v="2138733" u="1"/>
        <n v="2138737" u="1"/>
        <n v="2138755" u="1"/>
        <n v="2138763" u="1"/>
        <n v="2138764" u="1"/>
        <n v="2138765" u="1"/>
        <n v="2138773" u="1"/>
        <n v="2138795" u="1"/>
        <n v="2138800" u="1"/>
        <n v="2138812" u="1"/>
        <n v="2138816" u="1"/>
        <n v="2138826" u="1"/>
        <n v="2138836" u="1"/>
        <n v="2138858" u="1"/>
        <n v="2138862" u="1"/>
        <n v="2138863" u="1"/>
        <n v="2138895" u="1"/>
        <n v="2138914" u="1"/>
        <n v="2138934" u="1"/>
        <n v="2138937" u="1"/>
        <n v="2138943" u="1"/>
        <n v="2138953" u="1"/>
        <n v="2138989" u="1"/>
        <n v="2139013" u="1"/>
        <n v="2139048" u="1"/>
        <n v="2139326" u="1"/>
        <n v="2139339" u="1"/>
        <n v="2139352" u="1"/>
        <n v="2139369" u="1"/>
        <n v="2139380" u="1"/>
        <n v="2139408" u="1"/>
        <n v="2139416" u="1"/>
        <n v="2139426" u="1"/>
        <n v="2139428" u="1"/>
        <n v="2139456" u="1"/>
        <n v="2139458" u="1"/>
        <n v="2139465" u="1"/>
        <n v="2139472" u="1"/>
        <n v="2139507" u="1"/>
        <n v="2139518" u="1"/>
        <n v="2139578" u="1"/>
        <n v="2139645" u="1"/>
        <n v="2139654" u="1"/>
        <n v="2139660" u="1"/>
        <n v="2139689" u="1"/>
        <n v="2139705" u="1"/>
        <n v="2139732" u="1"/>
        <n v="2139737" u="1"/>
        <n v="2139751" u="1"/>
        <n v="2139761" u="1"/>
        <n v="2139772" u="1"/>
        <n v="2139779" u="1"/>
        <n v="2139780" u="1"/>
        <n v="2139797" u="1"/>
        <n v="2139810" u="1"/>
        <n v="2139850" u="1"/>
        <n v="2139870" u="1"/>
        <n v="2139894" u="1"/>
        <n v="2139901" u="1"/>
        <n v="2139915" u="1"/>
        <n v="2139930" u="1"/>
        <n v="2139962" u="1"/>
        <n v="2139983" u="1"/>
        <n v="2139995" u="1"/>
        <n v="2139999" u="1"/>
        <n v="2140002" u="1"/>
        <n v="2140012" u="1"/>
        <n v="2140040" u="1"/>
        <n v="2140062" u="1"/>
        <n v="2140068" u="1"/>
        <n v="2140085" u="1"/>
        <n v="2140099" u="1"/>
        <n v="2140151" u="1"/>
        <n v="2140154" u="1"/>
        <n v="2140157" u="1"/>
        <n v="2140186" u="1"/>
        <n v="2140336" u="1"/>
        <n v="387709" u="1"/>
        <n v="387749" u="1"/>
        <n v="387788" u="1"/>
        <n v="764185" u="1"/>
        <n v="2135231" u="1"/>
        <n v="2139273" u="1"/>
        <n v="2139979" u="1"/>
        <n v="2140047" u="1"/>
        <n v="2140200" u="1"/>
        <n v="2140211" u="1"/>
        <n v="2140218" u="1"/>
        <n v="2140253" u="1"/>
        <n v="2140274" u="1"/>
        <n v="2140282" u="1"/>
        <n v="2140287" u="1"/>
        <n v="2140313" u="1"/>
        <n v="2140323" u="1"/>
        <n v="2140359" u="1"/>
        <n v="387823" u="1"/>
        <n v="387836" u="1"/>
        <n v="2136979" u="1"/>
        <n v="2140031" u="1"/>
        <n v="2140417" u="1"/>
        <n v="2140532" u="1"/>
        <n v="2140551" u="1"/>
        <n v="2140601" u="1"/>
        <n v="2140603" u="1"/>
        <n v="2137803" u="1"/>
        <n v="2138303" u="1"/>
        <n v="2140636" u="1"/>
        <n v="2140699" u="1"/>
        <n v="2140773" u="1"/>
        <n v="2140832" u="1"/>
        <n v="387752" u="1"/>
        <n v="388184" u="1"/>
        <n v="2140823" u="1"/>
        <n v="2140939" u="1"/>
        <n v="2141012" u="1"/>
        <n v="2141050" u="1"/>
        <n v="2141136" u="1"/>
        <n v="2141184" u="1"/>
        <n v="2141264" u="1"/>
        <n v="2141380" u="1"/>
        <n v="2141388" u="1"/>
        <n v="2141396" u="1"/>
        <n v="2141400" u="1"/>
      </sharedItems>
    </cacheField>
    <cacheField name="Insurance_type" numFmtId="0">
      <sharedItems containsBlank="1" count="2">
        <s v="CMHC"/>
        <m/>
      </sharedItems>
    </cacheField>
    <cacheField name="Insurance_reference" numFmtId="0">
      <sharedItems containsBlank="1" count="2">
        <s v="71-932-789"/>
        <m/>
      </sharedItems>
    </cacheField>
    <cacheField name="Gross_Mortgage" numFmtId="0">
      <sharedItems containsString="0" containsBlank="1" containsNumber="1" containsInteger="1" minValue="633330" maxValue="633330" count="2">
        <n v="633330"/>
        <m/>
      </sharedItems>
    </cacheField>
    <cacheField name="Commitment_date" numFmtId="0">
      <sharedItems containsDate="1" containsString="0" containsBlank="1" minDate="2007-01-24T00:00:00" maxDate="2007-01-25T00:00:00" count="2">
        <d v="2007-01-24T00:00:00"/>
        <m/>
      </sharedItems>
    </cacheField>
    <cacheField name="Interest_rate" numFmtId="0">
      <sharedItems containsString="0" containsBlank="1" containsNumber="1" minValue="5.0999999999999996" maxValue="5.0999999999999996" count="2">
        <n v="5.0999999999999996"/>
        <m/>
      </sharedItems>
    </cacheField>
    <cacheField name="Closing_date" numFmtId="0">
      <sharedItems containsString="0" containsBlank="1" count="1">
        <m/>
      </sharedItems>
    </cacheField>
    <cacheField name="Term" numFmtId="0">
      <sharedItems containsString="0" containsBlank="1" containsNumber="1" containsInteger="1" minValue="60" maxValue="60" count="2">
        <n v="60"/>
        <m/>
      </sharedItems>
    </cacheField>
    <cacheField name="Maturity_date" numFmtId="0">
      <sharedItems containsString="0" containsBlank="1" count="1">
        <m/>
      </sharedItems>
    </cacheField>
    <cacheField name="VRM_Indicator" numFmtId="0">
      <sharedItems containsBlank="1" count="2">
        <s v="Variable"/>
        <m/>
      </sharedItems>
    </cacheField>
    <cacheField name="Payment_frequency" numFmtId="0">
      <sharedItems containsBlank="1" count="2">
        <s v="M"/>
        <m/>
      </sharedItems>
    </cacheField>
    <cacheField name="Monthly_payment" numFmtId="0">
      <sharedItems containsString="0" containsBlank="1" containsNumber="1" minValue="3215.2" maxValue="3215.2" count="2">
        <n v="3215.2"/>
        <m/>
      </sharedItems>
    </cacheField>
    <cacheField name="AMORTIZATION" numFmtId="0">
      <sharedItems containsString="0" containsBlank="1" containsNumber="1" containsInteger="1" minValue="420" maxValue="420" count="2">
        <n v="42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ngmic" refreshedDate="39128.685760995373" createdVersion="1" recordCount="21538" upgradeOnRefresh="1" xr:uid="{00000000-000A-0000-FFFF-FFFF01000000}">
  <cacheSource type="worksheet">
    <worksheetSource ref="A1:Q21539" sheet="RawData"/>
  </cacheSource>
  <cacheFields count="17">
    <cacheField name="FileDate" numFmtId="0">
      <sharedItems containsDate="1" containsString="0" containsBlank="1" minDate="2007-01-24T00:00:00" maxDate="2007-02-15T00:00:00" count="17">
        <d v="2007-01-24T00:00:00"/>
        <m/>
        <d v="2007-01-25T00:00:00" u="1"/>
        <d v="2007-01-26T00:00:00" u="1"/>
        <d v="2007-01-29T00:00:00" u="1"/>
        <d v="2007-01-30T00:00:00" u="1"/>
        <d v="2007-01-31T00:00:00" u="1"/>
        <d v="2007-02-01T00:00:00" u="1"/>
        <d v="2007-02-02T00:00:00" u="1"/>
        <d v="2007-02-05T00:00:00" u="1"/>
        <d v="2007-02-06T00:00:00" u="1"/>
        <d v="2007-02-07T00:00:00" u="1"/>
        <d v="2007-02-08T00:00:00" u="1"/>
        <d v="2007-02-09T00:00:00" u="1"/>
        <d v="2007-02-12T00:00:00" u="1"/>
        <d v="2007-02-13T00:00:00" u="1"/>
        <d v="2007-02-14T00:00:00" u="1"/>
      </sharedItems>
    </cacheField>
    <cacheField name="SourceName" numFmtId="0">
      <sharedItems containsBlank="1" count="3">
        <s v="RISC_FNAT"/>
        <m/>
        <s v="EXCEL" u="1"/>
      </sharedItems>
    </cacheField>
    <cacheField name="MtgNumber" numFmtId="0">
      <sharedItems containsString="0" containsBlank="1" containsNumber="1" containsInteger="1" minValue="762793" maxValue="762793" count="2">
        <n v="762793"/>
        <m/>
      </sharedItems>
    </cacheField>
    <cacheField name="PreApproval" numFmtId="0">
      <sharedItems containsBlank="1" count="5">
        <s v="N"/>
        <m/>
        <s v="Y" u="1"/>
        <s v=" " u="1"/>
        <s v="P" u="1"/>
      </sharedItems>
    </cacheField>
    <cacheField name="Mortgage_Number" numFmtId="0">
      <sharedItems containsString="0" containsBlank="1" containsNumber="1" containsInteger="1" minValue="354512" maxValue="2141400" count="252">
        <n v="762793"/>
        <m/>
        <n v="354512" u="1"/>
        <n v="381243" u="1"/>
        <n v="383222" u="1"/>
        <n v="383451" u="1"/>
        <n v="384445" u="1"/>
        <n v="384539" u="1"/>
        <n v="385497" u="1"/>
        <n v="385498" u="1"/>
        <n v="385581" u="1"/>
        <n v="386340" u="1"/>
        <n v="386500" u="1"/>
        <n v="386633" u="1"/>
        <n v="386935" u="1"/>
        <n v="386938" u="1"/>
        <n v="386992" u="1"/>
        <n v="387020" u="1"/>
        <n v="387051" u="1"/>
        <n v="387082" u="1"/>
        <n v="387110" u="1"/>
        <n v="387146" u="1"/>
        <n v="387151" u="1"/>
        <n v="387152" u="1"/>
        <n v="387154" u="1"/>
        <n v="387187" u="1"/>
        <n v="387195" u="1"/>
        <n v="387228" u="1"/>
        <n v="387248" u="1"/>
        <n v="387277" u="1"/>
        <n v="387407" u="1"/>
        <n v="387638" u="1"/>
        <n v="387640" u="1"/>
        <n v="387666" u="1"/>
        <n v="760732" u="1"/>
        <n v="762171" u="1"/>
        <n v="762175" u="1"/>
        <n v="762247" u="1"/>
        <n v="762318" u="1"/>
        <n v="762407" u="1"/>
        <n v="762677" u="1"/>
        <n v="762759" u="1"/>
        <n v="762774" u="1"/>
        <n v="762897" u="1"/>
        <n v="762968" u="1"/>
        <n v="763105" u="1"/>
        <n v="763115" u="1"/>
        <n v="763118" u="1"/>
        <n v="763165" u="1"/>
        <n v="763186" u="1"/>
        <n v="763220" u="1"/>
        <n v="763230" u="1"/>
        <n v="763279" u="1"/>
        <n v="763299" u="1"/>
        <n v="763325" u="1"/>
        <n v="763340" u="1"/>
        <n v="763345" u="1"/>
        <n v="763352" u="1"/>
        <n v="763357" u="1"/>
        <n v="763371" u="1"/>
        <n v="763378" u="1"/>
        <n v="763383" u="1"/>
        <n v="763391" u="1"/>
        <n v="763393" u="1"/>
        <n v="763402" u="1"/>
        <n v="763404" u="1"/>
        <n v="763409" u="1"/>
        <n v="763414" u="1"/>
        <n v="763440" u="1"/>
        <n v="763465" u="1"/>
        <n v="763470" u="1"/>
        <n v="763477" u="1"/>
        <n v="763482" u="1"/>
        <n v="763529" u="1"/>
        <n v="763544" u="1"/>
        <n v="763555" u="1"/>
        <n v="763559" u="1"/>
        <n v="763596" u="1"/>
        <n v="2034515" u="1"/>
        <n v="2081963" u="1"/>
        <n v="2130764" u="1"/>
        <n v="2133456" u="1"/>
        <n v="2135076" u="1"/>
        <n v="2135267" u="1"/>
        <n v="2136108" u="1"/>
        <n v="2136136" u="1"/>
        <n v="2136197" u="1"/>
        <n v="2136222" u="1"/>
        <n v="2136231" u="1"/>
        <n v="2136350" u="1"/>
        <n v="2136366" u="1"/>
        <n v="2137567" u="1"/>
        <n v="2137679" u="1"/>
        <n v="2137681" u="1"/>
        <n v="2137764" u="1"/>
        <n v="2137815" u="1"/>
        <n v="2138071" u="1"/>
        <n v="2138114" u="1"/>
        <n v="2138129" u="1"/>
        <n v="2138165" u="1"/>
        <n v="2138204" u="1"/>
        <n v="2138248" u="1"/>
        <n v="2138259" u="1"/>
        <n v="2138387" u="1"/>
        <n v="2138420" u="1"/>
        <n v="2138435" u="1"/>
        <n v="2138449" u="1"/>
        <n v="2138454" u="1"/>
        <n v="2138503" u="1"/>
        <n v="2138509" u="1"/>
        <n v="2138531" u="1"/>
        <n v="2138542" u="1"/>
        <n v="2138552" u="1"/>
        <n v="2138586" u="1"/>
        <n v="2138598" u="1"/>
        <n v="2138610" u="1"/>
        <n v="2138612" u="1"/>
        <n v="2138622" u="1"/>
        <n v="2138627" u="1"/>
        <n v="2138628" u="1"/>
        <n v="2138660" u="1"/>
        <n v="2138661" u="1"/>
        <n v="2138676" u="1"/>
        <n v="2138677" u="1"/>
        <n v="2138698" u="1"/>
        <n v="2138704" u="1"/>
        <n v="2138710" u="1"/>
        <n v="2138716" u="1"/>
        <n v="2138730" u="1"/>
        <n v="2138733" u="1"/>
        <n v="2138737" u="1"/>
        <n v="2138755" u="1"/>
        <n v="2138763" u="1"/>
        <n v="2138764" u="1"/>
        <n v="2138765" u="1"/>
        <n v="2138773" u="1"/>
        <n v="2138795" u="1"/>
        <n v="2138800" u="1"/>
        <n v="2138812" u="1"/>
        <n v="2138816" u="1"/>
        <n v="2138826" u="1"/>
        <n v="2138836" u="1"/>
        <n v="2138858" u="1"/>
        <n v="2138862" u="1"/>
        <n v="2138863" u="1"/>
        <n v="2138895" u="1"/>
        <n v="2138914" u="1"/>
        <n v="2138934" u="1"/>
        <n v="2138937" u="1"/>
        <n v="2138943" u="1"/>
        <n v="2138953" u="1"/>
        <n v="2138989" u="1"/>
        <n v="2139013" u="1"/>
        <n v="2139048" u="1"/>
        <n v="2139326" u="1"/>
        <n v="2139339" u="1"/>
        <n v="2139352" u="1"/>
        <n v="2139369" u="1"/>
        <n v="2139380" u="1"/>
        <n v="2139408" u="1"/>
        <n v="2139416" u="1"/>
        <n v="2139426" u="1"/>
        <n v="2139428" u="1"/>
        <n v="2139456" u="1"/>
        <n v="2139458" u="1"/>
        <n v="2139465" u="1"/>
        <n v="2139472" u="1"/>
        <n v="2139507" u="1"/>
        <n v="2139518" u="1"/>
        <n v="2139578" u="1"/>
        <n v="2139645" u="1"/>
        <n v="2139654" u="1"/>
        <n v="2139660" u="1"/>
        <n v="2139689" u="1"/>
        <n v="2139705" u="1"/>
        <n v="2139732" u="1"/>
        <n v="2139737" u="1"/>
        <n v="2139751" u="1"/>
        <n v="2139761" u="1"/>
        <n v="2139772" u="1"/>
        <n v="2139779" u="1"/>
        <n v="2139780" u="1"/>
        <n v="2139797" u="1"/>
        <n v="2139810" u="1"/>
        <n v="2139850" u="1"/>
        <n v="2139870" u="1"/>
        <n v="2139894" u="1"/>
        <n v="2139901" u="1"/>
        <n v="2139915" u="1"/>
        <n v="2139930" u="1"/>
        <n v="2139962" u="1"/>
        <n v="2139983" u="1"/>
        <n v="2139995" u="1"/>
        <n v="2139999" u="1"/>
        <n v="2140002" u="1"/>
        <n v="2140012" u="1"/>
        <n v="2140040" u="1"/>
        <n v="2140062" u="1"/>
        <n v="2140068" u="1"/>
        <n v="2140085" u="1"/>
        <n v="2140099" u="1"/>
        <n v="2140151" u="1"/>
        <n v="2140154" u="1"/>
        <n v="2140157" u="1"/>
        <n v="2140186" u="1"/>
        <n v="2140336" u="1"/>
        <n v="387709" u="1"/>
        <n v="387749" u="1"/>
        <n v="387788" u="1"/>
        <n v="764185" u="1"/>
        <n v="2135231" u="1"/>
        <n v="2139273" u="1"/>
        <n v="2139979" u="1"/>
        <n v="2140047" u="1"/>
        <n v="2140200" u="1"/>
        <n v="2140211" u="1"/>
        <n v="2140218" u="1"/>
        <n v="2140253" u="1"/>
        <n v="2140274" u="1"/>
        <n v="2140282" u="1"/>
        <n v="2140287" u="1"/>
        <n v="2140313" u="1"/>
        <n v="2140323" u="1"/>
        <n v="2140359" u="1"/>
        <n v="387823" u="1"/>
        <n v="387836" u="1"/>
        <n v="2136979" u="1"/>
        <n v="2140031" u="1"/>
        <n v="2140417" u="1"/>
        <n v="2140532" u="1"/>
        <n v="2140551" u="1"/>
        <n v="2140601" u="1"/>
        <n v="2140603" u="1"/>
        <n v="2137803" u="1"/>
        <n v="2138303" u="1"/>
        <n v="2140636" u="1"/>
        <n v="2140699" u="1"/>
        <n v="2140773" u="1"/>
        <n v="2140832" u="1"/>
        <n v="387752" u="1"/>
        <n v="388184" u="1"/>
        <n v="2140823" u="1"/>
        <n v="2140939" u="1"/>
        <n v="2141012" u="1"/>
        <n v="2141050" u="1"/>
        <n v="2141136" u="1"/>
        <n v="2141184" u="1"/>
        <n v="2141264" u="1"/>
        <n v="2141380" u="1"/>
        <n v="2141388" u="1"/>
        <n v="2141396" u="1"/>
        <n v="2141400" u="1"/>
      </sharedItems>
    </cacheField>
    <cacheField name="Insurance_type" numFmtId="0">
      <sharedItems containsBlank="1" count="2">
        <s v="CMHC"/>
        <m/>
      </sharedItems>
    </cacheField>
    <cacheField name="Insurance_reference" numFmtId="0">
      <sharedItems containsBlank="1" count="2">
        <s v="71-932-789"/>
        <m/>
      </sharedItems>
    </cacheField>
    <cacheField name="Gross_Mortgage" numFmtId="0">
      <sharedItems containsString="0" containsBlank="1" containsNumber="1" containsInteger="1" minValue="633330" maxValue="633330" count="2">
        <n v="633330"/>
        <m/>
      </sharedItems>
    </cacheField>
    <cacheField name="Commitment_date" numFmtId="0">
      <sharedItems containsDate="1" containsString="0" containsBlank="1" minDate="2007-01-24T00:00:00" maxDate="2007-01-25T00:00:00" count="2">
        <d v="2007-01-24T00:00:00"/>
        <m/>
      </sharedItems>
    </cacheField>
    <cacheField name="Interest_rate" numFmtId="0">
      <sharedItems containsString="0" containsBlank="1" containsNumber="1" minValue="5.0999999999999996" maxValue="5.0999999999999996" count="2">
        <n v="5.0999999999999996"/>
        <m/>
      </sharedItems>
    </cacheField>
    <cacheField name="Closing_date" numFmtId="0">
      <sharedItems containsString="0" containsBlank="1" count="1">
        <m/>
      </sharedItems>
    </cacheField>
    <cacheField name="Term" numFmtId="0">
      <sharedItems containsString="0" containsBlank="1" containsNumber="1" containsInteger="1" minValue="60" maxValue="60" count="2">
        <n v="60"/>
        <m/>
      </sharedItems>
    </cacheField>
    <cacheField name="Maturity_date" numFmtId="0">
      <sharedItems containsString="0" containsBlank="1" count="1">
        <m/>
      </sharedItems>
    </cacheField>
    <cacheField name="VRM_Indicator" numFmtId="0">
      <sharedItems containsBlank="1" count="2">
        <s v="Variable"/>
        <m/>
      </sharedItems>
    </cacheField>
    <cacheField name="Payment_frequency" numFmtId="0">
      <sharedItems containsBlank="1" count="2">
        <s v="M"/>
        <m/>
      </sharedItems>
    </cacheField>
    <cacheField name="Monthly_payment" numFmtId="0">
      <sharedItems containsString="0" containsBlank="1" containsNumber="1" minValue="3215.2" maxValue="3215.2" count="2">
        <n v="3215.2"/>
        <m/>
      </sharedItems>
    </cacheField>
    <cacheField name="AMORTIZATION" numFmtId="0">
      <sharedItems containsString="0" containsBlank="1" containsNumber="1" containsInteger="1" minValue="420" maxValue="420" count="2">
        <n v="42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538"/>
</file>

<file path=xl/pivotCache/pivotCacheRecords2.xml><?xml version="1.0" encoding="utf-8"?>
<pivotCacheRecords xmlns="http://schemas.openxmlformats.org/spreadsheetml/2006/main" xmlns:r="http://schemas.openxmlformats.org/officeDocument/2006/relationships" count="21538"/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3" cacheId="1" autoFormatId="4107" applyNumberFormats="1" applyBorderFormats="1" applyFontFormats="1" applyPatternFormats="1" applyAlignmentFormats="1" applyWidthHeightFormats="1" dataCaption="Data" showItems="0" showMultipleLabel="0" showMemberPropertyTips="0" useAutoFormatting="1" itemPrintTitles="1" indent="0" compact="0" compactData="0" gridDropZones="1">
  <location ref="K5:O6" firstHeaderRow="0" firstDataRow="1" firstDataCol="1" rowPageCount="3" colPageCount="1"/>
  <pivotFields count="17">
    <pivotField axis="axisPage" compact="0" numFmtId="14" outline="0" subtotalTop="0" showAll="0" includeNewItemsInFilter="1">
      <items count="18">
        <item x="0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x="1"/>
        <item m="1" x="12"/>
        <item m="1" x="13"/>
        <item m="1" x="14"/>
        <item m="1" x="15"/>
        <item m="1" x="16"/>
        <item t="default"/>
      </items>
    </pivotField>
    <pivotField axis="axisPage" compact="0" outline="0" subtotalTop="0" showAll="0" includeNewItemsInFilter="1">
      <items count="4">
        <item m="1" x="2"/>
        <item x="0"/>
        <item x="1"/>
        <item t="default"/>
      </items>
    </pivotField>
    <pivotField compact="0" outline="0" subtotalTop="0" showAll="0" includeNewItemsInFilter="1"/>
    <pivotField axis="axisPage" compact="0" outline="0" subtotalTop="0" showAll="0" includeNewItemsInFilter="1">
      <items count="6">
        <item x="0"/>
        <item m="1" x="2"/>
        <item x="1"/>
        <item m="1" x="3"/>
        <item m="1" x="4"/>
        <item t="default"/>
      </items>
    </pivotField>
    <pivotField axis="axisRow" compact="0" outline="0" subtotalTop="0" showAll="0" includeNewItemsInFilter="1">
      <items count="253"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x="0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x="1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t="default"/>
      </items>
    </pivotField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4"/>
  </rowFields>
  <rowItems count="1"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3">
    <pageField fld="0" item="11" hier="0"/>
    <pageField fld="1" item="1" hier="0"/>
    <pageField fld="3" item="0" hier="0"/>
  </pageFields>
  <dataFields count="4">
    <dataField name="CommitAmt" fld="7" baseField="0" baseItem="0" numFmtId="41"/>
    <dataField name="Coupon" fld="9" subtotal="average" baseField="0" baseItem="0" numFmtId="166"/>
    <dataField name="MtgTerm" fld="11" subtotal="average" baseField="0" baseItem="0" numFmtId="1"/>
    <dataField name="Closing" fld="10" subtotal="average" baseField="0" baseItem="0" numFmtId="168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utoFormatId="4107" applyNumberFormats="1" applyBorderFormats="1" applyFontFormats="1" applyPatternFormats="1" applyAlignmentFormats="1" applyWidthHeightFormats="1" dataCaption="Data" asteriskTotals="1" showItems="0" showMultipleLabel="0" showMemberPropertyTips="0" useAutoFormatting="1" itemPrintTitles="1" indent="0" compact="0" compactData="0" gridDropZones="1">
  <location ref="A5:F6" firstHeaderRow="0" firstDataRow="1" firstDataCol="1" rowPageCount="3" colPageCount="1"/>
  <pivotFields count="17">
    <pivotField axis="axisPage" compact="0" numFmtId="14" outline="0" subtotalTop="0" showAll="0" includeNewItemsInFilter="1">
      <items count="18">
        <item x="0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x="1"/>
        <item m="1" x="12"/>
        <item m="1" x="13"/>
        <item m="1" x="14"/>
        <item m="1" x="15"/>
        <item m="1" x="16"/>
        <item t="default"/>
      </items>
    </pivotField>
    <pivotField axis="axisPage" compact="0" outline="0" subtotalTop="0" showAll="0" includeNewItemsInFilter="1">
      <items count="4">
        <item m="1" x="2"/>
        <item x="0"/>
        <item x="1"/>
        <item t="default"/>
      </items>
    </pivotField>
    <pivotField compact="0" outline="0" subtotalTop="0" showAll="0" includeNewItemsInFilter="1"/>
    <pivotField axis="axisPage" compact="0" outline="0" subtotalTop="0" showAll="0" includeNewItemsInFilter="1">
      <items count="6">
        <item x="0"/>
        <item m="1" x="2"/>
        <item x="1"/>
        <item m="1" x="3"/>
        <item m="1" x="4"/>
        <item t="default"/>
      </items>
    </pivotField>
    <pivotField axis="axisRow" compact="0" outline="0" subtotalTop="0" showAll="0" includeNewItemsInFilter="1">
      <items count="253"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x="0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x="1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t="default"/>
      </items>
    </pivotField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4"/>
  </rowFields>
  <rowItems count="1"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3">
    <pageField fld="0" item="11" hier="0"/>
    <pageField fld="1" item="1" hier="0"/>
    <pageField fld="3" item="0" hier="0"/>
  </pageFields>
  <dataFields count="5">
    <dataField name="CommitAmt" fld="7" baseField="0" baseItem="0" numFmtId="41"/>
    <dataField name="Coupon" fld="9" subtotal="average" baseField="0" baseItem="0" numFmtId="166"/>
    <dataField name="MtgTerm" fld="11" subtotal="average" baseField="0" baseItem="0" numFmtId="1"/>
    <dataField name="Closing" fld="10" subtotal="average" baseField="0" baseItem="0" numFmtId="168"/>
    <dataField name="ComStartDate" fld="8" subtotal="max" baseField="0" baseItem="0" numFmtId="168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Main">
    <pageSetUpPr fitToPage="1"/>
  </sheetPr>
  <dimension ref="B1:P58"/>
  <sheetViews>
    <sheetView tabSelected="1" zoomScaleNormal="100" workbookViewId="0">
      <selection activeCell="D18" sqref="D18"/>
    </sheetView>
  </sheetViews>
  <sheetFormatPr defaultRowHeight="12.75" x14ac:dyDescent="0.2"/>
  <cols>
    <col min="1" max="1" width="2.7109375" customWidth="1"/>
    <col min="2" max="2" width="23.140625" style="8" bestFit="1" customWidth="1"/>
    <col min="3" max="3" width="11.140625" style="8" bestFit="1" customWidth="1"/>
    <col min="4" max="4" width="24.5703125" style="8" bestFit="1" customWidth="1"/>
    <col min="5" max="5" width="13.140625" style="11" customWidth="1"/>
    <col min="6" max="6" width="17.7109375" style="10" bestFit="1" customWidth="1"/>
    <col min="7" max="7" width="20.42578125" style="9" customWidth="1"/>
    <col min="8" max="8" width="16.5703125" bestFit="1" customWidth="1"/>
    <col min="9" max="9" width="6" customWidth="1"/>
    <col min="10" max="10" width="13.140625" bestFit="1" customWidth="1"/>
    <col min="11" max="11" width="12.28515625" style="1" bestFit="1" customWidth="1"/>
    <col min="12" max="12" width="13.85546875" style="5" bestFit="1" customWidth="1"/>
    <col min="13" max="13" width="14" style="4" bestFit="1" customWidth="1"/>
    <col min="14" max="14" width="16.5703125" customWidth="1"/>
    <col min="15" max="15" width="5.28515625" customWidth="1"/>
    <col min="16" max="16" width="19.85546875" style="6" bestFit="1" customWidth="1"/>
    <col min="17" max="17" width="14.7109375" customWidth="1"/>
  </cols>
  <sheetData>
    <row r="1" spans="2:16" x14ac:dyDescent="0.2">
      <c r="E1" s="54" t="s">
        <v>27</v>
      </c>
      <c r="H1" s="7"/>
      <c r="K1"/>
      <c r="L1"/>
      <c r="M1"/>
      <c r="P1"/>
    </row>
    <row r="2" spans="2:16" x14ac:dyDescent="0.2">
      <c r="E2" s="11" t="s">
        <v>0</v>
      </c>
      <c r="H2" s="7"/>
      <c r="K2"/>
      <c r="L2"/>
      <c r="M2"/>
      <c r="P2"/>
    </row>
    <row r="3" spans="2:16" x14ac:dyDescent="0.2">
      <c r="D3" s="15" t="s">
        <v>4</v>
      </c>
      <c r="E3" s="17" t="e">
        <f>retrieve(E1,dbDatabase)</f>
        <v>#VALUE!</v>
      </c>
      <c r="F3" s="19"/>
      <c r="G3" s="20"/>
      <c r="H3" s="7"/>
      <c r="K3"/>
      <c r="L3"/>
      <c r="M3"/>
      <c r="P3"/>
    </row>
    <row r="4" spans="2:16" ht="12" customHeight="1" x14ac:dyDescent="0.2">
      <c r="E4" s="17"/>
      <c r="F4" s="19"/>
      <c r="G4" s="20"/>
      <c r="H4" s="7"/>
      <c r="K4"/>
      <c r="L4"/>
      <c r="M4"/>
      <c r="P4"/>
    </row>
    <row r="5" spans="2:16" x14ac:dyDescent="0.2">
      <c r="B5" s="15" t="s">
        <v>5</v>
      </c>
      <c r="C5" s="16" t="s">
        <v>219</v>
      </c>
      <c r="E5" s="17"/>
      <c r="H5" s="7"/>
      <c r="K5"/>
      <c r="L5"/>
      <c r="M5"/>
      <c r="P5"/>
    </row>
    <row r="6" spans="2:16" hidden="1" x14ac:dyDescent="0.2">
      <c r="B6" s="15" t="s">
        <v>2</v>
      </c>
      <c r="C6" s="16" t="s">
        <v>7</v>
      </c>
      <c r="E6" s="17"/>
      <c r="H6" s="7"/>
      <c r="K6"/>
      <c r="L6"/>
      <c r="M6"/>
      <c r="P6"/>
    </row>
    <row r="7" spans="2:16" hidden="1" x14ac:dyDescent="0.2">
      <c r="B7" s="15" t="s">
        <v>39</v>
      </c>
      <c r="C7" s="16" t="s">
        <v>41</v>
      </c>
      <c r="E7" s="17"/>
      <c r="H7" s="7"/>
      <c r="K7"/>
      <c r="L7"/>
      <c r="M7"/>
      <c r="P7"/>
    </row>
    <row r="8" spans="2:16" hidden="1" x14ac:dyDescent="0.2">
      <c r="B8" s="15"/>
      <c r="C8" s="16"/>
      <c r="E8" s="17"/>
      <c r="H8" s="7"/>
      <c r="K8"/>
      <c r="L8"/>
      <c r="M8"/>
      <c r="P8"/>
    </row>
    <row r="9" spans="2:16" hidden="1" x14ac:dyDescent="0.2">
      <c r="B9" s="15"/>
      <c r="C9" s="16"/>
      <c r="E9" s="17"/>
      <c r="H9" s="7"/>
      <c r="K9"/>
      <c r="L9"/>
      <c r="M9"/>
      <c r="P9"/>
    </row>
    <row r="10" spans="2:16" hidden="1" x14ac:dyDescent="0.2">
      <c r="B10" s="2" t="s">
        <v>1</v>
      </c>
      <c r="C10" s="3" t="str">
        <f>"DSN="&amp;dbServer &amp;";DATABASE="&amp;dbDatabase</f>
        <v>DSN=3rdPartyMtgUAT;DATABASE=Mtg</v>
      </c>
      <c r="H10" s="7"/>
      <c r="K10"/>
      <c r="L10"/>
      <c r="M10"/>
      <c r="P10"/>
    </row>
    <row r="11" spans="2:16" x14ac:dyDescent="0.2">
      <c r="C11" s="13"/>
      <c r="H11" s="7"/>
      <c r="K11"/>
      <c r="L11"/>
      <c r="M11"/>
      <c r="P11"/>
    </row>
    <row r="12" spans="2:16" x14ac:dyDescent="0.2">
      <c r="H12" s="7"/>
      <c r="K12"/>
      <c r="L12"/>
      <c r="M12"/>
      <c r="P12"/>
    </row>
    <row r="13" spans="2:16" x14ac:dyDescent="0.2">
      <c r="B13" s="2" t="s">
        <v>40</v>
      </c>
      <c r="H13" s="7"/>
      <c r="K13"/>
      <c r="L13"/>
      <c r="M13"/>
      <c r="P13"/>
    </row>
    <row r="14" spans="2:16" x14ac:dyDescent="0.2">
      <c r="B14" s="18" t="s">
        <v>3</v>
      </c>
      <c r="H14" s="7"/>
      <c r="K14"/>
      <c r="L14"/>
      <c r="M14"/>
      <c r="P14"/>
    </row>
    <row r="15" spans="2:16" x14ac:dyDescent="0.2">
      <c r="B15" s="18" t="s">
        <v>29</v>
      </c>
      <c r="H15" s="7"/>
      <c r="K15"/>
      <c r="L15"/>
      <c r="M15"/>
      <c r="P15"/>
    </row>
    <row r="16" spans="2:16" x14ac:dyDescent="0.2">
      <c r="B16" s="18"/>
      <c r="H16" s="7"/>
      <c r="K16"/>
      <c r="L16"/>
      <c r="M16"/>
      <c r="P16"/>
    </row>
    <row r="17" spans="2:16" x14ac:dyDescent="0.2">
      <c r="B17" s="2" t="s">
        <v>0</v>
      </c>
      <c r="H17" s="7"/>
      <c r="K17"/>
      <c r="L17"/>
      <c r="M17"/>
      <c r="N17" s="1"/>
      <c r="P17"/>
    </row>
    <row r="18" spans="2:16" x14ac:dyDescent="0.2">
      <c r="H18" s="7"/>
      <c r="K18"/>
      <c r="L18"/>
      <c r="M18"/>
      <c r="N18" s="1"/>
      <c r="P18"/>
    </row>
    <row r="19" spans="2:16" x14ac:dyDescent="0.2">
      <c r="H19" s="7"/>
      <c r="K19"/>
      <c r="L19"/>
      <c r="M19"/>
      <c r="N19" s="1"/>
      <c r="P19"/>
    </row>
    <row r="20" spans="2:16" x14ac:dyDescent="0.2">
      <c r="H20" s="7"/>
      <c r="K20"/>
      <c r="L20"/>
      <c r="M20"/>
      <c r="N20" s="1"/>
      <c r="P20"/>
    </row>
    <row r="21" spans="2:16" x14ac:dyDescent="0.2">
      <c r="H21" s="7"/>
      <c r="K21"/>
      <c r="L21"/>
      <c r="M21"/>
      <c r="N21" s="1"/>
      <c r="P21"/>
    </row>
    <row r="22" spans="2:16" x14ac:dyDescent="0.2">
      <c r="H22" s="7"/>
      <c r="K22"/>
      <c r="L22"/>
      <c r="M22"/>
      <c r="N22" s="1"/>
      <c r="P22"/>
    </row>
    <row r="23" spans="2:16" x14ac:dyDescent="0.2">
      <c r="H23" s="7"/>
      <c r="K23"/>
      <c r="L23"/>
      <c r="M23"/>
      <c r="N23" s="1"/>
      <c r="P23"/>
    </row>
    <row r="24" spans="2:16" x14ac:dyDescent="0.2">
      <c r="H24" s="7"/>
      <c r="K24"/>
      <c r="L24"/>
      <c r="M24"/>
      <c r="N24" s="1"/>
      <c r="P24"/>
    </row>
    <row r="25" spans="2:16" x14ac:dyDescent="0.2">
      <c r="H25" s="7"/>
      <c r="J25" s="1"/>
      <c r="M25" s="1"/>
      <c r="N25" s="1"/>
      <c r="P25"/>
    </row>
    <row r="26" spans="2:16" x14ac:dyDescent="0.2">
      <c r="H26" s="7"/>
      <c r="J26" s="1"/>
      <c r="M26" s="1"/>
      <c r="N26" s="1"/>
      <c r="P26"/>
    </row>
    <row r="27" spans="2:16" x14ac:dyDescent="0.2">
      <c r="H27" s="7"/>
      <c r="J27" s="1"/>
      <c r="M27" s="1"/>
      <c r="N27" s="1"/>
      <c r="P27"/>
    </row>
    <row r="28" spans="2:16" x14ac:dyDescent="0.2">
      <c r="H28" s="7"/>
      <c r="J28" s="1"/>
      <c r="M28" s="1"/>
      <c r="N28" s="1"/>
      <c r="P28"/>
    </row>
    <row r="29" spans="2:16" x14ac:dyDescent="0.2">
      <c r="H29" s="7"/>
      <c r="J29" s="1"/>
      <c r="M29" s="1"/>
      <c r="N29" s="1"/>
      <c r="P29"/>
    </row>
    <row r="30" spans="2:16" x14ac:dyDescent="0.2">
      <c r="J30" s="1"/>
      <c r="M30" s="1"/>
      <c r="N30" s="1"/>
      <c r="P30"/>
    </row>
    <row r="31" spans="2:16" x14ac:dyDescent="0.2">
      <c r="J31" s="1"/>
      <c r="M31" s="1"/>
      <c r="N31" s="1"/>
      <c r="P31"/>
    </row>
    <row r="32" spans="2:16" x14ac:dyDescent="0.2">
      <c r="P32"/>
    </row>
    <row r="33" spans="16:16" x14ac:dyDescent="0.2">
      <c r="P33"/>
    </row>
    <row r="34" spans="16:16" x14ac:dyDescent="0.2">
      <c r="P34"/>
    </row>
    <row r="35" spans="16:16" x14ac:dyDescent="0.2">
      <c r="P35"/>
    </row>
    <row r="36" spans="16:16" x14ac:dyDescent="0.2">
      <c r="P36"/>
    </row>
    <row r="37" spans="16:16" x14ac:dyDescent="0.2">
      <c r="P37"/>
    </row>
    <row r="38" spans="16:16" x14ac:dyDescent="0.2">
      <c r="P38"/>
    </row>
    <row r="39" spans="16:16" x14ac:dyDescent="0.2">
      <c r="P39"/>
    </row>
    <row r="40" spans="16:16" x14ac:dyDescent="0.2">
      <c r="P40"/>
    </row>
    <row r="41" spans="16:16" x14ac:dyDescent="0.2">
      <c r="P41"/>
    </row>
    <row r="42" spans="16:16" x14ac:dyDescent="0.2">
      <c r="P42"/>
    </row>
    <row r="43" spans="16:16" x14ac:dyDescent="0.2">
      <c r="P43"/>
    </row>
    <row r="44" spans="16:16" x14ac:dyDescent="0.2">
      <c r="P44"/>
    </row>
    <row r="45" spans="16:16" x14ac:dyDescent="0.2">
      <c r="P45"/>
    </row>
    <row r="46" spans="16:16" x14ac:dyDescent="0.2">
      <c r="P46"/>
    </row>
    <row r="47" spans="16:16" x14ac:dyDescent="0.2">
      <c r="P47"/>
    </row>
    <row r="48" spans="16:16" x14ac:dyDescent="0.2">
      <c r="P48"/>
    </row>
    <row r="49" spans="16:16" x14ac:dyDescent="0.2">
      <c r="P49"/>
    </row>
    <row r="50" spans="16:16" x14ac:dyDescent="0.2">
      <c r="P50"/>
    </row>
    <row r="51" spans="16:16" x14ac:dyDescent="0.2">
      <c r="P51"/>
    </row>
    <row r="52" spans="16:16" x14ac:dyDescent="0.2">
      <c r="P52"/>
    </row>
    <row r="53" spans="16:16" x14ac:dyDescent="0.2">
      <c r="P53"/>
    </row>
    <row r="54" spans="16:16" x14ac:dyDescent="0.2">
      <c r="P54"/>
    </row>
    <row r="55" spans="16:16" x14ac:dyDescent="0.2">
      <c r="P55"/>
    </row>
    <row r="56" spans="16:16" x14ac:dyDescent="0.2">
      <c r="P56"/>
    </row>
    <row r="57" spans="16:16" x14ac:dyDescent="0.2">
      <c r="P57"/>
    </row>
    <row r="58" spans="16:16" x14ac:dyDescent="0.2">
      <c r="P58"/>
    </row>
  </sheetData>
  <phoneticPr fontId="0" type="noConversion"/>
  <pageMargins left="0.53" right="0.28999999999999998" top="1" bottom="1" header="0.5" footer="0.5"/>
  <pageSetup fitToWidth="2" orientation="landscape" horizontalDpi="1200" verticalDpi="1200" r:id="rId1"/>
  <headerFooter alignWithMargins="0">
    <oddFooter>&amp;C&amp;1#&amp;"Calibri"&amp;8&amp;K000000INTERNAL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7" r:id="rId4" name="cmdUpdateData">
              <controlPr defaultSize="0" print="0" autoFill="0" autoPict="0" macro="[0]!cmdGetData_click">
                <anchor moveWithCells="1" sizeWithCells="1">
                  <from>
                    <xdr:col>1</xdr:col>
                    <xdr:colOff>9525</xdr:colOff>
                    <xdr:row>0</xdr:row>
                    <xdr:rowOff>9525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Pivot"/>
  <dimension ref="A1:O7"/>
  <sheetViews>
    <sheetView workbookViewId="0">
      <selection activeCell="C14" sqref="C14"/>
    </sheetView>
  </sheetViews>
  <sheetFormatPr defaultRowHeight="12.75" x14ac:dyDescent="0.2"/>
  <cols>
    <col min="1" max="1" width="20.5703125" bestFit="1" customWidth="1"/>
    <col min="2" max="2" width="13.5703125" customWidth="1"/>
    <col min="3" max="3" width="8" customWidth="1"/>
    <col min="4" max="4" width="9" customWidth="1"/>
    <col min="5" max="5" width="7.7109375" customWidth="1"/>
    <col min="6" max="7" width="13.7109375" customWidth="1"/>
    <col min="8" max="8" width="4.85546875" customWidth="1"/>
    <col min="9" max="9" width="23.5703125" hidden="1" customWidth="1"/>
    <col min="10" max="10" width="9.85546875" hidden="1" customWidth="1"/>
    <col min="11" max="11" width="20.5703125" customWidth="1"/>
    <col min="12" max="12" width="13.5703125" customWidth="1"/>
    <col min="13" max="13" width="8" customWidth="1"/>
    <col min="14" max="14" width="9" customWidth="1"/>
    <col min="15" max="15" width="7.7109375" customWidth="1"/>
    <col min="16" max="16" width="10.140625" bestFit="1" customWidth="1"/>
    <col min="17" max="26" width="23.5703125" bestFit="1" customWidth="1"/>
    <col min="27" max="27" width="28.28515625" bestFit="1" customWidth="1"/>
    <col min="28" max="28" width="28.42578125" bestFit="1" customWidth="1"/>
    <col min="29" max="29" width="21.7109375" bestFit="1" customWidth="1"/>
    <col min="30" max="30" width="28.85546875" bestFit="1" customWidth="1"/>
    <col min="31" max="31" width="28.42578125" bestFit="1" customWidth="1"/>
  </cols>
  <sheetData>
    <row r="1" spans="1:15" x14ac:dyDescent="0.2">
      <c r="A1" s="23" t="s">
        <v>8</v>
      </c>
      <c r="B1" s="38" t="s">
        <v>71</v>
      </c>
      <c r="K1" s="23" t="s">
        <v>8</v>
      </c>
      <c r="L1" s="38" t="s">
        <v>71</v>
      </c>
    </row>
    <row r="2" spans="1:15" x14ac:dyDescent="0.2">
      <c r="A2" s="23" t="s">
        <v>30</v>
      </c>
      <c r="B2" s="24" t="s">
        <v>24</v>
      </c>
      <c r="K2" s="23" t="s">
        <v>30</v>
      </c>
      <c r="L2" s="24" t="s">
        <v>24</v>
      </c>
    </row>
    <row r="3" spans="1:15" x14ac:dyDescent="0.2">
      <c r="A3" s="23" t="s">
        <v>37</v>
      </c>
      <c r="B3" s="24" t="s">
        <v>26</v>
      </c>
      <c r="K3" s="23" t="s">
        <v>37</v>
      </c>
      <c r="L3" s="24" t="s">
        <v>26</v>
      </c>
    </row>
    <row r="5" spans="1:15" x14ac:dyDescent="0.2">
      <c r="A5" s="26" t="s">
        <v>9</v>
      </c>
      <c r="B5" s="27" t="s">
        <v>32</v>
      </c>
      <c r="C5" s="28" t="s">
        <v>33</v>
      </c>
      <c r="D5" s="28" t="s">
        <v>34</v>
      </c>
      <c r="E5" s="28" t="s">
        <v>35</v>
      </c>
      <c r="F5" s="29" t="s">
        <v>36</v>
      </c>
      <c r="K5" s="26" t="s">
        <v>9</v>
      </c>
      <c r="L5" s="27" t="s">
        <v>32</v>
      </c>
      <c r="M5" s="28" t="s">
        <v>33</v>
      </c>
      <c r="N5" s="28" t="s">
        <v>34</v>
      </c>
      <c r="O5" s="29" t="s">
        <v>35</v>
      </c>
    </row>
    <row r="6" spans="1:15" ht="13.5" thickBot="1" x14ac:dyDescent="0.25">
      <c r="A6" s="25" t="s">
        <v>28</v>
      </c>
      <c r="B6" s="32"/>
      <c r="C6" s="35"/>
      <c r="D6" s="33"/>
      <c r="E6" s="34"/>
      <c r="F6" s="36"/>
      <c r="K6" s="25" t="s">
        <v>28</v>
      </c>
      <c r="L6" s="32"/>
      <c r="M6" s="35"/>
      <c r="N6" s="33"/>
      <c r="O6" s="36"/>
    </row>
    <row r="7" spans="1:15" ht="13.5" thickTop="1" x14ac:dyDescent="0.2"/>
  </sheetData>
  <phoneticPr fontId="0" type="noConversion"/>
  <pageMargins left="0.75" right="0.75" top="1" bottom="1" header="0.5" footer="0.5"/>
  <pageSetup orientation="portrait" r:id="rId3"/>
  <headerFooter alignWithMargins="0">
    <oddFooter>&amp;C&amp;1#&amp;"Calibri"&amp;8&amp;K000000INTERNAL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11" r:id="rId6" name="Button 43">
              <controlPr defaultSize="0" print="0" autoFill="0" autoPict="0" macro="[0]!RefreshPivot_Click">
                <anchor moveWithCells="1">
                  <from>
                    <xdr:col>2</xdr:col>
                    <xdr:colOff>514350</xdr:colOff>
                    <xdr:row>0</xdr:row>
                    <xdr:rowOff>9525</xdr:rowOff>
                  </from>
                  <to>
                    <xdr:col>5</xdr:col>
                    <xdr:colOff>685800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Data"/>
  <dimension ref="A1:AH3267"/>
  <sheetViews>
    <sheetView workbookViewId="0">
      <selection activeCell="C20" sqref="C20"/>
    </sheetView>
  </sheetViews>
  <sheetFormatPr defaultRowHeight="12.75" x14ac:dyDescent="0.2"/>
  <cols>
    <col min="1" max="1" width="13.140625" style="14" customWidth="1"/>
    <col min="2" max="2" width="12.7109375" style="14" bestFit="1" customWidth="1"/>
    <col min="3" max="3" width="10.140625" style="14" bestFit="1" customWidth="1"/>
    <col min="4" max="4" width="14.7109375" style="14" bestFit="1" customWidth="1"/>
    <col min="5" max="5" width="9.5703125" style="14" bestFit="1" customWidth="1"/>
    <col min="6" max="6" width="14.85546875" style="14" bestFit="1" customWidth="1"/>
    <col min="7" max="7" width="19.85546875" style="14" bestFit="1" customWidth="1"/>
    <col min="8" max="8" width="15" style="22" bestFit="1" customWidth="1"/>
    <col min="9" max="9" width="11.7109375" style="14" bestFit="1" customWidth="1"/>
    <col min="10" max="16384" width="9.140625" style="14"/>
  </cols>
  <sheetData>
    <row r="1" spans="1:34" x14ac:dyDescent="0.2">
      <c r="A1" s="21" t="s">
        <v>8</v>
      </c>
      <c r="B1" s="21" t="s">
        <v>30</v>
      </c>
      <c r="C1" s="21" t="s">
        <v>31</v>
      </c>
      <c r="D1" s="21" t="s">
        <v>37</v>
      </c>
      <c r="E1" s="21" t="s">
        <v>9</v>
      </c>
      <c r="F1" s="21" t="s">
        <v>10</v>
      </c>
      <c r="G1" s="21" t="s">
        <v>11</v>
      </c>
      <c r="H1" s="31" t="s">
        <v>12</v>
      </c>
      <c r="I1" s="21" t="s">
        <v>13</v>
      </c>
      <c r="J1" s="21" t="s">
        <v>14</v>
      </c>
      <c r="K1" s="21" t="s">
        <v>15</v>
      </c>
      <c r="L1" s="21" t="s">
        <v>16</v>
      </c>
      <c r="M1" s="21" t="s">
        <v>38</v>
      </c>
      <c r="N1" s="21" t="s">
        <v>17</v>
      </c>
      <c r="O1" s="21" t="s">
        <v>18</v>
      </c>
      <c r="P1" s="21" t="s">
        <v>19</v>
      </c>
      <c r="Q1" s="21" t="s">
        <v>20</v>
      </c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</row>
    <row r="2" spans="1:34" x14ac:dyDescent="0.2">
      <c r="A2" s="12">
        <v>39106</v>
      </c>
      <c r="B2" s="14" t="s">
        <v>24</v>
      </c>
      <c r="C2" s="14">
        <v>762793</v>
      </c>
      <c r="D2" s="14" t="s">
        <v>26</v>
      </c>
      <c r="E2" s="14">
        <v>762793</v>
      </c>
      <c r="F2" s="22" t="s">
        <v>21</v>
      </c>
      <c r="G2" s="22" t="s">
        <v>22</v>
      </c>
      <c r="H2" s="22">
        <v>633330</v>
      </c>
      <c r="I2" s="30">
        <v>39106</v>
      </c>
      <c r="J2" s="14">
        <v>5.0999999999999996</v>
      </c>
      <c r="K2" s="12"/>
      <c r="L2" s="14">
        <v>60</v>
      </c>
      <c r="M2" s="12"/>
      <c r="N2" s="14" t="s">
        <v>6</v>
      </c>
      <c r="O2" s="14" t="s">
        <v>23</v>
      </c>
      <c r="P2" s="14">
        <v>3215.2</v>
      </c>
      <c r="Q2" s="14">
        <v>420</v>
      </c>
    </row>
    <row r="3" spans="1:34" x14ac:dyDescent="0.2">
      <c r="A3" s="12"/>
      <c r="F3" s="22"/>
      <c r="G3" s="22"/>
      <c r="I3" s="30"/>
      <c r="K3" s="12"/>
      <c r="M3" s="12"/>
    </row>
    <row r="4" spans="1:34" x14ac:dyDescent="0.2">
      <c r="A4" s="12"/>
      <c r="F4" s="22"/>
      <c r="G4" s="22"/>
      <c r="I4" s="30"/>
      <c r="K4" s="12"/>
      <c r="M4" s="12"/>
    </row>
    <row r="5" spans="1:34" x14ac:dyDescent="0.2">
      <c r="A5" s="12"/>
      <c r="F5" s="22"/>
      <c r="G5" s="22"/>
      <c r="I5" s="30"/>
      <c r="K5" s="12"/>
      <c r="M5" s="12"/>
    </row>
    <row r="6" spans="1:34" x14ac:dyDescent="0.2">
      <c r="A6" s="12"/>
      <c r="F6" s="22"/>
      <c r="G6" s="22"/>
      <c r="I6" s="30"/>
      <c r="K6" s="12"/>
      <c r="M6" s="12"/>
    </row>
    <row r="7" spans="1:34" x14ac:dyDescent="0.2">
      <c r="A7" s="12"/>
      <c r="F7" s="22"/>
      <c r="G7" s="22"/>
      <c r="I7" s="30"/>
      <c r="K7" s="12"/>
      <c r="M7" s="12"/>
    </row>
    <row r="8" spans="1:34" x14ac:dyDescent="0.2">
      <c r="A8" s="12"/>
      <c r="F8" s="22"/>
      <c r="G8" s="22"/>
      <c r="I8" s="30"/>
      <c r="K8" s="12"/>
      <c r="M8" s="12"/>
    </row>
    <row r="9" spans="1:34" x14ac:dyDescent="0.2">
      <c r="A9" s="12"/>
      <c r="F9" s="22"/>
      <c r="G9" s="22"/>
      <c r="I9" s="30"/>
      <c r="K9" s="12"/>
      <c r="M9" s="12"/>
    </row>
    <row r="10" spans="1:34" x14ac:dyDescent="0.2">
      <c r="A10" s="12"/>
      <c r="F10" s="22"/>
      <c r="G10" s="22"/>
      <c r="I10" s="30"/>
      <c r="K10" s="12"/>
      <c r="M10" s="12"/>
    </row>
    <row r="11" spans="1:34" x14ac:dyDescent="0.2">
      <c r="A11" s="12"/>
      <c r="F11" s="22"/>
      <c r="G11" s="22"/>
      <c r="I11" s="30"/>
      <c r="K11" s="12"/>
      <c r="M11" s="12"/>
    </row>
    <row r="12" spans="1:34" x14ac:dyDescent="0.2">
      <c r="A12" s="12"/>
      <c r="F12" s="22"/>
      <c r="G12" s="22"/>
      <c r="I12" s="30"/>
      <c r="K12" s="12"/>
      <c r="M12" s="12"/>
    </row>
    <row r="13" spans="1:34" x14ac:dyDescent="0.2">
      <c r="A13" s="12"/>
      <c r="F13" s="22"/>
      <c r="G13" s="22"/>
      <c r="I13" s="30"/>
      <c r="K13" s="12"/>
      <c r="M13" s="12"/>
    </row>
    <row r="14" spans="1:34" x14ac:dyDescent="0.2">
      <c r="A14" s="12"/>
      <c r="F14" s="22"/>
      <c r="G14" s="22"/>
      <c r="I14" s="30"/>
      <c r="K14" s="12"/>
      <c r="M14" s="12"/>
    </row>
    <row r="15" spans="1:34" x14ac:dyDescent="0.2">
      <c r="A15" s="12"/>
      <c r="F15" s="22"/>
      <c r="G15" s="22"/>
      <c r="I15" s="30"/>
      <c r="K15" s="12"/>
      <c r="M15" s="12"/>
    </row>
    <row r="16" spans="1:34" x14ac:dyDescent="0.2">
      <c r="A16" s="12"/>
      <c r="F16" s="22"/>
      <c r="G16" s="22"/>
      <c r="I16" s="30"/>
      <c r="K16" s="12"/>
      <c r="M16" s="12"/>
    </row>
    <row r="17" spans="1:13" x14ac:dyDescent="0.2">
      <c r="A17" s="12"/>
      <c r="F17" s="22"/>
      <c r="G17" s="22"/>
      <c r="I17" s="30"/>
      <c r="K17" s="12"/>
      <c r="M17" s="12"/>
    </row>
    <row r="18" spans="1:13" x14ac:dyDescent="0.2">
      <c r="A18" s="12"/>
      <c r="F18" s="22"/>
      <c r="G18" s="22"/>
      <c r="I18" s="30"/>
      <c r="K18" s="12"/>
      <c r="M18" s="12"/>
    </row>
    <row r="19" spans="1:13" x14ac:dyDescent="0.2">
      <c r="A19" s="12"/>
      <c r="F19" s="22"/>
      <c r="G19" s="22"/>
      <c r="I19" s="30"/>
      <c r="K19" s="12"/>
      <c r="M19" s="12"/>
    </row>
    <row r="20" spans="1:13" x14ac:dyDescent="0.2">
      <c r="A20" s="12"/>
      <c r="F20" s="22"/>
      <c r="G20" s="22"/>
      <c r="I20" s="30"/>
      <c r="K20" s="12"/>
      <c r="M20" s="12"/>
    </row>
    <row r="21" spans="1:13" x14ac:dyDescent="0.2">
      <c r="A21" s="12"/>
      <c r="F21" s="22"/>
      <c r="G21" s="22"/>
      <c r="I21" s="30"/>
      <c r="K21" s="12"/>
      <c r="M21" s="12"/>
    </row>
    <row r="22" spans="1:13" x14ac:dyDescent="0.2">
      <c r="A22" s="12"/>
      <c r="F22" s="22"/>
      <c r="G22" s="22"/>
      <c r="I22" s="30"/>
      <c r="K22" s="12"/>
      <c r="M22" s="12"/>
    </row>
    <row r="23" spans="1:13" x14ac:dyDescent="0.2">
      <c r="A23" s="12"/>
      <c r="F23" s="22"/>
      <c r="G23" s="22"/>
      <c r="I23" s="30"/>
      <c r="K23" s="12"/>
      <c r="M23" s="12"/>
    </row>
    <row r="24" spans="1:13" x14ac:dyDescent="0.2">
      <c r="A24" s="12"/>
      <c r="F24" s="22"/>
      <c r="G24" s="22"/>
      <c r="I24" s="30"/>
      <c r="K24" s="12"/>
      <c r="M24" s="12"/>
    </row>
    <row r="25" spans="1:13" x14ac:dyDescent="0.2">
      <c r="A25" s="12"/>
      <c r="F25" s="22"/>
      <c r="G25" s="22"/>
      <c r="I25" s="30"/>
      <c r="K25" s="12"/>
      <c r="M25" s="12"/>
    </row>
    <row r="26" spans="1:13" x14ac:dyDescent="0.2">
      <c r="A26" s="12"/>
      <c r="I26" s="12"/>
      <c r="K26" s="12"/>
      <c r="M26" s="12"/>
    </row>
    <row r="27" spans="1:13" x14ac:dyDescent="0.2">
      <c r="A27" s="12"/>
      <c r="I27" s="12"/>
      <c r="K27" s="12"/>
      <c r="M27" s="12"/>
    </row>
    <row r="28" spans="1:13" x14ac:dyDescent="0.2">
      <c r="A28" s="12"/>
      <c r="I28" s="12"/>
      <c r="K28" s="12"/>
      <c r="M28" s="12"/>
    </row>
    <row r="29" spans="1:13" x14ac:dyDescent="0.2">
      <c r="A29" s="12"/>
      <c r="I29" s="12"/>
      <c r="K29" s="12"/>
      <c r="M29" s="12"/>
    </row>
    <row r="30" spans="1:13" x14ac:dyDescent="0.2">
      <c r="A30" s="12"/>
      <c r="I30" s="12"/>
      <c r="K30" s="12"/>
      <c r="M30" s="12"/>
    </row>
    <row r="31" spans="1:13" x14ac:dyDescent="0.2">
      <c r="A31" s="12"/>
      <c r="I31" s="12"/>
      <c r="K31" s="12"/>
      <c r="M31" s="12"/>
    </row>
    <row r="32" spans="1:13" x14ac:dyDescent="0.2">
      <c r="A32" s="12"/>
      <c r="I32" s="12"/>
      <c r="K32" s="12"/>
      <c r="M32" s="12"/>
    </row>
    <row r="33" spans="1:13" x14ac:dyDescent="0.2">
      <c r="A33" s="12"/>
      <c r="I33" s="12"/>
      <c r="K33" s="12"/>
      <c r="M33" s="12"/>
    </row>
    <row r="34" spans="1:13" x14ac:dyDescent="0.2">
      <c r="A34" s="12"/>
      <c r="I34" s="12"/>
      <c r="K34" s="12"/>
      <c r="M34" s="12"/>
    </row>
    <row r="35" spans="1:13" x14ac:dyDescent="0.2">
      <c r="A35" s="12"/>
      <c r="I35" s="12"/>
      <c r="K35" s="12"/>
      <c r="M35" s="12"/>
    </row>
    <row r="36" spans="1:13" x14ac:dyDescent="0.2">
      <c r="A36" s="12"/>
      <c r="I36" s="12"/>
      <c r="K36" s="12"/>
      <c r="M36" s="12"/>
    </row>
    <row r="37" spans="1:13" x14ac:dyDescent="0.2">
      <c r="A37" s="12"/>
      <c r="I37" s="12"/>
      <c r="K37" s="12"/>
      <c r="M37" s="12"/>
    </row>
    <row r="38" spans="1:13" x14ac:dyDescent="0.2">
      <c r="A38" s="12"/>
      <c r="I38" s="12"/>
      <c r="K38" s="12"/>
      <c r="M38" s="12"/>
    </row>
    <row r="39" spans="1:13" x14ac:dyDescent="0.2">
      <c r="A39" s="12"/>
      <c r="I39" s="12"/>
      <c r="K39" s="12"/>
      <c r="M39" s="12"/>
    </row>
    <row r="40" spans="1:13" x14ac:dyDescent="0.2">
      <c r="A40" s="12"/>
      <c r="I40" s="12"/>
      <c r="K40" s="12"/>
      <c r="M40" s="12"/>
    </row>
    <row r="41" spans="1:13" x14ac:dyDescent="0.2">
      <c r="A41" s="12"/>
      <c r="I41" s="12"/>
      <c r="K41" s="12"/>
      <c r="M41" s="12"/>
    </row>
    <row r="42" spans="1:13" x14ac:dyDescent="0.2">
      <c r="A42" s="12"/>
      <c r="I42" s="12"/>
      <c r="K42" s="12"/>
      <c r="M42" s="12"/>
    </row>
    <row r="43" spans="1:13" x14ac:dyDescent="0.2">
      <c r="A43" s="12"/>
      <c r="I43" s="12"/>
      <c r="K43" s="12"/>
      <c r="M43" s="12"/>
    </row>
    <row r="44" spans="1:13" x14ac:dyDescent="0.2">
      <c r="A44" s="12"/>
      <c r="I44" s="12"/>
      <c r="K44" s="12"/>
      <c r="M44" s="12"/>
    </row>
    <row r="45" spans="1:13" x14ac:dyDescent="0.2">
      <c r="A45" s="12"/>
      <c r="I45" s="12"/>
      <c r="K45" s="12"/>
      <c r="M45" s="12"/>
    </row>
    <row r="46" spans="1:13" x14ac:dyDescent="0.2">
      <c r="A46" s="12"/>
      <c r="I46" s="12"/>
      <c r="K46" s="12"/>
      <c r="M46" s="12"/>
    </row>
    <row r="47" spans="1:13" x14ac:dyDescent="0.2">
      <c r="A47" s="12"/>
      <c r="I47" s="12"/>
      <c r="K47" s="12"/>
      <c r="M47" s="12"/>
    </row>
    <row r="48" spans="1:13" x14ac:dyDescent="0.2">
      <c r="A48" s="12"/>
      <c r="I48" s="12"/>
      <c r="K48" s="12"/>
      <c r="M48" s="12"/>
    </row>
    <row r="49" spans="1:13" x14ac:dyDescent="0.2">
      <c r="A49" s="12"/>
      <c r="I49" s="12"/>
      <c r="K49" s="12"/>
      <c r="M49" s="12"/>
    </row>
    <row r="50" spans="1:13" x14ac:dyDescent="0.2">
      <c r="A50" s="12"/>
      <c r="I50" s="12"/>
      <c r="K50" s="12"/>
      <c r="M50" s="12"/>
    </row>
    <row r="51" spans="1:13" x14ac:dyDescent="0.2">
      <c r="A51" s="12"/>
      <c r="I51" s="12"/>
      <c r="K51" s="12"/>
      <c r="M51" s="12"/>
    </row>
    <row r="52" spans="1:13" x14ac:dyDescent="0.2">
      <c r="A52" s="12"/>
      <c r="I52" s="12"/>
      <c r="K52" s="12"/>
      <c r="M52" s="12"/>
    </row>
    <row r="53" spans="1:13" x14ac:dyDescent="0.2">
      <c r="A53" s="12"/>
      <c r="I53" s="12"/>
      <c r="K53" s="12"/>
      <c r="M53" s="12"/>
    </row>
    <row r="54" spans="1:13" x14ac:dyDescent="0.2">
      <c r="A54" s="12"/>
      <c r="I54" s="12"/>
      <c r="K54" s="12"/>
      <c r="M54" s="12"/>
    </row>
    <row r="55" spans="1:13" x14ac:dyDescent="0.2">
      <c r="A55" s="12"/>
      <c r="I55" s="12"/>
      <c r="K55" s="12"/>
      <c r="M55" s="12"/>
    </row>
    <row r="56" spans="1:13" x14ac:dyDescent="0.2">
      <c r="A56" s="12"/>
      <c r="I56" s="12"/>
      <c r="K56" s="12"/>
      <c r="M56" s="12"/>
    </row>
    <row r="57" spans="1:13" x14ac:dyDescent="0.2">
      <c r="A57" s="12"/>
      <c r="I57" s="12"/>
      <c r="K57" s="12"/>
      <c r="M57" s="12"/>
    </row>
    <row r="58" spans="1:13" x14ac:dyDescent="0.2">
      <c r="A58" s="12"/>
      <c r="I58" s="12"/>
      <c r="K58" s="12"/>
      <c r="M58" s="12"/>
    </row>
    <row r="59" spans="1:13" x14ac:dyDescent="0.2">
      <c r="A59" s="12"/>
      <c r="I59" s="12"/>
      <c r="K59" s="12"/>
      <c r="M59" s="12"/>
    </row>
    <row r="60" spans="1:13" x14ac:dyDescent="0.2">
      <c r="A60" s="12"/>
      <c r="I60" s="12"/>
      <c r="K60" s="12"/>
      <c r="M60" s="12"/>
    </row>
    <row r="61" spans="1:13" x14ac:dyDescent="0.2">
      <c r="A61" s="12"/>
      <c r="I61" s="12"/>
      <c r="K61" s="12"/>
      <c r="M61" s="12"/>
    </row>
    <row r="62" spans="1:13" x14ac:dyDescent="0.2">
      <c r="A62" s="12"/>
      <c r="I62" s="12"/>
      <c r="K62" s="12"/>
      <c r="M62" s="12"/>
    </row>
    <row r="63" spans="1:13" x14ac:dyDescent="0.2">
      <c r="A63" s="12"/>
      <c r="I63" s="12"/>
      <c r="K63" s="12"/>
      <c r="M63" s="12"/>
    </row>
    <row r="64" spans="1:13" x14ac:dyDescent="0.2">
      <c r="A64" s="12"/>
      <c r="I64" s="12"/>
      <c r="K64" s="12"/>
      <c r="M64" s="12"/>
    </row>
    <row r="65" spans="1:13" x14ac:dyDescent="0.2">
      <c r="A65" s="12"/>
      <c r="I65" s="12"/>
      <c r="K65" s="12"/>
      <c r="M65" s="12"/>
    </row>
    <row r="66" spans="1:13" x14ac:dyDescent="0.2">
      <c r="A66" s="12"/>
      <c r="I66" s="12"/>
      <c r="K66" s="12"/>
      <c r="M66" s="12"/>
    </row>
    <row r="67" spans="1:13" x14ac:dyDescent="0.2">
      <c r="A67" s="12"/>
      <c r="I67" s="12"/>
      <c r="K67" s="12"/>
      <c r="M67" s="12"/>
    </row>
    <row r="68" spans="1:13" x14ac:dyDescent="0.2">
      <c r="A68" s="12"/>
      <c r="I68" s="12"/>
      <c r="K68" s="12"/>
      <c r="M68" s="12"/>
    </row>
    <row r="69" spans="1:13" x14ac:dyDescent="0.2">
      <c r="A69" s="12"/>
      <c r="I69" s="12"/>
      <c r="K69" s="12"/>
      <c r="M69" s="12"/>
    </row>
    <row r="70" spans="1:13" x14ac:dyDescent="0.2">
      <c r="A70" s="12"/>
      <c r="I70" s="12"/>
      <c r="K70" s="12"/>
      <c r="M70" s="12"/>
    </row>
    <row r="71" spans="1:13" x14ac:dyDescent="0.2">
      <c r="A71" s="12"/>
      <c r="I71" s="12"/>
      <c r="K71" s="12"/>
      <c r="M71" s="12"/>
    </row>
    <row r="72" spans="1:13" x14ac:dyDescent="0.2">
      <c r="A72" s="12"/>
      <c r="I72" s="12"/>
      <c r="K72" s="12"/>
      <c r="M72" s="12"/>
    </row>
    <row r="73" spans="1:13" x14ac:dyDescent="0.2">
      <c r="A73" s="12"/>
      <c r="I73" s="12"/>
      <c r="K73" s="12"/>
      <c r="M73" s="12"/>
    </row>
    <row r="74" spans="1:13" x14ac:dyDescent="0.2">
      <c r="A74" s="12"/>
      <c r="I74" s="12"/>
      <c r="K74" s="12"/>
      <c r="M74" s="12"/>
    </row>
    <row r="75" spans="1:13" x14ac:dyDescent="0.2">
      <c r="A75" s="12"/>
      <c r="I75" s="12"/>
      <c r="K75" s="12"/>
      <c r="M75" s="12"/>
    </row>
    <row r="76" spans="1:13" x14ac:dyDescent="0.2">
      <c r="A76" s="12"/>
      <c r="I76" s="12"/>
      <c r="K76" s="12"/>
      <c r="M76" s="12"/>
    </row>
    <row r="77" spans="1:13" x14ac:dyDescent="0.2">
      <c r="A77" s="12"/>
      <c r="I77" s="12"/>
      <c r="K77" s="12"/>
      <c r="M77" s="12"/>
    </row>
    <row r="78" spans="1:13" x14ac:dyDescent="0.2">
      <c r="A78" s="12"/>
      <c r="I78" s="12"/>
      <c r="K78" s="12"/>
      <c r="M78" s="12"/>
    </row>
    <row r="79" spans="1:13" x14ac:dyDescent="0.2">
      <c r="A79" s="12"/>
      <c r="I79" s="12"/>
      <c r="K79" s="12"/>
      <c r="M79" s="12"/>
    </row>
    <row r="80" spans="1:13" x14ac:dyDescent="0.2">
      <c r="A80" s="12"/>
      <c r="I80" s="12"/>
      <c r="K80" s="12"/>
      <c r="M80" s="12"/>
    </row>
    <row r="81" spans="1:13" x14ac:dyDescent="0.2">
      <c r="A81" s="12"/>
      <c r="I81" s="12"/>
      <c r="K81" s="12"/>
      <c r="M81" s="12"/>
    </row>
    <row r="82" spans="1:13" x14ac:dyDescent="0.2">
      <c r="A82" s="12"/>
      <c r="I82" s="12"/>
      <c r="K82" s="12"/>
      <c r="M82" s="12"/>
    </row>
    <row r="83" spans="1:13" x14ac:dyDescent="0.2">
      <c r="A83" s="12"/>
      <c r="I83" s="12"/>
      <c r="K83" s="12"/>
      <c r="M83" s="12"/>
    </row>
    <row r="84" spans="1:13" x14ac:dyDescent="0.2">
      <c r="A84" s="12"/>
      <c r="I84" s="12"/>
      <c r="K84" s="12"/>
      <c r="M84" s="12"/>
    </row>
    <row r="85" spans="1:13" x14ac:dyDescent="0.2">
      <c r="A85" s="12"/>
      <c r="I85" s="12"/>
      <c r="K85" s="12"/>
      <c r="M85" s="12"/>
    </row>
    <row r="86" spans="1:13" x14ac:dyDescent="0.2">
      <c r="A86" s="12"/>
      <c r="I86" s="12"/>
      <c r="K86" s="12"/>
      <c r="M86" s="12"/>
    </row>
    <row r="87" spans="1:13" x14ac:dyDescent="0.2">
      <c r="A87" s="12"/>
      <c r="I87" s="12"/>
      <c r="K87" s="12"/>
      <c r="M87" s="12"/>
    </row>
    <row r="88" spans="1:13" x14ac:dyDescent="0.2">
      <c r="A88" s="12"/>
      <c r="I88" s="12"/>
      <c r="K88" s="12"/>
      <c r="M88" s="12"/>
    </row>
    <row r="89" spans="1:13" x14ac:dyDescent="0.2">
      <c r="A89" s="12"/>
      <c r="I89" s="12"/>
      <c r="K89" s="12"/>
      <c r="M89" s="12"/>
    </row>
    <row r="90" spans="1:13" x14ac:dyDescent="0.2">
      <c r="A90" s="12"/>
      <c r="I90" s="12"/>
      <c r="K90" s="12"/>
      <c r="M90" s="12"/>
    </row>
    <row r="91" spans="1:13" x14ac:dyDescent="0.2">
      <c r="A91" s="12"/>
      <c r="I91" s="12"/>
      <c r="K91" s="12"/>
      <c r="M91" s="12"/>
    </row>
    <row r="92" spans="1:13" x14ac:dyDescent="0.2">
      <c r="A92" s="12"/>
      <c r="I92" s="12"/>
      <c r="K92" s="12"/>
      <c r="M92" s="12"/>
    </row>
    <row r="93" spans="1:13" x14ac:dyDescent="0.2">
      <c r="A93" s="12"/>
      <c r="I93" s="12"/>
      <c r="K93" s="12"/>
      <c r="M93" s="12"/>
    </row>
    <row r="94" spans="1:13" x14ac:dyDescent="0.2">
      <c r="A94" s="12"/>
      <c r="I94" s="12"/>
      <c r="K94" s="12"/>
      <c r="M94" s="12"/>
    </row>
    <row r="95" spans="1:13" x14ac:dyDescent="0.2">
      <c r="A95" s="12"/>
      <c r="I95" s="12"/>
      <c r="K95" s="12"/>
      <c r="M95" s="12"/>
    </row>
    <row r="96" spans="1:13" x14ac:dyDescent="0.2">
      <c r="A96" s="12"/>
      <c r="I96" s="12"/>
      <c r="K96" s="12"/>
      <c r="M96" s="12"/>
    </row>
    <row r="97" spans="1:13" x14ac:dyDescent="0.2">
      <c r="A97" s="12"/>
      <c r="I97" s="12"/>
      <c r="K97" s="12"/>
      <c r="M97" s="12"/>
    </row>
    <row r="98" spans="1:13" x14ac:dyDescent="0.2">
      <c r="A98" s="12"/>
      <c r="I98" s="12"/>
      <c r="K98" s="12"/>
      <c r="M98" s="12"/>
    </row>
    <row r="99" spans="1:13" x14ac:dyDescent="0.2">
      <c r="A99" s="12"/>
      <c r="I99" s="12"/>
      <c r="K99" s="12"/>
      <c r="M99" s="12"/>
    </row>
    <row r="100" spans="1:13" x14ac:dyDescent="0.2">
      <c r="A100" s="12"/>
      <c r="I100" s="12"/>
      <c r="K100" s="12"/>
      <c r="M100" s="12"/>
    </row>
    <row r="101" spans="1:13" x14ac:dyDescent="0.2">
      <c r="A101" s="12"/>
      <c r="I101" s="12"/>
      <c r="K101" s="12"/>
      <c r="M101" s="12"/>
    </row>
    <row r="102" spans="1:13" x14ac:dyDescent="0.2">
      <c r="A102" s="12"/>
      <c r="I102" s="12"/>
      <c r="K102" s="12"/>
      <c r="M102" s="12"/>
    </row>
    <row r="103" spans="1:13" x14ac:dyDescent="0.2">
      <c r="A103" s="12"/>
      <c r="I103" s="12"/>
      <c r="K103" s="12"/>
      <c r="M103" s="12"/>
    </row>
    <row r="104" spans="1:13" x14ac:dyDescent="0.2">
      <c r="A104" s="12"/>
      <c r="I104" s="12"/>
      <c r="K104" s="12"/>
      <c r="M104" s="12"/>
    </row>
    <row r="105" spans="1:13" x14ac:dyDescent="0.2">
      <c r="A105" s="12"/>
      <c r="I105" s="12"/>
      <c r="K105" s="12"/>
      <c r="M105" s="12"/>
    </row>
    <row r="106" spans="1:13" x14ac:dyDescent="0.2">
      <c r="A106" s="12"/>
      <c r="I106" s="12"/>
      <c r="K106" s="12"/>
      <c r="M106" s="12"/>
    </row>
    <row r="107" spans="1:13" x14ac:dyDescent="0.2">
      <c r="A107" s="12"/>
      <c r="I107" s="12"/>
      <c r="K107" s="12"/>
      <c r="M107" s="12"/>
    </row>
    <row r="108" spans="1:13" x14ac:dyDescent="0.2">
      <c r="A108" s="12"/>
      <c r="I108" s="12"/>
      <c r="K108" s="12"/>
      <c r="M108" s="12"/>
    </row>
    <row r="109" spans="1:13" x14ac:dyDescent="0.2">
      <c r="A109" s="12"/>
      <c r="I109" s="12"/>
      <c r="K109" s="12"/>
      <c r="M109" s="12"/>
    </row>
    <row r="110" spans="1:13" x14ac:dyDescent="0.2">
      <c r="A110" s="12"/>
      <c r="I110" s="12"/>
      <c r="K110" s="12"/>
      <c r="M110" s="12"/>
    </row>
    <row r="111" spans="1:13" x14ac:dyDescent="0.2">
      <c r="A111" s="12"/>
      <c r="I111" s="12"/>
      <c r="K111" s="12"/>
      <c r="M111" s="12"/>
    </row>
    <row r="112" spans="1:13" x14ac:dyDescent="0.2">
      <c r="A112" s="12"/>
      <c r="I112" s="12"/>
      <c r="K112" s="12"/>
      <c r="M112" s="12"/>
    </row>
    <row r="113" spans="1:13" x14ac:dyDescent="0.2">
      <c r="A113" s="12"/>
      <c r="I113" s="12"/>
      <c r="K113" s="12"/>
      <c r="M113" s="12"/>
    </row>
    <row r="114" spans="1:13" x14ac:dyDescent="0.2">
      <c r="A114" s="12"/>
      <c r="I114" s="12"/>
      <c r="K114" s="12"/>
      <c r="M114" s="12"/>
    </row>
    <row r="115" spans="1:13" x14ac:dyDescent="0.2">
      <c r="A115" s="12"/>
      <c r="I115" s="12"/>
      <c r="K115" s="12"/>
      <c r="M115" s="12"/>
    </row>
    <row r="116" spans="1:13" x14ac:dyDescent="0.2">
      <c r="A116" s="12"/>
      <c r="I116" s="12"/>
      <c r="K116" s="12"/>
      <c r="M116" s="12"/>
    </row>
    <row r="117" spans="1:13" x14ac:dyDescent="0.2">
      <c r="A117" s="12"/>
      <c r="I117" s="12"/>
      <c r="K117" s="12"/>
      <c r="M117" s="12"/>
    </row>
    <row r="118" spans="1:13" x14ac:dyDescent="0.2">
      <c r="A118" s="12"/>
      <c r="I118" s="12"/>
      <c r="K118" s="12"/>
      <c r="M118" s="12"/>
    </row>
    <row r="119" spans="1:13" x14ac:dyDescent="0.2">
      <c r="A119" s="12"/>
      <c r="I119" s="12"/>
      <c r="K119" s="12"/>
      <c r="M119" s="12"/>
    </row>
    <row r="120" spans="1:13" x14ac:dyDescent="0.2">
      <c r="A120" s="12"/>
      <c r="I120" s="12"/>
      <c r="K120" s="12"/>
      <c r="M120" s="12"/>
    </row>
    <row r="121" spans="1:13" x14ac:dyDescent="0.2">
      <c r="A121" s="12"/>
      <c r="I121" s="12"/>
      <c r="K121" s="12"/>
      <c r="M121" s="12"/>
    </row>
    <row r="122" spans="1:13" x14ac:dyDescent="0.2">
      <c r="A122" s="12"/>
      <c r="I122" s="12"/>
      <c r="K122" s="12"/>
      <c r="M122" s="12"/>
    </row>
    <row r="123" spans="1:13" x14ac:dyDescent="0.2">
      <c r="A123" s="12"/>
      <c r="I123" s="12"/>
      <c r="K123" s="12"/>
      <c r="M123" s="12"/>
    </row>
    <row r="124" spans="1:13" x14ac:dyDescent="0.2">
      <c r="A124" s="12"/>
      <c r="I124" s="12"/>
      <c r="K124" s="12"/>
      <c r="M124" s="12"/>
    </row>
    <row r="125" spans="1:13" x14ac:dyDescent="0.2">
      <c r="A125" s="12"/>
      <c r="I125" s="12"/>
      <c r="K125" s="12"/>
      <c r="M125" s="12"/>
    </row>
    <row r="126" spans="1:13" x14ac:dyDescent="0.2">
      <c r="A126" s="12"/>
      <c r="I126" s="12"/>
      <c r="K126" s="12"/>
      <c r="M126" s="12"/>
    </row>
    <row r="127" spans="1:13" x14ac:dyDescent="0.2">
      <c r="A127" s="12"/>
      <c r="I127" s="12"/>
      <c r="K127" s="12"/>
      <c r="M127" s="12"/>
    </row>
    <row r="128" spans="1:13" x14ac:dyDescent="0.2">
      <c r="A128" s="12"/>
      <c r="I128" s="12"/>
      <c r="K128" s="12"/>
      <c r="M128" s="12"/>
    </row>
    <row r="129" spans="1:13" x14ac:dyDescent="0.2">
      <c r="A129" s="12"/>
      <c r="I129" s="12"/>
      <c r="K129" s="12"/>
      <c r="M129" s="12"/>
    </row>
    <row r="130" spans="1:13" x14ac:dyDescent="0.2">
      <c r="A130" s="12"/>
      <c r="I130" s="12"/>
      <c r="K130" s="12"/>
      <c r="M130" s="12"/>
    </row>
    <row r="131" spans="1:13" x14ac:dyDescent="0.2">
      <c r="A131" s="12"/>
      <c r="I131" s="12"/>
      <c r="K131" s="12"/>
      <c r="M131" s="12"/>
    </row>
    <row r="132" spans="1:13" x14ac:dyDescent="0.2">
      <c r="A132" s="12"/>
      <c r="I132" s="12"/>
      <c r="K132" s="12"/>
      <c r="M132" s="12"/>
    </row>
    <row r="133" spans="1:13" x14ac:dyDescent="0.2">
      <c r="A133" s="12"/>
      <c r="I133" s="12"/>
      <c r="K133" s="12"/>
      <c r="M133" s="12"/>
    </row>
    <row r="134" spans="1:13" x14ac:dyDescent="0.2">
      <c r="A134" s="12"/>
      <c r="I134" s="12"/>
      <c r="K134" s="12"/>
      <c r="M134" s="12"/>
    </row>
    <row r="135" spans="1:13" x14ac:dyDescent="0.2">
      <c r="A135" s="12"/>
      <c r="I135" s="12"/>
      <c r="K135" s="12"/>
      <c r="M135" s="12"/>
    </row>
    <row r="136" spans="1:13" x14ac:dyDescent="0.2">
      <c r="A136" s="12"/>
      <c r="I136" s="12"/>
      <c r="K136" s="12"/>
      <c r="M136" s="12"/>
    </row>
    <row r="137" spans="1:13" x14ac:dyDescent="0.2">
      <c r="A137" s="12"/>
      <c r="I137" s="12"/>
      <c r="K137" s="12"/>
      <c r="M137" s="12"/>
    </row>
    <row r="138" spans="1:13" x14ac:dyDescent="0.2">
      <c r="A138" s="12"/>
      <c r="I138" s="12"/>
      <c r="K138" s="12"/>
      <c r="M138" s="12"/>
    </row>
    <row r="139" spans="1:13" x14ac:dyDescent="0.2">
      <c r="A139" s="12"/>
      <c r="I139" s="12"/>
      <c r="K139" s="12"/>
      <c r="M139" s="12"/>
    </row>
    <row r="140" spans="1:13" x14ac:dyDescent="0.2">
      <c r="A140" s="12"/>
      <c r="I140" s="12"/>
      <c r="K140" s="12"/>
      <c r="M140" s="12"/>
    </row>
    <row r="141" spans="1:13" x14ac:dyDescent="0.2">
      <c r="A141" s="12"/>
      <c r="I141" s="12"/>
      <c r="K141" s="12"/>
      <c r="M141" s="12"/>
    </row>
    <row r="142" spans="1:13" x14ac:dyDescent="0.2">
      <c r="A142" s="12"/>
      <c r="I142" s="12"/>
      <c r="K142" s="12"/>
      <c r="M142" s="12"/>
    </row>
    <row r="143" spans="1:13" x14ac:dyDescent="0.2">
      <c r="A143" s="12"/>
      <c r="I143" s="12"/>
      <c r="K143" s="12"/>
      <c r="M143" s="12"/>
    </row>
    <row r="144" spans="1:13" x14ac:dyDescent="0.2">
      <c r="A144" s="12"/>
      <c r="I144" s="12"/>
      <c r="K144" s="12"/>
      <c r="M144" s="12"/>
    </row>
    <row r="145" spans="1:13" x14ac:dyDescent="0.2">
      <c r="A145" s="12"/>
      <c r="I145" s="12"/>
      <c r="K145" s="12"/>
      <c r="M145" s="12"/>
    </row>
    <row r="146" spans="1:13" x14ac:dyDescent="0.2">
      <c r="A146" s="12"/>
      <c r="I146" s="12"/>
      <c r="K146" s="12"/>
      <c r="M146" s="12"/>
    </row>
    <row r="147" spans="1:13" x14ac:dyDescent="0.2">
      <c r="A147" s="12"/>
      <c r="I147" s="12"/>
      <c r="K147" s="12"/>
      <c r="M147" s="12"/>
    </row>
    <row r="148" spans="1:13" x14ac:dyDescent="0.2">
      <c r="A148" s="12"/>
      <c r="I148" s="12"/>
      <c r="K148" s="12"/>
      <c r="M148" s="12"/>
    </row>
    <row r="149" spans="1:13" x14ac:dyDescent="0.2">
      <c r="A149" s="12"/>
      <c r="I149" s="12"/>
      <c r="K149" s="12"/>
      <c r="M149" s="12"/>
    </row>
    <row r="150" spans="1:13" x14ac:dyDescent="0.2">
      <c r="A150" s="12"/>
      <c r="I150" s="12"/>
      <c r="K150" s="12"/>
      <c r="M150" s="12"/>
    </row>
    <row r="151" spans="1:13" x14ac:dyDescent="0.2">
      <c r="A151" s="12"/>
      <c r="I151" s="12"/>
      <c r="K151" s="12"/>
      <c r="M151" s="12"/>
    </row>
    <row r="152" spans="1:13" x14ac:dyDescent="0.2">
      <c r="A152" s="12"/>
      <c r="I152" s="12"/>
      <c r="K152" s="12"/>
      <c r="M152" s="12"/>
    </row>
    <row r="153" spans="1:13" x14ac:dyDescent="0.2">
      <c r="A153" s="12"/>
      <c r="I153" s="12"/>
      <c r="K153" s="12"/>
      <c r="M153" s="12"/>
    </row>
    <row r="154" spans="1:13" x14ac:dyDescent="0.2">
      <c r="A154" s="12"/>
      <c r="I154" s="12"/>
      <c r="K154" s="12"/>
      <c r="M154" s="12"/>
    </row>
    <row r="155" spans="1:13" x14ac:dyDescent="0.2">
      <c r="A155" s="12"/>
      <c r="I155" s="12"/>
      <c r="K155" s="12"/>
      <c r="M155" s="12"/>
    </row>
    <row r="156" spans="1:13" x14ac:dyDescent="0.2">
      <c r="A156" s="12"/>
      <c r="I156" s="12"/>
      <c r="K156" s="12"/>
      <c r="M156" s="12"/>
    </row>
    <row r="157" spans="1:13" x14ac:dyDescent="0.2">
      <c r="A157" s="12"/>
      <c r="I157" s="12"/>
      <c r="K157" s="12"/>
      <c r="M157" s="12"/>
    </row>
    <row r="158" spans="1:13" x14ac:dyDescent="0.2">
      <c r="A158" s="12"/>
      <c r="I158" s="12"/>
      <c r="K158" s="12"/>
      <c r="M158" s="12"/>
    </row>
    <row r="159" spans="1:13" x14ac:dyDescent="0.2">
      <c r="A159" s="12"/>
      <c r="I159" s="12"/>
      <c r="K159" s="12"/>
      <c r="M159" s="12"/>
    </row>
    <row r="160" spans="1:13" x14ac:dyDescent="0.2">
      <c r="A160" s="12"/>
      <c r="I160" s="12"/>
      <c r="K160" s="12"/>
      <c r="M160" s="12"/>
    </row>
    <row r="161" spans="1:13" x14ac:dyDescent="0.2">
      <c r="A161" s="12"/>
      <c r="I161" s="12"/>
      <c r="K161" s="12"/>
      <c r="M161" s="12"/>
    </row>
    <row r="162" spans="1:13" x14ac:dyDescent="0.2">
      <c r="A162" s="12"/>
      <c r="I162" s="12"/>
      <c r="K162" s="12"/>
      <c r="M162" s="12"/>
    </row>
    <row r="163" spans="1:13" x14ac:dyDescent="0.2">
      <c r="A163" s="12"/>
      <c r="I163" s="12"/>
      <c r="K163" s="12"/>
      <c r="M163" s="12"/>
    </row>
    <row r="164" spans="1:13" x14ac:dyDescent="0.2">
      <c r="A164" s="12"/>
      <c r="I164" s="12"/>
      <c r="K164" s="12"/>
      <c r="M164" s="12"/>
    </row>
    <row r="165" spans="1:13" x14ac:dyDescent="0.2">
      <c r="A165" s="12"/>
      <c r="I165" s="12"/>
      <c r="K165" s="12"/>
      <c r="M165" s="12"/>
    </row>
    <row r="166" spans="1:13" x14ac:dyDescent="0.2">
      <c r="A166" s="12"/>
      <c r="I166" s="12"/>
      <c r="K166" s="12"/>
      <c r="M166" s="12"/>
    </row>
    <row r="167" spans="1:13" x14ac:dyDescent="0.2">
      <c r="A167" s="12"/>
      <c r="I167" s="12"/>
      <c r="K167" s="12"/>
      <c r="M167" s="12"/>
    </row>
    <row r="168" spans="1:13" x14ac:dyDescent="0.2">
      <c r="A168" s="12"/>
      <c r="I168" s="12"/>
      <c r="K168" s="12"/>
      <c r="M168" s="12"/>
    </row>
    <row r="169" spans="1:13" x14ac:dyDescent="0.2">
      <c r="A169" s="12"/>
      <c r="I169" s="12"/>
      <c r="K169" s="12"/>
      <c r="M169" s="12"/>
    </row>
    <row r="170" spans="1:13" x14ac:dyDescent="0.2">
      <c r="A170" s="12"/>
      <c r="I170" s="12"/>
      <c r="K170" s="12"/>
      <c r="M170" s="12"/>
    </row>
    <row r="171" spans="1:13" x14ac:dyDescent="0.2">
      <c r="A171" s="12"/>
      <c r="I171" s="12"/>
      <c r="K171" s="12"/>
      <c r="M171" s="12"/>
    </row>
    <row r="172" spans="1:13" x14ac:dyDescent="0.2">
      <c r="A172" s="12"/>
      <c r="I172" s="12"/>
      <c r="K172" s="12"/>
      <c r="M172" s="12"/>
    </row>
    <row r="173" spans="1:13" x14ac:dyDescent="0.2">
      <c r="A173" s="12"/>
      <c r="I173" s="12"/>
      <c r="K173" s="12"/>
      <c r="M173" s="12"/>
    </row>
    <row r="174" spans="1:13" x14ac:dyDescent="0.2">
      <c r="A174" s="12"/>
      <c r="I174" s="12"/>
      <c r="K174" s="12"/>
      <c r="M174" s="12"/>
    </row>
    <row r="175" spans="1:13" x14ac:dyDescent="0.2">
      <c r="A175" s="12"/>
      <c r="I175" s="12"/>
      <c r="K175" s="12"/>
      <c r="M175" s="12"/>
    </row>
    <row r="176" spans="1:13" x14ac:dyDescent="0.2">
      <c r="A176" s="12"/>
      <c r="I176" s="12"/>
      <c r="K176" s="12"/>
      <c r="M176" s="12"/>
    </row>
    <row r="177" spans="1:13" x14ac:dyDescent="0.2">
      <c r="A177" s="12"/>
      <c r="I177" s="12"/>
      <c r="K177" s="12"/>
      <c r="M177" s="12"/>
    </row>
    <row r="178" spans="1:13" x14ac:dyDescent="0.2">
      <c r="A178" s="12"/>
      <c r="I178" s="12"/>
      <c r="K178" s="12"/>
      <c r="M178" s="12"/>
    </row>
    <row r="179" spans="1:13" x14ac:dyDescent="0.2">
      <c r="A179" s="12"/>
      <c r="I179" s="12"/>
      <c r="K179" s="12"/>
      <c r="M179" s="12"/>
    </row>
    <row r="180" spans="1:13" x14ac:dyDescent="0.2">
      <c r="A180" s="12"/>
      <c r="I180" s="12"/>
      <c r="K180" s="12"/>
      <c r="M180" s="12"/>
    </row>
    <row r="181" spans="1:13" x14ac:dyDescent="0.2">
      <c r="A181" s="12"/>
      <c r="I181" s="12"/>
      <c r="K181" s="12"/>
      <c r="M181" s="12"/>
    </row>
    <row r="182" spans="1:13" x14ac:dyDescent="0.2">
      <c r="A182" s="12"/>
      <c r="I182" s="12"/>
      <c r="K182" s="12"/>
      <c r="M182" s="12"/>
    </row>
    <row r="183" spans="1:13" x14ac:dyDescent="0.2">
      <c r="A183" s="12"/>
      <c r="I183" s="12"/>
      <c r="K183" s="12"/>
      <c r="M183" s="12"/>
    </row>
    <row r="184" spans="1:13" x14ac:dyDescent="0.2">
      <c r="A184" s="12"/>
      <c r="I184" s="12"/>
      <c r="K184" s="12"/>
      <c r="M184" s="12"/>
    </row>
    <row r="185" spans="1:13" x14ac:dyDescent="0.2">
      <c r="A185" s="12"/>
      <c r="I185" s="12"/>
      <c r="K185" s="12"/>
      <c r="M185" s="12"/>
    </row>
    <row r="186" spans="1:13" x14ac:dyDescent="0.2">
      <c r="A186" s="12"/>
      <c r="I186" s="12"/>
      <c r="K186" s="12"/>
      <c r="M186" s="12"/>
    </row>
    <row r="187" spans="1:13" x14ac:dyDescent="0.2">
      <c r="A187" s="12"/>
      <c r="I187" s="12"/>
      <c r="K187" s="12"/>
      <c r="M187" s="12"/>
    </row>
    <row r="188" spans="1:13" x14ac:dyDescent="0.2">
      <c r="A188" s="12"/>
      <c r="I188" s="12"/>
      <c r="K188" s="12"/>
      <c r="M188" s="12"/>
    </row>
    <row r="189" spans="1:13" x14ac:dyDescent="0.2">
      <c r="A189" s="12"/>
      <c r="I189" s="12"/>
      <c r="K189" s="12"/>
      <c r="M189" s="12"/>
    </row>
    <row r="190" spans="1:13" x14ac:dyDescent="0.2">
      <c r="A190" s="12"/>
      <c r="I190" s="12"/>
      <c r="K190" s="12"/>
      <c r="M190" s="12"/>
    </row>
    <row r="191" spans="1:13" x14ac:dyDescent="0.2">
      <c r="A191" s="12"/>
      <c r="I191" s="12"/>
      <c r="K191" s="12"/>
      <c r="M191" s="12"/>
    </row>
    <row r="192" spans="1:13" x14ac:dyDescent="0.2">
      <c r="A192" s="12"/>
      <c r="I192" s="12"/>
      <c r="K192" s="12"/>
      <c r="M192" s="12"/>
    </row>
    <row r="193" spans="1:13" x14ac:dyDescent="0.2">
      <c r="A193" s="12"/>
      <c r="I193" s="12"/>
      <c r="K193" s="12"/>
      <c r="M193" s="12"/>
    </row>
    <row r="194" spans="1:13" x14ac:dyDescent="0.2">
      <c r="A194" s="12"/>
      <c r="I194" s="12"/>
      <c r="K194" s="12"/>
      <c r="M194" s="12"/>
    </row>
    <row r="195" spans="1:13" x14ac:dyDescent="0.2">
      <c r="A195" s="12"/>
      <c r="I195" s="12"/>
      <c r="K195" s="12"/>
      <c r="M195" s="12"/>
    </row>
    <row r="196" spans="1:13" x14ac:dyDescent="0.2">
      <c r="A196" s="12"/>
      <c r="I196" s="12"/>
      <c r="K196" s="12"/>
      <c r="M196" s="12"/>
    </row>
    <row r="197" spans="1:13" x14ac:dyDescent="0.2">
      <c r="A197" s="12"/>
      <c r="I197" s="12"/>
      <c r="K197" s="12"/>
      <c r="M197" s="12"/>
    </row>
    <row r="198" spans="1:13" x14ac:dyDescent="0.2">
      <c r="A198" s="12"/>
      <c r="I198" s="12"/>
      <c r="K198" s="12"/>
      <c r="M198" s="12"/>
    </row>
    <row r="199" spans="1:13" x14ac:dyDescent="0.2">
      <c r="A199" s="12"/>
      <c r="I199" s="12"/>
      <c r="K199" s="12"/>
      <c r="M199" s="12"/>
    </row>
    <row r="200" spans="1:13" x14ac:dyDescent="0.2">
      <c r="A200" s="12"/>
      <c r="I200" s="12"/>
      <c r="K200" s="12"/>
      <c r="M200" s="12"/>
    </row>
    <row r="201" spans="1:13" x14ac:dyDescent="0.2">
      <c r="A201" s="12"/>
      <c r="I201" s="12"/>
      <c r="K201" s="12"/>
      <c r="M201" s="12"/>
    </row>
    <row r="202" spans="1:13" x14ac:dyDescent="0.2">
      <c r="A202" s="12"/>
      <c r="I202" s="12"/>
      <c r="K202" s="12"/>
      <c r="M202" s="12"/>
    </row>
    <row r="203" spans="1:13" x14ac:dyDescent="0.2">
      <c r="A203" s="12"/>
      <c r="I203" s="12"/>
      <c r="K203" s="12"/>
      <c r="M203" s="12"/>
    </row>
    <row r="204" spans="1:13" x14ac:dyDescent="0.2">
      <c r="A204" s="12"/>
      <c r="I204" s="12"/>
      <c r="K204" s="12"/>
      <c r="M204" s="12"/>
    </row>
    <row r="205" spans="1:13" x14ac:dyDescent="0.2">
      <c r="A205" s="12"/>
      <c r="I205" s="12"/>
      <c r="K205" s="12"/>
      <c r="M205" s="12"/>
    </row>
    <row r="206" spans="1:13" x14ac:dyDescent="0.2">
      <c r="A206" s="12"/>
      <c r="I206" s="12"/>
      <c r="K206" s="12"/>
      <c r="M206" s="12"/>
    </row>
    <row r="207" spans="1:13" x14ac:dyDescent="0.2">
      <c r="A207" s="12"/>
      <c r="I207" s="12"/>
      <c r="K207" s="12"/>
      <c r="M207" s="12"/>
    </row>
    <row r="208" spans="1:13" x14ac:dyDescent="0.2">
      <c r="A208" s="12"/>
      <c r="I208" s="12"/>
      <c r="K208" s="12"/>
      <c r="M208" s="12"/>
    </row>
    <row r="209" spans="1:13" x14ac:dyDescent="0.2">
      <c r="A209" s="12"/>
      <c r="I209" s="12"/>
      <c r="K209" s="12"/>
      <c r="M209" s="12"/>
    </row>
    <row r="210" spans="1:13" x14ac:dyDescent="0.2">
      <c r="A210" s="12"/>
      <c r="I210" s="12"/>
      <c r="K210" s="12"/>
      <c r="M210" s="12"/>
    </row>
    <row r="211" spans="1:13" x14ac:dyDescent="0.2">
      <c r="A211" s="12"/>
      <c r="I211" s="12"/>
      <c r="K211" s="12"/>
      <c r="M211" s="12"/>
    </row>
    <row r="212" spans="1:13" x14ac:dyDescent="0.2">
      <c r="A212" s="12"/>
      <c r="I212" s="12"/>
      <c r="K212" s="12"/>
      <c r="M212" s="12"/>
    </row>
    <row r="213" spans="1:13" x14ac:dyDescent="0.2">
      <c r="A213" s="12"/>
      <c r="I213" s="12"/>
      <c r="K213" s="12"/>
      <c r="M213" s="12"/>
    </row>
    <row r="214" spans="1:13" x14ac:dyDescent="0.2">
      <c r="A214" s="12"/>
      <c r="I214" s="12"/>
      <c r="K214" s="12"/>
      <c r="M214" s="12"/>
    </row>
    <row r="215" spans="1:13" x14ac:dyDescent="0.2">
      <c r="A215" s="12"/>
      <c r="I215" s="12"/>
      <c r="K215" s="12"/>
      <c r="M215" s="12"/>
    </row>
    <row r="216" spans="1:13" x14ac:dyDescent="0.2">
      <c r="A216" s="12"/>
      <c r="I216" s="12"/>
      <c r="K216" s="12"/>
      <c r="M216" s="12"/>
    </row>
    <row r="217" spans="1:13" x14ac:dyDescent="0.2">
      <c r="A217" s="12"/>
      <c r="I217" s="12"/>
      <c r="K217" s="12"/>
      <c r="M217" s="12"/>
    </row>
    <row r="218" spans="1:13" x14ac:dyDescent="0.2">
      <c r="A218" s="12"/>
      <c r="I218" s="12"/>
      <c r="K218" s="12"/>
      <c r="M218" s="12"/>
    </row>
    <row r="219" spans="1:13" x14ac:dyDescent="0.2">
      <c r="A219" s="12"/>
      <c r="I219" s="12"/>
      <c r="K219" s="12"/>
      <c r="M219" s="12"/>
    </row>
    <row r="220" spans="1:13" x14ac:dyDescent="0.2">
      <c r="A220" s="12"/>
      <c r="I220" s="12"/>
      <c r="K220" s="12"/>
      <c r="M220" s="12"/>
    </row>
    <row r="221" spans="1:13" x14ac:dyDescent="0.2">
      <c r="A221" s="12"/>
      <c r="I221" s="12"/>
      <c r="K221" s="12"/>
      <c r="M221" s="12"/>
    </row>
    <row r="222" spans="1:13" x14ac:dyDescent="0.2">
      <c r="A222" s="12"/>
      <c r="I222" s="12"/>
      <c r="K222" s="12"/>
      <c r="M222" s="12"/>
    </row>
    <row r="223" spans="1:13" x14ac:dyDescent="0.2">
      <c r="A223" s="12"/>
      <c r="I223" s="12"/>
      <c r="K223" s="12"/>
      <c r="M223" s="12"/>
    </row>
    <row r="224" spans="1:13" x14ac:dyDescent="0.2">
      <c r="A224" s="12"/>
      <c r="I224" s="12"/>
      <c r="K224" s="12"/>
      <c r="M224" s="12"/>
    </row>
    <row r="225" spans="1:13" x14ac:dyDescent="0.2">
      <c r="A225" s="12"/>
      <c r="I225" s="12"/>
      <c r="K225" s="12"/>
      <c r="M225" s="12"/>
    </row>
    <row r="226" spans="1:13" x14ac:dyDescent="0.2">
      <c r="A226" s="12"/>
      <c r="I226" s="12"/>
      <c r="K226" s="12"/>
      <c r="M226" s="12"/>
    </row>
    <row r="227" spans="1:13" x14ac:dyDescent="0.2">
      <c r="A227" s="12"/>
      <c r="I227" s="12"/>
      <c r="K227" s="12"/>
      <c r="M227" s="12"/>
    </row>
    <row r="228" spans="1:13" x14ac:dyDescent="0.2">
      <c r="A228" s="12"/>
      <c r="I228" s="12"/>
      <c r="K228" s="12"/>
      <c r="M228" s="12"/>
    </row>
    <row r="229" spans="1:13" x14ac:dyDescent="0.2">
      <c r="A229" s="12"/>
      <c r="I229" s="12"/>
      <c r="K229" s="12"/>
      <c r="M229" s="12"/>
    </row>
    <row r="230" spans="1:13" x14ac:dyDescent="0.2">
      <c r="A230" s="12"/>
      <c r="I230" s="12"/>
      <c r="K230" s="12"/>
      <c r="M230" s="12"/>
    </row>
    <row r="231" spans="1:13" x14ac:dyDescent="0.2">
      <c r="A231" s="12"/>
      <c r="I231" s="12"/>
      <c r="K231" s="12"/>
      <c r="M231" s="12"/>
    </row>
    <row r="232" spans="1:13" x14ac:dyDescent="0.2">
      <c r="A232" s="12"/>
      <c r="I232" s="12"/>
      <c r="K232" s="12"/>
      <c r="M232" s="12"/>
    </row>
    <row r="233" spans="1:13" x14ac:dyDescent="0.2">
      <c r="A233" s="12"/>
      <c r="I233" s="12"/>
      <c r="K233" s="12"/>
      <c r="M233" s="12"/>
    </row>
    <row r="234" spans="1:13" x14ac:dyDescent="0.2">
      <c r="A234" s="12"/>
      <c r="I234" s="12"/>
      <c r="K234" s="12"/>
      <c r="M234" s="12"/>
    </row>
    <row r="235" spans="1:13" x14ac:dyDescent="0.2">
      <c r="A235" s="12"/>
      <c r="I235" s="12"/>
      <c r="K235" s="12"/>
      <c r="M235" s="12"/>
    </row>
    <row r="236" spans="1:13" x14ac:dyDescent="0.2">
      <c r="A236" s="12"/>
      <c r="I236" s="12"/>
      <c r="K236" s="12"/>
      <c r="M236" s="12"/>
    </row>
    <row r="237" spans="1:13" x14ac:dyDescent="0.2">
      <c r="A237" s="12"/>
      <c r="I237" s="12"/>
      <c r="K237" s="12"/>
      <c r="M237" s="12"/>
    </row>
    <row r="238" spans="1:13" x14ac:dyDescent="0.2">
      <c r="A238" s="12"/>
      <c r="I238" s="12"/>
      <c r="K238" s="12"/>
      <c r="M238" s="12"/>
    </row>
    <row r="239" spans="1:13" x14ac:dyDescent="0.2">
      <c r="A239" s="12"/>
      <c r="I239" s="12"/>
      <c r="K239" s="12"/>
      <c r="M239" s="12"/>
    </row>
    <row r="240" spans="1:13" x14ac:dyDescent="0.2">
      <c r="A240" s="12"/>
      <c r="I240" s="12"/>
      <c r="K240" s="12"/>
      <c r="M240" s="12"/>
    </row>
    <row r="241" spans="1:13" x14ac:dyDescent="0.2">
      <c r="A241" s="12"/>
      <c r="I241" s="12"/>
      <c r="K241" s="12"/>
      <c r="M241" s="12"/>
    </row>
    <row r="242" spans="1:13" x14ac:dyDescent="0.2">
      <c r="A242" s="12"/>
      <c r="I242" s="12"/>
      <c r="K242" s="12"/>
      <c r="M242" s="12"/>
    </row>
    <row r="243" spans="1:13" x14ac:dyDescent="0.2">
      <c r="A243" s="12"/>
      <c r="I243" s="12"/>
      <c r="K243" s="12"/>
      <c r="M243" s="12"/>
    </row>
    <row r="244" spans="1:13" x14ac:dyDescent="0.2">
      <c r="A244" s="12"/>
      <c r="I244" s="12"/>
      <c r="K244" s="12"/>
      <c r="M244" s="12"/>
    </row>
    <row r="245" spans="1:13" x14ac:dyDescent="0.2">
      <c r="A245" s="12"/>
      <c r="I245" s="12"/>
      <c r="K245" s="12"/>
      <c r="M245" s="12"/>
    </row>
    <row r="246" spans="1:13" x14ac:dyDescent="0.2">
      <c r="A246" s="12"/>
      <c r="I246" s="12"/>
      <c r="K246" s="12"/>
      <c r="M246" s="12"/>
    </row>
    <row r="247" spans="1:13" x14ac:dyDescent="0.2">
      <c r="A247" s="12"/>
      <c r="I247" s="12"/>
      <c r="K247" s="12"/>
      <c r="M247" s="12"/>
    </row>
    <row r="248" spans="1:13" x14ac:dyDescent="0.2">
      <c r="A248" s="12"/>
      <c r="I248" s="12"/>
      <c r="K248" s="12"/>
      <c r="M248" s="12"/>
    </row>
    <row r="249" spans="1:13" x14ac:dyDescent="0.2">
      <c r="A249" s="12"/>
      <c r="I249" s="12"/>
      <c r="K249" s="12"/>
      <c r="M249" s="12"/>
    </row>
    <row r="250" spans="1:13" x14ac:dyDescent="0.2">
      <c r="A250" s="12"/>
      <c r="I250" s="12"/>
      <c r="K250" s="12"/>
      <c r="M250" s="12"/>
    </row>
    <row r="251" spans="1:13" x14ac:dyDescent="0.2">
      <c r="A251" s="12"/>
      <c r="I251" s="12"/>
      <c r="K251" s="12"/>
      <c r="M251" s="12"/>
    </row>
    <row r="252" spans="1:13" x14ac:dyDescent="0.2">
      <c r="A252" s="12"/>
      <c r="I252" s="12"/>
      <c r="K252" s="12"/>
      <c r="M252" s="12"/>
    </row>
    <row r="253" spans="1:13" x14ac:dyDescent="0.2">
      <c r="A253" s="12"/>
      <c r="I253" s="12"/>
      <c r="K253" s="12"/>
      <c r="M253" s="12"/>
    </row>
    <row r="254" spans="1:13" x14ac:dyDescent="0.2">
      <c r="A254" s="12"/>
      <c r="I254" s="12"/>
      <c r="K254" s="12"/>
      <c r="M254" s="12"/>
    </row>
    <row r="255" spans="1:13" x14ac:dyDescent="0.2">
      <c r="A255" s="12"/>
      <c r="I255" s="12"/>
      <c r="K255" s="12"/>
      <c r="M255" s="12"/>
    </row>
    <row r="256" spans="1:13" x14ac:dyDescent="0.2">
      <c r="A256" s="12"/>
      <c r="I256" s="12"/>
      <c r="K256" s="12"/>
      <c r="M256" s="12"/>
    </row>
    <row r="257" spans="1:13" x14ac:dyDescent="0.2">
      <c r="A257" s="12"/>
      <c r="I257" s="12"/>
      <c r="K257" s="12"/>
      <c r="M257" s="12"/>
    </row>
    <row r="258" spans="1:13" x14ac:dyDescent="0.2">
      <c r="A258" s="12"/>
      <c r="I258" s="12"/>
      <c r="K258" s="12"/>
      <c r="M258" s="12"/>
    </row>
    <row r="259" spans="1:13" x14ac:dyDescent="0.2">
      <c r="A259" s="12"/>
      <c r="I259" s="12"/>
      <c r="K259" s="12"/>
      <c r="M259" s="12"/>
    </row>
    <row r="260" spans="1:13" x14ac:dyDescent="0.2">
      <c r="A260" s="12"/>
      <c r="I260" s="12"/>
      <c r="K260" s="12"/>
      <c r="M260" s="12"/>
    </row>
    <row r="261" spans="1:13" x14ac:dyDescent="0.2">
      <c r="A261" s="12"/>
      <c r="I261" s="12"/>
      <c r="K261" s="12"/>
      <c r="M261" s="12"/>
    </row>
    <row r="262" spans="1:13" x14ac:dyDescent="0.2">
      <c r="A262" s="12"/>
      <c r="I262" s="12"/>
      <c r="K262" s="12"/>
      <c r="M262" s="12"/>
    </row>
    <row r="263" spans="1:13" x14ac:dyDescent="0.2">
      <c r="A263" s="12"/>
      <c r="I263" s="12"/>
      <c r="K263" s="12"/>
      <c r="M263" s="12"/>
    </row>
    <row r="264" spans="1:13" x14ac:dyDescent="0.2">
      <c r="A264" s="12"/>
      <c r="I264" s="12"/>
      <c r="K264" s="12"/>
      <c r="M264" s="12"/>
    </row>
    <row r="265" spans="1:13" x14ac:dyDescent="0.2">
      <c r="A265" s="12"/>
      <c r="I265" s="12"/>
      <c r="K265" s="12"/>
      <c r="M265" s="12"/>
    </row>
    <row r="266" spans="1:13" x14ac:dyDescent="0.2">
      <c r="A266" s="12"/>
      <c r="I266" s="12"/>
      <c r="K266" s="12"/>
      <c r="M266" s="12"/>
    </row>
    <row r="267" spans="1:13" x14ac:dyDescent="0.2">
      <c r="A267" s="12"/>
      <c r="I267" s="12"/>
      <c r="K267" s="12"/>
      <c r="M267" s="12"/>
    </row>
    <row r="268" spans="1:13" x14ac:dyDescent="0.2">
      <c r="A268" s="12"/>
      <c r="I268" s="12"/>
      <c r="K268" s="12"/>
      <c r="M268" s="12"/>
    </row>
    <row r="269" spans="1:13" x14ac:dyDescent="0.2">
      <c r="A269" s="12"/>
      <c r="I269" s="12"/>
      <c r="K269" s="12"/>
      <c r="M269" s="12"/>
    </row>
    <row r="270" spans="1:13" x14ac:dyDescent="0.2">
      <c r="A270" s="12"/>
      <c r="I270" s="12"/>
      <c r="K270" s="12"/>
      <c r="M270" s="12"/>
    </row>
    <row r="271" spans="1:13" x14ac:dyDescent="0.2">
      <c r="A271" s="12"/>
      <c r="I271" s="12"/>
      <c r="K271" s="12"/>
      <c r="M271" s="12"/>
    </row>
    <row r="272" spans="1:13" x14ac:dyDescent="0.2">
      <c r="A272" s="12"/>
      <c r="I272" s="12"/>
      <c r="K272" s="12"/>
      <c r="M272" s="12"/>
    </row>
    <row r="273" spans="1:13" x14ac:dyDescent="0.2">
      <c r="A273" s="12"/>
      <c r="I273" s="12"/>
      <c r="K273" s="12"/>
      <c r="M273" s="12"/>
    </row>
    <row r="274" spans="1:13" x14ac:dyDescent="0.2">
      <c r="A274" s="12"/>
      <c r="I274" s="12"/>
      <c r="K274" s="12"/>
      <c r="M274" s="12"/>
    </row>
    <row r="275" spans="1:13" x14ac:dyDescent="0.2">
      <c r="A275" s="12"/>
      <c r="I275" s="12"/>
      <c r="K275" s="12"/>
      <c r="M275" s="12"/>
    </row>
    <row r="276" spans="1:13" x14ac:dyDescent="0.2">
      <c r="A276" s="12"/>
      <c r="I276" s="12"/>
      <c r="K276" s="12"/>
      <c r="M276" s="12"/>
    </row>
    <row r="277" spans="1:13" x14ac:dyDescent="0.2">
      <c r="A277" s="12"/>
      <c r="I277" s="12"/>
      <c r="K277" s="12"/>
      <c r="M277" s="12"/>
    </row>
    <row r="278" spans="1:13" x14ac:dyDescent="0.2">
      <c r="A278" s="12"/>
      <c r="I278" s="12"/>
      <c r="K278" s="12"/>
      <c r="M278" s="12"/>
    </row>
    <row r="279" spans="1:13" x14ac:dyDescent="0.2">
      <c r="A279" s="12"/>
      <c r="I279" s="12"/>
      <c r="K279" s="12"/>
      <c r="M279" s="12"/>
    </row>
    <row r="280" spans="1:13" x14ac:dyDescent="0.2">
      <c r="A280" s="12"/>
      <c r="I280" s="12"/>
      <c r="K280" s="12"/>
      <c r="M280" s="12"/>
    </row>
    <row r="281" spans="1:13" x14ac:dyDescent="0.2">
      <c r="A281" s="12"/>
      <c r="I281" s="12"/>
      <c r="K281" s="12"/>
      <c r="M281" s="12"/>
    </row>
    <row r="282" spans="1:13" x14ac:dyDescent="0.2">
      <c r="A282" s="12"/>
      <c r="I282" s="12"/>
      <c r="K282" s="12"/>
      <c r="M282" s="12"/>
    </row>
    <row r="283" spans="1:13" x14ac:dyDescent="0.2">
      <c r="A283" s="12"/>
      <c r="I283" s="12"/>
      <c r="K283" s="12"/>
      <c r="M283" s="12"/>
    </row>
    <row r="284" spans="1:13" x14ac:dyDescent="0.2">
      <c r="A284" s="12"/>
      <c r="I284" s="12"/>
      <c r="K284" s="12"/>
      <c r="M284" s="12"/>
    </row>
    <row r="285" spans="1:13" x14ac:dyDescent="0.2">
      <c r="A285" s="12"/>
      <c r="I285" s="12"/>
      <c r="K285" s="12"/>
      <c r="M285" s="12"/>
    </row>
    <row r="286" spans="1:13" x14ac:dyDescent="0.2">
      <c r="A286" s="12"/>
      <c r="I286" s="12"/>
      <c r="K286" s="12"/>
      <c r="M286" s="12"/>
    </row>
    <row r="287" spans="1:13" x14ac:dyDescent="0.2">
      <c r="A287" s="12"/>
      <c r="I287" s="12"/>
      <c r="K287" s="12"/>
      <c r="M287" s="12"/>
    </row>
    <row r="288" spans="1:13" x14ac:dyDescent="0.2">
      <c r="A288" s="12"/>
      <c r="I288" s="12"/>
      <c r="K288" s="12"/>
      <c r="M288" s="12"/>
    </row>
    <row r="289" spans="1:13" x14ac:dyDescent="0.2">
      <c r="A289" s="12"/>
      <c r="I289" s="12"/>
      <c r="K289" s="12"/>
      <c r="M289" s="12"/>
    </row>
    <row r="290" spans="1:13" x14ac:dyDescent="0.2">
      <c r="A290" s="12"/>
      <c r="I290" s="12"/>
      <c r="K290" s="12"/>
      <c r="M290" s="12"/>
    </row>
    <row r="291" spans="1:13" x14ac:dyDescent="0.2">
      <c r="A291" s="12"/>
      <c r="I291" s="12"/>
      <c r="K291" s="12"/>
      <c r="M291" s="12"/>
    </row>
    <row r="292" spans="1:13" x14ac:dyDescent="0.2">
      <c r="A292" s="12"/>
      <c r="I292" s="12"/>
      <c r="K292" s="12"/>
      <c r="M292" s="12"/>
    </row>
    <row r="293" spans="1:13" x14ac:dyDescent="0.2">
      <c r="A293" s="12"/>
      <c r="I293" s="12"/>
      <c r="K293" s="12"/>
      <c r="M293" s="12"/>
    </row>
    <row r="294" spans="1:13" x14ac:dyDescent="0.2">
      <c r="A294" s="12"/>
      <c r="I294" s="12"/>
      <c r="K294" s="12"/>
      <c r="M294" s="12"/>
    </row>
    <row r="295" spans="1:13" x14ac:dyDescent="0.2">
      <c r="A295" s="12"/>
      <c r="I295" s="12"/>
      <c r="K295" s="12"/>
      <c r="M295" s="12"/>
    </row>
    <row r="296" spans="1:13" x14ac:dyDescent="0.2">
      <c r="A296" s="12"/>
      <c r="I296" s="12"/>
      <c r="K296" s="12"/>
      <c r="M296" s="12"/>
    </row>
    <row r="297" spans="1:13" x14ac:dyDescent="0.2">
      <c r="A297" s="12"/>
      <c r="I297" s="12"/>
      <c r="K297" s="12"/>
      <c r="M297" s="12"/>
    </row>
    <row r="298" spans="1:13" x14ac:dyDescent="0.2">
      <c r="A298" s="12"/>
      <c r="I298" s="12"/>
      <c r="K298" s="12"/>
      <c r="M298" s="12"/>
    </row>
    <row r="299" spans="1:13" x14ac:dyDescent="0.2">
      <c r="A299" s="12"/>
      <c r="I299" s="12"/>
      <c r="K299" s="12"/>
      <c r="M299" s="12"/>
    </row>
    <row r="300" spans="1:13" x14ac:dyDescent="0.2">
      <c r="A300" s="12"/>
      <c r="I300" s="12"/>
      <c r="K300" s="12"/>
      <c r="M300" s="12"/>
    </row>
    <row r="301" spans="1:13" x14ac:dyDescent="0.2">
      <c r="A301" s="12"/>
      <c r="I301" s="12"/>
      <c r="K301" s="12"/>
      <c r="M301" s="12"/>
    </row>
    <row r="302" spans="1:13" x14ac:dyDescent="0.2">
      <c r="A302" s="12"/>
      <c r="I302" s="12"/>
      <c r="K302" s="12"/>
      <c r="M302" s="12"/>
    </row>
    <row r="303" spans="1:13" x14ac:dyDescent="0.2">
      <c r="A303" s="12"/>
      <c r="I303" s="12"/>
      <c r="K303" s="12"/>
      <c r="M303" s="12"/>
    </row>
    <row r="304" spans="1:13" x14ac:dyDescent="0.2">
      <c r="A304" s="12"/>
      <c r="I304" s="12"/>
      <c r="K304" s="12"/>
      <c r="M304" s="12"/>
    </row>
    <row r="305" spans="1:13" x14ac:dyDescent="0.2">
      <c r="A305" s="12"/>
      <c r="I305" s="12"/>
      <c r="K305" s="12"/>
      <c r="M305" s="12"/>
    </row>
    <row r="306" spans="1:13" x14ac:dyDescent="0.2">
      <c r="A306" s="12"/>
      <c r="I306" s="12"/>
      <c r="K306" s="12"/>
      <c r="M306" s="12"/>
    </row>
    <row r="307" spans="1:13" x14ac:dyDescent="0.2">
      <c r="A307" s="12"/>
      <c r="I307" s="12"/>
      <c r="K307" s="12"/>
      <c r="M307" s="12"/>
    </row>
    <row r="308" spans="1:13" x14ac:dyDescent="0.2">
      <c r="A308" s="12"/>
      <c r="I308" s="12"/>
      <c r="K308" s="12"/>
      <c r="M308" s="12"/>
    </row>
    <row r="309" spans="1:13" x14ac:dyDescent="0.2">
      <c r="A309" s="12"/>
      <c r="I309" s="12"/>
      <c r="K309" s="12"/>
      <c r="M309" s="12"/>
    </row>
    <row r="310" spans="1:13" x14ac:dyDescent="0.2">
      <c r="A310" s="12"/>
      <c r="I310" s="12"/>
      <c r="K310" s="12"/>
      <c r="M310" s="12"/>
    </row>
    <row r="311" spans="1:13" x14ac:dyDescent="0.2">
      <c r="A311" s="12"/>
      <c r="I311" s="12"/>
      <c r="K311" s="12"/>
      <c r="M311" s="12"/>
    </row>
    <row r="312" spans="1:13" x14ac:dyDescent="0.2">
      <c r="A312" s="12"/>
      <c r="I312" s="12"/>
      <c r="K312" s="12"/>
      <c r="M312" s="12"/>
    </row>
    <row r="313" spans="1:13" x14ac:dyDescent="0.2">
      <c r="A313" s="12"/>
      <c r="I313" s="12"/>
      <c r="K313" s="12"/>
      <c r="M313" s="12"/>
    </row>
    <row r="314" spans="1:13" x14ac:dyDescent="0.2">
      <c r="A314" s="12"/>
      <c r="I314" s="12"/>
      <c r="K314" s="12"/>
      <c r="M314" s="12"/>
    </row>
    <row r="315" spans="1:13" x14ac:dyDescent="0.2">
      <c r="A315" s="12"/>
      <c r="I315" s="12"/>
      <c r="K315" s="12"/>
      <c r="M315" s="12"/>
    </row>
    <row r="316" spans="1:13" x14ac:dyDescent="0.2">
      <c r="A316" s="12"/>
      <c r="I316" s="12"/>
      <c r="K316" s="12"/>
      <c r="M316" s="12"/>
    </row>
    <row r="317" spans="1:13" x14ac:dyDescent="0.2">
      <c r="A317" s="12"/>
      <c r="I317" s="12"/>
      <c r="K317" s="12"/>
      <c r="M317" s="12"/>
    </row>
    <row r="318" spans="1:13" x14ac:dyDescent="0.2">
      <c r="A318" s="12"/>
      <c r="I318" s="12"/>
      <c r="K318" s="12"/>
      <c r="M318" s="12"/>
    </row>
    <row r="319" spans="1:13" x14ac:dyDescent="0.2">
      <c r="A319" s="12"/>
      <c r="I319" s="12"/>
      <c r="K319" s="12"/>
      <c r="M319" s="12"/>
    </row>
    <row r="320" spans="1:13" x14ac:dyDescent="0.2">
      <c r="A320" s="12"/>
      <c r="I320" s="12"/>
      <c r="K320" s="12"/>
      <c r="M320" s="12"/>
    </row>
    <row r="321" spans="1:13" x14ac:dyDescent="0.2">
      <c r="A321" s="12"/>
      <c r="I321" s="12"/>
      <c r="K321" s="12"/>
      <c r="M321" s="12"/>
    </row>
    <row r="322" spans="1:13" x14ac:dyDescent="0.2">
      <c r="A322" s="12"/>
      <c r="I322" s="12"/>
      <c r="K322" s="12"/>
      <c r="M322" s="12"/>
    </row>
    <row r="323" spans="1:13" x14ac:dyDescent="0.2">
      <c r="A323" s="12"/>
      <c r="I323" s="12"/>
      <c r="K323" s="12"/>
      <c r="M323" s="12"/>
    </row>
    <row r="324" spans="1:13" x14ac:dyDescent="0.2">
      <c r="A324" s="12"/>
      <c r="I324" s="12"/>
      <c r="K324" s="12"/>
      <c r="M324" s="12"/>
    </row>
    <row r="325" spans="1:13" x14ac:dyDescent="0.2">
      <c r="A325" s="12"/>
      <c r="I325" s="12"/>
      <c r="K325" s="12"/>
      <c r="M325" s="12"/>
    </row>
    <row r="326" spans="1:13" x14ac:dyDescent="0.2">
      <c r="A326" s="12"/>
      <c r="I326" s="12"/>
      <c r="K326" s="12"/>
      <c r="M326" s="12"/>
    </row>
    <row r="327" spans="1:13" x14ac:dyDescent="0.2">
      <c r="A327" s="12"/>
      <c r="I327" s="12"/>
      <c r="K327" s="12"/>
      <c r="M327" s="12"/>
    </row>
    <row r="328" spans="1:13" x14ac:dyDescent="0.2">
      <c r="A328" s="12"/>
      <c r="I328" s="12"/>
      <c r="K328" s="12"/>
      <c r="M328" s="12"/>
    </row>
    <row r="329" spans="1:13" x14ac:dyDescent="0.2">
      <c r="A329" s="12"/>
      <c r="I329" s="12"/>
      <c r="K329" s="12"/>
      <c r="M329" s="12"/>
    </row>
    <row r="330" spans="1:13" x14ac:dyDescent="0.2">
      <c r="A330" s="12"/>
      <c r="I330" s="12"/>
      <c r="K330" s="12"/>
      <c r="M330" s="12"/>
    </row>
    <row r="331" spans="1:13" x14ac:dyDescent="0.2">
      <c r="A331" s="12"/>
      <c r="I331" s="12"/>
      <c r="K331" s="12"/>
      <c r="M331" s="12"/>
    </row>
    <row r="332" spans="1:13" x14ac:dyDescent="0.2">
      <c r="A332" s="12"/>
      <c r="I332" s="12"/>
      <c r="K332" s="12"/>
      <c r="M332" s="12"/>
    </row>
    <row r="333" spans="1:13" x14ac:dyDescent="0.2">
      <c r="A333" s="12"/>
      <c r="I333" s="12"/>
      <c r="K333" s="12"/>
      <c r="M333" s="12"/>
    </row>
    <row r="334" spans="1:13" x14ac:dyDescent="0.2">
      <c r="A334" s="12"/>
      <c r="I334" s="12"/>
      <c r="K334" s="12"/>
      <c r="M334" s="12"/>
    </row>
    <row r="335" spans="1:13" x14ac:dyDescent="0.2">
      <c r="A335" s="12"/>
      <c r="I335" s="12"/>
      <c r="K335" s="12"/>
      <c r="M335" s="12"/>
    </row>
    <row r="336" spans="1:13" x14ac:dyDescent="0.2">
      <c r="A336" s="12"/>
      <c r="I336" s="12"/>
      <c r="K336" s="12"/>
      <c r="M336" s="12"/>
    </row>
    <row r="337" spans="1:13" x14ac:dyDescent="0.2">
      <c r="A337" s="12"/>
      <c r="I337" s="12"/>
      <c r="K337" s="12"/>
      <c r="M337" s="12"/>
    </row>
    <row r="338" spans="1:13" x14ac:dyDescent="0.2">
      <c r="A338" s="12"/>
      <c r="I338" s="12"/>
      <c r="K338" s="12"/>
      <c r="M338" s="12"/>
    </row>
    <row r="339" spans="1:13" x14ac:dyDescent="0.2">
      <c r="A339" s="12"/>
      <c r="I339" s="12"/>
      <c r="K339" s="12"/>
      <c r="M339" s="12"/>
    </row>
    <row r="340" spans="1:13" x14ac:dyDescent="0.2">
      <c r="A340" s="12"/>
      <c r="I340" s="12"/>
      <c r="K340" s="12"/>
      <c r="M340" s="12"/>
    </row>
    <row r="341" spans="1:13" x14ac:dyDescent="0.2">
      <c r="A341" s="12"/>
      <c r="I341" s="12"/>
      <c r="K341" s="12"/>
      <c r="M341" s="12"/>
    </row>
    <row r="342" spans="1:13" x14ac:dyDescent="0.2">
      <c r="A342" s="12"/>
      <c r="I342" s="12"/>
      <c r="K342" s="12"/>
      <c r="M342" s="12"/>
    </row>
    <row r="343" spans="1:13" x14ac:dyDescent="0.2">
      <c r="A343" s="12"/>
      <c r="I343" s="12"/>
      <c r="K343" s="12"/>
      <c r="M343" s="12"/>
    </row>
    <row r="344" spans="1:13" x14ac:dyDescent="0.2">
      <c r="A344" s="12"/>
      <c r="I344" s="12"/>
      <c r="K344" s="12"/>
      <c r="M344" s="12"/>
    </row>
    <row r="345" spans="1:13" x14ac:dyDescent="0.2">
      <c r="A345" s="12"/>
      <c r="I345" s="12"/>
      <c r="K345" s="12"/>
      <c r="M345" s="12"/>
    </row>
    <row r="346" spans="1:13" x14ac:dyDescent="0.2">
      <c r="A346" s="12"/>
      <c r="I346" s="12"/>
      <c r="K346" s="12"/>
      <c r="M346" s="12"/>
    </row>
    <row r="347" spans="1:13" x14ac:dyDescent="0.2">
      <c r="A347" s="12"/>
      <c r="I347" s="12"/>
      <c r="K347" s="12"/>
      <c r="M347" s="12"/>
    </row>
    <row r="348" spans="1:13" x14ac:dyDescent="0.2">
      <c r="A348" s="12"/>
      <c r="I348" s="12"/>
      <c r="K348" s="12"/>
      <c r="M348" s="12"/>
    </row>
    <row r="349" spans="1:13" x14ac:dyDescent="0.2">
      <c r="A349" s="12"/>
      <c r="I349" s="12"/>
      <c r="K349" s="12"/>
      <c r="M349" s="12"/>
    </row>
    <row r="350" spans="1:13" x14ac:dyDescent="0.2">
      <c r="A350" s="12"/>
      <c r="I350" s="12"/>
      <c r="K350" s="12"/>
      <c r="M350" s="12"/>
    </row>
    <row r="351" spans="1:13" x14ac:dyDescent="0.2">
      <c r="A351" s="12"/>
      <c r="I351" s="12"/>
      <c r="K351" s="12"/>
      <c r="M351" s="12"/>
    </row>
    <row r="352" spans="1:13" x14ac:dyDescent="0.2">
      <c r="A352" s="12"/>
      <c r="I352" s="12"/>
      <c r="K352" s="12"/>
      <c r="M352" s="12"/>
    </row>
    <row r="353" spans="1:13" x14ac:dyDescent="0.2">
      <c r="A353" s="12"/>
      <c r="I353" s="12"/>
      <c r="K353" s="12"/>
      <c r="M353" s="12"/>
    </row>
    <row r="354" spans="1:13" x14ac:dyDescent="0.2">
      <c r="A354" s="12"/>
      <c r="I354" s="12"/>
      <c r="K354" s="12"/>
      <c r="M354" s="12"/>
    </row>
    <row r="355" spans="1:13" x14ac:dyDescent="0.2">
      <c r="A355" s="12"/>
      <c r="I355" s="12"/>
      <c r="K355" s="12"/>
      <c r="M355" s="12"/>
    </row>
    <row r="356" spans="1:13" x14ac:dyDescent="0.2">
      <c r="A356" s="12"/>
      <c r="I356" s="12"/>
      <c r="K356" s="12"/>
      <c r="M356" s="12"/>
    </row>
    <row r="357" spans="1:13" x14ac:dyDescent="0.2">
      <c r="A357" s="12"/>
      <c r="I357" s="12"/>
      <c r="K357" s="12"/>
      <c r="M357" s="12"/>
    </row>
    <row r="358" spans="1:13" x14ac:dyDescent="0.2">
      <c r="A358" s="12"/>
      <c r="I358" s="12"/>
      <c r="K358" s="12"/>
      <c r="M358" s="12"/>
    </row>
    <row r="359" spans="1:13" x14ac:dyDescent="0.2">
      <c r="A359" s="12"/>
      <c r="I359" s="12"/>
      <c r="K359" s="12"/>
      <c r="M359" s="12"/>
    </row>
    <row r="360" spans="1:13" x14ac:dyDescent="0.2">
      <c r="A360" s="12"/>
      <c r="I360" s="12"/>
      <c r="K360" s="12"/>
      <c r="M360" s="12"/>
    </row>
    <row r="361" spans="1:13" x14ac:dyDescent="0.2">
      <c r="A361" s="12"/>
      <c r="I361" s="12"/>
      <c r="K361" s="12"/>
      <c r="M361" s="12"/>
    </row>
    <row r="362" spans="1:13" x14ac:dyDescent="0.2">
      <c r="A362" s="12"/>
      <c r="I362" s="12"/>
      <c r="K362" s="12"/>
      <c r="M362" s="12"/>
    </row>
    <row r="363" spans="1:13" x14ac:dyDescent="0.2">
      <c r="A363" s="12"/>
      <c r="I363" s="12"/>
      <c r="K363" s="12"/>
      <c r="M363" s="12"/>
    </row>
    <row r="364" spans="1:13" x14ac:dyDescent="0.2">
      <c r="A364" s="12"/>
      <c r="I364" s="12"/>
      <c r="K364" s="12"/>
      <c r="M364" s="12"/>
    </row>
    <row r="365" spans="1:13" x14ac:dyDescent="0.2">
      <c r="A365" s="12"/>
      <c r="I365" s="12"/>
      <c r="K365" s="12"/>
      <c r="M365" s="12"/>
    </row>
    <row r="366" spans="1:13" x14ac:dyDescent="0.2">
      <c r="A366" s="12"/>
      <c r="I366" s="12"/>
      <c r="K366" s="12"/>
      <c r="M366" s="12"/>
    </row>
    <row r="367" spans="1:13" x14ac:dyDescent="0.2">
      <c r="A367" s="12"/>
      <c r="I367" s="12"/>
      <c r="K367" s="12"/>
      <c r="M367" s="12"/>
    </row>
    <row r="368" spans="1:13" x14ac:dyDescent="0.2">
      <c r="A368" s="12"/>
      <c r="I368" s="12"/>
      <c r="K368" s="12"/>
      <c r="M368" s="12"/>
    </row>
    <row r="369" spans="1:13" x14ac:dyDescent="0.2">
      <c r="A369" s="12"/>
      <c r="I369" s="12"/>
      <c r="K369" s="12"/>
      <c r="M369" s="12"/>
    </row>
    <row r="370" spans="1:13" x14ac:dyDescent="0.2">
      <c r="A370" s="12"/>
      <c r="I370" s="12"/>
      <c r="K370" s="12"/>
      <c r="M370" s="12"/>
    </row>
    <row r="371" spans="1:13" x14ac:dyDescent="0.2">
      <c r="A371" s="12"/>
      <c r="I371" s="12"/>
      <c r="K371" s="12"/>
      <c r="M371" s="12"/>
    </row>
    <row r="372" spans="1:13" x14ac:dyDescent="0.2">
      <c r="A372" s="12"/>
      <c r="I372" s="12"/>
      <c r="K372" s="12"/>
      <c r="M372" s="12"/>
    </row>
    <row r="373" spans="1:13" x14ac:dyDescent="0.2">
      <c r="A373" s="12"/>
      <c r="I373" s="12"/>
      <c r="K373" s="12"/>
      <c r="M373" s="12"/>
    </row>
    <row r="374" spans="1:13" x14ac:dyDescent="0.2">
      <c r="A374" s="12"/>
      <c r="I374" s="12"/>
      <c r="K374" s="12"/>
      <c r="M374" s="12"/>
    </row>
    <row r="375" spans="1:13" x14ac:dyDescent="0.2">
      <c r="A375" s="12"/>
      <c r="I375" s="12"/>
      <c r="K375" s="12"/>
      <c r="M375" s="12"/>
    </row>
    <row r="376" spans="1:13" x14ac:dyDescent="0.2">
      <c r="A376" s="12"/>
      <c r="I376" s="12"/>
      <c r="K376" s="12"/>
      <c r="M376" s="12"/>
    </row>
    <row r="377" spans="1:13" x14ac:dyDescent="0.2">
      <c r="A377" s="12"/>
      <c r="I377" s="12"/>
      <c r="K377" s="12"/>
      <c r="M377" s="12"/>
    </row>
    <row r="378" spans="1:13" x14ac:dyDescent="0.2">
      <c r="A378" s="12"/>
      <c r="I378" s="12"/>
      <c r="K378" s="12"/>
      <c r="M378" s="12"/>
    </row>
    <row r="379" spans="1:13" x14ac:dyDescent="0.2">
      <c r="A379" s="12"/>
      <c r="I379" s="12"/>
      <c r="K379" s="12"/>
      <c r="M379" s="12"/>
    </row>
    <row r="380" spans="1:13" x14ac:dyDescent="0.2">
      <c r="A380" s="12"/>
      <c r="I380" s="12"/>
      <c r="K380" s="12"/>
      <c r="M380" s="12"/>
    </row>
    <row r="381" spans="1:13" x14ac:dyDescent="0.2">
      <c r="A381" s="12"/>
      <c r="I381" s="12"/>
      <c r="K381" s="12"/>
      <c r="M381" s="12"/>
    </row>
    <row r="382" spans="1:13" x14ac:dyDescent="0.2">
      <c r="A382" s="12"/>
      <c r="I382" s="12"/>
      <c r="K382" s="12"/>
      <c r="M382" s="12"/>
    </row>
    <row r="383" spans="1:13" x14ac:dyDescent="0.2">
      <c r="A383" s="12"/>
      <c r="I383" s="12"/>
      <c r="K383" s="12"/>
      <c r="M383" s="12"/>
    </row>
    <row r="384" spans="1:13" x14ac:dyDescent="0.2">
      <c r="A384" s="12"/>
      <c r="I384" s="12"/>
      <c r="K384" s="12"/>
      <c r="M384" s="12"/>
    </row>
    <row r="385" spans="1:13" x14ac:dyDescent="0.2">
      <c r="A385" s="12"/>
      <c r="I385" s="12"/>
      <c r="K385" s="12"/>
      <c r="M385" s="12"/>
    </row>
    <row r="386" spans="1:13" x14ac:dyDescent="0.2">
      <c r="A386" s="12"/>
      <c r="I386" s="12"/>
      <c r="K386" s="12"/>
      <c r="M386" s="12"/>
    </row>
    <row r="387" spans="1:13" x14ac:dyDescent="0.2">
      <c r="A387" s="12"/>
      <c r="I387" s="12"/>
      <c r="K387" s="12"/>
      <c r="M387" s="12"/>
    </row>
    <row r="388" spans="1:13" x14ac:dyDescent="0.2">
      <c r="A388" s="12"/>
      <c r="I388" s="12"/>
      <c r="K388" s="12"/>
      <c r="M388" s="12"/>
    </row>
    <row r="389" spans="1:13" x14ac:dyDescent="0.2">
      <c r="A389" s="12"/>
      <c r="I389" s="12"/>
      <c r="K389" s="12"/>
      <c r="M389" s="12"/>
    </row>
    <row r="390" spans="1:13" x14ac:dyDescent="0.2">
      <c r="A390" s="12"/>
      <c r="I390" s="12"/>
      <c r="K390" s="12"/>
      <c r="M390" s="12"/>
    </row>
    <row r="391" spans="1:13" x14ac:dyDescent="0.2">
      <c r="A391" s="12"/>
      <c r="I391" s="12"/>
      <c r="K391" s="12"/>
      <c r="M391" s="12"/>
    </row>
    <row r="392" spans="1:13" x14ac:dyDescent="0.2">
      <c r="A392" s="12"/>
      <c r="I392" s="12"/>
      <c r="K392" s="12"/>
      <c r="M392" s="12"/>
    </row>
    <row r="393" spans="1:13" x14ac:dyDescent="0.2">
      <c r="A393" s="12"/>
      <c r="I393" s="12"/>
      <c r="K393" s="12"/>
      <c r="M393" s="12"/>
    </row>
    <row r="394" spans="1:13" x14ac:dyDescent="0.2">
      <c r="A394" s="12"/>
      <c r="I394" s="12"/>
      <c r="K394" s="12"/>
      <c r="M394" s="12"/>
    </row>
    <row r="395" spans="1:13" x14ac:dyDescent="0.2">
      <c r="A395" s="12"/>
      <c r="I395" s="12"/>
      <c r="K395" s="12"/>
      <c r="M395" s="12"/>
    </row>
    <row r="396" spans="1:13" x14ac:dyDescent="0.2">
      <c r="A396" s="12"/>
      <c r="I396" s="12"/>
      <c r="K396" s="12"/>
      <c r="M396" s="12"/>
    </row>
    <row r="397" spans="1:13" x14ac:dyDescent="0.2">
      <c r="A397" s="12"/>
      <c r="I397" s="12"/>
      <c r="K397" s="12"/>
      <c r="M397" s="12"/>
    </row>
    <row r="398" spans="1:13" x14ac:dyDescent="0.2">
      <c r="A398" s="12"/>
      <c r="I398" s="12"/>
      <c r="K398" s="12"/>
      <c r="M398" s="12"/>
    </row>
    <row r="399" spans="1:13" x14ac:dyDescent="0.2">
      <c r="A399" s="12"/>
      <c r="I399" s="12"/>
      <c r="K399" s="12"/>
      <c r="M399" s="12"/>
    </row>
    <row r="400" spans="1:13" x14ac:dyDescent="0.2">
      <c r="A400" s="12"/>
      <c r="I400" s="12"/>
      <c r="K400" s="12"/>
      <c r="M400" s="12"/>
    </row>
    <row r="401" spans="1:13" x14ac:dyDescent="0.2">
      <c r="A401" s="12"/>
      <c r="I401" s="12"/>
      <c r="K401" s="12"/>
      <c r="M401" s="12"/>
    </row>
    <row r="402" spans="1:13" x14ac:dyDescent="0.2">
      <c r="A402" s="12"/>
      <c r="I402" s="12"/>
      <c r="K402" s="12"/>
      <c r="M402" s="12"/>
    </row>
    <row r="403" spans="1:13" x14ac:dyDescent="0.2">
      <c r="A403" s="12"/>
      <c r="I403" s="12"/>
      <c r="K403" s="12"/>
      <c r="M403" s="12"/>
    </row>
    <row r="404" spans="1:13" x14ac:dyDescent="0.2">
      <c r="A404" s="12"/>
      <c r="I404" s="12"/>
      <c r="K404" s="12"/>
      <c r="M404" s="12"/>
    </row>
    <row r="405" spans="1:13" x14ac:dyDescent="0.2">
      <c r="A405" s="12"/>
      <c r="I405" s="12"/>
      <c r="K405" s="12"/>
      <c r="M405" s="12"/>
    </row>
    <row r="406" spans="1:13" x14ac:dyDescent="0.2">
      <c r="A406" s="12"/>
      <c r="I406" s="12"/>
      <c r="K406" s="12"/>
      <c r="M406" s="12"/>
    </row>
    <row r="407" spans="1:13" x14ac:dyDescent="0.2">
      <c r="A407" s="12"/>
      <c r="I407" s="12"/>
      <c r="K407" s="12"/>
      <c r="M407" s="12"/>
    </row>
    <row r="408" spans="1:13" x14ac:dyDescent="0.2">
      <c r="A408" s="12"/>
      <c r="I408" s="12"/>
      <c r="K408" s="12"/>
      <c r="M408" s="12"/>
    </row>
    <row r="409" spans="1:13" x14ac:dyDescent="0.2">
      <c r="A409" s="12"/>
      <c r="I409" s="12"/>
      <c r="K409" s="12"/>
      <c r="M409" s="12"/>
    </row>
    <row r="410" spans="1:13" x14ac:dyDescent="0.2">
      <c r="A410" s="12"/>
      <c r="I410" s="12"/>
      <c r="K410" s="12"/>
      <c r="M410" s="12"/>
    </row>
    <row r="411" spans="1:13" x14ac:dyDescent="0.2">
      <c r="A411" s="12"/>
      <c r="I411" s="12"/>
      <c r="K411" s="12"/>
      <c r="M411" s="12"/>
    </row>
    <row r="412" spans="1:13" x14ac:dyDescent="0.2">
      <c r="A412" s="12"/>
      <c r="I412" s="12"/>
      <c r="K412" s="12"/>
      <c r="M412" s="12"/>
    </row>
    <row r="413" spans="1:13" x14ac:dyDescent="0.2">
      <c r="A413" s="12"/>
      <c r="I413" s="12"/>
      <c r="K413" s="12"/>
      <c r="M413" s="12"/>
    </row>
    <row r="414" spans="1:13" x14ac:dyDescent="0.2">
      <c r="A414" s="12"/>
      <c r="I414" s="12"/>
      <c r="K414" s="12"/>
      <c r="M414" s="12"/>
    </row>
    <row r="415" spans="1:13" x14ac:dyDescent="0.2">
      <c r="A415" s="12"/>
      <c r="I415" s="12"/>
      <c r="K415" s="12"/>
      <c r="M415" s="12"/>
    </row>
    <row r="416" spans="1:13" x14ac:dyDescent="0.2">
      <c r="A416" s="12"/>
      <c r="I416" s="12"/>
      <c r="K416" s="12"/>
      <c r="M416" s="12"/>
    </row>
    <row r="417" spans="1:13" x14ac:dyDescent="0.2">
      <c r="A417" s="12"/>
      <c r="I417" s="12"/>
      <c r="K417" s="12"/>
      <c r="M417" s="12"/>
    </row>
    <row r="418" spans="1:13" x14ac:dyDescent="0.2">
      <c r="A418" s="12"/>
      <c r="I418" s="12"/>
      <c r="K418" s="12"/>
      <c r="M418" s="12"/>
    </row>
    <row r="419" spans="1:13" x14ac:dyDescent="0.2">
      <c r="A419" s="12"/>
      <c r="I419" s="12"/>
      <c r="K419" s="12"/>
      <c r="M419" s="12"/>
    </row>
    <row r="420" spans="1:13" x14ac:dyDescent="0.2">
      <c r="A420" s="12"/>
      <c r="I420" s="12"/>
      <c r="K420" s="12"/>
      <c r="M420" s="12"/>
    </row>
    <row r="421" spans="1:13" x14ac:dyDescent="0.2">
      <c r="A421" s="12"/>
      <c r="I421" s="12"/>
      <c r="K421" s="12"/>
      <c r="M421" s="12"/>
    </row>
    <row r="422" spans="1:13" x14ac:dyDescent="0.2">
      <c r="A422" s="12"/>
      <c r="I422" s="12"/>
      <c r="K422" s="12"/>
      <c r="M422" s="12"/>
    </row>
    <row r="423" spans="1:13" x14ac:dyDescent="0.2">
      <c r="A423" s="12"/>
      <c r="I423" s="12"/>
      <c r="K423" s="12"/>
      <c r="M423" s="12"/>
    </row>
    <row r="424" spans="1:13" x14ac:dyDescent="0.2">
      <c r="A424" s="12"/>
      <c r="I424" s="12"/>
      <c r="K424" s="12"/>
      <c r="M424" s="12"/>
    </row>
    <row r="425" spans="1:13" x14ac:dyDescent="0.2">
      <c r="A425" s="12"/>
      <c r="I425" s="12"/>
      <c r="K425" s="12"/>
      <c r="M425" s="12"/>
    </row>
    <row r="426" spans="1:13" x14ac:dyDescent="0.2">
      <c r="A426" s="12"/>
      <c r="I426" s="12"/>
      <c r="K426" s="12"/>
      <c r="M426" s="12"/>
    </row>
    <row r="427" spans="1:13" x14ac:dyDescent="0.2">
      <c r="A427" s="12"/>
      <c r="I427" s="12"/>
      <c r="K427" s="12"/>
      <c r="M427" s="12"/>
    </row>
    <row r="428" spans="1:13" x14ac:dyDescent="0.2">
      <c r="A428" s="12"/>
      <c r="I428" s="12"/>
      <c r="K428" s="12"/>
      <c r="M428" s="12"/>
    </row>
    <row r="429" spans="1:13" x14ac:dyDescent="0.2">
      <c r="A429" s="12"/>
      <c r="I429" s="12"/>
      <c r="K429" s="12"/>
      <c r="M429" s="12"/>
    </row>
    <row r="430" spans="1:13" x14ac:dyDescent="0.2">
      <c r="A430" s="12"/>
      <c r="I430" s="12"/>
      <c r="K430" s="12"/>
      <c r="M430" s="12"/>
    </row>
    <row r="431" spans="1:13" x14ac:dyDescent="0.2">
      <c r="A431" s="12"/>
      <c r="I431" s="12"/>
      <c r="K431" s="12"/>
      <c r="M431" s="12"/>
    </row>
    <row r="432" spans="1:13" x14ac:dyDescent="0.2">
      <c r="A432" s="12"/>
      <c r="I432" s="12"/>
      <c r="K432" s="12"/>
      <c r="M432" s="12"/>
    </row>
    <row r="433" spans="1:13" x14ac:dyDescent="0.2">
      <c r="A433" s="12"/>
      <c r="I433" s="12"/>
      <c r="K433" s="12"/>
      <c r="M433" s="12"/>
    </row>
    <row r="434" spans="1:13" x14ac:dyDescent="0.2">
      <c r="A434" s="12"/>
      <c r="I434" s="12"/>
      <c r="K434" s="12"/>
      <c r="M434" s="12"/>
    </row>
    <row r="435" spans="1:13" x14ac:dyDescent="0.2">
      <c r="A435" s="12"/>
      <c r="I435" s="12"/>
      <c r="K435" s="12"/>
      <c r="M435" s="12"/>
    </row>
    <row r="436" spans="1:13" x14ac:dyDescent="0.2">
      <c r="A436" s="12"/>
      <c r="I436" s="12"/>
      <c r="K436" s="12"/>
      <c r="M436" s="12"/>
    </row>
    <row r="437" spans="1:13" x14ac:dyDescent="0.2">
      <c r="A437" s="12"/>
      <c r="I437" s="12"/>
      <c r="K437" s="12"/>
      <c r="M437" s="12"/>
    </row>
    <row r="438" spans="1:13" x14ac:dyDescent="0.2">
      <c r="A438" s="12"/>
      <c r="I438" s="12"/>
      <c r="K438" s="12"/>
      <c r="M438" s="12"/>
    </row>
    <row r="439" spans="1:13" x14ac:dyDescent="0.2">
      <c r="A439" s="12"/>
      <c r="I439" s="12"/>
      <c r="K439" s="12"/>
      <c r="M439" s="12"/>
    </row>
    <row r="440" spans="1:13" x14ac:dyDescent="0.2">
      <c r="A440" s="12"/>
      <c r="I440" s="12"/>
      <c r="K440" s="12"/>
      <c r="M440" s="12"/>
    </row>
    <row r="441" spans="1:13" x14ac:dyDescent="0.2">
      <c r="A441" s="12"/>
      <c r="I441" s="12"/>
      <c r="K441" s="12"/>
      <c r="M441" s="12"/>
    </row>
    <row r="442" spans="1:13" x14ac:dyDescent="0.2">
      <c r="A442" s="12"/>
      <c r="I442" s="12"/>
      <c r="K442" s="12"/>
      <c r="M442" s="12"/>
    </row>
    <row r="443" spans="1:13" x14ac:dyDescent="0.2">
      <c r="A443" s="12"/>
      <c r="I443" s="12"/>
      <c r="K443" s="12"/>
      <c r="M443" s="12"/>
    </row>
    <row r="444" spans="1:13" x14ac:dyDescent="0.2">
      <c r="A444" s="12"/>
      <c r="I444" s="12"/>
      <c r="K444" s="12"/>
      <c r="M444" s="12"/>
    </row>
    <row r="445" spans="1:13" x14ac:dyDescent="0.2">
      <c r="A445" s="12"/>
      <c r="I445" s="12"/>
      <c r="K445" s="12"/>
      <c r="M445" s="12"/>
    </row>
    <row r="446" spans="1:13" x14ac:dyDescent="0.2">
      <c r="A446" s="12"/>
      <c r="I446" s="12"/>
      <c r="K446" s="12"/>
      <c r="M446" s="12"/>
    </row>
    <row r="447" spans="1:13" x14ac:dyDescent="0.2">
      <c r="A447" s="12"/>
      <c r="I447" s="12"/>
      <c r="K447" s="12"/>
      <c r="M447" s="12"/>
    </row>
    <row r="448" spans="1:13" x14ac:dyDescent="0.2">
      <c r="A448" s="12"/>
      <c r="I448" s="12"/>
      <c r="K448" s="12"/>
      <c r="M448" s="12"/>
    </row>
    <row r="449" spans="1:13" x14ac:dyDescent="0.2">
      <c r="A449" s="12"/>
      <c r="I449" s="12"/>
      <c r="K449" s="12"/>
      <c r="M449" s="12"/>
    </row>
    <row r="450" spans="1:13" x14ac:dyDescent="0.2">
      <c r="A450" s="12"/>
      <c r="I450" s="12"/>
      <c r="K450" s="12"/>
      <c r="M450" s="12"/>
    </row>
    <row r="451" spans="1:13" x14ac:dyDescent="0.2">
      <c r="A451" s="12"/>
      <c r="I451" s="12"/>
      <c r="K451" s="12"/>
      <c r="M451" s="12"/>
    </row>
    <row r="452" spans="1:13" x14ac:dyDescent="0.2">
      <c r="A452" s="12"/>
      <c r="I452" s="12"/>
      <c r="K452" s="12"/>
      <c r="M452" s="12"/>
    </row>
    <row r="453" spans="1:13" x14ac:dyDescent="0.2">
      <c r="A453" s="12"/>
      <c r="I453" s="12"/>
      <c r="K453" s="12"/>
      <c r="M453" s="12"/>
    </row>
    <row r="454" spans="1:13" x14ac:dyDescent="0.2">
      <c r="A454" s="12"/>
      <c r="I454" s="12"/>
      <c r="K454" s="12"/>
      <c r="M454" s="12"/>
    </row>
    <row r="455" spans="1:13" x14ac:dyDescent="0.2">
      <c r="A455" s="12"/>
      <c r="I455" s="12"/>
      <c r="K455" s="12"/>
      <c r="M455" s="12"/>
    </row>
    <row r="456" spans="1:13" x14ac:dyDescent="0.2">
      <c r="A456" s="12"/>
      <c r="I456" s="12"/>
      <c r="K456" s="12"/>
      <c r="M456" s="12"/>
    </row>
    <row r="457" spans="1:13" x14ac:dyDescent="0.2">
      <c r="A457" s="12"/>
      <c r="I457" s="12"/>
      <c r="K457" s="12"/>
      <c r="M457" s="12"/>
    </row>
    <row r="458" spans="1:13" x14ac:dyDescent="0.2">
      <c r="A458" s="12"/>
      <c r="I458" s="12"/>
      <c r="K458" s="12"/>
      <c r="M458" s="12"/>
    </row>
    <row r="459" spans="1:13" x14ac:dyDescent="0.2">
      <c r="A459" s="12"/>
      <c r="I459" s="12"/>
      <c r="K459" s="12"/>
      <c r="M459" s="12"/>
    </row>
    <row r="460" spans="1:13" x14ac:dyDescent="0.2">
      <c r="A460" s="12"/>
      <c r="I460" s="12"/>
      <c r="K460" s="12"/>
      <c r="M460" s="12"/>
    </row>
    <row r="461" spans="1:13" x14ac:dyDescent="0.2">
      <c r="A461" s="12"/>
      <c r="I461" s="12"/>
      <c r="K461" s="12"/>
      <c r="M461" s="12"/>
    </row>
    <row r="462" spans="1:13" x14ac:dyDescent="0.2">
      <c r="A462" s="12"/>
      <c r="I462" s="12"/>
      <c r="K462" s="12"/>
      <c r="M462" s="12"/>
    </row>
    <row r="463" spans="1:13" x14ac:dyDescent="0.2">
      <c r="A463" s="12"/>
      <c r="I463" s="12"/>
      <c r="K463" s="12"/>
      <c r="M463" s="12"/>
    </row>
    <row r="464" spans="1:13" x14ac:dyDescent="0.2">
      <c r="A464" s="12"/>
      <c r="I464" s="12"/>
      <c r="K464" s="12"/>
      <c r="M464" s="12"/>
    </row>
    <row r="465" spans="1:13" x14ac:dyDescent="0.2">
      <c r="A465" s="12"/>
      <c r="I465" s="12"/>
      <c r="K465" s="12"/>
      <c r="M465" s="12"/>
    </row>
    <row r="466" spans="1:13" x14ac:dyDescent="0.2">
      <c r="A466" s="12"/>
      <c r="I466" s="12"/>
      <c r="K466" s="12"/>
      <c r="M466" s="12"/>
    </row>
    <row r="467" spans="1:13" x14ac:dyDescent="0.2">
      <c r="A467" s="12"/>
      <c r="I467" s="12"/>
      <c r="K467" s="12"/>
      <c r="M467" s="12"/>
    </row>
    <row r="468" spans="1:13" x14ac:dyDescent="0.2">
      <c r="A468" s="12"/>
      <c r="I468" s="12"/>
      <c r="K468" s="12"/>
      <c r="M468" s="12"/>
    </row>
    <row r="469" spans="1:13" x14ac:dyDescent="0.2">
      <c r="A469" s="12"/>
      <c r="I469" s="12"/>
      <c r="K469" s="12"/>
      <c r="M469" s="12"/>
    </row>
    <row r="470" spans="1:13" x14ac:dyDescent="0.2">
      <c r="A470" s="12"/>
      <c r="I470" s="12"/>
      <c r="K470" s="12"/>
      <c r="M470" s="12"/>
    </row>
    <row r="471" spans="1:13" x14ac:dyDescent="0.2">
      <c r="A471" s="12"/>
      <c r="I471" s="12"/>
      <c r="K471" s="12"/>
      <c r="M471" s="12"/>
    </row>
    <row r="472" spans="1:13" x14ac:dyDescent="0.2">
      <c r="A472" s="12"/>
      <c r="I472" s="12"/>
      <c r="K472" s="12"/>
      <c r="M472" s="12"/>
    </row>
    <row r="473" spans="1:13" x14ac:dyDescent="0.2">
      <c r="A473" s="12"/>
      <c r="I473" s="12"/>
      <c r="K473" s="12"/>
      <c r="M473" s="12"/>
    </row>
    <row r="474" spans="1:13" x14ac:dyDescent="0.2">
      <c r="A474" s="12"/>
      <c r="I474" s="12"/>
      <c r="K474" s="12"/>
      <c r="M474" s="12"/>
    </row>
    <row r="475" spans="1:13" x14ac:dyDescent="0.2">
      <c r="A475" s="12"/>
      <c r="I475" s="12"/>
      <c r="K475" s="12"/>
      <c r="M475" s="12"/>
    </row>
    <row r="476" spans="1:13" x14ac:dyDescent="0.2">
      <c r="A476" s="12"/>
      <c r="I476" s="12"/>
      <c r="K476" s="12"/>
      <c r="M476" s="12"/>
    </row>
    <row r="477" spans="1:13" x14ac:dyDescent="0.2">
      <c r="A477" s="12"/>
      <c r="I477" s="12"/>
      <c r="K477" s="12"/>
      <c r="M477" s="12"/>
    </row>
    <row r="478" spans="1:13" x14ac:dyDescent="0.2">
      <c r="A478" s="12"/>
      <c r="I478" s="12"/>
      <c r="K478" s="12"/>
      <c r="M478" s="12"/>
    </row>
    <row r="479" spans="1:13" x14ac:dyDescent="0.2">
      <c r="A479" s="12"/>
      <c r="I479" s="12"/>
      <c r="K479" s="12"/>
      <c r="M479" s="12"/>
    </row>
    <row r="480" spans="1:13" x14ac:dyDescent="0.2">
      <c r="A480" s="12"/>
      <c r="I480" s="12"/>
      <c r="K480" s="12"/>
      <c r="M480" s="12"/>
    </row>
    <row r="481" spans="1:13" x14ac:dyDescent="0.2">
      <c r="A481" s="12"/>
      <c r="I481" s="12"/>
      <c r="K481" s="12"/>
      <c r="M481" s="12"/>
    </row>
    <row r="482" spans="1:13" x14ac:dyDescent="0.2">
      <c r="A482" s="12"/>
      <c r="I482" s="12"/>
      <c r="K482" s="12"/>
      <c r="M482" s="12"/>
    </row>
    <row r="483" spans="1:13" x14ac:dyDescent="0.2">
      <c r="A483" s="12"/>
      <c r="I483" s="12"/>
      <c r="K483" s="12"/>
      <c r="M483" s="12"/>
    </row>
    <row r="484" spans="1:13" x14ac:dyDescent="0.2">
      <c r="A484" s="12"/>
      <c r="I484" s="12"/>
      <c r="K484" s="12"/>
      <c r="M484" s="12"/>
    </row>
    <row r="485" spans="1:13" x14ac:dyDescent="0.2">
      <c r="A485" s="12"/>
      <c r="I485" s="12"/>
      <c r="K485" s="12"/>
      <c r="M485" s="12"/>
    </row>
    <row r="486" spans="1:13" x14ac:dyDescent="0.2">
      <c r="A486" s="12"/>
      <c r="I486" s="12"/>
      <c r="K486" s="12"/>
      <c r="M486" s="12"/>
    </row>
    <row r="487" spans="1:13" x14ac:dyDescent="0.2">
      <c r="A487" s="12"/>
      <c r="I487" s="12"/>
      <c r="K487" s="12"/>
      <c r="M487" s="12"/>
    </row>
    <row r="488" spans="1:13" x14ac:dyDescent="0.2">
      <c r="A488" s="12"/>
      <c r="I488" s="12"/>
      <c r="K488" s="12"/>
      <c r="M488" s="12"/>
    </row>
    <row r="489" spans="1:13" x14ac:dyDescent="0.2">
      <c r="A489" s="12"/>
      <c r="I489" s="12"/>
      <c r="K489" s="12"/>
      <c r="M489" s="12"/>
    </row>
    <row r="490" spans="1:13" x14ac:dyDescent="0.2">
      <c r="A490" s="12"/>
      <c r="I490" s="12"/>
      <c r="K490" s="12"/>
      <c r="M490" s="12"/>
    </row>
    <row r="491" spans="1:13" x14ac:dyDescent="0.2">
      <c r="A491" s="12"/>
      <c r="I491" s="12"/>
      <c r="K491" s="12"/>
      <c r="M491" s="12"/>
    </row>
    <row r="492" spans="1:13" x14ac:dyDescent="0.2">
      <c r="A492" s="12"/>
      <c r="I492" s="12"/>
      <c r="K492" s="12"/>
      <c r="M492" s="12"/>
    </row>
    <row r="493" spans="1:13" x14ac:dyDescent="0.2">
      <c r="A493" s="12"/>
      <c r="I493" s="12"/>
      <c r="K493" s="12"/>
      <c r="M493" s="12"/>
    </row>
    <row r="494" spans="1:13" x14ac:dyDescent="0.2">
      <c r="A494" s="12"/>
      <c r="I494" s="12"/>
      <c r="K494" s="12"/>
      <c r="M494" s="12"/>
    </row>
    <row r="495" spans="1:13" x14ac:dyDescent="0.2">
      <c r="A495" s="12"/>
      <c r="I495" s="12"/>
      <c r="K495" s="12"/>
      <c r="M495" s="12"/>
    </row>
    <row r="496" spans="1:13" x14ac:dyDescent="0.2">
      <c r="A496" s="12"/>
      <c r="I496" s="12"/>
      <c r="K496" s="12"/>
      <c r="M496" s="12"/>
    </row>
    <row r="497" spans="1:13" x14ac:dyDescent="0.2">
      <c r="A497" s="12"/>
      <c r="I497" s="12"/>
      <c r="K497" s="12"/>
      <c r="M497" s="12"/>
    </row>
    <row r="498" spans="1:13" x14ac:dyDescent="0.2">
      <c r="A498" s="12"/>
      <c r="I498" s="12"/>
      <c r="K498" s="12"/>
      <c r="M498" s="12"/>
    </row>
    <row r="499" spans="1:13" x14ac:dyDescent="0.2">
      <c r="A499" s="12"/>
      <c r="I499" s="12"/>
      <c r="K499" s="12"/>
      <c r="M499" s="12"/>
    </row>
    <row r="500" spans="1:13" x14ac:dyDescent="0.2">
      <c r="A500" s="12"/>
      <c r="I500" s="12"/>
      <c r="K500" s="12"/>
      <c r="M500" s="12"/>
    </row>
    <row r="501" spans="1:13" x14ac:dyDescent="0.2">
      <c r="A501" s="12"/>
      <c r="I501" s="12"/>
      <c r="K501" s="12"/>
      <c r="M501" s="12"/>
    </row>
    <row r="502" spans="1:13" x14ac:dyDescent="0.2">
      <c r="A502" s="12"/>
      <c r="I502" s="12"/>
      <c r="K502" s="12"/>
      <c r="M502" s="12"/>
    </row>
    <row r="503" spans="1:13" x14ac:dyDescent="0.2">
      <c r="A503" s="12"/>
      <c r="I503" s="12"/>
      <c r="K503" s="12"/>
      <c r="M503" s="12"/>
    </row>
    <row r="504" spans="1:13" x14ac:dyDescent="0.2">
      <c r="A504" s="12"/>
      <c r="I504" s="12"/>
      <c r="K504" s="12"/>
      <c r="M504" s="12"/>
    </row>
    <row r="505" spans="1:13" x14ac:dyDescent="0.2">
      <c r="A505" s="12"/>
      <c r="I505" s="12"/>
      <c r="K505" s="12"/>
      <c r="M505" s="12"/>
    </row>
    <row r="506" spans="1:13" x14ac:dyDescent="0.2">
      <c r="A506" s="12"/>
      <c r="I506" s="12"/>
      <c r="K506" s="12"/>
      <c r="M506" s="12"/>
    </row>
    <row r="507" spans="1:13" x14ac:dyDescent="0.2">
      <c r="A507" s="12"/>
      <c r="I507" s="12"/>
      <c r="K507" s="12"/>
      <c r="M507" s="12"/>
    </row>
    <row r="508" spans="1:13" x14ac:dyDescent="0.2">
      <c r="A508" s="12"/>
      <c r="I508" s="12"/>
      <c r="K508" s="12"/>
      <c r="M508" s="12"/>
    </row>
    <row r="509" spans="1:13" x14ac:dyDescent="0.2">
      <c r="A509" s="12"/>
      <c r="I509" s="12"/>
      <c r="K509" s="12"/>
      <c r="M509" s="12"/>
    </row>
    <row r="510" spans="1:13" x14ac:dyDescent="0.2">
      <c r="A510" s="12"/>
      <c r="I510" s="12"/>
      <c r="K510" s="12"/>
      <c r="M510" s="12"/>
    </row>
    <row r="511" spans="1:13" x14ac:dyDescent="0.2">
      <c r="A511" s="12"/>
      <c r="I511" s="12"/>
      <c r="K511" s="12"/>
      <c r="M511" s="12"/>
    </row>
    <row r="512" spans="1:13" x14ac:dyDescent="0.2">
      <c r="A512" s="12"/>
      <c r="I512" s="12"/>
      <c r="K512" s="12"/>
      <c r="M512" s="12"/>
    </row>
    <row r="513" spans="1:13" x14ac:dyDescent="0.2">
      <c r="A513" s="12"/>
      <c r="I513" s="12"/>
      <c r="K513" s="12"/>
      <c r="M513" s="12"/>
    </row>
    <row r="514" spans="1:13" x14ac:dyDescent="0.2">
      <c r="A514" s="12"/>
      <c r="I514" s="12"/>
      <c r="K514" s="12"/>
      <c r="M514" s="12"/>
    </row>
    <row r="515" spans="1:13" x14ac:dyDescent="0.2">
      <c r="A515" s="12"/>
      <c r="I515" s="12"/>
      <c r="K515" s="12"/>
      <c r="M515" s="12"/>
    </row>
    <row r="516" spans="1:13" x14ac:dyDescent="0.2">
      <c r="A516" s="12"/>
      <c r="I516" s="12"/>
      <c r="K516" s="12"/>
      <c r="M516" s="12"/>
    </row>
    <row r="517" spans="1:13" x14ac:dyDescent="0.2">
      <c r="A517" s="12"/>
      <c r="I517" s="12"/>
      <c r="K517" s="12"/>
      <c r="M517" s="12"/>
    </row>
    <row r="518" spans="1:13" x14ac:dyDescent="0.2">
      <c r="A518" s="12"/>
      <c r="I518" s="12"/>
      <c r="K518" s="12"/>
      <c r="M518" s="12"/>
    </row>
    <row r="519" spans="1:13" x14ac:dyDescent="0.2">
      <c r="A519" s="12"/>
      <c r="I519" s="12"/>
      <c r="K519" s="12"/>
      <c r="M519" s="12"/>
    </row>
    <row r="520" spans="1:13" x14ac:dyDescent="0.2">
      <c r="A520" s="12"/>
      <c r="I520" s="12"/>
      <c r="K520" s="12"/>
      <c r="M520" s="12"/>
    </row>
    <row r="521" spans="1:13" x14ac:dyDescent="0.2">
      <c r="A521" s="12"/>
      <c r="I521" s="12"/>
      <c r="K521" s="12"/>
      <c r="M521" s="12"/>
    </row>
    <row r="522" spans="1:13" x14ac:dyDescent="0.2">
      <c r="A522" s="12"/>
      <c r="I522" s="12"/>
      <c r="K522" s="12"/>
      <c r="M522" s="12"/>
    </row>
    <row r="523" spans="1:13" x14ac:dyDescent="0.2">
      <c r="A523" s="12"/>
      <c r="I523" s="12"/>
      <c r="K523" s="12"/>
      <c r="M523" s="12"/>
    </row>
    <row r="524" spans="1:13" x14ac:dyDescent="0.2">
      <c r="A524" s="12"/>
      <c r="I524" s="12"/>
      <c r="K524" s="12"/>
      <c r="M524" s="12"/>
    </row>
    <row r="525" spans="1:13" x14ac:dyDescent="0.2">
      <c r="A525" s="12"/>
      <c r="I525" s="12"/>
      <c r="K525" s="12"/>
      <c r="M525" s="12"/>
    </row>
    <row r="526" spans="1:13" x14ac:dyDescent="0.2">
      <c r="A526" s="12"/>
      <c r="I526" s="12"/>
      <c r="K526" s="12"/>
      <c r="M526" s="12"/>
    </row>
    <row r="527" spans="1:13" x14ac:dyDescent="0.2">
      <c r="A527" s="12"/>
      <c r="I527" s="12"/>
      <c r="K527" s="12"/>
      <c r="M527" s="12"/>
    </row>
    <row r="528" spans="1:13" x14ac:dyDescent="0.2">
      <c r="A528" s="12"/>
      <c r="I528" s="12"/>
      <c r="K528" s="12"/>
      <c r="M528" s="12"/>
    </row>
    <row r="529" spans="1:13" x14ac:dyDescent="0.2">
      <c r="A529" s="12"/>
      <c r="I529" s="12"/>
      <c r="K529" s="12"/>
      <c r="M529" s="12"/>
    </row>
    <row r="530" spans="1:13" x14ac:dyDescent="0.2">
      <c r="A530" s="12"/>
      <c r="I530" s="12"/>
      <c r="K530" s="12"/>
      <c r="M530" s="12"/>
    </row>
    <row r="531" spans="1:13" x14ac:dyDescent="0.2">
      <c r="A531" s="12"/>
      <c r="I531" s="12"/>
      <c r="K531" s="12"/>
      <c r="M531" s="12"/>
    </row>
    <row r="532" spans="1:13" x14ac:dyDescent="0.2">
      <c r="A532" s="12"/>
      <c r="I532" s="12"/>
      <c r="K532" s="12"/>
      <c r="M532" s="12"/>
    </row>
    <row r="533" spans="1:13" x14ac:dyDescent="0.2">
      <c r="A533" s="12"/>
      <c r="I533" s="12"/>
      <c r="K533" s="12"/>
      <c r="M533" s="12"/>
    </row>
    <row r="534" spans="1:13" x14ac:dyDescent="0.2">
      <c r="A534" s="12"/>
      <c r="I534" s="12"/>
      <c r="K534" s="12"/>
      <c r="M534" s="12"/>
    </row>
    <row r="535" spans="1:13" x14ac:dyDescent="0.2">
      <c r="A535" s="12"/>
      <c r="I535" s="12"/>
      <c r="K535" s="12"/>
      <c r="M535" s="12"/>
    </row>
    <row r="536" spans="1:13" x14ac:dyDescent="0.2">
      <c r="A536" s="12"/>
      <c r="I536" s="12"/>
      <c r="K536" s="12"/>
      <c r="M536" s="12"/>
    </row>
    <row r="537" spans="1:13" x14ac:dyDescent="0.2">
      <c r="A537" s="12"/>
      <c r="I537" s="12"/>
      <c r="K537" s="12"/>
      <c r="M537" s="12"/>
    </row>
    <row r="538" spans="1:13" x14ac:dyDescent="0.2">
      <c r="A538" s="12"/>
      <c r="I538" s="12"/>
      <c r="K538" s="12"/>
      <c r="M538" s="12"/>
    </row>
    <row r="539" spans="1:13" x14ac:dyDescent="0.2">
      <c r="A539" s="12"/>
      <c r="I539" s="12"/>
      <c r="K539" s="12"/>
      <c r="M539" s="12"/>
    </row>
    <row r="540" spans="1:13" x14ac:dyDescent="0.2">
      <c r="A540" s="12"/>
      <c r="I540" s="12"/>
      <c r="K540" s="12"/>
      <c r="M540" s="12"/>
    </row>
    <row r="541" spans="1:13" x14ac:dyDescent="0.2">
      <c r="A541" s="12"/>
      <c r="I541" s="12"/>
      <c r="K541" s="12"/>
      <c r="M541" s="12"/>
    </row>
    <row r="542" spans="1:13" x14ac:dyDescent="0.2">
      <c r="A542" s="12"/>
      <c r="I542" s="12"/>
      <c r="K542" s="12"/>
      <c r="M542" s="12"/>
    </row>
    <row r="543" spans="1:13" x14ac:dyDescent="0.2">
      <c r="A543" s="12"/>
      <c r="I543" s="12"/>
      <c r="K543" s="12"/>
      <c r="M543" s="12"/>
    </row>
    <row r="544" spans="1:13" x14ac:dyDescent="0.2">
      <c r="A544" s="12"/>
      <c r="I544" s="12"/>
      <c r="K544" s="12"/>
      <c r="M544" s="12"/>
    </row>
    <row r="545" spans="1:13" x14ac:dyDescent="0.2">
      <c r="A545" s="12"/>
      <c r="I545" s="12"/>
      <c r="K545" s="12"/>
      <c r="M545" s="12"/>
    </row>
    <row r="546" spans="1:13" x14ac:dyDescent="0.2">
      <c r="A546" s="12"/>
      <c r="I546" s="12"/>
      <c r="K546" s="12"/>
      <c r="M546" s="12"/>
    </row>
    <row r="547" spans="1:13" x14ac:dyDescent="0.2">
      <c r="A547" s="12"/>
      <c r="I547" s="12"/>
      <c r="K547" s="12"/>
      <c r="M547" s="12"/>
    </row>
    <row r="548" spans="1:13" x14ac:dyDescent="0.2">
      <c r="A548" s="12"/>
      <c r="I548" s="12"/>
      <c r="K548" s="12"/>
      <c r="M548" s="12"/>
    </row>
    <row r="549" spans="1:13" x14ac:dyDescent="0.2">
      <c r="A549" s="12"/>
      <c r="I549" s="12"/>
      <c r="K549" s="12"/>
      <c r="M549" s="12"/>
    </row>
    <row r="550" spans="1:13" x14ac:dyDescent="0.2">
      <c r="A550" s="12"/>
      <c r="I550" s="12"/>
      <c r="K550" s="12"/>
      <c r="M550" s="12"/>
    </row>
    <row r="551" spans="1:13" x14ac:dyDescent="0.2">
      <c r="A551" s="12"/>
      <c r="I551" s="12"/>
      <c r="K551" s="12"/>
      <c r="M551" s="12"/>
    </row>
    <row r="552" spans="1:13" x14ac:dyDescent="0.2">
      <c r="A552" s="12"/>
      <c r="I552" s="12"/>
      <c r="K552" s="12"/>
      <c r="M552" s="12"/>
    </row>
    <row r="553" spans="1:13" x14ac:dyDescent="0.2">
      <c r="A553" s="12"/>
      <c r="I553" s="12"/>
      <c r="K553" s="12"/>
      <c r="M553" s="12"/>
    </row>
    <row r="554" spans="1:13" x14ac:dyDescent="0.2">
      <c r="A554" s="12"/>
      <c r="I554" s="12"/>
      <c r="K554" s="12"/>
      <c r="M554" s="12"/>
    </row>
    <row r="555" spans="1:13" x14ac:dyDescent="0.2">
      <c r="A555" s="12"/>
      <c r="I555" s="12"/>
      <c r="K555" s="12"/>
      <c r="M555" s="12"/>
    </row>
    <row r="556" spans="1:13" x14ac:dyDescent="0.2">
      <c r="A556" s="12"/>
      <c r="I556" s="12"/>
      <c r="K556" s="12"/>
      <c r="M556" s="12"/>
    </row>
    <row r="557" spans="1:13" x14ac:dyDescent="0.2">
      <c r="A557" s="12"/>
      <c r="I557" s="12"/>
      <c r="K557" s="12"/>
      <c r="M557" s="12"/>
    </row>
    <row r="558" spans="1:13" x14ac:dyDescent="0.2">
      <c r="A558" s="12"/>
      <c r="I558" s="12"/>
      <c r="K558" s="12"/>
      <c r="M558" s="12"/>
    </row>
    <row r="559" spans="1:13" x14ac:dyDescent="0.2">
      <c r="A559" s="12"/>
      <c r="I559" s="12"/>
      <c r="K559" s="12"/>
      <c r="M559" s="12"/>
    </row>
    <row r="560" spans="1:13" x14ac:dyDescent="0.2">
      <c r="A560" s="12"/>
      <c r="I560" s="12"/>
      <c r="K560" s="12"/>
      <c r="M560" s="12"/>
    </row>
    <row r="561" spans="1:13" x14ac:dyDescent="0.2">
      <c r="A561" s="12"/>
      <c r="I561" s="12"/>
      <c r="K561" s="12"/>
      <c r="M561" s="12"/>
    </row>
    <row r="562" spans="1:13" x14ac:dyDescent="0.2">
      <c r="A562" s="12"/>
      <c r="I562" s="12"/>
      <c r="K562" s="12"/>
      <c r="M562" s="12"/>
    </row>
    <row r="563" spans="1:13" x14ac:dyDescent="0.2">
      <c r="A563" s="12"/>
      <c r="I563" s="12"/>
      <c r="K563" s="12"/>
      <c r="M563" s="12"/>
    </row>
    <row r="564" spans="1:13" x14ac:dyDescent="0.2">
      <c r="A564" s="12"/>
      <c r="I564" s="12"/>
      <c r="K564" s="12"/>
      <c r="M564" s="12"/>
    </row>
    <row r="565" spans="1:13" x14ac:dyDescent="0.2">
      <c r="A565" s="12"/>
      <c r="I565" s="12"/>
      <c r="K565" s="12"/>
      <c r="M565" s="12"/>
    </row>
    <row r="566" spans="1:13" x14ac:dyDescent="0.2">
      <c r="A566" s="12"/>
      <c r="I566" s="12"/>
      <c r="K566" s="12"/>
      <c r="M566" s="12"/>
    </row>
    <row r="567" spans="1:13" x14ac:dyDescent="0.2">
      <c r="A567" s="12"/>
      <c r="I567" s="12"/>
      <c r="K567" s="12"/>
      <c r="M567" s="12"/>
    </row>
    <row r="568" spans="1:13" x14ac:dyDescent="0.2">
      <c r="A568" s="12"/>
      <c r="I568" s="12"/>
      <c r="K568" s="12"/>
      <c r="M568" s="12"/>
    </row>
    <row r="569" spans="1:13" x14ac:dyDescent="0.2">
      <c r="A569" s="12"/>
      <c r="I569" s="12"/>
      <c r="K569" s="12"/>
      <c r="M569" s="12"/>
    </row>
    <row r="570" spans="1:13" x14ac:dyDescent="0.2">
      <c r="A570" s="12"/>
      <c r="I570" s="12"/>
      <c r="K570" s="12"/>
      <c r="M570" s="12"/>
    </row>
    <row r="571" spans="1:13" x14ac:dyDescent="0.2">
      <c r="A571" s="12"/>
      <c r="I571" s="12"/>
      <c r="K571" s="12"/>
      <c r="M571" s="12"/>
    </row>
    <row r="572" spans="1:13" x14ac:dyDescent="0.2">
      <c r="A572" s="12"/>
      <c r="I572" s="12"/>
      <c r="K572" s="12"/>
      <c r="M572" s="12"/>
    </row>
    <row r="573" spans="1:13" x14ac:dyDescent="0.2">
      <c r="A573" s="12"/>
      <c r="I573" s="12"/>
      <c r="K573" s="12"/>
      <c r="M573" s="12"/>
    </row>
    <row r="574" spans="1:13" x14ac:dyDescent="0.2">
      <c r="A574" s="12"/>
      <c r="I574" s="12"/>
      <c r="K574" s="12"/>
      <c r="M574" s="12"/>
    </row>
    <row r="575" spans="1:13" x14ac:dyDescent="0.2">
      <c r="A575" s="12"/>
      <c r="I575" s="12"/>
      <c r="K575" s="12"/>
      <c r="M575" s="12"/>
    </row>
    <row r="576" spans="1:13" x14ac:dyDescent="0.2">
      <c r="A576" s="12"/>
      <c r="I576" s="12"/>
      <c r="K576" s="12"/>
      <c r="M576" s="12"/>
    </row>
    <row r="577" spans="1:13" x14ac:dyDescent="0.2">
      <c r="A577" s="12"/>
      <c r="I577" s="12"/>
      <c r="K577" s="12"/>
      <c r="M577" s="12"/>
    </row>
    <row r="578" spans="1:13" x14ac:dyDescent="0.2">
      <c r="A578" s="12"/>
      <c r="I578" s="12"/>
      <c r="K578" s="12"/>
      <c r="M578" s="12"/>
    </row>
    <row r="579" spans="1:13" x14ac:dyDescent="0.2">
      <c r="A579" s="12"/>
      <c r="I579" s="12"/>
      <c r="K579" s="12"/>
      <c r="M579" s="12"/>
    </row>
    <row r="580" spans="1:13" x14ac:dyDescent="0.2">
      <c r="A580" s="12"/>
      <c r="I580" s="12"/>
      <c r="K580" s="12"/>
      <c r="M580" s="12"/>
    </row>
    <row r="581" spans="1:13" x14ac:dyDescent="0.2">
      <c r="A581" s="12"/>
      <c r="I581" s="12"/>
      <c r="K581" s="12"/>
      <c r="M581" s="12"/>
    </row>
    <row r="582" spans="1:13" x14ac:dyDescent="0.2">
      <c r="A582" s="12"/>
      <c r="I582" s="12"/>
      <c r="K582" s="12"/>
      <c r="M582" s="12"/>
    </row>
    <row r="583" spans="1:13" x14ac:dyDescent="0.2">
      <c r="A583" s="12"/>
      <c r="I583" s="12"/>
      <c r="K583" s="12"/>
      <c r="M583" s="12"/>
    </row>
    <row r="584" spans="1:13" x14ac:dyDescent="0.2">
      <c r="A584" s="12"/>
      <c r="I584" s="12"/>
      <c r="K584" s="12"/>
      <c r="M584" s="12"/>
    </row>
    <row r="585" spans="1:13" x14ac:dyDescent="0.2">
      <c r="A585" s="12"/>
      <c r="I585" s="12"/>
      <c r="K585" s="12"/>
      <c r="M585" s="12"/>
    </row>
    <row r="586" spans="1:13" x14ac:dyDescent="0.2">
      <c r="A586" s="12"/>
      <c r="I586" s="12"/>
      <c r="K586" s="12"/>
      <c r="M586" s="12"/>
    </row>
    <row r="587" spans="1:13" x14ac:dyDescent="0.2">
      <c r="A587" s="12"/>
      <c r="I587" s="12"/>
      <c r="K587" s="12"/>
      <c r="M587" s="12"/>
    </row>
    <row r="588" spans="1:13" x14ac:dyDescent="0.2">
      <c r="A588" s="12"/>
      <c r="I588" s="12"/>
      <c r="K588" s="12"/>
      <c r="M588" s="12"/>
    </row>
    <row r="589" spans="1:13" x14ac:dyDescent="0.2">
      <c r="A589" s="12"/>
      <c r="I589" s="12"/>
      <c r="K589" s="12"/>
      <c r="M589" s="12"/>
    </row>
    <row r="590" spans="1:13" x14ac:dyDescent="0.2">
      <c r="A590" s="12"/>
      <c r="I590" s="12"/>
      <c r="K590" s="12"/>
      <c r="M590" s="12"/>
    </row>
    <row r="591" spans="1:13" x14ac:dyDescent="0.2">
      <c r="A591" s="12"/>
      <c r="I591" s="12"/>
      <c r="K591" s="12"/>
      <c r="M591" s="12"/>
    </row>
    <row r="592" spans="1:13" x14ac:dyDescent="0.2">
      <c r="A592" s="12"/>
      <c r="I592" s="12"/>
      <c r="K592" s="12"/>
      <c r="M592" s="12"/>
    </row>
    <row r="593" spans="1:13" x14ac:dyDescent="0.2">
      <c r="A593" s="12"/>
      <c r="I593" s="12"/>
      <c r="K593" s="12"/>
      <c r="M593" s="12"/>
    </row>
    <row r="594" spans="1:13" x14ac:dyDescent="0.2">
      <c r="A594" s="12"/>
      <c r="I594" s="12"/>
      <c r="K594" s="12"/>
      <c r="M594" s="12"/>
    </row>
    <row r="595" spans="1:13" x14ac:dyDescent="0.2">
      <c r="A595" s="12"/>
      <c r="I595" s="12"/>
      <c r="K595" s="12"/>
      <c r="M595" s="12"/>
    </row>
    <row r="596" spans="1:13" x14ac:dyDescent="0.2">
      <c r="A596" s="12"/>
      <c r="I596" s="12"/>
      <c r="K596" s="12"/>
      <c r="M596" s="12"/>
    </row>
    <row r="597" spans="1:13" x14ac:dyDescent="0.2">
      <c r="A597" s="12"/>
      <c r="I597" s="12"/>
      <c r="K597" s="12"/>
      <c r="M597" s="12"/>
    </row>
    <row r="598" spans="1:13" x14ac:dyDescent="0.2">
      <c r="A598" s="12"/>
      <c r="I598" s="12"/>
      <c r="K598" s="12"/>
      <c r="M598" s="12"/>
    </row>
    <row r="599" spans="1:13" x14ac:dyDescent="0.2">
      <c r="A599" s="12"/>
      <c r="I599" s="12"/>
      <c r="K599" s="12"/>
      <c r="M599" s="12"/>
    </row>
    <row r="600" spans="1:13" x14ac:dyDescent="0.2">
      <c r="A600" s="12"/>
      <c r="I600" s="12"/>
      <c r="K600" s="12"/>
      <c r="M600" s="12"/>
    </row>
    <row r="601" spans="1:13" x14ac:dyDescent="0.2">
      <c r="A601" s="12"/>
      <c r="I601" s="12"/>
      <c r="K601" s="12"/>
      <c r="M601" s="12"/>
    </row>
    <row r="602" spans="1:13" x14ac:dyDescent="0.2">
      <c r="A602" s="12"/>
      <c r="I602" s="12"/>
      <c r="K602" s="12"/>
      <c r="M602" s="12"/>
    </row>
    <row r="603" spans="1:13" x14ac:dyDescent="0.2">
      <c r="A603" s="12"/>
      <c r="I603" s="12"/>
      <c r="K603" s="12"/>
      <c r="M603" s="12"/>
    </row>
    <row r="604" spans="1:13" x14ac:dyDescent="0.2">
      <c r="A604" s="12"/>
      <c r="I604" s="12"/>
      <c r="K604" s="12"/>
      <c r="M604" s="12"/>
    </row>
    <row r="605" spans="1:13" x14ac:dyDescent="0.2">
      <c r="A605" s="12"/>
      <c r="I605" s="12"/>
      <c r="K605" s="12"/>
      <c r="M605" s="12"/>
    </row>
    <row r="606" spans="1:13" x14ac:dyDescent="0.2">
      <c r="A606" s="12"/>
      <c r="I606" s="12"/>
      <c r="K606" s="12"/>
      <c r="M606" s="12"/>
    </row>
    <row r="607" spans="1:13" x14ac:dyDescent="0.2">
      <c r="A607" s="12"/>
      <c r="I607" s="12"/>
      <c r="K607" s="12"/>
      <c r="M607" s="12"/>
    </row>
    <row r="608" spans="1:13" x14ac:dyDescent="0.2">
      <c r="A608" s="12"/>
      <c r="I608" s="12"/>
      <c r="K608" s="12"/>
      <c r="M608" s="12"/>
    </row>
    <row r="609" spans="1:13" x14ac:dyDescent="0.2">
      <c r="A609" s="12"/>
      <c r="I609" s="12"/>
      <c r="K609" s="12"/>
      <c r="M609" s="12"/>
    </row>
    <row r="610" spans="1:13" x14ac:dyDescent="0.2">
      <c r="A610" s="12"/>
      <c r="I610" s="12"/>
      <c r="K610" s="12"/>
      <c r="M610" s="12"/>
    </row>
    <row r="611" spans="1:13" x14ac:dyDescent="0.2">
      <c r="A611" s="12"/>
      <c r="I611" s="12"/>
      <c r="K611" s="12"/>
      <c r="M611" s="12"/>
    </row>
    <row r="612" spans="1:13" x14ac:dyDescent="0.2">
      <c r="A612" s="12"/>
      <c r="I612" s="12"/>
      <c r="K612" s="12"/>
      <c r="M612" s="12"/>
    </row>
    <row r="613" spans="1:13" x14ac:dyDescent="0.2">
      <c r="A613" s="12"/>
      <c r="I613" s="12"/>
      <c r="K613" s="12"/>
      <c r="M613" s="12"/>
    </row>
    <row r="614" spans="1:13" x14ac:dyDescent="0.2">
      <c r="A614" s="12"/>
      <c r="I614" s="12"/>
      <c r="K614" s="12"/>
      <c r="M614" s="12"/>
    </row>
    <row r="615" spans="1:13" x14ac:dyDescent="0.2">
      <c r="A615" s="12"/>
      <c r="I615" s="12"/>
      <c r="K615" s="12"/>
      <c r="M615" s="12"/>
    </row>
    <row r="616" spans="1:13" x14ac:dyDescent="0.2">
      <c r="A616" s="12"/>
      <c r="I616" s="12"/>
      <c r="K616" s="12"/>
      <c r="M616" s="12"/>
    </row>
    <row r="617" spans="1:13" x14ac:dyDescent="0.2">
      <c r="A617" s="12"/>
      <c r="I617" s="12"/>
      <c r="K617" s="12"/>
      <c r="M617" s="12"/>
    </row>
    <row r="618" spans="1:13" x14ac:dyDescent="0.2">
      <c r="A618" s="12"/>
      <c r="I618" s="12"/>
      <c r="K618" s="12"/>
      <c r="M618" s="12"/>
    </row>
    <row r="619" spans="1:13" x14ac:dyDescent="0.2">
      <c r="A619" s="12"/>
      <c r="I619" s="12"/>
      <c r="K619" s="12"/>
      <c r="M619" s="12"/>
    </row>
    <row r="620" spans="1:13" x14ac:dyDescent="0.2">
      <c r="A620" s="12"/>
      <c r="I620" s="12"/>
      <c r="K620" s="12"/>
      <c r="M620" s="12"/>
    </row>
    <row r="621" spans="1:13" x14ac:dyDescent="0.2">
      <c r="A621" s="12"/>
      <c r="I621" s="12"/>
      <c r="K621" s="12"/>
      <c r="M621" s="12"/>
    </row>
    <row r="622" spans="1:13" x14ac:dyDescent="0.2">
      <c r="A622" s="12"/>
      <c r="I622" s="12"/>
      <c r="K622" s="12"/>
      <c r="M622" s="12"/>
    </row>
    <row r="623" spans="1:13" x14ac:dyDescent="0.2">
      <c r="A623" s="12"/>
      <c r="I623" s="12"/>
      <c r="K623" s="12"/>
      <c r="M623" s="12"/>
    </row>
    <row r="624" spans="1:13" x14ac:dyDescent="0.2">
      <c r="A624" s="12"/>
      <c r="I624" s="12"/>
      <c r="K624" s="12"/>
      <c r="M624" s="12"/>
    </row>
    <row r="625" spans="1:13" x14ac:dyDescent="0.2">
      <c r="A625" s="12"/>
      <c r="I625" s="12"/>
      <c r="K625" s="12"/>
      <c r="M625" s="12"/>
    </row>
    <row r="626" spans="1:13" x14ac:dyDescent="0.2">
      <c r="A626" s="12"/>
      <c r="I626" s="12"/>
      <c r="K626" s="12"/>
      <c r="M626" s="12"/>
    </row>
    <row r="627" spans="1:13" x14ac:dyDescent="0.2">
      <c r="A627" s="12"/>
      <c r="I627" s="12"/>
      <c r="K627" s="12"/>
      <c r="M627" s="12"/>
    </row>
    <row r="628" spans="1:13" x14ac:dyDescent="0.2">
      <c r="A628" s="12"/>
      <c r="I628" s="12"/>
      <c r="K628" s="12"/>
      <c r="M628" s="12"/>
    </row>
    <row r="629" spans="1:13" x14ac:dyDescent="0.2">
      <c r="A629" s="12"/>
      <c r="I629" s="12"/>
      <c r="K629" s="12"/>
      <c r="M629" s="12"/>
    </row>
    <row r="630" spans="1:13" x14ac:dyDescent="0.2">
      <c r="A630" s="12"/>
      <c r="I630" s="12"/>
      <c r="K630" s="12"/>
      <c r="M630" s="12"/>
    </row>
    <row r="631" spans="1:13" x14ac:dyDescent="0.2">
      <c r="A631" s="12"/>
      <c r="I631" s="12"/>
      <c r="K631" s="12"/>
      <c r="M631" s="12"/>
    </row>
    <row r="632" spans="1:13" x14ac:dyDescent="0.2">
      <c r="A632" s="12"/>
      <c r="I632" s="12"/>
      <c r="K632" s="12"/>
      <c r="M632" s="12"/>
    </row>
    <row r="633" spans="1:13" x14ac:dyDescent="0.2">
      <c r="A633" s="12"/>
      <c r="I633" s="12"/>
      <c r="K633" s="12"/>
      <c r="M633" s="12"/>
    </row>
    <row r="634" spans="1:13" x14ac:dyDescent="0.2">
      <c r="A634" s="12"/>
      <c r="I634" s="12"/>
      <c r="K634" s="12"/>
      <c r="M634" s="12"/>
    </row>
    <row r="635" spans="1:13" x14ac:dyDescent="0.2">
      <c r="A635" s="12"/>
      <c r="I635" s="12"/>
      <c r="K635" s="12"/>
      <c r="M635" s="12"/>
    </row>
    <row r="636" spans="1:13" x14ac:dyDescent="0.2">
      <c r="A636" s="12"/>
      <c r="I636" s="12"/>
      <c r="K636" s="12"/>
      <c r="M636" s="12"/>
    </row>
    <row r="637" spans="1:13" x14ac:dyDescent="0.2">
      <c r="A637" s="12"/>
      <c r="I637" s="12"/>
      <c r="K637" s="12"/>
      <c r="M637" s="12"/>
    </row>
    <row r="638" spans="1:13" x14ac:dyDescent="0.2">
      <c r="A638" s="12"/>
      <c r="I638" s="12"/>
      <c r="K638" s="12"/>
      <c r="M638" s="12"/>
    </row>
    <row r="639" spans="1:13" x14ac:dyDescent="0.2">
      <c r="A639" s="12"/>
      <c r="I639" s="12"/>
      <c r="K639" s="12"/>
      <c r="M639" s="12"/>
    </row>
    <row r="640" spans="1:13" x14ac:dyDescent="0.2">
      <c r="A640" s="12"/>
      <c r="I640" s="12"/>
      <c r="K640" s="12"/>
      <c r="M640" s="12"/>
    </row>
    <row r="641" spans="1:13" x14ac:dyDescent="0.2">
      <c r="A641" s="12"/>
      <c r="I641" s="12"/>
      <c r="K641" s="12"/>
      <c r="M641" s="12"/>
    </row>
    <row r="642" spans="1:13" x14ac:dyDescent="0.2">
      <c r="A642" s="12"/>
      <c r="I642" s="12"/>
      <c r="K642" s="12"/>
      <c r="M642" s="12"/>
    </row>
    <row r="643" spans="1:13" x14ac:dyDescent="0.2">
      <c r="A643" s="12"/>
      <c r="I643" s="12"/>
      <c r="K643" s="12"/>
      <c r="M643" s="12"/>
    </row>
    <row r="644" spans="1:13" x14ac:dyDescent="0.2">
      <c r="A644" s="12"/>
      <c r="I644" s="12"/>
      <c r="K644" s="12"/>
      <c r="M644" s="12"/>
    </row>
    <row r="645" spans="1:13" x14ac:dyDescent="0.2">
      <c r="A645" s="12"/>
      <c r="I645" s="12"/>
      <c r="K645" s="12"/>
      <c r="M645" s="12"/>
    </row>
    <row r="646" spans="1:13" x14ac:dyDescent="0.2">
      <c r="A646" s="12"/>
      <c r="I646" s="12"/>
      <c r="K646" s="12"/>
      <c r="M646" s="12"/>
    </row>
    <row r="647" spans="1:13" x14ac:dyDescent="0.2">
      <c r="A647" s="12"/>
      <c r="I647" s="12"/>
      <c r="K647" s="12"/>
      <c r="M647" s="12"/>
    </row>
    <row r="648" spans="1:13" x14ac:dyDescent="0.2">
      <c r="A648" s="12"/>
      <c r="I648" s="12"/>
      <c r="K648" s="12"/>
      <c r="M648" s="12"/>
    </row>
    <row r="649" spans="1:13" x14ac:dyDescent="0.2">
      <c r="A649" s="12"/>
      <c r="I649" s="12"/>
      <c r="K649" s="12"/>
      <c r="M649" s="12"/>
    </row>
    <row r="650" spans="1:13" x14ac:dyDescent="0.2">
      <c r="A650" s="12"/>
      <c r="I650" s="12"/>
      <c r="K650" s="12"/>
      <c r="M650" s="12"/>
    </row>
    <row r="651" spans="1:13" x14ac:dyDescent="0.2">
      <c r="A651" s="12"/>
      <c r="I651" s="12"/>
      <c r="K651" s="12"/>
      <c r="M651" s="12"/>
    </row>
    <row r="652" spans="1:13" x14ac:dyDescent="0.2">
      <c r="A652" s="12"/>
      <c r="I652" s="12"/>
      <c r="K652" s="12"/>
      <c r="M652" s="12"/>
    </row>
    <row r="653" spans="1:13" x14ac:dyDescent="0.2">
      <c r="A653" s="12"/>
      <c r="I653" s="12"/>
      <c r="K653" s="12"/>
      <c r="M653" s="12"/>
    </row>
    <row r="654" spans="1:13" x14ac:dyDescent="0.2">
      <c r="A654" s="12"/>
      <c r="I654" s="12"/>
      <c r="K654" s="12"/>
      <c r="M654" s="12"/>
    </row>
    <row r="655" spans="1:13" x14ac:dyDescent="0.2">
      <c r="A655" s="12"/>
      <c r="I655" s="12"/>
      <c r="K655" s="12"/>
      <c r="M655" s="12"/>
    </row>
    <row r="656" spans="1:13" x14ac:dyDescent="0.2">
      <c r="A656" s="12"/>
      <c r="I656" s="12"/>
      <c r="K656" s="12"/>
      <c r="M656" s="12"/>
    </row>
    <row r="657" spans="1:13" x14ac:dyDescent="0.2">
      <c r="A657" s="12"/>
      <c r="I657" s="12"/>
      <c r="K657" s="12"/>
      <c r="M657" s="12"/>
    </row>
    <row r="658" spans="1:13" x14ac:dyDescent="0.2">
      <c r="A658" s="12"/>
      <c r="I658" s="12"/>
      <c r="K658" s="12"/>
      <c r="M658" s="12"/>
    </row>
    <row r="659" spans="1:13" x14ac:dyDescent="0.2">
      <c r="A659" s="12"/>
      <c r="I659" s="12"/>
      <c r="K659" s="12"/>
      <c r="M659" s="12"/>
    </row>
    <row r="660" spans="1:13" x14ac:dyDescent="0.2">
      <c r="A660" s="12"/>
      <c r="I660" s="12"/>
      <c r="K660" s="12"/>
      <c r="M660" s="12"/>
    </row>
    <row r="661" spans="1:13" x14ac:dyDescent="0.2">
      <c r="A661" s="12"/>
      <c r="I661" s="12"/>
      <c r="K661" s="12"/>
      <c r="M661" s="12"/>
    </row>
    <row r="662" spans="1:13" x14ac:dyDescent="0.2">
      <c r="A662" s="12"/>
      <c r="I662" s="12"/>
      <c r="K662" s="12"/>
      <c r="M662" s="12"/>
    </row>
    <row r="663" spans="1:13" x14ac:dyDescent="0.2">
      <c r="A663" s="12"/>
      <c r="I663" s="12"/>
      <c r="K663" s="12"/>
      <c r="M663" s="12"/>
    </row>
    <row r="664" spans="1:13" x14ac:dyDescent="0.2">
      <c r="A664" s="12"/>
      <c r="I664" s="12"/>
      <c r="K664" s="12"/>
      <c r="M664" s="12"/>
    </row>
    <row r="665" spans="1:13" x14ac:dyDescent="0.2">
      <c r="A665" s="12"/>
      <c r="I665" s="12"/>
      <c r="K665" s="12"/>
      <c r="M665" s="12"/>
    </row>
    <row r="666" spans="1:13" x14ac:dyDescent="0.2">
      <c r="A666" s="12"/>
      <c r="I666" s="12"/>
      <c r="K666" s="12"/>
      <c r="M666" s="12"/>
    </row>
    <row r="667" spans="1:13" x14ac:dyDescent="0.2">
      <c r="A667" s="12"/>
      <c r="I667" s="12"/>
      <c r="K667" s="12"/>
      <c r="M667" s="12"/>
    </row>
    <row r="668" spans="1:13" x14ac:dyDescent="0.2">
      <c r="A668" s="12"/>
      <c r="I668" s="12"/>
      <c r="K668" s="12"/>
      <c r="M668" s="12"/>
    </row>
    <row r="669" spans="1:13" x14ac:dyDescent="0.2">
      <c r="A669" s="12"/>
      <c r="I669" s="12"/>
      <c r="K669" s="12"/>
      <c r="M669" s="12"/>
    </row>
    <row r="670" spans="1:13" x14ac:dyDescent="0.2">
      <c r="A670" s="12"/>
      <c r="I670" s="12"/>
      <c r="K670" s="12"/>
      <c r="M670" s="12"/>
    </row>
    <row r="671" spans="1:13" x14ac:dyDescent="0.2">
      <c r="A671" s="12"/>
      <c r="I671" s="12"/>
      <c r="K671" s="12"/>
      <c r="M671" s="12"/>
    </row>
    <row r="672" spans="1:13" x14ac:dyDescent="0.2">
      <c r="A672" s="12"/>
      <c r="I672" s="12"/>
      <c r="K672" s="12"/>
      <c r="M672" s="12"/>
    </row>
    <row r="673" spans="1:13" x14ac:dyDescent="0.2">
      <c r="A673" s="12"/>
      <c r="I673" s="12"/>
      <c r="K673" s="12"/>
      <c r="M673" s="12"/>
    </row>
    <row r="674" spans="1:13" x14ac:dyDescent="0.2">
      <c r="A674" s="12"/>
      <c r="I674" s="12"/>
      <c r="K674" s="12"/>
      <c r="M674" s="12"/>
    </row>
    <row r="675" spans="1:13" x14ac:dyDescent="0.2">
      <c r="A675" s="12"/>
      <c r="I675" s="12"/>
      <c r="K675" s="12"/>
      <c r="M675" s="12"/>
    </row>
    <row r="676" spans="1:13" x14ac:dyDescent="0.2">
      <c r="A676" s="12"/>
      <c r="I676" s="12"/>
      <c r="K676" s="12"/>
      <c r="M676" s="12"/>
    </row>
    <row r="677" spans="1:13" x14ac:dyDescent="0.2">
      <c r="A677" s="12"/>
      <c r="I677" s="12"/>
      <c r="K677" s="12"/>
      <c r="M677" s="12"/>
    </row>
    <row r="678" spans="1:13" x14ac:dyDescent="0.2">
      <c r="A678" s="12"/>
      <c r="I678" s="12"/>
      <c r="K678" s="12"/>
      <c r="M678" s="12"/>
    </row>
    <row r="679" spans="1:13" x14ac:dyDescent="0.2">
      <c r="A679" s="12"/>
      <c r="I679" s="12"/>
      <c r="K679" s="12"/>
      <c r="M679" s="12"/>
    </row>
    <row r="680" spans="1:13" x14ac:dyDescent="0.2">
      <c r="A680" s="12"/>
      <c r="I680" s="12"/>
      <c r="K680" s="12"/>
      <c r="M680" s="12"/>
    </row>
    <row r="681" spans="1:13" x14ac:dyDescent="0.2">
      <c r="A681" s="12"/>
      <c r="I681" s="12"/>
      <c r="K681" s="12"/>
      <c r="M681" s="12"/>
    </row>
    <row r="682" spans="1:13" x14ac:dyDescent="0.2">
      <c r="A682" s="12"/>
      <c r="I682" s="12"/>
      <c r="K682" s="12"/>
      <c r="M682" s="12"/>
    </row>
    <row r="683" spans="1:13" x14ac:dyDescent="0.2">
      <c r="A683" s="12"/>
      <c r="I683" s="12"/>
      <c r="K683" s="12"/>
      <c r="M683" s="12"/>
    </row>
    <row r="684" spans="1:13" x14ac:dyDescent="0.2">
      <c r="A684" s="12"/>
      <c r="I684" s="12"/>
      <c r="K684" s="12"/>
      <c r="M684" s="12"/>
    </row>
    <row r="685" spans="1:13" x14ac:dyDescent="0.2">
      <c r="A685" s="12"/>
      <c r="I685" s="12"/>
      <c r="K685" s="12"/>
      <c r="M685" s="12"/>
    </row>
    <row r="686" spans="1:13" x14ac:dyDescent="0.2">
      <c r="A686" s="12"/>
      <c r="I686" s="12"/>
      <c r="K686" s="12"/>
      <c r="M686" s="12"/>
    </row>
    <row r="687" spans="1:13" x14ac:dyDescent="0.2">
      <c r="A687" s="12"/>
      <c r="I687" s="12"/>
      <c r="K687" s="12"/>
      <c r="M687" s="12"/>
    </row>
    <row r="688" spans="1:13" x14ac:dyDescent="0.2">
      <c r="A688" s="12"/>
      <c r="I688" s="12"/>
      <c r="K688" s="12"/>
      <c r="M688" s="12"/>
    </row>
    <row r="689" spans="1:13" x14ac:dyDescent="0.2">
      <c r="A689" s="12"/>
      <c r="I689" s="12"/>
      <c r="K689" s="12"/>
      <c r="M689" s="12"/>
    </row>
    <row r="690" spans="1:13" x14ac:dyDescent="0.2">
      <c r="A690" s="12"/>
      <c r="I690" s="12"/>
      <c r="K690" s="12"/>
      <c r="M690" s="12"/>
    </row>
    <row r="691" spans="1:13" x14ac:dyDescent="0.2">
      <c r="A691" s="12"/>
      <c r="I691" s="12"/>
      <c r="K691" s="12"/>
      <c r="M691" s="12"/>
    </row>
    <row r="692" spans="1:13" x14ac:dyDescent="0.2">
      <c r="A692" s="12"/>
      <c r="I692" s="12"/>
      <c r="K692" s="12"/>
      <c r="M692" s="12"/>
    </row>
    <row r="693" spans="1:13" x14ac:dyDescent="0.2">
      <c r="A693" s="12"/>
      <c r="I693" s="12"/>
      <c r="K693" s="12"/>
      <c r="M693" s="12"/>
    </row>
    <row r="694" spans="1:13" x14ac:dyDescent="0.2">
      <c r="A694" s="12"/>
      <c r="I694" s="12"/>
      <c r="K694" s="12"/>
      <c r="M694" s="12"/>
    </row>
    <row r="695" spans="1:13" x14ac:dyDescent="0.2">
      <c r="A695" s="12"/>
      <c r="I695" s="12"/>
      <c r="K695" s="12"/>
      <c r="M695" s="12"/>
    </row>
    <row r="696" spans="1:13" x14ac:dyDescent="0.2">
      <c r="A696" s="12"/>
      <c r="I696" s="12"/>
      <c r="K696" s="12"/>
      <c r="M696" s="12"/>
    </row>
    <row r="697" spans="1:13" x14ac:dyDescent="0.2">
      <c r="A697" s="12"/>
      <c r="I697" s="12"/>
      <c r="K697" s="12"/>
      <c r="M697" s="12"/>
    </row>
    <row r="698" spans="1:13" x14ac:dyDescent="0.2">
      <c r="A698" s="12"/>
      <c r="I698" s="12"/>
      <c r="K698" s="12"/>
      <c r="M698" s="12"/>
    </row>
    <row r="699" spans="1:13" x14ac:dyDescent="0.2">
      <c r="A699" s="12"/>
      <c r="I699" s="12"/>
      <c r="K699" s="12"/>
      <c r="M699" s="12"/>
    </row>
    <row r="700" spans="1:13" x14ac:dyDescent="0.2">
      <c r="A700" s="12"/>
      <c r="I700" s="12"/>
      <c r="K700" s="12"/>
      <c r="M700" s="12"/>
    </row>
    <row r="701" spans="1:13" x14ac:dyDescent="0.2">
      <c r="A701" s="12"/>
      <c r="I701" s="12"/>
      <c r="K701" s="12"/>
      <c r="M701" s="12"/>
    </row>
    <row r="702" spans="1:13" x14ac:dyDescent="0.2">
      <c r="A702" s="12"/>
      <c r="I702" s="12"/>
      <c r="K702" s="12"/>
      <c r="M702" s="12"/>
    </row>
    <row r="703" spans="1:13" x14ac:dyDescent="0.2">
      <c r="A703" s="12"/>
      <c r="I703" s="12"/>
      <c r="K703" s="12"/>
      <c r="M703" s="12"/>
    </row>
    <row r="704" spans="1:13" x14ac:dyDescent="0.2">
      <c r="A704" s="12"/>
      <c r="I704" s="12"/>
      <c r="K704" s="12"/>
      <c r="M704" s="12"/>
    </row>
    <row r="705" spans="1:13" x14ac:dyDescent="0.2">
      <c r="A705" s="12"/>
      <c r="I705" s="12"/>
      <c r="K705" s="12"/>
      <c r="M705" s="12"/>
    </row>
    <row r="706" spans="1:13" x14ac:dyDescent="0.2">
      <c r="A706" s="12"/>
      <c r="I706" s="12"/>
      <c r="K706" s="12"/>
      <c r="M706" s="12"/>
    </row>
    <row r="707" spans="1:13" x14ac:dyDescent="0.2">
      <c r="A707" s="12"/>
      <c r="I707" s="12"/>
      <c r="K707" s="12"/>
      <c r="M707" s="12"/>
    </row>
    <row r="708" spans="1:13" x14ac:dyDescent="0.2">
      <c r="A708" s="12"/>
      <c r="I708" s="12"/>
      <c r="K708" s="12"/>
      <c r="M708" s="12"/>
    </row>
    <row r="709" spans="1:13" x14ac:dyDescent="0.2">
      <c r="A709" s="12"/>
      <c r="I709" s="12"/>
      <c r="K709" s="12"/>
      <c r="M709" s="12"/>
    </row>
    <row r="710" spans="1:13" x14ac:dyDescent="0.2">
      <c r="A710" s="12"/>
      <c r="I710" s="12"/>
      <c r="K710" s="12"/>
      <c r="M710" s="12"/>
    </row>
    <row r="711" spans="1:13" x14ac:dyDescent="0.2">
      <c r="A711" s="12"/>
      <c r="I711" s="12"/>
      <c r="K711" s="12"/>
      <c r="M711" s="12"/>
    </row>
    <row r="712" spans="1:13" x14ac:dyDescent="0.2">
      <c r="A712" s="12"/>
      <c r="I712" s="12"/>
      <c r="K712" s="12"/>
      <c r="M712" s="12"/>
    </row>
    <row r="713" spans="1:13" x14ac:dyDescent="0.2">
      <c r="A713" s="12"/>
      <c r="I713" s="12"/>
      <c r="K713" s="12"/>
      <c r="M713" s="12"/>
    </row>
    <row r="714" spans="1:13" x14ac:dyDescent="0.2">
      <c r="A714" s="12"/>
      <c r="I714" s="12"/>
      <c r="K714" s="12"/>
      <c r="M714" s="12"/>
    </row>
    <row r="715" spans="1:13" x14ac:dyDescent="0.2">
      <c r="A715" s="12"/>
      <c r="I715" s="12"/>
      <c r="K715" s="12"/>
      <c r="M715" s="12"/>
    </row>
    <row r="716" spans="1:13" x14ac:dyDescent="0.2">
      <c r="A716" s="12"/>
      <c r="I716" s="12"/>
      <c r="K716" s="12"/>
      <c r="M716" s="12"/>
    </row>
    <row r="717" spans="1:13" x14ac:dyDescent="0.2">
      <c r="A717" s="12"/>
      <c r="I717" s="12"/>
      <c r="K717" s="12"/>
      <c r="M717" s="12"/>
    </row>
    <row r="718" spans="1:13" x14ac:dyDescent="0.2">
      <c r="A718" s="12"/>
      <c r="I718" s="12"/>
      <c r="K718" s="12"/>
      <c r="M718" s="12"/>
    </row>
    <row r="719" spans="1:13" x14ac:dyDescent="0.2">
      <c r="A719" s="12"/>
      <c r="I719" s="12"/>
      <c r="K719" s="12"/>
      <c r="M719" s="12"/>
    </row>
    <row r="720" spans="1:13" x14ac:dyDescent="0.2">
      <c r="A720" s="12"/>
      <c r="I720" s="12"/>
      <c r="K720" s="12"/>
      <c r="M720" s="12"/>
    </row>
    <row r="721" spans="1:13" x14ac:dyDescent="0.2">
      <c r="A721" s="12"/>
      <c r="I721" s="12"/>
      <c r="K721" s="12"/>
      <c r="M721" s="12"/>
    </row>
    <row r="722" spans="1:13" x14ac:dyDescent="0.2">
      <c r="A722" s="12"/>
      <c r="I722" s="12"/>
      <c r="K722" s="12"/>
      <c r="M722" s="12"/>
    </row>
    <row r="723" spans="1:13" x14ac:dyDescent="0.2">
      <c r="A723" s="12"/>
      <c r="I723" s="12"/>
      <c r="K723" s="12"/>
      <c r="M723" s="12"/>
    </row>
    <row r="724" spans="1:13" x14ac:dyDescent="0.2">
      <c r="A724" s="12"/>
      <c r="I724" s="12"/>
      <c r="K724" s="12"/>
      <c r="M724" s="12"/>
    </row>
    <row r="725" spans="1:13" x14ac:dyDescent="0.2">
      <c r="A725" s="12"/>
      <c r="I725" s="12"/>
      <c r="K725" s="12"/>
      <c r="M725" s="12"/>
    </row>
    <row r="726" spans="1:13" x14ac:dyDescent="0.2">
      <c r="A726" s="12"/>
      <c r="I726" s="12"/>
      <c r="K726" s="12"/>
      <c r="M726" s="12"/>
    </row>
    <row r="727" spans="1:13" x14ac:dyDescent="0.2">
      <c r="A727" s="12"/>
      <c r="I727" s="12"/>
      <c r="K727" s="12"/>
      <c r="M727" s="12"/>
    </row>
    <row r="728" spans="1:13" x14ac:dyDescent="0.2">
      <c r="A728" s="12"/>
      <c r="I728" s="12"/>
      <c r="K728" s="12"/>
      <c r="M728" s="12"/>
    </row>
    <row r="729" spans="1:13" x14ac:dyDescent="0.2">
      <c r="A729" s="12"/>
      <c r="I729" s="12"/>
      <c r="K729" s="12"/>
      <c r="M729" s="12"/>
    </row>
    <row r="730" spans="1:13" x14ac:dyDescent="0.2">
      <c r="A730" s="12"/>
      <c r="I730" s="12"/>
      <c r="K730" s="12"/>
      <c r="M730" s="12"/>
    </row>
    <row r="731" spans="1:13" x14ac:dyDescent="0.2">
      <c r="A731" s="12"/>
      <c r="I731" s="12"/>
      <c r="K731" s="12"/>
      <c r="M731" s="12"/>
    </row>
    <row r="732" spans="1:13" x14ac:dyDescent="0.2">
      <c r="A732" s="12"/>
      <c r="I732" s="12"/>
      <c r="K732" s="12"/>
      <c r="M732" s="12"/>
    </row>
    <row r="733" spans="1:13" x14ac:dyDescent="0.2">
      <c r="A733" s="12"/>
      <c r="I733" s="12"/>
      <c r="K733" s="12"/>
      <c r="M733" s="12"/>
    </row>
    <row r="734" spans="1:13" x14ac:dyDescent="0.2">
      <c r="A734" s="12"/>
      <c r="I734" s="12"/>
      <c r="K734" s="12"/>
      <c r="M734" s="12"/>
    </row>
    <row r="735" spans="1:13" x14ac:dyDescent="0.2">
      <c r="A735" s="12"/>
      <c r="I735" s="12"/>
      <c r="K735" s="12"/>
      <c r="M735" s="12"/>
    </row>
    <row r="736" spans="1:13" x14ac:dyDescent="0.2">
      <c r="A736" s="12"/>
      <c r="I736" s="12"/>
      <c r="K736" s="12"/>
      <c r="M736" s="12"/>
    </row>
    <row r="737" spans="1:13" x14ac:dyDescent="0.2">
      <c r="A737" s="12"/>
      <c r="I737" s="12"/>
      <c r="K737" s="12"/>
      <c r="M737" s="12"/>
    </row>
    <row r="738" spans="1:13" x14ac:dyDescent="0.2">
      <c r="A738" s="12"/>
      <c r="I738" s="12"/>
      <c r="K738" s="12"/>
      <c r="M738" s="12"/>
    </row>
    <row r="739" spans="1:13" x14ac:dyDescent="0.2">
      <c r="A739" s="12"/>
      <c r="I739" s="12"/>
      <c r="K739" s="12"/>
      <c r="M739" s="12"/>
    </row>
    <row r="740" spans="1:13" x14ac:dyDescent="0.2">
      <c r="A740" s="12"/>
      <c r="I740" s="12"/>
      <c r="K740" s="12"/>
      <c r="M740" s="12"/>
    </row>
    <row r="741" spans="1:13" x14ac:dyDescent="0.2">
      <c r="A741" s="12"/>
      <c r="I741" s="12"/>
      <c r="K741" s="12"/>
      <c r="M741" s="12"/>
    </row>
    <row r="742" spans="1:13" x14ac:dyDescent="0.2">
      <c r="A742" s="12"/>
      <c r="I742" s="12"/>
      <c r="K742" s="12"/>
      <c r="M742" s="12"/>
    </row>
    <row r="743" spans="1:13" x14ac:dyDescent="0.2">
      <c r="A743" s="12"/>
      <c r="I743" s="12"/>
      <c r="K743" s="12"/>
      <c r="M743" s="12"/>
    </row>
    <row r="744" spans="1:13" x14ac:dyDescent="0.2">
      <c r="A744" s="12"/>
      <c r="I744" s="12"/>
      <c r="K744" s="12"/>
      <c r="M744" s="12"/>
    </row>
    <row r="745" spans="1:13" x14ac:dyDescent="0.2">
      <c r="A745" s="12"/>
      <c r="I745" s="12"/>
      <c r="K745" s="12"/>
      <c r="M745" s="12"/>
    </row>
    <row r="746" spans="1:13" x14ac:dyDescent="0.2">
      <c r="A746" s="12"/>
      <c r="I746" s="12"/>
      <c r="K746" s="12"/>
      <c r="M746" s="12"/>
    </row>
    <row r="747" spans="1:13" x14ac:dyDescent="0.2">
      <c r="A747" s="12"/>
      <c r="I747" s="12"/>
      <c r="K747" s="12"/>
      <c r="M747" s="12"/>
    </row>
    <row r="748" spans="1:13" x14ac:dyDescent="0.2">
      <c r="A748" s="12"/>
      <c r="I748" s="12"/>
      <c r="K748" s="12"/>
      <c r="M748" s="12"/>
    </row>
    <row r="749" spans="1:13" x14ac:dyDescent="0.2">
      <c r="A749" s="12"/>
      <c r="I749" s="12"/>
      <c r="K749" s="12"/>
      <c r="M749" s="12"/>
    </row>
    <row r="750" spans="1:13" x14ac:dyDescent="0.2">
      <c r="A750" s="12"/>
      <c r="I750" s="12"/>
      <c r="K750" s="12"/>
      <c r="M750" s="12"/>
    </row>
    <row r="751" spans="1:13" x14ac:dyDescent="0.2">
      <c r="A751" s="12"/>
      <c r="I751" s="12"/>
      <c r="K751" s="12"/>
      <c r="M751" s="12"/>
    </row>
    <row r="752" spans="1:13" x14ac:dyDescent="0.2">
      <c r="A752" s="12"/>
      <c r="I752" s="12"/>
      <c r="K752" s="12"/>
      <c r="M752" s="12"/>
    </row>
    <row r="753" spans="1:13" x14ac:dyDescent="0.2">
      <c r="A753" s="12"/>
      <c r="I753" s="12"/>
      <c r="K753" s="12"/>
      <c r="M753" s="12"/>
    </row>
    <row r="754" spans="1:13" x14ac:dyDescent="0.2">
      <c r="A754" s="12"/>
      <c r="I754" s="12"/>
      <c r="K754" s="12"/>
      <c r="M754" s="12"/>
    </row>
    <row r="755" spans="1:13" x14ac:dyDescent="0.2">
      <c r="A755" s="12"/>
      <c r="I755" s="12"/>
      <c r="K755" s="12"/>
      <c r="M755" s="12"/>
    </row>
    <row r="756" spans="1:13" x14ac:dyDescent="0.2">
      <c r="A756" s="12"/>
      <c r="I756" s="12"/>
      <c r="K756" s="12"/>
      <c r="M756" s="12"/>
    </row>
    <row r="757" spans="1:13" x14ac:dyDescent="0.2">
      <c r="A757" s="12"/>
      <c r="I757" s="12"/>
      <c r="K757" s="12"/>
      <c r="M757" s="12"/>
    </row>
    <row r="758" spans="1:13" x14ac:dyDescent="0.2">
      <c r="A758" s="12"/>
      <c r="I758" s="12"/>
      <c r="K758" s="12"/>
      <c r="M758" s="12"/>
    </row>
    <row r="759" spans="1:13" x14ac:dyDescent="0.2">
      <c r="A759" s="12"/>
      <c r="I759" s="12"/>
      <c r="K759" s="12"/>
      <c r="M759" s="12"/>
    </row>
    <row r="760" spans="1:13" x14ac:dyDescent="0.2">
      <c r="A760" s="12"/>
      <c r="I760" s="12"/>
      <c r="K760" s="12"/>
      <c r="M760" s="12"/>
    </row>
    <row r="761" spans="1:13" x14ac:dyDescent="0.2">
      <c r="A761" s="12"/>
      <c r="I761" s="12"/>
      <c r="K761" s="12"/>
      <c r="M761" s="12"/>
    </row>
    <row r="762" spans="1:13" x14ac:dyDescent="0.2">
      <c r="A762" s="12"/>
      <c r="I762" s="12"/>
      <c r="K762" s="12"/>
      <c r="M762" s="12"/>
    </row>
    <row r="763" spans="1:13" x14ac:dyDescent="0.2">
      <c r="A763" s="12"/>
      <c r="I763" s="12"/>
      <c r="K763" s="12"/>
      <c r="M763" s="12"/>
    </row>
    <row r="764" spans="1:13" x14ac:dyDescent="0.2">
      <c r="A764" s="12"/>
      <c r="I764" s="12"/>
      <c r="K764" s="12"/>
      <c r="M764" s="12"/>
    </row>
    <row r="765" spans="1:13" x14ac:dyDescent="0.2">
      <c r="A765" s="12"/>
      <c r="I765" s="12"/>
      <c r="K765" s="12"/>
      <c r="M765" s="12"/>
    </row>
    <row r="766" spans="1:13" x14ac:dyDescent="0.2">
      <c r="A766" s="12"/>
      <c r="I766" s="12"/>
      <c r="K766" s="12"/>
      <c r="M766" s="12"/>
    </row>
    <row r="767" spans="1:13" x14ac:dyDescent="0.2">
      <c r="A767" s="12"/>
      <c r="I767" s="12"/>
      <c r="K767" s="12"/>
      <c r="M767" s="12"/>
    </row>
    <row r="768" spans="1:13" x14ac:dyDescent="0.2">
      <c r="A768" s="12"/>
      <c r="I768" s="12"/>
      <c r="K768" s="12"/>
      <c r="M768" s="12"/>
    </row>
    <row r="769" spans="1:13" x14ac:dyDescent="0.2">
      <c r="A769" s="12"/>
      <c r="I769" s="12"/>
      <c r="K769" s="12"/>
      <c r="M769" s="12"/>
    </row>
    <row r="770" spans="1:13" x14ac:dyDescent="0.2">
      <c r="A770" s="12"/>
      <c r="I770" s="12"/>
      <c r="K770" s="12"/>
      <c r="M770" s="12"/>
    </row>
    <row r="771" spans="1:13" x14ac:dyDescent="0.2">
      <c r="A771" s="12"/>
      <c r="I771" s="12"/>
      <c r="K771" s="12"/>
      <c r="M771" s="12"/>
    </row>
    <row r="772" spans="1:13" x14ac:dyDescent="0.2">
      <c r="A772" s="12"/>
      <c r="I772" s="12"/>
      <c r="K772" s="12"/>
      <c r="M772" s="12"/>
    </row>
    <row r="773" spans="1:13" x14ac:dyDescent="0.2">
      <c r="A773" s="12"/>
      <c r="I773" s="12"/>
      <c r="K773" s="12"/>
      <c r="M773" s="12"/>
    </row>
    <row r="774" spans="1:13" x14ac:dyDescent="0.2">
      <c r="A774" s="12"/>
      <c r="I774" s="12"/>
      <c r="K774" s="12"/>
      <c r="M774" s="12"/>
    </row>
    <row r="775" spans="1:13" x14ac:dyDescent="0.2">
      <c r="A775" s="12"/>
      <c r="I775" s="12"/>
      <c r="K775" s="12"/>
      <c r="M775" s="12"/>
    </row>
    <row r="776" spans="1:13" x14ac:dyDescent="0.2">
      <c r="A776" s="12"/>
      <c r="I776" s="12"/>
      <c r="K776" s="12"/>
      <c r="M776" s="12"/>
    </row>
    <row r="777" spans="1:13" x14ac:dyDescent="0.2">
      <c r="A777" s="12"/>
      <c r="I777" s="12"/>
      <c r="K777" s="12"/>
      <c r="M777" s="12"/>
    </row>
    <row r="778" spans="1:13" x14ac:dyDescent="0.2">
      <c r="A778" s="12"/>
      <c r="I778" s="12"/>
      <c r="K778" s="12"/>
      <c r="M778" s="12"/>
    </row>
    <row r="779" spans="1:13" x14ac:dyDescent="0.2">
      <c r="A779" s="12"/>
      <c r="I779" s="12"/>
      <c r="K779" s="12"/>
      <c r="M779" s="12"/>
    </row>
    <row r="780" spans="1:13" x14ac:dyDescent="0.2">
      <c r="A780" s="12"/>
      <c r="I780" s="12"/>
      <c r="K780" s="12"/>
      <c r="M780" s="12"/>
    </row>
    <row r="781" spans="1:13" x14ac:dyDescent="0.2">
      <c r="A781" s="12"/>
      <c r="I781" s="12"/>
      <c r="K781" s="12"/>
      <c r="M781" s="12"/>
    </row>
    <row r="782" spans="1:13" x14ac:dyDescent="0.2">
      <c r="A782" s="12"/>
      <c r="I782" s="12"/>
      <c r="K782" s="12"/>
      <c r="M782" s="12"/>
    </row>
    <row r="783" spans="1:13" x14ac:dyDescent="0.2">
      <c r="A783" s="12"/>
      <c r="I783" s="12"/>
      <c r="K783" s="12"/>
      <c r="M783" s="12"/>
    </row>
    <row r="784" spans="1:13" x14ac:dyDescent="0.2">
      <c r="A784" s="12"/>
      <c r="I784" s="12"/>
      <c r="K784" s="12"/>
      <c r="M784" s="12"/>
    </row>
    <row r="785" spans="1:13" x14ac:dyDescent="0.2">
      <c r="A785" s="12"/>
      <c r="I785" s="12"/>
      <c r="K785" s="12"/>
      <c r="M785" s="12"/>
    </row>
    <row r="786" spans="1:13" x14ac:dyDescent="0.2">
      <c r="A786" s="12"/>
      <c r="I786" s="12"/>
      <c r="K786" s="12"/>
      <c r="M786" s="12"/>
    </row>
    <row r="787" spans="1:13" x14ac:dyDescent="0.2">
      <c r="A787" s="12"/>
      <c r="I787" s="12"/>
      <c r="K787" s="12"/>
      <c r="M787" s="12"/>
    </row>
    <row r="788" spans="1:13" x14ac:dyDescent="0.2">
      <c r="A788" s="12"/>
      <c r="I788" s="12"/>
      <c r="K788" s="12"/>
      <c r="M788" s="12"/>
    </row>
    <row r="789" spans="1:13" x14ac:dyDescent="0.2">
      <c r="A789" s="12"/>
      <c r="I789" s="12"/>
      <c r="K789" s="12"/>
      <c r="M789" s="12"/>
    </row>
    <row r="790" spans="1:13" x14ac:dyDescent="0.2">
      <c r="A790" s="12"/>
      <c r="I790" s="12"/>
      <c r="K790" s="12"/>
      <c r="M790" s="12"/>
    </row>
    <row r="791" spans="1:13" x14ac:dyDescent="0.2">
      <c r="A791" s="12"/>
      <c r="I791" s="12"/>
      <c r="K791" s="12"/>
      <c r="M791" s="12"/>
    </row>
    <row r="792" spans="1:13" x14ac:dyDescent="0.2">
      <c r="A792" s="12"/>
      <c r="I792" s="12"/>
      <c r="K792" s="12"/>
      <c r="M792" s="12"/>
    </row>
    <row r="793" spans="1:13" x14ac:dyDescent="0.2">
      <c r="A793" s="12"/>
      <c r="I793" s="12"/>
      <c r="K793" s="12"/>
      <c r="M793" s="12"/>
    </row>
    <row r="794" spans="1:13" x14ac:dyDescent="0.2">
      <c r="A794" s="12"/>
      <c r="I794" s="12"/>
      <c r="K794" s="12"/>
      <c r="M794" s="12"/>
    </row>
    <row r="795" spans="1:13" x14ac:dyDescent="0.2">
      <c r="A795" s="12"/>
      <c r="I795" s="12"/>
      <c r="K795" s="12"/>
      <c r="M795" s="12"/>
    </row>
    <row r="796" spans="1:13" x14ac:dyDescent="0.2">
      <c r="A796" s="12"/>
      <c r="I796" s="12"/>
      <c r="K796" s="12"/>
      <c r="M796" s="12"/>
    </row>
    <row r="797" spans="1:13" x14ac:dyDescent="0.2">
      <c r="A797" s="12"/>
      <c r="I797" s="12"/>
      <c r="K797" s="12"/>
      <c r="M797" s="12"/>
    </row>
    <row r="798" spans="1:13" x14ac:dyDescent="0.2">
      <c r="A798" s="12"/>
      <c r="I798" s="12"/>
      <c r="K798" s="12"/>
      <c r="M798" s="12"/>
    </row>
    <row r="799" spans="1:13" x14ac:dyDescent="0.2">
      <c r="A799" s="12"/>
      <c r="I799" s="12"/>
      <c r="K799" s="12"/>
      <c r="M799" s="12"/>
    </row>
    <row r="800" spans="1:13" x14ac:dyDescent="0.2">
      <c r="A800" s="12"/>
      <c r="I800" s="12"/>
      <c r="K800" s="12"/>
      <c r="M800" s="12"/>
    </row>
    <row r="801" spans="1:13" x14ac:dyDescent="0.2">
      <c r="A801" s="12"/>
      <c r="I801" s="12"/>
      <c r="K801" s="12"/>
      <c r="M801" s="12"/>
    </row>
    <row r="802" spans="1:13" x14ac:dyDescent="0.2">
      <c r="A802" s="12"/>
      <c r="I802" s="12"/>
      <c r="K802" s="12"/>
      <c r="M802" s="12"/>
    </row>
    <row r="803" spans="1:13" x14ac:dyDescent="0.2">
      <c r="A803" s="12"/>
      <c r="I803" s="12"/>
      <c r="K803" s="12"/>
      <c r="M803" s="12"/>
    </row>
    <row r="804" spans="1:13" x14ac:dyDescent="0.2">
      <c r="A804" s="12"/>
      <c r="I804" s="12"/>
      <c r="K804" s="12"/>
      <c r="M804" s="12"/>
    </row>
    <row r="805" spans="1:13" x14ac:dyDescent="0.2">
      <c r="A805" s="12"/>
      <c r="I805" s="12"/>
      <c r="K805" s="12"/>
      <c r="M805" s="12"/>
    </row>
    <row r="806" spans="1:13" x14ac:dyDescent="0.2">
      <c r="A806" s="12"/>
      <c r="I806" s="12"/>
      <c r="K806" s="12"/>
      <c r="M806" s="12"/>
    </row>
    <row r="807" spans="1:13" x14ac:dyDescent="0.2">
      <c r="A807" s="12"/>
      <c r="I807" s="12"/>
      <c r="K807" s="12"/>
      <c r="M807" s="12"/>
    </row>
    <row r="808" spans="1:13" x14ac:dyDescent="0.2">
      <c r="A808" s="12"/>
      <c r="I808" s="12"/>
      <c r="K808" s="12"/>
      <c r="M808" s="12"/>
    </row>
    <row r="809" spans="1:13" x14ac:dyDescent="0.2">
      <c r="A809" s="12"/>
      <c r="I809" s="12"/>
      <c r="K809" s="12"/>
      <c r="M809" s="12"/>
    </row>
    <row r="810" spans="1:13" x14ac:dyDescent="0.2">
      <c r="A810" s="12"/>
      <c r="I810" s="12"/>
      <c r="K810" s="12"/>
      <c r="M810" s="12"/>
    </row>
    <row r="811" spans="1:13" x14ac:dyDescent="0.2">
      <c r="A811" s="12"/>
      <c r="I811" s="12"/>
      <c r="K811" s="12"/>
      <c r="M811" s="12"/>
    </row>
    <row r="812" spans="1:13" x14ac:dyDescent="0.2">
      <c r="A812" s="12"/>
      <c r="I812" s="12"/>
      <c r="K812" s="12"/>
      <c r="M812" s="12"/>
    </row>
    <row r="813" spans="1:13" x14ac:dyDescent="0.2">
      <c r="A813" s="12"/>
      <c r="I813" s="12"/>
      <c r="K813" s="12"/>
      <c r="M813" s="12"/>
    </row>
    <row r="814" spans="1:13" x14ac:dyDescent="0.2">
      <c r="A814" s="12"/>
      <c r="I814" s="12"/>
      <c r="K814" s="12"/>
      <c r="M814" s="12"/>
    </row>
    <row r="815" spans="1:13" x14ac:dyDescent="0.2">
      <c r="A815" s="12"/>
      <c r="I815" s="12"/>
      <c r="K815" s="12"/>
      <c r="M815" s="12"/>
    </row>
    <row r="816" spans="1:13" x14ac:dyDescent="0.2">
      <c r="A816" s="12"/>
      <c r="I816" s="12"/>
      <c r="K816" s="12"/>
      <c r="M816" s="12"/>
    </row>
    <row r="817" spans="1:13" x14ac:dyDescent="0.2">
      <c r="A817" s="12"/>
      <c r="I817" s="12"/>
      <c r="K817" s="12"/>
      <c r="M817" s="12"/>
    </row>
    <row r="818" spans="1:13" x14ac:dyDescent="0.2">
      <c r="A818" s="12"/>
      <c r="I818" s="12"/>
      <c r="K818" s="12"/>
      <c r="M818" s="12"/>
    </row>
    <row r="819" spans="1:13" x14ac:dyDescent="0.2">
      <c r="A819" s="12"/>
      <c r="I819" s="12"/>
      <c r="K819" s="12"/>
      <c r="M819" s="12"/>
    </row>
    <row r="820" spans="1:13" x14ac:dyDescent="0.2">
      <c r="A820" s="12"/>
      <c r="I820" s="12"/>
      <c r="K820" s="12"/>
      <c r="M820" s="12"/>
    </row>
    <row r="821" spans="1:13" x14ac:dyDescent="0.2">
      <c r="A821" s="12"/>
      <c r="I821" s="12"/>
      <c r="K821" s="12"/>
      <c r="M821" s="12"/>
    </row>
    <row r="822" spans="1:13" x14ac:dyDescent="0.2">
      <c r="A822" s="12"/>
      <c r="I822" s="12"/>
      <c r="K822" s="12"/>
      <c r="M822" s="12"/>
    </row>
    <row r="823" spans="1:13" x14ac:dyDescent="0.2">
      <c r="A823" s="12"/>
      <c r="I823" s="12"/>
      <c r="K823" s="12"/>
      <c r="M823" s="12"/>
    </row>
    <row r="824" spans="1:13" x14ac:dyDescent="0.2">
      <c r="A824" s="12"/>
      <c r="I824" s="12"/>
      <c r="K824" s="12"/>
      <c r="M824" s="12"/>
    </row>
    <row r="825" spans="1:13" x14ac:dyDescent="0.2">
      <c r="A825" s="12"/>
      <c r="I825" s="12"/>
      <c r="K825" s="12"/>
      <c r="M825" s="12"/>
    </row>
    <row r="826" spans="1:13" x14ac:dyDescent="0.2">
      <c r="A826" s="12"/>
      <c r="I826" s="12"/>
      <c r="K826" s="12"/>
      <c r="M826" s="12"/>
    </row>
    <row r="827" spans="1:13" x14ac:dyDescent="0.2">
      <c r="A827" s="12"/>
      <c r="I827" s="12"/>
      <c r="K827" s="12"/>
      <c r="M827" s="12"/>
    </row>
    <row r="828" spans="1:13" x14ac:dyDescent="0.2">
      <c r="A828" s="12"/>
      <c r="I828" s="12"/>
      <c r="K828" s="12"/>
      <c r="M828" s="12"/>
    </row>
    <row r="829" spans="1:13" x14ac:dyDescent="0.2">
      <c r="A829" s="12"/>
      <c r="I829" s="12"/>
      <c r="K829" s="12"/>
      <c r="M829" s="12"/>
    </row>
    <row r="830" spans="1:13" x14ac:dyDescent="0.2">
      <c r="A830" s="12"/>
      <c r="I830" s="12"/>
      <c r="K830" s="12"/>
      <c r="M830" s="12"/>
    </row>
    <row r="831" spans="1:13" x14ac:dyDescent="0.2">
      <c r="A831" s="12"/>
      <c r="I831" s="12"/>
      <c r="K831" s="12"/>
      <c r="M831" s="12"/>
    </row>
    <row r="832" spans="1:13" x14ac:dyDescent="0.2">
      <c r="A832" s="12"/>
      <c r="I832" s="12"/>
      <c r="K832" s="12"/>
      <c r="M832" s="12"/>
    </row>
    <row r="833" spans="1:13" x14ac:dyDescent="0.2">
      <c r="A833" s="12"/>
      <c r="I833" s="12"/>
      <c r="K833" s="12"/>
      <c r="M833" s="12"/>
    </row>
    <row r="834" spans="1:13" x14ac:dyDescent="0.2">
      <c r="A834" s="12"/>
      <c r="I834" s="12"/>
      <c r="K834" s="12"/>
      <c r="M834" s="12"/>
    </row>
    <row r="835" spans="1:13" x14ac:dyDescent="0.2">
      <c r="A835" s="12"/>
      <c r="I835" s="12"/>
      <c r="K835" s="12"/>
      <c r="M835" s="12"/>
    </row>
    <row r="836" spans="1:13" x14ac:dyDescent="0.2">
      <c r="A836" s="12"/>
      <c r="I836" s="12"/>
      <c r="K836" s="12"/>
      <c r="M836" s="12"/>
    </row>
    <row r="837" spans="1:13" x14ac:dyDescent="0.2">
      <c r="A837" s="12"/>
      <c r="I837" s="12"/>
      <c r="K837" s="12"/>
      <c r="M837" s="12"/>
    </row>
    <row r="838" spans="1:13" x14ac:dyDescent="0.2">
      <c r="A838" s="12"/>
      <c r="I838" s="12"/>
      <c r="K838" s="12"/>
      <c r="M838" s="12"/>
    </row>
    <row r="839" spans="1:13" x14ac:dyDescent="0.2">
      <c r="A839" s="12"/>
      <c r="I839" s="12"/>
      <c r="K839" s="12"/>
      <c r="M839" s="12"/>
    </row>
    <row r="840" spans="1:13" x14ac:dyDescent="0.2">
      <c r="A840" s="12"/>
      <c r="I840" s="12"/>
      <c r="K840" s="12"/>
      <c r="M840" s="12"/>
    </row>
    <row r="841" spans="1:13" x14ac:dyDescent="0.2">
      <c r="A841" s="12"/>
      <c r="I841" s="12"/>
      <c r="K841" s="12"/>
      <c r="M841" s="12"/>
    </row>
    <row r="842" spans="1:13" x14ac:dyDescent="0.2">
      <c r="A842" s="12"/>
      <c r="I842" s="12"/>
      <c r="K842" s="12"/>
      <c r="M842" s="12"/>
    </row>
    <row r="843" spans="1:13" x14ac:dyDescent="0.2">
      <c r="A843" s="12"/>
      <c r="I843" s="12"/>
      <c r="K843" s="12"/>
      <c r="M843" s="12"/>
    </row>
    <row r="844" spans="1:13" x14ac:dyDescent="0.2">
      <c r="A844" s="12"/>
      <c r="I844" s="12"/>
      <c r="K844" s="12"/>
      <c r="M844" s="12"/>
    </row>
    <row r="845" spans="1:13" x14ac:dyDescent="0.2">
      <c r="A845" s="12"/>
      <c r="I845" s="12"/>
      <c r="K845" s="12"/>
      <c r="M845" s="12"/>
    </row>
    <row r="846" spans="1:13" x14ac:dyDescent="0.2">
      <c r="A846" s="12"/>
      <c r="I846" s="12"/>
      <c r="K846" s="12"/>
      <c r="M846" s="12"/>
    </row>
    <row r="847" spans="1:13" x14ac:dyDescent="0.2">
      <c r="A847" s="12"/>
      <c r="I847" s="12"/>
      <c r="K847" s="12"/>
      <c r="M847" s="12"/>
    </row>
    <row r="848" spans="1:13" x14ac:dyDescent="0.2">
      <c r="A848" s="12"/>
      <c r="I848" s="12"/>
      <c r="K848" s="12"/>
      <c r="M848" s="12"/>
    </row>
    <row r="849" spans="1:13" x14ac:dyDescent="0.2">
      <c r="A849" s="12"/>
      <c r="I849" s="12"/>
      <c r="K849" s="12"/>
      <c r="M849" s="12"/>
    </row>
    <row r="850" spans="1:13" x14ac:dyDescent="0.2">
      <c r="A850" s="12"/>
      <c r="I850" s="12"/>
      <c r="K850" s="12"/>
      <c r="M850" s="12"/>
    </row>
    <row r="851" spans="1:13" x14ac:dyDescent="0.2">
      <c r="A851" s="12"/>
      <c r="I851" s="12"/>
      <c r="K851" s="12"/>
      <c r="M851" s="12"/>
    </row>
    <row r="852" spans="1:13" x14ac:dyDescent="0.2">
      <c r="A852" s="12"/>
      <c r="I852" s="12"/>
      <c r="K852" s="12"/>
      <c r="M852" s="12"/>
    </row>
    <row r="853" spans="1:13" x14ac:dyDescent="0.2">
      <c r="A853" s="12"/>
      <c r="I853" s="12"/>
      <c r="K853" s="12"/>
      <c r="M853" s="12"/>
    </row>
    <row r="854" spans="1:13" x14ac:dyDescent="0.2">
      <c r="A854" s="12"/>
      <c r="I854" s="12"/>
      <c r="K854" s="12"/>
      <c r="M854" s="12"/>
    </row>
    <row r="855" spans="1:13" x14ac:dyDescent="0.2">
      <c r="A855" s="12"/>
      <c r="I855" s="12"/>
      <c r="K855" s="12"/>
      <c r="M855" s="12"/>
    </row>
    <row r="856" spans="1:13" x14ac:dyDescent="0.2">
      <c r="A856" s="12"/>
      <c r="I856" s="12"/>
      <c r="K856" s="12"/>
      <c r="M856" s="12"/>
    </row>
    <row r="857" spans="1:13" x14ac:dyDescent="0.2">
      <c r="A857" s="12"/>
      <c r="I857" s="12"/>
      <c r="K857" s="12"/>
      <c r="M857" s="12"/>
    </row>
    <row r="858" spans="1:13" x14ac:dyDescent="0.2">
      <c r="A858" s="12"/>
      <c r="I858" s="12"/>
      <c r="K858" s="12"/>
      <c r="M858" s="12"/>
    </row>
    <row r="859" spans="1:13" x14ac:dyDescent="0.2">
      <c r="A859" s="12"/>
      <c r="I859" s="12"/>
      <c r="K859" s="12"/>
      <c r="M859" s="12"/>
    </row>
    <row r="860" spans="1:13" x14ac:dyDescent="0.2">
      <c r="A860" s="12"/>
      <c r="I860" s="12"/>
      <c r="K860" s="12"/>
      <c r="M860" s="12"/>
    </row>
    <row r="861" spans="1:13" x14ac:dyDescent="0.2">
      <c r="A861" s="12"/>
      <c r="I861" s="12"/>
      <c r="K861" s="12"/>
      <c r="M861" s="12"/>
    </row>
    <row r="862" spans="1:13" x14ac:dyDescent="0.2">
      <c r="A862" s="12"/>
      <c r="I862" s="12"/>
      <c r="K862" s="12"/>
      <c r="M862" s="12"/>
    </row>
    <row r="863" spans="1:13" x14ac:dyDescent="0.2">
      <c r="A863" s="12"/>
      <c r="I863" s="12"/>
      <c r="K863" s="12"/>
      <c r="M863" s="12"/>
    </row>
    <row r="864" spans="1:13" x14ac:dyDescent="0.2">
      <c r="A864" s="12"/>
      <c r="I864" s="12"/>
      <c r="K864" s="12"/>
      <c r="M864" s="12"/>
    </row>
    <row r="865" spans="1:13" x14ac:dyDescent="0.2">
      <c r="A865" s="12"/>
      <c r="I865" s="12"/>
      <c r="K865" s="12"/>
      <c r="M865" s="12"/>
    </row>
    <row r="866" spans="1:13" x14ac:dyDescent="0.2">
      <c r="A866" s="12"/>
      <c r="I866" s="12"/>
      <c r="K866" s="12"/>
      <c r="M866" s="12"/>
    </row>
    <row r="867" spans="1:13" x14ac:dyDescent="0.2">
      <c r="A867" s="12"/>
      <c r="I867" s="12"/>
      <c r="K867" s="12"/>
      <c r="M867" s="12"/>
    </row>
    <row r="868" spans="1:13" x14ac:dyDescent="0.2">
      <c r="A868" s="12"/>
      <c r="I868" s="12"/>
      <c r="K868" s="12"/>
      <c r="M868" s="12"/>
    </row>
    <row r="869" spans="1:13" x14ac:dyDescent="0.2">
      <c r="A869" s="12"/>
      <c r="I869" s="12"/>
      <c r="K869" s="12"/>
      <c r="M869" s="12"/>
    </row>
    <row r="870" spans="1:13" x14ac:dyDescent="0.2">
      <c r="A870" s="12"/>
      <c r="I870" s="12"/>
      <c r="K870" s="12"/>
      <c r="M870" s="12"/>
    </row>
    <row r="871" spans="1:13" x14ac:dyDescent="0.2">
      <c r="A871" s="12"/>
      <c r="I871" s="12"/>
      <c r="K871" s="12"/>
      <c r="M871" s="12"/>
    </row>
    <row r="872" spans="1:13" x14ac:dyDescent="0.2">
      <c r="A872" s="12"/>
      <c r="I872" s="12"/>
      <c r="K872" s="12"/>
      <c r="M872" s="12"/>
    </row>
    <row r="873" spans="1:13" x14ac:dyDescent="0.2">
      <c r="A873" s="12"/>
      <c r="I873" s="12"/>
      <c r="K873" s="12"/>
      <c r="M873" s="12"/>
    </row>
    <row r="874" spans="1:13" x14ac:dyDescent="0.2">
      <c r="A874" s="12"/>
      <c r="I874" s="12"/>
      <c r="K874" s="12"/>
      <c r="M874" s="12"/>
    </row>
    <row r="875" spans="1:13" x14ac:dyDescent="0.2">
      <c r="A875" s="12"/>
      <c r="I875" s="12"/>
      <c r="K875" s="12"/>
      <c r="M875" s="12"/>
    </row>
    <row r="876" spans="1:13" x14ac:dyDescent="0.2">
      <c r="A876" s="12"/>
      <c r="I876" s="12"/>
      <c r="K876" s="12"/>
      <c r="M876" s="12"/>
    </row>
    <row r="877" spans="1:13" x14ac:dyDescent="0.2">
      <c r="A877" s="12"/>
      <c r="I877" s="12"/>
      <c r="K877" s="12"/>
      <c r="M877" s="12"/>
    </row>
    <row r="878" spans="1:13" x14ac:dyDescent="0.2">
      <c r="A878" s="12"/>
      <c r="I878" s="12"/>
      <c r="K878" s="12"/>
      <c r="M878" s="12"/>
    </row>
    <row r="879" spans="1:13" x14ac:dyDescent="0.2">
      <c r="A879" s="12"/>
      <c r="I879" s="12"/>
      <c r="K879" s="12"/>
      <c r="M879" s="12"/>
    </row>
    <row r="880" spans="1:13" x14ac:dyDescent="0.2">
      <c r="A880" s="12"/>
      <c r="I880" s="12"/>
      <c r="K880" s="12"/>
      <c r="M880" s="12"/>
    </row>
    <row r="881" spans="1:13" x14ac:dyDescent="0.2">
      <c r="A881" s="12"/>
      <c r="I881" s="12"/>
      <c r="K881" s="12"/>
      <c r="M881" s="12"/>
    </row>
    <row r="882" spans="1:13" x14ac:dyDescent="0.2">
      <c r="A882" s="12"/>
      <c r="I882" s="12"/>
      <c r="K882" s="12"/>
      <c r="M882" s="12"/>
    </row>
    <row r="883" spans="1:13" x14ac:dyDescent="0.2">
      <c r="A883" s="12"/>
      <c r="I883" s="12"/>
      <c r="K883" s="12"/>
      <c r="M883" s="12"/>
    </row>
    <row r="884" spans="1:13" x14ac:dyDescent="0.2">
      <c r="A884" s="12"/>
      <c r="I884" s="12"/>
      <c r="K884" s="12"/>
      <c r="M884" s="12"/>
    </row>
    <row r="885" spans="1:13" x14ac:dyDescent="0.2">
      <c r="A885" s="12"/>
      <c r="I885" s="12"/>
      <c r="K885" s="12"/>
      <c r="M885" s="12"/>
    </row>
    <row r="886" spans="1:13" x14ac:dyDescent="0.2">
      <c r="A886" s="12"/>
      <c r="I886" s="12"/>
      <c r="K886" s="12"/>
      <c r="M886" s="12"/>
    </row>
    <row r="887" spans="1:13" x14ac:dyDescent="0.2">
      <c r="A887" s="12"/>
      <c r="I887" s="12"/>
      <c r="K887" s="12"/>
      <c r="M887" s="12"/>
    </row>
    <row r="888" spans="1:13" x14ac:dyDescent="0.2">
      <c r="A888" s="12"/>
      <c r="I888" s="12"/>
      <c r="K888" s="12"/>
      <c r="M888" s="12"/>
    </row>
    <row r="889" spans="1:13" x14ac:dyDescent="0.2">
      <c r="A889" s="12"/>
      <c r="I889" s="12"/>
      <c r="K889" s="12"/>
      <c r="M889" s="12"/>
    </row>
    <row r="890" spans="1:13" x14ac:dyDescent="0.2">
      <c r="A890" s="12"/>
      <c r="I890" s="12"/>
      <c r="K890" s="12"/>
      <c r="M890" s="12"/>
    </row>
    <row r="891" spans="1:13" x14ac:dyDescent="0.2">
      <c r="A891" s="12"/>
      <c r="I891" s="12"/>
      <c r="K891" s="12"/>
      <c r="M891" s="12"/>
    </row>
    <row r="892" spans="1:13" x14ac:dyDescent="0.2">
      <c r="A892" s="12"/>
      <c r="I892" s="12"/>
      <c r="K892" s="12"/>
      <c r="M892" s="12"/>
    </row>
    <row r="893" spans="1:13" x14ac:dyDescent="0.2">
      <c r="A893" s="12"/>
      <c r="I893" s="12"/>
      <c r="K893" s="12"/>
      <c r="M893" s="12"/>
    </row>
    <row r="894" spans="1:13" x14ac:dyDescent="0.2">
      <c r="A894" s="12"/>
      <c r="I894" s="12"/>
      <c r="K894" s="12"/>
      <c r="M894" s="12"/>
    </row>
    <row r="895" spans="1:13" x14ac:dyDescent="0.2">
      <c r="A895" s="12"/>
      <c r="I895" s="12"/>
      <c r="K895" s="12"/>
      <c r="M895" s="12"/>
    </row>
    <row r="896" spans="1:13" x14ac:dyDescent="0.2">
      <c r="A896" s="12"/>
      <c r="I896" s="12"/>
      <c r="K896" s="12"/>
      <c r="M896" s="12"/>
    </row>
    <row r="897" spans="1:13" x14ac:dyDescent="0.2">
      <c r="A897" s="12"/>
      <c r="I897" s="12"/>
      <c r="K897" s="12"/>
      <c r="M897" s="12"/>
    </row>
    <row r="898" spans="1:13" x14ac:dyDescent="0.2">
      <c r="A898" s="12"/>
      <c r="I898" s="12"/>
      <c r="K898" s="12"/>
      <c r="M898" s="12"/>
    </row>
    <row r="899" spans="1:13" x14ac:dyDescent="0.2">
      <c r="A899" s="12"/>
      <c r="I899" s="12"/>
      <c r="K899" s="12"/>
      <c r="M899" s="12"/>
    </row>
    <row r="900" spans="1:13" x14ac:dyDescent="0.2">
      <c r="A900" s="12"/>
      <c r="I900" s="12"/>
      <c r="K900" s="12"/>
      <c r="M900" s="12"/>
    </row>
    <row r="901" spans="1:13" x14ac:dyDescent="0.2">
      <c r="A901" s="12"/>
      <c r="I901" s="12"/>
      <c r="K901" s="12"/>
      <c r="M901" s="12"/>
    </row>
    <row r="902" spans="1:13" x14ac:dyDescent="0.2">
      <c r="A902" s="12"/>
      <c r="I902" s="12"/>
      <c r="K902" s="12"/>
      <c r="M902" s="12"/>
    </row>
    <row r="903" spans="1:13" x14ac:dyDescent="0.2">
      <c r="A903" s="12"/>
      <c r="I903" s="12"/>
      <c r="K903" s="12"/>
      <c r="M903" s="12"/>
    </row>
    <row r="904" spans="1:13" x14ac:dyDescent="0.2">
      <c r="A904" s="12"/>
      <c r="I904" s="12"/>
      <c r="K904" s="12"/>
      <c r="M904" s="12"/>
    </row>
    <row r="905" spans="1:13" x14ac:dyDescent="0.2">
      <c r="A905" s="12"/>
      <c r="I905" s="12"/>
      <c r="K905" s="12"/>
      <c r="M905" s="12"/>
    </row>
    <row r="906" spans="1:13" x14ac:dyDescent="0.2">
      <c r="A906" s="12"/>
      <c r="I906" s="12"/>
      <c r="K906" s="12"/>
      <c r="M906" s="12"/>
    </row>
    <row r="907" spans="1:13" x14ac:dyDescent="0.2">
      <c r="A907" s="12"/>
      <c r="I907" s="12"/>
      <c r="K907" s="12"/>
      <c r="M907" s="12"/>
    </row>
    <row r="908" spans="1:13" x14ac:dyDescent="0.2">
      <c r="A908" s="12"/>
      <c r="I908" s="12"/>
      <c r="K908" s="12"/>
      <c r="M908" s="12"/>
    </row>
    <row r="909" spans="1:13" x14ac:dyDescent="0.2">
      <c r="A909" s="12"/>
      <c r="I909" s="12"/>
      <c r="K909" s="12"/>
      <c r="M909" s="12"/>
    </row>
    <row r="910" spans="1:13" x14ac:dyDescent="0.2">
      <c r="A910" s="12"/>
      <c r="I910" s="12"/>
      <c r="K910" s="12"/>
      <c r="M910" s="12"/>
    </row>
    <row r="911" spans="1:13" x14ac:dyDescent="0.2">
      <c r="A911" s="12"/>
      <c r="I911" s="12"/>
      <c r="K911" s="12"/>
      <c r="M911" s="12"/>
    </row>
    <row r="912" spans="1:13" x14ac:dyDescent="0.2">
      <c r="A912" s="12"/>
      <c r="I912" s="12"/>
      <c r="K912" s="12"/>
      <c r="M912" s="12"/>
    </row>
    <row r="913" spans="1:13" x14ac:dyDescent="0.2">
      <c r="A913" s="12"/>
      <c r="I913" s="12"/>
      <c r="K913" s="12"/>
      <c r="M913" s="12"/>
    </row>
    <row r="914" spans="1:13" x14ac:dyDescent="0.2">
      <c r="A914" s="12"/>
      <c r="I914" s="12"/>
      <c r="K914" s="12"/>
      <c r="M914" s="12"/>
    </row>
    <row r="915" spans="1:13" x14ac:dyDescent="0.2">
      <c r="A915" s="12"/>
      <c r="I915" s="12"/>
      <c r="K915" s="12"/>
      <c r="M915" s="12"/>
    </row>
    <row r="916" spans="1:13" x14ac:dyDescent="0.2">
      <c r="A916" s="12"/>
      <c r="I916" s="12"/>
      <c r="K916" s="12"/>
      <c r="M916" s="12"/>
    </row>
    <row r="917" spans="1:13" x14ac:dyDescent="0.2">
      <c r="A917" s="12"/>
      <c r="I917" s="12"/>
      <c r="K917" s="12"/>
      <c r="M917" s="12"/>
    </row>
    <row r="918" spans="1:13" x14ac:dyDescent="0.2">
      <c r="A918" s="12"/>
      <c r="I918" s="12"/>
      <c r="K918" s="12"/>
      <c r="M918" s="12"/>
    </row>
    <row r="919" spans="1:13" x14ac:dyDescent="0.2">
      <c r="A919" s="12"/>
      <c r="I919" s="12"/>
      <c r="K919" s="12"/>
      <c r="M919" s="12"/>
    </row>
    <row r="920" spans="1:13" x14ac:dyDescent="0.2">
      <c r="A920" s="12"/>
      <c r="I920" s="12"/>
      <c r="K920" s="12"/>
      <c r="M920" s="12"/>
    </row>
    <row r="921" spans="1:13" x14ac:dyDescent="0.2">
      <c r="A921" s="12"/>
      <c r="I921" s="12"/>
      <c r="K921" s="12"/>
      <c r="M921" s="12"/>
    </row>
    <row r="922" spans="1:13" x14ac:dyDescent="0.2">
      <c r="A922" s="12"/>
      <c r="I922" s="12"/>
      <c r="K922" s="12"/>
      <c r="M922" s="12"/>
    </row>
    <row r="923" spans="1:13" x14ac:dyDescent="0.2">
      <c r="A923" s="12"/>
      <c r="I923" s="12"/>
      <c r="K923" s="12"/>
      <c r="M923" s="12"/>
    </row>
    <row r="924" spans="1:13" x14ac:dyDescent="0.2">
      <c r="A924" s="12"/>
      <c r="I924" s="12"/>
      <c r="K924" s="12"/>
      <c r="M924" s="12"/>
    </row>
    <row r="925" spans="1:13" x14ac:dyDescent="0.2">
      <c r="A925" s="12"/>
      <c r="I925" s="12"/>
      <c r="K925" s="12"/>
      <c r="M925" s="12"/>
    </row>
    <row r="926" spans="1:13" x14ac:dyDescent="0.2">
      <c r="A926" s="12"/>
      <c r="I926" s="12"/>
      <c r="K926" s="12"/>
      <c r="M926" s="12"/>
    </row>
    <row r="927" spans="1:13" x14ac:dyDescent="0.2">
      <c r="A927" s="12"/>
      <c r="I927" s="12"/>
      <c r="K927" s="12"/>
      <c r="M927" s="12"/>
    </row>
    <row r="928" spans="1:13" x14ac:dyDescent="0.2">
      <c r="A928" s="12"/>
      <c r="I928" s="12"/>
      <c r="K928" s="12"/>
      <c r="M928" s="12"/>
    </row>
    <row r="929" spans="1:13" x14ac:dyDescent="0.2">
      <c r="A929" s="12"/>
      <c r="I929" s="12"/>
      <c r="K929" s="12"/>
      <c r="M929" s="12"/>
    </row>
    <row r="930" spans="1:13" x14ac:dyDescent="0.2">
      <c r="A930" s="12"/>
      <c r="I930" s="12"/>
      <c r="K930" s="12"/>
      <c r="M930" s="12"/>
    </row>
    <row r="931" spans="1:13" x14ac:dyDescent="0.2">
      <c r="A931" s="12"/>
      <c r="I931" s="12"/>
      <c r="K931" s="12"/>
      <c r="M931" s="12"/>
    </row>
    <row r="932" spans="1:13" x14ac:dyDescent="0.2">
      <c r="A932" s="12"/>
      <c r="I932" s="12"/>
      <c r="K932" s="12"/>
      <c r="M932" s="12"/>
    </row>
    <row r="933" spans="1:13" x14ac:dyDescent="0.2">
      <c r="A933" s="12"/>
      <c r="I933" s="12"/>
      <c r="K933" s="12"/>
      <c r="M933" s="12"/>
    </row>
    <row r="934" spans="1:13" x14ac:dyDescent="0.2">
      <c r="A934" s="12"/>
      <c r="I934" s="12"/>
      <c r="K934" s="12"/>
      <c r="M934" s="12"/>
    </row>
    <row r="935" spans="1:13" x14ac:dyDescent="0.2">
      <c r="A935" s="12"/>
      <c r="I935" s="12"/>
      <c r="K935" s="12"/>
      <c r="M935" s="12"/>
    </row>
    <row r="936" spans="1:13" x14ac:dyDescent="0.2">
      <c r="A936" s="12"/>
      <c r="I936" s="12"/>
      <c r="K936" s="12"/>
      <c r="M936" s="12"/>
    </row>
    <row r="937" spans="1:13" x14ac:dyDescent="0.2">
      <c r="A937" s="12"/>
      <c r="I937" s="12"/>
      <c r="K937" s="12"/>
      <c r="M937" s="12"/>
    </row>
    <row r="938" spans="1:13" x14ac:dyDescent="0.2">
      <c r="A938" s="12"/>
      <c r="I938" s="12"/>
      <c r="K938" s="12"/>
      <c r="M938" s="12"/>
    </row>
    <row r="939" spans="1:13" x14ac:dyDescent="0.2">
      <c r="A939" s="12"/>
      <c r="I939" s="12"/>
      <c r="K939" s="12"/>
      <c r="M939" s="12"/>
    </row>
    <row r="940" spans="1:13" x14ac:dyDescent="0.2">
      <c r="A940" s="12"/>
      <c r="I940" s="12"/>
      <c r="K940" s="12"/>
      <c r="M940" s="12"/>
    </row>
    <row r="941" spans="1:13" x14ac:dyDescent="0.2">
      <c r="A941" s="12"/>
      <c r="I941" s="12"/>
      <c r="K941" s="12"/>
      <c r="M941" s="12"/>
    </row>
    <row r="942" spans="1:13" x14ac:dyDescent="0.2">
      <c r="A942" s="12"/>
      <c r="I942" s="12"/>
      <c r="K942" s="12"/>
      <c r="M942" s="12"/>
    </row>
    <row r="943" spans="1:13" x14ac:dyDescent="0.2">
      <c r="A943" s="12"/>
      <c r="I943" s="12"/>
      <c r="K943" s="12"/>
      <c r="M943" s="12"/>
    </row>
    <row r="944" spans="1:13" x14ac:dyDescent="0.2">
      <c r="A944" s="12"/>
      <c r="I944" s="12"/>
      <c r="K944" s="12"/>
      <c r="M944" s="12"/>
    </row>
    <row r="945" spans="1:13" x14ac:dyDescent="0.2">
      <c r="A945" s="12"/>
      <c r="I945" s="12"/>
      <c r="K945" s="12"/>
      <c r="M945" s="12"/>
    </row>
    <row r="946" spans="1:13" x14ac:dyDescent="0.2">
      <c r="A946" s="12"/>
      <c r="I946" s="12"/>
      <c r="K946" s="12"/>
      <c r="M946" s="12"/>
    </row>
    <row r="947" spans="1:13" x14ac:dyDescent="0.2">
      <c r="A947" s="12"/>
      <c r="I947" s="12"/>
      <c r="K947" s="12"/>
      <c r="M947" s="12"/>
    </row>
    <row r="948" spans="1:13" x14ac:dyDescent="0.2">
      <c r="A948" s="12"/>
      <c r="I948" s="12"/>
      <c r="K948" s="12"/>
      <c r="M948" s="12"/>
    </row>
    <row r="949" spans="1:13" x14ac:dyDescent="0.2">
      <c r="A949" s="12"/>
      <c r="I949" s="12"/>
      <c r="K949" s="12"/>
      <c r="M949" s="12"/>
    </row>
    <row r="950" spans="1:13" x14ac:dyDescent="0.2">
      <c r="A950" s="12"/>
      <c r="I950" s="12"/>
      <c r="K950" s="12"/>
      <c r="M950" s="12"/>
    </row>
    <row r="951" spans="1:13" x14ac:dyDescent="0.2">
      <c r="A951" s="12"/>
      <c r="I951" s="12"/>
      <c r="K951" s="12"/>
      <c r="M951" s="12"/>
    </row>
    <row r="952" spans="1:13" x14ac:dyDescent="0.2">
      <c r="A952" s="12"/>
      <c r="I952" s="12"/>
      <c r="K952" s="12"/>
      <c r="M952" s="12"/>
    </row>
    <row r="953" spans="1:13" x14ac:dyDescent="0.2">
      <c r="A953" s="12"/>
      <c r="I953" s="12"/>
      <c r="K953" s="12"/>
      <c r="M953" s="12"/>
    </row>
    <row r="954" spans="1:13" x14ac:dyDescent="0.2">
      <c r="A954" s="12"/>
      <c r="I954" s="12"/>
      <c r="K954" s="12"/>
      <c r="M954" s="12"/>
    </row>
    <row r="955" spans="1:13" x14ac:dyDescent="0.2">
      <c r="A955" s="12"/>
      <c r="I955" s="12"/>
      <c r="K955" s="12"/>
      <c r="M955" s="12"/>
    </row>
    <row r="956" spans="1:13" x14ac:dyDescent="0.2">
      <c r="A956" s="12"/>
      <c r="I956" s="12"/>
      <c r="K956" s="12"/>
      <c r="M956" s="12"/>
    </row>
    <row r="957" spans="1:13" x14ac:dyDescent="0.2">
      <c r="A957" s="12"/>
      <c r="I957" s="12"/>
      <c r="K957" s="12"/>
      <c r="M957" s="12"/>
    </row>
    <row r="958" spans="1:13" x14ac:dyDescent="0.2">
      <c r="A958" s="12"/>
      <c r="I958" s="12"/>
      <c r="K958" s="12"/>
      <c r="M958" s="12"/>
    </row>
    <row r="959" spans="1:13" x14ac:dyDescent="0.2">
      <c r="A959" s="12"/>
      <c r="I959" s="12"/>
      <c r="K959" s="12"/>
      <c r="M959" s="12"/>
    </row>
    <row r="960" spans="1:13" x14ac:dyDescent="0.2">
      <c r="A960" s="12"/>
      <c r="I960" s="12"/>
      <c r="K960" s="12"/>
      <c r="M960" s="12"/>
    </row>
    <row r="961" spans="1:13" x14ac:dyDescent="0.2">
      <c r="A961" s="12"/>
      <c r="I961" s="12"/>
      <c r="K961" s="12"/>
      <c r="M961" s="12"/>
    </row>
    <row r="962" spans="1:13" x14ac:dyDescent="0.2">
      <c r="A962" s="12"/>
      <c r="I962" s="12"/>
      <c r="K962" s="12"/>
      <c r="M962" s="12"/>
    </row>
    <row r="963" spans="1:13" x14ac:dyDescent="0.2">
      <c r="A963" s="12"/>
      <c r="I963" s="12"/>
      <c r="K963" s="12"/>
      <c r="M963" s="12"/>
    </row>
    <row r="964" spans="1:13" x14ac:dyDescent="0.2">
      <c r="A964" s="12"/>
      <c r="I964" s="12"/>
      <c r="K964" s="12"/>
      <c r="M964" s="12"/>
    </row>
    <row r="965" spans="1:13" x14ac:dyDescent="0.2">
      <c r="A965" s="12"/>
      <c r="I965" s="12"/>
      <c r="K965" s="12"/>
      <c r="M965" s="12"/>
    </row>
    <row r="966" spans="1:13" x14ac:dyDescent="0.2">
      <c r="A966" s="12"/>
      <c r="I966" s="12"/>
      <c r="K966" s="12"/>
      <c r="M966" s="12"/>
    </row>
    <row r="967" spans="1:13" x14ac:dyDescent="0.2">
      <c r="A967" s="12"/>
      <c r="I967" s="12"/>
      <c r="K967" s="12"/>
      <c r="M967" s="12"/>
    </row>
    <row r="968" spans="1:13" x14ac:dyDescent="0.2">
      <c r="A968" s="12"/>
      <c r="I968" s="12"/>
      <c r="K968" s="12"/>
      <c r="M968" s="12"/>
    </row>
    <row r="969" spans="1:13" x14ac:dyDescent="0.2">
      <c r="A969" s="12"/>
      <c r="I969" s="12"/>
      <c r="K969" s="12"/>
      <c r="M969" s="12"/>
    </row>
    <row r="970" spans="1:13" x14ac:dyDescent="0.2">
      <c r="A970" s="12"/>
      <c r="I970" s="12"/>
      <c r="K970" s="12"/>
      <c r="M970" s="12"/>
    </row>
    <row r="971" spans="1:13" x14ac:dyDescent="0.2">
      <c r="A971" s="12"/>
      <c r="I971" s="12"/>
      <c r="K971" s="12"/>
      <c r="M971" s="12"/>
    </row>
    <row r="972" spans="1:13" x14ac:dyDescent="0.2">
      <c r="A972" s="12"/>
      <c r="I972" s="12"/>
      <c r="K972" s="12"/>
      <c r="M972" s="12"/>
    </row>
    <row r="973" spans="1:13" x14ac:dyDescent="0.2">
      <c r="A973" s="12"/>
      <c r="I973" s="12"/>
      <c r="K973" s="12"/>
      <c r="M973" s="12"/>
    </row>
    <row r="974" spans="1:13" x14ac:dyDescent="0.2">
      <c r="A974" s="12"/>
      <c r="I974" s="12"/>
      <c r="K974" s="12"/>
      <c r="M974" s="12"/>
    </row>
    <row r="975" spans="1:13" x14ac:dyDescent="0.2">
      <c r="A975" s="12"/>
      <c r="I975" s="12"/>
      <c r="K975" s="12"/>
      <c r="M975" s="12"/>
    </row>
    <row r="976" spans="1:13" x14ac:dyDescent="0.2">
      <c r="A976" s="12"/>
      <c r="I976" s="12"/>
      <c r="K976" s="12"/>
      <c r="M976" s="12"/>
    </row>
    <row r="977" spans="1:13" x14ac:dyDescent="0.2">
      <c r="A977" s="12"/>
      <c r="I977" s="12"/>
      <c r="K977" s="12"/>
      <c r="M977" s="12"/>
    </row>
    <row r="978" spans="1:13" x14ac:dyDescent="0.2">
      <c r="A978" s="12"/>
      <c r="I978" s="12"/>
      <c r="K978" s="12"/>
      <c r="M978" s="12"/>
    </row>
    <row r="979" spans="1:13" x14ac:dyDescent="0.2">
      <c r="A979" s="12"/>
      <c r="I979" s="12"/>
      <c r="K979" s="12"/>
      <c r="M979" s="12"/>
    </row>
    <row r="980" spans="1:13" x14ac:dyDescent="0.2">
      <c r="A980" s="12"/>
      <c r="I980" s="12"/>
      <c r="K980" s="12"/>
      <c r="M980" s="12"/>
    </row>
    <row r="981" spans="1:13" x14ac:dyDescent="0.2">
      <c r="A981" s="12"/>
      <c r="I981" s="12"/>
      <c r="K981" s="12"/>
      <c r="M981" s="12"/>
    </row>
    <row r="982" spans="1:13" x14ac:dyDescent="0.2">
      <c r="A982" s="12"/>
      <c r="I982" s="12"/>
      <c r="K982" s="12"/>
      <c r="M982" s="12"/>
    </row>
    <row r="983" spans="1:13" x14ac:dyDescent="0.2">
      <c r="A983" s="12"/>
      <c r="I983" s="12"/>
      <c r="K983" s="12"/>
      <c r="M983" s="12"/>
    </row>
    <row r="984" spans="1:13" x14ac:dyDescent="0.2">
      <c r="A984" s="12"/>
      <c r="I984" s="12"/>
      <c r="K984" s="12"/>
      <c r="M984" s="12"/>
    </row>
    <row r="985" spans="1:13" x14ac:dyDescent="0.2">
      <c r="A985" s="12"/>
      <c r="I985" s="12"/>
      <c r="K985" s="12"/>
      <c r="M985" s="12"/>
    </row>
    <row r="986" spans="1:13" x14ac:dyDescent="0.2">
      <c r="A986" s="12"/>
      <c r="I986" s="12"/>
      <c r="K986" s="12"/>
      <c r="M986" s="12"/>
    </row>
    <row r="987" spans="1:13" x14ac:dyDescent="0.2">
      <c r="A987" s="12"/>
      <c r="I987" s="12"/>
      <c r="K987" s="12"/>
      <c r="M987" s="12"/>
    </row>
    <row r="988" spans="1:13" x14ac:dyDescent="0.2">
      <c r="A988" s="12"/>
      <c r="I988" s="12"/>
      <c r="K988" s="12"/>
      <c r="M988" s="12"/>
    </row>
    <row r="989" spans="1:13" x14ac:dyDescent="0.2">
      <c r="A989" s="12"/>
      <c r="I989" s="12"/>
      <c r="K989" s="12"/>
      <c r="M989" s="12"/>
    </row>
    <row r="990" spans="1:13" x14ac:dyDescent="0.2">
      <c r="A990" s="12"/>
      <c r="I990" s="12"/>
      <c r="K990" s="12"/>
      <c r="M990" s="12"/>
    </row>
    <row r="991" spans="1:13" x14ac:dyDescent="0.2">
      <c r="A991" s="12"/>
      <c r="I991" s="12"/>
      <c r="K991" s="12"/>
      <c r="M991" s="12"/>
    </row>
    <row r="992" spans="1:13" x14ac:dyDescent="0.2">
      <c r="A992" s="12"/>
      <c r="I992" s="12"/>
      <c r="K992" s="12"/>
      <c r="M992" s="12"/>
    </row>
    <row r="993" spans="1:13" x14ac:dyDescent="0.2">
      <c r="A993" s="12"/>
      <c r="I993" s="12"/>
      <c r="K993" s="12"/>
      <c r="M993" s="12"/>
    </row>
    <row r="994" spans="1:13" x14ac:dyDescent="0.2">
      <c r="A994" s="12"/>
      <c r="I994" s="12"/>
      <c r="K994" s="12"/>
      <c r="M994" s="12"/>
    </row>
    <row r="995" spans="1:13" x14ac:dyDescent="0.2">
      <c r="A995" s="12"/>
      <c r="I995" s="12"/>
      <c r="K995" s="12"/>
      <c r="M995" s="12"/>
    </row>
    <row r="996" spans="1:13" x14ac:dyDescent="0.2">
      <c r="A996" s="12"/>
      <c r="I996" s="12"/>
      <c r="K996" s="12"/>
      <c r="M996" s="12"/>
    </row>
    <row r="997" spans="1:13" x14ac:dyDescent="0.2">
      <c r="A997" s="12"/>
      <c r="I997" s="12"/>
      <c r="K997" s="12"/>
      <c r="M997" s="12"/>
    </row>
    <row r="998" spans="1:13" x14ac:dyDescent="0.2">
      <c r="A998" s="12"/>
      <c r="I998" s="12"/>
      <c r="K998" s="12"/>
      <c r="M998" s="12"/>
    </row>
    <row r="999" spans="1:13" x14ac:dyDescent="0.2">
      <c r="A999" s="12"/>
      <c r="I999" s="12"/>
      <c r="K999" s="12"/>
      <c r="M999" s="12"/>
    </row>
    <row r="1000" spans="1:13" x14ac:dyDescent="0.2">
      <c r="A1000" s="12"/>
      <c r="I1000" s="12"/>
      <c r="K1000" s="12"/>
      <c r="M1000" s="12"/>
    </row>
    <row r="1001" spans="1:13" x14ac:dyDescent="0.2">
      <c r="A1001" s="12"/>
      <c r="I1001" s="12"/>
      <c r="K1001" s="12"/>
      <c r="M1001" s="12"/>
    </row>
    <row r="1002" spans="1:13" x14ac:dyDescent="0.2">
      <c r="A1002" s="12"/>
      <c r="I1002" s="12"/>
      <c r="K1002" s="12"/>
      <c r="M1002" s="12"/>
    </row>
    <row r="1003" spans="1:13" x14ac:dyDescent="0.2">
      <c r="A1003" s="12"/>
      <c r="I1003" s="12"/>
      <c r="K1003" s="12"/>
      <c r="M1003" s="12"/>
    </row>
    <row r="1004" spans="1:13" x14ac:dyDescent="0.2">
      <c r="A1004" s="12"/>
      <c r="I1004" s="12"/>
      <c r="K1004" s="12"/>
      <c r="M1004" s="12"/>
    </row>
    <row r="1005" spans="1:13" x14ac:dyDescent="0.2">
      <c r="A1005" s="12"/>
      <c r="I1005" s="12"/>
      <c r="K1005" s="12"/>
      <c r="M1005" s="12"/>
    </row>
    <row r="1006" spans="1:13" x14ac:dyDescent="0.2">
      <c r="A1006" s="12"/>
      <c r="I1006" s="12"/>
      <c r="K1006" s="12"/>
      <c r="M1006" s="12"/>
    </row>
    <row r="1007" spans="1:13" x14ac:dyDescent="0.2">
      <c r="A1007" s="12"/>
      <c r="I1007" s="12"/>
      <c r="K1007" s="12"/>
      <c r="M1007" s="12"/>
    </row>
    <row r="1008" spans="1:13" x14ac:dyDescent="0.2">
      <c r="A1008" s="12"/>
      <c r="I1008" s="12"/>
      <c r="K1008" s="12"/>
      <c r="M1008" s="12"/>
    </row>
    <row r="1009" spans="1:13" x14ac:dyDescent="0.2">
      <c r="A1009" s="12"/>
      <c r="I1009" s="12"/>
      <c r="K1009" s="12"/>
      <c r="M1009" s="12"/>
    </row>
    <row r="1010" spans="1:13" x14ac:dyDescent="0.2">
      <c r="A1010" s="12"/>
      <c r="I1010" s="12"/>
      <c r="K1010" s="12"/>
      <c r="M1010" s="12"/>
    </row>
    <row r="1011" spans="1:13" x14ac:dyDescent="0.2">
      <c r="A1011" s="12"/>
      <c r="I1011" s="12"/>
      <c r="K1011" s="12"/>
      <c r="M1011" s="12"/>
    </row>
    <row r="1012" spans="1:13" x14ac:dyDescent="0.2">
      <c r="A1012" s="12"/>
      <c r="I1012" s="12"/>
      <c r="K1012" s="12"/>
      <c r="M1012" s="12"/>
    </row>
    <row r="1013" spans="1:13" x14ac:dyDescent="0.2">
      <c r="A1013" s="12"/>
      <c r="I1013" s="12"/>
      <c r="K1013" s="12"/>
      <c r="M1013" s="12"/>
    </row>
    <row r="1014" spans="1:13" x14ac:dyDescent="0.2">
      <c r="A1014" s="12"/>
      <c r="I1014" s="12"/>
      <c r="K1014" s="12"/>
      <c r="M1014" s="12"/>
    </row>
    <row r="1015" spans="1:13" x14ac:dyDescent="0.2">
      <c r="A1015" s="12"/>
      <c r="I1015" s="12"/>
      <c r="K1015" s="12"/>
      <c r="M1015" s="12"/>
    </row>
    <row r="1016" spans="1:13" x14ac:dyDescent="0.2">
      <c r="A1016" s="12"/>
      <c r="I1016" s="12"/>
      <c r="K1016" s="12"/>
      <c r="M1016" s="12"/>
    </row>
    <row r="1017" spans="1:13" x14ac:dyDescent="0.2">
      <c r="A1017" s="12"/>
      <c r="I1017" s="12"/>
      <c r="K1017" s="12"/>
      <c r="M1017" s="12"/>
    </row>
    <row r="1018" spans="1:13" x14ac:dyDescent="0.2">
      <c r="A1018" s="12"/>
      <c r="I1018" s="12"/>
      <c r="K1018" s="12"/>
      <c r="M1018" s="12"/>
    </row>
    <row r="1019" spans="1:13" x14ac:dyDescent="0.2">
      <c r="A1019" s="12"/>
      <c r="I1019" s="12"/>
      <c r="K1019" s="12"/>
      <c r="M1019" s="12"/>
    </row>
    <row r="1020" spans="1:13" x14ac:dyDescent="0.2">
      <c r="A1020" s="12"/>
      <c r="I1020" s="12"/>
      <c r="K1020" s="12"/>
      <c r="M1020" s="12"/>
    </row>
    <row r="1021" spans="1:13" x14ac:dyDescent="0.2">
      <c r="A1021" s="12"/>
      <c r="I1021" s="12"/>
      <c r="K1021" s="12"/>
      <c r="M1021" s="12"/>
    </row>
    <row r="1022" spans="1:13" x14ac:dyDescent="0.2">
      <c r="A1022" s="12"/>
      <c r="I1022" s="12"/>
      <c r="K1022" s="12"/>
      <c r="M1022" s="12"/>
    </row>
    <row r="1023" spans="1:13" x14ac:dyDescent="0.2">
      <c r="A1023" s="12"/>
      <c r="I1023" s="12"/>
      <c r="K1023" s="12"/>
      <c r="M1023" s="12"/>
    </row>
    <row r="1024" spans="1:13" x14ac:dyDescent="0.2">
      <c r="A1024" s="12"/>
      <c r="I1024" s="12"/>
      <c r="K1024" s="12"/>
      <c r="M1024" s="12"/>
    </row>
    <row r="1025" spans="1:13" x14ac:dyDescent="0.2">
      <c r="A1025" s="12"/>
      <c r="I1025" s="12"/>
      <c r="K1025" s="12"/>
      <c r="M1025" s="12"/>
    </row>
    <row r="1026" spans="1:13" x14ac:dyDescent="0.2">
      <c r="A1026" s="12"/>
      <c r="I1026" s="12"/>
      <c r="K1026" s="12"/>
      <c r="M1026" s="12"/>
    </row>
    <row r="1027" spans="1:13" x14ac:dyDescent="0.2">
      <c r="A1027" s="12"/>
      <c r="I1027" s="12"/>
      <c r="K1027" s="12"/>
      <c r="M1027" s="12"/>
    </row>
    <row r="1028" spans="1:13" x14ac:dyDescent="0.2">
      <c r="A1028" s="12"/>
      <c r="I1028" s="12"/>
      <c r="K1028" s="12"/>
      <c r="M1028" s="12"/>
    </row>
    <row r="1029" spans="1:13" x14ac:dyDescent="0.2">
      <c r="A1029" s="12"/>
      <c r="I1029" s="12"/>
      <c r="K1029" s="12"/>
      <c r="M1029" s="12"/>
    </row>
    <row r="1030" spans="1:13" x14ac:dyDescent="0.2">
      <c r="A1030" s="12"/>
      <c r="I1030" s="12"/>
      <c r="K1030" s="12"/>
      <c r="M1030" s="12"/>
    </row>
    <row r="1031" spans="1:13" x14ac:dyDescent="0.2">
      <c r="A1031" s="12"/>
      <c r="I1031" s="12"/>
      <c r="K1031" s="12"/>
      <c r="M1031" s="12"/>
    </row>
    <row r="1032" spans="1:13" x14ac:dyDescent="0.2">
      <c r="A1032" s="12"/>
      <c r="I1032" s="12"/>
      <c r="K1032" s="12"/>
      <c r="M1032" s="12"/>
    </row>
    <row r="1033" spans="1:13" x14ac:dyDescent="0.2">
      <c r="A1033" s="12"/>
      <c r="I1033" s="12"/>
      <c r="K1033" s="12"/>
      <c r="M1033" s="12"/>
    </row>
    <row r="1034" spans="1:13" x14ac:dyDescent="0.2">
      <c r="A1034" s="12"/>
      <c r="I1034" s="12"/>
      <c r="K1034" s="12"/>
      <c r="M1034" s="12"/>
    </row>
    <row r="1035" spans="1:13" x14ac:dyDescent="0.2">
      <c r="A1035" s="12"/>
      <c r="I1035" s="12"/>
      <c r="K1035" s="12"/>
      <c r="M1035" s="12"/>
    </row>
    <row r="1036" spans="1:13" x14ac:dyDescent="0.2">
      <c r="A1036" s="12"/>
      <c r="I1036" s="12"/>
      <c r="K1036" s="12"/>
      <c r="M1036" s="12"/>
    </row>
    <row r="1037" spans="1:13" x14ac:dyDescent="0.2">
      <c r="A1037" s="12"/>
      <c r="I1037" s="12"/>
      <c r="K1037" s="12"/>
      <c r="M1037" s="12"/>
    </row>
    <row r="1038" spans="1:13" x14ac:dyDescent="0.2">
      <c r="A1038" s="12"/>
      <c r="I1038" s="12"/>
      <c r="K1038" s="12"/>
      <c r="M1038" s="12"/>
    </row>
    <row r="1039" spans="1:13" x14ac:dyDescent="0.2">
      <c r="A1039" s="12"/>
      <c r="I1039" s="12"/>
      <c r="K1039" s="12"/>
      <c r="M1039" s="12"/>
    </row>
    <row r="1040" spans="1:13" x14ac:dyDescent="0.2">
      <c r="A1040" s="12"/>
      <c r="I1040" s="12"/>
      <c r="K1040" s="12"/>
      <c r="M1040" s="12"/>
    </row>
    <row r="1041" spans="1:13" x14ac:dyDescent="0.2">
      <c r="A1041" s="12"/>
      <c r="I1041" s="12"/>
      <c r="K1041" s="12"/>
      <c r="M1041" s="12"/>
    </row>
    <row r="1042" spans="1:13" x14ac:dyDescent="0.2">
      <c r="A1042" s="12"/>
      <c r="I1042" s="12"/>
      <c r="K1042" s="12"/>
      <c r="M1042" s="12"/>
    </row>
    <row r="1043" spans="1:13" x14ac:dyDescent="0.2">
      <c r="A1043" s="12"/>
      <c r="I1043" s="12"/>
      <c r="K1043" s="12"/>
      <c r="M1043" s="12"/>
    </row>
    <row r="1044" spans="1:13" x14ac:dyDescent="0.2">
      <c r="A1044" s="12"/>
      <c r="I1044" s="12"/>
      <c r="K1044" s="12"/>
      <c r="M1044" s="12"/>
    </row>
    <row r="1045" spans="1:13" x14ac:dyDescent="0.2">
      <c r="A1045" s="12"/>
      <c r="I1045" s="12"/>
      <c r="K1045" s="12"/>
      <c r="M1045" s="12"/>
    </row>
    <row r="1046" spans="1:13" x14ac:dyDescent="0.2">
      <c r="A1046" s="12"/>
      <c r="I1046" s="12"/>
      <c r="K1046" s="12"/>
      <c r="M1046" s="12"/>
    </row>
    <row r="1047" spans="1:13" x14ac:dyDescent="0.2">
      <c r="A1047" s="12"/>
      <c r="I1047" s="12"/>
      <c r="K1047" s="12"/>
      <c r="M1047" s="12"/>
    </row>
    <row r="1048" spans="1:13" x14ac:dyDescent="0.2">
      <c r="A1048" s="12"/>
      <c r="I1048" s="12"/>
      <c r="K1048" s="12"/>
      <c r="M1048" s="12"/>
    </row>
    <row r="1049" spans="1:13" x14ac:dyDescent="0.2">
      <c r="A1049" s="12"/>
      <c r="I1049" s="12"/>
      <c r="K1049" s="12"/>
      <c r="M1049" s="12"/>
    </row>
    <row r="1050" spans="1:13" x14ac:dyDescent="0.2">
      <c r="A1050" s="12"/>
      <c r="I1050" s="12"/>
      <c r="K1050" s="12"/>
      <c r="M1050" s="12"/>
    </row>
    <row r="1051" spans="1:13" x14ac:dyDescent="0.2">
      <c r="A1051" s="12"/>
      <c r="I1051" s="12"/>
      <c r="K1051" s="12"/>
      <c r="M1051" s="12"/>
    </row>
    <row r="1052" spans="1:13" x14ac:dyDescent="0.2">
      <c r="A1052" s="12"/>
      <c r="I1052" s="12"/>
      <c r="K1052" s="12"/>
      <c r="M1052" s="12"/>
    </row>
    <row r="1053" spans="1:13" x14ac:dyDescent="0.2">
      <c r="A1053" s="12"/>
      <c r="I1053" s="12"/>
      <c r="K1053" s="12"/>
      <c r="M1053" s="12"/>
    </row>
    <row r="1054" spans="1:13" x14ac:dyDescent="0.2">
      <c r="A1054" s="12"/>
      <c r="I1054" s="12"/>
      <c r="K1054" s="12"/>
      <c r="M1054" s="12"/>
    </row>
    <row r="1055" spans="1:13" x14ac:dyDescent="0.2">
      <c r="A1055" s="12"/>
      <c r="I1055" s="12"/>
      <c r="K1055" s="12"/>
      <c r="M1055" s="12"/>
    </row>
    <row r="1056" spans="1:13" x14ac:dyDescent="0.2">
      <c r="A1056" s="12"/>
      <c r="I1056" s="12"/>
      <c r="K1056" s="12"/>
      <c r="M1056" s="12"/>
    </row>
    <row r="1057" spans="1:13" x14ac:dyDescent="0.2">
      <c r="A1057" s="12"/>
      <c r="I1057" s="12"/>
      <c r="K1057" s="12"/>
      <c r="M1057" s="12"/>
    </row>
    <row r="1058" spans="1:13" x14ac:dyDescent="0.2">
      <c r="A1058" s="12"/>
      <c r="I1058" s="12"/>
      <c r="K1058" s="12"/>
      <c r="M1058" s="12"/>
    </row>
    <row r="1059" spans="1:13" x14ac:dyDescent="0.2">
      <c r="A1059" s="12"/>
      <c r="I1059" s="12"/>
      <c r="K1059" s="12"/>
      <c r="M1059" s="12"/>
    </row>
    <row r="1060" spans="1:13" x14ac:dyDescent="0.2">
      <c r="A1060" s="12"/>
      <c r="I1060" s="12"/>
      <c r="K1060" s="12"/>
      <c r="M1060" s="12"/>
    </row>
    <row r="1061" spans="1:13" x14ac:dyDescent="0.2">
      <c r="A1061" s="12"/>
      <c r="I1061" s="12"/>
      <c r="K1061" s="12"/>
      <c r="M1061" s="12"/>
    </row>
    <row r="1062" spans="1:13" x14ac:dyDescent="0.2">
      <c r="A1062" s="12"/>
      <c r="I1062" s="12"/>
      <c r="K1062" s="12"/>
      <c r="M1062" s="12"/>
    </row>
    <row r="1063" spans="1:13" x14ac:dyDescent="0.2">
      <c r="A1063" s="12"/>
      <c r="I1063" s="12"/>
      <c r="K1063" s="12"/>
      <c r="M1063" s="12"/>
    </row>
    <row r="1064" spans="1:13" x14ac:dyDescent="0.2">
      <c r="A1064" s="12"/>
      <c r="I1064" s="12"/>
      <c r="K1064" s="12"/>
      <c r="M1064" s="12"/>
    </row>
    <row r="1065" spans="1:13" x14ac:dyDescent="0.2">
      <c r="A1065" s="12"/>
      <c r="I1065" s="12"/>
      <c r="K1065" s="12"/>
      <c r="M1065" s="12"/>
    </row>
    <row r="1066" spans="1:13" x14ac:dyDescent="0.2">
      <c r="A1066" s="12"/>
      <c r="I1066" s="12"/>
      <c r="K1066" s="12"/>
      <c r="M1066" s="12"/>
    </row>
    <row r="1067" spans="1:13" x14ac:dyDescent="0.2">
      <c r="A1067" s="12"/>
      <c r="I1067" s="12"/>
      <c r="K1067" s="12"/>
      <c r="M1067" s="12"/>
    </row>
    <row r="1068" spans="1:13" x14ac:dyDescent="0.2">
      <c r="A1068" s="12"/>
      <c r="I1068" s="12"/>
      <c r="K1068" s="12"/>
      <c r="M1068" s="12"/>
    </row>
    <row r="1069" spans="1:13" x14ac:dyDescent="0.2">
      <c r="A1069" s="12"/>
      <c r="I1069" s="12"/>
      <c r="K1069" s="12"/>
      <c r="M1069" s="12"/>
    </row>
    <row r="1070" spans="1:13" x14ac:dyDescent="0.2">
      <c r="A1070" s="12"/>
      <c r="I1070" s="12"/>
      <c r="K1070" s="12"/>
      <c r="M1070" s="12"/>
    </row>
    <row r="1071" spans="1:13" x14ac:dyDescent="0.2">
      <c r="A1071" s="12"/>
      <c r="I1071" s="12"/>
      <c r="K1071" s="12"/>
      <c r="M1071" s="12"/>
    </row>
    <row r="1072" spans="1:13" x14ac:dyDescent="0.2">
      <c r="A1072" s="12"/>
      <c r="I1072" s="12"/>
      <c r="K1072" s="12"/>
      <c r="M1072" s="12"/>
    </row>
    <row r="1073" spans="1:13" x14ac:dyDescent="0.2">
      <c r="A1073" s="12"/>
      <c r="I1073" s="12"/>
      <c r="K1073" s="12"/>
      <c r="M1073" s="12"/>
    </row>
    <row r="1074" spans="1:13" x14ac:dyDescent="0.2">
      <c r="A1074" s="12"/>
      <c r="I1074" s="12"/>
      <c r="K1074" s="12"/>
      <c r="M1074" s="12"/>
    </row>
    <row r="1075" spans="1:13" x14ac:dyDescent="0.2">
      <c r="A1075" s="12"/>
      <c r="I1075" s="12"/>
      <c r="K1075" s="12"/>
      <c r="M1075" s="12"/>
    </row>
    <row r="1076" spans="1:13" x14ac:dyDescent="0.2">
      <c r="A1076" s="12"/>
      <c r="I1076" s="12"/>
      <c r="K1076" s="12"/>
      <c r="M1076" s="12"/>
    </row>
    <row r="1077" spans="1:13" x14ac:dyDescent="0.2">
      <c r="A1077" s="12"/>
      <c r="I1077" s="12"/>
      <c r="K1077" s="12"/>
      <c r="M1077" s="12"/>
    </row>
    <row r="1078" spans="1:13" x14ac:dyDescent="0.2">
      <c r="A1078" s="12"/>
      <c r="I1078" s="12"/>
      <c r="K1078" s="12"/>
      <c r="M1078" s="12"/>
    </row>
    <row r="1079" spans="1:13" x14ac:dyDescent="0.2">
      <c r="A1079" s="12"/>
      <c r="I1079" s="12"/>
      <c r="K1079" s="12"/>
      <c r="M1079" s="12"/>
    </row>
    <row r="1080" spans="1:13" x14ac:dyDescent="0.2">
      <c r="A1080" s="12"/>
      <c r="I1080" s="12"/>
      <c r="K1080" s="12"/>
      <c r="M1080" s="12"/>
    </row>
    <row r="1081" spans="1:13" x14ac:dyDescent="0.2">
      <c r="A1081" s="12"/>
      <c r="I1081" s="12"/>
      <c r="K1081" s="12"/>
      <c r="M1081" s="12"/>
    </row>
    <row r="1082" spans="1:13" x14ac:dyDescent="0.2">
      <c r="A1082" s="12"/>
      <c r="I1082" s="12"/>
      <c r="K1082" s="12"/>
      <c r="M1082" s="12"/>
    </row>
    <row r="1083" spans="1:13" x14ac:dyDescent="0.2">
      <c r="A1083" s="12"/>
      <c r="I1083" s="12"/>
      <c r="K1083" s="12"/>
      <c r="M1083" s="12"/>
    </row>
    <row r="1084" spans="1:13" x14ac:dyDescent="0.2">
      <c r="A1084" s="12"/>
      <c r="I1084" s="12"/>
      <c r="K1084" s="12"/>
      <c r="M1084" s="12"/>
    </row>
    <row r="1085" spans="1:13" x14ac:dyDescent="0.2">
      <c r="A1085" s="12"/>
      <c r="I1085" s="12"/>
      <c r="K1085" s="12"/>
      <c r="M1085" s="12"/>
    </row>
    <row r="1086" spans="1:13" x14ac:dyDescent="0.2">
      <c r="A1086" s="12"/>
      <c r="I1086" s="12"/>
      <c r="K1086" s="12"/>
      <c r="M1086" s="12"/>
    </row>
    <row r="1087" spans="1:13" x14ac:dyDescent="0.2">
      <c r="A1087" s="12"/>
      <c r="I1087" s="12"/>
      <c r="K1087" s="12"/>
      <c r="M1087" s="12"/>
    </row>
    <row r="1088" spans="1:13" x14ac:dyDescent="0.2">
      <c r="A1088" s="12"/>
      <c r="I1088" s="12"/>
      <c r="K1088" s="12"/>
      <c r="M1088" s="12"/>
    </row>
    <row r="1089" spans="1:13" x14ac:dyDescent="0.2">
      <c r="A1089" s="12"/>
      <c r="I1089" s="12"/>
      <c r="K1089" s="12"/>
      <c r="M1089" s="12"/>
    </row>
    <row r="1090" spans="1:13" x14ac:dyDescent="0.2">
      <c r="A1090" s="12"/>
      <c r="I1090" s="12"/>
      <c r="K1090" s="12"/>
      <c r="M1090" s="12"/>
    </row>
    <row r="1091" spans="1:13" x14ac:dyDescent="0.2">
      <c r="A1091" s="12"/>
      <c r="I1091" s="12"/>
      <c r="K1091" s="12"/>
      <c r="M1091" s="12"/>
    </row>
    <row r="1092" spans="1:13" x14ac:dyDescent="0.2">
      <c r="A1092" s="12"/>
      <c r="I1092" s="12"/>
      <c r="K1092" s="12"/>
      <c r="M1092" s="12"/>
    </row>
    <row r="1093" spans="1:13" x14ac:dyDescent="0.2">
      <c r="A1093" s="12"/>
      <c r="I1093" s="12"/>
      <c r="K1093" s="12"/>
      <c r="M1093" s="12"/>
    </row>
    <row r="1094" spans="1:13" x14ac:dyDescent="0.2">
      <c r="A1094" s="12"/>
      <c r="I1094" s="12"/>
      <c r="K1094" s="12"/>
      <c r="M1094" s="12"/>
    </row>
    <row r="1095" spans="1:13" x14ac:dyDescent="0.2">
      <c r="A1095" s="12"/>
      <c r="I1095" s="12"/>
      <c r="K1095" s="12"/>
      <c r="M1095" s="12"/>
    </row>
    <row r="1096" spans="1:13" x14ac:dyDescent="0.2">
      <c r="A1096" s="12"/>
      <c r="I1096" s="12"/>
      <c r="K1096" s="12"/>
      <c r="M1096" s="12"/>
    </row>
    <row r="1097" spans="1:13" x14ac:dyDescent="0.2">
      <c r="A1097" s="12"/>
      <c r="I1097" s="12"/>
      <c r="K1097" s="12"/>
      <c r="M1097" s="12"/>
    </row>
    <row r="1098" spans="1:13" x14ac:dyDescent="0.2">
      <c r="A1098" s="12"/>
      <c r="I1098" s="12"/>
      <c r="K1098" s="12"/>
      <c r="M1098" s="12"/>
    </row>
    <row r="1099" spans="1:13" x14ac:dyDescent="0.2">
      <c r="A1099" s="12"/>
      <c r="I1099" s="12"/>
      <c r="K1099" s="12"/>
      <c r="M1099" s="12"/>
    </row>
    <row r="1100" spans="1:13" x14ac:dyDescent="0.2">
      <c r="A1100" s="12"/>
      <c r="I1100" s="12"/>
      <c r="K1100" s="12"/>
      <c r="M1100" s="12"/>
    </row>
    <row r="1101" spans="1:13" x14ac:dyDescent="0.2">
      <c r="A1101" s="12"/>
      <c r="I1101" s="12"/>
      <c r="K1101" s="12"/>
      <c r="M1101" s="12"/>
    </row>
    <row r="1102" spans="1:13" x14ac:dyDescent="0.2">
      <c r="A1102" s="12"/>
      <c r="I1102" s="12"/>
      <c r="K1102" s="12"/>
      <c r="M1102" s="12"/>
    </row>
    <row r="1103" spans="1:13" x14ac:dyDescent="0.2">
      <c r="A1103" s="12"/>
      <c r="I1103" s="12"/>
      <c r="K1103" s="12"/>
      <c r="M1103" s="12"/>
    </row>
    <row r="1104" spans="1:13" x14ac:dyDescent="0.2">
      <c r="A1104" s="12"/>
      <c r="I1104" s="12"/>
      <c r="K1104" s="12"/>
      <c r="M1104" s="12"/>
    </row>
    <row r="1105" spans="1:13" x14ac:dyDescent="0.2">
      <c r="A1105" s="12"/>
      <c r="I1105" s="12"/>
      <c r="K1105" s="12"/>
      <c r="M1105" s="12"/>
    </row>
    <row r="1106" spans="1:13" x14ac:dyDescent="0.2">
      <c r="A1106" s="12"/>
      <c r="I1106" s="12"/>
      <c r="K1106" s="12"/>
      <c r="M1106" s="12"/>
    </row>
    <row r="1107" spans="1:13" x14ac:dyDescent="0.2">
      <c r="A1107" s="12"/>
      <c r="I1107" s="12"/>
      <c r="K1107" s="12"/>
      <c r="M1107" s="12"/>
    </row>
    <row r="1108" spans="1:13" x14ac:dyDescent="0.2">
      <c r="A1108" s="12"/>
      <c r="I1108" s="12"/>
      <c r="K1108" s="12"/>
      <c r="M1108" s="12"/>
    </row>
    <row r="1109" spans="1:13" x14ac:dyDescent="0.2">
      <c r="A1109" s="12"/>
      <c r="I1109" s="12"/>
      <c r="K1109" s="12"/>
      <c r="M1109" s="12"/>
    </row>
    <row r="1110" spans="1:13" x14ac:dyDescent="0.2">
      <c r="A1110" s="12"/>
      <c r="I1110" s="12"/>
      <c r="K1110" s="12"/>
      <c r="M1110" s="12"/>
    </row>
    <row r="1111" spans="1:13" x14ac:dyDescent="0.2">
      <c r="A1111" s="12"/>
      <c r="I1111" s="12"/>
      <c r="K1111" s="12"/>
      <c r="M1111" s="12"/>
    </row>
    <row r="1112" spans="1:13" x14ac:dyDescent="0.2">
      <c r="A1112" s="12"/>
      <c r="I1112" s="12"/>
      <c r="K1112" s="12"/>
      <c r="M1112" s="12"/>
    </row>
    <row r="1113" spans="1:13" x14ac:dyDescent="0.2">
      <c r="A1113" s="12"/>
      <c r="I1113" s="12"/>
      <c r="K1113" s="12"/>
      <c r="M1113" s="12"/>
    </row>
    <row r="1114" spans="1:13" x14ac:dyDescent="0.2">
      <c r="A1114" s="12"/>
      <c r="I1114" s="12"/>
      <c r="K1114" s="12"/>
      <c r="M1114" s="12"/>
    </row>
    <row r="1115" spans="1:13" x14ac:dyDescent="0.2">
      <c r="A1115" s="12"/>
      <c r="I1115" s="12"/>
      <c r="K1115" s="12"/>
      <c r="M1115" s="12"/>
    </row>
    <row r="1116" spans="1:13" x14ac:dyDescent="0.2">
      <c r="A1116" s="12"/>
      <c r="I1116" s="12"/>
      <c r="K1116" s="12"/>
      <c r="M1116" s="12"/>
    </row>
    <row r="1117" spans="1:13" x14ac:dyDescent="0.2">
      <c r="A1117" s="12"/>
      <c r="I1117" s="12"/>
      <c r="K1117" s="12"/>
      <c r="M1117" s="12"/>
    </row>
    <row r="1118" spans="1:13" x14ac:dyDescent="0.2">
      <c r="A1118" s="12"/>
      <c r="I1118" s="12"/>
      <c r="K1118" s="12"/>
      <c r="M1118" s="12"/>
    </row>
    <row r="1119" spans="1:13" x14ac:dyDescent="0.2">
      <c r="A1119" s="12"/>
      <c r="I1119" s="12"/>
      <c r="K1119" s="12"/>
      <c r="M1119" s="12"/>
    </row>
    <row r="1120" spans="1:13" x14ac:dyDescent="0.2">
      <c r="A1120" s="12"/>
      <c r="I1120" s="12"/>
      <c r="K1120" s="12"/>
      <c r="M1120" s="12"/>
    </row>
    <row r="1121" spans="1:13" x14ac:dyDescent="0.2">
      <c r="A1121" s="12"/>
      <c r="I1121" s="12"/>
      <c r="K1121" s="12"/>
      <c r="M1121" s="12"/>
    </row>
    <row r="1122" spans="1:13" x14ac:dyDescent="0.2">
      <c r="A1122" s="12"/>
      <c r="I1122" s="12"/>
      <c r="K1122" s="12"/>
      <c r="M1122" s="12"/>
    </row>
    <row r="1123" spans="1:13" x14ac:dyDescent="0.2">
      <c r="A1123" s="12"/>
      <c r="I1123" s="12"/>
      <c r="K1123" s="12"/>
      <c r="M1123" s="12"/>
    </row>
    <row r="1124" spans="1:13" x14ac:dyDescent="0.2">
      <c r="A1124" s="12"/>
      <c r="I1124" s="12"/>
      <c r="K1124" s="12"/>
      <c r="M1124" s="12"/>
    </row>
    <row r="1125" spans="1:13" x14ac:dyDescent="0.2">
      <c r="A1125" s="12"/>
      <c r="I1125" s="12"/>
      <c r="K1125" s="12"/>
      <c r="M1125" s="12"/>
    </row>
    <row r="1126" spans="1:13" x14ac:dyDescent="0.2">
      <c r="A1126" s="12"/>
      <c r="I1126" s="12"/>
      <c r="K1126" s="12"/>
      <c r="M1126" s="12"/>
    </row>
    <row r="1127" spans="1:13" x14ac:dyDescent="0.2">
      <c r="A1127" s="12"/>
      <c r="I1127" s="12"/>
      <c r="K1127" s="12"/>
      <c r="M1127" s="12"/>
    </row>
    <row r="1128" spans="1:13" x14ac:dyDescent="0.2">
      <c r="A1128" s="12"/>
      <c r="I1128" s="12"/>
      <c r="K1128" s="12"/>
      <c r="M1128" s="12"/>
    </row>
    <row r="1129" spans="1:13" x14ac:dyDescent="0.2">
      <c r="A1129" s="12"/>
      <c r="I1129" s="12"/>
      <c r="K1129" s="12"/>
      <c r="M1129" s="12"/>
    </row>
    <row r="1130" spans="1:13" x14ac:dyDescent="0.2">
      <c r="A1130" s="12"/>
      <c r="I1130" s="12"/>
      <c r="K1130" s="12"/>
      <c r="M1130" s="12"/>
    </row>
    <row r="1131" spans="1:13" x14ac:dyDescent="0.2">
      <c r="A1131" s="12"/>
      <c r="I1131" s="12"/>
      <c r="K1131" s="12"/>
      <c r="M1131" s="12"/>
    </row>
    <row r="1132" spans="1:13" x14ac:dyDescent="0.2">
      <c r="A1132" s="12"/>
      <c r="I1132" s="12"/>
      <c r="K1132" s="12"/>
      <c r="M1132" s="12"/>
    </row>
    <row r="1133" spans="1:13" x14ac:dyDescent="0.2">
      <c r="A1133" s="12"/>
      <c r="I1133" s="12"/>
      <c r="K1133" s="12"/>
      <c r="M1133" s="12"/>
    </row>
    <row r="1134" spans="1:13" x14ac:dyDescent="0.2">
      <c r="A1134" s="12"/>
      <c r="I1134" s="12"/>
      <c r="K1134" s="12"/>
      <c r="M1134" s="12"/>
    </row>
    <row r="1135" spans="1:13" x14ac:dyDescent="0.2">
      <c r="A1135" s="12"/>
      <c r="I1135" s="12"/>
      <c r="K1135" s="12"/>
      <c r="M1135" s="12"/>
    </row>
    <row r="1136" spans="1:13" x14ac:dyDescent="0.2">
      <c r="A1136" s="12"/>
      <c r="I1136" s="12"/>
      <c r="K1136" s="12"/>
      <c r="M1136" s="12"/>
    </row>
    <row r="1137" spans="1:13" x14ac:dyDescent="0.2">
      <c r="A1137" s="12"/>
      <c r="I1137" s="12"/>
      <c r="K1137" s="12"/>
      <c r="M1137" s="12"/>
    </row>
    <row r="1138" spans="1:13" x14ac:dyDescent="0.2">
      <c r="A1138" s="12"/>
      <c r="I1138" s="12"/>
      <c r="K1138" s="12"/>
      <c r="M1138" s="12"/>
    </row>
    <row r="1139" spans="1:13" x14ac:dyDescent="0.2">
      <c r="A1139" s="12"/>
      <c r="I1139" s="12"/>
      <c r="K1139" s="12"/>
      <c r="M1139" s="12"/>
    </row>
    <row r="1140" spans="1:13" x14ac:dyDescent="0.2">
      <c r="A1140" s="12"/>
      <c r="I1140" s="12"/>
      <c r="K1140" s="12"/>
      <c r="M1140" s="12"/>
    </row>
    <row r="1141" spans="1:13" x14ac:dyDescent="0.2">
      <c r="A1141" s="12"/>
      <c r="I1141" s="12"/>
      <c r="K1141" s="12"/>
      <c r="M1141" s="12"/>
    </row>
    <row r="1142" spans="1:13" x14ac:dyDescent="0.2">
      <c r="A1142" s="12"/>
      <c r="I1142" s="12"/>
      <c r="K1142" s="12"/>
      <c r="M1142" s="12"/>
    </row>
    <row r="1143" spans="1:13" x14ac:dyDescent="0.2">
      <c r="A1143" s="12"/>
      <c r="I1143" s="12"/>
      <c r="K1143" s="12"/>
      <c r="M1143" s="12"/>
    </row>
    <row r="1144" spans="1:13" x14ac:dyDescent="0.2">
      <c r="A1144" s="12"/>
      <c r="I1144" s="12"/>
      <c r="K1144" s="12"/>
      <c r="M1144" s="12"/>
    </row>
    <row r="1145" spans="1:13" x14ac:dyDescent="0.2">
      <c r="A1145" s="12"/>
      <c r="I1145" s="12"/>
      <c r="K1145" s="12"/>
      <c r="M1145" s="12"/>
    </row>
    <row r="1146" spans="1:13" x14ac:dyDescent="0.2">
      <c r="A1146" s="12"/>
      <c r="I1146" s="12"/>
      <c r="K1146" s="12"/>
      <c r="M1146" s="12"/>
    </row>
    <row r="1147" spans="1:13" x14ac:dyDescent="0.2">
      <c r="A1147" s="12"/>
      <c r="I1147" s="12"/>
      <c r="K1147" s="12"/>
      <c r="M1147" s="12"/>
    </row>
    <row r="1148" spans="1:13" x14ac:dyDescent="0.2">
      <c r="A1148" s="12"/>
      <c r="I1148" s="12"/>
      <c r="K1148" s="12"/>
      <c r="M1148" s="12"/>
    </row>
    <row r="1149" spans="1:13" x14ac:dyDescent="0.2">
      <c r="A1149" s="12"/>
      <c r="I1149" s="12"/>
      <c r="K1149" s="12"/>
      <c r="M1149" s="12"/>
    </row>
    <row r="1150" spans="1:13" x14ac:dyDescent="0.2">
      <c r="A1150" s="12"/>
      <c r="I1150" s="12"/>
      <c r="K1150" s="12"/>
      <c r="M1150" s="12"/>
    </row>
    <row r="1151" spans="1:13" x14ac:dyDescent="0.2">
      <c r="A1151" s="12"/>
      <c r="I1151" s="12"/>
      <c r="K1151" s="12"/>
      <c r="M1151" s="12"/>
    </row>
    <row r="1152" spans="1:13" x14ac:dyDescent="0.2">
      <c r="A1152" s="12"/>
      <c r="I1152" s="12"/>
      <c r="K1152" s="12"/>
      <c r="M1152" s="12"/>
    </row>
    <row r="1153" spans="1:13" x14ac:dyDescent="0.2">
      <c r="A1153" s="12"/>
      <c r="I1153" s="12"/>
      <c r="K1153" s="12"/>
      <c r="M1153" s="12"/>
    </row>
    <row r="1154" spans="1:13" x14ac:dyDescent="0.2">
      <c r="A1154" s="12"/>
      <c r="I1154" s="12"/>
      <c r="K1154" s="12"/>
      <c r="M1154" s="12"/>
    </row>
    <row r="1155" spans="1:13" x14ac:dyDescent="0.2">
      <c r="A1155" s="12"/>
      <c r="I1155" s="12"/>
      <c r="K1155" s="12"/>
      <c r="M1155" s="12"/>
    </row>
    <row r="1156" spans="1:13" x14ac:dyDescent="0.2">
      <c r="A1156" s="12"/>
      <c r="I1156" s="12"/>
      <c r="K1156" s="12"/>
      <c r="M1156" s="12"/>
    </row>
    <row r="1157" spans="1:13" x14ac:dyDescent="0.2">
      <c r="A1157" s="12"/>
      <c r="I1157" s="12"/>
      <c r="K1157" s="12"/>
      <c r="M1157" s="12"/>
    </row>
    <row r="1158" spans="1:13" x14ac:dyDescent="0.2">
      <c r="A1158" s="12"/>
      <c r="I1158" s="12"/>
      <c r="K1158" s="12"/>
      <c r="M1158" s="12"/>
    </row>
    <row r="1159" spans="1:13" x14ac:dyDescent="0.2">
      <c r="A1159" s="12"/>
      <c r="I1159" s="12"/>
      <c r="K1159" s="12"/>
      <c r="M1159" s="12"/>
    </row>
    <row r="1160" spans="1:13" x14ac:dyDescent="0.2">
      <c r="A1160" s="12"/>
      <c r="I1160" s="12"/>
      <c r="K1160" s="12"/>
      <c r="M1160" s="12"/>
    </row>
    <row r="1161" spans="1:13" x14ac:dyDescent="0.2">
      <c r="A1161" s="12"/>
      <c r="I1161" s="12"/>
      <c r="K1161" s="12"/>
      <c r="M1161" s="12"/>
    </row>
    <row r="1162" spans="1:13" x14ac:dyDescent="0.2">
      <c r="A1162" s="12"/>
      <c r="I1162" s="12"/>
      <c r="K1162" s="12"/>
      <c r="M1162" s="12"/>
    </row>
    <row r="1163" spans="1:13" x14ac:dyDescent="0.2">
      <c r="A1163" s="12"/>
      <c r="I1163" s="12"/>
      <c r="K1163" s="12"/>
      <c r="M1163" s="12"/>
    </row>
    <row r="1164" spans="1:13" x14ac:dyDescent="0.2">
      <c r="A1164" s="12"/>
      <c r="I1164" s="12"/>
      <c r="K1164" s="12"/>
      <c r="M1164" s="12"/>
    </row>
    <row r="1165" spans="1:13" x14ac:dyDescent="0.2">
      <c r="A1165" s="12"/>
      <c r="I1165" s="12"/>
      <c r="K1165" s="12"/>
      <c r="M1165" s="12"/>
    </row>
    <row r="1166" spans="1:13" x14ac:dyDescent="0.2">
      <c r="A1166" s="12"/>
      <c r="I1166" s="12"/>
      <c r="K1166" s="12"/>
      <c r="M1166" s="12"/>
    </row>
    <row r="1167" spans="1:13" x14ac:dyDescent="0.2">
      <c r="A1167" s="12"/>
      <c r="I1167" s="12"/>
      <c r="K1167" s="12"/>
      <c r="M1167" s="12"/>
    </row>
    <row r="1168" spans="1:13" x14ac:dyDescent="0.2">
      <c r="A1168" s="12"/>
      <c r="I1168" s="12"/>
      <c r="K1168" s="12"/>
      <c r="M1168" s="12"/>
    </row>
    <row r="1169" spans="1:13" x14ac:dyDescent="0.2">
      <c r="A1169" s="12"/>
      <c r="I1169" s="12"/>
      <c r="K1169" s="12"/>
      <c r="M1169" s="12"/>
    </row>
    <row r="1170" spans="1:13" x14ac:dyDescent="0.2">
      <c r="A1170" s="12"/>
      <c r="I1170" s="12"/>
      <c r="K1170" s="12"/>
      <c r="M1170" s="12"/>
    </row>
    <row r="1171" spans="1:13" x14ac:dyDescent="0.2">
      <c r="A1171" s="12"/>
      <c r="I1171" s="12"/>
      <c r="K1171" s="12"/>
      <c r="M1171" s="12"/>
    </row>
    <row r="1172" spans="1:13" x14ac:dyDescent="0.2">
      <c r="A1172" s="12"/>
      <c r="I1172" s="12"/>
      <c r="K1172" s="12"/>
      <c r="M1172" s="12"/>
    </row>
    <row r="1173" spans="1:13" x14ac:dyDescent="0.2">
      <c r="A1173" s="12"/>
      <c r="I1173" s="12"/>
      <c r="K1173" s="12"/>
      <c r="M1173" s="12"/>
    </row>
    <row r="1174" spans="1:13" x14ac:dyDescent="0.2">
      <c r="A1174" s="12"/>
      <c r="I1174" s="12"/>
      <c r="K1174" s="12"/>
      <c r="M1174" s="12"/>
    </row>
    <row r="1175" spans="1:13" x14ac:dyDescent="0.2">
      <c r="A1175" s="12"/>
      <c r="I1175" s="12"/>
      <c r="K1175" s="12"/>
      <c r="M1175" s="12"/>
    </row>
    <row r="1176" spans="1:13" x14ac:dyDescent="0.2">
      <c r="A1176" s="12"/>
      <c r="I1176" s="12"/>
      <c r="K1176" s="12"/>
      <c r="M1176" s="12"/>
    </row>
    <row r="1177" spans="1:13" x14ac:dyDescent="0.2">
      <c r="A1177" s="12"/>
      <c r="I1177" s="12"/>
      <c r="K1177" s="12"/>
      <c r="M1177" s="12"/>
    </row>
    <row r="1178" spans="1:13" x14ac:dyDescent="0.2">
      <c r="A1178" s="12"/>
      <c r="I1178" s="12"/>
      <c r="K1178" s="12"/>
      <c r="M1178" s="12"/>
    </row>
    <row r="1179" spans="1:13" x14ac:dyDescent="0.2">
      <c r="A1179" s="12"/>
      <c r="I1179" s="12"/>
      <c r="K1179" s="12"/>
      <c r="M1179" s="12"/>
    </row>
    <row r="1180" spans="1:13" x14ac:dyDescent="0.2">
      <c r="A1180" s="12"/>
      <c r="I1180" s="12"/>
      <c r="K1180" s="12"/>
      <c r="M1180" s="12"/>
    </row>
    <row r="1181" spans="1:13" x14ac:dyDescent="0.2">
      <c r="A1181" s="12"/>
      <c r="I1181" s="12"/>
      <c r="K1181" s="12"/>
      <c r="M1181" s="12"/>
    </row>
    <row r="1182" spans="1:13" x14ac:dyDescent="0.2">
      <c r="A1182" s="12"/>
      <c r="I1182" s="12"/>
      <c r="K1182" s="12"/>
      <c r="M1182" s="12"/>
    </row>
    <row r="1183" spans="1:13" x14ac:dyDescent="0.2">
      <c r="A1183" s="12"/>
      <c r="I1183" s="12"/>
      <c r="K1183" s="12"/>
      <c r="M1183" s="12"/>
    </row>
    <row r="1184" spans="1:13" x14ac:dyDescent="0.2">
      <c r="A1184" s="12"/>
      <c r="I1184" s="12"/>
      <c r="K1184" s="12"/>
      <c r="M1184" s="12"/>
    </row>
    <row r="1185" spans="1:13" x14ac:dyDescent="0.2">
      <c r="A1185" s="12"/>
      <c r="I1185" s="12"/>
      <c r="K1185" s="12"/>
      <c r="M1185" s="12"/>
    </row>
    <row r="1186" spans="1:13" x14ac:dyDescent="0.2">
      <c r="A1186" s="12"/>
      <c r="I1186" s="12"/>
      <c r="K1186" s="12"/>
      <c r="M1186" s="12"/>
    </row>
    <row r="1187" spans="1:13" x14ac:dyDescent="0.2">
      <c r="A1187" s="12"/>
      <c r="I1187" s="12"/>
      <c r="K1187" s="12"/>
      <c r="M1187" s="12"/>
    </row>
    <row r="1188" spans="1:13" x14ac:dyDescent="0.2">
      <c r="A1188" s="12"/>
      <c r="I1188" s="12"/>
      <c r="K1188" s="12"/>
      <c r="M1188" s="12"/>
    </row>
    <row r="1189" spans="1:13" x14ac:dyDescent="0.2">
      <c r="A1189" s="12"/>
      <c r="I1189" s="12"/>
      <c r="K1189" s="12"/>
      <c r="M1189" s="12"/>
    </row>
    <row r="1190" spans="1:13" x14ac:dyDescent="0.2">
      <c r="A1190" s="12"/>
      <c r="I1190" s="12"/>
      <c r="K1190" s="12"/>
      <c r="M1190" s="12"/>
    </row>
    <row r="1191" spans="1:13" x14ac:dyDescent="0.2">
      <c r="A1191" s="12"/>
      <c r="I1191" s="12"/>
      <c r="K1191" s="12"/>
      <c r="M1191" s="12"/>
    </row>
    <row r="1192" spans="1:13" x14ac:dyDescent="0.2">
      <c r="A1192" s="12"/>
      <c r="I1192" s="12"/>
      <c r="K1192" s="12"/>
      <c r="M1192" s="12"/>
    </row>
    <row r="1193" spans="1:13" x14ac:dyDescent="0.2">
      <c r="A1193" s="12"/>
      <c r="I1193" s="12"/>
      <c r="K1193" s="12"/>
      <c r="M1193" s="12"/>
    </row>
    <row r="1194" spans="1:13" x14ac:dyDescent="0.2">
      <c r="A1194" s="12"/>
      <c r="I1194" s="12"/>
      <c r="K1194" s="12"/>
      <c r="M1194" s="12"/>
    </row>
    <row r="1195" spans="1:13" x14ac:dyDescent="0.2">
      <c r="A1195" s="12"/>
      <c r="I1195" s="12"/>
      <c r="K1195" s="12"/>
      <c r="M1195" s="12"/>
    </row>
    <row r="1196" spans="1:13" x14ac:dyDescent="0.2">
      <c r="A1196" s="12"/>
      <c r="I1196" s="12"/>
      <c r="K1196" s="12"/>
      <c r="M1196" s="12"/>
    </row>
    <row r="1197" spans="1:13" x14ac:dyDescent="0.2">
      <c r="A1197" s="12"/>
      <c r="I1197" s="12"/>
      <c r="K1197" s="12"/>
      <c r="M1197" s="12"/>
    </row>
    <row r="1198" spans="1:13" x14ac:dyDescent="0.2">
      <c r="A1198" s="12"/>
      <c r="I1198" s="12"/>
      <c r="K1198" s="12"/>
      <c r="M1198" s="12"/>
    </row>
    <row r="1199" spans="1:13" x14ac:dyDescent="0.2">
      <c r="A1199" s="12"/>
      <c r="I1199" s="12"/>
      <c r="K1199" s="12"/>
      <c r="M1199" s="12"/>
    </row>
    <row r="1200" spans="1:13" x14ac:dyDescent="0.2">
      <c r="A1200" s="12"/>
      <c r="I1200" s="12"/>
      <c r="K1200" s="12"/>
      <c r="M1200" s="12"/>
    </row>
    <row r="1201" spans="1:13" x14ac:dyDescent="0.2">
      <c r="A1201" s="12"/>
      <c r="I1201" s="12"/>
      <c r="K1201" s="12"/>
      <c r="M1201" s="12"/>
    </row>
    <row r="1202" spans="1:13" x14ac:dyDescent="0.2">
      <c r="A1202" s="12"/>
      <c r="I1202" s="12"/>
      <c r="K1202" s="12"/>
      <c r="M1202" s="12"/>
    </row>
    <row r="1203" spans="1:13" x14ac:dyDescent="0.2">
      <c r="A1203" s="12"/>
      <c r="I1203" s="12"/>
      <c r="K1203" s="12"/>
      <c r="M1203" s="12"/>
    </row>
    <row r="1204" spans="1:13" x14ac:dyDescent="0.2">
      <c r="A1204" s="12"/>
      <c r="I1204" s="12"/>
      <c r="K1204" s="12"/>
      <c r="M1204" s="12"/>
    </row>
    <row r="1205" spans="1:13" x14ac:dyDescent="0.2">
      <c r="A1205" s="12"/>
      <c r="I1205" s="12"/>
      <c r="K1205" s="12"/>
      <c r="M1205" s="12"/>
    </row>
    <row r="1206" spans="1:13" x14ac:dyDescent="0.2">
      <c r="A1206" s="12"/>
      <c r="I1206" s="12"/>
      <c r="K1206" s="12"/>
      <c r="M1206" s="12"/>
    </row>
    <row r="1207" spans="1:13" x14ac:dyDescent="0.2">
      <c r="A1207" s="12"/>
      <c r="I1207" s="12"/>
      <c r="K1207" s="12"/>
      <c r="M1207" s="12"/>
    </row>
    <row r="1208" spans="1:13" x14ac:dyDescent="0.2">
      <c r="A1208" s="12"/>
      <c r="I1208" s="12"/>
      <c r="K1208" s="12"/>
      <c r="M1208" s="12"/>
    </row>
    <row r="1209" spans="1:13" x14ac:dyDescent="0.2">
      <c r="A1209" s="12"/>
      <c r="I1209" s="12"/>
      <c r="K1209" s="12"/>
      <c r="M1209" s="12"/>
    </row>
    <row r="1210" spans="1:13" x14ac:dyDescent="0.2">
      <c r="A1210" s="12"/>
      <c r="I1210" s="12"/>
      <c r="K1210" s="12"/>
      <c r="M1210" s="12"/>
    </row>
    <row r="1211" spans="1:13" x14ac:dyDescent="0.2">
      <c r="A1211" s="12"/>
      <c r="I1211" s="12"/>
      <c r="K1211" s="12"/>
      <c r="M1211" s="12"/>
    </row>
    <row r="1212" spans="1:13" x14ac:dyDescent="0.2">
      <c r="A1212" s="12"/>
      <c r="I1212" s="12"/>
      <c r="K1212" s="12"/>
      <c r="M1212" s="12"/>
    </row>
    <row r="1213" spans="1:13" x14ac:dyDescent="0.2">
      <c r="A1213" s="12"/>
      <c r="I1213" s="12"/>
      <c r="K1213" s="12"/>
      <c r="M1213" s="12"/>
    </row>
    <row r="1214" spans="1:13" x14ac:dyDescent="0.2">
      <c r="A1214" s="12"/>
      <c r="I1214" s="12"/>
      <c r="K1214" s="12"/>
      <c r="M1214" s="12"/>
    </row>
    <row r="1215" spans="1:13" x14ac:dyDescent="0.2">
      <c r="A1215" s="12"/>
      <c r="I1215" s="12"/>
      <c r="K1215" s="12"/>
      <c r="M1215" s="12"/>
    </row>
    <row r="1216" spans="1:13" x14ac:dyDescent="0.2">
      <c r="A1216" s="12"/>
      <c r="I1216" s="12"/>
      <c r="K1216" s="12"/>
      <c r="M1216" s="12"/>
    </row>
    <row r="1217" spans="1:13" x14ac:dyDescent="0.2">
      <c r="A1217" s="12"/>
      <c r="I1217" s="12"/>
      <c r="K1217" s="12"/>
      <c r="M1217" s="12"/>
    </row>
    <row r="1218" spans="1:13" x14ac:dyDescent="0.2">
      <c r="A1218" s="12"/>
      <c r="I1218" s="12"/>
      <c r="K1218" s="12"/>
      <c r="M1218" s="12"/>
    </row>
    <row r="1219" spans="1:13" x14ac:dyDescent="0.2">
      <c r="A1219" s="12"/>
      <c r="I1219" s="12"/>
      <c r="K1219" s="12"/>
      <c r="M1219" s="12"/>
    </row>
    <row r="1220" spans="1:13" x14ac:dyDescent="0.2">
      <c r="A1220" s="12"/>
      <c r="I1220" s="12"/>
      <c r="K1220" s="12"/>
      <c r="M1220" s="12"/>
    </row>
    <row r="1221" spans="1:13" x14ac:dyDescent="0.2">
      <c r="A1221" s="12"/>
      <c r="I1221" s="12"/>
      <c r="K1221" s="12"/>
      <c r="M1221" s="12"/>
    </row>
    <row r="1222" spans="1:13" x14ac:dyDescent="0.2">
      <c r="A1222" s="12"/>
      <c r="I1222" s="12"/>
      <c r="K1222" s="12"/>
      <c r="M1222" s="12"/>
    </row>
    <row r="1223" spans="1:13" x14ac:dyDescent="0.2">
      <c r="A1223" s="12"/>
      <c r="I1223" s="12"/>
      <c r="K1223" s="12"/>
      <c r="M1223" s="12"/>
    </row>
    <row r="1224" spans="1:13" x14ac:dyDescent="0.2">
      <c r="A1224" s="12"/>
      <c r="I1224" s="12"/>
      <c r="K1224" s="12"/>
      <c r="M1224" s="12"/>
    </row>
    <row r="1225" spans="1:13" x14ac:dyDescent="0.2">
      <c r="A1225" s="12"/>
      <c r="I1225" s="12"/>
      <c r="K1225" s="12"/>
      <c r="M1225" s="12"/>
    </row>
    <row r="1226" spans="1:13" x14ac:dyDescent="0.2">
      <c r="A1226" s="12"/>
      <c r="I1226" s="12"/>
      <c r="K1226" s="12"/>
      <c r="M1226" s="12"/>
    </row>
    <row r="1227" spans="1:13" x14ac:dyDescent="0.2">
      <c r="A1227" s="12"/>
      <c r="I1227" s="12"/>
      <c r="K1227" s="12"/>
      <c r="M1227" s="12"/>
    </row>
    <row r="1228" spans="1:13" x14ac:dyDescent="0.2">
      <c r="A1228" s="12"/>
      <c r="I1228" s="12"/>
      <c r="K1228" s="12"/>
      <c r="M1228" s="12"/>
    </row>
    <row r="1229" spans="1:13" x14ac:dyDescent="0.2">
      <c r="A1229" s="12"/>
      <c r="I1229" s="12"/>
      <c r="K1229" s="12"/>
      <c r="M1229" s="12"/>
    </row>
    <row r="1230" spans="1:13" x14ac:dyDescent="0.2">
      <c r="A1230" s="12"/>
      <c r="I1230" s="12"/>
      <c r="K1230" s="12"/>
      <c r="M1230" s="12"/>
    </row>
    <row r="1231" spans="1:13" x14ac:dyDescent="0.2">
      <c r="A1231" s="12"/>
      <c r="I1231" s="12"/>
      <c r="K1231" s="12"/>
      <c r="M1231" s="12"/>
    </row>
    <row r="1232" spans="1:13" x14ac:dyDescent="0.2">
      <c r="A1232" s="12"/>
      <c r="I1232" s="12"/>
      <c r="K1232" s="12"/>
      <c r="M1232" s="12"/>
    </row>
    <row r="1233" spans="1:13" x14ac:dyDescent="0.2">
      <c r="A1233" s="12"/>
      <c r="I1233" s="12"/>
      <c r="K1233" s="12"/>
      <c r="M1233" s="12"/>
    </row>
    <row r="1234" spans="1:13" x14ac:dyDescent="0.2">
      <c r="A1234" s="12"/>
      <c r="I1234" s="12"/>
      <c r="K1234" s="12"/>
      <c r="M1234" s="12"/>
    </row>
    <row r="1235" spans="1:13" x14ac:dyDescent="0.2">
      <c r="A1235" s="12"/>
      <c r="I1235" s="12"/>
      <c r="K1235" s="12"/>
      <c r="M1235" s="12"/>
    </row>
    <row r="1236" spans="1:13" x14ac:dyDescent="0.2">
      <c r="A1236" s="12"/>
      <c r="I1236" s="12"/>
      <c r="K1236" s="12"/>
      <c r="M1236" s="12"/>
    </row>
    <row r="1237" spans="1:13" x14ac:dyDescent="0.2">
      <c r="A1237" s="12"/>
      <c r="I1237" s="12"/>
      <c r="K1237" s="12"/>
      <c r="M1237" s="12"/>
    </row>
    <row r="1238" spans="1:13" x14ac:dyDescent="0.2">
      <c r="A1238" s="12"/>
      <c r="I1238" s="12"/>
      <c r="K1238" s="12"/>
      <c r="M1238" s="12"/>
    </row>
    <row r="1239" spans="1:13" x14ac:dyDescent="0.2">
      <c r="A1239" s="12"/>
      <c r="I1239" s="12"/>
      <c r="K1239" s="12"/>
      <c r="M1239" s="12"/>
    </row>
    <row r="1240" spans="1:13" x14ac:dyDescent="0.2">
      <c r="A1240" s="12"/>
      <c r="I1240" s="12"/>
      <c r="K1240" s="12"/>
      <c r="M1240" s="12"/>
    </row>
    <row r="1241" spans="1:13" x14ac:dyDescent="0.2">
      <c r="A1241" s="12"/>
      <c r="I1241" s="12"/>
      <c r="K1241" s="12"/>
      <c r="M1241" s="12"/>
    </row>
    <row r="1242" spans="1:13" x14ac:dyDescent="0.2">
      <c r="A1242" s="12"/>
      <c r="I1242" s="12"/>
      <c r="K1242" s="12"/>
      <c r="M1242" s="12"/>
    </row>
    <row r="1243" spans="1:13" x14ac:dyDescent="0.2">
      <c r="A1243" s="12"/>
      <c r="I1243" s="12"/>
      <c r="K1243" s="12"/>
      <c r="M1243" s="12"/>
    </row>
    <row r="1244" spans="1:13" x14ac:dyDescent="0.2">
      <c r="A1244" s="12"/>
      <c r="I1244" s="12"/>
      <c r="K1244" s="12"/>
      <c r="M1244" s="12"/>
    </row>
    <row r="1245" spans="1:13" x14ac:dyDescent="0.2">
      <c r="A1245" s="12"/>
      <c r="I1245" s="12"/>
      <c r="K1245" s="12"/>
      <c r="M1245" s="12"/>
    </row>
    <row r="1246" spans="1:13" x14ac:dyDescent="0.2">
      <c r="A1246" s="12"/>
      <c r="I1246" s="12"/>
      <c r="K1246" s="12"/>
      <c r="M1246" s="12"/>
    </row>
    <row r="1247" spans="1:13" x14ac:dyDescent="0.2">
      <c r="A1247" s="12"/>
      <c r="I1247" s="12"/>
      <c r="K1247" s="12"/>
      <c r="M1247" s="12"/>
    </row>
    <row r="1248" spans="1:13" x14ac:dyDescent="0.2">
      <c r="A1248" s="12"/>
      <c r="I1248" s="12"/>
      <c r="K1248" s="12"/>
      <c r="M1248" s="12"/>
    </row>
    <row r="1249" spans="1:13" x14ac:dyDescent="0.2">
      <c r="A1249" s="12"/>
      <c r="I1249" s="12"/>
      <c r="K1249" s="12"/>
      <c r="M1249" s="12"/>
    </row>
    <row r="1250" spans="1:13" x14ac:dyDescent="0.2">
      <c r="A1250" s="12"/>
      <c r="I1250" s="12"/>
      <c r="K1250" s="12"/>
      <c r="M1250" s="12"/>
    </row>
    <row r="1251" spans="1:13" x14ac:dyDescent="0.2">
      <c r="A1251" s="12"/>
      <c r="I1251" s="12"/>
      <c r="K1251" s="12"/>
      <c r="M1251" s="12"/>
    </row>
    <row r="1252" spans="1:13" x14ac:dyDescent="0.2">
      <c r="A1252" s="12"/>
      <c r="I1252" s="12"/>
      <c r="K1252" s="12"/>
      <c r="M1252" s="12"/>
    </row>
    <row r="1253" spans="1:13" x14ac:dyDescent="0.2">
      <c r="A1253" s="12"/>
      <c r="I1253" s="12"/>
      <c r="K1253" s="12"/>
      <c r="M1253" s="12"/>
    </row>
    <row r="1254" spans="1:13" x14ac:dyDescent="0.2">
      <c r="A1254" s="12"/>
      <c r="I1254" s="12"/>
      <c r="K1254" s="12"/>
      <c r="M1254" s="12"/>
    </row>
    <row r="1255" spans="1:13" x14ac:dyDescent="0.2">
      <c r="A1255" s="12"/>
      <c r="I1255" s="12"/>
      <c r="K1255" s="12"/>
      <c r="M1255" s="12"/>
    </row>
    <row r="1256" spans="1:13" x14ac:dyDescent="0.2">
      <c r="A1256" s="12"/>
      <c r="I1256" s="12"/>
      <c r="K1256" s="12"/>
      <c r="M1256" s="12"/>
    </row>
    <row r="1257" spans="1:13" x14ac:dyDescent="0.2">
      <c r="A1257" s="12"/>
      <c r="I1257" s="12"/>
      <c r="K1257" s="12"/>
      <c r="M1257" s="12"/>
    </row>
    <row r="1258" spans="1:13" x14ac:dyDescent="0.2">
      <c r="A1258" s="12"/>
      <c r="I1258" s="12"/>
      <c r="K1258" s="12"/>
      <c r="M1258" s="12"/>
    </row>
    <row r="1259" spans="1:13" x14ac:dyDescent="0.2">
      <c r="A1259" s="12"/>
      <c r="I1259" s="12"/>
      <c r="K1259" s="12"/>
      <c r="M1259" s="12"/>
    </row>
    <row r="1260" spans="1:13" x14ac:dyDescent="0.2">
      <c r="A1260" s="12"/>
      <c r="I1260" s="12"/>
      <c r="K1260" s="12"/>
      <c r="M1260" s="12"/>
    </row>
    <row r="1261" spans="1:13" x14ac:dyDescent="0.2">
      <c r="A1261" s="12"/>
      <c r="I1261" s="12"/>
      <c r="K1261" s="12"/>
      <c r="M1261" s="12"/>
    </row>
    <row r="1262" spans="1:13" x14ac:dyDescent="0.2">
      <c r="A1262" s="12"/>
      <c r="I1262" s="12"/>
      <c r="K1262" s="12"/>
      <c r="M1262" s="12"/>
    </row>
    <row r="1263" spans="1:13" x14ac:dyDescent="0.2">
      <c r="A1263" s="12"/>
      <c r="I1263" s="12"/>
      <c r="K1263" s="12"/>
      <c r="M1263" s="12"/>
    </row>
    <row r="1264" spans="1:13" x14ac:dyDescent="0.2">
      <c r="A1264" s="12"/>
      <c r="I1264" s="12"/>
      <c r="K1264" s="12"/>
      <c r="M1264" s="12"/>
    </row>
    <row r="1265" spans="1:13" x14ac:dyDescent="0.2">
      <c r="A1265" s="12"/>
      <c r="I1265" s="12"/>
      <c r="K1265" s="12"/>
      <c r="M1265" s="12"/>
    </row>
    <row r="1266" spans="1:13" x14ac:dyDescent="0.2">
      <c r="A1266" s="12"/>
      <c r="I1266" s="12"/>
      <c r="K1266" s="12"/>
      <c r="M1266" s="12"/>
    </row>
    <row r="1267" spans="1:13" x14ac:dyDescent="0.2">
      <c r="A1267" s="12"/>
      <c r="I1267" s="12"/>
      <c r="K1267" s="12"/>
      <c r="M1267" s="12"/>
    </row>
    <row r="1268" spans="1:13" x14ac:dyDescent="0.2">
      <c r="A1268" s="12"/>
      <c r="I1268" s="12"/>
      <c r="K1268" s="12"/>
      <c r="M1268" s="12"/>
    </row>
    <row r="1269" spans="1:13" x14ac:dyDescent="0.2">
      <c r="A1269" s="12"/>
      <c r="I1269" s="12"/>
      <c r="K1269" s="12"/>
      <c r="M1269" s="12"/>
    </row>
    <row r="1270" spans="1:13" x14ac:dyDescent="0.2">
      <c r="A1270" s="12"/>
      <c r="I1270" s="12"/>
      <c r="K1270" s="12"/>
      <c r="M1270" s="12"/>
    </row>
    <row r="1271" spans="1:13" x14ac:dyDescent="0.2">
      <c r="A1271" s="12"/>
      <c r="I1271" s="12"/>
      <c r="K1271" s="12"/>
      <c r="M1271" s="12"/>
    </row>
    <row r="1272" spans="1:13" x14ac:dyDescent="0.2">
      <c r="A1272" s="12"/>
      <c r="I1272" s="12"/>
      <c r="K1272" s="12"/>
      <c r="M1272" s="12"/>
    </row>
    <row r="1273" spans="1:13" x14ac:dyDescent="0.2">
      <c r="A1273" s="12"/>
      <c r="I1273" s="12"/>
      <c r="K1273" s="12"/>
      <c r="M1273" s="12"/>
    </row>
    <row r="1274" spans="1:13" x14ac:dyDescent="0.2">
      <c r="A1274" s="12"/>
      <c r="I1274" s="12"/>
      <c r="K1274" s="12"/>
      <c r="M1274" s="12"/>
    </row>
    <row r="1275" spans="1:13" x14ac:dyDescent="0.2">
      <c r="A1275" s="12"/>
      <c r="I1275" s="12"/>
      <c r="K1275" s="12"/>
      <c r="M1275" s="12"/>
    </row>
    <row r="1276" spans="1:13" x14ac:dyDescent="0.2">
      <c r="A1276" s="12"/>
      <c r="I1276" s="12"/>
      <c r="K1276" s="12"/>
      <c r="M1276" s="12"/>
    </row>
    <row r="1277" spans="1:13" x14ac:dyDescent="0.2">
      <c r="A1277" s="12"/>
      <c r="I1277" s="12"/>
      <c r="K1277" s="12"/>
      <c r="M1277" s="12"/>
    </row>
    <row r="1278" spans="1:13" x14ac:dyDescent="0.2">
      <c r="A1278" s="12"/>
      <c r="I1278" s="12"/>
      <c r="K1278" s="12"/>
      <c r="M1278" s="12"/>
    </row>
    <row r="1279" spans="1:13" x14ac:dyDescent="0.2">
      <c r="A1279" s="12"/>
      <c r="I1279" s="12"/>
      <c r="K1279" s="12"/>
      <c r="M1279" s="12"/>
    </row>
    <row r="1280" spans="1:13" x14ac:dyDescent="0.2">
      <c r="A1280" s="12"/>
      <c r="I1280" s="12"/>
      <c r="K1280" s="12"/>
      <c r="M1280" s="12"/>
    </row>
    <row r="1281" spans="1:13" x14ac:dyDescent="0.2">
      <c r="A1281" s="12"/>
      <c r="I1281" s="12"/>
      <c r="K1281" s="12"/>
      <c r="M1281" s="12"/>
    </row>
    <row r="1282" spans="1:13" x14ac:dyDescent="0.2">
      <c r="A1282" s="12"/>
      <c r="I1282" s="12"/>
      <c r="K1282" s="12"/>
      <c r="M1282" s="12"/>
    </row>
    <row r="1283" spans="1:13" x14ac:dyDescent="0.2">
      <c r="A1283" s="12"/>
      <c r="I1283" s="12"/>
      <c r="K1283" s="12"/>
      <c r="M1283" s="12"/>
    </row>
    <row r="1284" spans="1:13" x14ac:dyDescent="0.2">
      <c r="A1284" s="12"/>
      <c r="I1284" s="12"/>
      <c r="K1284" s="12"/>
      <c r="M1284" s="12"/>
    </row>
    <row r="1285" spans="1:13" x14ac:dyDescent="0.2">
      <c r="A1285" s="12"/>
      <c r="I1285" s="12"/>
      <c r="K1285" s="12"/>
      <c r="M1285" s="12"/>
    </row>
    <row r="1286" spans="1:13" x14ac:dyDescent="0.2">
      <c r="A1286" s="12"/>
      <c r="I1286" s="12"/>
      <c r="K1286" s="12"/>
      <c r="M1286" s="12"/>
    </row>
    <row r="1287" spans="1:13" x14ac:dyDescent="0.2">
      <c r="A1287" s="12"/>
      <c r="I1287" s="12"/>
      <c r="K1287" s="12"/>
      <c r="M1287" s="12"/>
    </row>
    <row r="1288" spans="1:13" x14ac:dyDescent="0.2">
      <c r="A1288" s="12"/>
      <c r="I1288" s="12"/>
      <c r="K1288" s="12"/>
      <c r="M1288" s="12"/>
    </row>
    <row r="1289" spans="1:13" x14ac:dyDescent="0.2">
      <c r="A1289" s="12"/>
      <c r="I1289" s="12"/>
      <c r="K1289" s="12"/>
      <c r="M1289" s="12"/>
    </row>
    <row r="1290" spans="1:13" x14ac:dyDescent="0.2">
      <c r="A1290" s="12"/>
      <c r="I1290" s="12"/>
      <c r="K1290" s="12"/>
      <c r="M1290" s="12"/>
    </row>
    <row r="1291" spans="1:13" x14ac:dyDescent="0.2">
      <c r="A1291" s="12"/>
      <c r="I1291" s="12"/>
      <c r="K1291" s="12"/>
      <c r="M1291" s="12"/>
    </row>
    <row r="1292" spans="1:13" x14ac:dyDescent="0.2">
      <c r="A1292" s="12"/>
      <c r="I1292" s="12"/>
      <c r="K1292" s="12"/>
      <c r="M1292" s="12"/>
    </row>
    <row r="1293" spans="1:13" x14ac:dyDescent="0.2">
      <c r="A1293" s="12"/>
      <c r="I1293" s="12"/>
      <c r="K1293" s="12"/>
      <c r="M1293" s="12"/>
    </row>
    <row r="1294" spans="1:13" x14ac:dyDescent="0.2">
      <c r="A1294" s="12"/>
      <c r="I1294" s="12"/>
      <c r="K1294" s="12"/>
      <c r="M1294" s="12"/>
    </row>
    <row r="1295" spans="1:13" x14ac:dyDescent="0.2">
      <c r="A1295" s="12"/>
      <c r="I1295" s="12"/>
      <c r="K1295" s="12"/>
      <c r="M1295" s="12"/>
    </row>
    <row r="1296" spans="1:13" x14ac:dyDescent="0.2">
      <c r="A1296" s="12"/>
      <c r="I1296" s="12"/>
      <c r="K1296" s="12"/>
      <c r="M1296" s="12"/>
    </row>
    <row r="1297" spans="1:13" x14ac:dyDescent="0.2">
      <c r="A1297" s="12"/>
      <c r="I1297" s="12"/>
      <c r="K1297" s="12"/>
      <c r="M1297" s="12"/>
    </row>
    <row r="1298" spans="1:13" x14ac:dyDescent="0.2">
      <c r="A1298" s="12"/>
      <c r="I1298" s="12"/>
      <c r="K1298" s="12"/>
      <c r="M1298" s="12"/>
    </row>
    <row r="1299" spans="1:13" x14ac:dyDescent="0.2">
      <c r="A1299" s="12"/>
      <c r="I1299" s="12"/>
      <c r="K1299" s="12"/>
      <c r="M1299" s="12"/>
    </row>
    <row r="1300" spans="1:13" x14ac:dyDescent="0.2">
      <c r="A1300" s="12"/>
      <c r="I1300" s="12"/>
      <c r="K1300" s="12"/>
      <c r="M1300" s="12"/>
    </row>
    <row r="1301" spans="1:13" x14ac:dyDescent="0.2">
      <c r="A1301" s="12"/>
      <c r="I1301" s="12"/>
      <c r="K1301" s="12"/>
      <c r="M1301" s="12"/>
    </row>
    <row r="1302" spans="1:13" x14ac:dyDescent="0.2">
      <c r="A1302" s="12"/>
      <c r="I1302" s="12"/>
      <c r="K1302" s="12"/>
      <c r="M1302" s="12"/>
    </row>
    <row r="1303" spans="1:13" x14ac:dyDescent="0.2">
      <c r="A1303" s="12"/>
      <c r="I1303" s="12"/>
      <c r="K1303" s="12"/>
      <c r="M1303" s="12"/>
    </row>
    <row r="1304" spans="1:13" x14ac:dyDescent="0.2">
      <c r="A1304" s="12"/>
      <c r="I1304" s="12"/>
      <c r="K1304" s="12"/>
      <c r="M1304" s="12"/>
    </row>
    <row r="1305" spans="1:13" x14ac:dyDescent="0.2">
      <c r="A1305" s="12"/>
      <c r="I1305" s="12"/>
      <c r="K1305" s="12"/>
      <c r="M1305" s="12"/>
    </row>
    <row r="1306" spans="1:13" x14ac:dyDescent="0.2">
      <c r="A1306" s="12"/>
      <c r="I1306" s="12"/>
      <c r="K1306" s="12"/>
      <c r="M1306" s="12"/>
    </row>
    <row r="1307" spans="1:13" x14ac:dyDescent="0.2">
      <c r="A1307" s="12"/>
      <c r="I1307" s="12"/>
      <c r="K1307" s="12"/>
      <c r="M1307" s="12"/>
    </row>
    <row r="1308" spans="1:13" x14ac:dyDescent="0.2">
      <c r="A1308" s="12"/>
      <c r="I1308" s="12"/>
      <c r="K1308" s="12"/>
      <c r="M1308" s="12"/>
    </row>
    <row r="1309" spans="1:13" x14ac:dyDescent="0.2">
      <c r="A1309" s="12"/>
      <c r="I1309" s="12"/>
      <c r="K1309" s="12"/>
      <c r="M1309" s="12"/>
    </row>
    <row r="1310" spans="1:13" x14ac:dyDescent="0.2">
      <c r="A1310" s="12"/>
      <c r="I1310" s="12"/>
      <c r="K1310" s="12"/>
      <c r="M1310" s="12"/>
    </row>
    <row r="1311" spans="1:13" x14ac:dyDescent="0.2">
      <c r="A1311" s="12"/>
      <c r="I1311" s="12"/>
      <c r="K1311" s="12"/>
      <c r="M1311" s="12"/>
    </row>
    <row r="1312" spans="1:13" x14ac:dyDescent="0.2">
      <c r="A1312" s="12"/>
      <c r="I1312" s="12"/>
      <c r="K1312" s="12"/>
      <c r="M1312" s="12"/>
    </row>
    <row r="1313" spans="1:13" x14ac:dyDescent="0.2">
      <c r="A1313" s="12"/>
      <c r="I1313" s="12"/>
      <c r="K1313" s="12"/>
      <c r="M1313" s="12"/>
    </row>
    <row r="1314" spans="1:13" x14ac:dyDescent="0.2">
      <c r="A1314" s="12"/>
      <c r="I1314" s="12"/>
      <c r="K1314" s="12"/>
      <c r="M1314" s="12"/>
    </row>
    <row r="1315" spans="1:13" x14ac:dyDescent="0.2">
      <c r="A1315" s="12"/>
      <c r="I1315" s="12"/>
      <c r="K1315" s="12"/>
      <c r="M1315" s="12"/>
    </row>
    <row r="1316" spans="1:13" x14ac:dyDescent="0.2">
      <c r="A1316" s="12"/>
      <c r="I1316" s="12"/>
      <c r="K1316" s="12"/>
      <c r="M1316" s="12"/>
    </row>
    <row r="1317" spans="1:13" x14ac:dyDescent="0.2">
      <c r="A1317" s="12"/>
      <c r="I1317" s="12"/>
      <c r="K1317" s="12"/>
      <c r="M1317" s="12"/>
    </row>
    <row r="1318" spans="1:13" x14ac:dyDescent="0.2">
      <c r="A1318" s="12"/>
      <c r="I1318" s="12"/>
      <c r="K1318" s="12"/>
      <c r="M1318" s="12"/>
    </row>
    <row r="1319" spans="1:13" x14ac:dyDescent="0.2">
      <c r="A1319" s="12"/>
      <c r="I1319" s="12"/>
      <c r="K1319" s="12"/>
      <c r="M1319" s="12"/>
    </row>
    <row r="1320" spans="1:13" x14ac:dyDescent="0.2">
      <c r="A1320" s="12"/>
      <c r="I1320" s="12"/>
      <c r="K1320" s="12"/>
      <c r="M1320" s="12"/>
    </row>
    <row r="1321" spans="1:13" x14ac:dyDescent="0.2">
      <c r="A1321" s="12"/>
      <c r="I1321" s="12"/>
      <c r="K1321" s="12"/>
      <c r="M1321" s="12"/>
    </row>
    <row r="1322" spans="1:13" x14ac:dyDescent="0.2">
      <c r="A1322" s="12"/>
      <c r="I1322" s="12"/>
      <c r="K1322" s="12"/>
      <c r="M1322" s="12"/>
    </row>
    <row r="1323" spans="1:13" x14ac:dyDescent="0.2">
      <c r="A1323" s="12"/>
      <c r="I1323" s="12"/>
      <c r="K1323" s="12"/>
      <c r="M1323" s="12"/>
    </row>
    <row r="1324" spans="1:13" x14ac:dyDescent="0.2">
      <c r="A1324" s="12"/>
      <c r="I1324" s="12"/>
      <c r="K1324" s="12"/>
      <c r="M1324" s="12"/>
    </row>
    <row r="1325" spans="1:13" x14ac:dyDescent="0.2">
      <c r="A1325" s="12"/>
      <c r="I1325" s="12"/>
      <c r="K1325" s="12"/>
      <c r="M1325" s="12"/>
    </row>
    <row r="1326" spans="1:13" x14ac:dyDescent="0.2">
      <c r="A1326" s="12"/>
      <c r="I1326" s="12"/>
      <c r="K1326" s="12"/>
      <c r="M1326" s="12"/>
    </row>
    <row r="1327" spans="1:13" x14ac:dyDescent="0.2">
      <c r="A1327" s="12"/>
      <c r="I1327" s="12"/>
      <c r="K1327" s="12"/>
      <c r="M1327" s="12"/>
    </row>
    <row r="1328" spans="1:13" x14ac:dyDescent="0.2">
      <c r="A1328" s="12"/>
      <c r="I1328" s="12"/>
      <c r="K1328" s="12"/>
      <c r="M1328" s="12"/>
    </row>
    <row r="1329" spans="1:13" x14ac:dyDescent="0.2">
      <c r="A1329" s="12"/>
      <c r="I1329" s="12"/>
      <c r="K1329" s="12"/>
      <c r="M1329" s="12"/>
    </row>
    <row r="1330" spans="1:13" x14ac:dyDescent="0.2">
      <c r="A1330" s="12"/>
      <c r="I1330" s="12"/>
      <c r="K1330" s="12"/>
      <c r="M1330" s="12"/>
    </row>
    <row r="1331" spans="1:13" x14ac:dyDescent="0.2">
      <c r="A1331" s="12"/>
      <c r="I1331" s="12"/>
      <c r="K1331" s="12"/>
      <c r="M1331" s="12"/>
    </row>
    <row r="1332" spans="1:13" x14ac:dyDescent="0.2">
      <c r="A1332" s="12"/>
      <c r="I1332" s="12"/>
      <c r="K1332" s="12"/>
      <c r="M1332" s="12"/>
    </row>
    <row r="1333" spans="1:13" x14ac:dyDescent="0.2">
      <c r="A1333" s="12"/>
      <c r="I1333" s="12"/>
      <c r="K1333" s="12"/>
      <c r="M1333" s="12"/>
    </row>
    <row r="1334" spans="1:13" x14ac:dyDescent="0.2">
      <c r="A1334" s="12"/>
      <c r="I1334" s="12"/>
      <c r="K1334" s="12"/>
      <c r="M1334" s="12"/>
    </row>
    <row r="1335" spans="1:13" x14ac:dyDescent="0.2">
      <c r="A1335" s="12"/>
      <c r="I1335" s="12"/>
      <c r="K1335" s="12"/>
      <c r="M1335" s="12"/>
    </row>
    <row r="1336" spans="1:13" x14ac:dyDescent="0.2">
      <c r="A1336" s="12"/>
      <c r="I1336" s="12"/>
      <c r="K1336" s="12"/>
      <c r="M1336" s="12"/>
    </row>
    <row r="1337" spans="1:13" x14ac:dyDescent="0.2">
      <c r="A1337" s="12"/>
      <c r="I1337" s="12"/>
      <c r="K1337" s="12"/>
      <c r="M1337" s="12"/>
    </row>
    <row r="1338" spans="1:13" x14ac:dyDescent="0.2">
      <c r="A1338" s="12"/>
      <c r="I1338" s="12"/>
      <c r="K1338" s="12"/>
      <c r="M1338" s="12"/>
    </row>
    <row r="1339" spans="1:13" x14ac:dyDescent="0.2">
      <c r="A1339" s="12"/>
      <c r="I1339" s="12"/>
      <c r="K1339" s="12"/>
      <c r="M1339" s="12"/>
    </row>
    <row r="1340" spans="1:13" x14ac:dyDescent="0.2">
      <c r="A1340" s="12"/>
      <c r="I1340" s="12"/>
      <c r="K1340" s="12"/>
      <c r="M1340" s="12"/>
    </row>
    <row r="1341" spans="1:13" x14ac:dyDescent="0.2">
      <c r="A1341" s="12"/>
      <c r="I1341" s="12"/>
      <c r="K1341" s="12"/>
      <c r="M1341" s="12"/>
    </row>
    <row r="1342" spans="1:13" x14ac:dyDescent="0.2">
      <c r="A1342" s="12"/>
      <c r="I1342" s="12"/>
      <c r="K1342" s="12"/>
      <c r="M1342" s="12"/>
    </row>
    <row r="1343" spans="1:13" x14ac:dyDescent="0.2">
      <c r="A1343" s="12"/>
      <c r="I1343" s="12"/>
      <c r="K1343" s="12"/>
      <c r="M1343" s="12"/>
    </row>
    <row r="1344" spans="1:13" x14ac:dyDescent="0.2">
      <c r="A1344" s="12"/>
      <c r="I1344" s="12"/>
      <c r="K1344" s="12"/>
      <c r="M1344" s="12"/>
    </row>
    <row r="1345" spans="1:13" x14ac:dyDescent="0.2">
      <c r="A1345" s="12"/>
      <c r="I1345" s="12"/>
      <c r="K1345" s="12"/>
      <c r="M1345" s="12"/>
    </row>
    <row r="1346" spans="1:13" x14ac:dyDescent="0.2">
      <c r="A1346" s="12"/>
      <c r="I1346" s="12"/>
      <c r="K1346" s="12"/>
      <c r="M1346" s="12"/>
    </row>
    <row r="1347" spans="1:13" x14ac:dyDescent="0.2">
      <c r="A1347" s="12"/>
      <c r="I1347" s="12"/>
      <c r="K1347" s="12"/>
      <c r="M1347" s="12"/>
    </row>
    <row r="1348" spans="1:13" x14ac:dyDescent="0.2">
      <c r="A1348" s="12"/>
      <c r="I1348" s="12"/>
      <c r="K1348" s="12"/>
      <c r="M1348" s="12"/>
    </row>
    <row r="1349" spans="1:13" x14ac:dyDescent="0.2">
      <c r="A1349" s="12"/>
      <c r="I1349" s="12"/>
      <c r="K1349" s="12"/>
      <c r="M1349" s="12"/>
    </row>
    <row r="1350" spans="1:13" x14ac:dyDescent="0.2">
      <c r="A1350" s="12"/>
      <c r="I1350" s="12"/>
      <c r="K1350" s="12"/>
      <c r="M1350" s="12"/>
    </row>
    <row r="1351" spans="1:13" x14ac:dyDescent="0.2">
      <c r="A1351" s="12"/>
      <c r="I1351" s="12"/>
      <c r="K1351" s="12"/>
      <c r="M1351" s="12"/>
    </row>
    <row r="1352" spans="1:13" x14ac:dyDescent="0.2">
      <c r="A1352" s="12"/>
      <c r="I1352" s="12"/>
      <c r="K1352" s="12"/>
      <c r="M1352" s="12"/>
    </row>
    <row r="1353" spans="1:13" x14ac:dyDescent="0.2">
      <c r="A1353" s="12"/>
      <c r="I1353" s="12"/>
      <c r="K1353" s="12"/>
      <c r="M1353" s="12"/>
    </row>
    <row r="1354" spans="1:13" x14ac:dyDescent="0.2">
      <c r="A1354" s="12"/>
      <c r="I1354" s="12"/>
      <c r="K1354" s="12"/>
      <c r="M1354" s="12"/>
    </row>
    <row r="1355" spans="1:13" x14ac:dyDescent="0.2">
      <c r="A1355" s="12"/>
      <c r="I1355" s="12"/>
      <c r="K1355" s="12"/>
      <c r="M1355" s="12"/>
    </row>
    <row r="1356" spans="1:13" x14ac:dyDescent="0.2">
      <c r="A1356" s="12"/>
      <c r="I1356" s="12"/>
      <c r="K1356" s="12"/>
      <c r="M1356" s="12"/>
    </row>
    <row r="1357" spans="1:13" x14ac:dyDescent="0.2">
      <c r="A1357" s="12"/>
      <c r="I1357" s="12"/>
      <c r="K1357" s="12"/>
      <c r="M1357" s="12"/>
    </row>
    <row r="1358" spans="1:13" x14ac:dyDescent="0.2">
      <c r="A1358" s="12"/>
      <c r="I1358" s="12"/>
      <c r="K1358" s="12"/>
      <c r="M1358" s="12"/>
    </row>
    <row r="1359" spans="1:13" x14ac:dyDescent="0.2">
      <c r="A1359" s="12"/>
      <c r="I1359" s="12"/>
      <c r="K1359" s="12"/>
      <c r="M1359" s="12"/>
    </row>
    <row r="1360" spans="1:13" x14ac:dyDescent="0.2">
      <c r="A1360" s="12"/>
      <c r="I1360" s="12"/>
      <c r="K1360" s="12"/>
      <c r="M1360" s="12"/>
    </row>
    <row r="1361" spans="1:13" x14ac:dyDescent="0.2">
      <c r="A1361" s="12"/>
      <c r="I1361" s="12"/>
      <c r="K1361" s="12"/>
      <c r="M1361" s="12"/>
    </row>
    <row r="1362" spans="1:13" x14ac:dyDescent="0.2">
      <c r="A1362" s="12"/>
      <c r="I1362" s="12"/>
      <c r="K1362" s="12"/>
      <c r="M1362" s="12"/>
    </row>
    <row r="1363" spans="1:13" x14ac:dyDescent="0.2">
      <c r="A1363" s="12"/>
      <c r="I1363" s="12"/>
      <c r="K1363" s="12"/>
      <c r="M1363" s="12"/>
    </row>
    <row r="1364" spans="1:13" x14ac:dyDescent="0.2">
      <c r="A1364" s="12"/>
      <c r="I1364" s="12"/>
      <c r="K1364" s="12"/>
      <c r="M1364" s="12"/>
    </row>
    <row r="1365" spans="1:13" x14ac:dyDescent="0.2">
      <c r="A1365" s="12"/>
      <c r="I1365" s="12"/>
      <c r="K1365" s="12"/>
      <c r="M1365" s="12"/>
    </row>
    <row r="1366" spans="1:13" x14ac:dyDescent="0.2">
      <c r="A1366" s="12"/>
      <c r="I1366" s="12"/>
      <c r="K1366" s="12"/>
      <c r="M1366" s="12"/>
    </row>
    <row r="1367" spans="1:13" x14ac:dyDescent="0.2">
      <c r="A1367" s="12"/>
      <c r="I1367" s="12"/>
      <c r="K1367" s="12"/>
      <c r="M1367" s="12"/>
    </row>
    <row r="1368" spans="1:13" x14ac:dyDescent="0.2">
      <c r="A1368" s="12"/>
      <c r="I1368" s="12"/>
      <c r="K1368" s="12"/>
      <c r="M1368" s="12"/>
    </row>
    <row r="1369" spans="1:13" x14ac:dyDescent="0.2">
      <c r="A1369" s="12"/>
      <c r="I1369" s="12"/>
      <c r="K1369" s="12"/>
      <c r="M1369" s="12"/>
    </row>
    <row r="1370" spans="1:13" x14ac:dyDescent="0.2">
      <c r="A1370" s="12"/>
      <c r="I1370" s="12"/>
      <c r="K1370" s="12"/>
      <c r="M1370" s="12"/>
    </row>
    <row r="1371" spans="1:13" x14ac:dyDescent="0.2">
      <c r="A1371" s="12"/>
      <c r="I1371" s="12"/>
      <c r="K1371" s="12"/>
      <c r="M1371" s="12"/>
    </row>
    <row r="1372" spans="1:13" x14ac:dyDescent="0.2">
      <c r="A1372" s="12"/>
      <c r="I1372" s="12"/>
      <c r="K1372" s="12"/>
      <c r="M1372" s="12"/>
    </row>
    <row r="1373" spans="1:13" x14ac:dyDescent="0.2">
      <c r="A1373" s="12"/>
      <c r="I1373" s="12"/>
      <c r="K1373" s="12"/>
      <c r="M1373" s="12"/>
    </row>
    <row r="1374" spans="1:13" x14ac:dyDescent="0.2">
      <c r="A1374" s="12"/>
      <c r="I1374" s="12"/>
      <c r="K1374" s="12"/>
      <c r="M1374" s="12"/>
    </row>
    <row r="1375" spans="1:13" x14ac:dyDescent="0.2">
      <c r="A1375" s="12"/>
      <c r="I1375" s="12"/>
      <c r="K1375" s="12"/>
      <c r="M1375" s="12"/>
    </row>
    <row r="1376" spans="1:13" x14ac:dyDescent="0.2">
      <c r="A1376" s="12"/>
      <c r="I1376" s="12"/>
      <c r="K1376" s="12"/>
      <c r="M1376" s="12"/>
    </row>
    <row r="1377" spans="1:13" x14ac:dyDescent="0.2">
      <c r="A1377" s="12"/>
      <c r="I1377" s="12"/>
      <c r="K1377" s="12"/>
      <c r="M1377" s="12"/>
    </row>
    <row r="1378" spans="1:13" x14ac:dyDescent="0.2">
      <c r="A1378" s="12"/>
      <c r="I1378" s="12"/>
      <c r="K1378" s="12"/>
      <c r="M1378" s="12"/>
    </row>
    <row r="1379" spans="1:13" x14ac:dyDescent="0.2">
      <c r="A1379" s="12"/>
      <c r="I1379" s="12"/>
      <c r="K1379" s="12"/>
      <c r="M1379" s="12"/>
    </row>
    <row r="1380" spans="1:13" x14ac:dyDescent="0.2">
      <c r="A1380" s="12"/>
      <c r="I1380" s="12"/>
      <c r="K1380" s="12"/>
      <c r="M1380" s="12"/>
    </row>
    <row r="1381" spans="1:13" x14ac:dyDescent="0.2">
      <c r="A1381" s="12"/>
      <c r="I1381" s="12"/>
      <c r="K1381" s="12"/>
      <c r="M1381" s="12"/>
    </row>
    <row r="1382" spans="1:13" x14ac:dyDescent="0.2">
      <c r="A1382" s="12"/>
      <c r="I1382" s="12"/>
      <c r="K1382" s="12"/>
      <c r="M1382" s="12"/>
    </row>
    <row r="1383" spans="1:13" x14ac:dyDescent="0.2">
      <c r="A1383" s="12"/>
      <c r="I1383" s="12"/>
      <c r="K1383" s="12"/>
      <c r="M1383" s="12"/>
    </row>
    <row r="1384" spans="1:13" x14ac:dyDescent="0.2">
      <c r="A1384" s="12"/>
      <c r="I1384" s="12"/>
      <c r="K1384" s="12"/>
      <c r="M1384" s="12"/>
    </row>
    <row r="1385" spans="1:13" x14ac:dyDescent="0.2">
      <c r="A1385" s="12"/>
      <c r="I1385" s="12"/>
      <c r="K1385" s="12"/>
      <c r="M1385" s="12"/>
    </row>
    <row r="1386" spans="1:13" x14ac:dyDescent="0.2">
      <c r="A1386" s="12"/>
      <c r="I1386" s="12"/>
      <c r="K1386" s="12"/>
      <c r="M1386" s="12"/>
    </row>
    <row r="1387" spans="1:13" x14ac:dyDescent="0.2">
      <c r="A1387" s="12"/>
      <c r="I1387" s="12"/>
      <c r="K1387" s="12"/>
      <c r="M1387" s="12"/>
    </row>
    <row r="1388" spans="1:13" x14ac:dyDescent="0.2">
      <c r="A1388" s="12"/>
      <c r="I1388" s="12"/>
      <c r="K1388" s="12"/>
      <c r="M1388" s="12"/>
    </row>
    <row r="1389" spans="1:13" x14ac:dyDescent="0.2">
      <c r="A1389" s="12"/>
      <c r="I1389" s="12"/>
      <c r="K1389" s="12"/>
      <c r="M1389" s="12"/>
    </row>
    <row r="1390" spans="1:13" x14ac:dyDescent="0.2">
      <c r="A1390" s="12"/>
      <c r="I1390" s="12"/>
      <c r="K1390" s="12"/>
      <c r="M1390" s="12"/>
    </row>
    <row r="1391" spans="1:13" x14ac:dyDescent="0.2">
      <c r="A1391" s="12"/>
      <c r="I1391" s="12"/>
      <c r="K1391" s="12"/>
      <c r="M1391" s="12"/>
    </row>
    <row r="1392" spans="1:13" x14ac:dyDescent="0.2">
      <c r="A1392" s="12"/>
      <c r="I1392" s="12"/>
      <c r="K1392" s="12"/>
      <c r="M1392" s="12"/>
    </row>
    <row r="1393" spans="1:13" x14ac:dyDescent="0.2">
      <c r="A1393" s="12"/>
      <c r="I1393" s="12"/>
      <c r="K1393" s="12"/>
      <c r="M1393" s="12"/>
    </row>
    <row r="1394" spans="1:13" x14ac:dyDescent="0.2">
      <c r="A1394" s="12"/>
      <c r="I1394" s="12"/>
      <c r="K1394" s="12"/>
      <c r="M1394" s="12"/>
    </row>
    <row r="1395" spans="1:13" x14ac:dyDescent="0.2">
      <c r="A1395" s="12"/>
      <c r="I1395" s="12"/>
      <c r="K1395" s="12"/>
      <c r="M1395" s="12"/>
    </row>
    <row r="1396" spans="1:13" x14ac:dyDescent="0.2">
      <c r="A1396" s="12"/>
      <c r="I1396" s="12"/>
      <c r="K1396" s="12"/>
      <c r="M1396" s="12"/>
    </row>
    <row r="1397" spans="1:13" x14ac:dyDescent="0.2">
      <c r="A1397" s="12"/>
      <c r="I1397" s="12"/>
      <c r="K1397" s="12"/>
      <c r="M1397" s="12"/>
    </row>
    <row r="1398" spans="1:13" x14ac:dyDescent="0.2">
      <c r="A1398" s="12"/>
      <c r="I1398" s="12"/>
      <c r="K1398" s="12"/>
      <c r="M1398" s="12"/>
    </row>
    <row r="1399" spans="1:13" x14ac:dyDescent="0.2">
      <c r="A1399" s="12"/>
      <c r="I1399" s="12"/>
      <c r="K1399" s="12"/>
      <c r="M1399" s="12"/>
    </row>
    <row r="1400" spans="1:13" x14ac:dyDescent="0.2">
      <c r="A1400" s="12"/>
      <c r="I1400" s="12"/>
      <c r="K1400" s="12"/>
      <c r="M1400" s="12"/>
    </row>
    <row r="1401" spans="1:13" x14ac:dyDescent="0.2">
      <c r="A1401" s="12"/>
      <c r="I1401" s="12"/>
      <c r="K1401" s="12"/>
      <c r="M1401" s="12"/>
    </row>
    <row r="1402" spans="1:13" x14ac:dyDescent="0.2">
      <c r="A1402" s="12"/>
      <c r="I1402" s="12"/>
      <c r="K1402" s="12"/>
      <c r="M1402" s="12"/>
    </row>
    <row r="1403" spans="1:13" x14ac:dyDescent="0.2">
      <c r="A1403" s="12"/>
      <c r="I1403" s="12"/>
      <c r="K1403" s="12"/>
      <c r="M1403" s="12"/>
    </row>
    <row r="1404" spans="1:13" x14ac:dyDescent="0.2">
      <c r="A1404" s="12"/>
      <c r="I1404" s="12"/>
      <c r="K1404" s="12"/>
      <c r="M1404" s="12"/>
    </row>
    <row r="1405" spans="1:13" x14ac:dyDescent="0.2">
      <c r="A1405" s="12"/>
      <c r="I1405" s="12"/>
      <c r="K1405" s="12"/>
      <c r="M1405" s="12"/>
    </row>
    <row r="1406" spans="1:13" x14ac:dyDescent="0.2">
      <c r="A1406" s="12"/>
      <c r="I1406" s="12"/>
      <c r="K1406" s="12"/>
      <c r="M1406" s="12"/>
    </row>
    <row r="1407" spans="1:13" x14ac:dyDescent="0.2">
      <c r="A1407" s="12"/>
      <c r="I1407" s="12"/>
      <c r="K1407" s="12"/>
      <c r="M1407" s="12"/>
    </row>
    <row r="1408" spans="1:13" x14ac:dyDescent="0.2">
      <c r="A1408" s="12"/>
      <c r="I1408" s="12"/>
      <c r="K1408" s="12"/>
      <c r="M1408" s="12"/>
    </row>
    <row r="1409" spans="1:13" x14ac:dyDescent="0.2">
      <c r="A1409" s="12"/>
      <c r="I1409" s="12"/>
      <c r="K1409" s="12"/>
      <c r="M1409" s="12"/>
    </row>
    <row r="1410" spans="1:13" x14ac:dyDescent="0.2">
      <c r="A1410" s="12"/>
      <c r="I1410" s="12"/>
      <c r="K1410" s="12"/>
      <c r="M1410" s="12"/>
    </row>
    <row r="1411" spans="1:13" x14ac:dyDescent="0.2">
      <c r="A1411" s="12"/>
      <c r="I1411" s="12"/>
      <c r="K1411" s="12"/>
      <c r="M1411" s="12"/>
    </row>
    <row r="1412" spans="1:13" x14ac:dyDescent="0.2">
      <c r="A1412" s="12"/>
      <c r="I1412" s="12"/>
      <c r="K1412" s="12"/>
      <c r="M1412" s="12"/>
    </row>
    <row r="1413" spans="1:13" x14ac:dyDescent="0.2">
      <c r="A1413" s="12"/>
      <c r="I1413" s="12"/>
      <c r="K1413" s="12"/>
      <c r="M1413" s="12"/>
    </row>
    <row r="1414" spans="1:13" x14ac:dyDescent="0.2">
      <c r="A1414" s="12"/>
      <c r="I1414" s="12"/>
      <c r="K1414" s="12"/>
      <c r="M1414" s="12"/>
    </row>
    <row r="1415" spans="1:13" x14ac:dyDescent="0.2">
      <c r="A1415" s="12"/>
      <c r="I1415" s="12"/>
      <c r="K1415" s="12"/>
      <c r="M1415" s="12"/>
    </row>
    <row r="1416" spans="1:13" x14ac:dyDescent="0.2">
      <c r="A1416" s="12"/>
      <c r="I1416" s="12"/>
      <c r="K1416" s="12"/>
      <c r="M1416" s="12"/>
    </row>
    <row r="1417" spans="1:13" x14ac:dyDescent="0.2">
      <c r="A1417" s="12"/>
      <c r="I1417" s="12"/>
      <c r="K1417" s="12"/>
      <c r="M1417" s="12"/>
    </row>
    <row r="1418" spans="1:13" x14ac:dyDescent="0.2">
      <c r="A1418" s="12"/>
      <c r="I1418" s="12"/>
      <c r="K1418" s="12"/>
      <c r="M1418" s="12"/>
    </row>
    <row r="1419" spans="1:13" x14ac:dyDescent="0.2">
      <c r="A1419" s="12"/>
      <c r="I1419" s="12"/>
      <c r="K1419" s="12"/>
      <c r="M1419" s="12"/>
    </row>
    <row r="1420" spans="1:13" x14ac:dyDescent="0.2">
      <c r="A1420" s="12"/>
      <c r="I1420" s="12"/>
      <c r="K1420" s="12"/>
      <c r="M1420" s="12"/>
    </row>
    <row r="1421" spans="1:13" x14ac:dyDescent="0.2">
      <c r="A1421" s="12"/>
      <c r="I1421" s="12"/>
      <c r="K1421" s="12"/>
      <c r="M1421" s="12"/>
    </row>
    <row r="1422" spans="1:13" x14ac:dyDescent="0.2">
      <c r="A1422" s="12"/>
      <c r="I1422" s="12"/>
      <c r="K1422" s="12"/>
      <c r="M1422" s="12"/>
    </row>
    <row r="1423" spans="1:13" x14ac:dyDescent="0.2">
      <c r="A1423" s="12"/>
      <c r="I1423" s="12"/>
      <c r="K1423" s="12"/>
      <c r="M1423" s="12"/>
    </row>
    <row r="1424" spans="1:13" x14ac:dyDescent="0.2">
      <c r="A1424" s="12"/>
      <c r="I1424" s="12"/>
      <c r="K1424" s="12"/>
      <c r="M1424" s="12"/>
    </row>
    <row r="1425" spans="1:13" x14ac:dyDescent="0.2">
      <c r="A1425" s="12"/>
      <c r="I1425" s="12"/>
      <c r="K1425" s="12"/>
      <c r="M1425" s="12"/>
    </row>
    <row r="1426" spans="1:13" x14ac:dyDescent="0.2">
      <c r="A1426" s="12"/>
      <c r="I1426" s="12"/>
      <c r="K1426" s="12"/>
      <c r="M1426" s="12"/>
    </row>
    <row r="1427" spans="1:13" x14ac:dyDescent="0.2">
      <c r="A1427" s="12"/>
      <c r="I1427" s="12"/>
      <c r="K1427" s="12"/>
      <c r="M1427" s="12"/>
    </row>
    <row r="1428" spans="1:13" x14ac:dyDescent="0.2">
      <c r="A1428" s="12"/>
      <c r="I1428" s="12"/>
      <c r="K1428" s="12"/>
      <c r="M1428" s="12"/>
    </row>
    <row r="1429" spans="1:13" x14ac:dyDescent="0.2">
      <c r="A1429" s="12"/>
      <c r="I1429" s="12"/>
      <c r="K1429" s="12"/>
      <c r="M1429" s="12"/>
    </row>
    <row r="1430" spans="1:13" x14ac:dyDescent="0.2">
      <c r="A1430" s="12"/>
      <c r="I1430" s="12"/>
      <c r="K1430" s="12"/>
      <c r="M1430" s="12"/>
    </row>
    <row r="1431" spans="1:13" x14ac:dyDescent="0.2">
      <c r="A1431" s="12"/>
      <c r="I1431" s="12"/>
      <c r="K1431" s="12"/>
      <c r="M1431" s="12"/>
    </row>
    <row r="1432" spans="1:13" x14ac:dyDescent="0.2">
      <c r="A1432" s="12"/>
      <c r="I1432" s="12"/>
      <c r="K1432" s="12"/>
      <c r="M1432" s="12"/>
    </row>
    <row r="1433" spans="1:13" x14ac:dyDescent="0.2">
      <c r="A1433" s="12"/>
      <c r="I1433" s="12"/>
      <c r="K1433" s="12"/>
      <c r="M1433" s="12"/>
    </row>
    <row r="1434" spans="1:13" x14ac:dyDescent="0.2">
      <c r="A1434" s="12"/>
      <c r="I1434" s="12"/>
      <c r="K1434" s="12"/>
      <c r="M1434" s="12"/>
    </row>
    <row r="1435" spans="1:13" x14ac:dyDescent="0.2">
      <c r="A1435" s="12"/>
      <c r="I1435" s="12"/>
      <c r="K1435" s="12"/>
      <c r="M1435" s="12"/>
    </row>
    <row r="1436" spans="1:13" x14ac:dyDescent="0.2">
      <c r="A1436" s="12"/>
      <c r="I1436" s="12"/>
      <c r="K1436" s="12"/>
      <c r="M1436" s="12"/>
    </row>
    <row r="1437" spans="1:13" x14ac:dyDescent="0.2">
      <c r="A1437" s="12"/>
      <c r="I1437" s="12"/>
      <c r="K1437" s="12"/>
      <c r="M1437" s="12"/>
    </row>
    <row r="1438" spans="1:13" x14ac:dyDescent="0.2">
      <c r="A1438" s="12"/>
      <c r="I1438" s="12"/>
      <c r="K1438" s="12"/>
      <c r="M1438" s="12"/>
    </row>
    <row r="1439" spans="1:13" x14ac:dyDescent="0.2">
      <c r="A1439" s="12"/>
      <c r="I1439" s="12"/>
      <c r="K1439" s="12"/>
      <c r="M1439" s="12"/>
    </row>
    <row r="1440" spans="1:13" x14ac:dyDescent="0.2">
      <c r="A1440" s="12"/>
      <c r="I1440" s="12"/>
      <c r="K1440" s="12"/>
      <c r="M1440" s="12"/>
    </row>
    <row r="1441" spans="1:13" x14ac:dyDescent="0.2">
      <c r="A1441" s="12"/>
      <c r="I1441" s="12"/>
      <c r="K1441" s="12"/>
      <c r="M1441" s="12"/>
    </row>
    <row r="1442" spans="1:13" x14ac:dyDescent="0.2">
      <c r="A1442" s="12"/>
      <c r="I1442" s="12"/>
      <c r="K1442" s="12"/>
      <c r="M1442" s="12"/>
    </row>
    <row r="1443" spans="1:13" x14ac:dyDescent="0.2">
      <c r="A1443" s="12"/>
      <c r="I1443" s="12"/>
      <c r="K1443" s="12"/>
      <c r="M1443" s="12"/>
    </row>
    <row r="1444" spans="1:13" x14ac:dyDescent="0.2">
      <c r="A1444" s="12"/>
      <c r="I1444" s="12"/>
      <c r="K1444" s="12"/>
      <c r="M1444" s="12"/>
    </row>
    <row r="1445" spans="1:13" x14ac:dyDescent="0.2">
      <c r="A1445" s="12"/>
      <c r="I1445" s="12"/>
      <c r="K1445" s="12"/>
      <c r="M1445" s="12"/>
    </row>
    <row r="1446" spans="1:13" x14ac:dyDescent="0.2">
      <c r="A1446" s="12"/>
      <c r="I1446" s="12"/>
      <c r="K1446" s="12"/>
      <c r="M1446" s="12"/>
    </row>
    <row r="1447" spans="1:13" x14ac:dyDescent="0.2">
      <c r="A1447" s="12"/>
      <c r="I1447" s="12"/>
      <c r="K1447" s="12"/>
      <c r="M1447" s="12"/>
    </row>
    <row r="1448" spans="1:13" x14ac:dyDescent="0.2">
      <c r="A1448" s="12"/>
      <c r="I1448" s="12"/>
      <c r="K1448" s="12"/>
      <c r="M1448" s="12"/>
    </row>
    <row r="1449" spans="1:13" x14ac:dyDescent="0.2">
      <c r="A1449" s="12"/>
      <c r="I1449" s="12"/>
      <c r="K1449" s="12"/>
      <c r="M1449" s="12"/>
    </row>
    <row r="1450" spans="1:13" x14ac:dyDescent="0.2">
      <c r="A1450" s="12"/>
      <c r="I1450" s="12"/>
      <c r="K1450" s="12"/>
      <c r="M1450" s="12"/>
    </row>
    <row r="1451" spans="1:13" x14ac:dyDescent="0.2">
      <c r="A1451" s="12"/>
      <c r="I1451" s="12"/>
      <c r="K1451" s="12"/>
      <c r="M1451" s="12"/>
    </row>
    <row r="1452" spans="1:13" x14ac:dyDescent="0.2">
      <c r="A1452" s="12"/>
      <c r="I1452" s="12"/>
      <c r="K1452" s="12"/>
      <c r="M1452" s="12"/>
    </row>
    <row r="1453" spans="1:13" x14ac:dyDescent="0.2">
      <c r="A1453" s="12"/>
      <c r="I1453" s="12"/>
      <c r="K1453" s="12"/>
      <c r="M1453" s="12"/>
    </row>
    <row r="1454" spans="1:13" x14ac:dyDescent="0.2">
      <c r="A1454" s="12"/>
      <c r="I1454" s="12"/>
      <c r="K1454" s="12"/>
      <c r="M1454" s="12"/>
    </row>
    <row r="1455" spans="1:13" x14ac:dyDescent="0.2">
      <c r="A1455" s="12"/>
      <c r="I1455" s="12"/>
      <c r="K1455" s="12"/>
      <c r="M1455" s="12"/>
    </row>
    <row r="1456" spans="1:13" x14ac:dyDescent="0.2">
      <c r="A1456" s="12"/>
      <c r="I1456" s="12"/>
      <c r="K1456" s="12"/>
      <c r="M1456" s="12"/>
    </row>
    <row r="1457" spans="1:13" x14ac:dyDescent="0.2">
      <c r="A1457" s="12"/>
      <c r="I1457" s="12"/>
      <c r="K1457" s="12"/>
      <c r="M1457" s="12"/>
    </row>
    <row r="1458" spans="1:13" x14ac:dyDescent="0.2">
      <c r="A1458" s="12"/>
      <c r="I1458" s="12"/>
      <c r="K1458" s="12"/>
      <c r="M1458" s="12"/>
    </row>
    <row r="1459" spans="1:13" x14ac:dyDescent="0.2">
      <c r="A1459" s="12"/>
      <c r="I1459" s="12"/>
      <c r="K1459" s="12"/>
      <c r="M1459" s="12"/>
    </row>
    <row r="1460" spans="1:13" x14ac:dyDescent="0.2">
      <c r="A1460" s="12"/>
      <c r="I1460" s="12"/>
      <c r="K1460" s="12"/>
      <c r="M1460" s="12"/>
    </row>
    <row r="1461" spans="1:13" x14ac:dyDescent="0.2">
      <c r="A1461" s="12"/>
      <c r="I1461" s="12"/>
      <c r="K1461" s="12"/>
      <c r="M1461" s="12"/>
    </row>
    <row r="1462" spans="1:13" x14ac:dyDescent="0.2">
      <c r="A1462" s="12"/>
      <c r="I1462" s="12"/>
      <c r="K1462" s="12"/>
      <c r="M1462" s="12"/>
    </row>
    <row r="1463" spans="1:13" x14ac:dyDescent="0.2">
      <c r="A1463" s="12"/>
      <c r="I1463" s="12"/>
      <c r="K1463" s="12"/>
      <c r="M1463" s="12"/>
    </row>
    <row r="1464" spans="1:13" x14ac:dyDescent="0.2">
      <c r="A1464" s="12"/>
      <c r="I1464" s="12"/>
      <c r="K1464" s="12"/>
      <c r="M1464" s="12"/>
    </row>
    <row r="1465" spans="1:13" x14ac:dyDescent="0.2">
      <c r="A1465" s="12"/>
      <c r="I1465" s="12"/>
      <c r="K1465" s="12"/>
      <c r="M1465" s="12"/>
    </row>
    <row r="1466" spans="1:13" x14ac:dyDescent="0.2">
      <c r="A1466" s="12"/>
      <c r="I1466" s="12"/>
      <c r="K1466" s="12"/>
      <c r="M1466" s="12"/>
    </row>
    <row r="1467" spans="1:13" x14ac:dyDescent="0.2">
      <c r="A1467" s="12"/>
      <c r="I1467" s="12"/>
      <c r="K1467" s="12"/>
      <c r="M1467" s="12"/>
    </row>
    <row r="1468" spans="1:13" x14ac:dyDescent="0.2">
      <c r="A1468" s="12"/>
      <c r="I1468" s="12"/>
      <c r="K1468" s="12"/>
      <c r="M1468" s="12"/>
    </row>
    <row r="1469" spans="1:13" x14ac:dyDescent="0.2">
      <c r="A1469" s="12"/>
      <c r="I1469" s="12"/>
      <c r="K1469" s="12"/>
      <c r="M1469" s="12"/>
    </row>
    <row r="1470" spans="1:13" x14ac:dyDescent="0.2">
      <c r="A1470" s="12"/>
      <c r="I1470" s="12"/>
      <c r="K1470" s="12"/>
      <c r="M1470" s="12"/>
    </row>
    <row r="1471" spans="1:13" x14ac:dyDescent="0.2">
      <c r="A1471" s="12"/>
      <c r="I1471" s="12"/>
      <c r="K1471" s="12"/>
      <c r="M1471" s="12"/>
    </row>
    <row r="1472" spans="1:13" x14ac:dyDescent="0.2">
      <c r="A1472" s="12"/>
      <c r="I1472" s="12"/>
      <c r="K1472" s="12"/>
      <c r="M1472" s="12"/>
    </row>
    <row r="1473" spans="1:13" x14ac:dyDescent="0.2">
      <c r="A1473" s="12"/>
      <c r="I1473" s="12"/>
      <c r="K1473" s="12"/>
      <c r="M1473" s="12"/>
    </row>
    <row r="1474" spans="1:13" x14ac:dyDescent="0.2">
      <c r="A1474" s="12"/>
      <c r="I1474" s="12"/>
      <c r="K1474" s="12"/>
      <c r="M1474" s="12"/>
    </row>
    <row r="1475" spans="1:13" x14ac:dyDescent="0.2">
      <c r="A1475" s="12"/>
      <c r="I1475" s="12"/>
      <c r="K1475" s="12"/>
      <c r="M1475" s="12"/>
    </row>
    <row r="1476" spans="1:13" x14ac:dyDescent="0.2">
      <c r="A1476" s="12"/>
      <c r="I1476" s="12"/>
      <c r="K1476" s="12"/>
      <c r="M1476" s="12"/>
    </row>
    <row r="1477" spans="1:13" x14ac:dyDescent="0.2">
      <c r="A1477" s="12"/>
      <c r="I1477" s="12"/>
      <c r="K1477" s="12"/>
      <c r="M1477" s="12"/>
    </row>
    <row r="1478" spans="1:13" x14ac:dyDescent="0.2">
      <c r="A1478" s="12"/>
      <c r="I1478" s="12"/>
      <c r="K1478" s="12"/>
      <c r="M1478" s="12"/>
    </row>
    <row r="1479" spans="1:13" x14ac:dyDescent="0.2">
      <c r="A1479" s="12"/>
      <c r="I1479" s="12"/>
      <c r="K1479" s="12"/>
      <c r="M1479" s="12"/>
    </row>
    <row r="1480" spans="1:13" x14ac:dyDescent="0.2">
      <c r="A1480" s="12"/>
      <c r="I1480" s="12"/>
      <c r="K1480" s="12"/>
      <c r="M1480" s="12"/>
    </row>
    <row r="1481" spans="1:13" x14ac:dyDescent="0.2">
      <c r="A1481" s="12"/>
      <c r="I1481" s="12"/>
      <c r="K1481" s="12"/>
      <c r="M1481" s="12"/>
    </row>
    <row r="1482" spans="1:13" x14ac:dyDescent="0.2">
      <c r="A1482" s="12"/>
      <c r="I1482" s="12"/>
      <c r="K1482" s="12"/>
      <c r="M1482" s="12"/>
    </row>
    <row r="1483" spans="1:13" x14ac:dyDescent="0.2">
      <c r="A1483" s="12"/>
      <c r="I1483" s="12"/>
      <c r="K1483" s="12"/>
      <c r="M1483" s="12"/>
    </row>
    <row r="1484" spans="1:13" x14ac:dyDescent="0.2">
      <c r="A1484" s="12"/>
      <c r="I1484" s="12"/>
      <c r="K1484" s="12"/>
      <c r="M1484" s="12"/>
    </row>
    <row r="1485" spans="1:13" x14ac:dyDescent="0.2">
      <c r="A1485" s="12"/>
      <c r="I1485" s="12"/>
      <c r="K1485" s="12"/>
      <c r="M1485" s="12"/>
    </row>
    <row r="1486" spans="1:13" x14ac:dyDescent="0.2">
      <c r="A1486" s="12"/>
      <c r="I1486" s="12"/>
      <c r="K1486" s="12"/>
      <c r="M1486" s="12"/>
    </row>
    <row r="1487" spans="1:13" x14ac:dyDescent="0.2">
      <c r="A1487" s="12"/>
      <c r="I1487" s="12"/>
      <c r="K1487" s="12"/>
      <c r="M1487" s="12"/>
    </row>
    <row r="1488" spans="1:13" x14ac:dyDescent="0.2">
      <c r="A1488" s="12"/>
      <c r="I1488" s="12"/>
      <c r="K1488" s="12"/>
      <c r="M1488" s="12"/>
    </row>
    <row r="1489" spans="1:13" x14ac:dyDescent="0.2">
      <c r="A1489" s="12"/>
      <c r="I1489" s="12"/>
      <c r="K1489" s="12"/>
      <c r="M1489" s="12"/>
    </row>
    <row r="1490" spans="1:13" x14ac:dyDescent="0.2">
      <c r="A1490" s="12"/>
      <c r="I1490" s="12"/>
      <c r="K1490" s="12"/>
      <c r="M1490" s="12"/>
    </row>
    <row r="1491" spans="1:13" x14ac:dyDescent="0.2">
      <c r="A1491" s="12"/>
      <c r="I1491" s="12"/>
      <c r="K1491" s="12"/>
      <c r="M1491" s="12"/>
    </row>
    <row r="1492" spans="1:13" x14ac:dyDescent="0.2">
      <c r="A1492" s="12"/>
      <c r="I1492" s="12"/>
      <c r="K1492" s="12"/>
      <c r="M1492" s="12"/>
    </row>
    <row r="1493" spans="1:13" x14ac:dyDescent="0.2">
      <c r="A1493" s="12"/>
      <c r="I1493" s="12"/>
      <c r="K1493" s="12"/>
      <c r="M1493" s="12"/>
    </row>
    <row r="1494" spans="1:13" x14ac:dyDescent="0.2">
      <c r="A1494" s="12"/>
      <c r="I1494" s="12"/>
      <c r="K1494" s="12"/>
      <c r="M1494" s="12"/>
    </row>
    <row r="1495" spans="1:13" x14ac:dyDescent="0.2">
      <c r="A1495" s="12"/>
      <c r="I1495" s="12"/>
      <c r="K1495" s="12"/>
      <c r="M1495" s="12"/>
    </row>
    <row r="1496" spans="1:13" x14ac:dyDescent="0.2">
      <c r="A1496" s="12"/>
      <c r="I1496" s="12"/>
      <c r="K1496" s="12"/>
      <c r="M1496" s="12"/>
    </row>
    <row r="1497" spans="1:13" x14ac:dyDescent="0.2">
      <c r="A1497" s="12"/>
      <c r="I1497" s="12"/>
      <c r="K1497" s="12"/>
      <c r="M1497" s="12"/>
    </row>
    <row r="1498" spans="1:13" x14ac:dyDescent="0.2">
      <c r="A1498" s="12"/>
      <c r="I1498" s="12"/>
      <c r="K1498" s="12"/>
      <c r="M1498" s="12"/>
    </row>
    <row r="1499" spans="1:13" x14ac:dyDescent="0.2">
      <c r="A1499" s="12"/>
      <c r="I1499" s="12"/>
      <c r="K1499" s="12"/>
      <c r="M1499" s="12"/>
    </row>
    <row r="1500" spans="1:13" x14ac:dyDescent="0.2">
      <c r="A1500" s="12"/>
      <c r="I1500" s="12"/>
      <c r="K1500" s="12"/>
      <c r="M1500" s="12"/>
    </row>
    <row r="1501" spans="1:13" x14ac:dyDescent="0.2">
      <c r="A1501" s="12"/>
      <c r="I1501" s="12"/>
      <c r="K1501" s="12"/>
      <c r="M1501" s="12"/>
    </row>
    <row r="1502" spans="1:13" x14ac:dyDescent="0.2">
      <c r="A1502" s="12"/>
      <c r="I1502" s="12"/>
      <c r="K1502" s="12"/>
      <c r="M1502" s="12"/>
    </row>
    <row r="1503" spans="1:13" x14ac:dyDescent="0.2">
      <c r="A1503" s="12"/>
      <c r="I1503" s="12"/>
      <c r="K1503" s="12"/>
      <c r="M1503" s="12"/>
    </row>
    <row r="1504" spans="1:13" x14ac:dyDescent="0.2">
      <c r="A1504" s="12"/>
      <c r="I1504" s="12"/>
      <c r="K1504" s="12"/>
      <c r="M1504" s="12"/>
    </row>
    <row r="1505" spans="1:13" x14ac:dyDescent="0.2">
      <c r="A1505" s="12"/>
      <c r="I1505" s="12"/>
      <c r="K1505" s="12"/>
      <c r="M1505" s="12"/>
    </row>
    <row r="1506" spans="1:13" x14ac:dyDescent="0.2">
      <c r="A1506" s="12"/>
      <c r="I1506" s="12"/>
      <c r="K1506" s="12"/>
      <c r="M1506" s="12"/>
    </row>
    <row r="1507" spans="1:13" x14ac:dyDescent="0.2">
      <c r="A1507" s="12"/>
      <c r="I1507" s="12"/>
      <c r="K1507" s="12"/>
      <c r="M1507" s="12"/>
    </row>
    <row r="1508" spans="1:13" x14ac:dyDescent="0.2">
      <c r="A1508" s="12"/>
      <c r="I1508" s="12"/>
      <c r="K1508" s="12"/>
      <c r="M1508" s="12"/>
    </row>
    <row r="1509" spans="1:13" x14ac:dyDescent="0.2">
      <c r="A1509" s="12"/>
      <c r="I1509" s="12"/>
      <c r="K1509" s="12"/>
      <c r="M1509" s="12"/>
    </row>
    <row r="1510" spans="1:13" x14ac:dyDescent="0.2">
      <c r="A1510" s="12"/>
      <c r="I1510" s="12"/>
      <c r="K1510" s="12"/>
      <c r="M1510" s="12"/>
    </row>
    <row r="1511" spans="1:13" x14ac:dyDescent="0.2">
      <c r="A1511" s="12"/>
      <c r="I1511" s="12"/>
      <c r="K1511" s="12"/>
      <c r="M1511" s="12"/>
    </row>
    <row r="1512" spans="1:13" x14ac:dyDescent="0.2">
      <c r="A1512" s="12"/>
      <c r="I1512" s="12"/>
      <c r="K1512" s="12"/>
      <c r="M1512" s="12"/>
    </row>
    <row r="1513" spans="1:13" x14ac:dyDescent="0.2">
      <c r="A1513" s="12"/>
      <c r="I1513" s="12"/>
      <c r="K1513" s="12"/>
      <c r="M1513" s="12"/>
    </row>
    <row r="1514" spans="1:13" x14ac:dyDescent="0.2">
      <c r="A1514" s="12"/>
      <c r="I1514" s="12"/>
      <c r="K1514" s="12"/>
      <c r="M1514" s="12"/>
    </row>
    <row r="1515" spans="1:13" x14ac:dyDescent="0.2">
      <c r="A1515" s="12"/>
      <c r="I1515" s="12"/>
      <c r="K1515" s="12"/>
      <c r="M1515" s="12"/>
    </row>
    <row r="1516" spans="1:13" x14ac:dyDescent="0.2">
      <c r="A1516" s="12"/>
      <c r="I1516" s="12"/>
      <c r="K1516" s="12"/>
      <c r="M1516" s="12"/>
    </row>
    <row r="1517" spans="1:13" x14ac:dyDescent="0.2">
      <c r="A1517" s="12"/>
      <c r="I1517" s="12"/>
      <c r="K1517" s="12"/>
      <c r="M1517" s="12"/>
    </row>
    <row r="1518" spans="1:13" x14ac:dyDescent="0.2">
      <c r="A1518" s="12"/>
      <c r="I1518" s="12"/>
      <c r="K1518" s="12"/>
      <c r="M1518" s="12"/>
    </row>
    <row r="1519" spans="1:13" x14ac:dyDescent="0.2">
      <c r="A1519" s="12"/>
      <c r="I1519" s="12"/>
      <c r="K1519" s="12"/>
      <c r="M1519" s="12"/>
    </row>
    <row r="1520" spans="1:13" x14ac:dyDescent="0.2">
      <c r="A1520" s="12"/>
      <c r="I1520" s="12"/>
      <c r="K1520" s="12"/>
      <c r="M1520" s="12"/>
    </row>
    <row r="1521" spans="1:13" x14ac:dyDescent="0.2">
      <c r="A1521" s="12"/>
      <c r="I1521" s="12"/>
      <c r="K1521" s="12"/>
      <c r="M1521" s="12"/>
    </row>
    <row r="1522" spans="1:13" x14ac:dyDescent="0.2">
      <c r="A1522" s="12"/>
      <c r="I1522" s="12"/>
      <c r="K1522" s="12"/>
      <c r="M1522" s="12"/>
    </row>
    <row r="1523" spans="1:13" x14ac:dyDescent="0.2">
      <c r="A1523" s="12"/>
      <c r="I1523" s="12"/>
      <c r="K1523" s="12"/>
      <c r="M1523" s="12"/>
    </row>
    <row r="1524" spans="1:13" x14ac:dyDescent="0.2">
      <c r="A1524" s="12"/>
      <c r="I1524" s="12"/>
      <c r="K1524" s="12"/>
      <c r="M1524" s="12"/>
    </row>
    <row r="1525" spans="1:13" x14ac:dyDescent="0.2">
      <c r="A1525" s="12"/>
      <c r="I1525" s="12"/>
      <c r="K1525" s="12"/>
      <c r="M1525" s="12"/>
    </row>
    <row r="1526" spans="1:13" x14ac:dyDescent="0.2">
      <c r="A1526" s="12"/>
      <c r="I1526" s="12"/>
      <c r="K1526" s="12"/>
      <c r="M1526" s="12"/>
    </row>
    <row r="1527" spans="1:13" x14ac:dyDescent="0.2">
      <c r="A1527" s="12"/>
      <c r="I1527" s="12"/>
      <c r="K1527" s="12"/>
      <c r="M1527" s="12"/>
    </row>
    <row r="1528" spans="1:13" x14ac:dyDescent="0.2">
      <c r="A1528" s="12"/>
      <c r="I1528" s="12"/>
      <c r="K1528" s="12"/>
      <c r="M1528" s="12"/>
    </row>
    <row r="1529" spans="1:13" x14ac:dyDescent="0.2">
      <c r="A1529" s="12"/>
      <c r="I1529" s="12"/>
      <c r="K1529" s="12"/>
      <c r="M1529" s="12"/>
    </row>
    <row r="1530" spans="1:13" x14ac:dyDescent="0.2">
      <c r="A1530" s="12"/>
      <c r="I1530" s="12"/>
      <c r="K1530" s="12"/>
      <c r="M1530" s="12"/>
    </row>
    <row r="1531" spans="1:13" x14ac:dyDescent="0.2">
      <c r="A1531" s="12"/>
      <c r="I1531" s="12"/>
      <c r="K1531" s="12"/>
      <c r="M1531" s="12"/>
    </row>
    <row r="1532" spans="1:13" x14ac:dyDescent="0.2">
      <c r="A1532" s="12"/>
      <c r="I1532" s="12"/>
      <c r="K1532" s="12"/>
      <c r="M1532" s="12"/>
    </row>
    <row r="1533" spans="1:13" x14ac:dyDescent="0.2">
      <c r="A1533" s="12"/>
      <c r="I1533" s="12"/>
      <c r="K1533" s="12"/>
      <c r="M1533" s="12"/>
    </row>
    <row r="1534" spans="1:13" x14ac:dyDescent="0.2">
      <c r="A1534" s="12"/>
      <c r="I1534" s="12"/>
      <c r="K1534" s="12"/>
      <c r="M1534" s="12"/>
    </row>
    <row r="1535" spans="1:13" x14ac:dyDescent="0.2">
      <c r="A1535" s="12"/>
      <c r="I1535" s="12"/>
      <c r="K1535" s="12"/>
      <c r="M1535" s="12"/>
    </row>
    <row r="1536" spans="1:13" x14ac:dyDescent="0.2">
      <c r="A1536" s="12"/>
      <c r="I1536" s="12"/>
      <c r="K1536" s="12"/>
      <c r="M1536" s="12"/>
    </row>
    <row r="1537" spans="1:13" x14ac:dyDescent="0.2">
      <c r="A1537" s="12"/>
      <c r="I1537" s="12"/>
      <c r="K1537" s="12"/>
      <c r="M1537" s="12"/>
    </row>
    <row r="1538" spans="1:13" x14ac:dyDescent="0.2">
      <c r="A1538" s="12"/>
      <c r="I1538" s="12"/>
      <c r="K1538" s="12"/>
      <c r="M1538" s="12"/>
    </row>
    <row r="1539" spans="1:13" x14ac:dyDescent="0.2">
      <c r="A1539" s="12"/>
      <c r="I1539" s="12"/>
      <c r="K1539" s="12"/>
      <c r="M1539" s="12"/>
    </row>
    <row r="1540" spans="1:13" x14ac:dyDescent="0.2">
      <c r="A1540" s="12"/>
      <c r="I1540" s="12"/>
      <c r="K1540" s="12"/>
      <c r="M1540" s="12"/>
    </row>
    <row r="1541" spans="1:13" x14ac:dyDescent="0.2">
      <c r="A1541" s="12"/>
      <c r="I1541" s="12"/>
      <c r="K1541" s="12"/>
      <c r="M1541" s="12"/>
    </row>
    <row r="1542" spans="1:13" x14ac:dyDescent="0.2">
      <c r="A1542" s="12"/>
      <c r="I1542" s="12"/>
      <c r="K1542" s="12"/>
      <c r="M1542" s="12"/>
    </row>
    <row r="1543" spans="1:13" x14ac:dyDescent="0.2">
      <c r="A1543" s="12"/>
      <c r="I1543" s="12"/>
      <c r="K1543" s="12"/>
      <c r="M1543" s="12"/>
    </row>
    <row r="1544" spans="1:13" x14ac:dyDescent="0.2">
      <c r="A1544" s="12"/>
      <c r="I1544" s="12"/>
      <c r="K1544" s="12"/>
      <c r="M1544" s="12"/>
    </row>
    <row r="1545" spans="1:13" x14ac:dyDescent="0.2">
      <c r="A1545" s="12"/>
      <c r="I1545" s="12"/>
      <c r="K1545" s="12"/>
      <c r="M1545" s="12"/>
    </row>
    <row r="1546" spans="1:13" x14ac:dyDescent="0.2">
      <c r="A1546" s="12"/>
      <c r="I1546" s="12"/>
      <c r="K1546" s="12"/>
      <c r="M1546" s="12"/>
    </row>
    <row r="1547" spans="1:13" x14ac:dyDescent="0.2">
      <c r="A1547" s="12"/>
      <c r="I1547" s="12"/>
      <c r="K1547" s="12"/>
      <c r="M1547" s="12"/>
    </row>
    <row r="1548" spans="1:13" x14ac:dyDescent="0.2">
      <c r="A1548" s="12"/>
      <c r="I1548" s="12"/>
      <c r="K1548" s="12"/>
      <c r="M1548" s="12"/>
    </row>
    <row r="1549" spans="1:13" x14ac:dyDescent="0.2">
      <c r="A1549" s="12"/>
      <c r="I1549" s="12"/>
      <c r="K1549" s="12"/>
      <c r="M1549" s="12"/>
    </row>
    <row r="1550" spans="1:13" x14ac:dyDescent="0.2">
      <c r="A1550" s="12"/>
      <c r="I1550" s="12"/>
      <c r="K1550" s="12"/>
      <c r="M1550" s="12"/>
    </row>
    <row r="1551" spans="1:13" x14ac:dyDescent="0.2">
      <c r="A1551" s="12"/>
      <c r="I1551" s="12"/>
      <c r="K1551" s="12"/>
      <c r="M1551" s="12"/>
    </row>
    <row r="1552" spans="1:13" x14ac:dyDescent="0.2">
      <c r="A1552" s="12"/>
      <c r="I1552" s="12"/>
      <c r="K1552" s="12"/>
      <c r="M1552" s="12"/>
    </row>
    <row r="1553" spans="1:13" x14ac:dyDescent="0.2">
      <c r="A1553" s="12"/>
      <c r="I1553" s="12"/>
      <c r="K1553" s="12"/>
      <c r="M1553" s="12"/>
    </row>
    <row r="1554" spans="1:13" x14ac:dyDescent="0.2">
      <c r="A1554" s="12"/>
      <c r="I1554" s="12"/>
      <c r="K1554" s="12"/>
      <c r="M1554" s="12"/>
    </row>
    <row r="1555" spans="1:13" x14ac:dyDescent="0.2">
      <c r="A1555" s="12"/>
      <c r="I1555" s="12"/>
      <c r="K1555" s="12"/>
      <c r="M1555" s="12"/>
    </row>
    <row r="1556" spans="1:13" x14ac:dyDescent="0.2">
      <c r="A1556" s="12"/>
      <c r="I1556" s="12"/>
      <c r="K1556" s="12"/>
      <c r="M1556" s="12"/>
    </row>
    <row r="1557" spans="1:13" x14ac:dyDescent="0.2">
      <c r="A1557" s="12"/>
      <c r="I1557" s="12"/>
      <c r="K1557" s="12"/>
      <c r="M1557" s="12"/>
    </row>
    <row r="1558" spans="1:13" x14ac:dyDescent="0.2">
      <c r="A1558" s="12"/>
      <c r="I1558" s="12"/>
      <c r="K1558" s="12"/>
      <c r="M1558" s="12"/>
    </row>
    <row r="1559" spans="1:13" x14ac:dyDescent="0.2">
      <c r="A1559" s="12"/>
      <c r="I1559" s="12"/>
      <c r="K1559" s="12"/>
      <c r="M1559" s="12"/>
    </row>
    <row r="1560" spans="1:13" x14ac:dyDescent="0.2">
      <c r="A1560" s="12"/>
      <c r="I1560" s="12"/>
      <c r="K1560" s="12"/>
      <c r="M1560" s="12"/>
    </row>
    <row r="1561" spans="1:13" x14ac:dyDescent="0.2">
      <c r="A1561" s="12"/>
      <c r="I1561" s="12"/>
      <c r="K1561" s="12"/>
      <c r="M1561" s="12"/>
    </row>
    <row r="1562" spans="1:13" x14ac:dyDescent="0.2">
      <c r="A1562" s="12"/>
      <c r="I1562" s="12"/>
      <c r="K1562" s="12"/>
      <c r="M1562" s="12"/>
    </row>
    <row r="1563" spans="1:13" x14ac:dyDescent="0.2">
      <c r="A1563" s="12"/>
      <c r="I1563" s="12"/>
      <c r="K1563" s="12"/>
      <c r="M1563" s="12"/>
    </row>
    <row r="1564" spans="1:13" x14ac:dyDescent="0.2">
      <c r="A1564" s="12"/>
      <c r="I1564" s="12"/>
      <c r="K1564" s="12"/>
      <c r="M1564" s="12"/>
    </row>
    <row r="1565" spans="1:13" x14ac:dyDescent="0.2">
      <c r="A1565" s="12"/>
      <c r="I1565" s="12"/>
      <c r="K1565" s="12"/>
      <c r="M1565" s="12"/>
    </row>
    <row r="1566" spans="1:13" x14ac:dyDescent="0.2">
      <c r="A1566" s="12"/>
      <c r="I1566" s="12"/>
      <c r="K1566" s="12"/>
      <c r="M1566" s="12"/>
    </row>
    <row r="1567" spans="1:13" x14ac:dyDescent="0.2">
      <c r="A1567" s="12"/>
      <c r="I1567" s="12"/>
      <c r="K1567" s="12"/>
      <c r="M1567" s="12"/>
    </row>
    <row r="1568" spans="1:13" x14ac:dyDescent="0.2">
      <c r="A1568" s="12"/>
      <c r="I1568" s="12"/>
      <c r="K1568" s="12"/>
      <c r="M1568" s="12"/>
    </row>
    <row r="1569" spans="1:13" x14ac:dyDescent="0.2">
      <c r="A1569" s="12"/>
      <c r="I1569" s="12"/>
      <c r="K1569" s="12"/>
      <c r="M1569" s="12"/>
    </row>
    <row r="1570" spans="1:13" x14ac:dyDescent="0.2">
      <c r="A1570" s="12"/>
      <c r="I1570" s="12"/>
      <c r="K1570" s="12"/>
      <c r="M1570" s="12"/>
    </row>
    <row r="1571" spans="1:13" x14ac:dyDescent="0.2">
      <c r="A1571" s="12"/>
      <c r="I1571" s="12"/>
      <c r="K1571" s="12"/>
      <c r="M1571" s="12"/>
    </row>
    <row r="1572" spans="1:13" x14ac:dyDescent="0.2">
      <c r="A1572" s="12"/>
      <c r="I1572" s="12"/>
      <c r="K1572" s="12"/>
      <c r="M1572" s="12"/>
    </row>
    <row r="1573" spans="1:13" x14ac:dyDescent="0.2">
      <c r="A1573" s="12"/>
      <c r="I1573" s="12"/>
      <c r="K1573" s="12"/>
      <c r="M1573" s="12"/>
    </row>
    <row r="1574" spans="1:13" x14ac:dyDescent="0.2">
      <c r="A1574" s="12"/>
      <c r="I1574" s="12"/>
      <c r="K1574" s="12"/>
      <c r="M1574" s="12"/>
    </row>
    <row r="1575" spans="1:13" x14ac:dyDescent="0.2">
      <c r="A1575" s="12"/>
      <c r="I1575" s="12"/>
      <c r="K1575" s="12"/>
      <c r="M1575" s="12"/>
    </row>
    <row r="1576" spans="1:13" x14ac:dyDescent="0.2">
      <c r="A1576" s="12"/>
      <c r="I1576" s="12"/>
      <c r="K1576" s="12"/>
      <c r="M1576" s="12"/>
    </row>
    <row r="1577" spans="1:13" x14ac:dyDescent="0.2">
      <c r="A1577" s="12"/>
      <c r="I1577" s="12"/>
      <c r="K1577" s="12"/>
      <c r="M1577" s="12"/>
    </row>
    <row r="1578" spans="1:13" x14ac:dyDescent="0.2">
      <c r="A1578" s="12"/>
      <c r="I1578" s="12"/>
      <c r="K1578" s="12"/>
      <c r="M1578" s="12"/>
    </row>
    <row r="1579" spans="1:13" x14ac:dyDescent="0.2">
      <c r="A1579" s="12"/>
      <c r="I1579" s="12"/>
      <c r="K1579" s="12"/>
      <c r="M1579" s="12"/>
    </row>
    <row r="1580" spans="1:13" x14ac:dyDescent="0.2">
      <c r="A1580" s="12"/>
      <c r="I1580" s="12"/>
      <c r="K1580" s="12"/>
      <c r="M1580" s="12"/>
    </row>
    <row r="1581" spans="1:13" x14ac:dyDescent="0.2">
      <c r="A1581" s="12"/>
      <c r="I1581" s="12"/>
      <c r="K1581" s="12"/>
      <c r="M1581" s="12"/>
    </row>
    <row r="1582" spans="1:13" x14ac:dyDescent="0.2">
      <c r="A1582" s="12"/>
      <c r="I1582" s="12"/>
      <c r="K1582" s="12"/>
      <c r="M1582" s="12"/>
    </row>
    <row r="1583" spans="1:13" x14ac:dyDescent="0.2">
      <c r="A1583" s="12"/>
      <c r="I1583" s="12"/>
      <c r="K1583" s="12"/>
      <c r="M1583" s="12"/>
    </row>
    <row r="1584" spans="1:13" x14ac:dyDescent="0.2">
      <c r="A1584" s="12"/>
      <c r="I1584" s="12"/>
      <c r="K1584" s="12"/>
      <c r="M1584" s="12"/>
    </row>
    <row r="1585" spans="1:13" x14ac:dyDescent="0.2">
      <c r="A1585" s="12"/>
      <c r="I1585" s="12"/>
      <c r="K1585" s="12"/>
      <c r="M1585" s="12"/>
    </row>
    <row r="1586" spans="1:13" x14ac:dyDescent="0.2">
      <c r="A1586" s="12"/>
      <c r="I1586" s="12"/>
      <c r="K1586" s="12"/>
      <c r="M1586" s="12"/>
    </row>
    <row r="1587" spans="1:13" x14ac:dyDescent="0.2">
      <c r="A1587" s="12"/>
      <c r="I1587" s="12"/>
      <c r="K1587" s="12"/>
      <c r="M1587" s="12"/>
    </row>
    <row r="1588" spans="1:13" x14ac:dyDescent="0.2">
      <c r="A1588" s="12"/>
      <c r="I1588" s="12"/>
      <c r="K1588" s="12"/>
      <c r="M1588" s="12"/>
    </row>
    <row r="1589" spans="1:13" x14ac:dyDescent="0.2">
      <c r="A1589" s="12"/>
      <c r="I1589" s="12"/>
      <c r="K1589" s="12"/>
      <c r="M1589" s="12"/>
    </row>
    <row r="1590" spans="1:13" x14ac:dyDescent="0.2">
      <c r="A1590" s="12"/>
      <c r="I1590" s="12"/>
      <c r="K1590" s="12"/>
      <c r="M1590" s="12"/>
    </row>
    <row r="1591" spans="1:13" x14ac:dyDescent="0.2">
      <c r="A1591" s="12"/>
      <c r="I1591" s="12"/>
      <c r="K1591" s="12"/>
      <c r="M1591" s="12"/>
    </row>
    <row r="1592" spans="1:13" x14ac:dyDescent="0.2">
      <c r="A1592" s="12"/>
      <c r="I1592" s="12"/>
      <c r="K1592" s="12"/>
      <c r="M1592" s="12"/>
    </row>
    <row r="1593" spans="1:13" x14ac:dyDescent="0.2">
      <c r="A1593" s="12"/>
      <c r="I1593" s="12"/>
      <c r="K1593" s="12"/>
      <c r="M1593" s="12"/>
    </row>
    <row r="1594" spans="1:13" x14ac:dyDescent="0.2">
      <c r="A1594" s="12"/>
      <c r="I1594" s="12"/>
      <c r="K1594" s="12"/>
      <c r="M1594" s="12"/>
    </row>
    <row r="1595" spans="1:13" x14ac:dyDescent="0.2">
      <c r="A1595" s="12"/>
      <c r="I1595" s="12"/>
      <c r="K1595" s="12"/>
      <c r="M1595" s="12"/>
    </row>
    <row r="1596" spans="1:13" x14ac:dyDescent="0.2">
      <c r="A1596" s="12"/>
      <c r="I1596" s="12"/>
      <c r="K1596" s="12"/>
      <c r="M1596" s="12"/>
    </row>
    <row r="1597" spans="1:13" x14ac:dyDescent="0.2">
      <c r="A1597" s="12"/>
      <c r="I1597" s="12"/>
      <c r="K1597" s="12"/>
      <c r="M1597" s="12"/>
    </row>
    <row r="1598" spans="1:13" x14ac:dyDescent="0.2">
      <c r="A1598" s="12"/>
      <c r="I1598" s="12"/>
      <c r="K1598" s="12"/>
      <c r="M1598" s="12"/>
    </row>
    <row r="1599" spans="1:13" x14ac:dyDescent="0.2">
      <c r="A1599" s="12"/>
      <c r="I1599" s="12"/>
      <c r="K1599" s="12"/>
      <c r="M1599" s="12"/>
    </row>
    <row r="1600" spans="1:13" x14ac:dyDescent="0.2">
      <c r="A1600" s="12"/>
      <c r="I1600" s="12"/>
      <c r="K1600" s="12"/>
      <c r="M1600" s="12"/>
    </row>
    <row r="1601" spans="1:13" x14ac:dyDescent="0.2">
      <c r="A1601" s="12"/>
      <c r="I1601" s="12"/>
      <c r="K1601" s="12"/>
      <c r="M1601" s="12"/>
    </row>
    <row r="1602" spans="1:13" x14ac:dyDescent="0.2">
      <c r="A1602" s="12"/>
      <c r="I1602" s="12"/>
      <c r="K1602" s="12"/>
      <c r="M1602" s="12"/>
    </row>
    <row r="1603" spans="1:13" x14ac:dyDescent="0.2">
      <c r="A1603" s="12"/>
      <c r="I1603" s="12"/>
      <c r="K1603" s="12"/>
      <c r="M1603" s="12"/>
    </row>
    <row r="1604" spans="1:13" x14ac:dyDescent="0.2">
      <c r="A1604" s="12"/>
      <c r="I1604" s="12"/>
      <c r="K1604" s="12"/>
      <c r="M1604" s="12"/>
    </row>
    <row r="1605" spans="1:13" x14ac:dyDescent="0.2">
      <c r="A1605" s="12"/>
      <c r="I1605" s="12"/>
      <c r="K1605" s="12"/>
      <c r="M1605" s="12"/>
    </row>
    <row r="1606" spans="1:13" x14ac:dyDescent="0.2">
      <c r="A1606" s="12"/>
      <c r="I1606" s="12"/>
      <c r="K1606" s="12"/>
      <c r="M1606" s="12"/>
    </row>
    <row r="1607" spans="1:13" x14ac:dyDescent="0.2">
      <c r="A1607" s="12"/>
      <c r="I1607" s="12"/>
      <c r="K1607" s="12"/>
      <c r="M1607" s="12"/>
    </row>
    <row r="1608" spans="1:13" x14ac:dyDescent="0.2">
      <c r="A1608" s="12"/>
      <c r="I1608" s="12"/>
      <c r="K1608" s="12"/>
      <c r="M1608" s="12"/>
    </row>
    <row r="1609" spans="1:13" x14ac:dyDescent="0.2">
      <c r="A1609" s="12"/>
      <c r="I1609" s="12"/>
      <c r="K1609" s="12"/>
      <c r="M1609" s="12"/>
    </row>
    <row r="1610" spans="1:13" x14ac:dyDescent="0.2">
      <c r="A1610" s="12"/>
      <c r="I1610" s="12"/>
      <c r="K1610" s="12"/>
      <c r="M1610" s="12"/>
    </row>
    <row r="1611" spans="1:13" x14ac:dyDescent="0.2">
      <c r="A1611" s="12"/>
      <c r="I1611" s="12"/>
      <c r="K1611" s="12"/>
      <c r="M1611" s="12"/>
    </row>
    <row r="1612" spans="1:13" x14ac:dyDescent="0.2">
      <c r="A1612" s="12"/>
      <c r="I1612" s="12"/>
      <c r="K1612" s="12"/>
      <c r="M1612" s="12"/>
    </row>
    <row r="1613" spans="1:13" x14ac:dyDescent="0.2">
      <c r="A1613" s="12"/>
      <c r="I1613" s="12"/>
      <c r="K1613" s="12"/>
      <c r="M1613" s="12"/>
    </row>
    <row r="1614" spans="1:13" x14ac:dyDescent="0.2">
      <c r="A1614" s="12"/>
      <c r="I1614" s="12"/>
      <c r="K1614" s="12"/>
      <c r="M1614" s="12"/>
    </row>
    <row r="1615" spans="1:13" x14ac:dyDescent="0.2">
      <c r="A1615" s="12"/>
      <c r="I1615" s="12"/>
      <c r="K1615" s="12"/>
      <c r="M1615" s="12"/>
    </row>
    <row r="1616" spans="1:13" x14ac:dyDescent="0.2">
      <c r="A1616" s="12"/>
      <c r="I1616" s="12"/>
      <c r="K1616" s="12"/>
      <c r="M1616" s="12"/>
    </row>
    <row r="1617" spans="1:13" x14ac:dyDescent="0.2">
      <c r="A1617" s="12"/>
      <c r="I1617" s="12"/>
      <c r="K1617" s="12"/>
      <c r="M1617" s="12"/>
    </row>
    <row r="1618" spans="1:13" x14ac:dyDescent="0.2">
      <c r="A1618" s="12"/>
      <c r="I1618" s="12"/>
      <c r="K1618" s="12"/>
      <c r="M1618" s="12"/>
    </row>
    <row r="1619" spans="1:13" x14ac:dyDescent="0.2">
      <c r="A1619" s="12"/>
      <c r="I1619" s="12"/>
      <c r="K1619" s="12"/>
      <c r="M1619" s="12"/>
    </row>
    <row r="1620" spans="1:13" x14ac:dyDescent="0.2">
      <c r="A1620" s="12"/>
      <c r="I1620" s="12"/>
      <c r="K1620" s="12"/>
      <c r="M1620" s="12"/>
    </row>
    <row r="1621" spans="1:13" x14ac:dyDescent="0.2">
      <c r="A1621" s="12"/>
      <c r="I1621" s="12"/>
      <c r="K1621" s="12"/>
      <c r="M1621" s="12"/>
    </row>
    <row r="1622" spans="1:13" x14ac:dyDescent="0.2">
      <c r="A1622" s="12"/>
      <c r="I1622" s="12"/>
      <c r="K1622" s="12"/>
      <c r="M1622" s="12"/>
    </row>
    <row r="1623" spans="1:13" x14ac:dyDescent="0.2">
      <c r="A1623" s="12"/>
      <c r="I1623" s="12"/>
      <c r="K1623" s="12"/>
      <c r="M1623" s="12"/>
    </row>
    <row r="1624" spans="1:13" x14ac:dyDescent="0.2">
      <c r="A1624" s="12"/>
      <c r="I1624" s="12"/>
      <c r="K1624" s="12"/>
      <c r="M1624" s="12"/>
    </row>
    <row r="1625" spans="1:13" x14ac:dyDescent="0.2">
      <c r="A1625" s="12"/>
      <c r="I1625" s="12"/>
      <c r="K1625" s="12"/>
      <c r="M1625" s="12"/>
    </row>
    <row r="1626" spans="1:13" x14ac:dyDescent="0.2">
      <c r="A1626" s="12"/>
      <c r="I1626" s="12"/>
      <c r="K1626" s="12"/>
      <c r="M1626" s="12"/>
    </row>
    <row r="1627" spans="1:13" x14ac:dyDescent="0.2">
      <c r="A1627" s="12"/>
      <c r="I1627" s="12"/>
      <c r="K1627" s="12"/>
      <c r="M1627" s="12"/>
    </row>
    <row r="1628" spans="1:13" x14ac:dyDescent="0.2">
      <c r="A1628" s="12"/>
      <c r="I1628" s="12"/>
      <c r="K1628" s="12"/>
      <c r="M1628" s="12"/>
    </row>
    <row r="1629" spans="1:13" x14ac:dyDescent="0.2">
      <c r="A1629" s="12"/>
      <c r="I1629" s="12"/>
      <c r="K1629" s="12"/>
      <c r="M1629" s="12"/>
    </row>
    <row r="1630" spans="1:13" x14ac:dyDescent="0.2">
      <c r="A1630" s="12"/>
      <c r="I1630" s="12"/>
      <c r="K1630" s="12"/>
      <c r="M1630" s="12"/>
    </row>
    <row r="1631" spans="1:13" x14ac:dyDescent="0.2">
      <c r="A1631" s="12"/>
      <c r="I1631" s="12"/>
      <c r="K1631" s="12"/>
      <c r="M1631" s="12"/>
    </row>
    <row r="1632" spans="1:13" x14ac:dyDescent="0.2">
      <c r="A1632" s="12"/>
      <c r="I1632" s="12"/>
      <c r="K1632" s="12"/>
      <c r="M1632" s="12"/>
    </row>
    <row r="1633" spans="1:13" x14ac:dyDescent="0.2">
      <c r="A1633" s="12"/>
      <c r="I1633" s="12"/>
      <c r="K1633" s="12"/>
      <c r="M1633" s="12"/>
    </row>
    <row r="1634" spans="1:13" x14ac:dyDescent="0.2">
      <c r="A1634" s="12"/>
      <c r="I1634" s="12"/>
      <c r="K1634" s="12"/>
      <c r="M1634" s="12"/>
    </row>
    <row r="1635" spans="1:13" x14ac:dyDescent="0.2">
      <c r="A1635" s="12"/>
      <c r="I1635" s="12"/>
      <c r="K1635" s="12"/>
      <c r="M1635" s="12"/>
    </row>
    <row r="1636" spans="1:13" x14ac:dyDescent="0.2">
      <c r="A1636" s="12"/>
      <c r="I1636" s="12"/>
      <c r="K1636" s="12"/>
      <c r="M1636" s="12"/>
    </row>
    <row r="1637" spans="1:13" x14ac:dyDescent="0.2">
      <c r="A1637" s="12"/>
      <c r="I1637" s="12"/>
      <c r="K1637" s="12"/>
      <c r="M1637" s="12"/>
    </row>
    <row r="1638" spans="1:13" x14ac:dyDescent="0.2">
      <c r="A1638" s="12"/>
      <c r="I1638" s="12"/>
      <c r="K1638" s="12"/>
      <c r="M1638" s="12"/>
    </row>
    <row r="1639" spans="1:13" x14ac:dyDescent="0.2">
      <c r="A1639" s="12"/>
      <c r="I1639" s="12"/>
      <c r="K1639" s="12"/>
      <c r="M1639" s="12"/>
    </row>
    <row r="1640" spans="1:13" x14ac:dyDescent="0.2">
      <c r="A1640" s="12"/>
      <c r="I1640" s="12"/>
      <c r="K1640" s="12"/>
      <c r="M1640" s="12"/>
    </row>
    <row r="1641" spans="1:13" x14ac:dyDescent="0.2">
      <c r="A1641" s="12"/>
      <c r="I1641" s="12"/>
      <c r="K1641" s="12"/>
      <c r="M1641" s="12"/>
    </row>
    <row r="1642" spans="1:13" x14ac:dyDescent="0.2">
      <c r="A1642" s="12"/>
      <c r="I1642" s="12"/>
      <c r="K1642" s="12"/>
      <c r="M1642" s="12"/>
    </row>
    <row r="1643" spans="1:13" x14ac:dyDescent="0.2">
      <c r="A1643" s="12"/>
      <c r="I1643" s="12"/>
      <c r="K1643" s="12"/>
      <c r="M1643" s="12"/>
    </row>
    <row r="1644" spans="1:13" x14ac:dyDescent="0.2">
      <c r="A1644" s="12"/>
      <c r="I1644" s="12"/>
      <c r="K1644" s="12"/>
      <c r="M1644" s="12"/>
    </row>
    <row r="1645" spans="1:13" x14ac:dyDescent="0.2">
      <c r="A1645" s="12"/>
      <c r="I1645" s="12"/>
      <c r="K1645" s="12"/>
      <c r="M1645" s="12"/>
    </row>
    <row r="1646" spans="1:13" x14ac:dyDescent="0.2">
      <c r="A1646" s="12"/>
      <c r="I1646" s="12"/>
      <c r="K1646" s="12"/>
      <c r="M1646" s="12"/>
    </row>
    <row r="1647" spans="1:13" x14ac:dyDescent="0.2">
      <c r="A1647" s="12"/>
      <c r="I1647" s="12"/>
      <c r="K1647" s="12"/>
      <c r="M1647" s="12"/>
    </row>
    <row r="1648" spans="1:13" x14ac:dyDescent="0.2">
      <c r="A1648" s="12"/>
      <c r="I1648" s="12"/>
      <c r="K1648" s="12"/>
      <c r="M1648" s="12"/>
    </row>
    <row r="1649" spans="1:13" x14ac:dyDescent="0.2">
      <c r="A1649" s="12"/>
      <c r="I1649" s="12"/>
      <c r="K1649" s="12"/>
      <c r="M1649" s="12"/>
    </row>
    <row r="1650" spans="1:13" x14ac:dyDescent="0.2">
      <c r="A1650" s="12"/>
      <c r="I1650" s="12"/>
      <c r="K1650" s="12"/>
      <c r="M1650" s="12"/>
    </row>
    <row r="1651" spans="1:13" x14ac:dyDescent="0.2">
      <c r="A1651" s="12"/>
      <c r="I1651" s="12"/>
      <c r="K1651" s="12"/>
      <c r="M1651" s="12"/>
    </row>
    <row r="1652" spans="1:13" x14ac:dyDescent="0.2">
      <c r="A1652" s="12"/>
      <c r="I1652" s="12"/>
      <c r="K1652" s="12"/>
      <c r="M1652" s="12"/>
    </row>
    <row r="1653" spans="1:13" x14ac:dyDescent="0.2">
      <c r="A1653" s="12"/>
      <c r="I1653" s="12"/>
      <c r="K1653" s="12"/>
      <c r="M1653" s="12"/>
    </row>
    <row r="1654" spans="1:13" x14ac:dyDescent="0.2">
      <c r="A1654" s="12"/>
      <c r="I1654" s="12"/>
      <c r="K1654" s="12"/>
      <c r="M1654" s="12"/>
    </row>
    <row r="1655" spans="1:13" x14ac:dyDescent="0.2">
      <c r="A1655" s="12"/>
      <c r="I1655" s="12"/>
      <c r="K1655" s="12"/>
      <c r="M1655" s="12"/>
    </row>
    <row r="1656" spans="1:13" x14ac:dyDescent="0.2">
      <c r="A1656" s="12"/>
      <c r="I1656" s="12"/>
      <c r="K1656" s="12"/>
      <c r="M1656" s="12"/>
    </row>
    <row r="1657" spans="1:13" x14ac:dyDescent="0.2">
      <c r="A1657" s="12"/>
      <c r="I1657" s="12"/>
      <c r="K1657" s="12"/>
      <c r="M1657" s="12"/>
    </row>
    <row r="1658" spans="1:13" x14ac:dyDescent="0.2">
      <c r="A1658" s="12"/>
      <c r="I1658" s="12"/>
      <c r="K1658" s="12"/>
      <c r="M1658" s="12"/>
    </row>
    <row r="1659" spans="1:13" x14ac:dyDescent="0.2">
      <c r="A1659" s="12"/>
      <c r="I1659" s="12"/>
      <c r="K1659" s="12"/>
      <c r="M1659" s="12"/>
    </row>
    <row r="1660" spans="1:13" x14ac:dyDescent="0.2">
      <c r="A1660" s="12"/>
      <c r="I1660" s="12"/>
      <c r="K1660" s="12"/>
      <c r="M1660" s="12"/>
    </row>
    <row r="1661" spans="1:13" x14ac:dyDescent="0.2">
      <c r="A1661" s="12"/>
      <c r="I1661" s="12"/>
      <c r="K1661" s="12"/>
      <c r="M1661" s="12"/>
    </row>
    <row r="1662" spans="1:13" x14ac:dyDescent="0.2">
      <c r="A1662" s="12"/>
      <c r="I1662" s="12"/>
      <c r="K1662" s="12"/>
      <c r="M1662" s="12"/>
    </row>
    <row r="1663" spans="1:13" x14ac:dyDescent="0.2">
      <c r="A1663" s="12"/>
      <c r="I1663" s="12"/>
      <c r="K1663" s="12"/>
      <c r="M1663" s="12"/>
    </row>
    <row r="1664" spans="1:13" x14ac:dyDescent="0.2">
      <c r="A1664" s="12"/>
      <c r="I1664" s="12"/>
      <c r="K1664" s="12"/>
      <c r="M1664" s="12"/>
    </row>
    <row r="1665" spans="1:13" x14ac:dyDescent="0.2">
      <c r="A1665" s="12"/>
      <c r="I1665" s="12"/>
      <c r="K1665" s="12"/>
      <c r="M1665" s="12"/>
    </row>
    <row r="1666" spans="1:13" x14ac:dyDescent="0.2">
      <c r="A1666" s="12"/>
      <c r="I1666" s="12"/>
      <c r="K1666" s="12"/>
      <c r="M1666" s="12"/>
    </row>
    <row r="1667" spans="1:13" x14ac:dyDescent="0.2">
      <c r="A1667" s="12"/>
      <c r="I1667" s="12"/>
      <c r="K1667" s="12"/>
      <c r="M1667" s="12"/>
    </row>
    <row r="1668" spans="1:13" x14ac:dyDescent="0.2">
      <c r="A1668" s="12"/>
      <c r="I1668" s="12"/>
      <c r="K1668" s="12"/>
      <c r="M1668" s="12"/>
    </row>
    <row r="1669" spans="1:13" x14ac:dyDescent="0.2">
      <c r="A1669" s="12"/>
      <c r="I1669" s="12"/>
      <c r="K1669" s="12"/>
      <c r="M1669" s="12"/>
    </row>
    <row r="1670" spans="1:13" x14ac:dyDescent="0.2">
      <c r="A1670" s="12"/>
      <c r="I1670" s="12"/>
      <c r="K1670" s="12"/>
      <c r="M1670" s="12"/>
    </row>
    <row r="1671" spans="1:13" x14ac:dyDescent="0.2">
      <c r="A1671" s="12"/>
      <c r="I1671" s="12"/>
      <c r="K1671" s="12"/>
      <c r="M1671" s="12"/>
    </row>
    <row r="1672" spans="1:13" x14ac:dyDescent="0.2">
      <c r="A1672" s="12"/>
      <c r="I1672" s="12"/>
      <c r="K1672" s="12"/>
      <c r="M1672" s="12"/>
    </row>
    <row r="1673" spans="1:13" x14ac:dyDescent="0.2">
      <c r="A1673" s="12"/>
      <c r="I1673" s="12"/>
      <c r="K1673" s="12"/>
      <c r="M1673" s="12"/>
    </row>
    <row r="1674" spans="1:13" x14ac:dyDescent="0.2">
      <c r="A1674" s="12"/>
      <c r="I1674" s="12"/>
      <c r="K1674" s="12"/>
      <c r="M1674" s="12"/>
    </row>
    <row r="1675" spans="1:13" x14ac:dyDescent="0.2">
      <c r="A1675" s="12"/>
      <c r="I1675" s="12"/>
      <c r="K1675" s="12"/>
      <c r="M1675" s="12"/>
    </row>
    <row r="1676" spans="1:13" x14ac:dyDescent="0.2">
      <c r="A1676" s="12"/>
      <c r="I1676" s="12"/>
      <c r="K1676" s="12"/>
      <c r="M1676" s="12"/>
    </row>
    <row r="1677" spans="1:13" x14ac:dyDescent="0.2">
      <c r="A1677" s="12"/>
      <c r="I1677" s="12"/>
      <c r="K1677" s="12"/>
      <c r="M1677" s="12"/>
    </row>
    <row r="1678" spans="1:13" x14ac:dyDescent="0.2">
      <c r="A1678" s="12"/>
      <c r="I1678" s="12"/>
      <c r="K1678" s="12"/>
      <c r="M1678" s="12"/>
    </row>
    <row r="1679" spans="1:13" x14ac:dyDescent="0.2">
      <c r="A1679" s="12"/>
      <c r="I1679" s="12"/>
      <c r="K1679" s="12"/>
      <c r="M1679" s="12"/>
    </row>
    <row r="1680" spans="1:13" x14ac:dyDescent="0.2">
      <c r="A1680" s="12"/>
      <c r="I1680" s="12"/>
      <c r="K1680" s="12"/>
      <c r="M1680" s="12"/>
    </row>
    <row r="1681" spans="1:13" x14ac:dyDescent="0.2">
      <c r="A1681" s="12"/>
      <c r="I1681" s="12"/>
      <c r="K1681" s="12"/>
      <c r="M1681" s="12"/>
    </row>
    <row r="1682" spans="1:13" x14ac:dyDescent="0.2">
      <c r="A1682" s="12"/>
      <c r="I1682" s="12"/>
      <c r="K1682" s="12"/>
      <c r="M1682" s="12"/>
    </row>
    <row r="1683" spans="1:13" x14ac:dyDescent="0.2">
      <c r="A1683" s="12"/>
      <c r="I1683" s="12"/>
      <c r="K1683" s="12"/>
      <c r="M1683" s="12"/>
    </row>
    <row r="1684" spans="1:13" x14ac:dyDescent="0.2">
      <c r="A1684" s="12"/>
      <c r="I1684" s="12"/>
      <c r="K1684" s="12"/>
      <c r="M1684" s="12"/>
    </row>
    <row r="1685" spans="1:13" x14ac:dyDescent="0.2">
      <c r="A1685" s="12"/>
      <c r="I1685" s="12"/>
      <c r="K1685" s="12"/>
      <c r="M1685" s="12"/>
    </row>
    <row r="1686" spans="1:13" x14ac:dyDescent="0.2">
      <c r="A1686" s="12"/>
      <c r="I1686" s="12"/>
      <c r="K1686" s="12"/>
      <c r="M1686" s="12"/>
    </row>
    <row r="1687" spans="1:13" x14ac:dyDescent="0.2">
      <c r="A1687" s="12"/>
      <c r="I1687" s="12"/>
      <c r="K1687" s="12"/>
      <c r="M1687" s="12"/>
    </row>
    <row r="1688" spans="1:13" x14ac:dyDescent="0.2">
      <c r="A1688" s="12"/>
      <c r="I1688" s="12"/>
      <c r="K1688" s="12"/>
      <c r="M1688" s="12"/>
    </row>
    <row r="1689" spans="1:13" x14ac:dyDescent="0.2">
      <c r="A1689" s="12"/>
      <c r="I1689" s="12"/>
      <c r="K1689" s="12"/>
      <c r="M1689" s="12"/>
    </row>
    <row r="1690" spans="1:13" x14ac:dyDescent="0.2">
      <c r="A1690" s="12"/>
      <c r="I1690" s="12"/>
      <c r="K1690" s="12"/>
      <c r="M1690" s="12"/>
    </row>
    <row r="1691" spans="1:13" x14ac:dyDescent="0.2">
      <c r="A1691" s="12"/>
      <c r="I1691" s="12"/>
      <c r="K1691" s="12"/>
      <c r="M1691" s="12"/>
    </row>
    <row r="1692" spans="1:13" x14ac:dyDescent="0.2">
      <c r="A1692" s="12"/>
      <c r="I1692" s="12"/>
      <c r="K1692" s="12"/>
      <c r="M1692" s="12"/>
    </row>
    <row r="1693" spans="1:13" x14ac:dyDescent="0.2">
      <c r="A1693" s="12"/>
      <c r="I1693" s="12"/>
      <c r="K1693" s="12"/>
      <c r="M1693" s="12"/>
    </row>
    <row r="1694" spans="1:13" x14ac:dyDescent="0.2">
      <c r="A1694" s="12"/>
      <c r="I1694" s="12"/>
      <c r="K1694" s="12"/>
      <c r="M1694" s="12"/>
    </row>
    <row r="1695" spans="1:13" x14ac:dyDescent="0.2">
      <c r="A1695" s="12"/>
      <c r="I1695" s="12"/>
      <c r="K1695" s="12"/>
      <c r="M1695" s="12"/>
    </row>
    <row r="1696" spans="1:13" x14ac:dyDescent="0.2">
      <c r="A1696" s="12"/>
      <c r="I1696" s="12"/>
      <c r="K1696" s="12"/>
      <c r="M1696" s="12"/>
    </row>
    <row r="1697" spans="1:13" x14ac:dyDescent="0.2">
      <c r="A1697" s="12"/>
      <c r="I1697" s="12"/>
      <c r="K1697" s="12"/>
      <c r="M1697" s="12"/>
    </row>
    <row r="1698" spans="1:13" x14ac:dyDescent="0.2">
      <c r="A1698" s="12"/>
      <c r="I1698" s="12"/>
      <c r="K1698" s="12"/>
      <c r="M1698" s="12"/>
    </row>
    <row r="1699" spans="1:13" x14ac:dyDescent="0.2">
      <c r="A1699" s="12"/>
      <c r="I1699" s="12"/>
      <c r="K1699" s="12"/>
      <c r="M1699" s="12"/>
    </row>
    <row r="1700" spans="1:13" x14ac:dyDescent="0.2">
      <c r="A1700" s="12"/>
      <c r="I1700" s="12"/>
      <c r="K1700" s="12"/>
      <c r="M1700" s="12"/>
    </row>
    <row r="1701" spans="1:13" x14ac:dyDescent="0.2">
      <c r="A1701" s="12"/>
      <c r="I1701" s="12"/>
      <c r="K1701" s="12"/>
      <c r="M1701" s="12"/>
    </row>
    <row r="1702" spans="1:13" x14ac:dyDescent="0.2">
      <c r="A1702" s="12"/>
      <c r="I1702" s="12"/>
      <c r="K1702" s="12"/>
      <c r="M1702" s="12"/>
    </row>
    <row r="1703" spans="1:13" x14ac:dyDescent="0.2">
      <c r="A1703" s="12"/>
      <c r="I1703" s="12"/>
      <c r="K1703" s="12"/>
      <c r="M1703" s="12"/>
    </row>
    <row r="1704" spans="1:13" x14ac:dyDescent="0.2">
      <c r="A1704" s="12"/>
      <c r="I1704" s="12"/>
      <c r="K1704" s="12"/>
      <c r="M1704" s="12"/>
    </row>
    <row r="1705" spans="1:13" x14ac:dyDescent="0.2">
      <c r="A1705" s="12"/>
      <c r="I1705" s="12"/>
      <c r="K1705" s="12"/>
      <c r="M1705" s="12"/>
    </row>
    <row r="1706" spans="1:13" x14ac:dyDescent="0.2">
      <c r="A1706" s="12"/>
      <c r="I1706" s="12"/>
      <c r="K1706" s="12"/>
      <c r="M1706" s="12"/>
    </row>
    <row r="1707" spans="1:13" x14ac:dyDescent="0.2">
      <c r="A1707" s="12"/>
      <c r="I1707" s="12"/>
      <c r="K1707" s="12"/>
      <c r="M1707" s="12"/>
    </row>
    <row r="1708" spans="1:13" x14ac:dyDescent="0.2">
      <c r="A1708" s="12"/>
      <c r="I1708" s="12"/>
      <c r="K1708" s="12"/>
      <c r="M1708" s="12"/>
    </row>
    <row r="1709" spans="1:13" x14ac:dyDescent="0.2">
      <c r="A1709" s="12"/>
      <c r="I1709" s="12"/>
      <c r="K1709" s="12"/>
      <c r="M1709" s="12"/>
    </row>
    <row r="1710" spans="1:13" x14ac:dyDescent="0.2">
      <c r="A1710" s="12"/>
      <c r="I1710" s="12"/>
      <c r="K1710" s="12"/>
      <c r="M1710" s="12"/>
    </row>
    <row r="1711" spans="1:13" x14ac:dyDescent="0.2">
      <c r="A1711" s="12"/>
      <c r="I1711" s="12"/>
      <c r="K1711" s="12"/>
      <c r="M1711" s="12"/>
    </row>
    <row r="1712" spans="1:13" x14ac:dyDescent="0.2">
      <c r="A1712" s="12"/>
      <c r="I1712" s="12"/>
      <c r="K1712" s="12"/>
      <c r="M1712" s="12"/>
    </row>
    <row r="1713" spans="1:13" x14ac:dyDescent="0.2">
      <c r="A1713" s="12"/>
      <c r="I1713" s="12"/>
      <c r="K1713" s="12"/>
      <c r="M1713" s="12"/>
    </row>
    <row r="1714" spans="1:13" x14ac:dyDescent="0.2">
      <c r="A1714" s="12"/>
      <c r="I1714" s="12"/>
      <c r="K1714" s="12"/>
      <c r="M1714" s="12"/>
    </row>
    <row r="1715" spans="1:13" x14ac:dyDescent="0.2">
      <c r="A1715" s="12"/>
      <c r="I1715" s="12"/>
      <c r="K1715" s="12"/>
      <c r="M1715" s="12"/>
    </row>
    <row r="1716" spans="1:13" x14ac:dyDescent="0.2">
      <c r="A1716" s="12"/>
      <c r="I1716" s="12"/>
      <c r="K1716" s="12"/>
      <c r="M1716" s="12"/>
    </row>
    <row r="1717" spans="1:13" x14ac:dyDescent="0.2">
      <c r="A1717" s="12"/>
      <c r="I1717" s="12"/>
      <c r="K1717" s="12"/>
      <c r="M1717" s="12"/>
    </row>
    <row r="1718" spans="1:13" x14ac:dyDescent="0.2">
      <c r="A1718" s="12"/>
      <c r="I1718" s="12"/>
      <c r="K1718" s="12"/>
      <c r="M1718" s="12"/>
    </row>
    <row r="1719" spans="1:13" x14ac:dyDescent="0.2">
      <c r="A1719" s="12"/>
      <c r="I1719" s="12"/>
      <c r="K1719" s="12"/>
      <c r="M1719" s="12"/>
    </row>
    <row r="1720" spans="1:13" x14ac:dyDescent="0.2">
      <c r="A1720" s="12"/>
      <c r="I1720" s="12"/>
      <c r="K1720" s="12"/>
      <c r="M1720" s="12"/>
    </row>
    <row r="1721" spans="1:13" x14ac:dyDescent="0.2">
      <c r="A1721" s="12"/>
      <c r="I1721" s="12"/>
      <c r="K1721" s="12"/>
      <c r="M1721" s="12"/>
    </row>
    <row r="1722" spans="1:13" x14ac:dyDescent="0.2">
      <c r="A1722" s="12"/>
      <c r="I1722" s="12"/>
      <c r="K1722" s="12"/>
      <c r="M1722" s="12"/>
    </row>
    <row r="1723" spans="1:13" x14ac:dyDescent="0.2">
      <c r="A1723" s="12"/>
      <c r="I1723" s="12"/>
      <c r="K1723" s="12"/>
      <c r="M1723" s="12"/>
    </row>
    <row r="1724" spans="1:13" x14ac:dyDescent="0.2">
      <c r="A1724" s="12"/>
      <c r="I1724" s="12"/>
      <c r="K1724" s="12"/>
      <c r="M1724" s="12"/>
    </row>
    <row r="1725" spans="1:13" x14ac:dyDescent="0.2">
      <c r="A1725" s="12"/>
      <c r="I1725" s="12"/>
      <c r="K1725" s="12"/>
      <c r="M1725" s="12"/>
    </row>
    <row r="1726" spans="1:13" x14ac:dyDescent="0.2">
      <c r="A1726" s="12"/>
      <c r="I1726" s="12"/>
      <c r="K1726" s="12"/>
      <c r="M1726" s="12"/>
    </row>
    <row r="1727" spans="1:13" x14ac:dyDescent="0.2">
      <c r="A1727" s="12"/>
      <c r="I1727" s="12"/>
      <c r="K1727" s="12"/>
      <c r="M1727" s="12"/>
    </row>
    <row r="1728" spans="1:13" x14ac:dyDescent="0.2">
      <c r="A1728" s="12"/>
      <c r="I1728" s="12"/>
      <c r="K1728" s="12"/>
      <c r="M1728" s="12"/>
    </row>
    <row r="1729" spans="1:13" x14ac:dyDescent="0.2">
      <c r="A1729" s="12"/>
      <c r="I1729" s="12"/>
      <c r="K1729" s="12"/>
      <c r="M1729" s="12"/>
    </row>
    <row r="1730" spans="1:13" x14ac:dyDescent="0.2">
      <c r="A1730" s="12"/>
      <c r="I1730" s="12"/>
      <c r="K1730" s="12"/>
      <c r="M1730" s="12"/>
    </row>
    <row r="1731" spans="1:13" x14ac:dyDescent="0.2">
      <c r="A1731" s="12"/>
      <c r="I1731" s="12"/>
      <c r="K1731" s="12"/>
      <c r="M1731" s="12"/>
    </row>
    <row r="1732" spans="1:13" x14ac:dyDescent="0.2">
      <c r="A1732" s="12"/>
      <c r="I1732" s="12"/>
      <c r="K1732" s="12"/>
      <c r="M1732" s="12"/>
    </row>
    <row r="1733" spans="1:13" x14ac:dyDescent="0.2">
      <c r="A1733" s="12"/>
      <c r="I1733" s="12"/>
      <c r="K1733" s="12"/>
      <c r="M1733" s="12"/>
    </row>
    <row r="1734" spans="1:13" x14ac:dyDescent="0.2">
      <c r="A1734" s="12"/>
      <c r="I1734" s="12"/>
      <c r="K1734" s="12"/>
      <c r="M1734" s="12"/>
    </row>
    <row r="1735" spans="1:13" x14ac:dyDescent="0.2">
      <c r="A1735" s="12"/>
      <c r="I1735" s="12"/>
      <c r="K1735" s="12"/>
      <c r="M1735" s="12"/>
    </row>
    <row r="1736" spans="1:13" x14ac:dyDescent="0.2">
      <c r="A1736" s="12"/>
      <c r="I1736" s="12"/>
      <c r="K1736" s="12"/>
      <c r="M1736" s="12"/>
    </row>
    <row r="1737" spans="1:13" x14ac:dyDescent="0.2">
      <c r="A1737" s="12"/>
      <c r="I1737" s="12"/>
      <c r="K1737" s="12"/>
      <c r="M1737" s="12"/>
    </row>
    <row r="1738" spans="1:13" x14ac:dyDescent="0.2">
      <c r="A1738" s="12"/>
      <c r="I1738" s="12"/>
      <c r="K1738" s="12"/>
      <c r="M1738" s="12"/>
    </row>
    <row r="1739" spans="1:13" x14ac:dyDescent="0.2">
      <c r="A1739" s="12"/>
      <c r="I1739" s="12"/>
      <c r="K1739" s="12"/>
      <c r="M1739" s="12"/>
    </row>
    <row r="1740" spans="1:13" x14ac:dyDescent="0.2">
      <c r="A1740" s="12"/>
      <c r="I1740" s="12"/>
      <c r="K1740" s="12"/>
      <c r="M1740" s="12"/>
    </row>
    <row r="1741" spans="1:13" x14ac:dyDescent="0.2">
      <c r="A1741" s="12"/>
      <c r="I1741" s="12"/>
      <c r="K1741" s="12"/>
      <c r="M1741" s="12"/>
    </row>
    <row r="1742" spans="1:13" x14ac:dyDescent="0.2">
      <c r="A1742" s="12"/>
      <c r="I1742" s="12"/>
      <c r="K1742" s="12"/>
      <c r="M1742" s="12"/>
    </row>
    <row r="1743" spans="1:13" x14ac:dyDescent="0.2">
      <c r="A1743" s="12"/>
      <c r="I1743" s="12"/>
      <c r="K1743" s="12"/>
      <c r="M1743" s="12"/>
    </row>
    <row r="1744" spans="1:13" x14ac:dyDescent="0.2">
      <c r="A1744" s="12"/>
      <c r="I1744" s="12"/>
      <c r="K1744" s="12"/>
      <c r="M1744" s="12"/>
    </row>
    <row r="1745" spans="1:13" x14ac:dyDescent="0.2">
      <c r="A1745" s="12"/>
      <c r="I1745" s="12"/>
      <c r="K1745" s="12"/>
      <c r="M1745" s="12"/>
    </row>
    <row r="1746" spans="1:13" x14ac:dyDescent="0.2">
      <c r="A1746" s="12"/>
      <c r="I1746" s="12"/>
      <c r="K1746" s="12"/>
      <c r="M1746" s="12"/>
    </row>
    <row r="1747" spans="1:13" x14ac:dyDescent="0.2">
      <c r="A1747" s="12"/>
      <c r="I1747" s="12"/>
      <c r="K1747" s="12"/>
      <c r="M1747" s="12"/>
    </row>
    <row r="1748" spans="1:13" x14ac:dyDescent="0.2">
      <c r="A1748" s="12"/>
      <c r="I1748" s="12"/>
      <c r="K1748" s="12"/>
      <c r="M1748" s="12"/>
    </row>
    <row r="1749" spans="1:13" x14ac:dyDescent="0.2">
      <c r="A1749" s="12"/>
      <c r="I1749" s="12"/>
      <c r="K1749" s="12"/>
      <c r="M1749" s="12"/>
    </row>
    <row r="1750" spans="1:13" x14ac:dyDescent="0.2">
      <c r="A1750" s="12"/>
      <c r="I1750" s="12"/>
      <c r="K1750" s="12"/>
      <c r="M1750" s="12"/>
    </row>
    <row r="1751" spans="1:13" x14ac:dyDescent="0.2">
      <c r="A1751" s="12"/>
      <c r="I1751" s="12"/>
      <c r="K1751" s="12"/>
      <c r="M1751" s="12"/>
    </row>
    <row r="1752" spans="1:13" x14ac:dyDescent="0.2">
      <c r="A1752" s="12"/>
      <c r="I1752" s="12"/>
      <c r="K1752" s="12"/>
      <c r="M1752" s="12"/>
    </row>
    <row r="1753" spans="1:13" x14ac:dyDescent="0.2">
      <c r="A1753" s="12"/>
      <c r="I1753" s="12"/>
      <c r="K1753" s="12"/>
      <c r="M1753" s="12"/>
    </row>
    <row r="1754" spans="1:13" x14ac:dyDescent="0.2">
      <c r="A1754" s="12"/>
      <c r="I1754" s="12"/>
      <c r="K1754" s="12"/>
      <c r="M1754" s="12"/>
    </row>
    <row r="1755" spans="1:13" x14ac:dyDescent="0.2">
      <c r="A1755" s="12"/>
      <c r="I1755" s="12"/>
      <c r="K1755" s="12"/>
      <c r="M1755" s="12"/>
    </row>
    <row r="1756" spans="1:13" x14ac:dyDescent="0.2">
      <c r="A1756" s="12"/>
      <c r="I1756" s="12"/>
      <c r="K1756" s="12"/>
      <c r="M1756" s="12"/>
    </row>
    <row r="1757" spans="1:13" x14ac:dyDescent="0.2">
      <c r="A1757" s="12"/>
      <c r="I1757" s="12"/>
      <c r="K1757" s="12"/>
      <c r="M1757" s="12"/>
    </row>
    <row r="1758" spans="1:13" x14ac:dyDescent="0.2">
      <c r="A1758" s="12"/>
      <c r="I1758" s="12"/>
      <c r="K1758" s="12"/>
      <c r="M1758" s="12"/>
    </row>
    <row r="1759" spans="1:13" x14ac:dyDescent="0.2">
      <c r="A1759" s="12"/>
      <c r="I1759" s="12"/>
      <c r="K1759" s="12"/>
      <c r="M1759" s="12"/>
    </row>
    <row r="1760" spans="1:13" x14ac:dyDescent="0.2">
      <c r="A1760" s="12"/>
      <c r="I1760" s="12"/>
      <c r="K1760" s="12"/>
      <c r="M1760" s="12"/>
    </row>
    <row r="1761" spans="1:13" x14ac:dyDescent="0.2">
      <c r="A1761" s="12"/>
      <c r="I1761" s="12"/>
      <c r="K1761" s="12"/>
      <c r="M1761" s="12"/>
    </row>
    <row r="1762" spans="1:13" x14ac:dyDescent="0.2">
      <c r="A1762" s="12"/>
      <c r="I1762" s="12"/>
      <c r="K1762" s="12"/>
      <c r="M1762" s="12"/>
    </row>
    <row r="1763" spans="1:13" x14ac:dyDescent="0.2">
      <c r="A1763" s="12"/>
      <c r="I1763" s="12"/>
      <c r="K1763" s="12"/>
      <c r="M1763" s="12"/>
    </row>
    <row r="1764" spans="1:13" x14ac:dyDescent="0.2">
      <c r="A1764" s="12"/>
      <c r="I1764" s="12"/>
      <c r="K1764" s="12"/>
      <c r="M1764" s="12"/>
    </row>
    <row r="1765" spans="1:13" x14ac:dyDescent="0.2">
      <c r="A1765" s="12"/>
      <c r="I1765" s="12"/>
      <c r="K1765" s="12"/>
      <c r="M1765" s="12"/>
    </row>
    <row r="1766" spans="1:13" x14ac:dyDescent="0.2">
      <c r="A1766" s="12"/>
      <c r="I1766" s="12"/>
      <c r="K1766" s="12"/>
      <c r="M1766" s="12"/>
    </row>
    <row r="1767" spans="1:13" x14ac:dyDescent="0.2">
      <c r="A1767" s="12"/>
      <c r="I1767" s="12"/>
      <c r="K1767" s="12"/>
      <c r="M1767" s="12"/>
    </row>
    <row r="1768" spans="1:13" x14ac:dyDescent="0.2">
      <c r="A1768" s="12"/>
      <c r="I1768" s="12"/>
      <c r="K1768" s="12"/>
      <c r="M1768" s="12"/>
    </row>
    <row r="1769" spans="1:13" x14ac:dyDescent="0.2">
      <c r="A1769" s="12"/>
      <c r="I1769" s="12"/>
      <c r="K1769" s="12"/>
      <c r="M1769" s="12"/>
    </row>
    <row r="1770" spans="1:13" x14ac:dyDescent="0.2">
      <c r="A1770" s="12"/>
      <c r="I1770" s="12"/>
      <c r="K1770" s="12"/>
      <c r="M1770" s="12"/>
    </row>
    <row r="1771" spans="1:13" x14ac:dyDescent="0.2">
      <c r="A1771" s="12"/>
      <c r="I1771" s="12"/>
      <c r="K1771" s="12"/>
      <c r="M1771" s="12"/>
    </row>
    <row r="1772" spans="1:13" x14ac:dyDescent="0.2">
      <c r="A1772" s="12"/>
      <c r="I1772" s="12"/>
      <c r="K1772" s="12"/>
      <c r="M1772" s="12"/>
    </row>
    <row r="1773" spans="1:13" x14ac:dyDescent="0.2">
      <c r="A1773" s="12"/>
      <c r="I1773" s="12"/>
      <c r="K1773" s="12"/>
      <c r="M1773" s="12"/>
    </row>
    <row r="1774" spans="1:13" x14ac:dyDescent="0.2">
      <c r="A1774" s="12"/>
      <c r="I1774" s="12"/>
      <c r="K1774" s="12"/>
      <c r="M1774" s="12"/>
    </row>
    <row r="1775" spans="1:13" x14ac:dyDescent="0.2">
      <c r="A1775" s="12"/>
      <c r="I1775" s="12"/>
      <c r="K1775" s="12"/>
      <c r="M1775" s="12"/>
    </row>
    <row r="1776" spans="1:13" x14ac:dyDescent="0.2">
      <c r="A1776" s="12"/>
      <c r="I1776" s="12"/>
      <c r="K1776" s="12"/>
      <c r="M1776" s="12"/>
    </row>
    <row r="1777" spans="1:13" x14ac:dyDescent="0.2">
      <c r="A1777" s="12"/>
      <c r="I1777" s="12"/>
      <c r="K1777" s="12"/>
      <c r="M1777" s="12"/>
    </row>
    <row r="1778" spans="1:13" x14ac:dyDescent="0.2">
      <c r="A1778" s="12"/>
      <c r="I1778" s="12"/>
      <c r="K1778" s="12"/>
      <c r="M1778" s="12"/>
    </row>
    <row r="1779" spans="1:13" x14ac:dyDescent="0.2">
      <c r="A1779" s="12"/>
      <c r="I1779" s="12"/>
      <c r="K1779" s="12"/>
      <c r="M1779" s="12"/>
    </row>
    <row r="1780" spans="1:13" x14ac:dyDescent="0.2">
      <c r="A1780" s="12"/>
      <c r="I1780" s="12"/>
      <c r="K1780" s="12"/>
      <c r="M1780" s="12"/>
    </row>
    <row r="1781" spans="1:13" x14ac:dyDescent="0.2">
      <c r="A1781" s="12"/>
      <c r="I1781" s="12"/>
      <c r="K1781" s="12"/>
      <c r="M1781" s="12"/>
    </row>
    <row r="1782" spans="1:13" x14ac:dyDescent="0.2">
      <c r="A1782" s="12"/>
      <c r="I1782" s="12"/>
      <c r="K1782" s="12"/>
      <c r="M1782" s="12"/>
    </row>
    <row r="1783" spans="1:13" x14ac:dyDescent="0.2">
      <c r="A1783" s="12"/>
      <c r="I1783" s="12"/>
      <c r="K1783" s="12"/>
      <c r="M1783" s="12"/>
    </row>
    <row r="1784" spans="1:13" x14ac:dyDescent="0.2">
      <c r="A1784" s="12"/>
      <c r="I1784" s="12"/>
      <c r="K1784" s="12"/>
      <c r="M1784" s="12"/>
    </row>
    <row r="1785" spans="1:13" x14ac:dyDescent="0.2">
      <c r="A1785" s="12"/>
      <c r="I1785" s="12"/>
      <c r="K1785" s="12"/>
      <c r="M1785" s="12"/>
    </row>
    <row r="1786" spans="1:13" x14ac:dyDescent="0.2">
      <c r="A1786" s="12"/>
      <c r="I1786" s="12"/>
      <c r="K1786" s="12"/>
      <c r="M1786" s="12"/>
    </row>
    <row r="1787" spans="1:13" x14ac:dyDescent="0.2">
      <c r="A1787" s="12"/>
      <c r="I1787" s="12"/>
      <c r="K1787" s="12"/>
      <c r="M1787" s="12"/>
    </row>
    <row r="1788" spans="1:13" x14ac:dyDescent="0.2">
      <c r="A1788" s="12"/>
      <c r="I1788" s="12"/>
      <c r="K1788" s="12"/>
      <c r="M1788" s="12"/>
    </row>
    <row r="1789" spans="1:13" x14ac:dyDescent="0.2">
      <c r="A1789" s="12"/>
      <c r="I1789" s="12"/>
      <c r="K1789" s="12"/>
      <c r="M1789" s="12"/>
    </row>
    <row r="1790" spans="1:13" x14ac:dyDescent="0.2">
      <c r="A1790" s="12"/>
      <c r="I1790" s="12"/>
      <c r="K1790" s="12"/>
      <c r="M1790" s="12"/>
    </row>
    <row r="1791" spans="1:13" x14ac:dyDescent="0.2">
      <c r="A1791" s="12"/>
      <c r="I1791" s="12"/>
      <c r="K1791" s="12"/>
      <c r="M1791" s="12"/>
    </row>
    <row r="1792" spans="1:13" x14ac:dyDescent="0.2">
      <c r="A1792" s="12"/>
      <c r="I1792" s="12"/>
      <c r="K1792" s="12"/>
      <c r="M1792" s="12"/>
    </row>
    <row r="1793" spans="1:13" x14ac:dyDescent="0.2">
      <c r="A1793" s="12"/>
      <c r="I1793" s="12"/>
      <c r="K1793" s="12"/>
      <c r="M1793" s="12"/>
    </row>
    <row r="1794" spans="1:13" x14ac:dyDescent="0.2">
      <c r="A1794" s="12"/>
      <c r="I1794" s="12"/>
      <c r="K1794" s="12"/>
      <c r="M1794" s="12"/>
    </row>
    <row r="1795" spans="1:13" x14ac:dyDescent="0.2">
      <c r="A1795" s="12"/>
      <c r="I1795" s="12"/>
      <c r="K1795" s="12"/>
      <c r="M1795" s="12"/>
    </row>
    <row r="1796" spans="1:13" x14ac:dyDescent="0.2">
      <c r="A1796" s="12"/>
      <c r="I1796" s="12"/>
      <c r="K1796" s="12"/>
      <c r="M1796" s="12"/>
    </row>
    <row r="1797" spans="1:13" x14ac:dyDescent="0.2">
      <c r="A1797" s="12"/>
      <c r="I1797" s="12"/>
      <c r="K1797" s="12"/>
      <c r="M1797" s="12"/>
    </row>
    <row r="1798" spans="1:13" x14ac:dyDescent="0.2">
      <c r="A1798" s="12"/>
      <c r="I1798" s="12"/>
      <c r="K1798" s="12"/>
      <c r="M1798" s="12"/>
    </row>
    <row r="1799" spans="1:13" x14ac:dyDescent="0.2">
      <c r="A1799" s="12"/>
      <c r="I1799" s="12"/>
      <c r="K1799" s="12"/>
      <c r="M1799" s="12"/>
    </row>
    <row r="1800" spans="1:13" x14ac:dyDescent="0.2">
      <c r="A1800" s="12"/>
      <c r="I1800" s="12"/>
      <c r="K1800" s="12"/>
      <c r="M1800" s="12"/>
    </row>
    <row r="1801" spans="1:13" x14ac:dyDescent="0.2">
      <c r="A1801" s="12"/>
      <c r="I1801" s="12"/>
      <c r="K1801" s="12"/>
      <c r="M1801" s="12"/>
    </row>
    <row r="1802" spans="1:13" x14ac:dyDescent="0.2">
      <c r="A1802" s="12"/>
      <c r="I1802" s="12"/>
      <c r="K1802" s="12"/>
      <c r="M1802" s="12"/>
    </row>
    <row r="1803" spans="1:13" x14ac:dyDescent="0.2">
      <c r="A1803" s="12"/>
      <c r="I1803" s="12"/>
      <c r="K1803" s="12"/>
      <c r="M1803" s="12"/>
    </row>
    <row r="1804" spans="1:13" x14ac:dyDescent="0.2">
      <c r="A1804" s="12"/>
      <c r="I1804" s="12"/>
      <c r="K1804" s="12"/>
      <c r="M1804" s="12"/>
    </row>
    <row r="1805" spans="1:13" x14ac:dyDescent="0.2">
      <c r="A1805" s="12"/>
      <c r="I1805" s="12"/>
      <c r="K1805" s="12"/>
      <c r="M1805" s="12"/>
    </row>
    <row r="1806" spans="1:13" x14ac:dyDescent="0.2">
      <c r="A1806" s="12"/>
      <c r="I1806" s="12"/>
      <c r="K1806" s="12"/>
      <c r="M1806" s="12"/>
    </row>
    <row r="1807" spans="1:13" x14ac:dyDescent="0.2">
      <c r="A1807" s="12"/>
      <c r="I1807" s="12"/>
      <c r="K1807" s="12"/>
      <c r="M1807" s="12"/>
    </row>
    <row r="1808" spans="1:13" x14ac:dyDescent="0.2">
      <c r="A1808" s="12"/>
      <c r="I1808" s="12"/>
      <c r="K1808" s="12"/>
      <c r="M1808" s="12"/>
    </row>
    <row r="1809" spans="1:13" x14ac:dyDescent="0.2">
      <c r="A1809" s="12"/>
      <c r="I1809" s="12"/>
      <c r="K1809" s="12"/>
      <c r="M1809" s="12"/>
    </row>
    <row r="1810" spans="1:13" x14ac:dyDescent="0.2">
      <c r="A1810" s="12"/>
      <c r="I1810" s="12"/>
      <c r="K1810" s="12"/>
      <c r="M1810" s="12"/>
    </row>
    <row r="1811" spans="1:13" x14ac:dyDescent="0.2">
      <c r="A1811" s="12"/>
      <c r="I1811" s="12"/>
      <c r="K1811" s="12"/>
      <c r="M1811" s="12"/>
    </row>
    <row r="1812" spans="1:13" x14ac:dyDescent="0.2">
      <c r="A1812" s="12"/>
      <c r="I1812" s="12"/>
      <c r="K1812" s="12"/>
      <c r="M1812" s="12"/>
    </row>
    <row r="1813" spans="1:13" x14ac:dyDescent="0.2">
      <c r="A1813" s="12"/>
      <c r="I1813" s="12"/>
      <c r="K1813" s="12"/>
      <c r="M1813" s="12"/>
    </row>
    <row r="1814" spans="1:13" x14ac:dyDescent="0.2">
      <c r="A1814" s="12"/>
      <c r="I1814" s="12"/>
      <c r="K1814" s="12"/>
      <c r="M1814" s="12"/>
    </row>
    <row r="1815" spans="1:13" x14ac:dyDescent="0.2">
      <c r="A1815" s="12"/>
      <c r="I1815" s="12"/>
      <c r="K1815" s="12"/>
      <c r="M1815" s="12"/>
    </row>
    <row r="1816" spans="1:13" x14ac:dyDescent="0.2">
      <c r="A1816" s="12"/>
      <c r="I1816" s="12"/>
      <c r="K1816" s="12"/>
      <c r="M1816" s="12"/>
    </row>
    <row r="1817" spans="1:13" x14ac:dyDescent="0.2">
      <c r="A1817" s="12"/>
      <c r="I1817" s="12"/>
      <c r="K1817" s="12"/>
      <c r="M1817" s="12"/>
    </row>
    <row r="1818" spans="1:13" x14ac:dyDescent="0.2">
      <c r="A1818" s="12"/>
      <c r="I1818" s="12"/>
      <c r="K1818" s="12"/>
      <c r="M1818" s="12"/>
    </row>
    <row r="1819" spans="1:13" x14ac:dyDescent="0.2">
      <c r="A1819" s="12"/>
      <c r="I1819" s="12"/>
      <c r="K1819" s="12"/>
      <c r="M1819" s="12"/>
    </row>
    <row r="1820" spans="1:13" x14ac:dyDescent="0.2">
      <c r="A1820" s="12"/>
      <c r="I1820" s="12"/>
      <c r="K1820" s="12"/>
      <c r="M1820" s="12"/>
    </row>
    <row r="1821" spans="1:13" x14ac:dyDescent="0.2">
      <c r="A1821" s="12"/>
      <c r="I1821" s="12"/>
      <c r="K1821" s="12"/>
      <c r="M1821" s="12"/>
    </row>
    <row r="1822" spans="1:13" x14ac:dyDescent="0.2">
      <c r="A1822" s="12"/>
      <c r="I1822" s="12"/>
      <c r="K1822" s="12"/>
      <c r="M1822" s="12"/>
    </row>
    <row r="1823" spans="1:13" x14ac:dyDescent="0.2">
      <c r="A1823" s="12"/>
      <c r="I1823" s="12"/>
      <c r="K1823" s="12"/>
      <c r="M1823" s="12"/>
    </row>
    <row r="1824" spans="1:13" x14ac:dyDescent="0.2">
      <c r="A1824" s="12"/>
      <c r="I1824" s="12"/>
      <c r="K1824" s="12"/>
      <c r="M1824" s="12"/>
    </row>
    <row r="1825" spans="1:13" x14ac:dyDescent="0.2">
      <c r="A1825" s="12"/>
      <c r="I1825" s="12"/>
      <c r="K1825" s="12"/>
      <c r="M1825" s="12"/>
    </row>
    <row r="1826" spans="1:13" x14ac:dyDescent="0.2">
      <c r="A1826" s="12"/>
      <c r="I1826" s="12"/>
      <c r="K1826" s="12"/>
      <c r="M1826" s="12"/>
    </row>
    <row r="1827" spans="1:13" x14ac:dyDescent="0.2">
      <c r="A1827" s="12"/>
      <c r="I1827" s="12"/>
      <c r="K1827" s="12"/>
      <c r="M1827" s="12"/>
    </row>
    <row r="1828" spans="1:13" x14ac:dyDescent="0.2">
      <c r="A1828" s="12"/>
      <c r="I1828" s="12"/>
      <c r="K1828" s="12"/>
      <c r="M1828" s="12"/>
    </row>
    <row r="1829" spans="1:13" x14ac:dyDescent="0.2">
      <c r="A1829" s="12"/>
      <c r="I1829" s="12"/>
      <c r="K1829" s="12"/>
      <c r="M1829" s="12"/>
    </row>
    <row r="1830" spans="1:13" x14ac:dyDescent="0.2">
      <c r="A1830" s="12"/>
      <c r="I1830" s="12"/>
      <c r="K1830" s="12"/>
      <c r="M1830" s="12"/>
    </row>
    <row r="1831" spans="1:13" x14ac:dyDescent="0.2">
      <c r="A1831" s="12"/>
      <c r="I1831" s="12"/>
      <c r="K1831" s="12"/>
      <c r="M1831" s="12"/>
    </row>
    <row r="1832" spans="1:13" x14ac:dyDescent="0.2">
      <c r="A1832" s="12"/>
      <c r="I1832" s="12"/>
      <c r="K1832" s="12"/>
      <c r="M1832" s="12"/>
    </row>
    <row r="1833" spans="1:13" x14ac:dyDescent="0.2">
      <c r="A1833" s="12"/>
      <c r="I1833" s="12"/>
      <c r="K1833" s="12"/>
      <c r="M1833" s="12"/>
    </row>
    <row r="1834" spans="1:13" x14ac:dyDescent="0.2">
      <c r="A1834" s="12"/>
      <c r="I1834" s="12"/>
      <c r="K1834" s="12"/>
      <c r="M1834" s="12"/>
    </row>
    <row r="1835" spans="1:13" x14ac:dyDescent="0.2">
      <c r="A1835" s="12"/>
      <c r="I1835" s="12"/>
      <c r="K1835" s="12"/>
      <c r="M1835" s="12"/>
    </row>
    <row r="1836" spans="1:13" x14ac:dyDescent="0.2">
      <c r="A1836" s="12"/>
      <c r="I1836" s="12"/>
      <c r="K1836" s="12"/>
      <c r="M1836" s="12"/>
    </row>
    <row r="1837" spans="1:13" x14ac:dyDescent="0.2">
      <c r="A1837" s="12"/>
      <c r="I1837" s="12"/>
      <c r="K1837" s="12"/>
      <c r="M1837" s="12"/>
    </row>
    <row r="1838" spans="1:13" x14ac:dyDescent="0.2">
      <c r="A1838" s="12"/>
      <c r="I1838" s="12"/>
      <c r="K1838" s="12"/>
      <c r="M1838" s="12"/>
    </row>
    <row r="1839" spans="1:13" x14ac:dyDescent="0.2">
      <c r="A1839" s="12"/>
      <c r="I1839" s="12"/>
      <c r="K1839" s="12"/>
      <c r="M1839" s="12"/>
    </row>
    <row r="1840" spans="1:13" x14ac:dyDescent="0.2">
      <c r="A1840" s="12"/>
      <c r="I1840" s="12"/>
      <c r="K1840" s="12"/>
      <c r="M1840" s="12"/>
    </row>
    <row r="1841" spans="1:13" x14ac:dyDescent="0.2">
      <c r="A1841" s="12"/>
      <c r="I1841" s="12"/>
      <c r="K1841" s="12"/>
      <c r="M1841" s="12"/>
    </row>
    <row r="1842" spans="1:13" x14ac:dyDescent="0.2">
      <c r="A1842" s="12"/>
      <c r="I1842" s="12"/>
      <c r="K1842" s="12"/>
      <c r="M1842" s="12"/>
    </row>
    <row r="1843" spans="1:13" x14ac:dyDescent="0.2">
      <c r="A1843" s="12"/>
      <c r="I1843" s="12"/>
      <c r="K1843" s="12"/>
      <c r="M1843" s="12"/>
    </row>
    <row r="1844" spans="1:13" x14ac:dyDescent="0.2">
      <c r="A1844" s="12"/>
      <c r="I1844" s="12"/>
      <c r="K1844" s="12"/>
      <c r="M1844" s="12"/>
    </row>
    <row r="1845" spans="1:13" x14ac:dyDescent="0.2">
      <c r="A1845" s="12"/>
      <c r="I1845" s="12"/>
      <c r="K1845" s="12"/>
      <c r="M1845" s="12"/>
    </row>
    <row r="1846" spans="1:13" x14ac:dyDescent="0.2">
      <c r="A1846" s="12"/>
      <c r="I1846" s="12"/>
      <c r="K1846" s="12"/>
      <c r="M1846" s="12"/>
    </row>
    <row r="1847" spans="1:13" x14ac:dyDescent="0.2">
      <c r="A1847" s="12"/>
      <c r="I1847" s="12"/>
      <c r="K1847" s="12"/>
      <c r="M1847" s="12"/>
    </row>
    <row r="1848" spans="1:13" x14ac:dyDescent="0.2">
      <c r="A1848" s="12"/>
      <c r="I1848" s="12"/>
      <c r="K1848" s="12"/>
      <c r="M1848" s="12"/>
    </row>
    <row r="1849" spans="1:13" x14ac:dyDescent="0.2">
      <c r="A1849" s="12"/>
      <c r="I1849" s="12"/>
      <c r="K1849" s="12"/>
      <c r="M1849" s="12"/>
    </row>
    <row r="1850" spans="1:13" x14ac:dyDescent="0.2">
      <c r="A1850" s="12"/>
      <c r="I1850" s="12"/>
      <c r="K1850" s="12"/>
      <c r="M1850" s="12"/>
    </row>
    <row r="1851" spans="1:13" x14ac:dyDescent="0.2">
      <c r="A1851" s="12"/>
      <c r="I1851" s="12"/>
      <c r="K1851" s="12"/>
      <c r="M1851" s="12"/>
    </row>
    <row r="1852" spans="1:13" x14ac:dyDescent="0.2">
      <c r="A1852" s="12"/>
      <c r="I1852" s="12"/>
      <c r="K1852" s="12"/>
      <c r="M1852" s="12"/>
    </row>
    <row r="1853" spans="1:13" x14ac:dyDescent="0.2">
      <c r="A1853" s="12"/>
      <c r="I1853" s="12"/>
      <c r="K1853" s="12"/>
      <c r="M1853" s="12"/>
    </row>
    <row r="1854" spans="1:13" x14ac:dyDescent="0.2">
      <c r="A1854" s="12"/>
      <c r="I1854" s="12"/>
      <c r="K1854" s="12"/>
      <c r="M1854" s="12"/>
    </row>
    <row r="1855" spans="1:13" x14ac:dyDescent="0.2">
      <c r="A1855" s="12"/>
      <c r="I1855" s="12"/>
      <c r="K1855" s="12"/>
      <c r="M1855" s="12"/>
    </row>
    <row r="1856" spans="1:13" x14ac:dyDescent="0.2">
      <c r="A1856" s="12"/>
      <c r="I1856" s="12"/>
      <c r="K1856" s="12"/>
      <c r="M1856" s="12"/>
    </row>
    <row r="1857" spans="1:13" x14ac:dyDescent="0.2">
      <c r="A1857" s="12"/>
      <c r="I1857" s="12"/>
      <c r="K1857" s="12"/>
      <c r="M1857" s="12"/>
    </row>
    <row r="1858" spans="1:13" x14ac:dyDescent="0.2">
      <c r="A1858" s="12"/>
      <c r="I1858" s="12"/>
      <c r="K1858" s="12"/>
      <c r="M1858" s="12"/>
    </row>
    <row r="1859" spans="1:13" x14ac:dyDescent="0.2">
      <c r="A1859" s="12"/>
      <c r="I1859" s="12"/>
      <c r="K1859" s="12"/>
      <c r="M1859" s="12"/>
    </row>
    <row r="1860" spans="1:13" x14ac:dyDescent="0.2">
      <c r="A1860" s="12"/>
      <c r="I1860" s="12"/>
      <c r="K1860" s="12"/>
      <c r="M1860" s="12"/>
    </row>
    <row r="1861" spans="1:13" x14ac:dyDescent="0.2">
      <c r="A1861" s="12"/>
      <c r="I1861" s="12"/>
      <c r="K1861" s="12"/>
      <c r="M1861" s="12"/>
    </row>
    <row r="1862" spans="1:13" x14ac:dyDescent="0.2">
      <c r="A1862" s="12"/>
      <c r="I1862" s="12"/>
      <c r="K1862" s="12"/>
      <c r="M1862" s="12"/>
    </row>
    <row r="1863" spans="1:13" x14ac:dyDescent="0.2">
      <c r="A1863" s="12"/>
      <c r="I1863" s="12"/>
      <c r="K1863" s="12"/>
      <c r="M1863" s="12"/>
    </row>
    <row r="1864" spans="1:13" x14ac:dyDescent="0.2">
      <c r="A1864" s="12"/>
      <c r="I1864" s="12"/>
      <c r="K1864" s="12"/>
      <c r="M1864" s="12"/>
    </row>
    <row r="1865" spans="1:13" x14ac:dyDescent="0.2">
      <c r="A1865" s="12"/>
      <c r="I1865" s="12"/>
      <c r="K1865" s="12"/>
      <c r="M1865" s="12"/>
    </row>
    <row r="1866" spans="1:13" x14ac:dyDescent="0.2">
      <c r="A1866" s="12"/>
      <c r="I1866" s="12"/>
      <c r="K1866" s="12"/>
      <c r="M1866" s="12"/>
    </row>
    <row r="1867" spans="1:13" x14ac:dyDescent="0.2">
      <c r="A1867" s="12"/>
      <c r="I1867" s="12"/>
      <c r="K1867" s="12"/>
      <c r="M1867" s="12"/>
    </row>
    <row r="1868" spans="1:13" x14ac:dyDescent="0.2">
      <c r="A1868" s="12"/>
      <c r="I1868" s="12"/>
      <c r="K1868" s="12"/>
      <c r="M1868" s="12"/>
    </row>
    <row r="1869" spans="1:13" x14ac:dyDescent="0.2">
      <c r="A1869" s="12"/>
      <c r="I1869" s="12"/>
      <c r="K1869" s="12"/>
      <c r="M1869" s="12"/>
    </row>
    <row r="1870" spans="1:13" x14ac:dyDescent="0.2">
      <c r="A1870" s="12"/>
      <c r="I1870" s="12"/>
      <c r="K1870" s="12"/>
      <c r="M1870" s="12"/>
    </row>
    <row r="1871" spans="1:13" x14ac:dyDescent="0.2">
      <c r="A1871" s="12"/>
      <c r="I1871" s="12"/>
      <c r="K1871" s="12"/>
      <c r="M1871" s="12"/>
    </row>
    <row r="1872" spans="1:13" x14ac:dyDescent="0.2">
      <c r="A1872" s="12"/>
      <c r="I1872" s="12"/>
      <c r="K1872" s="12"/>
      <c r="M1872" s="12"/>
    </row>
    <row r="1873" spans="1:13" x14ac:dyDescent="0.2">
      <c r="A1873" s="12"/>
      <c r="I1873" s="12"/>
      <c r="K1873" s="12"/>
      <c r="M1873" s="12"/>
    </row>
    <row r="1874" spans="1:13" x14ac:dyDescent="0.2">
      <c r="A1874" s="12"/>
      <c r="I1874" s="12"/>
      <c r="K1874" s="12"/>
      <c r="M1874" s="12"/>
    </row>
    <row r="1875" spans="1:13" x14ac:dyDescent="0.2">
      <c r="A1875" s="12"/>
      <c r="I1875" s="12"/>
      <c r="K1875" s="12"/>
      <c r="M1875" s="12"/>
    </row>
    <row r="1876" spans="1:13" x14ac:dyDescent="0.2">
      <c r="A1876" s="12"/>
      <c r="I1876" s="12"/>
      <c r="K1876" s="12"/>
      <c r="M1876" s="12"/>
    </row>
    <row r="1877" spans="1:13" x14ac:dyDescent="0.2">
      <c r="A1877" s="12"/>
      <c r="I1877" s="12"/>
      <c r="K1877" s="12"/>
      <c r="M1877" s="12"/>
    </row>
    <row r="1878" spans="1:13" x14ac:dyDescent="0.2">
      <c r="A1878" s="12"/>
      <c r="I1878" s="12"/>
      <c r="K1878" s="12"/>
      <c r="M1878" s="12"/>
    </row>
    <row r="1879" spans="1:13" x14ac:dyDescent="0.2">
      <c r="A1879" s="12"/>
      <c r="I1879" s="12"/>
      <c r="K1879" s="12"/>
      <c r="M1879" s="12"/>
    </row>
    <row r="1880" spans="1:13" x14ac:dyDescent="0.2">
      <c r="A1880" s="12"/>
      <c r="I1880" s="12"/>
      <c r="K1880" s="12"/>
      <c r="M1880" s="12"/>
    </row>
    <row r="1881" spans="1:13" x14ac:dyDescent="0.2">
      <c r="A1881" s="12"/>
      <c r="I1881" s="12"/>
      <c r="K1881" s="12"/>
      <c r="M1881" s="12"/>
    </row>
    <row r="1882" spans="1:13" x14ac:dyDescent="0.2">
      <c r="A1882" s="12"/>
      <c r="I1882" s="12"/>
      <c r="K1882" s="12"/>
      <c r="M1882" s="12"/>
    </row>
    <row r="1883" spans="1:13" x14ac:dyDescent="0.2">
      <c r="A1883" s="12"/>
      <c r="I1883" s="12"/>
      <c r="K1883" s="12"/>
      <c r="M1883" s="12"/>
    </row>
    <row r="1884" spans="1:13" x14ac:dyDescent="0.2">
      <c r="A1884" s="12"/>
      <c r="I1884" s="12"/>
      <c r="K1884" s="12"/>
      <c r="M1884" s="12"/>
    </row>
    <row r="1885" spans="1:13" x14ac:dyDescent="0.2">
      <c r="A1885" s="12"/>
      <c r="I1885" s="12"/>
      <c r="K1885" s="12"/>
      <c r="M1885" s="12"/>
    </row>
    <row r="1886" spans="1:13" x14ac:dyDescent="0.2">
      <c r="A1886" s="12"/>
      <c r="I1886" s="12"/>
      <c r="K1886" s="12"/>
      <c r="M1886" s="12"/>
    </row>
    <row r="1887" spans="1:13" x14ac:dyDescent="0.2">
      <c r="A1887" s="12"/>
      <c r="I1887" s="12"/>
      <c r="K1887" s="12"/>
      <c r="M1887" s="12"/>
    </row>
    <row r="1888" spans="1:13" x14ac:dyDescent="0.2">
      <c r="A1888" s="12"/>
      <c r="I1888" s="12"/>
      <c r="K1888" s="12"/>
      <c r="M1888" s="12"/>
    </row>
    <row r="1889" spans="1:13" x14ac:dyDescent="0.2">
      <c r="A1889" s="12"/>
      <c r="I1889" s="12"/>
      <c r="K1889" s="12"/>
      <c r="M1889" s="12"/>
    </row>
    <row r="1890" spans="1:13" x14ac:dyDescent="0.2">
      <c r="A1890" s="12"/>
      <c r="I1890" s="12"/>
      <c r="K1890" s="12"/>
      <c r="M1890" s="12"/>
    </row>
    <row r="1891" spans="1:13" x14ac:dyDescent="0.2">
      <c r="A1891" s="12"/>
      <c r="I1891" s="12"/>
      <c r="K1891" s="12"/>
      <c r="M1891" s="12"/>
    </row>
    <row r="1892" spans="1:13" x14ac:dyDescent="0.2">
      <c r="A1892" s="12"/>
      <c r="I1892" s="12"/>
      <c r="K1892" s="12"/>
      <c r="M1892" s="12"/>
    </row>
    <row r="1893" spans="1:13" x14ac:dyDescent="0.2">
      <c r="A1893" s="12"/>
      <c r="I1893" s="12"/>
      <c r="K1893" s="12"/>
      <c r="M1893" s="12"/>
    </row>
    <row r="1894" spans="1:13" x14ac:dyDescent="0.2">
      <c r="A1894" s="12"/>
      <c r="I1894" s="12"/>
      <c r="K1894" s="12"/>
      <c r="M1894" s="12"/>
    </row>
    <row r="1895" spans="1:13" x14ac:dyDescent="0.2">
      <c r="A1895" s="12"/>
      <c r="I1895" s="12"/>
      <c r="K1895" s="12"/>
      <c r="M1895" s="12"/>
    </row>
    <row r="1896" spans="1:13" x14ac:dyDescent="0.2">
      <c r="A1896" s="12"/>
      <c r="I1896" s="12"/>
      <c r="K1896" s="12"/>
      <c r="M1896" s="12"/>
    </row>
    <row r="1897" spans="1:13" x14ac:dyDescent="0.2">
      <c r="A1897" s="12"/>
      <c r="I1897" s="12"/>
      <c r="K1897" s="12"/>
      <c r="M1897" s="12"/>
    </row>
    <row r="1898" spans="1:13" x14ac:dyDescent="0.2">
      <c r="A1898" s="12"/>
      <c r="I1898" s="12"/>
      <c r="K1898" s="12"/>
      <c r="M1898" s="12"/>
    </row>
    <row r="1899" spans="1:13" x14ac:dyDescent="0.2">
      <c r="A1899" s="12"/>
      <c r="I1899" s="12"/>
      <c r="K1899" s="12"/>
      <c r="M1899" s="12"/>
    </row>
    <row r="1900" spans="1:13" x14ac:dyDescent="0.2">
      <c r="A1900" s="12"/>
      <c r="I1900" s="12"/>
      <c r="K1900" s="12"/>
      <c r="M1900" s="12"/>
    </row>
    <row r="1901" spans="1:13" x14ac:dyDescent="0.2">
      <c r="A1901" s="12"/>
      <c r="I1901" s="12"/>
      <c r="K1901" s="12"/>
      <c r="M1901" s="12"/>
    </row>
    <row r="1902" spans="1:13" x14ac:dyDescent="0.2">
      <c r="A1902" s="12"/>
      <c r="I1902" s="12"/>
      <c r="K1902" s="12"/>
      <c r="M1902" s="12"/>
    </row>
    <row r="1903" spans="1:13" x14ac:dyDescent="0.2">
      <c r="A1903" s="12"/>
      <c r="I1903" s="12"/>
      <c r="K1903" s="12"/>
      <c r="M1903" s="12"/>
    </row>
    <row r="1904" spans="1:13" x14ac:dyDescent="0.2">
      <c r="A1904" s="12"/>
      <c r="I1904" s="12"/>
      <c r="K1904" s="12"/>
      <c r="M1904" s="12"/>
    </row>
    <row r="1905" spans="1:13" x14ac:dyDescent="0.2">
      <c r="A1905" s="12"/>
      <c r="I1905" s="12"/>
      <c r="K1905" s="12"/>
      <c r="M1905" s="12"/>
    </row>
    <row r="1906" spans="1:13" x14ac:dyDescent="0.2">
      <c r="A1906" s="12"/>
      <c r="I1906" s="12"/>
      <c r="K1906" s="12"/>
      <c r="M1906" s="12"/>
    </row>
    <row r="1907" spans="1:13" x14ac:dyDescent="0.2">
      <c r="A1907" s="12"/>
      <c r="I1907" s="12"/>
      <c r="K1907" s="12"/>
      <c r="M1907" s="12"/>
    </row>
    <row r="1908" spans="1:13" x14ac:dyDescent="0.2">
      <c r="A1908" s="12"/>
      <c r="I1908" s="12"/>
      <c r="K1908" s="12"/>
      <c r="M1908" s="12"/>
    </row>
    <row r="1909" spans="1:13" x14ac:dyDescent="0.2">
      <c r="A1909" s="12"/>
      <c r="I1909" s="12"/>
      <c r="K1909" s="12"/>
      <c r="M1909" s="12"/>
    </row>
    <row r="1910" spans="1:13" x14ac:dyDescent="0.2">
      <c r="A1910" s="12"/>
      <c r="I1910" s="12"/>
      <c r="K1910" s="12"/>
      <c r="M1910" s="12"/>
    </row>
    <row r="1911" spans="1:13" x14ac:dyDescent="0.2">
      <c r="A1911" s="12"/>
      <c r="I1911" s="12"/>
      <c r="K1911" s="12"/>
      <c r="M1911" s="12"/>
    </row>
    <row r="1912" spans="1:13" x14ac:dyDescent="0.2">
      <c r="A1912" s="12"/>
      <c r="I1912" s="12"/>
      <c r="K1912" s="12"/>
      <c r="M1912" s="12"/>
    </row>
    <row r="1913" spans="1:13" x14ac:dyDescent="0.2">
      <c r="A1913" s="12"/>
      <c r="I1913" s="12"/>
      <c r="K1913" s="12"/>
      <c r="M1913" s="12"/>
    </row>
    <row r="1914" spans="1:13" x14ac:dyDescent="0.2">
      <c r="A1914" s="12"/>
      <c r="I1914" s="12"/>
      <c r="K1914" s="12"/>
      <c r="M1914" s="12"/>
    </row>
    <row r="1915" spans="1:13" x14ac:dyDescent="0.2">
      <c r="A1915" s="12"/>
      <c r="I1915" s="12"/>
      <c r="K1915" s="12"/>
      <c r="M1915" s="12"/>
    </row>
    <row r="1916" spans="1:13" x14ac:dyDescent="0.2">
      <c r="A1916" s="12"/>
      <c r="I1916" s="12"/>
      <c r="K1916" s="12"/>
      <c r="M1916" s="12"/>
    </row>
    <row r="1917" spans="1:13" x14ac:dyDescent="0.2">
      <c r="A1917" s="12"/>
      <c r="I1917" s="12"/>
      <c r="K1917" s="12"/>
      <c r="M1917" s="12"/>
    </row>
    <row r="1918" spans="1:13" x14ac:dyDescent="0.2">
      <c r="A1918" s="12"/>
      <c r="I1918" s="12"/>
      <c r="K1918" s="12"/>
      <c r="M1918" s="12"/>
    </row>
    <row r="1919" spans="1:13" x14ac:dyDescent="0.2">
      <c r="A1919" s="12"/>
      <c r="I1919" s="12"/>
      <c r="K1919" s="12"/>
      <c r="M1919" s="12"/>
    </row>
    <row r="1920" spans="1:13" x14ac:dyDescent="0.2">
      <c r="A1920" s="12"/>
      <c r="I1920" s="12"/>
      <c r="K1920" s="12"/>
      <c r="M1920" s="12"/>
    </row>
    <row r="1921" spans="1:13" x14ac:dyDescent="0.2">
      <c r="A1921" s="12"/>
      <c r="I1921" s="12"/>
      <c r="K1921" s="12"/>
      <c r="M1921" s="12"/>
    </row>
    <row r="1922" spans="1:13" x14ac:dyDescent="0.2">
      <c r="A1922" s="12"/>
      <c r="I1922" s="12"/>
      <c r="K1922" s="12"/>
      <c r="M1922" s="12"/>
    </row>
    <row r="1923" spans="1:13" x14ac:dyDescent="0.2">
      <c r="A1923" s="12"/>
      <c r="I1923" s="12"/>
      <c r="K1923" s="12"/>
      <c r="M1923" s="12"/>
    </row>
    <row r="1924" spans="1:13" x14ac:dyDescent="0.2">
      <c r="A1924" s="12"/>
      <c r="I1924" s="12"/>
      <c r="K1924" s="12"/>
      <c r="M1924" s="12"/>
    </row>
    <row r="1925" spans="1:13" x14ac:dyDescent="0.2">
      <c r="A1925" s="12"/>
      <c r="I1925" s="12"/>
      <c r="K1925" s="12"/>
      <c r="M1925" s="12"/>
    </row>
    <row r="1926" spans="1:13" x14ac:dyDescent="0.2">
      <c r="A1926" s="12"/>
      <c r="I1926" s="12"/>
      <c r="K1926" s="12"/>
      <c r="M1926" s="12"/>
    </row>
    <row r="1927" spans="1:13" x14ac:dyDescent="0.2">
      <c r="A1927" s="12"/>
      <c r="I1927" s="12"/>
      <c r="K1927" s="12"/>
      <c r="M1927" s="12"/>
    </row>
    <row r="1928" spans="1:13" x14ac:dyDescent="0.2">
      <c r="A1928" s="12"/>
      <c r="I1928" s="12"/>
      <c r="K1928" s="12"/>
      <c r="M1928" s="12"/>
    </row>
    <row r="1929" spans="1:13" x14ac:dyDescent="0.2">
      <c r="A1929" s="12"/>
      <c r="I1929" s="12"/>
      <c r="K1929" s="12"/>
      <c r="M1929" s="12"/>
    </row>
    <row r="1930" spans="1:13" x14ac:dyDescent="0.2">
      <c r="A1930" s="12"/>
      <c r="I1930" s="12"/>
      <c r="K1930" s="12"/>
      <c r="M1930" s="12"/>
    </row>
    <row r="1931" spans="1:13" x14ac:dyDescent="0.2">
      <c r="A1931" s="12"/>
      <c r="I1931" s="12"/>
      <c r="K1931" s="12"/>
      <c r="M1931" s="12"/>
    </row>
    <row r="1932" spans="1:13" x14ac:dyDescent="0.2">
      <c r="A1932" s="12"/>
      <c r="I1932" s="12"/>
      <c r="K1932" s="12"/>
      <c r="M1932" s="12"/>
    </row>
    <row r="1933" spans="1:13" x14ac:dyDescent="0.2">
      <c r="A1933" s="12"/>
      <c r="I1933" s="12"/>
      <c r="K1933" s="12"/>
      <c r="M1933" s="12"/>
    </row>
    <row r="1934" spans="1:13" x14ac:dyDescent="0.2">
      <c r="A1934" s="12"/>
      <c r="I1934" s="12"/>
      <c r="K1934" s="12"/>
      <c r="M1934" s="12"/>
    </row>
    <row r="1935" spans="1:13" x14ac:dyDescent="0.2">
      <c r="A1935" s="12"/>
      <c r="I1935" s="12"/>
      <c r="K1935" s="12"/>
      <c r="M1935" s="12"/>
    </row>
    <row r="1936" spans="1:13" x14ac:dyDescent="0.2">
      <c r="A1936" s="12"/>
      <c r="I1936" s="12"/>
      <c r="K1936" s="12"/>
      <c r="M1936" s="12"/>
    </row>
    <row r="1937" spans="1:13" x14ac:dyDescent="0.2">
      <c r="A1937" s="12"/>
      <c r="I1937" s="12"/>
      <c r="K1937" s="12"/>
      <c r="M1937" s="12"/>
    </row>
    <row r="1938" spans="1:13" x14ac:dyDescent="0.2">
      <c r="A1938" s="12"/>
      <c r="I1938" s="12"/>
      <c r="K1938" s="12"/>
      <c r="M1938" s="12"/>
    </row>
    <row r="1939" spans="1:13" x14ac:dyDescent="0.2">
      <c r="A1939" s="12"/>
      <c r="I1939" s="12"/>
      <c r="K1939" s="12"/>
      <c r="M1939" s="12"/>
    </row>
    <row r="1940" spans="1:13" x14ac:dyDescent="0.2">
      <c r="A1940" s="12"/>
      <c r="I1940" s="12"/>
      <c r="K1940" s="12"/>
      <c r="M1940" s="12"/>
    </row>
    <row r="1941" spans="1:13" x14ac:dyDescent="0.2">
      <c r="A1941" s="12"/>
      <c r="I1941" s="12"/>
      <c r="K1941" s="12"/>
      <c r="M1941" s="12"/>
    </row>
    <row r="1942" spans="1:13" x14ac:dyDescent="0.2">
      <c r="A1942" s="12"/>
      <c r="I1942" s="12"/>
      <c r="K1942" s="12"/>
      <c r="M1942" s="12"/>
    </row>
    <row r="1943" spans="1:13" x14ac:dyDescent="0.2">
      <c r="A1943" s="12"/>
      <c r="I1943" s="12"/>
      <c r="K1943" s="12"/>
      <c r="M1943" s="12"/>
    </row>
    <row r="1944" spans="1:13" x14ac:dyDescent="0.2">
      <c r="A1944" s="12"/>
      <c r="I1944" s="12"/>
      <c r="K1944" s="12"/>
      <c r="M1944" s="12"/>
    </row>
    <row r="1945" spans="1:13" x14ac:dyDescent="0.2">
      <c r="A1945" s="12"/>
      <c r="I1945" s="12"/>
      <c r="K1945" s="12"/>
      <c r="M1945" s="12"/>
    </row>
    <row r="1946" spans="1:13" x14ac:dyDescent="0.2">
      <c r="A1946" s="12"/>
      <c r="I1946" s="12"/>
      <c r="K1946" s="12"/>
      <c r="M1946" s="12"/>
    </row>
    <row r="1947" spans="1:13" x14ac:dyDescent="0.2">
      <c r="A1947" s="12"/>
      <c r="I1947" s="12"/>
      <c r="K1947" s="12"/>
      <c r="M1947" s="12"/>
    </row>
    <row r="1948" spans="1:13" x14ac:dyDescent="0.2">
      <c r="A1948" s="12"/>
      <c r="I1948" s="12"/>
      <c r="K1948" s="12"/>
      <c r="M1948" s="12"/>
    </row>
    <row r="1949" spans="1:13" x14ac:dyDescent="0.2">
      <c r="A1949" s="12"/>
      <c r="I1949" s="12"/>
      <c r="K1949" s="12"/>
      <c r="M1949" s="12"/>
    </row>
    <row r="1950" spans="1:13" x14ac:dyDescent="0.2">
      <c r="A1950" s="12"/>
      <c r="I1950" s="12"/>
      <c r="K1950" s="12"/>
      <c r="M1950" s="12"/>
    </row>
    <row r="1951" spans="1:13" x14ac:dyDescent="0.2">
      <c r="A1951" s="12"/>
      <c r="I1951" s="12"/>
      <c r="K1951" s="12"/>
      <c r="M1951" s="12"/>
    </row>
    <row r="1952" spans="1:13" x14ac:dyDescent="0.2">
      <c r="A1952" s="12"/>
      <c r="I1952" s="12"/>
      <c r="K1952" s="12"/>
      <c r="M1952" s="12"/>
    </row>
    <row r="1953" spans="1:13" x14ac:dyDescent="0.2">
      <c r="A1953" s="12"/>
      <c r="I1953" s="12"/>
      <c r="K1953" s="12"/>
      <c r="M1953" s="12"/>
    </row>
    <row r="1954" spans="1:13" x14ac:dyDescent="0.2">
      <c r="A1954" s="12"/>
      <c r="I1954" s="12"/>
      <c r="K1954" s="12"/>
      <c r="M1954" s="12"/>
    </row>
    <row r="1955" spans="1:13" x14ac:dyDescent="0.2">
      <c r="A1955" s="12"/>
      <c r="I1955" s="12"/>
      <c r="K1955" s="12"/>
      <c r="M1955" s="12"/>
    </row>
    <row r="1956" spans="1:13" x14ac:dyDescent="0.2">
      <c r="A1956" s="12"/>
      <c r="I1956" s="12"/>
      <c r="K1956" s="12"/>
      <c r="M1956" s="12"/>
    </row>
    <row r="1957" spans="1:13" x14ac:dyDescent="0.2">
      <c r="A1957" s="12"/>
      <c r="I1957" s="12"/>
      <c r="K1957" s="12"/>
      <c r="M1957" s="12"/>
    </row>
    <row r="1958" spans="1:13" x14ac:dyDescent="0.2">
      <c r="A1958" s="12"/>
      <c r="I1958" s="12"/>
      <c r="K1958" s="12"/>
      <c r="M1958" s="12"/>
    </row>
    <row r="1959" spans="1:13" x14ac:dyDescent="0.2">
      <c r="A1959" s="12"/>
      <c r="I1959" s="12"/>
      <c r="K1959" s="12"/>
      <c r="M1959" s="12"/>
    </row>
    <row r="1960" spans="1:13" x14ac:dyDescent="0.2">
      <c r="A1960" s="12"/>
      <c r="I1960" s="12"/>
      <c r="K1960" s="12"/>
      <c r="M1960" s="12"/>
    </row>
    <row r="1961" spans="1:13" x14ac:dyDescent="0.2">
      <c r="A1961" s="12"/>
      <c r="I1961" s="12"/>
      <c r="K1961" s="12"/>
      <c r="M1961" s="12"/>
    </row>
    <row r="1962" spans="1:13" x14ac:dyDescent="0.2">
      <c r="A1962" s="12"/>
      <c r="I1962" s="12"/>
      <c r="K1962" s="12"/>
      <c r="M1962" s="12"/>
    </row>
    <row r="1963" spans="1:13" x14ac:dyDescent="0.2">
      <c r="A1963" s="12"/>
      <c r="I1963" s="12"/>
      <c r="K1963" s="12"/>
      <c r="M1963" s="12"/>
    </row>
    <row r="1964" spans="1:13" x14ac:dyDescent="0.2">
      <c r="A1964" s="12"/>
      <c r="I1964" s="12"/>
      <c r="K1964" s="12"/>
      <c r="M1964" s="12"/>
    </row>
    <row r="1965" spans="1:13" x14ac:dyDescent="0.2">
      <c r="A1965" s="12"/>
      <c r="I1965" s="12"/>
      <c r="K1965" s="12"/>
      <c r="M1965" s="12"/>
    </row>
    <row r="1966" spans="1:13" x14ac:dyDescent="0.2">
      <c r="A1966" s="12"/>
      <c r="I1966" s="12"/>
      <c r="K1966" s="12"/>
      <c r="M1966" s="12"/>
    </row>
    <row r="1967" spans="1:13" x14ac:dyDescent="0.2">
      <c r="A1967" s="12"/>
      <c r="I1967" s="12"/>
      <c r="K1967" s="12"/>
      <c r="M1967" s="12"/>
    </row>
    <row r="1968" spans="1:13" x14ac:dyDescent="0.2">
      <c r="A1968" s="12"/>
      <c r="I1968" s="12"/>
      <c r="K1968" s="12"/>
      <c r="M1968" s="12"/>
    </row>
    <row r="1969" spans="1:13" x14ac:dyDescent="0.2">
      <c r="A1969" s="12"/>
      <c r="I1969" s="12"/>
      <c r="K1969" s="12"/>
      <c r="M1969" s="12"/>
    </row>
    <row r="1970" spans="1:13" x14ac:dyDescent="0.2">
      <c r="A1970" s="12"/>
      <c r="I1970" s="12"/>
      <c r="K1970" s="12"/>
      <c r="M1970" s="12"/>
    </row>
    <row r="1971" spans="1:13" x14ac:dyDescent="0.2">
      <c r="A1971" s="12"/>
      <c r="I1971" s="12"/>
      <c r="K1971" s="12"/>
      <c r="M1971" s="12"/>
    </row>
    <row r="1972" spans="1:13" x14ac:dyDescent="0.2">
      <c r="A1972" s="12"/>
      <c r="I1972" s="12"/>
      <c r="K1972" s="12"/>
      <c r="M1972" s="12"/>
    </row>
    <row r="1973" spans="1:13" x14ac:dyDescent="0.2">
      <c r="A1973" s="12"/>
      <c r="I1973" s="12"/>
      <c r="K1973" s="12"/>
      <c r="M1973" s="12"/>
    </row>
    <row r="1974" spans="1:13" x14ac:dyDescent="0.2">
      <c r="A1974" s="12"/>
      <c r="I1974" s="12"/>
      <c r="K1974" s="12"/>
      <c r="M1974" s="12"/>
    </row>
    <row r="1975" spans="1:13" x14ac:dyDescent="0.2">
      <c r="A1975" s="12"/>
      <c r="I1975" s="12"/>
      <c r="K1975" s="12"/>
      <c r="M1975" s="12"/>
    </row>
    <row r="1976" spans="1:13" x14ac:dyDescent="0.2">
      <c r="A1976" s="12"/>
      <c r="I1976" s="12"/>
      <c r="K1976" s="12"/>
      <c r="M1976" s="12"/>
    </row>
    <row r="1977" spans="1:13" x14ac:dyDescent="0.2">
      <c r="A1977" s="12"/>
      <c r="I1977" s="12"/>
      <c r="K1977" s="12"/>
      <c r="M1977" s="12"/>
    </row>
    <row r="1978" spans="1:13" x14ac:dyDescent="0.2">
      <c r="A1978" s="12"/>
      <c r="I1978" s="12"/>
      <c r="K1978" s="12"/>
      <c r="M1978" s="12"/>
    </row>
    <row r="1979" spans="1:13" x14ac:dyDescent="0.2">
      <c r="A1979" s="12"/>
      <c r="I1979" s="12"/>
      <c r="K1979" s="12"/>
      <c r="M1979" s="12"/>
    </row>
    <row r="1980" spans="1:13" x14ac:dyDescent="0.2">
      <c r="A1980" s="12"/>
      <c r="I1980" s="12"/>
      <c r="K1980" s="12"/>
      <c r="M1980" s="12"/>
    </row>
    <row r="1981" spans="1:13" x14ac:dyDescent="0.2">
      <c r="A1981" s="12"/>
      <c r="I1981" s="12"/>
      <c r="K1981" s="12"/>
      <c r="M1981" s="12"/>
    </row>
    <row r="1982" spans="1:13" x14ac:dyDescent="0.2">
      <c r="A1982" s="12"/>
      <c r="I1982" s="12"/>
      <c r="K1982" s="12"/>
      <c r="M1982" s="12"/>
    </row>
    <row r="1983" spans="1:13" x14ac:dyDescent="0.2">
      <c r="A1983" s="12"/>
      <c r="I1983" s="12"/>
      <c r="K1983" s="12"/>
      <c r="M1983" s="12"/>
    </row>
    <row r="1984" spans="1:13" x14ac:dyDescent="0.2">
      <c r="A1984" s="12"/>
      <c r="I1984" s="12"/>
      <c r="K1984" s="12"/>
      <c r="M1984" s="12"/>
    </row>
    <row r="1985" spans="1:13" x14ac:dyDescent="0.2">
      <c r="A1985" s="12"/>
      <c r="I1985" s="12"/>
      <c r="K1985" s="12"/>
      <c r="M1985" s="12"/>
    </row>
    <row r="1986" spans="1:13" x14ac:dyDescent="0.2">
      <c r="A1986" s="12"/>
      <c r="I1986" s="12"/>
      <c r="K1986" s="12"/>
      <c r="M1986" s="12"/>
    </row>
    <row r="1987" spans="1:13" x14ac:dyDescent="0.2">
      <c r="A1987" s="12"/>
      <c r="I1987" s="12"/>
      <c r="K1987" s="12"/>
      <c r="M1987" s="12"/>
    </row>
    <row r="1988" spans="1:13" x14ac:dyDescent="0.2">
      <c r="A1988" s="12"/>
      <c r="I1988" s="12"/>
      <c r="K1988" s="12"/>
      <c r="M1988" s="12"/>
    </row>
    <row r="1989" spans="1:13" x14ac:dyDescent="0.2">
      <c r="A1989" s="12"/>
      <c r="I1989" s="12"/>
      <c r="K1989" s="12"/>
      <c r="M1989" s="12"/>
    </row>
    <row r="1990" spans="1:13" x14ac:dyDescent="0.2">
      <c r="A1990" s="12"/>
      <c r="I1990" s="12"/>
      <c r="K1990" s="12"/>
      <c r="M1990" s="12"/>
    </row>
    <row r="1991" spans="1:13" x14ac:dyDescent="0.2">
      <c r="A1991" s="12"/>
      <c r="I1991" s="12"/>
      <c r="K1991" s="12"/>
      <c r="M1991" s="12"/>
    </row>
    <row r="1992" spans="1:13" x14ac:dyDescent="0.2">
      <c r="A1992" s="12"/>
      <c r="I1992" s="12"/>
      <c r="K1992" s="12"/>
      <c r="M1992" s="12"/>
    </row>
    <row r="1993" spans="1:13" x14ac:dyDescent="0.2">
      <c r="A1993" s="12"/>
      <c r="I1993" s="12"/>
      <c r="K1993" s="12"/>
      <c r="M1993" s="12"/>
    </row>
    <row r="1994" spans="1:13" x14ac:dyDescent="0.2">
      <c r="A1994" s="12"/>
      <c r="I1994" s="12"/>
      <c r="K1994" s="12"/>
      <c r="M1994" s="12"/>
    </row>
    <row r="1995" spans="1:13" x14ac:dyDescent="0.2">
      <c r="A1995" s="12"/>
      <c r="I1995" s="12"/>
      <c r="K1995" s="12"/>
      <c r="M1995" s="12"/>
    </row>
    <row r="1996" spans="1:13" x14ac:dyDescent="0.2">
      <c r="A1996" s="12"/>
      <c r="I1996" s="12"/>
      <c r="K1996" s="12"/>
      <c r="M1996" s="12"/>
    </row>
    <row r="1997" spans="1:13" x14ac:dyDescent="0.2">
      <c r="A1997" s="12"/>
      <c r="I1997" s="12"/>
      <c r="K1997" s="12"/>
      <c r="M1997" s="12"/>
    </row>
    <row r="1998" spans="1:13" x14ac:dyDescent="0.2">
      <c r="A1998" s="12"/>
      <c r="I1998" s="12"/>
      <c r="K1998" s="12"/>
      <c r="M1998" s="12"/>
    </row>
    <row r="1999" spans="1:13" x14ac:dyDescent="0.2">
      <c r="A1999" s="12"/>
      <c r="I1999" s="12"/>
      <c r="K1999" s="12"/>
      <c r="M1999" s="12"/>
    </row>
    <row r="2000" spans="1:13" x14ac:dyDescent="0.2">
      <c r="A2000" s="12"/>
      <c r="I2000" s="12"/>
      <c r="K2000" s="12"/>
      <c r="M2000" s="12"/>
    </row>
    <row r="2001" spans="1:13" x14ac:dyDescent="0.2">
      <c r="A2001" s="12"/>
      <c r="I2001" s="12"/>
      <c r="K2001" s="12"/>
      <c r="M2001" s="12"/>
    </row>
    <row r="2002" spans="1:13" x14ac:dyDescent="0.2">
      <c r="A2002" s="12"/>
      <c r="I2002" s="12"/>
      <c r="K2002" s="12"/>
      <c r="M2002" s="12"/>
    </row>
    <row r="2003" spans="1:13" x14ac:dyDescent="0.2">
      <c r="A2003" s="12"/>
      <c r="I2003" s="12"/>
      <c r="K2003" s="12"/>
      <c r="M2003" s="12"/>
    </row>
    <row r="2004" spans="1:13" x14ac:dyDescent="0.2">
      <c r="A2004" s="12"/>
      <c r="I2004" s="12"/>
      <c r="K2004" s="12"/>
      <c r="M2004" s="12"/>
    </row>
    <row r="2005" spans="1:13" x14ac:dyDescent="0.2">
      <c r="A2005" s="12"/>
      <c r="I2005" s="12"/>
      <c r="K2005" s="12"/>
      <c r="M2005" s="12"/>
    </row>
    <row r="2006" spans="1:13" x14ac:dyDescent="0.2">
      <c r="A2006" s="12"/>
      <c r="I2006" s="12"/>
      <c r="K2006" s="12"/>
      <c r="M2006" s="12"/>
    </row>
    <row r="2007" spans="1:13" x14ac:dyDescent="0.2">
      <c r="A2007" s="12"/>
      <c r="I2007" s="12"/>
      <c r="K2007" s="12"/>
      <c r="M2007" s="12"/>
    </row>
    <row r="2008" spans="1:13" x14ac:dyDescent="0.2">
      <c r="A2008" s="12"/>
      <c r="I2008" s="12"/>
      <c r="K2008" s="12"/>
      <c r="M2008" s="12"/>
    </row>
    <row r="2009" spans="1:13" x14ac:dyDescent="0.2">
      <c r="A2009" s="12"/>
      <c r="I2009" s="12"/>
      <c r="K2009" s="12"/>
      <c r="M2009" s="12"/>
    </row>
    <row r="2010" spans="1:13" x14ac:dyDescent="0.2">
      <c r="A2010" s="12"/>
      <c r="I2010" s="12"/>
      <c r="K2010" s="12"/>
      <c r="M2010" s="12"/>
    </row>
    <row r="2011" spans="1:13" x14ac:dyDescent="0.2">
      <c r="A2011" s="12"/>
      <c r="I2011" s="12"/>
      <c r="K2011" s="12"/>
      <c r="M2011" s="12"/>
    </row>
    <row r="2012" spans="1:13" x14ac:dyDescent="0.2">
      <c r="A2012" s="12"/>
      <c r="I2012" s="12"/>
      <c r="K2012" s="12"/>
      <c r="M2012" s="12"/>
    </row>
    <row r="2013" spans="1:13" x14ac:dyDescent="0.2">
      <c r="A2013" s="12"/>
      <c r="I2013" s="12"/>
      <c r="K2013" s="12"/>
      <c r="M2013" s="12"/>
    </row>
    <row r="2014" spans="1:13" x14ac:dyDescent="0.2">
      <c r="A2014" s="12"/>
      <c r="I2014" s="12"/>
      <c r="K2014" s="12"/>
      <c r="M2014" s="12"/>
    </row>
    <row r="2015" spans="1:13" x14ac:dyDescent="0.2">
      <c r="A2015" s="12"/>
      <c r="I2015" s="12"/>
      <c r="K2015" s="12"/>
      <c r="M2015" s="12"/>
    </row>
    <row r="2016" spans="1:13" x14ac:dyDescent="0.2">
      <c r="A2016" s="12"/>
      <c r="I2016" s="12"/>
      <c r="K2016" s="12"/>
      <c r="M2016" s="12"/>
    </row>
    <row r="2017" spans="1:13" x14ac:dyDescent="0.2">
      <c r="A2017" s="12"/>
      <c r="I2017" s="12"/>
      <c r="K2017" s="12"/>
      <c r="M2017" s="12"/>
    </row>
    <row r="2018" spans="1:13" x14ac:dyDescent="0.2">
      <c r="A2018" s="12"/>
      <c r="I2018" s="12"/>
      <c r="K2018" s="12"/>
      <c r="M2018" s="12"/>
    </row>
    <row r="2019" spans="1:13" x14ac:dyDescent="0.2">
      <c r="A2019" s="12"/>
      <c r="I2019" s="12"/>
      <c r="K2019" s="12"/>
      <c r="M2019" s="12"/>
    </row>
    <row r="2020" spans="1:13" x14ac:dyDescent="0.2">
      <c r="A2020" s="12"/>
      <c r="I2020" s="12"/>
      <c r="K2020" s="12"/>
      <c r="M2020" s="12"/>
    </row>
    <row r="2021" spans="1:13" x14ac:dyDescent="0.2">
      <c r="A2021" s="12"/>
      <c r="I2021" s="12"/>
      <c r="K2021" s="12"/>
      <c r="M2021" s="12"/>
    </row>
    <row r="2022" spans="1:13" x14ac:dyDescent="0.2">
      <c r="A2022" s="12"/>
      <c r="I2022" s="12"/>
      <c r="K2022" s="12"/>
      <c r="M2022" s="12"/>
    </row>
    <row r="2023" spans="1:13" x14ac:dyDescent="0.2">
      <c r="A2023" s="12"/>
      <c r="I2023" s="12"/>
      <c r="K2023" s="12"/>
      <c r="M2023" s="12"/>
    </row>
    <row r="2024" spans="1:13" x14ac:dyDescent="0.2">
      <c r="A2024" s="12"/>
      <c r="I2024" s="12"/>
      <c r="K2024" s="12"/>
      <c r="M2024" s="12"/>
    </row>
    <row r="2025" spans="1:13" x14ac:dyDescent="0.2">
      <c r="A2025" s="12"/>
      <c r="I2025" s="12"/>
      <c r="K2025" s="12"/>
      <c r="M2025" s="12"/>
    </row>
    <row r="2026" spans="1:13" x14ac:dyDescent="0.2">
      <c r="A2026" s="12"/>
      <c r="I2026" s="12"/>
      <c r="K2026" s="12"/>
      <c r="M2026" s="12"/>
    </row>
    <row r="2027" spans="1:13" x14ac:dyDescent="0.2">
      <c r="A2027" s="12"/>
      <c r="I2027" s="12"/>
      <c r="K2027" s="12"/>
      <c r="M2027" s="12"/>
    </row>
    <row r="2028" spans="1:13" x14ac:dyDescent="0.2">
      <c r="A2028" s="12"/>
      <c r="I2028" s="12"/>
      <c r="K2028" s="12"/>
      <c r="M2028" s="12"/>
    </row>
    <row r="2029" spans="1:13" x14ac:dyDescent="0.2">
      <c r="A2029" s="12"/>
      <c r="I2029" s="12"/>
      <c r="K2029" s="12"/>
      <c r="M2029" s="12"/>
    </row>
    <row r="2030" spans="1:13" x14ac:dyDescent="0.2">
      <c r="A2030" s="12"/>
      <c r="I2030" s="12"/>
      <c r="K2030" s="12"/>
      <c r="M2030" s="12"/>
    </row>
    <row r="2031" spans="1:13" x14ac:dyDescent="0.2">
      <c r="A2031" s="12"/>
      <c r="I2031" s="12"/>
      <c r="K2031" s="12"/>
      <c r="M2031" s="12"/>
    </row>
    <row r="2032" spans="1:13" x14ac:dyDescent="0.2">
      <c r="A2032" s="12"/>
      <c r="I2032" s="12"/>
      <c r="K2032" s="12"/>
      <c r="M2032" s="12"/>
    </row>
    <row r="2033" spans="1:13" x14ac:dyDescent="0.2">
      <c r="A2033" s="12"/>
      <c r="I2033" s="12"/>
      <c r="K2033" s="12"/>
      <c r="M2033" s="12"/>
    </row>
    <row r="2034" spans="1:13" x14ac:dyDescent="0.2">
      <c r="A2034" s="12"/>
      <c r="I2034" s="12"/>
      <c r="K2034" s="12"/>
      <c r="M2034" s="12"/>
    </row>
    <row r="2035" spans="1:13" x14ac:dyDescent="0.2">
      <c r="A2035" s="12"/>
      <c r="I2035" s="12"/>
      <c r="K2035" s="12"/>
      <c r="M2035" s="12"/>
    </row>
    <row r="2036" spans="1:13" x14ac:dyDescent="0.2">
      <c r="A2036" s="12"/>
      <c r="I2036" s="12"/>
      <c r="K2036" s="12"/>
      <c r="M2036" s="12"/>
    </row>
    <row r="2037" spans="1:13" x14ac:dyDescent="0.2">
      <c r="A2037" s="12"/>
      <c r="I2037" s="12"/>
      <c r="K2037" s="12"/>
      <c r="M2037" s="12"/>
    </row>
    <row r="2038" spans="1:13" x14ac:dyDescent="0.2">
      <c r="A2038" s="12"/>
      <c r="I2038" s="12"/>
      <c r="K2038" s="12"/>
      <c r="M2038" s="12"/>
    </row>
    <row r="2039" spans="1:13" x14ac:dyDescent="0.2">
      <c r="A2039" s="12"/>
      <c r="I2039" s="12"/>
      <c r="K2039" s="12"/>
      <c r="M2039" s="12"/>
    </row>
    <row r="2040" spans="1:13" x14ac:dyDescent="0.2">
      <c r="A2040" s="12"/>
      <c r="I2040" s="12"/>
      <c r="K2040" s="12"/>
      <c r="M2040" s="12"/>
    </row>
    <row r="2041" spans="1:13" x14ac:dyDescent="0.2">
      <c r="A2041" s="12"/>
      <c r="I2041" s="12"/>
      <c r="K2041" s="12"/>
      <c r="M2041" s="12"/>
    </row>
    <row r="2042" spans="1:13" x14ac:dyDescent="0.2">
      <c r="A2042" s="12"/>
      <c r="I2042" s="12"/>
      <c r="K2042" s="12"/>
      <c r="M2042" s="12"/>
    </row>
    <row r="2043" spans="1:13" x14ac:dyDescent="0.2">
      <c r="A2043" s="12"/>
      <c r="I2043" s="12"/>
      <c r="K2043" s="12"/>
      <c r="M2043" s="12"/>
    </row>
    <row r="2044" spans="1:13" x14ac:dyDescent="0.2">
      <c r="A2044" s="12"/>
      <c r="I2044" s="12"/>
      <c r="K2044" s="12"/>
      <c r="M2044" s="12"/>
    </row>
    <row r="2045" spans="1:13" x14ac:dyDescent="0.2">
      <c r="A2045" s="12"/>
      <c r="I2045" s="12"/>
      <c r="K2045" s="12"/>
      <c r="M2045" s="12"/>
    </row>
    <row r="2046" spans="1:13" x14ac:dyDescent="0.2">
      <c r="A2046" s="12"/>
      <c r="I2046" s="12"/>
      <c r="K2046" s="12"/>
      <c r="M2046" s="12"/>
    </row>
    <row r="2047" spans="1:13" x14ac:dyDescent="0.2">
      <c r="A2047" s="12"/>
      <c r="I2047" s="12"/>
      <c r="K2047" s="12"/>
      <c r="M2047" s="12"/>
    </row>
    <row r="2048" spans="1:13" x14ac:dyDescent="0.2">
      <c r="A2048" s="12"/>
      <c r="I2048" s="12"/>
      <c r="K2048" s="12"/>
      <c r="M2048" s="12"/>
    </row>
    <row r="2049" spans="1:13" x14ac:dyDescent="0.2">
      <c r="A2049" s="12"/>
      <c r="I2049" s="12"/>
      <c r="K2049" s="12"/>
      <c r="M2049" s="12"/>
    </row>
    <row r="2050" spans="1:13" x14ac:dyDescent="0.2">
      <c r="A2050" s="12"/>
      <c r="I2050" s="12"/>
      <c r="K2050" s="12"/>
      <c r="M2050" s="12"/>
    </row>
    <row r="2051" spans="1:13" x14ac:dyDescent="0.2">
      <c r="A2051" s="12"/>
      <c r="I2051" s="12"/>
      <c r="K2051" s="12"/>
      <c r="M2051" s="12"/>
    </row>
    <row r="2052" spans="1:13" x14ac:dyDescent="0.2">
      <c r="A2052" s="12"/>
      <c r="I2052" s="12"/>
      <c r="K2052" s="12"/>
      <c r="M2052" s="12"/>
    </row>
    <row r="2053" spans="1:13" x14ac:dyDescent="0.2">
      <c r="A2053" s="12"/>
      <c r="I2053" s="12"/>
      <c r="K2053" s="12"/>
      <c r="M2053" s="12"/>
    </row>
    <row r="2054" spans="1:13" x14ac:dyDescent="0.2">
      <c r="A2054" s="12"/>
      <c r="I2054" s="12"/>
      <c r="K2054" s="12"/>
      <c r="M2054" s="12"/>
    </row>
    <row r="2055" spans="1:13" x14ac:dyDescent="0.2">
      <c r="A2055" s="12"/>
      <c r="I2055" s="12"/>
      <c r="K2055" s="12"/>
      <c r="M2055" s="12"/>
    </row>
    <row r="2056" spans="1:13" x14ac:dyDescent="0.2">
      <c r="A2056" s="12"/>
      <c r="I2056" s="12"/>
      <c r="K2056" s="12"/>
      <c r="M2056" s="12"/>
    </row>
    <row r="2057" spans="1:13" x14ac:dyDescent="0.2">
      <c r="A2057" s="12"/>
      <c r="I2057" s="12"/>
      <c r="K2057" s="12"/>
      <c r="M2057" s="12"/>
    </row>
    <row r="2058" spans="1:13" x14ac:dyDescent="0.2">
      <c r="A2058" s="12"/>
      <c r="I2058" s="12"/>
      <c r="K2058" s="12"/>
      <c r="M2058" s="12"/>
    </row>
    <row r="2059" spans="1:13" x14ac:dyDescent="0.2">
      <c r="A2059" s="12"/>
      <c r="I2059" s="12"/>
      <c r="K2059" s="12"/>
      <c r="M2059" s="12"/>
    </row>
    <row r="2060" spans="1:13" x14ac:dyDescent="0.2">
      <c r="A2060" s="12"/>
      <c r="I2060" s="12"/>
      <c r="K2060" s="12"/>
      <c r="M2060" s="12"/>
    </row>
    <row r="2061" spans="1:13" x14ac:dyDescent="0.2">
      <c r="A2061" s="12"/>
      <c r="I2061" s="12"/>
      <c r="K2061" s="12"/>
      <c r="M2061" s="12"/>
    </row>
    <row r="2062" spans="1:13" x14ac:dyDescent="0.2">
      <c r="A2062" s="12"/>
      <c r="I2062" s="12"/>
      <c r="K2062" s="12"/>
      <c r="M2062" s="12"/>
    </row>
    <row r="2063" spans="1:13" x14ac:dyDescent="0.2">
      <c r="A2063" s="12"/>
      <c r="I2063" s="12"/>
      <c r="K2063" s="12"/>
      <c r="M2063" s="12"/>
    </row>
    <row r="2064" spans="1:13" x14ac:dyDescent="0.2">
      <c r="A2064" s="12"/>
      <c r="I2064" s="12"/>
      <c r="K2064" s="12"/>
      <c r="M2064" s="12"/>
    </row>
    <row r="2065" spans="1:13" x14ac:dyDescent="0.2">
      <c r="A2065" s="12"/>
      <c r="I2065" s="12"/>
      <c r="K2065" s="12"/>
      <c r="M2065" s="12"/>
    </row>
    <row r="2066" spans="1:13" x14ac:dyDescent="0.2">
      <c r="A2066" s="12"/>
      <c r="I2066" s="12"/>
      <c r="K2066" s="12"/>
      <c r="M2066" s="12"/>
    </row>
    <row r="2067" spans="1:13" x14ac:dyDescent="0.2">
      <c r="A2067" s="12"/>
      <c r="I2067" s="12"/>
      <c r="K2067" s="12"/>
      <c r="M2067" s="12"/>
    </row>
    <row r="2068" spans="1:13" x14ac:dyDescent="0.2">
      <c r="A2068" s="12"/>
      <c r="I2068" s="12"/>
      <c r="K2068" s="12"/>
      <c r="M2068" s="12"/>
    </row>
    <row r="2069" spans="1:13" x14ac:dyDescent="0.2">
      <c r="A2069" s="12"/>
      <c r="I2069" s="12"/>
      <c r="K2069" s="12"/>
      <c r="M2069" s="12"/>
    </row>
    <row r="2070" spans="1:13" x14ac:dyDescent="0.2">
      <c r="A2070" s="12"/>
      <c r="I2070" s="12"/>
      <c r="K2070" s="12"/>
      <c r="M2070" s="12"/>
    </row>
    <row r="2071" spans="1:13" x14ac:dyDescent="0.2">
      <c r="A2071" s="12"/>
      <c r="I2071" s="12"/>
      <c r="K2071" s="12"/>
      <c r="M2071" s="12"/>
    </row>
    <row r="2072" spans="1:13" x14ac:dyDescent="0.2">
      <c r="A2072" s="12"/>
      <c r="I2072" s="12"/>
      <c r="K2072" s="12"/>
      <c r="M2072" s="12"/>
    </row>
    <row r="2073" spans="1:13" x14ac:dyDescent="0.2">
      <c r="A2073" s="12"/>
      <c r="I2073" s="12"/>
      <c r="K2073" s="12"/>
      <c r="M2073" s="12"/>
    </row>
    <row r="2074" spans="1:13" x14ac:dyDescent="0.2">
      <c r="A2074" s="12"/>
      <c r="I2074" s="12"/>
      <c r="K2074" s="12"/>
      <c r="M2074" s="12"/>
    </row>
    <row r="2075" spans="1:13" x14ac:dyDescent="0.2">
      <c r="A2075" s="12"/>
      <c r="I2075" s="12"/>
      <c r="K2075" s="12"/>
      <c r="M2075" s="12"/>
    </row>
    <row r="2076" spans="1:13" x14ac:dyDescent="0.2">
      <c r="A2076" s="12"/>
      <c r="I2076" s="12"/>
      <c r="K2076" s="12"/>
      <c r="M2076" s="12"/>
    </row>
    <row r="2077" spans="1:13" x14ac:dyDescent="0.2">
      <c r="A2077" s="12"/>
      <c r="I2077" s="12"/>
      <c r="K2077" s="12"/>
      <c r="M2077" s="12"/>
    </row>
    <row r="2078" spans="1:13" x14ac:dyDescent="0.2">
      <c r="A2078" s="12"/>
      <c r="I2078" s="12"/>
      <c r="K2078" s="12"/>
      <c r="M2078" s="12"/>
    </row>
    <row r="2079" spans="1:13" x14ac:dyDescent="0.2">
      <c r="A2079" s="12"/>
      <c r="I2079" s="12"/>
      <c r="K2079" s="12"/>
      <c r="M2079" s="12"/>
    </row>
    <row r="2080" spans="1:13" x14ac:dyDescent="0.2">
      <c r="A2080" s="12"/>
      <c r="I2080" s="12"/>
      <c r="K2080" s="12"/>
      <c r="M2080" s="12"/>
    </row>
    <row r="2081" spans="1:13" x14ac:dyDescent="0.2">
      <c r="A2081" s="12"/>
      <c r="I2081" s="12"/>
      <c r="K2081" s="12"/>
      <c r="M2081" s="12"/>
    </row>
    <row r="2082" spans="1:13" x14ac:dyDescent="0.2">
      <c r="A2082" s="12"/>
      <c r="I2082" s="12"/>
      <c r="K2082" s="12"/>
      <c r="M2082" s="12"/>
    </row>
    <row r="2083" spans="1:13" x14ac:dyDescent="0.2">
      <c r="A2083" s="12"/>
      <c r="I2083" s="12"/>
      <c r="K2083" s="12"/>
      <c r="M2083" s="12"/>
    </row>
    <row r="2084" spans="1:13" x14ac:dyDescent="0.2">
      <c r="A2084" s="12"/>
      <c r="I2084" s="12"/>
      <c r="K2084" s="12"/>
      <c r="M2084" s="12"/>
    </row>
    <row r="2085" spans="1:13" x14ac:dyDescent="0.2">
      <c r="A2085" s="12"/>
      <c r="I2085" s="12"/>
      <c r="K2085" s="12"/>
      <c r="M2085" s="12"/>
    </row>
    <row r="2086" spans="1:13" x14ac:dyDescent="0.2">
      <c r="A2086" s="12"/>
      <c r="I2086" s="12"/>
      <c r="K2086" s="12"/>
      <c r="M2086" s="12"/>
    </row>
    <row r="2087" spans="1:13" x14ac:dyDescent="0.2">
      <c r="A2087" s="12"/>
      <c r="I2087" s="12"/>
      <c r="K2087" s="12"/>
      <c r="M2087" s="12"/>
    </row>
    <row r="2088" spans="1:13" x14ac:dyDescent="0.2">
      <c r="A2088" s="12"/>
      <c r="I2088" s="12"/>
      <c r="K2088" s="12"/>
      <c r="M2088" s="12"/>
    </row>
    <row r="2089" spans="1:13" x14ac:dyDescent="0.2">
      <c r="A2089" s="12"/>
      <c r="I2089" s="12"/>
      <c r="K2089" s="12"/>
      <c r="M2089" s="12"/>
    </row>
    <row r="2090" spans="1:13" x14ac:dyDescent="0.2">
      <c r="A2090" s="12"/>
      <c r="I2090" s="12"/>
      <c r="K2090" s="12"/>
      <c r="M2090" s="12"/>
    </row>
    <row r="2091" spans="1:13" x14ac:dyDescent="0.2">
      <c r="A2091" s="12"/>
      <c r="I2091" s="12"/>
      <c r="K2091" s="12"/>
      <c r="M2091" s="12"/>
    </row>
    <row r="2092" spans="1:13" x14ac:dyDescent="0.2">
      <c r="A2092" s="12"/>
      <c r="I2092" s="12"/>
      <c r="K2092" s="12"/>
      <c r="M2092" s="12"/>
    </row>
    <row r="2093" spans="1:13" x14ac:dyDescent="0.2">
      <c r="A2093" s="12"/>
      <c r="I2093" s="12"/>
      <c r="K2093" s="12"/>
      <c r="M2093" s="12"/>
    </row>
    <row r="2094" spans="1:13" x14ac:dyDescent="0.2">
      <c r="A2094" s="12"/>
      <c r="I2094" s="12"/>
      <c r="K2094" s="12"/>
      <c r="M2094" s="12"/>
    </row>
    <row r="2095" spans="1:13" x14ac:dyDescent="0.2">
      <c r="A2095" s="12"/>
      <c r="I2095" s="12"/>
      <c r="K2095" s="12"/>
      <c r="M2095" s="12"/>
    </row>
    <row r="2096" spans="1:13" x14ac:dyDescent="0.2">
      <c r="A2096" s="12"/>
      <c r="I2096" s="12"/>
      <c r="K2096" s="12"/>
      <c r="M2096" s="12"/>
    </row>
    <row r="2097" spans="1:13" x14ac:dyDescent="0.2">
      <c r="A2097" s="12"/>
      <c r="I2097" s="12"/>
      <c r="K2097" s="12"/>
      <c r="M2097" s="12"/>
    </row>
    <row r="2098" spans="1:13" x14ac:dyDescent="0.2">
      <c r="A2098" s="12"/>
      <c r="I2098" s="12"/>
      <c r="K2098" s="12"/>
      <c r="M2098" s="12"/>
    </row>
    <row r="2099" spans="1:13" x14ac:dyDescent="0.2">
      <c r="A2099" s="12"/>
      <c r="I2099" s="12"/>
      <c r="K2099" s="12"/>
      <c r="M2099" s="12"/>
    </row>
    <row r="2100" spans="1:13" x14ac:dyDescent="0.2">
      <c r="A2100" s="12"/>
      <c r="I2100" s="12"/>
      <c r="K2100" s="12"/>
      <c r="M2100" s="12"/>
    </row>
    <row r="2101" spans="1:13" x14ac:dyDescent="0.2">
      <c r="A2101" s="12"/>
      <c r="I2101" s="12"/>
      <c r="K2101" s="12"/>
      <c r="M2101" s="12"/>
    </row>
    <row r="2102" spans="1:13" x14ac:dyDescent="0.2">
      <c r="A2102" s="12"/>
      <c r="I2102" s="12"/>
      <c r="K2102" s="12"/>
      <c r="M2102" s="12"/>
    </row>
    <row r="2103" spans="1:13" x14ac:dyDescent="0.2">
      <c r="A2103" s="12"/>
      <c r="I2103" s="12"/>
      <c r="K2103" s="12"/>
      <c r="M2103" s="12"/>
    </row>
    <row r="2104" spans="1:13" x14ac:dyDescent="0.2">
      <c r="A2104" s="12"/>
      <c r="I2104" s="12"/>
      <c r="K2104" s="12"/>
      <c r="M2104" s="12"/>
    </row>
    <row r="2105" spans="1:13" x14ac:dyDescent="0.2">
      <c r="A2105" s="12"/>
      <c r="I2105" s="12"/>
      <c r="K2105" s="12"/>
      <c r="M2105" s="12"/>
    </row>
    <row r="2106" spans="1:13" x14ac:dyDescent="0.2">
      <c r="A2106" s="12"/>
      <c r="I2106" s="12"/>
      <c r="K2106" s="12"/>
      <c r="M2106" s="12"/>
    </row>
    <row r="2107" spans="1:13" x14ac:dyDescent="0.2">
      <c r="A2107" s="12"/>
      <c r="I2107" s="12"/>
      <c r="K2107" s="12"/>
      <c r="M2107" s="12"/>
    </row>
    <row r="2108" spans="1:13" x14ac:dyDescent="0.2">
      <c r="A2108" s="12"/>
      <c r="I2108" s="12"/>
      <c r="K2108" s="12"/>
      <c r="M2108" s="12"/>
    </row>
    <row r="2109" spans="1:13" x14ac:dyDescent="0.2">
      <c r="A2109" s="12"/>
      <c r="I2109" s="12"/>
      <c r="K2109" s="12"/>
      <c r="M2109" s="12"/>
    </row>
    <row r="2110" spans="1:13" x14ac:dyDescent="0.2">
      <c r="A2110" s="12"/>
      <c r="I2110" s="12"/>
      <c r="K2110" s="12"/>
      <c r="M2110" s="12"/>
    </row>
    <row r="2111" spans="1:13" x14ac:dyDescent="0.2">
      <c r="A2111" s="12"/>
      <c r="I2111" s="12"/>
      <c r="K2111" s="12"/>
      <c r="M2111" s="12"/>
    </row>
    <row r="2112" spans="1:13" x14ac:dyDescent="0.2">
      <c r="A2112" s="12"/>
      <c r="I2112" s="12"/>
      <c r="K2112" s="12"/>
      <c r="M2112" s="12"/>
    </row>
    <row r="2113" spans="1:13" x14ac:dyDescent="0.2">
      <c r="A2113" s="12"/>
      <c r="I2113" s="12"/>
      <c r="K2113" s="12"/>
      <c r="M2113" s="12"/>
    </row>
    <row r="2114" spans="1:13" x14ac:dyDescent="0.2">
      <c r="A2114" s="12"/>
      <c r="I2114" s="12"/>
      <c r="K2114" s="12"/>
      <c r="M2114" s="12"/>
    </row>
    <row r="2115" spans="1:13" x14ac:dyDescent="0.2">
      <c r="A2115" s="12"/>
      <c r="I2115" s="12"/>
      <c r="K2115" s="12"/>
      <c r="M2115" s="12"/>
    </row>
    <row r="2116" spans="1:13" x14ac:dyDescent="0.2">
      <c r="A2116" s="12"/>
      <c r="I2116" s="12"/>
      <c r="K2116" s="12"/>
      <c r="M2116" s="12"/>
    </row>
    <row r="2117" spans="1:13" x14ac:dyDescent="0.2">
      <c r="A2117" s="12"/>
      <c r="I2117" s="12"/>
      <c r="K2117" s="12"/>
      <c r="M2117" s="12"/>
    </row>
    <row r="2118" spans="1:13" x14ac:dyDescent="0.2">
      <c r="A2118" s="12"/>
      <c r="I2118" s="12"/>
      <c r="K2118" s="12"/>
      <c r="M2118" s="12"/>
    </row>
    <row r="2119" spans="1:13" x14ac:dyDescent="0.2">
      <c r="A2119" s="12"/>
      <c r="I2119" s="12"/>
      <c r="K2119" s="12"/>
      <c r="M2119" s="12"/>
    </row>
    <row r="2120" spans="1:13" x14ac:dyDescent="0.2">
      <c r="A2120" s="12"/>
      <c r="I2120" s="12"/>
      <c r="K2120" s="12"/>
      <c r="M2120" s="12"/>
    </row>
    <row r="2121" spans="1:13" x14ac:dyDescent="0.2">
      <c r="A2121" s="12"/>
      <c r="I2121" s="12"/>
      <c r="K2121" s="12"/>
      <c r="M2121" s="12"/>
    </row>
    <row r="2122" spans="1:13" x14ac:dyDescent="0.2">
      <c r="A2122" s="12"/>
      <c r="I2122" s="12"/>
      <c r="K2122" s="12"/>
      <c r="M2122" s="12"/>
    </row>
    <row r="2123" spans="1:13" x14ac:dyDescent="0.2">
      <c r="A2123" s="12"/>
      <c r="I2123" s="12"/>
      <c r="K2123" s="12"/>
      <c r="M2123" s="12"/>
    </row>
    <row r="2124" spans="1:13" x14ac:dyDescent="0.2">
      <c r="A2124" s="12"/>
      <c r="I2124" s="12"/>
      <c r="K2124" s="12"/>
      <c r="M2124" s="12"/>
    </row>
    <row r="2125" spans="1:13" x14ac:dyDescent="0.2">
      <c r="A2125" s="12"/>
      <c r="I2125" s="12"/>
      <c r="K2125" s="12"/>
      <c r="M2125" s="12"/>
    </row>
    <row r="2126" spans="1:13" x14ac:dyDescent="0.2">
      <c r="A2126" s="12"/>
      <c r="I2126" s="12"/>
      <c r="K2126" s="12"/>
      <c r="M2126" s="12"/>
    </row>
    <row r="2127" spans="1:13" x14ac:dyDescent="0.2">
      <c r="A2127" s="12"/>
      <c r="I2127" s="12"/>
      <c r="K2127" s="12"/>
      <c r="M2127" s="12"/>
    </row>
    <row r="2128" spans="1:13" x14ac:dyDescent="0.2">
      <c r="A2128" s="12"/>
      <c r="I2128" s="12"/>
      <c r="K2128" s="12"/>
      <c r="M2128" s="12"/>
    </row>
    <row r="2129" spans="1:13" x14ac:dyDescent="0.2">
      <c r="A2129" s="12"/>
      <c r="I2129" s="12"/>
      <c r="K2129" s="12"/>
      <c r="M2129" s="12"/>
    </row>
    <row r="2130" spans="1:13" x14ac:dyDescent="0.2">
      <c r="A2130" s="12"/>
      <c r="I2130" s="12"/>
      <c r="K2130" s="12"/>
      <c r="M2130" s="12"/>
    </row>
    <row r="2131" spans="1:13" x14ac:dyDescent="0.2">
      <c r="A2131" s="12"/>
      <c r="I2131" s="12"/>
      <c r="K2131" s="12"/>
      <c r="M2131" s="12"/>
    </row>
    <row r="2132" spans="1:13" x14ac:dyDescent="0.2">
      <c r="A2132" s="12"/>
      <c r="I2132" s="12"/>
      <c r="K2132" s="12"/>
      <c r="M2132" s="12"/>
    </row>
    <row r="2133" spans="1:13" x14ac:dyDescent="0.2">
      <c r="A2133" s="12"/>
      <c r="I2133" s="12"/>
      <c r="K2133" s="12"/>
      <c r="M2133" s="12"/>
    </row>
    <row r="2134" spans="1:13" x14ac:dyDescent="0.2">
      <c r="A2134" s="12"/>
      <c r="I2134" s="12"/>
      <c r="K2134" s="12"/>
      <c r="M2134" s="12"/>
    </row>
    <row r="2135" spans="1:13" x14ac:dyDescent="0.2">
      <c r="A2135" s="12"/>
      <c r="I2135" s="12"/>
      <c r="K2135" s="12"/>
      <c r="M2135" s="12"/>
    </row>
    <row r="2136" spans="1:13" x14ac:dyDescent="0.2">
      <c r="A2136" s="12"/>
      <c r="I2136" s="12"/>
      <c r="K2136" s="12"/>
      <c r="M2136" s="12"/>
    </row>
    <row r="2137" spans="1:13" x14ac:dyDescent="0.2">
      <c r="A2137" s="12"/>
      <c r="I2137" s="12"/>
      <c r="K2137" s="12"/>
      <c r="M2137" s="12"/>
    </row>
    <row r="2138" spans="1:13" x14ac:dyDescent="0.2">
      <c r="A2138" s="12"/>
      <c r="I2138" s="12"/>
      <c r="K2138" s="12"/>
      <c r="M2138" s="12"/>
    </row>
    <row r="2139" spans="1:13" x14ac:dyDescent="0.2">
      <c r="A2139" s="12"/>
      <c r="I2139" s="12"/>
      <c r="K2139" s="12"/>
      <c r="M2139" s="12"/>
    </row>
    <row r="2140" spans="1:13" x14ac:dyDescent="0.2">
      <c r="A2140" s="12"/>
      <c r="I2140" s="12"/>
      <c r="K2140" s="12"/>
      <c r="M2140" s="12"/>
    </row>
    <row r="2141" spans="1:13" x14ac:dyDescent="0.2">
      <c r="A2141" s="12"/>
      <c r="I2141" s="12"/>
      <c r="K2141" s="12"/>
      <c r="M2141" s="12"/>
    </row>
    <row r="2142" spans="1:13" x14ac:dyDescent="0.2">
      <c r="A2142" s="12"/>
      <c r="I2142" s="12"/>
      <c r="K2142" s="12"/>
      <c r="M2142" s="12"/>
    </row>
    <row r="2143" spans="1:13" x14ac:dyDescent="0.2">
      <c r="A2143" s="12"/>
      <c r="I2143" s="12"/>
      <c r="K2143" s="12"/>
      <c r="M2143" s="12"/>
    </row>
    <row r="2144" spans="1:13" x14ac:dyDescent="0.2">
      <c r="A2144" s="12"/>
      <c r="I2144" s="12"/>
      <c r="K2144" s="12"/>
      <c r="M2144" s="12"/>
    </row>
    <row r="2145" spans="1:13" x14ac:dyDescent="0.2">
      <c r="A2145" s="12"/>
      <c r="I2145" s="12"/>
      <c r="K2145" s="12"/>
      <c r="M2145" s="12"/>
    </row>
    <row r="2146" spans="1:13" x14ac:dyDescent="0.2">
      <c r="A2146" s="12"/>
      <c r="I2146" s="12"/>
      <c r="K2146" s="12"/>
      <c r="M2146" s="12"/>
    </row>
    <row r="2147" spans="1:13" x14ac:dyDescent="0.2">
      <c r="A2147" s="12"/>
      <c r="I2147" s="12"/>
      <c r="K2147" s="12"/>
      <c r="M2147" s="12"/>
    </row>
    <row r="2148" spans="1:13" x14ac:dyDescent="0.2">
      <c r="A2148" s="12"/>
      <c r="I2148" s="12"/>
      <c r="K2148" s="12"/>
      <c r="M2148" s="12"/>
    </row>
    <row r="2149" spans="1:13" x14ac:dyDescent="0.2">
      <c r="A2149" s="12"/>
      <c r="I2149" s="12"/>
      <c r="K2149" s="12"/>
      <c r="M2149" s="12"/>
    </row>
    <row r="2150" spans="1:13" x14ac:dyDescent="0.2">
      <c r="A2150" s="12"/>
      <c r="I2150" s="12"/>
      <c r="K2150" s="12"/>
      <c r="M2150" s="12"/>
    </row>
    <row r="2151" spans="1:13" x14ac:dyDescent="0.2">
      <c r="A2151" s="12"/>
      <c r="I2151" s="12"/>
      <c r="K2151" s="12"/>
      <c r="M2151" s="12"/>
    </row>
    <row r="2152" spans="1:13" x14ac:dyDescent="0.2">
      <c r="A2152" s="12"/>
      <c r="I2152" s="12"/>
      <c r="K2152" s="12"/>
      <c r="M2152" s="12"/>
    </row>
    <row r="2153" spans="1:13" x14ac:dyDescent="0.2">
      <c r="A2153" s="12"/>
      <c r="I2153" s="12"/>
      <c r="K2153" s="12"/>
      <c r="M2153" s="12"/>
    </row>
    <row r="2154" spans="1:13" x14ac:dyDescent="0.2">
      <c r="A2154" s="12"/>
      <c r="I2154" s="12"/>
      <c r="K2154" s="12"/>
      <c r="M2154" s="12"/>
    </row>
    <row r="2155" spans="1:13" x14ac:dyDescent="0.2">
      <c r="A2155" s="12"/>
      <c r="I2155" s="12"/>
      <c r="K2155" s="12"/>
      <c r="M2155" s="12"/>
    </row>
    <row r="2156" spans="1:13" x14ac:dyDescent="0.2">
      <c r="A2156" s="12"/>
      <c r="I2156" s="12"/>
      <c r="K2156" s="12"/>
      <c r="M2156" s="12"/>
    </row>
    <row r="2157" spans="1:13" x14ac:dyDescent="0.2">
      <c r="A2157" s="12"/>
      <c r="I2157" s="12"/>
      <c r="K2157" s="12"/>
      <c r="M2157" s="12"/>
    </row>
    <row r="2158" spans="1:13" x14ac:dyDescent="0.2">
      <c r="A2158" s="12"/>
      <c r="I2158" s="12"/>
      <c r="K2158" s="12"/>
      <c r="M2158" s="12"/>
    </row>
    <row r="2159" spans="1:13" x14ac:dyDescent="0.2">
      <c r="A2159" s="12"/>
      <c r="I2159" s="12"/>
      <c r="K2159" s="12"/>
      <c r="M2159" s="12"/>
    </row>
    <row r="2160" spans="1:13" x14ac:dyDescent="0.2">
      <c r="A2160" s="12"/>
      <c r="I2160" s="12"/>
      <c r="K2160" s="12"/>
      <c r="M2160" s="12"/>
    </row>
    <row r="2161" spans="1:13" x14ac:dyDescent="0.2">
      <c r="A2161" s="12"/>
      <c r="I2161" s="12"/>
      <c r="K2161" s="12"/>
      <c r="M2161" s="12"/>
    </row>
    <row r="2162" spans="1:13" x14ac:dyDescent="0.2">
      <c r="A2162" s="12"/>
      <c r="I2162" s="12"/>
      <c r="K2162" s="12"/>
      <c r="M2162" s="12"/>
    </row>
    <row r="2163" spans="1:13" x14ac:dyDescent="0.2">
      <c r="A2163" s="12"/>
      <c r="I2163" s="12"/>
      <c r="K2163" s="12"/>
      <c r="M2163" s="12"/>
    </row>
    <row r="2164" spans="1:13" x14ac:dyDescent="0.2">
      <c r="A2164" s="12"/>
      <c r="I2164" s="12"/>
      <c r="K2164" s="12"/>
      <c r="M2164" s="12"/>
    </row>
    <row r="2165" spans="1:13" x14ac:dyDescent="0.2">
      <c r="A2165" s="12"/>
      <c r="I2165" s="12"/>
      <c r="K2165" s="12"/>
      <c r="M2165" s="12"/>
    </row>
    <row r="2166" spans="1:13" x14ac:dyDescent="0.2">
      <c r="A2166" s="12"/>
      <c r="I2166" s="12"/>
      <c r="K2166" s="12"/>
      <c r="M2166" s="12"/>
    </row>
    <row r="2167" spans="1:13" x14ac:dyDescent="0.2">
      <c r="A2167" s="12"/>
      <c r="I2167" s="12"/>
      <c r="K2167" s="12"/>
      <c r="M2167" s="12"/>
    </row>
    <row r="2168" spans="1:13" x14ac:dyDescent="0.2">
      <c r="A2168" s="12"/>
      <c r="I2168" s="12"/>
      <c r="K2168" s="12"/>
      <c r="M2168" s="12"/>
    </row>
    <row r="2169" spans="1:13" x14ac:dyDescent="0.2">
      <c r="A2169" s="12"/>
      <c r="I2169" s="12"/>
      <c r="K2169" s="12"/>
      <c r="M2169" s="12"/>
    </row>
    <row r="2170" spans="1:13" x14ac:dyDescent="0.2">
      <c r="A2170" s="12"/>
      <c r="I2170" s="12"/>
      <c r="K2170" s="12"/>
      <c r="M2170" s="12"/>
    </row>
    <row r="2171" spans="1:13" x14ac:dyDescent="0.2">
      <c r="A2171" s="12"/>
      <c r="I2171" s="12"/>
      <c r="K2171" s="12"/>
      <c r="M2171" s="12"/>
    </row>
    <row r="2172" spans="1:13" x14ac:dyDescent="0.2">
      <c r="A2172" s="12"/>
      <c r="I2172" s="12"/>
      <c r="K2172" s="12"/>
      <c r="M2172" s="12"/>
    </row>
    <row r="2173" spans="1:13" x14ac:dyDescent="0.2">
      <c r="A2173" s="12"/>
      <c r="I2173" s="12"/>
      <c r="K2173" s="12"/>
      <c r="M2173" s="12"/>
    </row>
    <row r="2174" spans="1:13" x14ac:dyDescent="0.2">
      <c r="A2174" s="12"/>
      <c r="I2174" s="12"/>
      <c r="K2174" s="12"/>
      <c r="M2174" s="12"/>
    </row>
    <row r="2175" spans="1:13" x14ac:dyDescent="0.2">
      <c r="A2175" s="12"/>
      <c r="I2175" s="12"/>
      <c r="K2175" s="12"/>
      <c r="M2175" s="12"/>
    </row>
    <row r="2176" spans="1:13" x14ac:dyDescent="0.2">
      <c r="A2176" s="12"/>
      <c r="I2176" s="12"/>
      <c r="K2176" s="12"/>
      <c r="M2176" s="12"/>
    </row>
    <row r="2177" spans="1:13" x14ac:dyDescent="0.2">
      <c r="A2177" s="12"/>
      <c r="I2177" s="12"/>
      <c r="K2177" s="12"/>
      <c r="M2177" s="12"/>
    </row>
    <row r="2178" spans="1:13" x14ac:dyDescent="0.2">
      <c r="A2178" s="12"/>
      <c r="I2178" s="12"/>
      <c r="K2178" s="12"/>
      <c r="M2178" s="12"/>
    </row>
    <row r="2179" spans="1:13" x14ac:dyDescent="0.2">
      <c r="A2179" s="12"/>
      <c r="I2179" s="12"/>
      <c r="K2179" s="12"/>
      <c r="M2179" s="12"/>
    </row>
    <row r="2180" spans="1:13" x14ac:dyDescent="0.2">
      <c r="A2180" s="12"/>
      <c r="I2180" s="12"/>
      <c r="K2180" s="12"/>
      <c r="M2180" s="12"/>
    </row>
    <row r="2181" spans="1:13" x14ac:dyDescent="0.2">
      <c r="A2181" s="12"/>
      <c r="I2181" s="12"/>
      <c r="K2181" s="12"/>
      <c r="M2181" s="12"/>
    </row>
    <row r="2182" spans="1:13" x14ac:dyDescent="0.2">
      <c r="A2182" s="12"/>
      <c r="I2182" s="12"/>
      <c r="K2182" s="12"/>
      <c r="M2182" s="12"/>
    </row>
    <row r="2183" spans="1:13" x14ac:dyDescent="0.2">
      <c r="A2183" s="12"/>
      <c r="I2183" s="12"/>
      <c r="K2183" s="12"/>
      <c r="M2183" s="12"/>
    </row>
    <row r="2184" spans="1:13" x14ac:dyDescent="0.2">
      <c r="A2184" s="12"/>
      <c r="I2184" s="12"/>
      <c r="K2184" s="12"/>
      <c r="M2184" s="12"/>
    </row>
    <row r="2185" spans="1:13" x14ac:dyDescent="0.2">
      <c r="A2185" s="12"/>
      <c r="I2185" s="12"/>
      <c r="K2185" s="12"/>
      <c r="M2185" s="12"/>
    </row>
    <row r="2186" spans="1:13" x14ac:dyDescent="0.2">
      <c r="A2186" s="12"/>
      <c r="I2186" s="12"/>
      <c r="K2186" s="12"/>
      <c r="M2186" s="12"/>
    </row>
    <row r="2187" spans="1:13" x14ac:dyDescent="0.2">
      <c r="A2187" s="12"/>
      <c r="I2187" s="12"/>
      <c r="K2187" s="12"/>
      <c r="M2187" s="12"/>
    </row>
    <row r="2188" spans="1:13" x14ac:dyDescent="0.2">
      <c r="A2188" s="12"/>
      <c r="I2188" s="12"/>
      <c r="K2188" s="12"/>
      <c r="M2188" s="12"/>
    </row>
    <row r="2189" spans="1:13" x14ac:dyDescent="0.2">
      <c r="A2189" s="12"/>
      <c r="I2189" s="12"/>
      <c r="K2189" s="12"/>
      <c r="M2189" s="12"/>
    </row>
    <row r="2190" spans="1:13" x14ac:dyDescent="0.2">
      <c r="A2190" s="12"/>
      <c r="I2190" s="12"/>
      <c r="K2190" s="12"/>
      <c r="M2190" s="12"/>
    </row>
    <row r="2191" spans="1:13" x14ac:dyDescent="0.2">
      <c r="A2191" s="12"/>
      <c r="I2191" s="12"/>
      <c r="K2191" s="12"/>
      <c r="M2191" s="12"/>
    </row>
    <row r="2192" spans="1:13" x14ac:dyDescent="0.2">
      <c r="A2192" s="12"/>
      <c r="I2192" s="12"/>
      <c r="K2192" s="12"/>
      <c r="M2192" s="12"/>
    </row>
    <row r="2193" spans="1:13" x14ac:dyDescent="0.2">
      <c r="A2193" s="12"/>
      <c r="I2193" s="12"/>
      <c r="K2193" s="12"/>
      <c r="M2193" s="12"/>
    </row>
    <row r="2194" spans="1:13" x14ac:dyDescent="0.2">
      <c r="A2194" s="12"/>
      <c r="I2194" s="12"/>
      <c r="K2194" s="12"/>
      <c r="M2194" s="12"/>
    </row>
    <row r="2195" spans="1:13" x14ac:dyDescent="0.2">
      <c r="A2195" s="12"/>
      <c r="I2195" s="12"/>
      <c r="K2195" s="12"/>
      <c r="M2195" s="12"/>
    </row>
    <row r="2196" spans="1:13" x14ac:dyDescent="0.2">
      <c r="A2196" s="12"/>
      <c r="I2196" s="12"/>
      <c r="K2196" s="12"/>
      <c r="M2196" s="12"/>
    </row>
    <row r="2197" spans="1:13" x14ac:dyDescent="0.2">
      <c r="A2197" s="12"/>
      <c r="I2197" s="12"/>
      <c r="K2197" s="12"/>
      <c r="M2197" s="12"/>
    </row>
    <row r="2198" spans="1:13" x14ac:dyDescent="0.2">
      <c r="A2198" s="12"/>
      <c r="I2198" s="12"/>
      <c r="K2198" s="12"/>
      <c r="M2198" s="12"/>
    </row>
    <row r="2199" spans="1:13" x14ac:dyDescent="0.2">
      <c r="A2199" s="12"/>
      <c r="I2199" s="12"/>
      <c r="K2199" s="12"/>
      <c r="M2199" s="12"/>
    </row>
    <row r="2200" spans="1:13" x14ac:dyDescent="0.2">
      <c r="A2200" s="12"/>
      <c r="I2200" s="12"/>
      <c r="K2200" s="12"/>
      <c r="M2200" s="12"/>
    </row>
    <row r="2201" spans="1:13" x14ac:dyDescent="0.2">
      <c r="A2201" s="12"/>
      <c r="I2201" s="12"/>
      <c r="K2201" s="12"/>
      <c r="M2201" s="12"/>
    </row>
    <row r="2202" spans="1:13" x14ac:dyDescent="0.2">
      <c r="A2202" s="12"/>
      <c r="I2202" s="12"/>
      <c r="K2202" s="12"/>
      <c r="M2202" s="12"/>
    </row>
    <row r="2203" spans="1:13" x14ac:dyDescent="0.2">
      <c r="A2203" s="12"/>
      <c r="I2203" s="12"/>
      <c r="K2203" s="12"/>
      <c r="M2203" s="12"/>
    </row>
    <row r="2204" spans="1:13" x14ac:dyDescent="0.2">
      <c r="A2204" s="12"/>
      <c r="I2204" s="12"/>
      <c r="K2204" s="12"/>
      <c r="M2204" s="12"/>
    </row>
    <row r="2205" spans="1:13" x14ac:dyDescent="0.2">
      <c r="A2205" s="12"/>
      <c r="I2205" s="12"/>
      <c r="K2205" s="12"/>
      <c r="M2205" s="12"/>
    </row>
    <row r="2206" spans="1:13" x14ac:dyDescent="0.2">
      <c r="A2206" s="12"/>
      <c r="I2206" s="12"/>
      <c r="K2206" s="12"/>
      <c r="M2206" s="12"/>
    </row>
    <row r="2207" spans="1:13" x14ac:dyDescent="0.2">
      <c r="A2207" s="12"/>
      <c r="I2207" s="12"/>
      <c r="K2207" s="12"/>
      <c r="M2207" s="12"/>
    </row>
    <row r="2208" spans="1:13" x14ac:dyDescent="0.2">
      <c r="A2208" s="12"/>
      <c r="I2208" s="12"/>
      <c r="K2208" s="12"/>
      <c r="M2208" s="12"/>
    </row>
    <row r="2209" spans="1:13" x14ac:dyDescent="0.2">
      <c r="A2209" s="12"/>
      <c r="I2209" s="12"/>
      <c r="K2209" s="12"/>
      <c r="M2209" s="12"/>
    </row>
    <row r="2210" spans="1:13" x14ac:dyDescent="0.2">
      <c r="A2210" s="12"/>
      <c r="I2210" s="12"/>
      <c r="K2210" s="12"/>
      <c r="M2210" s="12"/>
    </row>
    <row r="2211" spans="1:13" x14ac:dyDescent="0.2">
      <c r="A2211" s="12"/>
      <c r="I2211" s="12"/>
      <c r="K2211" s="12"/>
      <c r="M2211" s="12"/>
    </row>
    <row r="2212" spans="1:13" x14ac:dyDescent="0.2">
      <c r="A2212" s="12"/>
      <c r="I2212" s="12"/>
      <c r="K2212" s="12"/>
      <c r="M2212" s="12"/>
    </row>
    <row r="2213" spans="1:13" x14ac:dyDescent="0.2">
      <c r="A2213" s="12"/>
      <c r="I2213" s="12"/>
      <c r="K2213" s="12"/>
      <c r="M2213" s="12"/>
    </row>
    <row r="2214" spans="1:13" x14ac:dyDescent="0.2">
      <c r="A2214" s="12"/>
      <c r="I2214" s="12"/>
      <c r="K2214" s="12"/>
      <c r="M2214" s="12"/>
    </row>
    <row r="2215" spans="1:13" x14ac:dyDescent="0.2">
      <c r="A2215" s="12"/>
      <c r="I2215" s="12"/>
      <c r="K2215" s="12"/>
      <c r="M2215" s="12"/>
    </row>
    <row r="2216" spans="1:13" x14ac:dyDescent="0.2">
      <c r="A2216" s="12"/>
      <c r="I2216" s="12"/>
      <c r="K2216" s="12"/>
      <c r="M2216" s="12"/>
    </row>
    <row r="2217" spans="1:13" x14ac:dyDescent="0.2">
      <c r="A2217" s="12"/>
      <c r="I2217" s="12"/>
      <c r="K2217" s="12"/>
      <c r="M2217" s="12"/>
    </row>
    <row r="2218" spans="1:13" x14ac:dyDescent="0.2">
      <c r="A2218" s="12"/>
      <c r="I2218" s="12"/>
      <c r="K2218" s="12"/>
      <c r="M2218" s="12"/>
    </row>
    <row r="2219" spans="1:13" x14ac:dyDescent="0.2">
      <c r="A2219" s="12"/>
      <c r="I2219" s="12"/>
      <c r="K2219" s="12"/>
      <c r="M2219" s="12"/>
    </row>
    <row r="2220" spans="1:13" x14ac:dyDescent="0.2">
      <c r="A2220" s="12"/>
      <c r="I2220" s="12"/>
      <c r="K2220" s="12"/>
      <c r="M2220" s="12"/>
    </row>
    <row r="2221" spans="1:13" x14ac:dyDescent="0.2">
      <c r="A2221" s="12"/>
      <c r="I2221" s="12"/>
      <c r="K2221" s="12"/>
      <c r="M2221" s="12"/>
    </row>
    <row r="2222" spans="1:13" x14ac:dyDescent="0.2">
      <c r="A2222" s="12"/>
      <c r="I2222" s="12"/>
      <c r="K2222" s="12"/>
      <c r="M2222" s="12"/>
    </row>
    <row r="2223" spans="1:13" x14ac:dyDescent="0.2">
      <c r="A2223" s="12"/>
      <c r="I2223" s="12"/>
      <c r="K2223" s="12"/>
      <c r="M2223" s="12"/>
    </row>
    <row r="2224" spans="1:13" x14ac:dyDescent="0.2">
      <c r="A2224" s="12"/>
      <c r="I2224" s="12"/>
      <c r="K2224" s="12"/>
      <c r="M2224" s="12"/>
    </row>
    <row r="2225" spans="1:13" x14ac:dyDescent="0.2">
      <c r="A2225" s="12"/>
      <c r="I2225" s="12"/>
      <c r="K2225" s="12"/>
      <c r="M2225" s="12"/>
    </row>
    <row r="2226" spans="1:13" x14ac:dyDescent="0.2">
      <c r="A2226" s="12"/>
      <c r="I2226" s="12"/>
      <c r="K2226" s="12"/>
      <c r="M2226" s="12"/>
    </row>
    <row r="2227" spans="1:13" x14ac:dyDescent="0.2">
      <c r="A2227" s="12"/>
      <c r="I2227" s="12"/>
      <c r="K2227" s="12"/>
      <c r="M2227" s="12"/>
    </row>
    <row r="2228" spans="1:13" x14ac:dyDescent="0.2">
      <c r="A2228" s="12"/>
      <c r="I2228" s="12"/>
      <c r="K2228" s="12"/>
      <c r="M2228" s="12"/>
    </row>
    <row r="2229" spans="1:13" x14ac:dyDescent="0.2">
      <c r="A2229" s="12"/>
      <c r="I2229" s="12"/>
      <c r="K2229" s="12"/>
      <c r="M2229" s="12"/>
    </row>
    <row r="2230" spans="1:13" x14ac:dyDescent="0.2">
      <c r="A2230" s="12"/>
      <c r="I2230" s="12"/>
      <c r="K2230" s="12"/>
      <c r="M2230" s="12"/>
    </row>
    <row r="2231" spans="1:13" x14ac:dyDescent="0.2">
      <c r="A2231" s="12"/>
      <c r="I2231" s="12"/>
      <c r="K2231" s="12"/>
      <c r="M2231" s="12"/>
    </row>
    <row r="2232" spans="1:13" x14ac:dyDescent="0.2">
      <c r="A2232" s="12"/>
      <c r="I2232" s="12"/>
      <c r="K2232" s="12"/>
      <c r="M2232" s="12"/>
    </row>
    <row r="2233" spans="1:13" x14ac:dyDescent="0.2">
      <c r="A2233" s="12"/>
      <c r="I2233" s="12"/>
      <c r="K2233" s="12"/>
      <c r="M2233" s="12"/>
    </row>
    <row r="2234" spans="1:13" x14ac:dyDescent="0.2">
      <c r="A2234" s="12"/>
      <c r="I2234" s="12"/>
      <c r="K2234" s="12"/>
      <c r="M2234" s="12"/>
    </row>
    <row r="2235" spans="1:13" x14ac:dyDescent="0.2">
      <c r="A2235" s="12"/>
      <c r="I2235" s="12"/>
      <c r="K2235" s="12"/>
      <c r="M2235" s="12"/>
    </row>
    <row r="2236" spans="1:13" x14ac:dyDescent="0.2">
      <c r="A2236" s="12"/>
      <c r="I2236" s="12"/>
      <c r="K2236" s="12"/>
      <c r="M2236" s="12"/>
    </row>
    <row r="2237" spans="1:13" x14ac:dyDescent="0.2">
      <c r="A2237" s="12"/>
      <c r="I2237" s="12"/>
      <c r="K2237" s="12"/>
      <c r="M2237" s="12"/>
    </row>
    <row r="2238" spans="1:13" x14ac:dyDescent="0.2">
      <c r="A2238" s="12"/>
      <c r="I2238" s="12"/>
      <c r="K2238" s="12"/>
      <c r="M2238" s="12"/>
    </row>
    <row r="2239" spans="1:13" x14ac:dyDescent="0.2">
      <c r="A2239" s="12"/>
      <c r="I2239" s="12"/>
      <c r="K2239" s="12"/>
      <c r="M2239" s="12"/>
    </row>
    <row r="2240" spans="1:13" x14ac:dyDescent="0.2">
      <c r="A2240" s="12"/>
      <c r="I2240" s="12"/>
      <c r="K2240" s="12"/>
      <c r="M2240" s="12"/>
    </row>
    <row r="2241" spans="1:13" x14ac:dyDescent="0.2">
      <c r="A2241" s="12"/>
      <c r="I2241" s="12"/>
      <c r="K2241" s="12"/>
      <c r="M2241" s="12"/>
    </row>
    <row r="2242" spans="1:13" x14ac:dyDescent="0.2">
      <c r="A2242" s="12"/>
      <c r="I2242" s="12"/>
      <c r="K2242" s="12"/>
      <c r="M2242" s="12"/>
    </row>
    <row r="2243" spans="1:13" x14ac:dyDescent="0.2">
      <c r="A2243" s="12"/>
      <c r="I2243" s="12"/>
      <c r="K2243" s="12"/>
      <c r="M2243" s="12"/>
    </row>
    <row r="2244" spans="1:13" x14ac:dyDescent="0.2">
      <c r="A2244" s="12"/>
      <c r="I2244" s="12"/>
      <c r="K2244" s="12"/>
      <c r="M2244" s="12"/>
    </row>
    <row r="2245" spans="1:13" x14ac:dyDescent="0.2">
      <c r="A2245" s="12"/>
      <c r="I2245" s="12"/>
      <c r="K2245" s="12"/>
      <c r="M2245" s="12"/>
    </row>
    <row r="2246" spans="1:13" x14ac:dyDescent="0.2">
      <c r="A2246" s="12"/>
      <c r="I2246" s="12"/>
      <c r="K2246" s="12"/>
      <c r="M2246" s="12"/>
    </row>
    <row r="2247" spans="1:13" x14ac:dyDescent="0.2">
      <c r="A2247" s="12"/>
      <c r="I2247" s="12"/>
      <c r="K2247" s="12"/>
      <c r="M2247" s="12"/>
    </row>
    <row r="2248" spans="1:13" x14ac:dyDescent="0.2">
      <c r="A2248" s="12"/>
      <c r="I2248" s="12"/>
      <c r="K2248" s="12"/>
      <c r="M2248" s="12"/>
    </row>
    <row r="2249" spans="1:13" x14ac:dyDescent="0.2">
      <c r="A2249" s="12"/>
      <c r="I2249" s="12"/>
      <c r="K2249" s="12"/>
      <c r="M2249" s="12"/>
    </row>
    <row r="2250" spans="1:13" x14ac:dyDescent="0.2">
      <c r="A2250" s="12"/>
      <c r="I2250" s="12"/>
      <c r="K2250" s="12"/>
      <c r="M2250" s="12"/>
    </row>
    <row r="2251" spans="1:13" x14ac:dyDescent="0.2">
      <c r="A2251" s="12"/>
      <c r="I2251" s="12"/>
      <c r="K2251" s="12"/>
      <c r="M2251" s="12"/>
    </row>
    <row r="2252" spans="1:13" x14ac:dyDescent="0.2">
      <c r="A2252" s="12"/>
      <c r="I2252" s="12"/>
      <c r="K2252" s="12"/>
      <c r="M2252" s="12"/>
    </row>
    <row r="2253" spans="1:13" x14ac:dyDescent="0.2">
      <c r="A2253" s="12"/>
      <c r="I2253" s="12"/>
      <c r="K2253" s="12"/>
      <c r="M2253" s="12"/>
    </row>
    <row r="2254" spans="1:13" x14ac:dyDescent="0.2">
      <c r="A2254" s="12"/>
      <c r="I2254" s="12"/>
      <c r="K2254" s="12"/>
      <c r="M2254" s="12"/>
    </row>
    <row r="2255" spans="1:13" x14ac:dyDescent="0.2">
      <c r="A2255" s="12"/>
      <c r="I2255" s="12"/>
      <c r="K2255" s="12"/>
      <c r="M2255" s="12"/>
    </row>
    <row r="2256" spans="1:13" x14ac:dyDescent="0.2">
      <c r="A2256" s="12"/>
      <c r="I2256" s="12"/>
      <c r="K2256" s="12"/>
      <c r="M2256" s="12"/>
    </row>
    <row r="2257" spans="1:13" x14ac:dyDescent="0.2">
      <c r="A2257" s="12"/>
      <c r="I2257" s="12"/>
      <c r="K2257" s="12"/>
      <c r="M2257" s="12"/>
    </row>
    <row r="2258" spans="1:13" x14ac:dyDescent="0.2">
      <c r="A2258" s="12"/>
      <c r="I2258" s="12"/>
      <c r="K2258" s="12"/>
      <c r="M2258" s="12"/>
    </row>
    <row r="2259" spans="1:13" x14ac:dyDescent="0.2">
      <c r="A2259" s="12"/>
      <c r="I2259" s="12"/>
      <c r="K2259" s="12"/>
      <c r="M2259" s="12"/>
    </row>
    <row r="2260" spans="1:13" x14ac:dyDescent="0.2">
      <c r="A2260" s="12"/>
      <c r="I2260" s="12"/>
      <c r="K2260" s="12"/>
      <c r="M2260" s="12"/>
    </row>
    <row r="2261" spans="1:13" x14ac:dyDescent="0.2">
      <c r="A2261" s="12"/>
      <c r="I2261" s="12"/>
      <c r="K2261" s="12"/>
      <c r="M2261" s="12"/>
    </row>
    <row r="2262" spans="1:13" x14ac:dyDescent="0.2">
      <c r="A2262" s="12"/>
      <c r="I2262" s="12"/>
      <c r="K2262" s="12"/>
      <c r="M2262" s="12"/>
    </row>
    <row r="2263" spans="1:13" x14ac:dyDescent="0.2">
      <c r="A2263" s="12"/>
      <c r="I2263" s="12"/>
      <c r="K2263" s="12"/>
      <c r="M2263" s="12"/>
    </row>
    <row r="2264" spans="1:13" x14ac:dyDescent="0.2">
      <c r="A2264" s="12"/>
      <c r="I2264" s="12"/>
      <c r="K2264" s="12"/>
      <c r="M2264" s="12"/>
    </row>
    <row r="2265" spans="1:13" x14ac:dyDescent="0.2">
      <c r="A2265" s="12"/>
      <c r="I2265" s="12"/>
      <c r="K2265" s="12"/>
      <c r="M2265" s="12"/>
    </row>
    <row r="2266" spans="1:13" x14ac:dyDescent="0.2">
      <c r="A2266" s="12"/>
      <c r="I2266" s="12"/>
      <c r="K2266" s="12"/>
      <c r="M2266" s="12"/>
    </row>
    <row r="2267" spans="1:13" x14ac:dyDescent="0.2">
      <c r="A2267" s="12"/>
      <c r="I2267" s="12"/>
      <c r="K2267" s="12"/>
      <c r="M2267" s="12"/>
    </row>
    <row r="2268" spans="1:13" x14ac:dyDescent="0.2">
      <c r="A2268" s="12"/>
      <c r="I2268" s="12"/>
      <c r="K2268" s="12"/>
      <c r="M2268" s="12"/>
    </row>
    <row r="2269" spans="1:13" x14ac:dyDescent="0.2">
      <c r="A2269" s="12"/>
      <c r="I2269" s="12"/>
      <c r="K2269" s="12"/>
      <c r="M2269" s="12"/>
    </row>
    <row r="2270" spans="1:13" x14ac:dyDescent="0.2">
      <c r="A2270" s="12"/>
      <c r="I2270" s="12"/>
      <c r="K2270" s="12"/>
      <c r="M2270" s="12"/>
    </row>
    <row r="2271" spans="1:13" x14ac:dyDescent="0.2">
      <c r="A2271" s="12"/>
      <c r="I2271" s="12"/>
      <c r="K2271" s="12"/>
      <c r="M2271" s="12"/>
    </row>
    <row r="2272" spans="1:13" x14ac:dyDescent="0.2">
      <c r="A2272" s="12"/>
      <c r="I2272" s="12"/>
      <c r="K2272" s="12"/>
      <c r="M2272" s="12"/>
    </row>
    <row r="2273" spans="1:13" x14ac:dyDescent="0.2">
      <c r="A2273" s="12"/>
      <c r="I2273" s="12"/>
      <c r="K2273" s="12"/>
      <c r="M2273" s="12"/>
    </row>
    <row r="2274" spans="1:13" x14ac:dyDescent="0.2">
      <c r="A2274" s="12"/>
      <c r="I2274" s="12"/>
      <c r="K2274" s="12"/>
      <c r="M2274" s="12"/>
    </row>
    <row r="2275" spans="1:13" x14ac:dyDescent="0.2">
      <c r="A2275" s="12"/>
      <c r="I2275" s="12"/>
      <c r="K2275" s="12"/>
      <c r="M2275" s="12"/>
    </row>
    <row r="2276" spans="1:13" x14ac:dyDescent="0.2">
      <c r="A2276" s="12"/>
      <c r="I2276" s="12"/>
      <c r="K2276" s="12"/>
      <c r="M2276" s="12"/>
    </row>
    <row r="2277" spans="1:13" x14ac:dyDescent="0.2">
      <c r="A2277" s="12"/>
      <c r="I2277" s="12"/>
      <c r="K2277" s="12"/>
      <c r="M2277" s="12"/>
    </row>
    <row r="2278" spans="1:13" x14ac:dyDescent="0.2">
      <c r="A2278" s="12"/>
      <c r="I2278" s="12"/>
      <c r="K2278" s="12"/>
      <c r="M2278" s="12"/>
    </row>
    <row r="2279" spans="1:13" x14ac:dyDescent="0.2">
      <c r="A2279" s="12"/>
      <c r="I2279" s="12"/>
      <c r="K2279" s="12"/>
      <c r="M2279" s="12"/>
    </row>
    <row r="2280" spans="1:13" x14ac:dyDescent="0.2">
      <c r="A2280" s="12"/>
      <c r="I2280" s="12"/>
      <c r="K2280" s="12"/>
      <c r="M2280" s="12"/>
    </row>
    <row r="2281" spans="1:13" x14ac:dyDescent="0.2">
      <c r="A2281" s="12"/>
      <c r="I2281" s="12"/>
      <c r="K2281" s="12"/>
      <c r="M2281" s="12"/>
    </row>
    <row r="2282" spans="1:13" x14ac:dyDescent="0.2">
      <c r="A2282" s="12"/>
      <c r="I2282" s="12"/>
      <c r="K2282" s="12"/>
      <c r="M2282" s="12"/>
    </row>
    <row r="2283" spans="1:13" x14ac:dyDescent="0.2">
      <c r="A2283" s="12"/>
      <c r="I2283" s="12"/>
      <c r="K2283" s="12"/>
      <c r="M2283" s="12"/>
    </row>
    <row r="2284" spans="1:13" x14ac:dyDescent="0.2">
      <c r="A2284" s="12"/>
      <c r="I2284" s="12"/>
      <c r="K2284" s="12"/>
      <c r="M2284" s="12"/>
    </row>
    <row r="2285" spans="1:13" x14ac:dyDescent="0.2">
      <c r="A2285" s="12"/>
      <c r="I2285" s="12"/>
      <c r="K2285" s="12"/>
      <c r="M2285" s="12"/>
    </row>
    <row r="2286" spans="1:13" x14ac:dyDescent="0.2">
      <c r="A2286" s="12"/>
      <c r="I2286" s="12"/>
      <c r="K2286" s="12"/>
      <c r="M2286" s="12"/>
    </row>
    <row r="2287" spans="1:13" x14ac:dyDescent="0.2">
      <c r="A2287" s="12"/>
      <c r="I2287" s="12"/>
      <c r="K2287" s="12"/>
      <c r="M2287" s="12"/>
    </row>
    <row r="2288" spans="1:13" x14ac:dyDescent="0.2">
      <c r="A2288" s="12"/>
      <c r="I2288" s="12"/>
      <c r="K2288" s="12"/>
      <c r="M2288" s="12"/>
    </row>
    <row r="2289" spans="1:13" x14ac:dyDescent="0.2">
      <c r="A2289" s="12"/>
      <c r="I2289" s="12"/>
      <c r="K2289" s="12"/>
      <c r="M2289" s="12"/>
    </row>
    <row r="2290" spans="1:13" x14ac:dyDescent="0.2">
      <c r="A2290" s="12"/>
      <c r="I2290" s="12"/>
      <c r="K2290" s="12"/>
      <c r="M2290" s="12"/>
    </row>
    <row r="2291" spans="1:13" x14ac:dyDescent="0.2">
      <c r="A2291" s="12"/>
      <c r="I2291" s="12"/>
      <c r="K2291" s="12"/>
      <c r="M2291" s="12"/>
    </row>
    <row r="2292" spans="1:13" x14ac:dyDescent="0.2">
      <c r="A2292" s="12"/>
      <c r="I2292" s="12"/>
      <c r="K2292" s="12"/>
      <c r="M2292" s="12"/>
    </row>
    <row r="2293" spans="1:13" x14ac:dyDescent="0.2">
      <c r="A2293" s="12"/>
      <c r="I2293" s="12"/>
      <c r="K2293" s="12"/>
      <c r="M2293" s="12"/>
    </row>
    <row r="2294" spans="1:13" x14ac:dyDescent="0.2">
      <c r="A2294" s="12"/>
      <c r="I2294" s="12"/>
      <c r="K2294" s="12"/>
      <c r="M2294" s="12"/>
    </row>
    <row r="2295" spans="1:13" x14ac:dyDescent="0.2">
      <c r="A2295" s="12"/>
      <c r="I2295" s="12"/>
      <c r="K2295" s="12"/>
      <c r="M2295" s="12"/>
    </row>
    <row r="2296" spans="1:13" x14ac:dyDescent="0.2">
      <c r="A2296" s="12"/>
      <c r="I2296" s="12"/>
      <c r="K2296" s="12"/>
      <c r="M2296" s="12"/>
    </row>
    <row r="2297" spans="1:13" x14ac:dyDescent="0.2">
      <c r="A2297" s="12"/>
      <c r="I2297" s="12"/>
      <c r="K2297" s="12"/>
      <c r="M2297" s="12"/>
    </row>
    <row r="2298" spans="1:13" x14ac:dyDescent="0.2">
      <c r="A2298" s="12"/>
      <c r="I2298" s="12"/>
      <c r="K2298" s="12"/>
      <c r="M2298" s="12"/>
    </row>
    <row r="2299" spans="1:13" x14ac:dyDescent="0.2">
      <c r="A2299" s="12"/>
      <c r="I2299" s="12"/>
      <c r="K2299" s="12"/>
      <c r="M2299" s="12"/>
    </row>
    <row r="2300" spans="1:13" x14ac:dyDescent="0.2">
      <c r="A2300" s="12"/>
      <c r="I2300" s="12"/>
      <c r="K2300" s="12"/>
      <c r="M2300" s="12"/>
    </row>
    <row r="2301" spans="1:13" x14ac:dyDescent="0.2">
      <c r="A2301" s="12"/>
      <c r="I2301" s="12"/>
      <c r="K2301" s="12"/>
      <c r="M2301" s="12"/>
    </row>
    <row r="2302" spans="1:13" x14ac:dyDescent="0.2">
      <c r="A2302" s="12"/>
      <c r="I2302" s="12"/>
      <c r="K2302" s="12"/>
      <c r="M2302" s="12"/>
    </row>
    <row r="2303" spans="1:13" x14ac:dyDescent="0.2">
      <c r="A2303" s="12"/>
      <c r="I2303" s="12"/>
      <c r="K2303" s="12"/>
      <c r="M2303" s="12"/>
    </row>
    <row r="2304" spans="1:13" x14ac:dyDescent="0.2">
      <c r="A2304" s="12"/>
      <c r="I2304" s="12"/>
      <c r="K2304" s="12"/>
      <c r="M2304" s="12"/>
    </row>
    <row r="2305" spans="1:13" x14ac:dyDescent="0.2">
      <c r="A2305" s="12"/>
      <c r="I2305" s="12"/>
      <c r="K2305" s="12"/>
      <c r="M2305" s="12"/>
    </row>
    <row r="2306" spans="1:13" x14ac:dyDescent="0.2">
      <c r="A2306" s="12"/>
      <c r="I2306" s="12"/>
      <c r="K2306" s="12"/>
      <c r="M2306" s="12"/>
    </row>
    <row r="2307" spans="1:13" x14ac:dyDescent="0.2">
      <c r="A2307" s="12"/>
      <c r="I2307" s="12"/>
      <c r="K2307" s="12"/>
      <c r="M2307" s="12"/>
    </row>
    <row r="2308" spans="1:13" x14ac:dyDescent="0.2">
      <c r="A2308" s="12"/>
      <c r="I2308" s="12"/>
      <c r="K2308" s="12"/>
      <c r="M2308" s="12"/>
    </row>
    <row r="2309" spans="1:13" x14ac:dyDescent="0.2">
      <c r="A2309" s="12"/>
      <c r="I2309" s="12"/>
      <c r="K2309" s="12"/>
      <c r="M2309" s="12"/>
    </row>
    <row r="2310" spans="1:13" x14ac:dyDescent="0.2">
      <c r="A2310" s="12"/>
      <c r="I2310" s="12"/>
      <c r="K2310" s="12"/>
      <c r="M2310" s="12"/>
    </row>
    <row r="2311" spans="1:13" x14ac:dyDescent="0.2">
      <c r="A2311" s="12"/>
      <c r="I2311" s="12"/>
      <c r="K2311" s="12"/>
      <c r="M2311" s="12"/>
    </row>
    <row r="2312" spans="1:13" x14ac:dyDescent="0.2">
      <c r="A2312" s="12"/>
      <c r="I2312" s="12"/>
      <c r="K2312" s="12"/>
      <c r="M2312" s="12"/>
    </row>
    <row r="2313" spans="1:13" x14ac:dyDescent="0.2">
      <c r="A2313" s="12"/>
      <c r="I2313" s="12"/>
      <c r="K2313" s="12"/>
      <c r="M2313" s="12"/>
    </row>
    <row r="2314" spans="1:13" x14ac:dyDescent="0.2">
      <c r="A2314" s="12"/>
      <c r="I2314" s="12"/>
      <c r="K2314" s="12"/>
      <c r="M2314" s="12"/>
    </row>
    <row r="2315" spans="1:13" x14ac:dyDescent="0.2">
      <c r="A2315" s="12"/>
      <c r="I2315" s="12"/>
      <c r="K2315" s="12"/>
      <c r="M2315" s="12"/>
    </row>
    <row r="2316" spans="1:13" x14ac:dyDescent="0.2">
      <c r="A2316" s="12"/>
      <c r="I2316" s="12"/>
      <c r="K2316" s="12"/>
      <c r="M2316" s="12"/>
    </row>
    <row r="2317" spans="1:13" x14ac:dyDescent="0.2">
      <c r="A2317" s="12"/>
      <c r="I2317" s="12"/>
      <c r="K2317" s="12"/>
      <c r="M2317" s="12"/>
    </row>
    <row r="2318" spans="1:13" x14ac:dyDescent="0.2">
      <c r="A2318" s="12"/>
      <c r="I2318" s="12"/>
      <c r="K2318" s="12"/>
      <c r="M2318" s="12"/>
    </row>
    <row r="2319" spans="1:13" x14ac:dyDescent="0.2">
      <c r="A2319" s="12"/>
      <c r="I2319" s="12"/>
      <c r="K2319" s="12"/>
      <c r="M2319" s="12"/>
    </row>
    <row r="2320" spans="1:13" x14ac:dyDescent="0.2">
      <c r="A2320" s="12"/>
      <c r="I2320" s="12"/>
      <c r="K2320" s="12"/>
      <c r="M2320" s="12"/>
    </row>
    <row r="2321" spans="1:13" x14ac:dyDescent="0.2">
      <c r="A2321" s="12"/>
      <c r="I2321" s="12"/>
      <c r="K2321" s="12"/>
      <c r="M2321" s="12"/>
    </row>
    <row r="2322" spans="1:13" x14ac:dyDescent="0.2">
      <c r="A2322" s="12"/>
      <c r="I2322" s="12"/>
      <c r="K2322" s="12"/>
      <c r="M2322" s="12"/>
    </row>
    <row r="2323" spans="1:13" x14ac:dyDescent="0.2">
      <c r="A2323" s="12"/>
      <c r="I2323" s="12"/>
      <c r="K2323" s="12"/>
      <c r="M2323" s="12"/>
    </row>
    <row r="2324" spans="1:13" x14ac:dyDescent="0.2">
      <c r="A2324" s="12"/>
      <c r="I2324" s="12"/>
      <c r="K2324" s="12"/>
      <c r="M2324" s="12"/>
    </row>
    <row r="2325" spans="1:13" x14ac:dyDescent="0.2">
      <c r="A2325" s="12"/>
      <c r="I2325" s="12"/>
      <c r="K2325" s="12"/>
      <c r="M2325" s="12"/>
    </row>
    <row r="2326" spans="1:13" x14ac:dyDescent="0.2">
      <c r="A2326" s="12"/>
      <c r="I2326" s="12"/>
      <c r="K2326" s="12"/>
      <c r="M2326" s="12"/>
    </row>
    <row r="2327" spans="1:13" x14ac:dyDescent="0.2">
      <c r="A2327" s="12"/>
      <c r="I2327" s="12"/>
      <c r="K2327" s="12"/>
      <c r="M2327" s="12"/>
    </row>
    <row r="2328" spans="1:13" x14ac:dyDescent="0.2">
      <c r="A2328" s="12"/>
      <c r="I2328" s="12"/>
      <c r="K2328" s="12"/>
      <c r="M2328" s="12"/>
    </row>
    <row r="2329" spans="1:13" x14ac:dyDescent="0.2">
      <c r="A2329" s="12"/>
      <c r="I2329" s="12"/>
      <c r="K2329" s="12"/>
      <c r="M2329" s="12"/>
    </row>
    <row r="2330" spans="1:13" x14ac:dyDescent="0.2">
      <c r="A2330" s="12"/>
      <c r="I2330" s="12"/>
      <c r="K2330" s="12"/>
      <c r="M2330" s="12"/>
    </row>
    <row r="2331" spans="1:13" x14ac:dyDescent="0.2">
      <c r="A2331" s="12"/>
      <c r="I2331" s="12"/>
      <c r="K2331" s="12"/>
      <c r="M2331" s="12"/>
    </row>
    <row r="2332" spans="1:13" x14ac:dyDescent="0.2">
      <c r="A2332" s="12"/>
      <c r="I2332" s="12"/>
      <c r="K2332" s="12"/>
      <c r="M2332" s="12"/>
    </row>
    <row r="2333" spans="1:13" x14ac:dyDescent="0.2">
      <c r="A2333" s="12"/>
      <c r="I2333" s="12"/>
      <c r="K2333" s="12"/>
      <c r="M2333" s="12"/>
    </row>
    <row r="2334" spans="1:13" x14ac:dyDescent="0.2">
      <c r="A2334" s="12"/>
      <c r="I2334" s="12"/>
      <c r="K2334" s="12"/>
      <c r="M2334" s="12"/>
    </row>
    <row r="2335" spans="1:13" x14ac:dyDescent="0.2">
      <c r="A2335" s="12"/>
      <c r="I2335" s="12"/>
      <c r="K2335" s="12"/>
      <c r="M2335" s="12"/>
    </row>
    <row r="2336" spans="1:13" x14ac:dyDescent="0.2">
      <c r="A2336" s="12"/>
      <c r="I2336" s="12"/>
      <c r="K2336" s="12"/>
      <c r="M2336" s="12"/>
    </row>
    <row r="2337" spans="1:13" x14ac:dyDescent="0.2">
      <c r="A2337" s="12"/>
      <c r="I2337" s="12"/>
      <c r="K2337" s="12"/>
      <c r="M2337" s="12"/>
    </row>
    <row r="2338" spans="1:13" x14ac:dyDescent="0.2">
      <c r="A2338" s="12"/>
      <c r="I2338" s="12"/>
      <c r="K2338" s="12"/>
      <c r="M2338" s="12"/>
    </row>
    <row r="2339" spans="1:13" x14ac:dyDescent="0.2">
      <c r="A2339" s="12"/>
      <c r="I2339" s="12"/>
      <c r="K2339" s="12"/>
      <c r="M2339" s="12"/>
    </row>
    <row r="2340" spans="1:13" x14ac:dyDescent="0.2">
      <c r="A2340" s="12"/>
      <c r="I2340" s="12"/>
      <c r="K2340" s="12"/>
      <c r="M2340" s="12"/>
    </row>
    <row r="2341" spans="1:13" x14ac:dyDescent="0.2">
      <c r="A2341" s="12"/>
      <c r="I2341" s="12"/>
      <c r="K2341" s="12"/>
      <c r="M2341" s="12"/>
    </row>
    <row r="2342" spans="1:13" x14ac:dyDescent="0.2">
      <c r="A2342" s="12"/>
      <c r="I2342" s="12"/>
      <c r="K2342" s="12"/>
      <c r="M2342" s="12"/>
    </row>
    <row r="2343" spans="1:13" x14ac:dyDescent="0.2">
      <c r="A2343" s="12"/>
      <c r="I2343" s="12"/>
      <c r="K2343" s="12"/>
      <c r="M2343" s="12"/>
    </row>
    <row r="2344" spans="1:13" x14ac:dyDescent="0.2">
      <c r="A2344" s="12"/>
      <c r="I2344" s="12"/>
      <c r="K2344" s="12"/>
      <c r="M2344" s="12"/>
    </row>
    <row r="2345" spans="1:13" x14ac:dyDescent="0.2">
      <c r="A2345" s="12"/>
      <c r="I2345" s="12"/>
      <c r="K2345" s="12"/>
      <c r="M2345" s="12"/>
    </row>
    <row r="2346" spans="1:13" x14ac:dyDescent="0.2">
      <c r="A2346" s="12"/>
      <c r="I2346" s="12"/>
      <c r="K2346" s="12"/>
      <c r="M2346" s="12"/>
    </row>
    <row r="2347" spans="1:13" x14ac:dyDescent="0.2">
      <c r="A2347" s="12"/>
      <c r="I2347" s="12"/>
      <c r="K2347" s="12"/>
      <c r="M2347" s="12"/>
    </row>
    <row r="2348" spans="1:13" x14ac:dyDescent="0.2">
      <c r="A2348" s="12"/>
      <c r="I2348" s="12"/>
      <c r="K2348" s="12"/>
      <c r="M2348" s="12"/>
    </row>
    <row r="2349" spans="1:13" x14ac:dyDescent="0.2">
      <c r="A2349" s="12"/>
      <c r="I2349" s="12"/>
      <c r="K2349" s="12"/>
      <c r="M2349" s="12"/>
    </row>
    <row r="2350" spans="1:13" x14ac:dyDescent="0.2">
      <c r="A2350" s="12"/>
      <c r="I2350" s="12"/>
      <c r="K2350" s="12"/>
      <c r="M2350" s="12"/>
    </row>
    <row r="2351" spans="1:13" x14ac:dyDescent="0.2">
      <c r="A2351" s="12"/>
      <c r="I2351" s="12"/>
      <c r="K2351" s="12"/>
      <c r="M2351" s="12"/>
    </row>
    <row r="2352" spans="1:13" x14ac:dyDescent="0.2">
      <c r="A2352" s="12"/>
      <c r="I2352" s="12"/>
      <c r="K2352" s="12"/>
      <c r="M2352" s="12"/>
    </row>
    <row r="2353" spans="1:13" x14ac:dyDescent="0.2">
      <c r="A2353" s="12"/>
      <c r="I2353" s="12"/>
      <c r="K2353" s="12"/>
      <c r="M2353" s="12"/>
    </row>
    <row r="2354" spans="1:13" x14ac:dyDescent="0.2">
      <c r="A2354" s="12"/>
      <c r="I2354" s="12"/>
      <c r="K2354" s="12"/>
      <c r="M2354" s="12"/>
    </row>
    <row r="2355" spans="1:13" x14ac:dyDescent="0.2">
      <c r="A2355" s="12"/>
      <c r="I2355" s="12"/>
      <c r="K2355" s="12"/>
      <c r="M2355" s="12"/>
    </row>
    <row r="2356" spans="1:13" x14ac:dyDescent="0.2">
      <c r="A2356" s="12"/>
      <c r="I2356" s="12"/>
      <c r="K2356" s="12"/>
      <c r="M2356" s="12"/>
    </row>
    <row r="2357" spans="1:13" x14ac:dyDescent="0.2">
      <c r="A2357" s="12"/>
      <c r="I2357" s="12"/>
      <c r="K2357" s="12"/>
      <c r="M2357" s="12"/>
    </row>
    <row r="2358" spans="1:13" x14ac:dyDescent="0.2">
      <c r="A2358" s="12"/>
      <c r="I2358" s="12"/>
      <c r="K2358" s="12"/>
      <c r="M2358" s="12"/>
    </row>
    <row r="2359" spans="1:13" x14ac:dyDescent="0.2">
      <c r="A2359" s="12"/>
      <c r="I2359" s="12"/>
      <c r="K2359" s="12"/>
      <c r="M2359" s="12"/>
    </row>
    <row r="2360" spans="1:13" x14ac:dyDescent="0.2">
      <c r="A2360" s="12"/>
      <c r="I2360" s="12"/>
      <c r="K2360" s="12"/>
      <c r="M2360" s="12"/>
    </row>
    <row r="2361" spans="1:13" x14ac:dyDescent="0.2">
      <c r="A2361" s="12"/>
      <c r="I2361" s="12"/>
      <c r="K2361" s="12"/>
      <c r="M2361" s="12"/>
    </row>
    <row r="2362" spans="1:13" x14ac:dyDescent="0.2">
      <c r="A2362" s="12"/>
      <c r="I2362" s="12"/>
      <c r="K2362" s="12"/>
      <c r="M2362" s="12"/>
    </row>
    <row r="2363" spans="1:13" x14ac:dyDescent="0.2">
      <c r="A2363" s="12"/>
      <c r="I2363" s="12"/>
      <c r="K2363" s="12"/>
      <c r="M2363" s="12"/>
    </row>
    <row r="2364" spans="1:13" x14ac:dyDescent="0.2">
      <c r="A2364" s="12"/>
      <c r="I2364" s="12"/>
      <c r="K2364" s="12"/>
      <c r="M2364" s="12"/>
    </row>
    <row r="2365" spans="1:13" x14ac:dyDescent="0.2">
      <c r="A2365" s="12"/>
      <c r="I2365" s="12"/>
      <c r="K2365" s="12"/>
      <c r="M2365" s="12"/>
    </row>
    <row r="2366" spans="1:13" x14ac:dyDescent="0.2">
      <c r="A2366" s="12"/>
      <c r="I2366" s="12"/>
      <c r="K2366" s="12"/>
      <c r="M2366" s="12"/>
    </row>
    <row r="2367" spans="1:13" x14ac:dyDescent="0.2">
      <c r="A2367" s="12"/>
      <c r="I2367" s="12"/>
      <c r="K2367" s="12"/>
      <c r="M2367" s="12"/>
    </row>
    <row r="2368" spans="1:13" x14ac:dyDescent="0.2">
      <c r="A2368" s="12"/>
      <c r="I2368" s="12"/>
      <c r="K2368" s="12"/>
      <c r="M2368" s="12"/>
    </row>
    <row r="2369" spans="1:13" x14ac:dyDescent="0.2">
      <c r="A2369" s="12"/>
      <c r="I2369" s="12"/>
      <c r="K2369" s="12"/>
      <c r="M2369" s="12"/>
    </row>
    <row r="2370" spans="1:13" x14ac:dyDescent="0.2">
      <c r="A2370" s="12"/>
      <c r="I2370" s="12"/>
      <c r="K2370" s="12"/>
      <c r="M2370" s="12"/>
    </row>
    <row r="2371" spans="1:13" x14ac:dyDescent="0.2">
      <c r="A2371" s="12"/>
      <c r="I2371" s="12"/>
      <c r="K2371" s="12"/>
      <c r="M2371" s="12"/>
    </row>
    <row r="2372" spans="1:13" x14ac:dyDescent="0.2">
      <c r="A2372" s="12"/>
      <c r="I2372" s="12"/>
      <c r="K2372" s="12"/>
      <c r="M2372" s="12"/>
    </row>
    <row r="2373" spans="1:13" x14ac:dyDescent="0.2">
      <c r="A2373" s="12"/>
      <c r="I2373" s="12"/>
      <c r="K2373" s="12"/>
      <c r="M2373" s="12"/>
    </row>
    <row r="2374" spans="1:13" x14ac:dyDescent="0.2">
      <c r="A2374" s="12"/>
      <c r="I2374" s="12"/>
      <c r="K2374" s="12"/>
      <c r="M2374" s="12"/>
    </row>
    <row r="2375" spans="1:13" x14ac:dyDescent="0.2">
      <c r="A2375" s="12"/>
      <c r="I2375" s="12"/>
      <c r="K2375" s="12"/>
      <c r="M2375" s="12"/>
    </row>
    <row r="2376" spans="1:13" x14ac:dyDescent="0.2">
      <c r="A2376" s="12"/>
      <c r="I2376" s="12"/>
      <c r="K2376" s="12"/>
      <c r="M2376" s="12"/>
    </row>
    <row r="2377" spans="1:13" x14ac:dyDescent="0.2">
      <c r="A2377" s="12"/>
      <c r="I2377" s="12"/>
      <c r="K2377" s="12"/>
      <c r="M2377" s="12"/>
    </row>
    <row r="2378" spans="1:13" x14ac:dyDescent="0.2">
      <c r="A2378" s="12"/>
      <c r="I2378" s="12"/>
      <c r="K2378" s="12"/>
      <c r="M2378" s="12"/>
    </row>
    <row r="2379" spans="1:13" x14ac:dyDescent="0.2">
      <c r="A2379" s="12"/>
      <c r="I2379" s="12"/>
      <c r="K2379" s="12"/>
      <c r="M2379" s="12"/>
    </row>
    <row r="2380" spans="1:13" x14ac:dyDescent="0.2">
      <c r="A2380" s="12"/>
      <c r="I2380" s="12"/>
      <c r="K2380" s="12"/>
      <c r="M2380" s="12"/>
    </row>
    <row r="2381" spans="1:13" x14ac:dyDescent="0.2">
      <c r="A2381" s="12"/>
      <c r="I2381" s="12"/>
      <c r="K2381" s="12"/>
      <c r="M2381" s="12"/>
    </row>
    <row r="2382" spans="1:13" x14ac:dyDescent="0.2">
      <c r="A2382" s="12"/>
      <c r="I2382" s="12"/>
      <c r="K2382" s="12"/>
      <c r="M2382" s="12"/>
    </row>
    <row r="2383" spans="1:13" x14ac:dyDescent="0.2">
      <c r="A2383" s="12"/>
      <c r="I2383" s="12"/>
      <c r="K2383" s="12"/>
      <c r="M2383" s="12"/>
    </row>
    <row r="2384" spans="1:13" x14ac:dyDescent="0.2">
      <c r="A2384" s="12"/>
      <c r="I2384" s="12"/>
      <c r="K2384" s="12"/>
      <c r="M2384" s="12"/>
    </row>
    <row r="2385" spans="1:13" x14ac:dyDescent="0.2">
      <c r="A2385" s="12"/>
      <c r="I2385" s="12"/>
      <c r="K2385" s="12"/>
      <c r="M2385" s="12"/>
    </row>
    <row r="2386" spans="1:13" x14ac:dyDescent="0.2">
      <c r="A2386" s="12"/>
      <c r="I2386" s="12"/>
      <c r="K2386" s="12"/>
      <c r="M2386" s="12"/>
    </row>
    <row r="2387" spans="1:13" x14ac:dyDescent="0.2">
      <c r="A2387" s="12"/>
      <c r="I2387" s="12"/>
      <c r="K2387" s="12"/>
      <c r="M2387" s="12"/>
    </row>
    <row r="2388" spans="1:13" x14ac:dyDescent="0.2">
      <c r="A2388" s="12"/>
      <c r="I2388" s="12"/>
      <c r="K2388" s="12"/>
      <c r="M2388" s="12"/>
    </row>
    <row r="2389" spans="1:13" x14ac:dyDescent="0.2">
      <c r="A2389" s="12"/>
      <c r="I2389" s="12"/>
      <c r="K2389" s="12"/>
      <c r="M2389" s="12"/>
    </row>
    <row r="2390" spans="1:13" x14ac:dyDescent="0.2">
      <c r="A2390" s="12"/>
      <c r="I2390" s="12"/>
      <c r="K2390" s="12"/>
      <c r="M2390" s="12"/>
    </row>
    <row r="2391" spans="1:13" x14ac:dyDescent="0.2">
      <c r="A2391" s="12"/>
      <c r="I2391" s="12"/>
      <c r="K2391" s="12"/>
      <c r="M2391" s="12"/>
    </row>
    <row r="2392" spans="1:13" x14ac:dyDescent="0.2">
      <c r="A2392" s="12"/>
      <c r="I2392" s="12"/>
      <c r="K2392" s="12"/>
      <c r="M2392" s="12"/>
    </row>
    <row r="2393" spans="1:13" x14ac:dyDescent="0.2">
      <c r="A2393" s="12"/>
      <c r="I2393" s="12"/>
      <c r="K2393" s="12"/>
      <c r="M2393" s="12"/>
    </row>
    <row r="2394" spans="1:13" x14ac:dyDescent="0.2">
      <c r="A2394" s="12"/>
      <c r="I2394" s="12"/>
      <c r="K2394" s="12"/>
      <c r="M2394" s="12"/>
    </row>
    <row r="2395" spans="1:13" x14ac:dyDescent="0.2">
      <c r="A2395" s="12"/>
      <c r="I2395" s="12"/>
      <c r="K2395" s="12"/>
      <c r="M2395" s="12"/>
    </row>
    <row r="2396" spans="1:13" x14ac:dyDescent="0.2">
      <c r="A2396" s="12"/>
      <c r="I2396" s="12"/>
      <c r="K2396" s="12"/>
      <c r="M2396" s="12"/>
    </row>
    <row r="2397" spans="1:13" x14ac:dyDescent="0.2">
      <c r="A2397" s="12"/>
      <c r="I2397" s="12"/>
      <c r="K2397" s="12"/>
      <c r="M2397" s="12"/>
    </row>
    <row r="2398" spans="1:13" x14ac:dyDescent="0.2">
      <c r="A2398" s="12"/>
      <c r="I2398" s="12"/>
      <c r="K2398" s="12"/>
      <c r="M2398" s="12"/>
    </row>
    <row r="2399" spans="1:13" x14ac:dyDescent="0.2">
      <c r="A2399" s="12"/>
      <c r="I2399" s="12"/>
      <c r="K2399" s="12"/>
      <c r="M2399" s="12"/>
    </row>
    <row r="2400" spans="1:13" x14ac:dyDescent="0.2">
      <c r="A2400" s="12"/>
      <c r="I2400" s="12"/>
      <c r="K2400" s="12"/>
      <c r="M2400" s="12"/>
    </row>
    <row r="2401" spans="1:13" x14ac:dyDescent="0.2">
      <c r="A2401" s="12"/>
      <c r="I2401" s="12"/>
      <c r="K2401" s="12"/>
      <c r="M2401" s="12"/>
    </row>
    <row r="2402" spans="1:13" x14ac:dyDescent="0.2">
      <c r="A2402" s="12"/>
      <c r="I2402" s="12"/>
      <c r="K2402" s="12"/>
      <c r="M2402" s="12"/>
    </row>
    <row r="2403" spans="1:13" x14ac:dyDescent="0.2">
      <c r="A2403" s="12"/>
      <c r="I2403" s="12"/>
      <c r="K2403" s="12"/>
      <c r="M2403" s="12"/>
    </row>
    <row r="2404" spans="1:13" x14ac:dyDescent="0.2">
      <c r="A2404" s="12"/>
      <c r="I2404" s="12"/>
      <c r="K2404" s="12"/>
      <c r="M2404" s="12"/>
    </row>
    <row r="2405" spans="1:13" x14ac:dyDescent="0.2">
      <c r="A2405" s="12"/>
      <c r="I2405" s="12"/>
      <c r="K2405" s="12"/>
      <c r="M2405" s="12"/>
    </row>
    <row r="2406" spans="1:13" x14ac:dyDescent="0.2">
      <c r="A2406" s="12"/>
      <c r="I2406" s="12"/>
      <c r="K2406" s="12"/>
      <c r="M2406" s="12"/>
    </row>
    <row r="2407" spans="1:13" x14ac:dyDescent="0.2">
      <c r="A2407" s="12"/>
      <c r="I2407" s="12"/>
      <c r="K2407" s="12"/>
      <c r="M2407" s="12"/>
    </row>
    <row r="2408" spans="1:13" x14ac:dyDescent="0.2">
      <c r="A2408" s="12"/>
      <c r="I2408" s="12"/>
      <c r="K2408" s="12"/>
      <c r="M2408" s="12"/>
    </row>
    <row r="2409" spans="1:13" x14ac:dyDescent="0.2">
      <c r="A2409" s="12"/>
      <c r="I2409" s="12"/>
      <c r="K2409" s="12"/>
      <c r="M2409" s="12"/>
    </row>
    <row r="2410" spans="1:13" x14ac:dyDescent="0.2">
      <c r="A2410" s="12"/>
      <c r="I2410" s="12"/>
      <c r="K2410" s="12"/>
      <c r="M2410" s="12"/>
    </row>
    <row r="2411" spans="1:13" x14ac:dyDescent="0.2">
      <c r="A2411" s="12"/>
      <c r="I2411" s="12"/>
      <c r="K2411" s="12"/>
      <c r="M2411" s="12"/>
    </row>
    <row r="2412" spans="1:13" x14ac:dyDescent="0.2">
      <c r="A2412" s="12"/>
      <c r="I2412" s="12"/>
      <c r="K2412" s="12"/>
      <c r="M2412" s="12"/>
    </row>
    <row r="2413" spans="1:13" x14ac:dyDescent="0.2">
      <c r="A2413" s="12"/>
      <c r="I2413" s="12"/>
      <c r="K2413" s="12"/>
      <c r="M2413" s="12"/>
    </row>
    <row r="2414" spans="1:13" x14ac:dyDescent="0.2">
      <c r="A2414" s="12"/>
      <c r="I2414" s="12"/>
      <c r="K2414" s="12"/>
      <c r="M2414" s="12"/>
    </row>
    <row r="2415" spans="1:13" x14ac:dyDescent="0.2">
      <c r="A2415" s="12"/>
      <c r="I2415" s="12"/>
      <c r="K2415" s="12"/>
      <c r="M2415" s="12"/>
    </row>
    <row r="2416" spans="1:13" x14ac:dyDescent="0.2">
      <c r="A2416" s="12"/>
      <c r="I2416" s="12"/>
      <c r="K2416" s="12"/>
      <c r="M2416" s="12"/>
    </row>
    <row r="2417" spans="1:13" x14ac:dyDescent="0.2">
      <c r="A2417" s="12"/>
      <c r="I2417" s="12"/>
      <c r="K2417" s="12"/>
      <c r="M2417" s="12"/>
    </row>
    <row r="2418" spans="1:13" x14ac:dyDescent="0.2">
      <c r="A2418" s="12"/>
      <c r="I2418" s="12"/>
      <c r="K2418" s="12"/>
      <c r="M2418" s="12"/>
    </row>
    <row r="2419" spans="1:13" x14ac:dyDescent="0.2">
      <c r="A2419" s="12"/>
      <c r="I2419" s="12"/>
      <c r="K2419" s="12"/>
      <c r="M2419" s="12"/>
    </row>
    <row r="2420" spans="1:13" x14ac:dyDescent="0.2">
      <c r="A2420" s="12"/>
      <c r="I2420" s="12"/>
      <c r="K2420" s="12"/>
      <c r="M2420" s="12"/>
    </row>
    <row r="2421" spans="1:13" x14ac:dyDescent="0.2">
      <c r="A2421" s="12"/>
      <c r="I2421" s="12"/>
      <c r="K2421" s="12"/>
      <c r="M2421" s="12"/>
    </row>
    <row r="2422" spans="1:13" x14ac:dyDescent="0.2">
      <c r="A2422" s="12"/>
      <c r="I2422" s="12"/>
      <c r="K2422" s="12"/>
      <c r="M2422" s="12"/>
    </row>
    <row r="2423" spans="1:13" x14ac:dyDescent="0.2">
      <c r="A2423" s="12"/>
      <c r="I2423" s="12"/>
      <c r="K2423" s="12"/>
      <c r="M2423" s="12"/>
    </row>
    <row r="2424" spans="1:13" x14ac:dyDescent="0.2">
      <c r="A2424" s="12"/>
      <c r="I2424" s="12"/>
      <c r="K2424" s="12"/>
      <c r="M2424" s="12"/>
    </row>
    <row r="2425" spans="1:13" x14ac:dyDescent="0.2">
      <c r="A2425" s="12"/>
      <c r="I2425" s="12"/>
      <c r="K2425" s="12"/>
      <c r="M2425" s="12"/>
    </row>
    <row r="2426" spans="1:13" x14ac:dyDescent="0.2">
      <c r="A2426" s="12"/>
      <c r="I2426" s="12"/>
      <c r="K2426" s="12"/>
      <c r="M2426" s="12"/>
    </row>
    <row r="2427" spans="1:13" x14ac:dyDescent="0.2">
      <c r="A2427" s="12"/>
      <c r="I2427" s="12"/>
      <c r="K2427" s="12"/>
      <c r="M2427" s="12"/>
    </row>
    <row r="2428" spans="1:13" x14ac:dyDescent="0.2">
      <c r="A2428" s="12"/>
      <c r="I2428" s="12"/>
      <c r="K2428" s="12"/>
      <c r="M2428" s="12"/>
    </row>
    <row r="2429" spans="1:13" x14ac:dyDescent="0.2">
      <c r="A2429" s="12"/>
      <c r="I2429" s="12"/>
      <c r="K2429" s="12"/>
      <c r="M2429" s="12"/>
    </row>
    <row r="2430" spans="1:13" x14ac:dyDescent="0.2">
      <c r="A2430" s="12"/>
      <c r="I2430" s="12"/>
      <c r="K2430" s="12"/>
      <c r="M2430" s="12"/>
    </row>
    <row r="2431" spans="1:13" x14ac:dyDescent="0.2">
      <c r="A2431" s="12"/>
      <c r="I2431" s="12"/>
      <c r="K2431" s="12"/>
      <c r="M2431" s="12"/>
    </row>
    <row r="2432" spans="1:13" x14ac:dyDescent="0.2">
      <c r="A2432" s="12"/>
      <c r="I2432" s="12"/>
      <c r="K2432" s="12"/>
      <c r="M2432" s="12"/>
    </row>
    <row r="2433" spans="1:13" x14ac:dyDescent="0.2">
      <c r="A2433" s="12"/>
      <c r="I2433" s="12"/>
      <c r="K2433" s="12"/>
      <c r="M2433" s="12"/>
    </row>
    <row r="2434" spans="1:13" x14ac:dyDescent="0.2">
      <c r="A2434" s="12"/>
      <c r="I2434" s="12"/>
      <c r="K2434" s="12"/>
      <c r="M2434" s="12"/>
    </row>
    <row r="2435" spans="1:13" x14ac:dyDescent="0.2">
      <c r="A2435" s="12"/>
      <c r="I2435" s="12"/>
      <c r="K2435" s="12"/>
      <c r="M2435" s="12"/>
    </row>
    <row r="2436" spans="1:13" x14ac:dyDescent="0.2">
      <c r="A2436" s="12"/>
      <c r="I2436" s="12"/>
      <c r="K2436" s="12"/>
      <c r="M2436" s="12"/>
    </row>
    <row r="2437" spans="1:13" x14ac:dyDescent="0.2">
      <c r="A2437" s="12"/>
      <c r="I2437" s="12"/>
      <c r="K2437" s="12"/>
      <c r="M2437" s="12"/>
    </row>
    <row r="2438" spans="1:13" x14ac:dyDescent="0.2">
      <c r="A2438" s="12"/>
      <c r="I2438" s="12"/>
      <c r="K2438" s="12"/>
      <c r="M2438" s="12"/>
    </row>
    <row r="2439" spans="1:13" x14ac:dyDescent="0.2">
      <c r="A2439" s="12"/>
      <c r="I2439" s="12"/>
      <c r="K2439" s="12"/>
      <c r="M2439" s="12"/>
    </row>
    <row r="2440" spans="1:13" x14ac:dyDescent="0.2">
      <c r="A2440" s="12"/>
      <c r="I2440" s="12"/>
      <c r="K2440" s="12"/>
      <c r="M2440" s="12"/>
    </row>
    <row r="2441" spans="1:13" x14ac:dyDescent="0.2">
      <c r="A2441" s="12"/>
      <c r="I2441" s="12"/>
      <c r="K2441" s="12"/>
      <c r="M2441" s="12"/>
    </row>
    <row r="2442" spans="1:13" x14ac:dyDescent="0.2">
      <c r="A2442" s="12"/>
      <c r="I2442" s="12"/>
      <c r="K2442" s="12"/>
      <c r="M2442" s="12"/>
    </row>
    <row r="2443" spans="1:13" x14ac:dyDescent="0.2">
      <c r="A2443" s="12"/>
      <c r="I2443" s="12"/>
      <c r="K2443" s="12"/>
      <c r="M2443" s="12"/>
    </row>
    <row r="2444" spans="1:13" x14ac:dyDescent="0.2">
      <c r="A2444" s="12"/>
      <c r="I2444" s="12"/>
      <c r="K2444" s="12"/>
      <c r="M2444" s="12"/>
    </row>
    <row r="2445" spans="1:13" x14ac:dyDescent="0.2">
      <c r="A2445" s="12"/>
      <c r="I2445" s="12"/>
      <c r="K2445" s="12"/>
      <c r="M2445" s="12"/>
    </row>
    <row r="2446" spans="1:13" x14ac:dyDescent="0.2">
      <c r="A2446" s="12"/>
      <c r="I2446" s="12"/>
      <c r="K2446" s="12"/>
      <c r="M2446" s="12"/>
    </row>
    <row r="2447" spans="1:13" x14ac:dyDescent="0.2">
      <c r="A2447" s="12"/>
      <c r="I2447" s="12"/>
      <c r="K2447" s="12"/>
      <c r="M2447" s="12"/>
    </row>
    <row r="2448" spans="1:13" x14ac:dyDescent="0.2">
      <c r="A2448" s="12"/>
      <c r="I2448" s="12"/>
      <c r="K2448" s="12"/>
      <c r="M2448" s="12"/>
    </row>
    <row r="2449" spans="1:13" x14ac:dyDescent="0.2">
      <c r="A2449" s="12"/>
      <c r="I2449" s="12"/>
      <c r="K2449" s="12"/>
      <c r="M2449" s="12"/>
    </row>
    <row r="2450" spans="1:13" x14ac:dyDescent="0.2">
      <c r="A2450" s="12"/>
      <c r="I2450" s="12"/>
      <c r="K2450" s="12"/>
      <c r="M2450" s="12"/>
    </row>
    <row r="2451" spans="1:13" x14ac:dyDescent="0.2">
      <c r="A2451" s="12"/>
      <c r="I2451" s="12"/>
      <c r="K2451" s="12"/>
      <c r="M2451" s="12"/>
    </row>
    <row r="2452" spans="1:13" x14ac:dyDescent="0.2">
      <c r="A2452" s="12"/>
      <c r="I2452" s="12"/>
      <c r="K2452" s="12"/>
      <c r="M2452" s="12"/>
    </row>
    <row r="2453" spans="1:13" x14ac:dyDescent="0.2">
      <c r="A2453" s="12"/>
      <c r="I2453" s="12"/>
      <c r="K2453" s="12"/>
      <c r="M2453" s="12"/>
    </row>
    <row r="2454" spans="1:13" x14ac:dyDescent="0.2">
      <c r="A2454" s="12"/>
      <c r="I2454" s="12"/>
      <c r="K2454" s="12"/>
      <c r="M2454" s="12"/>
    </row>
    <row r="2455" spans="1:13" x14ac:dyDescent="0.2">
      <c r="A2455" s="12"/>
      <c r="I2455" s="12"/>
      <c r="K2455" s="12"/>
      <c r="M2455" s="12"/>
    </row>
    <row r="2456" spans="1:13" x14ac:dyDescent="0.2">
      <c r="A2456" s="12"/>
      <c r="I2456" s="12"/>
      <c r="K2456" s="12"/>
      <c r="M2456" s="12"/>
    </row>
    <row r="2457" spans="1:13" x14ac:dyDescent="0.2">
      <c r="A2457" s="12"/>
      <c r="I2457" s="12"/>
      <c r="K2457" s="12"/>
      <c r="M2457" s="12"/>
    </row>
    <row r="2458" spans="1:13" x14ac:dyDescent="0.2">
      <c r="A2458" s="12"/>
      <c r="I2458" s="12"/>
      <c r="K2458" s="12"/>
      <c r="M2458" s="12"/>
    </row>
    <row r="2459" spans="1:13" x14ac:dyDescent="0.2">
      <c r="A2459" s="12"/>
      <c r="I2459" s="12"/>
      <c r="K2459" s="12"/>
      <c r="M2459" s="12"/>
    </row>
    <row r="2460" spans="1:13" x14ac:dyDescent="0.2">
      <c r="A2460" s="12"/>
      <c r="I2460" s="12"/>
      <c r="K2460" s="12"/>
      <c r="M2460" s="12"/>
    </row>
    <row r="2461" spans="1:13" x14ac:dyDescent="0.2">
      <c r="A2461" s="12"/>
      <c r="I2461" s="12"/>
      <c r="K2461" s="12"/>
      <c r="M2461" s="12"/>
    </row>
    <row r="2462" spans="1:13" x14ac:dyDescent="0.2">
      <c r="A2462" s="12"/>
      <c r="I2462" s="12"/>
      <c r="K2462" s="12"/>
      <c r="M2462" s="12"/>
    </row>
    <row r="2463" spans="1:13" x14ac:dyDescent="0.2">
      <c r="A2463" s="12"/>
      <c r="I2463" s="12"/>
      <c r="K2463" s="12"/>
      <c r="M2463" s="12"/>
    </row>
    <row r="2464" spans="1:13" x14ac:dyDescent="0.2">
      <c r="A2464" s="12"/>
      <c r="I2464" s="12"/>
      <c r="K2464" s="12"/>
      <c r="M2464" s="12"/>
    </row>
    <row r="2465" spans="1:13" x14ac:dyDescent="0.2">
      <c r="A2465" s="12"/>
      <c r="I2465" s="12"/>
      <c r="K2465" s="12"/>
      <c r="M2465" s="12"/>
    </row>
    <row r="2466" spans="1:13" x14ac:dyDescent="0.2">
      <c r="A2466" s="12"/>
      <c r="I2466" s="12"/>
      <c r="K2466" s="12"/>
      <c r="M2466" s="12"/>
    </row>
    <row r="2467" spans="1:13" x14ac:dyDescent="0.2">
      <c r="A2467" s="12"/>
      <c r="I2467" s="12"/>
      <c r="K2467" s="12"/>
      <c r="M2467" s="12"/>
    </row>
    <row r="2468" spans="1:13" x14ac:dyDescent="0.2">
      <c r="A2468" s="12"/>
      <c r="I2468" s="12"/>
      <c r="K2468" s="12"/>
      <c r="M2468" s="12"/>
    </row>
    <row r="2469" spans="1:13" x14ac:dyDescent="0.2">
      <c r="A2469" s="12"/>
      <c r="I2469" s="12"/>
      <c r="K2469" s="12"/>
      <c r="M2469" s="12"/>
    </row>
    <row r="2470" spans="1:13" x14ac:dyDescent="0.2">
      <c r="A2470" s="12"/>
      <c r="I2470" s="12"/>
      <c r="K2470" s="12"/>
      <c r="M2470" s="12"/>
    </row>
    <row r="2471" spans="1:13" x14ac:dyDescent="0.2">
      <c r="A2471" s="12"/>
      <c r="I2471" s="12"/>
      <c r="K2471" s="12"/>
      <c r="M2471" s="12"/>
    </row>
    <row r="2472" spans="1:13" x14ac:dyDescent="0.2">
      <c r="A2472" s="12"/>
      <c r="I2472" s="12"/>
      <c r="K2472" s="12"/>
      <c r="M2472" s="12"/>
    </row>
    <row r="2473" spans="1:13" x14ac:dyDescent="0.2">
      <c r="A2473" s="12"/>
      <c r="I2473" s="12"/>
      <c r="K2473" s="12"/>
      <c r="M2473" s="12"/>
    </row>
    <row r="2474" spans="1:13" x14ac:dyDescent="0.2">
      <c r="A2474" s="12"/>
      <c r="I2474" s="12"/>
      <c r="K2474" s="12"/>
      <c r="M2474" s="12"/>
    </row>
    <row r="2475" spans="1:13" x14ac:dyDescent="0.2">
      <c r="A2475" s="12"/>
      <c r="I2475" s="12"/>
      <c r="K2475" s="12"/>
      <c r="M2475" s="12"/>
    </row>
    <row r="2476" spans="1:13" x14ac:dyDescent="0.2">
      <c r="A2476" s="12"/>
      <c r="I2476" s="12"/>
      <c r="K2476" s="12"/>
      <c r="M2476" s="12"/>
    </row>
    <row r="2477" spans="1:13" x14ac:dyDescent="0.2">
      <c r="A2477" s="12"/>
      <c r="I2477" s="12"/>
      <c r="K2477" s="12"/>
      <c r="M2477" s="12"/>
    </row>
    <row r="2478" spans="1:13" x14ac:dyDescent="0.2">
      <c r="A2478" s="12"/>
      <c r="I2478" s="12"/>
      <c r="K2478" s="12"/>
      <c r="M2478" s="12"/>
    </row>
    <row r="2479" spans="1:13" x14ac:dyDescent="0.2">
      <c r="A2479" s="12"/>
      <c r="I2479" s="12"/>
      <c r="K2479" s="12"/>
      <c r="M2479" s="12"/>
    </row>
    <row r="2480" spans="1:13" x14ac:dyDescent="0.2">
      <c r="A2480" s="12"/>
      <c r="I2480" s="12"/>
      <c r="K2480" s="12"/>
      <c r="M2480" s="12"/>
    </row>
    <row r="2481" spans="1:13" x14ac:dyDescent="0.2">
      <c r="A2481" s="12"/>
      <c r="I2481" s="12"/>
      <c r="K2481" s="12"/>
      <c r="M2481" s="12"/>
    </row>
    <row r="2482" spans="1:13" x14ac:dyDescent="0.2">
      <c r="A2482" s="12"/>
      <c r="I2482" s="12"/>
      <c r="K2482" s="12"/>
      <c r="M2482" s="12"/>
    </row>
    <row r="2483" spans="1:13" x14ac:dyDescent="0.2">
      <c r="A2483" s="12"/>
      <c r="I2483" s="12"/>
      <c r="K2483" s="12"/>
      <c r="M2483" s="12"/>
    </row>
    <row r="2484" spans="1:13" x14ac:dyDescent="0.2">
      <c r="A2484" s="12"/>
      <c r="I2484" s="12"/>
      <c r="K2484" s="12"/>
      <c r="M2484" s="12"/>
    </row>
    <row r="2485" spans="1:13" x14ac:dyDescent="0.2">
      <c r="A2485" s="12"/>
      <c r="I2485" s="12"/>
      <c r="K2485" s="12"/>
      <c r="M2485" s="12"/>
    </row>
    <row r="2486" spans="1:13" x14ac:dyDescent="0.2">
      <c r="A2486" s="12"/>
      <c r="I2486" s="12"/>
      <c r="K2486" s="12"/>
      <c r="M2486" s="12"/>
    </row>
    <row r="2487" spans="1:13" x14ac:dyDescent="0.2">
      <c r="A2487" s="12"/>
      <c r="I2487" s="12"/>
      <c r="K2487" s="12"/>
      <c r="M2487" s="12"/>
    </row>
    <row r="2488" spans="1:13" x14ac:dyDescent="0.2">
      <c r="A2488" s="12"/>
      <c r="I2488" s="12"/>
      <c r="K2488" s="12"/>
      <c r="M2488" s="12"/>
    </row>
    <row r="2489" spans="1:13" x14ac:dyDescent="0.2">
      <c r="A2489" s="12"/>
      <c r="I2489" s="12"/>
      <c r="K2489" s="12"/>
      <c r="M2489" s="12"/>
    </row>
    <row r="2490" spans="1:13" x14ac:dyDescent="0.2">
      <c r="A2490" s="12"/>
      <c r="I2490" s="12"/>
      <c r="K2490" s="12"/>
      <c r="M2490" s="12"/>
    </row>
    <row r="2491" spans="1:13" x14ac:dyDescent="0.2">
      <c r="A2491" s="12"/>
      <c r="I2491" s="12"/>
      <c r="K2491" s="12"/>
      <c r="M2491" s="12"/>
    </row>
    <row r="2492" spans="1:13" x14ac:dyDescent="0.2">
      <c r="A2492" s="12"/>
      <c r="I2492" s="12"/>
      <c r="K2492" s="12"/>
      <c r="M2492" s="12"/>
    </row>
    <row r="2493" spans="1:13" x14ac:dyDescent="0.2">
      <c r="A2493" s="12"/>
      <c r="I2493" s="12"/>
      <c r="K2493" s="12"/>
      <c r="M2493" s="12"/>
    </row>
    <row r="2494" spans="1:13" x14ac:dyDescent="0.2">
      <c r="A2494" s="12"/>
      <c r="I2494" s="12"/>
      <c r="K2494" s="12"/>
      <c r="M2494" s="12"/>
    </row>
    <row r="2495" spans="1:13" x14ac:dyDescent="0.2">
      <c r="A2495" s="12"/>
      <c r="I2495" s="12"/>
      <c r="K2495" s="12"/>
      <c r="M2495" s="12"/>
    </row>
    <row r="2496" spans="1:13" x14ac:dyDescent="0.2">
      <c r="A2496" s="12"/>
      <c r="I2496" s="12"/>
      <c r="K2496" s="12"/>
      <c r="M2496" s="12"/>
    </row>
    <row r="2497" spans="1:13" x14ac:dyDescent="0.2">
      <c r="A2497" s="12"/>
      <c r="I2497" s="12"/>
      <c r="K2497" s="12"/>
      <c r="M2497" s="12"/>
    </row>
    <row r="2498" spans="1:13" x14ac:dyDescent="0.2">
      <c r="A2498" s="12"/>
      <c r="I2498" s="12"/>
      <c r="K2498" s="12"/>
      <c r="M2498" s="12"/>
    </row>
    <row r="2499" spans="1:13" x14ac:dyDescent="0.2">
      <c r="A2499" s="12"/>
      <c r="I2499" s="12"/>
      <c r="K2499" s="12"/>
      <c r="M2499" s="12"/>
    </row>
    <row r="2500" spans="1:13" x14ac:dyDescent="0.2">
      <c r="A2500" s="12"/>
      <c r="I2500" s="12"/>
      <c r="K2500" s="12"/>
      <c r="M2500" s="12"/>
    </row>
    <row r="2501" spans="1:13" x14ac:dyDescent="0.2">
      <c r="A2501" s="12"/>
      <c r="I2501" s="12"/>
      <c r="K2501" s="12"/>
      <c r="M2501" s="12"/>
    </row>
    <row r="2502" spans="1:13" x14ac:dyDescent="0.2">
      <c r="A2502" s="12"/>
      <c r="I2502" s="12"/>
      <c r="K2502" s="12"/>
      <c r="M2502" s="12"/>
    </row>
    <row r="2503" spans="1:13" x14ac:dyDescent="0.2">
      <c r="A2503" s="12"/>
      <c r="I2503" s="12"/>
      <c r="K2503" s="12"/>
      <c r="M2503" s="12"/>
    </row>
    <row r="2504" spans="1:13" x14ac:dyDescent="0.2">
      <c r="A2504" s="12"/>
      <c r="I2504" s="12"/>
      <c r="K2504" s="12"/>
      <c r="M2504" s="12"/>
    </row>
    <row r="2505" spans="1:13" x14ac:dyDescent="0.2">
      <c r="A2505" s="12"/>
      <c r="I2505" s="12"/>
      <c r="K2505" s="12"/>
      <c r="M2505" s="12"/>
    </row>
    <row r="2506" spans="1:13" x14ac:dyDescent="0.2">
      <c r="A2506" s="12"/>
      <c r="I2506" s="12"/>
      <c r="K2506" s="12"/>
      <c r="M2506" s="12"/>
    </row>
    <row r="2507" spans="1:13" x14ac:dyDescent="0.2">
      <c r="A2507" s="12"/>
      <c r="I2507" s="12"/>
      <c r="K2507" s="12"/>
      <c r="M2507" s="12"/>
    </row>
    <row r="2508" spans="1:13" x14ac:dyDescent="0.2">
      <c r="A2508" s="12"/>
      <c r="I2508" s="12"/>
      <c r="K2508" s="12"/>
      <c r="M2508" s="12"/>
    </row>
    <row r="2509" spans="1:13" x14ac:dyDescent="0.2">
      <c r="A2509" s="12"/>
      <c r="I2509" s="12"/>
      <c r="K2509" s="12"/>
      <c r="M2509" s="12"/>
    </row>
    <row r="2510" spans="1:13" x14ac:dyDescent="0.2">
      <c r="A2510" s="12"/>
      <c r="I2510" s="12"/>
      <c r="K2510" s="12"/>
      <c r="M2510" s="12"/>
    </row>
    <row r="2511" spans="1:13" x14ac:dyDescent="0.2">
      <c r="A2511" s="12"/>
      <c r="I2511" s="12"/>
      <c r="K2511" s="12"/>
      <c r="M2511" s="12"/>
    </row>
    <row r="2512" spans="1:13" x14ac:dyDescent="0.2">
      <c r="A2512" s="12"/>
      <c r="I2512" s="12"/>
      <c r="K2512" s="12"/>
      <c r="M2512" s="12"/>
    </row>
    <row r="2513" spans="1:13" x14ac:dyDescent="0.2">
      <c r="A2513" s="12"/>
      <c r="I2513" s="12"/>
      <c r="K2513" s="12"/>
      <c r="M2513" s="12"/>
    </row>
    <row r="2514" spans="1:13" x14ac:dyDescent="0.2">
      <c r="A2514" s="12"/>
      <c r="I2514" s="12"/>
      <c r="K2514" s="12"/>
      <c r="M2514" s="12"/>
    </row>
    <row r="2515" spans="1:13" x14ac:dyDescent="0.2">
      <c r="A2515" s="12"/>
      <c r="I2515" s="12"/>
      <c r="K2515" s="12"/>
      <c r="M2515" s="12"/>
    </row>
    <row r="2516" spans="1:13" x14ac:dyDescent="0.2">
      <c r="A2516" s="12"/>
      <c r="I2516" s="12"/>
      <c r="K2516" s="12"/>
      <c r="M2516" s="12"/>
    </row>
    <row r="2517" spans="1:13" x14ac:dyDescent="0.2">
      <c r="A2517" s="12"/>
      <c r="I2517" s="12"/>
      <c r="K2517" s="12"/>
      <c r="M2517" s="12"/>
    </row>
    <row r="2518" spans="1:13" x14ac:dyDescent="0.2">
      <c r="A2518" s="12"/>
      <c r="I2518" s="12"/>
      <c r="K2518" s="12"/>
      <c r="M2518" s="12"/>
    </row>
    <row r="2519" spans="1:13" x14ac:dyDescent="0.2">
      <c r="A2519" s="12"/>
      <c r="I2519" s="12"/>
      <c r="K2519" s="12"/>
      <c r="M2519" s="12"/>
    </row>
    <row r="2520" spans="1:13" x14ac:dyDescent="0.2">
      <c r="A2520" s="12"/>
      <c r="I2520" s="12"/>
      <c r="K2520" s="12"/>
      <c r="M2520" s="12"/>
    </row>
    <row r="2521" spans="1:13" x14ac:dyDescent="0.2">
      <c r="A2521" s="12"/>
      <c r="I2521" s="12"/>
      <c r="K2521" s="12"/>
      <c r="M2521" s="12"/>
    </row>
    <row r="2522" spans="1:13" x14ac:dyDescent="0.2">
      <c r="A2522" s="12"/>
      <c r="I2522" s="12"/>
      <c r="K2522" s="12"/>
      <c r="M2522" s="12"/>
    </row>
    <row r="2523" spans="1:13" x14ac:dyDescent="0.2">
      <c r="A2523" s="12"/>
      <c r="I2523" s="12"/>
      <c r="K2523" s="12"/>
      <c r="M2523" s="12"/>
    </row>
    <row r="2524" spans="1:13" x14ac:dyDescent="0.2">
      <c r="A2524" s="12"/>
      <c r="I2524" s="12"/>
      <c r="K2524" s="12"/>
      <c r="M2524" s="12"/>
    </row>
    <row r="2525" spans="1:13" x14ac:dyDescent="0.2">
      <c r="A2525" s="12"/>
      <c r="I2525" s="12"/>
      <c r="K2525" s="12"/>
      <c r="M2525" s="12"/>
    </row>
    <row r="2526" spans="1:13" x14ac:dyDescent="0.2">
      <c r="A2526" s="12"/>
      <c r="I2526" s="12"/>
      <c r="K2526" s="12"/>
      <c r="M2526" s="12"/>
    </row>
    <row r="2527" spans="1:13" x14ac:dyDescent="0.2">
      <c r="A2527" s="12"/>
      <c r="I2527" s="12"/>
      <c r="K2527" s="12"/>
      <c r="M2527" s="12"/>
    </row>
    <row r="2528" spans="1:13" x14ac:dyDescent="0.2">
      <c r="A2528" s="12"/>
      <c r="I2528" s="12"/>
      <c r="K2528" s="12"/>
      <c r="M2528" s="12"/>
    </row>
    <row r="2529" spans="1:13" x14ac:dyDescent="0.2">
      <c r="A2529" s="12"/>
      <c r="I2529" s="12"/>
      <c r="K2529" s="12"/>
      <c r="M2529" s="12"/>
    </row>
    <row r="2530" spans="1:13" x14ac:dyDescent="0.2">
      <c r="A2530" s="12"/>
      <c r="I2530" s="12"/>
      <c r="K2530" s="12"/>
      <c r="M2530" s="12"/>
    </row>
    <row r="2531" spans="1:13" x14ac:dyDescent="0.2">
      <c r="A2531" s="12"/>
      <c r="I2531" s="12"/>
      <c r="K2531" s="12"/>
      <c r="M2531" s="12"/>
    </row>
    <row r="2532" spans="1:13" x14ac:dyDescent="0.2">
      <c r="A2532" s="12"/>
      <c r="I2532" s="12"/>
      <c r="K2532" s="12"/>
      <c r="M2532" s="12"/>
    </row>
    <row r="2533" spans="1:13" x14ac:dyDescent="0.2">
      <c r="A2533" s="12"/>
      <c r="I2533" s="12"/>
      <c r="K2533" s="12"/>
      <c r="M2533" s="12"/>
    </row>
    <row r="2534" spans="1:13" x14ac:dyDescent="0.2">
      <c r="A2534" s="12"/>
      <c r="I2534" s="12"/>
      <c r="K2534" s="12"/>
      <c r="M2534" s="12"/>
    </row>
    <row r="2535" spans="1:13" x14ac:dyDescent="0.2">
      <c r="A2535" s="12"/>
      <c r="I2535" s="12"/>
      <c r="K2535" s="12"/>
      <c r="M2535" s="12"/>
    </row>
    <row r="2536" spans="1:13" x14ac:dyDescent="0.2">
      <c r="A2536" s="12"/>
      <c r="I2536" s="12"/>
      <c r="K2536" s="12"/>
      <c r="M2536" s="12"/>
    </row>
    <row r="2537" spans="1:13" x14ac:dyDescent="0.2">
      <c r="A2537" s="12"/>
      <c r="I2537" s="12"/>
      <c r="K2537" s="12"/>
      <c r="M2537" s="12"/>
    </row>
    <row r="2538" spans="1:13" x14ac:dyDescent="0.2">
      <c r="A2538" s="12"/>
      <c r="I2538" s="12"/>
      <c r="K2538" s="12"/>
      <c r="M2538" s="12"/>
    </row>
    <row r="2539" spans="1:13" x14ac:dyDescent="0.2">
      <c r="A2539" s="12"/>
      <c r="I2539" s="12"/>
      <c r="K2539" s="12"/>
      <c r="M2539" s="12"/>
    </row>
    <row r="2540" spans="1:13" x14ac:dyDescent="0.2">
      <c r="A2540" s="12"/>
      <c r="I2540" s="12"/>
      <c r="K2540" s="12"/>
      <c r="M2540" s="12"/>
    </row>
    <row r="2541" spans="1:13" x14ac:dyDescent="0.2">
      <c r="A2541" s="12"/>
      <c r="I2541" s="12"/>
      <c r="K2541" s="12"/>
      <c r="M2541" s="12"/>
    </row>
    <row r="2542" spans="1:13" x14ac:dyDescent="0.2">
      <c r="A2542" s="12"/>
      <c r="I2542" s="12"/>
      <c r="K2542" s="12"/>
      <c r="M2542" s="12"/>
    </row>
    <row r="2543" spans="1:13" x14ac:dyDescent="0.2">
      <c r="A2543" s="12"/>
      <c r="I2543" s="12"/>
      <c r="K2543" s="12"/>
      <c r="M2543" s="12"/>
    </row>
    <row r="2544" spans="1:13" x14ac:dyDescent="0.2">
      <c r="A2544" s="12"/>
      <c r="I2544" s="12"/>
      <c r="K2544" s="12"/>
      <c r="M2544" s="12"/>
    </row>
    <row r="2545" spans="1:13" x14ac:dyDescent="0.2">
      <c r="A2545" s="12"/>
      <c r="I2545" s="12"/>
      <c r="K2545" s="12"/>
      <c r="M2545" s="12"/>
    </row>
    <row r="2546" spans="1:13" x14ac:dyDescent="0.2">
      <c r="A2546" s="12"/>
      <c r="I2546" s="12"/>
      <c r="K2546" s="12"/>
      <c r="M2546" s="12"/>
    </row>
    <row r="2547" spans="1:13" x14ac:dyDescent="0.2">
      <c r="A2547" s="12"/>
      <c r="I2547" s="12"/>
      <c r="K2547" s="12"/>
      <c r="M2547" s="12"/>
    </row>
    <row r="2548" spans="1:13" x14ac:dyDescent="0.2">
      <c r="A2548" s="12"/>
      <c r="I2548" s="12"/>
      <c r="K2548" s="12"/>
      <c r="M2548" s="12"/>
    </row>
    <row r="2549" spans="1:13" x14ac:dyDescent="0.2">
      <c r="A2549" s="12"/>
      <c r="I2549" s="12"/>
      <c r="K2549" s="12"/>
      <c r="M2549" s="12"/>
    </row>
    <row r="2550" spans="1:13" x14ac:dyDescent="0.2">
      <c r="A2550" s="12"/>
      <c r="I2550" s="12"/>
      <c r="K2550" s="12"/>
      <c r="M2550" s="12"/>
    </row>
    <row r="2551" spans="1:13" x14ac:dyDescent="0.2">
      <c r="A2551" s="12"/>
      <c r="I2551" s="12"/>
      <c r="K2551" s="12"/>
      <c r="M2551" s="12"/>
    </row>
    <row r="2552" spans="1:13" x14ac:dyDescent="0.2">
      <c r="A2552" s="12"/>
      <c r="I2552" s="12"/>
      <c r="K2552" s="12"/>
      <c r="M2552" s="12"/>
    </row>
    <row r="2553" spans="1:13" x14ac:dyDescent="0.2">
      <c r="A2553" s="12"/>
      <c r="I2553" s="12"/>
      <c r="K2553" s="12"/>
      <c r="M2553" s="12"/>
    </row>
    <row r="2554" spans="1:13" x14ac:dyDescent="0.2">
      <c r="A2554" s="12"/>
      <c r="I2554" s="12"/>
      <c r="K2554" s="12"/>
      <c r="M2554" s="12"/>
    </row>
    <row r="2555" spans="1:13" x14ac:dyDescent="0.2">
      <c r="A2555" s="12"/>
      <c r="I2555" s="12"/>
      <c r="K2555" s="12"/>
      <c r="M2555" s="12"/>
    </row>
    <row r="2556" spans="1:13" x14ac:dyDescent="0.2">
      <c r="A2556" s="12"/>
      <c r="I2556" s="12"/>
      <c r="K2556" s="12"/>
      <c r="M2556" s="12"/>
    </row>
    <row r="2557" spans="1:13" x14ac:dyDescent="0.2">
      <c r="A2557" s="12"/>
      <c r="I2557" s="12"/>
      <c r="K2557" s="12"/>
      <c r="M2557" s="12"/>
    </row>
    <row r="2558" spans="1:13" x14ac:dyDescent="0.2">
      <c r="A2558" s="12"/>
      <c r="I2558" s="12"/>
      <c r="K2558" s="12"/>
      <c r="M2558" s="12"/>
    </row>
    <row r="2559" spans="1:13" x14ac:dyDescent="0.2">
      <c r="A2559" s="12"/>
      <c r="I2559" s="12"/>
      <c r="K2559" s="12"/>
      <c r="M2559" s="12"/>
    </row>
    <row r="2560" spans="1:13" x14ac:dyDescent="0.2">
      <c r="A2560" s="12"/>
      <c r="I2560" s="12"/>
      <c r="K2560" s="12"/>
      <c r="M2560" s="12"/>
    </row>
    <row r="2561" spans="1:13" x14ac:dyDescent="0.2">
      <c r="A2561" s="12"/>
      <c r="I2561" s="12"/>
      <c r="K2561" s="12"/>
      <c r="M2561" s="12"/>
    </row>
    <row r="2562" spans="1:13" x14ac:dyDescent="0.2">
      <c r="A2562" s="12"/>
      <c r="I2562" s="12"/>
      <c r="K2562" s="12"/>
      <c r="M2562" s="12"/>
    </row>
    <row r="2563" spans="1:13" x14ac:dyDescent="0.2">
      <c r="A2563" s="12"/>
      <c r="I2563" s="12"/>
      <c r="K2563" s="12"/>
      <c r="M2563" s="12"/>
    </row>
    <row r="2564" spans="1:13" x14ac:dyDescent="0.2">
      <c r="A2564" s="12"/>
      <c r="I2564" s="12"/>
      <c r="K2564" s="12"/>
      <c r="M2564" s="12"/>
    </row>
    <row r="2565" spans="1:13" x14ac:dyDescent="0.2">
      <c r="A2565" s="12"/>
      <c r="I2565" s="12"/>
      <c r="K2565" s="12"/>
      <c r="M2565" s="12"/>
    </row>
    <row r="2566" spans="1:13" x14ac:dyDescent="0.2">
      <c r="A2566" s="12"/>
      <c r="I2566" s="12"/>
      <c r="K2566" s="12"/>
      <c r="M2566" s="12"/>
    </row>
    <row r="2567" spans="1:13" x14ac:dyDescent="0.2">
      <c r="A2567" s="12"/>
      <c r="I2567" s="12"/>
      <c r="K2567" s="12"/>
      <c r="M2567" s="12"/>
    </row>
    <row r="2568" spans="1:13" x14ac:dyDescent="0.2">
      <c r="A2568" s="12"/>
      <c r="I2568" s="12"/>
      <c r="K2568" s="12"/>
      <c r="M2568" s="12"/>
    </row>
    <row r="2569" spans="1:13" x14ac:dyDescent="0.2">
      <c r="A2569" s="12"/>
      <c r="I2569" s="12"/>
      <c r="K2569" s="12"/>
      <c r="M2569" s="12"/>
    </row>
    <row r="2570" spans="1:13" x14ac:dyDescent="0.2">
      <c r="A2570" s="12"/>
      <c r="I2570" s="12"/>
      <c r="K2570" s="12"/>
      <c r="M2570" s="12"/>
    </row>
    <row r="2571" spans="1:13" x14ac:dyDescent="0.2">
      <c r="A2571" s="12"/>
      <c r="I2571" s="12"/>
      <c r="K2571" s="12"/>
      <c r="M2571" s="12"/>
    </row>
    <row r="2572" spans="1:13" x14ac:dyDescent="0.2">
      <c r="A2572" s="12"/>
      <c r="I2572" s="12"/>
      <c r="K2572" s="12"/>
      <c r="M2572" s="12"/>
    </row>
    <row r="2573" spans="1:13" x14ac:dyDescent="0.2">
      <c r="A2573" s="12"/>
      <c r="I2573" s="12"/>
      <c r="K2573" s="12"/>
      <c r="M2573" s="12"/>
    </row>
    <row r="2574" spans="1:13" x14ac:dyDescent="0.2">
      <c r="A2574" s="12"/>
      <c r="I2574" s="12"/>
      <c r="K2574" s="12"/>
      <c r="M2574" s="12"/>
    </row>
    <row r="2575" spans="1:13" x14ac:dyDescent="0.2">
      <c r="A2575" s="12"/>
      <c r="I2575" s="12"/>
      <c r="K2575" s="12"/>
      <c r="M2575" s="12"/>
    </row>
    <row r="2576" spans="1:13" x14ac:dyDescent="0.2">
      <c r="A2576" s="12"/>
      <c r="I2576" s="12"/>
      <c r="K2576" s="12"/>
      <c r="M2576" s="12"/>
    </row>
    <row r="2577" spans="1:13" x14ac:dyDescent="0.2">
      <c r="A2577" s="12"/>
      <c r="I2577" s="12"/>
      <c r="K2577" s="12"/>
      <c r="M2577" s="12"/>
    </row>
    <row r="2578" spans="1:13" x14ac:dyDescent="0.2">
      <c r="A2578" s="12"/>
      <c r="I2578" s="12"/>
      <c r="K2578" s="12"/>
      <c r="M2578" s="12"/>
    </row>
    <row r="2579" spans="1:13" x14ac:dyDescent="0.2">
      <c r="A2579" s="12"/>
      <c r="I2579" s="12"/>
      <c r="K2579" s="12"/>
      <c r="M2579" s="12"/>
    </row>
    <row r="2580" spans="1:13" x14ac:dyDescent="0.2">
      <c r="A2580" s="12"/>
      <c r="I2580" s="12"/>
      <c r="K2580" s="12"/>
      <c r="M2580" s="12"/>
    </row>
    <row r="2581" spans="1:13" x14ac:dyDescent="0.2">
      <c r="A2581" s="12"/>
      <c r="I2581" s="12"/>
      <c r="K2581" s="12"/>
      <c r="M2581" s="12"/>
    </row>
    <row r="2582" spans="1:13" x14ac:dyDescent="0.2">
      <c r="A2582" s="12"/>
      <c r="I2582" s="12"/>
      <c r="K2582" s="12"/>
      <c r="M2582" s="12"/>
    </row>
    <row r="2583" spans="1:13" x14ac:dyDescent="0.2">
      <c r="A2583" s="12"/>
      <c r="I2583" s="12"/>
      <c r="K2583" s="12"/>
      <c r="M2583" s="12"/>
    </row>
    <row r="2584" spans="1:13" x14ac:dyDescent="0.2">
      <c r="A2584" s="12"/>
      <c r="I2584" s="12"/>
      <c r="K2584" s="12"/>
      <c r="M2584" s="12"/>
    </row>
    <row r="2585" spans="1:13" x14ac:dyDescent="0.2">
      <c r="A2585" s="12"/>
      <c r="I2585" s="12"/>
      <c r="K2585" s="12"/>
      <c r="M2585" s="12"/>
    </row>
    <row r="2586" spans="1:13" x14ac:dyDescent="0.2">
      <c r="A2586" s="12"/>
      <c r="I2586" s="12"/>
      <c r="K2586" s="12"/>
      <c r="M2586" s="12"/>
    </row>
    <row r="2587" spans="1:13" x14ac:dyDescent="0.2">
      <c r="A2587" s="12"/>
      <c r="I2587" s="12"/>
      <c r="K2587" s="12"/>
      <c r="M2587" s="12"/>
    </row>
    <row r="2588" spans="1:13" x14ac:dyDescent="0.2">
      <c r="A2588" s="12"/>
      <c r="I2588" s="12"/>
      <c r="K2588" s="12"/>
      <c r="M2588" s="12"/>
    </row>
    <row r="2589" spans="1:13" x14ac:dyDescent="0.2">
      <c r="A2589" s="12"/>
      <c r="I2589" s="12"/>
      <c r="K2589" s="12"/>
      <c r="M2589" s="12"/>
    </row>
    <row r="2590" spans="1:13" x14ac:dyDescent="0.2">
      <c r="A2590" s="12"/>
      <c r="I2590" s="12"/>
      <c r="K2590" s="12"/>
      <c r="M2590" s="12"/>
    </row>
    <row r="2591" spans="1:13" x14ac:dyDescent="0.2">
      <c r="A2591" s="12"/>
      <c r="I2591" s="12"/>
      <c r="K2591" s="12"/>
      <c r="M2591" s="12"/>
    </row>
    <row r="2592" spans="1:13" x14ac:dyDescent="0.2">
      <c r="A2592" s="12"/>
      <c r="I2592" s="12"/>
      <c r="K2592" s="12"/>
      <c r="M2592" s="12"/>
    </row>
    <row r="2593" spans="1:13" x14ac:dyDescent="0.2">
      <c r="A2593" s="12"/>
      <c r="I2593" s="12"/>
      <c r="K2593" s="12"/>
      <c r="M2593" s="12"/>
    </row>
    <row r="2594" spans="1:13" x14ac:dyDescent="0.2">
      <c r="A2594" s="12"/>
      <c r="I2594" s="12"/>
      <c r="K2594" s="12"/>
      <c r="M2594" s="12"/>
    </row>
    <row r="2595" spans="1:13" x14ac:dyDescent="0.2">
      <c r="A2595" s="12"/>
      <c r="I2595" s="12"/>
      <c r="K2595" s="12"/>
      <c r="M2595" s="12"/>
    </row>
    <row r="2596" spans="1:13" x14ac:dyDescent="0.2">
      <c r="A2596" s="12"/>
      <c r="I2596" s="12"/>
      <c r="K2596" s="12"/>
      <c r="M2596" s="12"/>
    </row>
    <row r="2597" spans="1:13" x14ac:dyDescent="0.2">
      <c r="A2597" s="12"/>
      <c r="I2597" s="12"/>
      <c r="K2597" s="12"/>
      <c r="M2597" s="12"/>
    </row>
    <row r="2598" spans="1:13" x14ac:dyDescent="0.2">
      <c r="A2598" s="12"/>
      <c r="I2598" s="12"/>
      <c r="K2598" s="12"/>
      <c r="M2598" s="12"/>
    </row>
    <row r="2599" spans="1:13" x14ac:dyDescent="0.2">
      <c r="A2599" s="12"/>
      <c r="I2599" s="12"/>
      <c r="K2599" s="12"/>
      <c r="M2599" s="12"/>
    </row>
    <row r="2600" spans="1:13" x14ac:dyDescent="0.2">
      <c r="A2600" s="12"/>
      <c r="I2600" s="12"/>
      <c r="K2600" s="12"/>
      <c r="M2600" s="12"/>
    </row>
    <row r="2601" spans="1:13" x14ac:dyDescent="0.2">
      <c r="A2601" s="12"/>
      <c r="I2601" s="12"/>
      <c r="K2601" s="12"/>
      <c r="M2601" s="12"/>
    </row>
    <row r="2602" spans="1:13" x14ac:dyDescent="0.2">
      <c r="A2602" s="12"/>
      <c r="I2602" s="12"/>
      <c r="K2602" s="12"/>
      <c r="M2602" s="12"/>
    </row>
    <row r="2603" spans="1:13" x14ac:dyDescent="0.2">
      <c r="A2603" s="12"/>
      <c r="I2603" s="12"/>
      <c r="K2603" s="12"/>
      <c r="M2603" s="12"/>
    </row>
    <row r="2604" spans="1:13" x14ac:dyDescent="0.2">
      <c r="A2604" s="12"/>
      <c r="I2604" s="12"/>
      <c r="K2604" s="12"/>
      <c r="M2604" s="12"/>
    </row>
    <row r="2605" spans="1:13" x14ac:dyDescent="0.2">
      <c r="A2605" s="12"/>
      <c r="I2605" s="12"/>
      <c r="K2605" s="12"/>
      <c r="M2605" s="12"/>
    </row>
    <row r="2606" spans="1:13" x14ac:dyDescent="0.2">
      <c r="A2606" s="12"/>
      <c r="I2606" s="12"/>
      <c r="K2606" s="12"/>
      <c r="M2606" s="12"/>
    </row>
    <row r="2607" spans="1:13" x14ac:dyDescent="0.2">
      <c r="A2607" s="12"/>
      <c r="I2607" s="12"/>
      <c r="K2607" s="12"/>
      <c r="M2607" s="12"/>
    </row>
    <row r="2608" spans="1:13" x14ac:dyDescent="0.2">
      <c r="A2608" s="12"/>
      <c r="I2608" s="12"/>
      <c r="K2608" s="12"/>
      <c r="M2608" s="12"/>
    </row>
    <row r="2609" spans="1:13" x14ac:dyDescent="0.2">
      <c r="A2609" s="12"/>
      <c r="I2609" s="12"/>
      <c r="K2609" s="12"/>
      <c r="M2609" s="12"/>
    </row>
    <row r="2610" spans="1:13" x14ac:dyDescent="0.2">
      <c r="A2610" s="12"/>
      <c r="I2610" s="12"/>
      <c r="K2610" s="12"/>
      <c r="M2610" s="12"/>
    </row>
    <row r="2611" spans="1:13" x14ac:dyDescent="0.2">
      <c r="A2611" s="12"/>
      <c r="I2611" s="12"/>
      <c r="K2611" s="12"/>
      <c r="M2611" s="12"/>
    </row>
    <row r="2612" spans="1:13" x14ac:dyDescent="0.2">
      <c r="A2612" s="12"/>
      <c r="I2612" s="12"/>
      <c r="K2612" s="12"/>
      <c r="M2612" s="12"/>
    </row>
    <row r="2613" spans="1:13" x14ac:dyDescent="0.2">
      <c r="A2613" s="12"/>
      <c r="I2613" s="12"/>
      <c r="K2613" s="12"/>
      <c r="M2613" s="12"/>
    </row>
    <row r="2614" spans="1:13" x14ac:dyDescent="0.2">
      <c r="A2614" s="12"/>
      <c r="I2614" s="12"/>
      <c r="K2614" s="12"/>
      <c r="M2614" s="12"/>
    </row>
    <row r="2615" spans="1:13" x14ac:dyDescent="0.2">
      <c r="A2615" s="12"/>
      <c r="I2615" s="12"/>
      <c r="K2615" s="12"/>
      <c r="M2615" s="12"/>
    </row>
    <row r="2616" spans="1:13" x14ac:dyDescent="0.2">
      <c r="A2616" s="12"/>
      <c r="I2616" s="12"/>
      <c r="K2616" s="12"/>
      <c r="M2616" s="12"/>
    </row>
    <row r="2617" spans="1:13" x14ac:dyDescent="0.2">
      <c r="A2617" s="12"/>
      <c r="I2617" s="12"/>
      <c r="K2617" s="12"/>
      <c r="M2617" s="12"/>
    </row>
    <row r="2618" spans="1:13" x14ac:dyDescent="0.2">
      <c r="A2618" s="12"/>
      <c r="I2618" s="12"/>
      <c r="K2618" s="12"/>
      <c r="M2618" s="12"/>
    </row>
    <row r="2619" spans="1:13" x14ac:dyDescent="0.2">
      <c r="A2619" s="12"/>
      <c r="I2619" s="12"/>
      <c r="K2619" s="12"/>
      <c r="M2619" s="12"/>
    </row>
    <row r="2620" spans="1:13" x14ac:dyDescent="0.2">
      <c r="A2620" s="12"/>
      <c r="I2620" s="12"/>
      <c r="K2620" s="12"/>
      <c r="M2620" s="12"/>
    </row>
    <row r="2621" spans="1:13" x14ac:dyDescent="0.2">
      <c r="A2621" s="12"/>
      <c r="I2621" s="12"/>
      <c r="K2621" s="12"/>
      <c r="M2621" s="12"/>
    </row>
    <row r="2622" spans="1:13" x14ac:dyDescent="0.2">
      <c r="A2622" s="12"/>
      <c r="I2622" s="12"/>
      <c r="K2622" s="12"/>
      <c r="M2622" s="12"/>
    </row>
    <row r="2623" spans="1:13" x14ac:dyDescent="0.2">
      <c r="A2623" s="12"/>
      <c r="I2623" s="12"/>
      <c r="K2623" s="12"/>
      <c r="M2623" s="12"/>
    </row>
    <row r="2624" spans="1:13" x14ac:dyDescent="0.2">
      <c r="A2624" s="12"/>
      <c r="I2624" s="12"/>
      <c r="K2624" s="12"/>
      <c r="M2624" s="12"/>
    </row>
    <row r="2625" spans="1:13" x14ac:dyDescent="0.2">
      <c r="A2625" s="12"/>
      <c r="I2625" s="12"/>
      <c r="K2625" s="12"/>
      <c r="M2625" s="12"/>
    </row>
    <row r="2626" spans="1:13" x14ac:dyDescent="0.2">
      <c r="A2626" s="12"/>
      <c r="I2626" s="12"/>
      <c r="K2626" s="12"/>
      <c r="M2626" s="12"/>
    </row>
    <row r="2627" spans="1:13" x14ac:dyDescent="0.2">
      <c r="A2627" s="12"/>
      <c r="I2627" s="12"/>
      <c r="K2627" s="12"/>
      <c r="M2627" s="12"/>
    </row>
    <row r="2628" spans="1:13" x14ac:dyDescent="0.2">
      <c r="A2628" s="12"/>
      <c r="I2628" s="12"/>
      <c r="K2628" s="12"/>
      <c r="M2628" s="12"/>
    </row>
    <row r="2629" spans="1:13" x14ac:dyDescent="0.2">
      <c r="A2629" s="12"/>
      <c r="I2629" s="12"/>
      <c r="K2629" s="12"/>
      <c r="M2629" s="12"/>
    </row>
    <row r="2630" spans="1:13" x14ac:dyDescent="0.2">
      <c r="A2630" s="12"/>
      <c r="I2630" s="12"/>
      <c r="K2630" s="12"/>
      <c r="M2630" s="12"/>
    </row>
    <row r="2631" spans="1:13" x14ac:dyDescent="0.2">
      <c r="A2631" s="12"/>
      <c r="I2631" s="12"/>
      <c r="K2631" s="12"/>
      <c r="M2631" s="12"/>
    </row>
    <row r="2632" spans="1:13" x14ac:dyDescent="0.2">
      <c r="A2632" s="12"/>
      <c r="I2632" s="12"/>
      <c r="K2632" s="12"/>
      <c r="M2632" s="12"/>
    </row>
    <row r="2633" spans="1:13" x14ac:dyDescent="0.2">
      <c r="A2633" s="12"/>
      <c r="I2633" s="12"/>
      <c r="K2633" s="12"/>
      <c r="M2633" s="12"/>
    </row>
    <row r="2634" spans="1:13" x14ac:dyDescent="0.2">
      <c r="A2634" s="12"/>
      <c r="I2634" s="12"/>
      <c r="K2634" s="12"/>
      <c r="M2634" s="12"/>
    </row>
    <row r="2635" spans="1:13" x14ac:dyDescent="0.2">
      <c r="A2635" s="12"/>
      <c r="I2635" s="12"/>
      <c r="K2635" s="12"/>
      <c r="M2635" s="12"/>
    </row>
    <row r="2636" spans="1:13" x14ac:dyDescent="0.2">
      <c r="A2636" s="12"/>
      <c r="I2636" s="12"/>
      <c r="K2636" s="12"/>
      <c r="M2636" s="12"/>
    </row>
    <row r="2637" spans="1:13" x14ac:dyDescent="0.2">
      <c r="A2637" s="12"/>
      <c r="I2637" s="12"/>
      <c r="K2637" s="12"/>
      <c r="M2637" s="12"/>
    </row>
    <row r="2638" spans="1:13" x14ac:dyDescent="0.2">
      <c r="A2638" s="12"/>
      <c r="I2638" s="12"/>
      <c r="K2638" s="12"/>
      <c r="M2638" s="12"/>
    </row>
    <row r="2639" spans="1:13" x14ac:dyDescent="0.2">
      <c r="A2639" s="12"/>
      <c r="I2639" s="12"/>
      <c r="K2639" s="12"/>
      <c r="M2639" s="12"/>
    </row>
    <row r="2640" spans="1:13" x14ac:dyDescent="0.2">
      <c r="A2640" s="12"/>
      <c r="I2640" s="12"/>
      <c r="K2640" s="12"/>
      <c r="M2640" s="12"/>
    </row>
    <row r="2641" spans="1:13" x14ac:dyDescent="0.2">
      <c r="A2641" s="12"/>
      <c r="I2641" s="12"/>
      <c r="K2641" s="12"/>
      <c r="M2641" s="12"/>
    </row>
    <row r="2642" spans="1:13" x14ac:dyDescent="0.2">
      <c r="A2642" s="12"/>
      <c r="I2642" s="12"/>
      <c r="K2642" s="12"/>
      <c r="M2642" s="12"/>
    </row>
    <row r="2643" spans="1:13" x14ac:dyDescent="0.2">
      <c r="A2643" s="12"/>
      <c r="I2643" s="12"/>
      <c r="K2643" s="12"/>
      <c r="M2643" s="12"/>
    </row>
    <row r="2644" spans="1:13" x14ac:dyDescent="0.2">
      <c r="A2644" s="12"/>
      <c r="I2644" s="12"/>
      <c r="K2644" s="12"/>
      <c r="M2644" s="12"/>
    </row>
    <row r="2645" spans="1:13" x14ac:dyDescent="0.2">
      <c r="A2645" s="12"/>
      <c r="I2645" s="12"/>
      <c r="K2645" s="12"/>
      <c r="M2645" s="12"/>
    </row>
    <row r="2646" spans="1:13" x14ac:dyDescent="0.2">
      <c r="A2646" s="12"/>
      <c r="I2646" s="12"/>
      <c r="K2646" s="12"/>
      <c r="M2646" s="12"/>
    </row>
    <row r="2647" spans="1:13" x14ac:dyDescent="0.2">
      <c r="A2647" s="12"/>
      <c r="I2647" s="12"/>
      <c r="K2647" s="12"/>
      <c r="M2647" s="12"/>
    </row>
    <row r="2648" spans="1:13" x14ac:dyDescent="0.2">
      <c r="A2648" s="12"/>
      <c r="I2648" s="12"/>
      <c r="K2648" s="12"/>
      <c r="M2648" s="12"/>
    </row>
    <row r="2649" spans="1:13" x14ac:dyDescent="0.2">
      <c r="A2649" s="12"/>
      <c r="I2649" s="12"/>
      <c r="K2649" s="12"/>
      <c r="M2649" s="12"/>
    </row>
    <row r="2650" spans="1:13" x14ac:dyDescent="0.2">
      <c r="A2650" s="12"/>
      <c r="I2650" s="12"/>
      <c r="K2650" s="12"/>
      <c r="M2650" s="12"/>
    </row>
    <row r="2651" spans="1:13" x14ac:dyDescent="0.2">
      <c r="A2651" s="12"/>
      <c r="I2651" s="12"/>
      <c r="K2651" s="12"/>
      <c r="M2651" s="12"/>
    </row>
    <row r="2652" spans="1:13" x14ac:dyDescent="0.2">
      <c r="A2652" s="12"/>
      <c r="I2652" s="12"/>
      <c r="K2652" s="12"/>
      <c r="M2652" s="12"/>
    </row>
    <row r="2653" spans="1:13" x14ac:dyDescent="0.2">
      <c r="A2653" s="12"/>
      <c r="I2653" s="12"/>
      <c r="K2653" s="12"/>
      <c r="M2653" s="12"/>
    </row>
    <row r="2654" spans="1:13" x14ac:dyDescent="0.2">
      <c r="A2654" s="12"/>
      <c r="I2654" s="12"/>
      <c r="K2654" s="12"/>
      <c r="M2654" s="12"/>
    </row>
    <row r="2655" spans="1:13" x14ac:dyDescent="0.2">
      <c r="A2655" s="12"/>
      <c r="I2655" s="12"/>
      <c r="K2655" s="12"/>
      <c r="M2655" s="12"/>
    </row>
    <row r="2656" spans="1:13" x14ac:dyDescent="0.2">
      <c r="A2656" s="12"/>
      <c r="I2656" s="12"/>
      <c r="K2656" s="12"/>
      <c r="M2656" s="12"/>
    </row>
    <row r="2657" spans="1:13" x14ac:dyDescent="0.2">
      <c r="A2657" s="12"/>
      <c r="I2657" s="12"/>
      <c r="K2657" s="12"/>
      <c r="M2657" s="12"/>
    </row>
    <row r="2658" spans="1:13" x14ac:dyDescent="0.2">
      <c r="A2658" s="12"/>
      <c r="I2658" s="12"/>
      <c r="K2658" s="12"/>
      <c r="M2658" s="12"/>
    </row>
    <row r="2659" spans="1:13" x14ac:dyDescent="0.2">
      <c r="A2659" s="12"/>
      <c r="I2659" s="12"/>
      <c r="K2659" s="12"/>
      <c r="M2659" s="12"/>
    </row>
    <row r="2660" spans="1:13" x14ac:dyDescent="0.2">
      <c r="A2660" s="12"/>
      <c r="I2660" s="12"/>
      <c r="K2660" s="12"/>
      <c r="M2660" s="12"/>
    </row>
    <row r="2661" spans="1:13" x14ac:dyDescent="0.2">
      <c r="A2661" s="12"/>
      <c r="I2661" s="12"/>
      <c r="K2661" s="12"/>
      <c r="M2661" s="12"/>
    </row>
    <row r="2662" spans="1:13" x14ac:dyDescent="0.2">
      <c r="A2662" s="12"/>
      <c r="I2662" s="12"/>
      <c r="K2662" s="12"/>
      <c r="M2662" s="12"/>
    </row>
    <row r="2663" spans="1:13" x14ac:dyDescent="0.2">
      <c r="A2663" s="12"/>
      <c r="I2663" s="12"/>
      <c r="K2663" s="12"/>
      <c r="M2663" s="12"/>
    </row>
    <row r="2664" spans="1:13" x14ac:dyDescent="0.2">
      <c r="A2664" s="12"/>
      <c r="I2664" s="12"/>
      <c r="K2664" s="12"/>
      <c r="M2664" s="12"/>
    </row>
    <row r="2665" spans="1:13" x14ac:dyDescent="0.2">
      <c r="A2665" s="12"/>
      <c r="I2665" s="12"/>
      <c r="K2665" s="12"/>
      <c r="M2665" s="12"/>
    </row>
    <row r="2666" spans="1:13" x14ac:dyDescent="0.2">
      <c r="A2666" s="12"/>
      <c r="I2666" s="12"/>
      <c r="K2666" s="12"/>
      <c r="M2666" s="12"/>
    </row>
    <row r="2667" spans="1:13" x14ac:dyDescent="0.2">
      <c r="A2667" s="12"/>
      <c r="I2667" s="12"/>
      <c r="K2667" s="12"/>
      <c r="M2667" s="12"/>
    </row>
    <row r="2668" spans="1:13" x14ac:dyDescent="0.2">
      <c r="A2668" s="12"/>
      <c r="I2668" s="12"/>
      <c r="K2668" s="12"/>
      <c r="M2668" s="12"/>
    </row>
    <row r="2669" spans="1:13" x14ac:dyDescent="0.2">
      <c r="A2669" s="12"/>
      <c r="I2669" s="12"/>
      <c r="K2669" s="12"/>
      <c r="M2669" s="12"/>
    </row>
    <row r="2670" spans="1:13" x14ac:dyDescent="0.2">
      <c r="A2670" s="12"/>
      <c r="I2670" s="12"/>
      <c r="K2670" s="12"/>
      <c r="M2670" s="12"/>
    </row>
    <row r="2671" spans="1:13" x14ac:dyDescent="0.2">
      <c r="A2671" s="12"/>
      <c r="I2671" s="12"/>
      <c r="K2671" s="12"/>
      <c r="M2671" s="12"/>
    </row>
    <row r="2672" spans="1:13" x14ac:dyDescent="0.2">
      <c r="A2672" s="12"/>
      <c r="I2672" s="12"/>
      <c r="K2672" s="12"/>
      <c r="M2672" s="12"/>
    </row>
    <row r="2673" spans="1:13" x14ac:dyDescent="0.2">
      <c r="A2673" s="12"/>
      <c r="I2673" s="12"/>
      <c r="K2673" s="12"/>
      <c r="M2673" s="12"/>
    </row>
    <row r="2674" spans="1:13" x14ac:dyDescent="0.2">
      <c r="A2674" s="12"/>
      <c r="I2674" s="12"/>
      <c r="K2674" s="12"/>
      <c r="M2674" s="12"/>
    </row>
    <row r="2675" spans="1:13" x14ac:dyDescent="0.2">
      <c r="A2675" s="12"/>
      <c r="I2675" s="12"/>
      <c r="K2675" s="12"/>
      <c r="M2675" s="12"/>
    </row>
    <row r="2676" spans="1:13" x14ac:dyDescent="0.2">
      <c r="A2676" s="12"/>
      <c r="I2676" s="12"/>
      <c r="K2676" s="12"/>
      <c r="M2676" s="12"/>
    </row>
    <row r="2677" spans="1:13" x14ac:dyDescent="0.2">
      <c r="A2677" s="12"/>
      <c r="I2677" s="12"/>
      <c r="K2677" s="12"/>
      <c r="M2677" s="12"/>
    </row>
    <row r="2678" spans="1:13" x14ac:dyDescent="0.2">
      <c r="A2678" s="12"/>
      <c r="I2678" s="12"/>
      <c r="K2678" s="12"/>
      <c r="M2678" s="12"/>
    </row>
    <row r="2679" spans="1:13" x14ac:dyDescent="0.2">
      <c r="A2679" s="12"/>
      <c r="I2679" s="12"/>
      <c r="K2679" s="12"/>
      <c r="M2679" s="12"/>
    </row>
    <row r="2680" spans="1:13" x14ac:dyDescent="0.2">
      <c r="A2680" s="12"/>
      <c r="I2680" s="12"/>
      <c r="K2680" s="12"/>
      <c r="M2680" s="12"/>
    </row>
    <row r="2681" spans="1:13" x14ac:dyDescent="0.2">
      <c r="A2681" s="12"/>
      <c r="I2681" s="12"/>
      <c r="K2681" s="12"/>
      <c r="M2681" s="12"/>
    </row>
    <row r="2682" spans="1:13" x14ac:dyDescent="0.2">
      <c r="A2682" s="12"/>
      <c r="I2682" s="12"/>
      <c r="K2682" s="12"/>
      <c r="M2682" s="12"/>
    </row>
    <row r="2683" spans="1:13" x14ac:dyDescent="0.2">
      <c r="A2683" s="12"/>
      <c r="I2683" s="12"/>
      <c r="K2683" s="12"/>
      <c r="M2683" s="12"/>
    </row>
    <row r="2684" spans="1:13" x14ac:dyDescent="0.2">
      <c r="A2684" s="12"/>
      <c r="I2684" s="12"/>
      <c r="K2684" s="12"/>
      <c r="M2684" s="12"/>
    </row>
    <row r="2685" spans="1:13" x14ac:dyDescent="0.2">
      <c r="A2685" s="12"/>
      <c r="I2685" s="12"/>
      <c r="K2685" s="12"/>
      <c r="M2685" s="12"/>
    </row>
    <row r="2686" spans="1:13" x14ac:dyDescent="0.2">
      <c r="A2686" s="12"/>
      <c r="I2686" s="12"/>
      <c r="K2686" s="12"/>
      <c r="M2686" s="12"/>
    </row>
    <row r="2687" spans="1:13" x14ac:dyDescent="0.2">
      <c r="A2687" s="12"/>
      <c r="I2687" s="12"/>
      <c r="K2687" s="12"/>
      <c r="M2687" s="12"/>
    </row>
    <row r="2688" spans="1:13" x14ac:dyDescent="0.2">
      <c r="A2688" s="12"/>
      <c r="I2688" s="12"/>
      <c r="K2688" s="12"/>
      <c r="M2688" s="12"/>
    </row>
    <row r="2689" spans="1:13" x14ac:dyDescent="0.2">
      <c r="A2689" s="12"/>
      <c r="I2689" s="12"/>
      <c r="K2689" s="12"/>
      <c r="M2689" s="12"/>
    </row>
    <row r="2690" spans="1:13" x14ac:dyDescent="0.2">
      <c r="A2690" s="12"/>
      <c r="I2690" s="12"/>
      <c r="K2690" s="12"/>
      <c r="M2690" s="12"/>
    </row>
    <row r="2691" spans="1:13" x14ac:dyDescent="0.2">
      <c r="A2691" s="12"/>
      <c r="I2691" s="12"/>
      <c r="K2691" s="12"/>
      <c r="M2691" s="12"/>
    </row>
    <row r="2692" spans="1:13" x14ac:dyDescent="0.2">
      <c r="A2692" s="12"/>
      <c r="I2692" s="12"/>
      <c r="K2692" s="12"/>
      <c r="M2692" s="12"/>
    </row>
    <row r="2693" spans="1:13" x14ac:dyDescent="0.2">
      <c r="A2693" s="12"/>
      <c r="I2693" s="12"/>
      <c r="K2693" s="12"/>
      <c r="M2693" s="12"/>
    </row>
    <row r="2694" spans="1:13" x14ac:dyDescent="0.2">
      <c r="A2694" s="12"/>
      <c r="I2694" s="12"/>
      <c r="K2694" s="12"/>
      <c r="M2694" s="12"/>
    </row>
    <row r="2695" spans="1:13" x14ac:dyDescent="0.2">
      <c r="A2695" s="12"/>
      <c r="I2695" s="12"/>
      <c r="K2695" s="12"/>
      <c r="M2695" s="12"/>
    </row>
    <row r="2696" spans="1:13" x14ac:dyDescent="0.2">
      <c r="A2696" s="12"/>
      <c r="I2696" s="12"/>
      <c r="K2696" s="12"/>
      <c r="M2696" s="12"/>
    </row>
    <row r="2697" spans="1:13" x14ac:dyDescent="0.2">
      <c r="A2697" s="12"/>
      <c r="I2697" s="12"/>
      <c r="K2697" s="12"/>
      <c r="M2697" s="12"/>
    </row>
    <row r="2698" spans="1:13" x14ac:dyDescent="0.2">
      <c r="A2698" s="12"/>
      <c r="I2698" s="12"/>
      <c r="K2698" s="12"/>
      <c r="M2698" s="12"/>
    </row>
    <row r="2699" spans="1:13" x14ac:dyDescent="0.2">
      <c r="A2699" s="12"/>
      <c r="I2699" s="12"/>
      <c r="K2699" s="12"/>
      <c r="M2699" s="12"/>
    </row>
    <row r="2700" spans="1:13" x14ac:dyDescent="0.2">
      <c r="A2700" s="12"/>
      <c r="I2700" s="12"/>
      <c r="K2700" s="12"/>
      <c r="M2700" s="12"/>
    </row>
    <row r="2701" spans="1:13" x14ac:dyDescent="0.2">
      <c r="A2701" s="12"/>
      <c r="I2701" s="12"/>
      <c r="K2701" s="12"/>
      <c r="M2701" s="12"/>
    </row>
    <row r="2702" spans="1:13" x14ac:dyDescent="0.2">
      <c r="A2702" s="12"/>
      <c r="I2702" s="12"/>
      <c r="K2702" s="12"/>
      <c r="M2702" s="12"/>
    </row>
    <row r="2703" spans="1:13" x14ac:dyDescent="0.2">
      <c r="A2703" s="12"/>
      <c r="I2703" s="12"/>
      <c r="K2703" s="12"/>
      <c r="M2703" s="12"/>
    </row>
    <row r="2704" spans="1:13" x14ac:dyDescent="0.2">
      <c r="A2704" s="12"/>
      <c r="I2704" s="12"/>
      <c r="K2704" s="12"/>
      <c r="M2704" s="12"/>
    </row>
    <row r="2705" spans="1:13" x14ac:dyDescent="0.2">
      <c r="A2705" s="12"/>
      <c r="I2705" s="12"/>
      <c r="K2705" s="12"/>
      <c r="M2705" s="12"/>
    </row>
    <row r="2706" spans="1:13" x14ac:dyDescent="0.2">
      <c r="A2706" s="12"/>
      <c r="I2706" s="12"/>
      <c r="K2706" s="12"/>
      <c r="M2706" s="12"/>
    </row>
    <row r="2707" spans="1:13" x14ac:dyDescent="0.2">
      <c r="A2707" s="12"/>
      <c r="I2707" s="12"/>
      <c r="K2707" s="12"/>
      <c r="M2707" s="12"/>
    </row>
    <row r="2708" spans="1:13" x14ac:dyDescent="0.2">
      <c r="A2708" s="12"/>
      <c r="I2708" s="12"/>
      <c r="K2708" s="12"/>
      <c r="M2708" s="12"/>
    </row>
    <row r="2709" spans="1:13" x14ac:dyDescent="0.2">
      <c r="A2709" s="12"/>
      <c r="I2709" s="12"/>
      <c r="K2709" s="12"/>
      <c r="M2709" s="12"/>
    </row>
    <row r="2710" spans="1:13" x14ac:dyDescent="0.2">
      <c r="A2710" s="12"/>
      <c r="I2710" s="12"/>
      <c r="K2710" s="12"/>
      <c r="M2710" s="12"/>
    </row>
    <row r="2711" spans="1:13" x14ac:dyDescent="0.2">
      <c r="A2711" s="12"/>
      <c r="I2711" s="12"/>
      <c r="K2711" s="12"/>
      <c r="M2711" s="12"/>
    </row>
    <row r="2712" spans="1:13" x14ac:dyDescent="0.2">
      <c r="A2712" s="12"/>
      <c r="I2712" s="12"/>
      <c r="K2712" s="12"/>
      <c r="M2712" s="12"/>
    </row>
    <row r="2713" spans="1:13" x14ac:dyDescent="0.2">
      <c r="A2713" s="12"/>
      <c r="I2713" s="12"/>
      <c r="K2713" s="12"/>
      <c r="M2713" s="12"/>
    </row>
    <row r="2714" spans="1:13" x14ac:dyDescent="0.2">
      <c r="A2714" s="12"/>
      <c r="I2714" s="12"/>
      <c r="K2714" s="12"/>
      <c r="M2714" s="12"/>
    </row>
    <row r="2715" spans="1:13" x14ac:dyDescent="0.2">
      <c r="A2715" s="12"/>
      <c r="I2715" s="12"/>
      <c r="K2715" s="12"/>
      <c r="M2715" s="12"/>
    </row>
    <row r="2716" spans="1:13" x14ac:dyDescent="0.2">
      <c r="A2716" s="12"/>
      <c r="I2716" s="12"/>
      <c r="K2716" s="12"/>
      <c r="M2716" s="12"/>
    </row>
    <row r="2717" spans="1:13" x14ac:dyDescent="0.2">
      <c r="A2717" s="12"/>
      <c r="I2717" s="12"/>
      <c r="K2717" s="12"/>
      <c r="M2717" s="12"/>
    </row>
    <row r="2718" spans="1:13" x14ac:dyDescent="0.2">
      <c r="A2718" s="12"/>
      <c r="I2718" s="12"/>
      <c r="K2718" s="12"/>
      <c r="M2718" s="12"/>
    </row>
    <row r="2719" spans="1:13" x14ac:dyDescent="0.2">
      <c r="A2719" s="12"/>
      <c r="I2719" s="12"/>
      <c r="K2719" s="12"/>
      <c r="M2719" s="12"/>
    </row>
    <row r="2720" spans="1:13" x14ac:dyDescent="0.2">
      <c r="A2720" s="12"/>
      <c r="I2720" s="12"/>
      <c r="K2720" s="12"/>
      <c r="M2720" s="12"/>
    </row>
    <row r="2721" spans="1:13" x14ac:dyDescent="0.2">
      <c r="A2721" s="12"/>
      <c r="I2721" s="12"/>
      <c r="K2721" s="12"/>
      <c r="M2721" s="12"/>
    </row>
    <row r="2722" spans="1:13" x14ac:dyDescent="0.2">
      <c r="A2722" s="12"/>
      <c r="I2722" s="12"/>
      <c r="K2722" s="12"/>
      <c r="M2722" s="12"/>
    </row>
    <row r="2723" spans="1:13" x14ac:dyDescent="0.2">
      <c r="A2723" s="12"/>
      <c r="I2723" s="12"/>
      <c r="K2723" s="12"/>
      <c r="M2723" s="12"/>
    </row>
    <row r="2724" spans="1:13" x14ac:dyDescent="0.2">
      <c r="A2724" s="12"/>
      <c r="I2724" s="12"/>
      <c r="K2724" s="12"/>
      <c r="M2724" s="12"/>
    </row>
    <row r="2725" spans="1:13" x14ac:dyDescent="0.2">
      <c r="A2725" s="12"/>
      <c r="I2725" s="12"/>
      <c r="K2725" s="12"/>
      <c r="M2725" s="12"/>
    </row>
    <row r="2726" spans="1:13" x14ac:dyDescent="0.2">
      <c r="A2726" s="12"/>
      <c r="I2726" s="12"/>
      <c r="K2726" s="12"/>
      <c r="M2726" s="12"/>
    </row>
    <row r="2727" spans="1:13" x14ac:dyDescent="0.2">
      <c r="A2727" s="12"/>
      <c r="I2727" s="12"/>
      <c r="K2727" s="12"/>
      <c r="M2727" s="12"/>
    </row>
    <row r="2728" spans="1:13" x14ac:dyDescent="0.2">
      <c r="A2728" s="12"/>
      <c r="I2728" s="12"/>
      <c r="K2728" s="12"/>
      <c r="M2728" s="12"/>
    </row>
    <row r="2729" spans="1:13" x14ac:dyDescent="0.2">
      <c r="A2729" s="12"/>
      <c r="I2729" s="12"/>
      <c r="K2729" s="12"/>
      <c r="M2729" s="12"/>
    </row>
    <row r="2730" spans="1:13" x14ac:dyDescent="0.2">
      <c r="A2730" s="12"/>
      <c r="I2730" s="12"/>
      <c r="K2730" s="12"/>
      <c r="M2730" s="12"/>
    </row>
    <row r="2731" spans="1:13" x14ac:dyDescent="0.2">
      <c r="A2731" s="12"/>
      <c r="I2731" s="12"/>
      <c r="K2731" s="12"/>
      <c r="M2731" s="12"/>
    </row>
    <row r="2732" spans="1:13" x14ac:dyDescent="0.2">
      <c r="A2732" s="12"/>
      <c r="I2732" s="12"/>
      <c r="K2732" s="12"/>
      <c r="M2732" s="12"/>
    </row>
    <row r="2733" spans="1:13" x14ac:dyDescent="0.2">
      <c r="A2733" s="12"/>
      <c r="I2733" s="12"/>
      <c r="K2733" s="12"/>
      <c r="M2733" s="12"/>
    </row>
    <row r="2734" spans="1:13" x14ac:dyDescent="0.2">
      <c r="A2734" s="12"/>
      <c r="I2734" s="12"/>
      <c r="K2734" s="12"/>
      <c r="M2734" s="12"/>
    </row>
    <row r="2735" spans="1:13" x14ac:dyDescent="0.2">
      <c r="A2735" s="12"/>
      <c r="I2735" s="12"/>
      <c r="K2735" s="12"/>
      <c r="M2735" s="12"/>
    </row>
    <row r="2736" spans="1:13" x14ac:dyDescent="0.2">
      <c r="A2736" s="12"/>
      <c r="I2736" s="12"/>
      <c r="K2736" s="12"/>
      <c r="M2736" s="12"/>
    </row>
    <row r="2737" spans="1:13" x14ac:dyDescent="0.2">
      <c r="A2737" s="12"/>
      <c r="I2737" s="12"/>
      <c r="K2737" s="12"/>
      <c r="M2737" s="12"/>
    </row>
    <row r="2738" spans="1:13" x14ac:dyDescent="0.2">
      <c r="A2738" s="12"/>
      <c r="I2738" s="12"/>
      <c r="K2738" s="12"/>
      <c r="M2738" s="12"/>
    </row>
    <row r="2739" spans="1:13" x14ac:dyDescent="0.2">
      <c r="A2739" s="12"/>
      <c r="I2739" s="12"/>
      <c r="K2739" s="12"/>
      <c r="M2739" s="12"/>
    </row>
    <row r="2740" spans="1:13" x14ac:dyDescent="0.2">
      <c r="A2740" s="12"/>
      <c r="I2740" s="12"/>
      <c r="K2740" s="12"/>
      <c r="M2740" s="12"/>
    </row>
    <row r="2741" spans="1:13" x14ac:dyDescent="0.2">
      <c r="A2741" s="12"/>
      <c r="I2741" s="12"/>
      <c r="K2741" s="12"/>
      <c r="M2741" s="12"/>
    </row>
    <row r="2742" spans="1:13" x14ac:dyDescent="0.2">
      <c r="A2742" s="12"/>
      <c r="I2742" s="12"/>
      <c r="K2742" s="12"/>
      <c r="M2742" s="12"/>
    </row>
    <row r="2743" spans="1:13" x14ac:dyDescent="0.2">
      <c r="A2743" s="12"/>
      <c r="I2743" s="12"/>
      <c r="K2743" s="12"/>
      <c r="M2743" s="12"/>
    </row>
    <row r="2744" spans="1:13" x14ac:dyDescent="0.2">
      <c r="A2744" s="12"/>
      <c r="I2744" s="12"/>
      <c r="K2744" s="12"/>
      <c r="M2744" s="12"/>
    </row>
    <row r="2745" spans="1:13" x14ac:dyDescent="0.2">
      <c r="A2745" s="12"/>
      <c r="I2745" s="12"/>
      <c r="K2745" s="12"/>
      <c r="M2745" s="12"/>
    </row>
    <row r="2746" spans="1:13" x14ac:dyDescent="0.2">
      <c r="A2746" s="12"/>
      <c r="I2746" s="12"/>
      <c r="K2746" s="12"/>
      <c r="M2746" s="12"/>
    </row>
    <row r="2747" spans="1:13" x14ac:dyDescent="0.2">
      <c r="A2747" s="12"/>
      <c r="I2747" s="12"/>
      <c r="K2747" s="12"/>
      <c r="M2747" s="12"/>
    </row>
    <row r="2748" spans="1:13" x14ac:dyDescent="0.2">
      <c r="A2748" s="12"/>
      <c r="I2748" s="12"/>
      <c r="K2748" s="12"/>
      <c r="M2748" s="12"/>
    </row>
    <row r="2749" spans="1:13" x14ac:dyDescent="0.2">
      <c r="A2749" s="12"/>
      <c r="I2749" s="12"/>
      <c r="K2749" s="12"/>
      <c r="M2749" s="12"/>
    </row>
    <row r="2750" spans="1:13" x14ac:dyDescent="0.2">
      <c r="A2750" s="12"/>
      <c r="I2750" s="12"/>
      <c r="K2750" s="12"/>
      <c r="M2750" s="12"/>
    </row>
    <row r="2751" spans="1:13" x14ac:dyDescent="0.2">
      <c r="A2751" s="12"/>
      <c r="I2751" s="12"/>
      <c r="K2751" s="12"/>
      <c r="M2751" s="12"/>
    </row>
    <row r="2752" spans="1:13" x14ac:dyDescent="0.2">
      <c r="A2752" s="12"/>
      <c r="I2752" s="12"/>
      <c r="K2752" s="12"/>
      <c r="M2752" s="12"/>
    </row>
    <row r="2753" spans="1:13" x14ac:dyDescent="0.2">
      <c r="A2753" s="12"/>
      <c r="I2753" s="12"/>
      <c r="K2753" s="12"/>
      <c r="M2753" s="12"/>
    </row>
    <row r="2754" spans="1:13" x14ac:dyDescent="0.2">
      <c r="A2754" s="12"/>
      <c r="I2754" s="12"/>
      <c r="K2754" s="12"/>
      <c r="M2754" s="12"/>
    </row>
    <row r="2755" spans="1:13" x14ac:dyDescent="0.2">
      <c r="A2755" s="12"/>
      <c r="I2755" s="12"/>
      <c r="K2755" s="12"/>
      <c r="M2755" s="12"/>
    </row>
    <row r="2756" spans="1:13" x14ac:dyDescent="0.2">
      <c r="A2756" s="12"/>
      <c r="I2756" s="12"/>
      <c r="K2756" s="12"/>
      <c r="M2756" s="12"/>
    </row>
    <row r="2757" spans="1:13" x14ac:dyDescent="0.2">
      <c r="A2757" s="12"/>
      <c r="I2757" s="12"/>
      <c r="K2757" s="12"/>
      <c r="M2757" s="12"/>
    </row>
    <row r="2758" spans="1:13" x14ac:dyDescent="0.2">
      <c r="A2758" s="12"/>
      <c r="I2758" s="12"/>
      <c r="K2758" s="12"/>
      <c r="M2758" s="12"/>
    </row>
    <row r="2759" spans="1:13" x14ac:dyDescent="0.2">
      <c r="A2759" s="12"/>
      <c r="I2759" s="12"/>
      <c r="K2759" s="12"/>
      <c r="M2759" s="12"/>
    </row>
    <row r="2760" spans="1:13" x14ac:dyDescent="0.2">
      <c r="A2760" s="12"/>
      <c r="I2760" s="12"/>
      <c r="K2760" s="12"/>
      <c r="M2760" s="12"/>
    </row>
    <row r="2761" spans="1:13" x14ac:dyDescent="0.2">
      <c r="A2761" s="12"/>
      <c r="I2761" s="12"/>
      <c r="K2761" s="12"/>
      <c r="M2761" s="12"/>
    </row>
    <row r="2762" spans="1:13" x14ac:dyDescent="0.2">
      <c r="A2762" s="12"/>
      <c r="I2762" s="12"/>
      <c r="K2762" s="12"/>
      <c r="M2762" s="12"/>
    </row>
    <row r="2763" spans="1:13" x14ac:dyDescent="0.2">
      <c r="A2763" s="12"/>
      <c r="I2763" s="12"/>
      <c r="K2763" s="12"/>
      <c r="M2763" s="12"/>
    </row>
    <row r="2764" spans="1:13" x14ac:dyDescent="0.2">
      <c r="A2764" s="12"/>
      <c r="I2764" s="12"/>
      <c r="K2764" s="12"/>
      <c r="M2764" s="12"/>
    </row>
    <row r="2765" spans="1:13" x14ac:dyDescent="0.2">
      <c r="A2765" s="12"/>
      <c r="I2765" s="12"/>
      <c r="K2765" s="12"/>
      <c r="M2765" s="12"/>
    </row>
    <row r="2766" spans="1:13" x14ac:dyDescent="0.2">
      <c r="A2766" s="12"/>
      <c r="I2766" s="12"/>
      <c r="K2766" s="12"/>
      <c r="M2766" s="12"/>
    </row>
    <row r="2767" spans="1:13" x14ac:dyDescent="0.2">
      <c r="A2767" s="12"/>
      <c r="I2767" s="12"/>
      <c r="K2767" s="12"/>
      <c r="M2767" s="12"/>
    </row>
    <row r="2768" spans="1:13" x14ac:dyDescent="0.2">
      <c r="A2768" s="12"/>
      <c r="I2768" s="12"/>
      <c r="K2768" s="12"/>
      <c r="M2768" s="12"/>
    </row>
    <row r="2769" spans="1:13" x14ac:dyDescent="0.2">
      <c r="A2769" s="12"/>
      <c r="I2769" s="12"/>
      <c r="K2769" s="12"/>
      <c r="M2769" s="12"/>
    </row>
    <row r="2770" spans="1:13" x14ac:dyDescent="0.2">
      <c r="A2770" s="12"/>
      <c r="I2770" s="12"/>
      <c r="K2770" s="12"/>
      <c r="M2770" s="12"/>
    </row>
    <row r="2771" spans="1:13" x14ac:dyDescent="0.2">
      <c r="A2771" s="12"/>
      <c r="I2771" s="12"/>
      <c r="K2771" s="12"/>
      <c r="M2771" s="12"/>
    </row>
    <row r="2772" spans="1:13" x14ac:dyDescent="0.2">
      <c r="A2772" s="12"/>
      <c r="I2772" s="12"/>
      <c r="K2772" s="12"/>
      <c r="M2772" s="12"/>
    </row>
    <row r="2773" spans="1:13" x14ac:dyDescent="0.2">
      <c r="A2773" s="12"/>
      <c r="I2773" s="12"/>
      <c r="K2773" s="12"/>
      <c r="M2773" s="12"/>
    </row>
    <row r="2774" spans="1:13" x14ac:dyDescent="0.2">
      <c r="A2774" s="12"/>
      <c r="I2774" s="12"/>
      <c r="K2774" s="12"/>
      <c r="M2774" s="12"/>
    </row>
    <row r="2775" spans="1:13" x14ac:dyDescent="0.2">
      <c r="A2775" s="12"/>
      <c r="I2775" s="12"/>
      <c r="K2775" s="12"/>
      <c r="M2775" s="12"/>
    </row>
    <row r="2776" spans="1:13" x14ac:dyDescent="0.2">
      <c r="A2776" s="12"/>
      <c r="I2776" s="12"/>
      <c r="K2776" s="12"/>
      <c r="M2776" s="12"/>
    </row>
    <row r="2777" spans="1:13" x14ac:dyDescent="0.2">
      <c r="A2777" s="12"/>
      <c r="I2777" s="12"/>
      <c r="K2777" s="12"/>
      <c r="M2777" s="12"/>
    </row>
    <row r="2778" spans="1:13" x14ac:dyDescent="0.2">
      <c r="A2778" s="12"/>
      <c r="I2778" s="12"/>
      <c r="K2778" s="12"/>
      <c r="M2778" s="12"/>
    </row>
    <row r="2779" spans="1:13" x14ac:dyDescent="0.2">
      <c r="A2779" s="12"/>
      <c r="I2779" s="12"/>
      <c r="K2779" s="12"/>
      <c r="M2779" s="12"/>
    </row>
    <row r="2780" spans="1:13" x14ac:dyDescent="0.2">
      <c r="A2780" s="12"/>
      <c r="I2780" s="12"/>
      <c r="K2780" s="12"/>
      <c r="M2780" s="12"/>
    </row>
    <row r="2781" spans="1:13" x14ac:dyDescent="0.2">
      <c r="A2781" s="12"/>
      <c r="I2781" s="12"/>
      <c r="K2781" s="12"/>
      <c r="M2781" s="12"/>
    </row>
    <row r="2782" spans="1:13" x14ac:dyDescent="0.2">
      <c r="A2782" s="12"/>
      <c r="I2782" s="12"/>
      <c r="K2782" s="12"/>
      <c r="M2782" s="12"/>
    </row>
    <row r="2783" spans="1:13" x14ac:dyDescent="0.2">
      <c r="A2783" s="12"/>
      <c r="I2783" s="12"/>
      <c r="K2783" s="12"/>
      <c r="M2783" s="12"/>
    </row>
    <row r="2784" spans="1:13" x14ac:dyDescent="0.2">
      <c r="A2784" s="12"/>
      <c r="I2784" s="12"/>
      <c r="K2784" s="12"/>
      <c r="M2784" s="12"/>
    </row>
    <row r="2785" spans="1:13" x14ac:dyDescent="0.2">
      <c r="A2785" s="12"/>
      <c r="I2785" s="12"/>
      <c r="K2785" s="12"/>
      <c r="M2785" s="12"/>
    </row>
    <row r="2786" spans="1:13" x14ac:dyDescent="0.2">
      <c r="A2786" s="12"/>
      <c r="I2786" s="12"/>
      <c r="K2786" s="12"/>
      <c r="M2786" s="12"/>
    </row>
    <row r="2787" spans="1:13" x14ac:dyDescent="0.2">
      <c r="A2787" s="12"/>
      <c r="I2787" s="12"/>
      <c r="K2787" s="12"/>
      <c r="M2787" s="12"/>
    </row>
    <row r="2788" spans="1:13" x14ac:dyDescent="0.2">
      <c r="A2788" s="12"/>
      <c r="I2788" s="12"/>
      <c r="K2788" s="12"/>
      <c r="M2788" s="12"/>
    </row>
    <row r="2789" spans="1:13" x14ac:dyDescent="0.2">
      <c r="A2789" s="12"/>
      <c r="I2789" s="12"/>
      <c r="K2789" s="12"/>
      <c r="M2789" s="12"/>
    </row>
    <row r="2790" spans="1:13" x14ac:dyDescent="0.2">
      <c r="A2790" s="12"/>
      <c r="I2790" s="12"/>
      <c r="K2790" s="12"/>
      <c r="M2790" s="12"/>
    </row>
    <row r="2791" spans="1:13" x14ac:dyDescent="0.2">
      <c r="A2791" s="12"/>
      <c r="I2791" s="12"/>
      <c r="K2791" s="12"/>
      <c r="M2791" s="12"/>
    </row>
    <row r="2792" spans="1:13" x14ac:dyDescent="0.2">
      <c r="A2792" s="12"/>
      <c r="I2792" s="12"/>
      <c r="K2792" s="12"/>
      <c r="M2792" s="12"/>
    </row>
    <row r="2793" spans="1:13" x14ac:dyDescent="0.2">
      <c r="A2793" s="12"/>
      <c r="I2793" s="12"/>
      <c r="K2793" s="12"/>
      <c r="M2793" s="12"/>
    </row>
    <row r="2794" spans="1:13" x14ac:dyDescent="0.2">
      <c r="A2794" s="12"/>
      <c r="I2794" s="12"/>
      <c r="K2794" s="12"/>
      <c r="M2794" s="12"/>
    </row>
    <row r="2795" spans="1:13" x14ac:dyDescent="0.2">
      <c r="A2795" s="12"/>
      <c r="I2795" s="12"/>
      <c r="K2795" s="12"/>
      <c r="M2795" s="12"/>
    </row>
    <row r="2796" spans="1:13" x14ac:dyDescent="0.2">
      <c r="A2796" s="12"/>
      <c r="I2796" s="12"/>
      <c r="K2796" s="12"/>
      <c r="M2796" s="12"/>
    </row>
    <row r="2797" spans="1:13" x14ac:dyDescent="0.2">
      <c r="A2797" s="12"/>
      <c r="I2797" s="12"/>
      <c r="K2797" s="12"/>
      <c r="M2797" s="12"/>
    </row>
    <row r="2798" spans="1:13" x14ac:dyDescent="0.2">
      <c r="A2798" s="12"/>
      <c r="I2798" s="12"/>
      <c r="K2798" s="12"/>
      <c r="M2798" s="12"/>
    </row>
    <row r="2799" spans="1:13" x14ac:dyDescent="0.2">
      <c r="A2799" s="12"/>
      <c r="I2799" s="12"/>
      <c r="K2799" s="12"/>
      <c r="M2799" s="12"/>
    </row>
    <row r="2800" spans="1:13" x14ac:dyDescent="0.2">
      <c r="A2800" s="12"/>
      <c r="I2800" s="12"/>
      <c r="K2800" s="12"/>
      <c r="M2800" s="12"/>
    </row>
    <row r="2801" spans="1:13" x14ac:dyDescent="0.2">
      <c r="A2801" s="12"/>
      <c r="I2801" s="12"/>
      <c r="K2801" s="12"/>
      <c r="M2801" s="12"/>
    </row>
    <row r="2802" spans="1:13" x14ac:dyDescent="0.2">
      <c r="A2802" s="12"/>
      <c r="I2802" s="12"/>
      <c r="K2802" s="12"/>
      <c r="M2802" s="12"/>
    </row>
    <row r="2803" spans="1:13" x14ac:dyDescent="0.2">
      <c r="A2803" s="12"/>
      <c r="I2803" s="12"/>
      <c r="K2803" s="12"/>
      <c r="M2803" s="12"/>
    </row>
    <row r="2804" spans="1:13" x14ac:dyDescent="0.2">
      <c r="A2804" s="12"/>
      <c r="I2804" s="12"/>
      <c r="K2804" s="12"/>
      <c r="M2804" s="12"/>
    </row>
    <row r="2805" spans="1:13" x14ac:dyDescent="0.2">
      <c r="A2805" s="12"/>
      <c r="I2805" s="12"/>
      <c r="K2805" s="12"/>
      <c r="M2805" s="12"/>
    </row>
    <row r="2806" spans="1:13" x14ac:dyDescent="0.2">
      <c r="A2806" s="12"/>
      <c r="I2806" s="12"/>
      <c r="K2806" s="12"/>
      <c r="M2806" s="12"/>
    </row>
    <row r="2807" spans="1:13" x14ac:dyDescent="0.2">
      <c r="A2807" s="12"/>
      <c r="I2807" s="12"/>
      <c r="K2807" s="12"/>
      <c r="M2807" s="12"/>
    </row>
    <row r="2808" spans="1:13" x14ac:dyDescent="0.2">
      <c r="A2808" s="12"/>
      <c r="I2808" s="12"/>
      <c r="K2808" s="12"/>
      <c r="M2808" s="12"/>
    </row>
    <row r="2809" spans="1:13" x14ac:dyDescent="0.2">
      <c r="A2809" s="12"/>
      <c r="I2809" s="12"/>
      <c r="K2809" s="12"/>
      <c r="M2809" s="12"/>
    </row>
    <row r="2810" spans="1:13" x14ac:dyDescent="0.2">
      <c r="A2810" s="12"/>
      <c r="I2810" s="12"/>
      <c r="K2810" s="12"/>
      <c r="M2810" s="12"/>
    </row>
    <row r="2811" spans="1:13" x14ac:dyDescent="0.2">
      <c r="A2811" s="12"/>
      <c r="I2811" s="12"/>
      <c r="K2811" s="12"/>
      <c r="M2811" s="12"/>
    </row>
    <row r="2812" spans="1:13" x14ac:dyDescent="0.2">
      <c r="A2812" s="12"/>
      <c r="I2812" s="12"/>
      <c r="K2812" s="12"/>
      <c r="M2812" s="12"/>
    </row>
    <row r="2813" spans="1:13" x14ac:dyDescent="0.2">
      <c r="A2813" s="12"/>
      <c r="I2813" s="12"/>
      <c r="K2813" s="12"/>
      <c r="M2813" s="12"/>
    </row>
    <row r="2814" spans="1:13" x14ac:dyDescent="0.2">
      <c r="A2814" s="12"/>
      <c r="I2814" s="12"/>
      <c r="K2814" s="12"/>
      <c r="M2814" s="12"/>
    </row>
    <row r="2815" spans="1:13" x14ac:dyDescent="0.2">
      <c r="A2815" s="12"/>
      <c r="I2815" s="12"/>
      <c r="K2815" s="12"/>
      <c r="M2815" s="12"/>
    </row>
    <row r="2816" spans="1:13" x14ac:dyDescent="0.2">
      <c r="A2816" s="12"/>
      <c r="I2816" s="12"/>
      <c r="K2816" s="12"/>
      <c r="M2816" s="12"/>
    </row>
    <row r="2817" spans="1:13" x14ac:dyDescent="0.2">
      <c r="A2817" s="12"/>
      <c r="I2817" s="12"/>
      <c r="K2817" s="12"/>
      <c r="M2817" s="12"/>
    </row>
    <row r="2818" spans="1:13" x14ac:dyDescent="0.2">
      <c r="A2818" s="12"/>
      <c r="I2818" s="12"/>
      <c r="K2818" s="12"/>
      <c r="M2818" s="12"/>
    </row>
    <row r="2819" spans="1:13" x14ac:dyDescent="0.2">
      <c r="A2819" s="12"/>
      <c r="I2819" s="12"/>
      <c r="K2819" s="12"/>
      <c r="M2819" s="12"/>
    </row>
    <row r="2820" spans="1:13" x14ac:dyDescent="0.2">
      <c r="A2820" s="12"/>
      <c r="I2820" s="12"/>
      <c r="K2820" s="12"/>
      <c r="M2820" s="12"/>
    </row>
    <row r="2821" spans="1:13" x14ac:dyDescent="0.2">
      <c r="A2821" s="12"/>
      <c r="I2821" s="12"/>
      <c r="K2821" s="12"/>
      <c r="M2821" s="12"/>
    </row>
    <row r="2822" spans="1:13" x14ac:dyDescent="0.2">
      <c r="A2822" s="12"/>
      <c r="I2822" s="12"/>
      <c r="K2822" s="12"/>
      <c r="M2822" s="12"/>
    </row>
    <row r="2823" spans="1:13" x14ac:dyDescent="0.2">
      <c r="A2823" s="12"/>
      <c r="I2823" s="12"/>
      <c r="K2823" s="12"/>
      <c r="M2823" s="12"/>
    </row>
    <row r="2824" spans="1:13" x14ac:dyDescent="0.2">
      <c r="A2824" s="12"/>
      <c r="I2824" s="12"/>
      <c r="K2824" s="12"/>
      <c r="M2824" s="12"/>
    </row>
    <row r="2825" spans="1:13" x14ac:dyDescent="0.2">
      <c r="A2825" s="12"/>
      <c r="I2825" s="12"/>
      <c r="K2825" s="12"/>
      <c r="M2825" s="12"/>
    </row>
    <row r="2826" spans="1:13" x14ac:dyDescent="0.2">
      <c r="A2826" s="12"/>
      <c r="I2826" s="12"/>
      <c r="K2826" s="12"/>
      <c r="M2826" s="12"/>
    </row>
    <row r="2827" spans="1:13" x14ac:dyDescent="0.2">
      <c r="A2827" s="12"/>
      <c r="I2827" s="12"/>
      <c r="K2827" s="12"/>
      <c r="M2827" s="12"/>
    </row>
    <row r="2828" spans="1:13" x14ac:dyDescent="0.2">
      <c r="A2828" s="12"/>
      <c r="I2828" s="12"/>
      <c r="K2828" s="12"/>
      <c r="M2828" s="12"/>
    </row>
    <row r="2829" spans="1:13" x14ac:dyDescent="0.2">
      <c r="A2829" s="12"/>
      <c r="I2829" s="12"/>
      <c r="K2829" s="12"/>
      <c r="M2829" s="12"/>
    </row>
    <row r="2830" spans="1:13" x14ac:dyDescent="0.2">
      <c r="A2830" s="12"/>
      <c r="I2830" s="12"/>
      <c r="K2830" s="12"/>
      <c r="M2830" s="12"/>
    </row>
    <row r="2831" spans="1:13" x14ac:dyDescent="0.2">
      <c r="A2831" s="12"/>
      <c r="I2831" s="12"/>
      <c r="K2831" s="12"/>
      <c r="M2831" s="12"/>
    </row>
    <row r="2832" spans="1:13" x14ac:dyDescent="0.2">
      <c r="A2832" s="12"/>
      <c r="I2832" s="12"/>
      <c r="K2832" s="12"/>
      <c r="M2832" s="12"/>
    </row>
    <row r="2833" spans="1:13" x14ac:dyDescent="0.2">
      <c r="A2833" s="12"/>
      <c r="I2833" s="12"/>
      <c r="K2833" s="12"/>
      <c r="M2833" s="12"/>
    </row>
    <row r="2834" spans="1:13" x14ac:dyDescent="0.2">
      <c r="A2834" s="12"/>
      <c r="I2834" s="12"/>
      <c r="K2834" s="12"/>
      <c r="M2834" s="12"/>
    </row>
    <row r="2835" spans="1:13" x14ac:dyDescent="0.2">
      <c r="A2835" s="12"/>
      <c r="I2835" s="12"/>
      <c r="K2835" s="12"/>
      <c r="M2835" s="12"/>
    </row>
    <row r="2836" spans="1:13" x14ac:dyDescent="0.2">
      <c r="A2836" s="12"/>
      <c r="I2836" s="12"/>
      <c r="K2836" s="12"/>
      <c r="M2836" s="12"/>
    </row>
    <row r="2837" spans="1:13" x14ac:dyDescent="0.2">
      <c r="A2837" s="12"/>
      <c r="I2837" s="12"/>
      <c r="K2837" s="12"/>
      <c r="M2837" s="12"/>
    </row>
    <row r="2838" spans="1:13" x14ac:dyDescent="0.2">
      <c r="A2838" s="12"/>
      <c r="I2838" s="12"/>
      <c r="K2838" s="12"/>
      <c r="M2838" s="12"/>
    </row>
    <row r="2839" spans="1:13" x14ac:dyDescent="0.2">
      <c r="A2839" s="12"/>
      <c r="I2839" s="12"/>
      <c r="K2839" s="12"/>
      <c r="M2839" s="12"/>
    </row>
    <row r="2840" spans="1:13" x14ac:dyDescent="0.2">
      <c r="A2840" s="12"/>
      <c r="I2840" s="12"/>
      <c r="K2840" s="12"/>
      <c r="M2840" s="12"/>
    </row>
    <row r="2841" spans="1:13" x14ac:dyDescent="0.2">
      <c r="A2841" s="12"/>
      <c r="I2841" s="12"/>
      <c r="K2841" s="12"/>
      <c r="M2841" s="12"/>
    </row>
    <row r="2842" spans="1:13" x14ac:dyDescent="0.2">
      <c r="A2842" s="12"/>
      <c r="I2842" s="12"/>
      <c r="K2842" s="12"/>
      <c r="M2842" s="12"/>
    </row>
    <row r="2843" spans="1:13" x14ac:dyDescent="0.2">
      <c r="A2843" s="12"/>
      <c r="I2843" s="12"/>
      <c r="K2843" s="12"/>
      <c r="M2843" s="12"/>
    </row>
    <row r="2844" spans="1:13" x14ac:dyDescent="0.2">
      <c r="A2844" s="12"/>
      <c r="I2844" s="12"/>
      <c r="K2844" s="12"/>
      <c r="M2844" s="12"/>
    </row>
    <row r="2845" spans="1:13" x14ac:dyDescent="0.2">
      <c r="A2845" s="12"/>
      <c r="I2845" s="12"/>
      <c r="K2845" s="12"/>
      <c r="M2845" s="12"/>
    </row>
    <row r="2846" spans="1:13" x14ac:dyDescent="0.2">
      <c r="A2846" s="12"/>
      <c r="I2846" s="12"/>
      <c r="K2846" s="12"/>
      <c r="M2846" s="12"/>
    </row>
    <row r="2847" spans="1:13" x14ac:dyDescent="0.2">
      <c r="A2847" s="12"/>
      <c r="I2847" s="12"/>
      <c r="K2847" s="12"/>
      <c r="M2847" s="12"/>
    </row>
    <row r="2848" spans="1:13" x14ac:dyDescent="0.2">
      <c r="A2848" s="12"/>
      <c r="I2848" s="12"/>
      <c r="K2848" s="12"/>
      <c r="M2848" s="12"/>
    </row>
    <row r="2849" spans="1:13" x14ac:dyDescent="0.2">
      <c r="A2849" s="12"/>
      <c r="I2849" s="12"/>
      <c r="K2849" s="12"/>
      <c r="M2849" s="12"/>
    </row>
    <row r="2850" spans="1:13" x14ac:dyDescent="0.2">
      <c r="A2850" s="12"/>
      <c r="I2850" s="12"/>
      <c r="K2850" s="12"/>
      <c r="M2850" s="12"/>
    </row>
    <row r="2851" spans="1:13" x14ac:dyDescent="0.2">
      <c r="A2851" s="12"/>
      <c r="I2851" s="12"/>
      <c r="K2851" s="12"/>
      <c r="M2851" s="12"/>
    </row>
    <row r="2852" spans="1:13" x14ac:dyDescent="0.2">
      <c r="A2852" s="12"/>
      <c r="I2852" s="12"/>
      <c r="K2852" s="12"/>
      <c r="M2852" s="12"/>
    </row>
    <row r="2853" spans="1:13" x14ac:dyDescent="0.2">
      <c r="A2853" s="12"/>
      <c r="I2853" s="12"/>
      <c r="K2853" s="12"/>
      <c r="M2853" s="12"/>
    </row>
    <row r="2854" spans="1:13" x14ac:dyDescent="0.2">
      <c r="A2854" s="12"/>
      <c r="I2854" s="12"/>
      <c r="K2854" s="12"/>
      <c r="M2854" s="12"/>
    </row>
    <row r="2855" spans="1:13" x14ac:dyDescent="0.2">
      <c r="A2855" s="12"/>
      <c r="I2855" s="12"/>
      <c r="K2855" s="12"/>
      <c r="M2855" s="12"/>
    </row>
    <row r="2856" spans="1:13" x14ac:dyDescent="0.2">
      <c r="A2856" s="12"/>
      <c r="I2856" s="12"/>
      <c r="K2856" s="12"/>
      <c r="M2856" s="12"/>
    </row>
    <row r="2857" spans="1:13" x14ac:dyDescent="0.2">
      <c r="A2857" s="12"/>
      <c r="I2857" s="12"/>
      <c r="K2857" s="12"/>
      <c r="M2857" s="12"/>
    </row>
    <row r="2858" spans="1:13" x14ac:dyDescent="0.2">
      <c r="A2858" s="12"/>
      <c r="I2858" s="12"/>
      <c r="K2858" s="12"/>
      <c r="M2858" s="12"/>
    </row>
    <row r="2859" spans="1:13" x14ac:dyDescent="0.2">
      <c r="A2859" s="12"/>
      <c r="I2859" s="12"/>
      <c r="K2859" s="12"/>
      <c r="M2859" s="12"/>
    </row>
    <row r="2860" spans="1:13" x14ac:dyDescent="0.2">
      <c r="A2860" s="12"/>
      <c r="I2860" s="12"/>
      <c r="K2860" s="12"/>
      <c r="M2860" s="12"/>
    </row>
    <row r="2861" spans="1:13" x14ac:dyDescent="0.2">
      <c r="A2861" s="12"/>
      <c r="I2861" s="12"/>
      <c r="K2861" s="12"/>
      <c r="M2861" s="12"/>
    </row>
    <row r="2862" spans="1:13" x14ac:dyDescent="0.2">
      <c r="A2862" s="12"/>
      <c r="I2862" s="12"/>
      <c r="K2862" s="12"/>
      <c r="M2862" s="12"/>
    </row>
    <row r="2863" spans="1:13" x14ac:dyDescent="0.2">
      <c r="A2863" s="12"/>
      <c r="I2863" s="12"/>
      <c r="K2863" s="12"/>
      <c r="M2863" s="12"/>
    </row>
    <row r="2864" spans="1:13" x14ac:dyDescent="0.2">
      <c r="A2864" s="12"/>
      <c r="I2864" s="12"/>
      <c r="K2864" s="12"/>
      <c r="M2864" s="12"/>
    </row>
    <row r="2865" spans="1:13" x14ac:dyDescent="0.2">
      <c r="A2865" s="12"/>
      <c r="I2865" s="12"/>
      <c r="K2865" s="12"/>
      <c r="M2865" s="12"/>
    </row>
    <row r="2866" spans="1:13" x14ac:dyDescent="0.2">
      <c r="A2866" s="12"/>
      <c r="I2866" s="12"/>
      <c r="K2866" s="12"/>
      <c r="M2866" s="12"/>
    </row>
    <row r="2867" spans="1:13" x14ac:dyDescent="0.2">
      <c r="A2867" s="12"/>
      <c r="I2867" s="12"/>
      <c r="K2867" s="12"/>
      <c r="M2867" s="12"/>
    </row>
    <row r="2868" spans="1:13" x14ac:dyDescent="0.2">
      <c r="A2868" s="12"/>
      <c r="I2868" s="12"/>
      <c r="K2868" s="12"/>
      <c r="M2868" s="12"/>
    </row>
    <row r="2869" spans="1:13" x14ac:dyDescent="0.2">
      <c r="A2869" s="12"/>
      <c r="I2869" s="12"/>
      <c r="K2869" s="12"/>
      <c r="M2869" s="12"/>
    </row>
    <row r="2870" spans="1:13" x14ac:dyDescent="0.2">
      <c r="A2870" s="12"/>
      <c r="I2870" s="12"/>
      <c r="K2870" s="12"/>
      <c r="M2870" s="12"/>
    </row>
    <row r="2871" spans="1:13" x14ac:dyDescent="0.2">
      <c r="A2871" s="12"/>
      <c r="I2871" s="12"/>
      <c r="K2871" s="12"/>
      <c r="M2871" s="12"/>
    </row>
    <row r="2872" spans="1:13" x14ac:dyDescent="0.2">
      <c r="A2872" s="12"/>
      <c r="I2872" s="12"/>
      <c r="K2872" s="12"/>
      <c r="M2872" s="12"/>
    </row>
    <row r="2873" spans="1:13" x14ac:dyDescent="0.2">
      <c r="A2873" s="12"/>
      <c r="I2873" s="12"/>
      <c r="K2873" s="12"/>
      <c r="M2873" s="12"/>
    </row>
    <row r="2874" spans="1:13" x14ac:dyDescent="0.2">
      <c r="A2874" s="12"/>
      <c r="I2874" s="12"/>
      <c r="K2874" s="12"/>
      <c r="M2874" s="12"/>
    </row>
    <row r="2875" spans="1:13" x14ac:dyDescent="0.2">
      <c r="A2875" s="12"/>
      <c r="I2875" s="12"/>
      <c r="K2875" s="12"/>
      <c r="M2875" s="12"/>
    </row>
    <row r="2876" spans="1:13" x14ac:dyDescent="0.2">
      <c r="A2876" s="12"/>
      <c r="I2876" s="12"/>
      <c r="K2876" s="12"/>
      <c r="M2876" s="12"/>
    </row>
    <row r="2877" spans="1:13" x14ac:dyDescent="0.2">
      <c r="A2877" s="12"/>
      <c r="I2877" s="12"/>
      <c r="K2877" s="12"/>
      <c r="M2877" s="12"/>
    </row>
    <row r="2878" spans="1:13" x14ac:dyDescent="0.2">
      <c r="A2878" s="12"/>
      <c r="I2878" s="12"/>
      <c r="K2878" s="12"/>
      <c r="M2878" s="12"/>
    </row>
    <row r="2879" spans="1:13" x14ac:dyDescent="0.2">
      <c r="A2879" s="12"/>
      <c r="I2879" s="12"/>
      <c r="K2879" s="12"/>
      <c r="M2879" s="12"/>
    </row>
    <row r="2880" spans="1:13" x14ac:dyDescent="0.2">
      <c r="A2880" s="12"/>
      <c r="I2880" s="12"/>
      <c r="K2880" s="12"/>
      <c r="M2880" s="12"/>
    </row>
    <row r="2881" spans="1:13" x14ac:dyDescent="0.2">
      <c r="A2881" s="12"/>
      <c r="I2881" s="12"/>
      <c r="K2881" s="12"/>
      <c r="M2881" s="12"/>
    </row>
    <row r="2882" spans="1:13" x14ac:dyDescent="0.2">
      <c r="A2882" s="12"/>
      <c r="I2882" s="12"/>
      <c r="K2882" s="12"/>
      <c r="M2882" s="12"/>
    </row>
    <row r="2883" spans="1:13" x14ac:dyDescent="0.2">
      <c r="A2883" s="12"/>
      <c r="I2883" s="12"/>
      <c r="K2883" s="12"/>
      <c r="M2883" s="12"/>
    </row>
    <row r="2884" spans="1:13" x14ac:dyDescent="0.2">
      <c r="A2884" s="12"/>
      <c r="I2884" s="12"/>
      <c r="K2884" s="12"/>
      <c r="M2884" s="12"/>
    </row>
    <row r="2885" spans="1:13" x14ac:dyDescent="0.2">
      <c r="A2885" s="12"/>
      <c r="I2885" s="12"/>
      <c r="K2885" s="12"/>
      <c r="M2885" s="12"/>
    </row>
    <row r="2886" spans="1:13" x14ac:dyDescent="0.2">
      <c r="A2886" s="12"/>
      <c r="I2886" s="12"/>
      <c r="K2886" s="12"/>
      <c r="M2886" s="12"/>
    </row>
    <row r="2887" spans="1:13" x14ac:dyDescent="0.2">
      <c r="A2887" s="12"/>
      <c r="I2887" s="12"/>
      <c r="K2887" s="12"/>
      <c r="M2887" s="12"/>
    </row>
    <row r="2888" spans="1:13" x14ac:dyDescent="0.2">
      <c r="A2888" s="12"/>
      <c r="I2888" s="12"/>
      <c r="K2888" s="12"/>
      <c r="M2888" s="12"/>
    </row>
    <row r="2889" spans="1:13" x14ac:dyDescent="0.2">
      <c r="A2889" s="12"/>
      <c r="I2889" s="12"/>
      <c r="K2889" s="12"/>
      <c r="M2889" s="12"/>
    </row>
    <row r="2890" spans="1:13" x14ac:dyDescent="0.2">
      <c r="A2890" s="12"/>
      <c r="I2890" s="12"/>
      <c r="K2890" s="12"/>
      <c r="M2890" s="12"/>
    </row>
    <row r="2891" spans="1:13" x14ac:dyDescent="0.2">
      <c r="A2891" s="12"/>
      <c r="I2891" s="12"/>
      <c r="K2891" s="12"/>
      <c r="M2891" s="12"/>
    </row>
    <row r="2892" spans="1:13" x14ac:dyDescent="0.2">
      <c r="A2892" s="12"/>
      <c r="I2892" s="12"/>
      <c r="K2892" s="12"/>
      <c r="M2892" s="12"/>
    </row>
    <row r="2893" spans="1:13" x14ac:dyDescent="0.2">
      <c r="A2893" s="12"/>
      <c r="I2893" s="12"/>
      <c r="K2893" s="12"/>
      <c r="M2893" s="12"/>
    </row>
    <row r="2894" spans="1:13" x14ac:dyDescent="0.2">
      <c r="A2894" s="12"/>
      <c r="I2894" s="12"/>
      <c r="K2894" s="12"/>
      <c r="M2894" s="12"/>
    </row>
    <row r="2895" spans="1:13" x14ac:dyDescent="0.2">
      <c r="A2895" s="12"/>
      <c r="I2895" s="12"/>
      <c r="K2895" s="12"/>
      <c r="M2895" s="12"/>
    </row>
    <row r="2896" spans="1:13" x14ac:dyDescent="0.2">
      <c r="A2896" s="12"/>
      <c r="I2896" s="12"/>
      <c r="K2896" s="12"/>
      <c r="M2896" s="12"/>
    </row>
    <row r="2897" spans="1:13" x14ac:dyDescent="0.2">
      <c r="A2897" s="12"/>
      <c r="I2897" s="12"/>
      <c r="K2897" s="12"/>
      <c r="M2897" s="12"/>
    </row>
    <row r="2898" spans="1:13" x14ac:dyDescent="0.2">
      <c r="A2898" s="12"/>
      <c r="I2898" s="12"/>
      <c r="K2898" s="12"/>
      <c r="M2898" s="12"/>
    </row>
    <row r="2899" spans="1:13" x14ac:dyDescent="0.2">
      <c r="A2899" s="12"/>
      <c r="I2899" s="12"/>
      <c r="K2899" s="12"/>
      <c r="M2899" s="12"/>
    </row>
    <row r="2900" spans="1:13" x14ac:dyDescent="0.2">
      <c r="A2900" s="12"/>
      <c r="I2900" s="12"/>
      <c r="K2900" s="12"/>
      <c r="M2900" s="12"/>
    </row>
    <row r="2901" spans="1:13" x14ac:dyDescent="0.2">
      <c r="A2901" s="12"/>
      <c r="I2901" s="12"/>
      <c r="K2901" s="12"/>
      <c r="M2901" s="12"/>
    </row>
    <row r="2902" spans="1:13" x14ac:dyDescent="0.2">
      <c r="A2902" s="12"/>
      <c r="I2902" s="12"/>
      <c r="K2902" s="12"/>
      <c r="M2902" s="12"/>
    </row>
    <row r="2903" spans="1:13" x14ac:dyDescent="0.2">
      <c r="A2903" s="12"/>
      <c r="I2903" s="12"/>
      <c r="K2903" s="12"/>
      <c r="M2903" s="12"/>
    </row>
    <row r="2904" spans="1:13" x14ac:dyDescent="0.2">
      <c r="A2904" s="12"/>
      <c r="I2904" s="12"/>
      <c r="K2904" s="12"/>
      <c r="M2904" s="12"/>
    </row>
    <row r="2905" spans="1:13" x14ac:dyDescent="0.2">
      <c r="A2905" s="12"/>
      <c r="I2905" s="12"/>
      <c r="K2905" s="12"/>
      <c r="M2905" s="12"/>
    </row>
    <row r="2906" spans="1:13" x14ac:dyDescent="0.2">
      <c r="A2906" s="12"/>
      <c r="I2906" s="12"/>
      <c r="K2906" s="12"/>
      <c r="M2906" s="12"/>
    </row>
    <row r="2907" spans="1:13" x14ac:dyDescent="0.2">
      <c r="A2907" s="12"/>
      <c r="I2907" s="12"/>
      <c r="K2907" s="12"/>
      <c r="M2907" s="12"/>
    </row>
    <row r="2908" spans="1:13" x14ac:dyDescent="0.2">
      <c r="A2908" s="12"/>
      <c r="I2908" s="12"/>
      <c r="K2908" s="12"/>
      <c r="M2908" s="12"/>
    </row>
    <row r="2909" spans="1:13" x14ac:dyDescent="0.2">
      <c r="A2909" s="12"/>
      <c r="I2909" s="12"/>
      <c r="K2909" s="12"/>
      <c r="M2909" s="12"/>
    </row>
    <row r="2910" spans="1:13" x14ac:dyDescent="0.2">
      <c r="A2910" s="12"/>
      <c r="I2910" s="12"/>
      <c r="K2910" s="12"/>
      <c r="M2910" s="12"/>
    </row>
    <row r="2911" spans="1:13" x14ac:dyDescent="0.2">
      <c r="A2911" s="12"/>
      <c r="I2911" s="12"/>
      <c r="K2911" s="12"/>
      <c r="M2911" s="12"/>
    </row>
    <row r="2912" spans="1:13" x14ac:dyDescent="0.2">
      <c r="A2912" s="12"/>
      <c r="I2912" s="12"/>
      <c r="K2912" s="12"/>
      <c r="M2912" s="12"/>
    </row>
    <row r="2913" spans="1:13" x14ac:dyDescent="0.2">
      <c r="A2913" s="12"/>
      <c r="I2913" s="12"/>
      <c r="K2913" s="12"/>
      <c r="M2913" s="12"/>
    </row>
    <row r="2914" spans="1:13" x14ac:dyDescent="0.2">
      <c r="A2914" s="12"/>
      <c r="I2914" s="12"/>
      <c r="K2914" s="12"/>
      <c r="M2914" s="12"/>
    </row>
    <row r="2915" spans="1:13" x14ac:dyDescent="0.2">
      <c r="A2915" s="12"/>
      <c r="I2915" s="12"/>
      <c r="K2915" s="12"/>
      <c r="M2915" s="12"/>
    </row>
    <row r="2916" spans="1:13" x14ac:dyDescent="0.2">
      <c r="A2916" s="12"/>
      <c r="I2916" s="12"/>
      <c r="K2916" s="12"/>
      <c r="M2916" s="12"/>
    </row>
    <row r="2917" spans="1:13" x14ac:dyDescent="0.2">
      <c r="A2917" s="12"/>
      <c r="I2917" s="12"/>
      <c r="K2917" s="12"/>
      <c r="M2917" s="12"/>
    </row>
    <row r="2918" spans="1:13" x14ac:dyDescent="0.2">
      <c r="A2918" s="12"/>
      <c r="I2918" s="12"/>
      <c r="K2918" s="12"/>
      <c r="M2918" s="12"/>
    </row>
    <row r="2919" spans="1:13" x14ac:dyDescent="0.2">
      <c r="A2919" s="12"/>
      <c r="I2919" s="12"/>
      <c r="K2919" s="12"/>
      <c r="M2919" s="12"/>
    </row>
    <row r="2920" spans="1:13" x14ac:dyDescent="0.2">
      <c r="A2920" s="12"/>
      <c r="I2920" s="12"/>
      <c r="K2920" s="12"/>
      <c r="M2920" s="12"/>
    </row>
    <row r="2921" spans="1:13" x14ac:dyDescent="0.2">
      <c r="A2921" s="12"/>
      <c r="I2921" s="12"/>
      <c r="K2921" s="12"/>
      <c r="M2921" s="12"/>
    </row>
    <row r="2922" spans="1:13" x14ac:dyDescent="0.2">
      <c r="A2922" s="12"/>
      <c r="I2922" s="12"/>
      <c r="K2922" s="12"/>
      <c r="M2922" s="12"/>
    </row>
    <row r="2923" spans="1:13" x14ac:dyDescent="0.2">
      <c r="A2923" s="12"/>
      <c r="I2923" s="12"/>
      <c r="K2923" s="12"/>
      <c r="M2923" s="12"/>
    </row>
    <row r="2924" spans="1:13" x14ac:dyDescent="0.2">
      <c r="A2924" s="12"/>
      <c r="I2924" s="12"/>
      <c r="K2924" s="12"/>
      <c r="M2924" s="12"/>
    </row>
    <row r="2925" spans="1:13" x14ac:dyDescent="0.2">
      <c r="A2925" s="12"/>
      <c r="I2925" s="12"/>
      <c r="K2925" s="12"/>
      <c r="M2925" s="12"/>
    </row>
    <row r="2926" spans="1:13" x14ac:dyDescent="0.2">
      <c r="A2926" s="12"/>
      <c r="I2926" s="12"/>
      <c r="K2926" s="12"/>
      <c r="M2926" s="12"/>
    </row>
    <row r="2927" spans="1:13" x14ac:dyDescent="0.2">
      <c r="A2927" s="12"/>
      <c r="I2927" s="12"/>
      <c r="K2927" s="12"/>
      <c r="M2927" s="12"/>
    </row>
    <row r="2928" spans="1:13" x14ac:dyDescent="0.2">
      <c r="A2928" s="12"/>
      <c r="I2928" s="12"/>
      <c r="K2928" s="12"/>
      <c r="M2928" s="12"/>
    </row>
    <row r="2929" spans="1:13" x14ac:dyDescent="0.2">
      <c r="A2929" s="12"/>
      <c r="I2929" s="12"/>
      <c r="K2929" s="12"/>
      <c r="M2929" s="12"/>
    </row>
    <row r="2930" spans="1:13" x14ac:dyDescent="0.2">
      <c r="A2930" s="12"/>
      <c r="I2930" s="12"/>
      <c r="K2930" s="12"/>
      <c r="M2930" s="12"/>
    </row>
    <row r="2931" spans="1:13" x14ac:dyDescent="0.2">
      <c r="A2931" s="12"/>
      <c r="I2931" s="12"/>
      <c r="K2931" s="12"/>
      <c r="M2931" s="12"/>
    </row>
    <row r="2932" spans="1:13" x14ac:dyDescent="0.2">
      <c r="A2932" s="12"/>
      <c r="I2932" s="12"/>
      <c r="K2932" s="12"/>
      <c r="M2932" s="12"/>
    </row>
    <row r="2933" spans="1:13" x14ac:dyDescent="0.2">
      <c r="A2933" s="12"/>
      <c r="I2933" s="12"/>
      <c r="K2933" s="12"/>
      <c r="M2933" s="12"/>
    </row>
    <row r="2934" spans="1:13" x14ac:dyDescent="0.2">
      <c r="A2934" s="12"/>
      <c r="I2934" s="12"/>
      <c r="K2934" s="12"/>
      <c r="M2934" s="12"/>
    </row>
    <row r="2935" spans="1:13" x14ac:dyDescent="0.2">
      <c r="A2935" s="12"/>
      <c r="I2935" s="12"/>
      <c r="K2935" s="12"/>
      <c r="M2935" s="12"/>
    </row>
    <row r="2936" spans="1:13" x14ac:dyDescent="0.2">
      <c r="A2936" s="12"/>
      <c r="I2936" s="12"/>
      <c r="K2936" s="12"/>
      <c r="M2936" s="12"/>
    </row>
    <row r="2937" spans="1:13" x14ac:dyDescent="0.2">
      <c r="A2937" s="12"/>
      <c r="I2937" s="12"/>
      <c r="K2937" s="12"/>
      <c r="M2937" s="12"/>
    </row>
    <row r="2938" spans="1:13" x14ac:dyDescent="0.2">
      <c r="A2938" s="12"/>
      <c r="I2938" s="12"/>
      <c r="K2938" s="12"/>
      <c r="M2938" s="12"/>
    </row>
    <row r="2939" spans="1:13" x14ac:dyDescent="0.2">
      <c r="A2939" s="12"/>
      <c r="I2939" s="12"/>
      <c r="K2939" s="12"/>
      <c r="M2939" s="12"/>
    </row>
    <row r="2940" spans="1:13" x14ac:dyDescent="0.2">
      <c r="A2940" s="12"/>
      <c r="I2940" s="12"/>
      <c r="K2940" s="12"/>
      <c r="M2940" s="12"/>
    </row>
    <row r="2941" spans="1:13" x14ac:dyDescent="0.2">
      <c r="A2941" s="12"/>
      <c r="I2941" s="12"/>
      <c r="K2941" s="12"/>
      <c r="M2941" s="12"/>
    </row>
    <row r="2942" spans="1:13" x14ac:dyDescent="0.2">
      <c r="A2942" s="12"/>
      <c r="I2942" s="12"/>
      <c r="K2942" s="12"/>
      <c r="M2942" s="12"/>
    </row>
    <row r="2943" spans="1:13" x14ac:dyDescent="0.2">
      <c r="A2943" s="12"/>
      <c r="I2943" s="12"/>
      <c r="K2943" s="12"/>
      <c r="M2943" s="12"/>
    </row>
    <row r="2944" spans="1:13" x14ac:dyDescent="0.2">
      <c r="A2944" s="12"/>
      <c r="I2944" s="12"/>
      <c r="K2944" s="12"/>
      <c r="M2944" s="12"/>
    </row>
    <row r="2945" spans="1:13" x14ac:dyDescent="0.2">
      <c r="A2945" s="12"/>
      <c r="I2945" s="12"/>
      <c r="K2945" s="12"/>
      <c r="M2945" s="12"/>
    </row>
    <row r="2946" spans="1:13" x14ac:dyDescent="0.2">
      <c r="A2946" s="12"/>
      <c r="I2946" s="12"/>
      <c r="K2946" s="12"/>
      <c r="M2946" s="12"/>
    </row>
    <row r="2947" spans="1:13" x14ac:dyDescent="0.2">
      <c r="A2947" s="12"/>
      <c r="I2947" s="12"/>
      <c r="K2947" s="12"/>
      <c r="M2947" s="12"/>
    </row>
    <row r="2948" spans="1:13" x14ac:dyDescent="0.2">
      <c r="A2948" s="12"/>
      <c r="I2948" s="12"/>
      <c r="K2948" s="12"/>
      <c r="M2948" s="12"/>
    </row>
    <row r="2949" spans="1:13" x14ac:dyDescent="0.2">
      <c r="A2949" s="12"/>
      <c r="I2949" s="12"/>
      <c r="K2949" s="12"/>
      <c r="M2949" s="12"/>
    </row>
    <row r="2950" spans="1:13" x14ac:dyDescent="0.2">
      <c r="A2950" s="12"/>
      <c r="I2950" s="12"/>
      <c r="K2950" s="12"/>
      <c r="M2950" s="12"/>
    </row>
    <row r="2951" spans="1:13" x14ac:dyDescent="0.2">
      <c r="A2951" s="12"/>
      <c r="I2951" s="12"/>
      <c r="K2951" s="12"/>
      <c r="M2951" s="12"/>
    </row>
    <row r="2952" spans="1:13" x14ac:dyDescent="0.2">
      <c r="A2952" s="12"/>
      <c r="I2952" s="12"/>
      <c r="K2952" s="12"/>
      <c r="M2952" s="12"/>
    </row>
    <row r="2953" spans="1:13" x14ac:dyDescent="0.2">
      <c r="A2953" s="12"/>
      <c r="I2953" s="12"/>
      <c r="K2953" s="12"/>
      <c r="M2953" s="12"/>
    </row>
    <row r="2954" spans="1:13" x14ac:dyDescent="0.2">
      <c r="A2954" s="12"/>
      <c r="I2954" s="12"/>
      <c r="K2954" s="12"/>
      <c r="M2954" s="12"/>
    </row>
    <row r="2955" spans="1:13" x14ac:dyDescent="0.2">
      <c r="A2955" s="12"/>
      <c r="I2955" s="12"/>
      <c r="K2955" s="12"/>
      <c r="M2955" s="12"/>
    </row>
    <row r="2956" spans="1:13" x14ac:dyDescent="0.2">
      <c r="A2956" s="12"/>
      <c r="I2956" s="12"/>
      <c r="K2956" s="12"/>
      <c r="M2956" s="12"/>
    </row>
    <row r="2957" spans="1:13" x14ac:dyDescent="0.2">
      <c r="A2957" s="12"/>
      <c r="I2957" s="12"/>
      <c r="K2957" s="12"/>
      <c r="M2957" s="12"/>
    </row>
    <row r="2958" spans="1:13" x14ac:dyDescent="0.2">
      <c r="A2958" s="12"/>
      <c r="I2958" s="12"/>
      <c r="K2958" s="12"/>
      <c r="M2958" s="12"/>
    </row>
    <row r="2959" spans="1:13" x14ac:dyDescent="0.2">
      <c r="A2959" s="12"/>
      <c r="I2959" s="12"/>
      <c r="K2959" s="12"/>
      <c r="M2959" s="12"/>
    </row>
    <row r="2960" spans="1:13" x14ac:dyDescent="0.2">
      <c r="A2960" s="12"/>
      <c r="I2960" s="12"/>
      <c r="K2960" s="12"/>
      <c r="M2960" s="12"/>
    </row>
    <row r="2961" spans="1:13" x14ac:dyDescent="0.2">
      <c r="A2961" s="12"/>
      <c r="I2961" s="12"/>
      <c r="K2961" s="12"/>
      <c r="M2961" s="12"/>
    </row>
    <row r="2962" spans="1:13" x14ac:dyDescent="0.2">
      <c r="A2962" s="12"/>
      <c r="I2962" s="12"/>
      <c r="K2962" s="12"/>
      <c r="M2962" s="12"/>
    </row>
    <row r="2963" spans="1:13" x14ac:dyDescent="0.2">
      <c r="A2963" s="12"/>
      <c r="I2963" s="12"/>
      <c r="K2963" s="12"/>
      <c r="M2963" s="12"/>
    </row>
    <row r="2964" spans="1:13" x14ac:dyDescent="0.2">
      <c r="A2964" s="12"/>
      <c r="I2964" s="12"/>
      <c r="K2964" s="12"/>
      <c r="M2964" s="12"/>
    </row>
    <row r="2965" spans="1:13" x14ac:dyDescent="0.2">
      <c r="A2965" s="12"/>
      <c r="I2965" s="12"/>
      <c r="K2965" s="12"/>
      <c r="M2965" s="12"/>
    </row>
    <row r="2966" spans="1:13" x14ac:dyDescent="0.2">
      <c r="A2966" s="12"/>
      <c r="I2966" s="12"/>
      <c r="K2966" s="12"/>
      <c r="M2966" s="12"/>
    </row>
    <row r="2967" spans="1:13" x14ac:dyDescent="0.2">
      <c r="A2967" s="12"/>
      <c r="I2967" s="12"/>
      <c r="K2967" s="12"/>
      <c r="M2967" s="12"/>
    </row>
    <row r="2968" spans="1:13" x14ac:dyDescent="0.2">
      <c r="A2968" s="12"/>
      <c r="I2968" s="12"/>
      <c r="K2968" s="12"/>
      <c r="M2968" s="12"/>
    </row>
    <row r="2969" spans="1:13" x14ac:dyDescent="0.2">
      <c r="A2969" s="12"/>
      <c r="I2969" s="12"/>
      <c r="K2969" s="12"/>
      <c r="M2969" s="12"/>
    </row>
    <row r="2970" spans="1:13" x14ac:dyDescent="0.2">
      <c r="A2970" s="12"/>
      <c r="I2970" s="12"/>
      <c r="K2970" s="12"/>
      <c r="M2970" s="12"/>
    </row>
    <row r="2971" spans="1:13" x14ac:dyDescent="0.2">
      <c r="A2971" s="12"/>
      <c r="I2971" s="12"/>
      <c r="K2971" s="12"/>
      <c r="M2971" s="12"/>
    </row>
    <row r="2972" spans="1:13" x14ac:dyDescent="0.2">
      <c r="A2972" s="12"/>
      <c r="I2972" s="12"/>
      <c r="K2972" s="12"/>
      <c r="M2972" s="12"/>
    </row>
    <row r="2973" spans="1:13" x14ac:dyDescent="0.2">
      <c r="A2973" s="12"/>
      <c r="I2973" s="12"/>
      <c r="K2973" s="12"/>
      <c r="M2973" s="12"/>
    </row>
    <row r="2974" spans="1:13" x14ac:dyDescent="0.2">
      <c r="A2974" s="12"/>
      <c r="I2974" s="12"/>
      <c r="K2974" s="12"/>
      <c r="M2974" s="12"/>
    </row>
    <row r="2975" spans="1:13" x14ac:dyDescent="0.2">
      <c r="A2975" s="12"/>
      <c r="I2975" s="12"/>
      <c r="K2975" s="12"/>
      <c r="M2975" s="12"/>
    </row>
    <row r="2976" spans="1:13" x14ac:dyDescent="0.2">
      <c r="A2976" s="12"/>
      <c r="I2976" s="12"/>
      <c r="K2976" s="12"/>
      <c r="M2976" s="12"/>
    </row>
    <row r="2977" spans="1:13" x14ac:dyDescent="0.2">
      <c r="A2977" s="12"/>
      <c r="I2977" s="12"/>
      <c r="K2977" s="12"/>
      <c r="M2977" s="12"/>
    </row>
    <row r="2978" spans="1:13" x14ac:dyDescent="0.2">
      <c r="A2978" s="12"/>
      <c r="I2978" s="12"/>
      <c r="K2978" s="12"/>
      <c r="M2978" s="12"/>
    </row>
    <row r="2979" spans="1:13" x14ac:dyDescent="0.2">
      <c r="A2979" s="12"/>
      <c r="I2979" s="12"/>
      <c r="K2979" s="12"/>
      <c r="M2979" s="12"/>
    </row>
    <row r="2980" spans="1:13" x14ac:dyDescent="0.2">
      <c r="A2980" s="12"/>
      <c r="I2980" s="12"/>
      <c r="K2980" s="12"/>
      <c r="M2980" s="12"/>
    </row>
    <row r="2981" spans="1:13" x14ac:dyDescent="0.2">
      <c r="A2981" s="12"/>
      <c r="I2981" s="12"/>
      <c r="K2981" s="12"/>
      <c r="M2981" s="12"/>
    </row>
    <row r="2982" spans="1:13" x14ac:dyDescent="0.2">
      <c r="A2982" s="12"/>
      <c r="I2982" s="12"/>
      <c r="K2982" s="12"/>
      <c r="M2982" s="12"/>
    </row>
    <row r="2983" spans="1:13" x14ac:dyDescent="0.2">
      <c r="A2983" s="12"/>
      <c r="I2983" s="12"/>
      <c r="K2983" s="12"/>
      <c r="M2983" s="12"/>
    </row>
    <row r="2984" spans="1:13" x14ac:dyDescent="0.2">
      <c r="A2984" s="12"/>
      <c r="I2984" s="12"/>
      <c r="K2984" s="12"/>
      <c r="M2984" s="12"/>
    </row>
    <row r="2985" spans="1:13" x14ac:dyDescent="0.2">
      <c r="A2985" s="12"/>
      <c r="I2985" s="12"/>
      <c r="K2985" s="12"/>
      <c r="M2985" s="12"/>
    </row>
    <row r="2986" spans="1:13" x14ac:dyDescent="0.2">
      <c r="A2986" s="12"/>
      <c r="I2986" s="12"/>
      <c r="K2986" s="12"/>
      <c r="M2986" s="12"/>
    </row>
    <row r="2987" spans="1:13" x14ac:dyDescent="0.2">
      <c r="A2987" s="12"/>
      <c r="I2987" s="12"/>
      <c r="K2987" s="12"/>
      <c r="M2987" s="12"/>
    </row>
    <row r="2988" spans="1:13" x14ac:dyDescent="0.2">
      <c r="A2988" s="12"/>
      <c r="I2988" s="12"/>
      <c r="K2988" s="12"/>
      <c r="M2988" s="12"/>
    </row>
    <row r="2989" spans="1:13" x14ac:dyDescent="0.2">
      <c r="A2989" s="12"/>
      <c r="I2989" s="12"/>
      <c r="K2989" s="12"/>
      <c r="M2989" s="12"/>
    </row>
    <row r="2990" spans="1:13" x14ac:dyDescent="0.2">
      <c r="A2990" s="12"/>
      <c r="I2990" s="12"/>
      <c r="K2990" s="12"/>
      <c r="M2990" s="12"/>
    </row>
    <row r="2991" spans="1:13" x14ac:dyDescent="0.2">
      <c r="A2991" s="12"/>
      <c r="I2991" s="12"/>
      <c r="K2991" s="12"/>
      <c r="M2991" s="12"/>
    </row>
    <row r="2992" spans="1:13" x14ac:dyDescent="0.2">
      <c r="A2992" s="12"/>
      <c r="I2992" s="12"/>
      <c r="K2992" s="12"/>
      <c r="M2992" s="12"/>
    </row>
    <row r="2993" spans="1:13" x14ac:dyDescent="0.2">
      <c r="A2993" s="12"/>
      <c r="I2993" s="12"/>
      <c r="K2993" s="12"/>
      <c r="M2993" s="12"/>
    </row>
    <row r="2994" spans="1:13" x14ac:dyDescent="0.2">
      <c r="A2994" s="12"/>
      <c r="I2994" s="12"/>
      <c r="K2994" s="12"/>
      <c r="M2994" s="12"/>
    </row>
    <row r="2995" spans="1:13" x14ac:dyDescent="0.2">
      <c r="A2995" s="12"/>
      <c r="I2995" s="12"/>
      <c r="K2995" s="12"/>
      <c r="M2995" s="12"/>
    </row>
    <row r="2996" spans="1:13" x14ac:dyDescent="0.2">
      <c r="A2996" s="12"/>
      <c r="I2996" s="12"/>
      <c r="K2996" s="12"/>
      <c r="M2996" s="12"/>
    </row>
    <row r="2997" spans="1:13" x14ac:dyDescent="0.2">
      <c r="A2997" s="12"/>
      <c r="I2997" s="12"/>
      <c r="K2997" s="12"/>
      <c r="M2997" s="12"/>
    </row>
    <row r="2998" spans="1:13" x14ac:dyDescent="0.2">
      <c r="A2998" s="12"/>
      <c r="I2998" s="12"/>
      <c r="K2998" s="12"/>
      <c r="M2998" s="12"/>
    </row>
    <row r="2999" spans="1:13" x14ac:dyDescent="0.2">
      <c r="A2999" s="12"/>
      <c r="I2999" s="12"/>
      <c r="K2999" s="12"/>
      <c r="M2999" s="12"/>
    </row>
    <row r="3000" spans="1:13" x14ac:dyDescent="0.2">
      <c r="A3000" s="12"/>
      <c r="I3000" s="12"/>
      <c r="K3000" s="12"/>
      <c r="M3000" s="12"/>
    </row>
    <row r="3001" spans="1:13" x14ac:dyDescent="0.2">
      <c r="A3001" s="12"/>
      <c r="I3001" s="12"/>
      <c r="K3001" s="12"/>
      <c r="M3001" s="12"/>
    </row>
    <row r="3002" spans="1:13" x14ac:dyDescent="0.2">
      <c r="A3002" s="12"/>
      <c r="I3002" s="12"/>
      <c r="K3002" s="12"/>
      <c r="M3002" s="12"/>
    </row>
    <row r="3003" spans="1:13" x14ac:dyDescent="0.2">
      <c r="A3003" s="12"/>
      <c r="I3003" s="12"/>
      <c r="K3003" s="12"/>
      <c r="M3003" s="12"/>
    </row>
    <row r="3004" spans="1:13" x14ac:dyDescent="0.2">
      <c r="A3004" s="12"/>
      <c r="I3004" s="12"/>
      <c r="K3004" s="12"/>
      <c r="M3004" s="12"/>
    </row>
    <row r="3005" spans="1:13" x14ac:dyDescent="0.2">
      <c r="A3005" s="12"/>
      <c r="I3005" s="12"/>
      <c r="K3005" s="12"/>
      <c r="M3005" s="12"/>
    </row>
    <row r="3006" spans="1:13" x14ac:dyDescent="0.2">
      <c r="A3006" s="12"/>
      <c r="I3006" s="12"/>
      <c r="K3006" s="12"/>
      <c r="M3006" s="12"/>
    </row>
    <row r="3007" spans="1:13" x14ac:dyDescent="0.2">
      <c r="A3007" s="12"/>
      <c r="I3007" s="12"/>
      <c r="K3007" s="12"/>
      <c r="M3007" s="12"/>
    </row>
    <row r="3008" spans="1:13" x14ac:dyDescent="0.2">
      <c r="A3008" s="12"/>
      <c r="I3008" s="12"/>
      <c r="K3008" s="12"/>
      <c r="M3008" s="12"/>
    </row>
    <row r="3009" spans="1:13" x14ac:dyDescent="0.2">
      <c r="A3009" s="12"/>
      <c r="I3009" s="12"/>
      <c r="K3009" s="12"/>
      <c r="M3009" s="12"/>
    </row>
    <row r="3010" spans="1:13" x14ac:dyDescent="0.2">
      <c r="A3010" s="12"/>
      <c r="I3010" s="12"/>
      <c r="K3010" s="12"/>
      <c r="M3010" s="12"/>
    </row>
    <row r="3011" spans="1:13" x14ac:dyDescent="0.2">
      <c r="A3011" s="12"/>
      <c r="I3011" s="12"/>
      <c r="K3011" s="12"/>
      <c r="M3011" s="12"/>
    </row>
    <row r="3012" spans="1:13" x14ac:dyDescent="0.2">
      <c r="A3012" s="12"/>
      <c r="I3012" s="12"/>
      <c r="K3012" s="12"/>
      <c r="M3012" s="12"/>
    </row>
    <row r="3013" spans="1:13" x14ac:dyDescent="0.2">
      <c r="A3013" s="12"/>
      <c r="I3013" s="12"/>
      <c r="K3013" s="12"/>
      <c r="M3013" s="12"/>
    </row>
    <row r="3014" spans="1:13" x14ac:dyDescent="0.2">
      <c r="A3014" s="12"/>
      <c r="I3014" s="12"/>
      <c r="K3014" s="12"/>
      <c r="M3014" s="12"/>
    </row>
    <row r="3015" spans="1:13" x14ac:dyDescent="0.2">
      <c r="A3015" s="12"/>
      <c r="I3015" s="12"/>
      <c r="K3015" s="12"/>
      <c r="M3015" s="12"/>
    </row>
    <row r="3016" spans="1:13" x14ac:dyDescent="0.2">
      <c r="A3016" s="12"/>
      <c r="I3016" s="12"/>
      <c r="K3016" s="12"/>
      <c r="M3016" s="12"/>
    </row>
    <row r="3017" spans="1:13" x14ac:dyDescent="0.2">
      <c r="A3017" s="12"/>
      <c r="I3017" s="12"/>
      <c r="K3017" s="12"/>
      <c r="M3017" s="12"/>
    </row>
    <row r="3018" spans="1:13" x14ac:dyDescent="0.2">
      <c r="A3018" s="12"/>
      <c r="I3018" s="12"/>
      <c r="K3018" s="12"/>
      <c r="M3018" s="12"/>
    </row>
    <row r="3019" spans="1:13" x14ac:dyDescent="0.2">
      <c r="A3019" s="12"/>
      <c r="I3019" s="12"/>
      <c r="K3019" s="12"/>
      <c r="M3019" s="12"/>
    </row>
    <row r="3020" spans="1:13" x14ac:dyDescent="0.2">
      <c r="A3020" s="12"/>
      <c r="I3020" s="12"/>
      <c r="K3020" s="12"/>
      <c r="M3020" s="12"/>
    </row>
    <row r="3021" spans="1:13" x14ac:dyDescent="0.2">
      <c r="A3021" s="12"/>
      <c r="I3021" s="12"/>
      <c r="K3021" s="12"/>
      <c r="M3021" s="12"/>
    </row>
    <row r="3022" spans="1:13" x14ac:dyDescent="0.2">
      <c r="A3022" s="12"/>
      <c r="I3022" s="12"/>
      <c r="K3022" s="12"/>
      <c r="M3022" s="12"/>
    </row>
    <row r="3023" spans="1:13" x14ac:dyDescent="0.2">
      <c r="A3023" s="12"/>
      <c r="I3023" s="12"/>
      <c r="K3023" s="12"/>
      <c r="M3023" s="12"/>
    </row>
    <row r="3024" spans="1:13" x14ac:dyDescent="0.2">
      <c r="A3024" s="12"/>
      <c r="I3024" s="12"/>
      <c r="K3024" s="12"/>
      <c r="M3024" s="12"/>
    </row>
    <row r="3025" spans="1:13" x14ac:dyDescent="0.2">
      <c r="A3025" s="12"/>
      <c r="I3025" s="12"/>
      <c r="K3025" s="12"/>
      <c r="M3025" s="12"/>
    </row>
    <row r="3026" spans="1:13" x14ac:dyDescent="0.2">
      <c r="A3026" s="12"/>
      <c r="I3026" s="12"/>
      <c r="K3026" s="12"/>
      <c r="M3026" s="12"/>
    </row>
    <row r="3027" spans="1:13" x14ac:dyDescent="0.2">
      <c r="A3027" s="12"/>
      <c r="I3027" s="12"/>
      <c r="K3027" s="12"/>
      <c r="M3027" s="12"/>
    </row>
    <row r="3028" spans="1:13" x14ac:dyDescent="0.2">
      <c r="A3028" s="12"/>
      <c r="I3028" s="12"/>
      <c r="K3028" s="12"/>
      <c r="M3028" s="12"/>
    </row>
    <row r="3029" spans="1:13" x14ac:dyDescent="0.2">
      <c r="A3029" s="12"/>
      <c r="I3029" s="12"/>
      <c r="K3029" s="12"/>
      <c r="M3029" s="12"/>
    </row>
    <row r="3030" spans="1:13" x14ac:dyDescent="0.2">
      <c r="A3030" s="12"/>
      <c r="I3030" s="12"/>
      <c r="K3030" s="12"/>
      <c r="M3030" s="12"/>
    </row>
    <row r="3031" spans="1:13" x14ac:dyDescent="0.2">
      <c r="A3031" s="12"/>
      <c r="I3031" s="12"/>
      <c r="K3031" s="12"/>
      <c r="M3031" s="12"/>
    </row>
    <row r="3032" spans="1:13" x14ac:dyDescent="0.2">
      <c r="A3032" s="12"/>
      <c r="I3032" s="12"/>
      <c r="K3032" s="12"/>
      <c r="M3032" s="12"/>
    </row>
    <row r="3033" spans="1:13" x14ac:dyDescent="0.2">
      <c r="A3033" s="12"/>
      <c r="I3033" s="12"/>
      <c r="K3033" s="12"/>
      <c r="M3033" s="12"/>
    </row>
    <row r="3034" spans="1:13" x14ac:dyDescent="0.2">
      <c r="A3034" s="12"/>
      <c r="I3034" s="12"/>
      <c r="K3034" s="12"/>
      <c r="M3034" s="12"/>
    </row>
    <row r="3035" spans="1:13" x14ac:dyDescent="0.2">
      <c r="A3035" s="12"/>
      <c r="I3035" s="12"/>
      <c r="K3035" s="12"/>
      <c r="M3035" s="12"/>
    </row>
    <row r="3036" spans="1:13" x14ac:dyDescent="0.2">
      <c r="A3036" s="12"/>
      <c r="I3036" s="12"/>
      <c r="K3036" s="12"/>
      <c r="M3036" s="12"/>
    </row>
    <row r="3037" spans="1:13" x14ac:dyDescent="0.2">
      <c r="A3037" s="12"/>
      <c r="I3037" s="12"/>
      <c r="K3037" s="12"/>
      <c r="M3037" s="12"/>
    </row>
    <row r="3038" spans="1:13" x14ac:dyDescent="0.2">
      <c r="A3038" s="12"/>
      <c r="I3038" s="12"/>
      <c r="K3038" s="12"/>
      <c r="M3038" s="12"/>
    </row>
    <row r="3039" spans="1:13" x14ac:dyDescent="0.2">
      <c r="A3039" s="12"/>
      <c r="I3039" s="12"/>
      <c r="K3039" s="12"/>
      <c r="M3039" s="12"/>
    </row>
    <row r="3040" spans="1:13" x14ac:dyDescent="0.2">
      <c r="A3040" s="12"/>
      <c r="I3040" s="12"/>
      <c r="K3040" s="12"/>
      <c r="M3040" s="12"/>
    </row>
    <row r="3041" spans="1:13" x14ac:dyDescent="0.2">
      <c r="A3041" s="12"/>
      <c r="I3041" s="12"/>
      <c r="K3041" s="12"/>
      <c r="M3041" s="12"/>
    </row>
    <row r="3042" spans="1:13" x14ac:dyDescent="0.2">
      <c r="A3042" s="12"/>
      <c r="I3042" s="12"/>
      <c r="K3042" s="12"/>
      <c r="M3042" s="12"/>
    </row>
    <row r="3043" spans="1:13" x14ac:dyDescent="0.2">
      <c r="A3043" s="12"/>
      <c r="I3043" s="12"/>
      <c r="K3043" s="12"/>
      <c r="M3043" s="12"/>
    </row>
    <row r="3044" spans="1:13" x14ac:dyDescent="0.2">
      <c r="A3044" s="12"/>
      <c r="I3044" s="12"/>
      <c r="K3044" s="12"/>
      <c r="M3044" s="12"/>
    </row>
    <row r="3045" spans="1:13" x14ac:dyDescent="0.2">
      <c r="A3045" s="12"/>
      <c r="I3045" s="12"/>
      <c r="K3045" s="12"/>
      <c r="M3045" s="12"/>
    </row>
    <row r="3046" spans="1:13" x14ac:dyDescent="0.2">
      <c r="A3046" s="12"/>
      <c r="I3046" s="12"/>
      <c r="K3046" s="12"/>
      <c r="M3046" s="12"/>
    </row>
    <row r="3047" spans="1:13" x14ac:dyDescent="0.2">
      <c r="A3047" s="12"/>
      <c r="I3047" s="12"/>
      <c r="K3047" s="12"/>
      <c r="M3047" s="12"/>
    </row>
    <row r="3048" spans="1:13" x14ac:dyDescent="0.2">
      <c r="A3048" s="12"/>
      <c r="I3048" s="12"/>
      <c r="K3048" s="12"/>
      <c r="M3048" s="12"/>
    </row>
    <row r="3049" spans="1:13" x14ac:dyDescent="0.2">
      <c r="A3049" s="12"/>
      <c r="I3049" s="12"/>
      <c r="K3049" s="12"/>
      <c r="M3049" s="12"/>
    </row>
    <row r="3050" spans="1:13" x14ac:dyDescent="0.2">
      <c r="A3050" s="12"/>
      <c r="I3050" s="12"/>
      <c r="K3050" s="12"/>
      <c r="M3050" s="12"/>
    </row>
    <row r="3051" spans="1:13" x14ac:dyDescent="0.2">
      <c r="A3051" s="12"/>
      <c r="I3051" s="12"/>
      <c r="K3051" s="12"/>
      <c r="M3051" s="12"/>
    </row>
    <row r="3052" spans="1:13" x14ac:dyDescent="0.2">
      <c r="A3052" s="12"/>
      <c r="I3052" s="12"/>
      <c r="K3052" s="12"/>
      <c r="M3052" s="12"/>
    </row>
    <row r="3053" spans="1:13" x14ac:dyDescent="0.2">
      <c r="A3053" s="12"/>
      <c r="I3053" s="12"/>
      <c r="K3053" s="12"/>
      <c r="M3053" s="12"/>
    </row>
    <row r="3054" spans="1:13" x14ac:dyDescent="0.2">
      <c r="A3054" s="12"/>
      <c r="I3054" s="12"/>
      <c r="K3054" s="12"/>
      <c r="M3054" s="12"/>
    </row>
    <row r="3055" spans="1:13" x14ac:dyDescent="0.2">
      <c r="A3055" s="12"/>
      <c r="I3055" s="12"/>
      <c r="K3055" s="12"/>
      <c r="M3055" s="12"/>
    </row>
    <row r="3056" spans="1:13" x14ac:dyDescent="0.2">
      <c r="A3056" s="12"/>
      <c r="I3056" s="12"/>
      <c r="K3056" s="12"/>
      <c r="M3056" s="12"/>
    </row>
    <row r="3057" spans="1:13" x14ac:dyDescent="0.2">
      <c r="A3057" s="12"/>
      <c r="I3057" s="12"/>
      <c r="K3057" s="12"/>
      <c r="M3057" s="12"/>
    </row>
    <row r="3058" spans="1:13" x14ac:dyDescent="0.2">
      <c r="A3058" s="12"/>
      <c r="I3058" s="12"/>
      <c r="K3058" s="12"/>
      <c r="M3058" s="12"/>
    </row>
    <row r="3059" spans="1:13" x14ac:dyDescent="0.2">
      <c r="A3059" s="12"/>
      <c r="I3059" s="12"/>
      <c r="K3059" s="12"/>
      <c r="M3059" s="12"/>
    </row>
    <row r="3060" spans="1:13" x14ac:dyDescent="0.2">
      <c r="A3060" s="12"/>
      <c r="I3060" s="12"/>
      <c r="K3060" s="12"/>
      <c r="M3060" s="12"/>
    </row>
    <row r="3061" spans="1:13" x14ac:dyDescent="0.2">
      <c r="A3061" s="12"/>
      <c r="I3061" s="12"/>
      <c r="K3061" s="12"/>
      <c r="M3061" s="12"/>
    </row>
    <row r="3062" spans="1:13" x14ac:dyDescent="0.2">
      <c r="A3062" s="12"/>
      <c r="I3062" s="12"/>
      <c r="K3062" s="12"/>
      <c r="M3062" s="12"/>
    </row>
    <row r="3063" spans="1:13" x14ac:dyDescent="0.2">
      <c r="A3063" s="12"/>
      <c r="I3063" s="12"/>
      <c r="K3063" s="12"/>
      <c r="M3063" s="12"/>
    </row>
    <row r="3064" spans="1:13" x14ac:dyDescent="0.2">
      <c r="A3064" s="12"/>
      <c r="I3064" s="12"/>
      <c r="K3064" s="12"/>
      <c r="M3064" s="12"/>
    </row>
    <row r="3065" spans="1:13" x14ac:dyDescent="0.2">
      <c r="A3065" s="12"/>
      <c r="I3065" s="12"/>
      <c r="K3065" s="12"/>
      <c r="M3065" s="12"/>
    </row>
    <row r="3066" spans="1:13" x14ac:dyDescent="0.2">
      <c r="A3066" s="12"/>
      <c r="I3066" s="12"/>
      <c r="K3066" s="12"/>
      <c r="M3066" s="12"/>
    </row>
    <row r="3067" spans="1:13" x14ac:dyDescent="0.2">
      <c r="A3067" s="12"/>
      <c r="I3067" s="12"/>
      <c r="K3067" s="12"/>
      <c r="M3067" s="12"/>
    </row>
    <row r="3068" spans="1:13" x14ac:dyDescent="0.2">
      <c r="A3068" s="12"/>
      <c r="I3068" s="12"/>
      <c r="K3068" s="12"/>
      <c r="M3068" s="12"/>
    </row>
    <row r="3069" spans="1:13" x14ac:dyDescent="0.2">
      <c r="A3069" s="12"/>
      <c r="I3069" s="12"/>
      <c r="K3069" s="12"/>
      <c r="M3069" s="12"/>
    </row>
    <row r="3070" spans="1:13" x14ac:dyDescent="0.2">
      <c r="A3070" s="12"/>
      <c r="I3070" s="12"/>
      <c r="K3070" s="12"/>
      <c r="M3070" s="12"/>
    </row>
    <row r="3071" spans="1:13" x14ac:dyDescent="0.2">
      <c r="A3071" s="12"/>
      <c r="I3071" s="12"/>
      <c r="K3071" s="12"/>
      <c r="M3071" s="12"/>
    </row>
    <row r="3072" spans="1:13" x14ac:dyDescent="0.2">
      <c r="A3072" s="12"/>
      <c r="I3072" s="12"/>
      <c r="K3072" s="12"/>
      <c r="M3072" s="12"/>
    </row>
    <row r="3073" spans="1:13" x14ac:dyDescent="0.2">
      <c r="A3073" s="12"/>
      <c r="I3073" s="12"/>
      <c r="K3073" s="12"/>
      <c r="M3073" s="12"/>
    </row>
    <row r="3074" spans="1:13" x14ac:dyDescent="0.2">
      <c r="A3074" s="12"/>
      <c r="I3074" s="12"/>
      <c r="K3074" s="12"/>
      <c r="M3074" s="12"/>
    </row>
    <row r="3075" spans="1:13" x14ac:dyDescent="0.2">
      <c r="A3075" s="12"/>
      <c r="I3075" s="12"/>
      <c r="K3075" s="12"/>
      <c r="M3075" s="12"/>
    </row>
    <row r="3076" spans="1:13" x14ac:dyDescent="0.2">
      <c r="A3076" s="12"/>
      <c r="I3076" s="12"/>
      <c r="K3076" s="12"/>
      <c r="M3076" s="12"/>
    </row>
    <row r="3077" spans="1:13" x14ac:dyDescent="0.2">
      <c r="A3077" s="12"/>
      <c r="I3077" s="12"/>
      <c r="K3077" s="12"/>
      <c r="M3077" s="12"/>
    </row>
    <row r="3078" spans="1:13" x14ac:dyDescent="0.2">
      <c r="A3078" s="12"/>
      <c r="I3078" s="12"/>
      <c r="K3078" s="12"/>
      <c r="M3078" s="12"/>
    </row>
    <row r="3079" spans="1:13" x14ac:dyDescent="0.2">
      <c r="A3079" s="12"/>
      <c r="I3079" s="12"/>
      <c r="K3079" s="12"/>
      <c r="M3079" s="12"/>
    </row>
    <row r="3080" spans="1:13" x14ac:dyDescent="0.2">
      <c r="A3080" s="12"/>
      <c r="I3080" s="12"/>
      <c r="K3080" s="12"/>
      <c r="M3080" s="12"/>
    </row>
    <row r="3081" spans="1:13" x14ac:dyDescent="0.2">
      <c r="A3081" s="12"/>
      <c r="I3081" s="12"/>
      <c r="K3081" s="12"/>
      <c r="M3081" s="12"/>
    </row>
    <row r="3082" spans="1:13" x14ac:dyDescent="0.2">
      <c r="A3082" s="12"/>
      <c r="I3082" s="12"/>
      <c r="K3082" s="12"/>
      <c r="M3082" s="12"/>
    </row>
    <row r="3083" spans="1:13" x14ac:dyDescent="0.2">
      <c r="A3083" s="12"/>
      <c r="I3083" s="12"/>
      <c r="K3083" s="12"/>
      <c r="M3083" s="12"/>
    </row>
    <row r="3084" spans="1:13" x14ac:dyDescent="0.2">
      <c r="A3084" s="12"/>
      <c r="I3084" s="12"/>
      <c r="K3084" s="12"/>
      <c r="M3084" s="12"/>
    </row>
    <row r="3085" spans="1:13" x14ac:dyDescent="0.2">
      <c r="A3085" s="12"/>
      <c r="I3085" s="12"/>
      <c r="K3085" s="12"/>
      <c r="M3085" s="12"/>
    </row>
    <row r="3086" spans="1:13" x14ac:dyDescent="0.2">
      <c r="A3086" s="12"/>
      <c r="I3086" s="12"/>
      <c r="K3086" s="12"/>
      <c r="M3086" s="12"/>
    </row>
    <row r="3087" spans="1:13" x14ac:dyDescent="0.2">
      <c r="A3087" s="12"/>
      <c r="I3087" s="12"/>
      <c r="K3087" s="12"/>
      <c r="M3087" s="12"/>
    </row>
    <row r="3088" spans="1:13" x14ac:dyDescent="0.2">
      <c r="A3088" s="12"/>
      <c r="I3088" s="12"/>
      <c r="K3088" s="12"/>
      <c r="M3088" s="12"/>
    </row>
    <row r="3089" spans="1:13" x14ac:dyDescent="0.2">
      <c r="A3089" s="12"/>
      <c r="I3089" s="12"/>
      <c r="K3089" s="12"/>
      <c r="M3089" s="12"/>
    </row>
    <row r="3090" spans="1:13" x14ac:dyDescent="0.2">
      <c r="A3090" s="12"/>
      <c r="I3090" s="12"/>
      <c r="K3090" s="12"/>
      <c r="M3090" s="12"/>
    </row>
    <row r="3091" spans="1:13" x14ac:dyDescent="0.2">
      <c r="A3091" s="12"/>
      <c r="I3091" s="12"/>
      <c r="K3091" s="12"/>
      <c r="M3091" s="12"/>
    </row>
    <row r="3092" spans="1:13" x14ac:dyDescent="0.2">
      <c r="A3092" s="12"/>
      <c r="I3092" s="12"/>
      <c r="K3092" s="12"/>
      <c r="M3092" s="12"/>
    </row>
    <row r="3093" spans="1:13" x14ac:dyDescent="0.2">
      <c r="A3093" s="12"/>
      <c r="I3093" s="12"/>
      <c r="K3093" s="12"/>
      <c r="M3093" s="12"/>
    </row>
    <row r="3094" spans="1:13" x14ac:dyDescent="0.2">
      <c r="A3094" s="12"/>
      <c r="I3094" s="12"/>
      <c r="K3094" s="12"/>
      <c r="M3094" s="12"/>
    </row>
    <row r="3095" spans="1:13" x14ac:dyDescent="0.2">
      <c r="A3095" s="12"/>
      <c r="I3095" s="12"/>
      <c r="K3095" s="12"/>
      <c r="M3095" s="12"/>
    </row>
    <row r="3096" spans="1:13" x14ac:dyDescent="0.2">
      <c r="A3096" s="12"/>
      <c r="I3096" s="12"/>
      <c r="K3096" s="12"/>
      <c r="M3096" s="12"/>
    </row>
    <row r="3097" spans="1:13" x14ac:dyDescent="0.2">
      <c r="A3097" s="12"/>
      <c r="I3097" s="12"/>
      <c r="K3097" s="12"/>
      <c r="M3097" s="12"/>
    </row>
    <row r="3098" spans="1:13" x14ac:dyDescent="0.2">
      <c r="A3098" s="12"/>
      <c r="I3098" s="12"/>
      <c r="K3098" s="12"/>
      <c r="M3098" s="12"/>
    </row>
    <row r="3099" spans="1:13" x14ac:dyDescent="0.2">
      <c r="A3099" s="12"/>
      <c r="I3099" s="12"/>
      <c r="K3099" s="12"/>
      <c r="M3099" s="12"/>
    </row>
    <row r="3100" spans="1:13" x14ac:dyDescent="0.2">
      <c r="A3100" s="12"/>
      <c r="I3100" s="12"/>
      <c r="K3100" s="12"/>
      <c r="M3100" s="12"/>
    </row>
    <row r="3101" spans="1:13" x14ac:dyDescent="0.2">
      <c r="A3101" s="12"/>
      <c r="I3101" s="12"/>
      <c r="K3101" s="12"/>
      <c r="M3101" s="12"/>
    </row>
    <row r="3102" spans="1:13" x14ac:dyDescent="0.2">
      <c r="A3102" s="12"/>
      <c r="I3102" s="12"/>
      <c r="K3102" s="12"/>
      <c r="M3102" s="12"/>
    </row>
    <row r="3103" spans="1:13" x14ac:dyDescent="0.2">
      <c r="A3103" s="12"/>
      <c r="I3103" s="12"/>
      <c r="K3103" s="12"/>
      <c r="M3103" s="12"/>
    </row>
    <row r="3104" spans="1:13" x14ac:dyDescent="0.2">
      <c r="A3104" s="12"/>
      <c r="I3104" s="12"/>
      <c r="K3104" s="12"/>
      <c r="M3104" s="12"/>
    </row>
    <row r="3105" spans="1:13" x14ac:dyDescent="0.2">
      <c r="A3105" s="12"/>
      <c r="I3105" s="12"/>
      <c r="K3105" s="12"/>
      <c r="M3105" s="12"/>
    </row>
    <row r="3106" spans="1:13" x14ac:dyDescent="0.2">
      <c r="A3106" s="12"/>
      <c r="I3106" s="12"/>
      <c r="K3106" s="12"/>
      <c r="M3106" s="12"/>
    </row>
    <row r="3107" spans="1:13" x14ac:dyDescent="0.2">
      <c r="A3107" s="12"/>
      <c r="I3107" s="12"/>
      <c r="K3107" s="12"/>
      <c r="M3107" s="12"/>
    </row>
    <row r="3108" spans="1:13" x14ac:dyDescent="0.2">
      <c r="A3108" s="12"/>
      <c r="I3108" s="12"/>
      <c r="K3108" s="12"/>
      <c r="M3108" s="12"/>
    </row>
    <row r="3109" spans="1:13" x14ac:dyDescent="0.2">
      <c r="A3109" s="12"/>
      <c r="I3109" s="12"/>
      <c r="K3109" s="12"/>
      <c r="M3109" s="12"/>
    </row>
    <row r="3110" spans="1:13" x14ac:dyDescent="0.2">
      <c r="A3110" s="12"/>
      <c r="I3110" s="12"/>
      <c r="K3110" s="12"/>
      <c r="M3110" s="12"/>
    </row>
    <row r="3111" spans="1:13" x14ac:dyDescent="0.2">
      <c r="A3111" s="12"/>
      <c r="I3111" s="12"/>
      <c r="K3111" s="12"/>
      <c r="M3111" s="12"/>
    </row>
    <row r="3112" spans="1:13" x14ac:dyDescent="0.2">
      <c r="A3112" s="12"/>
      <c r="I3112" s="12"/>
      <c r="K3112" s="12"/>
      <c r="M3112" s="12"/>
    </row>
    <row r="3113" spans="1:13" x14ac:dyDescent="0.2">
      <c r="A3113" s="12"/>
      <c r="I3113" s="12"/>
      <c r="K3113" s="12"/>
      <c r="M3113" s="12"/>
    </row>
    <row r="3114" spans="1:13" x14ac:dyDescent="0.2">
      <c r="A3114" s="12"/>
      <c r="I3114" s="12"/>
      <c r="K3114" s="12"/>
      <c r="M3114" s="12"/>
    </row>
    <row r="3115" spans="1:13" x14ac:dyDescent="0.2">
      <c r="A3115" s="12"/>
      <c r="I3115" s="12"/>
      <c r="K3115" s="12"/>
      <c r="M3115" s="12"/>
    </row>
    <row r="3116" spans="1:13" x14ac:dyDescent="0.2">
      <c r="A3116" s="12"/>
      <c r="I3116" s="12"/>
      <c r="K3116" s="12"/>
      <c r="M3116" s="12"/>
    </row>
    <row r="3117" spans="1:13" x14ac:dyDescent="0.2">
      <c r="A3117" s="12"/>
      <c r="I3117" s="12"/>
      <c r="K3117" s="12"/>
      <c r="M3117" s="12"/>
    </row>
    <row r="3118" spans="1:13" x14ac:dyDescent="0.2">
      <c r="A3118" s="12"/>
      <c r="I3118" s="12"/>
      <c r="K3118" s="12"/>
      <c r="M3118" s="12"/>
    </row>
    <row r="3119" spans="1:13" x14ac:dyDescent="0.2">
      <c r="A3119" s="12"/>
      <c r="I3119" s="12"/>
      <c r="K3119" s="12"/>
      <c r="M3119" s="12"/>
    </row>
    <row r="3120" spans="1:13" x14ac:dyDescent="0.2">
      <c r="A3120" s="12"/>
      <c r="I3120" s="12"/>
      <c r="K3120" s="12"/>
      <c r="M3120" s="12"/>
    </row>
    <row r="3121" spans="1:13" x14ac:dyDescent="0.2">
      <c r="A3121" s="12"/>
      <c r="I3121" s="12"/>
      <c r="K3121" s="12"/>
      <c r="M3121" s="12"/>
    </row>
    <row r="3122" spans="1:13" x14ac:dyDescent="0.2">
      <c r="A3122" s="12"/>
      <c r="I3122" s="12"/>
      <c r="K3122" s="12"/>
      <c r="M3122" s="12"/>
    </row>
    <row r="3123" spans="1:13" x14ac:dyDescent="0.2">
      <c r="A3123" s="12"/>
      <c r="I3123" s="12"/>
      <c r="K3123" s="12"/>
      <c r="M3123" s="12"/>
    </row>
    <row r="3124" spans="1:13" x14ac:dyDescent="0.2">
      <c r="A3124" s="12"/>
      <c r="I3124" s="12"/>
      <c r="K3124" s="12"/>
      <c r="M3124" s="12"/>
    </row>
    <row r="3125" spans="1:13" x14ac:dyDescent="0.2">
      <c r="A3125" s="12"/>
      <c r="I3125" s="12"/>
      <c r="K3125" s="12"/>
      <c r="M3125" s="12"/>
    </row>
    <row r="3126" spans="1:13" x14ac:dyDescent="0.2">
      <c r="A3126" s="12"/>
      <c r="I3126" s="12"/>
      <c r="K3126" s="12"/>
      <c r="M3126" s="12"/>
    </row>
    <row r="3127" spans="1:13" x14ac:dyDescent="0.2">
      <c r="A3127" s="12"/>
      <c r="I3127" s="12"/>
      <c r="K3127" s="12"/>
      <c r="M3127" s="12"/>
    </row>
    <row r="3128" spans="1:13" x14ac:dyDescent="0.2">
      <c r="A3128" s="12"/>
      <c r="I3128" s="12"/>
      <c r="K3128" s="12"/>
      <c r="M3128" s="12"/>
    </row>
    <row r="3129" spans="1:13" x14ac:dyDescent="0.2">
      <c r="A3129" s="12"/>
      <c r="I3129" s="12"/>
      <c r="K3129" s="12"/>
      <c r="M3129" s="12"/>
    </row>
    <row r="3130" spans="1:13" x14ac:dyDescent="0.2">
      <c r="A3130" s="12"/>
      <c r="I3130" s="12"/>
      <c r="K3130" s="12"/>
      <c r="M3130" s="12"/>
    </row>
    <row r="3131" spans="1:13" x14ac:dyDescent="0.2">
      <c r="A3131" s="12"/>
      <c r="I3131" s="12"/>
      <c r="K3131" s="12"/>
      <c r="M3131" s="12"/>
    </row>
    <row r="3132" spans="1:13" x14ac:dyDescent="0.2">
      <c r="A3132" s="12"/>
      <c r="I3132" s="12"/>
      <c r="K3132" s="12"/>
      <c r="M3132" s="12"/>
    </row>
    <row r="3133" spans="1:13" x14ac:dyDescent="0.2">
      <c r="A3133" s="12"/>
      <c r="I3133" s="12"/>
      <c r="K3133" s="12"/>
      <c r="M3133" s="12"/>
    </row>
    <row r="3134" spans="1:13" x14ac:dyDescent="0.2">
      <c r="A3134" s="12"/>
      <c r="I3134" s="12"/>
      <c r="K3134" s="12"/>
      <c r="M3134" s="12"/>
    </row>
    <row r="3135" spans="1:13" x14ac:dyDescent="0.2">
      <c r="A3135" s="12"/>
      <c r="I3135" s="12"/>
      <c r="K3135" s="12"/>
      <c r="M3135" s="12"/>
    </row>
    <row r="3136" spans="1:13" x14ac:dyDescent="0.2">
      <c r="A3136" s="12"/>
      <c r="I3136" s="12"/>
      <c r="K3136" s="12"/>
      <c r="M3136" s="12"/>
    </row>
    <row r="3137" spans="1:13" x14ac:dyDescent="0.2">
      <c r="A3137" s="12"/>
      <c r="I3137" s="12"/>
      <c r="K3137" s="12"/>
      <c r="M3137" s="12"/>
    </row>
    <row r="3138" spans="1:13" x14ac:dyDescent="0.2">
      <c r="A3138" s="12"/>
      <c r="I3138" s="12"/>
      <c r="K3138" s="12"/>
      <c r="M3138" s="12"/>
    </row>
    <row r="3139" spans="1:13" x14ac:dyDescent="0.2">
      <c r="A3139" s="12"/>
      <c r="I3139" s="12"/>
      <c r="K3139" s="12"/>
      <c r="M3139" s="12"/>
    </row>
    <row r="3140" spans="1:13" x14ac:dyDescent="0.2">
      <c r="A3140" s="12"/>
      <c r="I3140" s="12"/>
      <c r="K3140" s="12"/>
      <c r="M3140" s="12"/>
    </row>
    <row r="3141" spans="1:13" x14ac:dyDescent="0.2">
      <c r="A3141" s="12"/>
      <c r="I3141" s="12"/>
      <c r="K3141" s="12"/>
      <c r="M3141" s="12"/>
    </row>
    <row r="3142" spans="1:13" x14ac:dyDescent="0.2">
      <c r="A3142" s="12"/>
      <c r="I3142" s="12"/>
      <c r="K3142" s="12"/>
      <c r="M3142" s="12"/>
    </row>
    <row r="3143" spans="1:13" x14ac:dyDescent="0.2">
      <c r="A3143" s="12"/>
      <c r="I3143" s="12"/>
      <c r="K3143" s="12"/>
      <c r="M3143" s="12"/>
    </row>
    <row r="3144" spans="1:13" x14ac:dyDescent="0.2">
      <c r="A3144" s="12"/>
      <c r="I3144" s="12"/>
      <c r="K3144" s="12"/>
      <c r="M3144" s="12"/>
    </row>
    <row r="3145" spans="1:13" x14ac:dyDescent="0.2">
      <c r="A3145" s="12"/>
      <c r="I3145" s="12"/>
      <c r="K3145" s="12"/>
      <c r="M3145" s="12"/>
    </row>
    <row r="3146" spans="1:13" x14ac:dyDescent="0.2">
      <c r="A3146" s="12"/>
      <c r="I3146" s="12"/>
      <c r="K3146" s="12"/>
      <c r="M3146" s="12"/>
    </row>
    <row r="3147" spans="1:13" x14ac:dyDescent="0.2">
      <c r="A3147" s="12"/>
      <c r="I3147" s="12"/>
      <c r="K3147" s="12"/>
      <c r="M3147" s="12"/>
    </row>
    <row r="3148" spans="1:13" x14ac:dyDescent="0.2">
      <c r="A3148" s="12"/>
      <c r="I3148" s="12"/>
      <c r="K3148" s="12"/>
      <c r="M3148" s="12"/>
    </row>
    <row r="3149" spans="1:13" x14ac:dyDescent="0.2">
      <c r="A3149" s="12"/>
      <c r="I3149" s="12"/>
      <c r="K3149" s="12"/>
      <c r="M3149" s="12"/>
    </row>
    <row r="3150" spans="1:13" x14ac:dyDescent="0.2">
      <c r="A3150" s="12"/>
      <c r="I3150" s="12"/>
      <c r="K3150" s="12"/>
      <c r="M3150" s="12"/>
    </row>
    <row r="3151" spans="1:13" x14ac:dyDescent="0.2">
      <c r="A3151" s="12"/>
      <c r="I3151" s="12"/>
      <c r="K3151" s="12"/>
      <c r="M3151" s="12"/>
    </row>
    <row r="3152" spans="1:13" x14ac:dyDescent="0.2">
      <c r="A3152" s="12"/>
      <c r="I3152" s="12"/>
      <c r="K3152" s="12"/>
      <c r="M3152" s="12"/>
    </row>
    <row r="3153" spans="1:13" x14ac:dyDescent="0.2">
      <c r="A3153" s="12"/>
      <c r="I3153" s="12"/>
      <c r="K3153" s="12"/>
      <c r="M3153" s="12"/>
    </row>
    <row r="3154" spans="1:13" x14ac:dyDescent="0.2">
      <c r="A3154" s="12"/>
      <c r="I3154" s="12"/>
      <c r="K3154" s="12"/>
      <c r="M3154" s="12"/>
    </row>
    <row r="3155" spans="1:13" x14ac:dyDescent="0.2">
      <c r="A3155" s="12"/>
      <c r="I3155" s="12"/>
      <c r="K3155" s="12"/>
      <c r="M3155" s="12"/>
    </row>
    <row r="3156" spans="1:13" x14ac:dyDescent="0.2">
      <c r="A3156" s="12"/>
      <c r="I3156" s="12"/>
      <c r="K3156" s="12"/>
      <c r="M3156" s="12"/>
    </row>
    <row r="3157" spans="1:13" x14ac:dyDescent="0.2">
      <c r="A3157" s="12"/>
      <c r="I3157" s="12"/>
      <c r="K3157" s="12"/>
      <c r="M3157" s="12"/>
    </row>
    <row r="3158" spans="1:13" x14ac:dyDescent="0.2">
      <c r="A3158" s="12"/>
      <c r="I3158" s="12"/>
      <c r="K3158" s="12"/>
      <c r="M3158" s="12"/>
    </row>
    <row r="3159" spans="1:13" x14ac:dyDescent="0.2">
      <c r="A3159" s="12"/>
      <c r="I3159" s="12"/>
      <c r="K3159" s="12"/>
      <c r="M3159" s="12"/>
    </row>
    <row r="3160" spans="1:13" x14ac:dyDescent="0.2">
      <c r="A3160" s="12"/>
      <c r="I3160" s="12"/>
      <c r="K3160" s="12"/>
      <c r="M3160" s="12"/>
    </row>
    <row r="3161" spans="1:13" x14ac:dyDescent="0.2">
      <c r="A3161" s="12"/>
      <c r="I3161" s="12"/>
      <c r="K3161" s="12"/>
      <c r="M3161" s="12"/>
    </row>
    <row r="3162" spans="1:13" x14ac:dyDescent="0.2">
      <c r="A3162" s="12"/>
      <c r="I3162" s="12"/>
      <c r="K3162" s="12"/>
      <c r="M3162" s="12"/>
    </row>
    <row r="3163" spans="1:13" x14ac:dyDescent="0.2">
      <c r="A3163" s="12"/>
      <c r="I3163" s="12"/>
      <c r="K3163" s="12"/>
      <c r="M3163" s="12"/>
    </row>
    <row r="3164" spans="1:13" x14ac:dyDescent="0.2">
      <c r="A3164" s="12"/>
      <c r="I3164" s="12"/>
      <c r="K3164" s="12"/>
      <c r="M3164" s="12"/>
    </row>
    <row r="3165" spans="1:13" x14ac:dyDescent="0.2">
      <c r="A3165" s="12"/>
      <c r="I3165" s="12"/>
      <c r="K3165" s="12"/>
      <c r="M3165" s="12"/>
    </row>
    <row r="3166" spans="1:13" x14ac:dyDescent="0.2">
      <c r="A3166" s="12"/>
      <c r="I3166" s="12"/>
      <c r="K3166" s="12"/>
      <c r="M3166" s="12"/>
    </row>
    <row r="3167" spans="1:13" x14ac:dyDescent="0.2">
      <c r="A3167" s="12"/>
      <c r="I3167" s="12"/>
      <c r="K3167" s="12"/>
      <c r="M3167" s="12"/>
    </row>
    <row r="3168" spans="1:13" x14ac:dyDescent="0.2">
      <c r="A3168" s="12"/>
      <c r="I3168" s="12"/>
      <c r="K3168" s="12"/>
      <c r="M3168" s="12"/>
    </row>
    <row r="3169" spans="1:13" x14ac:dyDescent="0.2">
      <c r="A3169" s="12"/>
      <c r="I3169" s="12"/>
      <c r="K3169" s="12"/>
      <c r="M3169" s="12"/>
    </row>
    <row r="3170" spans="1:13" x14ac:dyDescent="0.2">
      <c r="A3170" s="12"/>
      <c r="I3170" s="12"/>
      <c r="K3170" s="12"/>
      <c r="M3170" s="12"/>
    </row>
    <row r="3171" spans="1:13" x14ac:dyDescent="0.2">
      <c r="A3171" s="12"/>
      <c r="I3171" s="12"/>
      <c r="K3171" s="12"/>
      <c r="M3171" s="12"/>
    </row>
    <row r="3172" spans="1:13" x14ac:dyDescent="0.2">
      <c r="A3172" s="12"/>
      <c r="I3172" s="12"/>
      <c r="K3172" s="12"/>
      <c r="M3172" s="12"/>
    </row>
    <row r="3173" spans="1:13" x14ac:dyDescent="0.2">
      <c r="A3173" s="12"/>
      <c r="I3173" s="12"/>
      <c r="K3173" s="12"/>
      <c r="M3173" s="12"/>
    </row>
    <row r="3174" spans="1:13" x14ac:dyDescent="0.2">
      <c r="A3174" s="12"/>
      <c r="I3174" s="12"/>
      <c r="K3174" s="12"/>
      <c r="M3174" s="12"/>
    </row>
    <row r="3175" spans="1:13" x14ac:dyDescent="0.2">
      <c r="A3175" s="12"/>
      <c r="I3175" s="12"/>
      <c r="K3175" s="12"/>
      <c r="M3175" s="12"/>
    </row>
    <row r="3176" spans="1:13" x14ac:dyDescent="0.2">
      <c r="A3176" s="12"/>
      <c r="I3176" s="12"/>
      <c r="K3176" s="12"/>
      <c r="M3176" s="12"/>
    </row>
    <row r="3177" spans="1:13" x14ac:dyDescent="0.2">
      <c r="A3177" s="12"/>
      <c r="I3177" s="12"/>
      <c r="K3177" s="12"/>
      <c r="M3177" s="12"/>
    </row>
    <row r="3178" spans="1:13" x14ac:dyDescent="0.2">
      <c r="A3178" s="12"/>
      <c r="I3178" s="12"/>
      <c r="K3178" s="12"/>
      <c r="M3178" s="12"/>
    </row>
    <row r="3179" spans="1:13" x14ac:dyDescent="0.2">
      <c r="A3179" s="12"/>
      <c r="I3179" s="12"/>
      <c r="K3179" s="12"/>
      <c r="M3179" s="12"/>
    </row>
    <row r="3180" spans="1:13" x14ac:dyDescent="0.2">
      <c r="A3180" s="12"/>
      <c r="I3180" s="12"/>
      <c r="K3180" s="12"/>
      <c r="M3180" s="12"/>
    </row>
    <row r="3181" spans="1:13" x14ac:dyDescent="0.2">
      <c r="A3181" s="12"/>
      <c r="I3181" s="12"/>
      <c r="K3181" s="12"/>
      <c r="M3181" s="12"/>
    </row>
    <row r="3182" spans="1:13" x14ac:dyDescent="0.2">
      <c r="A3182" s="12"/>
      <c r="I3182" s="12"/>
      <c r="K3182" s="12"/>
      <c r="M3182" s="12"/>
    </row>
    <row r="3183" spans="1:13" x14ac:dyDescent="0.2">
      <c r="A3183" s="12"/>
      <c r="I3183" s="12"/>
      <c r="K3183" s="12"/>
      <c r="M3183" s="12"/>
    </row>
    <row r="3184" spans="1:13" x14ac:dyDescent="0.2">
      <c r="A3184" s="12"/>
      <c r="I3184" s="12"/>
      <c r="K3184" s="12"/>
      <c r="M3184" s="12"/>
    </row>
    <row r="3185" spans="1:13" x14ac:dyDescent="0.2">
      <c r="A3185" s="12"/>
      <c r="I3185" s="12"/>
      <c r="K3185" s="12"/>
      <c r="M3185" s="12"/>
    </row>
    <row r="3186" spans="1:13" x14ac:dyDescent="0.2">
      <c r="A3186" s="12"/>
      <c r="I3186" s="12"/>
      <c r="K3186" s="12"/>
      <c r="M3186" s="12"/>
    </row>
    <row r="3187" spans="1:13" x14ac:dyDescent="0.2">
      <c r="A3187" s="12"/>
      <c r="I3187" s="12"/>
      <c r="K3187" s="12"/>
      <c r="M3187" s="12"/>
    </row>
    <row r="3188" spans="1:13" x14ac:dyDescent="0.2">
      <c r="A3188" s="12"/>
      <c r="I3188" s="12"/>
      <c r="K3188" s="12"/>
      <c r="M3188" s="12"/>
    </row>
    <row r="3189" spans="1:13" x14ac:dyDescent="0.2">
      <c r="A3189" s="12"/>
      <c r="I3189" s="12"/>
      <c r="K3189" s="12"/>
      <c r="M3189" s="12"/>
    </row>
    <row r="3190" spans="1:13" x14ac:dyDescent="0.2">
      <c r="A3190" s="12"/>
      <c r="I3190" s="12"/>
      <c r="K3190" s="12"/>
      <c r="M3190" s="12"/>
    </row>
    <row r="3191" spans="1:13" x14ac:dyDescent="0.2">
      <c r="A3191" s="12"/>
      <c r="I3191" s="12"/>
      <c r="K3191" s="12"/>
      <c r="M3191" s="12"/>
    </row>
    <row r="3192" spans="1:13" x14ac:dyDescent="0.2">
      <c r="A3192" s="12"/>
      <c r="I3192" s="12"/>
      <c r="K3192" s="12"/>
      <c r="M3192" s="12"/>
    </row>
    <row r="3193" spans="1:13" x14ac:dyDescent="0.2">
      <c r="A3193" s="12"/>
      <c r="I3193" s="12"/>
      <c r="K3193" s="12"/>
      <c r="M3193" s="12"/>
    </row>
    <row r="3194" spans="1:13" x14ac:dyDescent="0.2">
      <c r="A3194" s="12"/>
      <c r="I3194" s="12"/>
      <c r="K3194" s="12"/>
      <c r="M3194" s="12"/>
    </row>
    <row r="3195" spans="1:13" x14ac:dyDescent="0.2">
      <c r="A3195" s="12"/>
      <c r="I3195" s="12"/>
      <c r="K3195" s="12"/>
      <c r="M3195" s="12"/>
    </row>
    <row r="3196" spans="1:13" x14ac:dyDescent="0.2">
      <c r="A3196" s="12"/>
      <c r="I3196" s="12"/>
      <c r="K3196" s="12"/>
      <c r="M3196" s="12"/>
    </row>
    <row r="3197" spans="1:13" x14ac:dyDescent="0.2">
      <c r="A3197" s="12"/>
      <c r="I3197" s="12"/>
      <c r="K3197" s="12"/>
      <c r="M3197" s="12"/>
    </row>
    <row r="3198" spans="1:13" x14ac:dyDescent="0.2">
      <c r="A3198" s="12"/>
      <c r="I3198" s="12"/>
      <c r="K3198" s="12"/>
      <c r="M3198" s="12"/>
    </row>
    <row r="3199" spans="1:13" x14ac:dyDescent="0.2">
      <c r="A3199" s="12"/>
      <c r="I3199" s="12"/>
      <c r="K3199" s="12"/>
      <c r="M3199" s="12"/>
    </row>
    <row r="3200" spans="1:13" x14ac:dyDescent="0.2">
      <c r="A3200" s="12"/>
      <c r="I3200" s="12"/>
      <c r="K3200" s="12"/>
      <c r="M3200" s="12"/>
    </row>
    <row r="3201" spans="1:13" x14ac:dyDescent="0.2">
      <c r="A3201" s="12"/>
      <c r="I3201" s="12"/>
      <c r="K3201" s="12"/>
      <c r="M3201" s="12"/>
    </row>
    <row r="3202" spans="1:13" x14ac:dyDescent="0.2">
      <c r="A3202" s="12"/>
      <c r="I3202" s="12"/>
      <c r="K3202" s="12"/>
      <c r="M3202" s="12"/>
    </row>
    <row r="3203" spans="1:13" x14ac:dyDescent="0.2">
      <c r="A3203" s="12"/>
      <c r="I3203" s="12"/>
      <c r="K3203" s="12"/>
      <c r="M3203" s="12"/>
    </row>
    <row r="3204" spans="1:13" x14ac:dyDescent="0.2">
      <c r="A3204" s="12"/>
      <c r="I3204" s="12"/>
      <c r="K3204" s="12"/>
      <c r="M3204" s="12"/>
    </row>
    <row r="3205" spans="1:13" x14ac:dyDescent="0.2">
      <c r="A3205" s="12"/>
      <c r="I3205" s="12"/>
      <c r="K3205" s="12"/>
      <c r="M3205" s="12"/>
    </row>
    <row r="3206" spans="1:13" x14ac:dyDescent="0.2">
      <c r="A3206" s="12"/>
      <c r="I3206" s="12"/>
      <c r="K3206" s="12"/>
      <c r="M3206" s="12"/>
    </row>
    <row r="3207" spans="1:13" x14ac:dyDescent="0.2">
      <c r="A3207" s="12"/>
      <c r="I3207" s="12"/>
      <c r="K3207" s="12"/>
      <c r="M3207" s="12"/>
    </row>
    <row r="3208" spans="1:13" x14ac:dyDescent="0.2">
      <c r="A3208" s="12"/>
      <c r="I3208" s="12"/>
      <c r="K3208" s="12"/>
      <c r="M3208" s="12"/>
    </row>
    <row r="3209" spans="1:13" x14ac:dyDescent="0.2">
      <c r="A3209" s="12"/>
      <c r="I3209" s="12"/>
      <c r="K3209" s="12"/>
      <c r="M3209" s="12"/>
    </row>
    <row r="3210" spans="1:13" x14ac:dyDescent="0.2">
      <c r="A3210" s="12"/>
      <c r="I3210" s="12"/>
      <c r="K3210" s="12"/>
      <c r="M3210" s="12"/>
    </row>
    <row r="3211" spans="1:13" x14ac:dyDescent="0.2">
      <c r="A3211" s="12"/>
      <c r="I3211" s="12"/>
      <c r="K3211" s="12"/>
      <c r="M3211" s="12"/>
    </row>
    <row r="3212" spans="1:13" x14ac:dyDescent="0.2">
      <c r="A3212" s="12"/>
      <c r="I3212" s="12"/>
      <c r="K3212" s="12"/>
      <c r="M3212" s="12"/>
    </row>
    <row r="3213" spans="1:13" x14ac:dyDescent="0.2">
      <c r="A3213" s="12"/>
      <c r="I3213" s="12"/>
      <c r="K3213" s="12"/>
      <c r="M3213" s="12"/>
    </row>
    <row r="3214" spans="1:13" x14ac:dyDescent="0.2">
      <c r="A3214" s="12"/>
      <c r="I3214" s="12"/>
      <c r="K3214" s="12"/>
      <c r="M3214" s="12"/>
    </row>
    <row r="3215" spans="1:13" x14ac:dyDescent="0.2">
      <c r="A3215" s="12"/>
      <c r="I3215" s="12"/>
      <c r="K3215" s="12"/>
      <c r="M3215" s="12"/>
    </row>
    <row r="3216" spans="1:13" x14ac:dyDescent="0.2">
      <c r="A3216" s="12"/>
      <c r="I3216" s="12"/>
      <c r="K3216" s="12"/>
      <c r="M3216" s="12"/>
    </row>
    <row r="3217" spans="1:13" x14ac:dyDescent="0.2">
      <c r="A3217" s="12"/>
      <c r="I3217" s="12"/>
      <c r="K3217" s="12"/>
      <c r="M3217" s="12"/>
    </row>
    <row r="3218" spans="1:13" x14ac:dyDescent="0.2">
      <c r="A3218" s="12"/>
      <c r="I3218" s="12"/>
      <c r="K3218" s="12"/>
      <c r="M3218" s="12"/>
    </row>
    <row r="3219" spans="1:13" x14ac:dyDescent="0.2">
      <c r="A3219" s="12"/>
      <c r="I3219" s="12"/>
      <c r="K3219" s="12"/>
      <c r="M3219" s="12"/>
    </row>
    <row r="3220" spans="1:13" x14ac:dyDescent="0.2">
      <c r="A3220" s="12"/>
      <c r="I3220" s="12"/>
      <c r="K3220" s="12"/>
      <c r="M3220" s="12"/>
    </row>
    <row r="3221" spans="1:13" x14ac:dyDescent="0.2">
      <c r="A3221" s="12"/>
      <c r="I3221" s="12"/>
      <c r="K3221" s="12"/>
      <c r="M3221" s="12"/>
    </row>
    <row r="3222" spans="1:13" x14ac:dyDescent="0.2">
      <c r="A3222" s="12"/>
      <c r="I3222" s="12"/>
      <c r="K3222" s="12"/>
      <c r="M3222" s="12"/>
    </row>
    <row r="3223" spans="1:13" x14ac:dyDescent="0.2">
      <c r="A3223" s="12"/>
      <c r="I3223" s="12"/>
      <c r="K3223" s="12"/>
      <c r="M3223" s="12"/>
    </row>
    <row r="3224" spans="1:13" x14ac:dyDescent="0.2">
      <c r="A3224" s="12"/>
      <c r="I3224" s="12"/>
      <c r="K3224" s="12"/>
      <c r="M3224" s="12"/>
    </row>
    <row r="3225" spans="1:13" x14ac:dyDescent="0.2">
      <c r="A3225" s="12"/>
      <c r="I3225" s="12"/>
      <c r="K3225" s="12"/>
      <c r="M3225" s="12"/>
    </row>
    <row r="3226" spans="1:13" x14ac:dyDescent="0.2">
      <c r="A3226" s="12"/>
      <c r="I3226" s="12"/>
      <c r="K3226" s="12"/>
      <c r="M3226" s="12"/>
    </row>
    <row r="3227" spans="1:13" x14ac:dyDescent="0.2">
      <c r="A3227" s="12"/>
      <c r="I3227" s="12"/>
      <c r="K3227" s="12"/>
      <c r="M3227" s="12"/>
    </row>
    <row r="3228" spans="1:13" x14ac:dyDescent="0.2">
      <c r="A3228" s="12"/>
      <c r="I3228" s="12"/>
      <c r="K3228" s="12"/>
      <c r="M3228" s="12"/>
    </row>
    <row r="3229" spans="1:13" x14ac:dyDescent="0.2">
      <c r="A3229" s="12"/>
      <c r="I3229" s="12"/>
      <c r="K3229" s="12"/>
      <c r="M3229" s="12"/>
    </row>
    <row r="3230" spans="1:13" x14ac:dyDescent="0.2">
      <c r="A3230" s="12"/>
      <c r="I3230" s="12"/>
      <c r="K3230" s="12"/>
      <c r="M3230" s="12"/>
    </row>
    <row r="3231" spans="1:13" x14ac:dyDescent="0.2">
      <c r="A3231" s="12"/>
      <c r="I3231" s="12"/>
      <c r="K3231" s="12"/>
      <c r="M3231" s="12"/>
    </row>
    <row r="3232" spans="1:13" x14ac:dyDescent="0.2">
      <c r="A3232" s="12"/>
      <c r="I3232" s="12"/>
      <c r="K3232" s="12"/>
      <c r="M3232" s="12"/>
    </row>
    <row r="3233" spans="1:13" x14ac:dyDescent="0.2">
      <c r="A3233" s="12"/>
      <c r="I3233" s="12"/>
      <c r="K3233" s="12"/>
      <c r="M3233" s="12"/>
    </row>
    <row r="3234" spans="1:13" x14ac:dyDescent="0.2">
      <c r="A3234" s="12"/>
      <c r="I3234" s="12"/>
      <c r="K3234" s="12"/>
      <c r="M3234" s="12"/>
    </row>
    <row r="3235" spans="1:13" x14ac:dyDescent="0.2">
      <c r="A3235" s="12"/>
      <c r="I3235" s="12"/>
      <c r="K3235" s="12"/>
      <c r="M3235" s="12"/>
    </row>
    <row r="3236" spans="1:13" x14ac:dyDescent="0.2">
      <c r="A3236" s="12"/>
      <c r="I3236" s="12"/>
      <c r="K3236" s="12"/>
      <c r="M3236" s="12"/>
    </row>
    <row r="3237" spans="1:13" x14ac:dyDescent="0.2">
      <c r="A3237" s="12"/>
      <c r="I3237" s="12"/>
      <c r="K3237" s="12"/>
      <c r="M3237" s="12"/>
    </row>
    <row r="3238" spans="1:13" x14ac:dyDescent="0.2">
      <c r="A3238" s="12"/>
      <c r="I3238" s="12"/>
      <c r="K3238" s="12"/>
      <c r="M3238" s="12"/>
    </row>
    <row r="3239" spans="1:13" x14ac:dyDescent="0.2">
      <c r="A3239" s="12"/>
      <c r="I3239" s="12"/>
      <c r="K3239" s="12"/>
      <c r="M3239" s="12"/>
    </row>
    <row r="3240" spans="1:13" x14ac:dyDescent="0.2">
      <c r="A3240" s="12"/>
      <c r="I3240" s="12"/>
      <c r="K3240" s="12"/>
      <c r="M3240" s="12"/>
    </row>
    <row r="3241" spans="1:13" x14ac:dyDescent="0.2">
      <c r="A3241" s="12"/>
      <c r="I3241" s="12"/>
      <c r="K3241" s="12"/>
      <c r="M3241" s="12"/>
    </row>
    <row r="3242" spans="1:13" x14ac:dyDescent="0.2">
      <c r="A3242" s="12"/>
      <c r="I3242" s="12"/>
      <c r="K3242" s="12"/>
      <c r="M3242" s="12"/>
    </row>
    <row r="3243" spans="1:13" x14ac:dyDescent="0.2">
      <c r="A3243" s="12"/>
      <c r="I3243" s="12"/>
      <c r="K3243" s="12"/>
      <c r="M3243" s="12"/>
    </row>
    <row r="3244" spans="1:13" x14ac:dyDescent="0.2">
      <c r="A3244" s="12"/>
      <c r="I3244" s="12"/>
      <c r="K3244" s="12"/>
      <c r="M3244" s="12"/>
    </row>
    <row r="3245" spans="1:13" x14ac:dyDescent="0.2">
      <c r="A3245" s="12"/>
      <c r="I3245" s="12"/>
      <c r="K3245" s="12"/>
      <c r="M3245" s="12"/>
    </row>
    <row r="3246" spans="1:13" x14ac:dyDescent="0.2">
      <c r="A3246" s="12"/>
      <c r="I3246" s="12"/>
      <c r="K3246" s="12"/>
      <c r="M3246" s="12"/>
    </row>
    <row r="3247" spans="1:13" x14ac:dyDescent="0.2">
      <c r="A3247" s="12"/>
      <c r="I3247" s="12"/>
      <c r="K3247" s="12"/>
      <c r="M3247" s="12"/>
    </row>
    <row r="3248" spans="1:13" x14ac:dyDescent="0.2">
      <c r="A3248" s="12"/>
      <c r="I3248" s="12"/>
      <c r="K3248" s="12"/>
      <c r="M3248" s="12"/>
    </row>
    <row r="3249" spans="1:13" x14ac:dyDescent="0.2">
      <c r="A3249" s="12"/>
      <c r="I3249" s="12"/>
      <c r="K3249" s="12"/>
      <c r="M3249" s="12"/>
    </row>
    <row r="3250" spans="1:13" x14ac:dyDescent="0.2">
      <c r="A3250" s="12"/>
      <c r="I3250" s="12"/>
      <c r="K3250" s="12"/>
      <c r="M3250" s="12"/>
    </row>
    <row r="3251" spans="1:13" x14ac:dyDescent="0.2">
      <c r="A3251" s="12"/>
      <c r="I3251" s="12"/>
      <c r="K3251" s="12"/>
      <c r="M3251" s="12"/>
    </row>
    <row r="3252" spans="1:13" x14ac:dyDescent="0.2">
      <c r="A3252" s="12"/>
      <c r="I3252" s="12"/>
      <c r="K3252" s="12"/>
      <c r="M3252" s="12"/>
    </row>
    <row r="3253" spans="1:13" x14ac:dyDescent="0.2">
      <c r="A3253" s="12"/>
      <c r="I3253" s="12"/>
      <c r="K3253" s="12"/>
      <c r="M3253" s="12"/>
    </row>
    <row r="3254" spans="1:13" x14ac:dyDescent="0.2">
      <c r="A3254" s="12"/>
      <c r="I3254" s="12"/>
      <c r="K3254" s="12"/>
      <c r="M3254" s="12"/>
    </row>
    <row r="3255" spans="1:13" x14ac:dyDescent="0.2">
      <c r="A3255" s="12"/>
      <c r="I3255" s="12"/>
      <c r="K3255" s="12"/>
      <c r="M3255" s="12"/>
    </row>
    <row r="3256" spans="1:13" x14ac:dyDescent="0.2">
      <c r="A3256" s="12"/>
      <c r="I3256" s="12"/>
      <c r="K3256" s="12"/>
      <c r="M3256" s="12"/>
    </row>
    <row r="3257" spans="1:13" x14ac:dyDescent="0.2">
      <c r="A3257" s="12"/>
      <c r="I3257" s="12"/>
      <c r="K3257" s="12"/>
      <c r="M3257" s="12"/>
    </row>
    <row r="3258" spans="1:13" x14ac:dyDescent="0.2">
      <c r="A3258" s="12"/>
      <c r="I3258" s="12"/>
      <c r="K3258" s="12"/>
      <c r="M3258" s="12"/>
    </row>
    <row r="3259" spans="1:13" x14ac:dyDescent="0.2">
      <c r="A3259" s="12"/>
      <c r="I3259" s="12"/>
      <c r="K3259" s="12"/>
      <c r="M3259" s="12"/>
    </row>
    <row r="3260" spans="1:13" x14ac:dyDescent="0.2">
      <c r="A3260" s="12"/>
      <c r="I3260" s="12"/>
      <c r="K3260" s="12"/>
      <c r="M3260" s="12"/>
    </row>
    <row r="3261" spans="1:13" x14ac:dyDescent="0.2">
      <c r="A3261" s="12"/>
      <c r="I3261" s="12"/>
      <c r="K3261" s="12"/>
      <c r="M3261" s="12"/>
    </row>
    <row r="3262" spans="1:13" x14ac:dyDescent="0.2">
      <c r="A3262" s="12"/>
      <c r="I3262" s="12"/>
      <c r="K3262" s="12"/>
      <c r="M3262" s="12"/>
    </row>
    <row r="3263" spans="1:13" x14ac:dyDescent="0.2">
      <c r="A3263" s="12"/>
      <c r="I3263" s="12"/>
      <c r="K3263" s="12"/>
      <c r="M3263" s="12"/>
    </row>
    <row r="3264" spans="1:13" x14ac:dyDescent="0.2">
      <c r="A3264" s="12"/>
      <c r="I3264" s="12"/>
      <c r="K3264" s="12"/>
      <c r="M3264" s="12"/>
    </row>
    <row r="3265" spans="1:13" x14ac:dyDescent="0.2">
      <c r="A3265" s="12"/>
      <c r="I3265" s="12"/>
      <c r="K3265" s="12"/>
      <c r="M3265" s="12"/>
    </row>
    <row r="3266" spans="1:13" x14ac:dyDescent="0.2">
      <c r="A3266" s="12"/>
      <c r="I3266" s="12"/>
      <c r="K3266" s="12"/>
      <c r="M3266" s="12"/>
    </row>
    <row r="3267" spans="1:13" x14ac:dyDescent="0.2">
      <c r="A3267" s="12"/>
      <c r="I3267" s="12"/>
      <c r="K3267" s="12"/>
      <c r="M3267" s="12"/>
    </row>
  </sheetData>
  <phoneticPr fontId="0" type="noConversion"/>
  <pageMargins left="0.75" right="0.75" top="1" bottom="1" header="0.5" footer="0.5"/>
  <pageSetup orientation="portrait" r:id="rId1"/>
  <headerFooter alignWithMargins="0">
    <oddFooter>&amp;C&amp;1#&amp;"Calibri"&amp;8&amp;K000000INTERNAL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Z212"/>
  <sheetViews>
    <sheetView workbookViewId="0">
      <selection activeCell="D7" sqref="D7"/>
    </sheetView>
  </sheetViews>
  <sheetFormatPr defaultRowHeight="12.75" x14ac:dyDescent="0.2"/>
  <cols>
    <col min="1" max="1" width="9.140625" style="14"/>
    <col min="2" max="2" width="9.140625" style="45"/>
    <col min="3" max="6" width="9.140625" style="14"/>
    <col min="7" max="7" width="12.7109375" style="14" bestFit="1" customWidth="1"/>
    <col min="8" max="8" width="13.7109375" style="14" bestFit="1" customWidth="1"/>
    <col min="9" max="9" width="12.85546875" style="22" bestFit="1" customWidth="1"/>
    <col min="10" max="10" width="15.28515625" style="22" customWidth="1"/>
    <col min="11" max="12" width="9.140625" style="45"/>
    <col min="13" max="13" width="9.28515625" style="14" bestFit="1" customWidth="1"/>
    <col min="14" max="14" width="9.140625" style="45"/>
    <col min="15" max="15" width="9.28515625" style="14" bestFit="1" customWidth="1"/>
    <col min="16" max="16" width="9.140625" style="14"/>
    <col min="17" max="17" width="11.5703125" style="14" bestFit="1" customWidth="1"/>
    <col min="18" max="25" width="9.28515625" style="14" bestFit="1" customWidth="1"/>
    <col min="26" max="16384" width="9.140625" style="14"/>
  </cols>
  <sheetData>
    <row r="3" spans="1:26" hidden="1" x14ac:dyDescent="0.2">
      <c r="A3" s="14" t="s">
        <v>42</v>
      </c>
      <c r="C3" s="14" t="s">
        <v>204</v>
      </c>
      <c r="J3" s="39"/>
    </row>
    <row r="4" spans="1:26" x14ac:dyDescent="0.2">
      <c r="J4" s="39"/>
    </row>
    <row r="5" spans="1:26" x14ac:dyDescent="0.2">
      <c r="A5" s="14" t="s">
        <v>43</v>
      </c>
      <c r="C5" s="14" t="s">
        <v>45</v>
      </c>
      <c r="J5" s="39"/>
    </row>
    <row r="6" spans="1:26" x14ac:dyDescent="0.2">
      <c r="C6" s="14" t="s">
        <v>117</v>
      </c>
      <c r="G6" s="40"/>
      <c r="H6" s="41"/>
    </row>
    <row r="7" spans="1:26" x14ac:dyDescent="0.2">
      <c r="C7" s="42"/>
      <c r="G7" s="40"/>
      <c r="H7" s="41"/>
    </row>
    <row r="8" spans="1:26" x14ac:dyDescent="0.2">
      <c r="C8" s="42"/>
      <c r="G8" s="40"/>
      <c r="H8" s="41"/>
    </row>
    <row r="9" spans="1:26" x14ac:dyDescent="0.2">
      <c r="A9" s="14" t="s">
        <v>44</v>
      </c>
      <c r="C9" s="14" t="s">
        <v>0</v>
      </c>
    </row>
    <row r="11" spans="1:26" x14ac:dyDescent="0.2">
      <c r="A11" s="43" t="s">
        <v>72</v>
      </c>
      <c r="B11" s="46" t="s">
        <v>8</v>
      </c>
      <c r="C11" s="43" t="s">
        <v>69</v>
      </c>
      <c r="D11" s="43" t="s">
        <v>46</v>
      </c>
      <c r="E11" s="43" t="s">
        <v>73</v>
      </c>
      <c r="F11" s="43" t="s">
        <v>31</v>
      </c>
      <c r="G11" s="43" t="s">
        <v>66</v>
      </c>
      <c r="H11" s="43" t="s">
        <v>74</v>
      </c>
      <c r="I11" s="44" t="s">
        <v>32</v>
      </c>
      <c r="J11" s="44" t="s">
        <v>50</v>
      </c>
      <c r="K11" s="46" t="s">
        <v>36</v>
      </c>
      <c r="L11" s="46" t="s">
        <v>51</v>
      </c>
      <c r="M11" s="43" t="s">
        <v>34</v>
      </c>
      <c r="N11" s="46" t="s">
        <v>52</v>
      </c>
      <c r="O11" s="43" t="s">
        <v>54</v>
      </c>
      <c r="P11" s="43" t="s">
        <v>75</v>
      </c>
      <c r="Q11" s="43" t="s">
        <v>76</v>
      </c>
      <c r="R11" s="43" t="s">
        <v>77</v>
      </c>
      <c r="S11" s="14" t="s">
        <v>78</v>
      </c>
      <c r="T11" s="14" t="s">
        <v>79</v>
      </c>
      <c r="U11" s="14" t="s">
        <v>80</v>
      </c>
      <c r="V11" s="14" t="s">
        <v>81</v>
      </c>
      <c r="W11" s="14" t="s">
        <v>82</v>
      </c>
      <c r="X11" s="14" t="s">
        <v>83</v>
      </c>
      <c r="Y11" s="14" t="s">
        <v>84</v>
      </c>
      <c r="Z11" s="14" t="s">
        <v>57</v>
      </c>
    </row>
    <row r="12" spans="1:26" x14ac:dyDescent="0.2">
      <c r="A12" s="14">
        <v>411</v>
      </c>
      <c r="B12" s="45">
        <v>39127</v>
      </c>
      <c r="C12" s="14">
        <v>1</v>
      </c>
      <c r="D12" s="14">
        <v>13</v>
      </c>
      <c r="E12" s="14" t="s">
        <v>64</v>
      </c>
      <c r="F12" s="14">
        <v>354512</v>
      </c>
      <c r="G12" s="14" t="s">
        <v>21</v>
      </c>
      <c r="H12" s="14" t="s">
        <v>118</v>
      </c>
      <c r="I12" s="22">
        <v>775813</v>
      </c>
      <c r="J12" s="22">
        <v>5.09</v>
      </c>
      <c r="K12" s="45">
        <v>39107</v>
      </c>
      <c r="L12" s="45">
        <v>39128</v>
      </c>
      <c r="M12" s="14">
        <v>60</v>
      </c>
      <c r="N12" s="45">
        <v>40954</v>
      </c>
      <c r="O12" s="14">
        <v>480</v>
      </c>
      <c r="P12" s="14" t="s">
        <v>86</v>
      </c>
      <c r="Q12" s="14" t="s">
        <v>23</v>
      </c>
      <c r="R12" s="14">
        <v>3759.9</v>
      </c>
      <c r="S12" s="14">
        <v>38</v>
      </c>
      <c r="T12" s="14">
        <v>1</v>
      </c>
      <c r="U12" s="14">
        <v>1</v>
      </c>
      <c r="V12" s="14">
        <v>5</v>
      </c>
      <c r="W12" s="14">
        <v>4</v>
      </c>
      <c r="X12" s="14">
        <v>1</v>
      </c>
      <c r="Y12" s="14">
        <v>8</v>
      </c>
      <c r="Z12" s="14" t="s">
        <v>111</v>
      </c>
    </row>
    <row r="13" spans="1:26" x14ac:dyDescent="0.2">
      <c r="A13" s="14">
        <v>411</v>
      </c>
      <c r="B13" s="45">
        <v>39127</v>
      </c>
      <c r="C13" s="14">
        <v>1</v>
      </c>
      <c r="D13" s="14">
        <v>14</v>
      </c>
      <c r="E13" s="14" t="s">
        <v>37</v>
      </c>
      <c r="F13" s="14">
        <v>381243</v>
      </c>
      <c r="G13" s="14" t="s">
        <v>21</v>
      </c>
      <c r="H13" s="14" t="s">
        <v>85</v>
      </c>
      <c r="I13" s="22">
        <v>320850</v>
      </c>
      <c r="J13" s="22">
        <v>5.09</v>
      </c>
      <c r="K13" s="45">
        <v>39111</v>
      </c>
      <c r="L13" s="45">
        <v>39231</v>
      </c>
      <c r="M13" s="14">
        <v>60</v>
      </c>
      <c r="N13" s="45">
        <v>41058</v>
      </c>
      <c r="O13" s="14">
        <v>420</v>
      </c>
      <c r="P13" s="14" t="s">
        <v>86</v>
      </c>
      <c r="Q13" s="14" t="s">
        <v>23</v>
      </c>
      <c r="R13" s="14">
        <v>1626.84</v>
      </c>
      <c r="S13" s="14">
        <v>50</v>
      </c>
      <c r="T13" s="14">
        <v>1</v>
      </c>
      <c r="U13" s="14">
        <v>1</v>
      </c>
      <c r="V13" s="14">
        <v>6</v>
      </c>
      <c r="W13" s="14">
        <v>4</v>
      </c>
      <c r="X13" s="14">
        <v>1</v>
      </c>
    </row>
    <row r="14" spans="1:26" x14ac:dyDescent="0.2">
      <c r="A14" s="14">
        <v>411</v>
      </c>
      <c r="B14" s="45">
        <v>39127</v>
      </c>
      <c r="C14" s="14">
        <v>1</v>
      </c>
      <c r="D14" s="14">
        <v>15</v>
      </c>
      <c r="E14" s="14" t="s">
        <v>58</v>
      </c>
      <c r="F14" s="14">
        <v>383222</v>
      </c>
      <c r="G14" s="14" t="s">
        <v>25</v>
      </c>
      <c r="H14" s="14" t="s">
        <v>119</v>
      </c>
      <c r="I14" s="22">
        <v>363118.5</v>
      </c>
      <c r="J14" s="22">
        <v>5.09</v>
      </c>
      <c r="K14" s="45">
        <v>39099</v>
      </c>
      <c r="L14" s="45">
        <v>39162</v>
      </c>
      <c r="M14" s="14">
        <v>60</v>
      </c>
      <c r="N14" s="45">
        <v>40989</v>
      </c>
      <c r="O14" s="14">
        <v>300</v>
      </c>
      <c r="P14" s="14" t="s">
        <v>86</v>
      </c>
      <c r="Q14" s="14" t="s">
        <v>91</v>
      </c>
      <c r="R14" s="14">
        <v>2130.56</v>
      </c>
      <c r="S14" s="14">
        <v>51</v>
      </c>
      <c r="T14" s="14">
        <v>1</v>
      </c>
      <c r="U14" s="14">
        <v>2</v>
      </c>
      <c r="V14" s="14">
        <v>5</v>
      </c>
      <c r="W14" s="14">
        <v>4</v>
      </c>
      <c r="X14" s="14">
        <v>1</v>
      </c>
      <c r="Y14" s="14">
        <v>8</v>
      </c>
      <c r="Z14" s="14" t="s">
        <v>120</v>
      </c>
    </row>
    <row r="15" spans="1:26" x14ac:dyDescent="0.2">
      <c r="A15" s="14">
        <v>411</v>
      </c>
      <c r="B15" s="45">
        <v>39127</v>
      </c>
      <c r="C15" s="14">
        <v>1</v>
      </c>
      <c r="D15" s="14">
        <v>16</v>
      </c>
      <c r="E15" s="14" t="s">
        <v>37</v>
      </c>
      <c r="F15" s="14">
        <v>383451</v>
      </c>
      <c r="G15" s="14" t="s">
        <v>21</v>
      </c>
      <c r="H15" s="14" t="s">
        <v>85</v>
      </c>
      <c r="I15" s="22">
        <v>612000</v>
      </c>
      <c r="J15" s="22">
        <v>5.09</v>
      </c>
      <c r="K15" s="45">
        <v>39111</v>
      </c>
      <c r="L15" s="45">
        <v>39231</v>
      </c>
      <c r="M15" s="14">
        <v>60</v>
      </c>
      <c r="N15" s="45">
        <v>41058</v>
      </c>
      <c r="O15" s="14">
        <v>300</v>
      </c>
      <c r="P15" s="14" t="s">
        <v>86</v>
      </c>
      <c r="Q15" s="14" t="s">
        <v>23</v>
      </c>
      <c r="R15" s="14">
        <v>3590.84</v>
      </c>
      <c r="S15" s="14">
        <v>50</v>
      </c>
      <c r="T15" s="14">
        <v>1</v>
      </c>
      <c r="U15" s="14">
        <v>1</v>
      </c>
      <c r="V15" s="14">
        <v>6</v>
      </c>
      <c r="W15" s="14">
        <v>4</v>
      </c>
      <c r="X15" s="14">
        <v>1</v>
      </c>
    </row>
    <row r="16" spans="1:26" x14ac:dyDescent="0.2">
      <c r="A16" s="14">
        <v>411</v>
      </c>
      <c r="B16" s="45">
        <v>39127</v>
      </c>
      <c r="C16" s="14">
        <v>1</v>
      </c>
      <c r="D16" s="14">
        <v>17</v>
      </c>
      <c r="E16" s="14" t="s">
        <v>58</v>
      </c>
      <c r="F16" s="14">
        <v>384445</v>
      </c>
      <c r="G16" s="14" t="s">
        <v>21</v>
      </c>
      <c r="H16" s="14" t="s">
        <v>121</v>
      </c>
      <c r="I16" s="22">
        <v>597754.25</v>
      </c>
      <c r="J16" s="22">
        <v>5.09</v>
      </c>
      <c r="K16" s="45">
        <v>39108</v>
      </c>
      <c r="L16" s="45">
        <v>39174</v>
      </c>
      <c r="M16" s="14">
        <v>60</v>
      </c>
      <c r="N16" s="45">
        <v>41001</v>
      </c>
      <c r="O16" s="14">
        <v>420</v>
      </c>
      <c r="P16" s="14" t="s">
        <v>86</v>
      </c>
      <c r="Q16" s="14" t="s">
        <v>23</v>
      </c>
      <c r="R16" s="14">
        <v>3030.85</v>
      </c>
      <c r="S16" s="14">
        <v>51</v>
      </c>
      <c r="T16" s="14">
        <v>1</v>
      </c>
      <c r="U16" s="14">
        <v>1</v>
      </c>
      <c r="V16" s="14">
        <v>4</v>
      </c>
      <c r="W16" s="14">
        <v>4</v>
      </c>
      <c r="X16" s="14">
        <v>1</v>
      </c>
      <c r="Y16" s="14">
        <v>8</v>
      </c>
    </row>
    <row r="17" spans="1:25" x14ac:dyDescent="0.2">
      <c r="A17" s="14">
        <v>411</v>
      </c>
      <c r="B17" s="45">
        <v>39127</v>
      </c>
      <c r="C17" s="14">
        <v>1</v>
      </c>
      <c r="D17" s="14">
        <v>18</v>
      </c>
      <c r="E17" s="14" t="s">
        <v>37</v>
      </c>
      <c r="F17" s="14">
        <v>384539</v>
      </c>
      <c r="G17" s="14" t="s">
        <v>21</v>
      </c>
      <c r="H17" s="14" t="s">
        <v>85</v>
      </c>
      <c r="I17" s="22">
        <v>465750</v>
      </c>
      <c r="J17" s="22">
        <v>5.0999999999999996</v>
      </c>
      <c r="K17" s="45">
        <v>39099</v>
      </c>
      <c r="L17" s="45">
        <v>39220</v>
      </c>
      <c r="M17" s="14">
        <v>60</v>
      </c>
      <c r="N17" s="45">
        <v>41047</v>
      </c>
      <c r="O17" s="14">
        <v>420</v>
      </c>
      <c r="P17" s="14" t="s">
        <v>6</v>
      </c>
      <c r="Q17" s="14" t="s">
        <v>23</v>
      </c>
      <c r="R17" s="14">
        <v>2364.46</v>
      </c>
      <c r="S17" s="14">
        <v>50</v>
      </c>
      <c r="T17" s="14">
        <v>7</v>
      </c>
      <c r="U17" s="14">
        <v>1</v>
      </c>
      <c r="V17" s="14">
        <v>6</v>
      </c>
      <c r="W17" s="14">
        <v>4</v>
      </c>
      <c r="X17" s="14">
        <v>1</v>
      </c>
    </row>
    <row r="18" spans="1:25" x14ac:dyDescent="0.2">
      <c r="A18" s="14">
        <v>411</v>
      </c>
      <c r="B18" s="45">
        <v>39127</v>
      </c>
      <c r="C18" s="14">
        <v>1</v>
      </c>
      <c r="D18" s="14">
        <v>19</v>
      </c>
      <c r="E18" s="14" t="s">
        <v>58</v>
      </c>
      <c r="F18" s="14">
        <v>385497</v>
      </c>
      <c r="G18" s="14" t="s">
        <v>25</v>
      </c>
      <c r="H18" s="14" t="s">
        <v>122</v>
      </c>
      <c r="I18" s="22">
        <v>1504419.8400000001</v>
      </c>
      <c r="J18" s="22">
        <v>5.0999999999999996</v>
      </c>
      <c r="K18" s="45">
        <v>39071</v>
      </c>
      <c r="L18" s="45">
        <v>39156</v>
      </c>
      <c r="M18" s="14">
        <v>60</v>
      </c>
      <c r="N18" s="45">
        <v>40983</v>
      </c>
      <c r="O18" s="14">
        <v>420</v>
      </c>
      <c r="P18" s="14" t="s">
        <v>6</v>
      </c>
      <c r="Q18" s="14" t="s">
        <v>23</v>
      </c>
      <c r="R18" s="14">
        <v>7637.43</v>
      </c>
      <c r="S18" s="14">
        <v>51</v>
      </c>
      <c r="T18" s="14">
        <v>7</v>
      </c>
      <c r="U18" s="14">
        <v>2</v>
      </c>
      <c r="V18" s="14">
        <v>6</v>
      </c>
      <c r="W18" s="14">
        <v>4</v>
      </c>
      <c r="X18" s="14">
        <v>1</v>
      </c>
    </row>
    <row r="19" spans="1:25" x14ac:dyDescent="0.2">
      <c r="A19" s="14">
        <v>411</v>
      </c>
      <c r="B19" s="45">
        <v>39127</v>
      </c>
      <c r="C19" s="14">
        <v>1</v>
      </c>
      <c r="D19" s="14">
        <v>20</v>
      </c>
      <c r="E19" s="14" t="s">
        <v>37</v>
      </c>
      <c r="F19" s="14">
        <v>385498</v>
      </c>
      <c r="G19" s="14" t="s">
        <v>21</v>
      </c>
      <c r="H19" s="14" t="s">
        <v>85</v>
      </c>
      <c r="I19" s="22">
        <v>587955</v>
      </c>
      <c r="J19" s="22">
        <v>5.09</v>
      </c>
      <c r="K19" s="45">
        <v>39108</v>
      </c>
      <c r="L19" s="45">
        <v>39227</v>
      </c>
      <c r="M19" s="14">
        <v>60</v>
      </c>
      <c r="N19" s="45">
        <v>41054</v>
      </c>
      <c r="O19" s="14">
        <v>420</v>
      </c>
      <c r="P19" s="14" t="s">
        <v>86</v>
      </c>
      <c r="Q19" s="14" t="s">
        <v>23</v>
      </c>
      <c r="R19" s="14">
        <v>2981.17</v>
      </c>
      <c r="S19" s="14">
        <v>50</v>
      </c>
      <c r="T19" s="14">
        <v>1</v>
      </c>
      <c r="U19" s="14">
        <v>1</v>
      </c>
      <c r="V19" s="14">
        <v>4</v>
      </c>
      <c r="W19" s="14">
        <v>4</v>
      </c>
      <c r="X19" s="14">
        <v>1</v>
      </c>
      <c r="Y19" s="14">
        <v>8</v>
      </c>
    </row>
    <row r="20" spans="1:25" x14ac:dyDescent="0.2">
      <c r="A20" s="14">
        <v>411</v>
      </c>
      <c r="B20" s="45">
        <v>39127</v>
      </c>
      <c r="C20" s="14">
        <v>1</v>
      </c>
      <c r="D20" s="14">
        <v>22</v>
      </c>
      <c r="E20" s="14" t="s">
        <v>58</v>
      </c>
      <c r="F20" s="14">
        <v>386340</v>
      </c>
      <c r="G20" s="14" t="s">
        <v>21</v>
      </c>
      <c r="H20" s="14" t="s">
        <v>123</v>
      </c>
      <c r="I20" s="22">
        <v>362146.5</v>
      </c>
      <c r="J20" s="22">
        <v>5.09</v>
      </c>
      <c r="K20" s="45">
        <v>39099</v>
      </c>
      <c r="L20" s="45">
        <v>39154</v>
      </c>
      <c r="M20" s="14">
        <v>60</v>
      </c>
      <c r="N20" s="45">
        <v>40981</v>
      </c>
      <c r="O20" s="14">
        <v>420</v>
      </c>
      <c r="P20" s="14" t="s">
        <v>86</v>
      </c>
      <c r="Q20" s="14" t="s">
        <v>88</v>
      </c>
      <c r="R20" s="14">
        <v>1836.23</v>
      </c>
      <c r="S20" s="14">
        <v>51</v>
      </c>
      <c r="T20" s="14">
        <v>1</v>
      </c>
      <c r="U20" s="14">
        <v>1</v>
      </c>
      <c r="V20" s="14">
        <v>4</v>
      </c>
      <c r="W20" s="14">
        <v>4</v>
      </c>
      <c r="X20" s="14">
        <v>1</v>
      </c>
      <c r="Y20" s="14">
        <v>8</v>
      </c>
    </row>
    <row r="21" spans="1:25" x14ac:dyDescent="0.2">
      <c r="A21" s="14">
        <v>411</v>
      </c>
      <c r="B21" s="45">
        <v>39127</v>
      </c>
      <c r="C21" s="14">
        <v>1</v>
      </c>
      <c r="D21" s="14">
        <v>23</v>
      </c>
      <c r="E21" s="14" t="s">
        <v>58</v>
      </c>
      <c r="F21" s="14">
        <v>386500</v>
      </c>
      <c r="G21" s="14" t="s">
        <v>25</v>
      </c>
      <c r="H21" s="14" t="s">
        <v>124</v>
      </c>
      <c r="I21" s="22">
        <v>540003.75</v>
      </c>
      <c r="J21" s="22">
        <v>5.09</v>
      </c>
      <c r="K21" s="45">
        <v>39108</v>
      </c>
      <c r="L21" s="45">
        <v>39136</v>
      </c>
      <c r="M21" s="14">
        <v>60</v>
      </c>
      <c r="N21" s="45">
        <v>40962</v>
      </c>
      <c r="O21" s="14">
        <v>480</v>
      </c>
      <c r="P21" s="14" t="s">
        <v>86</v>
      </c>
      <c r="Q21" s="14" t="s">
        <v>88</v>
      </c>
      <c r="R21" s="14">
        <v>2617.0700000000002</v>
      </c>
      <c r="S21" s="14">
        <v>51</v>
      </c>
      <c r="T21" s="14">
        <v>1</v>
      </c>
      <c r="U21" s="14">
        <v>2</v>
      </c>
      <c r="V21" s="14">
        <v>4</v>
      </c>
      <c r="W21" s="14">
        <v>4</v>
      </c>
      <c r="X21" s="14">
        <v>1</v>
      </c>
      <c r="Y21" s="14">
        <v>8</v>
      </c>
    </row>
    <row r="22" spans="1:25" x14ac:dyDescent="0.2">
      <c r="A22" s="14">
        <v>411</v>
      </c>
      <c r="B22" s="45">
        <v>39127</v>
      </c>
      <c r="C22" s="14">
        <v>1</v>
      </c>
      <c r="D22" s="14">
        <v>25</v>
      </c>
      <c r="E22" s="14" t="s">
        <v>37</v>
      </c>
      <c r="F22" s="14">
        <v>386935</v>
      </c>
      <c r="G22" s="14" t="s">
        <v>21</v>
      </c>
      <c r="H22" s="14" t="s">
        <v>85</v>
      </c>
      <c r="I22" s="22">
        <v>536287.5</v>
      </c>
      <c r="J22" s="22">
        <v>5.09</v>
      </c>
      <c r="K22" s="45">
        <v>39108</v>
      </c>
      <c r="L22" s="45">
        <v>39226</v>
      </c>
      <c r="M22" s="14">
        <v>60</v>
      </c>
      <c r="N22" s="45">
        <v>41053</v>
      </c>
      <c r="O22" s="14">
        <v>420</v>
      </c>
      <c r="P22" s="14" t="s">
        <v>86</v>
      </c>
      <c r="Q22" s="14" t="s">
        <v>23</v>
      </c>
      <c r="R22" s="14">
        <v>2719.19</v>
      </c>
      <c r="S22" s="14">
        <v>50</v>
      </c>
      <c r="T22" s="14">
        <v>1</v>
      </c>
      <c r="U22" s="14">
        <v>1</v>
      </c>
      <c r="V22" s="14">
        <v>4</v>
      </c>
      <c r="W22" s="14">
        <v>4</v>
      </c>
      <c r="X22" s="14">
        <v>1</v>
      </c>
      <c r="Y22" s="14">
        <v>8</v>
      </c>
    </row>
    <row r="23" spans="1:25" x14ac:dyDescent="0.2">
      <c r="A23" s="14">
        <v>411</v>
      </c>
      <c r="B23" s="45">
        <v>39127</v>
      </c>
      <c r="C23" s="14">
        <v>1</v>
      </c>
      <c r="D23" s="14">
        <v>26</v>
      </c>
      <c r="E23" s="14" t="s">
        <v>58</v>
      </c>
      <c r="F23" s="14">
        <v>386938</v>
      </c>
      <c r="G23" s="14" t="s">
        <v>25</v>
      </c>
      <c r="H23" s="14" t="s">
        <v>125</v>
      </c>
      <c r="I23" s="22">
        <v>265590</v>
      </c>
      <c r="J23" s="22">
        <v>5.0999999999999996</v>
      </c>
      <c r="K23" s="45">
        <v>39107</v>
      </c>
      <c r="L23" s="45">
        <v>39141</v>
      </c>
      <c r="M23" s="14">
        <v>60</v>
      </c>
      <c r="N23" s="45">
        <v>40967</v>
      </c>
      <c r="O23" s="14">
        <v>420</v>
      </c>
      <c r="P23" s="14" t="s">
        <v>6</v>
      </c>
      <c r="Q23" s="14" t="s">
        <v>23</v>
      </c>
      <c r="R23" s="14">
        <v>1348.31</v>
      </c>
      <c r="S23" s="14">
        <v>51</v>
      </c>
      <c r="T23" s="14">
        <v>7</v>
      </c>
      <c r="U23" s="14">
        <v>2</v>
      </c>
      <c r="V23" s="14">
        <v>6</v>
      </c>
      <c r="W23" s="14">
        <v>4</v>
      </c>
      <c r="X23" s="14">
        <v>1</v>
      </c>
    </row>
    <row r="24" spans="1:25" x14ac:dyDescent="0.2">
      <c r="A24" s="14">
        <v>411</v>
      </c>
      <c r="B24" s="45">
        <v>39127</v>
      </c>
      <c r="C24" s="14">
        <v>1</v>
      </c>
      <c r="D24" s="14">
        <v>27</v>
      </c>
      <c r="E24" s="14" t="s">
        <v>37</v>
      </c>
      <c r="F24" s="14">
        <v>386992</v>
      </c>
      <c r="G24" s="14" t="s">
        <v>25</v>
      </c>
      <c r="H24" s="14" t="s">
        <v>85</v>
      </c>
      <c r="I24" s="22">
        <v>244981.25</v>
      </c>
      <c r="J24" s="22">
        <v>5.09</v>
      </c>
      <c r="K24" s="45">
        <v>39111</v>
      </c>
      <c r="L24" s="45">
        <v>39231</v>
      </c>
      <c r="M24" s="14">
        <v>60</v>
      </c>
      <c r="N24" s="45">
        <v>41058</v>
      </c>
      <c r="O24" s="14">
        <v>420</v>
      </c>
      <c r="P24" s="14" t="s">
        <v>86</v>
      </c>
      <c r="Q24" s="14" t="s">
        <v>23</v>
      </c>
      <c r="R24" s="14">
        <v>1242.1500000000001</v>
      </c>
      <c r="S24" s="14">
        <v>50</v>
      </c>
      <c r="T24" s="14">
        <v>1</v>
      </c>
      <c r="U24" s="14">
        <v>2</v>
      </c>
      <c r="V24" s="14">
        <v>6</v>
      </c>
      <c r="W24" s="14">
        <v>4</v>
      </c>
      <c r="X24" s="14">
        <v>1</v>
      </c>
    </row>
    <row r="25" spans="1:25" x14ac:dyDescent="0.2">
      <c r="A25" s="14">
        <v>411</v>
      </c>
      <c r="B25" s="45">
        <v>39127</v>
      </c>
      <c r="C25" s="14">
        <v>1</v>
      </c>
      <c r="D25" s="14">
        <v>28</v>
      </c>
      <c r="E25" s="14" t="s">
        <v>58</v>
      </c>
      <c r="F25" s="14">
        <v>387020</v>
      </c>
      <c r="G25" s="14" t="s">
        <v>25</v>
      </c>
      <c r="H25" s="14" t="s">
        <v>126</v>
      </c>
      <c r="I25" s="22">
        <v>523567.8</v>
      </c>
      <c r="J25" s="22">
        <v>5.09</v>
      </c>
      <c r="K25" s="45">
        <v>39108</v>
      </c>
      <c r="L25" s="45">
        <v>39169</v>
      </c>
      <c r="M25" s="14">
        <v>60</v>
      </c>
      <c r="N25" s="45">
        <v>40996</v>
      </c>
      <c r="O25" s="14">
        <v>480</v>
      </c>
      <c r="P25" s="14" t="s">
        <v>86</v>
      </c>
      <c r="Q25" s="14" t="s">
        <v>23</v>
      </c>
      <c r="R25" s="14">
        <v>2537.42</v>
      </c>
      <c r="S25" s="14">
        <v>51</v>
      </c>
      <c r="T25" s="14">
        <v>1</v>
      </c>
      <c r="U25" s="14">
        <v>2</v>
      </c>
      <c r="V25" s="14">
        <v>4</v>
      </c>
      <c r="W25" s="14">
        <v>4</v>
      </c>
      <c r="X25" s="14">
        <v>1</v>
      </c>
      <c r="Y25" s="14">
        <v>8</v>
      </c>
    </row>
    <row r="26" spans="1:25" x14ac:dyDescent="0.2">
      <c r="A26" s="14">
        <v>411</v>
      </c>
      <c r="B26" s="45">
        <v>39127</v>
      </c>
      <c r="C26" s="14">
        <v>1</v>
      </c>
      <c r="D26" s="14">
        <v>29</v>
      </c>
      <c r="E26" s="14" t="s">
        <v>58</v>
      </c>
      <c r="F26" s="14">
        <v>387051</v>
      </c>
      <c r="G26" s="14" t="s">
        <v>21</v>
      </c>
      <c r="H26" s="14" t="s">
        <v>127</v>
      </c>
      <c r="I26" s="22">
        <v>1525880</v>
      </c>
      <c r="J26" s="22">
        <v>5.09</v>
      </c>
      <c r="K26" s="45">
        <v>39108</v>
      </c>
      <c r="L26" s="45">
        <v>39170</v>
      </c>
      <c r="M26" s="14">
        <v>60</v>
      </c>
      <c r="N26" s="45">
        <v>40997</v>
      </c>
      <c r="O26" s="14">
        <v>300</v>
      </c>
      <c r="P26" s="14" t="s">
        <v>86</v>
      </c>
      <c r="Q26" s="14" t="s">
        <v>23</v>
      </c>
      <c r="R26" s="14">
        <v>8952.93</v>
      </c>
      <c r="S26" s="14">
        <v>51</v>
      </c>
      <c r="T26" s="14">
        <v>1</v>
      </c>
      <c r="U26" s="14">
        <v>1</v>
      </c>
      <c r="V26" s="14">
        <v>4</v>
      </c>
      <c r="W26" s="14">
        <v>4</v>
      </c>
      <c r="X26" s="14">
        <v>1</v>
      </c>
      <c r="Y26" s="14">
        <v>8</v>
      </c>
    </row>
    <row r="27" spans="1:25" x14ac:dyDescent="0.2">
      <c r="A27" s="14">
        <v>411</v>
      </c>
      <c r="B27" s="45">
        <v>39127</v>
      </c>
      <c r="C27" s="14">
        <v>1</v>
      </c>
      <c r="D27" s="14">
        <v>30</v>
      </c>
      <c r="E27" s="14" t="s">
        <v>58</v>
      </c>
      <c r="F27" s="14">
        <v>387082</v>
      </c>
      <c r="G27" s="14" t="s">
        <v>21</v>
      </c>
      <c r="H27" s="14" t="s">
        <v>128</v>
      </c>
      <c r="I27" s="22">
        <v>156788</v>
      </c>
      <c r="J27" s="22">
        <v>5.09</v>
      </c>
      <c r="K27" s="45">
        <v>39108</v>
      </c>
      <c r="L27" s="45">
        <v>39140</v>
      </c>
      <c r="M27" s="14">
        <v>60</v>
      </c>
      <c r="N27" s="45">
        <v>40966</v>
      </c>
      <c r="O27" s="14">
        <v>420</v>
      </c>
      <c r="P27" s="14" t="s">
        <v>86</v>
      </c>
      <c r="Q27" s="14" t="s">
        <v>23</v>
      </c>
      <c r="R27" s="14">
        <v>794.98</v>
      </c>
      <c r="S27" s="14">
        <v>51</v>
      </c>
      <c r="T27" s="14">
        <v>1</v>
      </c>
      <c r="U27" s="14">
        <v>1</v>
      </c>
      <c r="V27" s="14">
        <v>4</v>
      </c>
      <c r="W27" s="14">
        <v>4</v>
      </c>
      <c r="X27" s="14">
        <v>1</v>
      </c>
      <c r="Y27" s="14">
        <v>8</v>
      </c>
    </row>
    <row r="28" spans="1:25" x14ac:dyDescent="0.2">
      <c r="A28" s="14">
        <v>411</v>
      </c>
      <c r="B28" s="45">
        <v>39127</v>
      </c>
      <c r="C28" s="14">
        <v>1</v>
      </c>
      <c r="D28" s="14">
        <v>31</v>
      </c>
      <c r="E28" s="14" t="s">
        <v>37</v>
      </c>
      <c r="F28" s="14">
        <v>387110</v>
      </c>
      <c r="G28" s="14" t="s">
        <v>21</v>
      </c>
      <c r="H28" s="14" t="s">
        <v>85</v>
      </c>
      <c r="I28" s="22">
        <v>253207.5</v>
      </c>
      <c r="J28" s="22">
        <v>5.09</v>
      </c>
      <c r="K28" s="45">
        <v>39111</v>
      </c>
      <c r="L28" s="45">
        <v>39231</v>
      </c>
      <c r="M28" s="14">
        <v>60</v>
      </c>
      <c r="N28" s="45">
        <v>41058</v>
      </c>
      <c r="O28" s="14">
        <v>480</v>
      </c>
      <c r="P28" s="14" t="s">
        <v>86</v>
      </c>
      <c r="Q28" s="14" t="s">
        <v>23</v>
      </c>
      <c r="R28" s="14">
        <v>1227.1400000000001</v>
      </c>
      <c r="S28" s="14">
        <v>50</v>
      </c>
      <c r="T28" s="14">
        <v>1</v>
      </c>
      <c r="U28" s="14">
        <v>1</v>
      </c>
      <c r="V28" s="14">
        <v>6</v>
      </c>
      <c r="W28" s="14">
        <v>4</v>
      </c>
      <c r="X28" s="14">
        <v>1</v>
      </c>
    </row>
    <row r="29" spans="1:25" x14ac:dyDescent="0.2">
      <c r="A29" s="14">
        <v>411</v>
      </c>
      <c r="B29" s="45">
        <v>39127</v>
      </c>
      <c r="C29" s="14">
        <v>1</v>
      </c>
      <c r="D29" s="14">
        <v>32</v>
      </c>
      <c r="E29" s="14" t="s">
        <v>37</v>
      </c>
      <c r="F29" s="14">
        <v>387146</v>
      </c>
      <c r="G29" s="14" t="s">
        <v>21</v>
      </c>
      <c r="H29" s="14" t="s">
        <v>85</v>
      </c>
      <c r="I29" s="22">
        <v>269620</v>
      </c>
      <c r="J29" s="22">
        <v>5.09</v>
      </c>
      <c r="K29" s="45">
        <v>39111</v>
      </c>
      <c r="L29" s="45">
        <v>39231</v>
      </c>
      <c r="M29" s="14">
        <v>60</v>
      </c>
      <c r="N29" s="45">
        <v>41058</v>
      </c>
      <c r="O29" s="14">
        <v>480</v>
      </c>
      <c r="P29" s="14" t="s">
        <v>86</v>
      </c>
      <c r="Q29" s="14" t="s">
        <v>23</v>
      </c>
      <c r="R29" s="14">
        <v>1306.69</v>
      </c>
      <c r="S29" s="14">
        <v>50</v>
      </c>
      <c r="T29" s="14">
        <v>1</v>
      </c>
      <c r="U29" s="14">
        <v>1</v>
      </c>
      <c r="V29" s="14">
        <v>6</v>
      </c>
      <c r="W29" s="14">
        <v>4</v>
      </c>
      <c r="X29" s="14">
        <v>1</v>
      </c>
    </row>
    <row r="30" spans="1:25" x14ac:dyDescent="0.2">
      <c r="A30" s="14">
        <v>411</v>
      </c>
      <c r="B30" s="45">
        <v>39127</v>
      </c>
      <c r="C30" s="14">
        <v>1</v>
      </c>
      <c r="D30" s="14">
        <v>33</v>
      </c>
      <c r="E30" s="14" t="s">
        <v>37</v>
      </c>
      <c r="F30" s="14">
        <v>387151</v>
      </c>
      <c r="G30" s="14" t="s">
        <v>21</v>
      </c>
      <c r="H30" s="14" t="s">
        <v>85</v>
      </c>
      <c r="I30" s="22">
        <v>269620</v>
      </c>
      <c r="J30" s="22">
        <v>5.09</v>
      </c>
      <c r="K30" s="45">
        <v>39111</v>
      </c>
      <c r="L30" s="45">
        <v>39231</v>
      </c>
      <c r="M30" s="14">
        <v>60</v>
      </c>
      <c r="N30" s="45">
        <v>41058</v>
      </c>
      <c r="O30" s="14">
        <v>480</v>
      </c>
      <c r="P30" s="14" t="s">
        <v>86</v>
      </c>
      <c r="Q30" s="14" t="s">
        <v>23</v>
      </c>
      <c r="R30" s="14">
        <v>1306.69</v>
      </c>
      <c r="S30" s="14">
        <v>50</v>
      </c>
      <c r="T30" s="14">
        <v>1</v>
      </c>
      <c r="U30" s="14">
        <v>1</v>
      </c>
      <c r="V30" s="14">
        <v>6</v>
      </c>
      <c r="W30" s="14">
        <v>4</v>
      </c>
      <c r="X30" s="14">
        <v>1</v>
      </c>
    </row>
    <row r="31" spans="1:25" x14ac:dyDescent="0.2">
      <c r="A31" s="14">
        <v>411</v>
      </c>
      <c r="B31" s="45">
        <v>39127</v>
      </c>
      <c r="C31" s="14">
        <v>1</v>
      </c>
      <c r="D31" s="14">
        <v>34</v>
      </c>
      <c r="E31" s="14" t="s">
        <v>37</v>
      </c>
      <c r="F31" s="14">
        <v>387152</v>
      </c>
      <c r="G31" s="14" t="s">
        <v>21</v>
      </c>
      <c r="H31" s="14" t="s">
        <v>85</v>
      </c>
      <c r="I31" s="22">
        <v>207400</v>
      </c>
      <c r="J31" s="22">
        <v>5.09</v>
      </c>
      <c r="K31" s="45">
        <v>39111</v>
      </c>
      <c r="L31" s="45">
        <v>39231</v>
      </c>
      <c r="M31" s="14">
        <v>60</v>
      </c>
      <c r="N31" s="45">
        <v>41058</v>
      </c>
      <c r="O31" s="14">
        <v>480</v>
      </c>
      <c r="P31" s="14" t="s">
        <v>86</v>
      </c>
      <c r="Q31" s="14" t="s">
        <v>23</v>
      </c>
      <c r="R31" s="14">
        <v>1005.14</v>
      </c>
      <c r="S31" s="14">
        <v>50</v>
      </c>
      <c r="T31" s="14">
        <v>1</v>
      </c>
      <c r="U31" s="14">
        <v>1</v>
      </c>
      <c r="V31" s="14">
        <v>6</v>
      </c>
      <c r="W31" s="14">
        <v>4</v>
      </c>
      <c r="X31" s="14">
        <v>1</v>
      </c>
    </row>
    <row r="32" spans="1:25" x14ac:dyDescent="0.2">
      <c r="A32" s="14">
        <v>411</v>
      </c>
      <c r="B32" s="45">
        <v>39127</v>
      </c>
      <c r="C32" s="14">
        <v>1</v>
      </c>
      <c r="D32" s="14">
        <v>35</v>
      </c>
      <c r="E32" s="14" t="s">
        <v>37</v>
      </c>
      <c r="F32" s="14">
        <v>387154</v>
      </c>
      <c r="G32" s="14" t="s">
        <v>21</v>
      </c>
      <c r="H32" s="14" t="s">
        <v>85</v>
      </c>
      <c r="I32" s="22">
        <v>388875</v>
      </c>
      <c r="J32" s="22">
        <v>5.09</v>
      </c>
      <c r="K32" s="45">
        <v>39111</v>
      </c>
      <c r="L32" s="45">
        <v>39227</v>
      </c>
      <c r="M32" s="14">
        <v>60</v>
      </c>
      <c r="N32" s="45">
        <v>41054</v>
      </c>
      <c r="O32" s="14">
        <v>480</v>
      </c>
      <c r="P32" s="14" t="s">
        <v>86</v>
      </c>
      <c r="Q32" s="14" t="s">
        <v>23</v>
      </c>
      <c r="R32" s="14">
        <v>1884.64</v>
      </c>
      <c r="S32" s="14">
        <v>50</v>
      </c>
      <c r="T32" s="14">
        <v>1</v>
      </c>
      <c r="U32" s="14">
        <v>1</v>
      </c>
      <c r="V32" s="14">
        <v>6</v>
      </c>
      <c r="W32" s="14">
        <v>4</v>
      </c>
      <c r="X32" s="14">
        <v>1</v>
      </c>
    </row>
    <row r="33" spans="1:25" x14ac:dyDescent="0.2">
      <c r="A33" s="14">
        <v>411</v>
      </c>
      <c r="B33" s="45">
        <v>39127</v>
      </c>
      <c r="C33" s="14">
        <v>1</v>
      </c>
      <c r="D33" s="14">
        <v>36</v>
      </c>
      <c r="E33" s="14" t="s">
        <v>58</v>
      </c>
      <c r="F33" s="14">
        <v>387187</v>
      </c>
      <c r="G33" s="14" t="s">
        <v>21</v>
      </c>
      <c r="H33" s="14" t="s">
        <v>87</v>
      </c>
      <c r="I33" s="22">
        <v>326688.75</v>
      </c>
      <c r="J33" s="22">
        <v>5.09</v>
      </c>
      <c r="K33" s="45">
        <v>39111</v>
      </c>
      <c r="L33" s="45">
        <v>39198</v>
      </c>
      <c r="M33" s="14">
        <v>60</v>
      </c>
      <c r="N33" s="45">
        <v>41025</v>
      </c>
      <c r="O33" s="14">
        <v>300</v>
      </c>
      <c r="P33" s="14" t="s">
        <v>86</v>
      </c>
      <c r="Q33" s="14" t="s">
        <v>88</v>
      </c>
      <c r="R33" s="14">
        <v>2162.66</v>
      </c>
      <c r="S33" s="14">
        <v>51</v>
      </c>
      <c r="T33" s="14">
        <v>1</v>
      </c>
      <c r="U33" s="14">
        <v>1</v>
      </c>
      <c r="V33" s="14">
        <v>6</v>
      </c>
      <c r="W33" s="14">
        <v>4</v>
      </c>
      <c r="X33" s="14">
        <v>1</v>
      </c>
    </row>
    <row r="34" spans="1:25" x14ac:dyDescent="0.2">
      <c r="A34" s="14">
        <v>411</v>
      </c>
      <c r="B34" s="45">
        <v>39127</v>
      </c>
      <c r="C34" s="14">
        <v>1</v>
      </c>
      <c r="D34" s="14">
        <v>39</v>
      </c>
      <c r="E34" s="14" t="s">
        <v>58</v>
      </c>
      <c r="F34" s="14">
        <v>387248</v>
      </c>
      <c r="G34" s="14" t="s">
        <v>21</v>
      </c>
      <c r="H34" s="14" t="s">
        <v>89</v>
      </c>
      <c r="I34" s="22">
        <v>203796</v>
      </c>
      <c r="J34" s="22">
        <v>5.09</v>
      </c>
      <c r="K34" s="45">
        <v>39111</v>
      </c>
      <c r="L34" s="45">
        <v>39141</v>
      </c>
      <c r="M34" s="14">
        <v>60</v>
      </c>
      <c r="N34" s="45">
        <v>40967</v>
      </c>
      <c r="O34" s="14">
        <v>300</v>
      </c>
      <c r="P34" s="14" t="s">
        <v>86</v>
      </c>
      <c r="Q34" s="14" t="s">
        <v>23</v>
      </c>
      <c r="R34" s="14">
        <v>1195.75</v>
      </c>
      <c r="S34" s="14">
        <v>51</v>
      </c>
      <c r="T34" s="14">
        <v>1</v>
      </c>
      <c r="U34" s="14">
        <v>1</v>
      </c>
      <c r="V34" s="14">
        <v>6</v>
      </c>
      <c r="W34" s="14">
        <v>4</v>
      </c>
      <c r="X34" s="14">
        <v>1</v>
      </c>
    </row>
    <row r="35" spans="1:25" x14ac:dyDescent="0.2">
      <c r="A35" s="14">
        <v>411</v>
      </c>
      <c r="B35" s="45">
        <v>39127</v>
      </c>
      <c r="C35" s="14">
        <v>1</v>
      </c>
      <c r="D35" s="14">
        <v>43</v>
      </c>
      <c r="E35" s="14" t="s">
        <v>37</v>
      </c>
      <c r="F35" s="14">
        <v>387640</v>
      </c>
      <c r="G35" s="14" t="s">
        <v>25</v>
      </c>
      <c r="H35" s="14" t="s">
        <v>85</v>
      </c>
      <c r="I35" s="22">
        <v>211867.5</v>
      </c>
      <c r="J35" s="22">
        <v>5.64</v>
      </c>
      <c r="K35" s="45">
        <v>39115</v>
      </c>
      <c r="L35" s="45">
        <v>39234</v>
      </c>
      <c r="M35" s="14">
        <v>120</v>
      </c>
      <c r="N35" s="45">
        <v>42887</v>
      </c>
      <c r="O35" s="14">
        <v>480</v>
      </c>
      <c r="P35" s="14" t="s">
        <v>86</v>
      </c>
      <c r="Q35" s="14" t="s">
        <v>23</v>
      </c>
      <c r="R35" s="14">
        <v>1103.56</v>
      </c>
      <c r="S35" s="14">
        <v>50</v>
      </c>
      <c r="T35" s="14">
        <v>1</v>
      </c>
      <c r="U35" s="14">
        <v>2</v>
      </c>
      <c r="V35" s="14">
        <v>4</v>
      </c>
      <c r="W35" s="14">
        <v>6</v>
      </c>
      <c r="X35" s="14">
        <v>1</v>
      </c>
      <c r="Y35" s="14">
        <v>34</v>
      </c>
    </row>
    <row r="36" spans="1:25" x14ac:dyDescent="0.2">
      <c r="A36" s="14">
        <v>411</v>
      </c>
      <c r="B36" s="45">
        <v>39127</v>
      </c>
      <c r="C36" s="14">
        <v>1</v>
      </c>
      <c r="D36" s="14">
        <v>44</v>
      </c>
      <c r="E36" s="14" t="s">
        <v>37</v>
      </c>
      <c r="F36" s="14">
        <v>387666</v>
      </c>
      <c r="G36" s="14" t="s">
        <v>21</v>
      </c>
      <c r="H36" s="14" t="s">
        <v>85</v>
      </c>
      <c r="I36" s="22">
        <v>311100</v>
      </c>
      <c r="J36" s="22">
        <v>5.0999999999999996</v>
      </c>
      <c r="K36" s="45">
        <v>39118</v>
      </c>
      <c r="L36" s="45">
        <v>39238</v>
      </c>
      <c r="M36" s="14">
        <v>60</v>
      </c>
      <c r="N36" s="45">
        <v>41065</v>
      </c>
      <c r="O36" s="14">
        <v>480</v>
      </c>
      <c r="P36" s="14" t="s">
        <v>6</v>
      </c>
      <c r="Q36" s="14" t="s">
        <v>23</v>
      </c>
      <c r="R36" s="14">
        <v>1509.74</v>
      </c>
      <c r="S36" s="14">
        <v>50</v>
      </c>
      <c r="T36" s="14">
        <v>7</v>
      </c>
      <c r="U36" s="14">
        <v>1</v>
      </c>
      <c r="V36" s="14">
        <v>6</v>
      </c>
      <c r="W36" s="14">
        <v>4</v>
      </c>
      <c r="X36" s="14">
        <v>1</v>
      </c>
    </row>
    <row r="37" spans="1:25" x14ac:dyDescent="0.2">
      <c r="A37" s="14">
        <v>411</v>
      </c>
      <c r="B37" s="45">
        <v>39127</v>
      </c>
      <c r="C37" s="14">
        <v>1</v>
      </c>
      <c r="D37" s="14">
        <v>45</v>
      </c>
      <c r="E37" s="14" t="s">
        <v>37</v>
      </c>
      <c r="F37" s="14">
        <v>760732</v>
      </c>
      <c r="G37" s="14" t="s">
        <v>21</v>
      </c>
      <c r="H37" s="14" t="s">
        <v>129</v>
      </c>
      <c r="I37" s="22">
        <v>173655</v>
      </c>
      <c r="J37" s="22">
        <v>5.09</v>
      </c>
      <c r="K37" s="45">
        <v>39052</v>
      </c>
      <c r="L37" s="45">
        <v>39231</v>
      </c>
      <c r="M37" s="14">
        <v>60</v>
      </c>
      <c r="N37" s="45">
        <v>41058</v>
      </c>
      <c r="O37" s="14">
        <v>420</v>
      </c>
      <c r="P37" s="14" t="s">
        <v>86</v>
      </c>
      <c r="Q37" s="14" t="s">
        <v>23</v>
      </c>
      <c r="R37" s="14">
        <v>880.5</v>
      </c>
      <c r="S37" s="14">
        <v>50</v>
      </c>
      <c r="T37" s="14">
        <v>1</v>
      </c>
      <c r="U37" s="14">
        <v>1</v>
      </c>
      <c r="V37" s="14">
        <v>4</v>
      </c>
      <c r="W37" s="14">
        <v>4</v>
      </c>
      <c r="X37" s="14">
        <v>1</v>
      </c>
      <c r="Y37" s="14">
        <v>8</v>
      </c>
    </row>
    <row r="38" spans="1:25" x14ac:dyDescent="0.2">
      <c r="A38" s="14">
        <v>411</v>
      </c>
      <c r="B38" s="45">
        <v>39127</v>
      </c>
      <c r="C38" s="14">
        <v>1</v>
      </c>
      <c r="D38" s="14">
        <v>47</v>
      </c>
      <c r="E38" s="14" t="s">
        <v>58</v>
      </c>
      <c r="F38" s="14">
        <v>762175</v>
      </c>
      <c r="G38" s="14" t="s">
        <v>21</v>
      </c>
      <c r="H38" s="14" t="s">
        <v>90</v>
      </c>
      <c r="I38" s="22">
        <v>279990</v>
      </c>
      <c r="J38" s="22">
        <v>5.15</v>
      </c>
      <c r="K38" s="45">
        <v>39091</v>
      </c>
      <c r="L38" s="45">
        <v>39203</v>
      </c>
      <c r="M38" s="14">
        <v>36</v>
      </c>
      <c r="N38" s="45">
        <v>40299</v>
      </c>
      <c r="O38" s="14">
        <v>480</v>
      </c>
      <c r="P38" s="14" t="s">
        <v>86</v>
      </c>
      <c r="Q38" s="14" t="s">
        <v>88</v>
      </c>
      <c r="R38" s="14">
        <v>1367.88</v>
      </c>
      <c r="S38" s="14">
        <v>51</v>
      </c>
      <c r="T38" s="14">
        <v>1</v>
      </c>
      <c r="U38" s="14">
        <v>1</v>
      </c>
      <c r="V38" s="14">
        <v>6</v>
      </c>
      <c r="W38" s="14">
        <v>2</v>
      </c>
      <c r="X38" s="14">
        <v>1</v>
      </c>
    </row>
    <row r="39" spans="1:25" x14ac:dyDescent="0.2">
      <c r="A39" s="14">
        <v>411</v>
      </c>
      <c r="B39" s="45">
        <v>39127</v>
      </c>
      <c r="C39" s="14">
        <v>1</v>
      </c>
      <c r="D39" s="14">
        <v>48</v>
      </c>
      <c r="E39" s="14" t="s">
        <v>37</v>
      </c>
      <c r="F39" s="14">
        <v>762247</v>
      </c>
      <c r="G39" s="14" t="s">
        <v>21</v>
      </c>
      <c r="H39" s="14" t="s">
        <v>85</v>
      </c>
      <c r="I39" s="22">
        <v>279990</v>
      </c>
      <c r="J39" s="22">
        <v>5.09</v>
      </c>
      <c r="K39" s="45">
        <v>39106</v>
      </c>
      <c r="L39" s="45">
        <v>39212</v>
      </c>
      <c r="M39" s="14">
        <v>60</v>
      </c>
      <c r="N39" s="45">
        <v>41039</v>
      </c>
      <c r="O39" s="14">
        <v>480</v>
      </c>
      <c r="P39" s="14" t="s">
        <v>86</v>
      </c>
      <c r="Q39" s="14" t="s">
        <v>23</v>
      </c>
      <c r="R39" s="14">
        <v>1356.94</v>
      </c>
      <c r="S39" s="14">
        <v>50</v>
      </c>
      <c r="T39" s="14">
        <v>1</v>
      </c>
      <c r="U39" s="14">
        <v>1</v>
      </c>
      <c r="V39" s="14">
        <v>4</v>
      </c>
      <c r="W39" s="14">
        <v>4</v>
      </c>
      <c r="X39" s="14">
        <v>1</v>
      </c>
      <c r="Y39" s="14">
        <v>8</v>
      </c>
    </row>
    <row r="40" spans="1:25" x14ac:dyDescent="0.2">
      <c r="A40" s="14">
        <v>411</v>
      </c>
      <c r="B40" s="45">
        <v>39127</v>
      </c>
      <c r="C40" s="14">
        <v>1</v>
      </c>
      <c r="D40" s="14">
        <v>49</v>
      </c>
      <c r="E40" s="14" t="s">
        <v>58</v>
      </c>
      <c r="F40" s="14">
        <v>762318</v>
      </c>
      <c r="G40" s="14" t="s">
        <v>25</v>
      </c>
      <c r="H40" s="14" t="s">
        <v>130</v>
      </c>
      <c r="I40" s="22">
        <v>333270</v>
      </c>
      <c r="J40" s="22">
        <v>5.09</v>
      </c>
      <c r="K40" s="45">
        <v>39094</v>
      </c>
      <c r="L40" s="45">
        <v>39142</v>
      </c>
      <c r="M40" s="14">
        <v>60</v>
      </c>
      <c r="N40" s="45">
        <v>40969</v>
      </c>
      <c r="O40" s="14">
        <v>420</v>
      </c>
      <c r="P40" s="14" t="s">
        <v>86</v>
      </c>
      <c r="Q40" s="14" t="s">
        <v>23</v>
      </c>
      <c r="R40" s="14">
        <v>1689.81</v>
      </c>
      <c r="S40" s="14">
        <v>51</v>
      </c>
      <c r="T40" s="14">
        <v>1</v>
      </c>
      <c r="U40" s="14">
        <v>2</v>
      </c>
      <c r="V40" s="14">
        <v>4</v>
      </c>
      <c r="W40" s="14">
        <v>4</v>
      </c>
      <c r="X40" s="14">
        <v>1</v>
      </c>
      <c r="Y40" s="14">
        <v>8</v>
      </c>
    </row>
    <row r="41" spans="1:25" x14ac:dyDescent="0.2">
      <c r="A41" s="14">
        <v>411</v>
      </c>
      <c r="B41" s="45">
        <v>39127</v>
      </c>
      <c r="C41" s="14">
        <v>1</v>
      </c>
      <c r="D41" s="14">
        <v>50</v>
      </c>
      <c r="E41" s="14" t="s">
        <v>58</v>
      </c>
      <c r="F41" s="14">
        <v>762407</v>
      </c>
      <c r="G41" s="14" t="s">
        <v>25</v>
      </c>
      <c r="H41" s="14" t="s">
        <v>85</v>
      </c>
      <c r="I41" s="22">
        <v>289380</v>
      </c>
      <c r="J41" s="22">
        <v>5.09</v>
      </c>
      <c r="K41" s="45">
        <v>39097</v>
      </c>
      <c r="L41" s="45">
        <v>39217</v>
      </c>
      <c r="M41" s="14">
        <v>60</v>
      </c>
      <c r="N41" s="45">
        <v>41044</v>
      </c>
      <c r="O41" s="14">
        <v>480</v>
      </c>
      <c r="P41" s="14" t="s">
        <v>86</v>
      </c>
      <c r="Q41" s="14" t="s">
        <v>23</v>
      </c>
      <c r="R41" s="14">
        <v>1402.45</v>
      </c>
      <c r="S41" s="14">
        <v>51</v>
      </c>
      <c r="T41" s="14">
        <v>1</v>
      </c>
      <c r="U41" s="14">
        <v>2</v>
      </c>
      <c r="V41" s="14">
        <v>4</v>
      </c>
      <c r="W41" s="14">
        <v>4</v>
      </c>
      <c r="X41" s="14">
        <v>1</v>
      </c>
      <c r="Y41" s="14">
        <v>8</v>
      </c>
    </row>
    <row r="42" spans="1:25" x14ac:dyDescent="0.2">
      <c r="A42" s="14">
        <v>411</v>
      </c>
      <c r="B42" s="45">
        <v>39127</v>
      </c>
      <c r="C42" s="14">
        <v>1</v>
      </c>
      <c r="D42" s="14">
        <v>52</v>
      </c>
      <c r="E42" s="14" t="s">
        <v>58</v>
      </c>
      <c r="F42" s="14">
        <v>762759</v>
      </c>
      <c r="G42" s="14" t="s">
        <v>21</v>
      </c>
      <c r="H42" s="14" t="s">
        <v>131</v>
      </c>
      <c r="I42" s="22">
        <v>308430</v>
      </c>
      <c r="J42" s="22">
        <v>5.09</v>
      </c>
      <c r="K42" s="45">
        <v>39100</v>
      </c>
      <c r="L42" s="45">
        <v>39164</v>
      </c>
      <c r="M42" s="14">
        <v>60</v>
      </c>
      <c r="N42" s="45">
        <v>40991</v>
      </c>
      <c r="O42" s="14">
        <v>420</v>
      </c>
      <c r="P42" s="14" t="s">
        <v>86</v>
      </c>
      <c r="Q42" s="14" t="s">
        <v>23</v>
      </c>
      <c r="R42" s="14">
        <v>1563.86</v>
      </c>
      <c r="S42" s="14">
        <v>51</v>
      </c>
      <c r="T42" s="14">
        <v>1</v>
      </c>
      <c r="U42" s="14">
        <v>1</v>
      </c>
      <c r="V42" s="14">
        <v>4</v>
      </c>
      <c r="W42" s="14">
        <v>4</v>
      </c>
      <c r="X42" s="14">
        <v>1</v>
      </c>
      <c r="Y42" s="14">
        <v>8</v>
      </c>
    </row>
    <row r="43" spans="1:25" x14ac:dyDescent="0.2">
      <c r="A43" s="14">
        <v>411</v>
      </c>
      <c r="B43" s="45">
        <v>39127</v>
      </c>
      <c r="C43" s="14">
        <v>1</v>
      </c>
      <c r="D43" s="14">
        <v>53</v>
      </c>
      <c r="E43" s="14" t="s">
        <v>37</v>
      </c>
      <c r="F43" s="14">
        <v>762774</v>
      </c>
      <c r="G43" s="14" t="s">
        <v>21</v>
      </c>
      <c r="H43" s="14" t="s">
        <v>85</v>
      </c>
      <c r="I43" s="22">
        <v>227700</v>
      </c>
      <c r="J43" s="22">
        <v>5.09</v>
      </c>
      <c r="K43" s="45">
        <v>39106</v>
      </c>
      <c r="L43" s="45">
        <v>39220</v>
      </c>
      <c r="M43" s="14">
        <v>60</v>
      </c>
      <c r="N43" s="45">
        <v>41047</v>
      </c>
      <c r="O43" s="14">
        <v>420</v>
      </c>
      <c r="P43" s="14" t="s">
        <v>86</v>
      </c>
      <c r="Q43" s="14" t="s">
        <v>23</v>
      </c>
      <c r="R43" s="14">
        <v>1154.53</v>
      </c>
      <c r="S43" s="14">
        <v>50</v>
      </c>
      <c r="T43" s="14">
        <v>1</v>
      </c>
      <c r="U43" s="14">
        <v>1</v>
      </c>
      <c r="V43" s="14">
        <v>4</v>
      </c>
      <c r="W43" s="14">
        <v>4</v>
      </c>
      <c r="X43" s="14">
        <v>1</v>
      </c>
      <c r="Y43" s="14">
        <v>8</v>
      </c>
    </row>
    <row r="44" spans="1:25" x14ac:dyDescent="0.2">
      <c r="A44" s="14">
        <v>411</v>
      </c>
      <c r="B44" s="45">
        <v>39127</v>
      </c>
      <c r="C44" s="14">
        <v>1</v>
      </c>
      <c r="D44" s="14">
        <v>55</v>
      </c>
      <c r="E44" s="14" t="s">
        <v>58</v>
      </c>
      <c r="F44" s="14">
        <v>762897</v>
      </c>
      <c r="G44" s="14" t="s">
        <v>25</v>
      </c>
      <c r="H44" s="14" t="s">
        <v>132</v>
      </c>
      <c r="I44" s="22">
        <v>108675</v>
      </c>
      <c r="J44" s="22">
        <v>5.09</v>
      </c>
      <c r="K44" s="45">
        <v>39104</v>
      </c>
      <c r="L44" s="45">
        <v>39199</v>
      </c>
      <c r="M44" s="14">
        <v>60</v>
      </c>
      <c r="N44" s="45">
        <v>41026</v>
      </c>
      <c r="O44" s="14">
        <v>420</v>
      </c>
      <c r="P44" s="14" t="s">
        <v>86</v>
      </c>
      <c r="Q44" s="14" t="s">
        <v>88</v>
      </c>
      <c r="R44" s="14">
        <v>551.03</v>
      </c>
      <c r="S44" s="14">
        <v>51</v>
      </c>
      <c r="T44" s="14">
        <v>1</v>
      </c>
      <c r="U44" s="14">
        <v>2</v>
      </c>
      <c r="V44" s="14">
        <v>4</v>
      </c>
      <c r="W44" s="14">
        <v>4</v>
      </c>
      <c r="X44" s="14">
        <v>1</v>
      </c>
      <c r="Y44" s="14">
        <v>8</v>
      </c>
    </row>
    <row r="45" spans="1:25" x14ac:dyDescent="0.2">
      <c r="A45" s="14">
        <v>411</v>
      </c>
      <c r="B45" s="45">
        <v>39127</v>
      </c>
      <c r="C45" s="14">
        <v>1</v>
      </c>
      <c r="D45" s="14">
        <v>57</v>
      </c>
      <c r="E45" s="14" t="s">
        <v>58</v>
      </c>
      <c r="F45" s="14">
        <v>763105</v>
      </c>
      <c r="G45" s="14" t="s">
        <v>25</v>
      </c>
      <c r="H45" s="14" t="s">
        <v>133</v>
      </c>
      <c r="I45" s="22">
        <v>350000</v>
      </c>
      <c r="J45" s="22">
        <v>5.09</v>
      </c>
      <c r="K45" s="45">
        <v>39105</v>
      </c>
      <c r="L45" s="45">
        <v>39261</v>
      </c>
      <c r="M45" s="14">
        <v>60</v>
      </c>
      <c r="N45" s="45">
        <v>41088</v>
      </c>
      <c r="O45" s="14">
        <v>420</v>
      </c>
      <c r="P45" s="14" t="s">
        <v>86</v>
      </c>
      <c r="Q45" s="14" t="s">
        <v>23</v>
      </c>
      <c r="R45" s="14">
        <v>1774.64</v>
      </c>
      <c r="S45" s="14">
        <v>51</v>
      </c>
      <c r="T45" s="14">
        <v>1</v>
      </c>
      <c r="U45" s="14">
        <v>2</v>
      </c>
      <c r="V45" s="14">
        <v>4</v>
      </c>
      <c r="W45" s="14">
        <v>4</v>
      </c>
      <c r="X45" s="14">
        <v>1</v>
      </c>
      <c r="Y45" s="14">
        <v>8</v>
      </c>
    </row>
    <row r="46" spans="1:25" x14ac:dyDescent="0.2">
      <c r="A46" s="14">
        <v>411</v>
      </c>
      <c r="B46" s="45">
        <v>39127</v>
      </c>
      <c r="C46" s="14">
        <v>1</v>
      </c>
      <c r="D46" s="14">
        <v>58</v>
      </c>
      <c r="E46" s="14" t="s">
        <v>37</v>
      </c>
      <c r="F46" s="14">
        <v>763115</v>
      </c>
      <c r="G46" s="14" t="s">
        <v>21</v>
      </c>
      <c r="H46" s="14" t="s">
        <v>85</v>
      </c>
      <c r="I46" s="22">
        <v>352580</v>
      </c>
      <c r="J46" s="22">
        <v>5.09</v>
      </c>
      <c r="K46" s="45">
        <v>39107</v>
      </c>
      <c r="L46" s="45">
        <v>39227</v>
      </c>
      <c r="M46" s="14">
        <v>60</v>
      </c>
      <c r="N46" s="45">
        <v>41054</v>
      </c>
      <c r="O46" s="14">
        <v>480</v>
      </c>
      <c r="P46" s="14" t="s">
        <v>86</v>
      </c>
      <c r="Q46" s="14" t="s">
        <v>23</v>
      </c>
      <c r="R46" s="14">
        <v>1708.74</v>
      </c>
      <c r="S46" s="14">
        <v>50</v>
      </c>
      <c r="T46" s="14">
        <v>1</v>
      </c>
      <c r="U46" s="14">
        <v>1</v>
      </c>
      <c r="V46" s="14">
        <v>4</v>
      </c>
      <c r="W46" s="14">
        <v>4</v>
      </c>
      <c r="X46" s="14">
        <v>1</v>
      </c>
      <c r="Y46" s="14">
        <v>8</v>
      </c>
    </row>
    <row r="47" spans="1:25" x14ac:dyDescent="0.2">
      <c r="A47" s="14">
        <v>411</v>
      </c>
      <c r="B47" s="45">
        <v>39127</v>
      </c>
      <c r="C47" s="14">
        <v>1</v>
      </c>
      <c r="D47" s="14">
        <v>59</v>
      </c>
      <c r="E47" s="14" t="s">
        <v>58</v>
      </c>
      <c r="F47" s="14">
        <v>763118</v>
      </c>
      <c r="G47" s="14" t="s">
        <v>25</v>
      </c>
      <c r="H47" s="14" t="s">
        <v>134</v>
      </c>
      <c r="I47" s="22">
        <v>382551.53</v>
      </c>
      <c r="J47" s="22">
        <v>5.09</v>
      </c>
      <c r="K47" s="45">
        <v>39106</v>
      </c>
      <c r="L47" s="45">
        <v>39185</v>
      </c>
      <c r="M47" s="14">
        <v>60</v>
      </c>
      <c r="N47" s="45">
        <v>41012</v>
      </c>
      <c r="O47" s="14">
        <v>420</v>
      </c>
      <c r="P47" s="14" t="s">
        <v>86</v>
      </c>
      <c r="Q47" s="14" t="s">
        <v>23</v>
      </c>
      <c r="R47" s="14">
        <v>1939.69</v>
      </c>
      <c r="S47" s="14">
        <v>51</v>
      </c>
      <c r="T47" s="14">
        <v>1</v>
      </c>
      <c r="U47" s="14">
        <v>2</v>
      </c>
      <c r="V47" s="14">
        <v>4</v>
      </c>
      <c r="W47" s="14">
        <v>4</v>
      </c>
      <c r="X47" s="14">
        <v>1</v>
      </c>
      <c r="Y47" s="14">
        <v>8</v>
      </c>
    </row>
    <row r="48" spans="1:25" x14ac:dyDescent="0.2">
      <c r="A48" s="14">
        <v>411</v>
      </c>
      <c r="B48" s="45">
        <v>39127</v>
      </c>
      <c r="C48" s="14">
        <v>1</v>
      </c>
      <c r="D48" s="14">
        <v>60</v>
      </c>
      <c r="E48" s="14" t="s">
        <v>37</v>
      </c>
      <c r="F48" s="14">
        <v>763165</v>
      </c>
      <c r="G48" s="14" t="s">
        <v>21</v>
      </c>
      <c r="H48" s="14" t="s">
        <v>85</v>
      </c>
      <c r="I48" s="22">
        <v>256139</v>
      </c>
      <c r="J48" s="22">
        <v>5.09</v>
      </c>
      <c r="K48" s="45">
        <v>39106</v>
      </c>
      <c r="L48" s="45">
        <v>39226</v>
      </c>
      <c r="M48" s="14">
        <v>60</v>
      </c>
      <c r="N48" s="45">
        <v>41053</v>
      </c>
      <c r="O48" s="14">
        <v>480</v>
      </c>
      <c r="P48" s="14" t="s">
        <v>86</v>
      </c>
      <c r="Q48" s="14" t="s">
        <v>23</v>
      </c>
      <c r="R48" s="14">
        <v>1241.3499999999999</v>
      </c>
      <c r="S48" s="14">
        <v>50</v>
      </c>
      <c r="T48" s="14">
        <v>1</v>
      </c>
      <c r="U48" s="14">
        <v>1</v>
      </c>
      <c r="V48" s="14">
        <v>4</v>
      </c>
      <c r="W48" s="14">
        <v>4</v>
      </c>
      <c r="X48" s="14">
        <v>1</v>
      </c>
      <c r="Y48" s="14">
        <v>8</v>
      </c>
    </row>
    <row r="49" spans="1:26" x14ac:dyDescent="0.2">
      <c r="A49" s="14">
        <v>411</v>
      </c>
      <c r="B49" s="45">
        <v>39127</v>
      </c>
      <c r="C49" s="14">
        <v>1</v>
      </c>
      <c r="D49" s="14">
        <v>61</v>
      </c>
      <c r="E49" s="14" t="s">
        <v>58</v>
      </c>
      <c r="F49" s="14">
        <v>763186</v>
      </c>
      <c r="G49" s="14" t="s">
        <v>25</v>
      </c>
      <c r="H49" s="14" t="s">
        <v>135</v>
      </c>
      <c r="I49" s="22">
        <v>449675.85</v>
      </c>
      <c r="J49" s="22">
        <v>5.09</v>
      </c>
      <c r="K49" s="45">
        <v>39106</v>
      </c>
      <c r="L49" s="45">
        <v>39188</v>
      </c>
      <c r="M49" s="14">
        <v>60</v>
      </c>
      <c r="N49" s="45">
        <v>41015</v>
      </c>
      <c r="O49" s="14">
        <v>480</v>
      </c>
      <c r="P49" s="14" t="s">
        <v>86</v>
      </c>
      <c r="Q49" s="14" t="s">
        <v>23</v>
      </c>
      <c r="R49" s="14">
        <v>2179.31</v>
      </c>
      <c r="S49" s="14">
        <v>51</v>
      </c>
      <c r="T49" s="14">
        <v>1</v>
      </c>
      <c r="U49" s="14">
        <v>2</v>
      </c>
      <c r="V49" s="14">
        <v>5</v>
      </c>
      <c r="W49" s="14">
        <v>4</v>
      </c>
      <c r="X49" s="14">
        <v>1</v>
      </c>
      <c r="Y49" s="14">
        <v>8</v>
      </c>
      <c r="Z49" s="14" t="s">
        <v>136</v>
      </c>
    </row>
    <row r="50" spans="1:26" x14ac:dyDescent="0.2">
      <c r="A50" s="14">
        <v>411</v>
      </c>
      <c r="B50" s="45">
        <v>39127</v>
      </c>
      <c r="C50" s="14">
        <v>1</v>
      </c>
      <c r="D50" s="14">
        <v>62</v>
      </c>
      <c r="E50" s="14" t="s">
        <v>37</v>
      </c>
      <c r="F50" s="14">
        <v>763220</v>
      </c>
      <c r="G50" s="14" t="s">
        <v>21</v>
      </c>
      <c r="H50" s="14" t="s">
        <v>85</v>
      </c>
      <c r="I50" s="22">
        <v>344250</v>
      </c>
      <c r="J50" s="22">
        <v>5.09</v>
      </c>
      <c r="K50" s="45">
        <v>39106</v>
      </c>
      <c r="L50" s="45">
        <v>39226</v>
      </c>
      <c r="M50" s="14">
        <v>60</v>
      </c>
      <c r="N50" s="45">
        <v>41053</v>
      </c>
      <c r="O50" s="14">
        <v>300</v>
      </c>
      <c r="P50" s="14" t="s">
        <v>86</v>
      </c>
      <c r="Q50" s="14" t="s">
        <v>23</v>
      </c>
      <c r="R50" s="14">
        <v>2019.85</v>
      </c>
      <c r="S50" s="14">
        <v>50</v>
      </c>
      <c r="T50" s="14">
        <v>1</v>
      </c>
      <c r="U50" s="14">
        <v>1</v>
      </c>
      <c r="V50" s="14">
        <v>4</v>
      </c>
      <c r="W50" s="14">
        <v>4</v>
      </c>
      <c r="X50" s="14">
        <v>1</v>
      </c>
      <c r="Y50" s="14">
        <v>8</v>
      </c>
    </row>
    <row r="51" spans="1:26" x14ac:dyDescent="0.2">
      <c r="A51" s="14">
        <v>411</v>
      </c>
      <c r="B51" s="45">
        <v>39127</v>
      </c>
      <c r="C51" s="14">
        <v>1</v>
      </c>
      <c r="D51" s="14">
        <v>63</v>
      </c>
      <c r="E51" s="14" t="s">
        <v>37</v>
      </c>
      <c r="F51" s="14">
        <v>763230</v>
      </c>
      <c r="G51" s="14" t="s">
        <v>21</v>
      </c>
      <c r="H51" s="14" t="s">
        <v>85</v>
      </c>
      <c r="I51" s="22">
        <v>642600</v>
      </c>
      <c r="J51" s="22">
        <v>5.09</v>
      </c>
      <c r="K51" s="45">
        <v>39108</v>
      </c>
      <c r="L51" s="45">
        <v>39227</v>
      </c>
      <c r="M51" s="14">
        <v>60</v>
      </c>
      <c r="N51" s="45">
        <v>41054</v>
      </c>
      <c r="O51" s="14">
        <v>300</v>
      </c>
      <c r="P51" s="14" t="s">
        <v>86</v>
      </c>
      <c r="Q51" s="14" t="s">
        <v>88</v>
      </c>
      <c r="R51" s="14">
        <v>3770.38</v>
      </c>
      <c r="S51" s="14">
        <v>50</v>
      </c>
      <c r="T51" s="14">
        <v>1</v>
      </c>
      <c r="U51" s="14">
        <v>1</v>
      </c>
      <c r="V51" s="14">
        <v>4</v>
      </c>
      <c r="W51" s="14">
        <v>4</v>
      </c>
      <c r="X51" s="14">
        <v>1</v>
      </c>
      <c r="Y51" s="14">
        <v>8</v>
      </c>
    </row>
    <row r="52" spans="1:26" x14ac:dyDescent="0.2">
      <c r="A52" s="14">
        <v>411</v>
      </c>
      <c r="B52" s="45">
        <v>39127</v>
      </c>
      <c r="C52" s="14">
        <v>1</v>
      </c>
      <c r="D52" s="14">
        <v>64</v>
      </c>
      <c r="E52" s="14" t="s">
        <v>37</v>
      </c>
      <c r="F52" s="14">
        <v>763279</v>
      </c>
      <c r="G52" s="14" t="s">
        <v>21</v>
      </c>
      <c r="H52" s="14" t="s">
        <v>85</v>
      </c>
      <c r="I52" s="22">
        <v>285020</v>
      </c>
      <c r="J52" s="22">
        <v>5.09</v>
      </c>
      <c r="K52" s="45">
        <v>39108</v>
      </c>
      <c r="L52" s="45">
        <v>39129</v>
      </c>
      <c r="M52" s="14">
        <v>60</v>
      </c>
      <c r="N52" s="45">
        <v>40955</v>
      </c>
      <c r="O52" s="14">
        <v>356</v>
      </c>
      <c r="P52" s="14" t="s">
        <v>86</v>
      </c>
      <c r="Q52" s="14" t="s">
        <v>23</v>
      </c>
      <c r="R52" s="14">
        <v>1543.88</v>
      </c>
      <c r="S52" s="14">
        <v>50</v>
      </c>
      <c r="T52" s="14">
        <v>1</v>
      </c>
      <c r="U52" s="14">
        <v>1</v>
      </c>
      <c r="V52" s="14">
        <v>4</v>
      </c>
      <c r="W52" s="14">
        <v>4</v>
      </c>
      <c r="X52" s="14">
        <v>1</v>
      </c>
      <c r="Y52" s="14">
        <v>8</v>
      </c>
    </row>
    <row r="53" spans="1:26" x14ac:dyDescent="0.2">
      <c r="A53" s="14">
        <v>411</v>
      </c>
      <c r="B53" s="45">
        <v>39127</v>
      </c>
      <c r="C53" s="14">
        <v>1</v>
      </c>
      <c r="D53" s="14">
        <v>66</v>
      </c>
      <c r="E53" s="14" t="s">
        <v>58</v>
      </c>
      <c r="F53" s="14">
        <v>763325</v>
      </c>
      <c r="G53" s="14" t="s">
        <v>21</v>
      </c>
      <c r="H53" s="14" t="s">
        <v>137</v>
      </c>
      <c r="I53" s="22">
        <v>160735</v>
      </c>
      <c r="J53" s="22">
        <v>5.09</v>
      </c>
      <c r="K53" s="45">
        <v>39108</v>
      </c>
      <c r="L53" s="45">
        <v>39199</v>
      </c>
      <c r="M53" s="14">
        <v>60</v>
      </c>
      <c r="N53" s="45">
        <v>41026</v>
      </c>
      <c r="O53" s="14">
        <v>480</v>
      </c>
      <c r="P53" s="14" t="s">
        <v>86</v>
      </c>
      <c r="Q53" s="14" t="s">
        <v>23</v>
      </c>
      <c r="R53" s="14">
        <v>778.99</v>
      </c>
      <c r="S53" s="14">
        <v>51</v>
      </c>
      <c r="T53" s="14">
        <v>1</v>
      </c>
      <c r="U53" s="14">
        <v>1</v>
      </c>
      <c r="V53" s="14">
        <v>4</v>
      </c>
      <c r="W53" s="14">
        <v>4</v>
      </c>
      <c r="X53" s="14">
        <v>1</v>
      </c>
      <c r="Y53" s="14">
        <v>8</v>
      </c>
    </row>
    <row r="54" spans="1:26" x14ac:dyDescent="0.2">
      <c r="A54" s="14">
        <v>411</v>
      </c>
      <c r="B54" s="45">
        <v>39127</v>
      </c>
      <c r="C54" s="14">
        <v>1</v>
      </c>
      <c r="D54" s="14">
        <v>67</v>
      </c>
      <c r="E54" s="14" t="s">
        <v>58</v>
      </c>
      <c r="F54" s="14">
        <v>763340</v>
      </c>
      <c r="G54" s="14" t="s">
        <v>21</v>
      </c>
      <c r="H54" s="14" t="s">
        <v>138</v>
      </c>
      <c r="I54" s="22">
        <v>247365</v>
      </c>
      <c r="J54" s="22">
        <v>5.09</v>
      </c>
      <c r="K54" s="45">
        <v>39108</v>
      </c>
      <c r="L54" s="45">
        <v>39234</v>
      </c>
      <c r="M54" s="14">
        <v>60</v>
      </c>
      <c r="N54" s="45">
        <v>41061</v>
      </c>
      <c r="O54" s="14">
        <v>420</v>
      </c>
      <c r="P54" s="14" t="s">
        <v>86</v>
      </c>
      <c r="Q54" s="14" t="s">
        <v>88</v>
      </c>
      <c r="R54" s="14">
        <v>1254.24</v>
      </c>
      <c r="S54" s="14">
        <v>51</v>
      </c>
      <c r="T54" s="14">
        <v>1</v>
      </c>
      <c r="U54" s="14">
        <v>1</v>
      </c>
      <c r="V54" s="14">
        <v>4</v>
      </c>
      <c r="W54" s="14">
        <v>4</v>
      </c>
      <c r="X54" s="14">
        <v>1</v>
      </c>
      <c r="Y54" s="14">
        <v>8</v>
      </c>
    </row>
    <row r="55" spans="1:26" x14ac:dyDescent="0.2">
      <c r="A55" s="14">
        <v>411</v>
      </c>
      <c r="B55" s="45">
        <v>39127</v>
      </c>
      <c r="C55" s="14">
        <v>1</v>
      </c>
      <c r="D55" s="14">
        <v>68</v>
      </c>
      <c r="E55" s="14" t="s">
        <v>37</v>
      </c>
      <c r="F55" s="14">
        <v>763345</v>
      </c>
      <c r="G55" s="14" t="s">
        <v>21</v>
      </c>
      <c r="H55" s="14" t="s">
        <v>85</v>
      </c>
      <c r="I55" s="22">
        <v>347990</v>
      </c>
      <c r="J55" s="22">
        <v>5.09</v>
      </c>
      <c r="K55" s="45">
        <v>39108</v>
      </c>
      <c r="L55" s="45">
        <v>39226</v>
      </c>
      <c r="M55" s="14">
        <v>60</v>
      </c>
      <c r="N55" s="45">
        <v>41053</v>
      </c>
      <c r="O55" s="14">
        <v>480</v>
      </c>
      <c r="P55" s="14" t="s">
        <v>86</v>
      </c>
      <c r="Q55" s="14" t="s">
        <v>23</v>
      </c>
      <c r="R55" s="14">
        <v>1686.5</v>
      </c>
      <c r="S55" s="14">
        <v>50</v>
      </c>
      <c r="T55" s="14">
        <v>1</v>
      </c>
      <c r="U55" s="14">
        <v>1</v>
      </c>
      <c r="V55" s="14">
        <v>4</v>
      </c>
      <c r="W55" s="14">
        <v>4</v>
      </c>
      <c r="X55" s="14">
        <v>1</v>
      </c>
      <c r="Y55" s="14">
        <v>8</v>
      </c>
    </row>
    <row r="56" spans="1:26" x14ac:dyDescent="0.2">
      <c r="A56" s="14">
        <v>411</v>
      </c>
      <c r="B56" s="45">
        <v>39127</v>
      </c>
      <c r="C56" s="14">
        <v>1</v>
      </c>
      <c r="D56" s="14">
        <v>70</v>
      </c>
      <c r="E56" s="14" t="s">
        <v>37</v>
      </c>
      <c r="F56" s="14">
        <v>763357</v>
      </c>
      <c r="G56" s="14" t="s">
        <v>21</v>
      </c>
      <c r="H56" s="14" t="s">
        <v>85</v>
      </c>
      <c r="I56" s="22">
        <v>356285.63</v>
      </c>
      <c r="J56" s="22">
        <v>5.0999999999999996</v>
      </c>
      <c r="K56" s="45">
        <v>39108</v>
      </c>
      <c r="L56" s="45">
        <v>39227</v>
      </c>
      <c r="M56" s="14">
        <v>60</v>
      </c>
      <c r="N56" s="45">
        <v>41054</v>
      </c>
      <c r="O56" s="14">
        <v>300</v>
      </c>
      <c r="P56" s="14" t="s">
        <v>6</v>
      </c>
      <c r="Q56" s="14" t="s">
        <v>23</v>
      </c>
      <c r="R56" s="14">
        <v>2092.5</v>
      </c>
      <c r="S56" s="14">
        <v>50</v>
      </c>
      <c r="T56" s="14">
        <v>7</v>
      </c>
      <c r="U56" s="14">
        <v>1</v>
      </c>
      <c r="V56" s="14">
        <v>6</v>
      </c>
      <c r="W56" s="14">
        <v>4</v>
      </c>
      <c r="X56" s="14">
        <v>1</v>
      </c>
    </row>
    <row r="57" spans="1:26" x14ac:dyDescent="0.2">
      <c r="A57" s="14">
        <v>411</v>
      </c>
      <c r="B57" s="45">
        <v>39127</v>
      </c>
      <c r="C57" s="14">
        <v>1</v>
      </c>
      <c r="D57" s="14">
        <v>71</v>
      </c>
      <c r="E57" s="14" t="s">
        <v>58</v>
      </c>
      <c r="F57" s="14">
        <v>763371</v>
      </c>
      <c r="G57" s="14" t="s">
        <v>25</v>
      </c>
      <c r="H57" s="14" t="s">
        <v>139</v>
      </c>
      <c r="I57" s="22">
        <v>186196.5</v>
      </c>
      <c r="J57" s="22">
        <v>5.09</v>
      </c>
      <c r="K57" s="45">
        <v>39108</v>
      </c>
      <c r="L57" s="45">
        <v>39231</v>
      </c>
      <c r="M57" s="14">
        <v>60</v>
      </c>
      <c r="N57" s="45">
        <v>41058</v>
      </c>
      <c r="O57" s="14">
        <v>420</v>
      </c>
      <c r="P57" s="14" t="s">
        <v>86</v>
      </c>
      <c r="Q57" s="14" t="s">
        <v>23</v>
      </c>
      <c r="R57" s="14">
        <v>944.09</v>
      </c>
      <c r="S57" s="14">
        <v>51</v>
      </c>
      <c r="T57" s="14">
        <v>1</v>
      </c>
      <c r="U57" s="14">
        <v>2</v>
      </c>
      <c r="V57" s="14">
        <v>4</v>
      </c>
      <c r="W57" s="14">
        <v>4</v>
      </c>
      <c r="X57" s="14">
        <v>1</v>
      </c>
      <c r="Y57" s="14">
        <v>8</v>
      </c>
    </row>
    <row r="58" spans="1:26" x14ac:dyDescent="0.2">
      <c r="A58" s="14">
        <v>411</v>
      </c>
      <c r="B58" s="45">
        <v>39127</v>
      </c>
      <c r="C58" s="14">
        <v>1</v>
      </c>
      <c r="D58" s="14">
        <v>74</v>
      </c>
      <c r="E58" s="14" t="s">
        <v>58</v>
      </c>
      <c r="F58" s="14">
        <v>763391</v>
      </c>
      <c r="G58" s="14" t="s">
        <v>25</v>
      </c>
      <c r="H58" s="14" t="s">
        <v>140</v>
      </c>
      <c r="I58" s="22">
        <v>153503.24</v>
      </c>
      <c r="J58" s="22">
        <v>5.09</v>
      </c>
      <c r="K58" s="45">
        <v>39108</v>
      </c>
      <c r="L58" s="45">
        <v>39465</v>
      </c>
      <c r="M58" s="14">
        <v>60</v>
      </c>
      <c r="N58" s="45">
        <v>41292</v>
      </c>
      <c r="O58" s="14">
        <v>480</v>
      </c>
      <c r="P58" s="14" t="s">
        <v>86</v>
      </c>
      <c r="Q58" s="14" t="s">
        <v>23</v>
      </c>
      <c r="R58" s="14">
        <v>743.94</v>
      </c>
      <c r="S58" s="14">
        <v>51</v>
      </c>
      <c r="T58" s="14">
        <v>1</v>
      </c>
      <c r="U58" s="14">
        <v>2</v>
      </c>
      <c r="V58" s="14">
        <v>4</v>
      </c>
      <c r="W58" s="14">
        <v>4</v>
      </c>
      <c r="X58" s="14">
        <v>1</v>
      </c>
      <c r="Y58" s="14">
        <v>8</v>
      </c>
    </row>
    <row r="59" spans="1:26" x14ac:dyDescent="0.2">
      <c r="A59" s="14">
        <v>411</v>
      </c>
      <c r="B59" s="45">
        <v>39127</v>
      </c>
      <c r="C59" s="14">
        <v>1</v>
      </c>
      <c r="D59" s="14">
        <v>76</v>
      </c>
      <c r="E59" s="14" t="s">
        <v>37</v>
      </c>
      <c r="F59" s="14">
        <v>763402</v>
      </c>
      <c r="G59" s="14" t="s">
        <v>21</v>
      </c>
      <c r="H59" s="14" t="s">
        <v>85</v>
      </c>
      <c r="I59" s="22">
        <v>212175</v>
      </c>
      <c r="J59" s="22">
        <v>5.09</v>
      </c>
      <c r="K59" s="45">
        <v>39108</v>
      </c>
      <c r="L59" s="45">
        <v>39227</v>
      </c>
      <c r="M59" s="14">
        <v>60</v>
      </c>
      <c r="N59" s="45">
        <v>41054</v>
      </c>
      <c r="O59" s="14">
        <v>420</v>
      </c>
      <c r="P59" s="14" t="s">
        <v>86</v>
      </c>
      <c r="Q59" s="14" t="s">
        <v>23</v>
      </c>
      <c r="R59" s="14">
        <v>1075.81</v>
      </c>
      <c r="S59" s="14">
        <v>50</v>
      </c>
      <c r="T59" s="14">
        <v>1</v>
      </c>
      <c r="U59" s="14">
        <v>1</v>
      </c>
      <c r="V59" s="14">
        <v>4</v>
      </c>
      <c r="W59" s="14">
        <v>4</v>
      </c>
      <c r="X59" s="14">
        <v>1</v>
      </c>
      <c r="Y59" s="14">
        <v>8</v>
      </c>
    </row>
    <row r="60" spans="1:26" x14ac:dyDescent="0.2">
      <c r="A60" s="14">
        <v>411</v>
      </c>
      <c r="B60" s="45">
        <v>39127</v>
      </c>
      <c r="C60" s="14">
        <v>1</v>
      </c>
      <c r="D60" s="14">
        <v>77</v>
      </c>
      <c r="E60" s="14" t="s">
        <v>37</v>
      </c>
      <c r="F60" s="14">
        <v>763404</v>
      </c>
      <c r="G60" s="14" t="s">
        <v>21</v>
      </c>
      <c r="H60" s="14" t="s">
        <v>85</v>
      </c>
      <c r="I60" s="22">
        <v>246309.38</v>
      </c>
      <c r="J60" s="22">
        <v>5.09</v>
      </c>
      <c r="K60" s="45">
        <v>39108</v>
      </c>
      <c r="L60" s="45">
        <v>39227</v>
      </c>
      <c r="M60" s="14">
        <v>60</v>
      </c>
      <c r="N60" s="45">
        <v>41054</v>
      </c>
      <c r="O60" s="14">
        <v>420</v>
      </c>
      <c r="P60" s="14" t="s">
        <v>86</v>
      </c>
      <c r="Q60" s="14" t="s">
        <v>88</v>
      </c>
      <c r="R60" s="14">
        <v>1248.8900000000001</v>
      </c>
      <c r="S60" s="14">
        <v>50</v>
      </c>
      <c r="T60" s="14">
        <v>1</v>
      </c>
      <c r="U60" s="14">
        <v>1</v>
      </c>
      <c r="V60" s="14">
        <v>4</v>
      </c>
      <c r="W60" s="14">
        <v>4</v>
      </c>
      <c r="X60" s="14">
        <v>1</v>
      </c>
      <c r="Y60" s="14">
        <v>8</v>
      </c>
    </row>
    <row r="61" spans="1:26" x14ac:dyDescent="0.2">
      <c r="A61" s="14">
        <v>411</v>
      </c>
      <c r="B61" s="45">
        <v>39127</v>
      </c>
      <c r="C61" s="14">
        <v>1</v>
      </c>
      <c r="D61" s="14">
        <v>78</v>
      </c>
      <c r="E61" s="14" t="s">
        <v>37</v>
      </c>
      <c r="F61" s="14">
        <v>763409</v>
      </c>
      <c r="G61" s="14" t="s">
        <v>21</v>
      </c>
      <c r="H61" s="14" t="s">
        <v>85</v>
      </c>
      <c r="I61" s="22">
        <v>132113.79</v>
      </c>
      <c r="J61" s="22">
        <v>5.09</v>
      </c>
      <c r="K61" s="45">
        <v>39111</v>
      </c>
      <c r="L61" s="45">
        <v>39231</v>
      </c>
      <c r="M61" s="14">
        <v>60</v>
      </c>
      <c r="N61" s="45">
        <v>41058</v>
      </c>
      <c r="O61" s="14">
        <v>480</v>
      </c>
      <c r="P61" s="14" t="s">
        <v>86</v>
      </c>
      <c r="Q61" s="14" t="s">
        <v>23</v>
      </c>
      <c r="R61" s="14">
        <v>640.28</v>
      </c>
      <c r="S61" s="14">
        <v>50</v>
      </c>
      <c r="T61" s="14">
        <v>1</v>
      </c>
      <c r="U61" s="14">
        <v>1</v>
      </c>
      <c r="V61" s="14">
        <v>6</v>
      </c>
      <c r="W61" s="14">
        <v>4</v>
      </c>
      <c r="X61" s="14">
        <v>1</v>
      </c>
    </row>
    <row r="62" spans="1:26" x14ac:dyDescent="0.2">
      <c r="A62" s="14">
        <v>411</v>
      </c>
      <c r="B62" s="45">
        <v>39127</v>
      </c>
      <c r="C62" s="14">
        <v>1</v>
      </c>
      <c r="D62" s="14">
        <v>79</v>
      </c>
      <c r="E62" s="14" t="s">
        <v>37</v>
      </c>
      <c r="F62" s="14">
        <v>763414</v>
      </c>
      <c r="G62" s="14" t="s">
        <v>25</v>
      </c>
      <c r="H62" s="14" t="s">
        <v>85</v>
      </c>
      <c r="I62" s="22">
        <v>341055</v>
      </c>
      <c r="J62" s="22">
        <v>5.09</v>
      </c>
      <c r="K62" s="45">
        <v>39111</v>
      </c>
      <c r="L62" s="45">
        <v>39174</v>
      </c>
      <c r="M62" s="14">
        <v>60</v>
      </c>
      <c r="N62" s="45">
        <v>41001</v>
      </c>
      <c r="O62" s="14">
        <v>480</v>
      </c>
      <c r="P62" s="14" t="s">
        <v>86</v>
      </c>
      <c r="Q62" s="14" t="s">
        <v>91</v>
      </c>
      <c r="R62" s="14">
        <v>1652.89</v>
      </c>
      <c r="S62" s="14">
        <v>50</v>
      </c>
      <c r="T62" s="14">
        <v>1</v>
      </c>
      <c r="U62" s="14">
        <v>2</v>
      </c>
      <c r="V62" s="14">
        <v>6</v>
      </c>
      <c r="W62" s="14">
        <v>4</v>
      </c>
      <c r="X62" s="14">
        <v>1</v>
      </c>
    </row>
    <row r="63" spans="1:26" x14ac:dyDescent="0.2">
      <c r="A63" s="14">
        <v>411</v>
      </c>
      <c r="B63" s="45">
        <v>39127</v>
      </c>
      <c r="C63" s="14">
        <v>1</v>
      </c>
      <c r="D63" s="14">
        <v>82</v>
      </c>
      <c r="E63" s="14" t="s">
        <v>58</v>
      </c>
      <c r="F63" s="14">
        <v>763470</v>
      </c>
      <c r="G63" s="14" t="s">
        <v>21</v>
      </c>
      <c r="H63" s="14" t="s">
        <v>92</v>
      </c>
      <c r="I63" s="22">
        <v>282274.68</v>
      </c>
      <c r="J63" s="22">
        <v>5.09</v>
      </c>
      <c r="K63" s="45">
        <v>39111</v>
      </c>
      <c r="L63" s="45">
        <v>39136</v>
      </c>
      <c r="M63" s="14">
        <v>60</v>
      </c>
      <c r="N63" s="45">
        <v>40962</v>
      </c>
      <c r="O63" s="14">
        <v>480</v>
      </c>
      <c r="P63" s="14" t="s">
        <v>86</v>
      </c>
      <c r="Q63" s="14" t="s">
        <v>23</v>
      </c>
      <c r="R63" s="14">
        <v>1368.02</v>
      </c>
      <c r="S63" s="14">
        <v>51</v>
      </c>
      <c r="T63" s="14">
        <v>1</v>
      </c>
      <c r="U63" s="14">
        <v>1</v>
      </c>
      <c r="V63" s="14">
        <v>6</v>
      </c>
      <c r="W63" s="14">
        <v>4</v>
      </c>
      <c r="X63" s="14">
        <v>1</v>
      </c>
    </row>
    <row r="64" spans="1:26" x14ac:dyDescent="0.2">
      <c r="A64" s="14">
        <v>411</v>
      </c>
      <c r="B64" s="45">
        <v>39127</v>
      </c>
      <c r="C64" s="14">
        <v>1</v>
      </c>
      <c r="D64" s="14">
        <v>84</v>
      </c>
      <c r="E64" s="14" t="s">
        <v>58</v>
      </c>
      <c r="F64" s="14">
        <v>763482</v>
      </c>
      <c r="G64" s="14" t="s">
        <v>21</v>
      </c>
      <c r="H64" s="14" t="s">
        <v>93</v>
      </c>
      <c r="I64" s="22">
        <v>336892.5</v>
      </c>
      <c r="J64" s="22">
        <v>5.09</v>
      </c>
      <c r="K64" s="45">
        <v>39111</v>
      </c>
      <c r="L64" s="45">
        <v>39164</v>
      </c>
      <c r="M64" s="14">
        <v>60</v>
      </c>
      <c r="N64" s="45">
        <v>40991</v>
      </c>
      <c r="O64" s="14">
        <v>420</v>
      </c>
      <c r="P64" s="14" t="s">
        <v>86</v>
      </c>
      <c r="Q64" s="14" t="s">
        <v>23</v>
      </c>
      <c r="R64" s="14">
        <v>1708.18</v>
      </c>
      <c r="S64" s="14">
        <v>51</v>
      </c>
      <c r="T64" s="14">
        <v>1</v>
      </c>
      <c r="U64" s="14">
        <v>1</v>
      </c>
      <c r="V64" s="14">
        <v>6</v>
      </c>
      <c r="W64" s="14">
        <v>4</v>
      </c>
      <c r="X64" s="14">
        <v>1</v>
      </c>
    </row>
    <row r="65" spans="1:25" x14ac:dyDescent="0.2">
      <c r="A65" s="14">
        <v>411</v>
      </c>
      <c r="B65" s="45">
        <v>39127</v>
      </c>
      <c r="C65" s="14">
        <v>1</v>
      </c>
      <c r="D65" s="14">
        <v>85</v>
      </c>
      <c r="E65" s="14" t="s">
        <v>37</v>
      </c>
      <c r="F65" s="14">
        <v>763529</v>
      </c>
      <c r="G65" s="14" t="s">
        <v>25</v>
      </c>
      <c r="H65" s="14" t="s">
        <v>85</v>
      </c>
      <c r="I65" s="22">
        <v>269620</v>
      </c>
      <c r="J65" s="22">
        <v>5.09</v>
      </c>
      <c r="K65" s="45">
        <v>39111</v>
      </c>
      <c r="L65" s="45">
        <v>39231</v>
      </c>
      <c r="M65" s="14">
        <v>60</v>
      </c>
      <c r="N65" s="45">
        <v>41058</v>
      </c>
      <c r="O65" s="14">
        <v>480</v>
      </c>
      <c r="P65" s="14" t="s">
        <v>86</v>
      </c>
      <c r="Q65" s="14" t="s">
        <v>23</v>
      </c>
      <c r="R65" s="14">
        <v>1306.69</v>
      </c>
      <c r="S65" s="14">
        <v>50</v>
      </c>
      <c r="T65" s="14">
        <v>1</v>
      </c>
      <c r="U65" s="14">
        <v>2</v>
      </c>
      <c r="V65" s="14">
        <v>6</v>
      </c>
      <c r="W65" s="14">
        <v>4</v>
      </c>
      <c r="X65" s="14">
        <v>1</v>
      </c>
    </row>
    <row r="66" spans="1:25" x14ac:dyDescent="0.2">
      <c r="A66" s="14">
        <v>411</v>
      </c>
      <c r="B66" s="45">
        <v>39127</v>
      </c>
      <c r="C66" s="14">
        <v>1</v>
      </c>
      <c r="D66" s="14">
        <v>86</v>
      </c>
      <c r="E66" s="14" t="s">
        <v>37</v>
      </c>
      <c r="F66" s="14">
        <v>763544</v>
      </c>
      <c r="G66" s="14" t="s">
        <v>21</v>
      </c>
      <c r="H66" s="14" t="s">
        <v>85</v>
      </c>
      <c r="I66" s="22">
        <v>331840</v>
      </c>
      <c r="J66" s="22">
        <v>5.09</v>
      </c>
      <c r="K66" s="45">
        <v>39111</v>
      </c>
      <c r="L66" s="45">
        <v>39227</v>
      </c>
      <c r="M66" s="14">
        <v>60</v>
      </c>
      <c r="N66" s="45">
        <v>41054</v>
      </c>
      <c r="O66" s="14">
        <v>480</v>
      </c>
      <c r="P66" s="14" t="s">
        <v>86</v>
      </c>
      <c r="Q66" s="14" t="s">
        <v>23</v>
      </c>
      <c r="R66" s="14">
        <v>1608.23</v>
      </c>
      <c r="S66" s="14">
        <v>50</v>
      </c>
      <c r="T66" s="14">
        <v>1</v>
      </c>
      <c r="U66" s="14">
        <v>1</v>
      </c>
      <c r="V66" s="14">
        <v>6</v>
      </c>
      <c r="W66" s="14">
        <v>4</v>
      </c>
      <c r="X66" s="14">
        <v>1</v>
      </c>
    </row>
    <row r="67" spans="1:25" x14ac:dyDescent="0.2">
      <c r="A67" s="14">
        <v>411</v>
      </c>
      <c r="B67" s="45">
        <v>39127</v>
      </c>
      <c r="C67" s="14">
        <v>1</v>
      </c>
      <c r="D67" s="14">
        <v>87</v>
      </c>
      <c r="E67" s="14" t="s">
        <v>58</v>
      </c>
      <c r="F67" s="14">
        <v>763555</v>
      </c>
      <c r="G67" s="14" t="s">
        <v>21</v>
      </c>
      <c r="H67" s="14" t="s">
        <v>94</v>
      </c>
      <c r="I67" s="22">
        <v>170703.25</v>
      </c>
      <c r="J67" s="22">
        <v>5.09</v>
      </c>
      <c r="K67" s="45">
        <v>39111</v>
      </c>
      <c r="L67" s="45">
        <v>39142</v>
      </c>
      <c r="M67" s="14">
        <v>60</v>
      </c>
      <c r="N67" s="45">
        <v>40969</v>
      </c>
      <c r="O67" s="14">
        <v>360</v>
      </c>
      <c r="P67" s="14" t="s">
        <v>86</v>
      </c>
      <c r="Q67" s="14" t="s">
        <v>23</v>
      </c>
      <c r="R67" s="14">
        <v>920.22</v>
      </c>
      <c r="S67" s="14">
        <v>51</v>
      </c>
      <c r="T67" s="14">
        <v>1</v>
      </c>
      <c r="U67" s="14">
        <v>1</v>
      </c>
      <c r="V67" s="14">
        <v>6</v>
      </c>
      <c r="W67" s="14">
        <v>4</v>
      </c>
      <c r="X67" s="14">
        <v>1</v>
      </c>
    </row>
    <row r="68" spans="1:25" x14ac:dyDescent="0.2">
      <c r="A68" s="14">
        <v>411</v>
      </c>
      <c r="B68" s="45">
        <v>39127</v>
      </c>
      <c r="C68" s="14">
        <v>1</v>
      </c>
      <c r="D68" s="14">
        <v>88</v>
      </c>
      <c r="E68" s="14" t="s">
        <v>58</v>
      </c>
      <c r="F68" s="14">
        <v>763559</v>
      </c>
      <c r="G68" s="14" t="s">
        <v>21</v>
      </c>
      <c r="H68" s="14" t="s">
        <v>95</v>
      </c>
      <c r="I68" s="22">
        <v>259201.8</v>
      </c>
      <c r="J68" s="22">
        <v>5.09</v>
      </c>
      <c r="K68" s="45">
        <v>39111</v>
      </c>
      <c r="L68" s="45">
        <v>39141</v>
      </c>
      <c r="M68" s="14">
        <v>60</v>
      </c>
      <c r="N68" s="45">
        <v>40967</v>
      </c>
      <c r="O68" s="14">
        <v>480</v>
      </c>
      <c r="P68" s="14" t="s">
        <v>86</v>
      </c>
      <c r="Q68" s="14" t="s">
        <v>23</v>
      </c>
      <c r="R68" s="14">
        <v>1256.19</v>
      </c>
      <c r="S68" s="14">
        <v>51</v>
      </c>
      <c r="T68" s="14">
        <v>1</v>
      </c>
      <c r="U68" s="14">
        <v>1</v>
      </c>
      <c r="V68" s="14">
        <v>6</v>
      </c>
      <c r="W68" s="14">
        <v>4</v>
      </c>
      <c r="X68" s="14">
        <v>1</v>
      </c>
    </row>
    <row r="69" spans="1:25" x14ac:dyDescent="0.2">
      <c r="A69" s="14">
        <v>411</v>
      </c>
      <c r="B69" s="45">
        <v>39127</v>
      </c>
      <c r="C69" s="14">
        <v>1</v>
      </c>
      <c r="D69" s="14">
        <v>91</v>
      </c>
      <c r="E69" s="14" t="s">
        <v>58</v>
      </c>
      <c r="F69" s="14">
        <v>2081963</v>
      </c>
      <c r="G69" s="14" t="s">
        <v>25</v>
      </c>
      <c r="H69" s="14" t="s">
        <v>141</v>
      </c>
      <c r="I69" s="22">
        <v>208753.2</v>
      </c>
      <c r="J69" s="22">
        <v>5.09</v>
      </c>
      <c r="K69" s="45">
        <v>39108</v>
      </c>
      <c r="L69" s="45">
        <v>39227</v>
      </c>
      <c r="M69" s="14">
        <v>60</v>
      </c>
      <c r="N69" s="45">
        <v>41054</v>
      </c>
      <c r="O69" s="14">
        <v>300</v>
      </c>
      <c r="P69" s="14" t="s">
        <v>86</v>
      </c>
      <c r="Q69" s="14" t="s">
        <v>23</v>
      </c>
      <c r="R69" s="14">
        <v>1224.8399999999999</v>
      </c>
      <c r="S69" s="14">
        <v>51</v>
      </c>
      <c r="T69" s="14">
        <v>1</v>
      </c>
      <c r="U69" s="14">
        <v>2</v>
      </c>
      <c r="V69" s="14">
        <v>4</v>
      </c>
      <c r="W69" s="14">
        <v>4</v>
      </c>
      <c r="X69" s="14">
        <v>1</v>
      </c>
      <c r="Y69" s="14">
        <v>8</v>
      </c>
    </row>
    <row r="70" spans="1:25" x14ac:dyDescent="0.2">
      <c r="A70" s="14">
        <v>411</v>
      </c>
      <c r="B70" s="45">
        <v>39127</v>
      </c>
      <c r="C70" s="14">
        <v>1</v>
      </c>
      <c r="D70" s="14">
        <v>92</v>
      </c>
      <c r="E70" s="14" t="s">
        <v>58</v>
      </c>
      <c r="F70" s="14">
        <v>2130764</v>
      </c>
      <c r="G70" s="14" t="s">
        <v>25</v>
      </c>
      <c r="H70" s="14" t="s">
        <v>142</v>
      </c>
      <c r="I70" s="22">
        <v>129375</v>
      </c>
      <c r="J70" s="22">
        <v>5.09</v>
      </c>
      <c r="K70" s="45">
        <v>39108</v>
      </c>
      <c r="L70" s="45">
        <v>39141</v>
      </c>
      <c r="M70" s="14">
        <v>60</v>
      </c>
      <c r="N70" s="45">
        <v>40967</v>
      </c>
      <c r="O70" s="14">
        <v>420</v>
      </c>
      <c r="P70" s="14" t="s">
        <v>86</v>
      </c>
      <c r="Q70" s="14" t="s">
        <v>23</v>
      </c>
      <c r="R70" s="14">
        <v>655.98</v>
      </c>
      <c r="S70" s="14">
        <v>51</v>
      </c>
      <c r="T70" s="14">
        <v>1</v>
      </c>
      <c r="U70" s="14">
        <v>2</v>
      </c>
      <c r="V70" s="14">
        <v>4</v>
      </c>
      <c r="W70" s="14">
        <v>4</v>
      </c>
      <c r="X70" s="14">
        <v>1</v>
      </c>
      <c r="Y70" s="14">
        <v>8</v>
      </c>
    </row>
    <row r="71" spans="1:25" x14ac:dyDescent="0.2">
      <c r="A71" s="14">
        <v>411</v>
      </c>
      <c r="B71" s="45">
        <v>39127</v>
      </c>
      <c r="C71" s="14">
        <v>1</v>
      </c>
      <c r="D71" s="14">
        <v>94</v>
      </c>
      <c r="E71" s="14" t="s">
        <v>58</v>
      </c>
      <c r="F71" s="14">
        <v>2135076</v>
      </c>
      <c r="G71" s="14" t="s">
        <v>21</v>
      </c>
      <c r="H71" s="14" t="s">
        <v>96</v>
      </c>
      <c r="I71" s="22">
        <v>134810</v>
      </c>
      <c r="J71" s="22">
        <v>5.09</v>
      </c>
      <c r="K71" s="45">
        <v>39111</v>
      </c>
      <c r="L71" s="45">
        <v>39188</v>
      </c>
      <c r="M71" s="14">
        <v>60</v>
      </c>
      <c r="N71" s="45">
        <v>41015</v>
      </c>
      <c r="O71" s="14">
        <v>480</v>
      </c>
      <c r="P71" s="14" t="s">
        <v>86</v>
      </c>
      <c r="Q71" s="14" t="s">
        <v>23</v>
      </c>
      <c r="R71" s="14">
        <v>653.34</v>
      </c>
      <c r="S71" s="14">
        <v>51</v>
      </c>
      <c r="T71" s="14">
        <v>1</v>
      </c>
      <c r="U71" s="14">
        <v>1</v>
      </c>
      <c r="V71" s="14">
        <v>6</v>
      </c>
      <c r="W71" s="14">
        <v>4</v>
      </c>
      <c r="X71" s="14">
        <v>1</v>
      </c>
    </row>
    <row r="72" spans="1:25" x14ac:dyDescent="0.2">
      <c r="A72" s="14">
        <v>411</v>
      </c>
      <c r="B72" s="45">
        <v>39127</v>
      </c>
      <c r="C72" s="14">
        <v>1</v>
      </c>
      <c r="D72" s="14">
        <v>95</v>
      </c>
      <c r="E72" s="14" t="s">
        <v>58</v>
      </c>
      <c r="F72" s="14">
        <v>2135267</v>
      </c>
      <c r="G72" s="14" t="s">
        <v>21</v>
      </c>
      <c r="H72" s="14" t="s">
        <v>143</v>
      </c>
      <c r="I72" s="22">
        <v>229326</v>
      </c>
      <c r="J72" s="22">
        <v>5.09</v>
      </c>
      <c r="K72" s="45">
        <v>39085</v>
      </c>
      <c r="L72" s="45">
        <v>39139</v>
      </c>
      <c r="M72" s="14">
        <v>60</v>
      </c>
      <c r="N72" s="45">
        <v>40965</v>
      </c>
      <c r="O72" s="14">
        <v>360</v>
      </c>
      <c r="P72" s="14" t="s">
        <v>86</v>
      </c>
      <c r="Q72" s="14" t="s">
        <v>23</v>
      </c>
      <c r="R72" s="14">
        <v>1236.24</v>
      </c>
      <c r="S72" s="14">
        <v>51</v>
      </c>
      <c r="T72" s="14">
        <v>1</v>
      </c>
      <c r="U72" s="14">
        <v>1</v>
      </c>
      <c r="V72" s="14">
        <v>4</v>
      </c>
      <c r="W72" s="14">
        <v>4</v>
      </c>
      <c r="X72" s="14">
        <v>1</v>
      </c>
      <c r="Y72" s="14">
        <v>8</v>
      </c>
    </row>
    <row r="73" spans="1:25" x14ac:dyDescent="0.2">
      <c r="A73" s="14">
        <v>411</v>
      </c>
      <c r="B73" s="45">
        <v>39127</v>
      </c>
      <c r="C73" s="14">
        <v>1</v>
      </c>
      <c r="D73" s="14">
        <v>96</v>
      </c>
      <c r="E73" s="14" t="s">
        <v>58</v>
      </c>
      <c r="F73" s="14">
        <v>2136108</v>
      </c>
      <c r="G73" s="14" t="s">
        <v>21</v>
      </c>
      <c r="H73" s="14" t="s">
        <v>97</v>
      </c>
      <c r="I73" s="22">
        <v>155550</v>
      </c>
      <c r="J73" s="22">
        <v>5.6</v>
      </c>
      <c r="K73" s="45">
        <v>39092</v>
      </c>
      <c r="L73" s="45">
        <v>39197</v>
      </c>
      <c r="M73" s="14">
        <v>120</v>
      </c>
      <c r="N73" s="45">
        <v>42850</v>
      </c>
      <c r="O73" s="14">
        <v>480</v>
      </c>
      <c r="P73" s="14" t="s">
        <v>86</v>
      </c>
      <c r="Q73" s="14" t="s">
        <v>88</v>
      </c>
      <c r="R73" s="14">
        <v>806.07</v>
      </c>
      <c r="S73" s="14">
        <v>51</v>
      </c>
      <c r="T73" s="14">
        <v>1</v>
      </c>
      <c r="U73" s="14">
        <v>1</v>
      </c>
      <c r="V73" s="14">
        <v>6</v>
      </c>
      <c r="W73" s="14">
        <v>6</v>
      </c>
      <c r="X73" s="14">
        <v>1</v>
      </c>
    </row>
    <row r="74" spans="1:25" x14ac:dyDescent="0.2">
      <c r="A74" s="14">
        <v>411</v>
      </c>
      <c r="B74" s="45">
        <v>39127</v>
      </c>
      <c r="C74" s="14">
        <v>1</v>
      </c>
      <c r="D74" s="14">
        <v>97</v>
      </c>
      <c r="E74" s="14" t="s">
        <v>37</v>
      </c>
      <c r="F74" s="14">
        <v>2136136</v>
      </c>
      <c r="G74" s="14" t="s">
        <v>25</v>
      </c>
      <c r="H74" s="14" t="s">
        <v>85</v>
      </c>
      <c r="I74" s="22">
        <v>222955</v>
      </c>
      <c r="J74" s="22">
        <v>5.09</v>
      </c>
      <c r="K74" s="45">
        <v>39092</v>
      </c>
      <c r="L74" s="45">
        <v>39212</v>
      </c>
      <c r="M74" s="14">
        <v>60</v>
      </c>
      <c r="N74" s="45">
        <v>41039</v>
      </c>
      <c r="O74" s="14">
        <v>480</v>
      </c>
      <c r="P74" s="14" t="s">
        <v>86</v>
      </c>
      <c r="Q74" s="14" t="s">
        <v>23</v>
      </c>
      <c r="R74" s="14">
        <v>1080.53</v>
      </c>
      <c r="S74" s="14">
        <v>50</v>
      </c>
      <c r="T74" s="14">
        <v>1</v>
      </c>
      <c r="U74" s="14">
        <v>2</v>
      </c>
      <c r="V74" s="14">
        <v>4</v>
      </c>
      <c r="W74" s="14">
        <v>4</v>
      </c>
      <c r="X74" s="14">
        <v>1</v>
      </c>
      <c r="Y74" s="14">
        <v>8</v>
      </c>
    </row>
    <row r="75" spans="1:25" x14ac:dyDescent="0.2">
      <c r="A75" s="14">
        <v>411</v>
      </c>
      <c r="B75" s="45">
        <v>39127</v>
      </c>
      <c r="C75" s="14">
        <v>1</v>
      </c>
      <c r="D75" s="14">
        <v>98</v>
      </c>
      <c r="E75" s="14" t="s">
        <v>58</v>
      </c>
      <c r="F75" s="14">
        <v>2136197</v>
      </c>
      <c r="G75" s="14" t="s">
        <v>25</v>
      </c>
      <c r="H75" s="14" t="s">
        <v>144</v>
      </c>
      <c r="I75" s="22">
        <v>754380</v>
      </c>
      <c r="J75" s="22">
        <v>5.0999999999999996</v>
      </c>
      <c r="K75" s="45">
        <v>39093</v>
      </c>
      <c r="L75" s="45">
        <v>39217</v>
      </c>
      <c r="M75" s="14">
        <v>60</v>
      </c>
      <c r="N75" s="45">
        <v>41044</v>
      </c>
      <c r="O75" s="14">
        <v>480</v>
      </c>
      <c r="P75" s="14" t="s">
        <v>6</v>
      </c>
      <c r="Q75" s="14" t="s">
        <v>23</v>
      </c>
      <c r="R75" s="14">
        <v>3660.93</v>
      </c>
      <c r="S75" s="14">
        <v>51</v>
      </c>
      <c r="T75" s="14">
        <v>7</v>
      </c>
      <c r="U75" s="14">
        <v>2</v>
      </c>
      <c r="V75" s="14">
        <v>6</v>
      </c>
      <c r="W75" s="14">
        <v>4</v>
      </c>
      <c r="X75" s="14">
        <v>1</v>
      </c>
    </row>
    <row r="76" spans="1:25" x14ac:dyDescent="0.2">
      <c r="A76" s="14">
        <v>411</v>
      </c>
      <c r="B76" s="45">
        <v>39127</v>
      </c>
      <c r="C76" s="14">
        <v>1</v>
      </c>
      <c r="D76" s="14">
        <v>99</v>
      </c>
      <c r="E76" s="14" t="s">
        <v>37</v>
      </c>
      <c r="F76" s="14">
        <v>2136222</v>
      </c>
      <c r="G76" s="14" t="s">
        <v>21</v>
      </c>
      <c r="H76" s="14" t="s">
        <v>85</v>
      </c>
      <c r="I76" s="22">
        <v>140216</v>
      </c>
      <c r="J76" s="22">
        <v>5.09</v>
      </c>
      <c r="K76" s="45">
        <v>39093</v>
      </c>
      <c r="L76" s="45">
        <v>39129</v>
      </c>
      <c r="M76" s="14">
        <v>60</v>
      </c>
      <c r="N76" s="45">
        <v>40955</v>
      </c>
      <c r="O76" s="14">
        <v>300</v>
      </c>
      <c r="P76" s="14" t="s">
        <v>86</v>
      </c>
      <c r="Q76" s="14" t="s">
        <v>88</v>
      </c>
      <c r="R76" s="14">
        <v>822.7</v>
      </c>
      <c r="S76" s="14">
        <v>50</v>
      </c>
      <c r="T76" s="14">
        <v>1</v>
      </c>
      <c r="U76" s="14">
        <v>1</v>
      </c>
      <c r="V76" s="14">
        <v>4</v>
      </c>
      <c r="W76" s="14">
        <v>4</v>
      </c>
      <c r="X76" s="14">
        <v>1</v>
      </c>
      <c r="Y76" s="14">
        <v>8</v>
      </c>
    </row>
    <row r="77" spans="1:25" x14ac:dyDescent="0.2">
      <c r="A77" s="14">
        <v>411</v>
      </c>
      <c r="B77" s="45">
        <v>39127</v>
      </c>
      <c r="C77" s="14">
        <v>1</v>
      </c>
      <c r="D77" s="14">
        <v>100</v>
      </c>
      <c r="E77" s="14" t="s">
        <v>58</v>
      </c>
      <c r="F77" s="14">
        <v>2136231</v>
      </c>
      <c r="G77" s="14" t="s">
        <v>25</v>
      </c>
      <c r="H77" s="14" t="s">
        <v>145</v>
      </c>
      <c r="I77" s="22">
        <v>116437.5</v>
      </c>
      <c r="J77" s="22">
        <v>5.45</v>
      </c>
      <c r="K77" s="45">
        <v>39094</v>
      </c>
      <c r="L77" s="45">
        <v>39141</v>
      </c>
      <c r="M77" s="14">
        <v>84</v>
      </c>
      <c r="N77" s="45">
        <v>41698</v>
      </c>
      <c r="O77" s="14">
        <v>420</v>
      </c>
      <c r="P77" s="14" t="s">
        <v>86</v>
      </c>
      <c r="Q77" s="14" t="s">
        <v>23</v>
      </c>
      <c r="R77" s="14">
        <v>616.85</v>
      </c>
      <c r="S77" s="14">
        <v>51</v>
      </c>
      <c r="T77" s="14">
        <v>1</v>
      </c>
      <c r="U77" s="14">
        <v>2</v>
      </c>
      <c r="V77" s="14">
        <v>4</v>
      </c>
      <c r="W77" s="14">
        <v>5</v>
      </c>
      <c r="X77" s="14">
        <v>1</v>
      </c>
      <c r="Y77" s="14">
        <v>10</v>
      </c>
    </row>
    <row r="78" spans="1:25" x14ac:dyDescent="0.2">
      <c r="A78" s="14">
        <v>411</v>
      </c>
      <c r="B78" s="45">
        <v>39127</v>
      </c>
      <c r="C78" s="14">
        <v>1</v>
      </c>
      <c r="D78" s="14">
        <v>102</v>
      </c>
      <c r="E78" s="14" t="s">
        <v>58</v>
      </c>
      <c r="F78" s="14">
        <v>2136366</v>
      </c>
      <c r="G78" s="14" t="s">
        <v>25</v>
      </c>
      <c r="H78" s="14" t="s">
        <v>146</v>
      </c>
      <c r="I78" s="22">
        <v>191845</v>
      </c>
      <c r="J78" s="22">
        <v>5.09</v>
      </c>
      <c r="K78" s="45">
        <v>39093</v>
      </c>
      <c r="L78" s="45">
        <v>39171</v>
      </c>
      <c r="M78" s="14">
        <v>60</v>
      </c>
      <c r="N78" s="45">
        <v>40998</v>
      </c>
      <c r="O78" s="14">
        <v>480</v>
      </c>
      <c r="P78" s="14" t="s">
        <v>86</v>
      </c>
      <c r="Q78" s="14" t="s">
        <v>23</v>
      </c>
      <c r="R78" s="14">
        <v>929.76</v>
      </c>
      <c r="S78" s="14">
        <v>51</v>
      </c>
      <c r="T78" s="14">
        <v>1</v>
      </c>
      <c r="U78" s="14">
        <v>2</v>
      </c>
      <c r="V78" s="14">
        <v>4</v>
      </c>
      <c r="W78" s="14">
        <v>4</v>
      </c>
      <c r="X78" s="14">
        <v>1</v>
      </c>
      <c r="Y78" s="14">
        <v>8</v>
      </c>
    </row>
    <row r="79" spans="1:25" x14ac:dyDescent="0.2">
      <c r="A79" s="14">
        <v>411</v>
      </c>
      <c r="B79" s="45">
        <v>39127</v>
      </c>
      <c r="C79" s="14">
        <v>1</v>
      </c>
      <c r="D79" s="14">
        <v>104</v>
      </c>
      <c r="E79" s="14" t="s">
        <v>58</v>
      </c>
      <c r="F79" s="14">
        <v>2137679</v>
      </c>
      <c r="G79" s="14" t="s">
        <v>21</v>
      </c>
      <c r="H79" s="14" t="s">
        <v>147</v>
      </c>
      <c r="I79" s="22">
        <v>257646.9</v>
      </c>
      <c r="J79" s="22">
        <v>5.43</v>
      </c>
      <c r="K79" s="45">
        <v>39105</v>
      </c>
      <c r="L79" s="45">
        <v>39188</v>
      </c>
      <c r="M79" s="14">
        <v>84</v>
      </c>
      <c r="N79" s="45">
        <v>41745</v>
      </c>
      <c r="O79" s="14">
        <v>300</v>
      </c>
      <c r="P79" s="14" t="s">
        <v>86</v>
      </c>
      <c r="Q79" s="14" t="s">
        <v>23</v>
      </c>
      <c r="R79" s="14">
        <v>1562.17</v>
      </c>
      <c r="S79" s="14">
        <v>51</v>
      </c>
      <c r="T79" s="14">
        <v>1</v>
      </c>
      <c r="U79" s="14">
        <v>1</v>
      </c>
      <c r="V79" s="14">
        <v>4</v>
      </c>
      <c r="W79" s="14">
        <v>5</v>
      </c>
      <c r="X79" s="14">
        <v>1</v>
      </c>
      <c r="Y79" s="14">
        <v>10</v>
      </c>
    </row>
    <row r="80" spans="1:25" x14ac:dyDescent="0.2">
      <c r="A80" s="14">
        <v>411</v>
      </c>
      <c r="B80" s="45">
        <v>39127</v>
      </c>
      <c r="C80" s="14">
        <v>1</v>
      </c>
      <c r="D80" s="14">
        <v>105</v>
      </c>
      <c r="E80" s="14" t="s">
        <v>37</v>
      </c>
      <c r="F80" s="14">
        <v>2137681</v>
      </c>
      <c r="G80" s="14" t="s">
        <v>21</v>
      </c>
      <c r="H80" s="14" t="s">
        <v>85</v>
      </c>
      <c r="I80" s="22">
        <v>273315</v>
      </c>
      <c r="J80" s="22">
        <v>5.3</v>
      </c>
      <c r="K80" s="45">
        <v>39111</v>
      </c>
      <c r="L80" s="45">
        <v>39234</v>
      </c>
      <c r="M80" s="14">
        <v>60</v>
      </c>
      <c r="N80" s="45">
        <v>41061</v>
      </c>
      <c r="O80" s="14">
        <v>300</v>
      </c>
      <c r="P80" s="14" t="s">
        <v>86</v>
      </c>
      <c r="Q80" s="14" t="s">
        <v>23</v>
      </c>
      <c r="R80" s="14">
        <v>1636.61</v>
      </c>
      <c r="S80" s="14">
        <v>50</v>
      </c>
      <c r="T80" s="14">
        <v>1</v>
      </c>
      <c r="U80" s="14">
        <v>1</v>
      </c>
      <c r="V80" s="14">
        <v>4</v>
      </c>
      <c r="W80" s="14">
        <v>4</v>
      </c>
      <c r="X80" s="14">
        <v>1</v>
      </c>
      <c r="Y80" s="14">
        <v>28</v>
      </c>
    </row>
    <row r="81" spans="1:25" x14ac:dyDescent="0.2">
      <c r="A81" s="14">
        <v>411</v>
      </c>
      <c r="B81" s="45">
        <v>39127</v>
      </c>
      <c r="C81" s="14">
        <v>1</v>
      </c>
      <c r="D81" s="14">
        <v>106</v>
      </c>
      <c r="E81" s="14" t="s">
        <v>58</v>
      </c>
      <c r="F81" s="14">
        <v>2137764</v>
      </c>
      <c r="G81" s="14" t="s">
        <v>21</v>
      </c>
      <c r="H81" s="14" t="s">
        <v>148</v>
      </c>
      <c r="I81" s="22">
        <v>221665</v>
      </c>
      <c r="J81" s="22">
        <v>5.09</v>
      </c>
      <c r="K81" s="45">
        <v>39105</v>
      </c>
      <c r="L81" s="45">
        <v>39254</v>
      </c>
      <c r="M81" s="14">
        <v>60</v>
      </c>
      <c r="N81" s="45">
        <v>41081</v>
      </c>
      <c r="O81" s="14">
        <v>300</v>
      </c>
      <c r="P81" s="14" t="s">
        <v>86</v>
      </c>
      <c r="Q81" s="14" t="s">
        <v>88</v>
      </c>
      <c r="R81" s="14">
        <v>1300.5899999999999</v>
      </c>
      <c r="S81" s="14">
        <v>51</v>
      </c>
      <c r="T81" s="14">
        <v>1</v>
      </c>
      <c r="U81" s="14">
        <v>1</v>
      </c>
      <c r="V81" s="14">
        <v>4</v>
      </c>
      <c r="W81" s="14">
        <v>4</v>
      </c>
      <c r="X81" s="14">
        <v>1</v>
      </c>
      <c r="Y81" s="14">
        <v>8</v>
      </c>
    </row>
    <row r="82" spans="1:25" x14ac:dyDescent="0.2">
      <c r="A82" s="14">
        <v>411</v>
      </c>
      <c r="B82" s="45">
        <v>39127</v>
      </c>
      <c r="C82" s="14">
        <v>1</v>
      </c>
      <c r="D82" s="14">
        <v>107</v>
      </c>
      <c r="E82" s="14" t="s">
        <v>37</v>
      </c>
      <c r="F82" s="14">
        <v>2137815</v>
      </c>
      <c r="G82" s="14" t="s">
        <v>21</v>
      </c>
      <c r="H82" s="14" t="s">
        <v>149</v>
      </c>
      <c r="I82" s="22">
        <v>218523.27</v>
      </c>
      <c r="J82" s="22">
        <v>5.09</v>
      </c>
      <c r="K82" s="45">
        <v>39105</v>
      </c>
      <c r="L82" s="45">
        <v>39164</v>
      </c>
      <c r="M82" s="14">
        <v>60</v>
      </c>
      <c r="N82" s="45">
        <v>40991</v>
      </c>
      <c r="O82" s="14">
        <v>420</v>
      </c>
      <c r="P82" s="14" t="s">
        <v>86</v>
      </c>
      <c r="Q82" s="14" t="s">
        <v>23</v>
      </c>
      <c r="R82" s="14">
        <v>1108</v>
      </c>
      <c r="S82" s="14">
        <v>50</v>
      </c>
      <c r="T82" s="14">
        <v>1</v>
      </c>
      <c r="U82" s="14">
        <v>1</v>
      </c>
      <c r="V82" s="14">
        <v>4</v>
      </c>
      <c r="W82" s="14">
        <v>4</v>
      </c>
      <c r="X82" s="14">
        <v>1</v>
      </c>
      <c r="Y82" s="14">
        <v>8</v>
      </c>
    </row>
    <row r="83" spans="1:25" x14ac:dyDescent="0.2">
      <c r="A83" s="14">
        <v>411</v>
      </c>
      <c r="B83" s="45">
        <v>39127</v>
      </c>
      <c r="C83" s="14">
        <v>1</v>
      </c>
      <c r="D83" s="14">
        <v>108</v>
      </c>
      <c r="E83" s="14" t="s">
        <v>37</v>
      </c>
      <c r="F83" s="14">
        <v>2138071</v>
      </c>
      <c r="G83" s="14" t="s">
        <v>25</v>
      </c>
      <c r="H83" s="14" t="s">
        <v>85</v>
      </c>
      <c r="I83" s="22">
        <v>186660</v>
      </c>
      <c r="J83" s="22">
        <v>5.09</v>
      </c>
      <c r="K83" s="45">
        <v>39108</v>
      </c>
      <c r="L83" s="45">
        <v>39226</v>
      </c>
      <c r="M83" s="14">
        <v>60</v>
      </c>
      <c r="N83" s="45">
        <v>41053</v>
      </c>
      <c r="O83" s="14">
        <v>480</v>
      </c>
      <c r="P83" s="14" t="s">
        <v>86</v>
      </c>
      <c r="Q83" s="14" t="s">
        <v>23</v>
      </c>
      <c r="R83" s="14">
        <v>904.63</v>
      </c>
      <c r="S83" s="14">
        <v>50</v>
      </c>
      <c r="T83" s="14">
        <v>1</v>
      </c>
      <c r="U83" s="14">
        <v>2</v>
      </c>
      <c r="V83" s="14">
        <v>4</v>
      </c>
      <c r="W83" s="14">
        <v>4</v>
      </c>
      <c r="X83" s="14">
        <v>1</v>
      </c>
      <c r="Y83" s="14">
        <v>8</v>
      </c>
    </row>
    <row r="84" spans="1:25" x14ac:dyDescent="0.2">
      <c r="A84" s="14">
        <v>411</v>
      </c>
      <c r="B84" s="45">
        <v>39127</v>
      </c>
      <c r="C84" s="14">
        <v>1</v>
      </c>
      <c r="D84" s="14">
        <v>109</v>
      </c>
      <c r="E84" s="14" t="s">
        <v>58</v>
      </c>
      <c r="F84" s="14">
        <v>2138114</v>
      </c>
      <c r="G84" s="14" t="s">
        <v>25</v>
      </c>
      <c r="H84" s="14" t="s">
        <v>150</v>
      </c>
      <c r="I84" s="22">
        <v>273774.15000000002</v>
      </c>
      <c r="J84" s="22">
        <v>5.09</v>
      </c>
      <c r="K84" s="45">
        <v>39106</v>
      </c>
      <c r="L84" s="45">
        <v>39192</v>
      </c>
      <c r="M84" s="14">
        <v>60</v>
      </c>
      <c r="N84" s="45">
        <v>41019</v>
      </c>
      <c r="O84" s="14">
        <v>480</v>
      </c>
      <c r="P84" s="14" t="s">
        <v>86</v>
      </c>
      <c r="Q84" s="14" t="s">
        <v>88</v>
      </c>
      <c r="R84" s="14">
        <v>1326.82</v>
      </c>
      <c r="S84" s="14">
        <v>51</v>
      </c>
      <c r="T84" s="14">
        <v>1</v>
      </c>
      <c r="U84" s="14">
        <v>2</v>
      </c>
      <c r="V84" s="14">
        <v>4</v>
      </c>
      <c r="W84" s="14">
        <v>4</v>
      </c>
      <c r="X84" s="14">
        <v>1</v>
      </c>
      <c r="Y84" s="14">
        <v>8</v>
      </c>
    </row>
    <row r="85" spans="1:25" x14ac:dyDescent="0.2">
      <c r="A85" s="14">
        <v>411</v>
      </c>
      <c r="B85" s="45">
        <v>39127</v>
      </c>
      <c r="C85" s="14">
        <v>1</v>
      </c>
      <c r="D85" s="14">
        <v>110</v>
      </c>
      <c r="E85" s="14" t="s">
        <v>58</v>
      </c>
      <c r="F85" s="14">
        <v>2138129</v>
      </c>
      <c r="G85" s="14" t="s">
        <v>21</v>
      </c>
      <c r="H85" s="14" t="s">
        <v>151</v>
      </c>
      <c r="I85" s="22">
        <v>224861.1</v>
      </c>
      <c r="J85" s="22">
        <v>5.09</v>
      </c>
      <c r="K85" s="45">
        <v>39108</v>
      </c>
      <c r="L85" s="45">
        <v>39184</v>
      </c>
      <c r="M85" s="14">
        <v>60</v>
      </c>
      <c r="N85" s="45">
        <v>41011</v>
      </c>
      <c r="O85" s="14">
        <v>300</v>
      </c>
      <c r="P85" s="14" t="s">
        <v>86</v>
      </c>
      <c r="Q85" s="14" t="s">
        <v>23</v>
      </c>
      <c r="R85" s="14">
        <v>1319.35</v>
      </c>
      <c r="S85" s="14">
        <v>51</v>
      </c>
      <c r="T85" s="14">
        <v>1</v>
      </c>
      <c r="U85" s="14">
        <v>1</v>
      </c>
      <c r="V85" s="14">
        <v>4</v>
      </c>
      <c r="W85" s="14">
        <v>4</v>
      </c>
      <c r="X85" s="14">
        <v>1</v>
      </c>
      <c r="Y85" s="14">
        <v>8</v>
      </c>
    </row>
    <row r="86" spans="1:25" x14ac:dyDescent="0.2">
      <c r="A86" s="14">
        <v>411</v>
      </c>
      <c r="B86" s="45">
        <v>39127</v>
      </c>
      <c r="C86" s="14">
        <v>1</v>
      </c>
      <c r="D86" s="14">
        <v>111</v>
      </c>
      <c r="E86" s="14" t="s">
        <v>58</v>
      </c>
      <c r="F86" s="14">
        <v>2138165</v>
      </c>
      <c r="G86" s="14" t="s">
        <v>25</v>
      </c>
      <c r="H86" s="14" t="s">
        <v>98</v>
      </c>
      <c r="I86" s="22">
        <v>259250</v>
      </c>
      <c r="J86" s="22">
        <v>4.99</v>
      </c>
      <c r="K86" s="45">
        <v>39106</v>
      </c>
      <c r="L86" s="45">
        <v>39142</v>
      </c>
      <c r="M86" s="14">
        <v>60</v>
      </c>
      <c r="N86" s="45">
        <v>40969</v>
      </c>
      <c r="O86" s="14">
        <v>480</v>
      </c>
      <c r="P86" s="14" t="s">
        <v>86</v>
      </c>
      <c r="Q86" s="14" t="s">
        <v>23</v>
      </c>
      <c r="R86" s="14">
        <v>1239.6199999999999</v>
      </c>
      <c r="S86" s="14">
        <v>51</v>
      </c>
      <c r="T86" s="14">
        <v>1</v>
      </c>
      <c r="U86" s="14">
        <v>2</v>
      </c>
      <c r="V86" s="14">
        <v>6</v>
      </c>
      <c r="W86" s="14">
        <v>4</v>
      </c>
      <c r="X86" s="14">
        <v>1</v>
      </c>
    </row>
    <row r="87" spans="1:25" x14ac:dyDescent="0.2">
      <c r="A87" s="14">
        <v>411</v>
      </c>
      <c r="B87" s="45">
        <v>39127</v>
      </c>
      <c r="C87" s="14">
        <v>1</v>
      </c>
      <c r="D87" s="14">
        <v>112</v>
      </c>
      <c r="E87" s="14" t="s">
        <v>58</v>
      </c>
      <c r="F87" s="14">
        <v>2138204</v>
      </c>
      <c r="G87" s="14" t="s">
        <v>21</v>
      </c>
      <c r="H87" s="14" t="s">
        <v>99</v>
      </c>
      <c r="I87" s="22">
        <v>244347</v>
      </c>
      <c r="J87" s="22">
        <v>5.15</v>
      </c>
      <c r="K87" s="45">
        <v>39107</v>
      </c>
      <c r="L87" s="45">
        <v>39141</v>
      </c>
      <c r="M87" s="14">
        <v>36</v>
      </c>
      <c r="N87" s="45">
        <v>40237</v>
      </c>
      <c r="O87" s="14">
        <v>300</v>
      </c>
      <c r="P87" s="14" t="s">
        <v>86</v>
      </c>
      <c r="Q87" s="14" t="s">
        <v>23</v>
      </c>
      <c r="R87" s="14">
        <v>1442.07</v>
      </c>
      <c r="S87" s="14">
        <v>51</v>
      </c>
      <c r="T87" s="14">
        <v>1</v>
      </c>
      <c r="U87" s="14">
        <v>1</v>
      </c>
      <c r="V87" s="14">
        <v>6</v>
      </c>
      <c r="W87" s="14">
        <v>2</v>
      </c>
      <c r="X87" s="14">
        <v>1</v>
      </c>
    </row>
    <row r="88" spans="1:25" x14ac:dyDescent="0.2">
      <c r="A88" s="14">
        <v>411</v>
      </c>
      <c r="B88" s="45">
        <v>39127</v>
      </c>
      <c r="C88" s="14">
        <v>1</v>
      </c>
      <c r="D88" s="14">
        <v>114</v>
      </c>
      <c r="E88" s="14" t="s">
        <v>58</v>
      </c>
      <c r="F88" s="14">
        <v>2138259</v>
      </c>
      <c r="G88" s="14" t="s">
        <v>21</v>
      </c>
      <c r="H88" s="14" t="s">
        <v>152</v>
      </c>
      <c r="I88" s="22">
        <v>205784.25</v>
      </c>
      <c r="J88" s="22">
        <v>5.09</v>
      </c>
      <c r="K88" s="45">
        <v>39107</v>
      </c>
      <c r="L88" s="45">
        <v>39141</v>
      </c>
      <c r="M88" s="14">
        <v>60</v>
      </c>
      <c r="N88" s="45">
        <v>40967</v>
      </c>
      <c r="O88" s="14">
        <v>420</v>
      </c>
      <c r="P88" s="14" t="s">
        <v>86</v>
      </c>
      <c r="Q88" s="14" t="s">
        <v>88</v>
      </c>
      <c r="R88" s="14">
        <v>1043.4100000000001</v>
      </c>
      <c r="S88" s="14">
        <v>51</v>
      </c>
      <c r="T88" s="14">
        <v>1</v>
      </c>
      <c r="U88" s="14">
        <v>1</v>
      </c>
      <c r="V88" s="14">
        <v>4</v>
      </c>
      <c r="W88" s="14">
        <v>4</v>
      </c>
      <c r="X88" s="14">
        <v>1</v>
      </c>
      <c r="Y88" s="14">
        <v>8</v>
      </c>
    </row>
    <row r="89" spans="1:25" x14ac:dyDescent="0.2">
      <c r="A89" s="14">
        <v>411</v>
      </c>
      <c r="B89" s="45">
        <v>39127</v>
      </c>
      <c r="C89" s="14">
        <v>1</v>
      </c>
      <c r="D89" s="14">
        <v>115</v>
      </c>
      <c r="E89" s="14" t="s">
        <v>58</v>
      </c>
      <c r="F89" s="14">
        <v>2138387</v>
      </c>
      <c r="G89" s="14" t="s">
        <v>21</v>
      </c>
      <c r="H89" s="14" t="s">
        <v>153</v>
      </c>
      <c r="I89" s="22">
        <v>191900</v>
      </c>
      <c r="J89" s="22">
        <v>5.09</v>
      </c>
      <c r="K89" s="45">
        <v>39108</v>
      </c>
      <c r="L89" s="45">
        <v>39233</v>
      </c>
      <c r="M89" s="14">
        <v>60</v>
      </c>
      <c r="N89" s="45">
        <v>41060</v>
      </c>
      <c r="O89" s="14">
        <v>300</v>
      </c>
      <c r="P89" s="14" t="s">
        <v>86</v>
      </c>
      <c r="Q89" s="14" t="s">
        <v>23</v>
      </c>
      <c r="R89" s="14">
        <v>1125.95</v>
      </c>
      <c r="S89" s="14">
        <v>51</v>
      </c>
      <c r="T89" s="14">
        <v>1</v>
      </c>
      <c r="U89" s="14">
        <v>1</v>
      </c>
      <c r="V89" s="14">
        <v>4</v>
      </c>
      <c r="W89" s="14">
        <v>4</v>
      </c>
      <c r="X89" s="14">
        <v>1</v>
      </c>
      <c r="Y89" s="14">
        <v>8</v>
      </c>
    </row>
    <row r="90" spans="1:25" x14ac:dyDescent="0.2">
      <c r="A90" s="14">
        <v>411</v>
      </c>
      <c r="B90" s="45">
        <v>39127</v>
      </c>
      <c r="C90" s="14">
        <v>1</v>
      </c>
      <c r="D90" s="14">
        <v>116</v>
      </c>
      <c r="E90" s="14" t="s">
        <v>58</v>
      </c>
      <c r="F90" s="14">
        <v>2138420</v>
      </c>
      <c r="G90" s="14" t="s">
        <v>25</v>
      </c>
      <c r="H90" s="14" t="s">
        <v>154</v>
      </c>
      <c r="I90" s="22">
        <v>90112</v>
      </c>
      <c r="J90" s="22">
        <v>5.09</v>
      </c>
      <c r="K90" s="45">
        <v>39108</v>
      </c>
      <c r="L90" s="45">
        <v>39142</v>
      </c>
      <c r="M90" s="14">
        <v>60</v>
      </c>
      <c r="N90" s="45">
        <v>40969</v>
      </c>
      <c r="O90" s="14">
        <v>420</v>
      </c>
      <c r="P90" s="14" t="s">
        <v>86</v>
      </c>
      <c r="Q90" s="14" t="s">
        <v>23</v>
      </c>
      <c r="R90" s="14">
        <v>456.9</v>
      </c>
      <c r="S90" s="14">
        <v>51</v>
      </c>
      <c r="T90" s="14">
        <v>1</v>
      </c>
      <c r="U90" s="14">
        <v>2</v>
      </c>
      <c r="V90" s="14">
        <v>4</v>
      </c>
      <c r="W90" s="14">
        <v>4</v>
      </c>
      <c r="X90" s="14">
        <v>1</v>
      </c>
      <c r="Y90" s="14">
        <v>8</v>
      </c>
    </row>
    <row r="91" spans="1:25" x14ac:dyDescent="0.2">
      <c r="A91" s="14">
        <v>411</v>
      </c>
      <c r="B91" s="45">
        <v>39127</v>
      </c>
      <c r="C91" s="14">
        <v>1</v>
      </c>
      <c r="D91" s="14">
        <v>117</v>
      </c>
      <c r="E91" s="14" t="s">
        <v>58</v>
      </c>
      <c r="F91" s="14">
        <v>2138435</v>
      </c>
      <c r="G91" s="14" t="s">
        <v>21</v>
      </c>
      <c r="H91" s="14" t="s">
        <v>155</v>
      </c>
      <c r="I91" s="22">
        <v>135102</v>
      </c>
      <c r="J91" s="22">
        <v>5.09</v>
      </c>
      <c r="K91" s="45">
        <v>39108</v>
      </c>
      <c r="L91" s="45">
        <v>39161</v>
      </c>
      <c r="M91" s="14">
        <v>60</v>
      </c>
      <c r="N91" s="45">
        <v>40988</v>
      </c>
      <c r="O91" s="14">
        <v>480</v>
      </c>
      <c r="P91" s="14" t="s">
        <v>86</v>
      </c>
      <c r="Q91" s="14" t="s">
        <v>88</v>
      </c>
      <c r="R91" s="14">
        <v>654.76</v>
      </c>
      <c r="S91" s="14">
        <v>51</v>
      </c>
      <c r="T91" s="14">
        <v>1</v>
      </c>
      <c r="U91" s="14">
        <v>1</v>
      </c>
      <c r="V91" s="14">
        <v>4</v>
      </c>
      <c r="W91" s="14">
        <v>4</v>
      </c>
      <c r="X91" s="14">
        <v>1</v>
      </c>
      <c r="Y91" s="14">
        <v>8</v>
      </c>
    </row>
    <row r="92" spans="1:25" x14ac:dyDescent="0.2">
      <c r="A92" s="14">
        <v>411</v>
      </c>
      <c r="B92" s="45">
        <v>39127</v>
      </c>
      <c r="C92" s="14">
        <v>1</v>
      </c>
      <c r="D92" s="14">
        <v>119</v>
      </c>
      <c r="E92" s="14" t="s">
        <v>37</v>
      </c>
      <c r="F92" s="14">
        <v>2138454</v>
      </c>
      <c r="G92" s="14" t="s">
        <v>21</v>
      </c>
      <c r="H92" s="14" t="s">
        <v>85</v>
      </c>
      <c r="I92" s="22">
        <v>128875</v>
      </c>
      <c r="J92" s="22">
        <v>5.09</v>
      </c>
      <c r="K92" s="45">
        <v>39108</v>
      </c>
      <c r="L92" s="45">
        <v>39228</v>
      </c>
      <c r="M92" s="14">
        <v>60</v>
      </c>
      <c r="N92" s="45">
        <v>41055</v>
      </c>
      <c r="O92" s="14">
        <v>300</v>
      </c>
      <c r="P92" s="14" t="s">
        <v>86</v>
      </c>
      <c r="Q92" s="14" t="s">
        <v>23</v>
      </c>
      <c r="R92" s="14">
        <v>756.16</v>
      </c>
      <c r="S92" s="14">
        <v>50</v>
      </c>
      <c r="T92" s="14">
        <v>1</v>
      </c>
      <c r="U92" s="14">
        <v>1</v>
      </c>
      <c r="V92" s="14">
        <v>4</v>
      </c>
      <c r="W92" s="14">
        <v>4</v>
      </c>
      <c r="X92" s="14">
        <v>1</v>
      </c>
      <c r="Y92" s="14">
        <v>8</v>
      </c>
    </row>
    <row r="93" spans="1:25" x14ac:dyDescent="0.2">
      <c r="A93" s="14">
        <v>411</v>
      </c>
      <c r="B93" s="45">
        <v>39127</v>
      </c>
      <c r="C93" s="14">
        <v>1</v>
      </c>
      <c r="D93" s="14">
        <v>120</v>
      </c>
      <c r="E93" s="14" t="s">
        <v>58</v>
      </c>
      <c r="F93" s="14">
        <v>2138503</v>
      </c>
      <c r="G93" s="14" t="s">
        <v>21</v>
      </c>
      <c r="H93" s="14" t="s">
        <v>156</v>
      </c>
      <c r="I93" s="22">
        <v>164565</v>
      </c>
      <c r="J93" s="22">
        <v>5.09</v>
      </c>
      <c r="K93" s="45">
        <v>39108</v>
      </c>
      <c r="L93" s="45">
        <v>39174</v>
      </c>
      <c r="M93" s="14">
        <v>60</v>
      </c>
      <c r="N93" s="45">
        <v>41001</v>
      </c>
      <c r="O93" s="14">
        <v>420</v>
      </c>
      <c r="P93" s="14" t="s">
        <v>86</v>
      </c>
      <c r="Q93" s="14" t="s">
        <v>88</v>
      </c>
      <c r="R93" s="14">
        <v>834.41</v>
      </c>
      <c r="S93" s="14">
        <v>51</v>
      </c>
      <c r="T93" s="14">
        <v>1</v>
      </c>
      <c r="U93" s="14">
        <v>1</v>
      </c>
      <c r="V93" s="14">
        <v>4</v>
      </c>
      <c r="W93" s="14">
        <v>4</v>
      </c>
      <c r="X93" s="14">
        <v>1</v>
      </c>
      <c r="Y93" s="14">
        <v>8</v>
      </c>
    </row>
    <row r="94" spans="1:25" x14ac:dyDescent="0.2">
      <c r="A94" s="14">
        <v>411</v>
      </c>
      <c r="B94" s="45">
        <v>39127</v>
      </c>
      <c r="C94" s="14">
        <v>1</v>
      </c>
      <c r="D94" s="14">
        <v>121</v>
      </c>
      <c r="E94" s="14" t="s">
        <v>37</v>
      </c>
      <c r="F94" s="14">
        <v>2138509</v>
      </c>
      <c r="G94" s="14" t="s">
        <v>25</v>
      </c>
      <c r="H94" s="14" t="s">
        <v>85</v>
      </c>
      <c r="I94" s="22">
        <v>199104</v>
      </c>
      <c r="J94" s="22">
        <v>5.09</v>
      </c>
      <c r="K94" s="45">
        <v>39108</v>
      </c>
      <c r="L94" s="45">
        <v>39228</v>
      </c>
      <c r="M94" s="14">
        <v>60</v>
      </c>
      <c r="N94" s="45">
        <v>41055</v>
      </c>
      <c r="O94" s="14">
        <v>480</v>
      </c>
      <c r="P94" s="14" t="s">
        <v>86</v>
      </c>
      <c r="Q94" s="14" t="s">
        <v>23</v>
      </c>
      <c r="R94" s="14">
        <v>964.94</v>
      </c>
      <c r="S94" s="14">
        <v>50</v>
      </c>
      <c r="T94" s="14">
        <v>1</v>
      </c>
      <c r="U94" s="14">
        <v>2</v>
      </c>
      <c r="V94" s="14">
        <v>4</v>
      </c>
      <c r="W94" s="14">
        <v>4</v>
      </c>
      <c r="X94" s="14">
        <v>1</v>
      </c>
      <c r="Y94" s="14">
        <v>8</v>
      </c>
    </row>
    <row r="95" spans="1:25" x14ac:dyDescent="0.2">
      <c r="A95" s="14">
        <v>411</v>
      </c>
      <c r="B95" s="45">
        <v>39127</v>
      </c>
      <c r="C95" s="14">
        <v>1</v>
      </c>
      <c r="D95" s="14">
        <v>122</v>
      </c>
      <c r="E95" s="14" t="s">
        <v>37</v>
      </c>
      <c r="F95" s="14">
        <v>2138531</v>
      </c>
      <c r="G95" s="14" t="s">
        <v>21</v>
      </c>
      <c r="H95" s="14" t="s">
        <v>157</v>
      </c>
      <c r="I95" s="22">
        <v>70456.600000000006</v>
      </c>
      <c r="J95" s="22">
        <v>5.09</v>
      </c>
      <c r="K95" s="45">
        <v>39108</v>
      </c>
      <c r="L95" s="45">
        <v>39227</v>
      </c>
      <c r="M95" s="14">
        <v>60</v>
      </c>
      <c r="N95" s="45">
        <v>41054</v>
      </c>
      <c r="O95" s="14">
        <v>420</v>
      </c>
      <c r="P95" s="14" t="s">
        <v>86</v>
      </c>
      <c r="Q95" s="14" t="s">
        <v>23</v>
      </c>
      <c r="R95" s="14">
        <v>357.24</v>
      </c>
      <c r="S95" s="14">
        <v>50</v>
      </c>
      <c r="T95" s="14">
        <v>1</v>
      </c>
      <c r="U95" s="14">
        <v>1</v>
      </c>
      <c r="V95" s="14">
        <v>4</v>
      </c>
      <c r="W95" s="14">
        <v>4</v>
      </c>
      <c r="X95" s="14">
        <v>1</v>
      </c>
      <c r="Y95" s="14">
        <v>8</v>
      </c>
    </row>
    <row r="96" spans="1:25" x14ac:dyDescent="0.2">
      <c r="A96" s="14">
        <v>411</v>
      </c>
      <c r="B96" s="45">
        <v>39127</v>
      </c>
      <c r="C96" s="14">
        <v>1</v>
      </c>
      <c r="D96" s="14">
        <v>123</v>
      </c>
      <c r="E96" s="14" t="s">
        <v>58</v>
      </c>
      <c r="F96" s="14">
        <v>2138542</v>
      </c>
      <c r="G96" s="14" t="s">
        <v>25</v>
      </c>
      <c r="H96" s="14" t="s">
        <v>158</v>
      </c>
      <c r="I96" s="22">
        <v>200105.62</v>
      </c>
      <c r="J96" s="22">
        <v>5.09</v>
      </c>
      <c r="K96" s="45">
        <v>39108</v>
      </c>
      <c r="L96" s="45">
        <v>39199</v>
      </c>
      <c r="M96" s="14">
        <v>60</v>
      </c>
      <c r="N96" s="45">
        <v>41026</v>
      </c>
      <c r="O96" s="14">
        <v>300</v>
      </c>
      <c r="P96" s="14" t="s">
        <v>86</v>
      </c>
      <c r="Q96" s="14" t="s">
        <v>23</v>
      </c>
      <c r="R96" s="14">
        <v>1174.0999999999999</v>
      </c>
      <c r="S96" s="14">
        <v>51</v>
      </c>
      <c r="T96" s="14">
        <v>1</v>
      </c>
      <c r="U96" s="14">
        <v>2</v>
      </c>
      <c r="V96" s="14">
        <v>4</v>
      </c>
      <c r="W96" s="14">
        <v>4</v>
      </c>
      <c r="X96" s="14">
        <v>1</v>
      </c>
      <c r="Y96" s="14">
        <v>8</v>
      </c>
    </row>
    <row r="97" spans="1:26" x14ac:dyDescent="0.2">
      <c r="A97" s="14">
        <v>411</v>
      </c>
      <c r="B97" s="45">
        <v>39127</v>
      </c>
      <c r="C97" s="14">
        <v>1</v>
      </c>
      <c r="D97" s="14">
        <v>124</v>
      </c>
      <c r="E97" s="14" t="s">
        <v>58</v>
      </c>
      <c r="F97" s="14">
        <v>2138552</v>
      </c>
      <c r="G97" s="14" t="s">
        <v>21</v>
      </c>
      <c r="H97" s="14" t="s">
        <v>159</v>
      </c>
      <c r="I97" s="22">
        <v>129280</v>
      </c>
      <c r="J97" s="22">
        <v>5.09</v>
      </c>
      <c r="K97" s="45">
        <v>39108</v>
      </c>
      <c r="L97" s="45">
        <v>39139</v>
      </c>
      <c r="M97" s="14">
        <v>60</v>
      </c>
      <c r="N97" s="45">
        <v>40965</v>
      </c>
      <c r="O97" s="14">
        <v>300</v>
      </c>
      <c r="P97" s="14" t="s">
        <v>86</v>
      </c>
      <c r="Q97" s="14" t="s">
        <v>23</v>
      </c>
      <c r="R97" s="14">
        <v>758.54</v>
      </c>
      <c r="S97" s="14">
        <v>51</v>
      </c>
      <c r="T97" s="14">
        <v>1</v>
      </c>
      <c r="U97" s="14">
        <v>1</v>
      </c>
      <c r="V97" s="14">
        <v>5</v>
      </c>
      <c r="W97" s="14">
        <v>4</v>
      </c>
      <c r="X97" s="14">
        <v>1</v>
      </c>
      <c r="Y97" s="14">
        <v>8</v>
      </c>
      <c r="Z97" s="14" t="s">
        <v>160</v>
      </c>
    </row>
    <row r="98" spans="1:26" x14ac:dyDescent="0.2">
      <c r="A98" s="14">
        <v>411</v>
      </c>
      <c r="B98" s="45">
        <v>39127</v>
      </c>
      <c r="C98" s="14">
        <v>1</v>
      </c>
      <c r="D98" s="14">
        <v>126</v>
      </c>
      <c r="E98" s="14" t="s">
        <v>37</v>
      </c>
      <c r="F98" s="14">
        <v>2138598</v>
      </c>
      <c r="G98" s="14" t="s">
        <v>21</v>
      </c>
      <c r="H98" s="14" t="s">
        <v>85</v>
      </c>
      <c r="I98" s="22">
        <v>124200</v>
      </c>
      <c r="J98" s="22">
        <v>5.09</v>
      </c>
      <c r="K98" s="45">
        <v>39108</v>
      </c>
      <c r="L98" s="45">
        <v>39227</v>
      </c>
      <c r="M98" s="14">
        <v>60</v>
      </c>
      <c r="N98" s="45">
        <v>41054</v>
      </c>
      <c r="O98" s="14">
        <v>420</v>
      </c>
      <c r="P98" s="14" t="s">
        <v>86</v>
      </c>
      <c r="Q98" s="14" t="s">
        <v>88</v>
      </c>
      <c r="R98" s="14">
        <v>629.74</v>
      </c>
      <c r="S98" s="14">
        <v>50</v>
      </c>
      <c r="T98" s="14">
        <v>1</v>
      </c>
      <c r="U98" s="14">
        <v>1</v>
      </c>
      <c r="V98" s="14">
        <v>4</v>
      </c>
      <c r="W98" s="14">
        <v>4</v>
      </c>
      <c r="X98" s="14">
        <v>1</v>
      </c>
      <c r="Y98" s="14">
        <v>8</v>
      </c>
    </row>
    <row r="99" spans="1:26" x14ac:dyDescent="0.2">
      <c r="A99" s="14">
        <v>411</v>
      </c>
      <c r="B99" s="45">
        <v>39127</v>
      </c>
      <c r="C99" s="14">
        <v>1</v>
      </c>
      <c r="D99" s="14">
        <v>127</v>
      </c>
      <c r="E99" s="14" t="s">
        <v>58</v>
      </c>
      <c r="F99" s="14">
        <v>2138610</v>
      </c>
      <c r="G99" s="14" t="s">
        <v>21</v>
      </c>
      <c r="H99" s="14" t="s">
        <v>161</v>
      </c>
      <c r="I99" s="22">
        <v>166910.25</v>
      </c>
      <c r="J99" s="22">
        <v>5.09</v>
      </c>
      <c r="K99" s="45">
        <v>39108</v>
      </c>
      <c r="L99" s="45">
        <v>39141</v>
      </c>
      <c r="M99" s="14">
        <v>60</v>
      </c>
      <c r="N99" s="45">
        <v>40967</v>
      </c>
      <c r="O99" s="14">
        <v>480</v>
      </c>
      <c r="P99" s="14" t="s">
        <v>86</v>
      </c>
      <c r="Q99" s="14" t="s">
        <v>23</v>
      </c>
      <c r="R99" s="14">
        <v>808.91</v>
      </c>
      <c r="S99" s="14">
        <v>51</v>
      </c>
      <c r="T99" s="14">
        <v>1</v>
      </c>
      <c r="U99" s="14">
        <v>1</v>
      </c>
      <c r="V99" s="14">
        <v>4</v>
      </c>
      <c r="W99" s="14">
        <v>4</v>
      </c>
      <c r="X99" s="14">
        <v>1</v>
      </c>
      <c r="Y99" s="14">
        <v>8</v>
      </c>
    </row>
    <row r="100" spans="1:26" x14ac:dyDescent="0.2">
      <c r="A100" s="14">
        <v>411</v>
      </c>
      <c r="B100" s="45">
        <v>39127</v>
      </c>
      <c r="C100" s="14">
        <v>1</v>
      </c>
      <c r="D100" s="14">
        <v>128</v>
      </c>
      <c r="E100" s="14" t="s">
        <v>37</v>
      </c>
      <c r="F100" s="14">
        <v>2138612</v>
      </c>
      <c r="G100" s="14" t="s">
        <v>21</v>
      </c>
      <c r="H100" s="14" t="s">
        <v>85</v>
      </c>
      <c r="I100" s="22">
        <v>147273.75</v>
      </c>
      <c r="J100" s="22">
        <v>5.09</v>
      </c>
      <c r="K100" s="45">
        <v>39108</v>
      </c>
      <c r="L100" s="45">
        <v>39203</v>
      </c>
      <c r="M100" s="14">
        <v>60</v>
      </c>
      <c r="N100" s="45">
        <v>41030</v>
      </c>
      <c r="O100" s="14">
        <v>480</v>
      </c>
      <c r="P100" s="14" t="s">
        <v>86</v>
      </c>
      <c r="Q100" s="14" t="s">
        <v>23</v>
      </c>
      <c r="R100" s="14">
        <v>713.75</v>
      </c>
      <c r="S100" s="14">
        <v>50</v>
      </c>
      <c r="T100" s="14">
        <v>1</v>
      </c>
      <c r="U100" s="14">
        <v>1</v>
      </c>
      <c r="V100" s="14">
        <v>4</v>
      </c>
      <c r="W100" s="14">
        <v>4</v>
      </c>
      <c r="X100" s="14">
        <v>1</v>
      </c>
      <c r="Y100" s="14">
        <v>8</v>
      </c>
    </row>
    <row r="101" spans="1:26" x14ac:dyDescent="0.2">
      <c r="A101" s="14">
        <v>411</v>
      </c>
      <c r="B101" s="45">
        <v>39127</v>
      </c>
      <c r="C101" s="14">
        <v>1</v>
      </c>
      <c r="D101" s="14">
        <v>129</v>
      </c>
      <c r="E101" s="14" t="s">
        <v>58</v>
      </c>
      <c r="F101" s="14">
        <v>2138622</v>
      </c>
      <c r="G101" s="14" t="s">
        <v>21</v>
      </c>
      <c r="H101" s="14" t="s">
        <v>162</v>
      </c>
      <c r="I101" s="22">
        <v>284138</v>
      </c>
      <c r="J101" s="22">
        <v>5.09</v>
      </c>
      <c r="K101" s="45">
        <v>39108</v>
      </c>
      <c r="L101" s="45">
        <v>39164</v>
      </c>
      <c r="M101" s="14">
        <v>60</v>
      </c>
      <c r="N101" s="45">
        <v>40991</v>
      </c>
      <c r="O101" s="14">
        <v>480</v>
      </c>
      <c r="P101" s="14" t="s">
        <v>86</v>
      </c>
      <c r="Q101" s="14" t="s">
        <v>88</v>
      </c>
      <c r="R101" s="14">
        <v>1377.05</v>
      </c>
      <c r="S101" s="14">
        <v>51</v>
      </c>
      <c r="T101" s="14">
        <v>1</v>
      </c>
      <c r="U101" s="14">
        <v>1</v>
      </c>
      <c r="V101" s="14">
        <v>4</v>
      </c>
      <c r="W101" s="14">
        <v>4</v>
      </c>
      <c r="X101" s="14">
        <v>1</v>
      </c>
      <c r="Y101" s="14">
        <v>8</v>
      </c>
    </row>
    <row r="102" spans="1:26" x14ac:dyDescent="0.2">
      <c r="A102" s="14">
        <v>411</v>
      </c>
      <c r="B102" s="45">
        <v>39127</v>
      </c>
      <c r="C102" s="14">
        <v>1</v>
      </c>
      <c r="D102" s="14">
        <v>130</v>
      </c>
      <c r="E102" s="14" t="s">
        <v>58</v>
      </c>
      <c r="F102" s="14">
        <v>2138627</v>
      </c>
      <c r="G102" s="14" t="s">
        <v>21</v>
      </c>
      <c r="H102" s="14" t="s">
        <v>163</v>
      </c>
      <c r="I102" s="22">
        <v>163012.5</v>
      </c>
      <c r="J102" s="22">
        <v>5.09</v>
      </c>
      <c r="K102" s="45">
        <v>39108</v>
      </c>
      <c r="L102" s="45">
        <v>39141</v>
      </c>
      <c r="M102" s="14">
        <v>60</v>
      </c>
      <c r="N102" s="45">
        <v>40967</v>
      </c>
      <c r="O102" s="14">
        <v>420</v>
      </c>
      <c r="P102" s="14" t="s">
        <v>86</v>
      </c>
      <c r="Q102" s="14" t="s">
        <v>88</v>
      </c>
      <c r="R102" s="14">
        <v>826.54</v>
      </c>
      <c r="S102" s="14">
        <v>51</v>
      </c>
      <c r="T102" s="14">
        <v>1</v>
      </c>
      <c r="U102" s="14">
        <v>1</v>
      </c>
      <c r="V102" s="14">
        <v>4</v>
      </c>
      <c r="W102" s="14">
        <v>4</v>
      </c>
      <c r="X102" s="14">
        <v>1</v>
      </c>
      <c r="Y102" s="14">
        <v>8</v>
      </c>
    </row>
    <row r="103" spans="1:26" x14ac:dyDescent="0.2">
      <c r="A103" s="14">
        <v>411</v>
      </c>
      <c r="B103" s="45">
        <v>39127</v>
      </c>
      <c r="C103" s="14">
        <v>1</v>
      </c>
      <c r="D103" s="14">
        <v>131</v>
      </c>
      <c r="E103" s="14" t="s">
        <v>58</v>
      </c>
      <c r="F103" s="14">
        <v>2138628</v>
      </c>
      <c r="G103" s="14" t="s">
        <v>25</v>
      </c>
      <c r="H103" s="14" t="s">
        <v>164</v>
      </c>
      <c r="I103" s="22">
        <v>203895</v>
      </c>
      <c r="J103" s="22">
        <v>5.43</v>
      </c>
      <c r="K103" s="45">
        <v>39108</v>
      </c>
      <c r="L103" s="45">
        <v>39171</v>
      </c>
      <c r="M103" s="14">
        <v>84</v>
      </c>
      <c r="N103" s="45">
        <v>41728</v>
      </c>
      <c r="O103" s="14">
        <v>420</v>
      </c>
      <c r="P103" s="14" t="s">
        <v>86</v>
      </c>
      <c r="Q103" s="14" t="s">
        <v>23</v>
      </c>
      <c r="R103" s="14">
        <v>1077.58</v>
      </c>
      <c r="S103" s="14">
        <v>51</v>
      </c>
      <c r="T103" s="14">
        <v>1</v>
      </c>
      <c r="U103" s="14">
        <v>2</v>
      </c>
      <c r="V103" s="14">
        <v>4</v>
      </c>
      <c r="W103" s="14">
        <v>5</v>
      </c>
      <c r="X103" s="14">
        <v>1</v>
      </c>
      <c r="Y103" s="14">
        <v>10</v>
      </c>
    </row>
    <row r="104" spans="1:26" x14ac:dyDescent="0.2">
      <c r="A104" s="14">
        <v>411</v>
      </c>
      <c r="B104" s="45">
        <v>39127</v>
      </c>
      <c r="C104" s="14">
        <v>1</v>
      </c>
      <c r="D104" s="14">
        <v>132</v>
      </c>
      <c r="E104" s="14" t="s">
        <v>37</v>
      </c>
      <c r="F104" s="14">
        <v>2138660</v>
      </c>
      <c r="G104" s="14" t="s">
        <v>25</v>
      </c>
      <c r="H104" s="14" t="s">
        <v>85</v>
      </c>
      <c r="I104" s="22">
        <v>176290</v>
      </c>
      <c r="J104" s="22">
        <v>5.43</v>
      </c>
      <c r="K104" s="45">
        <v>39111</v>
      </c>
      <c r="L104" s="45">
        <v>39231</v>
      </c>
      <c r="M104" s="14">
        <v>84</v>
      </c>
      <c r="N104" s="45">
        <v>41788</v>
      </c>
      <c r="O104" s="14">
        <v>480</v>
      </c>
      <c r="P104" s="14" t="s">
        <v>86</v>
      </c>
      <c r="Q104" s="14" t="s">
        <v>23</v>
      </c>
      <c r="R104" s="14">
        <v>893.66</v>
      </c>
      <c r="S104" s="14">
        <v>50</v>
      </c>
      <c r="T104" s="14">
        <v>1</v>
      </c>
      <c r="U104" s="14">
        <v>2</v>
      </c>
      <c r="V104" s="14">
        <v>4</v>
      </c>
      <c r="W104" s="14">
        <v>5</v>
      </c>
      <c r="X104" s="14">
        <v>1</v>
      </c>
      <c r="Y104" s="14">
        <v>30</v>
      </c>
    </row>
    <row r="105" spans="1:26" x14ac:dyDescent="0.2">
      <c r="A105" s="14">
        <v>411</v>
      </c>
      <c r="B105" s="45">
        <v>39127</v>
      </c>
      <c r="C105" s="14">
        <v>1</v>
      </c>
      <c r="D105" s="14">
        <v>133</v>
      </c>
      <c r="E105" s="14" t="s">
        <v>58</v>
      </c>
      <c r="F105" s="14">
        <v>2138661</v>
      </c>
      <c r="G105" s="14" t="s">
        <v>21</v>
      </c>
      <c r="H105" s="14" t="s">
        <v>100</v>
      </c>
      <c r="I105" s="22">
        <v>127390.25</v>
      </c>
      <c r="J105" s="22">
        <v>5.09</v>
      </c>
      <c r="K105" s="45">
        <v>39111</v>
      </c>
      <c r="L105" s="45">
        <v>39192</v>
      </c>
      <c r="M105" s="14">
        <v>60</v>
      </c>
      <c r="N105" s="45">
        <v>41019</v>
      </c>
      <c r="O105" s="14">
        <v>420</v>
      </c>
      <c r="P105" s="14" t="s">
        <v>86</v>
      </c>
      <c r="Q105" s="14" t="s">
        <v>23</v>
      </c>
      <c r="R105" s="14">
        <v>645.91999999999996</v>
      </c>
      <c r="S105" s="14">
        <v>51</v>
      </c>
      <c r="T105" s="14">
        <v>1</v>
      </c>
      <c r="U105" s="14">
        <v>1</v>
      </c>
      <c r="V105" s="14">
        <v>6</v>
      </c>
      <c r="W105" s="14">
        <v>4</v>
      </c>
      <c r="X105" s="14">
        <v>1</v>
      </c>
    </row>
    <row r="106" spans="1:26" x14ac:dyDescent="0.2">
      <c r="A106" s="14">
        <v>411</v>
      </c>
      <c r="B106" s="45">
        <v>39127</v>
      </c>
      <c r="C106" s="14">
        <v>1</v>
      </c>
      <c r="D106" s="14">
        <v>134</v>
      </c>
      <c r="E106" s="14" t="s">
        <v>37</v>
      </c>
      <c r="F106" s="14">
        <v>2138676</v>
      </c>
      <c r="G106" s="14" t="s">
        <v>21</v>
      </c>
      <c r="H106" s="14" t="s">
        <v>85</v>
      </c>
      <c r="I106" s="22">
        <v>185940</v>
      </c>
      <c r="J106" s="22">
        <v>5.09</v>
      </c>
      <c r="K106" s="45">
        <v>39108</v>
      </c>
      <c r="L106" s="45">
        <v>39228</v>
      </c>
      <c r="M106" s="14">
        <v>60</v>
      </c>
      <c r="N106" s="45">
        <v>41055</v>
      </c>
      <c r="O106" s="14">
        <v>360</v>
      </c>
      <c r="P106" s="14" t="s">
        <v>86</v>
      </c>
      <c r="Q106" s="14" t="s">
        <v>23</v>
      </c>
      <c r="R106" s="14">
        <v>1002.36</v>
      </c>
      <c r="S106" s="14">
        <v>50</v>
      </c>
      <c r="T106" s="14">
        <v>1</v>
      </c>
      <c r="U106" s="14">
        <v>1</v>
      </c>
      <c r="V106" s="14">
        <v>4</v>
      </c>
      <c r="W106" s="14">
        <v>4</v>
      </c>
      <c r="X106" s="14">
        <v>1</v>
      </c>
      <c r="Y106" s="14">
        <v>8</v>
      </c>
    </row>
    <row r="107" spans="1:26" x14ac:dyDescent="0.2">
      <c r="A107" s="14">
        <v>411</v>
      </c>
      <c r="B107" s="45">
        <v>39127</v>
      </c>
      <c r="C107" s="14">
        <v>1</v>
      </c>
      <c r="D107" s="14">
        <v>135</v>
      </c>
      <c r="E107" s="14" t="s">
        <v>37</v>
      </c>
      <c r="F107" s="14">
        <v>2138677</v>
      </c>
      <c r="G107" s="14" t="s">
        <v>21</v>
      </c>
      <c r="H107" s="14" t="s">
        <v>85</v>
      </c>
      <c r="I107" s="22">
        <v>279450</v>
      </c>
      <c r="J107" s="22">
        <v>5.09</v>
      </c>
      <c r="K107" s="45">
        <v>39111</v>
      </c>
      <c r="L107" s="45">
        <v>39231</v>
      </c>
      <c r="M107" s="14">
        <v>60</v>
      </c>
      <c r="N107" s="45">
        <v>41058</v>
      </c>
      <c r="O107" s="14">
        <v>420</v>
      </c>
      <c r="P107" s="14" t="s">
        <v>86</v>
      </c>
      <c r="Q107" s="14" t="s">
        <v>23</v>
      </c>
      <c r="R107" s="14">
        <v>1416.92</v>
      </c>
      <c r="S107" s="14">
        <v>50</v>
      </c>
      <c r="T107" s="14">
        <v>1</v>
      </c>
      <c r="U107" s="14">
        <v>1</v>
      </c>
      <c r="V107" s="14">
        <v>6</v>
      </c>
      <c r="W107" s="14">
        <v>4</v>
      </c>
      <c r="X107" s="14">
        <v>1</v>
      </c>
    </row>
    <row r="108" spans="1:26" x14ac:dyDescent="0.2">
      <c r="A108" s="14">
        <v>411</v>
      </c>
      <c r="B108" s="45">
        <v>39127</v>
      </c>
      <c r="C108" s="14">
        <v>1</v>
      </c>
      <c r="D108" s="14">
        <v>136</v>
      </c>
      <c r="E108" s="14" t="s">
        <v>37</v>
      </c>
      <c r="F108" s="14">
        <v>2138698</v>
      </c>
      <c r="G108" s="14" t="s">
        <v>21</v>
      </c>
      <c r="H108" s="14" t="s">
        <v>85</v>
      </c>
      <c r="I108" s="22">
        <v>195225</v>
      </c>
      <c r="J108" s="22">
        <v>5.09</v>
      </c>
      <c r="K108" s="45">
        <v>39111</v>
      </c>
      <c r="L108" s="45">
        <v>39231</v>
      </c>
      <c r="M108" s="14">
        <v>60</v>
      </c>
      <c r="N108" s="45">
        <v>41058</v>
      </c>
      <c r="O108" s="14">
        <v>300</v>
      </c>
      <c r="P108" s="14" t="s">
        <v>86</v>
      </c>
      <c r="Q108" s="14" t="s">
        <v>23</v>
      </c>
      <c r="R108" s="14">
        <v>1145.46</v>
      </c>
      <c r="S108" s="14">
        <v>50</v>
      </c>
      <c r="T108" s="14">
        <v>1</v>
      </c>
      <c r="U108" s="14">
        <v>1</v>
      </c>
      <c r="V108" s="14">
        <v>6</v>
      </c>
      <c r="W108" s="14">
        <v>4</v>
      </c>
      <c r="X108" s="14">
        <v>1</v>
      </c>
    </row>
    <row r="109" spans="1:26" x14ac:dyDescent="0.2">
      <c r="A109" s="14">
        <v>411</v>
      </c>
      <c r="B109" s="45">
        <v>39127</v>
      </c>
      <c r="C109" s="14">
        <v>1</v>
      </c>
      <c r="D109" s="14">
        <v>137</v>
      </c>
      <c r="E109" s="14" t="s">
        <v>37</v>
      </c>
      <c r="F109" s="14">
        <v>2138704</v>
      </c>
      <c r="G109" s="14" t="s">
        <v>21</v>
      </c>
      <c r="H109" s="14" t="s">
        <v>85</v>
      </c>
      <c r="I109" s="22">
        <v>217350</v>
      </c>
      <c r="J109" s="22">
        <v>5.09</v>
      </c>
      <c r="K109" s="45">
        <v>39111</v>
      </c>
      <c r="L109" s="45">
        <v>39231</v>
      </c>
      <c r="M109" s="14">
        <v>60</v>
      </c>
      <c r="N109" s="45">
        <v>41058</v>
      </c>
      <c r="O109" s="14">
        <v>420</v>
      </c>
      <c r="P109" s="14" t="s">
        <v>86</v>
      </c>
      <c r="Q109" s="14" t="s">
        <v>23</v>
      </c>
      <c r="R109" s="14">
        <v>1102.05</v>
      </c>
      <c r="S109" s="14">
        <v>50</v>
      </c>
      <c r="T109" s="14">
        <v>1</v>
      </c>
      <c r="U109" s="14">
        <v>1</v>
      </c>
      <c r="V109" s="14">
        <v>6</v>
      </c>
      <c r="W109" s="14">
        <v>4</v>
      </c>
      <c r="X109" s="14">
        <v>1</v>
      </c>
    </row>
    <row r="110" spans="1:26" x14ac:dyDescent="0.2">
      <c r="A110" s="14">
        <v>411</v>
      </c>
      <c r="B110" s="45">
        <v>39127</v>
      </c>
      <c r="C110" s="14">
        <v>1</v>
      </c>
      <c r="D110" s="14">
        <v>140</v>
      </c>
      <c r="E110" s="14" t="s">
        <v>37</v>
      </c>
      <c r="F110" s="14">
        <v>2138730</v>
      </c>
      <c r="G110" s="14" t="s">
        <v>21</v>
      </c>
      <c r="H110" s="14" t="s">
        <v>85</v>
      </c>
      <c r="I110" s="22">
        <v>214747.5</v>
      </c>
      <c r="J110" s="22">
        <v>5.09</v>
      </c>
      <c r="K110" s="45">
        <v>39111</v>
      </c>
      <c r="L110" s="45">
        <v>39231</v>
      </c>
      <c r="M110" s="14">
        <v>60</v>
      </c>
      <c r="N110" s="45">
        <v>41058</v>
      </c>
      <c r="O110" s="14">
        <v>300</v>
      </c>
      <c r="P110" s="14" t="s">
        <v>86</v>
      </c>
      <c r="Q110" s="14" t="s">
        <v>88</v>
      </c>
      <c r="R110" s="14">
        <v>1260.01</v>
      </c>
      <c r="S110" s="14">
        <v>50</v>
      </c>
      <c r="T110" s="14">
        <v>1</v>
      </c>
      <c r="U110" s="14">
        <v>1</v>
      </c>
      <c r="V110" s="14">
        <v>6</v>
      </c>
      <c r="W110" s="14">
        <v>4</v>
      </c>
      <c r="X110" s="14">
        <v>1</v>
      </c>
    </row>
    <row r="111" spans="1:26" x14ac:dyDescent="0.2">
      <c r="A111" s="14">
        <v>411</v>
      </c>
      <c r="B111" s="45">
        <v>39127</v>
      </c>
      <c r="C111" s="14">
        <v>1</v>
      </c>
      <c r="D111" s="14">
        <v>141</v>
      </c>
      <c r="E111" s="14" t="s">
        <v>37</v>
      </c>
      <c r="F111" s="14">
        <v>2138733</v>
      </c>
      <c r="G111" s="14" t="s">
        <v>21</v>
      </c>
      <c r="H111" s="14" t="s">
        <v>85</v>
      </c>
      <c r="I111" s="22">
        <v>295441.3</v>
      </c>
      <c r="J111" s="22">
        <v>5.43</v>
      </c>
      <c r="K111" s="45">
        <v>39111</v>
      </c>
      <c r="L111" s="45">
        <v>39231</v>
      </c>
      <c r="M111" s="14">
        <v>84</v>
      </c>
      <c r="N111" s="45">
        <v>41788</v>
      </c>
      <c r="O111" s="14">
        <v>480</v>
      </c>
      <c r="P111" s="14" t="s">
        <v>86</v>
      </c>
      <c r="Q111" s="14" t="s">
        <v>23</v>
      </c>
      <c r="R111" s="14">
        <v>1497.67</v>
      </c>
      <c r="S111" s="14">
        <v>50</v>
      </c>
      <c r="T111" s="14">
        <v>1</v>
      </c>
      <c r="U111" s="14">
        <v>1</v>
      </c>
      <c r="V111" s="14">
        <v>4</v>
      </c>
      <c r="W111" s="14">
        <v>5</v>
      </c>
      <c r="X111" s="14">
        <v>1</v>
      </c>
      <c r="Y111" s="14">
        <v>30</v>
      </c>
    </row>
    <row r="112" spans="1:26" x14ac:dyDescent="0.2">
      <c r="A112" s="14">
        <v>411</v>
      </c>
      <c r="B112" s="45">
        <v>39127</v>
      </c>
      <c r="C112" s="14">
        <v>1</v>
      </c>
      <c r="D112" s="14">
        <v>142</v>
      </c>
      <c r="E112" s="14" t="s">
        <v>37</v>
      </c>
      <c r="F112" s="14">
        <v>2138737</v>
      </c>
      <c r="G112" s="14" t="s">
        <v>21</v>
      </c>
      <c r="H112" s="14" t="s">
        <v>85</v>
      </c>
      <c r="I112" s="22">
        <v>207400</v>
      </c>
      <c r="J112" s="22">
        <v>5.09</v>
      </c>
      <c r="K112" s="45">
        <v>39111</v>
      </c>
      <c r="L112" s="45">
        <v>39231</v>
      </c>
      <c r="M112" s="14">
        <v>60</v>
      </c>
      <c r="N112" s="45">
        <v>41058</v>
      </c>
      <c r="O112" s="14">
        <v>480</v>
      </c>
      <c r="P112" s="14" t="s">
        <v>86</v>
      </c>
      <c r="Q112" s="14" t="s">
        <v>88</v>
      </c>
      <c r="R112" s="14">
        <v>1005.14</v>
      </c>
      <c r="S112" s="14">
        <v>50</v>
      </c>
      <c r="T112" s="14">
        <v>1</v>
      </c>
      <c r="U112" s="14">
        <v>1</v>
      </c>
      <c r="V112" s="14">
        <v>6</v>
      </c>
      <c r="W112" s="14">
        <v>4</v>
      </c>
      <c r="X112" s="14">
        <v>1</v>
      </c>
    </row>
    <row r="113" spans="1:26" x14ac:dyDescent="0.2">
      <c r="A113" s="14">
        <v>411</v>
      </c>
      <c r="B113" s="45">
        <v>39127</v>
      </c>
      <c r="C113" s="14">
        <v>1</v>
      </c>
      <c r="D113" s="14">
        <v>144</v>
      </c>
      <c r="E113" s="14" t="s">
        <v>37</v>
      </c>
      <c r="F113" s="14">
        <v>2138763</v>
      </c>
      <c r="G113" s="14" t="s">
        <v>21</v>
      </c>
      <c r="H113" s="14" t="s">
        <v>85</v>
      </c>
      <c r="I113" s="22">
        <v>181475</v>
      </c>
      <c r="J113" s="22">
        <v>5.09</v>
      </c>
      <c r="K113" s="45">
        <v>39111</v>
      </c>
      <c r="L113" s="45">
        <v>39227</v>
      </c>
      <c r="M113" s="14">
        <v>60</v>
      </c>
      <c r="N113" s="45">
        <v>41054</v>
      </c>
      <c r="O113" s="14">
        <v>480</v>
      </c>
      <c r="P113" s="14" t="s">
        <v>86</v>
      </c>
      <c r="Q113" s="14" t="s">
        <v>23</v>
      </c>
      <c r="R113" s="14">
        <v>879.5</v>
      </c>
      <c r="S113" s="14">
        <v>50</v>
      </c>
      <c r="T113" s="14">
        <v>1</v>
      </c>
      <c r="U113" s="14">
        <v>1</v>
      </c>
      <c r="V113" s="14">
        <v>6</v>
      </c>
      <c r="W113" s="14">
        <v>4</v>
      </c>
      <c r="X113" s="14">
        <v>1</v>
      </c>
    </row>
    <row r="114" spans="1:26" x14ac:dyDescent="0.2">
      <c r="A114" s="14">
        <v>411</v>
      </c>
      <c r="B114" s="45">
        <v>39127</v>
      </c>
      <c r="C114" s="14">
        <v>1</v>
      </c>
      <c r="D114" s="14">
        <v>145</v>
      </c>
      <c r="E114" s="14" t="s">
        <v>37</v>
      </c>
      <c r="F114" s="14">
        <v>2138764</v>
      </c>
      <c r="G114" s="14" t="s">
        <v>21</v>
      </c>
      <c r="H114" s="14" t="s">
        <v>85</v>
      </c>
      <c r="I114" s="22">
        <v>259250</v>
      </c>
      <c r="J114" s="22">
        <v>5.09</v>
      </c>
      <c r="K114" s="45">
        <v>39111</v>
      </c>
      <c r="L114" s="45">
        <v>39231</v>
      </c>
      <c r="M114" s="14">
        <v>60</v>
      </c>
      <c r="N114" s="45">
        <v>41058</v>
      </c>
      <c r="O114" s="14">
        <v>480</v>
      </c>
      <c r="P114" s="14" t="s">
        <v>86</v>
      </c>
      <c r="Q114" s="14" t="s">
        <v>88</v>
      </c>
      <c r="R114" s="14">
        <v>1256.43</v>
      </c>
      <c r="S114" s="14">
        <v>50</v>
      </c>
      <c r="T114" s="14">
        <v>1</v>
      </c>
      <c r="U114" s="14">
        <v>1</v>
      </c>
      <c r="V114" s="14">
        <v>6</v>
      </c>
      <c r="W114" s="14">
        <v>4</v>
      </c>
      <c r="X114" s="14">
        <v>1</v>
      </c>
    </row>
    <row r="115" spans="1:26" x14ac:dyDescent="0.2">
      <c r="A115" s="14">
        <v>411</v>
      </c>
      <c r="B115" s="45">
        <v>39127</v>
      </c>
      <c r="C115" s="14">
        <v>1</v>
      </c>
      <c r="D115" s="14">
        <v>146</v>
      </c>
      <c r="E115" s="14" t="s">
        <v>37</v>
      </c>
      <c r="F115" s="14">
        <v>2138765</v>
      </c>
      <c r="G115" s="14" t="s">
        <v>21</v>
      </c>
      <c r="H115" s="14" t="s">
        <v>85</v>
      </c>
      <c r="I115" s="22">
        <v>107373.75</v>
      </c>
      <c r="J115" s="22">
        <v>5.09</v>
      </c>
      <c r="K115" s="45">
        <v>39111</v>
      </c>
      <c r="L115" s="45">
        <v>39231</v>
      </c>
      <c r="M115" s="14">
        <v>60</v>
      </c>
      <c r="N115" s="45">
        <v>41058</v>
      </c>
      <c r="O115" s="14">
        <v>300</v>
      </c>
      <c r="P115" s="14" t="s">
        <v>86</v>
      </c>
      <c r="Q115" s="14" t="s">
        <v>88</v>
      </c>
      <c r="R115" s="14">
        <v>630</v>
      </c>
      <c r="S115" s="14">
        <v>50</v>
      </c>
      <c r="T115" s="14">
        <v>1</v>
      </c>
      <c r="U115" s="14">
        <v>1</v>
      </c>
      <c r="V115" s="14">
        <v>6</v>
      </c>
      <c r="W115" s="14">
        <v>4</v>
      </c>
      <c r="X115" s="14">
        <v>1</v>
      </c>
    </row>
    <row r="116" spans="1:26" x14ac:dyDescent="0.2">
      <c r="A116" s="14">
        <v>411</v>
      </c>
      <c r="B116" s="45">
        <v>39127</v>
      </c>
      <c r="C116" s="14">
        <v>1</v>
      </c>
      <c r="D116" s="14">
        <v>147</v>
      </c>
      <c r="E116" s="14" t="s">
        <v>37</v>
      </c>
      <c r="F116" s="14">
        <v>2138773</v>
      </c>
      <c r="G116" s="14" t="s">
        <v>21</v>
      </c>
      <c r="H116" s="14" t="s">
        <v>85</v>
      </c>
      <c r="I116" s="22">
        <v>257750</v>
      </c>
      <c r="J116" s="22">
        <v>5.09</v>
      </c>
      <c r="K116" s="45">
        <v>39111</v>
      </c>
      <c r="L116" s="45">
        <v>39231</v>
      </c>
      <c r="M116" s="14">
        <v>60</v>
      </c>
      <c r="N116" s="45">
        <v>41058</v>
      </c>
      <c r="O116" s="14">
        <v>300</v>
      </c>
      <c r="P116" s="14" t="s">
        <v>86</v>
      </c>
      <c r="Q116" s="14" t="s">
        <v>88</v>
      </c>
      <c r="R116" s="14">
        <v>1512.32</v>
      </c>
      <c r="S116" s="14">
        <v>50</v>
      </c>
      <c r="T116" s="14">
        <v>1</v>
      </c>
      <c r="U116" s="14">
        <v>1</v>
      </c>
      <c r="V116" s="14">
        <v>6</v>
      </c>
      <c r="W116" s="14">
        <v>4</v>
      </c>
      <c r="X116" s="14">
        <v>1</v>
      </c>
    </row>
    <row r="117" spans="1:26" x14ac:dyDescent="0.2">
      <c r="A117" s="14">
        <v>411</v>
      </c>
      <c r="B117" s="45">
        <v>39127</v>
      </c>
      <c r="C117" s="14">
        <v>1</v>
      </c>
      <c r="D117" s="14">
        <v>148</v>
      </c>
      <c r="E117" s="14" t="s">
        <v>37</v>
      </c>
      <c r="F117" s="14">
        <v>2138795</v>
      </c>
      <c r="G117" s="14" t="s">
        <v>21</v>
      </c>
      <c r="H117" s="14" t="s">
        <v>85</v>
      </c>
      <c r="I117" s="22">
        <v>362250</v>
      </c>
      <c r="J117" s="22">
        <v>5.09</v>
      </c>
      <c r="K117" s="45">
        <v>39111</v>
      </c>
      <c r="L117" s="45">
        <v>39231</v>
      </c>
      <c r="M117" s="14">
        <v>60</v>
      </c>
      <c r="N117" s="45">
        <v>41058</v>
      </c>
      <c r="O117" s="14">
        <v>420</v>
      </c>
      <c r="P117" s="14" t="s">
        <v>86</v>
      </c>
      <c r="Q117" s="14" t="s">
        <v>23</v>
      </c>
      <c r="R117" s="14">
        <v>1836.75</v>
      </c>
      <c r="S117" s="14">
        <v>50</v>
      </c>
      <c r="T117" s="14">
        <v>1</v>
      </c>
      <c r="U117" s="14">
        <v>1</v>
      </c>
      <c r="V117" s="14">
        <v>6</v>
      </c>
      <c r="W117" s="14">
        <v>4</v>
      </c>
      <c r="X117" s="14">
        <v>1</v>
      </c>
    </row>
    <row r="118" spans="1:26" x14ac:dyDescent="0.2">
      <c r="A118" s="14">
        <v>411</v>
      </c>
      <c r="B118" s="45">
        <v>39127</v>
      </c>
      <c r="C118" s="14">
        <v>1</v>
      </c>
      <c r="D118" s="14">
        <v>150</v>
      </c>
      <c r="E118" s="14" t="s">
        <v>37</v>
      </c>
      <c r="F118" s="14">
        <v>2138812</v>
      </c>
      <c r="G118" s="14" t="s">
        <v>21</v>
      </c>
      <c r="H118" s="14" t="s">
        <v>85</v>
      </c>
      <c r="I118" s="22">
        <v>171105</v>
      </c>
      <c r="J118" s="22">
        <v>5.09</v>
      </c>
      <c r="K118" s="45">
        <v>39111</v>
      </c>
      <c r="L118" s="45">
        <v>39231</v>
      </c>
      <c r="M118" s="14">
        <v>60</v>
      </c>
      <c r="N118" s="45">
        <v>41058</v>
      </c>
      <c r="O118" s="14">
        <v>480</v>
      </c>
      <c r="P118" s="14" t="s">
        <v>86</v>
      </c>
      <c r="Q118" s="14" t="s">
        <v>23</v>
      </c>
      <c r="R118" s="14">
        <v>829.24</v>
      </c>
      <c r="S118" s="14">
        <v>50</v>
      </c>
      <c r="T118" s="14">
        <v>1</v>
      </c>
      <c r="U118" s="14">
        <v>1</v>
      </c>
      <c r="V118" s="14">
        <v>6</v>
      </c>
      <c r="W118" s="14">
        <v>4</v>
      </c>
      <c r="X118" s="14">
        <v>1</v>
      </c>
    </row>
    <row r="119" spans="1:26" x14ac:dyDescent="0.2">
      <c r="A119" s="14">
        <v>411</v>
      </c>
      <c r="B119" s="45">
        <v>39127</v>
      </c>
      <c r="C119" s="14">
        <v>1</v>
      </c>
      <c r="D119" s="14">
        <v>151</v>
      </c>
      <c r="E119" s="14" t="s">
        <v>58</v>
      </c>
      <c r="F119" s="14">
        <v>2138816</v>
      </c>
      <c r="G119" s="14" t="s">
        <v>25</v>
      </c>
      <c r="H119" s="14" t="s">
        <v>101</v>
      </c>
      <c r="I119" s="22">
        <v>253360</v>
      </c>
      <c r="J119" s="22">
        <v>5.24</v>
      </c>
      <c r="K119" s="45">
        <v>39111</v>
      </c>
      <c r="L119" s="45">
        <v>39129</v>
      </c>
      <c r="M119" s="14">
        <v>60</v>
      </c>
      <c r="N119" s="45">
        <v>40955</v>
      </c>
      <c r="O119" s="14">
        <v>264</v>
      </c>
      <c r="P119" s="14" t="s">
        <v>86</v>
      </c>
      <c r="Q119" s="14" t="s">
        <v>88</v>
      </c>
      <c r="R119" s="14">
        <v>1610.61</v>
      </c>
      <c r="S119" s="14">
        <v>51</v>
      </c>
      <c r="T119" s="14">
        <v>1</v>
      </c>
      <c r="U119" s="14">
        <v>2</v>
      </c>
      <c r="V119" s="14">
        <v>5</v>
      </c>
      <c r="W119" s="14">
        <v>4</v>
      </c>
      <c r="X119" s="14">
        <v>1</v>
      </c>
      <c r="Z119" s="14" t="s">
        <v>116</v>
      </c>
    </row>
    <row r="120" spans="1:26" x14ac:dyDescent="0.2">
      <c r="A120" s="14">
        <v>411</v>
      </c>
      <c r="B120" s="45">
        <v>39127</v>
      </c>
      <c r="C120" s="14">
        <v>1</v>
      </c>
      <c r="D120" s="14">
        <v>152</v>
      </c>
      <c r="E120" s="14" t="s">
        <v>37</v>
      </c>
      <c r="F120" s="14">
        <v>2138826</v>
      </c>
      <c r="G120" s="14" t="s">
        <v>21</v>
      </c>
      <c r="H120" s="14" t="s">
        <v>85</v>
      </c>
      <c r="I120" s="22">
        <v>103100</v>
      </c>
      <c r="J120" s="22">
        <v>5.09</v>
      </c>
      <c r="K120" s="45">
        <v>39111</v>
      </c>
      <c r="L120" s="45">
        <v>39231</v>
      </c>
      <c r="M120" s="14">
        <v>60</v>
      </c>
      <c r="N120" s="45">
        <v>41058</v>
      </c>
      <c r="O120" s="14">
        <v>300</v>
      </c>
      <c r="P120" s="14" t="s">
        <v>86</v>
      </c>
      <c r="Q120" s="14" t="s">
        <v>23</v>
      </c>
      <c r="R120" s="14">
        <v>604.92999999999995</v>
      </c>
      <c r="S120" s="14">
        <v>50</v>
      </c>
      <c r="T120" s="14">
        <v>1</v>
      </c>
      <c r="U120" s="14">
        <v>1</v>
      </c>
      <c r="V120" s="14">
        <v>6</v>
      </c>
      <c r="W120" s="14">
        <v>4</v>
      </c>
      <c r="X120" s="14">
        <v>1</v>
      </c>
    </row>
    <row r="121" spans="1:26" x14ac:dyDescent="0.2">
      <c r="A121" s="14">
        <v>411</v>
      </c>
      <c r="B121" s="45">
        <v>39127</v>
      </c>
      <c r="C121" s="14">
        <v>1</v>
      </c>
      <c r="D121" s="14">
        <v>153</v>
      </c>
      <c r="E121" s="14" t="s">
        <v>37</v>
      </c>
      <c r="F121" s="14">
        <v>2138836</v>
      </c>
      <c r="G121" s="14" t="s">
        <v>21</v>
      </c>
      <c r="H121" s="14" t="s">
        <v>85</v>
      </c>
      <c r="I121" s="22">
        <v>207000</v>
      </c>
      <c r="J121" s="22">
        <v>5.09</v>
      </c>
      <c r="K121" s="45">
        <v>39111</v>
      </c>
      <c r="L121" s="45">
        <v>39231</v>
      </c>
      <c r="M121" s="14">
        <v>60</v>
      </c>
      <c r="N121" s="45">
        <v>41058</v>
      </c>
      <c r="O121" s="14">
        <v>420</v>
      </c>
      <c r="P121" s="14" t="s">
        <v>86</v>
      </c>
      <c r="Q121" s="14" t="s">
        <v>23</v>
      </c>
      <c r="R121" s="14">
        <v>1049.57</v>
      </c>
      <c r="S121" s="14">
        <v>50</v>
      </c>
      <c r="T121" s="14">
        <v>1</v>
      </c>
      <c r="U121" s="14">
        <v>1</v>
      </c>
      <c r="V121" s="14">
        <v>6</v>
      </c>
      <c r="W121" s="14">
        <v>4</v>
      </c>
      <c r="X121" s="14">
        <v>1</v>
      </c>
    </row>
    <row r="122" spans="1:26" x14ac:dyDescent="0.2">
      <c r="A122" s="14">
        <v>411</v>
      </c>
      <c r="B122" s="45">
        <v>39127</v>
      </c>
      <c r="C122" s="14">
        <v>1</v>
      </c>
      <c r="D122" s="14">
        <v>154</v>
      </c>
      <c r="E122" s="14" t="s">
        <v>58</v>
      </c>
      <c r="F122" s="14">
        <v>2138858</v>
      </c>
      <c r="G122" s="14" t="s">
        <v>21</v>
      </c>
      <c r="H122" s="14" t="s">
        <v>102</v>
      </c>
      <c r="I122" s="22">
        <v>101553.5</v>
      </c>
      <c r="J122" s="22">
        <v>5.6</v>
      </c>
      <c r="K122" s="45">
        <v>39111</v>
      </c>
      <c r="L122" s="45">
        <v>39135</v>
      </c>
      <c r="M122" s="14">
        <v>120</v>
      </c>
      <c r="N122" s="45">
        <v>42788</v>
      </c>
      <c r="O122" s="14">
        <v>300</v>
      </c>
      <c r="P122" s="14" t="s">
        <v>86</v>
      </c>
      <c r="Q122" s="14" t="s">
        <v>23</v>
      </c>
      <c r="R122" s="14">
        <v>625.79999999999995</v>
      </c>
      <c r="S122" s="14">
        <v>51</v>
      </c>
      <c r="T122" s="14">
        <v>1</v>
      </c>
      <c r="U122" s="14">
        <v>1</v>
      </c>
      <c r="V122" s="14">
        <v>6</v>
      </c>
      <c r="W122" s="14">
        <v>6</v>
      </c>
      <c r="X122" s="14">
        <v>1</v>
      </c>
    </row>
    <row r="123" spans="1:26" x14ac:dyDescent="0.2">
      <c r="A123" s="14">
        <v>411</v>
      </c>
      <c r="B123" s="45">
        <v>39127</v>
      </c>
      <c r="C123" s="14">
        <v>1</v>
      </c>
      <c r="D123" s="14">
        <v>155</v>
      </c>
      <c r="E123" s="14" t="s">
        <v>58</v>
      </c>
      <c r="F123" s="14">
        <v>2138862</v>
      </c>
      <c r="G123" s="14" t="s">
        <v>21</v>
      </c>
      <c r="H123" s="14" t="s">
        <v>103</v>
      </c>
      <c r="I123" s="22">
        <v>186660</v>
      </c>
      <c r="J123" s="22">
        <v>5.09</v>
      </c>
      <c r="K123" s="45">
        <v>39111</v>
      </c>
      <c r="L123" s="45">
        <v>39202</v>
      </c>
      <c r="M123" s="14">
        <v>60</v>
      </c>
      <c r="N123" s="45">
        <v>41029</v>
      </c>
      <c r="O123" s="14">
        <v>480</v>
      </c>
      <c r="P123" s="14" t="s">
        <v>86</v>
      </c>
      <c r="Q123" s="14" t="s">
        <v>23</v>
      </c>
      <c r="R123" s="14">
        <v>904.63</v>
      </c>
      <c r="S123" s="14">
        <v>51</v>
      </c>
      <c r="T123" s="14">
        <v>1</v>
      </c>
      <c r="U123" s="14">
        <v>1</v>
      </c>
      <c r="V123" s="14">
        <v>6</v>
      </c>
      <c r="W123" s="14">
        <v>4</v>
      </c>
      <c r="X123" s="14">
        <v>1</v>
      </c>
    </row>
    <row r="124" spans="1:26" x14ac:dyDescent="0.2">
      <c r="A124" s="14">
        <v>411</v>
      </c>
      <c r="B124" s="45">
        <v>39127</v>
      </c>
      <c r="C124" s="14">
        <v>1</v>
      </c>
      <c r="D124" s="14">
        <v>156</v>
      </c>
      <c r="E124" s="14" t="s">
        <v>37</v>
      </c>
      <c r="F124" s="14">
        <v>2138863</v>
      </c>
      <c r="G124" s="14" t="s">
        <v>21</v>
      </c>
      <c r="H124" s="14" t="s">
        <v>85</v>
      </c>
      <c r="I124" s="22">
        <v>195225</v>
      </c>
      <c r="J124" s="22">
        <v>5.09</v>
      </c>
      <c r="K124" s="45">
        <v>39111</v>
      </c>
      <c r="L124" s="45">
        <v>39231</v>
      </c>
      <c r="M124" s="14">
        <v>60</v>
      </c>
      <c r="N124" s="45">
        <v>41058</v>
      </c>
      <c r="O124" s="14">
        <v>300</v>
      </c>
      <c r="P124" s="14" t="s">
        <v>86</v>
      </c>
      <c r="Q124" s="14" t="s">
        <v>88</v>
      </c>
      <c r="R124" s="14">
        <v>1145.46</v>
      </c>
      <c r="S124" s="14">
        <v>50</v>
      </c>
      <c r="T124" s="14">
        <v>1</v>
      </c>
      <c r="U124" s="14">
        <v>1</v>
      </c>
      <c r="V124" s="14">
        <v>6</v>
      </c>
      <c r="W124" s="14">
        <v>4</v>
      </c>
      <c r="X124" s="14">
        <v>1</v>
      </c>
    </row>
    <row r="125" spans="1:26" x14ac:dyDescent="0.2">
      <c r="A125" s="14">
        <v>411</v>
      </c>
      <c r="B125" s="45">
        <v>39127</v>
      </c>
      <c r="C125" s="14">
        <v>1</v>
      </c>
      <c r="D125" s="14">
        <v>157</v>
      </c>
      <c r="E125" s="14" t="s">
        <v>37</v>
      </c>
      <c r="F125" s="14">
        <v>2138895</v>
      </c>
      <c r="G125" s="14" t="s">
        <v>21</v>
      </c>
      <c r="H125" s="14" t="s">
        <v>85</v>
      </c>
      <c r="I125" s="22">
        <v>254375</v>
      </c>
      <c r="J125" s="22">
        <v>5.09</v>
      </c>
      <c r="K125" s="45">
        <v>39111</v>
      </c>
      <c r="L125" s="45">
        <v>39231</v>
      </c>
      <c r="M125" s="14">
        <v>60</v>
      </c>
      <c r="N125" s="45">
        <v>41058</v>
      </c>
      <c r="O125" s="14">
        <v>300</v>
      </c>
      <c r="P125" s="14" t="s">
        <v>86</v>
      </c>
      <c r="Q125" s="14" t="s">
        <v>23</v>
      </c>
      <c r="R125" s="14">
        <v>1492.52</v>
      </c>
      <c r="S125" s="14">
        <v>50</v>
      </c>
      <c r="T125" s="14">
        <v>1</v>
      </c>
      <c r="U125" s="14">
        <v>1</v>
      </c>
      <c r="V125" s="14">
        <v>6</v>
      </c>
      <c r="W125" s="14">
        <v>4</v>
      </c>
      <c r="X125" s="14">
        <v>1</v>
      </c>
    </row>
    <row r="126" spans="1:26" x14ac:dyDescent="0.2">
      <c r="A126" s="14">
        <v>411</v>
      </c>
      <c r="B126" s="45">
        <v>39127</v>
      </c>
      <c r="C126" s="14">
        <v>1</v>
      </c>
      <c r="D126" s="14">
        <v>159</v>
      </c>
      <c r="E126" s="14" t="s">
        <v>58</v>
      </c>
      <c r="F126" s="14">
        <v>2138934</v>
      </c>
      <c r="G126" s="14" t="s">
        <v>21</v>
      </c>
      <c r="H126" s="14" t="s">
        <v>104</v>
      </c>
      <c r="I126" s="22">
        <v>310500</v>
      </c>
      <c r="J126" s="22">
        <v>5.09</v>
      </c>
      <c r="K126" s="45">
        <v>39111</v>
      </c>
      <c r="L126" s="45">
        <v>39162</v>
      </c>
      <c r="M126" s="14">
        <v>60</v>
      </c>
      <c r="N126" s="45">
        <v>40989</v>
      </c>
      <c r="O126" s="14">
        <v>420</v>
      </c>
      <c r="P126" s="14" t="s">
        <v>86</v>
      </c>
      <c r="Q126" s="14" t="s">
        <v>88</v>
      </c>
      <c r="R126" s="14">
        <v>1574.36</v>
      </c>
      <c r="S126" s="14">
        <v>51</v>
      </c>
      <c r="T126" s="14">
        <v>1</v>
      </c>
      <c r="U126" s="14">
        <v>1</v>
      </c>
      <c r="V126" s="14">
        <v>6</v>
      </c>
      <c r="W126" s="14">
        <v>4</v>
      </c>
      <c r="X126" s="14">
        <v>1</v>
      </c>
    </row>
    <row r="127" spans="1:26" x14ac:dyDescent="0.2">
      <c r="A127" s="14">
        <v>411</v>
      </c>
      <c r="B127" s="45">
        <v>39127</v>
      </c>
      <c r="C127" s="14">
        <v>1</v>
      </c>
      <c r="D127" s="14">
        <v>160</v>
      </c>
      <c r="E127" s="14" t="s">
        <v>58</v>
      </c>
      <c r="F127" s="14">
        <v>2138937</v>
      </c>
      <c r="G127" s="14" t="s">
        <v>21</v>
      </c>
      <c r="H127" s="14" t="s">
        <v>105</v>
      </c>
      <c r="I127" s="22">
        <v>69077</v>
      </c>
      <c r="J127" s="22">
        <v>5.09</v>
      </c>
      <c r="K127" s="45">
        <v>39111</v>
      </c>
      <c r="L127" s="45">
        <v>39142</v>
      </c>
      <c r="M127" s="14">
        <v>60</v>
      </c>
      <c r="N127" s="45">
        <v>40969</v>
      </c>
      <c r="O127" s="14">
        <v>300</v>
      </c>
      <c r="P127" s="14" t="s">
        <v>86</v>
      </c>
      <c r="Q127" s="14" t="s">
        <v>23</v>
      </c>
      <c r="R127" s="14">
        <v>405.3</v>
      </c>
      <c r="S127" s="14">
        <v>51</v>
      </c>
      <c r="T127" s="14">
        <v>1</v>
      </c>
      <c r="U127" s="14">
        <v>1</v>
      </c>
      <c r="V127" s="14">
        <v>6</v>
      </c>
      <c r="W127" s="14">
        <v>4</v>
      </c>
      <c r="X127" s="14">
        <v>1</v>
      </c>
    </row>
    <row r="128" spans="1:26" x14ac:dyDescent="0.2">
      <c r="A128" s="14">
        <v>411</v>
      </c>
      <c r="B128" s="45">
        <v>39127</v>
      </c>
      <c r="C128" s="14">
        <v>1</v>
      </c>
      <c r="D128" s="14">
        <v>161</v>
      </c>
      <c r="E128" s="14" t="s">
        <v>37</v>
      </c>
      <c r="F128" s="14">
        <v>2138943</v>
      </c>
      <c r="G128" s="14" t="s">
        <v>21</v>
      </c>
      <c r="H128" s="14" t="s">
        <v>85</v>
      </c>
      <c r="I128" s="22">
        <v>134810</v>
      </c>
      <c r="J128" s="22">
        <v>5.09</v>
      </c>
      <c r="K128" s="45">
        <v>39111</v>
      </c>
      <c r="L128" s="45">
        <v>39231</v>
      </c>
      <c r="M128" s="14">
        <v>60</v>
      </c>
      <c r="N128" s="45">
        <v>41058</v>
      </c>
      <c r="O128" s="14">
        <v>480</v>
      </c>
      <c r="P128" s="14" t="s">
        <v>86</v>
      </c>
      <c r="Q128" s="14" t="s">
        <v>23</v>
      </c>
      <c r="R128" s="14">
        <v>653.34</v>
      </c>
      <c r="S128" s="14">
        <v>50</v>
      </c>
      <c r="T128" s="14">
        <v>1</v>
      </c>
      <c r="U128" s="14">
        <v>1</v>
      </c>
      <c r="V128" s="14">
        <v>6</v>
      </c>
      <c r="W128" s="14">
        <v>4</v>
      </c>
      <c r="X128" s="14">
        <v>1</v>
      </c>
    </row>
    <row r="129" spans="1:26" x14ac:dyDescent="0.2">
      <c r="A129" s="14">
        <v>411</v>
      </c>
      <c r="B129" s="45">
        <v>39127</v>
      </c>
      <c r="C129" s="14">
        <v>1</v>
      </c>
      <c r="D129" s="14">
        <v>162</v>
      </c>
      <c r="E129" s="14" t="s">
        <v>58</v>
      </c>
      <c r="F129" s="14">
        <v>2138953</v>
      </c>
      <c r="G129" s="14" t="s">
        <v>21</v>
      </c>
      <c r="H129" s="14" t="s">
        <v>106</v>
      </c>
      <c r="I129" s="22">
        <v>173880</v>
      </c>
      <c r="J129" s="22">
        <v>5.09</v>
      </c>
      <c r="K129" s="45">
        <v>39111</v>
      </c>
      <c r="L129" s="45">
        <v>39170</v>
      </c>
      <c r="M129" s="14">
        <v>60</v>
      </c>
      <c r="N129" s="45">
        <v>40997</v>
      </c>
      <c r="O129" s="14">
        <v>420</v>
      </c>
      <c r="P129" s="14" t="s">
        <v>86</v>
      </c>
      <c r="Q129" s="14" t="s">
        <v>88</v>
      </c>
      <c r="R129" s="14">
        <v>881.64</v>
      </c>
      <c r="S129" s="14">
        <v>51</v>
      </c>
      <c r="T129" s="14">
        <v>1</v>
      </c>
      <c r="U129" s="14">
        <v>1</v>
      </c>
      <c r="V129" s="14">
        <v>6</v>
      </c>
      <c r="W129" s="14">
        <v>4</v>
      </c>
      <c r="X129" s="14">
        <v>1</v>
      </c>
    </row>
    <row r="130" spans="1:26" x14ac:dyDescent="0.2">
      <c r="A130" s="14">
        <v>411</v>
      </c>
      <c r="B130" s="45">
        <v>39127</v>
      </c>
      <c r="C130" s="14">
        <v>1</v>
      </c>
      <c r="D130" s="14">
        <v>164</v>
      </c>
      <c r="E130" s="14" t="s">
        <v>37</v>
      </c>
      <c r="F130" s="14">
        <v>2139013</v>
      </c>
      <c r="G130" s="14" t="s">
        <v>21</v>
      </c>
      <c r="H130" s="14" t="s">
        <v>85</v>
      </c>
      <c r="I130" s="22">
        <v>360850</v>
      </c>
      <c r="J130" s="22">
        <v>5.09</v>
      </c>
      <c r="K130" s="45">
        <v>39111</v>
      </c>
      <c r="L130" s="45">
        <v>39231</v>
      </c>
      <c r="M130" s="14">
        <v>60</v>
      </c>
      <c r="N130" s="45">
        <v>41058</v>
      </c>
      <c r="O130" s="14">
        <v>300</v>
      </c>
      <c r="P130" s="14" t="s">
        <v>86</v>
      </c>
      <c r="Q130" s="14" t="s">
        <v>23</v>
      </c>
      <c r="R130" s="14">
        <v>2117.25</v>
      </c>
      <c r="S130" s="14">
        <v>50</v>
      </c>
      <c r="T130" s="14">
        <v>1</v>
      </c>
      <c r="U130" s="14">
        <v>1</v>
      </c>
      <c r="V130" s="14">
        <v>6</v>
      </c>
      <c r="W130" s="14">
        <v>4</v>
      </c>
      <c r="X130" s="14">
        <v>1</v>
      </c>
    </row>
    <row r="131" spans="1:26" x14ac:dyDescent="0.2">
      <c r="A131" s="14">
        <v>411</v>
      </c>
      <c r="B131" s="45">
        <v>39127</v>
      </c>
      <c r="C131" s="14">
        <v>1</v>
      </c>
      <c r="D131" s="14">
        <v>165</v>
      </c>
      <c r="E131" s="14" t="s">
        <v>37</v>
      </c>
      <c r="F131" s="14">
        <v>2139048</v>
      </c>
      <c r="G131" s="14" t="s">
        <v>21</v>
      </c>
      <c r="H131" s="14" t="s">
        <v>85</v>
      </c>
      <c r="I131" s="22">
        <v>133574.9</v>
      </c>
      <c r="J131" s="22">
        <v>5.09</v>
      </c>
      <c r="K131" s="45">
        <v>39111</v>
      </c>
      <c r="L131" s="45">
        <v>39231</v>
      </c>
      <c r="M131" s="14">
        <v>60</v>
      </c>
      <c r="N131" s="45">
        <v>41058</v>
      </c>
      <c r="O131" s="14">
        <v>300</v>
      </c>
      <c r="P131" s="14" t="s">
        <v>86</v>
      </c>
      <c r="Q131" s="14" t="s">
        <v>23</v>
      </c>
      <c r="R131" s="14">
        <v>783.74</v>
      </c>
      <c r="S131" s="14">
        <v>50</v>
      </c>
      <c r="T131" s="14">
        <v>1</v>
      </c>
      <c r="U131" s="14">
        <v>1</v>
      </c>
      <c r="V131" s="14">
        <v>6</v>
      </c>
      <c r="W131" s="14">
        <v>4</v>
      </c>
      <c r="X131" s="14">
        <v>1</v>
      </c>
    </row>
    <row r="132" spans="1:26" x14ac:dyDescent="0.2">
      <c r="A132" s="14">
        <v>411</v>
      </c>
      <c r="B132" s="45">
        <v>39127</v>
      </c>
      <c r="C132" s="14">
        <v>1</v>
      </c>
      <c r="D132" s="14">
        <v>167</v>
      </c>
      <c r="E132" s="14" t="s">
        <v>37</v>
      </c>
      <c r="F132" s="14">
        <v>2139339</v>
      </c>
      <c r="G132" s="14" t="s">
        <v>21</v>
      </c>
      <c r="H132" s="14" t="s">
        <v>85</v>
      </c>
      <c r="I132" s="22">
        <v>202215</v>
      </c>
      <c r="J132" s="22">
        <v>5.3</v>
      </c>
      <c r="K132" s="45">
        <v>39113</v>
      </c>
      <c r="L132" s="45">
        <v>39233</v>
      </c>
      <c r="M132" s="14">
        <v>60</v>
      </c>
      <c r="N132" s="45">
        <v>41060</v>
      </c>
      <c r="O132" s="14">
        <v>480</v>
      </c>
      <c r="P132" s="14" t="s">
        <v>86</v>
      </c>
      <c r="Q132" s="14" t="s">
        <v>23</v>
      </c>
      <c r="R132" s="14">
        <v>1007.76</v>
      </c>
      <c r="S132" s="14">
        <v>50</v>
      </c>
      <c r="T132" s="14">
        <v>1</v>
      </c>
      <c r="U132" s="14">
        <v>1</v>
      </c>
      <c r="V132" s="14">
        <v>4</v>
      </c>
      <c r="W132" s="14">
        <v>4</v>
      </c>
      <c r="X132" s="14">
        <v>1</v>
      </c>
      <c r="Y132" s="14">
        <v>28</v>
      </c>
    </row>
    <row r="133" spans="1:26" x14ac:dyDescent="0.2">
      <c r="A133" s="14">
        <v>411</v>
      </c>
      <c r="B133" s="45">
        <v>39127</v>
      </c>
      <c r="C133" s="14">
        <v>1</v>
      </c>
      <c r="D133" s="14">
        <v>168</v>
      </c>
      <c r="E133" s="14" t="s">
        <v>37</v>
      </c>
      <c r="F133" s="14">
        <v>2139352</v>
      </c>
      <c r="G133" s="14" t="s">
        <v>21</v>
      </c>
      <c r="H133" s="14" t="s">
        <v>85</v>
      </c>
      <c r="I133" s="22">
        <v>360850</v>
      </c>
      <c r="J133" s="22">
        <v>5.3</v>
      </c>
      <c r="K133" s="45">
        <v>39113</v>
      </c>
      <c r="L133" s="45">
        <v>39233</v>
      </c>
      <c r="M133" s="14">
        <v>60</v>
      </c>
      <c r="N133" s="45">
        <v>41060</v>
      </c>
      <c r="O133" s="14">
        <v>300</v>
      </c>
      <c r="P133" s="14" t="s">
        <v>86</v>
      </c>
      <c r="Q133" s="14" t="s">
        <v>23</v>
      </c>
      <c r="R133" s="14">
        <v>2160.77</v>
      </c>
      <c r="S133" s="14">
        <v>50</v>
      </c>
      <c r="T133" s="14">
        <v>1</v>
      </c>
      <c r="U133" s="14">
        <v>1</v>
      </c>
      <c r="V133" s="14">
        <v>4</v>
      </c>
      <c r="W133" s="14">
        <v>4</v>
      </c>
      <c r="X133" s="14">
        <v>1</v>
      </c>
      <c r="Y133" s="14">
        <v>28</v>
      </c>
    </row>
    <row r="134" spans="1:26" x14ac:dyDescent="0.2">
      <c r="A134" s="14">
        <v>411</v>
      </c>
      <c r="B134" s="45">
        <v>39127</v>
      </c>
      <c r="C134" s="14">
        <v>1</v>
      </c>
      <c r="D134" s="14">
        <v>169</v>
      </c>
      <c r="E134" s="14" t="s">
        <v>37</v>
      </c>
      <c r="F134" s="14">
        <v>2139369</v>
      </c>
      <c r="G134" s="14" t="s">
        <v>21</v>
      </c>
      <c r="H134" s="14" t="s">
        <v>85</v>
      </c>
      <c r="I134" s="22">
        <v>257750</v>
      </c>
      <c r="J134" s="22">
        <v>5.3</v>
      </c>
      <c r="K134" s="45">
        <v>39113</v>
      </c>
      <c r="L134" s="45">
        <v>39233</v>
      </c>
      <c r="M134" s="14">
        <v>60</v>
      </c>
      <c r="N134" s="45">
        <v>41060</v>
      </c>
      <c r="O134" s="14">
        <v>300</v>
      </c>
      <c r="P134" s="14" t="s">
        <v>86</v>
      </c>
      <c r="Q134" s="14" t="s">
        <v>23</v>
      </c>
      <c r="R134" s="14">
        <v>1543.41</v>
      </c>
      <c r="S134" s="14">
        <v>50</v>
      </c>
      <c r="T134" s="14">
        <v>1</v>
      </c>
      <c r="U134" s="14">
        <v>1</v>
      </c>
      <c r="V134" s="14">
        <v>4</v>
      </c>
      <c r="W134" s="14">
        <v>4</v>
      </c>
      <c r="X134" s="14">
        <v>1</v>
      </c>
      <c r="Y134" s="14">
        <v>28</v>
      </c>
    </row>
    <row r="135" spans="1:26" x14ac:dyDescent="0.2">
      <c r="A135" s="14">
        <v>411</v>
      </c>
      <c r="B135" s="45">
        <v>39127</v>
      </c>
      <c r="C135" s="14">
        <v>1</v>
      </c>
      <c r="D135" s="14">
        <v>170</v>
      </c>
      <c r="E135" s="14" t="s">
        <v>37</v>
      </c>
      <c r="F135" s="14">
        <v>2139380</v>
      </c>
      <c r="G135" s="14" t="s">
        <v>21</v>
      </c>
      <c r="H135" s="14" t="s">
        <v>85</v>
      </c>
      <c r="I135" s="22">
        <v>181475</v>
      </c>
      <c r="J135" s="22">
        <v>5.3</v>
      </c>
      <c r="K135" s="45">
        <v>39113</v>
      </c>
      <c r="L135" s="45">
        <v>39233</v>
      </c>
      <c r="M135" s="14">
        <v>60</v>
      </c>
      <c r="N135" s="45">
        <v>41060</v>
      </c>
      <c r="O135" s="14">
        <v>480</v>
      </c>
      <c r="P135" s="14" t="s">
        <v>86</v>
      </c>
      <c r="Q135" s="14" t="s">
        <v>23</v>
      </c>
      <c r="R135" s="14">
        <v>904.4</v>
      </c>
      <c r="S135" s="14">
        <v>50</v>
      </c>
      <c r="T135" s="14">
        <v>1</v>
      </c>
      <c r="U135" s="14">
        <v>1</v>
      </c>
      <c r="V135" s="14">
        <v>4</v>
      </c>
      <c r="W135" s="14">
        <v>4</v>
      </c>
      <c r="X135" s="14">
        <v>1</v>
      </c>
      <c r="Y135" s="14">
        <v>28</v>
      </c>
    </row>
    <row r="136" spans="1:26" x14ac:dyDescent="0.2">
      <c r="A136" s="14">
        <v>411</v>
      </c>
      <c r="B136" s="45">
        <v>39127</v>
      </c>
      <c r="C136" s="14">
        <v>1</v>
      </c>
      <c r="D136" s="14">
        <v>172</v>
      </c>
      <c r="E136" s="14" t="s">
        <v>37</v>
      </c>
      <c r="F136" s="14">
        <v>2139416</v>
      </c>
      <c r="G136" s="14" t="s">
        <v>21</v>
      </c>
      <c r="H136" s="14" t="s">
        <v>85</v>
      </c>
      <c r="I136" s="22">
        <v>155250</v>
      </c>
      <c r="J136" s="22">
        <v>5.3</v>
      </c>
      <c r="K136" s="45">
        <v>39113</v>
      </c>
      <c r="L136" s="45">
        <v>39233</v>
      </c>
      <c r="M136" s="14">
        <v>60</v>
      </c>
      <c r="N136" s="45">
        <v>41060</v>
      </c>
      <c r="O136" s="14">
        <v>420</v>
      </c>
      <c r="P136" s="14" t="s">
        <v>86</v>
      </c>
      <c r="Q136" s="14" t="s">
        <v>23</v>
      </c>
      <c r="R136" s="14">
        <v>807.69</v>
      </c>
      <c r="S136" s="14">
        <v>50</v>
      </c>
      <c r="T136" s="14">
        <v>1</v>
      </c>
      <c r="U136" s="14">
        <v>1</v>
      </c>
      <c r="V136" s="14">
        <v>4</v>
      </c>
      <c r="W136" s="14">
        <v>4</v>
      </c>
      <c r="X136" s="14">
        <v>1</v>
      </c>
      <c r="Y136" s="14">
        <v>28</v>
      </c>
    </row>
    <row r="137" spans="1:26" x14ac:dyDescent="0.2">
      <c r="A137" s="14">
        <v>411</v>
      </c>
      <c r="B137" s="45">
        <v>39127</v>
      </c>
      <c r="C137" s="14">
        <v>1</v>
      </c>
      <c r="D137" s="14">
        <v>173</v>
      </c>
      <c r="E137" s="14" t="s">
        <v>37</v>
      </c>
      <c r="F137" s="14">
        <v>2139426</v>
      </c>
      <c r="G137" s="14" t="s">
        <v>21</v>
      </c>
      <c r="H137" s="14" t="s">
        <v>85</v>
      </c>
      <c r="I137" s="22">
        <v>279450</v>
      </c>
      <c r="J137" s="22">
        <v>5.3</v>
      </c>
      <c r="K137" s="45">
        <v>39113</v>
      </c>
      <c r="L137" s="45">
        <v>39233</v>
      </c>
      <c r="M137" s="14">
        <v>60</v>
      </c>
      <c r="N137" s="45">
        <v>41060</v>
      </c>
      <c r="O137" s="14">
        <v>420</v>
      </c>
      <c r="P137" s="14" t="s">
        <v>86</v>
      </c>
      <c r="Q137" s="14" t="s">
        <v>23</v>
      </c>
      <c r="R137" s="14">
        <v>1453.85</v>
      </c>
      <c r="S137" s="14">
        <v>50</v>
      </c>
      <c r="T137" s="14">
        <v>1</v>
      </c>
      <c r="U137" s="14">
        <v>1</v>
      </c>
      <c r="V137" s="14">
        <v>4</v>
      </c>
      <c r="W137" s="14">
        <v>4</v>
      </c>
      <c r="X137" s="14">
        <v>1</v>
      </c>
      <c r="Y137" s="14">
        <v>28</v>
      </c>
    </row>
    <row r="138" spans="1:26" x14ac:dyDescent="0.2">
      <c r="A138" s="14">
        <v>411</v>
      </c>
      <c r="B138" s="45">
        <v>39127</v>
      </c>
      <c r="C138" s="14">
        <v>1</v>
      </c>
      <c r="D138" s="14">
        <v>175</v>
      </c>
      <c r="E138" s="14" t="s">
        <v>58</v>
      </c>
      <c r="F138" s="14">
        <v>2139456</v>
      </c>
      <c r="G138" s="14" t="s">
        <v>21</v>
      </c>
      <c r="H138" s="14" t="s">
        <v>85</v>
      </c>
      <c r="I138" s="22">
        <v>152957.5</v>
      </c>
      <c r="J138" s="22">
        <v>5.24</v>
      </c>
      <c r="K138" s="45">
        <v>39113</v>
      </c>
      <c r="L138" s="45">
        <v>39217</v>
      </c>
      <c r="M138" s="14">
        <v>60</v>
      </c>
      <c r="N138" s="45">
        <v>41044</v>
      </c>
      <c r="O138" s="14">
        <v>480</v>
      </c>
      <c r="P138" s="14" t="s">
        <v>86</v>
      </c>
      <c r="Q138" s="14" t="s">
        <v>23</v>
      </c>
      <c r="R138" s="14">
        <v>756.26</v>
      </c>
      <c r="S138" s="14">
        <v>51</v>
      </c>
      <c r="T138" s="14">
        <v>1</v>
      </c>
      <c r="U138" s="14">
        <v>1</v>
      </c>
      <c r="V138" s="14">
        <v>5</v>
      </c>
      <c r="W138" s="14">
        <v>4</v>
      </c>
      <c r="X138" s="14">
        <v>1</v>
      </c>
      <c r="Z138" s="14" t="s">
        <v>115</v>
      </c>
    </row>
    <row r="139" spans="1:26" x14ac:dyDescent="0.2">
      <c r="A139" s="14">
        <v>411</v>
      </c>
      <c r="B139" s="45">
        <v>39127</v>
      </c>
      <c r="C139" s="14">
        <v>1</v>
      </c>
      <c r="D139" s="14">
        <v>176</v>
      </c>
      <c r="E139" s="14" t="s">
        <v>37</v>
      </c>
      <c r="F139" s="14">
        <v>2139458</v>
      </c>
      <c r="G139" s="14" t="s">
        <v>21</v>
      </c>
      <c r="H139" s="14" t="s">
        <v>85</v>
      </c>
      <c r="I139" s="22">
        <v>154650</v>
      </c>
      <c r="J139" s="22">
        <v>5.3</v>
      </c>
      <c r="K139" s="45">
        <v>39113</v>
      </c>
      <c r="L139" s="45">
        <v>39233</v>
      </c>
      <c r="M139" s="14">
        <v>60</v>
      </c>
      <c r="N139" s="45">
        <v>41060</v>
      </c>
      <c r="O139" s="14">
        <v>300</v>
      </c>
      <c r="P139" s="14" t="s">
        <v>86</v>
      </c>
      <c r="Q139" s="14" t="s">
        <v>165</v>
      </c>
      <c r="R139" s="14">
        <v>926.04</v>
      </c>
      <c r="S139" s="14">
        <v>50</v>
      </c>
      <c r="T139" s="14">
        <v>1</v>
      </c>
      <c r="U139" s="14">
        <v>1</v>
      </c>
      <c r="V139" s="14">
        <v>4</v>
      </c>
      <c r="W139" s="14">
        <v>4</v>
      </c>
      <c r="X139" s="14">
        <v>1</v>
      </c>
      <c r="Y139" s="14">
        <v>28</v>
      </c>
    </row>
    <row r="140" spans="1:26" x14ac:dyDescent="0.2">
      <c r="A140" s="14">
        <v>411</v>
      </c>
      <c r="B140" s="45">
        <v>39127</v>
      </c>
      <c r="C140" s="14">
        <v>1</v>
      </c>
      <c r="D140" s="14">
        <v>177</v>
      </c>
      <c r="E140" s="14" t="s">
        <v>37</v>
      </c>
      <c r="F140" s="14">
        <v>2139465</v>
      </c>
      <c r="G140" s="14" t="s">
        <v>21</v>
      </c>
      <c r="H140" s="14" t="s">
        <v>85</v>
      </c>
      <c r="I140" s="22">
        <v>279450</v>
      </c>
      <c r="J140" s="22">
        <v>5.3</v>
      </c>
      <c r="K140" s="45">
        <v>39113</v>
      </c>
      <c r="L140" s="45">
        <v>39232</v>
      </c>
      <c r="M140" s="14">
        <v>60</v>
      </c>
      <c r="N140" s="45">
        <v>41059</v>
      </c>
      <c r="O140" s="14">
        <v>420</v>
      </c>
      <c r="P140" s="14" t="s">
        <v>86</v>
      </c>
      <c r="Q140" s="14" t="s">
        <v>23</v>
      </c>
      <c r="R140" s="14">
        <v>1453.85</v>
      </c>
      <c r="S140" s="14">
        <v>50</v>
      </c>
      <c r="T140" s="14">
        <v>1</v>
      </c>
      <c r="U140" s="14">
        <v>1</v>
      </c>
      <c r="V140" s="14">
        <v>4</v>
      </c>
      <c r="W140" s="14">
        <v>4</v>
      </c>
      <c r="X140" s="14">
        <v>1</v>
      </c>
      <c r="Y140" s="14">
        <v>28</v>
      </c>
    </row>
    <row r="141" spans="1:26" x14ac:dyDescent="0.2">
      <c r="A141" s="14">
        <v>411</v>
      </c>
      <c r="B141" s="45">
        <v>39127</v>
      </c>
      <c r="C141" s="14">
        <v>1</v>
      </c>
      <c r="D141" s="14">
        <v>178</v>
      </c>
      <c r="E141" s="14" t="s">
        <v>37</v>
      </c>
      <c r="F141" s="14">
        <v>2139472</v>
      </c>
      <c r="G141" s="14" t="s">
        <v>21</v>
      </c>
      <c r="H141" s="14" t="s">
        <v>85</v>
      </c>
      <c r="I141" s="22">
        <v>258750</v>
      </c>
      <c r="J141" s="22">
        <v>5.3</v>
      </c>
      <c r="K141" s="45">
        <v>39113</v>
      </c>
      <c r="L141" s="45">
        <v>39233</v>
      </c>
      <c r="M141" s="14">
        <v>60</v>
      </c>
      <c r="N141" s="45">
        <v>41060</v>
      </c>
      <c r="O141" s="14">
        <v>420</v>
      </c>
      <c r="P141" s="14" t="s">
        <v>86</v>
      </c>
      <c r="Q141" s="14" t="s">
        <v>23</v>
      </c>
      <c r="R141" s="14">
        <v>1346.15</v>
      </c>
      <c r="S141" s="14">
        <v>50</v>
      </c>
      <c r="T141" s="14">
        <v>1</v>
      </c>
      <c r="U141" s="14">
        <v>1</v>
      </c>
      <c r="V141" s="14">
        <v>4</v>
      </c>
      <c r="W141" s="14">
        <v>4</v>
      </c>
      <c r="X141" s="14">
        <v>1</v>
      </c>
      <c r="Y141" s="14">
        <v>28</v>
      </c>
    </row>
    <row r="142" spans="1:26" x14ac:dyDescent="0.2">
      <c r="A142" s="14">
        <v>411</v>
      </c>
      <c r="B142" s="45">
        <v>39127</v>
      </c>
      <c r="C142" s="14">
        <v>1</v>
      </c>
      <c r="D142" s="14">
        <v>179</v>
      </c>
      <c r="E142" s="14" t="s">
        <v>58</v>
      </c>
      <c r="F142" s="14">
        <v>2139507</v>
      </c>
      <c r="G142" s="14" t="s">
        <v>25</v>
      </c>
      <c r="H142" s="14" t="s">
        <v>107</v>
      </c>
      <c r="I142" s="22">
        <v>197607.6</v>
      </c>
      <c r="J142" s="22">
        <v>5.24</v>
      </c>
      <c r="K142" s="45">
        <v>39113</v>
      </c>
      <c r="L142" s="45">
        <v>39147</v>
      </c>
      <c r="M142" s="14">
        <v>60</v>
      </c>
      <c r="N142" s="45">
        <v>40974</v>
      </c>
      <c r="O142" s="14">
        <v>480</v>
      </c>
      <c r="P142" s="14" t="s">
        <v>86</v>
      </c>
      <c r="Q142" s="14" t="s">
        <v>23</v>
      </c>
      <c r="R142" s="14">
        <v>977.02</v>
      </c>
      <c r="S142" s="14">
        <v>51</v>
      </c>
      <c r="T142" s="14">
        <v>1</v>
      </c>
      <c r="U142" s="14">
        <v>2</v>
      </c>
      <c r="V142" s="14">
        <v>6</v>
      </c>
      <c r="W142" s="14">
        <v>4</v>
      </c>
      <c r="X142" s="14">
        <v>1</v>
      </c>
    </row>
    <row r="143" spans="1:26" x14ac:dyDescent="0.2">
      <c r="A143" s="14">
        <v>411</v>
      </c>
      <c r="B143" s="45">
        <v>39127</v>
      </c>
      <c r="C143" s="14">
        <v>1</v>
      </c>
      <c r="D143" s="14">
        <v>180</v>
      </c>
      <c r="E143" s="14" t="s">
        <v>58</v>
      </c>
      <c r="F143" s="14">
        <v>2139518</v>
      </c>
      <c r="G143" s="14" t="s">
        <v>21</v>
      </c>
      <c r="H143" s="14" t="s">
        <v>166</v>
      </c>
      <c r="I143" s="22">
        <v>155896.87</v>
      </c>
      <c r="J143" s="22">
        <v>5.64</v>
      </c>
      <c r="K143" s="45">
        <v>39118</v>
      </c>
      <c r="L143" s="45">
        <v>39232</v>
      </c>
      <c r="M143" s="14">
        <v>120</v>
      </c>
      <c r="N143" s="45">
        <v>42885</v>
      </c>
      <c r="O143" s="14">
        <v>420</v>
      </c>
      <c r="P143" s="14" t="s">
        <v>86</v>
      </c>
      <c r="Q143" s="14" t="s">
        <v>23</v>
      </c>
      <c r="R143" s="14">
        <v>844.85</v>
      </c>
      <c r="S143" s="14">
        <v>51</v>
      </c>
      <c r="T143" s="14">
        <v>1</v>
      </c>
      <c r="U143" s="14">
        <v>1</v>
      </c>
      <c r="V143" s="14">
        <v>4</v>
      </c>
      <c r="W143" s="14">
        <v>6</v>
      </c>
      <c r="X143" s="14">
        <v>1</v>
      </c>
      <c r="Y143" s="14">
        <v>34</v>
      </c>
    </row>
    <row r="144" spans="1:26" x14ac:dyDescent="0.2">
      <c r="A144" s="14">
        <v>411</v>
      </c>
      <c r="B144" s="45">
        <v>39127</v>
      </c>
      <c r="C144" s="14">
        <v>1</v>
      </c>
      <c r="D144" s="14">
        <v>181</v>
      </c>
      <c r="E144" s="14" t="s">
        <v>37</v>
      </c>
      <c r="F144" s="14">
        <v>2139578</v>
      </c>
      <c r="G144" s="14" t="s">
        <v>21</v>
      </c>
      <c r="H144" s="14" t="s">
        <v>85</v>
      </c>
      <c r="I144" s="22">
        <v>258750</v>
      </c>
      <c r="J144" s="22">
        <v>5.3</v>
      </c>
      <c r="K144" s="45">
        <v>39114</v>
      </c>
      <c r="L144" s="45">
        <v>39233</v>
      </c>
      <c r="M144" s="14">
        <v>60</v>
      </c>
      <c r="N144" s="45">
        <v>41060</v>
      </c>
      <c r="O144" s="14">
        <v>420</v>
      </c>
      <c r="P144" s="14" t="s">
        <v>86</v>
      </c>
      <c r="Q144" s="14" t="s">
        <v>88</v>
      </c>
      <c r="R144" s="14">
        <v>1346.15</v>
      </c>
      <c r="S144" s="14">
        <v>50</v>
      </c>
      <c r="T144" s="14">
        <v>1</v>
      </c>
      <c r="U144" s="14">
        <v>1</v>
      </c>
      <c r="V144" s="14">
        <v>4</v>
      </c>
      <c r="W144" s="14">
        <v>4</v>
      </c>
      <c r="X144" s="14">
        <v>1</v>
      </c>
      <c r="Y144" s="14">
        <v>28</v>
      </c>
    </row>
    <row r="145" spans="1:25" x14ac:dyDescent="0.2">
      <c r="A145" s="14">
        <v>411</v>
      </c>
      <c r="B145" s="45">
        <v>39127</v>
      </c>
      <c r="C145" s="14">
        <v>1</v>
      </c>
      <c r="D145" s="14">
        <v>183</v>
      </c>
      <c r="E145" s="14" t="s">
        <v>37</v>
      </c>
      <c r="F145" s="14">
        <v>2139654</v>
      </c>
      <c r="G145" s="14" t="s">
        <v>21</v>
      </c>
      <c r="H145" s="14" t="s">
        <v>85</v>
      </c>
      <c r="I145" s="22">
        <v>259250</v>
      </c>
      <c r="J145" s="22">
        <v>5.3</v>
      </c>
      <c r="K145" s="45">
        <v>39114</v>
      </c>
      <c r="L145" s="45">
        <v>39234</v>
      </c>
      <c r="M145" s="14">
        <v>60</v>
      </c>
      <c r="N145" s="45">
        <v>41061</v>
      </c>
      <c r="O145" s="14">
        <v>480</v>
      </c>
      <c r="P145" s="14" t="s">
        <v>86</v>
      </c>
      <c r="Q145" s="14" t="s">
        <v>23</v>
      </c>
      <c r="R145" s="14">
        <v>1292</v>
      </c>
      <c r="S145" s="14">
        <v>50</v>
      </c>
      <c r="T145" s="14">
        <v>1</v>
      </c>
      <c r="U145" s="14">
        <v>1</v>
      </c>
      <c r="V145" s="14">
        <v>4</v>
      </c>
      <c r="W145" s="14">
        <v>4</v>
      </c>
      <c r="X145" s="14">
        <v>1</v>
      </c>
      <c r="Y145" s="14">
        <v>28</v>
      </c>
    </row>
    <row r="146" spans="1:25" x14ac:dyDescent="0.2">
      <c r="A146" s="14">
        <v>411</v>
      </c>
      <c r="B146" s="45">
        <v>39127</v>
      </c>
      <c r="C146" s="14">
        <v>1</v>
      </c>
      <c r="D146" s="14">
        <v>184</v>
      </c>
      <c r="E146" s="14" t="s">
        <v>37</v>
      </c>
      <c r="F146" s="14">
        <v>2139660</v>
      </c>
      <c r="G146" s="14" t="s">
        <v>21</v>
      </c>
      <c r="H146" s="14" t="s">
        <v>85</v>
      </c>
      <c r="I146" s="22">
        <v>207000</v>
      </c>
      <c r="J146" s="22">
        <v>5.3</v>
      </c>
      <c r="K146" s="45">
        <v>39114</v>
      </c>
      <c r="L146" s="45">
        <v>39232</v>
      </c>
      <c r="M146" s="14">
        <v>60</v>
      </c>
      <c r="N146" s="45">
        <v>41059</v>
      </c>
      <c r="O146" s="14">
        <v>420</v>
      </c>
      <c r="P146" s="14" t="s">
        <v>86</v>
      </c>
      <c r="Q146" s="14" t="s">
        <v>88</v>
      </c>
      <c r="R146" s="14">
        <v>1076.92</v>
      </c>
      <c r="S146" s="14">
        <v>50</v>
      </c>
      <c r="T146" s="14">
        <v>1</v>
      </c>
      <c r="U146" s="14">
        <v>1</v>
      </c>
      <c r="V146" s="14">
        <v>4</v>
      </c>
      <c r="W146" s="14">
        <v>4</v>
      </c>
      <c r="X146" s="14">
        <v>1</v>
      </c>
      <c r="Y146" s="14">
        <v>28</v>
      </c>
    </row>
    <row r="147" spans="1:25" x14ac:dyDescent="0.2">
      <c r="A147" s="14">
        <v>411</v>
      </c>
      <c r="B147" s="45">
        <v>39127</v>
      </c>
      <c r="C147" s="14">
        <v>1</v>
      </c>
      <c r="D147" s="14">
        <v>185</v>
      </c>
      <c r="E147" s="14" t="s">
        <v>37</v>
      </c>
      <c r="F147" s="14">
        <v>2139689</v>
      </c>
      <c r="G147" s="14" t="s">
        <v>21</v>
      </c>
      <c r="H147" s="14" t="s">
        <v>85</v>
      </c>
      <c r="I147" s="22">
        <v>207000</v>
      </c>
      <c r="J147" s="22">
        <v>5.3</v>
      </c>
      <c r="K147" s="45">
        <v>39114</v>
      </c>
      <c r="L147" s="45">
        <v>39232</v>
      </c>
      <c r="M147" s="14">
        <v>60</v>
      </c>
      <c r="N147" s="45">
        <v>41059</v>
      </c>
      <c r="O147" s="14">
        <v>420</v>
      </c>
      <c r="P147" s="14" t="s">
        <v>86</v>
      </c>
      <c r="Q147" s="14" t="s">
        <v>88</v>
      </c>
      <c r="R147" s="14">
        <v>1076.92</v>
      </c>
      <c r="S147" s="14">
        <v>50</v>
      </c>
      <c r="T147" s="14">
        <v>1</v>
      </c>
      <c r="U147" s="14">
        <v>1</v>
      </c>
      <c r="V147" s="14">
        <v>4</v>
      </c>
      <c r="W147" s="14">
        <v>4</v>
      </c>
      <c r="X147" s="14">
        <v>1</v>
      </c>
      <c r="Y147" s="14">
        <v>28</v>
      </c>
    </row>
    <row r="148" spans="1:25" x14ac:dyDescent="0.2">
      <c r="A148" s="14">
        <v>411</v>
      </c>
      <c r="B148" s="45">
        <v>39127</v>
      </c>
      <c r="C148" s="14">
        <v>1</v>
      </c>
      <c r="D148" s="14">
        <v>186</v>
      </c>
      <c r="E148" s="14" t="s">
        <v>37</v>
      </c>
      <c r="F148" s="14">
        <v>2139705</v>
      </c>
      <c r="G148" s="14" t="s">
        <v>21</v>
      </c>
      <c r="H148" s="14" t="s">
        <v>85</v>
      </c>
      <c r="I148" s="22">
        <v>113850</v>
      </c>
      <c r="J148" s="22">
        <v>5.3</v>
      </c>
      <c r="K148" s="45">
        <v>39114</v>
      </c>
      <c r="L148" s="45">
        <v>39234</v>
      </c>
      <c r="M148" s="14">
        <v>60</v>
      </c>
      <c r="N148" s="45">
        <v>41061</v>
      </c>
      <c r="O148" s="14">
        <v>420</v>
      </c>
      <c r="P148" s="14" t="s">
        <v>86</v>
      </c>
      <c r="Q148" s="14" t="s">
        <v>23</v>
      </c>
      <c r="R148" s="14">
        <v>592.30999999999995</v>
      </c>
      <c r="S148" s="14">
        <v>50</v>
      </c>
      <c r="T148" s="14">
        <v>1</v>
      </c>
      <c r="U148" s="14">
        <v>1</v>
      </c>
      <c r="V148" s="14">
        <v>4</v>
      </c>
      <c r="W148" s="14">
        <v>4</v>
      </c>
      <c r="X148" s="14">
        <v>1</v>
      </c>
      <c r="Y148" s="14">
        <v>28</v>
      </c>
    </row>
    <row r="149" spans="1:25" x14ac:dyDescent="0.2">
      <c r="A149" s="14">
        <v>411</v>
      </c>
      <c r="B149" s="45">
        <v>39127</v>
      </c>
      <c r="C149" s="14">
        <v>1</v>
      </c>
      <c r="D149" s="14">
        <v>187</v>
      </c>
      <c r="E149" s="14" t="s">
        <v>37</v>
      </c>
      <c r="F149" s="14">
        <v>2139732</v>
      </c>
      <c r="G149" s="14" t="s">
        <v>21</v>
      </c>
      <c r="H149" s="14" t="s">
        <v>85</v>
      </c>
      <c r="I149" s="22">
        <v>237130</v>
      </c>
      <c r="J149" s="22">
        <v>5.3</v>
      </c>
      <c r="K149" s="45">
        <v>39114</v>
      </c>
      <c r="L149" s="45">
        <v>39234</v>
      </c>
      <c r="M149" s="14">
        <v>60</v>
      </c>
      <c r="N149" s="45">
        <v>41061</v>
      </c>
      <c r="O149" s="14">
        <v>300</v>
      </c>
      <c r="P149" s="14" t="s">
        <v>86</v>
      </c>
      <c r="Q149" s="14" t="s">
        <v>23</v>
      </c>
      <c r="R149" s="14">
        <v>1419.93</v>
      </c>
      <c r="S149" s="14">
        <v>50</v>
      </c>
      <c r="T149" s="14">
        <v>1</v>
      </c>
      <c r="U149" s="14">
        <v>1</v>
      </c>
      <c r="V149" s="14">
        <v>4</v>
      </c>
      <c r="W149" s="14">
        <v>4</v>
      </c>
      <c r="X149" s="14">
        <v>1</v>
      </c>
      <c r="Y149" s="14">
        <v>28</v>
      </c>
    </row>
    <row r="150" spans="1:25" x14ac:dyDescent="0.2">
      <c r="A150" s="14">
        <v>411</v>
      </c>
      <c r="B150" s="45">
        <v>39127</v>
      </c>
      <c r="C150" s="14">
        <v>1</v>
      </c>
      <c r="D150" s="14">
        <v>188</v>
      </c>
      <c r="E150" s="14" t="s">
        <v>37</v>
      </c>
      <c r="F150" s="14">
        <v>2139737</v>
      </c>
      <c r="G150" s="14" t="s">
        <v>21</v>
      </c>
      <c r="H150" s="14" t="s">
        <v>85</v>
      </c>
      <c r="I150" s="22">
        <v>128875</v>
      </c>
      <c r="J150" s="22">
        <v>5.24</v>
      </c>
      <c r="K150" s="45">
        <v>39114</v>
      </c>
      <c r="L150" s="45">
        <v>39234</v>
      </c>
      <c r="M150" s="14">
        <v>36</v>
      </c>
      <c r="N150" s="45">
        <v>40330</v>
      </c>
      <c r="O150" s="14">
        <v>300</v>
      </c>
      <c r="P150" s="14" t="s">
        <v>86</v>
      </c>
      <c r="Q150" s="14" t="s">
        <v>88</v>
      </c>
      <c r="R150" s="14">
        <v>767.25</v>
      </c>
      <c r="S150" s="14">
        <v>50</v>
      </c>
      <c r="T150" s="14">
        <v>1</v>
      </c>
      <c r="U150" s="14">
        <v>1</v>
      </c>
      <c r="V150" s="14">
        <v>4</v>
      </c>
      <c r="W150" s="14">
        <v>2</v>
      </c>
      <c r="X150" s="14">
        <v>1</v>
      </c>
      <c r="Y150" s="14">
        <v>24</v>
      </c>
    </row>
    <row r="151" spans="1:25" x14ac:dyDescent="0.2">
      <c r="A151" s="14">
        <v>411</v>
      </c>
      <c r="B151" s="45">
        <v>39127</v>
      </c>
      <c r="C151" s="14">
        <v>1</v>
      </c>
      <c r="D151" s="14">
        <v>189</v>
      </c>
      <c r="E151" s="14" t="s">
        <v>37</v>
      </c>
      <c r="F151" s="14">
        <v>2139751</v>
      </c>
      <c r="G151" s="14" t="s">
        <v>21</v>
      </c>
      <c r="H151" s="14" t="s">
        <v>85</v>
      </c>
      <c r="I151" s="22">
        <v>117591</v>
      </c>
      <c r="J151" s="22">
        <v>5.24</v>
      </c>
      <c r="K151" s="45">
        <v>39114</v>
      </c>
      <c r="L151" s="45">
        <v>39234</v>
      </c>
      <c r="M151" s="14">
        <v>36</v>
      </c>
      <c r="N151" s="45">
        <v>40330</v>
      </c>
      <c r="O151" s="14">
        <v>420</v>
      </c>
      <c r="P151" s="14" t="s">
        <v>86</v>
      </c>
      <c r="Q151" s="14" t="s">
        <v>88</v>
      </c>
      <c r="R151" s="14">
        <v>607.30999999999995</v>
      </c>
      <c r="S151" s="14">
        <v>50</v>
      </c>
      <c r="T151" s="14">
        <v>1</v>
      </c>
      <c r="U151" s="14">
        <v>1</v>
      </c>
      <c r="V151" s="14">
        <v>4</v>
      </c>
      <c r="W151" s="14">
        <v>2</v>
      </c>
      <c r="X151" s="14">
        <v>1</v>
      </c>
      <c r="Y151" s="14">
        <v>24</v>
      </c>
    </row>
    <row r="152" spans="1:25" x14ac:dyDescent="0.2">
      <c r="A152" s="14">
        <v>411</v>
      </c>
      <c r="B152" s="45">
        <v>39127</v>
      </c>
      <c r="C152" s="14">
        <v>1</v>
      </c>
      <c r="D152" s="14">
        <v>190</v>
      </c>
      <c r="E152" s="14" t="s">
        <v>37</v>
      </c>
      <c r="F152" s="14">
        <v>2139761</v>
      </c>
      <c r="G152" s="14" t="s">
        <v>21</v>
      </c>
      <c r="H152" s="14" t="s">
        <v>85</v>
      </c>
      <c r="I152" s="22">
        <v>165600</v>
      </c>
      <c r="J152" s="22">
        <v>5.3</v>
      </c>
      <c r="K152" s="45">
        <v>39114</v>
      </c>
      <c r="L152" s="45">
        <v>39234</v>
      </c>
      <c r="M152" s="14">
        <v>60</v>
      </c>
      <c r="N152" s="45">
        <v>41061</v>
      </c>
      <c r="O152" s="14">
        <v>420</v>
      </c>
      <c r="P152" s="14" t="s">
        <v>86</v>
      </c>
      <c r="Q152" s="14" t="s">
        <v>23</v>
      </c>
      <c r="R152" s="14">
        <v>861.54</v>
      </c>
      <c r="S152" s="14">
        <v>50</v>
      </c>
      <c r="T152" s="14">
        <v>1</v>
      </c>
      <c r="U152" s="14">
        <v>1</v>
      </c>
      <c r="V152" s="14">
        <v>4</v>
      </c>
      <c r="W152" s="14">
        <v>4</v>
      </c>
      <c r="X152" s="14">
        <v>1</v>
      </c>
      <c r="Y152" s="14">
        <v>28</v>
      </c>
    </row>
    <row r="153" spans="1:25" x14ac:dyDescent="0.2">
      <c r="A153" s="14">
        <v>411</v>
      </c>
      <c r="B153" s="45">
        <v>39127</v>
      </c>
      <c r="C153" s="14">
        <v>1</v>
      </c>
      <c r="D153" s="14">
        <v>193</v>
      </c>
      <c r="E153" s="14" t="s">
        <v>37</v>
      </c>
      <c r="F153" s="14">
        <v>2139780</v>
      </c>
      <c r="G153" s="14" t="s">
        <v>21</v>
      </c>
      <c r="H153" s="14" t="s">
        <v>167</v>
      </c>
      <c r="I153" s="22">
        <v>164960</v>
      </c>
      <c r="J153" s="22">
        <v>5.3</v>
      </c>
      <c r="K153" s="45">
        <v>39114</v>
      </c>
      <c r="L153" s="45">
        <v>39234</v>
      </c>
      <c r="M153" s="14">
        <v>60</v>
      </c>
      <c r="N153" s="45">
        <v>41061</v>
      </c>
      <c r="O153" s="14">
        <v>300</v>
      </c>
      <c r="P153" s="14" t="s">
        <v>86</v>
      </c>
      <c r="Q153" s="14" t="s">
        <v>23</v>
      </c>
      <c r="R153" s="14">
        <v>987.78</v>
      </c>
      <c r="S153" s="14">
        <v>50</v>
      </c>
      <c r="T153" s="14">
        <v>1</v>
      </c>
      <c r="U153" s="14">
        <v>1</v>
      </c>
      <c r="V153" s="14">
        <v>4</v>
      </c>
      <c r="W153" s="14">
        <v>4</v>
      </c>
      <c r="X153" s="14">
        <v>1</v>
      </c>
      <c r="Y153" s="14">
        <v>28</v>
      </c>
    </row>
    <row r="154" spans="1:25" x14ac:dyDescent="0.2">
      <c r="A154" s="14">
        <v>411</v>
      </c>
      <c r="B154" s="45">
        <v>39127</v>
      </c>
      <c r="C154" s="14">
        <v>1</v>
      </c>
      <c r="D154" s="14">
        <v>195</v>
      </c>
      <c r="E154" s="14" t="s">
        <v>58</v>
      </c>
      <c r="F154" s="14">
        <v>2139810</v>
      </c>
      <c r="G154" s="14" t="s">
        <v>25</v>
      </c>
      <c r="H154" s="14" t="s">
        <v>168</v>
      </c>
      <c r="I154" s="22">
        <v>120292</v>
      </c>
      <c r="J154" s="22">
        <v>5.64</v>
      </c>
      <c r="K154" s="45">
        <v>39115</v>
      </c>
      <c r="L154" s="45">
        <v>39134</v>
      </c>
      <c r="M154" s="14">
        <v>120</v>
      </c>
      <c r="N154" s="45">
        <v>42787</v>
      </c>
      <c r="O154" s="14">
        <v>480</v>
      </c>
      <c r="P154" s="14" t="s">
        <v>86</v>
      </c>
      <c r="Q154" s="14" t="s">
        <v>88</v>
      </c>
      <c r="R154" s="14">
        <v>626.57000000000005</v>
      </c>
      <c r="S154" s="14">
        <v>51</v>
      </c>
      <c r="T154" s="14">
        <v>1</v>
      </c>
      <c r="U154" s="14">
        <v>2</v>
      </c>
      <c r="V154" s="14">
        <v>4</v>
      </c>
      <c r="W154" s="14">
        <v>6</v>
      </c>
      <c r="X154" s="14">
        <v>1</v>
      </c>
      <c r="Y154" s="14">
        <v>34</v>
      </c>
    </row>
    <row r="155" spans="1:25" x14ac:dyDescent="0.2">
      <c r="A155" s="14">
        <v>411</v>
      </c>
      <c r="B155" s="45">
        <v>39127</v>
      </c>
      <c r="C155" s="14">
        <v>1</v>
      </c>
      <c r="D155" s="14">
        <v>196</v>
      </c>
      <c r="E155" s="14" t="s">
        <v>37</v>
      </c>
      <c r="F155" s="14">
        <v>2139850</v>
      </c>
      <c r="G155" s="14" t="s">
        <v>21</v>
      </c>
      <c r="H155" s="14" t="s">
        <v>85</v>
      </c>
      <c r="I155" s="22">
        <v>191845</v>
      </c>
      <c r="J155" s="22">
        <v>5.3</v>
      </c>
      <c r="K155" s="45">
        <v>39115</v>
      </c>
      <c r="L155" s="45">
        <v>39235</v>
      </c>
      <c r="M155" s="14">
        <v>60</v>
      </c>
      <c r="N155" s="45">
        <v>41062</v>
      </c>
      <c r="O155" s="14">
        <v>480</v>
      </c>
      <c r="P155" s="14" t="s">
        <v>86</v>
      </c>
      <c r="Q155" s="14" t="s">
        <v>23</v>
      </c>
      <c r="R155" s="14">
        <v>956.08</v>
      </c>
      <c r="S155" s="14">
        <v>50</v>
      </c>
      <c r="T155" s="14">
        <v>1</v>
      </c>
      <c r="U155" s="14">
        <v>1</v>
      </c>
      <c r="V155" s="14">
        <v>4</v>
      </c>
      <c r="W155" s="14">
        <v>4</v>
      </c>
      <c r="X155" s="14">
        <v>1</v>
      </c>
      <c r="Y155" s="14">
        <v>28</v>
      </c>
    </row>
    <row r="156" spans="1:25" x14ac:dyDescent="0.2">
      <c r="A156" s="14">
        <v>411</v>
      </c>
      <c r="B156" s="45">
        <v>39127</v>
      </c>
      <c r="C156" s="14">
        <v>1</v>
      </c>
      <c r="D156" s="14">
        <v>197</v>
      </c>
      <c r="E156" s="14" t="s">
        <v>37</v>
      </c>
      <c r="F156" s="14">
        <v>2139870</v>
      </c>
      <c r="G156" s="14" t="s">
        <v>21</v>
      </c>
      <c r="H156" s="14" t="s">
        <v>85</v>
      </c>
      <c r="I156" s="22">
        <v>238510</v>
      </c>
      <c r="J156" s="22">
        <v>5.3</v>
      </c>
      <c r="K156" s="45">
        <v>39115</v>
      </c>
      <c r="L156" s="45">
        <v>39234</v>
      </c>
      <c r="M156" s="14">
        <v>60</v>
      </c>
      <c r="N156" s="45">
        <v>41061</v>
      </c>
      <c r="O156" s="14">
        <v>480</v>
      </c>
      <c r="P156" s="14" t="s">
        <v>86</v>
      </c>
      <c r="Q156" s="14" t="s">
        <v>23</v>
      </c>
      <c r="R156" s="14">
        <v>1188.6400000000001</v>
      </c>
      <c r="S156" s="14">
        <v>50</v>
      </c>
      <c r="T156" s="14">
        <v>1</v>
      </c>
      <c r="U156" s="14">
        <v>1</v>
      </c>
      <c r="V156" s="14">
        <v>4</v>
      </c>
      <c r="W156" s="14">
        <v>4</v>
      </c>
      <c r="X156" s="14">
        <v>1</v>
      </c>
      <c r="Y156" s="14">
        <v>28</v>
      </c>
    </row>
    <row r="157" spans="1:25" x14ac:dyDescent="0.2">
      <c r="A157" s="14">
        <v>411</v>
      </c>
      <c r="B157" s="45">
        <v>39127</v>
      </c>
      <c r="C157" s="14">
        <v>1</v>
      </c>
      <c r="D157" s="14">
        <v>198</v>
      </c>
      <c r="E157" s="14" t="s">
        <v>37</v>
      </c>
      <c r="F157" s="14">
        <v>2139894</v>
      </c>
      <c r="G157" s="14" t="s">
        <v>21</v>
      </c>
      <c r="H157" s="14" t="s">
        <v>85</v>
      </c>
      <c r="I157" s="22">
        <v>254375</v>
      </c>
      <c r="J157" s="22">
        <v>5.3</v>
      </c>
      <c r="K157" s="45">
        <v>39115</v>
      </c>
      <c r="L157" s="45">
        <v>39234</v>
      </c>
      <c r="M157" s="14">
        <v>60</v>
      </c>
      <c r="N157" s="45">
        <v>41061</v>
      </c>
      <c r="O157" s="14">
        <v>300</v>
      </c>
      <c r="P157" s="14" t="s">
        <v>86</v>
      </c>
      <c r="Q157" s="14" t="s">
        <v>23</v>
      </c>
      <c r="R157" s="14">
        <v>1523.2</v>
      </c>
      <c r="S157" s="14">
        <v>50</v>
      </c>
      <c r="T157" s="14">
        <v>1</v>
      </c>
      <c r="U157" s="14">
        <v>1</v>
      </c>
      <c r="V157" s="14">
        <v>4</v>
      </c>
      <c r="W157" s="14">
        <v>4</v>
      </c>
      <c r="X157" s="14">
        <v>1</v>
      </c>
      <c r="Y157" s="14">
        <v>28</v>
      </c>
    </row>
    <row r="158" spans="1:25" x14ac:dyDescent="0.2">
      <c r="A158" s="14">
        <v>411</v>
      </c>
      <c r="B158" s="45">
        <v>39127</v>
      </c>
      <c r="C158" s="14">
        <v>1</v>
      </c>
      <c r="D158" s="14">
        <v>200</v>
      </c>
      <c r="E158" s="14" t="s">
        <v>37</v>
      </c>
      <c r="F158" s="14">
        <v>2139915</v>
      </c>
      <c r="G158" s="14" t="s">
        <v>21</v>
      </c>
      <c r="H158" s="14" t="s">
        <v>85</v>
      </c>
      <c r="I158" s="22">
        <v>244031.25</v>
      </c>
      <c r="J158" s="22">
        <v>5.3</v>
      </c>
      <c r="K158" s="45">
        <v>39115</v>
      </c>
      <c r="L158" s="45">
        <v>39234</v>
      </c>
      <c r="M158" s="14">
        <v>60</v>
      </c>
      <c r="N158" s="45">
        <v>41061</v>
      </c>
      <c r="O158" s="14">
        <v>300</v>
      </c>
      <c r="P158" s="14" t="s">
        <v>86</v>
      </c>
      <c r="Q158" s="14" t="s">
        <v>23</v>
      </c>
      <c r="R158" s="14">
        <v>1461.26</v>
      </c>
      <c r="S158" s="14">
        <v>50</v>
      </c>
      <c r="T158" s="14">
        <v>1</v>
      </c>
      <c r="U158" s="14">
        <v>1</v>
      </c>
      <c r="V158" s="14">
        <v>4</v>
      </c>
      <c r="W158" s="14">
        <v>4</v>
      </c>
      <c r="X158" s="14">
        <v>1</v>
      </c>
      <c r="Y158" s="14">
        <v>28</v>
      </c>
    </row>
    <row r="159" spans="1:25" x14ac:dyDescent="0.2">
      <c r="A159" s="14">
        <v>411</v>
      </c>
      <c r="B159" s="45">
        <v>39127</v>
      </c>
      <c r="C159" s="14">
        <v>1</v>
      </c>
      <c r="D159" s="14">
        <v>203</v>
      </c>
      <c r="E159" s="14" t="s">
        <v>37</v>
      </c>
      <c r="F159" s="14">
        <v>2139983</v>
      </c>
      <c r="G159" s="14" t="s">
        <v>25</v>
      </c>
      <c r="H159" s="14" t="s">
        <v>85</v>
      </c>
      <c r="I159" s="22">
        <v>186660</v>
      </c>
      <c r="J159" s="22">
        <v>5.3</v>
      </c>
      <c r="K159" s="45">
        <v>39118</v>
      </c>
      <c r="L159" s="45">
        <v>39238</v>
      </c>
      <c r="M159" s="14">
        <v>60</v>
      </c>
      <c r="N159" s="45">
        <v>41065</v>
      </c>
      <c r="O159" s="14">
        <v>480</v>
      </c>
      <c r="P159" s="14" t="s">
        <v>86</v>
      </c>
      <c r="Q159" s="14" t="s">
        <v>23</v>
      </c>
      <c r="R159" s="14">
        <v>930.24</v>
      </c>
      <c r="S159" s="14">
        <v>50</v>
      </c>
      <c r="T159" s="14">
        <v>1</v>
      </c>
      <c r="U159" s="14">
        <v>2</v>
      </c>
      <c r="V159" s="14">
        <v>4</v>
      </c>
      <c r="W159" s="14">
        <v>4</v>
      </c>
      <c r="X159" s="14">
        <v>1</v>
      </c>
      <c r="Y159" s="14">
        <v>28</v>
      </c>
    </row>
    <row r="160" spans="1:25" x14ac:dyDescent="0.2">
      <c r="A160" s="14">
        <v>411</v>
      </c>
      <c r="B160" s="45">
        <v>39127</v>
      </c>
      <c r="C160" s="14">
        <v>1</v>
      </c>
      <c r="D160" s="14">
        <v>204</v>
      </c>
      <c r="E160" s="14" t="s">
        <v>58</v>
      </c>
      <c r="F160" s="14">
        <v>2139995</v>
      </c>
      <c r="G160" s="14" t="s">
        <v>25</v>
      </c>
      <c r="H160" s="14" t="s">
        <v>169</v>
      </c>
      <c r="I160" s="22">
        <v>87210</v>
      </c>
      <c r="J160" s="22">
        <v>5.42</v>
      </c>
      <c r="K160" s="45">
        <v>39118</v>
      </c>
      <c r="L160" s="45">
        <v>39202</v>
      </c>
      <c r="M160" s="14">
        <v>24</v>
      </c>
      <c r="N160" s="45">
        <v>39933</v>
      </c>
      <c r="O160" s="14">
        <v>300</v>
      </c>
      <c r="P160" s="14" t="s">
        <v>86</v>
      </c>
      <c r="Q160" s="14" t="s">
        <v>23</v>
      </c>
      <c r="R160" s="14">
        <v>528.27</v>
      </c>
      <c r="S160" s="14">
        <v>51</v>
      </c>
      <c r="T160" s="14">
        <v>1</v>
      </c>
      <c r="U160" s="14">
        <v>2</v>
      </c>
      <c r="V160" s="14">
        <v>4</v>
      </c>
      <c r="W160" s="14">
        <v>1</v>
      </c>
      <c r="X160" s="14">
        <v>1</v>
      </c>
      <c r="Y160" s="14">
        <v>22</v>
      </c>
    </row>
    <row r="161" spans="1:25" x14ac:dyDescent="0.2">
      <c r="A161" s="14">
        <v>411</v>
      </c>
      <c r="B161" s="45">
        <v>39127</v>
      </c>
      <c r="C161" s="14">
        <v>1</v>
      </c>
      <c r="D161" s="14">
        <v>210</v>
      </c>
      <c r="E161" s="14" t="s">
        <v>58</v>
      </c>
      <c r="F161" s="14">
        <v>2140068</v>
      </c>
      <c r="G161" s="14" t="s">
        <v>21</v>
      </c>
      <c r="H161" s="14" t="s">
        <v>170</v>
      </c>
      <c r="I161" s="22">
        <v>197532.25</v>
      </c>
      <c r="J161" s="22">
        <v>5.3</v>
      </c>
      <c r="K161" s="45">
        <v>39118</v>
      </c>
      <c r="L161" s="45">
        <v>39157</v>
      </c>
      <c r="M161" s="14">
        <v>60</v>
      </c>
      <c r="N161" s="45">
        <v>40984</v>
      </c>
      <c r="O161" s="14">
        <v>420</v>
      </c>
      <c r="P161" s="14" t="s">
        <v>86</v>
      </c>
      <c r="Q161" s="14" t="s">
        <v>23</v>
      </c>
      <c r="R161" s="14">
        <v>1027.67</v>
      </c>
      <c r="S161" s="14">
        <v>51</v>
      </c>
      <c r="T161" s="14">
        <v>1</v>
      </c>
      <c r="U161" s="14">
        <v>1</v>
      </c>
      <c r="V161" s="14">
        <v>4</v>
      </c>
      <c r="W161" s="14">
        <v>4</v>
      </c>
      <c r="X161" s="14">
        <v>1</v>
      </c>
      <c r="Y161" s="14">
        <v>28</v>
      </c>
    </row>
    <row r="162" spans="1:25" x14ac:dyDescent="0.2">
      <c r="A162" s="14">
        <v>411</v>
      </c>
      <c r="B162" s="45">
        <v>39127</v>
      </c>
      <c r="C162" s="14">
        <v>1</v>
      </c>
      <c r="D162" s="14">
        <v>211</v>
      </c>
      <c r="E162" s="14" t="s">
        <v>37</v>
      </c>
      <c r="F162" s="14">
        <v>2140085</v>
      </c>
      <c r="G162" s="14" t="s">
        <v>21</v>
      </c>
      <c r="H162" s="14" t="s">
        <v>85</v>
      </c>
      <c r="I162" s="22">
        <v>134810</v>
      </c>
      <c r="J162" s="22">
        <v>5.3</v>
      </c>
      <c r="K162" s="45">
        <v>39118</v>
      </c>
      <c r="L162" s="45">
        <v>39238</v>
      </c>
      <c r="M162" s="14">
        <v>60</v>
      </c>
      <c r="N162" s="45">
        <v>41065</v>
      </c>
      <c r="O162" s="14">
        <v>480</v>
      </c>
      <c r="P162" s="14" t="s">
        <v>86</v>
      </c>
      <c r="Q162" s="14" t="s">
        <v>23</v>
      </c>
      <c r="R162" s="14">
        <v>671.84</v>
      </c>
      <c r="S162" s="14">
        <v>50</v>
      </c>
      <c r="T162" s="14">
        <v>1</v>
      </c>
      <c r="U162" s="14">
        <v>1</v>
      </c>
      <c r="V162" s="14">
        <v>4</v>
      </c>
      <c r="W162" s="14">
        <v>4</v>
      </c>
      <c r="X162" s="14">
        <v>1</v>
      </c>
      <c r="Y162" s="14">
        <v>28</v>
      </c>
    </row>
    <row r="163" spans="1:25" x14ac:dyDescent="0.2">
      <c r="A163" s="14">
        <v>411</v>
      </c>
      <c r="B163" s="45">
        <v>39127</v>
      </c>
      <c r="C163" s="14">
        <v>1</v>
      </c>
      <c r="D163" s="14">
        <v>212</v>
      </c>
      <c r="E163" s="14" t="s">
        <v>37</v>
      </c>
      <c r="F163" s="14">
        <v>2140099</v>
      </c>
      <c r="G163" s="14" t="s">
        <v>21</v>
      </c>
      <c r="H163" s="14" t="s">
        <v>85</v>
      </c>
      <c r="I163" s="22">
        <v>196650</v>
      </c>
      <c r="J163" s="22">
        <v>5.3</v>
      </c>
      <c r="K163" s="45">
        <v>39118</v>
      </c>
      <c r="L163" s="45">
        <v>39238</v>
      </c>
      <c r="M163" s="14">
        <v>60</v>
      </c>
      <c r="N163" s="45">
        <v>41065</v>
      </c>
      <c r="O163" s="14">
        <v>420</v>
      </c>
      <c r="P163" s="14" t="s">
        <v>86</v>
      </c>
      <c r="Q163" s="14" t="s">
        <v>23</v>
      </c>
      <c r="R163" s="14">
        <v>1023.08</v>
      </c>
      <c r="S163" s="14">
        <v>50</v>
      </c>
      <c r="T163" s="14">
        <v>1</v>
      </c>
      <c r="U163" s="14">
        <v>1</v>
      </c>
      <c r="V163" s="14">
        <v>4</v>
      </c>
      <c r="W163" s="14">
        <v>4</v>
      </c>
      <c r="X163" s="14">
        <v>1</v>
      </c>
      <c r="Y163" s="14">
        <v>28</v>
      </c>
    </row>
    <row r="164" spans="1:25" x14ac:dyDescent="0.2">
      <c r="A164" s="14">
        <v>411</v>
      </c>
      <c r="B164" s="45">
        <v>39127</v>
      </c>
      <c r="C164" s="14">
        <v>1</v>
      </c>
      <c r="D164" s="14">
        <v>213</v>
      </c>
      <c r="E164" s="14" t="s">
        <v>37</v>
      </c>
      <c r="F164" s="14">
        <v>2140151</v>
      </c>
      <c r="G164" s="14" t="s">
        <v>21</v>
      </c>
      <c r="H164" s="14" t="s">
        <v>85</v>
      </c>
      <c r="I164" s="22">
        <v>300730</v>
      </c>
      <c r="J164" s="22">
        <v>5.3</v>
      </c>
      <c r="K164" s="45">
        <v>39118</v>
      </c>
      <c r="L164" s="45">
        <v>39238</v>
      </c>
      <c r="M164" s="14">
        <v>60</v>
      </c>
      <c r="N164" s="45">
        <v>41065</v>
      </c>
      <c r="O164" s="14">
        <v>480</v>
      </c>
      <c r="P164" s="14" t="s">
        <v>86</v>
      </c>
      <c r="Q164" s="14" t="s">
        <v>23</v>
      </c>
      <c r="R164" s="14">
        <v>1498.72</v>
      </c>
      <c r="S164" s="14">
        <v>50</v>
      </c>
      <c r="T164" s="14">
        <v>1</v>
      </c>
      <c r="U164" s="14">
        <v>1</v>
      </c>
      <c r="V164" s="14">
        <v>4</v>
      </c>
      <c r="W164" s="14">
        <v>4</v>
      </c>
      <c r="X164" s="14">
        <v>1</v>
      </c>
      <c r="Y164" s="14">
        <v>28</v>
      </c>
    </row>
    <row r="165" spans="1:25" x14ac:dyDescent="0.2">
      <c r="A165" s="14">
        <v>411</v>
      </c>
      <c r="B165" s="45">
        <v>39127</v>
      </c>
      <c r="C165" s="14">
        <v>1</v>
      </c>
      <c r="D165" s="14">
        <v>214</v>
      </c>
      <c r="E165" s="14" t="s">
        <v>37</v>
      </c>
      <c r="F165" s="14">
        <v>2140154</v>
      </c>
      <c r="G165" s="14" t="s">
        <v>21</v>
      </c>
      <c r="H165" s="14" t="s">
        <v>85</v>
      </c>
      <c r="I165" s="22">
        <v>293977.5</v>
      </c>
      <c r="J165" s="22">
        <v>5.3</v>
      </c>
      <c r="K165" s="45">
        <v>39118</v>
      </c>
      <c r="L165" s="45">
        <v>39238</v>
      </c>
      <c r="M165" s="14">
        <v>60</v>
      </c>
      <c r="N165" s="45">
        <v>41065</v>
      </c>
      <c r="O165" s="14">
        <v>420</v>
      </c>
      <c r="P165" s="14" t="s">
        <v>86</v>
      </c>
      <c r="Q165" s="14" t="s">
        <v>23</v>
      </c>
      <c r="R165" s="14">
        <v>1529.42</v>
      </c>
      <c r="S165" s="14">
        <v>50</v>
      </c>
      <c r="T165" s="14">
        <v>1</v>
      </c>
      <c r="U165" s="14">
        <v>1</v>
      </c>
      <c r="V165" s="14">
        <v>4</v>
      </c>
      <c r="W165" s="14">
        <v>4</v>
      </c>
      <c r="X165" s="14">
        <v>1</v>
      </c>
      <c r="Y165" s="14">
        <v>28</v>
      </c>
    </row>
    <row r="166" spans="1:25" x14ac:dyDescent="0.2">
      <c r="A166" s="14">
        <v>411</v>
      </c>
      <c r="B166" s="45">
        <v>39127</v>
      </c>
      <c r="C166" s="14">
        <v>1</v>
      </c>
      <c r="D166" s="14">
        <v>402</v>
      </c>
      <c r="E166" s="14" t="s">
        <v>58</v>
      </c>
      <c r="F166" s="14">
        <v>387709</v>
      </c>
      <c r="G166" s="14" t="s">
        <v>21</v>
      </c>
      <c r="H166" s="14" t="s">
        <v>108</v>
      </c>
      <c r="I166" s="22">
        <v>559521</v>
      </c>
      <c r="J166" s="22">
        <v>5.24</v>
      </c>
      <c r="K166" s="45">
        <v>39118</v>
      </c>
      <c r="L166" s="45">
        <v>39142</v>
      </c>
      <c r="M166" s="14">
        <v>60</v>
      </c>
      <c r="N166" s="45">
        <v>40969</v>
      </c>
      <c r="O166" s="14">
        <v>420</v>
      </c>
      <c r="P166" s="14" t="s">
        <v>86</v>
      </c>
      <c r="Q166" s="14" t="s">
        <v>23</v>
      </c>
      <c r="R166" s="14">
        <v>2889.72</v>
      </c>
      <c r="S166" s="14">
        <v>51</v>
      </c>
      <c r="T166" s="14">
        <v>1</v>
      </c>
      <c r="U166" s="14">
        <v>1</v>
      </c>
      <c r="V166" s="14">
        <v>6</v>
      </c>
      <c r="W166" s="14">
        <v>4</v>
      </c>
      <c r="X166" s="14">
        <v>1</v>
      </c>
    </row>
    <row r="167" spans="1:25" x14ac:dyDescent="0.2">
      <c r="A167" s="14">
        <v>411</v>
      </c>
      <c r="B167" s="45">
        <v>39127</v>
      </c>
      <c r="C167" s="14">
        <v>1</v>
      </c>
      <c r="D167" s="14">
        <v>403</v>
      </c>
      <c r="E167" s="14" t="s">
        <v>37</v>
      </c>
      <c r="F167" s="14">
        <v>387749</v>
      </c>
      <c r="G167" s="14" t="s">
        <v>21</v>
      </c>
      <c r="H167" s="14" t="s">
        <v>85</v>
      </c>
      <c r="I167" s="22">
        <v>313576</v>
      </c>
      <c r="J167" s="22">
        <v>5.0999999999999996</v>
      </c>
      <c r="K167" s="45">
        <v>39119</v>
      </c>
      <c r="L167" s="45">
        <v>39239</v>
      </c>
      <c r="M167" s="14">
        <v>60</v>
      </c>
      <c r="N167" s="45">
        <v>41066</v>
      </c>
      <c r="O167" s="14">
        <v>420</v>
      </c>
      <c r="P167" s="14" t="s">
        <v>6</v>
      </c>
      <c r="Q167" s="14" t="s">
        <v>23</v>
      </c>
      <c r="R167" s="14">
        <v>1591.92</v>
      </c>
      <c r="S167" s="14">
        <v>50</v>
      </c>
      <c r="T167" s="14">
        <v>7</v>
      </c>
      <c r="U167" s="14">
        <v>1</v>
      </c>
      <c r="V167" s="14">
        <v>6</v>
      </c>
      <c r="W167" s="14">
        <v>4</v>
      </c>
      <c r="X167" s="14">
        <v>1</v>
      </c>
    </row>
    <row r="168" spans="1:25" x14ac:dyDescent="0.2">
      <c r="A168" s="14">
        <v>411</v>
      </c>
      <c r="B168" s="45">
        <v>39127</v>
      </c>
      <c r="C168" s="14">
        <v>1</v>
      </c>
      <c r="D168" s="14">
        <v>404</v>
      </c>
      <c r="E168" s="14" t="s">
        <v>37</v>
      </c>
      <c r="F168" s="14">
        <v>387788</v>
      </c>
      <c r="G168" s="14" t="s">
        <v>25</v>
      </c>
      <c r="H168" s="14" t="s">
        <v>85</v>
      </c>
      <c r="I168" s="22">
        <v>206200</v>
      </c>
      <c r="J168" s="22">
        <v>5.24</v>
      </c>
      <c r="K168" s="45">
        <v>39119</v>
      </c>
      <c r="L168" s="45">
        <v>39239</v>
      </c>
      <c r="M168" s="14">
        <v>60</v>
      </c>
      <c r="N168" s="45">
        <v>41066</v>
      </c>
      <c r="O168" s="14">
        <v>300</v>
      </c>
      <c r="P168" s="14" t="s">
        <v>86</v>
      </c>
      <c r="Q168" s="14" t="s">
        <v>23</v>
      </c>
      <c r="R168" s="14">
        <v>1227.5999999999999</v>
      </c>
      <c r="S168" s="14">
        <v>50</v>
      </c>
      <c r="T168" s="14">
        <v>1</v>
      </c>
      <c r="U168" s="14">
        <v>2</v>
      </c>
      <c r="V168" s="14">
        <v>6</v>
      </c>
      <c r="W168" s="14">
        <v>4</v>
      </c>
      <c r="X168" s="14">
        <v>1</v>
      </c>
    </row>
    <row r="169" spans="1:25" x14ac:dyDescent="0.2">
      <c r="A169" s="14">
        <v>411</v>
      </c>
      <c r="B169" s="45">
        <v>39127</v>
      </c>
      <c r="C169" s="14">
        <v>1</v>
      </c>
      <c r="D169" s="14">
        <v>406</v>
      </c>
      <c r="E169" s="14" t="s">
        <v>37</v>
      </c>
      <c r="F169" s="14">
        <v>2135231</v>
      </c>
      <c r="G169" s="14" t="s">
        <v>25</v>
      </c>
      <c r="H169" s="14" t="s">
        <v>85</v>
      </c>
      <c r="I169" s="22">
        <v>372600</v>
      </c>
      <c r="J169" s="22">
        <v>5.64</v>
      </c>
      <c r="K169" s="45">
        <v>39085</v>
      </c>
      <c r="L169" s="45">
        <v>39213</v>
      </c>
      <c r="M169" s="14">
        <v>120</v>
      </c>
      <c r="N169" s="45">
        <v>42866</v>
      </c>
      <c r="O169" s="14">
        <v>420</v>
      </c>
      <c r="P169" s="14" t="s">
        <v>86</v>
      </c>
      <c r="Q169" s="14" t="s">
        <v>23</v>
      </c>
      <c r="R169" s="14">
        <v>2019.23</v>
      </c>
      <c r="S169" s="14">
        <v>50</v>
      </c>
      <c r="T169" s="14">
        <v>1</v>
      </c>
      <c r="U169" s="14">
        <v>2</v>
      </c>
      <c r="V169" s="14">
        <v>4</v>
      </c>
      <c r="W169" s="14">
        <v>6</v>
      </c>
      <c r="X169" s="14">
        <v>1</v>
      </c>
      <c r="Y169" s="14">
        <v>14</v>
      </c>
    </row>
    <row r="170" spans="1:25" x14ac:dyDescent="0.2">
      <c r="A170" s="14">
        <v>411</v>
      </c>
      <c r="B170" s="45">
        <v>39127</v>
      </c>
      <c r="C170" s="14">
        <v>1</v>
      </c>
      <c r="D170" s="14">
        <v>409</v>
      </c>
      <c r="E170" s="14" t="s">
        <v>37</v>
      </c>
      <c r="F170" s="14">
        <v>2140047</v>
      </c>
      <c r="G170" s="14" t="s">
        <v>21</v>
      </c>
      <c r="H170" s="14" t="s">
        <v>85</v>
      </c>
      <c r="I170" s="22">
        <v>217770</v>
      </c>
      <c r="J170" s="22">
        <v>5.3</v>
      </c>
      <c r="K170" s="45">
        <v>39118</v>
      </c>
      <c r="L170" s="45">
        <v>39237</v>
      </c>
      <c r="M170" s="14">
        <v>60</v>
      </c>
      <c r="N170" s="45">
        <v>41064</v>
      </c>
      <c r="O170" s="14">
        <v>480</v>
      </c>
      <c r="P170" s="14" t="s">
        <v>86</v>
      </c>
      <c r="Q170" s="14" t="s">
        <v>23</v>
      </c>
      <c r="R170" s="14">
        <v>1085.28</v>
      </c>
      <c r="S170" s="14">
        <v>50</v>
      </c>
      <c r="T170" s="14">
        <v>1</v>
      </c>
      <c r="U170" s="14">
        <v>1</v>
      </c>
      <c r="V170" s="14">
        <v>4</v>
      </c>
      <c r="W170" s="14">
        <v>4</v>
      </c>
      <c r="X170" s="14">
        <v>1</v>
      </c>
      <c r="Y170" s="14">
        <v>28</v>
      </c>
    </row>
    <row r="171" spans="1:25" x14ac:dyDescent="0.2">
      <c r="A171" s="14">
        <v>411</v>
      </c>
      <c r="B171" s="45">
        <v>39127</v>
      </c>
      <c r="C171" s="14">
        <v>1</v>
      </c>
      <c r="D171" s="14">
        <v>411</v>
      </c>
      <c r="E171" s="14" t="s">
        <v>37</v>
      </c>
      <c r="F171" s="14">
        <v>2140200</v>
      </c>
      <c r="G171" s="14" t="s">
        <v>21</v>
      </c>
      <c r="H171" s="14" t="s">
        <v>85</v>
      </c>
      <c r="I171" s="22">
        <v>399245</v>
      </c>
      <c r="J171" s="22">
        <v>5.3</v>
      </c>
      <c r="K171" s="45">
        <v>39118</v>
      </c>
      <c r="L171" s="45">
        <v>39238</v>
      </c>
      <c r="M171" s="14">
        <v>60</v>
      </c>
      <c r="N171" s="45">
        <v>41065</v>
      </c>
      <c r="O171" s="14">
        <v>480</v>
      </c>
      <c r="P171" s="14" t="s">
        <v>86</v>
      </c>
      <c r="Q171" s="14" t="s">
        <v>23</v>
      </c>
      <c r="R171" s="14">
        <v>1989.68</v>
      </c>
      <c r="S171" s="14">
        <v>50</v>
      </c>
      <c r="T171" s="14">
        <v>1</v>
      </c>
      <c r="U171" s="14">
        <v>1</v>
      </c>
      <c r="V171" s="14">
        <v>4</v>
      </c>
      <c r="W171" s="14">
        <v>4</v>
      </c>
      <c r="X171" s="14">
        <v>1</v>
      </c>
      <c r="Y171" s="14">
        <v>28</v>
      </c>
    </row>
    <row r="172" spans="1:25" x14ac:dyDescent="0.2">
      <c r="A172" s="14">
        <v>411</v>
      </c>
      <c r="B172" s="45">
        <v>39127</v>
      </c>
      <c r="C172" s="14">
        <v>1</v>
      </c>
      <c r="D172" s="14">
        <v>412</v>
      </c>
      <c r="E172" s="14" t="s">
        <v>37</v>
      </c>
      <c r="F172" s="14">
        <v>2140211</v>
      </c>
      <c r="G172" s="14" t="s">
        <v>21</v>
      </c>
      <c r="H172" s="14" t="s">
        <v>85</v>
      </c>
      <c r="I172" s="22">
        <v>238050</v>
      </c>
      <c r="J172" s="22">
        <v>5.3</v>
      </c>
      <c r="K172" s="45">
        <v>39119</v>
      </c>
      <c r="L172" s="45">
        <v>39239</v>
      </c>
      <c r="M172" s="14">
        <v>60</v>
      </c>
      <c r="N172" s="45">
        <v>41066</v>
      </c>
      <c r="O172" s="14">
        <v>420</v>
      </c>
      <c r="P172" s="14" t="s">
        <v>86</v>
      </c>
      <c r="Q172" s="14" t="s">
        <v>23</v>
      </c>
      <c r="R172" s="14">
        <v>1238.46</v>
      </c>
      <c r="S172" s="14">
        <v>50</v>
      </c>
      <c r="T172" s="14">
        <v>1</v>
      </c>
      <c r="U172" s="14">
        <v>1</v>
      </c>
      <c r="V172" s="14">
        <v>4</v>
      </c>
      <c r="W172" s="14">
        <v>4</v>
      </c>
      <c r="X172" s="14">
        <v>1</v>
      </c>
      <c r="Y172" s="14">
        <v>28</v>
      </c>
    </row>
    <row r="173" spans="1:25" x14ac:dyDescent="0.2">
      <c r="A173" s="14">
        <v>411</v>
      </c>
      <c r="B173" s="45">
        <v>39127</v>
      </c>
      <c r="C173" s="14">
        <v>1</v>
      </c>
      <c r="D173" s="14">
        <v>413</v>
      </c>
      <c r="E173" s="14" t="s">
        <v>37</v>
      </c>
      <c r="F173" s="14">
        <v>2140218</v>
      </c>
      <c r="G173" s="14" t="s">
        <v>21</v>
      </c>
      <c r="H173" s="14" t="s">
        <v>85</v>
      </c>
      <c r="I173" s="22">
        <v>388125</v>
      </c>
      <c r="J173" s="22">
        <v>5.3</v>
      </c>
      <c r="K173" s="45">
        <v>39119</v>
      </c>
      <c r="L173" s="45">
        <v>39239</v>
      </c>
      <c r="M173" s="14">
        <v>60</v>
      </c>
      <c r="N173" s="45">
        <v>41066</v>
      </c>
      <c r="O173" s="14">
        <v>420</v>
      </c>
      <c r="P173" s="14" t="s">
        <v>86</v>
      </c>
      <c r="Q173" s="14" t="s">
        <v>23</v>
      </c>
      <c r="R173" s="14">
        <v>2019.23</v>
      </c>
      <c r="S173" s="14">
        <v>50</v>
      </c>
      <c r="T173" s="14">
        <v>1</v>
      </c>
      <c r="U173" s="14">
        <v>1</v>
      </c>
      <c r="V173" s="14">
        <v>4</v>
      </c>
      <c r="W173" s="14">
        <v>4</v>
      </c>
      <c r="X173" s="14">
        <v>1</v>
      </c>
      <c r="Y173" s="14">
        <v>28</v>
      </c>
    </row>
    <row r="174" spans="1:25" x14ac:dyDescent="0.2">
      <c r="A174" s="14">
        <v>411</v>
      </c>
      <c r="B174" s="45">
        <v>39127</v>
      </c>
      <c r="C174" s="14">
        <v>1</v>
      </c>
      <c r="D174" s="14">
        <v>414</v>
      </c>
      <c r="E174" s="14" t="s">
        <v>37</v>
      </c>
      <c r="F174" s="14">
        <v>2140253</v>
      </c>
      <c r="G174" s="14" t="s">
        <v>21</v>
      </c>
      <c r="H174" s="14" t="s">
        <v>85</v>
      </c>
      <c r="I174" s="22">
        <v>134810</v>
      </c>
      <c r="J174" s="22">
        <v>5.3</v>
      </c>
      <c r="K174" s="45">
        <v>39119</v>
      </c>
      <c r="L174" s="45">
        <v>39239</v>
      </c>
      <c r="M174" s="14">
        <v>60</v>
      </c>
      <c r="N174" s="45">
        <v>41066</v>
      </c>
      <c r="O174" s="14">
        <v>480</v>
      </c>
      <c r="P174" s="14" t="s">
        <v>86</v>
      </c>
      <c r="Q174" s="14" t="s">
        <v>23</v>
      </c>
      <c r="R174" s="14">
        <v>671.84</v>
      </c>
      <c r="S174" s="14">
        <v>50</v>
      </c>
      <c r="T174" s="14">
        <v>1</v>
      </c>
      <c r="U174" s="14">
        <v>1</v>
      </c>
      <c r="V174" s="14">
        <v>4</v>
      </c>
      <c r="W174" s="14">
        <v>4</v>
      </c>
      <c r="X174" s="14">
        <v>1</v>
      </c>
      <c r="Y174" s="14">
        <v>28</v>
      </c>
    </row>
    <row r="175" spans="1:25" x14ac:dyDescent="0.2">
      <c r="A175" s="14">
        <v>411</v>
      </c>
      <c r="B175" s="45">
        <v>39127</v>
      </c>
      <c r="C175" s="14">
        <v>1</v>
      </c>
      <c r="D175" s="14">
        <v>415</v>
      </c>
      <c r="E175" s="14" t="s">
        <v>37</v>
      </c>
      <c r="F175" s="14">
        <v>2140274</v>
      </c>
      <c r="G175" s="14" t="s">
        <v>21</v>
      </c>
      <c r="H175" s="14" t="s">
        <v>85</v>
      </c>
      <c r="I175" s="22">
        <v>137921</v>
      </c>
      <c r="J175" s="22">
        <v>5.3</v>
      </c>
      <c r="K175" s="45">
        <v>39119</v>
      </c>
      <c r="L175" s="45">
        <v>39239</v>
      </c>
      <c r="M175" s="14">
        <v>60</v>
      </c>
      <c r="N175" s="45">
        <v>41066</v>
      </c>
      <c r="O175" s="14">
        <v>480</v>
      </c>
      <c r="P175" s="14" t="s">
        <v>86</v>
      </c>
      <c r="Q175" s="14" t="s">
        <v>23</v>
      </c>
      <c r="R175" s="14">
        <v>687.34</v>
      </c>
      <c r="S175" s="14">
        <v>50</v>
      </c>
      <c r="T175" s="14">
        <v>1</v>
      </c>
      <c r="U175" s="14">
        <v>1</v>
      </c>
      <c r="V175" s="14">
        <v>4</v>
      </c>
      <c r="W175" s="14">
        <v>4</v>
      </c>
      <c r="X175" s="14">
        <v>1</v>
      </c>
      <c r="Y175" s="14">
        <v>28</v>
      </c>
    </row>
    <row r="176" spans="1:25" x14ac:dyDescent="0.2">
      <c r="A176" s="14">
        <v>411</v>
      </c>
      <c r="B176" s="45">
        <v>39127</v>
      </c>
      <c r="C176" s="14">
        <v>1</v>
      </c>
      <c r="D176" s="14">
        <v>416</v>
      </c>
      <c r="E176" s="14" t="s">
        <v>37</v>
      </c>
      <c r="F176" s="14">
        <v>2140282</v>
      </c>
      <c r="G176" s="14" t="s">
        <v>21</v>
      </c>
      <c r="H176" s="14" t="s">
        <v>85</v>
      </c>
      <c r="I176" s="22">
        <v>360850</v>
      </c>
      <c r="J176" s="22">
        <v>5.64</v>
      </c>
      <c r="K176" s="45">
        <v>39119</v>
      </c>
      <c r="L176" s="45">
        <v>39239</v>
      </c>
      <c r="M176" s="14">
        <v>120</v>
      </c>
      <c r="N176" s="45">
        <v>42892</v>
      </c>
      <c r="O176" s="14">
        <v>300</v>
      </c>
      <c r="P176" s="14" t="s">
        <v>86</v>
      </c>
      <c r="Q176" s="14" t="s">
        <v>23</v>
      </c>
      <c r="R176" s="14">
        <v>2232.09</v>
      </c>
      <c r="S176" s="14">
        <v>50</v>
      </c>
      <c r="T176" s="14">
        <v>1</v>
      </c>
      <c r="U176" s="14">
        <v>1</v>
      </c>
      <c r="V176" s="14">
        <v>4</v>
      </c>
      <c r="W176" s="14">
        <v>6</v>
      </c>
      <c r="X176" s="14">
        <v>1</v>
      </c>
      <c r="Y176" s="14">
        <v>34</v>
      </c>
    </row>
    <row r="177" spans="1:25" x14ac:dyDescent="0.2">
      <c r="A177" s="14">
        <v>411</v>
      </c>
      <c r="B177" s="45">
        <v>39127</v>
      </c>
      <c r="C177" s="14">
        <v>1</v>
      </c>
      <c r="D177" s="14">
        <v>417</v>
      </c>
      <c r="E177" s="14" t="s">
        <v>37</v>
      </c>
      <c r="F177" s="14">
        <v>2140287</v>
      </c>
      <c r="G177" s="14" t="s">
        <v>21</v>
      </c>
      <c r="H177" s="14" t="s">
        <v>85</v>
      </c>
      <c r="I177" s="22">
        <v>176290</v>
      </c>
      <c r="J177" s="22">
        <v>5.3</v>
      </c>
      <c r="K177" s="45">
        <v>39119</v>
      </c>
      <c r="L177" s="45">
        <v>39239</v>
      </c>
      <c r="M177" s="14">
        <v>60</v>
      </c>
      <c r="N177" s="45">
        <v>41066</v>
      </c>
      <c r="O177" s="14">
        <v>480</v>
      </c>
      <c r="P177" s="14" t="s">
        <v>86</v>
      </c>
      <c r="Q177" s="14" t="s">
        <v>23</v>
      </c>
      <c r="R177" s="14">
        <v>878.56</v>
      </c>
      <c r="S177" s="14">
        <v>50</v>
      </c>
      <c r="T177" s="14">
        <v>1</v>
      </c>
      <c r="U177" s="14">
        <v>1</v>
      </c>
      <c r="V177" s="14">
        <v>4</v>
      </c>
      <c r="W177" s="14">
        <v>4</v>
      </c>
      <c r="X177" s="14">
        <v>1</v>
      </c>
      <c r="Y177" s="14">
        <v>28</v>
      </c>
    </row>
    <row r="178" spans="1:25" x14ac:dyDescent="0.2">
      <c r="A178" s="14">
        <v>411</v>
      </c>
      <c r="B178" s="45">
        <v>39127</v>
      </c>
      <c r="C178" s="14">
        <v>1</v>
      </c>
      <c r="D178" s="14">
        <v>419</v>
      </c>
      <c r="E178" s="14" t="s">
        <v>37</v>
      </c>
      <c r="F178" s="14">
        <v>2140323</v>
      </c>
      <c r="G178" s="14" t="s">
        <v>21</v>
      </c>
      <c r="H178" s="14" t="s">
        <v>85</v>
      </c>
      <c r="I178" s="22">
        <v>310500</v>
      </c>
      <c r="J178" s="22">
        <v>5.3</v>
      </c>
      <c r="K178" s="45">
        <v>39119</v>
      </c>
      <c r="L178" s="45">
        <v>39239</v>
      </c>
      <c r="M178" s="14">
        <v>60</v>
      </c>
      <c r="N178" s="45">
        <v>41066</v>
      </c>
      <c r="O178" s="14">
        <v>420</v>
      </c>
      <c r="P178" s="14" t="s">
        <v>86</v>
      </c>
      <c r="Q178" s="14" t="s">
        <v>23</v>
      </c>
      <c r="R178" s="14">
        <v>1615.38</v>
      </c>
      <c r="S178" s="14">
        <v>50</v>
      </c>
      <c r="T178" s="14">
        <v>1</v>
      </c>
      <c r="U178" s="14">
        <v>1</v>
      </c>
      <c r="V178" s="14">
        <v>4</v>
      </c>
      <c r="W178" s="14">
        <v>4</v>
      </c>
      <c r="X178" s="14">
        <v>1</v>
      </c>
      <c r="Y178" s="14">
        <v>28</v>
      </c>
    </row>
    <row r="179" spans="1:25" x14ac:dyDescent="0.2">
      <c r="A179" s="14">
        <v>411</v>
      </c>
      <c r="B179" s="45">
        <v>39127</v>
      </c>
      <c r="C179" s="14">
        <v>1</v>
      </c>
      <c r="D179" s="14">
        <v>420</v>
      </c>
      <c r="E179" s="14" t="s">
        <v>58</v>
      </c>
      <c r="F179" s="14">
        <v>2140336</v>
      </c>
      <c r="G179" s="14" t="s">
        <v>21</v>
      </c>
      <c r="H179" s="14" t="s">
        <v>171</v>
      </c>
      <c r="I179" s="22">
        <v>174420</v>
      </c>
      <c r="J179" s="22">
        <v>5.64</v>
      </c>
      <c r="K179" s="45">
        <v>39119</v>
      </c>
      <c r="L179" s="45">
        <v>39129</v>
      </c>
      <c r="M179" s="14">
        <v>120</v>
      </c>
      <c r="N179" s="45">
        <v>42782</v>
      </c>
      <c r="O179" s="14">
        <v>300</v>
      </c>
      <c r="P179" s="14" t="s">
        <v>86</v>
      </c>
      <c r="Q179" s="14" t="s">
        <v>23</v>
      </c>
      <c r="R179" s="14">
        <v>1078.9000000000001</v>
      </c>
      <c r="S179" s="14">
        <v>51</v>
      </c>
      <c r="T179" s="14">
        <v>1</v>
      </c>
      <c r="U179" s="14">
        <v>1</v>
      </c>
      <c r="V179" s="14">
        <v>4</v>
      </c>
      <c r="W179" s="14">
        <v>6</v>
      </c>
      <c r="X179" s="14">
        <v>1</v>
      </c>
      <c r="Y179" s="14">
        <v>34</v>
      </c>
    </row>
    <row r="180" spans="1:25" x14ac:dyDescent="0.2">
      <c r="A180" s="14">
        <v>411</v>
      </c>
      <c r="B180" s="45">
        <v>39127</v>
      </c>
      <c r="C180" s="14">
        <v>1</v>
      </c>
      <c r="D180" s="14">
        <v>421</v>
      </c>
      <c r="E180" s="14" t="s">
        <v>37</v>
      </c>
      <c r="F180" s="14">
        <v>2140359</v>
      </c>
      <c r="G180" s="14" t="s">
        <v>21</v>
      </c>
      <c r="H180" s="14" t="s">
        <v>85</v>
      </c>
      <c r="I180" s="22">
        <v>145180</v>
      </c>
      <c r="J180" s="22">
        <v>5.64</v>
      </c>
      <c r="K180" s="45">
        <v>39119</v>
      </c>
      <c r="L180" s="45">
        <v>39239</v>
      </c>
      <c r="M180" s="14">
        <v>120</v>
      </c>
      <c r="N180" s="45">
        <v>42892</v>
      </c>
      <c r="O180" s="14">
        <v>480</v>
      </c>
      <c r="P180" s="14" t="s">
        <v>86</v>
      </c>
      <c r="Q180" s="14" t="s">
        <v>88</v>
      </c>
      <c r="R180" s="14">
        <v>756.2</v>
      </c>
      <c r="S180" s="14">
        <v>50</v>
      </c>
      <c r="T180" s="14">
        <v>1</v>
      </c>
      <c r="U180" s="14">
        <v>1</v>
      </c>
      <c r="V180" s="14">
        <v>4</v>
      </c>
      <c r="W180" s="14">
        <v>6</v>
      </c>
      <c r="X180" s="14">
        <v>1</v>
      </c>
      <c r="Y180" s="14">
        <v>34</v>
      </c>
    </row>
    <row r="181" spans="1:25" x14ac:dyDescent="0.2">
      <c r="A181" s="14">
        <v>411</v>
      </c>
      <c r="B181" s="45">
        <v>39127</v>
      </c>
      <c r="C181" s="14">
        <v>1</v>
      </c>
      <c r="D181" s="14">
        <v>423</v>
      </c>
      <c r="E181" s="14" t="s">
        <v>37</v>
      </c>
      <c r="F181" s="14">
        <v>387836</v>
      </c>
      <c r="G181" s="14" t="s">
        <v>25</v>
      </c>
      <c r="H181" s="14" t="s">
        <v>85</v>
      </c>
      <c r="I181" s="22">
        <v>136884</v>
      </c>
      <c r="J181" s="22">
        <v>5.3</v>
      </c>
      <c r="K181" s="45">
        <v>39120</v>
      </c>
      <c r="L181" s="45">
        <v>39240</v>
      </c>
      <c r="M181" s="14">
        <v>60</v>
      </c>
      <c r="N181" s="45">
        <v>41067</v>
      </c>
      <c r="O181" s="14">
        <v>480</v>
      </c>
      <c r="P181" s="14" t="s">
        <v>86</v>
      </c>
      <c r="Q181" s="14" t="s">
        <v>23</v>
      </c>
      <c r="R181" s="14">
        <v>682.18</v>
      </c>
      <c r="S181" s="14">
        <v>50</v>
      </c>
      <c r="T181" s="14">
        <v>1</v>
      </c>
      <c r="U181" s="14">
        <v>2</v>
      </c>
      <c r="V181" s="14">
        <v>4</v>
      </c>
      <c r="W181" s="14">
        <v>4</v>
      </c>
      <c r="X181" s="14">
        <v>1</v>
      </c>
      <c r="Y181" s="14">
        <v>28</v>
      </c>
    </row>
    <row r="182" spans="1:25" x14ac:dyDescent="0.2">
      <c r="A182" s="14">
        <v>411</v>
      </c>
      <c r="B182" s="45">
        <v>39127</v>
      </c>
      <c r="C182" s="14">
        <v>1</v>
      </c>
      <c r="D182" s="14">
        <v>424</v>
      </c>
      <c r="E182" s="14" t="s">
        <v>58</v>
      </c>
      <c r="F182" s="14">
        <v>2136979</v>
      </c>
      <c r="G182" s="14" t="s">
        <v>21</v>
      </c>
      <c r="H182" s="14" t="s">
        <v>172</v>
      </c>
      <c r="I182" s="22">
        <v>257720.27</v>
      </c>
      <c r="J182" s="22">
        <v>5.3</v>
      </c>
      <c r="K182" s="45">
        <v>39107</v>
      </c>
      <c r="L182" s="45">
        <v>39227</v>
      </c>
      <c r="M182" s="14">
        <v>60</v>
      </c>
      <c r="N182" s="45">
        <v>41054</v>
      </c>
      <c r="O182" s="14">
        <v>420</v>
      </c>
      <c r="P182" s="14" t="s">
        <v>86</v>
      </c>
      <c r="Q182" s="14" t="s">
        <v>88</v>
      </c>
      <c r="R182" s="14">
        <v>1340.8</v>
      </c>
      <c r="S182" s="14">
        <v>51</v>
      </c>
      <c r="T182" s="14">
        <v>1</v>
      </c>
      <c r="U182" s="14">
        <v>1</v>
      </c>
      <c r="V182" s="14">
        <v>4</v>
      </c>
      <c r="W182" s="14">
        <v>4</v>
      </c>
      <c r="X182" s="14">
        <v>1</v>
      </c>
      <c r="Y182" s="14">
        <v>8</v>
      </c>
    </row>
    <row r="183" spans="1:25" x14ac:dyDescent="0.2">
      <c r="A183" s="14">
        <v>411</v>
      </c>
      <c r="B183" s="45">
        <v>39127</v>
      </c>
      <c r="C183" s="14">
        <v>1</v>
      </c>
      <c r="D183" s="14">
        <v>425</v>
      </c>
      <c r="E183" s="14" t="s">
        <v>58</v>
      </c>
      <c r="F183" s="14">
        <v>2140031</v>
      </c>
      <c r="G183" s="14" t="s">
        <v>21</v>
      </c>
      <c r="H183" s="14" t="s">
        <v>173</v>
      </c>
      <c r="I183" s="22">
        <v>179010</v>
      </c>
      <c r="J183" s="22">
        <v>5.64</v>
      </c>
      <c r="K183" s="45">
        <v>39118</v>
      </c>
      <c r="L183" s="45">
        <v>39234</v>
      </c>
      <c r="M183" s="14">
        <v>120</v>
      </c>
      <c r="N183" s="45">
        <v>42887</v>
      </c>
      <c r="O183" s="14">
        <v>300</v>
      </c>
      <c r="P183" s="14" t="s">
        <v>86</v>
      </c>
      <c r="Q183" s="14" t="s">
        <v>88</v>
      </c>
      <c r="R183" s="14">
        <v>1107.29</v>
      </c>
      <c r="S183" s="14">
        <v>51</v>
      </c>
      <c r="T183" s="14">
        <v>1</v>
      </c>
      <c r="U183" s="14">
        <v>1</v>
      </c>
      <c r="V183" s="14">
        <v>4</v>
      </c>
      <c r="W183" s="14">
        <v>6</v>
      </c>
      <c r="X183" s="14">
        <v>1</v>
      </c>
      <c r="Y183" s="14">
        <v>34</v>
      </c>
    </row>
    <row r="184" spans="1:25" x14ac:dyDescent="0.2">
      <c r="A184" s="14">
        <v>411</v>
      </c>
      <c r="B184" s="45">
        <v>39127</v>
      </c>
      <c r="C184" s="14">
        <v>1</v>
      </c>
      <c r="D184" s="14">
        <v>426</v>
      </c>
      <c r="E184" s="14" t="s">
        <v>37</v>
      </c>
      <c r="F184" s="14">
        <v>2140417</v>
      </c>
      <c r="G184" s="14" t="s">
        <v>21</v>
      </c>
      <c r="H184" s="14" t="s">
        <v>85</v>
      </c>
      <c r="I184" s="22">
        <v>186300</v>
      </c>
      <c r="J184" s="22">
        <v>5.3</v>
      </c>
      <c r="K184" s="45">
        <v>39120</v>
      </c>
      <c r="L184" s="45">
        <v>39240</v>
      </c>
      <c r="M184" s="14">
        <v>60</v>
      </c>
      <c r="N184" s="45">
        <v>41067</v>
      </c>
      <c r="O184" s="14">
        <v>420</v>
      </c>
      <c r="P184" s="14" t="s">
        <v>86</v>
      </c>
      <c r="Q184" s="14" t="s">
        <v>23</v>
      </c>
      <c r="R184" s="14">
        <v>969.23</v>
      </c>
      <c r="S184" s="14">
        <v>50</v>
      </c>
      <c r="T184" s="14">
        <v>1</v>
      </c>
      <c r="U184" s="14">
        <v>1</v>
      </c>
      <c r="V184" s="14">
        <v>4</v>
      </c>
      <c r="W184" s="14">
        <v>4</v>
      </c>
      <c r="X184" s="14">
        <v>1</v>
      </c>
      <c r="Y184" s="14">
        <v>28</v>
      </c>
    </row>
    <row r="185" spans="1:25" x14ac:dyDescent="0.2">
      <c r="A185" s="14">
        <v>411</v>
      </c>
      <c r="B185" s="45">
        <v>39127</v>
      </c>
      <c r="C185" s="14">
        <v>1</v>
      </c>
      <c r="D185" s="14">
        <v>429</v>
      </c>
      <c r="E185" s="14" t="s">
        <v>37</v>
      </c>
      <c r="F185" s="14">
        <v>2140601</v>
      </c>
      <c r="G185" s="14" t="s">
        <v>21</v>
      </c>
      <c r="H185" s="14" t="s">
        <v>85</v>
      </c>
      <c r="I185" s="22">
        <v>119025</v>
      </c>
      <c r="J185" s="22">
        <v>5.3</v>
      </c>
      <c r="K185" s="45">
        <v>39120</v>
      </c>
      <c r="L185" s="45">
        <v>39240</v>
      </c>
      <c r="M185" s="14">
        <v>60</v>
      </c>
      <c r="N185" s="45">
        <v>41067</v>
      </c>
      <c r="O185" s="14">
        <v>420</v>
      </c>
      <c r="P185" s="14" t="s">
        <v>86</v>
      </c>
      <c r="Q185" s="14" t="s">
        <v>23</v>
      </c>
      <c r="R185" s="14">
        <v>619.23</v>
      </c>
      <c r="S185" s="14">
        <v>50</v>
      </c>
      <c r="T185" s="14">
        <v>1</v>
      </c>
      <c r="U185" s="14">
        <v>1</v>
      </c>
      <c r="V185" s="14">
        <v>4</v>
      </c>
      <c r="W185" s="14">
        <v>4</v>
      </c>
      <c r="X185" s="14">
        <v>1</v>
      </c>
      <c r="Y185" s="14">
        <v>28</v>
      </c>
    </row>
    <row r="186" spans="1:25" x14ac:dyDescent="0.2">
      <c r="A186" s="14">
        <v>411</v>
      </c>
      <c r="B186" s="45">
        <v>39127</v>
      </c>
      <c r="C186" s="14">
        <v>1</v>
      </c>
      <c r="D186" s="14">
        <v>430</v>
      </c>
      <c r="E186" s="14" t="s">
        <v>37</v>
      </c>
      <c r="F186" s="14">
        <v>2140603</v>
      </c>
      <c r="G186" s="14" t="s">
        <v>21</v>
      </c>
      <c r="H186" s="14" t="s">
        <v>85</v>
      </c>
      <c r="I186" s="22">
        <v>193821.66</v>
      </c>
      <c r="J186" s="22">
        <v>5.24</v>
      </c>
      <c r="K186" s="45">
        <v>39120</v>
      </c>
      <c r="L186" s="45">
        <v>39240</v>
      </c>
      <c r="M186" s="14">
        <v>60</v>
      </c>
      <c r="N186" s="45">
        <v>41067</v>
      </c>
      <c r="O186" s="14">
        <v>480</v>
      </c>
      <c r="P186" s="14" t="s">
        <v>86</v>
      </c>
      <c r="Q186" s="14" t="s">
        <v>88</v>
      </c>
      <c r="R186" s="14">
        <v>958.3</v>
      </c>
      <c r="S186" s="14">
        <v>50</v>
      </c>
      <c r="T186" s="14">
        <v>1</v>
      </c>
      <c r="U186" s="14">
        <v>1</v>
      </c>
      <c r="V186" s="14">
        <v>6</v>
      </c>
      <c r="W186" s="14">
        <v>4</v>
      </c>
      <c r="X186" s="14">
        <v>1</v>
      </c>
    </row>
    <row r="187" spans="1:25" x14ac:dyDescent="0.2">
      <c r="A187" s="14">
        <v>411</v>
      </c>
      <c r="B187" s="45">
        <v>39127</v>
      </c>
      <c r="C187" s="14">
        <v>1</v>
      </c>
      <c r="D187" s="14">
        <v>431</v>
      </c>
      <c r="E187" s="14" t="s">
        <v>58</v>
      </c>
      <c r="F187" s="14">
        <v>2137803</v>
      </c>
      <c r="G187" s="14" t="s">
        <v>21</v>
      </c>
      <c r="H187" s="14" t="s">
        <v>174</v>
      </c>
      <c r="I187" s="22">
        <v>174420</v>
      </c>
      <c r="J187" s="22">
        <v>5.64</v>
      </c>
      <c r="K187" s="45">
        <v>39105</v>
      </c>
      <c r="L187" s="45">
        <v>39129</v>
      </c>
      <c r="M187" s="14">
        <v>120</v>
      </c>
      <c r="N187" s="45">
        <v>42782</v>
      </c>
      <c r="O187" s="14">
        <v>180</v>
      </c>
      <c r="P187" s="14" t="s">
        <v>86</v>
      </c>
      <c r="Q187" s="14" t="s">
        <v>165</v>
      </c>
      <c r="R187" s="14">
        <v>1432.09</v>
      </c>
      <c r="S187" s="14">
        <v>51</v>
      </c>
      <c r="T187" s="14">
        <v>1</v>
      </c>
      <c r="U187" s="14">
        <v>1</v>
      </c>
      <c r="V187" s="14">
        <v>4</v>
      </c>
      <c r="W187" s="14">
        <v>6</v>
      </c>
      <c r="X187" s="14">
        <v>1</v>
      </c>
      <c r="Y187" s="14">
        <v>14</v>
      </c>
    </row>
    <row r="188" spans="1:25" x14ac:dyDescent="0.2">
      <c r="A188" s="14">
        <v>411</v>
      </c>
      <c r="B188" s="45">
        <v>39127</v>
      </c>
      <c r="C188" s="14">
        <v>1</v>
      </c>
      <c r="D188" s="14">
        <v>432</v>
      </c>
      <c r="E188" s="14" t="s">
        <v>58</v>
      </c>
      <c r="F188" s="14">
        <v>2138303</v>
      </c>
      <c r="G188" s="14" t="s">
        <v>21</v>
      </c>
      <c r="H188" s="14" t="s">
        <v>175</v>
      </c>
      <c r="I188" s="22">
        <v>190808</v>
      </c>
      <c r="J188" s="22">
        <v>5.64</v>
      </c>
      <c r="K188" s="45">
        <v>39107</v>
      </c>
      <c r="L188" s="45">
        <v>39203</v>
      </c>
      <c r="M188" s="14">
        <v>120</v>
      </c>
      <c r="N188" s="45">
        <v>42856</v>
      </c>
      <c r="O188" s="14">
        <v>480</v>
      </c>
      <c r="P188" s="14" t="s">
        <v>86</v>
      </c>
      <c r="Q188" s="14" t="s">
        <v>23</v>
      </c>
      <c r="R188" s="14">
        <v>993.87</v>
      </c>
      <c r="S188" s="14">
        <v>51</v>
      </c>
      <c r="T188" s="14">
        <v>1</v>
      </c>
      <c r="U188" s="14">
        <v>1</v>
      </c>
      <c r="V188" s="14">
        <v>4</v>
      </c>
      <c r="W188" s="14">
        <v>6</v>
      </c>
      <c r="X188" s="14">
        <v>1</v>
      </c>
      <c r="Y188" s="14">
        <v>14</v>
      </c>
    </row>
    <row r="189" spans="1:25" x14ac:dyDescent="0.2">
      <c r="A189" s="14">
        <v>411</v>
      </c>
      <c r="B189" s="45">
        <v>39127</v>
      </c>
      <c r="C189" s="14">
        <v>1</v>
      </c>
      <c r="D189" s="14">
        <v>433</v>
      </c>
      <c r="E189" s="14" t="s">
        <v>58</v>
      </c>
      <c r="F189" s="14">
        <v>2140636</v>
      </c>
      <c r="G189" s="14" t="s">
        <v>21</v>
      </c>
      <c r="H189" s="14" t="s">
        <v>176</v>
      </c>
      <c r="I189" s="22">
        <v>91800</v>
      </c>
      <c r="J189" s="22">
        <v>5.64</v>
      </c>
      <c r="K189" s="45">
        <v>39121</v>
      </c>
      <c r="L189" s="45">
        <v>39132</v>
      </c>
      <c r="M189" s="14">
        <v>120</v>
      </c>
      <c r="N189" s="45">
        <v>42785</v>
      </c>
      <c r="O189" s="14">
        <v>300</v>
      </c>
      <c r="P189" s="14" t="s">
        <v>86</v>
      </c>
      <c r="Q189" s="14" t="s">
        <v>23</v>
      </c>
      <c r="R189" s="14">
        <v>567.84</v>
      </c>
      <c r="S189" s="14">
        <v>51</v>
      </c>
      <c r="T189" s="14">
        <v>1</v>
      </c>
      <c r="U189" s="14">
        <v>1</v>
      </c>
      <c r="V189" s="14">
        <v>4</v>
      </c>
      <c r="W189" s="14">
        <v>6</v>
      </c>
      <c r="X189" s="14">
        <v>1</v>
      </c>
      <c r="Y189" s="14">
        <v>34</v>
      </c>
    </row>
    <row r="190" spans="1:25" x14ac:dyDescent="0.2">
      <c r="A190" s="14">
        <v>411</v>
      </c>
      <c r="B190" s="45">
        <v>39127</v>
      </c>
      <c r="C190" s="14">
        <v>1</v>
      </c>
      <c r="D190" s="14">
        <v>434</v>
      </c>
      <c r="E190" s="14" t="s">
        <v>58</v>
      </c>
      <c r="F190" s="14">
        <v>2140699</v>
      </c>
      <c r="G190" s="14" t="s">
        <v>25</v>
      </c>
      <c r="H190" s="14" t="s">
        <v>85</v>
      </c>
      <c r="I190" s="22">
        <v>109403.5</v>
      </c>
      <c r="J190" s="22">
        <v>5.24</v>
      </c>
      <c r="K190" s="45">
        <v>39121</v>
      </c>
      <c r="L190" s="45">
        <v>39153</v>
      </c>
      <c r="M190" s="14">
        <v>36</v>
      </c>
      <c r="N190" s="45">
        <v>40249</v>
      </c>
      <c r="O190" s="14">
        <v>480</v>
      </c>
      <c r="P190" s="14" t="s">
        <v>86</v>
      </c>
      <c r="Q190" s="14" t="s">
        <v>88</v>
      </c>
      <c r="R190" s="14">
        <v>540.91999999999996</v>
      </c>
      <c r="S190" s="14">
        <v>51</v>
      </c>
      <c r="T190" s="14">
        <v>1</v>
      </c>
      <c r="U190" s="14">
        <v>2</v>
      </c>
      <c r="V190" s="14">
        <v>4</v>
      </c>
      <c r="W190" s="14">
        <v>2</v>
      </c>
      <c r="X190" s="14">
        <v>1</v>
      </c>
      <c r="Y190" s="14">
        <v>24</v>
      </c>
    </row>
    <row r="191" spans="1:25" x14ac:dyDescent="0.2">
      <c r="A191" s="14">
        <v>411</v>
      </c>
      <c r="B191" s="45">
        <v>39127</v>
      </c>
      <c r="C191" s="14">
        <v>1</v>
      </c>
      <c r="D191" s="14">
        <v>435</v>
      </c>
      <c r="E191" s="14" t="s">
        <v>58</v>
      </c>
      <c r="F191" s="14">
        <v>2140773</v>
      </c>
      <c r="G191" s="14" t="s">
        <v>21</v>
      </c>
      <c r="H191" s="14" t="s">
        <v>177</v>
      </c>
      <c r="I191" s="22">
        <v>178363</v>
      </c>
      <c r="J191" s="22">
        <v>5.64</v>
      </c>
      <c r="K191" s="45">
        <v>39121</v>
      </c>
      <c r="L191" s="45">
        <v>39176</v>
      </c>
      <c r="M191" s="14">
        <v>120</v>
      </c>
      <c r="N191" s="45">
        <v>42829</v>
      </c>
      <c r="O191" s="14">
        <v>300</v>
      </c>
      <c r="P191" s="14" t="s">
        <v>86</v>
      </c>
      <c r="Q191" s="14" t="s">
        <v>23</v>
      </c>
      <c r="R191" s="14">
        <v>1103.29</v>
      </c>
      <c r="S191" s="14">
        <v>51</v>
      </c>
      <c r="T191" s="14">
        <v>1</v>
      </c>
      <c r="U191" s="14">
        <v>1</v>
      </c>
      <c r="V191" s="14">
        <v>4</v>
      </c>
      <c r="W191" s="14">
        <v>6</v>
      </c>
      <c r="X191" s="14">
        <v>1</v>
      </c>
      <c r="Y191" s="14">
        <v>34</v>
      </c>
    </row>
    <row r="192" spans="1:25" x14ac:dyDescent="0.2">
      <c r="A192" s="14">
        <v>411</v>
      </c>
      <c r="B192" s="45">
        <v>39127</v>
      </c>
      <c r="C192" s="14">
        <v>1</v>
      </c>
      <c r="D192" s="14">
        <v>436</v>
      </c>
      <c r="E192" s="14" t="s">
        <v>37</v>
      </c>
      <c r="F192" s="14">
        <v>2140832</v>
      </c>
      <c r="G192" s="14" t="s">
        <v>21</v>
      </c>
      <c r="H192" s="14" t="s">
        <v>85</v>
      </c>
      <c r="I192" s="22">
        <v>124200</v>
      </c>
      <c r="J192" s="22">
        <v>5.64</v>
      </c>
      <c r="K192" s="45">
        <v>39121</v>
      </c>
      <c r="L192" s="45">
        <v>39241</v>
      </c>
      <c r="M192" s="14">
        <v>120</v>
      </c>
      <c r="N192" s="45">
        <v>42894</v>
      </c>
      <c r="O192" s="14">
        <v>420</v>
      </c>
      <c r="P192" s="14" t="s">
        <v>86</v>
      </c>
      <c r="Q192" s="14" t="s">
        <v>23</v>
      </c>
      <c r="R192" s="14">
        <v>673.08</v>
      </c>
      <c r="S192" s="14">
        <v>50</v>
      </c>
      <c r="T192" s="14">
        <v>1</v>
      </c>
      <c r="U192" s="14">
        <v>1</v>
      </c>
      <c r="V192" s="14">
        <v>4</v>
      </c>
      <c r="W192" s="14">
        <v>6</v>
      </c>
      <c r="X192" s="14">
        <v>1</v>
      </c>
      <c r="Y192" s="14">
        <v>34</v>
      </c>
    </row>
    <row r="193" spans="1:26" x14ac:dyDescent="0.2">
      <c r="A193" s="14">
        <v>411</v>
      </c>
      <c r="B193" s="45">
        <v>39127</v>
      </c>
      <c r="C193" s="14">
        <v>1</v>
      </c>
      <c r="D193" s="14">
        <v>437</v>
      </c>
      <c r="E193" s="14" t="s">
        <v>58</v>
      </c>
      <c r="F193" s="14">
        <v>387752</v>
      </c>
      <c r="G193" s="14" t="s">
        <v>25</v>
      </c>
      <c r="H193" s="14" t="s">
        <v>178</v>
      </c>
      <c r="I193" s="22">
        <v>357075</v>
      </c>
      <c r="J193" s="22">
        <v>5.7</v>
      </c>
      <c r="K193" s="45">
        <v>39119</v>
      </c>
      <c r="L193" s="45">
        <v>39156</v>
      </c>
      <c r="M193" s="14">
        <v>120</v>
      </c>
      <c r="N193" s="45">
        <v>42809</v>
      </c>
      <c r="O193" s="14">
        <v>420</v>
      </c>
      <c r="P193" s="14" t="s">
        <v>86</v>
      </c>
      <c r="Q193" s="14" t="s">
        <v>88</v>
      </c>
      <c r="R193" s="14">
        <v>1948.88</v>
      </c>
      <c r="S193" s="14">
        <v>51</v>
      </c>
      <c r="T193" s="14">
        <v>1</v>
      </c>
      <c r="U193" s="14">
        <v>2</v>
      </c>
      <c r="V193" s="14">
        <v>4</v>
      </c>
      <c r="W193" s="14">
        <v>6</v>
      </c>
      <c r="X193" s="14">
        <v>1</v>
      </c>
      <c r="Y193" s="14">
        <v>34</v>
      </c>
    </row>
    <row r="194" spans="1:26" x14ac:dyDescent="0.2">
      <c r="A194" s="14">
        <v>411</v>
      </c>
      <c r="B194" s="45">
        <v>39127</v>
      </c>
      <c r="C194" s="14">
        <v>1</v>
      </c>
      <c r="D194" s="14">
        <v>438</v>
      </c>
      <c r="E194" s="14" t="s">
        <v>58</v>
      </c>
      <c r="F194" s="14">
        <v>388184</v>
      </c>
      <c r="G194" s="14" t="s">
        <v>25</v>
      </c>
      <c r="H194" s="14" t="s">
        <v>109</v>
      </c>
      <c r="I194" s="22">
        <v>438615</v>
      </c>
      <c r="J194" s="22">
        <v>5.24</v>
      </c>
      <c r="K194" s="45">
        <v>39125</v>
      </c>
      <c r="L194" s="45">
        <v>39140</v>
      </c>
      <c r="M194" s="14">
        <v>60</v>
      </c>
      <c r="N194" s="45">
        <v>40966</v>
      </c>
      <c r="O194" s="14">
        <v>480</v>
      </c>
      <c r="P194" s="14" t="s">
        <v>86</v>
      </c>
      <c r="Q194" s="14" t="s">
        <v>23</v>
      </c>
      <c r="R194" s="14">
        <v>2168.63</v>
      </c>
      <c r="S194" s="14">
        <v>51</v>
      </c>
      <c r="T194" s="14">
        <v>1</v>
      </c>
      <c r="U194" s="14">
        <v>2</v>
      </c>
      <c r="V194" s="14">
        <v>6</v>
      </c>
      <c r="W194" s="14">
        <v>4</v>
      </c>
      <c r="X194" s="14">
        <v>1</v>
      </c>
    </row>
    <row r="195" spans="1:26" x14ac:dyDescent="0.2">
      <c r="A195" s="14">
        <v>411</v>
      </c>
      <c r="B195" s="45">
        <v>39127</v>
      </c>
      <c r="C195" s="14">
        <v>1</v>
      </c>
      <c r="D195" s="14">
        <v>439</v>
      </c>
      <c r="E195" s="14" t="s">
        <v>58</v>
      </c>
      <c r="F195" s="14">
        <v>2140823</v>
      </c>
      <c r="G195" s="14" t="s">
        <v>21</v>
      </c>
      <c r="H195" s="14" t="s">
        <v>179</v>
      </c>
      <c r="I195" s="22">
        <v>178500</v>
      </c>
      <c r="J195" s="22">
        <v>5.64</v>
      </c>
      <c r="K195" s="45">
        <v>39122</v>
      </c>
      <c r="L195" s="45">
        <v>39133</v>
      </c>
      <c r="M195" s="14">
        <v>120</v>
      </c>
      <c r="N195" s="45">
        <v>42786</v>
      </c>
      <c r="O195" s="14">
        <v>300</v>
      </c>
      <c r="P195" s="14" t="s">
        <v>86</v>
      </c>
      <c r="Q195" s="14" t="s">
        <v>23</v>
      </c>
      <c r="R195" s="14">
        <v>1104.1400000000001</v>
      </c>
      <c r="S195" s="14">
        <v>51</v>
      </c>
      <c r="T195" s="14">
        <v>1</v>
      </c>
      <c r="U195" s="14">
        <v>1</v>
      </c>
      <c r="V195" s="14">
        <v>5</v>
      </c>
      <c r="W195" s="14">
        <v>6</v>
      </c>
      <c r="X195" s="14">
        <v>1</v>
      </c>
      <c r="Y195" s="14">
        <v>34</v>
      </c>
      <c r="Z195" s="14" t="s">
        <v>180</v>
      </c>
    </row>
    <row r="196" spans="1:26" x14ac:dyDescent="0.2">
      <c r="A196" s="14">
        <v>411</v>
      </c>
      <c r="B196" s="45">
        <v>39127</v>
      </c>
      <c r="C196" s="14">
        <v>1</v>
      </c>
      <c r="D196" s="14">
        <v>440</v>
      </c>
      <c r="E196" s="14" t="s">
        <v>37</v>
      </c>
      <c r="F196" s="14">
        <v>2140939</v>
      </c>
      <c r="G196" s="14" t="s">
        <v>21</v>
      </c>
      <c r="H196" s="14" t="s">
        <v>85</v>
      </c>
      <c r="I196" s="22">
        <v>257750</v>
      </c>
      <c r="J196" s="22">
        <v>5.3</v>
      </c>
      <c r="K196" s="45">
        <v>39122</v>
      </c>
      <c r="L196" s="45">
        <v>39242</v>
      </c>
      <c r="M196" s="14">
        <v>60</v>
      </c>
      <c r="N196" s="45">
        <v>41069</v>
      </c>
      <c r="O196" s="14">
        <v>300</v>
      </c>
      <c r="P196" s="14" t="s">
        <v>86</v>
      </c>
      <c r="Q196" s="14" t="s">
        <v>23</v>
      </c>
      <c r="R196" s="14">
        <v>1543.41</v>
      </c>
      <c r="S196" s="14">
        <v>50</v>
      </c>
      <c r="T196" s="14">
        <v>1</v>
      </c>
      <c r="U196" s="14">
        <v>1</v>
      </c>
      <c r="V196" s="14">
        <v>4</v>
      </c>
      <c r="W196" s="14">
        <v>4</v>
      </c>
      <c r="X196" s="14">
        <v>1</v>
      </c>
      <c r="Y196" s="14">
        <v>28</v>
      </c>
    </row>
    <row r="197" spans="1:26" x14ac:dyDescent="0.2">
      <c r="A197" s="14">
        <v>411</v>
      </c>
      <c r="B197" s="45">
        <v>39127</v>
      </c>
      <c r="C197" s="14">
        <v>1</v>
      </c>
      <c r="D197" s="14">
        <v>441</v>
      </c>
      <c r="E197" s="14" t="s">
        <v>58</v>
      </c>
      <c r="F197" s="14">
        <v>2141012</v>
      </c>
      <c r="G197" s="14" t="s">
        <v>21</v>
      </c>
      <c r="H197" s="14" t="s">
        <v>181</v>
      </c>
      <c r="I197" s="22">
        <v>79866</v>
      </c>
      <c r="J197" s="22">
        <v>5.64</v>
      </c>
      <c r="K197" s="45">
        <v>39122</v>
      </c>
      <c r="L197" s="45">
        <v>39161</v>
      </c>
      <c r="M197" s="14">
        <v>120</v>
      </c>
      <c r="N197" s="45">
        <v>42814</v>
      </c>
      <c r="O197" s="14">
        <v>180</v>
      </c>
      <c r="P197" s="14" t="s">
        <v>86</v>
      </c>
      <c r="Q197" s="14" t="s">
        <v>23</v>
      </c>
      <c r="R197" s="14">
        <v>655.75</v>
      </c>
      <c r="S197" s="14">
        <v>51</v>
      </c>
      <c r="T197" s="14">
        <v>1</v>
      </c>
      <c r="U197" s="14">
        <v>1</v>
      </c>
      <c r="V197" s="14">
        <v>4</v>
      </c>
      <c r="W197" s="14">
        <v>6</v>
      </c>
      <c r="X197" s="14">
        <v>1</v>
      </c>
      <c r="Y197" s="14">
        <v>34</v>
      </c>
    </row>
    <row r="198" spans="1:26" x14ac:dyDescent="0.2">
      <c r="A198" s="14">
        <v>411</v>
      </c>
      <c r="B198" s="45">
        <v>39127</v>
      </c>
      <c r="C198" s="14">
        <v>1</v>
      </c>
      <c r="D198" s="14">
        <v>442</v>
      </c>
      <c r="E198" s="14" t="s">
        <v>58</v>
      </c>
      <c r="F198" s="14">
        <v>2141050</v>
      </c>
      <c r="G198" s="14" t="s">
        <v>21</v>
      </c>
      <c r="H198" s="14" t="s">
        <v>182</v>
      </c>
      <c r="I198" s="22">
        <v>50325</v>
      </c>
      <c r="J198" s="22">
        <v>5.64</v>
      </c>
      <c r="K198" s="45">
        <v>39125</v>
      </c>
      <c r="L198" s="45">
        <v>39136</v>
      </c>
      <c r="M198" s="14">
        <v>120</v>
      </c>
      <c r="N198" s="45">
        <v>42789</v>
      </c>
      <c r="O198" s="14">
        <v>120</v>
      </c>
      <c r="P198" s="14" t="s">
        <v>86</v>
      </c>
      <c r="Q198" s="14" t="s">
        <v>23</v>
      </c>
      <c r="R198" s="14">
        <v>548.03</v>
      </c>
      <c r="S198" s="14">
        <v>51</v>
      </c>
      <c r="T198" s="14">
        <v>1</v>
      </c>
      <c r="U198" s="14">
        <v>1</v>
      </c>
      <c r="V198" s="14">
        <v>4</v>
      </c>
      <c r="W198" s="14">
        <v>6</v>
      </c>
      <c r="X198" s="14">
        <v>1</v>
      </c>
      <c r="Y198" s="14">
        <v>34</v>
      </c>
    </row>
    <row r="199" spans="1:26" x14ac:dyDescent="0.2">
      <c r="A199" s="14">
        <v>411</v>
      </c>
      <c r="B199" s="45">
        <v>39127</v>
      </c>
      <c r="C199" s="14">
        <v>1</v>
      </c>
      <c r="D199" s="14">
        <v>443</v>
      </c>
      <c r="E199" s="14" t="s">
        <v>37</v>
      </c>
      <c r="F199" s="14">
        <v>2141136</v>
      </c>
      <c r="G199" s="14" t="s">
        <v>25</v>
      </c>
      <c r="H199" s="14" t="s">
        <v>85</v>
      </c>
      <c r="I199" s="22">
        <v>225819.75</v>
      </c>
      <c r="J199" s="22">
        <v>5.24</v>
      </c>
      <c r="K199" s="45">
        <v>39125</v>
      </c>
      <c r="L199" s="45">
        <v>39245</v>
      </c>
      <c r="M199" s="14">
        <v>60</v>
      </c>
      <c r="N199" s="45">
        <v>41072</v>
      </c>
      <c r="O199" s="14">
        <v>480</v>
      </c>
      <c r="P199" s="14" t="s">
        <v>86</v>
      </c>
      <c r="Q199" s="14" t="s">
        <v>23</v>
      </c>
      <c r="R199" s="14">
        <v>1116.51</v>
      </c>
      <c r="S199" s="14">
        <v>50</v>
      </c>
      <c r="T199" s="14">
        <v>1</v>
      </c>
      <c r="U199" s="14">
        <v>2</v>
      </c>
      <c r="V199" s="14">
        <v>6</v>
      </c>
      <c r="W199" s="14">
        <v>4</v>
      </c>
      <c r="X199" s="14">
        <v>1</v>
      </c>
    </row>
    <row r="200" spans="1:26" x14ac:dyDescent="0.2">
      <c r="A200" s="14">
        <v>411</v>
      </c>
      <c r="B200" s="45">
        <v>39127</v>
      </c>
      <c r="C200" s="14">
        <v>1</v>
      </c>
      <c r="D200" s="14">
        <v>444</v>
      </c>
      <c r="E200" s="14" t="s">
        <v>37</v>
      </c>
      <c r="F200" s="14">
        <v>2141184</v>
      </c>
      <c r="G200" s="14" t="s">
        <v>21</v>
      </c>
      <c r="H200" s="14" t="s">
        <v>85</v>
      </c>
      <c r="I200" s="22">
        <v>102493.13</v>
      </c>
      <c r="J200" s="22">
        <v>5.64</v>
      </c>
      <c r="K200" s="45">
        <v>39125</v>
      </c>
      <c r="L200" s="45">
        <v>39171</v>
      </c>
      <c r="M200" s="14">
        <v>120</v>
      </c>
      <c r="N200" s="45">
        <v>42824</v>
      </c>
      <c r="O200" s="14">
        <v>300</v>
      </c>
      <c r="P200" s="14" t="s">
        <v>86</v>
      </c>
      <c r="Q200" s="14" t="s">
        <v>23</v>
      </c>
      <c r="R200" s="14">
        <v>633.99</v>
      </c>
      <c r="S200" s="14">
        <v>50</v>
      </c>
      <c r="T200" s="14">
        <v>1</v>
      </c>
      <c r="U200" s="14">
        <v>1</v>
      </c>
      <c r="V200" s="14">
        <v>4</v>
      </c>
      <c r="W200" s="14">
        <v>6</v>
      </c>
      <c r="X200" s="14">
        <v>1</v>
      </c>
      <c r="Y200" s="14">
        <v>34</v>
      </c>
    </row>
    <row r="201" spans="1:26" x14ac:dyDescent="0.2">
      <c r="A201" s="14">
        <v>411</v>
      </c>
      <c r="B201" s="45">
        <v>39127</v>
      </c>
      <c r="C201" s="14">
        <v>1</v>
      </c>
      <c r="D201" s="14">
        <v>445</v>
      </c>
      <c r="E201" s="14" t="s">
        <v>37</v>
      </c>
      <c r="F201" s="14">
        <v>2141264</v>
      </c>
      <c r="G201" s="14" t="s">
        <v>21</v>
      </c>
      <c r="H201" s="14" t="s">
        <v>85</v>
      </c>
      <c r="I201" s="22">
        <v>124200</v>
      </c>
      <c r="J201" s="22">
        <v>5.3</v>
      </c>
      <c r="K201" s="45">
        <v>39126</v>
      </c>
      <c r="L201" s="45">
        <v>39246</v>
      </c>
      <c r="M201" s="14">
        <v>60</v>
      </c>
      <c r="N201" s="45">
        <v>41073</v>
      </c>
      <c r="O201" s="14">
        <v>420</v>
      </c>
      <c r="P201" s="14" t="s">
        <v>86</v>
      </c>
      <c r="Q201" s="14" t="s">
        <v>23</v>
      </c>
      <c r="R201" s="14">
        <v>646.15</v>
      </c>
      <c r="S201" s="14">
        <v>50</v>
      </c>
      <c r="T201" s="14">
        <v>1</v>
      </c>
      <c r="U201" s="14">
        <v>1</v>
      </c>
      <c r="V201" s="14">
        <v>4</v>
      </c>
      <c r="W201" s="14">
        <v>4</v>
      </c>
      <c r="X201" s="14">
        <v>1</v>
      </c>
      <c r="Y201" s="14">
        <v>28</v>
      </c>
    </row>
    <row r="202" spans="1:26" x14ac:dyDescent="0.2">
      <c r="A202" s="14">
        <v>411</v>
      </c>
      <c r="B202" s="45">
        <v>39127</v>
      </c>
      <c r="C202" s="14">
        <v>1</v>
      </c>
      <c r="D202" s="14">
        <v>446</v>
      </c>
      <c r="E202" s="14" t="s">
        <v>58</v>
      </c>
      <c r="F202" s="14">
        <v>2141380</v>
      </c>
      <c r="G202" s="14" t="s">
        <v>21</v>
      </c>
      <c r="H202" s="14" t="s">
        <v>183</v>
      </c>
      <c r="I202" s="22">
        <v>87435</v>
      </c>
      <c r="J202" s="22">
        <v>5.64</v>
      </c>
      <c r="K202" s="45">
        <v>39126</v>
      </c>
      <c r="L202" s="45">
        <v>39142</v>
      </c>
      <c r="M202" s="14">
        <v>120</v>
      </c>
      <c r="N202" s="45">
        <v>42795</v>
      </c>
      <c r="O202" s="14">
        <v>180</v>
      </c>
      <c r="P202" s="14" t="s">
        <v>86</v>
      </c>
      <c r="Q202" s="14" t="s">
        <v>88</v>
      </c>
      <c r="R202" s="14">
        <v>717.89</v>
      </c>
      <c r="S202" s="14">
        <v>51</v>
      </c>
      <c r="T202" s="14">
        <v>1</v>
      </c>
      <c r="U202" s="14">
        <v>1</v>
      </c>
      <c r="V202" s="14">
        <v>4</v>
      </c>
      <c r="W202" s="14">
        <v>6</v>
      </c>
      <c r="X202" s="14">
        <v>1</v>
      </c>
      <c r="Y202" s="14">
        <v>34</v>
      </c>
    </row>
    <row r="203" spans="1:26" x14ac:dyDescent="0.2">
      <c r="A203" s="14">
        <v>411</v>
      </c>
      <c r="B203" s="45">
        <v>39127</v>
      </c>
      <c r="C203" s="14">
        <v>1</v>
      </c>
      <c r="D203" s="14">
        <v>447</v>
      </c>
      <c r="E203" s="14" t="s">
        <v>58</v>
      </c>
      <c r="F203" s="14">
        <v>2141388</v>
      </c>
      <c r="G203" s="14" t="s">
        <v>21</v>
      </c>
      <c r="H203" s="14" t="s">
        <v>184</v>
      </c>
      <c r="I203" s="22">
        <v>163530</v>
      </c>
      <c r="J203" s="22">
        <v>5.64</v>
      </c>
      <c r="K203" s="45">
        <v>39126</v>
      </c>
      <c r="L203" s="45">
        <v>39217</v>
      </c>
      <c r="M203" s="14">
        <v>120</v>
      </c>
      <c r="N203" s="45">
        <v>42870</v>
      </c>
      <c r="O203" s="14">
        <v>420</v>
      </c>
      <c r="P203" s="14" t="s">
        <v>86</v>
      </c>
      <c r="Q203" s="14" t="s">
        <v>23</v>
      </c>
      <c r="R203" s="14">
        <v>886.22</v>
      </c>
      <c r="S203" s="14">
        <v>51</v>
      </c>
      <c r="T203" s="14">
        <v>1</v>
      </c>
      <c r="U203" s="14">
        <v>1</v>
      </c>
      <c r="V203" s="14">
        <v>4</v>
      </c>
      <c r="W203" s="14">
        <v>6</v>
      </c>
      <c r="X203" s="14">
        <v>1</v>
      </c>
      <c r="Y203" s="14">
        <v>34</v>
      </c>
    </row>
    <row r="204" spans="1:26" x14ac:dyDescent="0.2">
      <c r="A204" s="14">
        <v>411</v>
      </c>
      <c r="B204" s="45">
        <v>39127</v>
      </c>
      <c r="C204" s="14">
        <v>1</v>
      </c>
      <c r="D204" s="14">
        <v>448</v>
      </c>
      <c r="E204" s="14" t="s">
        <v>37</v>
      </c>
      <c r="F204" s="14">
        <v>2141396</v>
      </c>
      <c r="G204" s="14" t="s">
        <v>21</v>
      </c>
      <c r="H204" s="14" t="s">
        <v>85</v>
      </c>
      <c r="I204" s="22">
        <v>227700</v>
      </c>
      <c r="J204" s="22">
        <v>5.3</v>
      </c>
      <c r="K204" s="45">
        <v>39126</v>
      </c>
      <c r="L204" s="45">
        <v>39246</v>
      </c>
      <c r="M204" s="14">
        <v>60</v>
      </c>
      <c r="N204" s="45">
        <v>41073</v>
      </c>
      <c r="O204" s="14">
        <v>420</v>
      </c>
      <c r="P204" s="14" t="s">
        <v>86</v>
      </c>
      <c r="Q204" s="14" t="s">
        <v>23</v>
      </c>
      <c r="R204" s="14">
        <v>1184.6099999999999</v>
      </c>
      <c r="S204" s="14">
        <v>50</v>
      </c>
      <c r="T204" s="14">
        <v>1</v>
      </c>
      <c r="U204" s="14">
        <v>1</v>
      </c>
      <c r="V204" s="14">
        <v>4</v>
      </c>
      <c r="W204" s="14">
        <v>4</v>
      </c>
      <c r="X204" s="14">
        <v>1</v>
      </c>
      <c r="Y204" s="14">
        <v>28</v>
      </c>
    </row>
    <row r="205" spans="1:26" x14ac:dyDescent="0.2">
      <c r="A205" s="14">
        <v>411</v>
      </c>
      <c r="B205" s="45">
        <v>39127</v>
      </c>
      <c r="C205" s="14">
        <v>1</v>
      </c>
      <c r="D205" s="14">
        <v>449</v>
      </c>
      <c r="E205" s="14" t="s">
        <v>37</v>
      </c>
      <c r="F205" s="14">
        <v>2141400</v>
      </c>
      <c r="G205" s="14" t="s">
        <v>21</v>
      </c>
      <c r="H205" s="14" t="s">
        <v>85</v>
      </c>
      <c r="I205" s="22">
        <v>185580</v>
      </c>
      <c r="J205" s="22">
        <v>5.64</v>
      </c>
      <c r="K205" s="45">
        <v>39126</v>
      </c>
      <c r="L205" s="45">
        <v>39246</v>
      </c>
      <c r="M205" s="14">
        <v>120</v>
      </c>
      <c r="N205" s="45">
        <v>42899</v>
      </c>
      <c r="O205" s="14">
        <v>240</v>
      </c>
      <c r="P205" s="14" t="s">
        <v>86</v>
      </c>
      <c r="Q205" s="14" t="s">
        <v>23</v>
      </c>
      <c r="R205" s="14">
        <v>1284.44</v>
      </c>
      <c r="S205" s="14">
        <v>50</v>
      </c>
      <c r="T205" s="14">
        <v>1</v>
      </c>
      <c r="U205" s="14">
        <v>1</v>
      </c>
      <c r="V205" s="14">
        <v>4</v>
      </c>
      <c r="W205" s="14">
        <v>6</v>
      </c>
      <c r="X205" s="14">
        <v>1</v>
      </c>
      <c r="Y205" s="14">
        <v>34</v>
      </c>
    </row>
    <row r="206" spans="1:26" x14ac:dyDescent="0.2">
      <c r="A206" s="14">
        <v>411</v>
      </c>
      <c r="B206" s="45">
        <v>39127</v>
      </c>
      <c r="C206" s="14">
        <v>1</v>
      </c>
      <c r="D206" s="14">
        <v>450</v>
      </c>
      <c r="E206" s="14" t="s">
        <v>58</v>
      </c>
      <c r="F206" s="14">
        <v>764640</v>
      </c>
      <c r="G206" s="14" t="s">
        <v>21</v>
      </c>
      <c r="H206" s="14" t="s">
        <v>110</v>
      </c>
      <c r="I206" s="22">
        <v>271694</v>
      </c>
      <c r="J206" s="22">
        <v>5.0999999999999996</v>
      </c>
      <c r="K206" s="45">
        <v>39125</v>
      </c>
      <c r="L206" s="45">
        <v>39171</v>
      </c>
      <c r="M206" s="14">
        <v>60</v>
      </c>
      <c r="N206" s="45">
        <v>40998</v>
      </c>
      <c r="O206" s="14">
        <v>480</v>
      </c>
      <c r="P206" s="14" t="s">
        <v>6</v>
      </c>
      <c r="Q206" s="14" t="s">
        <v>23</v>
      </c>
      <c r="R206" s="14">
        <v>1318.5</v>
      </c>
      <c r="S206" s="14">
        <v>51</v>
      </c>
      <c r="T206" s="14">
        <v>7</v>
      </c>
      <c r="U206" s="14">
        <v>1</v>
      </c>
      <c r="V206" s="14">
        <v>1</v>
      </c>
      <c r="W206" s="14">
        <v>4</v>
      </c>
      <c r="X206" s="14">
        <v>1</v>
      </c>
    </row>
    <row r="207" spans="1:26" x14ac:dyDescent="0.2">
      <c r="A207" s="14">
        <v>411</v>
      </c>
      <c r="B207" s="45">
        <v>39127</v>
      </c>
      <c r="C207" s="14">
        <v>1</v>
      </c>
      <c r="D207" s="14">
        <v>451</v>
      </c>
      <c r="E207" s="14" t="s">
        <v>37</v>
      </c>
      <c r="F207" s="14">
        <v>2141440</v>
      </c>
      <c r="G207" s="14" t="s">
        <v>21</v>
      </c>
      <c r="H207" s="14" t="s">
        <v>85</v>
      </c>
      <c r="I207" s="22">
        <v>185940</v>
      </c>
      <c r="J207" s="22">
        <v>5.3</v>
      </c>
      <c r="K207" s="45">
        <v>39127</v>
      </c>
      <c r="L207" s="45">
        <v>39247</v>
      </c>
      <c r="M207" s="14">
        <v>60</v>
      </c>
      <c r="N207" s="45">
        <v>41074</v>
      </c>
      <c r="O207" s="14">
        <v>360</v>
      </c>
      <c r="P207" s="14" t="s">
        <v>86</v>
      </c>
      <c r="Q207" s="14" t="s">
        <v>23</v>
      </c>
      <c r="R207" s="14">
        <v>1025.8900000000001</v>
      </c>
      <c r="S207" s="14">
        <v>50</v>
      </c>
      <c r="T207" s="14">
        <v>1</v>
      </c>
      <c r="U207" s="14">
        <v>1</v>
      </c>
      <c r="V207" s="14">
        <v>1</v>
      </c>
      <c r="W207" s="14">
        <v>4</v>
      </c>
      <c r="X207" s="14">
        <v>1</v>
      </c>
      <c r="Y207" s="14">
        <v>28</v>
      </c>
    </row>
    <row r="208" spans="1:26" x14ac:dyDescent="0.2">
      <c r="A208" s="14">
        <v>411</v>
      </c>
      <c r="B208" s="45">
        <v>39127</v>
      </c>
      <c r="C208" s="14">
        <v>1</v>
      </c>
      <c r="D208" s="14">
        <v>452</v>
      </c>
      <c r="E208" s="14" t="s">
        <v>58</v>
      </c>
      <c r="F208" s="14">
        <v>2141598</v>
      </c>
      <c r="G208" s="14" t="s">
        <v>21</v>
      </c>
      <c r="H208" s="14" t="s">
        <v>185</v>
      </c>
      <c r="I208" s="22">
        <v>295800</v>
      </c>
      <c r="J208" s="22">
        <v>5.64</v>
      </c>
      <c r="K208" s="45">
        <v>39127</v>
      </c>
      <c r="L208" s="45">
        <v>39212</v>
      </c>
      <c r="M208" s="14">
        <v>120</v>
      </c>
      <c r="N208" s="45">
        <v>42865</v>
      </c>
      <c r="O208" s="14">
        <v>300</v>
      </c>
      <c r="P208" s="14" t="s">
        <v>86</v>
      </c>
      <c r="Q208" s="14" t="s">
        <v>23</v>
      </c>
      <c r="R208" s="14">
        <v>1829.72</v>
      </c>
      <c r="S208" s="14">
        <v>51</v>
      </c>
      <c r="T208" s="14">
        <v>1</v>
      </c>
      <c r="U208" s="14">
        <v>1</v>
      </c>
      <c r="V208" s="14">
        <v>1</v>
      </c>
      <c r="W208" s="14">
        <v>6</v>
      </c>
      <c r="X208" s="14">
        <v>1</v>
      </c>
      <c r="Y208" s="14">
        <v>34</v>
      </c>
    </row>
    <row r="209" spans="1:25" x14ac:dyDescent="0.2">
      <c r="A209" s="14">
        <v>411</v>
      </c>
      <c r="B209" s="45">
        <v>39127</v>
      </c>
      <c r="C209" s="14">
        <v>1</v>
      </c>
      <c r="D209" s="14">
        <v>453</v>
      </c>
      <c r="E209" s="14" t="s">
        <v>37</v>
      </c>
      <c r="F209" s="14">
        <v>2141617</v>
      </c>
      <c r="G209" s="14" t="s">
        <v>21</v>
      </c>
      <c r="H209" s="14" t="s">
        <v>85</v>
      </c>
      <c r="I209" s="22">
        <v>68328.75</v>
      </c>
      <c r="J209" s="22">
        <v>5.64</v>
      </c>
      <c r="K209" s="45">
        <v>39127</v>
      </c>
      <c r="L209" s="45">
        <v>39247</v>
      </c>
      <c r="M209" s="14">
        <v>120</v>
      </c>
      <c r="N209" s="45">
        <v>42900</v>
      </c>
      <c r="O209" s="14">
        <v>300</v>
      </c>
      <c r="P209" s="14" t="s">
        <v>86</v>
      </c>
      <c r="Q209" s="14" t="s">
        <v>23</v>
      </c>
      <c r="R209" s="14">
        <v>422.66</v>
      </c>
      <c r="S209" s="14">
        <v>50</v>
      </c>
      <c r="T209" s="14">
        <v>1</v>
      </c>
      <c r="U209" s="14">
        <v>1</v>
      </c>
      <c r="V209" s="14">
        <v>1</v>
      </c>
      <c r="W209" s="14">
        <v>6</v>
      </c>
      <c r="X209" s="14">
        <v>1</v>
      </c>
      <c r="Y209" s="14">
        <v>34</v>
      </c>
    </row>
    <row r="210" spans="1:25" x14ac:dyDescent="0.2">
      <c r="A210" s="14">
        <v>411</v>
      </c>
      <c r="B210" s="45">
        <v>39127</v>
      </c>
      <c r="C210" s="14">
        <v>1</v>
      </c>
      <c r="D210" s="14">
        <v>454</v>
      </c>
      <c r="E210" s="14" t="s">
        <v>37</v>
      </c>
      <c r="F210" s="14">
        <v>2141632</v>
      </c>
      <c r="G210" s="14" t="s">
        <v>21</v>
      </c>
      <c r="H210" s="14" t="s">
        <v>85</v>
      </c>
      <c r="I210" s="22">
        <v>181475</v>
      </c>
      <c r="J210" s="22">
        <v>5.3</v>
      </c>
      <c r="K210" s="45">
        <v>39127</v>
      </c>
      <c r="L210" s="45">
        <v>39247</v>
      </c>
      <c r="M210" s="14">
        <v>60</v>
      </c>
      <c r="N210" s="45">
        <v>41074</v>
      </c>
      <c r="O210" s="14">
        <v>480</v>
      </c>
      <c r="P210" s="14" t="s">
        <v>86</v>
      </c>
      <c r="Q210" s="14" t="s">
        <v>23</v>
      </c>
      <c r="R210" s="14">
        <v>904.4</v>
      </c>
      <c r="S210" s="14">
        <v>50</v>
      </c>
      <c r="T210" s="14">
        <v>1</v>
      </c>
      <c r="U210" s="14">
        <v>1</v>
      </c>
      <c r="V210" s="14">
        <v>1</v>
      </c>
      <c r="W210" s="14">
        <v>4</v>
      </c>
      <c r="X210" s="14">
        <v>1</v>
      </c>
      <c r="Y210" s="14">
        <v>28</v>
      </c>
    </row>
    <row r="211" spans="1:25" x14ac:dyDescent="0.2">
      <c r="A211" s="14">
        <v>411</v>
      </c>
      <c r="B211" s="45">
        <v>39127</v>
      </c>
      <c r="C211" s="14">
        <v>1</v>
      </c>
      <c r="D211" s="14">
        <v>455</v>
      </c>
      <c r="E211" s="14" t="s">
        <v>37</v>
      </c>
      <c r="F211" s="14">
        <v>2141633</v>
      </c>
      <c r="G211" s="14" t="s">
        <v>21</v>
      </c>
      <c r="H211" s="14" t="s">
        <v>85</v>
      </c>
      <c r="I211" s="22">
        <v>207400</v>
      </c>
      <c r="J211" s="22">
        <v>5.3</v>
      </c>
      <c r="K211" s="45">
        <v>39127</v>
      </c>
      <c r="L211" s="45">
        <v>39247</v>
      </c>
      <c r="M211" s="14">
        <v>60</v>
      </c>
      <c r="N211" s="45">
        <v>41074</v>
      </c>
      <c r="O211" s="14">
        <v>480</v>
      </c>
      <c r="P211" s="14" t="s">
        <v>86</v>
      </c>
      <c r="Q211" s="14" t="s">
        <v>23</v>
      </c>
      <c r="R211" s="14">
        <v>1033.5999999999999</v>
      </c>
      <c r="S211" s="14">
        <v>50</v>
      </c>
      <c r="T211" s="14">
        <v>1</v>
      </c>
      <c r="U211" s="14">
        <v>1</v>
      </c>
      <c r="V211" s="14">
        <v>1</v>
      </c>
      <c r="W211" s="14">
        <v>4</v>
      </c>
      <c r="X211" s="14">
        <v>1</v>
      </c>
      <c r="Y211" s="14">
        <v>28</v>
      </c>
    </row>
    <row r="212" spans="1:25" x14ac:dyDescent="0.2">
      <c r="A212" s="14">
        <v>411</v>
      </c>
      <c r="B212" s="45">
        <v>39127</v>
      </c>
      <c r="C212" s="14">
        <v>1</v>
      </c>
      <c r="D212" s="14">
        <v>456</v>
      </c>
      <c r="E212" s="14" t="s">
        <v>58</v>
      </c>
      <c r="F212" s="14">
        <v>2141667</v>
      </c>
      <c r="G212" s="14" t="s">
        <v>25</v>
      </c>
      <c r="H212" s="14" t="s">
        <v>186</v>
      </c>
      <c r="I212" s="22">
        <v>82620</v>
      </c>
      <c r="J212" s="22">
        <v>5.64</v>
      </c>
      <c r="K212" s="45">
        <v>39127</v>
      </c>
      <c r="L212" s="45">
        <v>39141</v>
      </c>
      <c r="M212" s="14">
        <v>120</v>
      </c>
      <c r="N212" s="45">
        <v>42794</v>
      </c>
      <c r="O212" s="14">
        <v>300</v>
      </c>
      <c r="P212" s="14" t="s">
        <v>86</v>
      </c>
      <c r="Q212" s="14" t="s">
        <v>23</v>
      </c>
      <c r="R212" s="14">
        <v>511.06</v>
      </c>
      <c r="S212" s="14">
        <v>51</v>
      </c>
      <c r="T212" s="14">
        <v>1</v>
      </c>
      <c r="U212" s="14">
        <v>2</v>
      </c>
      <c r="V212" s="14">
        <v>1</v>
      </c>
      <c r="W212" s="14">
        <v>6</v>
      </c>
      <c r="X212" s="14">
        <v>1</v>
      </c>
      <c r="Y212" s="14">
        <v>34</v>
      </c>
    </row>
  </sheetData>
  <phoneticPr fontId="0" type="noConversion"/>
  <pageMargins left="0.75" right="0.75" top="1" bottom="1" header="0.5" footer="0.5"/>
  <pageSetup orientation="portrait" r:id="rId1"/>
  <headerFooter alignWithMargins="0">
    <oddFooter>&amp;C&amp;1#&amp;"Calibri"&amp;8&amp;K000000INTERNAL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mdGetData_click">
                <anchor moveWithCells="1" sizeWithCells="1">
                  <from>
                    <xdr:col>2</xdr:col>
                    <xdr:colOff>9525</xdr:colOff>
                    <xdr:row>0</xdr:row>
                    <xdr:rowOff>38100</xdr:rowOff>
                  </from>
                  <to>
                    <xdr:col>5</xdr:col>
                    <xdr:colOff>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4:R23"/>
  <sheetViews>
    <sheetView workbookViewId="0">
      <selection activeCell="D15" sqref="D15"/>
    </sheetView>
  </sheetViews>
  <sheetFormatPr defaultRowHeight="12.75" x14ac:dyDescent="0.2"/>
  <cols>
    <col min="3" max="3" width="13.28515625" customWidth="1"/>
    <col min="6" max="6" width="10.85546875" bestFit="1" customWidth="1"/>
    <col min="16" max="16" width="10.7109375" bestFit="1" customWidth="1"/>
    <col min="17" max="17" width="12.28515625" bestFit="1" customWidth="1"/>
  </cols>
  <sheetData>
    <row r="4" spans="1:18" hidden="1" x14ac:dyDescent="0.2">
      <c r="A4" t="s">
        <v>42</v>
      </c>
      <c r="C4" t="s">
        <v>205</v>
      </c>
    </row>
    <row r="6" spans="1:18" x14ac:dyDescent="0.2">
      <c r="A6" t="s">
        <v>43</v>
      </c>
      <c r="C6" s="37" t="s">
        <v>65</v>
      </c>
      <c r="F6" s="55" t="s">
        <v>231</v>
      </c>
    </row>
    <row r="7" spans="1:18" x14ac:dyDescent="0.2">
      <c r="C7" t="str">
        <f>"where AcctId =" &amp;F7</f>
        <v>where AcctId =151</v>
      </c>
      <c r="F7">
        <v>151</v>
      </c>
    </row>
    <row r="9" spans="1:18" x14ac:dyDescent="0.2">
      <c r="A9" t="s">
        <v>44</v>
      </c>
    </row>
    <row r="11" spans="1:18" x14ac:dyDescent="0.2">
      <c r="A11" t="s">
        <v>46</v>
      </c>
      <c r="B11" t="s">
        <v>30</v>
      </c>
      <c r="C11" t="s">
        <v>31</v>
      </c>
      <c r="D11" t="s">
        <v>47</v>
      </c>
      <c r="E11" t="s">
        <v>48</v>
      </c>
      <c r="F11" t="s">
        <v>49</v>
      </c>
      <c r="G11" t="s">
        <v>32</v>
      </c>
      <c r="H11" t="s">
        <v>36</v>
      </c>
      <c r="I11" t="s">
        <v>50</v>
      </c>
      <c r="J11" t="s">
        <v>51</v>
      </c>
      <c r="K11" t="s">
        <v>34</v>
      </c>
      <c r="L11" t="s">
        <v>52</v>
      </c>
      <c r="M11" t="s">
        <v>54</v>
      </c>
      <c r="N11" t="s">
        <v>53</v>
      </c>
      <c r="O11" t="s">
        <v>66</v>
      </c>
      <c r="P11" t="s">
        <v>56</v>
      </c>
      <c r="Q11" t="s">
        <v>55</v>
      </c>
      <c r="R11" t="s">
        <v>57</v>
      </c>
    </row>
    <row r="12" spans="1:18" x14ac:dyDescent="0.2">
      <c r="A12">
        <v>151</v>
      </c>
      <c r="B12" t="s">
        <v>24</v>
      </c>
      <c r="C12">
        <v>2138816</v>
      </c>
      <c r="D12" s="12">
        <v>39108</v>
      </c>
      <c r="E12" s="12">
        <v>39136</v>
      </c>
      <c r="F12" t="s">
        <v>58</v>
      </c>
      <c r="G12">
        <v>253360</v>
      </c>
      <c r="H12" s="12">
        <v>39111</v>
      </c>
      <c r="I12">
        <v>5.24</v>
      </c>
      <c r="J12" s="12">
        <v>39122</v>
      </c>
      <c r="K12">
        <v>60</v>
      </c>
      <c r="L12" s="12">
        <v>40948</v>
      </c>
      <c r="M12">
        <v>264</v>
      </c>
      <c r="N12" t="s">
        <v>59</v>
      </c>
      <c r="O12" t="s">
        <v>25</v>
      </c>
      <c r="P12" s="12">
        <v>39108</v>
      </c>
      <c r="Q12" t="s">
        <v>63</v>
      </c>
    </row>
    <row r="13" spans="1:18" x14ac:dyDescent="0.2">
      <c r="A13">
        <v>151</v>
      </c>
      <c r="B13" t="s">
        <v>24</v>
      </c>
      <c r="C13">
        <v>2138816</v>
      </c>
      <c r="D13" s="12">
        <v>39108</v>
      </c>
      <c r="E13" s="12">
        <v>39136</v>
      </c>
      <c r="F13" t="s">
        <v>58</v>
      </c>
      <c r="G13">
        <v>253360</v>
      </c>
      <c r="H13" s="12">
        <v>39111</v>
      </c>
      <c r="I13">
        <v>5.24</v>
      </c>
      <c r="J13" s="12">
        <v>39122</v>
      </c>
      <c r="K13">
        <v>60</v>
      </c>
      <c r="L13" s="12">
        <v>40948</v>
      </c>
      <c r="M13">
        <v>264</v>
      </c>
      <c r="N13" t="s">
        <v>59</v>
      </c>
      <c r="O13" t="s">
        <v>25</v>
      </c>
      <c r="P13" s="12">
        <v>39112</v>
      </c>
      <c r="Q13" t="s">
        <v>61</v>
      </c>
    </row>
    <row r="14" spans="1:18" x14ac:dyDescent="0.2">
      <c r="A14">
        <v>151</v>
      </c>
      <c r="B14" t="s">
        <v>24</v>
      </c>
      <c r="C14">
        <v>2138816</v>
      </c>
      <c r="D14" s="12">
        <v>39108</v>
      </c>
      <c r="E14" s="12">
        <v>39136</v>
      </c>
      <c r="F14" t="s">
        <v>58</v>
      </c>
      <c r="G14">
        <v>274379</v>
      </c>
      <c r="H14" s="12">
        <v>39111</v>
      </c>
      <c r="I14">
        <v>5.0999999999999996</v>
      </c>
      <c r="J14" s="12">
        <v>39122</v>
      </c>
      <c r="K14">
        <v>60</v>
      </c>
      <c r="L14" s="12">
        <v>40948</v>
      </c>
      <c r="M14">
        <v>420</v>
      </c>
      <c r="N14" t="s">
        <v>6</v>
      </c>
      <c r="O14" t="s">
        <v>25</v>
      </c>
      <c r="P14" s="12">
        <v>39113</v>
      </c>
      <c r="Q14" t="s">
        <v>60</v>
      </c>
      <c r="R14" t="s">
        <v>112</v>
      </c>
    </row>
    <row r="15" spans="1:18" x14ac:dyDescent="0.2">
      <c r="A15">
        <v>151</v>
      </c>
      <c r="B15" t="s">
        <v>24</v>
      </c>
      <c r="C15">
        <v>2138816</v>
      </c>
      <c r="D15" s="12">
        <v>39108</v>
      </c>
      <c r="E15" s="12">
        <v>39136</v>
      </c>
      <c r="F15" t="s">
        <v>58</v>
      </c>
      <c r="G15">
        <v>258048</v>
      </c>
      <c r="H15" s="12">
        <v>39111</v>
      </c>
      <c r="I15">
        <v>5.0999999999999996</v>
      </c>
      <c r="J15" s="12">
        <v>39122</v>
      </c>
      <c r="K15">
        <v>60</v>
      </c>
      <c r="L15" s="12">
        <v>40948</v>
      </c>
      <c r="M15">
        <v>420</v>
      </c>
      <c r="N15" t="s">
        <v>6</v>
      </c>
      <c r="O15" t="s">
        <v>25</v>
      </c>
      <c r="P15" s="12">
        <v>39114</v>
      </c>
      <c r="Q15" t="s">
        <v>60</v>
      </c>
      <c r="R15" t="s">
        <v>113</v>
      </c>
    </row>
    <row r="16" spans="1:18" x14ac:dyDescent="0.2">
      <c r="A16">
        <v>151</v>
      </c>
      <c r="B16" t="s">
        <v>24</v>
      </c>
      <c r="C16">
        <v>2138816</v>
      </c>
      <c r="D16" s="12">
        <v>39108</v>
      </c>
      <c r="E16" s="12">
        <v>39136</v>
      </c>
      <c r="F16" t="s">
        <v>58</v>
      </c>
      <c r="G16">
        <v>253360</v>
      </c>
      <c r="H16" s="12">
        <v>39111</v>
      </c>
      <c r="I16">
        <v>5.24</v>
      </c>
      <c r="J16" s="12">
        <v>39122</v>
      </c>
      <c r="K16">
        <v>60</v>
      </c>
      <c r="L16" s="12">
        <v>40948</v>
      </c>
      <c r="M16">
        <v>264</v>
      </c>
      <c r="N16" t="s">
        <v>59</v>
      </c>
      <c r="O16" t="s">
        <v>25</v>
      </c>
      <c r="P16" s="12">
        <v>39115</v>
      </c>
      <c r="Q16" t="s">
        <v>60</v>
      </c>
      <c r="R16" t="s">
        <v>114</v>
      </c>
    </row>
    <row r="17" spans="1:18" x14ac:dyDescent="0.2">
      <c r="A17">
        <v>151</v>
      </c>
      <c r="B17" t="s">
        <v>24</v>
      </c>
      <c r="C17">
        <v>2138816</v>
      </c>
      <c r="D17" s="12">
        <v>39108</v>
      </c>
      <c r="E17" s="12">
        <v>39136</v>
      </c>
      <c r="F17" t="s">
        <v>64</v>
      </c>
      <c r="G17">
        <v>253360</v>
      </c>
      <c r="H17" s="12">
        <v>39111</v>
      </c>
      <c r="I17">
        <v>5.24</v>
      </c>
      <c r="J17" s="12">
        <v>39122</v>
      </c>
      <c r="K17">
        <v>60</v>
      </c>
      <c r="L17" s="12">
        <v>40948</v>
      </c>
      <c r="M17">
        <v>264</v>
      </c>
      <c r="N17" t="s">
        <v>59</v>
      </c>
      <c r="O17" t="s">
        <v>25</v>
      </c>
      <c r="P17" s="12">
        <v>39122</v>
      </c>
      <c r="Q17" t="s">
        <v>60</v>
      </c>
      <c r="R17" t="s">
        <v>111</v>
      </c>
    </row>
    <row r="18" spans="1:18" x14ac:dyDescent="0.2">
      <c r="A18">
        <v>151</v>
      </c>
      <c r="B18" t="s">
        <v>24</v>
      </c>
      <c r="C18">
        <v>2138816</v>
      </c>
      <c r="D18" s="12">
        <v>39108</v>
      </c>
      <c r="E18" s="12">
        <v>39136</v>
      </c>
      <c r="F18" t="s">
        <v>64</v>
      </c>
      <c r="G18">
        <v>253360</v>
      </c>
      <c r="H18" s="12">
        <v>39111</v>
      </c>
      <c r="I18">
        <v>5.24</v>
      </c>
      <c r="J18" s="12">
        <v>39122</v>
      </c>
      <c r="K18">
        <v>60</v>
      </c>
      <c r="L18" s="12">
        <v>40948</v>
      </c>
      <c r="M18">
        <v>264</v>
      </c>
      <c r="N18" t="s">
        <v>59</v>
      </c>
      <c r="O18" t="s">
        <v>25</v>
      </c>
      <c r="P18" s="12">
        <v>39125</v>
      </c>
      <c r="Q18" t="s">
        <v>61</v>
      </c>
    </row>
    <row r="19" spans="1:18" x14ac:dyDescent="0.2">
      <c r="A19">
        <v>151</v>
      </c>
      <c r="B19" t="s">
        <v>24</v>
      </c>
      <c r="C19">
        <v>2138816</v>
      </c>
      <c r="D19" s="12">
        <v>39108</v>
      </c>
      <c r="E19" s="12">
        <v>39136</v>
      </c>
      <c r="F19" t="s">
        <v>58</v>
      </c>
      <c r="G19">
        <v>253360</v>
      </c>
      <c r="H19" s="12">
        <v>39111</v>
      </c>
      <c r="I19">
        <v>5.24</v>
      </c>
      <c r="J19" s="12">
        <v>39127</v>
      </c>
      <c r="K19">
        <v>60</v>
      </c>
      <c r="L19" s="12">
        <v>40953</v>
      </c>
      <c r="M19">
        <v>264</v>
      </c>
      <c r="N19" t="s">
        <v>59</v>
      </c>
      <c r="O19" t="s">
        <v>25</v>
      </c>
      <c r="P19" s="12">
        <v>39126</v>
      </c>
      <c r="Q19" t="s">
        <v>61</v>
      </c>
      <c r="R19" t="s">
        <v>62</v>
      </c>
    </row>
    <row r="20" spans="1:18" x14ac:dyDescent="0.2">
      <c r="A20">
        <v>151</v>
      </c>
      <c r="B20" t="s">
        <v>24</v>
      </c>
      <c r="C20">
        <v>2138816</v>
      </c>
      <c r="D20" s="12">
        <v>39108</v>
      </c>
      <c r="E20" s="12">
        <v>39136</v>
      </c>
      <c r="F20" t="s">
        <v>64</v>
      </c>
      <c r="G20">
        <v>253360</v>
      </c>
      <c r="H20" s="12">
        <v>39111</v>
      </c>
      <c r="I20">
        <v>5.24</v>
      </c>
      <c r="J20" s="12">
        <v>39127</v>
      </c>
      <c r="K20">
        <v>60</v>
      </c>
      <c r="L20" s="12">
        <v>40953</v>
      </c>
      <c r="M20">
        <v>264</v>
      </c>
      <c r="N20" t="s">
        <v>59</v>
      </c>
      <c r="O20" t="s">
        <v>25</v>
      </c>
      <c r="P20" s="12">
        <v>39127</v>
      </c>
      <c r="Q20" t="s">
        <v>60</v>
      </c>
      <c r="R20" t="s">
        <v>111</v>
      </c>
    </row>
    <row r="21" spans="1:18" x14ac:dyDescent="0.2">
      <c r="A21">
        <v>151</v>
      </c>
      <c r="B21" t="s">
        <v>24</v>
      </c>
      <c r="C21">
        <v>2138816</v>
      </c>
      <c r="D21" s="12">
        <v>39108</v>
      </c>
      <c r="E21" s="12">
        <v>39136</v>
      </c>
      <c r="F21" t="s">
        <v>58</v>
      </c>
      <c r="G21">
        <v>253360</v>
      </c>
      <c r="H21" s="12">
        <v>39111</v>
      </c>
      <c r="I21">
        <v>5.24</v>
      </c>
      <c r="J21" s="12">
        <v>39129</v>
      </c>
      <c r="K21">
        <v>60</v>
      </c>
      <c r="L21" s="12">
        <v>40955</v>
      </c>
      <c r="M21">
        <v>264</v>
      </c>
      <c r="N21" t="s">
        <v>59</v>
      </c>
      <c r="O21" t="s">
        <v>25</v>
      </c>
      <c r="P21" s="12">
        <v>39128</v>
      </c>
      <c r="Q21" t="s">
        <v>60</v>
      </c>
      <c r="R21" t="s">
        <v>206</v>
      </c>
    </row>
    <row r="22" spans="1:18" x14ac:dyDescent="0.2">
      <c r="A22">
        <v>151</v>
      </c>
      <c r="B22" t="s">
        <v>24</v>
      </c>
      <c r="C22">
        <v>2138816</v>
      </c>
      <c r="D22" s="12">
        <v>39108</v>
      </c>
      <c r="E22" s="12">
        <v>39136</v>
      </c>
      <c r="F22" t="s">
        <v>64</v>
      </c>
      <c r="G22">
        <v>253360</v>
      </c>
      <c r="H22" s="12">
        <v>39111</v>
      </c>
      <c r="I22">
        <v>5.24</v>
      </c>
      <c r="J22" s="12">
        <v>39129</v>
      </c>
      <c r="K22">
        <v>60</v>
      </c>
      <c r="L22" s="12">
        <v>40955</v>
      </c>
      <c r="M22">
        <v>264</v>
      </c>
      <c r="N22" t="s">
        <v>59</v>
      </c>
      <c r="O22" t="s">
        <v>25</v>
      </c>
      <c r="P22" s="12">
        <v>39129</v>
      </c>
      <c r="Q22" t="s">
        <v>60</v>
      </c>
      <c r="R22" t="s">
        <v>207</v>
      </c>
    </row>
    <row r="23" spans="1:18" x14ac:dyDescent="0.2">
      <c r="A23">
        <v>151</v>
      </c>
      <c r="B23" t="s">
        <v>24</v>
      </c>
      <c r="C23">
        <v>2138816</v>
      </c>
      <c r="D23" s="12">
        <v>39108</v>
      </c>
      <c r="E23" s="12">
        <v>39136</v>
      </c>
      <c r="F23" t="s">
        <v>58</v>
      </c>
      <c r="G23">
        <v>253360</v>
      </c>
      <c r="H23" s="12">
        <v>39111</v>
      </c>
      <c r="I23">
        <v>5.24</v>
      </c>
      <c r="J23" s="12">
        <v>39136</v>
      </c>
      <c r="K23">
        <v>60</v>
      </c>
      <c r="L23" s="12">
        <v>40962</v>
      </c>
      <c r="M23">
        <v>264</v>
      </c>
      <c r="N23" t="s">
        <v>59</v>
      </c>
      <c r="O23" t="s">
        <v>25</v>
      </c>
      <c r="P23" s="12">
        <v>39132</v>
      </c>
      <c r="Q23" t="s">
        <v>60</v>
      </c>
      <c r="R23" t="s">
        <v>208</v>
      </c>
    </row>
  </sheetData>
  <phoneticPr fontId="0" type="noConversion"/>
  <pageMargins left="0.75" right="0.75" top="1" bottom="1" header="0.5" footer="0.5"/>
  <pageSetup orientation="portrait" r:id="rId1"/>
  <headerFooter alignWithMargins="0">
    <oddFooter>&amp;C&amp;1#&amp;"Calibri"&amp;8&amp;K000000INTERNAL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mdGetData_click">
                <anchor moveWithCells="1" sizeWithCells="1">
                  <from>
                    <xdr:col>2</xdr:col>
                    <xdr:colOff>9525</xdr:colOff>
                    <xdr:row>0</xdr:row>
                    <xdr:rowOff>38100</xdr:rowOff>
                  </from>
                  <to>
                    <xdr:col>4</xdr:col>
                    <xdr:colOff>333375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V15"/>
  <sheetViews>
    <sheetView topLeftCell="M1" workbookViewId="0">
      <selection activeCell="N17" sqref="N17"/>
    </sheetView>
  </sheetViews>
  <sheetFormatPr defaultRowHeight="12.75" x14ac:dyDescent="0.2"/>
  <cols>
    <col min="1" max="1" width="25.5703125" bestFit="1" customWidth="1"/>
    <col min="8" max="8" width="11.7109375" bestFit="1" customWidth="1"/>
    <col min="10" max="10" width="12.42578125" customWidth="1"/>
    <col min="11" max="11" width="11.28515625" customWidth="1"/>
  </cols>
  <sheetData>
    <row r="1" spans="1:22" x14ac:dyDescent="0.2">
      <c r="G1" t="s">
        <v>224</v>
      </c>
    </row>
    <row r="2" spans="1:22" x14ac:dyDescent="0.2">
      <c r="G2" t="s">
        <v>225</v>
      </c>
      <c r="J2">
        <v>2</v>
      </c>
    </row>
    <row r="3" spans="1:22" x14ac:dyDescent="0.2">
      <c r="H3" s="48"/>
      <c r="J3" t="e">
        <f t="array" ref="J3:K8">retrieve(G1,J2)</f>
        <v>#VALUE!</v>
      </c>
      <c r="K3" t="e">
        <v>#VALUE!</v>
      </c>
    </row>
    <row r="4" spans="1:22" hidden="1" x14ac:dyDescent="0.2">
      <c r="C4" t="s">
        <v>209</v>
      </c>
      <c r="J4" t="e">
        <v>#VALUE!</v>
      </c>
      <c r="K4" t="e">
        <v>#VALUE!</v>
      </c>
    </row>
    <row r="5" spans="1:22" x14ac:dyDescent="0.2">
      <c r="J5" t="e">
        <v>#VALUE!</v>
      </c>
      <c r="K5" t="e">
        <v>#VALUE!</v>
      </c>
    </row>
    <row r="6" spans="1:22" x14ac:dyDescent="0.2">
      <c r="A6" t="s">
        <v>191</v>
      </c>
      <c r="C6" s="37" t="s">
        <v>67</v>
      </c>
      <c r="J6" t="e">
        <v>#VALUE!</v>
      </c>
      <c r="K6" t="e">
        <v>#VALUE!</v>
      </c>
    </row>
    <row r="7" spans="1:22" x14ac:dyDescent="0.2">
      <c r="J7" t="e">
        <v>#VALUE!</v>
      </c>
      <c r="K7" t="e">
        <v>#VALUE!</v>
      </c>
    </row>
    <row r="8" spans="1:22" x14ac:dyDescent="0.2">
      <c r="J8" t="e">
        <v>#VALUE!</v>
      </c>
      <c r="K8" t="e">
        <v>#VALUE!</v>
      </c>
    </row>
    <row r="10" spans="1:22" x14ac:dyDescent="0.2">
      <c r="A10" s="47" t="s">
        <v>70</v>
      </c>
      <c r="B10" s="47" t="s">
        <v>9</v>
      </c>
      <c r="C10" s="47" t="s">
        <v>10</v>
      </c>
      <c r="D10" s="47" t="s">
        <v>11</v>
      </c>
      <c r="E10" s="47" t="s">
        <v>12</v>
      </c>
      <c r="F10" s="47" t="s">
        <v>13</v>
      </c>
      <c r="G10" s="47" t="s">
        <v>14</v>
      </c>
      <c r="H10" s="47" t="s">
        <v>15</v>
      </c>
      <c r="I10" s="47" t="s">
        <v>16</v>
      </c>
      <c r="J10" s="47" t="s">
        <v>38</v>
      </c>
      <c r="K10" s="47" t="s">
        <v>17</v>
      </c>
      <c r="L10" s="47" t="s">
        <v>18</v>
      </c>
      <c r="M10" s="47" t="s">
        <v>19</v>
      </c>
      <c r="N10" s="47" t="s">
        <v>20</v>
      </c>
      <c r="O10" s="47" t="s">
        <v>37</v>
      </c>
      <c r="P10" s="47" t="s">
        <v>192</v>
      </c>
      <c r="Q10" s="47" t="s">
        <v>193</v>
      </c>
      <c r="R10" s="47" t="s">
        <v>194</v>
      </c>
      <c r="S10" s="47" t="s">
        <v>69</v>
      </c>
      <c r="T10" s="47" t="s">
        <v>46</v>
      </c>
      <c r="U10" s="47" t="s">
        <v>8</v>
      </c>
      <c r="V10" s="47" t="s">
        <v>195</v>
      </c>
    </row>
    <row r="11" spans="1:22" x14ac:dyDescent="0.2">
      <c r="A11" t="s">
        <v>226</v>
      </c>
      <c r="B11">
        <v>763105</v>
      </c>
      <c r="C11" t="s">
        <v>25</v>
      </c>
      <c r="D11" t="s">
        <v>133</v>
      </c>
      <c r="E11">
        <v>350000</v>
      </c>
      <c r="F11" t="s">
        <v>196</v>
      </c>
      <c r="G11">
        <v>5.09</v>
      </c>
      <c r="H11" t="s">
        <v>197</v>
      </c>
      <c r="I11">
        <v>60</v>
      </c>
      <c r="J11" t="s">
        <v>198</v>
      </c>
      <c r="K11" t="s">
        <v>86</v>
      </c>
      <c r="L11" t="s">
        <v>23</v>
      </c>
      <c r="M11">
        <v>1774.64</v>
      </c>
      <c r="N11">
        <v>420</v>
      </c>
      <c r="O11" t="s">
        <v>85</v>
      </c>
      <c r="S11">
        <v>1</v>
      </c>
      <c r="U11" s="12">
        <v>39134</v>
      </c>
      <c r="V11">
        <v>417</v>
      </c>
    </row>
    <row r="12" spans="1:22" x14ac:dyDescent="0.2">
      <c r="A12" t="s">
        <v>227</v>
      </c>
      <c r="B12">
        <v>763340</v>
      </c>
      <c r="C12" t="s">
        <v>21</v>
      </c>
      <c r="D12" t="s">
        <v>138</v>
      </c>
      <c r="E12">
        <v>247365</v>
      </c>
      <c r="F12" t="s">
        <v>199</v>
      </c>
      <c r="G12">
        <v>5.09</v>
      </c>
      <c r="H12" t="s">
        <v>200</v>
      </c>
      <c r="I12">
        <v>60</v>
      </c>
      <c r="J12" t="s">
        <v>201</v>
      </c>
      <c r="K12" t="s">
        <v>86</v>
      </c>
      <c r="L12" t="s">
        <v>88</v>
      </c>
      <c r="M12">
        <v>1254.24</v>
      </c>
      <c r="N12">
        <v>420</v>
      </c>
      <c r="O12" t="s">
        <v>85</v>
      </c>
      <c r="S12">
        <v>1</v>
      </c>
      <c r="U12" s="12">
        <v>39134</v>
      </c>
      <c r="V12">
        <v>417</v>
      </c>
    </row>
    <row r="13" spans="1:22" x14ac:dyDescent="0.2">
      <c r="A13" t="s">
        <v>227</v>
      </c>
      <c r="B13">
        <v>763391</v>
      </c>
      <c r="C13" t="s">
        <v>25</v>
      </c>
      <c r="D13" t="s">
        <v>140</v>
      </c>
      <c r="E13">
        <v>153503.24</v>
      </c>
      <c r="F13" t="s">
        <v>199</v>
      </c>
      <c r="G13">
        <v>5.09</v>
      </c>
      <c r="H13" t="s">
        <v>202</v>
      </c>
      <c r="I13">
        <v>60</v>
      </c>
      <c r="J13" t="s">
        <v>203</v>
      </c>
      <c r="K13" t="s">
        <v>86</v>
      </c>
      <c r="L13" t="s">
        <v>23</v>
      </c>
      <c r="M13">
        <v>743.94</v>
      </c>
      <c r="N13">
        <v>480</v>
      </c>
      <c r="O13" t="s">
        <v>85</v>
      </c>
      <c r="S13">
        <v>1</v>
      </c>
      <c r="U13" s="12">
        <v>39134</v>
      </c>
      <c r="V13">
        <v>417</v>
      </c>
    </row>
    <row r="14" spans="1:22" x14ac:dyDescent="0.2">
      <c r="A14" t="s">
        <v>228</v>
      </c>
      <c r="B14">
        <v>762247</v>
      </c>
      <c r="C14" t="s">
        <v>21</v>
      </c>
      <c r="D14" t="s">
        <v>85</v>
      </c>
      <c r="E14">
        <v>388125</v>
      </c>
      <c r="F14" t="s">
        <v>220</v>
      </c>
      <c r="G14">
        <v>5.09</v>
      </c>
      <c r="H14" t="s">
        <v>221</v>
      </c>
      <c r="I14">
        <v>60</v>
      </c>
      <c r="J14" t="s">
        <v>222</v>
      </c>
      <c r="K14" t="s">
        <v>86</v>
      </c>
      <c r="L14" t="s">
        <v>23</v>
      </c>
      <c r="M14">
        <v>1967.95</v>
      </c>
      <c r="N14">
        <v>420</v>
      </c>
      <c r="O14" t="s">
        <v>223</v>
      </c>
      <c r="S14">
        <v>1</v>
      </c>
      <c r="T14">
        <v>48</v>
      </c>
      <c r="U14" s="12">
        <v>39134</v>
      </c>
      <c r="V14">
        <v>417</v>
      </c>
    </row>
    <row r="15" spans="1:22" x14ac:dyDescent="0.2">
      <c r="U15" s="12"/>
    </row>
  </sheetData>
  <phoneticPr fontId="0" type="noConversion"/>
  <pageMargins left="0.75" right="0.75" top="1" bottom="1" header="0.5" footer="0.5"/>
  <pageSetup orientation="portrait" r:id="rId1"/>
  <headerFooter alignWithMargins="0">
    <oddFooter>&amp;C&amp;1#&amp;"Calibri"&amp;8&amp;K000000INTERNAL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mdGetData_click">
                <anchor moveWithCells="1" sizeWithCells="1">
                  <from>
                    <xdr:col>2</xdr:col>
                    <xdr:colOff>9525</xdr:colOff>
                    <xdr:row>0</xdr:row>
                    <xdr:rowOff>38100</xdr:rowOff>
                  </from>
                  <to>
                    <xdr:col>5</xdr:col>
                    <xdr:colOff>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Q18"/>
  <sheetViews>
    <sheetView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C20" sqref="C20"/>
    </sheetView>
  </sheetViews>
  <sheetFormatPr defaultRowHeight="12.75" x14ac:dyDescent="0.2"/>
  <cols>
    <col min="1" max="1" width="12.85546875" customWidth="1"/>
    <col min="2" max="2" width="20.7109375" bestFit="1" customWidth="1"/>
    <col min="3" max="3" width="12.5703125" customWidth="1"/>
    <col min="4" max="4" width="13.28515625" bestFit="1" customWidth="1"/>
    <col min="5" max="5" width="11.7109375" style="51" bestFit="1" customWidth="1"/>
    <col min="6" max="6" width="14.5703125" bestFit="1" customWidth="1"/>
    <col min="7" max="7" width="9.140625" customWidth="1"/>
    <col min="8" max="8" width="10.5703125" bestFit="1" customWidth="1"/>
    <col min="9" max="9" width="10.85546875" bestFit="1" customWidth="1"/>
    <col min="11" max="11" width="11.5703125" style="22" bestFit="1" customWidth="1"/>
    <col min="12" max="12" width="11.28515625" style="7" bestFit="1" customWidth="1"/>
  </cols>
  <sheetData>
    <row r="1" spans="1:17" x14ac:dyDescent="0.2">
      <c r="A1" t="str">
        <f>getuser()</f>
        <v>wamicha</v>
      </c>
    </row>
    <row r="3" spans="1:17" x14ac:dyDescent="0.2">
      <c r="G3" s="48" t="s">
        <v>217</v>
      </c>
      <c r="H3" s="50" t="s">
        <v>218</v>
      </c>
    </row>
    <row r="4" spans="1:17" hidden="1" x14ac:dyDescent="0.2">
      <c r="A4" t="s">
        <v>211</v>
      </c>
      <c r="C4" t="s">
        <v>212</v>
      </c>
    </row>
    <row r="6" spans="1:17" x14ac:dyDescent="0.2">
      <c r="A6" t="s">
        <v>191</v>
      </c>
      <c r="C6" t="s">
        <v>213</v>
      </c>
    </row>
    <row r="8" spans="1:17" x14ac:dyDescent="0.2">
      <c r="C8" t="s">
        <v>0</v>
      </c>
    </row>
    <row r="10" spans="1:17" x14ac:dyDescent="0.2">
      <c r="A10" s="49" t="s">
        <v>70</v>
      </c>
      <c r="B10" s="49" t="s">
        <v>55</v>
      </c>
      <c r="C10" s="49" t="s">
        <v>46</v>
      </c>
      <c r="D10" s="49" t="s">
        <v>214</v>
      </c>
      <c r="E10" s="52" t="s">
        <v>215</v>
      </c>
      <c r="F10" s="49" t="s">
        <v>216</v>
      </c>
      <c r="G10" s="49" t="s">
        <v>50</v>
      </c>
      <c r="H10" s="49" t="s">
        <v>34</v>
      </c>
      <c r="I10" s="49" t="s">
        <v>54</v>
      </c>
      <c r="J10" s="49" t="s">
        <v>73</v>
      </c>
      <c r="K10" s="44" t="s">
        <v>31</v>
      </c>
      <c r="L10" s="53" t="s">
        <v>32</v>
      </c>
      <c r="M10" s="49" t="s">
        <v>36</v>
      </c>
      <c r="N10" s="49" t="s">
        <v>51</v>
      </c>
      <c r="O10" s="49" t="s">
        <v>75</v>
      </c>
      <c r="P10" s="49" t="s">
        <v>57</v>
      </c>
      <c r="Q10" s="49" t="s">
        <v>72</v>
      </c>
    </row>
    <row r="11" spans="1:17" x14ac:dyDescent="0.2">
      <c r="A11" t="s">
        <v>188</v>
      </c>
      <c r="B11" t="s">
        <v>189</v>
      </c>
      <c r="C11">
        <v>111</v>
      </c>
      <c r="E11"/>
      <c r="F11" s="12">
        <v>39135</v>
      </c>
      <c r="G11">
        <v>4.99</v>
      </c>
      <c r="H11">
        <v>60</v>
      </c>
      <c r="I11">
        <v>480</v>
      </c>
      <c r="J11" t="s">
        <v>58</v>
      </c>
      <c r="K11" s="22">
        <v>2138165</v>
      </c>
      <c r="L11" s="7">
        <v>259250</v>
      </c>
      <c r="M11" s="12">
        <v>39106</v>
      </c>
      <c r="N11" s="12">
        <v>39142</v>
      </c>
      <c r="O11" s="12" t="s">
        <v>86</v>
      </c>
      <c r="Q11">
        <v>418</v>
      </c>
    </row>
    <row r="12" spans="1:17" x14ac:dyDescent="0.2">
      <c r="A12" t="s">
        <v>188</v>
      </c>
      <c r="B12" t="s">
        <v>229</v>
      </c>
      <c r="C12">
        <v>154</v>
      </c>
      <c r="E12"/>
      <c r="F12" s="12">
        <v>39135</v>
      </c>
      <c r="G12">
        <v>5.6</v>
      </c>
      <c r="H12">
        <v>120</v>
      </c>
      <c r="I12">
        <v>420</v>
      </c>
      <c r="J12" t="s">
        <v>64</v>
      </c>
      <c r="K12" s="22">
        <v>2138858</v>
      </c>
      <c r="L12" s="7">
        <v>101947.5</v>
      </c>
      <c r="M12" s="12">
        <v>39111</v>
      </c>
      <c r="N12" s="12">
        <v>39135</v>
      </c>
      <c r="O12" s="12" t="s">
        <v>86</v>
      </c>
      <c r="P12" t="s">
        <v>230</v>
      </c>
      <c r="Q12">
        <v>418</v>
      </c>
    </row>
    <row r="13" spans="1:17" x14ac:dyDescent="0.2">
      <c r="A13" t="s">
        <v>188</v>
      </c>
      <c r="B13" t="s">
        <v>189</v>
      </c>
      <c r="C13">
        <v>438</v>
      </c>
      <c r="E13"/>
      <c r="F13" s="12">
        <v>39135</v>
      </c>
      <c r="G13">
        <v>5.24</v>
      </c>
      <c r="H13">
        <v>60</v>
      </c>
      <c r="I13">
        <v>480</v>
      </c>
      <c r="J13" t="s">
        <v>58</v>
      </c>
      <c r="K13" s="22">
        <v>388184</v>
      </c>
      <c r="L13" s="7">
        <v>438615</v>
      </c>
      <c r="M13" s="12">
        <v>39125</v>
      </c>
      <c r="N13" s="12">
        <v>39140</v>
      </c>
      <c r="O13" s="12" t="s">
        <v>86</v>
      </c>
      <c r="Q13">
        <v>418</v>
      </c>
    </row>
    <row r="14" spans="1:17" x14ac:dyDescent="0.2">
      <c r="A14" t="s">
        <v>188</v>
      </c>
      <c r="B14" t="s">
        <v>189</v>
      </c>
      <c r="C14">
        <v>443</v>
      </c>
      <c r="E14"/>
      <c r="F14" s="12">
        <v>39135</v>
      </c>
      <c r="G14">
        <v>5.24</v>
      </c>
      <c r="H14">
        <v>60</v>
      </c>
      <c r="I14">
        <v>480</v>
      </c>
      <c r="J14" t="s">
        <v>37</v>
      </c>
      <c r="K14" s="22">
        <v>2141136</v>
      </c>
      <c r="L14" s="7">
        <v>225819.75</v>
      </c>
      <c r="M14" s="12">
        <v>39125</v>
      </c>
      <c r="N14" s="12">
        <v>39245</v>
      </c>
      <c r="O14" s="12" t="s">
        <v>86</v>
      </c>
      <c r="Q14">
        <v>418</v>
      </c>
    </row>
    <row r="15" spans="1:17" x14ac:dyDescent="0.2">
      <c r="A15" t="s">
        <v>188</v>
      </c>
      <c r="B15" t="s">
        <v>189</v>
      </c>
      <c r="C15">
        <v>175</v>
      </c>
      <c r="E15"/>
      <c r="F15" s="12">
        <v>39135</v>
      </c>
      <c r="G15">
        <v>5.24</v>
      </c>
      <c r="H15">
        <v>60</v>
      </c>
      <c r="I15">
        <v>480</v>
      </c>
      <c r="J15" t="s">
        <v>58</v>
      </c>
      <c r="K15" s="22">
        <v>2139456</v>
      </c>
      <c r="L15" s="7">
        <v>152957.5</v>
      </c>
      <c r="M15" s="12">
        <v>39113</v>
      </c>
      <c r="N15" s="12">
        <v>39217</v>
      </c>
      <c r="O15" s="12" t="s">
        <v>86</v>
      </c>
      <c r="Q15">
        <v>418</v>
      </c>
    </row>
    <row r="16" spans="1:17" x14ac:dyDescent="0.2">
      <c r="A16" t="s">
        <v>188</v>
      </c>
      <c r="B16" t="s">
        <v>189</v>
      </c>
      <c r="C16">
        <v>179</v>
      </c>
      <c r="E16"/>
      <c r="F16" s="12">
        <v>39135</v>
      </c>
      <c r="G16">
        <v>5.24</v>
      </c>
      <c r="H16">
        <v>60</v>
      </c>
      <c r="I16">
        <v>480</v>
      </c>
      <c r="J16" t="s">
        <v>58</v>
      </c>
      <c r="K16" s="22">
        <v>2139507</v>
      </c>
      <c r="L16" s="7">
        <v>197607.6</v>
      </c>
      <c r="M16" s="12">
        <v>39113</v>
      </c>
      <c r="N16" s="12">
        <v>39147</v>
      </c>
      <c r="O16" s="12" t="s">
        <v>86</v>
      </c>
      <c r="Q16">
        <v>418</v>
      </c>
    </row>
    <row r="17" spans="1:17" x14ac:dyDescent="0.2">
      <c r="A17" t="s">
        <v>188</v>
      </c>
      <c r="B17" t="s">
        <v>189</v>
      </c>
      <c r="C17">
        <v>402</v>
      </c>
      <c r="E17"/>
      <c r="F17" s="12">
        <v>39135</v>
      </c>
      <c r="G17">
        <v>5.24</v>
      </c>
      <c r="H17">
        <v>60</v>
      </c>
      <c r="I17">
        <v>420</v>
      </c>
      <c r="J17" t="s">
        <v>58</v>
      </c>
      <c r="K17" s="22">
        <v>387709</v>
      </c>
      <c r="L17" s="7">
        <v>559521</v>
      </c>
      <c r="M17" s="12">
        <v>39118</v>
      </c>
      <c r="N17" s="12">
        <v>39142</v>
      </c>
      <c r="O17" s="12" t="s">
        <v>86</v>
      </c>
      <c r="Q17">
        <v>418</v>
      </c>
    </row>
    <row r="18" spans="1:17" x14ac:dyDescent="0.2">
      <c r="A18" t="s">
        <v>188</v>
      </c>
      <c r="B18" t="s">
        <v>189</v>
      </c>
      <c r="C18">
        <v>404</v>
      </c>
      <c r="E18"/>
      <c r="F18" s="12">
        <v>39135</v>
      </c>
      <c r="G18">
        <v>5.24</v>
      </c>
      <c r="H18">
        <v>60</v>
      </c>
      <c r="I18">
        <v>300</v>
      </c>
      <c r="J18" t="s">
        <v>37</v>
      </c>
      <c r="K18" s="22">
        <v>387788</v>
      </c>
      <c r="L18" s="7">
        <v>206200</v>
      </c>
      <c r="M18" s="12">
        <v>39119</v>
      </c>
      <c r="N18" s="12">
        <v>39239</v>
      </c>
      <c r="O18" s="12" t="s">
        <v>86</v>
      </c>
      <c r="Q18">
        <v>418</v>
      </c>
    </row>
  </sheetData>
  <phoneticPr fontId="0" type="noConversion"/>
  <dataValidations count="1">
    <dataValidation type="list" showInputMessage="1" showErrorMessage="1" sqref="D11:D173" xr:uid="{00000000-0002-0000-0600-000000000000}">
      <formula1>" ,Accept,Reject"</formula1>
    </dataValidation>
  </dataValidations>
  <pageMargins left="0.75" right="0.75" top="1" bottom="1" header="0.5" footer="0.5"/>
  <pageSetup orientation="portrait" r:id="rId1"/>
  <headerFooter alignWithMargins="0">
    <oddFooter>&amp;C&amp;1#&amp;"Calibri"&amp;8&amp;K000000INTERNAL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mdGetData_click">
                <anchor>
                  <from>
                    <xdr:col>2</xdr:col>
                    <xdr:colOff>9525</xdr:colOff>
                    <xdr:row>0</xdr:row>
                    <xdr:rowOff>38100</xdr:rowOff>
                  </from>
                  <to>
                    <xdr:col>4</xdr:col>
                    <xdr:colOff>533400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cmdSaveToFile_click">
                <anchor>
                  <from>
                    <xdr:col>5</xdr:col>
                    <xdr:colOff>857250</xdr:colOff>
                    <xdr:row>0</xdr:row>
                    <xdr:rowOff>57150</xdr:rowOff>
                  </from>
                  <to>
                    <xdr:col>8</xdr:col>
                    <xdr:colOff>390525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cmdLoadFile_click">
                <anchor>
                  <from>
                    <xdr:col>8</xdr:col>
                    <xdr:colOff>400050</xdr:colOff>
                    <xdr:row>0</xdr:row>
                    <xdr:rowOff>47625</xdr:rowOff>
                  </from>
                  <to>
                    <xdr:col>11</xdr:col>
                    <xdr:colOff>114300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C68"/>
  <sheetViews>
    <sheetView workbookViewId="0">
      <pane xSplit="2" ySplit="10" topLeftCell="C11" activePane="bottomRight" state="frozen"/>
      <selection pane="topRight" activeCell="C1" sqref="C1"/>
      <selection pane="bottomLeft" activeCell="A10" sqref="A10"/>
      <selection pane="bottomRight" activeCell="D17" sqref="D17"/>
    </sheetView>
  </sheetViews>
  <sheetFormatPr defaultRowHeight="12.75" x14ac:dyDescent="0.2"/>
  <cols>
    <col min="1" max="1" width="12.140625" customWidth="1"/>
    <col min="2" max="2" width="12.28515625" bestFit="1" customWidth="1"/>
    <col min="11" max="11" width="10.85546875" bestFit="1" customWidth="1"/>
    <col min="12" max="12" width="13.42578125" style="5" bestFit="1" customWidth="1"/>
    <col min="21" max="21" width="8" bestFit="1" customWidth="1"/>
    <col min="22" max="22" width="9.28515625" customWidth="1"/>
    <col min="26" max="26" width="10.7109375" bestFit="1" customWidth="1"/>
    <col min="27" max="27" width="10.7109375" customWidth="1"/>
  </cols>
  <sheetData>
    <row r="1" spans="1:29" x14ac:dyDescent="0.2">
      <c r="I1" s="37" t="s">
        <v>67</v>
      </c>
    </row>
    <row r="2" spans="1:29" x14ac:dyDescent="0.2">
      <c r="I2" s="37" t="s">
        <v>68</v>
      </c>
    </row>
    <row r="4" spans="1:29" hidden="1" x14ac:dyDescent="0.2">
      <c r="A4" t="s">
        <v>42</v>
      </c>
      <c r="C4" t="s">
        <v>210</v>
      </c>
    </row>
    <row r="6" spans="1:29" x14ac:dyDescent="0.2">
      <c r="A6" t="s">
        <v>43</v>
      </c>
      <c r="C6" s="37" t="s">
        <v>68</v>
      </c>
    </row>
    <row r="8" spans="1:29" x14ac:dyDescent="0.2">
      <c r="A8" t="s">
        <v>44</v>
      </c>
      <c r="C8" t="s">
        <v>0</v>
      </c>
    </row>
    <row r="10" spans="1:29" x14ac:dyDescent="0.2">
      <c r="A10" t="s">
        <v>70</v>
      </c>
      <c r="B10" t="s">
        <v>55</v>
      </c>
      <c r="C10" t="s">
        <v>72</v>
      </c>
      <c r="D10" t="s">
        <v>8</v>
      </c>
      <c r="E10" t="s">
        <v>69</v>
      </c>
      <c r="F10" t="s">
        <v>46</v>
      </c>
      <c r="G10" t="s">
        <v>73</v>
      </c>
      <c r="H10" t="s">
        <v>31</v>
      </c>
      <c r="I10" t="s">
        <v>66</v>
      </c>
      <c r="J10" t="s">
        <v>74</v>
      </c>
      <c r="K10" t="s">
        <v>32</v>
      </c>
      <c r="L10" s="5" t="s">
        <v>50</v>
      </c>
      <c r="M10" t="s">
        <v>36</v>
      </c>
      <c r="N10" t="s">
        <v>51</v>
      </c>
      <c r="O10" t="s">
        <v>34</v>
      </c>
      <c r="P10" t="s">
        <v>52</v>
      </c>
      <c r="Q10" t="s">
        <v>54</v>
      </c>
      <c r="R10" t="s">
        <v>75</v>
      </c>
      <c r="S10" t="s">
        <v>76</v>
      </c>
      <c r="T10" t="s">
        <v>77</v>
      </c>
      <c r="U10" t="s">
        <v>78</v>
      </c>
      <c r="V10" t="s">
        <v>79</v>
      </c>
      <c r="W10" t="s">
        <v>80</v>
      </c>
      <c r="X10" t="s">
        <v>187</v>
      </c>
      <c r="Y10" t="s">
        <v>81</v>
      </c>
      <c r="Z10" t="s">
        <v>82</v>
      </c>
      <c r="AA10" t="s">
        <v>83</v>
      </c>
      <c r="AB10" t="s">
        <v>84</v>
      </c>
      <c r="AC10" t="s">
        <v>57</v>
      </c>
    </row>
    <row r="11" spans="1:29" x14ac:dyDescent="0.2">
      <c r="A11" t="s">
        <v>188</v>
      </c>
      <c r="B11" s="12" t="s">
        <v>189</v>
      </c>
      <c r="C11">
        <v>417</v>
      </c>
      <c r="D11" s="12">
        <v>39133</v>
      </c>
      <c r="E11">
        <v>1</v>
      </c>
      <c r="F11">
        <v>111</v>
      </c>
      <c r="G11" t="s">
        <v>58</v>
      </c>
      <c r="H11">
        <v>2138165</v>
      </c>
      <c r="I11" t="s">
        <v>25</v>
      </c>
      <c r="J11" t="s">
        <v>98</v>
      </c>
      <c r="K11" s="12">
        <v>259250</v>
      </c>
      <c r="L11" s="5">
        <v>4.99</v>
      </c>
      <c r="M11" s="12">
        <v>39106</v>
      </c>
      <c r="N11" s="12">
        <v>39142</v>
      </c>
      <c r="O11">
        <v>60</v>
      </c>
      <c r="P11" s="12">
        <v>40969</v>
      </c>
      <c r="Q11">
        <v>480</v>
      </c>
      <c r="R11" t="s">
        <v>86</v>
      </c>
      <c r="S11" t="s">
        <v>23</v>
      </c>
      <c r="T11">
        <v>1239.6199999999999</v>
      </c>
      <c r="U11">
        <v>51</v>
      </c>
      <c r="V11">
        <v>1</v>
      </c>
      <c r="W11">
        <v>2</v>
      </c>
      <c r="X11">
        <v>40</v>
      </c>
      <c r="Y11">
        <v>4</v>
      </c>
      <c r="Z11">
        <v>4</v>
      </c>
      <c r="AA11">
        <v>1</v>
      </c>
    </row>
    <row r="12" spans="1:29" x14ac:dyDescent="0.2">
      <c r="A12" t="s">
        <v>188</v>
      </c>
      <c r="B12" s="12" t="s">
        <v>189</v>
      </c>
      <c r="C12">
        <v>417</v>
      </c>
      <c r="D12" s="12">
        <v>39133</v>
      </c>
      <c r="E12">
        <v>1</v>
      </c>
      <c r="F12">
        <v>154</v>
      </c>
      <c r="G12" t="s">
        <v>58</v>
      </c>
      <c r="H12">
        <v>2138858</v>
      </c>
      <c r="I12" t="s">
        <v>21</v>
      </c>
      <c r="J12" t="s">
        <v>102</v>
      </c>
      <c r="K12" s="12">
        <v>101553.5</v>
      </c>
      <c r="L12" s="5">
        <v>5.6</v>
      </c>
      <c r="M12" s="12">
        <v>39111</v>
      </c>
      <c r="N12" s="12">
        <v>39135</v>
      </c>
      <c r="O12">
        <v>120</v>
      </c>
      <c r="P12" s="12">
        <v>42788</v>
      </c>
      <c r="Q12">
        <v>300</v>
      </c>
      <c r="R12" t="s">
        <v>86</v>
      </c>
      <c r="S12" t="s">
        <v>23</v>
      </c>
      <c r="T12">
        <v>625.79999999999995</v>
      </c>
      <c r="U12">
        <v>51</v>
      </c>
      <c r="V12">
        <v>1</v>
      </c>
      <c r="W12">
        <v>1</v>
      </c>
      <c r="X12">
        <v>40</v>
      </c>
      <c r="Y12">
        <v>4</v>
      </c>
      <c r="Z12">
        <v>6</v>
      </c>
      <c r="AA12">
        <v>1</v>
      </c>
    </row>
    <row r="13" spans="1:29" x14ac:dyDescent="0.2">
      <c r="A13" t="s">
        <v>188</v>
      </c>
      <c r="B13" s="12" t="s">
        <v>189</v>
      </c>
      <c r="C13">
        <v>417</v>
      </c>
      <c r="D13" s="12">
        <v>39133</v>
      </c>
      <c r="E13">
        <v>1</v>
      </c>
      <c r="F13">
        <v>175</v>
      </c>
      <c r="G13" t="s">
        <v>58</v>
      </c>
      <c r="H13">
        <v>2139456</v>
      </c>
      <c r="I13" t="s">
        <v>21</v>
      </c>
      <c r="J13" t="s">
        <v>190</v>
      </c>
      <c r="K13" s="12">
        <v>152957.5</v>
      </c>
      <c r="L13" s="5">
        <v>5.24</v>
      </c>
      <c r="M13" s="12">
        <v>39113</v>
      </c>
      <c r="N13" s="12">
        <v>39217</v>
      </c>
      <c r="O13">
        <v>60</v>
      </c>
      <c r="P13" s="12">
        <v>41044</v>
      </c>
      <c r="Q13">
        <v>480</v>
      </c>
      <c r="R13" t="s">
        <v>86</v>
      </c>
      <c r="S13" t="s">
        <v>23</v>
      </c>
      <c r="T13">
        <v>756.26</v>
      </c>
      <c r="U13">
        <v>51</v>
      </c>
      <c r="V13">
        <v>1</v>
      </c>
      <c r="W13">
        <v>1</v>
      </c>
      <c r="X13">
        <v>40</v>
      </c>
      <c r="Y13">
        <v>4</v>
      </c>
      <c r="Z13">
        <v>4</v>
      </c>
      <c r="AA13">
        <v>1</v>
      </c>
    </row>
    <row r="14" spans="1:29" x14ac:dyDescent="0.2">
      <c r="A14" t="s">
        <v>188</v>
      </c>
      <c r="B14" s="12" t="s">
        <v>189</v>
      </c>
      <c r="C14">
        <v>417</v>
      </c>
      <c r="D14" s="12">
        <v>39133</v>
      </c>
      <c r="E14">
        <v>1</v>
      </c>
      <c r="F14">
        <v>179</v>
      </c>
      <c r="G14" t="s">
        <v>58</v>
      </c>
      <c r="H14">
        <v>2139507</v>
      </c>
      <c r="I14" t="s">
        <v>25</v>
      </c>
      <c r="J14" t="s">
        <v>107</v>
      </c>
      <c r="K14" s="12">
        <v>197607.6</v>
      </c>
      <c r="L14" s="5">
        <v>5.24</v>
      </c>
      <c r="M14" s="12">
        <v>39113</v>
      </c>
      <c r="N14" s="12">
        <v>39147</v>
      </c>
      <c r="O14">
        <v>60</v>
      </c>
      <c r="P14" s="12">
        <v>40974</v>
      </c>
      <c r="Q14">
        <v>480</v>
      </c>
      <c r="R14" t="s">
        <v>86</v>
      </c>
      <c r="S14" t="s">
        <v>23</v>
      </c>
      <c r="T14">
        <v>977.02</v>
      </c>
      <c r="U14">
        <v>51</v>
      </c>
      <c r="V14">
        <v>1</v>
      </c>
      <c r="W14">
        <v>2</v>
      </c>
      <c r="X14">
        <v>40</v>
      </c>
      <c r="Y14">
        <v>4</v>
      </c>
      <c r="Z14">
        <v>4</v>
      </c>
      <c r="AA14">
        <v>1</v>
      </c>
    </row>
    <row r="15" spans="1:29" x14ac:dyDescent="0.2">
      <c r="A15" t="s">
        <v>188</v>
      </c>
      <c r="B15" s="12" t="s">
        <v>189</v>
      </c>
      <c r="C15">
        <v>417</v>
      </c>
      <c r="D15" s="12">
        <v>39133</v>
      </c>
      <c r="E15">
        <v>1</v>
      </c>
      <c r="F15">
        <v>402</v>
      </c>
      <c r="G15" t="s">
        <v>58</v>
      </c>
      <c r="H15">
        <v>387709</v>
      </c>
      <c r="I15" t="s">
        <v>21</v>
      </c>
      <c r="J15" t="s">
        <v>108</v>
      </c>
      <c r="K15" s="12">
        <v>559521</v>
      </c>
      <c r="L15" s="5">
        <v>5.24</v>
      </c>
      <c r="M15" s="12">
        <v>39118</v>
      </c>
      <c r="N15" s="12">
        <v>39142</v>
      </c>
      <c r="O15">
        <v>60</v>
      </c>
      <c r="P15" s="12">
        <v>40969</v>
      </c>
      <c r="Q15">
        <v>420</v>
      </c>
      <c r="R15" t="s">
        <v>86</v>
      </c>
      <c r="S15" t="s">
        <v>23</v>
      </c>
      <c r="T15">
        <v>2889.72</v>
      </c>
      <c r="U15">
        <v>51</v>
      </c>
      <c r="V15">
        <v>1</v>
      </c>
      <c r="W15">
        <v>1</v>
      </c>
      <c r="X15">
        <v>40</v>
      </c>
      <c r="Y15">
        <v>4</v>
      </c>
      <c r="Z15">
        <v>4</v>
      </c>
      <c r="AA15">
        <v>1</v>
      </c>
    </row>
    <row r="16" spans="1:29" x14ac:dyDescent="0.2">
      <c r="A16" t="s">
        <v>188</v>
      </c>
      <c r="B16" s="12" t="s">
        <v>189</v>
      </c>
      <c r="C16">
        <v>417</v>
      </c>
      <c r="D16" s="12">
        <v>39133</v>
      </c>
      <c r="E16">
        <v>1</v>
      </c>
      <c r="F16">
        <v>404</v>
      </c>
      <c r="G16" t="s">
        <v>37</v>
      </c>
      <c r="H16">
        <v>387788</v>
      </c>
      <c r="I16" t="s">
        <v>25</v>
      </c>
      <c r="J16" t="s">
        <v>85</v>
      </c>
      <c r="K16" s="12">
        <v>206200</v>
      </c>
      <c r="L16" s="5">
        <v>5.24</v>
      </c>
      <c r="M16" s="12">
        <v>39119</v>
      </c>
      <c r="N16" s="12">
        <v>39239</v>
      </c>
      <c r="O16">
        <v>60</v>
      </c>
      <c r="P16" s="12">
        <v>41066</v>
      </c>
      <c r="Q16">
        <v>300</v>
      </c>
      <c r="R16" t="s">
        <v>86</v>
      </c>
      <c r="S16" t="s">
        <v>23</v>
      </c>
      <c r="T16">
        <v>1227.5999999999999</v>
      </c>
      <c r="U16">
        <v>50</v>
      </c>
      <c r="V16">
        <v>1</v>
      </c>
      <c r="W16">
        <v>2</v>
      </c>
      <c r="X16">
        <v>40</v>
      </c>
      <c r="Y16">
        <v>4</v>
      </c>
      <c r="Z16">
        <v>4</v>
      </c>
      <c r="AA16">
        <v>1</v>
      </c>
    </row>
    <row r="17" spans="1:27" x14ac:dyDescent="0.2">
      <c r="A17" t="s">
        <v>188</v>
      </c>
      <c r="B17" s="12" t="s">
        <v>189</v>
      </c>
      <c r="C17">
        <v>417</v>
      </c>
      <c r="D17" s="12">
        <v>39133</v>
      </c>
      <c r="E17">
        <v>1</v>
      </c>
      <c r="F17">
        <v>438</v>
      </c>
      <c r="G17" t="s">
        <v>58</v>
      </c>
      <c r="H17">
        <v>388184</v>
      </c>
      <c r="I17" t="s">
        <v>25</v>
      </c>
      <c r="J17" t="s">
        <v>109</v>
      </c>
      <c r="K17" s="12">
        <v>438615</v>
      </c>
      <c r="L17" s="5">
        <v>5.24</v>
      </c>
      <c r="M17" s="12">
        <v>39125</v>
      </c>
      <c r="N17" s="12">
        <v>39140</v>
      </c>
      <c r="O17">
        <v>60</v>
      </c>
      <c r="P17" s="12">
        <v>40966</v>
      </c>
      <c r="Q17">
        <v>480</v>
      </c>
      <c r="R17" t="s">
        <v>86</v>
      </c>
      <c r="S17" t="s">
        <v>23</v>
      </c>
      <c r="T17">
        <v>2168.63</v>
      </c>
      <c r="U17">
        <v>51</v>
      </c>
      <c r="V17">
        <v>1</v>
      </c>
      <c r="W17">
        <v>2</v>
      </c>
      <c r="X17">
        <v>40</v>
      </c>
      <c r="Y17">
        <v>4</v>
      </c>
      <c r="Z17">
        <v>4</v>
      </c>
      <c r="AA17">
        <v>1</v>
      </c>
    </row>
    <row r="18" spans="1:27" x14ac:dyDescent="0.2">
      <c r="A18" t="s">
        <v>188</v>
      </c>
      <c r="B18" s="12" t="s">
        <v>189</v>
      </c>
      <c r="C18">
        <v>417</v>
      </c>
      <c r="D18" s="12">
        <v>39133</v>
      </c>
      <c r="E18">
        <v>1</v>
      </c>
      <c r="F18">
        <v>443</v>
      </c>
      <c r="G18" t="s">
        <v>37</v>
      </c>
      <c r="H18">
        <v>2141136</v>
      </c>
      <c r="I18" t="s">
        <v>25</v>
      </c>
      <c r="J18" t="s">
        <v>85</v>
      </c>
      <c r="K18" s="12">
        <v>225819.75</v>
      </c>
      <c r="L18" s="5">
        <v>5.24</v>
      </c>
      <c r="M18" s="12">
        <v>39125</v>
      </c>
      <c r="N18" s="12">
        <v>39245</v>
      </c>
      <c r="O18">
        <v>60</v>
      </c>
      <c r="P18" s="12">
        <v>41072</v>
      </c>
      <c r="Q18">
        <v>480</v>
      </c>
      <c r="R18" t="s">
        <v>86</v>
      </c>
      <c r="S18" t="s">
        <v>23</v>
      </c>
      <c r="T18">
        <v>1116.51</v>
      </c>
      <c r="U18">
        <v>50</v>
      </c>
      <c r="V18">
        <v>1</v>
      </c>
      <c r="W18">
        <v>2</v>
      </c>
      <c r="X18">
        <v>40</v>
      </c>
      <c r="Y18">
        <v>4</v>
      </c>
      <c r="Z18">
        <v>4</v>
      </c>
      <c r="AA18">
        <v>1</v>
      </c>
    </row>
    <row r="19" spans="1:27" x14ac:dyDescent="0.2">
      <c r="B19" s="12"/>
      <c r="D19" s="12"/>
      <c r="K19" s="12"/>
      <c r="M19" s="12"/>
      <c r="N19" s="12"/>
      <c r="P19" s="12"/>
    </row>
    <row r="20" spans="1:27" x14ac:dyDescent="0.2">
      <c r="B20" s="12"/>
      <c r="D20" s="12"/>
      <c r="K20" s="12"/>
      <c r="M20" s="12"/>
      <c r="N20" s="12"/>
      <c r="P20" s="12"/>
    </row>
    <row r="21" spans="1:27" x14ac:dyDescent="0.2">
      <c r="B21" s="12"/>
      <c r="D21" s="12"/>
      <c r="K21" s="12"/>
      <c r="M21" s="12"/>
      <c r="N21" s="12"/>
      <c r="P21" s="12"/>
    </row>
    <row r="22" spans="1:27" x14ac:dyDescent="0.2">
      <c r="B22" s="12"/>
      <c r="D22" s="12"/>
      <c r="K22" s="12"/>
      <c r="M22" s="12"/>
      <c r="N22" s="12"/>
      <c r="P22" s="12"/>
    </row>
    <row r="23" spans="1:27" x14ac:dyDescent="0.2">
      <c r="B23" s="12"/>
      <c r="D23" s="12"/>
      <c r="K23" s="12"/>
      <c r="M23" s="12"/>
      <c r="N23" s="12"/>
      <c r="P23" s="12"/>
    </row>
    <row r="24" spans="1:27" x14ac:dyDescent="0.2">
      <c r="B24" s="12"/>
      <c r="D24" s="12"/>
      <c r="K24" s="12"/>
      <c r="M24" s="12"/>
      <c r="N24" s="12"/>
      <c r="P24" s="12"/>
    </row>
    <row r="25" spans="1:27" x14ac:dyDescent="0.2">
      <c r="B25" s="12"/>
      <c r="D25" s="12"/>
      <c r="K25" s="12"/>
      <c r="M25" s="12"/>
      <c r="N25" s="12"/>
      <c r="P25" s="12"/>
    </row>
    <row r="26" spans="1:27" x14ac:dyDescent="0.2">
      <c r="B26" s="12"/>
      <c r="D26" s="12"/>
      <c r="K26" s="12"/>
      <c r="M26" s="12"/>
      <c r="N26" s="12"/>
      <c r="P26" s="12"/>
    </row>
    <row r="27" spans="1:27" x14ac:dyDescent="0.2">
      <c r="B27" s="12"/>
      <c r="D27" s="12"/>
      <c r="K27" s="12"/>
      <c r="M27" s="12"/>
      <c r="N27" s="12"/>
      <c r="P27" s="12"/>
    </row>
    <row r="28" spans="1:27" x14ac:dyDescent="0.2">
      <c r="B28" s="12"/>
      <c r="D28" s="12"/>
      <c r="K28" s="12"/>
      <c r="M28" s="12"/>
      <c r="N28" s="12"/>
      <c r="P28" s="12"/>
    </row>
    <row r="29" spans="1:27" x14ac:dyDescent="0.2">
      <c r="B29" s="12"/>
      <c r="D29" s="12"/>
      <c r="K29" s="12"/>
      <c r="M29" s="12"/>
      <c r="N29" s="12"/>
      <c r="P29" s="12"/>
    </row>
    <row r="30" spans="1:27" x14ac:dyDescent="0.2">
      <c r="B30" s="12"/>
      <c r="D30" s="12"/>
      <c r="K30" s="12"/>
      <c r="M30" s="12"/>
      <c r="N30" s="12"/>
      <c r="P30" s="12"/>
    </row>
    <row r="31" spans="1:27" x14ac:dyDescent="0.2">
      <c r="B31" s="12"/>
      <c r="D31" s="12"/>
      <c r="K31" s="12"/>
      <c r="M31" s="12"/>
      <c r="N31" s="12"/>
      <c r="P31" s="12"/>
    </row>
    <row r="32" spans="1:27" x14ac:dyDescent="0.2">
      <c r="B32" s="12"/>
      <c r="D32" s="12"/>
      <c r="K32" s="12"/>
      <c r="M32" s="12"/>
      <c r="N32" s="12"/>
      <c r="P32" s="12"/>
    </row>
    <row r="33" spans="2:16" x14ac:dyDescent="0.2">
      <c r="B33" s="12"/>
      <c r="D33" s="12"/>
      <c r="K33" s="12"/>
      <c r="M33" s="12"/>
      <c r="N33" s="12"/>
      <c r="P33" s="12"/>
    </row>
    <row r="34" spans="2:16" x14ac:dyDescent="0.2">
      <c r="B34" s="12"/>
      <c r="D34" s="12"/>
      <c r="K34" s="12"/>
      <c r="M34" s="12"/>
      <c r="N34" s="12"/>
      <c r="P34" s="12"/>
    </row>
    <row r="35" spans="2:16" x14ac:dyDescent="0.2">
      <c r="B35" s="12"/>
      <c r="D35" s="12"/>
      <c r="K35" s="12"/>
      <c r="M35" s="12"/>
      <c r="N35" s="12"/>
      <c r="P35" s="12"/>
    </row>
    <row r="36" spans="2:16" x14ac:dyDescent="0.2">
      <c r="B36" s="12"/>
      <c r="D36" s="12"/>
      <c r="K36" s="12"/>
      <c r="M36" s="12"/>
      <c r="N36" s="12"/>
      <c r="P36" s="12"/>
    </row>
    <row r="37" spans="2:16" x14ac:dyDescent="0.2">
      <c r="B37" s="12"/>
      <c r="D37" s="12"/>
      <c r="K37" s="12"/>
      <c r="M37" s="12"/>
      <c r="N37" s="12"/>
      <c r="P37" s="12"/>
    </row>
    <row r="38" spans="2:16" x14ac:dyDescent="0.2">
      <c r="B38" s="12"/>
      <c r="D38" s="12"/>
      <c r="K38" s="12"/>
      <c r="M38" s="12"/>
      <c r="N38" s="12"/>
      <c r="P38" s="12"/>
    </row>
    <row r="39" spans="2:16" x14ac:dyDescent="0.2">
      <c r="B39" s="12"/>
      <c r="D39" s="12"/>
      <c r="K39" s="12"/>
      <c r="M39" s="12"/>
      <c r="N39" s="12"/>
      <c r="P39" s="12"/>
    </row>
    <row r="40" spans="2:16" x14ac:dyDescent="0.2">
      <c r="B40" s="12"/>
      <c r="D40" s="12"/>
      <c r="K40" s="12"/>
      <c r="M40" s="12"/>
      <c r="N40" s="12"/>
      <c r="P40" s="12"/>
    </row>
    <row r="41" spans="2:16" x14ac:dyDescent="0.2">
      <c r="B41" s="12"/>
      <c r="D41" s="12"/>
      <c r="K41" s="12"/>
      <c r="M41" s="12"/>
      <c r="N41" s="12"/>
      <c r="P41" s="12"/>
    </row>
    <row r="42" spans="2:16" x14ac:dyDescent="0.2">
      <c r="B42" s="12"/>
      <c r="D42" s="12"/>
      <c r="K42" s="12"/>
      <c r="M42" s="12"/>
      <c r="N42" s="12"/>
      <c r="P42" s="12"/>
    </row>
    <row r="43" spans="2:16" x14ac:dyDescent="0.2">
      <c r="B43" s="12"/>
      <c r="D43" s="12"/>
      <c r="K43" s="12"/>
      <c r="M43" s="12"/>
      <c r="N43" s="12"/>
      <c r="P43" s="12"/>
    </row>
    <row r="44" spans="2:16" x14ac:dyDescent="0.2">
      <c r="B44" s="12"/>
      <c r="D44" s="12"/>
      <c r="K44" s="12"/>
      <c r="M44" s="12"/>
      <c r="N44" s="12"/>
      <c r="P44" s="12"/>
    </row>
    <row r="45" spans="2:16" x14ac:dyDescent="0.2">
      <c r="B45" s="12"/>
      <c r="D45" s="12"/>
      <c r="K45" s="12"/>
      <c r="M45" s="12"/>
      <c r="N45" s="12"/>
      <c r="P45" s="12"/>
    </row>
    <row r="46" spans="2:16" x14ac:dyDescent="0.2">
      <c r="B46" s="12"/>
      <c r="D46" s="12"/>
      <c r="K46" s="12"/>
      <c r="M46" s="12"/>
      <c r="N46" s="12"/>
      <c r="P46" s="12"/>
    </row>
    <row r="47" spans="2:16" x14ac:dyDescent="0.2">
      <c r="B47" s="12"/>
      <c r="D47" s="12"/>
      <c r="K47" s="12"/>
      <c r="M47" s="12"/>
      <c r="N47" s="12"/>
      <c r="P47" s="12"/>
    </row>
    <row r="48" spans="2:16" x14ac:dyDescent="0.2">
      <c r="B48" s="12"/>
      <c r="D48" s="12"/>
      <c r="K48" s="12"/>
      <c r="M48" s="12"/>
      <c r="N48" s="12"/>
      <c r="P48" s="12"/>
    </row>
    <row r="49" spans="2:28" x14ac:dyDescent="0.2">
      <c r="B49" s="12"/>
      <c r="D49" s="12"/>
      <c r="K49" s="12"/>
      <c r="M49" s="12"/>
      <c r="N49" s="12"/>
      <c r="P49" s="12"/>
    </row>
    <row r="50" spans="2:28" x14ac:dyDescent="0.2">
      <c r="B50" s="12"/>
      <c r="D50" s="12"/>
      <c r="K50" s="12"/>
      <c r="M50" s="12"/>
      <c r="N50" s="12"/>
      <c r="P50" s="12"/>
    </row>
    <row r="51" spans="2:28" x14ac:dyDescent="0.2">
      <c r="B51" s="12"/>
      <c r="D51" s="12"/>
      <c r="K51" s="12"/>
      <c r="M51" s="12"/>
      <c r="N51" s="12"/>
      <c r="P51" s="12"/>
      <c r="AB51" t="s">
        <v>116</v>
      </c>
    </row>
    <row r="52" spans="2:28" x14ac:dyDescent="0.2">
      <c r="B52" s="12"/>
      <c r="D52" s="12"/>
      <c r="K52" s="12"/>
      <c r="M52" s="12"/>
      <c r="N52" s="12"/>
      <c r="P52" s="12"/>
    </row>
    <row r="53" spans="2:28" x14ac:dyDescent="0.2">
      <c r="B53" s="12"/>
      <c r="D53" s="12"/>
      <c r="K53" s="12"/>
      <c r="M53" s="12"/>
      <c r="N53" s="12"/>
      <c r="P53" s="12"/>
    </row>
    <row r="54" spans="2:28" x14ac:dyDescent="0.2">
      <c r="B54" s="12"/>
      <c r="D54" s="12"/>
      <c r="K54" s="12"/>
      <c r="M54" s="12"/>
      <c r="N54" s="12"/>
      <c r="P54" s="12"/>
    </row>
    <row r="55" spans="2:28" x14ac:dyDescent="0.2">
      <c r="B55" s="12"/>
      <c r="D55" s="12"/>
      <c r="K55" s="12"/>
      <c r="M55" s="12"/>
      <c r="N55" s="12"/>
      <c r="P55" s="12"/>
    </row>
    <row r="56" spans="2:28" x14ac:dyDescent="0.2">
      <c r="B56" s="12"/>
      <c r="D56" s="12"/>
      <c r="K56" s="12"/>
      <c r="M56" s="12"/>
      <c r="N56" s="12"/>
      <c r="P56" s="12"/>
    </row>
    <row r="57" spans="2:28" x14ac:dyDescent="0.2">
      <c r="B57" s="12"/>
      <c r="D57" s="12"/>
      <c r="K57" s="12"/>
      <c r="M57" s="12"/>
      <c r="N57" s="12"/>
      <c r="P57" s="12"/>
    </row>
    <row r="58" spans="2:28" x14ac:dyDescent="0.2">
      <c r="B58" s="12"/>
      <c r="D58" s="12"/>
      <c r="K58" s="12"/>
      <c r="M58" s="12"/>
      <c r="N58" s="12"/>
      <c r="P58" s="12"/>
    </row>
    <row r="59" spans="2:28" x14ac:dyDescent="0.2">
      <c r="B59" s="12"/>
      <c r="D59" s="12"/>
      <c r="K59" s="12"/>
      <c r="M59" s="12"/>
      <c r="N59" s="12"/>
      <c r="P59" s="12"/>
    </row>
    <row r="60" spans="2:28" x14ac:dyDescent="0.2">
      <c r="B60" s="12"/>
      <c r="D60" s="12"/>
      <c r="K60" s="12"/>
      <c r="M60" s="12"/>
      <c r="N60" s="12"/>
      <c r="P60" s="12"/>
    </row>
    <row r="61" spans="2:28" x14ac:dyDescent="0.2">
      <c r="B61" s="12"/>
      <c r="D61" s="12"/>
      <c r="K61" s="12"/>
      <c r="M61" s="12"/>
      <c r="N61" s="12"/>
      <c r="P61" s="12"/>
    </row>
    <row r="62" spans="2:28" x14ac:dyDescent="0.2">
      <c r="B62" s="12"/>
      <c r="D62" s="12"/>
      <c r="K62" s="12"/>
      <c r="M62" s="12"/>
      <c r="N62" s="12"/>
      <c r="P62" s="12"/>
    </row>
    <row r="63" spans="2:28" x14ac:dyDescent="0.2">
      <c r="B63" s="12"/>
      <c r="D63" s="12"/>
      <c r="K63" s="12"/>
      <c r="M63" s="12"/>
      <c r="N63" s="12"/>
      <c r="P63" s="12"/>
    </row>
    <row r="64" spans="2:28" x14ac:dyDescent="0.2">
      <c r="B64" s="12"/>
      <c r="D64" s="12"/>
      <c r="K64" s="12"/>
      <c r="M64" s="12"/>
      <c r="N64" s="12"/>
      <c r="P64" s="12"/>
      <c r="AB64" t="s">
        <v>115</v>
      </c>
    </row>
    <row r="65" spans="2:28" x14ac:dyDescent="0.2">
      <c r="B65" s="12"/>
      <c r="D65" s="12"/>
      <c r="K65" s="12"/>
      <c r="M65" s="12"/>
      <c r="N65" s="12"/>
      <c r="P65" s="12"/>
    </row>
    <row r="66" spans="2:28" x14ac:dyDescent="0.2">
      <c r="B66" s="12"/>
      <c r="D66" s="12"/>
      <c r="K66" s="12"/>
      <c r="M66" s="12"/>
      <c r="N66" s="12"/>
      <c r="P66" s="12"/>
    </row>
    <row r="67" spans="2:28" x14ac:dyDescent="0.2">
      <c r="B67" s="12"/>
      <c r="D67" s="12"/>
      <c r="K67" s="12"/>
      <c r="M67" s="12"/>
      <c r="N67" s="12"/>
      <c r="P67" s="12"/>
      <c r="AB67" t="s">
        <v>115</v>
      </c>
    </row>
    <row r="68" spans="2:28" x14ac:dyDescent="0.2">
      <c r="B68" s="12"/>
      <c r="D68" s="12"/>
      <c r="K68" s="12"/>
      <c r="M68" s="12"/>
      <c r="N68" s="12"/>
      <c r="P68" s="12"/>
    </row>
  </sheetData>
  <phoneticPr fontId="0" type="noConversion"/>
  <pageMargins left="0.75" right="0.75" top="1" bottom="1" header="0.5" footer="0.5"/>
  <pageSetup orientation="portrait" r:id="rId1"/>
  <headerFooter alignWithMargins="0">
    <oddFooter>&amp;C&amp;1#&amp;"Calibri"&amp;8&amp;K000000INTERNAL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mdGetData_click">
                <anchor moveWithCells="1" sizeWithCells="1">
                  <from>
                    <xdr:col>2</xdr:col>
                    <xdr:colOff>9525</xdr:colOff>
                    <xdr:row>0</xdr:row>
                    <xdr:rowOff>38100</xdr:rowOff>
                  </from>
                  <to>
                    <xdr:col>5</xdr:col>
                    <xdr:colOff>542925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23</vt:i4>
      </vt:variant>
    </vt:vector>
  </HeadingPairs>
  <TitlesOfParts>
    <vt:vector size="31" baseType="lpstr">
      <vt:lpstr>Main</vt:lpstr>
      <vt:lpstr>PivotRawData</vt:lpstr>
      <vt:lpstr>RawData</vt:lpstr>
      <vt:lpstr>Current</vt:lpstr>
      <vt:lpstr>Trace</vt:lpstr>
      <vt:lpstr>ImprtReject</vt:lpstr>
      <vt:lpstr>ErrReview</vt:lpstr>
      <vt:lpstr>Exception</vt:lpstr>
      <vt:lpstr>Current</vt:lpstr>
      <vt:lpstr>CurrentData</vt:lpstr>
      <vt:lpstr>CurrentSql</vt:lpstr>
      <vt:lpstr>DataHead</vt:lpstr>
      <vt:lpstr>dbDatabase</vt:lpstr>
      <vt:lpstr>dbServer</vt:lpstr>
      <vt:lpstr>DSN</vt:lpstr>
      <vt:lpstr>ErrReview</vt:lpstr>
      <vt:lpstr>ErrReview_outName</vt:lpstr>
      <vt:lpstr>ErrReviewData</vt:lpstr>
      <vt:lpstr>ErrReviewSql</vt:lpstr>
      <vt:lpstr>Exception</vt:lpstr>
      <vt:lpstr>ExceptionData</vt:lpstr>
      <vt:lpstr>ExceptionSql</vt:lpstr>
      <vt:lpstr>ImprtReject</vt:lpstr>
      <vt:lpstr>ImprtReject_outName</vt:lpstr>
      <vt:lpstr>ImprtRejectData</vt:lpstr>
      <vt:lpstr>ImprtRejectSql</vt:lpstr>
      <vt:lpstr>Main</vt:lpstr>
      <vt:lpstr>sqlGetData</vt:lpstr>
      <vt:lpstr>Trace</vt:lpstr>
      <vt:lpstr>TraceData</vt:lpstr>
      <vt:lpstr>TraceSql</vt:lpstr>
    </vt:vector>
  </TitlesOfParts>
  <Company>CIBC World Markets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Wang</dc:creator>
  <cp:lastModifiedBy>Michael Wang</cp:lastModifiedBy>
  <cp:lastPrinted>2003-10-20T16:56:43Z</cp:lastPrinted>
  <dcterms:created xsi:type="dcterms:W3CDTF">2003-07-21T15:50:35Z</dcterms:created>
  <dcterms:modified xsi:type="dcterms:W3CDTF">2022-02-13T17:34:11Z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a27cab5-59e6-424d-abbb-227cd06504a3_Enabled">
    <vt:lpwstr>true</vt:lpwstr>
  </property>
  <property fmtid="{D5CDD505-2E9C-101B-9397-08002B2CF9AE}" pid="3" name="MSIP_Label_5a27cab5-59e6-424d-abbb-227cd06504a3_SetDate">
    <vt:lpwstr>2022-02-13T17:34:09Z</vt:lpwstr>
  </property>
  <property fmtid="{D5CDD505-2E9C-101B-9397-08002B2CF9AE}" pid="4" name="MSIP_Label_5a27cab5-59e6-424d-abbb-227cd06504a3_Method">
    <vt:lpwstr>Privileged</vt:lpwstr>
  </property>
  <property fmtid="{D5CDD505-2E9C-101B-9397-08002B2CF9AE}" pid="5" name="MSIP_Label_5a27cab5-59e6-424d-abbb-227cd06504a3_Name">
    <vt:lpwstr>INTERNAL v2</vt:lpwstr>
  </property>
  <property fmtid="{D5CDD505-2E9C-101B-9397-08002B2CF9AE}" pid="6" name="MSIP_Label_5a27cab5-59e6-424d-abbb-227cd06504a3_SiteId">
    <vt:lpwstr>5d3e2773-e07f-4432-a630-1a0f68a28a05</vt:lpwstr>
  </property>
  <property fmtid="{D5CDD505-2E9C-101B-9397-08002B2CF9AE}" pid="7" name="MSIP_Label_5a27cab5-59e6-424d-abbb-227cd06504a3_ActionId">
    <vt:lpwstr>2f54c0a7-7469-4587-8b5a-ab05b1231825</vt:lpwstr>
  </property>
  <property fmtid="{D5CDD505-2E9C-101B-9397-08002B2CF9AE}" pid="8" name="MSIP_Label_5a27cab5-59e6-424d-abbb-227cd06504a3_ContentBits">
    <vt:lpwstr>2</vt:lpwstr>
  </property>
</Properties>
</file>