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ev\ExcelSamples\"/>
    </mc:Choice>
  </mc:AlternateContent>
  <xr:revisionPtr revIDLastSave="0" documentId="13_ncr:1_{79785C96-9416-4ED5-807E-BD182979D7E2}" xr6:coauthVersionLast="41" xr6:coauthVersionMax="41" xr10:uidLastSave="{00000000-0000-0000-0000-000000000000}"/>
  <bookViews>
    <workbookView xWindow="-120" yWindow="-120" windowWidth="19440" windowHeight="15000" activeTab="2" xr2:uid="{00000000-000D-0000-FFFF-FFFF00000000}"/>
  </bookViews>
  <sheets>
    <sheet name="Swap valuation" sheetId="2" r:id="rId1"/>
    <sheet name="Interest rate" sheetId="4" r:id="rId2"/>
    <sheet name="Deal info" sheetId="5" r:id="rId3"/>
    <sheet name="DiscountCurve" sheetId="6" r:id="rId4"/>
  </sheets>
  <functionGroups builtInGroupCount="19"/>
  <definedNames>
    <definedName name="rngSwap">SwapDeal[#All]</definedName>
    <definedName name="VarItems">'Deal info'!$N$3:$O$15</definedName>
    <definedName name="vDF">DiscountCurve!$A$11:$B$18</definedName>
    <definedName name="vDfTimes">DiscountCurve!$C$11:$C$18</definedName>
    <definedName name="vDFvalues">DiscountCurve!$B$11:$B$18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2" l="1"/>
  <c r="D37" i="2"/>
  <c r="D38" i="2"/>
  <c r="D39" i="2"/>
  <c r="D40" i="2"/>
  <c r="D41" i="2"/>
  <c r="D42" i="2"/>
  <c r="D43" i="2"/>
  <c r="D44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18" i="2"/>
  <c r="C13" i="6"/>
  <c r="C14" i="6"/>
  <c r="C15" i="6"/>
  <c r="C16" i="6"/>
  <c r="C17" i="6"/>
  <c r="C18" i="6"/>
  <c r="C12" i="6"/>
  <c r="C11" i="6"/>
  <c r="D17" i="2"/>
  <c r="A17" i="2"/>
  <c r="B17" i="2" s="1"/>
  <c r="A18" i="2" s="1"/>
  <c r="B18" i="2" s="1"/>
  <c r="A19" i="2" s="1"/>
  <c r="B19" i="2" s="1"/>
  <c r="A20" i="2" s="1"/>
  <c r="B20" i="2" s="1"/>
  <c r="A21" i="2" s="1"/>
  <c r="B21" i="2" s="1"/>
  <c r="A22" i="2" s="1"/>
  <c r="B22" i="2" s="1"/>
  <c r="A23" i="2" s="1"/>
  <c r="B23" i="2" s="1"/>
  <c r="A24" i="2" s="1"/>
  <c r="B24" i="2" s="1"/>
  <c r="A25" i="2" s="1"/>
  <c r="B25" i="2" s="1"/>
  <c r="A26" i="2" s="1"/>
  <c r="B26" i="2" s="1"/>
  <c r="A27" i="2" s="1"/>
  <c r="B27" i="2" s="1"/>
  <c r="A28" i="2" s="1"/>
  <c r="B28" i="2" s="1"/>
  <c r="A29" i="2" s="1"/>
  <c r="B29" i="2" s="1"/>
  <c r="A30" i="2" s="1"/>
  <c r="B30" i="2" s="1"/>
  <c r="A31" i="2" s="1"/>
  <c r="B31" i="2" s="1"/>
  <c r="A32" i="2" s="1"/>
  <c r="B32" i="2" s="1"/>
  <c r="A33" i="2" s="1"/>
  <c r="B33" i="2" s="1"/>
  <c r="A34" i="2" s="1"/>
  <c r="B34" i="2" s="1"/>
  <c r="A35" i="2" s="1"/>
  <c r="B35" i="2" s="1"/>
  <c r="A36" i="2" s="1"/>
  <c r="B36" i="2" s="1"/>
  <c r="A37" i="2" s="1"/>
  <c r="B37" i="2" s="1"/>
  <c r="A38" i="2" s="1"/>
  <c r="B38" i="2" s="1"/>
  <c r="A39" i="2" s="1"/>
  <c r="B39" i="2" s="1"/>
  <c r="A40" i="2" s="1"/>
  <c r="B40" i="2" s="1"/>
  <c r="A41" i="2" s="1"/>
  <c r="B41" i="2" s="1"/>
  <c r="A42" i="2" s="1"/>
  <c r="B42" i="2" s="1"/>
  <c r="A43" i="2" s="1"/>
  <c r="B43" i="2" s="1"/>
  <c r="A44" i="2" s="1"/>
  <c r="B44" i="2" s="1"/>
  <c r="C37" i="2"/>
  <c r="F40" i="2"/>
  <c r="C41" i="2"/>
  <c r="F44" i="2"/>
  <c r="F39" i="2"/>
  <c r="C40" i="2"/>
  <c r="F43" i="2"/>
  <c r="C44" i="2"/>
  <c r="F38" i="2"/>
  <c r="C39" i="2"/>
  <c r="F42" i="2"/>
  <c r="C43" i="2"/>
  <c r="F37" i="2"/>
  <c r="C38" i="2"/>
  <c r="F41" i="2"/>
  <c r="C42" i="2"/>
  <c r="F19" i="2"/>
  <c r="C20" i="2"/>
  <c r="F23" i="2"/>
  <c r="C24" i="2"/>
  <c r="F27" i="2"/>
  <c r="C28" i="2"/>
  <c r="F31" i="2"/>
  <c r="C32" i="2"/>
  <c r="F35" i="2"/>
  <c r="C36" i="2"/>
  <c r="C19" i="2"/>
  <c r="F22" i="2"/>
  <c r="C23" i="2"/>
  <c r="C27" i="2"/>
  <c r="F30" i="2"/>
  <c r="C31" i="2"/>
  <c r="F21" i="2"/>
  <c r="C22" i="2"/>
  <c r="F25" i="2"/>
  <c r="C26" i="2"/>
  <c r="F29" i="2"/>
  <c r="C30" i="2"/>
  <c r="F33" i="2"/>
  <c r="C34" i="2"/>
  <c r="F20" i="2"/>
  <c r="C21" i="2"/>
  <c r="F24" i="2"/>
  <c r="C25" i="2"/>
  <c r="F28" i="2"/>
  <c r="C29" i="2"/>
  <c r="F32" i="2"/>
  <c r="C33" i="2"/>
  <c r="F36" i="2"/>
  <c r="F26" i="2"/>
  <c r="F34" i="2"/>
  <c r="C35" i="2"/>
  <c r="C18" i="2"/>
  <c r="F18" i="2"/>
  <c r="F17" i="2"/>
  <c r="C17" i="2"/>
  <c r="B16" i="5"/>
  <c r="I18" i="2"/>
  <c r="I22" i="2"/>
  <c r="I26" i="2"/>
  <c r="I30" i="2"/>
  <c r="I34" i="2"/>
  <c r="I38" i="2"/>
  <c r="I42" i="2"/>
  <c r="I19" i="2"/>
  <c r="I23" i="2"/>
  <c r="I27" i="2"/>
  <c r="I31" i="2"/>
  <c r="I35" i="2"/>
  <c r="I39" i="2"/>
  <c r="I43" i="2"/>
  <c r="I20" i="2"/>
  <c r="I24" i="2"/>
  <c r="I28" i="2"/>
  <c r="I32" i="2"/>
  <c r="I36" i="2"/>
  <c r="I40" i="2"/>
  <c r="I44" i="2"/>
  <c r="I21" i="2"/>
  <c r="I25" i="2"/>
  <c r="I29" i="2"/>
  <c r="I33" i="2"/>
  <c r="I37" i="2"/>
  <c r="I41" i="2"/>
  <c r="J38" i="2"/>
  <c r="J42" i="2"/>
  <c r="J20" i="2"/>
  <c r="J24" i="2"/>
  <c r="J28" i="2"/>
  <c r="J32" i="2"/>
  <c r="J34" i="2"/>
  <c r="J43" i="2"/>
  <c r="J40" i="2"/>
  <c r="J44" i="2"/>
  <c r="J21" i="2"/>
  <c r="J25" i="2"/>
  <c r="J29" i="2"/>
  <c r="J35" i="2"/>
  <c r="J19" i="2"/>
  <c r="J23" i="2"/>
  <c r="J27" i="2"/>
  <c r="J31" i="2"/>
  <c r="J33" i="2"/>
  <c r="J39" i="2"/>
  <c r="J37" i="2"/>
  <c r="J41" i="2"/>
  <c r="J22" i="2"/>
  <c r="J30" i="2"/>
  <c r="J36" i="2"/>
  <c r="J18" i="2"/>
  <c r="J26" i="2"/>
  <c r="I17" i="2"/>
  <c r="J17" i="2"/>
  <c r="G42" i="2" l="1"/>
  <c r="G38" i="2"/>
  <c r="H43" i="2"/>
  <c r="H39" i="2"/>
  <c r="G44" i="2"/>
  <c r="G40" i="2"/>
  <c r="H41" i="2"/>
  <c r="H37" i="2"/>
  <c r="G43" i="2"/>
  <c r="G41" i="2"/>
  <c r="G39" i="2"/>
  <c r="G37" i="2"/>
  <c r="K37" i="2" s="1"/>
  <c r="G13" i="2" s="1"/>
  <c r="H44" i="2"/>
  <c r="H42" i="2"/>
  <c r="H40" i="2"/>
  <c r="H38" i="2"/>
  <c r="H34" i="2"/>
  <c r="H26" i="2"/>
  <c r="H36" i="2"/>
  <c r="H32" i="2"/>
  <c r="H28" i="2"/>
  <c r="H24" i="2"/>
  <c r="H20" i="2"/>
  <c r="G33" i="2"/>
  <c r="G29" i="2"/>
  <c r="G25" i="2"/>
  <c r="G21" i="2"/>
  <c r="H30" i="2"/>
  <c r="H22" i="2"/>
  <c r="G35" i="2"/>
  <c r="G31" i="2"/>
  <c r="G27" i="2"/>
  <c r="G23" i="2"/>
  <c r="G19" i="2"/>
  <c r="G36" i="2"/>
  <c r="K36" i="2" s="1"/>
  <c r="G32" i="2"/>
  <c r="K32" i="2" s="1"/>
  <c r="G28" i="2"/>
  <c r="K28" i="2" s="1"/>
  <c r="G24" i="2"/>
  <c r="K24" i="2" s="1"/>
  <c r="G22" i="2"/>
  <c r="H35" i="2"/>
  <c r="H31" i="2"/>
  <c r="H21" i="2"/>
  <c r="G34" i="2"/>
  <c r="G30" i="2"/>
  <c r="K30" i="2" s="1"/>
  <c r="G26" i="2"/>
  <c r="G20" i="2"/>
  <c r="H33" i="2"/>
  <c r="H29" i="2"/>
  <c r="H27" i="2"/>
  <c r="H25" i="2"/>
  <c r="H23" i="2"/>
  <c r="H19" i="2"/>
  <c r="H18" i="2"/>
  <c r="G18" i="2"/>
  <c r="G17" i="2"/>
  <c r="E3" i="2"/>
  <c r="F3" i="2" s="1"/>
  <c r="E4" i="2"/>
  <c r="E5" i="2"/>
  <c r="E6" i="2"/>
  <c r="E7" i="2"/>
  <c r="G7" i="2" s="1"/>
  <c r="E8" i="2"/>
  <c r="E9" i="2"/>
  <c r="D4" i="2"/>
  <c r="D5" i="2"/>
  <c r="D6" i="2"/>
  <c r="D7" i="2"/>
  <c r="D8" i="2"/>
  <c r="D9" i="2"/>
  <c r="C4" i="2"/>
  <c r="F4" i="2" s="1"/>
  <c r="C5" i="2"/>
  <c r="F5" i="2" s="1"/>
  <c r="C6" i="2"/>
  <c r="F6" i="2" s="1"/>
  <c r="C7" i="2"/>
  <c r="F7" i="2" s="1"/>
  <c r="C8" i="2"/>
  <c r="F8" i="2" s="1"/>
  <c r="C9" i="2"/>
  <c r="F9" i="2" s="1"/>
  <c r="E17" i="2"/>
  <c r="H17" i="2" l="1"/>
  <c r="K17" i="2" s="1"/>
  <c r="G5" i="2"/>
  <c r="G9" i="2"/>
  <c r="K35" i="2"/>
  <c r="K29" i="2"/>
  <c r="K20" i="2"/>
  <c r="K19" i="2"/>
  <c r="K41" i="2"/>
  <c r="K40" i="2"/>
  <c r="K38" i="2"/>
  <c r="K23" i="2"/>
  <c r="K43" i="2"/>
  <c r="K33" i="2"/>
  <c r="K18" i="2"/>
  <c r="K44" i="2"/>
  <c r="K42" i="2"/>
  <c r="K39" i="2"/>
  <c r="K25" i="2"/>
  <c r="K26" i="2"/>
  <c r="K27" i="2"/>
  <c r="K34" i="2"/>
  <c r="K22" i="2"/>
  <c r="K31" i="2"/>
  <c r="K21" i="2"/>
  <c r="G6" i="2"/>
  <c r="G8" i="2"/>
  <c r="G4" i="2"/>
  <c r="F10" i="2"/>
  <c r="G3" i="2"/>
  <c r="H14" i="2" l="1"/>
  <c r="G10" i="2"/>
</calcChain>
</file>

<file path=xl/sharedStrings.xml><?xml version="1.0" encoding="utf-8"?>
<sst xmlns="http://schemas.openxmlformats.org/spreadsheetml/2006/main" count="153" uniqueCount="86">
  <si>
    <t>Date</t>
  </si>
  <si>
    <t>Six month LIBOR rate</t>
  </si>
  <si>
    <t>Floating cash flow received</t>
  </si>
  <si>
    <t>Fixed cash flow paid</t>
  </si>
  <si>
    <t>Six month LIBOR rate(%)</t>
  </si>
  <si>
    <t>Notional</t>
  </si>
  <si>
    <t>Fixed rate</t>
  </si>
  <si>
    <t>Fixed payer</t>
  </si>
  <si>
    <t>Discount factor</t>
  </si>
  <si>
    <t>PV of fix</t>
  </si>
  <si>
    <t>PV of floating</t>
  </si>
  <si>
    <t>Zero rate</t>
  </si>
  <si>
    <t>Total:</t>
  </si>
  <si>
    <t>Price :</t>
  </si>
  <si>
    <t>Swap</t>
  </si>
  <si>
    <t>Tenor</t>
  </si>
  <si>
    <t>Swap Term Sheet</t>
  </si>
  <si>
    <t>Valuation Date</t>
  </si>
  <si>
    <t>Term in Years</t>
  </si>
  <si>
    <t>Payment Frequency</t>
  </si>
  <si>
    <t>Settlement Lag (days)</t>
  </si>
  <si>
    <t>Start Date</t>
  </si>
  <si>
    <t>Variable Config</t>
  </si>
  <si>
    <t>BusDayOn</t>
  </si>
  <si>
    <t>Variable</t>
  </si>
  <si>
    <t>Value</t>
  </si>
  <si>
    <t>Swap Cashflows</t>
  </si>
  <si>
    <t>End Date</t>
  </si>
  <si>
    <t>Start Date (Int accrual)</t>
  </si>
  <si>
    <t>Payment Date</t>
  </si>
  <si>
    <t>Df</t>
  </si>
  <si>
    <t>PV</t>
  </si>
  <si>
    <t>Swap Rate</t>
  </si>
  <si>
    <t>Maturity Date</t>
  </si>
  <si>
    <t>FixRate (accrual)</t>
  </si>
  <si>
    <t>FloatRate</t>
  </si>
  <si>
    <t>First Reset</t>
  </si>
  <si>
    <t>FixFlow Amount</t>
  </si>
  <si>
    <t>fltFlow Amount</t>
  </si>
  <si>
    <t>IR Accrual DCF</t>
  </si>
  <si>
    <t>DF</t>
  </si>
  <si>
    <t>DayOffset</t>
  </si>
  <si>
    <t>Times</t>
  </si>
  <si>
    <t>2y</t>
  </si>
  <si>
    <t>3y</t>
  </si>
  <si>
    <t>5y</t>
  </si>
  <si>
    <t>10y</t>
  </si>
  <si>
    <t>15y</t>
  </si>
  <si>
    <t>20y</t>
  </si>
  <si>
    <t>Flow Time</t>
  </si>
  <si>
    <t>Swap Sread</t>
  </si>
  <si>
    <t>SecType</t>
  </si>
  <si>
    <t>DaycountCode</t>
  </si>
  <si>
    <t>Rate</t>
  </si>
  <si>
    <t>spread</t>
  </si>
  <si>
    <t>ON</t>
  </si>
  <si>
    <t>1d</t>
  </si>
  <si>
    <t>ACT/365</t>
  </si>
  <si>
    <t>TN</t>
  </si>
  <si>
    <t>2d</t>
  </si>
  <si>
    <t>Cash</t>
  </si>
  <si>
    <t>1w</t>
  </si>
  <si>
    <t>1m</t>
  </si>
  <si>
    <t>2m</t>
  </si>
  <si>
    <t>Futures</t>
  </si>
  <si>
    <t>1A</t>
  </si>
  <si>
    <t>2A</t>
  </si>
  <si>
    <t>3A</t>
  </si>
  <si>
    <t>4A</t>
  </si>
  <si>
    <t>5A</t>
  </si>
  <si>
    <t>6A</t>
  </si>
  <si>
    <t>4y</t>
  </si>
  <si>
    <t>6y</t>
  </si>
  <si>
    <t>7y</t>
  </si>
  <si>
    <t>8y</t>
  </si>
  <si>
    <t>9y</t>
  </si>
  <si>
    <t>12y</t>
  </si>
  <si>
    <t>25y</t>
  </si>
  <si>
    <t>30y</t>
  </si>
  <si>
    <t>40y</t>
  </si>
  <si>
    <t>50y</t>
  </si>
  <si>
    <t>70y</t>
  </si>
  <si>
    <t>90y</t>
  </si>
  <si>
    <t>110y</t>
  </si>
  <si>
    <t>Par Yields</t>
  </si>
  <si>
    <t>Grid Point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</si>
</sst>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right" vertical="center" wrapText="1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14" fontId="0" fillId="4" borderId="0" xfId="0" applyNumberFormat="1" applyFill="1"/>
    <xf numFmtId="0" fontId="0" fillId="4" borderId="0" xfId="0" applyFill="1"/>
    <xf numFmtId="43" fontId="0" fillId="4" borderId="0" xfId="1" applyFont="1" applyFill="1"/>
    <xf numFmtId="43" fontId="0" fillId="4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8</xdr:row>
      <xdr:rowOff>114300</xdr:rowOff>
    </xdr:from>
    <xdr:to>
      <xdr:col>10</xdr:col>
      <xdr:colOff>514350</xdr:colOff>
      <xdr:row>10</xdr:row>
      <xdr:rowOff>161925</xdr:rowOff>
    </xdr:to>
    <xdr:sp macro="[0]!reset_all_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A30B4B-F443-47AC-8250-15255C7F8C93}"/>
            </a:ext>
          </a:extLst>
        </xdr:cNvPr>
        <xdr:cNvSpPr/>
      </xdr:nvSpPr>
      <xdr:spPr>
        <a:xfrm>
          <a:off x="12553950" y="1895475"/>
          <a:ext cx="12001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8</xdr:col>
      <xdr:colOff>361950</xdr:colOff>
      <xdr:row>2</xdr:row>
      <xdr:rowOff>0</xdr:rowOff>
    </xdr:from>
    <xdr:to>
      <xdr:col>11</xdr:col>
      <xdr:colOff>171450</xdr:colOff>
      <xdr:row>4</xdr:row>
      <xdr:rowOff>142875</xdr:rowOff>
    </xdr:to>
    <xdr:sp macro="[0]!Valuation_swa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5B2D9A-44D8-4C0E-A545-19F6561D6294}"/>
            </a:ext>
          </a:extLst>
        </xdr:cNvPr>
        <xdr:cNvSpPr/>
      </xdr:nvSpPr>
      <xdr:spPr>
        <a:xfrm>
          <a:off x="12382500" y="638175"/>
          <a:ext cx="16383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Valuation of Swap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8ECAB7-A7A4-461A-AB26-2FA7A0892C38}" name="SwapDeal" displayName="SwapDeal" ref="A10:B25" totalsRowShown="0">
  <autoFilter ref="A10:B25" xr:uid="{42EB2E3F-1FC1-48F7-B569-44A04CEDD77D}"/>
  <tableColumns count="2">
    <tableColumn id="1" xr3:uid="{9C98A69B-29CD-4B3F-BD41-194C9AA20E9C}" name="Variable"/>
    <tableColumn id="2" xr3:uid="{81CD46E5-5C4F-4B45-8137-1115C00BA499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F1F5-1236-4B57-A9E2-B3A8263876D9}">
  <sheetPr codeName="Sheet2"/>
  <dimension ref="A1:L44"/>
  <sheetViews>
    <sheetView topLeftCell="A7" workbookViewId="0">
      <selection activeCell="I27" sqref="I27"/>
    </sheetView>
  </sheetViews>
  <sheetFormatPr defaultRowHeight="15" x14ac:dyDescent="0.25"/>
  <cols>
    <col min="1" max="1" width="20.42578125" customWidth="1"/>
    <col min="2" max="2" width="17.140625" customWidth="1"/>
    <col min="3" max="3" width="20.5703125" customWidth="1"/>
    <col min="4" max="4" width="19.42578125" customWidth="1"/>
    <col min="5" max="5" width="17.42578125" customWidth="1"/>
    <col min="6" max="6" width="15.7109375" customWidth="1"/>
    <col min="7" max="7" width="14.7109375" customWidth="1"/>
    <col min="8" max="8" width="13.85546875" customWidth="1"/>
    <col min="9" max="9" width="12.28515625" customWidth="1"/>
    <col min="11" max="11" width="11.28515625" bestFit="1" customWidth="1"/>
  </cols>
  <sheetData>
    <row r="1" spans="1:11" ht="26.25" customHeight="1" x14ac:dyDescent="0.25">
      <c r="A1" s="1" t="s">
        <v>14</v>
      </c>
      <c r="B1" t="s">
        <v>7</v>
      </c>
      <c r="C1" s="4" t="s">
        <v>13</v>
      </c>
      <c r="D1" s="5">
        <v>0.62830586391704202</v>
      </c>
      <c r="E1" s="1"/>
    </row>
    <row r="2" spans="1:11" ht="24" customHeight="1" x14ac:dyDescent="0.25">
      <c r="A2" s="1" t="s">
        <v>0</v>
      </c>
      <c r="B2" s="1" t="s">
        <v>4</v>
      </c>
      <c r="C2" s="1" t="s">
        <v>2</v>
      </c>
      <c r="D2" s="1" t="s">
        <v>3</v>
      </c>
      <c r="E2" s="1" t="s">
        <v>8</v>
      </c>
      <c r="F2" s="1" t="s">
        <v>10</v>
      </c>
      <c r="G2" s="1" t="s">
        <v>9</v>
      </c>
    </row>
    <row r="3" spans="1:11" x14ac:dyDescent="0.25">
      <c r="A3" s="3">
        <v>0</v>
      </c>
      <c r="B3" s="1">
        <v>4.2000000000000003E-2</v>
      </c>
      <c r="E3">
        <f>EXP(-'Interest rate'!D2*0.5)</f>
        <v>1</v>
      </c>
      <c r="F3">
        <f t="shared" ref="F3:G9" si="0">C3*$E3</f>
        <v>0</v>
      </c>
      <c r="G3">
        <f t="shared" si="0"/>
        <v>0</v>
      </c>
    </row>
    <row r="4" spans="1:11" x14ac:dyDescent="0.25">
      <c r="A4" s="3">
        <v>0.5</v>
      </c>
      <c r="B4" s="1">
        <v>4.8000000000000001E-2</v>
      </c>
      <c r="C4">
        <f>B3*0.5*'Deal info'!A$2</f>
        <v>2.1</v>
      </c>
      <c r="D4">
        <f>'Deal info'!A$6*0.5*'Deal info'!A$2</f>
        <v>2.5</v>
      </c>
      <c r="E4">
        <f>EXP(-'Interest rate'!D3*0.5)</f>
        <v>0.97726248377327707</v>
      </c>
      <c r="F4">
        <f t="shared" si="0"/>
        <v>2.0522512159238819</v>
      </c>
      <c r="G4">
        <f t="shared" si="0"/>
        <v>2.4431562094331927</v>
      </c>
    </row>
    <row r="5" spans="1:11" x14ac:dyDescent="0.25">
      <c r="A5" s="3">
        <v>1</v>
      </c>
      <c r="B5" s="1">
        <v>5.2999999999999999E-2</v>
      </c>
      <c r="C5">
        <f>B4*0.5*'Deal info'!A$2</f>
        <v>2.4</v>
      </c>
      <c r="D5">
        <f>'Deal info'!A$6*0.5*'Deal info'!A$2</f>
        <v>2.5</v>
      </c>
      <c r="E5">
        <f>EXP(-'Interest rate'!D4*0.5)</f>
        <v>0.97579768891840735</v>
      </c>
      <c r="F5">
        <f t="shared" si="0"/>
        <v>2.3419144534041774</v>
      </c>
      <c r="G5">
        <f t="shared" si="0"/>
        <v>2.4394942222960183</v>
      </c>
    </row>
    <row r="6" spans="1:11" x14ac:dyDescent="0.25">
      <c r="A6" s="3">
        <v>1.5</v>
      </c>
      <c r="B6" s="1">
        <v>5.5E-2</v>
      </c>
      <c r="C6">
        <f>B5*0.5*'Deal info'!A$2</f>
        <v>2.65</v>
      </c>
      <c r="D6">
        <f>'Deal info'!A$6*0.5*'Deal info'!A$2</f>
        <v>2.5</v>
      </c>
      <c r="E6">
        <f>EXP(-'Interest rate'!D5*0.5)</f>
        <v>0.97433508960874937</v>
      </c>
      <c r="F6">
        <f t="shared" si="0"/>
        <v>2.5819879874631857</v>
      </c>
      <c r="G6">
        <f t="shared" si="0"/>
        <v>2.4358377240218734</v>
      </c>
    </row>
    <row r="7" spans="1:11" x14ac:dyDescent="0.25">
      <c r="A7" s="3">
        <v>2</v>
      </c>
      <c r="B7" s="1">
        <v>5.6000000000000001E-2</v>
      </c>
      <c r="C7">
        <f>B6*0.5*'Deal info'!A$2</f>
        <v>2.75</v>
      </c>
      <c r="D7">
        <f>'Deal info'!A$6*0.5*'Deal info'!A$2</f>
        <v>2.5</v>
      </c>
      <c r="E7">
        <f>EXP(-'Interest rate'!D6*0.5)</f>
        <v>0.97238836680124685</v>
      </c>
      <c r="F7">
        <f t="shared" si="0"/>
        <v>2.6740680087034288</v>
      </c>
      <c r="G7">
        <f t="shared" si="0"/>
        <v>2.4309709170031173</v>
      </c>
    </row>
    <row r="8" spans="1:11" x14ac:dyDescent="0.25">
      <c r="A8" s="3">
        <v>2.5</v>
      </c>
      <c r="B8" s="1">
        <v>5.8999999999999997E-2</v>
      </c>
      <c r="C8">
        <f>B7*0.5*'Deal info'!A$2</f>
        <v>2.8000000000000003</v>
      </c>
      <c r="D8">
        <f>'Deal info'!A$6*0.5*'Deal info'!A$2</f>
        <v>2.5</v>
      </c>
      <c r="E8">
        <f>EXP(-'Interest rate'!D7*0.5)</f>
        <v>0.97093087764119423</v>
      </c>
      <c r="F8">
        <f t="shared" si="0"/>
        <v>2.7186064573953441</v>
      </c>
      <c r="G8">
        <f t="shared" si="0"/>
        <v>2.4273271941029857</v>
      </c>
    </row>
    <row r="9" spans="1:11" x14ac:dyDescent="0.25">
      <c r="A9" s="3">
        <v>3</v>
      </c>
      <c r="C9">
        <f>B8*0.5*'Deal info'!A$2</f>
        <v>2.9499999999999997</v>
      </c>
      <c r="D9">
        <f>'Deal info'!A$6*0.5*'Deal info'!A$2</f>
        <v>2.5</v>
      </c>
      <c r="E9">
        <f>EXP(-'Interest rate'!D8*0.5)</f>
        <v>0.96947557307602594</v>
      </c>
      <c r="F9">
        <f t="shared" si="0"/>
        <v>2.8599529405742761</v>
      </c>
      <c r="G9">
        <f t="shared" si="0"/>
        <v>2.423688932690065</v>
      </c>
    </row>
    <row r="10" spans="1:11" x14ac:dyDescent="0.25">
      <c r="A10" s="6" t="s">
        <v>12</v>
      </c>
      <c r="B10" s="6"/>
      <c r="C10" s="6"/>
      <c r="D10" s="6"/>
      <c r="E10" s="6"/>
      <c r="F10" s="6">
        <f>SUM(F3:F9)</f>
        <v>15.228781063464293</v>
      </c>
      <c r="G10" s="6">
        <f>SUM(G3:G9)</f>
        <v>14.600475199547251</v>
      </c>
    </row>
    <row r="11" spans="1:11" x14ac:dyDescent="0.25">
      <c r="A11" s="2"/>
    </row>
    <row r="12" spans="1:11" x14ac:dyDescent="0.25">
      <c r="A12" s="2"/>
    </row>
    <row r="13" spans="1:11" x14ac:dyDescent="0.25">
      <c r="G13">
        <f ca="1">OFFSET(K17,20,0,1,1)</f>
        <v>-1376.2191780821934</v>
      </c>
      <c r="H13">
        <f>MATCH(VLOOKUP("Maturity Date", rngSwap,2,FALSE),C17:C144,0)</f>
        <v>4</v>
      </c>
    </row>
    <row r="14" spans="1:11" x14ac:dyDescent="0.25">
      <c r="A14" t="s">
        <v>26</v>
      </c>
      <c r="G14" t="s">
        <v>31</v>
      </c>
      <c r="H14" s="8">
        <f ca="1">SUM(OFFSET(K17,0,0,H13,1))</f>
        <v>-46363.687625054306</v>
      </c>
    </row>
    <row r="16" spans="1:11" x14ac:dyDescent="0.25">
      <c r="A16" t="s">
        <v>28</v>
      </c>
      <c r="B16" t="s">
        <v>27</v>
      </c>
      <c r="C16" t="s">
        <v>29</v>
      </c>
      <c r="D16" t="s">
        <v>34</v>
      </c>
      <c r="E16" t="s">
        <v>35</v>
      </c>
      <c r="F16" t="s">
        <v>39</v>
      </c>
      <c r="G16" t="s">
        <v>37</v>
      </c>
      <c r="H16" t="s">
        <v>38</v>
      </c>
      <c r="I16" t="s">
        <v>49</v>
      </c>
      <c r="J16" t="s">
        <v>30</v>
      </c>
      <c r="K16" t="s">
        <v>31</v>
      </c>
    </row>
    <row r="17" spans="1:11" x14ac:dyDescent="0.25">
      <c r="A17" s="7">
        <f>VLOOKUP("Start Date", rngSwap,2,FALSE)</f>
        <v>43747</v>
      </c>
      <c r="B17" s="7">
        <f t="shared" ref="B17:B44" si="1">EDATE(A17,12/VLOOKUP("Payment Frequency", rngSwap,2,FALSE))</f>
        <v>43930</v>
      </c>
      <c r="C17" s="7">
        <f>NextBusDay(B17)</f>
        <v>43930</v>
      </c>
      <c r="D17">
        <f t="shared" ref="D17:D44" si="2">VLOOKUP("Swap Rate", rngSwap,2,FALSE)</f>
        <v>0.05</v>
      </c>
      <c r="E17" s="9">
        <f>(1/DfInterpT(I17,vDFvalues,vDfTimes)-1)/I17</f>
        <v>0.14012517558709198</v>
      </c>
      <c r="F17">
        <f>TimeFraction(B17,A17, 365)</f>
        <v>0.50136986301369868</v>
      </c>
      <c r="G17" s="8">
        <f t="shared" ref="G17:G44" si="3">VLOOKUP("Notional", rngSwap,2,FALSE)*D17*F17</f>
        <v>25068.493150684935</v>
      </c>
      <c r="H17" s="8">
        <f>VLOOKUP("Notional", rngSwap,2,FALSE)*(E17 )*F17</f>
        <v>70254.540088870781</v>
      </c>
      <c r="I17" s="8">
        <f>TimeFraction(C17,VLOOKUP("Start Date", rngSwap,2,FALSE),365)</f>
        <v>0.50136986301369868</v>
      </c>
      <c r="J17" s="8">
        <f t="shared" ref="J17:J44" si="4">DfInterpT(I17,vDFvalues,vDfTimes)</f>
        <v>0.93435716695671578</v>
      </c>
      <c r="K17" s="9">
        <f>(G17-H17)*J17</f>
        <v>-42219.906803136502</v>
      </c>
    </row>
    <row r="18" spans="1:11" x14ac:dyDescent="0.25">
      <c r="A18" s="7">
        <f>B17</f>
        <v>43930</v>
      </c>
      <c r="B18" s="7">
        <f t="shared" si="1"/>
        <v>44113</v>
      </c>
      <c r="C18" s="7">
        <f>NextBusDay(B18)</f>
        <v>44113</v>
      </c>
      <c r="D18">
        <f t="shared" si="2"/>
        <v>0.05</v>
      </c>
      <c r="E18">
        <v>5.2999999999999999E-2</v>
      </c>
      <c r="F18">
        <f>TimeFraction(B18,A18, 365)</f>
        <v>0.50136986301369868</v>
      </c>
      <c r="G18" s="8">
        <f t="shared" si="3"/>
        <v>25068.493150684935</v>
      </c>
      <c r="H18" s="8">
        <f t="shared" ref="H18:H44" si="5">VLOOKUP("Notional", rngSwap,2,FALSE)*E18*F18</f>
        <v>26572.60273972603</v>
      </c>
      <c r="I18" s="8">
        <f>TimeFraction(C18,VLOOKUP("Start Date", rngSwap,2,FALSE),365)</f>
        <v>1.0027397260273974</v>
      </c>
      <c r="J18" s="8">
        <f t="shared" si="4"/>
        <v>0.92</v>
      </c>
      <c r="K18" s="9">
        <f>(G18-H18)*J18</f>
        <v>-1383.7808219178069</v>
      </c>
    </row>
    <row r="19" spans="1:11" x14ac:dyDescent="0.25">
      <c r="A19" s="7">
        <f t="shared" ref="A19:A44" si="6">B18</f>
        <v>44113</v>
      </c>
      <c r="B19" s="7">
        <f t="shared" si="1"/>
        <v>44295</v>
      </c>
      <c r="C19" s="7">
        <f t="shared" ref="C19:C44" si="7">NextBusDay(B19)</f>
        <v>44295</v>
      </c>
      <c r="D19">
        <f t="shared" si="2"/>
        <v>0.05</v>
      </c>
      <c r="E19">
        <v>5.2999999999999999E-2</v>
      </c>
      <c r="F19">
        <f t="shared" ref="F19:F36" si="8">TimeFraction(B19,A19, 365)</f>
        <v>0.49863013698630138</v>
      </c>
      <c r="G19" s="8">
        <f t="shared" si="3"/>
        <v>24931.506849315068</v>
      </c>
      <c r="H19" s="8">
        <f t="shared" si="5"/>
        <v>26427.397260273974</v>
      </c>
      <c r="I19" s="8">
        <f>TimeFraction(C19,VLOOKUP("Start Date", rngSwap,2,FALSE),365)</f>
        <v>1.5013698630136987</v>
      </c>
      <c r="J19" s="8">
        <f t="shared" si="4"/>
        <v>0.92</v>
      </c>
      <c r="K19" s="9">
        <f t="shared" ref="K19:K36" si="9">(G19-H19)*J19</f>
        <v>-1376.2191780821934</v>
      </c>
    </row>
    <row r="20" spans="1:11" x14ac:dyDescent="0.25">
      <c r="A20" s="7">
        <f t="shared" si="6"/>
        <v>44295</v>
      </c>
      <c r="B20" s="7">
        <f t="shared" si="1"/>
        <v>44478</v>
      </c>
      <c r="C20" s="7">
        <f t="shared" si="7"/>
        <v>44480</v>
      </c>
      <c r="D20">
        <f t="shared" si="2"/>
        <v>0.05</v>
      </c>
      <c r="E20">
        <v>5.2999999999999999E-2</v>
      </c>
      <c r="F20">
        <f t="shared" si="8"/>
        <v>0.50136986301369868</v>
      </c>
      <c r="G20" s="8">
        <f t="shared" si="3"/>
        <v>25068.493150684935</v>
      </c>
      <c r="H20" s="8">
        <f t="shared" si="5"/>
        <v>26572.60273972603</v>
      </c>
      <c r="I20" s="8">
        <f>TimeFraction(C20,VLOOKUP("Start Date", rngSwap,2,FALSE),365)</f>
        <v>2.0082191780821916</v>
      </c>
      <c r="J20" s="8">
        <f t="shared" si="4"/>
        <v>0.92</v>
      </c>
      <c r="K20" s="9">
        <f t="shared" si="9"/>
        <v>-1383.7808219178069</v>
      </c>
    </row>
    <row r="21" spans="1:11" x14ac:dyDescent="0.25">
      <c r="A21" s="7">
        <f t="shared" si="6"/>
        <v>44478</v>
      </c>
      <c r="B21" s="7">
        <f t="shared" si="1"/>
        <v>44660</v>
      </c>
      <c r="C21" s="7">
        <f t="shared" si="7"/>
        <v>44662</v>
      </c>
      <c r="D21">
        <f t="shared" si="2"/>
        <v>0.05</v>
      </c>
      <c r="E21">
        <v>5.2999999999999999E-2</v>
      </c>
      <c r="F21">
        <f t="shared" si="8"/>
        <v>0.49863013698630138</v>
      </c>
      <c r="G21" s="8">
        <f t="shared" si="3"/>
        <v>24931.506849315068</v>
      </c>
      <c r="H21" s="8">
        <f t="shared" si="5"/>
        <v>26427.397260273974</v>
      </c>
      <c r="I21" s="8">
        <f>TimeFraction(C21,VLOOKUP("Start Date", rngSwap,2,FALSE),365)</f>
        <v>2.506849315068493</v>
      </c>
      <c r="J21" s="8">
        <f t="shared" si="4"/>
        <v>0.92</v>
      </c>
      <c r="K21" s="9">
        <f t="shared" si="9"/>
        <v>-1376.2191780821934</v>
      </c>
    </row>
    <row r="22" spans="1:11" x14ac:dyDescent="0.25">
      <c r="A22" s="7">
        <f t="shared" si="6"/>
        <v>44660</v>
      </c>
      <c r="B22" s="7">
        <f t="shared" si="1"/>
        <v>44843</v>
      </c>
      <c r="C22" s="7">
        <f t="shared" si="7"/>
        <v>44844</v>
      </c>
      <c r="D22">
        <f t="shared" si="2"/>
        <v>0.05</v>
      </c>
      <c r="E22">
        <v>5.2999999999999999E-2</v>
      </c>
      <c r="F22">
        <f t="shared" si="8"/>
        <v>0.50136986301369868</v>
      </c>
      <c r="G22" s="8">
        <f t="shared" si="3"/>
        <v>25068.493150684935</v>
      </c>
      <c r="H22" s="8">
        <f t="shared" si="5"/>
        <v>26572.60273972603</v>
      </c>
      <c r="I22" s="8">
        <f>TimeFraction(C22,VLOOKUP("Start Date", rngSwap,2,FALSE),365)</f>
        <v>3.0054794520547947</v>
      </c>
      <c r="J22" s="8">
        <f t="shared" si="4"/>
        <v>0.92</v>
      </c>
      <c r="K22" s="9">
        <f t="shared" si="9"/>
        <v>-1383.7808219178069</v>
      </c>
    </row>
    <row r="23" spans="1:11" x14ac:dyDescent="0.25">
      <c r="A23" s="7">
        <f t="shared" si="6"/>
        <v>44843</v>
      </c>
      <c r="B23" s="7">
        <f t="shared" si="1"/>
        <v>45025</v>
      </c>
      <c r="C23" s="7">
        <f t="shared" si="7"/>
        <v>45026</v>
      </c>
      <c r="D23">
        <f t="shared" si="2"/>
        <v>0.05</v>
      </c>
      <c r="E23">
        <v>5.2999999999999999E-2</v>
      </c>
      <c r="F23">
        <f t="shared" si="8"/>
        <v>0.49863013698630138</v>
      </c>
      <c r="G23" s="8">
        <f t="shared" si="3"/>
        <v>24931.506849315068</v>
      </c>
      <c r="H23" s="8">
        <f t="shared" si="5"/>
        <v>26427.397260273974</v>
      </c>
      <c r="I23" s="8">
        <f>TimeFraction(C23,VLOOKUP("Start Date", rngSwap,2,FALSE),365)</f>
        <v>3.504109589041096</v>
      </c>
      <c r="J23" s="8">
        <f t="shared" si="4"/>
        <v>0.92</v>
      </c>
      <c r="K23" s="9">
        <f t="shared" si="9"/>
        <v>-1376.2191780821934</v>
      </c>
    </row>
    <row r="24" spans="1:11" x14ac:dyDescent="0.25">
      <c r="A24" s="7">
        <f t="shared" si="6"/>
        <v>45025</v>
      </c>
      <c r="B24" s="7">
        <f t="shared" si="1"/>
        <v>45208</v>
      </c>
      <c r="C24" s="7">
        <f t="shared" si="7"/>
        <v>45208</v>
      </c>
      <c r="D24">
        <f t="shared" si="2"/>
        <v>0.05</v>
      </c>
      <c r="E24">
        <v>5.2999999999999999E-2</v>
      </c>
      <c r="F24">
        <f t="shared" si="8"/>
        <v>0.50136986301369868</v>
      </c>
      <c r="G24" s="8">
        <f t="shared" si="3"/>
        <v>25068.493150684935</v>
      </c>
      <c r="H24" s="8">
        <f t="shared" si="5"/>
        <v>26572.60273972603</v>
      </c>
      <c r="I24" s="8">
        <f>TimeFraction(C24,VLOOKUP("Start Date", rngSwap,2,FALSE),365)</f>
        <v>4.0027397260273974</v>
      </c>
      <c r="J24" s="8">
        <f t="shared" si="4"/>
        <v>0.92</v>
      </c>
      <c r="K24" s="9">
        <f t="shared" si="9"/>
        <v>-1383.7808219178069</v>
      </c>
    </row>
    <row r="25" spans="1:11" x14ac:dyDescent="0.25">
      <c r="A25" s="7">
        <f t="shared" si="6"/>
        <v>45208</v>
      </c>
      <c r="B25" s="7">
        <f t="shared" si="1"/>
        <v>45391</v>
      </c>
      <c r="C25" s="7">
        <f t="shared" si="7"/>
        <v>45391</v>
      </c>
      <c r="D25">
        <f t="shared" si="2"/>
        <v>0.05</v>
      </c>
      <c r="E25">
        <v>5.2999999999999999E-2</v>
      </c>
      <c r="F25">
        <f t="shared" si="8"/>
        <v>0.50136986301369868</v>
      </c>
      <c r="G25" s="8">
        <f t="shared" si="3"/>
        <v>25068.493150684935</v>
      </c>
      <c r="H25" s="8">
        <f t="shared" si="5"/>
        <v>26572.60273972603</v>
      </c>
      <c r="I25" s="8">
        <f>TimeFraction(C25,VLOOKUP("Start Date", rngSwap,2,FALSE),365)</f>
        <v>4.5041095890410956</v>
      </c>
      <c r="J25" s="8">
        <f t="shared" si="4"/>
        <v>0.92</v>
      </c>
      <c r="K25" s="9">
        <f t="shared" si="9"/>
        <v>-1383.7808219178069</v>
      </c>
    </row>
    <row r="26" spans="1:11" x14ac:dyDescent="0.25">
      <c r="A26" s="7">
        <f t="shared" si="6"/>
        <v>45391</v>
      </c>
      <c r="B26" s="7">
        <f t="shared" si="1"/>
        <v>45574</v>
      </c>
      <c r="C26" s="7">
        <f t="shared" si="7"/>
        <v>45574</v>
      </c>
      <c r="D26">
        <f t="shared" si="2"/>
        <v>0.05</v>
      </c>
      <c r="E26">
        <v>5.2999999999999999E-2</v>
      </c>
      <c r="F26">
        <f t="shared" si="8"/>
        <v>0.50136986301369868</v>
      </c>
      <c r="G26" s="8">
        <f t="shared" si="3"/>
        <v>25068.493150684935</v>
      </c>
      <c r="H26" s="8">
        <f t="shared" si="5"/>
        <v>26572.60273972603</v>
      </c>
      <c r="I26" s="8">
        <f>TimeFraction(C26,VLOOKUP("Start Date", rngSwap,2,FALSE),365)</f>
        <v>5.0054794520547947</v>
      </c>
      <c r="J26" s="8">
        <f t="shared" si="4"/>
        <v>0.92</v>
      </c>
      <c r="K26" s="9">
        <f t="shared" si="9"/>
        <v>-1383.7808219178069</v>
      </c>
    </row>
    <row r="27" spans="1:11" x14ac:dyDescent="0.25">
      <c r="A27" s="7">
        <f t="shared" si="6"/>
        <v>45574</v>
      </c>
      <c r="B27" s="7">
        <f t="shared" si="1"/>
        <v>45756</v>
      </c>
      <c r="C27" s="7">
        <f t="shared" si="7"/>
        <v>45756</v>
      </c>
      <c r="D27">
        <f t="shared" si="2"/>
        <v>0.05</v>
      </c>
      <c r="E27">
        <v>5.2999999999999999E-2</v>
      </c>
      <c r="F27">
        <f t="shared" si="8"/>
        <v>0.49863013698630138</v>
      </c>
      <c r="G27" s="8">
        <f t="shared" si="3"/>
        <v>24931.506849315068</v>
      </c>
      <c r="H27" s="8">
        <f t="shared" si="5"/>
        <v>26427.397260273974</v>
      </c>
      <c r="I27" s="8">
        <f>TimeFraction(C27,VLOOKUP("Start Date", rngSwap,2,FALSE),365)</f>
        <v>5.5041095890410956</v>
      </c>
      <c r="J27" s="8">
        <f t="shared" si="4"/>
        <v>0.92</v>
      </c>
      <c r="K27" s="9">
        <f t="shared" si="9"/>
        <v>-1376.2191780821934</v>
      </c>
    </row>
    <row r="28" spans="1:11" x14ac:dyDescent="0.25">
      <c r="A28" s="7">
        <f t="shared" si="6"/>
        <v>45756</v>
      </c>
      <c r="B28" s="7">
        <f t="shared" si="1"/>
        <v>45939</v>
      </c>
      <c r="C28" s="7">
        <f t="shared" si="7"/>
        <v>45939</v>
      </c>
      <c r="D28">
        <f t="shared" si="2"/>
        <v>0.05</v>
      </c>
      <c r="E28">
        <v>5.2999999999999999E-2</v>
      </c>
      <c r="F28">
        <f t="shared" si="8"/>
        <v>0.50136986301369868</v>
      </c>
      <c r="G28" s="8">
        <f t="shared" si="3"/>
        <v>25068.493150684935</v>
      </c>
      <c r="H28" s="8">
        <f t="shared" si="5"/>
        <v>26572.60273972603</v>
      </c>
      <c r="I28" s="8">
        <f>TimeFraction(C28,VLOOKUP("Start Date", rngSwap,2,FALSE),365)</f>
        <v>6.0054794520547947</v>
      </c>
      <c r="J28" s="8">
        <f t="shared" si="4"/>
        <v>0.92</v>
      </c>
      <c r="K28" s="9">
        <f t="shared" si="9"/>
        <v>-1383.7808219178069</v>
      </c>
    </row>
    <row r="29" spans="1:11" x14ac:dyDescent="0.25">
      <c r="A29" s="7">
        <f t="shared" si="6"/>
        <v>45939</v>
      </c>
      <c r="B29" s="7">
        <f t="shared" si="1"/>
        <v>46121</v>
      </c>
      <c r="C29" s="7">
        <f t="shared" si="7"/>
        <v>46121</v>
      </c>
      <c r="D29">
        <f t="shared" si="2"/>
        <v>0.05</v>
      </c>
      <c r="E29">
        <v>5.2999999999999999E-2</v>
      </c>
      <c r="F29">
        <f t="shared" si="8"/>
        <v>0.49863013698630138</v>
      </c>
      <c r="G29" s="8">
        <f t="shared" si="3"/>
        <v>24931.506849315068</v>
      </c>
      <c r="H29" s="8">
        <f t="shared" si="5"/>
        <v>26427.397260273974</v>
      </c>
      <c r="I29" s="8">
        <f>TimeFraction(C29,VLOOKUP("Start Date", rngSwap,2,FALSE),365)</f>
        <v>6.5041095890410956</v>
      </c>
      <c r="J29" s="8">
        <f t="shared" si="4"/>
        <v>0.92</v>
      </c>
      <c r="K29" s="9">
        <f t="shared" si="9"/>
        <v>-1376.2191780821934</v>
      </c>
    </row>
    <row r="30" spans="1:11" x14ac:dyDescent="0.25">
      <c r="A30" s="7">
        <f t="shared" si="6"/>
        <v>46121</v>
      </c>
      <c r="B30" s="7">
        <f t="shared" si="1"/>
        <v>46304</v>
      </c>
      <c r="C30" s="7">
        <f t="shared" si="7"/>
        <v>46304</v>
      </c>
      <c r="D30">
        <f t="shared" si="2"/>
        <v>0.05</v>
      </c>
      <c r="E30">
        <v>5.2999999999999999E-2</v>
      </c>
      <c r="F30">
        <f t="shared" si="8"/>
        <v>0.50136986301369868</v>
      </c>
      <c r="G30" s="8">
        <f t="shared" si="3"/>
        <v>25068.493150684935</v>
      </c>
      <c r="H30" s="8">
        <f t="shared" si="5"/>
        <v>26572.60273972603</v>
      </c>
      <c r="I30" s="8">
        <f>TimeFraction(C30,VLOOKUP("Start Date", rngSwap,2,FALSE),365)</f>
        <v>7.0054794520547947</v>
      </c>
      <c r="J30" s="8">
        <f t="shared" si="4"/>
        <v>0.92</v>
      </c>
      <c r="K30" s="9">
        <f t="shared" si="9"/>
        <v>-1383.7808219178069</v>
      </c>
    </row>
    <row r="31" spans="1:11" x14ac:dyDescent="0.25">
      <c r="A31" s="7">
        <f t="shared" si="6"/>
        <v>46304</v>
      </c>
      <c r="B31" s="7">
        <f t="shared" si="1"/>
        <v>46486</v>
      </c>
      <c r="C31" s="7">
        <f t="shared" si="7"/>
        <v>46486</v>
      </c>
      <c r="D31">
        <f t="shared" si="2"/>
        <v>0.05</v>
      </c>
      <c r="E31">
        <v>5.2999999999999999E-2</v>
      </c>
      <c r="F31">
        <f t="shared" si="8"/>
        <v>0.49863013698630138</v>
      </c>
      <c r="G31" s="8">
        <f t="shared" si="3"/>
        <v>24931.506849315068</v>
      </c>
      <c r="H31" s="8">
        <f t="shared" si="5"/>
        <v>26427.397260273974</v>
      </c>
      <c r="I31" s="8">
        <f>TimeFraction(C31,VLOOKUP("Start Date", rngSwap,2,FALSE),365)</f>
        <v>7.5041095890410956</v>
      </c>
      <c r="J31" s="8">
        <f t="shared" si="4"/>
        <v>0.92</v>
      </c>
      <c r="K31" s="9">
        <f t="shared" si="9"/>
        <v>-1376.2191780821934</v>
      </c>
    </row>
    <row r="32" spans="1:11" x14ac:dyDescent="0.25">
      <c r="A32" s="7">
        <f t="shared" si="6"/>
        <v>46486</v>
      </c>
      <c r="B32" s="7">
        <f t="shared" si="1"/>
        <v>46669</v>
      </c>
      <c r="C32" s="7">
        <f t="shared" si="7"/>
        <v>46671</v>
      </c>
      <c r="D32">
        <f t="shared" si="2"/>
        <v>0.05</v>
      </c>
      <c r="E32">
        <v>5.2999999999999999E-2</v>
      </c>
      <c r="F32">
        <f t="shared" si="8"/>
        <v>0.50136986301369868</v>
      </c>
      <c r="G32" s="8">
        <f t="shared" si="3"/>
        <v>25068.493150684935</v>
      </c>
      <c r="H32" s="8">
        <f t="shared" si="5"/>
        <v>26572.60273972603</v>
      </c>
      <c r="I32" s="8">
        <f>TimeFraction(C32,VLOOKUP("Start Date", rngSwap,2,FALSE),365)</f>
        <v>8.0109589041095894</v>
      </c>
      <c r="J32" s="8">
        <f t="shared" si="4"/>
        <v>0.92</v>
      </c>
      <c r="K32" s="9">
        <f t="shared" si="9"/>
        <v>-1383.7808219178069</v>
      </c>
    </row>
    <row r="33" spans="1:12" x14ac:dyDescent="0.25">
      <c r="A33" s="7">
        <f t="shared" si="6"/>
        <v>46669</v>
      </c>
      <c r="B33" s="7">
        <f t="shared" si="1"/>
        <v>46852</v>
      </c>
      <c r="C33" s="7">
        <f t="shared" si="7"/>
        <v>46853</v>
      </c>
      <c r="D33">
        <f t="shared" si="2"/>
        <v>0.05</v>
      </c>
      <c r="E33">
        <v>5.2999999999999999E-2</v>
      </c>
      <c r="F33">
        <f t="shared" si="8"/>
        <v>0.50136986301369868</v>
      </c>
      <c r="G33" s="8">
        <f t="shared" si="3"/>
        <v>25068.493150684935</v>
      </c>
      <c r="H33" s="8">
        <f t="shared" si="5"/>
        <v>26572.60273972603</v>
      </c>
      <c r="I33" s="8">
        <f>TimeFraction(C33,VLOOKUP("Start Date", rngSwap,2,FALSE),365)</f>
        <v>8.5095890410958912</v>
      </c>
      <c r="J33" s="8">
        <f t="shared" si="4"/>
        <v>0.92</v>
      </c>
      <c r="K33" s="9">
        <f t="shared" si="9"/>
        <v>-1383.7808219178069</v>
      </c>
    </row>
    <row r="34" spans="1:12" x14ac:dyDescent="0.25">
      <c r="A34" s="7">
        <f t="shared" si="6"/>
        <v>46852</v>
      </c>
      <c r="B34" s="7">
        <f t="shared" si="1"/>
        <v>47035</v>
      </c>
      <c r="C34" s="7">
        <f t="shared" si="7"/>
        <v>47035</v>
      </c>
      <c r="D34">
        <f t="shared" si="2"/>
        <v>0.05</v>
      </c>
      <c r="E34">
        <v>5.2999999999999999E-2</v>
      </c>
      <c r="F34">
        <f t="shared" si="8"/>
        <v>0.50136986301369868</v>
      </c>
      <c r="G34" s="8">
        <f t="shared" si="3"/>
        <v>25068.493150684935</v>
      </c>
      <c r="H34" s="8">
        <f t="shared" si="5"/>
        <v>26572.60273972603</v>
      </c>
      <c r="I34" s="8">
        <f>TimeFraction(C34,VLOOKUP("Start Date", rngSwap,2,FALSE),365)</f>
        <v>9.0082191780821912</v>
      </c>
      <c r="J34" s="8">
        <f t="shared" si="4"/>
        <v>0.92</v>
      </c>
      <c r="K34" s="9">
        <f t="shared" si="9"/>
        <v>-1383.7808219178069</v>
      </c>
    </row>
    <row r="35" spans="1:12" x14ac:dyDescent="0.25">
      <c r="A35" s="7">
        <f t="shared" si="6"/>
        <v>47035</v>
      </c>
      <c r="B35" s="7">
        <f t="shared" si="1"/>
        <v>47217</v>
      </c>
      <c r="C35" s="7">
        <f t="shared" si="7"/>
        <v>47217</v>
      </c>
      <c r="D35">
        <f t="shared" si="2"/>
        <v>0.05</v>
      </c>
      <c r="E35">
        <v>5.2999999999999999E-2</v>
      </c>
      <c r="F35">
        <f t="shared" si="8"/>
        <v>0.49863013698630138</v>
      </c>
      <c r="G35" s="8">
        <f t="shared" si="3"/>
        <v>24931.506849315068</v>
      </c>
      <c r="H35" s="8">
        <f t="shared" si="5"/>
        <v>26427.397260273974</v>
      </c>
      <c r="I35" s="8">
        <f>TimeFraction(C35,VLOOKUP("Start Date", rngSwap,2,FALSE),365)</f>
        <v>9.506849315068493</v>
      </c>
      <c r="J35" s="8">
        <f t="shared" si="4"/>
        <v>0.92</v>
      </c>
      <c r="K35" s="9">
        <f t="shared" si="9"/>
        <v>-1376.2191780821934</v>
      </c>
    </row>
    <row r="36" spans="1:12" x14ac:dyDescent="0.25">
      <c r="A36" s="7">
        <f t="shared" si="6"/>
        <v>47217</v>
      </c>
      <c r="B36" s="7">
        <f t="shared" si="1"/>
        <v>47400</v>
      </c>
      <c r="C36" s="7">
        <f t="shared" si="7"/>
        <v>47400</v>
      </c>
      <c r="D36">
        <f t="shared" si="2"/>
        <v>0.05</v>
      </c>
      <c r="E36">
        <v>5.2999999999999999E-2</v>
      </c>
      <c r="F36">
        <f t="shared" si="8"/>
        <v>0.50136986301369868</v>
      </c>
      <c r="G36" s="8">
        <f t="shared" si="3"/>
        <v>25068.493150684935</v>
      </c>
      <c r="H36" s="8">
        <f t="shared" si="5"/>
        <v>26572.60273972603</v>
      </c>
      <c r="I36" s="8">
        <f>TimeFraction(C36,VLOOKUP("Start Date", rngSwap,2,FALSE),365)</f>
        <v>10.008219178082191</v>
      </c>
      <c r="J36" s="8">
        <f t="shared" si="4"/>
        <v>0.92</v>
      </c>
      <c r="K36" s="9">
        <f t="shared" si="9"/>
        <v>-1383.7808219178069</v>
      </c>
    </row>
    <row r="37" spans="1:12" x14ac:dyDescent="0.25">
      <c r="A37" s="10">
        <f>B36</f>
        <v>47400</v>
      </c>
      <c r="B37" s="10">
        <f t="shared" si="1"/>
        <v>47582</v>
      </c>
      <c r="C37" s="10">
        <f>NextBusDay(B37)</f>
        <v>47582</v>
      </c>
      <c r="D37" s="11">
        <f t="shared" si="2"/>
        <v>0.05</v>
      </c>
      <c r="E37">
        <v>5.2999999999999999E-2</v>
      </c>
      <c r="F37" s="11">
        <f>TimeFraction(B37,A37, 365)</f>
        <v>0.49863013698630138</v>
      </c>
      <c r="G37" s="12">
        <f t="shared" si="3"/>
        <v>24931.506849315068</v>
      </c>
      <c r="H37" s="12">
        <f t="shared" si="5"/>
        <v>26427.397260273974</v>
      </c>
      <c r="I37" s="8">
        <f>TimeFraction(C37,VLOOKUP("Start Date", rngSwap,2,FALSE),365)</f>
        <v>10.506849315068493</v>
      </c>
      <c r="J37" s="12">
        <f t="shared" si="4"/>
        <v>0.92</v>
      </c>
      <c r="K37" s="13">
        <f>(G37-H37)*J37</f>
        <v>-1376.2191780821934</v>
      </c>
      <c r="L37" s="11"/>
    </row>
    <row r="38" spans="1:12" x14ac:dyDescent="0.25">
      <c r="A38" s="7">
        <f t="shared" si="6"/>
        <v>47582</v>
      </c>
      <c r="B38" s="7">
        <f t="shared" si="1"/>
        <v>47765</v>
      </c>
      <c r="C38" s="7">
        <f t="shared" si="7"/>
        <v>47765</v>
      </c>
      <c r="D38">
        <f t="shared" si="2"/>
        <v>0.05</v>
      </c>
      <c r="E38">
        <v>5.2999999999999999E-2</v>
      </c>
      <c r="F38">
        <f t="shared" ref="F38:F44" si="10">TimeFraction(B38,A38, 365)</f>
        <v>0.50136986301369868</v>
      </c>
      <c r="G38" s="8">
        <f t="shared" si="3"/>
        <v>25068.493150684935</v>
      </c>
      <c r="H38" s="8">
        <f t="shared" si="5"/>
        <v>26572.60273972603</v>
      </c>
      <c r="I38" s="8">
        <f>TimeFraction(C38,VLOOKUP("Start Date", rngSwap,2,FALSE),365)</f>
        <v>11.008219178082191</v>
      </c>
      <c r="J38" s="8">
        <f t="shared" si="4"/>
        <v>0.92</v>
      </c>
      <c r="K38" s="9">
        <f t="shared" ref="K38:K44" si="11">(G38-H38)*J38</f>
        <v>-1383.7808219178069</v>
      </c>
    </row>
    <row r="39" spans="1:12" x14ac:dyDescent="0.25">
      <c r="A39" s="7">
        <f t="shared" si="6"/>
        <v>47765</v>
      </c>
      <c r="B39" s="7">
        <f t="shared" si="1"/>
        <v>47947</v>
      </c>
      <c r="C39" s="7">
        <f t="shared" si="7"/>
        <v>47947</v>
      </c>
      <c r="D39">
        <f t="shared" si="2"/>
        <v>0.05</v>
      </c>
      <c r="E39">
        <v>5.2999999999999999E-2</v>
      </c>
      <c r="F39">
        <f t="shared" si="10"/>
        <v>0.49863013698630138</v>
      </c>
      <c r="G39" s="8">
        <f t="shared" si="3"/>
        <v>24931.506849315068</v>
      </c>
      <c r="H39" s="8">
        <f t="shared" si="5"/>
        <v>26427.397260273974</v>
      </c>
      <c r="I39" s="8">
        <f>TimeFraction(C39,VLOOKUP("Start Date", rngSwap,2,FALSE),365)</f>
        <v>11.506849315068493</v>
      </c>
      <c r="J39" s="8">
        <f t="shared" si="4"/>
        <v>0.92</v>
      </c>
      <c r="K39" s="9">
        <f t="shared" si="11"/>
        <v>-1376.2191780821934</v>
      </c>
    </row>
    <row r="40" spans="1:12" x14ac:dyDescent="0.25">
      <c r="A40" s="7">
        <f t="shared" si="6"/>
        <v>47947</v>
      </c>
      <c r="B40" s="7">
        <f t="shared" si="1"/>
        <v>48130</v>
      </c>
      <c r="C40" s="7">
        <f t="shared" si="7"/>
        <v>48130</v>
      </c>
      <c r="D40">
        <f t="shared" si="2"/>
        <v>0.05</v>
      </c>
      <c r="E40">
        <v>5.2999999999999999E-2</v>
      </c>
      <c r="F40">
        <f t="shared" si="10"/>
        <v>0.50136986301369868</v>
      </c>
      <c r="G40" s="8">
        <f t="shared" si="3"/>
        <v>25068.493150684935</v>
      </c>
      <c r="H40" s="8">
        <f t="shared" si="5"/>
        <v>26572.60273972603</v>
      </c>
      <c r="I40" s="8">
        <f>TimeFraction(C40,VLOOKUP("Start Date", rngSwap,2,FALSE),365)</f>
        <v>12.008219178082191</v>
      </c>
      <c r="J40" s="8">
        <f t="shared" si="4"/>
        <v>0.92</v>
      </c>
      <c r="K40" s="9">
        <f t="shared" si="11"/>
        <v>-1383.7808219178069</v>
      </c>
    </row>
    <row r="41" spans="1:12" x14ac:dyDescent="0.25">
      <c r="A41" s="7">
        <f t="shared" si="6"/>
        <v>48130</v>
      </c>
      <c r="B41" s="7">
        <f t="shared" si="1"/>
        <v>48313</v>
      </c>
      <c r="C41" s="7">
        <f t="shared" si="7"/>
        <v>48313</v>
      </c>
      <c r="D41">
        <f t="shared" si="2"/>
        <v>0.05</v>
      </c>
      <c r="E41">
        <v>5.2999999999999999E-2</v>
      </c>
      <c r="F41">
        <f t="shared" si="10"/>
        <v>0.50136986301369868</v>
      </c>
      <c r="G41" s="8">
        <f t="shared" si="3"/>
        <v>25068.493150684935</v>
      </c>
      <c r="H41" s="8">
        <f t="shared" si="5"/>
        <v>26572.60273972603</v>
      </c>
      <c r="I41" s="8">
        <f>TimeFraction(C41,VLOOKUP("Start Date", rngSwap,2,FALSE),365)</f>
        <v>12.509589041095891</v>
      </c>
      <c r="J41" s="8">
        <f t="shared" si="4"/>
        <v>0.92</v>
      </c>
      <c r="K41" s="9">
        <f t="shared" si="11"/>
        <v>-1383.7808219178069</v>
      </c>
    </row>
    <row r="42" spans="1:12" x14ac:dyDescent="0.25">
      <c r="A42" s="7">
        <f t="shared" si="6"/>
        <v>48313</v>
      </c>
      <c r="B42" s="7">
        <f t="shared" si="1"/>
        <v>48496</v>
      </c>
      <c r="C42" s="7">
        <f t="shared" si="7"/>
        <v>48496</v>
      </c>
      <c r="D42">
        <f t="shared" si="2"/>
        <v>0.05</v>
      </c>
      <c r="E42">
        <v>5.2999999999999999E-2</v>
      </c>
      <c r="F42">
        <f t="shared" si="10"/>
        <v>0.50136986301369868</v>
      </c>
      <c r="G42" s="8">
        <f t="shared" si="3"/>
        <v>25068.493150684935</v>
      </c>
      <c r="H42" s="8">
        <f t="shared" si="5"/>
        <v>26572.60273972603</v>
      </c>
      <c r="I42" s="8">
        <f>TimeFraction(C42,VLOOKUP("Start Date", rngSwap,2,FALSE),365)</f>
        <v>13.010958904109589</v>
      </c>
      <c r="J42" s="8">
        <f t="shared" si="4"/>
        <v>0.92</v>
      </c>
      <c r="K42" s="9">
        <f t="shared" si="11"/>
        <v>-1383.7808219178069</v>
      </c>
    </row>
    <row r="43" spans="1:12" x14ac:dyDescent="0.25">
      <c r="A43" s="7">
        <f t="shared" si="6"/>
        <v>48496</v>
      </c>
      <c r="B43" s="7">
        <f t="shared" si="1"/>
        <v>48678</v>
      </c>
      <c r="C43" s="7">
        <f t="shared" si="7"/>
        <v>48678</v>
      </c>
      <c r="D43">
        <f t="shared" si="2"/>
        <v>0.05</v>
      </c>
      <c r="E43">
        <v>5.2999999999999999E-2</v>
      </c>
      <c r="F43">
        <f t="shared" si="10"/>
        <v>0.49863013698630138</v>
      </c>
      <c r="G43" s="8">
        <f t="shared" si="3"/>
        <v>24931.506849315068</v>
      </c>
      <c r="H43" s="8">
        <f t="shared" si="5"/>
        <v>26427.397260273974</v>
      </c>
      <c r="I43" s="8">
        <f>TimeFraction(C43,VLOOKUP("Start Date", rngSwap,2,FALSE),365)</f>
        <v>13.509589041095891</v>
      </c>
      <c r="J43" s="8">
        <f t="shared" si="4"/>
        <v>0.92</v>
      </c>
      <c r="K43" s="9">
        <f t="shared" si="11"/>
        <v>-1376.2191780821934</v>
      </c>
    </row>
    <row r="44" spans="1:12" x14ac:dyDescent="0.25">
      <c r="A44" s="7">
        <f t="shared" si="6"/>
        <v>48678</v>
      </c>
      <c r="B44" s="7">
        <f t="shared" si="1"/>
        <v>48861</v>
      </c>
      <c r="C44" s="7">
        <f t="shared" si="7"/>
        <v>48861</v>
      </c>
      <c r="D44">
        <f t="shared" si="2"/>
        <v>0.05</v>
      </c>
      <c r="E44">
        <v>5.2999999999999999E-2</v>
      </c>
      <c r="F44">
        <f t="shared" si="10"/>
        <v>0.50136986301369868</v>
      </c>
      <c r="G44" s="8">
        <f t="shared" si="3"/>
        <v>25068.493150684935</v>
      </c>
      <c r="H44" s="8">
        <f t="shared" si="5"/>
        <v>26572.60273972603</v>
      </c>
      <c r="I44" s="8">
        <f>TimeFraction(C44,VLOOKUP("Start Date", rngSwap,2,FALSE),365)</f>
        <v>14.010958904109589</v>
      </c>
      <c r="J44" s="8">
        <f t="shared" si="4"/>
        <v>0.92</v>
      </c>
      <c r="K44" s="9">
        <f t="shared" si="11"/>
        <v>-1383.7808219178069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E231-B3A1-4B0B-B569-621A925BC1CD}">
  <sheetPr codeName="Sheet4"/>
  <dimension ref="A1:H42"/>
  <sheetViews>
    <sheetView topLeftCell="A7" workbookViewId="0">
      <selection activeCell="D24" sqref="D24"/>
    </sheetView>
  </sheetViews>
  <sheetFormatPr defaultRowHeight="15" x14ac:dyDescent="0.25"/>
  <cols>
    <col min="1" max="1" width="19.28515625" customWidth="1"/>
    <col min="2" max="3" width="24.5703125" customWidth="1"/>
    <col min="4" max="4" width="16.5703125" customWidth="1"/>
    <col min="6" max="6" width="11.5703125" customWidth="1"/>
    <col min="7" max="7" width="14.28515625" customWidth="1"/>
  </cols>
  <sheetData>
    <row r="1" spans="1:8" x14ac:dyDescent="0.25">
      <c r="A1" s="1" t="s">
        <v>0</v>
      </c>
      <c r="B1" s="1" t="s">
        <v>1</v>
      </c>
      <c r="C1" s="1"/>
      <c r="D1" t="s">
        <v>11</v>
      </c>
    </row>
    <row r="2" spans="1:8" x14ac:dyDescent="0.25">
      <c r="A2" s="3">
        <v>0</v>
      </c>
      <c r="B2" s="1">
        <v>4.2000000000000003E-2</v>
      </c>
      <c r="C2" s="1"/>
      <c r="D2">
        <v>0</v>
      </c>
    </row>
    <row r="3" spans="1:8" x14ac:dyDescent="0.25">
      <c r="A3" s="3">
        <v>0.5</v>
      </c>
      <c r="B3" s="1">
        <v>4.8000000000000001E-2</v>
      </c>
      <c r="C3" s="1"/>
      <c r="D3">
        <v>4.5999999999999999E-2</v>
      </c>
    </row>
    <row r="4" spans="1:8" x14ac:dyDescent="0.25">
      <c r="A4" s="3">
        <v>1</v>
      </c>
      <c r="B4" s="1">
        <v>5.2999999999999999E-2</v>
      </c>
      <c r="C4" s="1"/>
      <c r="D4">
        <v>4.9000000000000002E-2</v>
      </c>
    </row>
    <row r="5" spans="1:8" x14ac:dyDescent="0.25">
      <c r="A5" s="3">
        <v>1.5</v>
      </c>
      <c r="B5" s="1">
        <v>5.5E-2</v>
      </c>
      <c r="C5" s="1"/>
      <c r="D5">
        <v>5.1999999999999998E-2</v>
      </c>
    </row>
    <row r="6" spans="1:8" x14ac:dyDescent="0.25">
      <c r="A6" s="3">
        <v>2</v>
      </c>
      <c r="B6" s="1">
        <v>5.6000000000000001E-2</v>
      </c>
      <c r="C6" s="1"/>
      <c r="D6">
        <v>5.6000000000000001E-2</v>
      </c>
    </row>
    <row r="7" spans="1:8" x14ac:dyDescent="0.25">
      <c r="A7" s="3">
        <v>2.5</v>
      </c>
      <c r="B7" s="1">
        <v>5.8999999999999997E-2</v>
      </c>
      <c r="C7" s="1"/>
      <c r="D7">
        <v>5.8999999999999997E-2</v>
      </c>
    </row>
    <row r="8" spans="1:8" x14ac:dyDescent="0.25">
      <c r="A8" s="3">
        <v>3</v>
      </c>
      <c r="D8">
        <v>6.2E-2</v>
      </c>
    </row>
    <row r="10" spans="1:8" x14ac:dyDescent="0.25">
      <c r="A10" t="s">
        <v>84</v>
      </c>
    </row>
    <row r="12" spans="1:8" x14ac:dyDescent="0.25">
      <c r="A12" t="s">
        <v>51</v>
      </c>
      <c r="B12" t="s">
        <v>15</v>
      </c>
      <c r="C12" t="s">
        <v>52</v>
      </c>
      <c r="D12" t="s">
        <v>53</v>
      </c>
      <c r="E12" t="s">
        <v>54</v>
      </c>
      <c r="G12" t="s">
        <v>85</v>
      </c>
      <c r="H12" t="s">
        <v>30</v>
      </c>
    </row>
    <row r="13" spans="1:8" x14ac:dyDescent="0.25">
      <c r="A13" t="s">
        <v>55</v>
      </c>
      <c r="B13" t="s">
        <v>56</v>
      </c>
      <c r="C13" t="s">
        <v>57</v>
      </c>
      <c r="D13">
        <v>4.4999999999999997E-3</v>
      </c>
      <c r="E13">
        <v>0</v>
      </c>
    </row>
    <row r="14" spans="1:8" x14ac:dyDescent="0.25">
      <c r="A14" t="s">
        <v>58</v>
      </c>
      <c r="B14" t="s">
        <v>59</v>
      </c>
      <c r="C14" t="s">
        <v>57</v>
      </c>
      <c r="D14">
        <v>4.45E-3</v>
      </c>
      <c r="E14">
        <v>0</v>
      </c>
    </row>
    <row r="15" spans="1:8" x14ac:dyDescent="0.25">
      <c r="A15" t="s">
        <v>60</v>
      </c>
      <c r="B15" t="s">
        <v>61</v>
      </c>
      <c r="C15" t="s">
        <v>57</v>
      </c>
      <c r="D15">
        <v>6.8999999999999999E-3</v>
      </c>
      <c r="E15">
        <v>0</v>
      </c>
    </row>
    <row r="16" spans="1:8" x14ac:dyDescent="0.25">
      <c r="A16" t="s">
        <v>60</v>
      </c>
      <c r="B16" t="s">
        <v>62</v>
      </c>
      <c r="C16" t="s">
        <v>57</v>
      </c>
      <c r="D16">
        <v>7.9500000000000005E-3</v>
      </c>
      <c r="E16">
        <v>0</v>
      </c>
    </row>
    <row r="17" spans="1:5" x14ac:dyDescent="0.25">
      <c r="A17" t="s">
        <v>60</v>
      </c>
      <c r="B17" t="s">
        <v>63</v>
      </c>
      <c r="C17" t="s">
        <v>57</v>
      </c>
      <c r="D17">
        <v>7.9500000000000005E-3</v>
      </c>
      <c r="E17">
        <v>0</v>
      </c>
    </row>
    <row r="18" spans="1:5" x14ac:dyDescent="0.25">
      <c r="A18" t="s">
        <v>64</v>
      </c>
      <c r="B18" t="s">
        <v>65</v>
      </c>
      <c r="C18" t="s">
        <v>57</v>
      </c>
      <c r="D18">
        <v>7.8490399999999998E-3</v>
      </c>
      <c r="E18">
        <v>0</v>
      </c>
    </row>
    <row r="19" spans="1:5" x14ac:dyDescent="0.25">
      <c r="A19" t="s">
        <v>64</v>
      </c>
      <c r="B19" t="s">
        <v>66</v>
      </c>
      <c r="C19" t="s">
        <v>57</v>
      </c>
      <c r="D19">
        <v>6.79468E-3</v>
      </c>
      <c r="E19">
        <v>0</v>
      </c>
    </row>
    <row r="20" spans="1:5" x14ac:dyDescent="0.25">
      <c r="A20" t="s">
        <v>64</v>
      </c>
      <c r="B20" t="s">
        <v>67</v>
      </c>
      <c r="C20" t="s">
        <v>57</v>
      </c>
      <c r="D20">
        <v>6.2380600000000001E-3</v>
      </c>
      <c r="E20">
        <v>0</v>
      </c>
    </row>
    <row r="21" spans="1:5" x14ac:dyDescent="0.25">
      <c r="A21" t="s">
        <v>64</v>
      </c>
      <c r="B21" t="s">
        <v>68</v>
      </c>
      <c r="C21" t="s">
        <v>57</v>
      </c>
      <c r="D21">
        <v>5.9300899999999998E-3</v>
      </c>
      <c r="E21">
        <v>0</v>
      </c>
    </row>
    <row r="22" spans="1:5" x14ac:dyDescent="0.25">
      <c r="A22" t="s">
        <v>64</v>
      </c>
      <c r="B22" t="s">
        <v>69</v>
      </c>
      <c r="C22" t="s">
        <v>57</v>
      </c>
      <c r="D22">
        <v>5.9690899999999998E-3</v>
      </c>
      <c r="E22">
        <v>0</v>
      </c>
    </row>
    <row r="23" spans="1:5" x14ac:dyDescent="0.25">
      <c r="A23" t="s">
        <v>64</v>
      </c>
      <c r="B23" t="s">
        <v>70</v>
      </c>
      <c r="C23" t="s">
        <v>57</v>
      </c>
      <c r="D23">
        <v>6.1563199999999998E-3</v>
      </c>
      <c r="E23">
        <v>0</v>
      </c>
    </row>
    <row r="24" spans="1:5" x14ac:dyDescent="0.25">
      <c r="A24" t="s">
        <v>14</v>
      </c>
      <c r="B24" t="s">
        <v>43</v>
      </c>
      <c r="C24" t="s">
        <v>57</v>
      </c>
      <c r="D24">
        <v>6.5500000000000003E-3</v>
      </c>
      <c r="E24">
        <v>0</v>
      </c>
    </row>
    <row r="25" spans="1:5" x14ac:dyDescent="0.25">
      <c r="A25" t="s">
        <v>14</v>
      </c>
      <c r="B25" t="s">
        <v>44</v>
      </c>
      <c r="C25" t="s">
        <v>57</v>
      </c>
      <c r="D25">
        <v>6.6866699999999996E-3</v>
      </c>
      <c r="E25">
        <v>0</v>
      </c>
    </row>
    <row r="26" spans="1:5" x14ac:dyDescent="0.25">
      <c r="A26" t="s">
        <v>14</v>
      </c>
      <c r="B26" t="s">
        <v>71</v>
      </c>
      <c r="C26" t="s">
        <v>57</v>
      </c>
      <c r="D26">
        <v>7.0983299999999999E-3</v>
      </c>
      <c r="E26">
        <v>0</v>
      </c>
    </row>
    <row r="27" spans="1:5" x14ac:dyDescent="0.25">
      <c r="A27" t="s">
        <v>14</v>
      </c>
      <c r="B27" t="s">
        <v>45</v>
      </c>
      <c r="C27" t="s">
        <v>57</v>
      </c>
      <c r="D27">
        <v>7.7349999999999997E-3</v>
      </c>
      <c r="E27">
        <v>0</v>
      </c>
    </row>
    <row r="28" spans="1:5" x14ac:dyDescent="0.25">
      <c r="A28" t="s">
        <v>14</v>
      </c>
      <c r="B28" t="s">
        <v>72</v>
      </c>
      <c r="C28" t="s">
        <v>57</v>
      </c>
      <c r="D28">
        <v>8.7810000000000006E-3</v>
      </c>
      <c r="E28">
        <v>0</v>
      </c>
    </row>
    <row r="29" spans="1:5" x14ac:dyDescent="0.25">
      <c r="A29" t="s">
        <v>14</v>
      </c>
      <c r="B29" t="s">
        <v>73</v>
      </c>
      <c r="C29" t="s">
        <v>57</v>
      </c>
      <c r="D29">
        <v>1.0002E-2</v>
      </c>
      <c r="E29">
        <v>0</v>
      </c>
    </row>
    <row r="30" spans="1:5" x14ac:dyDescent="0.25">
      <c r="A30" t="s">
        <v>14</v>
      </c>
      <c r="B30" t="s">
        <v>74</v>
      </c>
      <c r="C30" t="s">
        <v>57</v>
      </c>
      <c r="D30">
        <v>1.1247999999999999E-2</v>
      </c>
      <c r="E30">
        <v>0</v>
      </c>
    </row>
    <row r="31" spans="1:5" x14ac:dyDescent="0.25">
      <c r="A31" t="s">
        <v>14</v>
      </c>
      <c r="B31" t="s">
        <v>75</v>
      </c>
      <c r="C31" t="s">
        <v>57</v>
      </c>
      <c r="D31">
        <v>1.2418999999999999E-2</v>
      </c>
      <c r="E31">
        <v>0</v>
      </c>
    </row>
    <row r="32" spans="1:5" x14ac:dyDescent="0.25">
      <c r="A32" t="s">
        <v>14</v>
      </c>
      <c r="B32" t="s">
        <v>46</v>
      </c>
      <c r="C32" t="s">
        <v>57</v>
      </c>
      <c r="D32">
        <v>1.3465E-2</v>
      </c>
      <c r="E32">
        <v>0</v>
      </c>
    </row>
    <row r="33" spans="1:5" x14ac:dyDescent="0.25">
      <c r="A33" t="s">
        <v>14</v>
      </c>
      <c r="B33" t="s">
        <v>76</v>
      </c>
      <c r="C33" t="s">
        <v>57</v>
      </c>
      <c r="D33">
        <v>1.5455999999999999E-2</v>
      </c>
      <c r="E33">
        <v>0</v>
      </c>
    </row>
    <row r="34" spans="1:5" x14ac:dyDescent="0.25">
      <c r="A34" t="s">
        <v>14</v>
      </c>
      <c r="B34" t="s">
        <v>47</v>
      </c>
      <c r="C34" t="s">
        <v>57</v>
      </c>
      <c r="D34">
        <v>1.753E-2</v>
      </c>
      <c r="E34">
        <v>0</v>
      </c>
    </row>
    <row r="35" spans="1:5" x14ac:dyDescent="0.25">
      <c r="A35" t="s">
        <v>14</v>
      </c>
      <c r="B35" t="s">
        <v>48</v>
      </c>
      <c r="C35" t="s">
        <v>57</v>
      </c>
      <c r="D35">
        <v>1.8970000000000001E-2</v>
      </c>
      <c r="E35">
        <v>0</v>
      </c>
    </row>
    <row r="36" spans="1:5" x14ac:dyDescent="0.25">
      <c r="A36" t="s">
        <v>14</v>
      </c>
      <c r="B36" t="s">
        <v>77</v>
      </c>
      <c r="C36" t="s">
        <v>57</v>
      </c>
      <c r="D36">
        <v>1.9109999999999999E-2</v>
      </c>
      <c r="E36">
        <v>0</v>
      </c>
    </row>
    <row r="37" spans="1:5" x14ac:dyDescent="0.25">
      <c r="A37" t="s">
        <v>14</v>
      </c>
      <c r="B37" t="s">
        <v>78</v>
      </c>
      <c r="C37" t="s">
        <v>57</v>
      </c>
      <c r="D37">
        <v>1.9050000000000001E-2</v>
      </c>
      <c r="E37">
        <v>0</v>
      </c>
    </row>
    <row r="38" spans="1:5" x14ac:dyDescent="0.25">
      <c r="A38" t="s">
        <v>14</v>
      </c>
      <c r="B38" t="s">
        <v>79</v>
      </c>
      <c r="C38" t="s">
        <v>57</v>
      </c>
      <c r="D38">
        <v>1.9050000000000001E-2</v>
      </c>
      <c r="E38">
        <v>0</v>
      </c>
    </row>
    <row r="39" spans="1:5" x14ac:dyDescent="0.25">
      <c r="A39" t="s">
        <v>14</v>
      </c>
      <c r="B39" t="s">
        <v>80</v>
      </c>
      <c r="C39" t="s">
        <v>57</v>
      </c>
      <c r="D39">
        <v>1.9050000000000001E-2</v>
      </c>
      <c r="E39">
        <v>0</v>
      </c>
    </row>
    <row r="40" spans="1:5" x14ac:dyDescent="0.25">
      <c r="A40" t="s">
        <v>14</v>
      </c>
      <c r="B40" t="s">
        <v>81</v>
      </c>
      <c r="C40" t="s">
        <v>57</v>
      </c>
      <c r="D40">
        <v>1.9050000000000001E-2</v>
      </c>
      <c r="E40">
        <v>0</v>
      </c>
    </row>
    <row r="41" spans="1:5" x14ac:dyDescent="0.25">
      <c r="A41" t="s">
        <v>14</v>
      </c>
      <c r="B41" t="s">
        <v>82</v>
      </c>
      <c r="C41" t="s">
        <v>57</v>
      </c>
      <c r="D41">
        <v>1.9050000000000001E-2</v>
      </c>
      <c r="E41">
        <v>0</v>
      </c>
    </row>
    <row r="42" spans="1:5" x14ac:dyDescent="0.25">
      <c r="A42" t="s">
        <v>14</v>
      </c>
      <c r="B42" t="s">
        <v>83</v>
      </c>
      <c r="C42" t="s">
        <v>57</v>
      </c>
      <c r="D42">
        <v>1.9050000000000001E-2</v>
      </c>
      <c r="E42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4848D-51F7-44A9-84BE-AE5897B12522}">
  <sheetPr codeName="Sheet5"/>
  <dimension ref="A1:O20"/>
  <sheetViews>
    <sheetView tabSelected="1" workbookViewId="0">
      <selection activeCell="A27" sqref="A27"/>
    </sheetView>
  </sheetViews>
  <sheetFormatPr defaultRowHeight="15" x14ac:dyDescent="0.25"/>
  <cols>
    <col min="1" max="1" width="20.42578125" bestFit="1" customWidth="1"/>
    <col min="2" max="2" width="10.42578125" bestFit="1" customWidth="1"/>
    <col min="14" max="14" width="14.7109375" bestFit="1" customWidth="1"/>
  </cols>
  <sheetData>
    <row r="1" spans="1:15" x14ac:dyDescent="0.25">
      <c r="A1" t="s">
        <v>5</v>
      </c>
    </row>
    <row r="2" spans="1:15" x14ac:dyDescent="0.25">
      <c r="A2">
        <v>100</v>
      </c>
      <c r="N2" t="s">
        <v>22</v>
      </c>
    </row>
    <row r="3" spans="1:15" x14ac:dyDescent="0.25">
      <c r="N3" t="s">
        <v>23</v>
      </c>
      <c r="O3" t="b">
        <v>1</v>
      </c>
    </row>
    <row r="4" spans="1:15" x14ac:dyDescent="0.25">
      <c r="D4" t="s">
        <v>43</v>
      </c>
      <c r="E4" t="s">
        <v>44</v>
      </c>
      <c r="F4" t="s">
        <v>45</v>
      </c>
      <c r="G4" t="s">
        <v>46</v>
      </c>
      <c r="H4" t="s">
        <v>47</v>
      </c>
      <c r="I4" t="s">
        <v>48</v>
      </c>
    </row>
    <row r="5" spans="1:15" x14ac:dyDescent="0.25">
      <c r="A5" t="s">
        <v>6</v>
      </c>
    </row>
    <row r="6" spans="1:15" x14ac:dyDescent="0.25">
      <c r="A6">
        <v>0.05</v>
      </c>
    </row>
    <row r="9" spans="1:15" x14ac:dyDescent="0.25">
      <c r="A9" t="s">
        <v>16</v>
      </c>
    </row>
    <row r="10" spans="1:15" x14ac:dyDescent="0.25">
      <c r="A10" t="s">
        <v>24</v>
      </c>
      <c r="B10" t="s">
        <v>25</v>
      </c>
    </row>
    <row r="11" spans="1:15" x14ac:dyDescent="0.25">
      <c r="A11" t="s">
        <v>17</v>
      </c>
      <c r="B11" s="7">
        <v>43745</v>
      </c>
    </row>
    <row r="12" spans="1:15" x14ac:dyDescent="0.25">
      <c r="A12" t="s">
        <v>18</v>
      </c>
      <c r="B12">
        <v>2</v>
      </c>
    </row>
    <row r="13" spans="1:15" x14ac:dyDescent="0.25">
      <c r="A13" t="s">
        <v>19</v>
      </c>
      <c r="B13">
        <v>2</v>
      </c>
    </row>
    <row r="14" spans="1:15" x14ac:dyDescent="0.25">
      <c r="A14" t="s">
        <v>20</v>
      </c>
      <c r="B14">
        <v>2</v>
      </c>
    </row>
    <row r="15" spans="1:15" x14ac:dyDescent="0.25">
      <c r="A15" t="s">
        <v>21</v>
      </c>
      <c r="B15" s="7">
        <v>43747</v>
      </c>
    </row>
    <row r="16" spans="1:15" x14ac:dyDescent="0.25">
      <c r="A16" t="s">
        <v>33</v>
      </c>
      <c r="B16" s="7">
        <f>NextBusDay(EDATE(B15,B12*12))</f>
        <v>44480</v>
      </c>
    </row>
    <row r="17" spans="1:2" x14ac:dyDescent="0.25">
      <c r="A17" t="s">
        <v>5</v>
      </c>
      <c r="B17">
        <v>1000000</v>
      </c>
    </row>
    <row r="18" spans="1:2" x14ac:dyDescent="0.25">
      <c r="A18" t="s">
        <v>32</v>
      </c>
      <c r="B18">
        <v>0.05</v>
      </c>
    </row>
    <row r="19" spans="1:2" x14ac:dyDescent="0.25">
      <c r="A19" t="s">
        <v>36</v>
      </c>
      <c r="B19">
        <v>4.4999999999999998E-2</v>
      </c>
    </row>
    <row r="20" spans="1:2" x14ac:dyDescent="0.25">
      <c r="A20" t="s">
        <v>50</v>
      </c>
      <c r="B2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7412-0458-4971-B53B-5E04C96B3845}">
  <sheetPr codeName="Sheet1"/>
  <dimension ref="A1:D18"/>
  <sheetViews>
    <sheetView workbookViewId="0">
      <selection activeCell="B18" sqref="B18"/>
    </sheetView>
  </sheetViews>
  <sheetFormatPr defaultRowHeight="15" x14ac:dyDescent="0.25"/>
  <sheetData>
    <row r="1" spans="1:4" x14ac:dyDescent="0.25">
      <c r="A1" t="s">
        <v>15</v>
      </c>
    </row>
    <row r="2" spans="1:4" x14ac:dyDescent="0.25">
      <c r="A2">
        <v>0.5</v>
      </c>
      <c r="B2">
        <v>5</v>
      </c>
      <c r="C2">
        <v>103</v>
      </c>
      <c r="D2">
        <v>3</v>
      </c>
    </row>
    <row r="3" spans="1:4" x14ac:dyDescent="0.25">
      <c r="A3">
        <v>1</v>
      </c>
      <c r="B3">
        <v>5</v>
      </c>
      <c r="D3">
        <v>3</v>
      </c>
    </row>
    <row r="4" spans="1:4" x14ac:dyDescent="0.25">
      <c r="A4">
        <v>1.5</v>
      </c>
      <c r="B4">
        <v>5</v>
      </c>
      <c r="D4">
        <v>103</v>
      </c>
    </row>
    <row r="5" spans="1:4" x14ac:dyDescent="0.25">
      <c r="A5">
        <v>2</v>
      </c>
      <c r="B5">
        <v>5</v>
      </c>
    </row>
    <row r="6" spans="1:4" x14ac:dyDescent="0.25">
      <c r="A6">
        <v>2.5</v>
      </c>
      <c r="B6">
        <v>5</v>
      </c>
    </row>
    <row r="7" spans="1:4" x14ac:dyDescent="0.25">
      <c r="A7">
        <v>3</v>
      </c>
      <c r="B7">
        <v>105</v>
      </c>
    </row>
    <row r="9" spans="1:4" x14ac:dyDescent="0.25">
      <c r="A9" t="s">
        <v>40</v>
      </c>
    </row>
    <row r="10" spans="1:4" x14ac:dyDescent="0.25">
      <c r="A10" t="s">
        <v>41</v>
      </c>
      <c r="B10" t="s">
        <v>30</v>
      </c>
      <c r="C10" t="s">
        <v>42</v>
      </c>
    </row>
    <row r="11" spans="1:4" x14ac:dyDescent="0.25">
      <c r="A11">
        <v>0</v>
      </c>
      <c r="B11">
        <v>1</v>
      </c>
      <c r="C11">
        <f>0</f>
        <v>0</v>
      </c>
    </row>
    <row r="12" spans="1:4" x14ac:dyDescent="0.25">
      <c r="A12">
        <v>1</v>
      </c>
      <c r="B12">
        <v>0.999</v>
      </c>
      <c r="C12">
        <f>A12/365</f>
        <v>2.7397260273972603E-3</v>
      </c>
    </row>
    <row r="13" spans="1:4" x14ac:dyDescent="0.25">
      <c r="A13">
        <v>2</v>
      </c>
      <c r="B13">
        <v>0.98799999999999999</v>
      </c>
      <c r="C13">
        <f t="shared" ref="C13:C18" si="0">A13/365</f>
        <v>5.4794520547945206E-3</v>
      </c>
    </row>
    <row r="14" spans="1:4" x14ac:dyDescent="0.25">
      <c r="A14">
        <v>30</v>
      </c>
      <c r="B14">
        <v>0.97499999999999998</v>
      </c>
      <c r="C14">
        <f t="shared" si="0"/>
        <v>8.2191780821917804E-2</v>
      </c>
    </row>
    <row r="15" spans="1:4" x14ac:dyDescent="0.25">
      <c r="A15">
        <v>60</v>
      </c>
      <c r="B15">
        <v>0.96</v>
      </c>
      <c r="C15">
        <f t="shared" si="0"/>
        <v>0.16438356164383561</v>
      </c>
    </row>
    <row r="16" spans="1:4" x14ac:dyDescent="0.25">
      <c r="A16">
        <v>90</v>
      </c>
      <c r="B16">
        <v>0.95</v>
      </c>
      <c r="C16">
        <f t="shared" si="0"/>
        <v>0.24657534246575341</v>
      </c>
    </row>
    <row r="17" spans="1:3" x14ac:dyDescent="0.25">
      <c r="A17">
        <v>180</v>
      </c>
      <c r="B17">
        <v>0.93500000000000005</v>
      </c>
      <c r="C17">
        <f t="shared" si="0"/>
        <v>0.49315068493150682</v>
      </c>
    </row>
    <row r="18" spans="1:3" x14ac:dyDescent="0.25">
      <c r="A18">
        <v>360</v>
      </c>
      <c r="B18">
        <v>0.92</v>
      </c>
      <c r="C18">
        <f t="shared" si="0"/>
        <v>0.98630136986301364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Swap valuation</vt:lpstr>
      <vt:lpstr>Interest rate</vt:lpstr>
      <vt:lpstr>Deal info</vt:lpstr>
      <vt:lpstr>DiscountCurve</vt:lpstr>
      <vt:lpstr>rngSwap</vt:lpstr>
      <vt:lpstr>VarItems</vt:lpstr>
      <vt:lpstr>vDF</vt:lpstr>
      <vt:lpstr>vDfTimes</vt:lpstr>
      <vt:lpstr>vDFvalues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Michael_Wang@manulife.com</dc:creator>
  <cp:lastModifiedBy>Michael Wang</cp:lastModifiedBy>
  <dcterms:created xsi:type="dcterms:W3CDTF">2015-06-05T18:17:20Z</dcterms:created>
  <dcterms:modified xsi:type="dcterms:W3CDTF">2019-10-11T19:54:38Z</dcterms:modified>
</cp:coreProperties>
</file>